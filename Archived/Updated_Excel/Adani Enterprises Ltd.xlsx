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9F90EF8-D3C6-4676-B6A5-8AE4048CDC8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0" i="1" l="1"/>
  <c r="CL240" i="1"/>
  <c r="CR37" i="1"/>
  <c r="CN40" i="1"/>
  <c r="CO40" i="1" s="1"/>
  <c r="CP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7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10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E42" i="2"/>
  <c r="AF76" i="2"/>
  <c r="AF92" i="2"/>
  <c r="AC70" i="2"/>
  <c r="AC94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E73" i="2"/>
  <c r="AC98" i="2"/>
  <c r="AF33" i="2"/>
  <c r="AF52" i="2"/>
  <c r="AC7" i="2"/>
  <c r="AC19" i="2"/>
  <c r="AC31" i="2"/>
  <c r="AC46" i="2"/>
  <c r="AF20" i="2"/>
  <c r="AB73" i="2"/>
  <c r="AE78" i="2"/>
  <c r="AF14" i="2"/>
  <c r="AD75" i="2"/>
  <c r="AD91" i="2"/>
  <c r="AC72" i="2"/>
  <c r="AC60" i="2"/>
  <c r="AE11" i="2"/>
  <c r="AE105" i="2"/>
  <c r="AF78" i="2"/>
  <c r="AC104" i="2"/>
  <c r="AE109" i="2"/>
  <c r="AE107" i="2"/>
  <c r="AF10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F7" i="2"/>
  <c r="AF15" i="2"/>
  <c r="AF23" i="2"/>
  <c r="AF31" i="2"/>
  <c r="AF42" i="2"/>
  <c r="AF50" i="2"/>
  <c r="AF58" i="2"/>
  <c r="AE16" i="2"/>
  <c r="AE28" i="2"/>
  <c r="AE43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F9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C24" i="2"/>
  <c r="AC78" i="2"/>
  <c r="AC106" i="2"/>
  <c r="AB11" i="2"/>
  <c r="AB19" i="2"/>
  <c r="AB27" i="2"/>
  <c r="AB35" i="2"/>
  <c r="AB46" i="2"/>
  <c r="AB54" i="2"/>
  <c r="AC9" i="2"/>
  <c r="AC33" i="2"/>
  <c r="AD66" i="2"/>
  <c r="AD74" i="2"/>
  <c r="AD90" i="2"/>
  <c r="AD110" i="2"/>
  <c r="AF6" i="2"/>
  <c r="AB64" i="2"/>
  <c r="AC26" i="2"/>
  <c r="AC53" i="2"/>
  <c r="AE80" i="2"/>
  <c r="AE92" i="2"/>
  <c r="AD54" i="2"/>
  <c r="AC76" i="2"/>
  <c r="AB98" i="2"/>
  <c r="AD95" i="2"/>
  <c r="AC43" i="2"/>
  <c r="AC21" i="2"/>
  <c r="AC48" i="2"/>
  <c r="AB6" i="2"/>
  <c r="AB22" i="2"/>
  <c r="AB41" i="2"/>
  <c r="AB57" i="2"/>
  <c r="AD82" i="2"/>
  <c r="AD98" i="2"/>
  <c r="AB36" i="2"/>
  <c r="AE68" i="2"/>
  <c r="AD19" i="2"/>
  <c r="AE50" i="2"/>
  <c r="AC16" i="2"/>
  <c r="AB82" i="2"/>
  <c r="AF68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B5" i="2"/>
  <c r="AB48" i="2"/>
  <c r="AE24" i="2"/>
  <c r="AE51" i="2"/>
  <c r="AB10" i="2"/>
  <c r="AB26" i="2"/>
  <c r="AB45" i="2"/>
  <c r="AD60" i="2"/>
  <c r="AD68" i="2"/>
  <c r="AD76" i="2"/>
  <c r="AD84" i="2"/>
  <c r="AD92" i="2"/>
  <c r="AB12" i="2"/>
  <c r="AE33" i="2"/>
  <c r="AC71" i="2"/>
  <c r="AD61" i="2"/>
  <c r="AF66" i="2"/>
  <c r="AF82" i="2"/>
  <c r="AF98" i="2"/>
  <c r="AE83" i="2"/>
  <c r="AE7" i="2"/>
  <c r="AB70" i="2"/>
  <c r="AB106" i="2"/>
  <c r="AC86" i="2"/>
  <c r="AC10" i="2"/>
  <c r="AE60" i="2"/>
  <c r="AE72" i="2"/>
  <c r="AE84" i="2"/>
  <c r="AC99" i="2"/>
  <c r="AB62" i="2"/>
  <c r="AD99" i="2"/>
  <c r="AC51" i="2"/>
  <c r="AC84" i="2"/>
  <c r="AC20" i="2"/>
  <c r="AF108" i="2"/>
  <c r="AE65" i="2"/>
  <c r="AE89" i="2"/>
  <c r="AE97" i="2"/>
  <c r="AF17" i="2"/>
  <c r="AC58" i="2"/>
  <c r="AF55" i="2"/>
  <c r="AB81" i="2"/>
  <c r="AB97" i="2"/>
  <c r="AB109" i="2"/>
  <c r="AC109" i="2"/>
  <c r="AF62" i="2"/>
  <c r="AF49" i="2"/>
  <c r="AD111" i="2"/>
  <c r="AC96" i="2"/>
  <c r="AF80" i="2"/>
  <c r="AF96" i="2"/>
  <c r="AE77" i="2"/>
  <c r="AF94" i="2"/>
  <c r="AE81" i="2"/>
  <c r="AE19" i="2"/>
  <c r="AB13" i="2"/>
  <c r="AB21" i="2"/>
  <c r="AB29" i="2"/>
  <c r="AB40" i="2"/>
  <c r="AB56" i="2"/>
  <c r="AE12" i="2"/>
  <c r="AE36" i="2"/>
  <c r="AD104" i="2"/>
  <c r="AB47" i="2"/>
  <c r="AE9" i="2"/>
  <c r="AC59" i="2"/>
  <c r="AC83" i="2"/>
  <c r="AE98" i="2"/>
  <c r="AD27" i="2"/>
  <c r="AE35" i="2"/>
  <c r="AB86" i="2"/>
  <c r="AC62" i="2"/>
  <c r="AD50" i="2"/>
  <c r="AC34" i="2"/>
  <c r="AF30" i="2"/>
  <c r="AD67" i="2"/>
  <c r="AD83" i="2"/>
  <c r="AF72" i="2"/>
  <c r="AF88" i="2"/>
  <c r="AC74" i="2"/>
  <c r="AF25" i="2"/>
  <c r="AF44" i="2"/>
  <c r="AF36" i="2"/>
  <c r="AB65" i="2"/>
  <c r="AB89" i="2"/>
  <c r="AD31" i="2"/>
  <c r="AC22" i="2"/>
  <c r="AC49" i="2"/>
  <c r="AE66" i="2"/>
  <c r="AE90" i="2"/>
  <c r="AE31" i="2"/>
  <c r="AB66" i="2"/>
  <c r="AE27" i="2"/>
  <c r="AE79" i="2"/>
  <c r="AF84" i="2"/>
  <c r="AC82" i="2"/>
  <c r="AC110" i="2"/>
  <c r="AD113" i="2"/>
  <c r="AA173" i="1" l="1"/>
  <c r="AA172" i="1"/>
  <c r="AA171" i="1"/>
  <c r="AA165" i="1"/>
  <c r="AA164" i="1"/>
  <c r="AA161" i="1"/>
  <c r="AA160" i="1"/>
  <c r="AA156" i="1"/>
  <c r="AA154" i="1"/>
  <c r="AA152" i="1"/>
  <c r="AA151" i="1"/>
  <c r="AA150" i="1"/>
  <c r="AA148" i="1"/>
  <c r="AA147" i="1"/>
  <c r="AA146" i="1"/>
  <c r="AA145" i="1"/>
  <c r="AA144" i="1"/>
  <c r="AA143" i="1"/>
  <c r="AA149" i="1" s="1"/>
  <c r="AA141" i="1"/>
  <c r="AA138" i="1"/>
  <c r="AA137" i="1"/>
  <c r="AA136" i="1"/>
  <c r="AA134" i="1"/>
  <c r="AA133" i="1"/>
  <c r="AA132" i="1"/>
  <c r="AA135" i="1" s="1"/>
  <c r="AA128" i="1"/>
  <c r="AA127" i="1"/>
  <c r="AA126" i="1"/>
  <c r="AA125" i="1"/>
  <c r="AA129" i="1" s="1"/>
  <c r="AA123" i="1"/>
  <c r="AA120" i="1"/>
  <c r="AA119" i="1"/>
  <c r="AA118" i="1"/>
  <c r="AA80" i="1"/>
  <c r="AA79" i="1"/>
  <c r="AA78" i="1"/>
  <c r="AA68" i="1"/>
  <c r="AA52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4" i="1"/>
  <c r="AA195" i="1"/>
  <c r="AA10" i="1"/>
  <c r="AA121" i="1"/>
  <c r="AA253" i="1"/>
  <c r="AA232" i="1"/>
  <c r="AB113" i="2"/>
  <c r="AA75" i="1" s="1"/>
  <c r="AB111" i="2"/>
  <c r="AB112" i="2"/>
  <c r="AA74" i="1" s="1"/>
  <c r="AF111" i="2"/>
  <c r="AF112" i="2"/>
  <c r="B1" i="9"/>
  <c r="AE111" i="2"/>
  <c r="AC111" i="2"/>
  <c r="AE113" i="2"/>
  <c r="L1" i="9"/>
  <c r="AD112" i="2"/>
  <c r="AE112" i="2"/>
  <c r="AF113" i="2"/>
  <c r="AC112" i="2"/>
  <c r="A1" i="9"/>
  <c r="AA183" i="1" l="1"/>
  <c r="AA180" i="1"/>
  <c r="AA37" i="1"/>
  <c r="AA33" i="1"/>
  <c r="AA184" i="1"/>
  <c r="AA181" i="1"/>
  <c r="AA174" i="1"/>
  <c r="AA155" i="1"/>
  <c r="AA157" i="1" s="1"/>
  <c r="AA130" i="1"/>
  <c r="AA162" i="1"/>
  <c r="AA139" i="1"/>
  <c r="AA182" i="1"/>
  <c r="AA186" i="1"/>
  <c r="AA185" i="1" s="1"/>
  <c r="AA16" i="1"/>
  <c r="AA245" i="1"/>
  <c r="AA99" i="1"/>
  <c r="AA247" i="1"/>
  <c r="AA249" i="1"/>
  <c r="AA27" i="1"/>
  <c r="AA158" i="1"/>
  <c r="AA166" i="1" s="1"/>
  <c r="AA167" i="1" s="1"/>
  <c r="AA176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K240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H153" i="1"/>
  <c r="CJ240" i="1"/>
  <c r="Z240" i="1"/>
  <c r="AA169" i="1" l="1"/>
  <c r="AA110" i="1" s="1"/>
  <c r="AA187" i="1"/>
  <c r="AA17" i="1"/>
  <c r="AA28" i="1"/>
  <c r="CI240" i="1"/>
  <c r="CG137" i="1"/>
  <c r="CG240" i="1"/>
  <c r="CH240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60" i="1"/>
  <c r="AC160" i="1"/>
  <c r="AD160" i="1"/>
  <c r="AE160" i="1"/>
  <c r="AB174" i="1"/>
  <c r="AC174" i="1"/>
  <c r="AD174" i="1"/>
  <c r="AE174" i="1"/>
  <c r="CE137" i="1"/>
  <c r="CE240" i="1"/>
  <c r="CF240" i="1"/>
  <c r="AI198" i="1"/>
  <c r="AI203" i="1"/>
  <c r="AI207" i="1"/>
  <c r="AI210" i="1"/>
  <c r="AI240" i="1"/>
  <c r="Y240" i="1"/>
  <c r="AM137" i="1"/>
  <c r="AO137" i="1"/>
  <c r="AQ137" i="1"/>
  <c r="AS137" i="1"/>
  <c r="AU137" i="1"/>
  <c r="AW137" i="1"/>
  <c r="AY137" i="1"/>
  <c r="BA137" i="1"/>
  <c r="BC137" i="1"/>
  <c r="BE137" i="1"/>
  <c r="BG137" i="1"/>
  <c r="BI137" i="1"/>
  <c r="BK137" i="1"/>
  <c r="BM137" i="1"/>
  <c r="BO137" i="1"/>
  <c r="BQ137" i="1"/>
  <c r="BS137" i="1"/>
  <c r="BU137" i="1"/>
  <c r="BW137" i="1"/>
  <c r="BY137" i="1"/>
  <c r="CA137" i="1"/>
  <c r="CC137" i="1"/>
  <c r="CD240" i="1"/>
  <c r="CC240" i="1"/>
  <c r="AJ240" i="1"/>
  <c r="AK240" i="1"/>
  <c r="AL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3" i="1"/>
  <c r="AA234" i="1" s="1"/>
  <c r="AA113" i="1"/>
  <c r="Y1" i="1"/>
  <c r="Z1" i="1" s="1"/>
  <c r="AA38" i="1" l="1"/>
  <c r="AA56" i="1"/>
  <c r="AA1" i="1"/>
  <c r="AB1" i="1" s="1"/>
  <c r="AC1" i="1" s="1"/>
  <c r="AD1" i="1" s="1"/>
  <c r="AE1" i="1" s="1"/>
  <c r="AA40" i="1" l="1"/>
  <c r="AA41" i="1"/>
  <c r="A1" i="3"/>
  <c r="AA42" i="1" l="1"/>
  <c r="AA246" i="1" s="1"/>
  <c r="AA48" i="1"/>
  <c r="AA235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J22" i="3"/>
  <c r="BT31" i="3"/>
  <c r="BP34" i="3"/>
  <c r="BE37" i="3"/>
  <c r="BN13" i="3"/>
  <c r="BL30" i="3"/>
  <c r="BK7" i="3"/>
  <c r="BK23" i="3"/>
  <c r="BE40" i="3"/>
  <c r="BL13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R39" i="3"/>
  <c r="BE41" i="3"/>
  <c r="BK25" i="3"/>
  <c r="BK12" i="3"/>
  <c r="BF7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J14" i="3"/>
  <c r="BN28" i="3"/>
  <c r="BT37" i="3"/>
  <c r="BP40" i="3"/>
  <c r="BK38" i="3"/>
  <c r="BJ15" i="3"/>
  <c r="BH32" i="3"/>
  <c r="BG9" i="3"/>
  <c r="BG25" i="3"/>
  <c r="BM40" i="3"/>
  <c r="BN16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Z52" i="2"/>
  <c r="FA15" i="4" a="1"/>
  <c r="FD5" i="4" a="1"/>
  <c r="EY5" i="4" a="1"/>
  <c r="BR33" i="3"/>
  <c r="BT12" i="3"/>
  <c r="BG22" i="3"/>
  <c r="BL32" i="3"/>
  <c r="BN8" i="3"/>
  <c r="BP8" i="3"/>
  <c r="BG33" i="3"/>
  <c r="Y60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N20" i="3"/>
  <c r="BH35" i="3"/>
  <c r="BT45" i="3"/>
  <c r="BG40" i="3"/>
  <c r="BF17" i="3"/>
  <c r="CL21" i="1" s="1"/>
  <c r="BN33" i="3"/>
  <c r="BM10" i="3"/>
  <c r="BI26" i="3"/>
  <c r="BI42" i="3"/>
  <c r="BH2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BA25" i="3"/>
  <c r="BB28" i="3"/>
  <c r="Z43" i="2"/>
  <c r="Y29" i="2"/>
  <c r="Y97" i="2"/>
  <c r="FA8" i="4" a="1"/>
  <c r="EZ11" i="4" a="1"/>
  <c r="FE8" i="4" a="1"/>
  <c r="FB12" i="4" a="1"/>
  <c r="FB6" i="4" a="1"/>
  <c r="FC13" i="4" a="1"/>
  <c r="FF7" i="4" a="1"/>
  <c r="FE11" i="4" a="1"/>
  <c r="FE12" i="4" a="1"/>
  <c r="BO5" i="3"/>
  <c r="BT17" i="3"/>
  <c r="BF23" i="3"/>
  <c r="CL35" i="1" s="1"/>
  <c r="BG5" i="3"/>
  <c r="BP33" i="3"/>
  <c r="BJ13" i="3"/>
  <c r="Y26" i="2"/>
  <c r="BA19" i="3"/>
  <c r="Y50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A6" i="4" a="1"/>
  <c r="FD11" i="4" a="1"/>
  <c r="EZ6" i="4" a="1"/>
  <c r="BR21" i="3"/>
  <c r="BO35" i="3"/>
  <c r="BE31" i="3"/>
  <c r="AA110" i="2"/>
  <c r="Z9" i="2"/>
  <c r="BB22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I27" i="3"/>
  <c r="BG42" i="3"/>
  <c r="BJ19" i="3"/>
  <c r="BH36" i="3"/>
  <c r="BM12" i="3"/>
  <c r="BM28" i="3"/>
  <c r="BH13" i="3"/>
  <c r="BJ34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FA14" i="4" a="1"/>
  <c r="Y56" i="2"/>
  <c r="BB42" i="3"/>
  <c r="BC30" i="3"/>
  <c r="BB10" i="3"/>
  <c r="Z51" i="2"/>
  <c r="Y110" i="2"/>
  <c r="BB11" i="3"/>
  <c r="FC5" i="4" a="1"/>
  <c r="EX8" i="4" a="1"/>
  <c r="BR27" i="3"/>
  <c r="BM7" i="3"/>
  <c r="BE35" i="3"/>
  <c r="BG13" i="3"/>
  <c r="BH33" i="3"/>
  <c r="BN23" i="3"/>
  <c r="Z89" i="2"/>
  <c r="Y49" i="2"/>
  <c r="AA6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62" i="3" s="1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BB26" i="3"/>
  <c r="Z32" i="2"/>
  <c r="Z34" i="2"/>
  <c r="BB39" i="3"/>
  <c r="Y89" i="2"/>
  <c r="BO29" i="3"/>
  <c r="BF14" i="3"/>
  <c r="CL23" i="1" s="1"/>
  <c r="BL17" i="3"/>
  <c r="BH29" i="3"/>
  <c r="Y6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2" i="1" s="1"/>
  <c r="BJ12" i="3"/>
  <c r="BL31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FB5" i="4" a="1"/>
  <c r="BO17" i="3"/>
  <c r="BL40" i="3"/>
  <c r="AA90" i="2"/>
  <c r="BB9" i="3"/>
  <c r="Z110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O11" i="3"/>
  <c r="BO23" i="3"/>
  <c r="BP36" i="3"/>
  <c r="BF18" i="3"/>
  <c r="CL25" i="1" s="1"/>
  <c r="BP45" i="3"/>
  <c r="BI17" i="3"/>
  <c r="BK33" i="3"/>
  <c r="BH19" i="3"/>
  <c r="BP6" i="3"/>
  <c r="BM16" i="3"/>
  <c r="BB20" i="3"/>
  <c r="Z53" i="2"/>
  <c r="AA41" i="2"/>
  <c r="BQ9" i="3"/>
  <c r="BQ27" i="3"/>
  <c r="BQ56" i="3"/>
  <c r="BT41" i="3"/>
  <c r="BJ25" i="3"/>
  <c r="BJ24" i="3"/>
  <c r="BV27" i="3"/>
  <c r="BS5" i="3"/>
  <c r="BS23" i="3"/>
  <c r="BT21" i="3"/>
  <c r="BF27" i="3"/>
  <c r="EX15" i="4" a="1"/>
  <c r="BU9" i="3"/>
  <c r="BU27" i="3"/>
  <c r="BQ62" i="3"/>
  <c r="BU66" i="3"/>
  <c r="BL26" i="3"/>
  <c r="BJ32" i="3"/>
  <c r="BR28" i="3"/>
  <c r="BO6" i="3"/>
  <c r="BO24" i="3"/>
  <c r="BT27" i="3"/>
  <c r="BF29" i="3"/>
  <c r="CL39" i="1" s="1"/>
  <c r="BN30" i="3"/>
  <c r="BP29" i="3"/>
  <c r="BG18" i="3"/>
  <c r="BL16" i="3"/>
  <c r="BM36" i="3"/>
  <c r="BJ36" i="3"/>
  <c r="BT13" i="3"/>
  <c r="BN9" i="3"/>
  <c r="BK19" i="3"/>
  <c r="AA72" i="2"/>
  <c r="AA93" i="2"/>
  <c r="BA9" i="3"/>
  <c r="Y42" i="2"/>
  <c r="Y98" i="2"/>
  <c r="BC19" i="3"/>
  <c r="BA35" i="3"/>
  <c r="Z10" i="2"/>
  <c r="Y77" i="2"/>
  <c r="BB33" i="3"/>
  <c r="Z84" i="2"/>
  <c r="AA43" i="2"/>
  <c r="BA46" i="3"/>
  <c r="Z7" i="2"/>
  <c r="FE5" i="4" a="1"/>
  <c r="FA12" i="4" a="1"/>
  <c r="EX7" i="4" a="1"/>
  <c r="FD9" i="4" a="1"/>
  <c r="Y84" i="2"/>
  <c r="BC21" i="3"/>
  <c r="Z87" i="2"/>
  <c r="BD14" i="3"/>
  <c r="Z41" i="2"/>
  <c r="FD8" i="4" a="1"/>
  <c r="FA9" i="4" a="1"/>
  <c r="FE13" i="4" a="1"/>
  <c r="EZ12" i="4" a="1"/>
  <c r="FD13" i="4" a="1"/>
  <c r="AA69" i="2"/>
  <c r="FF16" i="4" a="1"/>
  <c r="FB9" i="4" a="1"/>
  <c r="FE16" i="4" a="1"/>
  <c r="Y10" i="2"/>
  <c r="Z19" i="2"/>
  <c r="Z57" i="2"/>
  <c r="BB6" i="3"/>
  <c r="EY7" i="4" a="1"/>
  <c r="BE20" i="3"/>
  <c r="BM17" i="3"/>
  <c r="Z40" i="2"/>
  <c r="FD14" i="4" a="1"/>
  <c r="EZ9" i="4" a="1"/>
  <c r="BQ10" i="3"/>
  <c r="BQ28" i="3"/>
  <c r="BR5" i="3"/>
  <c r="BT6" i="3"/>
  <c r="BH28" i="3"/>
  <c r="BN38" i="3"/>
  <c r="BV28" i="3"/>
  <c r="BS6" i="3"/>
  <c r="BS24" i="3"/>
  <c r="BT33" i="3"/>
  <c r="BF31" i="3"/>
  <c r="BH37" i="3"/>
  <c r="BP7" i="3"/>
  <c r="BK18" i="3"/>
  <c r="BH18" i="3"/>
  <c r="BM38" i="3"/>
  <c r="BF38" i="3"/>
  <c r="BT19" i="3"/>
  <c r="BJ11" i="3"/>
  <c r="BG21" i="3"/>
  <c r="AA77" i="2"/>
  <c r="Y32" i="2"/>
  <c r="BB25" i="3"/>
  <c r="Y44" i="2"/>
  <c r="Z79" i="2"/>
  <c r="BC14" i="3"/>
  <c r="BC45" i="3"/>
  <c r="C5" i="2"/>
  <c r="Z71" i="2"/>
  <c r="FC9" i="4" a="1"/>
  <c r="Y41" i="2"/>
  <c r="FB16" i="4" a="1"/>
  <c r="BD27" i="3"/>
  <c r="BD23" i="3"/>
  <c r="FE7" i="4" a="1"/>
  <c r="BO39" i="3"/>
  <c r="BV21" i="3"/>
  <c r="AA96" i="2"/>
  <c r="BC22" i="3"/>
  <c r="Z97" i="2"/>
  <c r="FD15" i="4" a="1"/>
  <c r="BQ22" i="3"/>
  <c r="BG31" i="3"/>
  <c r="BV22" i="3"/>
  <c r="BS18" i="3"/>
  <c r="BN7" i="3"/>
  <c r="BH45" i="3"/>
  <c r="Y45" i="2"/>
  <c r="Y59" i="2"/>
  <c r="FB8" i="4" a="1"/>
  <c r="BU22" i="3"/>
  <c r="BR41" i="3"/>
  <c r="BJ9" i="3"/>
  <c r="BK40" i="3"/>
  <c r="BM35" i="3"/>
  <c r="AA29" i="2"/>
  <c r="Z98" i="2"/>
  <c r="Y70" i="2"/>
  <c r="BN34" i="3"/>
  <c r="AA53" i="2"/>
  <c r="AA11" i="2"/>
  <c r="AA23" i="2"/>
  <c r="FD12" i="4" a="1"/>
  <c r="BU10" i="3"/>
  <c r="BU28" i="3"/>
  <c r="BV5" i="3"/>
  <c r="BT14" i="3"/>
  <c r="BH30" i="3"/>
  <c r="BF46" i="3"/>
  <c r="CL65" i="1" s="1"/>
  <c r="BR29" i="3"/>
  <c r="BO7" i="3"/>
  <c r="BO25" i="3"/>
  <c r="BT39" i="3"/>
  <c r="BF33" i="3"/>
  <c r="BN46" i="3"/>
  <c r="BP23" i="3"/>
  <c r="BE19" i="3"/>
  <c r="BH20" i="3"/>
  <c r="BI40" i="3"/>
  <c r="BL39" i="3"/>
  <c r="BT25" i="3"/>
  <c r="BF13" i="3"/>
  <c r="BE22" i="3"/>
  <c r="Y28" i="2"/>
  <c r="Z13" i="2"/>
  <c r="BB30" i="3"/>
  <c r="AA66" i="2"/>
  <c r="Z61" i="2"/>
  <c r="BD6" i="3"/>
  <c r="AA16" i="2"/>
  <c r="Y11" i="2"/>
  <c r="Y81" i="2"/>
  <c r="BD7" i="3"/>
  <c r="Y86" i="2"/>
  <c r="AA67" i="2"/>
  <c r="BB36" i="3"/>
  <c r="FB7" i="4" a="1"/>
  <c r="BA38" i="3"/>
  <c r="BD20" i="3"/>
  <c r="EY8" i="4" a="1"/>
  <c r="EX11" i="4" a="1"/>
  <c r="AA71" i="2"/>
  <c r="Y69" i="2"/>
  <c r="BB29" i="3"/>
  <c r="BQ39" i="3"/>
  <c r="BV39" i="3"/>
  <c r="BK27" i="3"/>
  <c r="BM14" i="3"/>
  <c r="BF24" i="3"/>
  <c r="BH42" i="3"/>
  <c r="AA44" i="2"/>
  <c r="BA30" i="3"/>
  <c r="FC11" i="4" a="1"/>
  <c r="BA31" i="3"/>
  <c r="Z75" i="2"/>
  <c r="BN18" i="3"/>
  <c r="Z25" i="2"/>
  <c r="BD19" i="3"/>
  <c r="Y7" i="2"/>
  <c r="BC24" i="3"/>
  <c r="BR23" i="3"/>
  <c r="BP15" i="3"/>
  <c r="BH7" i="3"/>
  <c r="Y107" i="2"/>
  <c r="FC8" i="4" a="1"/>
  <c r="BG35" i="3"/>
  <c r="BC25" i="3"/>
  <c r="Z24" i="2"/>
  <c r="BQ15" i="3"/>
  <c r="BQ33" i="3"/>
  <c r="BR10" i="3"/>
  <c r="BK26" i="3"/>
  <c r="BG7" i="3"/>
  <c r="BV15" i="3"/>
  <c r="BV33" i="3"/>
  <c r="BS11" i="3"/>
  <c r="BS29" i="3"/>
  <c r="BP42" i="3"/>
  <c r="BM6" i="3"/>
  <c r="BT16" i="3"/>
  <c r="BG8" i="3"/>
  <c r="BK22" i="3"/>
  <c r="BH34" i="3"/>
  <c r="BH15" i="3"/>
  <c r="BL25" i="3"/>
  <c r="BP14" i="3"/>
  <c r="BF25" i="3"/>
  <c r="CL36" i="1" s="1"/>
  <c r="BI34" i="3"/>
  <c r="Y14" i="2"/>
  <c r="AA68" i="2"/>
  <c r="BD42" i="3"/>
  <c r="BC11" i="3"/>
  <c r="Z14" i="2"/>
  <c r="Z91" i="2"/>
  <c r="BA32" i="3"/>
  <c r="Y16" i="2"/>
  <c r="Z46" i="2"/>
  <c r="Z99" i="2"/>
  <c r="BB12" i="3"/>
  <c r="Y66" i="2"/>
  <c r="FA11" i="4" a="1"/>
  <c r="EY6" i="4" a="1"/>
  <c r="BD34" i="3"/>
  <c r="EY9" i="4" a="1"/>
  <c r="BD33" i="3"/>
  <c r="BB8" i="3"/>
  <c r="Z60" i="2"/>
  <c r="FB14" i="4" a="1"/>
  <c r="Z55" i="2"/>
  <c r="AA5" i="2"/>
  <c r="AA83" i="2"/>
  <c r="BS41" i="3"/>
  <c r="Y78" i="2"/>
  <c r="BG14" i="3"/>
  <c r="Y62" i="2"/>
  <c r="BC31" i="3"/>
  <c r="BP13" i="3"/>
  <c r="BT9" i="3"/>
  <c r="BE18" i="3"/>
  <c r="AA95" i="2"/>
  <c r="BU15" i="3"/>
  <c r="BU33" i="3"/>
  <c r="BV10" i="3"/>
  <c r="BG28" i="3"/>
  <c r="BM8" i="3"/>
  <c r="BR16" i="3"/>
  <c r="BR34" i="3"/>
  <c r="BO12" i="3"/>
  <c r="BO30" i="3"/>
  <c r="BP57" i="3"/>
  <c r="BI8" i="3"/>
  <c r="BT20" i="3"/>
  <c r="BK8" i="3"/>
  <c r="BE23" i="3"/>
  <c r="BN35" i="3"/>
  <c r="BL21" i="3"/>
  <c r="BF32" i="3"/>
  <c r="BP20" i="3"/>
  <c r="BH26" i="3"/>
  <c r="BK35" i="3"/>
  <c r="AA55" i="2"/>
  <c r="Y68" i="2"/>
  <c r="BD32" i="3"/>
  <c r="BA22" i="3"/>
  <c r="AA36" i="2"/>
  <c r="Y15" i="2"/>
  <c r="BA37" i="3"/>
  <c r="AA108" i="2"/>
  <c r="Z90" i="2"/>
  <c r="AA60" i="2"/>
  <c r="BC9" i="3"/>
  <c r="BA13" i="3"/>
  <c r="Z28" i="2"/>
  <c r="BO36" i="3"/>
  <c r="BE13" i="3"/>
  <c r="BL15" i="3"/>
  <c r="BL35" i="3"/>
  <c r="AA62" i="2"/>
  <c r="BA42" i="3"/>
  <c r="Y93" i="2"/>
  <c r="AA57" i="2"/>
  <c r="Z96" i="2"/>
  <c r="BA41" i="3"/>
  <c r="BV40" i="3"/>
  <c r="BM30" i="3"/>
  <c r="BP37" i="3"/>
  <c r="BM39" i="3"/>
  <c r="BK34" i="3"/>
  <c r="BB17" i="3"/>
  <c r="Z44" i="2"/>
  <c r="EZ15" i="4" a="1"/>
  <c r="BU40" i="3"/>
  <c r="BM32" i="3"/>
  <c r="BO19" i="3"/>
  <c r="BS39" i="3"/>
  <c r="BJ20" i="3"/>
  <c r="BI6" i="3"/>
  <c r="AA104" i="2"/>
  <c r="AA107" i="2"/>
  <c r="EZ7" i="4" a="1"/>
  <c r="BA14" i="3"/>
  <c r="BQ16" i="3"/>
  <c r="BQ34" i="3"/>
  <c r="BR11" i="3"/>
  <c r="BM29" i="3"/>
  <c r="BI10" i="3"/>
  <c r="BV16" i="3"/>
  <c r="BV34" i="3"/>
  <c r="BS12" i="3"/>
  <c r="BS30" i="3"/>
  <c r="BG26" i="3"/>
  <c r="BK9" i="3"/>
  <c r="BT24" i="3"/>
  <c r="BE9" i="3"/>
  <c r="BI23" i="3"/>
  <c r="BN37" i="3"/>
  <c r="BL29" i="3"/>
  <c r="BJ38" i="3"/>
  <c r="BP26" i="3"/>
  <c r="BJ27" i="3"/>
  <c r="BG37" i="3"/>
  <c r="Y13" i="2"/>
  <c r="AA8" i="2"/>
  <c r="BB14" i="3"/>
  <c r="AA52" i="2"/>
  <c r="BN5" i="3"/>
  <c r="FA5" i="4" a="1"/>
  <c r="Z47" i="2"/>
  <c r="AA31" i="2"/>
  <c r="BB34" i="3"/>
  <c r="FE9" i="4" a="1"/>
  <c r="BQ40" i="3"/>
  <c r="BS38" i="3"/>
  <c r="BC35" i="3"/>
  <c r="BS42" i="3"/>
  <c r="BI32" i="3"/>
  <c r="BA27" i="3"/>
  <c r="EX12" i="4" a="1"/>
  <c r="BF15" i="3"/>
  <c r="CL24" i="1" s="1"/>
  <c r="BD11" i="3"/>
  <c r="Z56" i="2"/>
  <c r="BU16" i="3"/>
  <c r="BU34" i="3"/>
  <c r="BV11" i="3"/>
  <c r="BM31" i="3"/>
  <c r="BE12" i="3"/>
  <c r="BR17" i="3"/>
  <c r="BR35" i="3"/>
  <c r="BO13" i="3"/>
  <c r="BO31" i="3"/>
  <c r="BM27" i="3"/>
  <c r="BI12" i="3"/>
  <c r="BT28" i="3"/>
  <c r="BI9" i="3"/>
  <c r="BM23" i="3"/>
  <c r="BJ39" i="3"/>
  <c r="BF36" i="3"/>
  <c r="BE46" i="3"/>
  <c r="BP28" i="3"/>
  <c r="BL28" i="3"/>
  <c r="BI38" i="3"/>
  <c r="Y83" i="2"/>
  <c r="C4" i="2"/>
  <c r="BA45" i="3"/>
  <c r="BC12" i="3"/>
  <c r="AA30" i="2"/>
  <c r="AA58" i="2"/>
  <c r="BA40" i="3"/>
  <c r="Z23" i="2"/>
  <c r="AA64" i="2"/>
  <c r="AA34" i="2"/>
  <c r="AA27" i="2"/>
  <c r="BB35" i="3"/>
  <c r="Z26" i="2"/>
  <c r="Y40" i="2"/>
  <c r="BB40" i="3"/>
  <c r="EZ14" i="4" a="1"/>
  <c r="EZ16" i="4" a="1"/>
  <c r="FA13" i="4" a="1"/>
  <c r="BQ21" i="3"/>
  <c r="BG27" i="3"/>
  <c r="BS17" i="3"/>
  <c r="BE45" i="3"/>
  <c r="BP41" i="3"/>
  <c r="BK36" i="3"/>
  <c r="BG32" i="3"/>
  <c r="AY29" i="3"/>
  <c r="AA91" i="2"/>
  <c r="Z15" i="2"/>
  <c r="AA84" i="2"/>
  <c r="AA21" i="2"/>
  <c r="BA21" i="3"/>
  <c r="FE6" i="4" a="1"/>
  <c r="Z109" i="2"/>
  <c r="BM13" i="3"/>
  <c r="BL9" i="3"/>
  <c r="BK5" i="3"/>
  <c r="Y72" i="2"/>
  <c r="Z18" i="2"/>
  <c r="BD28" i="3"/>
  <c r="AA25" i="2"/>
  <c r="EZ13" i="4" a="1"/>
  <c r="BL10" i="3"/>
  <c r="Y88" i="2"/>
  <c r="BA15" i="3"/>
  <c r="BD45" i="3"/>
  <c r="AA22" i="2"/>
  <c r="BU21" i="3"/>
  <c r="BU39" i="3"/>
  <c r="BS40" i="3"/>
  <c r="BJ7" i="3"/>
  <c r="BK29" i="3"/>
  <c r="BR22" i="3"/>
  <c r="BR40" i="3"/>
  <c r="BO18" i="3"/>
  <c r="BO37" i="3"/>
  <c r="BH6" i="3"/>
  <c r="BG29" i="3"/>
  <c r="BP21" i="3"/>
  <c r="BI13" i="3"/>
  <c r="BG38" i="3"/>
  <c r="BI16" i="3"/>
  <c r="BH17" i="3"/>
  <c r="BN36" i="3"/>
  <c r="BI33" i="3"/>
  <c r="BF45" i="3"/>
  <c r="CL64" i="1" s="1"/>
  <c r="BJ40" i="3"/>
  <c r="AA24" i="2"/>
  <c r="Z68" i="2"/>
  <c r="BA12" i="3"/>
  <c r="BD40" i="3"/>
  <c r="EZ5" i="4" a="1"/>
  <c r="BF9" i="3"/>
  <c r="BI18" i="3"/>
  <c r="AA19" i="2"/>
  <c r="BF16" i="3"/>
  <c r="CL20" i="1" s="1"/>
  <c r="BD18" i="3"/>
  <c r="AA87" i="2"/>
  <c r="AA97" i="2"/>
  <c r="FF13" i="4" a="1"/>
  <c r="BF26" i="3"/>
  <c r="BL8" i="3"/>
  <c r="Y24" i="2"/>
  <c r="Z35" i="2"/>
  <c r="BP50" i="3"/>
  <c r="BP60" i="3"/>
  <c r="BK78" i="3"/>
  <c r="CL9" i="1" l="1"/>
  <c r="CL47" i="1"/>
  <c r="AA53" i="1"/>
  <c r="AA55" i="1"/>
  <c r="AA194" i="1"/>
  <c r="AA196" i="1" s="1"/>
  <c r="CL10" i="1"/>
  <c r="CL232" i="1"/>
  <c r="CL254" i="1"/>
  <c r="CL195" i="1"/>
  <c r="CL253" i="1"/>
  <c r="BK84" i="3"/>
  <c r="BK70" i="3"/>
  <c r="CL66" i="1"/>
  <c r="CL26" i="1"/>
  <c r="CL27" i="1" s="1"/>
  <c r="CK64" i="1"/>
  <c r="CK65" i="1"/>
  <c r="CK14" i="1"/>
  <c r="CK35" i="1"/>
  <c r="CK25" i="1"/>
  <c r="CK9" i="1"/>
  <c r="CK47" i="1"/>
  <c r="CK21" i="1"/>
  <c r="CH47" i="1"/>
  <c r="CI47" i="1"/>
  <c r="CJ47" i="1"/>
  <c r="CK39" i="1"/>
  <c r="CK13" i="1"/>
  <c r="CK46" i="1"/>
  <c r="CK22" i="1"/>
  <c r="CK32" i="1"/>
  <c r="CK8" i="1"/>
  <c r="CK10" i="1" s="1"/>
  <c r="CL12" i="1" s="1"/>
  <c r="CK15" i="1"/>
  <c r="CK36" i="1"/>
  <c r="CK24" i="1"/>
  <c r="CK20" i="1"/>
  <c r="CK52" i="1"/>
  <c r="CK23" i="1"/>
  <c r="CK45" i="1"/>
  <c r="CK66" i="1"/>
  <c r="Z47" i="1"/>
  <c r="CH45" i="1"/>
  <c r="CH15" i="1"/>
  <c r="X127" i="1"/>
  <c r="X155" i="1" s="1"/>
  <c r="Z123" i="1"/>
  <c r="CH123" i="1" s="1"/>
  <c r="CI123" i="1" s="1"/>
  <c r="Z23" i="1"/>
  <c r="Z156" i="1"/>
  <c r="CH156" i="1" s="1"/>
  <c r="CH39" i="1"/>
  <c r="CJ45" i="1"/>
  <c r="CJ9" i="1"/>
  <c r="X68" i="1"/>
  <c r="Y119" i="1"/>
  <c r="X47" i="1"/>
  <c r="Y21" i="1"/>
  <c r="X133" i="1"/>
  <c r="X118" i="1"/>
  <c r="Y118" i="1"/>
  <c r="Y9" i="1"/>
  <c r="Z172" i="1"/>
  <c r="Z79" i="1"/>
  <c r="Y151" i="1"/>
  <c r="Y133" i="1"/>
  <c r="X154" i="1"/>
  <c r="Y120" i="1"/>
  <c r="Y173" i="1"/>
  <c r="CI46" i="1"/>
  <c r="Y161" i="1"/>
  <c r="Z160" i="1"/>
  <c r="CH160" i="1" s="1"/>
  <c r="X25" i="1"/>
  <c r="CH32" i="1"/>
  <c r="CH195" i="1" s="1"/>
  <c r="CJ23" i="1"/>
  <c r="CJ24" i="1"/>
  <c r="CH35" i="1"/>
  <c r="CG36" i="1"/>
  <c r="X147" i="1"/>
  <c r="Y128" i="1"/>
  <c r="X79" i="1"/>
  <c r="Z36" i="1"/>
  <c r="Z165" i="1"/>
  <c r="CH165" i="1" s="1"/>
  <c r="CI165" i="1" s="1"/>
  <c r="X172" i="1"/>
  <c r="Y46" i="1"/>
  <c r="Z164" i="1"/>
  <c r="CH164" i="1" s="1"/>
  <c r="CI164" i="1" s="1"/>
  <c r="Y152" i="1"/>
  <c r="X152" i="1"/>
  <c r="X32" i="1"/>
  <c r="X195" i="1" s="1"/>
  <c r="Z138" i="1"/>
  <c r="CH138" i="1" s="1"/>
  <c r="CI138" i="1" s="1"/>
  <c r="CH13" i="1"/>
  <c r="CG25" i="1"/>
  <c r="CJ21" i="1"/>
  <c r="Y32" i="1"/>
  <c r="Y195" i="1" s="1"/>
  <c r="Y141" i="1"/>
  <c r="Z120" i="1"/>
  <c r="CH120" i="1" s="1"/>
  <c r="CJ14" i="1"/>
  <c r="CG45" i="1"/>
  <c r="CG35" i="1"/>
  <c r="CI8" i="1"/>
  <c r="CG13" i="1"/>
  <c r="CG22" i="1"/>
  <c r="CH46" i="1"/>
  <c r="CH8" i="1"/>
  <c r="CH52" i="1"/>
  <c r="CG15" i="1"/>
  <c r="CJ36" i="1"/>
  <c r="CI45" i="1"/>
  <c r="CJ20" i="1"/>
  <c r="CN20" i="1" s="1"/>
  <c r="CR20" i="1" s="1"/>
  <c r="CV20" i="1" s="1"/>
  <c r="CZ20" i="1" s="1"/>
  <c r="X136" i="1"/>
  <c r="X132" i="1" s="1"/>
  <c r="Y127" i="1"/>
  <c r="Y155" i="1" s="1"/>
  <c r="Z35" i="1"/>
  <c r="Y45" i="1"/>
  <c r="X138" i="1"/>
  <c r="Y165" i="1"/>
  <c r="X9" i="1"/>
  <c r="X173" i="1"/>
  <c r="Z32" i="1"/>
  <c r="X128" i="1"/>
  <c r="X126" i="1"/>
  <c r="CI35" i="1"/>
  <c r="CH14" i="1"/>
  <c r="CI22" i="1"/>
  <c r="CJ65" i="1"/>
  <c r="CI65" i="1" s="1"/>
  <c r="CH65" i="1" s="1"/>
  <c r="CG65" i="1" s="1"/>
  <c r="CF65" i="1" s="1"/>
  <c r="CE65" i="1" s="1"/>
  <c r="CD65" i="1" s="1"/>
  <c r="CC65" i="1" s="1"/>
  <c r="CB65" i="1" s="1"/>
  <c r="CA65" i="1" s="1"/>
  <c r="BZ65" i="1" s="1"/>
  <c r="BY65" i="1" s="1"/>
  <c r="BX65" i="1" s="1"/>
  <c r="BW65" i="1" s="1"/>
  <c r="BV65" i="1" s="1"/>
  <c r="BU65" i="1" s="1"/>
  <c r="BT65" i="1" s="1"/>
  <c r="BS65" i="1" s="1"/>
  <c r="BR65" i="1" s="1"/>
  <c r="BQ65" i="1" s="1"/>
  <c r="BP65" i="1" s="1"/>
  <c r="BO65" i="1" s="1"/>
  <c r="BN65" i="1" s="1"/>
  <c r="BM65" i="1" s="1"/>
  <c r="BL65" i="1" s="1"/>
  <c r="BK65" i="1" s="1"/>
  <c r="BJ65" i="1" s="1"/>
  <c r="BI65" i="1" s="1"/>
  <c r="BH65" i="1" s="1"/>
  <c r="BG65" i="1" s="1"/>
  <c r="BF65" i="1" s="1"/>
  <c r="BE65" i="1" s="1"/>
  <c r="BD65" i="1" s="1"/>
  <c r="BC65" i="1" s="1"/>
  <c r="BB65" i="1" s="1"/>
  <c r="BA65" i="1" s="1"/>
  <c r="AZ65" i="1" s="1"/>
  <c r="AY65" i="1" s="1"/>
  <c r="AX65" i="1" s="1"/>
  <c r="AW65" i="1" s="1"/>
  <c r="AV65" i="1" s="1"/>
  <c r="AU65" i="1" s="1"/>
  <c r="AT65" i="1" s="1"/>
  <c r="AS65" i="1" s="1"/>
  <c r="AR65" i="1" s="1"/>
  <c r="AQ65" i="1" s="1"/>
  <c r="AP65" i="1" s="1"/>
  <c r="AO65" i="1" s="1"/>
  <c r="AN65" i="1" s="1"/>
  <c r="AM65" i="1" s="1"/>
  <c r="AL65" i="1" s="1"/>
  <c r="AK65" i="1" s="1"/>
  <c r="AJ65" i="1" s="1"/>
  <c r="AI65" i="1" s="1"/>
  <c r="CG23" i="1"/>
  <c r="CJ32" i="1"/>
  <c r="CG14" i="1"/>
  <c r="Z46" i="1"/>
  <c r="Z152" i="1"/>
  <c r="CH152" i="1" s="1"/>
  <c r="X39" i="1"/>
  <c r="Z45" i="1"/>
  <c r="X146" i="1"/>
  <c r="Y123" i="1"/>
  <c r="X156" i="1"/>
  <c r="Z24" i="1"/>
  <c r="X123" i="1"/>
  <c r="Z134" i="1"/>
  <c r="CH134" i="1" s="1"/>
  <c r="CI134" i="1" s="1"/>
  <c r="Z141" i="1"/>
  <c r="Z15" i="1"/>
  <c r="X13" i="1"/>
  <c r="Y78" i="1"/>
  <c r="Y171" i="1"/>
  <c r="Z171" i="1"/>
  <c r="X125" i="1"/>
  <c r="Y52" i="1"/>
  <c r="Y25" i="1"/>
  <c r="Y160" i="1"/>
  <c r="Z119" i="1"/>
  <c r="CH119" i="1" s="1"/>
  <c r="CI119" i="1" s="1"/>
  <c r="Y35" i="1"/>
  <c r="Y156" i="1"/>
  <c r="Z80" i="1"/>
  <c r="Z144" i="1"/>
  <c r="Z128" i="1"/>
  <c r="CH128" i="1" s="1"/>
  <c r="CI128" i="1" s="1"/>
  <c r="Y144" i="1"/>
  <c r="Y8" i="1"/>
  <c r="CG46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H25" i="1"/>
  <c r="CH22" i="1"/>
  <c r="CJ46" i="1"/>
  <c r="CG32" i="1"/>
  <c r="CI52" i="1"/>
  <c r="CI39" i="1"/>
  <c r="CG52" i="1"/>
  <c r="CH23" i="1"/>
  <c r="CJ8" i="1"/>
  <c r="CI23" i="1"/>
  <c r="CJ15" i="1"/>
  <c r="CJ13" i="1"/>
  <c r="CG8" i="1"/>
  <c r="CG232" i="1" s="1"/>
  <c r="CI21" i="1"/>
  <c r="CH20" i="1"/>
  <c r="CP20" i="1" s="1"/>
  <c r="CT20" i="1" s="1"/>
  <c r="CX20" i="1" s="1"/>
  <c r="DB20" i="1" s="1"/>
  <c r="CI32" i="1"/>
  <c r="CI195" i="1" s="1"/>
  <c r="CG24" i="1"/>
  <c r="X161" i="1"/>
  <c r="Y137" i="1"/>
  <c r="Y23" i="1"/>
  <c r="Z118" i="1"/>
  <c r="X36" i="1"/>
  <c r="Y136" i="1"/>
  <c r="Y132" i="1" s="1"/>
  <c r="Y47" i="1"/>
  <c r="Y15" i="1"/>
  <c r="X141" i="1"/>
  <c r="Y22" i="1"/>
  <c r="X23" i="1"/>
  <c r="X150" i="1"/>
  <c r="X78" i="1"/>
  <c r="Y148" i="1"/>
  <c r="Y172" i="1"/>
  <c r="Z145" i="1"/>
  <c r="Z133" i="1"/>
  <c r="CH133" i="1" s="1"/>
  <c r="Y147" i="1"/>
  <c r="Z13" i="1"/>
  <c r="Z8" i="1"/>
  <c r="Y146" i="1"/>
  <c r="Z52" i="1"/>
  <c r="Z150" i="1"/>
  <c r="CH150" i="1" s="1"/>
  <c r="Z136" i="1"/>
  <c r="Y13" i="1"/>
  <c r="Y164" i="1"/>
  <c r="X46" i="1"/>
  <c r="X148" i="1"/>
  <c r="Z147" i="1"/>
  <c r="CH147" i="1" s="1"/>
  <c r="Z39" i="1"/>
  <c r="Y20" i="1"/>
  <c r="X164" i="1"/>
  <c r="Z126" i="1"/>
  <c r="CH126" i="1" s="1"/>
  <c r="CI126" i="1" s="1"/>
  <c r="X80" i="1"/>
  <c r="X22" i="1"/>
  <c r="X119" i="1"/>
  <c r="Y68" i="1"/>
  <c r="Z78" i="1"/>
  <c r="X21" i="1"/>
  <c r="X120" i="1"/>
  <c r="Y79" i="1"/>
  <c r="Z127" i="1"/>
  <c r="Y36" i="1"/>
  <c r="Y125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G9" i="1"/>
  <c r="CG21" i="1"/>
  <c r="CI25" i="1"/>
  <c r="CJ52" i="1"/>
  <c r="CH9" i="1"/>
  <c r="CI9" i="1"/>
  <c r="Y143" i="1"/>
  <c r="X52" i="1"/>
  <c r="Z125" i="1"/>
  <c r="CH125" i="1" s="1"/>
  <c r="CI125" i="1" s="1"/>
  <c r="Y134" i="1"/>
  <c r="Y24" i="1"/>
  <c r="X45" i="1"/>
  <c r="Z173" i="1"/>
  <c r="X15" i="1"/>
  <c r="Y150" i="1"/>
  <c r="Z161" i="1"/>
  <c r="CH161" i="1" s="1"/>
  <c r="X143" i="1"/>
  <c r="Y154" i="1"/>
  <c r="Y39" i="1"/>
  <c r="Z9" i="1"/>
  <c r="Z151" i="1"/>
  <c r="CH151" i="1" s="1"/>
  <c r="Y80" i="1"/>
  <c r="X35" i="1"/>
  <c r="X137" i="1"/>
  <c r="Z137" i="1"/>
  <c r="CH137" i="1" s="1"/>
  <c r="CI137" i="1" s="1"/>
  <c r="Z148" i="1"/>
  <c r="CH148" i="1" s="1"/>
  <c r="X134" i="1"/>
  <c r="Z20" i="1"/>
  <c r="Z146" i="1"/>
  <c r="Z143" i="1"/>
  <c r="CH143" i="1" s="1"/>
  <c r="X160" i="1"/>
  <c r="X151" i="1"/>
  <c r="Y126" i="1"/>
  <c r="Z21" i="1"/>
  <c r="Z22" i="1"/>
  <c r="Z68" i="1"/>
  <c r="Z25" i="1"/>
  <c r="X145" i="1"/>
  <c r="Y138" i="1"/>
  <c r="Y145" i="1"/>
  <c r="X165" i="1"/>
  <c r="X24" i="1"/>
  <c r="X20" i="1"/>
  <c r="Z154" i="1"/>
  <c r="CH154" i="1" s="1"/>
  <c r="X144" i="1"/>
  <c r="X171" i="1"/>
  <c r="CH146" i="1"/>
  <c r="JP9" i="4" s="1"/>
  <c r="JP16" i="4" s="1"/>
  <c r="JO16" i="4" s="1"/>
  <c r="JO9" i="4" s="1"/>
  <c r="JN9" i="4" s="1"/>
  <c r="JN16" i="4" s="1"/>
  <c r="BK64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6" i="1" s="1"/>
  <c r="BB92" i="3"/>
  <c r="BB85" i="3"/>
  <c r="BB89" i="3"/>
  <c r="BG93" i="3"/>
  <c r="BH76" i="3"/>
  <c r="BF90" i="3"/>
  <c r="CL127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6" i="1" s="1"/>
  <c r="BF85" i="3"/>
  <c r="CL148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U58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3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G59" i="3"/>
  <c r="BF87" i="3"/>
  <c r="CL153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5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5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BP92" i="3"/>
  <c r="BE85" i="3"/>
  <c r="BP67" i="3"/>
  <c r="BF79" i="3"/>
  <c r="CL144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P61" i="3"/>
  <c r="BJ90" i="3"/>
  <c r="BA56" i="3"/>
  <c r="BA95" i="3"/>
  <c r="BQ65" i="3"/>
  <c r="BH75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3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6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GW11" i="4" a="1"/>
  <c r="GH14" i="4" a="1"/>
  <c r="BV4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4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4" i="1" s="1"/>
  <c r="BJ70" i="3"/>
  <c r="BJ54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0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1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BT49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7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1" i="1" s="1"/>
  <c r="BB65" i="3"/>
  <c r="BB74" i="3"/>
  <c r="BB78" i="3"/>
  <c r="BG77" i="3"/>
  <c r="BH68" i="3"/>
  <c r="BF88" i="3"/>
  <c r="CL128" i="1" s="1"/>
  <c r="BD49" i="3"/>
  <c r="BU54" i="3"/>
  <c r="BI73" i="3"/>
  <c r="BI97" i="3"/>
  <c r="BB57" i="3"/>
  <c r="BA74" i="3"/>
  <c r="BC60" i="3"/>
  <c r="BQ57" i="3"/>
  <c r="BH58" i="3"/>
  <c r="BH82" i="3"/>
  <c r="BB68" i="3"/>
  <c r="BB77" i="3"/>
  <c r="BH92" i="3"/>
  <c r="BL87" i="3"/>
  <c r="BI58" i="3"/>
  <c r="BF59" i="3"/>
  <c r="BQ97" i="3"/>
  <c r="BU75" i="3"/>
  <c r="BV49" i="3"/>
  <c r="BN88" i="3"/>
  <c r="BO94" i="3"/>
  <c r="BS83" i="3"/>
  <c r="BS91" i="3"/>
  <c r="BU69" i="3"/>
  <c r="BU64" i="3"/>
  <c r="BR82" i="3"/>
  <c r="BV72" i="3"/>
  <c r="BV63" i="3"/>
  <c r="BT57" i="3"/>
  <c r="BT66" i="3"/>
  <c r="BN48" i="3"/>
  <c r="BN81" i="3"/>
  <c r="BF69" i="3"/>
  <c r="BO61" i="3"/>
  <c r="BS54" i="3"/>
  <c r="BL54" i="3"/>
  <c r="BI63" i="3"/>
  <c r="BM87" i="3"/>
  <c r="BJ82" i="3"/>
  <c r="BJ87" i="3"/>
  <c r="BJ75" i="3"/>
  <c r="BK59" i="3"/>
  <c r="BK95" i="3"/>
  <c r="GE15" i="4" a="1"/>
  <c r="FN6" i="4" a="1"/>
  <c r="FQ7" i="4" a="1"/>
  <c r="GJ12" i="4" a="1"/>
  <c r="FV5" i="4" a="1"/>
  <c r="HC5" i="4" a="1"/>
  <c r="GD7" i="4" a="1"/>
  <c r="FU5" i="4" a="1"/>
  <c r="GM8" i="4" a="1"/>
  <c r="FV11" i="4" a="1"/>
  <c r="GO9" i="4" a="1"/>
  <c r="FU8" i="4" a="1"/>
  <c r="HF9" i="4" a="1"/>
  <c r="GZ7" i="4" a="1"/>
  <c r="FG8" i="4" a="1"/>
  <c r="FN11" i="4" a="1"/>
  <c r="GD9" i="4" a="1"/>
  <c r="GA8" i="4" a="1"/>
  <c r="FT11" i="4" a="1"/>
  <c r="FN9" i="4" a="1"/>
  <c r="FJ12" i="4" a="1"/>
  <c r="FT13" i="4" a="1"/>
  <c r="FK9" i="4" a="1"/>
  <c r="FX12" i="4" a="1"/>
  <c r="GE13" i="4" a="1"/>
  <c r="GB14" i="4" a="1"/>
  <c r="FQ9" i="4" a="1"/>
  <c r="FJ14" i="4" a="1"/>
  <c r="GJ15" i="4" a="1"/>
  <c r="FH16" i="4" a="1"/>
  <c r="GH16" i="4" a="1"/>
  <c r="HH16" i="4" a="1"/>
  <c r="FV9" i="4" a="1"/>
  <c r="FK14" i="4" a="1"/>
  <c r="FM11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HG15" i="4" a="1"/>
  <c r="BD95" i="3"/>
  <c r="BP59" i="3"/>
  <c r="BO54" i="3"/>
  <c r="BM69" i="3"/>
  <c r="BJ96" i="3"/>
  <c r="BK79" i="3"/>
  <c r="FY9" i="4" a="1"/>
  <c r="FP8" i="4" a="1"/>
  <c r="FN7" i="4" a="1"/>
  <c r="FI14" i="4" a="1"/>
  <c r="FS15" i="4" a="1"/>
  <c r="FT15" i="4" a="1"/>
  <c r="FG16" i="4" a="1"/>
  <c r="GZ9" i="4" a="1"/>
  <c r="HD11" i="4" a="1"/>
  <c r="BD87" i="3"/>
  <c r="BB64" i="3"/>
  <c r="BA54" i="3"/>
  <c r="BH80" i="3"/>
  <c r="BL79" i="3"/>
  <c r="BI90" i="3"/>
  <c r="BF54" i="3"/>
  <c r="BQ92" i="3"/>
  <c r="BU76" i="3"/>
  <c r="BV47" i="3"/>
  <c r="BN78" i="3"/>
  <c r="BO57" i="3"/>
  <c r="BS85" i="3"/>
  <c r="BS72" i="3"/>
  <c r="BU80" i="3"/>
  <c r="BU70" i="3"/>
  <c r="BR80" i="3"/>
  <c r="BV67" i="3"/>
  <c r="BV70" i="3"/>
  <c r="BT56" i="3"/>
  <c r="BN82" i="3"/>
  <c r="BN58" i="3"/>
  <c r="BN87" i="3"/>
  <c r="BF55" i="3"/>
  <c r="BO83" i="3"/>
  <c r="BS94" i="3"/>
  <c r="BL73" i="3"/>
  <c r="BI65" i="3"/>
  <c r="BM63" i="3"/>
  <c r="BJ84" i="3"/>
  <c r="BJ48" i="3"/>
  <c r="BJ77" i="3"/>
  <c r="BK58" i="3"/>
  <c r="BK91" i="3"/>
  <c r="FM5" i="4" a="1"/>
  <c r="GY6" i="4" a="1"/>
  <c r="HH7" i="4" a="1"/>
  <c r="HE12" i="4" a="1"/>
  <c r="HB5" i="4" a="1"/>
  <c r="FY6" i="4" a="1"/>
  <c r="FX9" i="4" a="1"/>
  <c r="FX5" i="4" a="1"/>
  <c r="GY8" i="4" a="1"/>
  <c r="GS5" i="4" a="1"/>
  <c r="FY5" i="4" a="1"/>
  <c r="GG8" i="4" a="1"/>
  <c r="FP11" i="4" a="1"/>
  <c r="FQ5" i="4" a="1"/>
  <c r="FW8" i="4" a="1"/>
  <c r="GF11" i="4" a="1"/>
  <c r="FW5" i="4" a="1"/>
  <c r="GO8" i="4" a="1"/>
  <c r="GD11" i="4" a="1"/>
  <c r="HE9" i="4" a="1"/>
  <c r="FO12" i="4" a="1"/>
  <c r="FY13" i="4" a="1"/>
  <c r="FP9" i="4" a="1"/>
  <c r="GC12" i="4" a="1"/>
  <c r="GH13" i="4" a="1"/>
  <c r="GG14" i="4" a="1"/>
  <c r="GL9" i="4" a="1"/>
  <c r="FO14" i="4" a="1"/>
  <c r="GL15" i="4" a="1"/>
  <c r="FJ16" i="4" a="1"/>
  <c r="GJ16" i="4" a="1"/>
  <c r="HE7" i="4" a="1"/>
  <c r="GQ9" i="4" a="1"/>
  <c r="FV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GO11" i="4" a="1"/>
  <c r="FN15" i="4" a="1"/>
  <c r="GW15" i="4" a="1"/>
  <c r="GC11" i="4" a="1"/>
  <c r="BC59" i="3"/>
  <c r="BD77" i="3"/>
  <c r="BA65" i="3"/>
  <c r="BD84" i="3"/>
  <c r="BE70" i="3"/>
  <c r="BQ84" i="3"/>
  <c r="BQ78" i="3"/>
  <c r="BT92" i="3"/>
  <c r="BS47" i="3"/>
  <c r="BR59" i="3"/>
  <c r="BV78" i="3"/>
  <c r="BT72" i="3"/>
  <c r="BP79" i="3"/>
  <c r="GK9" i="4" a="1"/>
  <c r="GF13" i="4" a="1"/>
  <c r="FI11" i="4" a="1"/>
  <c r="HG16" i="4" a="1"/>
  <c r="BD96" i="3"/>
  <c r="GK7" i="4" a="1"/>
  <c r="FY14" i="4" a="1"/>
  <c r="GH15" i="4" a="1"/>
  <c r="GM14" i="4" a="1"/>
  <c r="BL88" i="3"/>
  <c r="BG73" i="3"/>
  <c r="BA66" i="3"/>
  <c r="BL83" i="3"/>
  <c r="BE63" i="3"/>
  <c r="BI47" i="3"/>
  <c r="BF66" i="3"/>
  <c r="CL152" i="1" s="1"/>
  <c r="BQ90" i="3"/>
  <c r="BR62" i="3"/>
  <c r="BV81" i="3"/>
  <c r="BN76" i="3"/>
  <c r="BO62" i="3"/>
  <c r="BS73" i="3"/>
  <c r="BS69" i="3"/>
  <c r="BU73" i="3"/>
  <c r="BR88" i="3"/>
  <c r="BR69" i="3"/>
  <c r="BV91" i="3"/>
  <c r="BV97" i="3"/>
  <c r="BT55" i="3"/>
  <c r="BN77" i="3"/>
  <c r="BN60" i="3"/>
  <c r="BN91" i="3"/>
  <c r="BF48" i="3"/>
  <c r="BO78" i="3"/>
  <c r="BS58" i="3"/>
  <c r="BL50" i="3"/>
  <c r="BI71" i="3"/>
  <c r="BM89" i="3"/>
  <c r="BJ47" i="3"/>
  <c r="BJ55" i="3"/>
  <c r="BJ79" i="3"/>
  <c r="BK48" i="3"/>
  <c r="BK54" i="3"/>
  <c r="FS5" i="4" a="1"/>
  <c r="FU7" i="4" a="1"/>
  <c r="GB8" i="4" a="1"/>
  <c r="GA13" i="4" a="1"/>
  <c r="GC6" i="4" a="1"/>
  <c r="GG6" i="4" a="1"/>
  <c r="GU11" i="4" a="1"/>
  <c r="GL5" i="4" a="1"/>
  <c r="GX5" i="4" a="1"/>
  <c r="GK5" i="4" a="1"/>
  <c r="GI5" i="4" a="1"/>
  <c r="GS8" i="4" a="1"/>
  <c r="FX11" i="4" a="1"/>
  <c r="GE5" i="4" a="1"/>
  <c r="GI8" i="4" a="1"/>
  <c r="GZ6" i="4" a="1"/>
  <c r="FJ5" i="4" a="1"/>
  <c r="HA8" i="4" a="1"/>
  <c r="GO6" i="4" a="1"/>
  <c r="FG11" i="4" a="1"/>
  <c r="FR12" i="4" a="1"/>
  <c r="GB13" i="4" a="1"/>
  <c r="GF9" i="4" a="1"/>
  <c r="GK12" i="4" a="1"/>
  <c r="GM13" i="4" a="1"/>
  <c r="GJ14" i="4" a="1"/>
  <c r="HC9" i="4" a="1"/>
  <c r="FZ14" i="4" a="1"/>
  <c r="GN15" i="4" a="1"/>
  <c r="FL16" i="4" a="1"/>
  <c r="GL16" i="4" a="1"/>
  <c r="HG9" i="4" a="1"/>
  <c r="GL14" i="4" a="1"/>
  <c r="HE13" i="4" a="1"/>
  <c r="GL12" i="4" a="1"/>
  <c r="FS16" i="4" a="1"/>
  <c r="GQ16" i="4" a="1"/>
  <c r="BC92" i="3"/>
  <c r="BC97" i="3"/>
  <c r="BD56" i="3"/>
  <c r="BC48" i="3"/>
  <c r="FH15" i="4" a="1"/>
  <c r="GU16" i="4" a="1"/>
  <c r="GY12" i="4" a="1"/>
  <c r="BC80" i="3"/>
  <c r="GE16" i="4" a="1"/>
  <c r="BC50" i="3"/>
  <c r="BE96" i="3"/>
  <c r="BA86" i="3"/>
  <c r="BL47" i="3"/>
  <c r="BE84" i="3"/>
  <c r="BI57" i="3"/>
  <c r="BF82" i="3"/>
  <c r="CL146" i="1" s="1"/>
  <c r="CL181" i="1" s="1"/>
  <c r="BQ66" i="3"/>
  <c r="BR89" i="3"/>
  <c r="BV60" i="3"/>
  <c r="BO97" i="3"/>
  <c r="BO65" i="3"/>
  <c r="BS68" i="3"/>
  <c r="BS61" i="3"/>
  <c r="BU96" i="3"/>
  <c r="BR48" i="3"/>
  <c r="BR96" i="3"/>
  <c r="BV90" i="3"/>
  <c r="BV73" i="3"/>
  <c r="BT79" i="3"/>
  <c r="BN89" i="3"/>
  <c r="BN74" i="3"/>
  <c r="BP54" i="3"/>
  <c r="AA112" i="2"/>
  <c r="BO93" i="3"/>
  <c r="BP63" i="3"/>
  <c r="BE47" i="3"/>
  <c r="BI75" i="3"/>
  <c r="BF68" i="3"/>
  <c r="CL135" i="1" s="1"/>
  <c r="BJ60" i="3"/>
  <c r="BJ64" i="3"/>
  <c r="BJ81" i="3"/>
  <c r="BK80" i="3"/>
  <c r="BK65" i="3"/>
  <c r="GC5" i="4" a="1"/>
  <c r="FO8" i="4" a="1"/>
  <c r="FR9" i="4" a="1"/>
  <c r="GQ13" i="4" a="1"/>
  <c r="GE7" i="4" a="1"/>
  <c r="FL9" i="4" a="1"/>
  <c r="FQ12" i="4" a="1"/>
  <c r="GF6" i="4" a="1"/>
  <c r="GB6" i="4" a="1"/>
  <c r="FH8" i="4" a="1"/>
  <c r="GF5" i="4" a="1"/>
  <c r="FL6" i="4" a="1"/>
  <c r="HD5" i="4" a="1"/>
  <c r="FZ5" i="4" a="1"/>
  <c r="GU5" i="4" a="1"/>
  <c r="GY7" i="4" a="1"/>
  <c r="GD5" i="4" a="1"/>
  <c r="GN5" i="4" a="1"/>
  <c r="FS7" i="4" a="1"/>
  <c r="FO11" i="4" a="1"/>
  <c r="FZ12" i="4" a="1"/>
  <c r="GG13" i="4" a="1"/>
  <c r="GI11" i="4" a="1"/>
  <c r="GN12" i="4" a="1"/>
  <c r="GP13" i="4" a="1"/>
  <c r="GO14" i="4" a="1"/>
  <c r="FQ11" i="4" a="1"/>
  <c r="GE14" i="4" a="1"/>
  <c r="GP15" i="4" a="1"/>
  <c r="FN16" i="4" a="1"/>
  <c r="GN16" i="4" a="1"/>
  <c r="FS12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FY8" i="4" a="1"/>
  <c r="HA6" i="4" a="1"/>
  <c r="FV7" i="4" a="1"/>
  <c r="FR6" i="4" a="1"/>
  <c r="GW6" i="4" a="1"/>
  <c r="FS11" i="4" a="1"/>
  <c r="GE12" i="4" a="1"/>
  <c r="GO13" i="4" a="1"/>
  <c r="GQ11" i="4" a="1"/>
  <c r="GP14" i="4" a="1"/>
  <c r="GR15" i="4" a="1"/>
  <c r="GP16" i="4" a="1"/>
  <c r="HB14" i="4" a="1"/>
  <c r="FP13" i="4" a="1"/>
  <c r="HA15" i="4" a="1"/>
  <c r="FW16" i="4" a="1"/>
  <c r="BC73" i="3"/>
  <c r="BD64" i="3"/>
  <c r="HG14" i="4" a="1"/>
  <c r="GB15" i="4" a="1"/>
  <c r="FY16" i="4" a="1"/>
  <c r="GW16" i="4" a="1"/>
  <c r="BC86" i="3"/>
  <c r="BD47" i="3"/>
  <c r="BD91" i="3"/>
  <c r="Z112" i="2"/>
  <c r="HA16" i="4" a="1"/>
  <c r="BU94" i="3"/>
  <c r="FU14" i="4" a="1"/>
  <c r="GG7" i="4" a="1"/>
  <c r="FK8" i="4" a="1"/>
  <c r="FG13" i="4" a="1"/>
  <c r="GZ16" i="4" a="1"/>
  <c r="HH8" i="4" a="1"/>
  <c r="BM82" i="3"/>
  <c r="BP96" i="3"/>
  <c r="BC56" i="3"/>
  <c r="BL64" i="3"/>
  <c r="BE72" i="3"/>
  <c r="BI59" i="3"/>
  <c r="BF93" i="3"/>
  <c r="BQ71" i="3"/>
  <c r="BR65" i="3"/>
  <c r="BV85" i="3"/>
  <c r="BO55" i="3"/>
  <c r="BO72" i="3"/>
  <c r="BS75" i="3"/>
  <c r="BS57" i="3"/>
  <c r="BU77" i="3"/>
  <c r="BR49" i="3"/>
  <c r="BR94" i="3"/>
  <c r="BV84" i="3"/>
  <c r="BT71" i="3"/>
  <c r="BT82" i="3"/>
  <c r="BN67" i="3"/>
  <c r="BN94" i="3"/>
  <c r="BP69" i="3"/>
  <c r="AA111" i="2"/>
  <c r="BO96" i="3"/>
  <c r="BP65" i="3"/>
  <c r="BE79" i="3"/>
  <c r="BI79" i="3"/>
  <c r="BF74" i="3"/>
  <c r="BJ66" i="3"/>
  <c r="BJ92" i="3"/>
  <c r="BJ85" i="3"/>
  <c r="BK66" i="3"/>
  <c r="BK97" i="3"/>
  <c r="FP5" i="4" a="1"/>
  <c r="GH9" i="4" a="1"/>
  <c r="GF14" i="4" a="1"/>
  <c r="GX7" i="4" a="1"/>
  <c r="GJ9" i="4" a="1"/>
  <c r="FK13" i="4" a="1"/>
  <c r="HF11" i="4" a="1"/>
  <c r="GT5" i="4" a="1"/>
  <c r="FH9" i="4" a="1"/>
  <c r="GJ5" i="4" a="1"/>
  <c r="FT6" i="4" a="1"/>
  <c r="HC11" i="4" a="1"/>
  <c r="GY5" i="4" a="1"/>
  <c r="GP11" i="4" a="1"/>
  <c r="GS12" i="4" a="1"/>
  <c r="GU13" i="4" a="1"/>
  <c r="GR14" i="4" a="1"/>
  <c r="GG11" i="4" a="1"/>
  <c r="FP16" i="4" a="1"/>
  <c r="FN14" i="4" a="1"/>
  <c r="HE11" i="4" a="1"/>
  <c r="FU15" i="4" a="1"/>
  <c r="BC89" i="3"/>
  <c r="BD69" i="3"/>
  <c r="BB93" i="3"/>
  <c r="GK13" i="4" a="1"/>
  <c r="BC69" i="3"/>
  <c r="BO90" i="3"/>
  <c r="BN70" i="3"/>
  <c r="BG90" i="3"/>
  <c r="BF96" i="3"/>
  <c r="CL164" i="1" s="1"/>
  <c r="BJ63" i="3"/>
  <c r="BK86" i="3"/>
  <c r="FG6" i="4" a="1"/>
  <c r="GC7" i="4" a="1"/>
  <c r="FW15" i="4" a="1"/>
  <c r="FI8" i="4" a="1"/>
  <c r="HC6" i="4" a="1"/>
  <c r="HC7" i="4" a="1"/>
  <c r="FM14" i="4" a="1"/>
  <c r="FU9" i="4" a="1"/>
  <c r="GI16" i="4" a="1"/>
  <c r="GR9" i="4" a="1"/>
  <c r="GF16" i="4" a="1"/>
  <c r="HB8" i="4" a="1"/>
  <c r="GK16" i="4" a="1"/>
  <c r="BC81" i="3"/>
  <c r="BP72" i="3"/>
  <c r="BD76" i="3"/>
  <c r="BD85" i="3"/>
  <c r="BL93" i="3"/>
  <c r="BE80" i="3"/>
  <c r="BI66" i="3"/>
  <c r="BQ93" i="3"/>
  <c r="BQ81" i="3"/>
  <c r="BR91" i="3"/>
  <c r="BT69" i="3"/>
  <c r="BO59" i="3"/>
  <c r="BO74" i="3"/>
  <c r="BS59" i="3"/>
  <c r="BS50" i="3"/>
  <c r="BU89" i="3"/>
  <c r="BR55" i="3"/>
  <c r="BR73" i="3"/>
  <c r="BV80" i="3"/>
  <c r="BT68" i="3"/>
  <c r="BT65" i="3"/>
  <c r="BN95" i="3"/>
  <c r="BN47" i="3"/>
  <c r="BP95" i="3"/>
  <c r="Y111" i="2"/>
  <c r="BS62" i="3"/>
  <c r="BG48" i="3"/>
  <c r="BE54" i="3"/>
  <c r="BI87" i="3"/>
  <c r="BF58" i="3"/>
  <c r="CL120" i="1" s="1"/>
  <c r="BJ72" i="3"/>
  <c r="BJ94" i="3"/>
  <c r="BK73" i="3"/>
  <c r="BK60" i="3"/>
  <c r="BK47" i="3"/>
  <c r="GB5" i="4" a="1"/>
  <c r="GK8" i="4" a="1"/>
  <c r="GX9" i="4" a="1"/>
  <c r="HA14" i="4" a="1"/>
  <c r="GW5" i="4" a="1"/>
  <c r="GX6" i="4" a="1"/>
  <c r="GI13" i="4" a="1"/>
  <c r="FW7" i="4" a="1"/>
  <c r="HF8" i="4" a="1"/>
  <c r="GB12" i="4" a="1"/>
  <c r="FP6" i="4" a="1"/>
  <c r="FK7" i="4" a="1"/>
  <c r="GM11" i="4" a="1"/>
  <c r="FM6" i="4" a="1"/>
  <c r="GR6" i="4" a="1"/>
  <c r="FY12" i="4" a="1"/>
  <c r="FU6" i="4" a="1"/>
  <c r="HB7" i="4" a="1"/>
  <c r="FL12" i="4" a="1"/>
  <c r="FW11" i="4" a="1"/>
  <c r="GH12" i="4" a="1"/>
  <c r="GR13" i="4" a="1"/>
  <c r="GT11" i="4" a="1"/>
  <c r="GV12" i="4" a="1"/>
  <c r="GX13" i="4" a="1"/>
  <c r="GW14" i="4" a="1"/>
  <c r="GR11" i="4" a="1"/>
  <c r="GU14" i="4" a="1"/>
  <c r="GT15" i="4" a="1"/>
  <c r="FR16" i="4" a="1"/>
  <c r="GT16" i="4" a="1"/>
  <c r="GD14" i="4" a="1"/>
  <c r="FN12" i="4" a="1"/>
  <c r="FY15" i="4" a="1"/>
  <c r="HC15" i="4" a="1"/>
  <c r="GN13" i="4" a="1"/>
  <c r="BC63" i="3"/>
  <c r="BD68" i="3"/>
  <c r="BD81" i="3"/>
  <c r="GC16" i="4" a="1"/>
  <c r="BD58" i="3"/>
  <c r="BH95" i="3"/>
  <c r="BN54" i="3"/>
  <c r="FM9" i="4" a="1"/>
  <c r="FP14" i="4" a="1"/>
  <c r="GX12" i="4" a="1"/>
  <c r="GQ12" i="4" a="1"/>
  <c r="FZ16" i="4" a="1"/>
  <c r="GK15" i="4" a="1"/>
  <c r="BG69" i="3"/>
  <c r="BD93" i="3"/>
  <c r="BQ50" i="3"/>
  <c r="BL78" i="3"/>
  <c r="BE68" i="3"/>
  <c r="BI67" i="3"/>
  <c r="BQ68" i="3"/>
  <c r="BQ82" i="3"/>
  <c r="BR50" i="3"/>
  <c r="BT61" i="3"/>
  <c r="BO66" i="3"/>
  <c r="BO79" i="3"/>
  <c r="BS60" i="3"/>
  <c r="BF91" i="3"/>
  <c r="CL155" i="1" s="1"/>
  <c r="BU90" i="3"/>
  <c r="BR64" i="3"/>
  <c r="BR79" i="3"/>
  <c r="BV58" i="3"/>
  <c r="BT58" i="3"/>
  <c r="BT86" i="3"/>
  <c r="BN59" i="3"/>
  <c r="BN56" i="3"/>
  <c r="BP90" i="3"/>
  <c r="BO47" i="3"/>
  <c r="BS66" i="3"/>
  <c r="BG62" i="3"/>
  <c r="BE89" i="3"/>
  <c r="BI91" i="3"/>
  <c r="BF64" i="3"/>
  <c r="CL150" i="1" s="1"/>
  <c r="BJ76" i="3"/>
  <c r="BJ50" i="3"/>
  <c r="BK69" i="3"/>
  <c r="BK62" i="3"/>
  <c r="BK96" i="3"/>
  <c r="HG5" i="4" a="1"/>
  <c r="GM5" i="4" a="1"/>
  <c r="HH9" i="4" a="1"/>
  <c r="FT7" i="4" a="1"/>
  <c r="GQ6" i="4" a="1"/>
  <c r="GR7" i="4" a="1"/>
  <c r="GC14" i="4" a="1"/>
  <c r="GO5" i="4" a="1"/>
  <c r="GB9" i="4" a="1"/>
  <c r="FS13" i="4" a="1"/>
  <c r="FO7" i="4" a="1"/>
  <c r="HG7" i="4" a="1"/>
  <c r="GG12" i="4" a="1"/>
  <c r="FG7" i="4" a="1"/>
  <c r="GL7" i="4" a="1"/>
  <c r="FV13" i="4" a="1"/>
  <c r="FR7" i="4" a="1"/>
  <c r="FT9" i="4" a="1"/>
  <c r="FN13" i="4" a="1"/>
  <c r="GE11" i="4" a="1"/>
  <c r="GM12" i="4" a="1"/>
  <c r="GZ13" i="4" a="1"/>
  <c r="GY11" i="4" a="1"/>
  <c r="HA12" i="4" a="1"/>
  <c r="HC13" i="4" a="1"/>
  <c r="GZ14" i="4" a="1"/>
  <c r="FK12" i="4" a="1"/>
  <c r="HF14" i="4" a="1"/>
  <c r="GV15" i="4" a="1"/>
  <c r="FV16" i="4" a="1"/>
  <c r="GV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C55" i="3"/>
  <c r="BL80" i="3"/>
  <c r="BS74" i="3"/>
  <c r="BE65" i="3"/>
  <c r="FW6" i="4" a="1"/>
  <c r="GI6" i="4" a="1"/>
  <c r="GD13" i="4" a="1"/>
  <c r="FL8" i="4" a="1"/>
  <c r="GN11" i="4" a="1"/>
  <c r="HH14" i="4" a="1"/>
  <c r="HB15" i="4" a="1"/>
  <c r="FM13" i="4" a="1"/>
  <c r="FG14" i="4" a="1"/>
  <c r="BC54" i="3"/>
  <c r="BD72" i="3"/>
  <c r="BD90" i="3"/>
  <c r="GA5" i="4" a="1"/>
  <c r="FQ14" i="4" a="1"/>
  <c r="HD16" i="4" a="1"/>
  <c r="GT14" i="4" a="1"/>
  <c r="GP8" i="4" a="1"/>
  <c r="FM7" i="4" a="1"/>
  <c r="FR8" i="4" a="1"/>
  <c r="FW13" i="4" a="1"/>
  <c r="HA13" i="4" a="1"/>
  <c r="HF16" i="4" a="1"/>
  <c r="FY11" i="4" a="1"/>
  <c r="FM16" i="4" a="1"/>
  <c r="BC70" i="3"/>
  <c r="BG75" i="3"/>
  <c r="BP62" i="3"/>
  <c r="BQ55" i="3"/>
  <c r="BL96" i="3"/>
  <c r="BE61" i="3"/>
  <c r="BF89" i="3"/>
  <c r="CL154" i="1" s="1"/>
  <c r="CL184" i="1" s="1"/>
  <c r="BQ89" i="3"/>
  <c r="BQ69" i="3"/>
  <c r="BR63" i="3"/>
  <c r="BT93" i="3"/>
  <c r="BO71" i="3"/>
  <c r="BO82" i="3"/>
  <c r="BS55" i="3"/>
  <c r="BF97" i="3"/>
  <c r="BU92" i="3"/>
  <c r="BR72" i="3"/>
  <c r="BR68" i="3"/>
  <c r="BV74" i="3"/>
  <c r="BT59" i="3"/>
  <c r="BT87" i="3"/>
  <c r="BN50" i="3"/>
  <c r="BN68" i="3"/>
  <c r="BP74" i="3"/>
  <c r="BO69" i="3"/>
  <c r="BS70" i="3"/>
  <c r="BG84" i="3"/>
  <c r="BE91" i="3"/>
  <c r="BI50" i="3"/>
  <c r="BF57" i="3"/>
  <c r="CL119" i="1" s="1"/>
  <c r="BJ80" i="3"/>
  <c r="BJ61" i="3"/>
  <c r="BK82" i="3"/>
  <c r="BK76" i="3"/>
  <c r="BK71" i="3"/>
  <c r="FX6" i="4" a="1"/>
  <c r="FI6" i="4" a="1"/>
  <c r="FZ11" i="4" a="1"/>
  <c r="GH8" i="4" a="1"/>
  <c r="HG6" i="4" a="1"/>
  <c r="GR8" i="4" a="1"/>
  <c r="HD14" i="4" a="1"/>
  <c r="FK6" i="4" a="1"/>
  <c r="GB7" i="4" a="1"/>
  <c r="GY13" i="4" a="1"/>
  <c r="GP7" i="4" a="1"/>
  <c r="HA5" i="4" a="1"/>
  <c r="HH12" i="4" a="1"/>
  <c r="FZ7" i="4" a="1"/>
  <c r="FJ6" i="4" a="1"/>
  <c r="GT13" i="4" a="1"/>
  <c r="GM7" i="4" a="1"/>
  <c r="FL7" i="4" a="1"/>
  <c r="GL13" i="4" a="1"/>
  <c r="GK11" i="4" a="1"/>
  <c r="GU12" i="4" a="1"/>
  <c r="HE6" i="4" a="1"/>
  <c r="HB11" i="4" a="1"/>
  <c r="HD12" i="4" a="1"/>
  <c r="HF13" i="4" a="1"/>
  <c r="HE14" i="4" a="1"/>
  <c r="FV12" i="4" a="1"/>
  <c r="FL15" i="4" a="1"/>
  <c r="GZ15" i="4" a="1"/>
  <c r="FX16" i="4" a="1"/>
  <c r="GX16" i="4" a="1"/>
  <c r="FV15" i="4" a="1"/>
  <c r="GT12" i="4" a="1"/>
  <c r="FM15" i="4" a="1"/>
  <c r="GD8" i="4" a="1"/>
  <c r="HD13" i="4" a="1"/>
  <c r="GI15" i="4" a="1"/>
  <c r="BC84" i="3"/>
  <c r="BM80" i="3"/>
  <c r="BF65" i="3"/>
  <c r="CL151" i="1" s="1"/>
  <c r="BR54" i="3"/>
  <c r="BO75" i="3"/>
  <c r="BU57" i="3"/>
  <c r="BR67" i="3"/>
  <c r="BT60" i="3"/>
  <c r="BK77" i="3"/>
  <c r="GN6" i="4" a="1"/>
  <c r="HG11" i="4" a="1"/>
  <c r="GP6" i="4" a="1"/>
  <c r="HC16" i="4" a="1"/>
  <c r="BD67" i="3"/>
  <c r="FL11" i="4" a="1"/>
  <c r="FP7" i="4" a="1"/>
  <c r="HA11" i="4" a="1"/>
  <c r="FM12" i="4" a="1"/>
  <c r="HF15" i="4" a="1"/>
  <c r="GS13" i="4" a="1"/>
  <c r="GO15" i="4" a="1"/>
  <c r="BC90" i="3"/>
  <c r="FQ8" i="4" a="1"/>
  <c r="FZ8" i="4" a="1"/>
  <c r="GT8" i="4" a="1"/>
  <c r="BC83" i="3"/>
  <c r="BC74" i="3"/>
  <c r="GE8" i="4" a="1"/>
  <c r="FV8" i="4" a="1"/>
  <c r="FW14" i="4" a="1"/>
  <c r="BD74" i="3"/>
  <c r="GR5" i="4" a="1"/>
  <c r="HH13" i="4" a="1"/>
  <c r="BM79" i="3"/>
  <c r="BI64" i="3"/>
  <c r="BH60" i="3"/>
  <c r="BL82" i="3"/>
  <c r="BE88" i="3"/>
  <c r="BF47" i="3"/>
  <c r="BQ79" i="3"/>
  <c r="BQ87" i="3"/>
  <c r="BV64" i="3"/>
  <c r="BT80" i="3"/>
  <c r="BO81" i="3"/>
  <c r="BO95" i="3"/>
  <c r="BS77" i="3"/>
  <c r="BU59" i="3"/>
  <c r="BU95" i="3"/>
  <c r="BR75" i="3"/>
  <c r="BV50" i="3"/>
  <c r="BV89" i="3"/>
  <c r="BT77" i="3"/>
  <c r="BT62" i="3"/>
  <c r="BN64" i="3"/>
  <c r="BN72" i="3"/>
  <c r="BF81" i="3"/>
  <c r="CL145" i="1" s="1"/>
  <c r="CL180" i="1" s="1"/>
  <c r="BO85" i="3"/>
  <c r="BS81" i="3"/>
  <c r="BH97" i="3"/>
  <c r="BE69" i="3"/>
  <c r="BM75" i="3"/>
  <c r="BF56" i="3"/>
  <c r="CL118" i="1" s="1"/>
  <c r="BJ95" i="3"/>
  <c r="BJ67" i="3"/>
  <c r="BK88" i="3"/>
  <c r="BK90" i="3"/>
  <c r="BK93" i="3"/>
  <c r="GH7" i="4" a="1"/>
  <c r="HH6" i="4" a="1"/>
  <c r="HE8" i="4" a="1"/>
  <c r="FO5" i="4" a="1"/>
  <c r="HA7" i="4" a="1"/>
  <c r="HB9" i="4" a="1"/>
  <c r="GX8" i="4" a="1"/>
  <c r="HB6" i="4" a="1"/>
  <c r="FJ9" i="4" a="1"/>
  <c r="FO15" i="4" a="1"/>
  <c r="HE5" i="4" a="1"/>
  <c r="GF8" i="4" a="1"/>
  <c r="FX14" i="4" a="1"/>
  <c r="GZ5" i="4" a="1"/>
  <c r="GV8" i="4" a="1"/>
  <c r="FJ15" i="4" a="1"/>
  <c r="HH5" i="4" a="1"/>
  <c r="HG8" i="4" a="1"/>
  <c r="FG15" i="4" a="1"/>
  <c r="GS11" i="4" a="1"/>
  <c r="HF12" i="4" a="1"/>
  <c r="GI7" i="4" a="1"/>
  <c r="FH12" i="4" a="1"/>
  <c r="FJ13" i="4" a="1"/>
  <c r="FL14" i="4" a="1"/>
  <c r="FO6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M15" i="4" a="1"/>
  <c r="FI16" i="4" a="1"/>
  <c r="GG16" i="4" a="1"/>
  <c r="HE16" i="4" a="1"/>
  <c r="BC96" i="3"/>
  <c r="BC78" i="3"/>
  <c r="BC87" i="3"/>
  <c r="BD60" i="3"/>
  <c r="BD63" i="3"/>
  <c r="Z113" i="2"/>
  <c r="BI92" i="3"/>
  <c r="BH71" i="3"/>
  <c r="BL48" i="3"/>
  <c r="BI82" i="3"/>
  <c r="BF94" i="3"/>
  <c r="BQ72" i="3"/>
  <c r="BU78" i="3"/>
  <c r="BV59" i="3"/>
  <c r="BT84" i="3"/>
  <c r="BO84" i="3"/>
  <c r="BS48" i="3"/>
  <c r="BS96" i="3"/>
  <c r="BU62" i="3"/>
  <c r="BU84" i="3"/>
  <c r="BR95" i="3"/>
  <c r="BV79" i="3"/>
  <c r="BV92" i="3"/>
  <c r="BT88" i="3"/>
  <c r="BT48" i="3"/>
  <c r="BS87" i="3"/>
  <c r="BM47" i="3"/>
  <c r="BJ69" i="3"/>
  <c r="HF7" i="4" a="1"/>
  <c r="GS9" i="4" a="1"/>
  <c r="FH7" i="4" a="1"/>
  <c r="GV14" i="4" a="1"/>
  <c r="GE6" i="4" a="1"/>
  <c r="GC9" i="4" a="1"/>
  <c r="GT7" i="4" a="1"/>
  <c r="BC88" i="3"/>
  <c r="GQ8" i="4" a="1"/>
  <c r="FZ15" i="4" a="1"/>
  <c r="FM8" i="4" a="1"/>
  <c r="GD15" i="4" a="1"/>
  <c r="GL8" i="4" a="1"/>
  <c r="BD71" i="3"/>
  <c r="BN61" i="3"/>
  <c r="BN63" i="3"/>
  <c r="BF67" i="3"/>
  <c r="BO56" i="3"/>
  <c r="BH93" i="3"/>
  <c r="BE73" i="3"/>
  <c r="BF50" i="3"/>
  <c r="CL75" i="1" s="1"/>
  <c r="BJ89" i="3"/>
  <c r="BK83" i="3"/>
  <c r="BK92" i="3"/>
  <c r="BK61" i="3"/>
  <c r="FG9" i="4" a="1"/>
  <c r="GI9" i="4" a="1"/>
  <c r="GV7" i="4" a="1"/>
  <c r="FI7" i="4" a="1"/>
  <c r="HD8" i="4" a="1"/>
  <c r="GT6" i="4" a="1"/>
  <c r="GV5" i="4" a="1"/>
  <c r="FI13" i="4" a="1"/>
  <c r="FR13" i="4" a="1"/>
  <c r="FN8" i="4" a="1"/>
  <c r="GF15" i="4" a="1"/>
  <c r="GD16" i="4" a="1"/>
  <c r="GA15" i="4" a="1"/>
  <c r="FK16" i="4" a="1"/>
  <c r="BC93" i="3"/>
  <c r="FH5" i="4" a="1"/>
  <c r="GV9" i="4" a="1"/>
  <c r="FL13" i="4" a="1"/>
  <c r="HH15" i="4" a="1"/>
  <c r="BB62" i="3"/>
  <c r="BB76" i="3"/>
  <c r="BH50" i="3"/>
  <c r="BL59" i="3"/>
  <c r="BI68" i="3"/>
  <c r="BF61" i="3"/>
  <c r="BQ63" i="3"/>
  <c r="BU72" i="3"/>
  <c r="BV75" i="3"/>
  <c r="BT90" i="3"/>
  <c r="BO89" i="3"/>
  <c r="BS63" i="3"/>
  <c r="BS92" i="3"/>
  <c r="BU71" i="3"/>
  <c r="BU81" i="3"/>
  <c r="BR85" i="3"/>
  <c r="BV57" i="3"/>
  <c r="BV96" i="3"/>
  <c r="BT70" i="3"/>
  <c r="BT97" i="3"/>
  <c r="BN90" i="3"/>
  <c r="BN73" i="3"/>
  <c r="BF73" i="3"/>
  <c r="BO60" i="3"/>
  <c r="BS49" i="3"/>
  <c r="BH89" i="3"/>
  <c r="BE81" i="3"/>
  <c r="BM85" i="3"/>
  <c r="BJ74" i="3"/>
  <c r="BJ97" i="3"/>
  <c r="BJ71" i="3"/>
  <c r="BK75" i="3"/>
  <c r="BK94" i="3"/>
  <c r="GE9" i="4" a="1"/>
  <c r="GX11" i="4" a="1"/>
  <c r="GB11" i="4" a="1"/>
  <c r="FG5" i="4" a="1"/>
  <c r="FZ9" i="4" a="1"/>
  <c r="GN7" i="4" a="1"/>
  <c r="FP12" i="4" a="1"/>
  <c r="GQ15" i="4" a="1"/>
  <c r="BC91" i="3"/>
  <c r="CL138" i="1" l="1"/>
  <c r="CH141" i="1"/>
  <c r="CI141" i="1" s="1"/>
  <c r="AA203" i="1"/>
  <c r="CL99" i="1"/>
  <c r="CL100" i="1" s="1"/>
  <c r="CL157" i="1"/>
  <c r="CL186" i="1" s="1"/>
  <c r="CL185" i="1" s="1"/>
  <c r="CL16" i="1"/>
  <c r="CL162" i="1"/>
  <c r="CL121" i="1"/>
  <c r="CL129" i="1"/>
  <c r="CL149" i="1"/>
  <c r="CL139" i="1"/>
  <c r="CO20" i="1"/>
  <c r="CS20" i="1" s="1"/>
  <c r="CW20" i="1" s="1"/>
  <c r="DA20" i="1" s="1"/>
  <c r="CH162" i="1"/>
  <c r="CI210" i="1" s="1"/>
  <c r="CK16" i="1"/>
  <c r="CK26" i="1"/>
  <c r="CK27" i="1" s="1"/>
  <c r="KC15" i="4" s="1"/>
  <c r="KD9" i="4" s="1"/>
  <c r="JX16" i="4" s="1"/>
  <c r="JY15" i="4" s="1"/>
  <c r="KC9" i="4" s="1"/>
  <c r="Y75" i="1"/>
  <c r="CJ126" i="1"/>
  <c r="CK126" i="1" s="1"/>
  <c r="CJ123" i="1"/>
  <c r="CK123" i="1" s="1"/>
  <c r="CM123" i="1" s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KG16" i="4" s="1"/>
  <c r="JY16" i="4" s="1"/>
  <c r="JY21" i="4" s="1"/>
  <c r="JQ16" i="4" s="1"/>
  <c r="KF16" i="4" s="1"/>
  <c r="KF21" i="4" s="1"/>
  <c r="KG15" i="4" s="1"/>
  <c r="JR15" i="4" s="1"/>
  <c r="KF9" i="4" s="1"/>
  <c r="KF7" i="4" s="1"/>
  <c r="JY8" i="4" s="1"/>
  <c r="KB15" i="4" s="1"/>
  <c r="JV16" i="4" s="1"/>
  <c r="KG14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19" i="1"/>
  <c r="CK119" i="1" s="1"/>
  <c r="CM119" i="1" s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KE16" i="4" s="1"/>
  <c r="JW16" i="4" s="1"/>
  <c r="KD16" i="4" s="1"/>
  <c r="KH9" i="4" s="1"/>
  <c r="CJ120" i="1"/>
  <c r="CJ145" i="1"/>
  <c r="CJ180" i="1" s="1"/>
  <c r="CK180" i="1" s="1"/>
  <c r="CJ135" i="1"/>
  <c r="CK33" i="1" s="1"/>
  <c r="JT16" i="4" s="1"/>
  <c r="CJ148" i="1"/>
  <c r="JU9" i="4" s="1"/>
  <c r="JZ9" i="4" s="1"/>
  <c r="CJ155" i="1"/>
  <c r="CJ150" i="1"/>
  <c r="KB16" i="4" s="1"/>
  <c r="CJ160" i="1"/>
  <c r="CJ151" i="1"/>
  <c r="KC16" i="4" s="1"/>
  <c r="JU16" i="4" s="1"/>
  <c r="JU21" i="4" s="1"/>
  <c r="JR9" i="4" s="1"/>
  <c r="JT9" i="4" s="1"/>
  <c r="Z74" i="1"/>
  <c r="CI75" i="1"/>
  <c r="CJ118" i="1"/>
  <c r="JR16" i="4" s="1"/>
  <c r="JR21" i="4" s="1"/>
  <c r="CL78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J147" i="1"/>
  <c r="CJ141" i="1"/>
  <c r="CJ152" i="1"/>
  <c r="KE9" i="4" s="1"/>
  <c r="JZ16" i="4" s="1"/>
  <c r="KG9" i="4" s="1"/>
  <c r="JV9" i="4" s="1"/>
  <c r="CJ153" i="1"/>
  <c r="CJ165" i="1"/>
  <c r="CK165" i="1" s="1"/>
  <c r="CM165" i="1" s="1"/>
  <c r="CN165" i="1" s="1"/>
  <c r="CO165" i="1" s="1"/>
  <c r="CP165" i="1" s="1"/>
  <c r="CQ165" i="1" s="1"/>
  <c r="CR165" i="1" s="1"/>
  <c r="CS165" i="1" s="1"/>
  <c r="CT165" i="1" s="1"/>
  <c r="CU165" i="1" s="1"/>
  <c r="CV165" i="1" s="1"/>
  <c r="CW165" i="1" s="1"/>
  <c r="CX165" i="1" s="1"/>
  <c r="CY165" i="1" s="1"/>
  <c r="CZ165" i="1" s="1"/>
  <c r="DA165" i="1" s="1"/>
  <c r="DB165" i="1" s="1"/>
  <c r="JY9" i="4" s="1"/>
  <c r="KA16" i="4" s="1"/>
  <c r="JS16" i="4" s="1"/>
  <c r="KH16" i="4" s="1"/>
  <c r="JX9" i="4" s="1"/>
  <c r="JX7" i="4" s="1"/>
  <c r="CJ74" i="1"/>
  <c r="CG75" i="1"/>
  <c r="CJ134" i="1"/>
  <c r="CK134" i="1" s="1"/>
  <c r="CM134" i="1" s="1"/>
  <c r="CN134" i="1" s="1"/>
  <c r="CO134" i="1" s="1"/>
  <c r="CP134" i="1" s="1"/>
  <c r="CI74" i="1"/>
  <c r="CK74" i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J146" i="1"/>
  <c r="CJ181" i="1" s="1"/>
  <c r="CK181" i="1" s="1"/>
  <c r="CH75" i="1"/>
  <c r="X74" i="1"/>
  <c r="KB9" i="4" s="1"/>
  <c r="Z75" i="1"/>
  <c r="CJ154" i="1"/>
  <c r="CJ184" i="1" s="1"/>
  <c r="CK184" i="1" s="1"/>
  <c r="CJ161" i="1"/>
  <c r="JW9" i="4" s="1"/>
  <c r="KA9" i="4" s="1"/>
  <c r="JS9" i="4" s="1"/>
  <c r="JS21" i="4" s="1"/>
  <c r="JQ9" i="4" s="1"/>
  <c r="JU8" i="4" s="1"/>
  <c r="CK75" i="1"/>
  <c r="CJ143" i="1"/>
  <c r="CH74" i="1"/>
  <c r="CJ75" i="1"/>
  <c r="CJ156" i="1"/>
  <c r="CJ125" i="1"/>
  <c r="CK125" i="1" s="1"/>
  <c r="CM125" i="1" s="1"/>
  <c r="CG74" i="1"/>
  <c r="Y162" i="1"/>
  <c r="Y253" i="1"/>
  <c r="Z162" i="1"/>
  <c r="AA210" i="1" s="1"/>
  <c r="CK99" i="1"/>
  <c r="CK100" i="1" s="1"/>
  <c r="Y26" i="1"/>
  <c r="Y135" i="1"/>
  <c r="Y139" i="1" s="1"/>
  <c r="X253" i="1"/>
  <c r="CJ138" i="1"/>
  <c r="CJ144" i="1"/>
  <c r="Y174" i="1"/>
  <c r="Y149" i="1"/>
  <c r="X180" i="1"/>
  <c r="Y180" i="1"/>
  <c r="X174" i="1"/>
  <c r="Z195" i="1"/>
  <c r="Z254" i="1"/>
  <c r="X181" i="1"/>
  <c r="X149" i="1"/>
  <c r="CH144" i="1"/>
  <c r="Z149" i="1"/>
  <c r="Y232" i="1"/>
  <c r="Y10" i="1"/>
  <c r="Y254" i="1"/>
  <c r="Y184" i="1"/>
  <c r="CG195" i="1"/>
  <c r="CG254" i="1"/>
  <c r="CH118" i="1"/>
  <c r="Z121" i="1"/>
  <c r="AA208" i="1" s="1"/>
  <c r="CH145" i="1"/>
  <c r="Z180" i="1"/>
  <c r="Z232" i="1"/>
  <c r="Z253" i="1"/>
  <c r="Z181" i="1"/>
  <c r="Z184" i="1"/>
  <c r="CH136" i="1"/>
  <c r="CI136" i="1" s="1"/>
  <c r="Z132" i="1"/>
  <c r="CH127" i="1"/>
  <c r="Z155" i="1"/>
  <c r="X232" i="1"/>
  <c r="X10" i="1"/>
  <c r="X184" i="1"/>
  <c r="X254" i="1"/>
  <c r="Y157" i="1"/>
  <c r="Y186" i="1" s="1"/>
  <c r="CH254" i="1"/>
  <c r="CG253" i="1"/>
  <c r="X135" i="1"/>
  <c r="CH180" i="1"/>
  <c r="CI180" i="1" s="1"/>
  <c r="CI232" i="1"/>
  <c r="CI10" i="1"/>
  <c r="CJ99" i="1"/>
  <c r="Y203" i="1"/>
  <c r="Y181" i="1"/>
  <c r="CG10" i="1"/>
  <c r="CK11" i="1" s="1"/>
  <c r="Z174" i="1"/>
  <c r="Z10" i="1"/>
  <c r="X157" i="1"/>
  <c r="KC14" i="4"/>
  <c r="Y121" i="1"/>
  <c r="X129" i="1"/>
  <c r="X162" i="1"/>
  <c r="X121" i="1"/>
  <c r="X176" i="1" s="1"/>
  <c r="Y129" i="1"/>
  <c r="Z26" i="1"/>
  <c r="X26" i="1"/>
  <c r="CK118" i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J203" i="1"/>
  <c r="CK141" i="1"/>
  <c r="CL203" i="1" s="1"/>
  <c r="JR8" i="4"/>
  <c r="KE15" i="4"/>
  <c r="CI133" i="1"/>
  <c r="CJ133" i="1" s="1"/>
  <c r="CH253" i="1"/>
  <c r="CJ26" i="1"/>
  <c r="CJ162" i="1"/>
  <c r="CG26" i="1"/>
  <c r="CH10" i="1"/>
  <c r="CH26" i="1"/>
  <c r="CI253" i="1"/>
  <c r="CJ254" i="1"/>
  <c r="CH232" i="1"/>
  <c r="CJ232" i="1"/>
  <c r="CI254" i="1"/>
  <c r="CH181" i="1"/>
  <c r="CI181" i="1" s="1"/>
  <c r="CH184" i="1"/>
  <c r="CI184" i="1" s="1"/>
  <c r="CJ253" i="1"/>
  <c r="CJ10" i="1"/>
  <c r="CK12" i="1" s="1"/>
  <c r="Y74" i="1"/>
  <c r="X75" i="1"/>
  <c r="Z203" i="1"/>
  <c r="CI26" i="1"/>
  <c r="CI66" i="1"/>
  <c r="CJ195" i="1"/>
  <c r="Z129" i="1"/>
  <c r="CH66" i="1"/>
  <c r="CG66" i="1"/>
  <c r="CI203" i="1"/>
  <c r="CJ66" i="1"/>
  <c r="Z210" i="1"/>
  <c r="JP15" i="4"/>
  <c r="JP14" i="4"/>
  <c r="JP8" i="4"/>
  <c r="JP7" i="4"/>
  <c r="CW164" i="1"/>
  <c r="JP21" i="4"/>
  <c r="CJ78" i="1" s="1"/>
  <c r="JO21" i="4"/>
  <c r="CI78" i="1" s="1"/>
  <c r="JO7" i="4"/>
  <c r="JO15" i="4"/>
  <c r="JO14" i="4"/>
  <c r="JO8" i="4"/>
  <c r="JN21" i="4"/>
  <c r="CH78" i="1" s="1"/>
  <c r="JN15" i="4"/>
  <c r="JN14" i="4"/>
  <c r="JN7" i="4"/>
  <c r="JN8" i="4"/>
  <c r="CB13" i="1"/>
  <c r="Z183" i="1" l="1"/>
  <c r="AA197" i="1"/>
  <c r="AA11" i="1"/>
  <c r="AA189" i="1"/>
  <c r="AA250" i="1"/>
  <c r="AA207" i="1"/>
  <c r="AA206" i="1" s="1"/>
  <c r="JW15" i="4"/>
  <c r="KF15" i="4"/>
  <c r="KC21" i="4"/>
  <c r="JT21" i="4"/>
  <c r="KH21" i="4"/>
  <c r="JX14" i="4"/>
  <c r="JX21" i="4"/>
  <c r="KB14" i="4"/>
  <c r="KB7" i="4"/>
  <c r="JW7" i="4"/>
  <c r="JZ8" i="4"/>
  <c r="KB8" i="4"/>
  <c r="KB21" i="4"/>
  <c r="KG8" i="4"/>
  <c r="JQ21" i="4"/>
  <c r="CK78" i="1" s="1"/>
  <c r="KC7" i="4"/>
  <c r="CL19" i="1"/>
  <c r="CK28" i="1"/>
  <c r="CK17" i="1"/>
  <c r="CL17" i="1"/>
  <c r="CL28" i="1"/>
  <c r="CL249" i="1"/>
  <c r="CL247" i="1"/>
  <c r="CL93" i="1"/>
  <c r="CL95" i="1" s="1"/>
  <c r="CL130" i="1"/>
  <c r="CL169" i="1"/>
  <c r="CL110" i="1" s="1"/>
  <c r="CL183" i="1"/>
  <c r="CL158" i="1"/>
  <c r="CL166" i="1" s="1"/>
  <c r="CL167" i="1" s="1"/>
  <c r="JQ7" i="4"/>
  <c r="JZ7" i="4"/>
  <c r="JQ15" i="4"/>
  <c r="KD8" i="4"/>
  <c r="KE8" i="4"/>
  <c r="JV21" i="4"/>
  <c r="JU7" i="4"/>
  <c r="KE14" i="4"/>
  <c r="KH8" i="4"/>
  <c r="KF14" i="4"/>
  <c r="CJ157" i="1"/>
  <c r="CJ186" i="1" s="1"/>
  <c r="CJ185" i="1" s="1"/>
  <c r="CK185" i="1" s="1"/>
  <c r="JV7" i="4"/>
  <c r="JW8" i="4"/>
  <c r="JW20" i="4" s="1"/>
  <c r="KA21" i="4"/>
  <c r="KF8" i="4"/>
  <c r="KF20" i="4" s="1"/>
  <c r="JZ15" i="4"/>
  <c r="JZ20" i="4" s="1"/>
  <c r="KG7" i="4"/>
  <c r="JV8" i="4"/>
  <c r="JU15" i="4"/>
  <c r="JU20" i="4" s="1"/>
  <c r="JT15" i="4"/>
  <c r="CL103" i="1"/>
  <c r="CI16" i="1"/>
  <c r="CL245" i="1"/>
  <c r="CL226" i="1"/>
  <c r="CL189" i="1"/>
  <c r="CL11" i="1"/>
  <c r="CJ121" i="1"/>
  <c r="CJ249" i="1" s="1"/>
  <c r="KA14" i="4"/>
  <c r="JY14" i="4"/>
  <c r="KE7" i="4"/>
  <c r="KD15" i="4"/>
  <c r="JU14" i="4"/>
  <c r="KG21" i="4"/>
  <c r="JY7" i="4"/>
  <c r="JQ8" i="4"/>
  <c r="JS7" i="4"/>
  <c r="KC8" i="4"/>
  <c r="KC20" i="4" s="1"/>
  <c r="JR7" i="4"/>
  <c r="JV14" i="4"/>
  <c r="JS15" i="4"/>
  <c r="KA8" i="4"/>
  <c r="JT8" i="4"/>
  <c r="JS14" i="4"/>
  <c r="KA15" i="4"/>
  <c r="KA20" i="4" s="1"/>
  <c r="KH7" i="4"/>
  <c r="KH14" i="4"/>
  <c r="KH19" i="4" s="1"/>
  <c r="JT7" i="4"/>
  <c r="KD14" i="4"/>
  <c r="KD21" i="4"/>
  <c r="JT14" i="4"/>
  <c r="JR14" i="4"/>
  <c r="JR19" i="4" s="1"/>
  <c r="CL79" i="1" s="1"/>
  <c r="KE21" i="4"/>
  <c r="JZ14" i="4"/>
  <c r="JZ19" i="4" s="1"/>
  <c r="JX8" i="4"/>
  <c r="JZ21" i="4"/>
  <c r="JW14" i="4"/>
  <c r="JS8" i="4"/>
  <c r="JX15" i="4"/>
  <c r="JX20" i="4" s="1"/>
  <c r="JV15" i="4"/>
  <c r="JV20" i="4" s="1"/>
  <c r="KA7" i="4"/>
  <c r="JW21" i="4"/>
  <c r="JQ14" i="4"/>
  <c r="KH15" i="4"/>
  <c r="KD7" i="4"/>
  <c r="CJ129" i="1"/>
  <c r="CJ132" i="1"/>
  <c r="CK132" i="1" s="1"/>
  <c r="Y185" i="1"/>
  <c r="Y33" i="1"/>
  <c r="CJ149" i="1"/>
  <c r="CJ183" i="1" s="1"/>
  <c r="CH149" i="1"/>
  <c r="CH183" i="1" s="1"/>
  <c r="CH182" i="1" s="1"/>
  <c r="CI182" i="1" s="1"/>
  <c r="KG20" i="4"/>
  <c r="Z182" i="1"/>
  <c r="X158" i="1"/>
  <c r="KG19" i="4"/>
  <c r="JT19" i="4"/>
  <c r="KB19" i="4"/>
  <c r="JW19" i="4"/>
  <c r="JX19" i="4"/>
  <c r="KE20" i="4"/>
  <c r="CI127" i="1"/>
  <c r="CI129" i="1" s="1"/>
  <c r="CH129" i="1"/>
  <c r="CH169" i="1" s="1"/>
  <c r="CH155" i="1"/>
  <c r="CH157" i="1" s="1"/>
  <c r="Z157" i="1"/>
  <c r="AA198" i="1" s="1"/>
  <c r="AA199" i="1" s="1"/>
  <c r="AA200" i="1" s="1"/>
  <c r="Z27" i="1"/>
  <c r="X27" i="1"/>
  <c r="X130" i="1"/>
  <c r="CK138" i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39" i="1"/>
  <c r="Y183" i="1"/>
  <c r="Y158" i="1"/>
  <c r="Y166" i="1" s="1"/>
  <c r="Z197" i="1"/>
  <c r="X183" i="1"/>
  <c r="X182" i="1" s="1"/>
  <c r="Y197" i="1"/>
  <c r="Y99" i="1"/>
  <c r="Y189" i="1"/>
  <c r="Y27" i="1"/>
  <c r="Y11" i="1"/>
  <c r="Y16" i="1"/>
  <c r="CI118" i="1"/>
  <c r="CH121" i="1"/>
  <c r="CH249" i="1" s="1"/>
  <c r="Z176" i="1"/>
  <c r="Z249" i="1"/>
  <c r="Z135" i="1"/>
  <c r="CH132" i="1"/>
  <c r="X99" i="1"/>
  <c r="X16" i="1"/>
  <c r="X139" i="1"/>
  <c r="X245" i="1" s="1"/>
  <c r="X33" i="1"/>
  <c r="CQ134" i="1"/>
  <c r="CR134" i="1" s="1"/>
  <c r="CS134" i="1" s="1"/>
  <c r="CT134" i="1" s="1"/>
  <c r="AB134" i="1"/>
  <c r="CG27" i="1"/>
  <c r="CG16" i="1"/>
  <c r="CK18" i="1" s="1"/>
  <c r="CI27" i="1"/>
  <c r="X249" i="1"/>
  <c r="Y210" i="1"/>
  <c r="KC19" i="4"/>
  <c r="Z189" i="1"/>
  <c r="Z11" i="1"/>
  <c r="Z16" i="1"/>
  <c r="AA18" i="1" s="1"/>
  <c r="Z99" i="1"/>
  <c r="Y176" i="1"/>
  <c r="Y249" i="1"/>
  <c r="X37" i="1"/>
  <c r="X169" i="1"/>
  <c r="X110" i="1" s="1"/>
  <c r="CJ93" i="1"/>
  <c r="CJ95" i="1" s="1"/>
  <c r="X186" i="1"/>
  <c r="Y198" i="1"/>
  <c r="CK203" i="1"/>
  <c r="KB20" i="4"/>
  <c r="Y250" i="1"/>
  <c r="Y207" i="1"/>
  <c r="Y169" i="1"/>
  <c r="Y110" i="1" s="1"/>
  <c r="CK129" i="1"/>
  <c r="Y37" i="1"/>
  <c r="Y130" i="1"/>
  <c r="CK210" i="1"/>
  <c r="Z169" i="1"/>
  <c r="Z110" i="1" s="1"/>
  <c r="Z207" i="1"/>
  <c r="JY20" i="4"/>
  <c r="JR20" i="4"/>
  <c r="CL80" i="1" s="1"/>
  <c r="CI12" i="1"/>
  <c r="CJ16" i="1"/>
  <c r="CK19" i="1" s="1"/>
  <c r="CJ100" i="1"/>
  <c r="CJ103" i="1" s="1"/>
  <c r="CH27" i="1"/>
  <c r="CJ226" i="1"/>
  <c r="CJ12" i="1"/>
  <c r="CJ27" i="1"/>
  <c r="CH16" i="1"/>
  <c r="CL18" i="1" s="1"/>
  <c r="CH12" i="1"/>
  <c r="Z130" i="1"/>
  <c r="Z37" i="1"/>
  <c r="Z250" i="1"/>
  <c r="Y247" i="1"/>
  <c r="Y245" i="1"/>
  <c r="CM180" i="1"/>
  <c r="CN125" i="1"/>
  <c r="CM181" i="1"/>
  <c r="CM184" i="1"/>
  <c r="CX164" i="1"/>
  <c r="CX118" i="1"/>
  <c r="JP20" i="4"/>
  <c r="CJ80" i="1" s="1"/>
  <c r="JP19" i="4"/>
  <c r="CJ79" i="1" s="1"/>
  <c r="JO19" i="4"/>
  <c r="CI79" i="1" s="1"/>
  <c r="JO20" i="4"/>
  <c r="CI80" i="1" s="1"/>
  <c r="JN20" i="4"/>
  <c r="CH80" i="1" s="1"/>
  <c r="JN19" i="4"/>
  <c r="CH79" i="1" s="1"/>
  <c r="KA19" i="4" l="1"/>
  <c r="CK29" i="1"/>
  <c r="CK34" i="1"/>
  <c r="CK38" i="1" s="1"/>
  <c r="CK103" i="1"/>
  <c r="CJ130" i="1"/>
  <c r="JQ20" i="4"/>
  <c r="CK80" i="1" s="1"/>
  <c r="KD20" i="4"/>
  <c r="JY19" i="4"/>
  <c r="KE19" i="4"/>
  <c r="KF19" i="4"/>
  <c r="CI17" i="1"/>
  <c r="CI28" i="1"/>
  <c r="JQ19" i="4"/>
  <c r="CK79" i="1" s="1"/>
  <c r="KD19" i="4"/>
  <c r="JT20" i="4"/>
  <c r="JS20" i="4"/>
  <c r="CM27" i="1"/>
  <c r="CL31" i="1"/>
  <c r="CL251" i="1"/>
  <c r="CL29" i="1"/>
  <c r="CL34" i="1"/>
  <c r="CL38" i="1" s="1"/>
  <c r="CL233" i="1"/>
  <c r="CL234" i="1" s="1"/>
  <c r="CL182" i="1"/>
  <c r="CL187" i="1"/>
  <c r="JU19" i="4"/>
  <c r="JS19" i="4"/>
  <c r="JV19" i="4"/>
  <c r="KH20" i="4"/>
  <c r="CL108" i="1"/>
  <c r="CL111" i="1" s="1"/>
  <c r="CL104" i="1"/>
  <c r="CL96" i="1"/>
  <c r="CL250" i="1"/>
  <c r="CL207" i="1"/>
  <c r="CL105" i="1"/>
  <c r="CL109" i="1"/>
  <c r="CL112" i="1" s="1"/>
  <c r="CL97" i="1"/>
  <c r="CJ158" i="1"/>
  <c r="CJ166" i="1" s="1"/>
  <c r="CJ167" i="1" s="1"/>
  <c r="X166" i="1"/>
  <c r="X167" i="1" s="1"/>
  <c r="CI207" i="1"/>
  <c r="CK40" i="1"/>
  <c r="CK41" i="1"/>
  <c r="CK109" i="1"/>
  <c r="CK105" i="1"/>
  <c r="Y204" i="1"/>
  <c r="Y202" i="1" s="1"/>
  <c r="X247" i="1"/>
  <c r="CJ187" i="1"/>
  <c r="CJ182" i="1"/>
  <c r="CK182" i="1" s="1"/>
  <c r="CJ97" i="1"/>
  <c r="CJ250" i="1"/>
  <c r="CJ207" i="1"/>
  <c r="CI250" i="1"/>
  <c r="CH186" i="1"/>
  <c r="CH158" i="1"/>
  <c r="Z158" i="1"/>
  <c r="Z186" i="1"/>
  <c r="Z198" i="1"/>
  <c r="Z199" i="1" s="1"/>
  <c r="CK186" i="1"/>
  <c r="CJ247" i="1"/>
  <c r="CJ245" i="1"/>
  <c r="Z139" i="1"/>
  <c r="AA204" i="1" s="1"/>
  <c r="AA202" i="1" s="1"/>
  <c r="Z33" i="1"/>
  <c r="CI132" i="1"/>
  <c r="CI135" i="1" s="1"/>
  <c r="CH135" i="1"/>
  <c r="Y18" i="1"/>
  <c r="X28" i="1"/>
  <c r="X17" i="1"/>
  <c r="CU134" i="1"/>
  <c r="CV134" i="1" s="1"/>
  <c r="CW134" i="1" s="1"/>
  <c r="CX134" i="1" s="1"/>
  <c r="AC134" i="1"/>
  <c r="CG17" i="1"/>
  <c r="CG28" i="1"/>
  <c r="Z17" i="1"/>
  <c r="Z28" i="1"/>
  <c r="Y199" i="1"/>
  <c r="Y167" i="1"/>
  <c r="Y182" i="1"/>
  <c r="Y187" i="1"/>
  <c r="Y28" i="1"/>
  <c r="Y17" i="1"/>
  <c r="Z18" i="1"/>
  <c r="CH93" i="1"/>
  <c r="CH96" i="1" s="1"/>
  <c r="CH130" i="1"/>
  <c r="CJ96" i="1"/>
  <c r="CM141" i="1"/>
  <c r="CI19" i="1"/>
  <c r="CH17" i="1"/>
  <c r="X185" i="1"/>
  <c r="X187" i="1"/>
  <c r="CM126" i="1"/>
  <c r="CJ19" i="1"/>
  <c r="CJ28" i="1"/>
  <c r="CJ17" i="1"/>
  <c r="CK207" i="1"/>
  <c r="CK250" i="1"/>
  <c r="CH28" i="1"/>
  <c r="CL30" i="1" s="1"/>
  <c r="CH19" i="1"/>
  <c r="CI37" i="1"/>
  <c r="CH110" i="1"/>
  <c r="CJ109" i="1"/>
  <c r="CJ105" i="1"/>
  <c r="CH109" i="1"/>
  <c r="CI108" i="1"/>
  <c r="CH108" i="1"/>
  <c r="CI109" i="1"/>
  <c r="CJ108" i="1"/>
  <c r="CJ104" i="1"/>
  <c r="CN181" i="1"/>
  <c r="CO125" i="1"/>
  <c r="CI183" i="1"/>
  <c r="CI147" i="1"/>
  <c r="CN184" i="1"/>
  <c r="CN180" i="1"/>
  <c r="CY118" i="1"/>
  <c r="CY164" i="1"/>
  <c r="CI34" i="1"/>
  <c r="CI233" i="1"/>
  <c r="CI234" i="1" s="1"/>
  <c r="CI29" i="1"/>
  <c r="CK108" i="1" l="1"/>
  <c r="CK104" i="1"/>
  <c r="AA214" i="1"/>
  <c r="AA211" i="1"/>
  <c r="AA212" i="1" s="1"/>
  <c r="AA30" i="1"/>
  <c r="AA251" i="1"/>
  <c r="AA252" i="1" s="1"/>
  <c r="CN27" i="1"/>
  <c r="CO27" i="1" s="1"/>
  <c r="CL252" i="1"/>
  <c r="CL40" i="1"/>
  <c r="CL41" i="1"/>
  <c r="CL227" i="1"/>
  <c r="CL113" i="1"/>
  <c r="CI38" i="1"/>
  <c r="CK183" i="1"/>
  <c r="CK187" i="1"/>
  <c r="CK48" i="1"/>
  <c r="CK67" i="1" s="1"/>
  <c r="CK42" i="1"/>
  <c r="CG29" i="1"/>
  <c r="CG34" i="1"/>
  <c r="CG38" i="1" s="1"/>
  <c r="CG233" i="1"/>
  <c r="CG234" i="1" s="1"/>
  <c r="CK30" i="1"/>
  <c r="CJ233" i="1"/>
  <c r="CJ234" i="1" s="1"/>
  <c r="CK31" i="1"/>
  <c r="CI251" i="1"/>
  <c r="CK113" i="1"/>
  <c r="AD134" i="1"/>
  <c r="CY134" i="1"/>
  <c r="CZ134" i="1" s="1"/>
  <c r="DA134" i="1" s="1"/>
  <c r="DB134" i="1" s="1"/>
  <c r="AE134" i="1" s="1"/>
  <c r="Z166" i="1"/>
  <c r="Z167" i="1" s="1"/>
  <c r="CH187" i="1"/>
  <c r="CL190" i="1" s="1"/>
  <c r="CH185" i="1"/>
  <c r="CI185" i="1" s="1"/>
  <c r="CM203" i="1"/>
  <c r="CN141" i="1"/>
  <c r="Y190" i="1"/>
  <c r="Y191" i="1" s="1"/>
  <c r="Z187" i="1"/>
  <c r="Z185" i="1"/>
  <c r="CM185" i="1"/>
  <c r="Z204" i="1"/>
  <c r="Z202" i="1" s="1"/>
  <c r="Z247" i="1"/>
  <c r="Z245" i="1"/>
  <c r="CJ33" i="1"/>
  <c r="CI139" i="1"/>
  <c r="CJ204" i="1" s="1"/>
  <c r="CJ202" i="1" s="1"/>
  <c r="CI33" i="1"/>
  <c r="CH139" i="1"/>
  <c r="X233" i="1"/>
  <c r="X234" i="1" s="1"/>
  <c r="X34" i="1"/>
  <c r="X113" i="1"/>
  <c r="X29" i="1"/>
  <c r="Y30" i="1"/>
  <c r="Z251" i="1"/>
  <c r="Z252" i="1" s="1"/>
  <c r="Z34" i="1"/>
  <c r="Z113" i="1"/>
  <c r="Z29" i="1"/>
  <c r="Z233" i="1"/>
  <c r="Z234" i="1" s="1"/>
  <c r="Y251" i="1"/>
  <c r="Y252" i="1" s="1"/>
  <c r="Y113" i="1"/>
  <c r="Y34" i="1"/>
  <c r="Y29" i="1"/>
  <c r="Y233" i="1"/>
  <c r="Y234" i="1" s="1"/>
  <c r="Z30" i="1"/>
  <c r="CH95" i="1"/>
  <c r="CH97" i="1"/>
  <c r="CJ31" i="1"/>
  <c r="CJ251" i="1"/>
  <c r="CJ252" i="1" s="1"/>
  <c r="CM182" i="1"/>
  <c r="CH29" i="1"/>
  <c r="CH34" i="1"/>
  <c r="CH38" i="1" s="1"/>
  <c r="CH31" i="1"/>
  <c r="CH251" i="1"/>
  <c r="CI31" i="1"/>
  <c r="CH233" i="1"/>
  <c r="CH234" i="1" s="1"/>
  <c r="CJ227" i="1"/>
  <c r="CJ113" i="1"/>
  <c r="CJ29" i="1"/>
  <c r="CJ34" i="1"/>
  <c r="CN126" i="1"/>
  <c r="CM129" i="1"/>
  <c r="CM250" i="1" s="1"/>
  <c r="CH111" i="1"/>
  <c r="CH112" i="1"/>
  <c r="CP125" i="1"/>
  <c r="CO180" i="1"/>
  <c r="CO181" i="1"/>
  <c r="CO184" i="1"/>
  <c r="CZ164" i="1"/>
  <c r="CZ118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252" i="1" l="1"/>
  <c r="Z190" i="1"/>
  <c r="Z191" i="1" s="1"/>
  <c r="AA190" i="1"/>
  <c r="AA191" i="1" s="1"/>
  <c r="CP27" i="1"/>
  <c r="CI41" i="1"/>
  <c r="CI42" i="1" s="1"/>
  <c r="CI246" i="1" s="1"/>
  <c r="CI40" i="1"/>
  <c r="CL44" i="1"/>
  <c r="CL48" i="1"/>
  <c r="CL42" i="1"/>
  <c r="CL246" i="1" s="1"/>
  <c r="CL235" i="1"/>
  <c r="CL115" i="1"/>
  <c r="CL114" i="1"/>
  <c r="CJ38" i="1"/>
  <c r="CL56" i="1"/>
  <c r="CK53" i="1"/>
  <c r="CG41" i="1"/>
  <c r="CG40" i="1"/>
  <c r="CH41" i="1"/>
  <c r="CL43" i="1" s="1"/>
  <c r="CH40" i="1"/>
  <c r="CI153" i="1"/>
  <c r="CI186" i="1"/>
  <c r="CN203" i="1"/>
  <c r="CO141" i="1"/>
  <c r="CI204" i="1"/>
  <c r="CI202" i="1" s="1"/>
  <c r="CH247" i="1"/>
  <c r="CH166" i="1"/>
  <c r="CH167" i="1" s="1"/>
  <c r="X38" i="1"/>
  <c r="X56" i="1"/>
  <c r="Z56" i="1"/>
  <c r="Z38" i="1"/>
  <c r="CM186" i="1"/>
  <c r="CN185" i="1"/>
  <c r="Y56" i="1"/>
  <c r="Y38" i="1"/>
  <c r="CN182" i="1"/>
  <c r="CM183" i="1"/>
  <c r="CO126" i="1"/>
  <c r="CN129" i="1"/>
  <c r="CN250" i="1" s="1"/>
  <c r="CM207" i="1"/>
  <c r="CP184" i="1"/>
  <c r="CP181" i="1"/>
  <c r="CP180" i="1"/>
  <c r="CQ125" i="1"/>
  <c r="DA118" i="1"/>
  <c r="DA164" i="1"/>
  <c r="CE66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J40" i="1"/>
  <c r="CI235" i="1"/>
  <c r="CI48" i="1"/>
  <c r="CL228" i="1"/>
  <c r="CQ27" i="1"/>
  <c r="CR27" i="1"/>
  <c r="CS27" i="1" s="1"/>
  <c r="CT27" i="1" s="1"/>
  <c r="CL194" i="1"/>
  <c r="CL196" i="1" s="1"/>
  <c r="CL67" i="1"/>
  <c r="CL53" i="1"/>
  <c r="Y40" i="1"/>
  <c r="Y41" i="1"/>
  <c r="CI67" i="1"/>
  <c r="CJ228" i="1"/>
  <c r="CM17" i="1"/>
  <c r="CI120" i="1"/>
  <c r="CI121" i="1" s="1"/>
  <c r="CJ44" i="1"/>
  <c r="CJ42" i="1"/>
  <c r="CJ246" i="1" s="1"/>
  <c r="CK43" i="1"/>
  <c r="CG42" i="1"/>
  <c r="CG246" i="1" s="1"/>
  <c r="CG235" i="1"/>
  <c r="CG48" i="1"/>
  <c r="CH44" i="1"/>
  <c r="CI44" i="1"/>
  <c r="CH48" i="1"/>
  <c r="CH194" i="1" s="1"/>
  <c r="CH196" i="1" s="1"/>
  <c r="CH42" i="1"/>
  <c r="CH246" i="1" s="1"/>
  <c r="CH235" i="1"/>
  <c r="CO203" i="1"/>
  <c r="CP141" i="1"/>
  <c r="CP203" i="1" s="1"/>
  <c r="X40" i="1"/>
  <c r="X41" i="1"/>
  <c r="X235" i="1" s="1"/>
  <c r="Z40" i="1"/>
  <c r="Z41" i="1"/>
  <c r="CJ235" i="1"/>
  <c r="CJ48" i="1"/>
  <c r="CK44" i="1"/>
  <c r="CO185" i="1"/>
  <c r="CN186" i="1"/>
  <c r="CK195" i="1"/>
  <c r="CK133" i="1"/>
  <c r="CL133" i="1" s="1"/>
  <c r="CL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M187" i="1"/>
  <c r="CO182" i="1"/>
  <c r="CN183" i="1"/>
  <c r="CP126" i="1"/>
  <c r="CO129" i="1"/>
  <c r="CO250" i="1" s="1"/>
  <c r="CN207" i="1"/>
  <c r="Y235" i="1"/>
  <c r="Y42" i="1"/>
  <c r="Y246" i="1" s="1"/>
  <c r="Y48" i="1"/>
  <c r="Z48" i="1"/>
  <c r="Z42" i="1"/>
  <c r="Z246" i="1" s="1"/>
  <c r="Z235" i="1"/>
  <c r="CB66" i="1"/>
  <c r="BL66" i="1"/>
  <c r="CR125" i="1"/>
  <c r="CQ180" i="1"/>
  <c r="CQ184" i="1"/>
  <c r="CC66" i="1"/>
  <c r="CQ181" i="1"/>
  <c r="DB118" i="1"/>
  <c r="DB164" i="1"/>
  <c r="AL66" i="1"/>
  <c r="CF66" i="1"/>
  <c r="CD66" i="1"/>
  <c r="BY66" i="1"/>
  <c r="BZ66" i="1"/>
  <c r="CA66" i="1"/>
  <c r="CI53" i="1"/>
  <c r="CI194" i="1"/>
  <c r="CI196" i="1" s="1"/>
  <c r="CH53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U39" i="3"/>
  <c r="AV5" i="3"/>
  <c r="AK6" i="6" a="1"/>
  <c r="AS26" i="3"/>
  <c r="AF6" i="3"/>
  <c r="AY38" i="3"/>
  <c r="AC5" i="6" a="1"/>
  <c r="AT36" i="3"/>
  <c r="EW15" i="4" a="1"/>
  <c r="EM12" i="4" a="1"/>
  <c r="EV8" i="4" a="1"/>
  <c r="ER9" i="4" a="1"/>
  <c r="AX46" i="3"/>
  <c r="ER11" i="4" a="1"/>
  <c r="EN7" i="4" a="1"/>
  <c r="E6" i="6" a="1"/>
  <c r="AS42" i="3"/>
  <c r="EV5" i="4" a="1"/>
  <c r="EL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20" i="3"/>
  <c r="AX40" i="3"/>
  <c r="AY31" i="3"/>
  <c r="AU21" i="3"/>
  <c r="AS37" i="3"/>
  <c r="AN6" i="6" a="1"/>
  <c r="AW34" i="3"/>
  <c r="AZ45" i="3"/>
  <c r="AJ6" i="6" a="1"/>
  <c r="AF7" i="3"/>
  <c r="AS30" i="3"/>
  <c r="AW19" i="3"/>
  <c r="AV31" i="3"/>
  <c r="AW32" i="3"/>
  <c r="AV6" i="6" a="1"/>
  <c r="AS10" i="3"/>
  <c r="EP13" i="4" a="1"/>
  <c r="EQ15" i="4" a="1"/>
  <c r="ER8" i="4" a="1"/>
  <c r="ER5" i="4" a="1"/>
  <c r="EL9" i="4" a="1"/>
  <c r="EN11" i="4" a="1"/>
  <c r="EV12" i="4" a="1"/>
  <c r="AU12" i="3"/>
  <c r="AU7" i="3"/>
  <c r="AY42" i="3"/>
  <c r="ET15" i="4" a="1"/>
  <c r="EW9" i="4" a="1"/>
  <c r="AY27" i="3"/>
  <c r="AY18" i="3"/>
  <c r="AH5" i="6" a="1"/>
  <c r="AT6" i="3"/>
  <c r="X6" i="6" a="1"/>
  <c r="ER13" i="4" a="1"/>
  <c r="EQ5" i="4" a="1"/>
  <c r="EU15" i="4" a="1"/>
  <c r="EO13" i="4" a="1"/>
  <c r="EL7" i="4" a="1"/>
  <c r="ES11" i="4" a="1"/>
  <c r="AY45" i="3"/>
  <c r="AV6" i="3"/>
  <c r="AO5" i="6" a="1"/>
  <c r="AZ3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V17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O7" i="4" a="1"/>
  <c r="EU6" i="4" a="1"/>
  <c r="EU5" i="4" a="1"/>
  <c r="EN12" i="4" a="1"/>
  <c r="AZ25" i="3"/>
  <c r="AX13" i="3"/>
  <c r="EO12" i="4" a="1"/>
  <c r="EU7" i="4" a="1"/>
  <c r="ER7" i="4" a="1"/>
  <c r="ES12" i="4" a="1"/>
  <c r="EM6" i="4" a="1"/>
  <c r="AW5" i="6" a="1"/>
  <c r="AT10" i="3"/>
  <c r="AF10" i="3"/>
  <c r="T5" i="6" a="1"/>
  <c r="AZ41" i="3"/>
  <c r="AX6" i="3"/>
  <c r="AU15" i="3"/>
  <c r="AV26" i="3"/>
  <c r="AW28" i="3"/>
  <c r="J6" i="6" a="1"/>
  <c r="AY15" i="3"/>
  <c r="ET12" i="4" a="1"/>
  <c r="EQ8" i="4" a="1"/>
  <c r="AU13" i="3"/>
  <c r="AW38" i="3"/>
  <c r="AX11" i="3"/>
  <c r="AF33" i="3"/>
  <c r="S6" i="6" a="1"/>
  <c r="EU16" i="4" a="1"/>
  <c r="P5" i="6" a="1"/>
  <c r="AT22" i="3"/>
  <c r="H6" i="6" a="1"/>
  <c r="H5" i="6" a="1"/>
  <c r="S5" i="6" a="1"/>
  <c r="AF20" i="3"/>
  <c r="AW33" i="3"/>
  <c r="AV22" i="3"/>
  <c r="G6" i="6" a="1"/>
  <c r="Y6" i="6" a="1"/>
  <c r="EQ16" i="4" a="1"/>
  <c r="EO14" i="4" a="1"/>
  <c r="EW14" i="4" a="1"/>
  <c r="EO11" i="4" a="1"/>
  <c r="ET13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N16" i="4" a="1"/>
  <c r="EV7" i="4" a="1"/>
  <c r="EM8" i="4" a="1"/>
  <c r="EN9" i="4" a="1"/>
  <c r="AW15" i="3"/>
  <c r="EL6" i="4" a="1"/>
  <c r="EP11" i="4" a="1"/>
  <c r="ER6" i="4" a="1"/>
  <c r="EV11" i="4" a="1"/>
  <c r="AW12" i="3"/>
  <c r="AU42" i="3"/>
  <c r="AJ5" i="6" a="1"/>
  <c r="AU19" i="3"/>
  <c r="AS8" i="3"/>
  <c r="AU5" i="3"/>
  <c r="AQ6" i="6" a="1"/>
  <c r="AZ11" i="3"/>
  <c r="AZ24" i="3"/>
  <c r="AT35" i="3"/>
  <c r="AX9" i="3"/>
  <c r="AX42" i="3"/>
  <c r="AZ46" i="3"/>
  <c r="AY37" i="3"/>
  <c r="EV13" i="4" a="1"/>
  <c r="EO6" i="4" a="1"/>
  <c r="AY28" i="3"/>
  <c r="EP5" i="4" a="1"/>
  <c r="AW5" i="3"/>
  <c r="AP5" i="3"/>
  <c r="AF12" i="3"/>
  <c r="ES1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S28" i="3"/>
  <c r="EL12" i="4" a="1"/>
  <c r="R6" i="6" a="1"/>
  <c r="AU10" i="3"/>
  <c r="AV40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F46" i="3"/>
  <c r="AS5" i="6" a="1"/>
  <c r="AX5" i="6" a="1"/>
  <c r="AT33" i="3"/>
  <c r="ES5" i="4" a="1"/>
  <c r="L6" i="6" a="1"/>
  <c r="AU27" i="3"/>
  <c r="AT24" i="3"/>
  <c r="AU16" i="3"/>
  <c r="AW23" i="3"/>
  <c r="AY25" i="3"/>
  <c r="C5" i="3"/>
  <c r="EM5" i="4" a="1"/>
  <c r="EL13" i="4" a="1"/>
  <c r="ES13" i="4" a="1"/>
  <c r="AZ10" i="3"/>
  <c r="W5" i="6" a="1"/>
  <c r="AT34" i="3"/>
  <c r="AY46" i="3"/>
  <c r="AV28" i="3"/>
  <c r="AT18" i="3"/>
  <c r="AV32" i="3"/>
  <c r="AS5" i="3"/>
  <c r="EQ9" i="4" a="1"/>
  <c r="C5" i="4" a="1"/>
  <c r="ES7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M11" i="4" a="1"/>
  <c r="EM14" i="4" a="1"/>
  <c r="ET8" i="4" a="1"/>
  <c r="EM13" i="4" a="1"/>
  <c r="EV16" i="4" a="1"/>
  <c r="AS46" i="3"/>
  <c r="AA5" i="6" a="1"/>
  <c r="AW16" i="3"/>
  <c r="AF32" i="3"/>
  <c r="AU36" i="3"/>
  <c r="AV33" i="3"/>
  <c r="AU29" i="3"/>
  <c r="AT23" i="3"/>
  <c r="AY11" i="3"/>
  <c r="AF28" i="3"/>
  <c r="AV15" i="3"/>
  <c r="EW12" i="4" a="1"/>
  <c r="AW11" i="3"/>
  <c r="AU38" i="3"/>
  <c r="AX19" i="3"/>
  <c r="AY10" i="3"/>
  <c r="AY34" i="3"/>
  <c r="AU35" i="3"/>
  <c r="AP6" i="3"/>
  <c r="AF14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S16" i="4" a="1"/>
  <c r="EV9" i="4" a="1"/>
  <c r="EL14" i="4" a="1"/>
  <c r="AU5" i="6" a="1"/>
  <c r="AS12" i="3"/>
  <c r="AS7" i="3"/>
  <c r="AF41" i="3"/>
  <c r="Q5" i="6" a="1"/>
  <c r="AP6" i="6" a="1"/>
  <c r="AX6" i="6" a="1"/>
  <c r="AZ20" i="3"/>
  <c r="AY19" i="3"/>
  <c r="AF36" i="3"/>
  <c r="AY16" i="3"/>
  <c r="AT16" i="3"/>
  <c r="EN14" i="4" a="1"/>
  <c r="AY14" i="3"/>
  <c r="AY22" i="3"/>
  <c r="AW14" i="3"/>
  <c r="AT9" i="3"/>
  <c r="AP5" i="6" a="1"/>
  <c r="W6" i="6" a="1"/>
  <c r="AZ38" i="3"/>
  <c r="AY41" i="3"/>
  <c r="EU12" i="4" a="1"/>
  <c r="EQ14" i="4" a="1"/>
  <c r="Z43" i="1" l="1"/>
  <c r="AA43" i="1"/>
  <c r="CJ67" i="1"/>
  <c r="CL70" i="1" s="1"/>
  <c r="CL55" i="1"/>
  <c r="CJ55" i="1"/>
  <c r="CN187" i="1"/>
  <c r="X48" i="1"/>
  <c r="X194" i="1" s="1"/>
  <c r="X196" i="1" s="1"/>
  <c r="CG67" i="1"/>
  <c r="CJ70" i="1" s="1"/>
  <c r="Y43" i="1"/>
  <c r="X42" i="1"/>
  <c r="X246" i="1" s="1"/>
  <c r="CG53" i="1"/>
  <c r="CJ194" i="1"/>
  <c r="CJ196" i="1" s="1"/>
  <c r="CG194" i="1"/>
  <c r="CG196" i="1" s="1"/>
  <c r="CQ141" i="1"/>
  <c r="CQ203" i="1" s="1"/>
  <c r="CN17" i="1"/>
  <c r="CO17" i="1" s="1"/>
  <c r="CH67" i="1"/>
  <c r="CK70" i="1" s="1"/>
  <c r="CK86" i="1" s="1"/>
  <c r="CJ53" i="1"/>
  <c r="CP185" i="1"/>
  <c r="CO186" i="1"/>
  <c r="CP182" i="1"/>
  <c r="CO183" i="1"/>
  <c r="CQ126" i="1"/>
  <c r="CP129" i="1"/>
  <c r="CP250" i="1" s="1"/>
  <c r="CO207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4" i="1"/>
  <c r="Y196" i="1" s="1"/>
  <c r="Y200" i="1" s="1"/>
  <c r="Y214" i="1" s="1"/>
  <c r="Y208" i="1"/>
  <c r="Y206" i="1" s="1"/>
  <c r="Y55" i="1"/>
  <c r="Y53" i="1"/>
  <c r="X55" i="1"/>
  <c r="Z194" i="1"/>
  <c r="Z196" i="1" s="1"/>
  <c r="Z200" i="1" s="1"/>
  <c r="Z214" i="1" s="1"/>
  <c r="Z208" i="1"/>
  <c r="Z206" i="1" s="1"/>
  <c r="Z55" i="1"/>
  <c r="Z53" i="1"/>
  <c r="CD25" i="1"/>
  <c r="CC45" i="1"/>
  <c r="CA8" i="1"/>
  <c r="CA232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2" i="1" s="1"/>
  <c r="BY52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2" i="1"/>
  <c r="BZ14" i="1"/>
  <c r="CE15" i="1"/>
  <c r="CC14" i="1"/>
  <c r="C7" i="6" s="1"/>
  <c r="T7" i="6" s="1"/>
  <c r="BY24" i="1"/>
  <c r="CC46" i="1"/>
  <c r="CC8" i="1"/>
  <c r="CC232" i="1" s="1"/>
  <c r="CB35" i="1"/>
  <c r="JL9" i="4" s="1"/>
  <c r="CF39" i="1"/>
  <c r="AL7" i="6" s="1"/>
  <c r="BZ32" i="1"/>
  <c r="BZ195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5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5" i="1" s="1"/>
  <c r="CC47" i="1"/>
  <c r="CC52" i="1"/>
  <c r="AX7" i="6" s="1"/>
  <c r="BZ23" i="1"/>
  <c r="AT7" i="6" s="1"/>
  <c r="S7" i="6" s="1"/>
  <c r="BY13" i="1"/>
  <c r="CE35" i="1"/>
  <c r="CA45" i="1"/>
  <c r="CB47" i="1"/>
  <c r="CA35" i="1"/>
  <c r="CF52" i="1"/>
  <c r="CF21" i="1"/>
  <c r="CA20" i="1"/>
  <c r="AN7" i="6" s="1"/>
  <c r="CE46" i="1"/>
  <c r="CC15" i="1"/>
  <c r="CE52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2" i="1"/>
  <c r="BY20" i="1"/>
  <c r="BZ15" i="1"/>
  <c r="CD21" i="1"/>
  <c r="L7" i="6" s="1"/>
  <c r="BL39" i="1"/>
  <c r="BZ8" i="1"/>
  <c r="BZ232" i="1" s="1"/>
  <c r="CA32" i="1"/>
  <c r="BZ39" i="1"/>
  <c r="BY32" i="1"/>
  <c r="BY195" i="1" s="1"/>
  <c r="AI7" i="6" s="1"/>
  <c r="CC39" i="1"/>
  <c r="D7" i="6" s="1"/>
  <c r="BZ21" i="1"/>
  <c r="AG7" i="6" s="1"/>
  <c r="BZ20" i="1"/>
  <c r="BL52" i="1"/>
  <c r="W7" i="6" s="1"/>
  <c r="CB52" i="1"/>
  <c r="CE47" i="1"/>
  <c r="CF20" i="1"/>
  <c r="CC23" i="1"/>
  <c r="CD23" i="1"/>
  <c r="CE13" i="1"/>
  <c r="BY35" i="1"/>
  <c r="CC35" i="1"/>
  <c r="BZ52" i="1"/>
  <c r="AS7" i="6" s="1"/>
  <c r="BZ47" i="1"/>
  <c r="CE36" i="1"/>
  <c r="CD13" i="1"/>
  <c r="BL35" i="1"/>
  <c r="CB14" i="1"/>
  <c r="CC32" i="1"/>
  <c r="CC195" i="1" s="1"/>
  <c r="BY39" i="1"/>
  <c r="H7" i="6" s="1"/>
  <c r="CA23" i="1"/>
  <c r="BZ25" i="1"/>
  <c r="CD8" i="1"/>
  <c r="CD232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5" i="1" s="1"/>
  <c r="CB25" i="1"/>
  <c r="BY36" i="1"/>
  <c r="CF45" i="1"/>
  <c r="N7" i="6" s="1"/>
  <c r="CI130" i="1"/>
  <c r="CI93" i="1"/>
  <c r="CS125" i="1"/>
  <c r="CR181" i="1"/>
  <c r="CR184" i="1"/>
  <c r="CR180" i="1"/>
  <c r="CJ208" i="1"/>
  <c r="CJ206" i="1" s="1"/>
  <c r="CJ56" i="1"/>
  <c r="CI208" i="1"/>
  <c r="CI206" i="1" s="1"/>
  <c r="AC46" i="1"/>
  <c r="CV46" i="1"/>
  <c r="CW46" i="1" s="1"/>
  <c r="CX46" i="1" s="1"/>
  <c r="CY46" i="1" s="1"/>
  <c r="AD35" i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V87" i="3"/>
  <c r="AX62" i="3"/>
  <c r="AY75" i="3"/>
  <c r="AT63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Z55" i="3"/>
  <c r="AF73" i="3"/>
  <c r="AV72" i="3"/>
  <c r="AU68" i="3"/>
  <c r="AT64" i="3"/>
  <c r="AV69" i="3"/>
  <c r="AY69" i="3"/>
  <c r="AZ96" i="3"/>
  <c r="C83" i="3"/>
  <c r="AV68" i="3"/>
  <c r="AF67" i="3"/>
  <c r="AV49" i="3"/>
  <c r="AU78" i="3"/>
  <c r="C73" i="3"/>
  <c r="AZ77" i="3"/>
  <c r="C80" i="3"/>
  <c r="AZ60" i="3"/>
  <c r="AU75" i="3"/>
  <c r="AT61" i="3"/>
  <c r="AW95" i="3"/>
  <c r="AU7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F78" i="3"/>
  <c r="C54" i="3"/>
  <c r="AZ47" i="3"/>
  <c r="AF88" i="3"/>
  <c r="AX56" i="3"/>
  <c r="AS90" i="3"/>
  <c r="AZ63" i="3"/>
  <c r="AU70" i="3"/>
  <c r="AV9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F79" i="3"/>
  <c r="AV9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X47" i="3"/>
  <c r="AY58" i="3"/>
  <c r="AW71" i="3"/>
  <c r="AY63" i="3"/>
  <c r="AZ87" i="3"/>
  <c r="AU79" i="3"/>
  <c r="AS80" i="3"/>
  <c r="AY57" i="3"/>
  <c r="C96" i="3"/>
  <c r="AV76" i="3"/>
  <c r="AV61" i="3"/>
  <c r="AZ59" i="3"/>
  <c r="AF47" i="3"/>
  <c r="AX83" i="3"/>
  <c r="C92" i="3"/>
  <c r="AS64" i="3"/>
  <c r="AV50" i="3"/>
  <c r="AY74" i="3"/>
  <c r="C65" i="3"/>
  <c r="C7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C91" i="3"/>
  <c r="AY72" i="3"/>
  <c r="AW86" i="3"/>
  <c r="AT80" i="3"/>
  <c r="AY82" i="3"/>
  <c r="AW48" i="3"/>
  <c r="AV64" i="3"/>
  <c r="AU73" i="3"/>
  <c r="AV81" i="3"/>
  <c r="AS76" i="3"/>
  <c r="AF93" i="3"/>
  <c r="AF55" i="3"/>
  <c r="AF76" i="3"/>
  <c r="AX70" i="3"/>
  <c r="AT79" i="3"/>
  <c r="AZ72" i="3"/>
  <c r="AW90" i="3"/>
  <c r="C50" i="3"/>
  <c r="AV48" i="3"/>
  <c r="AW68" i="3"/>
  <c r="AU55" i="3"/>
  <c r="AT90" i="3"/>
  <c r="AY95" i="3"/>
  <c r="AV90" i="3"/>
  <c r="AF63" i="3"/>
  <c r="AV96" i="3"/>
  <c r="AF89" i="3"/>
  <c r="AY54" i="3"/>
  <c r="AF62" i="3"/>
  <c r="C64" i="3"/>
  <c r="AS97" i="3"/>
  <c r="AS69" i="3"/>
  <c r="AW66" i="3"/>
  <c r="AU50" i="3"/>
  <c r="AT60" i="3"/>
  <c r="C81" i="3"/>
  <c r="AF90" i="3"/>
  <c r="AU62" i="3"/>
  <c r="AT56" i="3"/>
  <c r="AV86" i="3"/>
  <c r="AT88" i="3"/>
  <c r="AS59" i="3"/>
  <c r="AX61" i="3"/>
  <c r="AV80" i="3"/>
  <c r="AY67" i="3"/>
  <c r="AU65" i="3"/>
  <c r="AT55" i="3"/>
  <c r="AU87" i="3"/>
  <c r="AX4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V57" i="3"/>
  <c r="AW97" i="3"/>
  <c r="AZ94" i="3"/>
  <c r="AU54" i="3"/>
  <c r="AT70" i="3"/>
  <c r="AZ69" i="3"/>
  <c r="AW59" i="3"/>
  <c r="AX68" i="3"/>
  <c r="AX50" i="3"/>
  <c r="AZ73" i="3"/>
  <c r="AT69" i="3"/>
  <c r="AZ88" i="3"/>
  <c r="AU57" i="3"/>
  <c r="AT83" i="3"/>
  <c r="AS54" i="3"/>
  <c r="C75" i="3"/>
  <c r="AZ58" i="3"/>
  <c r="AF97" i="3"/>
  <c r="C79" i="3"/>
  <c r="AT54" i="3"/>
  <c r="CL86" i="1" l="1"/>
  <c r="CL88" i="1"/>
  <c r="CL87" i="1"/>
  <c r="CU27" i="1"/>
  <c r="CV27" i="1" s="1"/>
  <c r="X53" i="1"/>
  <c r="CR141" i="1"/>
  <c r="CR203" i="1" s="1"/>
  <c r="CK88" i="1"/>
  <c r="CK87" i="1"/>
  <c r="CO187" i="1"/>
  <c r="CP17" i="1"/>
  <c r="CQ17" i="1" s="1"/>
  <c r="CR17" i="1" s="1"/>
  <c r="CS17" i="1" s="1"/>
  <c r="CQ185" i="1"/>
  <c r="CP186" i="1"/>
  <c r="CQ182" i="1"/>
  <c r="CP183" i="1"/>
  <c r="CR126" i="1"/>
  <c r="CQ129" i="1"/>
  <c r="CQ250" i="1" s="1"/>
  <c r="CP207" i="1"/>
  <c r="BZ126" i="1"/>
  <c r="CA126" i="1" s="1"/>
  <c r="BL74" i="1"/>
  <c r="CF75" i="1"/>
  <c r="CB147" i="1"/>
  <c r="CC147" i="1" s="1"/>
  <c r="CD154" i="1"/>
  <c r="CD184" i="1" s="1"/>
  <c r="CE184" i="1" s="1"/>
  <c r="CB165" i="1"/>
  <c r="CC165" i="1" s="1"/>
  <c r="BL125" i="1"/>
  <c r="BM125" i="1" s="1"/>
  <c r="CD134" i="1"/>
  <c r="CD125" i="1"/>
  <c r="CE125" i="1" s="1"/>
  <c r="CF128" i="1"/>
  <c r="CG128" i="1" s="1"/>
  <c r="CB128" i="1"/>
  <c r="CC128" i="1" s="1"/>
  <c r="CB153" i="1"/>
  <c r="CC153" i="1" s="1"/>
  <c r="CB145" i="1"/>
  <c r="CB180" i="1" s="1"/>
  <c r="CC180" i="1" s="1"/>
  <c r="BZ154" i="1"/>
  <c r="BZ184" i="1" s="1"/>
  <c r="CA184" i="1" s="1"/>
  <c r="BZ165" i="1"/>
  <c r="CA165" i="1" s="1"/>
  <c r="BZ155" i="1"/>
  <c r="CA155" i="1" s="1"/>
  <c r="BZ161" i="1"/>
  <c r="BZ151" i="1"/>
  <c r="CA151" i="1" s="1"/>
  <c r="BZ133" i="1"/>
  <c r="BL146" i="1"/>
  <c r="BL181" i="1" s="1"/>
  <c r="BM181" i="1" s="1"/>
  <c r="BL154" i="1"/>
  <c r="BL184" i="1" s="1"/>
  <c r="BM184" i="1" s="1"/>
  <c r="BL123" i="1"/>
  <c r="BM123" i="1" s="1"/>
  <c r="CA74" i="1"/>
  <c r="CF74" i="1"/>
  <c r="CF147" i="1"/>
  <c r="CG147" i="1" s="1"/>
  <c r="CF134" i="1"/>
  <c r="CB75" i="1"/>
  <c r="CF145" i="1"/>
  <c r="CF180" i="1" s="1"/>
  <c r="CG180" i="1" s="1"/>
  <c r="CG145" i="1" s="1"/>
  <c r="CF123" i="1"/>
  <c r="CG123" i="1" s="1"/>
  <c r="CB150" i="1"/>
  <c r="CC150" i="1" s="1"/>
  <c r="CF165" i="1"/>
  <c r="CG165" i="1" s="1"/>
  <c r="CB126" i="1"/>
  <c r="CC126" i="1" s="1"/>
  <c r="CB164" i="1"/>
  <c r="CC164" i="1" s="1"/>
  <c r="CD75" i="1"/>
  <c r="CB160" i="1"/>
  <c r="CD146" i="1"/>
  <c r="CD181" i="1" s="1"/>
  <c r="CE181" i="1" s="1"/>
  <c r="CD123" i="1"/>
  <c r="CE123" i="1" s="1"/>
  <c r="BL126" i="1"/>
  <c r="CD132" i="1"/>
  <c r="CD152" i="1"/>
  <c r="CE152" i="1" s="1"/>
  <c r="CD160" i="1"/>
  <c r="CD143" i="1"/>
  <c r="CE143" i="1" s="1"/>
  <c r="CF141" i="1"/>
  <c r="CF127" i="1"/>
  <c r="CG127" i="1" s="1"/>
  <c r="CB143" i="1"/>
  <c r="CC143" i="1" s="1"/>
  <c r="BL155" i="1"/>
  <c r="BM155" i="1" s="1"/>
  <c r="BL164" i="1"/>
  <c r="BM164" i="1" s="1"/>
  <c r="BL165" i="1"/>
  <c r="CB127" i="1"/>
  <c r="CC127" i="1" s="1"/>
  <c r="CE75" i="1"/>
  <c r="BZ160" i="1"/>
  <c r="BZ164" i="1"/>
  <c r="CA164" i="1" s="1"/>
  <c r="BZ120" i="1"/>
  <c r="BZ128" i="1"/>
  <c r="CA128" i="1" s="1"/>
  <c r="CF146" i="1"/>
  <c r="CF181" i="1" s="1"/>
  <c r="CG181" i="1" s="1"/>
  <c r="CG146" i="1" s="1"/>
  <c r="CF133" i="1"/>
  <c r="CF150" i="1"/>
  <c r="CB120" i="1"/>
  <c r="CB146" i="1"/>
  <c r="CB181" i="1" s="1"/>
  <c r="CC181" i="1" s="1"/>
  <c r="CD161" i="1"/>
  <c r="CD153" i="1"/>
  <c r="CE153" i="1" s="1"/>
  <c r="CB74" i="1"/>
  <c r="BZ156" i="1"/>
  <c r="CA156" i="1" s="1"/>
  <c r="BZ134" i="1"/>
  <c r="BZ118" i="1"/>
  <c r="BZ148" i="1"/>
  <c r="CA148" i="1" s="1"/>
  <c r="BZ75" i="1"/>
  <c r="BZ125" i="1"/>
  <c r="CA125" i="1" s="1"/>
  <c r="BZ127" i="1"/>
  <c r="CA127" i="1" s="1"/>
  <c r="BZ143" i="1"/>
  <c r="CA143" i="1" s="1"/>
  <c r="BZ132" i="1"/>
  <c r="BL134" i="1"/>
  <c r="BL150" i="1"/>
  <c r="BM150" i="1" s="1"/>
  <c r="CF125" i="1"/>
  <c r="CF154" i="1"/>
  <c r="CF184" i="1" s="1"/>
  <c r="CG184" i="1" s="1"/>
  <c r="CG154" i="1" s="1"/>
  <c r="CD155" i="1"/>
  <c r="CE155" i="1" s="1"/>
  <c r="CF155" i="1"/>
  <c r="CG155" i="1" s="1"/>
  <c r="CB132" i="1"/>
  <c r="CB155" i="1"/>
  <c r="CC155" i="1" s="1"/>
  <c r="BY75" i="1"/>
  <c r="CD164" i="1"/>
  <c r="CE164" i="1" s="1"/>
  <c r="CD136" i="1"/>
  <c r="CE136" i="1" s="1"/>
  <c r="BL161" i="1"/>
  <c r="CB154" i="1"/>
  <c r="CB184" i="1" s="1"/>
  <c r="CC184" i="1" s="1"/>
  <c r="CB119" i="1"/>
  <c r="CC119" i="1" s="1"/>
  <c r="BL151" i="1"/>
  <c r="BM151" i="1" s="1"/>
  <c r="CD128" i="1"/>
  <c r="CE128" i="1" s="1"/>
  <c r="CD148" i="1"/>
  <c r="CE148" i="1" s="1"/>
  <c r="CD120" i="1"/>
  <c r="CD147" i="1"/>
  <c r="CE147" i="1" s="1"/>
  <c r="CD156" i="1"/>
  <c r="CE156" i="1" s="1"/>
  <c r="CD141" i="1"/>
  <c r="CE141" i="1" s="1"/>
  <c r="CF118" i="1"/>
  <c r="CF119" i="1"/>
  <c r="CG119" i="1" s="1"/>
  <c r="CF152" i="1"/>
  <c r="CG152" i="1" s="1"/>
  <c r="CF164" i="1"/>
  <c r="CG164" i="1" s="1"/>
  <c r="CB161" i="1"/>
  <c r="CB141" i="1"/>
  <c r="AI75" i="1"/>
  <c r="BL148" i="1"/>
  <c r="BM148" i="1" s="1"/>
  <c r="BL136" i="1"/>
  <c r="BM136" i="1" s="1"/>
  <c r="BL127" i="1"/>
  <c r="BM127" i="1" s="1"/>
  <c r="CB125" i="1"/>
  <c r="CC125" i="1" s="1"/>
  <c r="BL147" i="1"/>
  <c r="BM147" i="1" s="1"/>
  <c r="BZ136" i="1"/>
  <c r="CA136" i="1" s="1"/>
  <c r="BZ74" i="1"/>
  <c r="BL153" i="1"/>
  <c r="BM153" i="1" s="1"/>
  <c r="CB133" i="1"/>
  <c r="CF148" i="1"/>
  <c r="CG148" i="1" s="1"/>
  <c r="CB148" i="1"/>
  <c r="CC148" i="1" s="1"/>
  <c r="CD74" i="1"/>
  <c r="CC75" i="1"/>
  <c r="CD119" i="1"/>
  <c r="CE119" i="1" s="1"/>
  <c r="BL120" i="1"/>
  <c r="CD126" i="1"/>
  <c r="CE126" i="1" s="1"/>
  <c r="CF160" i="1"/>
  <c r="CF153" i="1"/>
  <c r="CG153" i="1" s="1"/>
  <c r="CE74" i="1"/>
  <c r="BZ146" i="1"/>
  <c r="BZ181" i="1" s="1"/>
  <c r="CA181" i="1" s="1"/>
  <c r="BZ123" i="1"/>
  <c r="CA123" i="1" s="1"/>
  <c r="BZ145" i="1"/>
  <c r="BZ180" i="1" s="1"/>
  <c r="CA180" i="1" s="1"/>
  <c r="BZ119" i="1"/>
  <c r="CA119" i="1" s="1"/>
  <c r="BZ150" i="1"/>
  <c r="BZ152" i="1"/>
  <c r="CA152" i="1" s="1"/>
  <c r="BZ147" i="1"/>
  <c r="CA147" i="1" s="1"/>
  <c r="BZ141" i="1"/>
  <c r="CA141" i="1" s="1"/>
  <c r="BZ153" i="1"/>
  <c r="CA153" i="1" s="1"/>
  <c r="BL156" i="1"/>
  <c r="BM156" i="1" s="1"/>
  <c r="BL145" i="1"/>
  <c r="BL180" i="1" s="1"/>
  <c r="BM180" i="1" s="1"/>
  <c r="BL132" i="1"/>
  <c r="BL133" i="1"/>
  <c r="CA75" i="1"/>
  <c r="CF156" i="1"/>
  <c r="CG156" i="1" s="1"/>
  <c r="CF151" i="1"/>
  <c r="CG151" i="1" s="1"/>
  <c r="CF161" i="1"/>
  <c r="CB118" i="1"/>
  <c r="CC118" i="1" s="1"/>
  <c r="CF132" i="1"/>
  <c r="CF120" i="1"/>
  <c r="CG120" i="1" s="1"/>
  <c r="CF126" i="1"/>
  <c r="CG126" i="1" s="1"/>
  <c r="CD127" i="1"/>
  <c r="CE127" i="1" s="1"/>
  <c r="CB156" i="1"/>
  <c r="CC156" i="1" s="1"/>
  <c r="CB136" i="1"/>
  <c r="CC136" i="1" s="1"/>
  <c r="CB152" i="1"/>
  <c r="CC152" i="1" s="1"/>
  <c r="CD118" i="1"/>
  <c r="BL141" i="1"/>
  <c r="CB134" i="1"/>
  <c r="BL128" i="1"/>
  <c r="BM128" i="1" s="1"/>
  <c r="CD133" i="1"/>
  <c r="CD145" i="1"/>
  <c r="CD180" i="1" s="1"/>
  <c r="CE180" i="1" s="1"/>
  <c r="CD151" i="1"/>
  <c r="CE151" i="1" s="1"/>
  <c r="CD150" i="1"/>
  <c r="CE150" i="1" s="1"/>
  <c r="CD165" i="1"/>
  <c r="CE165" i="1" s="1"/>
  <c r="CF136" i="1"/>
  <c r="CG136" i="1" s="1"/>
  <c r="CF143" i="1"/>
  <c r="CG143" i="1" s="1"/>
  <c r="CC74" i="1"/>
  <c r="CB151" i="1"/>
  <c r="CC151" i="1" s="1"/>
  <c r="CB123" i="1"/>
  <c r="CC123" i="1" s="1"/>
  <c r="BL160" i="1"/>
  <c r="BL118" i="1"/>
  <c r="BM118" i="1" s="1"/>
  <c r="BL152" i="1"/>
  <c r="BM152" i="1" s="1"/>
  <c r="BL143" i="1"/>
  <c r="BM143" i="1" s="1"/>
  <c r="BL119" i="1"/>
  <c r="BM119" i="1" s="1"/>
  <c r="BL254" i="1"/>
  <c r="CH99" i="1"/>
  <c r="CH100" i="1" s="1"/>
  <c r="CB138" i="1"/>
  <c r="CC138" i="1" s="1"/>
  <c r="CF138" i="1"/>
  <c r="CG138" i="1" s="1"/>
  <c r="CD138" i="1"/>
  <c r="CE138" i="1" s="1"/>
  <c r="BL138" i="1"/>
  <c r="BM138" i="1" s="1"/>
  <c r="BZ138" i="1"/>
  <c r="CA138" i="1" s="1"/>
  <c r="BL144" i="1"/>
  <c r="CD144" i="1"/>
  <c r="CB144" i="1"/>
  <c r="CF144" i="1"/>
  <c r="BZ144" i="1"/>
  <c r="CA253" i="1"/>
  <c r="JJ21" i="4"/>
  <c r="CD78" i="1" s="1"/>
  <c r="CA10" i="1"/>
  <c r="CA16" i="1" s="1"/>
  <c r="CA17" i="1" s="1"/>
  <c r="JK14" i="4"/>
  <c r="BL10" i="1"/>
  <c r="BL16" i="1" s="1"/>
  <c r="BY10" i="1"/>
  <c r="BY16" i="1" s="1"/>
  <c r="BL195" i="1"/>
  <c r="CF10" i="1"/>
  <c r="AA59" i="1" s="1"/>
  <c r="CF253" i="1"/>
  <c r="JL21" i="4"/>
  <c r="CF78" i="1" s="1"/>
  <c r="Y211" i="1"/>
  <c r="Y212" i="1" s="1"/>
  <c r="CF99" i="1"/>
  <c r="CF100" i="1" s="1"/>
  <c r="CB26" i="1"/>
  <c r="CE232" i="1"/>
  <c r="CC254" i="1"/>
  <c r="CA26" i="1"/>
  <c r="CE253" i="1"/>
  <c r="CC253" i="1"/>
  <c r="JM7" i="4"/>
  <c r="CA254" i="1"/>
  <c r="JJ8" i="4"/>
  <c r="Z211" i="1"/>
  <c r="Z212" i="1" s="1"/>
  <c r="CF26" i="1"/>
  <c r="BZ253" i="1"/>
  <c r="BZ10" i="1"/>
  <c r="CA195" i="1"/>
  <c r="CD254" i="1"/>
  <c r="CB99" i="1"/>
  <c r="CB100" i="1" s="1"/>
  <c r="JK21" i="4"/>
  <c r="CE78" i="1" s="1"/>
  <c r="JK15" i="4"/>
  <c r="CD253" i="1"/>
  <c r="JL14" i="4"/>
  <c r="CC26" i="1"/>
  <c r="BY26" i="1"/>
  <c r="CI99" i="1"/>
  <c r="CI100" i="1" s="1"/>
  <c r="CI103" i="1" s="1"/>
  <c r="CF232" i="1"/>
  <c r="BY254" i="1"/>
  <c r="JL8" i="4"/>
  <c r="CE26" i="1"/>
  <c r="BL253" i="1"/>
  <c r="CE99" i="1"/>
  <c r="CE100" i="1" s="1"/>
  <c r="CD10" i="1"/>
  <c r="CD16" i="1" s="1"/>
  <c r="CH18" i="1" s="1"/>
  <c r="CC10" i="1"/>
  <c r="CD195" i="1"/>
  <c r="CE10" i="1"/>
  <c r="CG99" i="1"/>
  <c r="CG100" i="1" s="1"/>
  <c r="CD99" i="1"/>
  <c r="CD100" i="1" s="1"/>
  <c r="CB10" i="1"/>
  <c r="CB16" i="1" s="1"/>
  <c r="CB253" i="1"/>
  <c r="CC99" i="1"/>
  <c r="CC100" i="1" s="1"/>
  <c r="JJ15" i="4"/>
  <c r="CB254" i="1"/>
  <c r="BY253" i="1"/>
  <c r="CD26" i="1"/>
  <c r="JM8" i="4"/>
  <c r="JL7" i="4"/>
  <c r="CF254" i="1"/>
  <c r="JJ7" i="4"/>
  <c r="JK8" i="4"/>
  <c r="JM21" i="4"/>
  <c r="CG78" i="1" s="1"/>
  <c r="BZ254" i="1"/>
  <c r="CE254" i="1"/>
  <c r="JK7" i="4"/>
  <c r="BL26" i="1"/>
  <c r="JL15" i="4"/>
  <c r="BZ26" i="1"/>
  <c r="JM14" i="4"/>
  <c r="JM15" i="4"/>
  <c r="JJ14" i="4"/>
  <c r="CJ86" i="1"/>
  <c r="CI95" i="1"/>
  <c r="CI97" i="1"/>
  <c r="CI96" i="1"/>
  <c r="CS181" i="1"/>
  <c r="CS184" i="1"/>
  <c r="CS180" i="1"/>
  <c r="CT125" i="1"/>
  <c r="CJ87" i="1"/>
  <c r="CJ88" i="1"/>
  <c r="AD46" i="1"/>
  <c r="CZ46" i="1"/>
  <c r="DA46" i="1" s="1"/>
  <c r="DB46" i="1" s="1"/>
  <c r="AE35" i="1"/>
  <c r="U8" i="1"/>
  <c r="V8" i="1"/>
  <c r="W8" i="1"/>
  <c r="CS141" i="1" l="1"/>
  <c r="CS203" i="1" s="1"/>
  <c r="CP187" i="1"/>
  <c r="CR185" i="1"/>
  <c r="CQ186" i="1"/>
  <c r="CR182" i="1"/>
  <c r="CQ183" i="1"/>
  <c r="CQ187" i="1" s="1"/>
  <c r="CS126" i="1"/>
  <c r="CR129" i="1"/>
  <c r="CR250" i="1" s="1"/>
  <c r="CQ207" i="1"/>
  <c r="BZ162" i="1"/>
  <c r="BL162" i="1"/>
  <c r="CB203" i="1"/>
  <c r="CA118" i="1"/>
  <c r="BZ121" i="1"/>
  <c r="BZ93" i="1" s="1"/>
  <c r="BL121" i="1"/>
  <c r="BL93" i="1" s="1"/>
  <c r="CB162" i="1"/>
  <c r="CC210" i="1" s="1"/>
  <c r="CG125" i="1"/>
  <c r="CG129" i="1" s="1"/>
  <c r="CF129" i="1"/>
  <c r="CD135" i="1"/>
  <c r="CE33" i="1" s="1"/>
  <c r="CC141" i="1"/>
  <c r="CE118" i="1"/>
  <c r="CD121" i="1"/>
  <c r="CD93" i="1" s="1"/>
  <c r="CD95" i="1" s="1"/>
  <c r="BM141" i="1"/>
  <c r="BM203" i="1"/>
  <c r="CD162" i="1"/>
  <c r="CF203" i="1"/>
  <c r="CE129" i="1"/>
  <c r="BM126" i="1"/>
  <c r="BM129" i="1" s="1"/>
  <c r="BL129" i="1"/>
  <c r="CG141" i="1"/>
  <c r="CH203" i="1" s="1"/>
  <c r="CG203" i="1"/>
  <c r="CG150" i="1"/>
  <c r="CG157" i="1" s="1"/>
  <c r="CF157" i="1"/>
  <c r="CF186" i="1" s="1"/>
  <c r="CF185" i="1" s="1"/>
  <c r="CG118" i="1"/>
  <c r="CG121" i="1" s="1"/>
  <c r="CF121" i="1"/>
  <c r="CF93" i="1" s="1"/>
  <c r="CF95" i="1" s="1"/>
  <c r="CA150" i="1"/>
  <c r="BZ157" i="1"/>
  <c r="BZ186" i="1" s="1"/>
  <c r="BZ185" i="1" s="1"/>
  <c r="BZ135" i="1"/>
  <c r="BZ139" i="1" s="1"/>
  <c r="CA129" i="1"/>
  <c r="CB135" i="1"/>
  <c r="CF162" i="1"/>
  <c r="BL135" i="1"/>
  <c r="CF135" i="1"/>
  <c r="CF139" i="1" s="1"/>
  <c r="CC129" i="1"/>
  <c r="CB129" i="1"/>
  <c r="CE203" i="1"/>
  <c r="BZ129" i="1"/>
  <c r="CB157" i="1"/>
  <c r="CB186" i="1" s="1"/>
  <c r="CB185" i="1" s="1"/>
  <c r="BL157" i="1"/>
  <c r="BL186" i="1" s="1"/>
  <c r="BL185" i="1" s="1"/>
  <c r="CD157" i="1"/>
  <c r="CD186" i="1" s="1"/>
  <c r="CD185" i="1" s="1"/>
  <c r="CB121" i="1"/>
  <c r="CD129" i="1"/>
  <c r="CH103" i="1"/>
  <c r="CH104" i="1"/>
  <c r="CH105" i="1"/>
  <c r="BM144" i="1"/>
  <c r="BL149" i="1"/>
  <c r="CE144" i="1"/>
  <c r="CD149" i="1"/>
  <c r="CC144" i="1"/>
  <c r="CB149" i="1"/>
  <c r="CG144" i="1"/>
  <c r="CG149" i="1" s="1"/>
  <c r="CG183" i="1" s="1"/>
  <c r="CG182" i="1" s="1"/>
  <c r="CF149" i="1"/>
  <c r="CA144" i="1"/>
  <c r="BZ149" i="1"/>
  <c r="CD103" i="1"/>
  <c r="CA27" i="1"/>
  <c r="CA12" i="1"/>
  <c r="JK19" i="4"/>
  <c r="CE79" i="1" s="1"/>
  <c r="BL27" i="1"/>
  <c r="CC11" i="1"/>
  <c r="CC27" i="1"/>
  <c r="CI226" i="1"/>
  <c r="CF16" i="1"/>
  <c r="CG12" i="1"/>
  <c r="CJ11" i="1"/>
  <c r="BY27" i="1"/>
  <c r="JL20" i="4"/>
  <c r="CF80" i="1" s="1"/>
  <c r="CF105" i="1" s="1"/>
  <c r="BZ16" i="1"/>
  <c r="CD18" i="1" s="1"/>
  <c r="CF27" i="1"/>
  <c r="Y59" i="1"/>
  <c r="JJ19" i="4"/>
  <c r="CD79" i="1" s="1"/>
  <c r="CD108" i="1" s="1"/>
  <c r="JM20" i="4"/>
  <c r="CG80" i="1" s="1"/>
  <c r="CD27" i="1"/>
  <c r="JM19" i="4"/>
  <c r="CG79" i="1" s="1"/>
  <c r="CE154" i="1"/>
  <c r="CE157" i="1" s="1"/>
  <c r="CE186" i="1" s="1"/>
  <c r="CE185" i="1" s="1"/>
  <c r="CF103" i="1"/>
  <c r="JJ20" i="4"/>
  <c r="CD80" i="1" s="1"/>
  <c r="CD109" i="1" s="1"/>
  <c r="JL19" i="4"/>
  <c r="CF79" i="1" s="1"/>
  <c r="JK20" i="4"/>
  <c r="CE80" i="1" s="1"/>
  <c r="CE109" i="1" s="1"/>
  <c r="CA28" i="1"/>
  <c r="CA233" i="1" s="1"/>
  <c r="CA234" i="1" s="1"/>
  <c r="CD189" i="1"/>
  <c r="CD11" i="1"/>
  <c r="BZ12" i="1"/>
  <c r="CD226" i="1"/>
  <c r="BZ27" i="1"/>
  <c r="CE145" i="1"/>
  <c r="CE189" i="1"/>
  <c r="CG189" i="1"/>
  <c r="CF11" i="1"/>
  <c r="CH226" i="1"/>
  <c r="CJ189" i="1"/>
  <c r="CE27" i="1"/>
  <c r="CC16" i="1"/>
  <c r="CC19" i="1" s="1"/>
  <c r="CF226" i="1"/>
  <c r="CB12" i="1"/>
  <c r="CH245" i="1"/>
  <c r="Z59" i="1"/>
  <c r="CE11" i="1"/>
  <c r="CG103" i="1"/>
  <c r="CE103" i="1"/>
  <c r="CG226" i="1"/>
  <c r="CF12" i="1"/>
  <c r="CF189" i="1"/>
  <c r="CE226" i="1"/>
  <c r="CC12" i="1"/>
  <c r="CC226" i="1"/>
  <c r="CE146" i="1"/>
  <c r="CB27" i="1"/>
  <c r="CB17" i="1"/>
  <c r="CB28" i="1"/>
  <c r="CB19" i="1"/>
  <c r="CD28" i="1"/>
  <c r="CH30" i="1" s="1"/>
  <c r="CD12" i="1"/>
  <c r="CH11" i="1"/>
  <c r="CI189" i="1"/>
  <c r="CI104" i="1"/>
  <c r="CE16" i="1"/>
  <c r="CE19" i="1" s="1"/>
  <c r="CI11" i="1"/>
  <c r="CM11" i="1" s="1"/>
  <c r="CD17" i="1"/>
  <c r="CI105" i="1"/>
  <c r="CG11" i="1"/>
  <c r="CE12" i="1"/>
  <c r="CH189" i="1"/>
  <c r="CA203" i="1"/>
  <c r="BL17" i="1"/>
  <c r="BL28" i="1"/>
  <c r="BY17" i="1"/>
  <c r="BY28" i="1"/>
  <c r="CT17" i="1"/>
  <c r="CU17" i="1" s="1"/>
  <c r="CW27" i="1"/>
  <c r="CX27" i="1" s="1"/>
  <c r="CT141" i="1"/>
  <c r="CT203" i="1" s="1"/>
  <c r="CT180" i="1"/>
  <c r="CT184" i="1"/>
  <c r="CU125" i="1"/>
  <c r="CT181" i="1"/>
  <c r="AE46" i="1"/>
  <c r="V232" i="1"/>
  <c r="W232" i="1"/>
  <c r="U232" i="1"/>
  <c r="CF28" i="1" l="1"/>
  <c r="AA61" i="1" s="1"/>
  <c r="AA60" i="1"/>
  <c r="CN11" i="1"/>
  <c r="CS185" i="1"/>
  <c r="CR186" i="1"/>
  <c r="CS182" i="1"/>
  <c r="CR183" i="1"/>
  <c r="CR187" i="1" s="1"/>
  <c r="CG250" i="1"/>
  <c r="CD203" i="1"/>
  <c r="CC203" i="1"/>
  <c r="CA210" i="1"/>
  <c r="BZ249" i="1"/>
  <c r="CT126" i="1"/>
  <c r="CS129" i="1"/>
  <c r="CS250" i="1" s="1"/>
  <c r="CD207" i="1"/>
  <c r="CF250" i="1"/>
  <c r="BM210" i="1"/>
  <c r="BL249" i="1"/>
  <c r="CF207" i="1"/>
  <c r="CF130" i="1"/>
  <c r="CR207" i="1"/>
  <c r="BL130" i="1"/>
  <c r="BL169" i="1"/>
  <c r="BL110" i="1" s="1"/>
  <c r="CA33" i="1"/>
  <c r="CA135" i="1"/>
  <c r="CB139" i="1"/>
  <c r="CC33" i="1"/>
  <c r="CC135" i="1"/>
  <c r="BZ169" i="1"/>
  <c r="BZ130" i="1"/>
  <c r="CF96" i="1"/>
  <c r="CD139" i="1"/>
  <c r="CE135" i="1"/>
  <c r="CE210" i="1"/>
  <c r="CD249" i="1"/>
  <c r="CA250" i="1"/>
  <c r="CA207" i="1"/>
  <c r="BM207" i="1"/>
  <c r="BM250" i="1"/>
  <c r="CH208" i="1"/>
  <c r="CG93" i="1"/>
  <c r="CG96" i="1" s="1"/>
  <c r="CG208" i="1"/>
  <c r="CG210" i="1"/>
  <c r="CF169" i="1"/>
  <c r="CF249" i="1"/>
  <c r="BM135" i="1"/>
  <c r="BM139" i="1" s="1"/>
  <c r="BL139" i="1"/>
  <c r="BL247" i="1" s="1"/>
  <c r="CG33" i="1"/>
  <c r="CG135" i="1"/>
  <c r="CH250" i="1"/>
  <c r="CH252" i="1" s="1"/>
  <c r="CH207" i="1"/>
  <c r="CG130" i="1"/>
  <c r="CG207" i="1"/>
  <c r="CB250" i="1"/>
  <c r="CB130" i="1"/>
  <c r="CB169" i="1"/>
  <c r="CB207" i="1"/>
  <c r="CB93" i="1"/>
  <c r="CB249" i="1"/>
  <c r="CC250" i="1"/>
  <c r="CC207" i="1"/>
  <c r="CE207" i="1"/>
  <c r="CD250" i="1"/>
  <c r="CD130" i="1"/>
  <c r="CD169" i="1"/>
  <c r="CE250" i="1"/>
  <c r="BL183" i="1"/>
  <c r="BL158" i="1"/>
  <c r="CD183" i="1"/>
  <c r="CD158" i="1"/>
  <c r="CB183" i="1"/>
  <c r="CB158" i="1"/>
  <c r="CF183" i="1"/>
  <c r="CF158" i="1"/>
  <c r="CF166" i="1" s="1"/>
  <c r="BZ183" i="1"/>
  <c r="BZ158" i="1"/>
  <c r="BZ166" i="1" s="1"/>
  <c r="CE104" i="1"/>
  <c r="CE108" i="1"/>
  <c r="BZ19" i="1"/>
  <c r="BZ28" i="1"/>
  <c r="BZ17" i="1"/>
  <c r="CA19" i="1"/>
  <c r="CG186" i="1"/>
  <c r="CH198" i="1"/>
  <c r="CG198" i="1"/>
  <c r="CJ18" i="1"/>
  <c r="CF17" i="1"/>
  <c r="CG19" i="1"/>
  <c r="CF18" i="1"/>
  <c r="BZ247" i="1"/>
  <c r="CF247" i="1"/>
  <c r="CF245" i="1"/>
  <c r="CF109" i="1"/>
  <c r="CF97" i="1"/>
  <c r="CG109" i="1"/>
  <c r="CG105" i="1"/>
  <c r="CG108" i="1"/>
  <c r="CG104" i="1"/>
  <c r="CF108" i="1"/>
  <c r="CF104" i="1"/>
  <c r="CG31" i="1"/>
  <c r="CI113" i="1"/>
  <c r="CG18" i="1"/>
  <c r="CC17" i="1"/>
  <c r="Y60" i="1"/>
  <c r="CC28" i="1"/>
  <c r="CC34" i="1" s="1"/>
  <c r="CC38" i="1" s="1"/>
  <c r="CD19" i="1"/>
  <c r="CC18" i="1"/>
  <c r="CD97" i="1"/>
  <c r="CD104" i="1"/>
  <c r="CE149" i="1"/>
  <c r="CD96" i="1"/>
  <c r="CE198" i="1"/>
  <c r="CG197" i="1"/>
  <c r="CD105" i="1"/>
  <c r="CF198" i="1"/>
  <c r="CA34" i="1"/>
  <c r="CA38" i="1" s="1"/>
  <c r="CA41" i="1" s="1"/>
  <c r="CA48" i="1" s="1"/>
  <c r="CA194" i="1" s="1"/>
  <c r="CA196" i="1" s="1"/>
  <c r="CI227" i="1"/>
  <c r="CA29" i="1"/>
  <c r="CG251" i="1"/>
  <c r="CE105" i="1"/>
  <c r="CF29" i="1"/>
  <c r="CF233" i="1"/>
  <c r="CF234" i="1" s="1"/>
  <c r="CJ30" i="1"/>
  <c r="CF34" i="1"/>
  <c r="CG158" i="1"/>
  <c r="CH197" i="1"/>
  <c r="CD29" i="1"/>
  <c r="CB29" i="1"/>
  <c r="CB233" i="1"/>
  <c r="CB234" i="1" s="1"/>
  <c r="CB34" i="1"/>
  <c r="CB38" i="1" s="1"/>
  <c r="CB31" i="1"/>
  <c r="CB251" i="1"/>
  <c r="CF30" i="1"/>
  <c r="CD233" i="1"/>
  <c r="CD234" i="1" s="1"/>
  <c r="CD34" i="1"/>
  <c r="CD38" i="1" s="1"/>
  <c r="CD41" i="1" s="1"/>
  <c r="CD235" i="1" s="1"/>
  <c r="CF19" i="1"/>
  <c r="CE18" i="1"/>
  <c r="CI18" i="1"/>
  <c r="Z60" i="1"/>
  <c r="CE28" i="1"/>
  <c r="CG227" i="1" s="1"/>
  <c r="CE17" i="1"/>
  <c r="BY34" i="1"/>
  <c r="BY38" i="1" s="1"/>
  <c r="BY29" i="1"/>
  <c r="BL34" i="1"/>
  <c r="BL38" i="1" s="1"/>
  <c r="BL29" i="1"/>
  <c r="CV17" i="1"/>
  <c r="CY27" i="1"/>
  <c r="CZ27" i="1" s="1"/>
  <c r="CU180" i="1"/>
  <c r="CV125" i="1"/>
  <c r="CU181" i="1"/>
  <c r="CU184" i="1"/>
  <c r="CU141" i="1"/>
  <c r="AB151" i="1"/>
  <c r="A1" i="1"/>
  <c r="CO11" i="1" l="1"/>
  <c r="CP11" i="1" s="1"/>
  <c r="CS186" i="1"/>
  <c r="CT185" i="1"/>
  <c r="CS183" i="1"/>
  <c r="CT182" i="1"/>
  <c r="CG252" i="1"/>
  <c r="CF167" i="1"/>
  <c r="CA139" i="1"/>
  <c r="CB33" i="1"/>
  <c r="CB166" i="1"/>
  <c r="CB167" i="1" s="1"/>
  <c r="CD166" i="1"/>
  <c r="CD167" i="1" s="1"/>
  <c r="CU126" i="1"/>
  <c r="CT129" i="1"/>
  <c r="CT250" i="1" s="1"/>
  <c r="CB247" i="1"/>
  <c r="CB245" i="1"/>
  <c r="CE139" i="1"/>
  <c r="CF33" i="1"/>
  <c r="CS207" i="1"/>
  <c r="CB252" i="1"/>
  <c r="CG206" i="1"/>
  <c r="BZ167" i="1"/>
  <c r="CD33" i="1"/>
  <c r="CC139" i="1"/>
  <c r="BZ110" i="1"/>
  <c r="CA37" i="1"/>
  <c r="CD245" i="1"/>
  <c r="CD247" i="1"/>
  <c r="CH206" i="1"/>
  <c r="CG95" i="1"/>
  <c r="CG97" i="1"/>
  <c r="CF110" i="1"/>
  <c r="CG37" i="1"/>
  <c r="CH33" i="1"/>
  <c r="CG139" i="1"/>
  <c r="CB110" i="1"/>
  <c r="CC37" i="1"/>
  <c r="CD110" i="1"/>
  <c r="CD112" i="1" s="1"/>
  <c r="CE37" i="1"/>
  <c r="CF182" i="1"/>
  <c r="CF187" i="1"/>
  <c r="CJ190" i="1" s="1"/>
  <c r="BL187" i="1"/>
  <c r="BL182" i="1"/>
  <c r="CD187" i="1"/>
  <c r="CD182" i="1"/>
  <c r="CB187" i="1"/>
  <c r="CB182" i="1"/>
  <c r="BZ182" i="1"/>
  <c r="BZ187" i="1"/>
  <c r="CG199" i="1"/>
  <c r="CG200" i="1" s="1"/>
  <c r="BZ29" i="1"/>
  <c r="BZ34" i="1"/>
  <c r="CA251" i="1"/>
  <c r="CA252" i="1" s="1"/>
  <c r="CA31" i="1"/>
  <c r="BZ233" i="1"/>
  <c r="BZ234" i="1" s="1"/>
  <c r="CD30" i="1"/>
  <c r="BZ31" i="1"/>
  <c r="BZ251" i="1"/>
  <c r="CB113" i="1"/>
  <c r="CH199" i="1"/>
  <c r="CH200" i="1" s="1"/>
  <c r="CD113" i="1"/>
  <c r="CC251" i="1"/>
  <c r="CC252" i="1" s="1"/>
  <c r="CE197" i="1"/>
  <c r="CE199" i="1" s="1"/>
  <c r="CE158" i="1"/>
  <c r="CG185" i="1"/>
  <c r="CG187" i="1"/>
  <c r="CC233" i="1"/>
  <c r="CC234" i="1" s="1"/>
  <c r="CG30" i="1"/>
  <c r="Y61" i="1"/>
  <c r="CC29" i="1"/>
  <c r="CC227" i="1"/>
  <c r="CD251" i="1"/>
  <c r="CD252" i="1" s="1"/>
  <c r="CC113" i="1"/>
  <c r="CD227" i="1"/>
  <c r="CC31" i="1"/>
  <c r="CD31" i="1"/>
  <c r="CC30" i="1"/>
  <c r="CC41" i="1"/>
  <c r="CC40" i="1"/>
  <c r="CF38" i="1"/>
  <c r="CI56" i="1"/>
  <c r="CE183" i="1"/>
  <c r="CF197" i="1"/>
  <c r="CF199" i="1" s="1"/>
  <c r="CA40" i="1"/>
  <c r="CA67" i="1"/>
  <c r="CA120" i="1"/>
  <c r="CA121" i="1" s="1"/>
  <c r="CA93" i="1" s="1"/>
  <c r="CH43" i="1"/>
  <c r="CD40" i="1"/>
  <c r="CA53" i="1"/>
  <c r="CA235" i="1"/>
  <c r="CA42" i="1"/>
  <c r="CA246" i="1" s="1"/>
  <c r="CD42" i="1"/>
  <c r="CD246" i="1" s="1"/>
  <c r="CF113" i="1"/>
  <c r="CD56" i="1"/>
  <c r="CD48" i="1"/>
  <c r="CD53" i="1" s="1"/>
  <c r="CE31" i="1"/>
  <c r="CE113" i="1"/>
  <c r="CE227" i="1"/>
  <c r="CB40" i="1"/>
  <c r="CB41" i="1"/>
  <c r="CE251" i="1"/>
  <c r="CE252" i="1" s="1"/>
  <c r="CF251" i="1"/>
  <c r="CF252" i="1" s="1"/>
  <c r="CE233" i="1"/>
  <c r="CE234" i="1" s="1"/>
  <c r="Z61" i="1"/>
  <c r="CE30" i="1"/>
  <c r="CH113" i="1"/>
  <c r="CE29" i="1"/>
  <c r="CG113" i="1"/>
  <c r="CE34" i="1"/>
  <c r="CH227" i="1"/>
  <c r="CF31" i="1"/>
  <c r="CI30" i="1"/>
  <c r="CF227" i="1"/>
  <c r="BL41" i="1"/>
  <c r="BL40" i="1"/>
  <c r="BY40" i="1"/>
  <c r="BY41" i="1"/>
  <c r="DA27" i="1"/>
  <c r="DB27" i="1" s="1"/>
  <c r="CW17" i="1"/>
  <c r="CX17" i="1" s="1"/>
  <c r="CV141" i="1"/>
  <c r="CW125" i="1"/>
  <c r="CV180" i="1"/>
  <c r="CV184" i="1"/>
  <c r="CU203" i="1"/>
  <c r="CV181" i="1"/>
  <c r="AC151" i="1"/>
  <c r="CQ11" i="1" l="1"/>
  <c r="CR11" i="1" s="1"/>
  <c r="CD111" i="1"/>
  <c r="CD114" i="1" s="1"/>
  <c r="CS187" i="1"/>
  <c r="CU185" i="1"/>
  <c r="CT186" i="1"/>
  <c r="CU182" i="1"/>
  <c r="CT183" i="1"/>
  <c r="CT187" i="1" s="1"/>
  <c r="CA204" i="1"/>
  <c r="CA202" i="1" s="1"/>
  <c r="CB204" i="1"/>
  <c r="CB202" i="1" s="1"/>
  <c r="CE204" i="1"/>
  <c r="CE202" i="1" s="1"/>
  <c r="CF204" i="1"/>
  <c r="CF202" i="1" s="1"/>
  <c r="CH204" i="1"/>
  <c r="CH202" i="1" s="1"/>
  <c r="CH214" i="1" s="1"/>
  <c r="CG204" i="1"/>
  <c r="CG202" i="1" s="1"/>
  <c r="CV126" i="1"/>
  <c r="CU129" i="1"/>
  <c r="CU250" i="1" s="1"/>
  <c r="CT207" i="1"/>
  <c r="CD204" i="1"/>
  <c r="CD202" i="1" s="1"/>
  <c r="CC204" i="1"/>
  <c r="CC202" i="1" s="1"/>
  <c r="CF190" i="1"/>
  <c r="CF111" i="1"/>
  <c r="CF114" i="1" s="1"/>
  <c r="CF112" i="1"/>
  <c r="CF115" i="1" s="1"/>
  <c r="CD190" i="1"/>
  <c r="CH190" i="1"/>
  <c r="BZ38" i="1"/>
  <c r="CB56" i="1"/>
  <c r="CD115" i="1"/>
  <c r="CD228" i="1"/>
  <c r="CF41" i="1"/>
  <c r="CF40" i="1"/>
  <c r="CC43" i="1"/>
  <c r="CG43" i="1"/>
  <c r="CC235" i="1"/>
  <c r="CC48" i="1"/>
  <c r="CC42" i="1"/>
  <c r="CC246" i="1" s="1"/>
  <c r="CD44" i="1"/>
  <c r="CE182" i="1"/>
  <c r="CE187" i="1"/>
  <c r="CA208" i="1"/>
  <c r="CA206" i="1" s="1"/>
  <c r="CA130" i="1"/>
  <c r="CC44" i="1"/>
  <c r="CD194" i="1"/>
  <c r="CD196" i="1" s="1"/>
  <c r="Y62" i="1"/>
  <c r="CD67" i="1"/>
  <c r="CH114" i="1"/>
  <c r="CH115" i="1"/>
  <c r="CF56" i="1"/>
  <c r="CH56" i="1"/>
  <c r="CG56" i="1"/>
  <c r="CE38" i="1"/>
  <c r="CB48" i="1"/>
  <c r="CB44" i="1"/>
  <c r="CB235" i="1"/>
  <c r="CB42" i="1"/>
  <c r="CB246" i="1" s="1"/>
  <c r="BL48" i="1"/>
  <c r="BL42" i="1"/>
  <c r="BL246" i="1" s="1"/>
  <c r="CM65" i="1"/>
  <c r="CN65" i="1" s="1"/>
  <c r="CO65" i="1" s="1"/>
  <c r="CP65" i="1" s="1"/>
  <c r="BY42" i="1"/>
  <c r="BY246" i="1" s="1"/>
  <c r="BY48" i="1"/>
  <c r="CY17" i="1"/>
  <c r="CZ17" i="1" s="1"/>
  <c r="CX125" i="1"/>
  <c r="CW181" i="1"/>
  <c r="CW180" i="1"/>
  <c r="CW141" i="1"/>
  <c r="CW184" i="1"/>
  <c r="CV203" i="1"/>
  <c r="AE151" i="1"/>
  <c r="AD151" i="1"/>
  <c r="CF235" i="1" l="1"/>
  <c r="AA62" i="1"/>
  <c r="CS11" i="1"/>
  <c r="CT11" i="1" s="1"/>
  <c r="CQ65" i="1"/>
  <c r="CR65" i="1" s="1"/>
  <c r="CS65" i="1" s="1"/>
  <c r="CT65" i="1" s="1"/>
  <c r="AB65" i="1"/>
  <c r="AA65" i="1" s="1"/>
  <c r="Z65" i="1" s="1"/>
  <c r="Y65" i="1" s="1"/>
  <c r="X65" i="1" s="1"/>
  <c r="W65" i="1" s="1"/>
  <c r="V65" i="1" s="1"/>
  <c r="U65" i="1" s="1"/>
  <c r="T65" i="1" s="1"/>
  <c r="S65" i="1" s="1"/>
  <c r="R65" i="1" s="1"/>
  <c r="Q65" i="1" s="1"/>
  <c r="P65" i="1" s="1"/>
  <c r="O65" i="1" s="1"/>
  <c r="N65" i="1" s="1"/>
  <c r="M65" i="1" s="1"/>
  <c r="L65" i="1" s="1"/>
  <c r="K65" i="1" s="1"/>
  <c r="J65" i="1" s="1"/>
  <c r="I65" i="1" s="1"/>
  <c r="H65" i="1" s="1"/>
  <c r="G65" i="1" s="1"/>
  <c r="F65" i="1" s="1"/>
  <c r="E65" i="1" s="1"/>
  <c r="CV185" i="1"/>
  <c r="CU186" i="1"/>
  <c r="CV182" i="1"/>
  <c r="CU183" i="1"/>
  <c r="CG214" i="1"/>
  <c r="CG211" i="1"/>
  <c r="CG161" i="1" s="1"/>
  <c r="CG162" i="1" s="1"/>
  <c r="CG212" i="1" s="1"/>
  <c r="CW126" i="1"/>
  <c r="CV129" i="1"/>
  <c r="CV250" i="1" s="1"/>
  <c r="CU207" i="1"/>
  <c r="CM8" i="1"/>
  <c r="CF43" i="1"/>
  <c r="CF42" i="1"/>
  <c r="CF246" i="1" s="1"/>
  <c r="BZ41" i="1"/>
  <c r="BZ40" i="1"/>
  <c r="CJ43" i="1"/>
  <c r="CG44" i="1"/>
  <c r="CI228" i="1"/>
  <c r="CF48" i="1"/>
  <c r="CD55" i="1"/>
  <c r="CC53" i="1"/>
  <c r="CC120" i="1"/>
  <c r="CC121" i="1" s="1"/>
  <c r="CC67" i="1"/>
  <c r="CC194" i="1"/>
  <c r="CC196" i="1" s="1"/>
  <c r="CB67" i="1"/>
  <c r="CB53" i="1"/>
  <c r="CB194" i="1"/>
  <c r="CB196" i="1" s="1"/>
  <c r="CB208" i="1"/>
  <c r="CB206" i="1" s="1"/>
  <c r="CE41" i="1"/>
  <c r="CE40" i="1"/>
  <c r="BY194" i="1"/>
  <c r="BY196" i="1" s="1"/>
  <c r="BY53" i="1"/>
  <c r="BY67" i="1"/>
  <c r="BL194" i="1"/>
  <c r="BL196" i="1" s="1"/>
  <c r="BL67" i="1"/>
  <c r="BL53" i="1"/>
  <c r="DA17" i="1"/>
  <c r="DB17" i="1" s="1"/>
  <c r="CX184" i="1"/>
  <c r="CX181" i="1"/>
  <c r="CX180" i="1"/>
  <c r="CX141" i="1"/>
  <c r="CY125" i="1"/>
  <c r="CW203" i="1"/>
  <c r="AB127" i="1"/>
  <c r="AB137" i="1"/>
  <c r="AB136" i="1"/>
  <c r="AB128" i="1"/>
  <c r="AB123" i="1"/>
  <c r="AB152" i="1"/>
  <c r="AB144" i="1"/>
  <c r="AB119" i="1"/>
  <c r="AC65" i="1" l="1"/>
  <c r="CU65" i="1"/>
  <c r="CV65" i="1" s="1"/>
  <c r="CW65" i="1" s="1"/>
  <c r="CX65" i="1" s="1"/>
  <c r="CU187" i="1"/>
  <c r="CW185" i="1"/>
  <c r="CV186" i="1"/>
  <c r="CV183" i="1"/>
  <c r="CV187" i="1" s="1"/>
  <c r="CW182" i="1"/>
  <c r="CX126" i="1"/>
  <c r="CW129" i="1"/>
  <c r="CW250" i="1" s="1"/>
  <c r="CV207" i="1"/>
  <c r="CN8" i="1"/>
  <c r="CD70" i="1"/>
  <c r="CD87" i="1" s="1"/>
  <c r="BZ42" i="1"/>
  <c r="BZ246" i="1" s="1"/>
  <c r="BZ44" i="1"/>
  <c r="CC228" i="1"/>
  <c r="BZ48" i="1"/>
  <c r="CC55" i="1" s="1"/>
  <c r="BZ235" i="1"/>
  <c r="CD43" i="1"/>
  <c r="CA44" i="1"/>
  <c r="CG249" i="1"/>
  <c r="CH210" i="1"/>
  <c r="CH211" i="1" s="1"/>
  <c r="CH212" i="1" s="1"/>
  <c r="CG245" i="1"/>
  <c r="CG247" i="1"/>
  <c r="CG166" i="1"/>
  <c r="CG167" i="1" s="1"/>
  <c r="CG169" i="1"/>
  <c r="CF194" i="1"/>
  <c r="CF196" i="1" s="1"/>
  <c r="CF200" i="1" s="1"/>
  <c r="CF214" i="1" s="1"/>
  <c r="CF53" i="1"/>
  <c r="CF67" i="1"/>
  <c r="CI70" i="1" s="1"/>
  <c r="CI55" i="1"/>
  <c r="CC93" i="1"/>
  <c r="CC130" i="1"/>
  <c r="CC56" i="1" s="1"/>
  <c r="CC208" i="1"/>
  <c r="CC206" i="1" s="1"/>
  <c r="CD208" i="1"/>
  <c r="CD206" i="1" s="1"/>
  <c r="CG228" i="1"/>
  <c r="CI43" i="1"/>
  <c r="CH228" i="1"/>
  <c r="CE44" i="1"/>
  <c r="CE42" i="1"/>
  <c r="CE246" i="1" s="1"/>
  <c r="CE43" i="1"/>
  <c r="CF44" i="1"/>
  <c r="CE48" i="1"/>
  <c r="CF228" i="1"/>
  <c r="CE228" i="1"/>
  <c r="Z62" i="1"/>
  <c r="CE235" i="1"/>
  <c r="CY181" i="1"/>
  <c r="CZ125" i="1"/>
  <c r="CY180" i="1"/>
  <c r="CY141" i="1"/>
  <c r="CY203" i="1" s="1"/>
  <c r="CX203" i="1"/>
  <c r="CY184" i="1"/>
  <c r="AC137" i="1"/>
  <c r="AC127" i="1"/>
  <c r="AB165" i="1"/>
  <c r="AC123" i="1"/>
  <c r="AC152" i="1"/>
  <c r="AB148" i="1"/>
  <c r="AB155" i="1"/>
  <c r="AC144" i="1"/>
  <c r="AC128" i="1"/>
  <c r="AB156" i="1"/>
  <c r="AC119" i="1"/>
  <c r="AC136" i="1"/>
  <c r="AD65" i="1" l="1"/>
  <c r="CY65" i="1"/>
  <c r="CZ65" i="1" s="1"/>
  <c r="DA65" i="1" s="1"/>
  <c r="DB65" i="1" s="1"/>
  <c r="AE65" i="1" s="1"/>
  <c r="CX182" i="1"/>
  <c r="CW183" i="1"/>
  <c r="CX185" i="1"/>
  <c r="CW186" i="1"/>
  <c r="CY126" i="1"/>
  <c r="CX129" i="1"/>
  <c r="CX250" i="1" s="1"/>
  <c r="CW207" i="1"/>
  <c r="CD86" i="1"/>
  <c r="CD88" i="1"/>
  <c r="CB55" i="1"/>
  <c r="BZ67" i="1"/>
  <c r="BZ53" i="1"/>
  <c r="BZ194" i="1"/>
  <c r="BZ196" i="1" s="1"/>
  <c r="CH37" i="1"/>
  <c r="CG110" i="1"/>
  <c r="CI88" i="1"/>
  <c r="CI86" i="1"/>
  <c r="CI87" i="1"/>
  <c r="CL91" i="1" s="1"/>
  <c r="CE53" i="1"/>
  <c r="CE120" i="1"/>
  <c r="CE121" i="1" s="1"/>
  <c r="CE55" i="1" s="1"/>
  <c r="CE194" i="1"/>
  <c r="CE196" i="1" s="1"/>
  <c r="CE200" i="1" s="1"/>
  <c r="CE214" i="1" s="1"/>
  <c r="CE67" i="1"/>
  <c r="CF55" i="1"/>
  <c r="CG55" i="1"/>
  <c r="CH55" i="1"/>
  <c r="DA125" i="1"/>
  <c r="CZ141" i="1"/>
  <c r="CZ203" i="1" s="1"/>
  <c r="CZ184" i="1"/>
  <c r="CZ181" i="1"/>
  <c r="CZ180" i="1"/>
  <c r="AE137" i="1"/>
  <c r="AD137" i="1"/>
  <c r="AE127" i="1"/>
  <c r="AD127" i="1"/>
  <c r="AC165" i="1"/>
  <c r="AE152" i="1"/>
  <c r="AD152" i="1"/>
  <c r="AE144" i="1"/>
  <c r="AD144" i="1"/>
  <c r="AD119" i="1"/>
  <c r="AE119" i="1"/>
  <c r="AC155" i="1"/>
  <c r="AE128" i="1"/>
  <c r="AD128" i="1"/>
  <c r="AE136" i="1"/>
  <c r="AD136" i="1"/>
  <c r="AC156" i="1"/>
  <c r="AC148" i="1"/>
  <c r="AE123" i="1"/>
  <c r="AD123" i="1"/>
  <c r="CY185" i="1" l="1"/>
  <c r="CX186" i="1"/>
  <c r="CW187" i="1"/>
  <c r="CY182" i="1"/>
  <c r="CX183" i="1"/>
  <c r="CZ126" i="1"/>
  <c r="CY129" i="1"/>
  <c r="CY250" i="1" s="1"/>
  <c r="CX207" i="1"/>
  <c r="CC70" i="1"/>
  <c r="CB70" i="1"/>
  <c r="CG112" i="1"/>
  <c r="CG115" i="1" s="1"/>
  <c r="CG111" i="1"/>
  <c r="CG114" i="1" s="1"/>
  <c r="CF70" i="1"/>
  <c r="CH70" i="1"/>
  <c r="CL71" i="1" s="1"/>
  <c r="CG70" i="1"/>
  <c r="CK71" i="1" s="1"/>
  <c r="CE70" i="1"/>
  <c r="CE93" i="1"/>
  <c r="CF208" i="1"/>
  <c r="CF206" i="1" s="1"/>
  <c r="CE130" i="1"/>
  <c r="CE56" i="1" s="1"/>
  <c r="CE208" i="1"/>
  <c r="CE206" i="1" s="1"/>
  <c r="CE211" i="1" s="1"/>
  <c r="CE161" i="1" s="1"/>
  <c r="CE162" i="1" s="1"/>
  <c r="CE166" i="1" s="1"/>
  <c r="DA180" i="1"/>
  <c r="DA181" i="1"/>
  <c r="DA141" i="1"/>
  <c r="DB141" i="1" s="1"/>
  <c r="DB203" i="1" s="1"/>
  <c r="DA184" i="1"/>
  <c r="DB125" i="1"/>
  <c r="AE165" i="1"/>
  <c r="AD165" i="1"/>
  <c r="AE155" i="1"/>
  <c r="AD155" i="1"/>
  <c r="AE156" i="1"/>
  <c r="AD156" i="1"/>
  <c r="AE148" i="1"/>
  <c r="AD148" i="1"/>
  <c r="BY232" i="1"/>
  <c r="CX187" i="1" l="1"/>
  <c r="CZ182" i="1"/>
  <c r="CY183" i="1"/>
  <c r="CZ185" i="1"/>
  <c r="CY186" i="1"/>
  <c r="DA126" i="1"/>
  <c r="CZ129" i="1"/>
  <c r="CZ250" i="1" s="1"/>
  <c r="CY207" i="1"/>
  <c r="CE95" i="1"/>
  <c r="CE96" i="1"/>
  <c r="CE97" i="1"/>
  <c r="CE245" i="1"/>
  <c r="CE86" i="1"/>
  <c r="CE87" i="1"/>
  <c r="CI71" i="1"/>
  <c r="CE88" i="1"/>
  <c r="CE249" i="1"/>
  <c r="CG71" i="1"/>
  <c r="CG86" i="1"/>
  <c r="CG88" i="1"/>
  <c r="CG87" i="1"/>
  <c r="CE169" i="1"/>
  <c r="CE110" i="1" s="1"/>
  <c r="CE112" i="1" s="1"/>
  <c r="CE115" i="1" s="1"/>
  <c r="CF210" i="1"/>
  <c r="CF211" i="1" s="1"/>
  <c r="CF212" i="1" s="1"/>
  <c r="CE247" i="1"/>
  <c r="CH71" i="1"/>
  <c r="CH87" i="1"/>
  <c r="CK91" i="1" s="1"/>
  <c r="CH86" i="1"/>
  <c r="CH88" i="1"/>
  <c r="CE212" i="1"/>
  <c r="CF71" i="1"/>
  <c r="CJ71" i="1"/>
  <c r="CF88" i="1"/>
  <c r="CF86" i="1"/>
  <c r="CF87" i="1"/>
  <c r="CU11" i="1"/>
  <c r="CV11" i="1" s="1"/>
  <c r="DA203" i="1"/>
  <c r="DB181" i="1"/>
  <c r="DB180" i="1"/>
  <c r="DB184" i="1"/>
  <c r="CE167" i="1"/>
  <c r="AB20" i="1"/>
  <c r="DA185" i="1" l="1"/>
  <c r="CZ186" i="1"/>
  <c r="CY187" i="1"/>
  <c r="DA182" i="1"/>
  <c r="CZ183" i="1"/>
  <c r="DB126" i="1"/>
  <c r="DB129" i="1" s="1"/>
  <c r="DA129" i="1"/>
  <c r="CZ207" i="1"/>
  <c r="CJ91" i="1"/>
  <c r="CH91" i="1"/>
  <c r="CF37" i="1"/>
  <c r="CI91" i="1"/>
  <c r="CG91" i="1"/>
  <c r="CW11" i="1"/>
  <c r="CE111" i="1"/>
  <c r="CE114" i="1" s="1"/>
  <c r="AC20" i="1"/>
  <c r="BY233" i="1"/>
  <c r="BY234" i="1" s="1"/>
  <c r="CZ187" i="1" l="1"/>
  <c r="DB182" i="1"/>
  <c r="DB183" i="1" s="1"/>
  <c r="DA183" i="1"/>
  <c r="DB185" i="1"/>
  <c r="DB186" i="1" s="1"/>
  <c r="DA186" i="1"/>
  <c r="DA207" i="1"/>
  <c r="DA250" i="1"/>
  <c r="DB207" i="1"/>
  <c r="DB250" i="1"/>
  <c r="CX11" i="1"/>
  <c r="CY11" i="1" s="1"/>
  <c r="CZ11" i="1" s="1"/>
  <c r="AD20" i="1"/>
  <c r="BY235" i="1"/>
  <c r="DB187" i="1" l="1"/>
  <c r="DA187" i="1"/>
  <c r="DA11" i="1"/>
  <c r="DB11" i="1" s="1"/>
  <c r="AE20" i="1"/>
  <c r="BI66" i="1" l="1"/>
  <c r="AT66" i="1"/>
  <c r="BT66" i="1"/>
  <c r="AV66" i="1"/>
  <c r="AX66" i="1"/>
  <c r="AR66" i="1"/>
  <c r="AO66" i="1" l="1"/>
  <c r="BK66" i="1"/>
  <c r="AN66" i="1"/>
  <c r="AW66" i="1"/>
  <c r="BB66" i="1"/>
  <c r="BM66" i="1"/>
  <c r="BQ66" i="1"/>
  <c r="AJ66" i="1"/>
  <c r="BS66" i="1"/>
  <c r="BR66" i="1"/>
  <c r="BO66" i="1"/>
  <c r="AM66" i="1"/>
  <c r="AI66" i="1"/>
  <c r="AP66" i="1"/>
  <c r="AZ66" i="1"/>
  <c r="AS66" i="1"/>
  <c r="BN66" i="1"/>
  <c r="BU66" i="1"/>
  <c r="BA66" i="1"/>
  <c r="BC66" i="1"/>
  <c r="AU66" i="1"/>
  <c r="BW66" i="1"/>
  <c r="BP66" i="1"/>
  <c r="BJ66" i="1"/>
  <c r="BH66" i="1"/>
  <c r="BX66" i="1"/>
  <c r="BG66" i="1"/>
  <c r="AQ66" i="1"/>
  <c r="AY66" i="1"/>
  <c r="AK66" i="1"/>
  <c r="BE66" i="1"/>
  <c r="BD66" i="1"/>
  <c r="BV66" i="1"/>
  <c r="BF66" i="1"/>
  <c r="BL232" i="1" l="1"/>
  <c r="AB141" i="1" l="1"/>
  <c r="CN78" i="1" l="1"/>
  <c r="AB203" i="1"/>
  <c r="CO78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Q18" i="2"/>
  <c r="G17" i="2"/>
  <c r="F75" i="2"/>
  <c r="S25" i="2"/>
  <c r="L20" i="2"/>
  <c r="W5" i="2"/>
  <c r="U11" i="2"/>
  <c r="O12" i="2"/>
  <c r="J15" i="2"/>
  <c r="C28" i="2"/>
  <c r="H23" i="2"/>
  <c r="S15" i="2"/>
  <c r="K16" i="2"/>
  <c r="X20" i="2"/>
  <c r="R14" i="2"/>
  <c r="G28" i="2"/>
  <c r="H11" i="2"/>
  <c r="H15" i="2"/>
  <c r="U26" i="2"/>
  <c r="R27" i="2"/>
  <c r="AS49" i="3"/>
  <c r="V20" i="2"/>
  <c r="R11" i="2"/>
  <c r="AR91" i="3"/>
  <c r="K27" i="2"/>
  <c r="D25" i="2"/>
  <c r="I26" i="2"/>
  <c r="F22" i="3"/>
  <c r="G5" i="3"/>
  <c r="AD13" i="3"/>
  <c r="G14" i="3"/>
  <c r="AR38" i="3"/>
  <c r="E13" i="3"/>
  <c r="AR14" i="3"/>
  <c r="AD16" i="3"/>
  <c r="E8" i="3"/>
  <c r="AZ15" i="4" a="1"/>
  <c r="BK8" i="4" a="1"/>
  <c r="CF7" i="4" a="1"/>
  <c r="AC11" i="4" a="1"/>
  <c r="BD6" i="4" a="1"/>
  <c r="DF5" i="4" a="1"/>
  <c r="DI14" i="4" a="1"/>
  <c r="EA5" i="4" a="1"/>
  <c r="M5" i="4" a="1"/>
  <c r="P14" i="4" a="1"/>
  <c r="CC8" i="4" a="1"/>
  <c r="CW7" i="4" a="1"/>
  <c r="CU9" i="4" a="1"/>
  <c r="CM6" i="4" a="1"/>
  <c r="DG5" i="4" a="1"/>
  <c r="Y6" i="4" a="1"/>
  <c r="CN15" i="4" a="1"/>
  <c r="DP1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M14" i="2"/>
  <c r="V34" i="2"/>
  <c r="U29" i="2"/>
  <c r="Q46" i="2"/>
  <c r="Q56" i="2"/>
  <c r="D8" i="2"/>
  <c r="I8" i="2"/>
  <c r="P22" i="2"/>
  <c r="J22" i="2"/>
  <c r="W12" i="2"/>
  <c r="R21" i="2"/>
  <c r="H6" i="2"/>
  <c r="S19" i="2"/>
  <c r="R8" i="2"/>
  <c r="I24" i="2"/>
  <c r="L18" i="2"/>
  <c r="V22" i="2"/>
  <c r="O34" i="2"/>
  <c r="V9" i="2"/>
  <c r="E23" i="2"/>
  <c r="R17" i="2"/>
  <c r="AR49" i="3"/>
  <c r="U33" i="2"/>
  <c r="R22" i="2"/>
  <c r="AR95" i="3"/>
  <c r="I34" i="2"/>
  <c r="U9" i="2"/>
  <c r="AG45" i="3"/>
  <c r="D13" i="3"/>
  <c r="E26" i="3"/>
  <c r="D29" i="3"/>
  <c r="AH46" i="3"/>
  <c r="Z45" i="3"/>
  <c r="AC45" i="3"/>
  <c r="AO46" i="3"/>
  <c r="AR29" i="3"/>
  <c r="G22" i="3"/>
  <c r="AF7" i="4" a="1"/>
  <c r="BM8" i="4" a="1"/>
  <c r="J9" i="4" a="1"/>
  <c r="CR8" i="4" a="1"/>
  <c r="C15" i="4" a="1"/>
  <c r="CF9" i="4" a="1"/>
  <c r="DR5" i="4" a="1"/>
  <c r="DM15" i="4" a="1"/>
  <c r="CV9" i="4" a="1"/>
  <c r="AE7" i="4" a="1"/>
  <c r="CA8" i="4" a="1"/>
  <c r="DX6" i="4" a="1"/>
  <c r="C7" i="4" a="1"/>
  <c r="BK12" i="4" a="1"/>
  <c r="EE11" i="4" a="1"/>
  <c r="CM7" i="4" a="1"/>
  <c r="AY12" i="4" a="1"/>
  <c r="L5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F13" i="2"/>
  <c r="T5" i="2"/>
  <c r="Q6" i="2"/>
  <c r="G16" i="2"/>
  <c r="C6" i="2"/>
  <c r="K87" i="2"/>
  <c r="T12" i="2"/>
  <c r="V24" i="2"/>
  <c r="K23" i="2"/>
  <c r="V23" i="2"/>
  <c r="C34" i="2"/>
  <c r="O22" i="2"/>
  <c r="N19" i="2"/>
  <c r="P6" i="2"/>
  <c r="G35" i="2"/>
  <c r="F9" i="2"/>
  <c r="D33" i="2"/>
  <c r="X21" i="2"/>
  <c r="C18" i="2"/>
  <c r="P5" i="2"/>
  <c r="T21" i="2"/>
  <c r="AR55" i="3"/>
  <c r="W70" i="2"/>
  <c r="C23" i="2"/>
  <c r="F22" i="2"/>
  <c r="H33" i="2"/>
  <c r="C30" i="2"/>
  <c r="G7" i="3"/>
  <c r="G11" i="3"/>
  <c r="AD15" i="3"/>
  <c r="F12" i="3"/>
  <c r="AR32" i="3"/>
  <c r="AQ45" i="3"/>
  <c r="G10" i="3"/>
  <c r="F5" i="3"/>
  <c r="AR10" i="3"/>
  <c r="F26" i="3"/>
  <c r="CX7" i="4" a="1"/>
  <c r="AK11" i="4" a="1"/>
  <c r="CB7" i="4" a="1"/>
  <c r="BV5" i="4" a="1"/>
  <c r="L9" i="4" a="1"/>
  <c r="CQ14" i="4" a="1"/>
  <c r="CG12" i="4" a="1"/>
  <c r="ED14" i="4" a="1"/>
  <c r="AE16" i="4" a="1"/>
  <c r="CV6" i="4" a="1"/>
  <c r="P9" i="4" a="1"/>
  <c r="BZ9" i="4" a="1"/>
  <c r="AY9" i="4" a="1"/>
  <c r="EB8" i="4" a="1"/>
  <c r="DG16" i="4" a="1"/>
  <c r="DS6" i="4" a="1"/>
  <c r="BB6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X28" i="2"/>
  <c r="U27" i="2"/>
  <c r="W46" i="2"/>
  <c r="D32" i="2"/>
  <c r="O17" i="2"/>
  <c r="I16" i="2"/>
  <c r="K13" i="2"/>
  <c r="T15" i="2"/>
  <c r="K17" i="2"/>
  <c r="D7" i="2"/>
  <c r="L32" i="2"/>
  <c r="H36" i="2"/>
  <c r="R20" i="2"/>
  <c r="X63" i="2"/>
  <c r="G27" i="2"/>
  <c r="K9" i="2"/>
  <c r="Q31" i="2"/>
  <c r="M36" i="2"/>
  <c r="G11" i="2"/>
  <c r="U5" i="2"/>
  <c r="N21" i="2"/>
  <c r="C10" i="2"/>
  <c r="X36" i="2"/>
  <c r="C65" i="2"/>
  <c r="V19" i="2"/>
  <c r="N20" i="2"/>
  <c r="U31" i="2"/>
  <c r="AR34" i="3"/>
  <c r="E25" i="3"/>
  <c r="AA45" i="3"/>
  <c r="AN45" i="3"/>
  <c r="AR27" i="3"/>
  <c r="G21" i="3"/>
  <c r="D22" i="3"/>
  <c r="AR18" i="3"/>
  <c r="G20" i="3"/>
  <c r="AR16" i="3"/>
  <c r="AB12" i="4" a="1"/>
  <c r="BF13" i="4" a="1"/>
  <c r="AN7" i="4" a="1"/>
  <c r="DT12" i="4" a="1"/>
  <c r="AI11" i="4" a="1"/>
  <c r="CS14" i="4" a="1"/>
  <c r="EK5" i="4" a="1"/>
  <c r="AK13" i="4" a="1"/>
  <c r="BS7" i="4" a="1"/>
  <c r="BT9" i="4" a="1"/>
  <c r="BI6" i="4" a="1"/>
  <c r="CI13" i="4" a="1"/>
  <c r="BH14" i="4" a="1"/>
  <c r="BI7" i="4" a="1"/>
  <c r="CS15" i="4" a="1"/>
  <c r="AY6" i="4" a="1"/>
  <c r="EG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T35" i="2"/>
  <c r="K26" i="2"/>
  <c r="Q58" i="2"/>
  <c r="L23" i="2"/>
  <c r="N36" i="2"/>
  <c r="F6" i="2"/>
  <c r="V28" i="2"/>
  <c r="G33" i="2"/>
  <c r="S17" i="2"/>
  <c r="N33" i="2"/>
  <c r="N14" i="2"/>
  <c r="J19" i="2"/>
  <c r="P28" i="2"/>
  <c r="I35" i="2"/>
  <c r="P13" i="2"/>
  <c r="H27" i="2"/>
  <c r="K59" i="2"/>
  <c r="N6" i="2"/>
  <c r="V31" i="2"/>
  <c r="T20" i="2"/>
  <c r="R36" i="2"/>
  <c r="T8" i="2"/>
  <c r="D11" i="2"/>
  <c r="M31" i="2"/>
  <c r="V8" i="2"/>
  <c r="X29" i="2"/>
  <c r="L27" i="2"/>
  <c r="AA46" i="3"/>
  <c r="F20" i="3"/>
  <c r="AC46" i="3"/>
  <c r="W46" i="3"/>
  <c r="K46" i="3"/>
  <c r="G18" i="3"/>
  <c r="E31" i="3"/>
  <c r="E30" i="3"/>
  <c r="F7" i="3"/>
  <c r="AD11" i="3"/>
  <c r="DO14" i="4" a="1"/>
  <c r="AG7" i="4" a="1"/>
  <c r="AI16" i="4" a="1"/>
  <c r="DK5" i="4" a="1"/>
  <c r="BL9" i="4" a="1"/>
  <c r="EI14" i="4" a="1"/>
  <c r="AH8" i="4" a="1"/>
  <c r="J5" i="4" a="1"/>
  <c r="DO12" i="4" a="1"/>
  <c r="CJ9" i="4" a="1"/>
  <c r="BY5" i="4" a="1"/>
  <c r="AD5" i="4" a="1"/>
  <c r="CF14" i="4" a="1"/>
  <c r="BO5" i="4" a="1"/>
  <c r="EE12" i="4" a="1"/>
  <c r="DI13" i="4" a="1"/>
  <c r="BK11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H9" i="2"/>
  <c r="K11" i="2"/>
  <c r="N11" i="2"/>
  <c r="L17" i="2"/>
  <c r="W21" i="2"/>
  <c r="U30" i="2"/>
  <c r="J26" i="2"/>
  <c r="U34" i="2"/>
  <c r="I20" i="2"/>
  <c r="T30" i="2"/>
  <c r="L19" i="2"/>
  <c r="G14" i="2"/>
  <c r="V10" i="2"/>
  <c r="V36" i="2"/>
  <c r="O11" i="2"/>
  <c r="L31" i="2"/>
  <c r="E28" i="2"/>
  <c r="P32" i="2"/>
  <c r="J20" i="2"/>
  <c r="T6" i="2"/>
  <c r="V11" i="2"/>
  <c r="E7" i="2"/>
  <c r="R26" i="2"/>
  <c r="M30" i="2"/>
  <c r="N8" i="2"/>
  <c r="D14" i="2"/>
  <c r="X12" i="2"/>
  <c r="AJ46" i="3"/>
  <c r="AR12" i="3"/>
  <c r="D26" i="3"/>
  <c r="Q69" i="2"/>
  <c r="O8" i="2"/>
  <c r="O32" i="2"/>
  <c r="R10" i="2"/>
  <c r="K33" i="2"/>
  <c r="O15" i="2"/>
  <c r="X8" i="2"/>
  <c r="D29" i="2"/>
  <c r="S16" i="2"/>
  <c r="D28" i="2"/>
  <c r="R23" i="2"/>
  <c r="S20" i="2"/>
  <c r="G10" i="2"/>
  <c r="R9" i="2"/>
  <c r="G24" i="2"/>
  <c r="T19" i="2"/>
  <c r="T14" i="2"/>
  <c r="F29" i="2"/>
  <c r="G9" i="2"/>
  <c r="C14" i="2"/>
  <c r="Q59" i="2"/>
  <c r="J5" i="2"/>
  <c r="R19" i="2"/>
  <c r="S24" i="2"/>
  <c r="X26" i="2"/>
  <c r="H35" i="2"/>
  <c r="J34" i="2"/>
  <c r="F39" i="3"/>
  <c r="AD10" i="3"/>
  <c r="E20" i="3"/>
  <c r="V45" i="3"/>
  <c r="C46" i="3"/>
  <c r="G15" i="3"/>
  <c r="G23" i="3"/>
  <c r="E29" i="3"/>
  <c r="D31" i="3"/>
  <c r="F28" i="3"/>
  <c r="BF9" i="4" a="1"/>
  <c r="CM12" i="4" a="1"/>
  <c r="CM16" i="4" a="1"/>
  <c r="BH5" i="4" a="1"/>
  <c r="DP14" i="4" a="1"/>
  <c r="BK13" i="4" a="1"/>
  <c r="K15" i="4" a="1"/>
  <c r="R14" i="4" a="1"/>
  <c r="AQ13" i="4" a="1"/>
  <c r="CH7" i="4" a="1"/>
  <c r="AM5" i="4" a="1"/>
  <c r="AL5" i="4" a="1"/>
  <c r="BE7" i="4" a="1"/>
  <c r="DN12" i="4" a="1"/>
  <c r="AI8" i="4" a="1"/>
  <c r="BS16" i="4" a="1"/>
  <c r="CS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8" i="2"/>
  <c r="H8" i="2"/>
  <c r="O6" i="2"/>
  <c r="Q16" i="2"/>
  <c r="K32" i="2"/>
  <c r="Q30" i="2"/>
  <c r="L33" i="2"/>
  <c r="O25" i="2"/>
  <c r="I19" i="2"/>
  <c r="W31" i="2"/>
  <c r="S9" i="2"/>
  <c r="R34" i="2"/>
  <c r="V5" i="2"/>
  <c r="U13" i="2"/>
  <c r="E10" i="2"/>
  <c r="N7" i="2"/>
  <c r="E24" i="2"/>
  <c r="D31" i="2"/>
  <c r="L6" i="2"/>
  <c r="J32" i="2"/>
  <c r="Q36" i="2"/>
  <c r="J11" i="2"/>
  <c r="Q57" i="2"/>
  <c r="E20" i="2"/>
  <c r="I11" i="2"/>
  <c r="H5" i="2"/>
  <c r="V15" i="2"/>
  <c r="X46" i="3"/>
  <c r="AR36" i="3"/>
  <c r="AR33" i="3"/>
  <c r="AR40" i="3"/>
  <c r="O45" i="3"/>
  <c r="D27" i="3"/>
  <c r="D6" i="3"/>
  <c r="E34" i="3"/>
  <c r="AR23" i="3"/>
  <c r="CI14" i="4" a="1"/>
  <c r="CY6" i="4" a="1"/>
  <c r="AI9" i="4" a="1"/>
  <c r="DL15" i="4" a="1"/>
  <c r="AD8" i="4" a="1"/>
  <c r="CD5" i="4" a="1"/>
  <c r="DH12" i="4" a="1"/>
  <c r="BA5" i="4" a="1"/>
  <c r="CX6" i="4" a="1"/>
  <c r="AO11" i="4" a="1"/>
  <c r="DE15" i="4" a="1"/>
  <c r="CX15" i="4" a="1"/>
  <c r="DD13" i="4" a="1"/>
  <c r="CN7" i="4" a="1"/>
  <c r="BS12" i="4" a="1"/>
  <c r="CL9" i="4" a="1"/>
  <c r="CF6" i="4" a="1"/>
  <c r="AD12" i="4" a="1"/>
  <c r="D7" i="4" a="1"/>
  <c r="CP8" i="4" a="1"/>
  <c r="AW14" i="4" a="1"/>
  <c r="DL5" i="4" a="1"/>
  <c r="BP5" i="4" a="1"/>
  <c r="AZ6" i="4" a="1"/>
  <c r="U19" i="2"/>
  <c r="M18" i="2"/>
  <c r="U25" i="2"/>
  <c r="P36" i="2"/>
  <c r="N31" i="2"/>
  <c r="E8" i="2"/>
  <c r="H10" i="2"/>
  <c r="M24" i="2"/>
  <c r="K14" i="2"/>
  <c r="J46" i="3"/>
  <c r="R46" i="3"/>
  <c r="F11" i="3"/>
  <c r="AR28" i="3"/>
  <c r="CI7" i="4" a="1"/>
  <c r="EG12" i="4" a="1"/>
  <c r="CN16" i="4" a="1"/>
  <c r="W5" i="4" a="1"/>
  <c r="AI13" i="4" a="1"/>
  <c r="BD5" i="4" a="1"/>
  <c r="CQ8" i="4" a="1"/>
  <c r="DO6" i="4" a="1"/>
  <c r="AY11" i="4" a="1"/>
  <c r="CH6" i="4" a="1"/>
  <c r="DZ11" i="4" a="1"/>
  <c r="AT15" i="4" a="1"/>
  <c r="CG14" i="4" a="1"/>
  <c r="AW5" i="4" a="1"/>
  <c r="AH12" i="4" a="1"/>
  <c r="AX13" i="4" a="1"/>
  <c r="BZ13" i="4" a="1"/>
  <c r="DV6" i="4" a="1"/>
  <c r="CK13" i="4" a="1"/>
  <c r="I15" i="4" a="1"/>
  <c r="J12" i="4" a="1"/>
  <c r="Y7" i="4" a="1"/>
  <c r="AT5" i="4" a="1"/>
  <c r="W15" i="4" a="1"/>
  <c r="BK9" i="4" a="1"/>
  <c r="DT13" i="4" a="1"/>
  <c r="DO15" i="4" a="1"/>
  <c r="D16" i="4" a="1"/>
  <c r="AB14" i="4" a="1"/>
  <c r="O9" i="4" a="1"/>
  <c r="DR8" i="4" a="1"/>
  <c r="AD6" i="4" a="1"/>
  <c r="N6" i="4" a="1"/>
  <c r="DD5" i="4" a="1"/>
  <c r="DL7" i="4" a="1"/>
  <c r="DV8" i="4" a="1"/>
  <c r="BF5" i="4" a="1"/>
  <c r="BZ12" i="4" a="1"/>
  <c r="CG9" i="4" a="1"/>
  <c r="L14" i="4" a="1"/>
  <c r="AD15" i="4" a="1"/>
  <c r="EG8" i="4" a="1"/>
  <c r="CN6" i="4" a="1"/>
  <c r="CH11" i="4" a="1"/>
  <c r="CG11" i="4" a="1"/>
  <c r="M15" i="4" a="1"/>
  <c r="CP5" i="4" a="1"/>
  <c r="AF14" i="4" a="1"/>
  <c r="S8" i="4" a="1"/>
  <c r="BS5" i="4" a="1"/>
  <c r="DD7" i="4" a="1"/>
  <c r="DI11" i="4" a="1"/>
  <c r="CU7" i="4" a="1"/>
  <c r="AO16" i="4" a="1"/>
  <c r="CU15" i="4" a="1"/>
  <c r="DV9" i="4" a="1"/>
  <c r="CA14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X19" i="2"/>
  <c r="AS6" i="4" a="1"/>
  <c r="Y8" i="4" a="1"/>
  <c r="CM13" i="4" a="1"/>
  <c r="EA15" i="4" a="1"/>
  <c r="AI5" i="4" a="1"/>
  <c r="AC6" i="4" a="1"/>
  <c r="CL12" i="4" a="1"/>
  <c r="O11" i="4" a="1"/>
  <c r="DB7" i="4" a="1"/>
  <c r="F9" i="4" a="1"/>
  <c r="BG15" i="4" a="1"/>
  <c r="BP15" i="4" a="1"/>
  <c r="CV13" i="4" a="1"/>
  <c r="AP13" i="4" a="1"/>
  <c r="AS14" i="4" a="1"/>
  <c r="EF6" i="4" a="1"/>
  <c r="CZ5" i="4" a="1"/>
  <c r="DT14" i="4" a="1"/>
  <c r="CR12" i="4" a="1"/>
  <c r="BY16" i="4" a="1"/>
  <c r="AF12" i="4" a="1"/>
  <c r="DU13" i="4" a="1"/>
  <c r="AM12" i="4" a="1"/>
  <c r="EF16" i="4" a="1"/>
  <c r="DM9" i="4" a="1"/>
  <c r="DY12" i="4" a="1"/>
  <c r="DU15" i="4" a="1"/>
  <c r="BE16" i="4" a="1"/>
  <c r="Z12" i="4" a="1"/>
  <c r="DE13" i="4" a="1"/>
  <c r="AM9" i="4" a="1"/>
  <c r="BS9" i="4" a="1"/>
  <c r="CQ16" i="4" a="1"/>
  <c r="AM15" i="4" a="1"/>
  <c r="BK14" i="4" a="1"/>
  <c r="CI6" i="4" a="1"/>
  <c r="AF15" i="4" a="1"/>
  <c r="L12" i="4" a="1"/>
  <c r="EK11" i="4" a="1"/>
  <c r="AV13" i="4" a="1"/>
  <c r="X11" i="2"/>
  <c r="D20" i="2"/>
  <c r="W30" i="2"/>
  <c r="P8" i="2"/>
  <c r="L21" i="2"/>
  <c r="E12" i="2"/>
  <c r="F26" i="2"/>
  <c r="W19" i="2"/>
  <c r="W45" i="3"/>
  <c r="N45" i="3"/>
  <c r="P45" i="3"/>
  <c r="U46" i="3"/>
  <c r="DM5" i="4" a="1"/>
  <c r="AZ7" i="4" a="1"/>
  <c r="BK6" i="4" a="1"/>
  <c r="BM14" i="4" a="1"/>
  <c r="BJ6" i="4" a="1"/>
  <c r="BP16" i="4" a="1"/>
  <c r="CP9" i="4" a="1"/>
  <c r="EI5" i="4" a="1"/>
  <c r="DH13" i="4" a="1"/>
  <c r="AF13" i="4" a="1"/>
  <c r="DS8" i="4" a="1"/>
  <c r="DC8" i="4" a="1"/>
  <c r="CN13" i="4" a="1"/>
  <c r="DW13" i="4" a="1"/>
  <c r="AH7" i="4" a="1"/>
  <c r="AP5" i="4" a="1"/>
  <c r="CX12" i="4" a="1"/>
  <c r="AG13" i="4" a="1"/>
  <c r="H16" i="4" a="1"/>
  <c r="AI6" i="4" a="1"/>
  <c r="BC7" i="4" a="1"/>
  <c r="BJ13" i="4" a="1"/>
  <c r="BU9" i="4" a="1"/>
  <c r="S14" i="4" a="1"/>
  <c r="BH13" i="4" a="1"/>
  <c r="AF5" i="4" a="1"/>
  <c r="BA13" i="4" a="1"/>
  <c r="AO6" i="4" a="1"/>
  <c r="G16" i="4" a="1"/>
  <c r="EB14" i="4" a="1"/>
  <c r="CE15" i="4" a="1"/>
  <c r="H13" i="4" a="1"/>
  <c r="ED12" i="4" a="1"/>
  <c r="DA6" i="4" a="1"/>
  <c r="CO11" i="4" a="1"/>
  <c r="BA16" i="4" a="1"/>
  <c r="CS9" i="4" a="1"/>
  <c r="BD8" i="4" a="1"/>
  <c r="AF6" i="4" a="1"/>
  <c r="BO6" i="4" a="1"/>
  <c r="AC7" i="4" a="1"/>
  <c r="AI12" i="4" a="1"/>
  <c r="F10" i="2"/>
  <c r="P7" i="2"/>
  <c r="N27" i="2"/>
  <c r="J25" i="2"/>
  <c r="D10" i="2"/>
  <c r="M13" i="2"/>
  <c r="I25" i="2"/>
  <c r="K18" i="2"/>
  <c r="P21" i="2"/>
  <c r="H45" i="3"/>
  <c r="D15" i="3"/>
  <c r="P46" i="3"/>
  <c r="D7" i="3"/>
  <c r="DZ14" i="4" a="1"/>
  <c r="AK8" i="4" a="1"/>
  <c r="CB13" i="4" a="1"/>
  <c r="CN8" i="4" a="1"/>
  <c r="AY7" i="4" a="1"/>
  <c r="EK8" i="4" a="1"/>
  <c r="CA9" i="4" a="1"/>
  <c r="T12" i="4" a="1"/>
  <c r="DW15" i="4" a="1"/>
  <c r="DP7" i="4" a="1"/>
  <c r="DS5" i="4" a="1"/>
  <c r="BH16" i="4" a="1"/>
  <c r="N12" i="4" a="1"/>
  <c r="BD11" i="4" a="1"/>
  <c r="CS5" i="4" a="1"/>
  <c r="DN6" i="4" a="1"/>
  <c r="CQ11" i="4" a="1"/>
  <c r="F13" i="4" a="1"/>
  <c r="AE15" i="4" a="1"/>
  <c r="CC14" i="4" a="1"/>
  <c r="R5" i="4" a="1"/>
  <c r="AV5" i="4" a="1"/>
  <c r="CS6" i="4" a="1"/>
  <c r="BM6" i="4" a="1"/>
  <c r="DY5" i="4" a="1"/>
  <c r="CM11" i="4" a="1"/>
  <c r="DW7" i="4" a="1"/>
  <c r="DN8" i="4" a="1"/>
  <c r="DJ8" i="4" a="1"/>
  <c r="BT6" i="4" a="1"/>
  <c r="EE13" i="4" a="1"/>
  <c r="EK14" i="4" a="1"/>
  <c r="C11" i="4" a="1"/>
  <c r="DX15" i="4" a="1"/>
  <c r="CC5" i="4" a="1"/>
  <c r="U7" i="4" a="1"/>
  <c r="C14" i="4" a="1"/>
  <c r="R7" i="4" a="1"/>
  <c r="Y14" i="4" a="1"/>
  <c r="CC7" i="4" a="1"/>
  <c r="Z6" i="4" a="1"/>
  <c r="AS16" i="4" a="1"/>
  <c r="DR15" i="4" a="1"/>
  <c r="BR8" i="4" a="1"/>
  <c r="DK15" i="4" a="1"/>
  <c r="CS11" i="4" a="1"/>
  <c r="CX9" i="4" a="1"/>
  <c r="CC12" i="4" a="1"/>
  <c r="BU11" i="4" a="1"/>
  <c r="BN5" i="4" a="1"/>
  <c r="CZ7" i="4" a="1"/>
  <c r="CY11" i="4" a="1"/>
  <c r="ED13" i="4" a="1"/>
  <c r="DS7" i="4" a="1"/>
  <c r="BQ12" i="4" a="1"/>
  <c r="DB11" i="4" a="1"/>
  <c r="AB8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X14" i="4" a="1"/>
  <c r="DD11" i="4" a="1"/>
  <c r="DZ8" i="4" a="1"/>
  <c r="EK7" i="4" a="1"/>
  <c r="EB12" i="4" a="1"/>
  <c r="CL7" i="4" a="1"/>
  <c r="CU12" i="4" a="1"/>
  <c r="CZ13" i="4" a="1"/>
  <c r="BA8" i="4" a="1"/>
  <c r="BX15" i="4" a="1"/>
  <c r="G15" i="4" a="1"/>
  <c r="DA15" i="4" a="1"/>
  <c r="CK16" i="4" a="1"/>
  <c r="EC6" i="4" a="1"/>
  <c r="AJ15" i="4" a="1"/>
  <c r="DD16" i="4" a="1"/>
  <c r="DM7" i="4" a="1"/>
  <c r="DT8" i="4" a="1"/>
  <c r="CT9" i="4" a="1"/>
  <c r="CM9" i="4" a="1"/>
  <c r="BT14" i="4" a="1"/>
  <c r="CV15" i="4" a="1"/>
  <c r="CS13" i="4" a="1"/>
  <c r="CY12" i="4" a="1"/>
  <c r="AR15" i="4" a="1"/>
  <c r="BX14" i="4" a="1"/>
  <c r="DN7" i="4" a="1"/>
  <c r="EG9" i="4" a="1"/>
  <c r="DH9" i="4" a="1"/>
  <c r="BM12" i="4" a="1"/>
  <c r="AU8" i="4" a="1"/>
  <c r="ED15" i="4" a="1"/>
  <c r="AX7" i="4" a="1"/>
  <c r="AE14" i="4" a="1"/>
  <c r="AA15" i="4" a="1"/>
  <c r="BL15" i="4" a="1"/>
  <c r="DY9" i="4" a="1"/>
  <c r="DU14" i="4" a="1"/>
  <c r="CF5" i="4" a="1"/>
  <c r="AE5" i="4" a="1"/>
  <c r="L15" i="4" a="1"/>
  <c r="BQ6" i="4" a="1"/>
  <c r="BY6" i="4" a="1"/>
  <c r="CW8" i="4" a="1"/>
  <c r="CE12" i="4" a="1"/>
  <c r="K13" i="4" a="1"/>
  <c r="T26" i="2"/>
  <c r="V35" i="2"/>
  <c r="I9" i="2"/>
  <c r="N35" i="2"/>
  <c r="Q27" i="2"/>
  <c r="M32" i="2"/>
  <c r="M7" i="2"/>
  <c r="U28" i="2"/>
  <c r="M9" i="2"/>
  <c r="S46" i="3"/>
  <c r="G45" i="3"/>
  <c r="AD12" i="3"/>
  <c r="D35" i="3"/>
  <c r="Z8" i="4" a="1"/>
  <c r="BD15" i="4" a="1"/>
  <c r="T7" i="4" a="1"/>
  <c r="V12" i="4" a="1"/>
  <c r="BI5" i="4" a="1"/>
  <c r="EA13" i="4" a="1"/>
  <c r="D15" i="4" a="1"/>
  <c r="DF16" i="4" a="1"/>
  <c r="DA14" i="4" a="1"/>
  <c r="L6" i="4" a="1"/>
  <c r="BE5" i="4" a="1"/>
  <c r="DH6" i="4" a="1"/>
  <c r="AN13" i="4" a="1"/>
  <c r="E9" i="4" a="1"/>
  <c r="Y12" i="4" a="1"/>
  <c r="AX15" i="4" a="1"/>
  <c r="AO7" i="4" a="1"/>
  <c r="CL6" i="4" a="1"/>
  <c r="BJ7" i="4" a="1"/>
  <c r="AZ5" i="4" a="1"/>
  <c r="AX9" i="4" a="1"/>
  <c r="AE11" i="4" a="1"/>
  <c r="CO15" i="4" a="1"/>
  <c r="ED5" i="4" a="1"/>
  <c r="BE9" i="4" a="1"/>
  <c r="H5" i="4" a="1"/>
  <c r="AA8" i="4" a="1"/>
  <c r="DA13" i="4" a="1"/>
  <c r="CG5" i="4" a="1"/>
  <c r="DU6" i="4" a="1"/>
  <c r="BD14" i="4" a="1"/>
  <c r="DT5" i="4" a="1"/>
  <c r="M11" i="4" a="1"/>
  <c r="CH5" i="4" a="1"/>
  <c r="BH8" i="4" a="1"/>
  <c r="DI15" i="4" a="1"/>
  <c r="T13" i="4" a="1"/>
  <c r="AT9" i="4" a="1"/>
  <c r="AD13" i="4" a="1"/>
  <c r="AG8" i="4" a="1"/>
  <c r="BB7" i="4" a="1"/>
  <c r="AN5" i="4" a="1"/>
  <c r="CB16" i="4" a="1"/>
  <c r="AU6" i="4" a="1"/>
  <c r="BL5" i="4" a="1"/>
  <c r="CU13" i="4" a="1"/>
  <c r="AJ11" i="4" a="1"/>
  <c r="DZ5" i="4" a="1"/>
  <c r="W16" i="4" a="1"/>
  <c r="CJ15" i="4" a="1"/>
  <c r="DN11" i="4" a="1"/>
  <c r="S6" i="4" a="1"/>
  <c r="DO7" i="4" a="1"/>
  <c r="AS12" i="4" a="1"/>
  <c r="AF11" i="4" a="1"/>
  <c r="CW13" i="4" a="1"/>
  <c r="AT13" i="4" a="1"/>
  <c r="BZ14" i="4" a="1"/>
  <c r="EF11" i="4" a="1"/>
  <c r="BA14" i="4" a="1"/>
  <c r="J15" i="4" a="1"/>
  <c r="D19" i="2"/>
  <c r="S12" i="2"/>
  <c r="K10" i="2"/>
  <c r="T29" i="2"/>
  <c r="T24" i="2"/>
  <c r="F19" i="2"/>
  <c r="O23" i="2"/>
  <c r="E5" i="2"/>
  <c r="Q54" i="2"/>
  <c r="D24" i="3"/>
  <c r="E23" i="3"/>
  <c r="N46" i="3"/>
  <c r="I45" i="3"/>
  <c r="AK9" i="4" a="1"/>
  <c r="BO8" i="4" a="1"/>
  <c r="BG8" i="4" a="1"/>
  <c r="DC12" i="4" a="1"/>
  <c r="C8" i="4" a="1"/>
  <c r="DQ11" i="4" a="1"/>
  <c r="DR12" i="4" a="1"/>
  <c r="BO13" i="4" a="1"/>
  <c r="CS7" i="4" a="1"/>
  <c r="Z5" i="4" a="1"/>
  <c r="EH13" i="4" a="1"/>
  <c r="BT16" i="4" a="1"/>
  <c r="AZ12" i="4" a="1"/>
  <c r="EG7" i="4" a="1"/>
  <c r="AO9" i="4" a="1"/>
  <c r="BM9" i="4" a="1"/>
  <c r="BD12" i="4" a="1"/>
  <c r="AV11" i="4" a="1"/>
  <c r="U6" i="4" a="1"/>
  <c r="DC13" i="4" a="1"/>
  <c r="CF13" i="4" a="1"/>
  <c r="DP6" i="4" a="1"/>
  <c r="AL7" i="4" a="1"/>
  <c r="AE13" i="4" a="1"/>
  <c r="G23" i="2"/>
  <c r="O7" i="2"/>
  <c r="L12" i="2"/>
  <c r="P23" i="2"/>
  <c r="K7" i="2"/>
  <c r="V18" i="2"/>
  <c r="H26" i="2"/>
  <c r="J17" i="2"/>
  <c r="C26" i="2"/>
  <c r="K15" i="2"/>
  <c r="F19" i="3"/>
  <c r="E42" i="3"/>
  <c r="D38" i="3"/>
  <c r="AR35" i="3"/>
  <c r="AO12" i="4" a="1"/>
  <c r="BQ7" i="4" a="1"/>
  <c r="BZ5" i="4" a="1"/>
  <c r="R11" i="4" a="1"/>
  <c r="DL13" i="4" a="1"/>
  <c r="V5" i="4" a="1"/>
  <c r="BK15" i="4" a="1"/>
  <c r="EJ12" i="4" a="1"/>
  <c r="V16" i="4" a="1"/>
  <c r="EF15" i="4" a="1"/>
  <c r="BW16" i="4" a="1"/>
  <c r="BC15" i="4" a="1"/>
  <c r="AJ5" i="4" a="1"/>
  <c r="AG14" i="4" a="1"/>
  <c r="BI15" i="4" a="1"/>
  <c r="BB15" i="4" a="1"/>
  <c r="CA11" i="4" a="1"/>
  <c r="BR6" i="4" a="1"/>
  <c r="BR11" i="4" a="1"/>
  <c r="G6" i="4" a="1"/>
  <c r="AB16" i="4" a="1"/>
  <c r="BJ14" i="4" a="1"/>
  <c r="ED11" i="4" a="1"/>
  <c r="DC16" i="4" a="1"/>
  <c r="DJ9" i="4" a="1"/>
  <c r="BZ7" i="4" a="1"/>
  <c r="J13" i="4" a="1"/>
  <c r="CC6" i="4" a="1"/>
  <c r="H12" i="4" a="1"/>
  <c r="CO16" i="4" a="1"/>
  <c r="DK9" i="4" a="1"/>
  <c r="EE8" i="4" a="1"/>
  <c r="EB11" i="4" a="1"/>
  <c r="DQ6" i="4" a="1"/>
  <c r="BE13" i="4" a="1"/>
  <c r="AW15" i="4" a="1"/>
  <c r="CV11" i="4" a="1"/>
  <c r="EF9" i="4" a="1"/>
  <c r="AW8" i="4" a="1"/>
  <c r="N15" i="4" a="1"/>
  <c r="DJ11" i="4" a="1"/>
  <c r="BN12" i="4" a="1"/>
  <c r="DH7" i="4" a="1"/>
  <c r="P13" i="4" a="1"/>
  <c r="CR11" i="4" a="1"/>
  <c r="R12" i="4" a="1"/>
  <c r="BA11" i="4" a="1"/>
  <c r="AP6" i="4" a="1"/>
  <c r="CW12" i="4" a="1"/>
  <c r="O5" i="4" a="1"/>
  <c r="DH16" i="4" a="1"/>
  <c r="H11" i="4" a="1"/>
  <c r="AO8" i="4" a="1"/>
  <c r="EF12" i="4" a="1"/>
  <c r="BQ14" i="4" a="1"/>
  <c r="S16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D16" i="2"/>
  <c r="N9" i="2"/>
  <c r="E19" i="2"/>
  <c r="D24" i="2"/>
  <c r="M28" i="2"/>
  <c r="X27" i="2"/>
  <c r="Q20" i="2"/>
  <c r="AR60" i="3"/>
  <c r="AR54" i="3"/>
  <c r="N15" i="2"/>
  <c r="AD18" i="3"/>
  <c r="AD46" i="3"/>
  <c r="G30" i="3"/>
  <c r="DO5" i="4" a="1"/>
  <c r="BI13" i="4" a="1"/>
  <c r="EC7" i="4" a="1"/>
  <c r="U16" i="4" a="1"/>
  <c r="DE12" i="4" a="1"/>
  <c r="DD9" i="4" a="1"/>
  <c r="DP12" i="4" a="1"/>
  <c r="BG12" i="4" a="1"/>
  <c r="I13" i="4" a="1"/>
  <c r="CJ13" i="4" a="1"/>
  <c r="AT8" i="4" a="1"/>
  <c r="DX8" i="4" a="1"/>
  <c r="F15" i="4" a="1"/>
  <c r="EA7" i="4" a="1"/>
  <c r="AS15" i="4" a="1"/>
  <c r="L16" i="4" a="1"/>
  <c r="BC16" i="4" a="1"/>
  <c r="P6" i="4" a="1"/>
  <c r="BC13" i="4" a="1"/>
  <c r="R8" i="4" a="1"/>
  <c r="DX11" i="4" a="1"/>
  <c r="K12" i="4" a="1"/>
  <c r="AC9" i="4" a="1"/>
  <c r="V9" i="4" a="1"/>
  <c r="E8" i="4" a="1"/>
  <c r="S12" i="4" a="1"/>
  <c r="K6" i="4" a="1"/>
  <c r="BB9" i="4" a="1"/>
  <c r="DI5" i="4" a="1"/>
  <c r="AV14" i="4" a="1"/>
  <c r="K8" i="4" a="1"/>
  <c r="BG6" i="4" a="1"/>
  <c r="U15" i="4" a="1"/>
  <c r="AW13" i="4" a="1"/>
  <c r="W9" i="4" a="1"/>
  <c r="BL14" i="4" a="1"/>
  <c r="M13" i="4" a="1"/>
  <c r="AW9" i="4" a="1"/>
  <c r="CA16" i="4" a="1"/>
  <c r="AO13" i="4" a="1"/>
  <c r="AW11" i="4" a="1"/>
  <c r="BN13" i="4" a="1"/>
  <c r="CR7" i="4" a="1"/>
  <c r="EC16" i="4" a="1"/>
  <c r="AB7" i="4" a="1"/>
  <c r="CT16" i="4" a="1"/>
  <c r="AL9" i="4" a="1"/>
  <c r="CP16" i="4" a="1"/>
  <c r="CK7" i="4" a="1"/>
  <c r="CE9" i="4" a="1"/>
  <c r="AU14" i="4" a="1"/>
  <c r="CJ16" i="4" a="1"/>
  <c r="J11" i="4" a="1"/>
  <c r="AT11" i="4" a="1"/>
  <c r="Y15" i="4" a="1"/>
  <c r="BG14" i="4" a="1"/>
  <c r="EB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Q78" i="2"/>
  <c r="R29" i="2"/>
  <c r="R13" i="2"/>
  <c r="Q8" i="2"/>
  <c r="G25" i="2"/>
  <c r="X30" i="2"/>
  <c r="AR69" i="3"/>
  <c r="AR80" i="3"/>
  <c r="E45" i="2"/>
  <c r="I14" i="2"/>
  <c r="J7" i="2"/>
  <c r="E17" i="2"/>
  <c r="E32" i="3"/>
  <c r="F15" i="3"/>
  <c r="CN11" i="4" a="1"/>
  <c r="AQ15" i="4" a="1"/>
  <c r="DP5" i="4" a="1"/>
  <c r="X9" i="4" a="1"/>
  <c r="BM16" i="4" a="1"/>
  <c r="CI16" i="4" a="1"/>
  <c r="D12" i="4" a="1"/>
  <c r="BA15" i="4" a="1"/>
  <c r="AU15" i="4" a="1"/>
  <c r="DR14" i="4" a="1"/>
  <c r="AY16" i="4" a="1"/>
  <c r="CJ14" i="4" a="1"/>
  <c r="P5" i="4" a="1"/>
  <c r="CX16" i="4" a="1"/>
  <c r="AH6" i="4" a="1"/>
  <c r="AT16" i="4" a="1"/>
  <c r="E15" i="4" a="1"/>
  <c r="AZ16" i="4" a="1"/>
  <c r="EI11" i="4" a="1"/>
  <c r="BO7" i="4" a="1"/>
  <c r="H8" i="4" a="1"/>
  <c r="AG5" i="4" a="1"/>
  <c r="BP6" i="4" a="1"/>
  <c r="EE5" i="4" a="1"/>
  <c r="AC8" i="4" a="1"/>
  <c r="BE14" i="4" a="1"/>
  <c r="BF6" i="4" a="1"/>
  <c r="BK16" i="4" a="1"/>
  <c r="AW6" i="4" a="1"/>
  <c r="AX5" i="4" a="1"/>
  <c r="N8" i="4" a="1"/>
  <c r="R33" i="2"/>
  <c r="AR15" i="3"/>
  <c r="DP16" i="4" a="1"/>
  <c r="BS14" i="4" a="1"/>
  <c r="DX12" i="4" a="1"/>
  <c r="CI11" i="4" a="1"/>
  <c r="CU14" i="4" a="1"/>
  <c r="CX8" i="4" a="1"/>
  <c r="AR6" i="4" a="1"/>
  <c r="BU16" i="4" a="1"/>
  <c r="CW15" i="4" a="1"/>
  <c r="DN13" i="4" a="1"/>
  <c r="Q11" i="4" a="1"/>
  <c r="BG13" i="4" a="1"/>
  <c r="EI7" i="4" a="1"/>
  <c r="AA5" i="4" a="1"/>
  <c r="DS11" i="4" a="1"/>
  <c r="DJ13" i="4" a="1"/>
  <c r="EB7" i="4" a="1"/>
  <c r="Z46" i="3"/>
  <c r="DQ12" i="4" a="1"/>
  <c r="AP12" i="4" a="1"/>
  <c r="BP11" i="4" a="1"/>
  <c r="BN9" i="4" a="1"/>
  <c r="N11" i="4" a="1"/>
  <c r="BR15" i="4" a="1"/>
  <c r="CA5" i="4" a="1"/>
  <c r="CZ14" i="4" a="1"/>
  <c r="D20" i="3"/>
  <c r="L7" i="4" a="1"/>
  <c r="DR9" i="4" a="1"/>
  <c r="DW11" i="4" a="1"/>
  <c r="DB5" i="4" a="1"/>
  <c r="BW14" i="4" a="1"/>
  <c r="DA16" i="4" a="1"/>
  <c r="DW16" i="4" a="1"/>
  <c r="U12" i="2"/>
  <c r="C59" i="2"/>
  <c r="T11" i="2"/>
  <c r="F33" i="3"/>
  <c r="J45" i="3"/>
  <c r="DV7" i="4" a="1"/>
  <c r="DG11" i="4" a="1"/>
  <c r="CA12" i="4" a="1"/>
  <c r="EE16" i="4" a="1"/>
  <c r="DI7" i="4" a="1"/>
  <c r="G11" i="4" a="1"/>
  <c r="BJ8" i="4" a="1"/>
  <c r="T9" i="4" a="1"/>
  <c r="AX14" i="4" a="1"/>
  <c r="AV12" i="4" a="1"/>
  <c r="CU5" i="4" a="1"/>
  <c r="H15" i="4" a="1"/>
  <c r="CI5" i="4" a="1"/>
  <c r="AY13" i="4" a="1"/>
  <c r="EA11" i="4" a="1"/>
  <c r="CH16" i="4" a="1"/>
  <c r="DM14" i="4" a="1"/>
  <c r="AM8" i="4" a="1"/>
  <c r="DS9" i="4" a="1"/>
  <c r="X12" i="4" a="1"/>
  <c r="BQ13" i="4" a="1"/>
  <c r="H9" i="4" a="1"/>
  <c r="AM16" i="4" a="1"/>
  <c r="DE7" i="4" a="1"/>
  <c r="DJ15" i="4" a="1"/>
  <c r="DE5" i="4" a="1"/>
  <c r="DN16" i="4" a="1"/>
  <c r="AL11" i="4" a="1"/>
  <c r="C12" i="4" a="1"/>
  <c r="EI15" i="4" a="1"/>
  <c r="F32" i="2"/>
  <c r="Q12" i="4" a="1"/>
  <c r="BJ16" i="4" a="1"/>
  <c r="DB12" i="4" a="1"/>
  <c r="T15" i="4" a="1"/>
  <c r="CP7" i="4" a="1"/>
  <c r="AA7" i="4" a="1"/>
  <c r="AA14" i="4" a="1"/>
  <c r="DJ5" i="4" a="1"/>
  <c r="Z13" i="4" a="1"/>
  <c r="DK12" i="4" a="1"/>
  <c r="DD15" i="4" a="1"/>
  <c r="EH15" i="4" a="1"/>
  <c r="BW9" i="4" a="1"/>
  <c r="DO13" i="4" a="1"/>
  <c r="J6" i="4" a="1"/>
  <c r="BF15" i="4" a="1"/>
  <c r="DT15" i="4" a="1"/>
  <c r="DK13" i="4" a="1"/>
  <c r="EC12" i="4" a="1"/>
  <c r="DL12" i="4" a="1"/>
  <c r="EE9" i="4" a="1"/>
  <c r="BA12" i="4" a="1"/>
  <c r="BI8" i="4" a="1"/>
  <c r="C22" i="2"/>
  <c r="Q5" i="4" a="1"/>
  <c r="CE13" i="4" a="1"/>
  <c r="CK9" i="4" a="1"/>
  <c r="AJ6" i="4" a="1"/>
  <c r="CG16" i="4" a="1"/>
  <c r="I5" i="4" a="1"/>
  <c r="EB16" i="4" a="1"/>
  <c r="DZ7" i="4" a="1"/>
  <c r="AZ11" i="4" a="1"/>
  <c r="AW16" i="4" a="1"/>
  <c r="W17" i="2"/>
  <c r="I17" i="2"/>
  <c r="J23" i="2"/>
  <c r="L46" i="3"/>
  <c r="F35" i="3"/>
  <c r="AF16" i="4" a="1"/>
  <c r="BO12" i="4" a="1"/>
  <c r="AM6" i="4" a="1"/>
  <c r="EI9" i="4" a="1"/>
  <c r="BQ11" i="4" a="1"/>
  <c r="EB6" i="4" a="1"/>
  <c r="E6" i="4" a="1"/>
  <c r="AB6" i="4" a="1"/>
  <c r="CT13" i="4" a="1"/>
  <c r="BR7" i="4" a="1"/>
  <c r="DO11" i="4" a="1"/>
  <c r="CD14" i="4" a="1"/>
  <c r="DK6" i="4" a="1"/>
  <c r="M12" i="4" a="1"/>
  <c r="CJ6" i="4" a="1"/>
  <c r="BN15" i="4" a="1"/>
  <c r="EK9" i="4" a="1"/>
  <c r="CA7" i="4" a="1"/>
  <c r="AC13" i="4" a="1"/>
  <c r="CR15" i="4" a="1"/>
  <c r="O16" i="4" a="1"/>
  <c r="DS15" i="4" a="1"/>
  <c r="BS8" i="4" a="1"/>
  <c r="DB15" i="4" a="1"/>
  <c r="CB11" i="4" a="1"/>
  <c r="AE8" i="4" a="1"/>
  <c r="DH11" i="4" a="1"/>
  <c r="EG15" i="4" a="1"/>
  <c r="BL6" i="4" a="1"/>
  <c r="J31" i="2"/>
  <c r="ED16" i="4" a="1"/>
  <c r="CT12" i="4" a="1"/>
  <c r="CB14" i="4" a="1"/>
  <c r="BH9" i="4" a="1"/>
  <c r="EI8" i="4" a="1"/>
  <c r="DV11" i="4" a="1"/>
  <c r="AH16" i="4" a="1"/>
  <c r="AD14" i="4" a="1"/>
  <c r="DV13" i="4" a="1"/>
  <c r="CV16" i="4" a="1"/>
  <c r="CE16" i="4" a="1"/>
  <c r="CG15" i="4" a="1"/>
  <c r="AH14" i="4" a="1"/>
  <c r="BD13" i="4" a="1"/>
  <c r="DG6" i="4" a="1"/>
  <c r="BV12" i="4" a="1"/>
  <c r="AI14" i="4" a="1"/>
  <c r="BP12" i="4" a="1"/>
  <c r="CY9" i="4" a="1"/>
  <c r="DH5" i="4" a="1"/>
  <c r="DW9" i="4" a="1"/>
  <c r="BC11" i="4" a="1"/>
  <c r="E41" i="3"/>
  <c r="DK14" i="4" a="1"/>
  <c r="W7" i="4" a="1"/>
  <c r="AY15" i="4" a="1"/>
  <c r="DD14" i="4" a="1"/>
  <c r="BU15" i="4" a="1"/>
  <c r="D5" i="4" a="1"/>
  <c r="G32" i="2"/>
  <c r="EA8" i="4" a="1"/>
  <c r="AJ13" i="4" a="1"/>
  <c r="CO14" i="4" a="1"/>
  <c r="EJ6" i="4" a="1"/>
  <c r="V13" i="4" a="1"/>
  <c r="ED8" i="4" a="1"/>
  <c r="CC15" i="4" a="1"/>
  <c r="EJ11" i="4" a="1"/>
  <c r="O19" i="2"/>
  <c r="F20" i="2"/>
  <c r="R7" i="2"/>
  <c r="E35" i="3"/>
  <c r="DV16" i="4" a="1"/>
  <c r="BN16" i="4" a="1"/>
  <c r="BQ9" i="4" a="1"/>
  <c r="DZ6" i="4" a="1"/>
  <c r="AV8" i="4" a="1"/>
  <c r="AA6" i="4" a="1"/>
  <c r="W6" i="4" a="1"/>
  <c r="V8" i="4" a="1"/>
  <c r="CD16" i="4" a="1"/>
  <c r="DD6" i="4" a="1"/>
  <c r="EE15" i="4" a="1"/>
  <c r="DU16" i="4" a="1"/>
  <c r="DM8" i="4" a="1"/>
  <c r="CW11" i="4" a="1"/>
  <c r="X16" i="4" a="1"/>
  <c r="EC5" i="4" a="1"/>
  <c r="AQ8" i="4" a="1"/>
  <c r="BT12" i="4" a="1"/>
  <c r="AV6" i="4" a="1"/>
  <c r="BR9" i="4" a="1"/>
  <c r="AR14" i="4" a="1"/>
  <c r="EG11" i="4" a="1"/>
  <c r="P15" i="4" a="1"/>
  <c r="AN6" i="4" a="1"/>
  <c r="EI13" i="4" a="1"/>
  <c r="AQ11" i="4" a="1"/>
  <c r="BT11" i="4" a="1"/>
  <c r="DU12" i="4" a="1"/>
  <c r="DY15" i="4" a="1"/>
  <c r="CH9" i="4" a="1"/>
  <c r="BQ5" i="4" a="1"/>
  <c r="I31" i="2"/>
  <c r="T9" i="2"/>
  <c r="AR75" i="3"/>
  <c r="E37" i="3"/>
  <c r="AL12" i="4" a="1"/>
  <c r="EG16" i="4" a="1"/>
  <c r="BR13" i="4" a="1"/>
  <c r="BQ8" i="4" a="1"/>
  <c r="D9" i="4" a="1"/>
  <c r="DT16" i="4" a="1"/>
  <c r="AN15" i="4" a="1"/>
  <c r="DG7" i="4" a="1"/>
  <c r="CL11" i="4" a="1"/>
  <c r="E12" i="4" a="1"/>
  <c r="AU12" i="4" a="1"/>
  <c r="CO7" i="4" a="1"/>
  <c r="I9" i="4" a="1"/>
  <c r="DS16" i="4" a="1"/>
  <c r="CD7" i="4" a="1"/>
  <c r="Y9" i="4" a="1"/>
  <c r="CL5" i="4" a="1"/>
  <c r="AX12" i="4" a="1"/>
  <c r="O14" i="4" a="1"/>
  <c r="EH11" i="4" a="1"/>
  <c r="AG6" i="4" a="1"/>
  <c r="EF8" i="4" a="1"/>
  <c r="W15" i="2"/>
  <c r="CW9" i="4" a="1"/>
  <c r="DE11" i="4" a="1"/>
  <c r="DS13" i="4" a="1"/>
  <c r="DB6" i="4" a="1"/>
  <c r="CE14" i="4" a="1"/>
  <c r="CW16" i="4" a="1"/>
  <c r="R15" i="4" a="1"/>
  <c r="EJ8" i="4" a="1"/>
  <c r="P25" i="2"/>
  <c r="G31" i="2"/>
  <c r="P35" i="2"/>
  <c r="I21" i="2"/>
  <c r="F6" i="3"/>
  <c r="BC9" i="4" a="1"/>
  <c r="AB11" i="4" a="1"/>
  <c r="O6" i="4" a="1"/>
  <c r="BA7" i="4" a="1"/>
  <c r="U12" i="4" a="1"/>
  <c r="DE8" i="4" a="1"/>
  <c r="AL6" i="4" a="1"/>
  <c r="DM11" i="4" a="1"/>
  <c r="DO8" i="4" a="1"/>
  <c r="CE11" i="4" a="1"/>
  <c r="BX13" i="4" a="1"/>
  <c r="DR7" i="4" a="1"/>
  <c r="EA14" i="4" a="1"/>
  <c r="AY14" i="4" a="1"/>
  <c r="S7" i="4" a="1"/>
  <c r="BV6" i="4" a="1"/>
  <c r="BG16" i="4" a="1"/>
  <c r="DY6" i="4" a="1"/>
  <c r="CS16" i="4" a="1"/>
  <c r="AU9" i="4" a="1"/>
  <c r="DB9" i="4" a="1"/>
  <c r="Q7" i="4" a="1"/>
  <c r="H7" i="4" a="1"/>
  <c r="CL14" i="4" a="1"/>
  <c r="BI12" i="4" a="1"/>
  <c r="Y13" i="4" a="1"/>
  <c r="AV7" i="4" a="1"/>
  <c r="N16" i="4" a="1"/>
  <c r="BK7" i="4" a="1"/>
  <c r="DE9" i="4" a="1"/>
  <c r="DS14" i="4" a="1"/>
  <c r="AJ45" i="3"/>
  <c r="EI16" i="4" a="1"/>
  <c r="DF11" i="4" a="1"/>
  <c r="AU7" i="4" a="1"/>
  <c r="BV11" i="4" a="1"/>
  <c r="CF11" i="4" a="1"/>
  <c r="BT5" i="4" a="1"/>
  <c r="DX16" i="4" a="1"/>
  <c r="CL13" i="4" a="1"/>
  <c r="AM14" i="4" a="1"/>
  <c r="DJ12" i="4" a="1"/>
  <c r="Q9" i="4" a="1"/>
  <c r="O14" i="2"/>
  <c r="CC13" i="4" a="1"/>
  <c r="EE6" i="4" a="1"/>
  <c r="E13" i="4" a="1"/>
  <c r="CP6" i="4" a="1"/>
  <c r="G13" i="4" a="1"/>
  <c r="CV8" i="4" a="1"/>
  <c r="CP11" i="4" a="1"/>
  <c r="CR14" i="4" a="1"/>
  <c r="E12" i="3"/>
  <c r="EI12" i="4" a="1"/>
  <c r="BX6" i="4" a="1"/>
  <c r="CH12" i="4" a="1"/>
  <c r="AM13" i="4" a="1"/>
  <c r="E5" i="4" a="1"/>
  <c r="BC6" i="4" a="1"/>
  <c r="DV14" i="4" a="1"/>
  <c r="F25" i="3"/>
  <c r="CD8" i="4" a="1"/>
  <c r="BY14" i="4" a="1"/>
  <c r="C13" i="4" a="1"/>
  <c r="CM14" i="4" a="1"/>
  <c r="Z9" i="4" a="1"/>
  <c r="CX5" i="4" a="1"/>
  <c r="AY8" i="4" a="1"/>
  <c r="DZ15" i="4" a="1"/>
  <c r="O13" i="4" a="1"/>
  <c r="Q14" i="2"/>
  <c r="I22" i="2"/>
  <c r="E22" i="2"/>
  <c r="D8" i="3"/>
  <c r="BX9" i="4" a="1"/>
  <c r="AR11" i="4" a="1"/>
  <c r="DR11" i="4" a="1"/>
  <c r="BA6" i="4" a="1"/>
  <c r="CT15" i="4" a="1"/>
  <c r="I7" i="4" a="1"/>
  <c r="DN15" i="4" a="1"/>
  <c r="AG16" i="4" a="1"/>
  <c r="C16" i="4" a="1"/>
  <c r="DZ13" i="4" a="1"/>
  <c r="DN14" i="4" a="1"/>
  <c r="DJ7" i="4" a="1"/>
  <c r="EH9" i="4" a="1"/>
  <c r="P12" i="4" a="1"/>
  <c r="EC13" i="4" a="1"/>
  <c r="CD13" i="4" a="1"/>
  <c r="CB8" i="4" a="1"/>
  <c r="CK8" i="4" a="1"/>
  <c r="CW6" i="4" a="1"/>
  <c r="BF16" i="4" a="1"/>
  <c r="DN5" i="4" a="1"/>
  <c r="L8" i="4" a="1"/>
  <c r="AH11" i="4" a="1"/>
  <c r="DC6" i="4" a="1"/>
  <c r="Z14" i="4" a="1"/>
  <c r="AS7" i="4" a="1"/>
  <c r="AL16" i="4" a="1"/>
  <c r="EB9" i="4" a="1"/>
  <c r="BP13" i="4" a="1"/>
  <c r="Q16" i="4" a="1"/>
  <c r="DK8" i="4" a="1"/>
  <c r="F35" i="2"/>
  <c r="S8" i="2"/>
  <c r="AR86" i="3"/>
  <c r="DF7" i="4" a="1"/>
  <c r="CJ8" i="4" a="1"/>
  <c r="AN9" i="4" a="1"/>
  <c r="H14" i="4" a="1"/>
  <c r="V11" i="4" a="1"/>
  <c r="CT6" i="4" a="1"/>
  <c r="CV7" i="4" a="1"/>
  <c r="X11" i="4" a="1"/>
  <c r="CE8" i="4" a="1"/>
  <c r="Q15" i="4" a="1"/>
  <c r="W35" i="2"/>
  <c r="CO9" i="4" a="1"/>
  <c r="BW12" i="4" a="1"/>
  <c r="AI15" i="4" a="1"/>
  <c r="BZ6" i="4" a="1"/>
  <c r="BD9" i="4" a="1"/>
  <c r="CB6" i="4" a="1"/>
  <c r="CX13" i="4" a="1"/>
  <c r="CN5" i="4" a="1"/>
  <c r="M11" i="2"/>
  <c r="DJ6" i="4" a="1"/>
  <c r="U13" i="4" a="1"/>
  <c r="D69" i="3"/>
  <c r="F85" i="3"/>
  <c r="F57" i="3"/>
  <c r="F90" i="3"/>
  <c r="F84" i="3"/>
  <c r="G75" i="3"/>
  <c r="F47" i="3"/>
  <c r="F72" i="3"/>
  <c r="F68" i="3"/>
  <c r="D90" i="3"/>
  <c r="F93" i="3"/>
  <c r="G65" i="3"/>
  <c r="F56" i="3"/>
  <c r="F71" i="3"/>
  <c r="G90" i="3"/>
  <c r="D72" i="3"/>
  <c r="D67" i="3"/>
  <c r="F49" i="3"/>
  <c r="G80" i="3"/>
  <c r="F91" i="3"/>
  <c r="F61" i="3"/>
  <c r="G76" i="3"/>
  <c r="F76" i="3"/>
  <c r="D86" i="3"/>
  <c r="D68" i="3"/>
  <c r="D95" i="3"/>
  <c r="F79" i="3"/>
  <c r="G55" i="3"/>
  <c r="D93" i="3"/>
  <c r="F89" i="3"/>
  <c r="G54" i="3"/>
  <c r="F66" i="3"/>
  <c r="D66" i="3"/>
  <c r="D85" i="3"/>
  <c r="F88" i="3"/>
  <c r="G86" i="3"/>
  <c r="D63" i="3"/>
  <c r="G81" i="3"/>
  <c r="D91" i="3"/>
  <c r="D79" i="3"/>
  <c r="G95" i="3"/>
  <c r="F83" i="3"/>
  <c r="G71" i="3"/>
  <c r="D84" i="3"/>
  <c r="G87" i="3"/>
  <c r="D78" i="3"/>
  <c r="G74" i="3"/>
  <c r="D55" i="3"/>
  <c r="G88" i="3"/>
  <c r="F77" i="3"/>
  <c r="F69" i="3"/>
  <c r="G58" i="3"/>
  <c r="D58" i="3"/>
  <c r="G67" i="3"/>
  <c r="D87" i="3"/>
  <c r="G78" i="3"/>
  <c r="D97" i="3"/>
  <c r="D56" i="3"/>
  <c r="F86" i="3"/>
  <c r="D64" i="3"/>
  <c r="F64" i="3"/>
  <c r="G84" i="3"/>
  <c r="D80" i="3"/>
  <c r="F97" i="3"/>
  <c r="D89" i="3"/>
  <c r="G83" i="3"/>
  <c r="D65" i="3"/>
  <c r="F50" i="3"/>
  <c r="F87" i="3"/>
  <c r="F74" i="3"/>
  <c r="G97" i="3"/>
  <c r="D73" i="3"/>
  <c r="D54" i="3"/>
  <c r="F60" i="3"/>
  <c r="D71" i="3"/>
  <c r="F95" i="3"/>
  <c r="G62" i="3"/>
  <c r="D76" i="3"/>
  <c r="F67" i="3"/>
  <c r="D96" i="3"/>
  <c r="G63" i="3"/>
  <c r="G82" i="3"/>
  <c r="D59" i="3"/>
  <c r="F82" i="3"/>
  <c r="G73" i="3"/>
  <c r="F81" i="3"/>
  <c r="F80" i="3"/>
  <c r="D77" i="3"/>
  <c r="D83" i="3"/>
  <c r="G91" i="3"/>
  <c r="F63" i="3"/>
  <c r="G92" i="3"/>
  <c r="D88" i="3"/>
  <c r="F73" i="3"/>
  <c r="G57" i="3"/>
  <c r="F54" i="3"/>
  <c r="D62" i="3"/>
  <c r="G72" i="3"/>
  <c r="G79" i="3"/>
  <c r="D60" i="3"/>
  <c r="D57" i="3"/>
  <c r="D82" i="3"/>
  <c r="F96" i="3"/>
  <c r="G68" i="3"/>
  <c r="F94" i="3"/>
  <c r="F78" i="3"/>
  <c r="F59" i="3"/>
  <c r="G60" i="3"/>
  <c r="D75" i="3"/>
  <c r="D94" i="3"/>
  <c r="G77" i="3"/>
  <c r="D74" i="3"/>
  <c r="G85" i="3"/>
  <c r="F70" i="3"/>
  <c r="F75" i="3"/>
  <c r="F48" i="3"/>
  <c r="G69" i="3"/>
  <c r="F65" i="3"/>
  <c r="G64" i="3"/>
  <c r="G96" i="3"/>
  <c r="D61" i="3"/>
  <c r="D92" i="3"/>
  <c r="G56" i="3"/>
  <c r="D81" i="3"/>
  <c r="G70" i="3"/>
  <c r="AD91" i="3"/>
  <c r="G59" i="3"/>
  <c r="F92" i="3"/>
  <c r="D70" i="3"/>
  <c r="G89" i="3"/>
  <c r="G61" i="3"/>
  <c r="F62" i="3"/>
  <c r="F58" i="3"/>
  <c r="AD86" i="3"/>
  <c r="G93" i="3"/>
  <c r="F55" i="3"/>
  <c r="G66" i="3"/>
  <c r="G94" i="3"/>
  <c r="E76" i="3" l="1"/>
  <c r="E66" i="3"/>
  <c r="E79" i="3"/>
  <c r="E55" i="3"/>
  <c r="E61" i="3"/>
  <c r="E86" i="3"/>
  <c r="E90" i="3"/>
  <c r="E83" i="3"/>
  <c r="E68" i="3"/>
  <c r="E94" i="3"/>
  <c r="E74" i="3"/>
  <c r="E89" i="3"/>
  <c r="E54" i="3"/>
  <c r="E85" i="3"/>
  <c r="E87" i="3"/>
  <c r="E93" i="3"/>
  <c r="E62" i="3"/>
  <c r="E84" i="3"/>
  <c r="E67" i="3"/>
  <c r="E56" i="3"/>
  <c r="E80" i="3"/>
  <c r="E82" i="3"/>
  <c r="E69" i="3"/>
  <c r="E70" i="3"/>
  <c r="E65" i="3"/>
  <c r="E78" i="3"/>
  <c r="E97" i="3"/>
  <c r="E96" i="3"/>
  <c r="E77" i="3"/>
  <c r="E60" i="3"/>
  <c r="E57" i="3"/>
  <c r="E73" i="3"/>
  <c r="E92" i="3"/>
  <c r="E95" i="3"/>
  <c r="E81" i="3"/>
  <c r="E91" i="3"/>
  <c r="E71" i="3"/>
  <c r="E58" i="3"/>
  <c r="E64" i="3"/>
  <c r="E75" i="3"/>
  <c r="E63" i="3"/>
  <c r="E88" i="3"/>
  <c r="E72" i="3"/>
  <c r="E59" i="3"/>
  <c r="AD58" i="3"/>
  <c r="BJ120" i="1" s="1"/>
  <c r="AD74" i="3"/>
  <c r="AD61" i="3"/>
  <c r="AD93" i="3"/>
  <c r="AD87" i="3"/>
  <c r="BJ153" i="1" s="1"/>
  <c r="BK153" i="1" s="1"/>
  <c r="AD71" i="3"/>
  <c r="AD92" i="3"/>
  <c r="BJ156" i="1" s="1"/>
  <c r="BK156" i="1" s="1"/>
  <c r="AD54" i="3"/>
  <c r="AD76" i="3"/>
  <c r="AD62" i="3"/>
  <c r="BJ125" i="1" s="1"/>
  <c r="BK125" i="1" s="1"/>
  <c r="AD72" i="3"/>
  <c r="BJ136" i="1" s="1"/>
  <c r="BK136" i="1" s="1"/>
  <c r="AD63" i="3"/>
  <c r="BJ126" i="1" s="1"/>
  <c r="BK126" i="1" s="1"/>
  <c r="AD56" i="3"/>
  <c r="BJ118" i="1" s="1"/>
  <c r="AD73" i="3"/>
  <c r="AD67" i="3"/>
  <c r="AD80" i="3"/>
  <c r="BJ160" i="1" s="1"/>
  <c r="AD66" i="3"/>
  <c r="BJ152" i="1" s="1"/>
  <c r="BK152" i="1" s="1"/>
  <c r="AD77" i="3"/>
  <c r="BJ141" i="1" s="1"/>
  <c r="BK141" i="1" s="1"/>
  <c r="BL203" i="1" s="1"/>
  <c r="AD90" i="3"/>
  <c r="BJ127" i="1" s="1"/>
  <c r="BK127" i="1" s="1"/>
  <c r="AD95" i="3"/>
  <c r="BJ165" i="1" s="1"/>
  <c r="AD82" i="3"/>
  <c r="BJ146" i="1" s="1"/>
  <c r="AD81" i="3"/>
  <c r="BJ145" i="1" s="1"/>
  <c r="AD83" i="3"/>
  <c r="BJ161" i="1" s="1"/>
  <c r="AD85" i="3"/>
  <c r="BJ148" i="1" s="1"/>
  <c r="BK148" i="1" s="1"/>
  <c r="AD94" i="3"/>
  <c r="AD97" i="3"/>
  <c r="AD78" i="3"/>
  <c r="BJ143" i="1" s="1"/>
  <c r="BK143" i="1" s="1"/>
  <c r="AD70" i="3"/>
  <c r="BJ134" i="1" s="1"/>
  <c r="AD59" i="3"/>
  <c r="AD84" i="3"/>
  <c r="BJ147" i="1" s="1"/>
  <c r="BK147" i="1" s="1"/>
  <c r="AD69" i="3"/>
  <c r="BJ133" i="1" s="1"/>
  <c r="AD88" i="3"/>
  <c r="BJ128" i="1" s="1"/>
  <c r="BK128" i="1" s="1"/>
  <c r="AD96" i="3"/>
  <c r="BJ164" i="1" s="1"/>
  <c r="BK164" i="1" s="1"/>
  <c r="AD79" i="3"/>
  <c r="BJ144" i="1" s="1"/>
  <c r="AD68" i="3"/>
  <c r="BJ132" i="1" s="1"/>
  <c r="AD89" i="3"/>
  <c r="BJ154" i="1" s="1"/>
  <c r="AD55" i="3"/>
  <c r="AD64" i="3"/>
  <c r="BJ150" i="1" s="1"/>
  <c r="AD57" i="3"/>
  <c r="BJ119" i="1" s="1"/>
  <c r="BK119" i="1" s="1"/>
  <c r="AD75" i="3"/>
  <c r="AD60" i="3"/>
  <c r="BJ123" i="1" s="1"/>
  <c r="BK123" i="1" s="1"/>
  <c r="AD65" i="3"/>
  <c r="BJ151" i="1" s="1"/>
  <c r="BK151" i="1" s="1"/>
  <c r="L13" i="1"/>
  <c r="IS9" i="4" s="1"/>
  <c r="V52" i="1"/>
  <c r="E52" i="1"/>
  <c r="JF9" i="4" s="1"/>
  <c r="JH9" i="4" s="1"/>
  <c r="HY16" i="4" s="1"/>
  <c r="P20" i="1"/>
  <c r="AL36" i="1"/>
  <c r="AK14" i="1"/>
  <c r="N20" i="1"/>
  <c r="AL8" i="1"/>
  <c r="O52" i="1"/>
  <c r="O36" i="1"/>
  <c r="V23" i="1"/>
  <c r="JC16" i="4" s="1"/>
  <c r="HQ9" i="4" s="1"/>
  <c r="HV16" i="4" s="1"/>
  <c r="IK9" i="4" s="1"/>
  <c r="IJ16" i="4" s="1"/>
  <c r="JD16" i="4" s="1"/>
  <c r="JD21" i="4" s="1"/>
  <c r="BX78" i="1" s="1"/>
  <c r="AK46" i="1"/>
  <c r="Q9" i="1"/>
  <c r="N22" i="1"/>
  <c r="IS14" i="4" s="1"/>
  <c r="F45" i="1"/>
  <c r="IH9" i="4" s="1"/>
  <c r="HS16" i="4" s="1"/>
  <c r="JI9" i="4" s="1"/>
  <c r="AL46" i="1"/>
  <c r="I35" i="1"/>
  <c r="H21" i="1"/>
  <c r="V21" i="1"/>
  <c r="JF16" i="4" s="1"/>
  <c r="JG9" i="4" s="1"/>
  <c r="IM9" i="4" s="1"/>
  <c r="E45" i="1"/>
  <c r="IA16" i="4" s="1"/>
  <c r="JC9" i="4" s="1"/>
  <c r="JG16" i="4" s="1"/>
  <c r="S13" i="1"/>
  <c r="T15" i="1"/>
  <c r="IW16" i="4" s="1"/>
  <c r="AJ9" i="1"/>
  <c r="IJ9" i="4" s="1"/>
  <c r="JB16" i="4" s="1"/>
  <c r="BX24" i="1"/>
  <c r="Q46" i="1"/>
  <c r="II16" i="4" s="1"/>
  <c r="IV16" i="4" s="1"/>
  <c r="IE16" i="4" s="1"/>
  <c r="IQ16" i="4" s="1"/>
  <c r="HV9" i="4" s="1"/>
  <c r="AL24" i="1"/>
  <c r="D21" i="1"/>
  <c r="I9" i="1"/>
  <c r="H20" i="1"/>
  <c r="D123" i="1"/>
  <c r="BX160" i="1"/>
  <c r="BX133" i="1"/>
  <c r="W39" i="1"/>
  <c r="F36" i="1"/>
  <c r="Q24" i="1"/>
  <c r="Q47" i="1"/>
  <c r="P161" i="1"/>
  <c r="IF9" i="4" s="1"/>
  <c r="HR16" i="4" s="1"/>
  <c r="IX9" i="4" s="1"/>
  <c r="HU16" i="4" s="1"/>
  <c r="BJ25" i="1"/>
  <c r="M23" i="1"/>
  <c r="BX123" i="1"/>
  <c r="BY123" i="1" s="1"/>
  <c r="W32" i="1"/>
  <c r="D22" i="1"/>
  <c r="IS16" i="4" s="1"/>
  <c r="IS21" i="4" s="1"/>
  <c r="BM78" i="1" s="1"/>
  <c r="IZ9" i="4" s="1"/>
  <c r="IG15" i="4" s="1"/>
  <c r="IM16" i="4" s="1"/>
  <c r="BX46" i="1"/>
  <c r="AK52" i="1"/>
  <c r="J23" i="1"/>
  <c r="I21" i="1"/>
  <c r="U25" i="1"/>
  <c r="J9" i="1"/>
  <c r="O35" i="1"/>
  <c r="K15" i="1"/>
  <c r="N9" i="1"/>
  <c r="F35" i="1"/>
  <c r="IL16" i="4" s="1"/>
  <c r="AK35" i="1"/>
  <c r="P154" i="1"/>
  <c r="N35" i="1"/>
  <c r="E22" i="1"/>
  <c r="S47" i="1"/>
  <c r="R15" i="1"/>
  <c r="C22" i="1"/>
  <c r="IF7" i="4" s="1"/>
  <c r="IG9" i="4" s="1"/>
  <c r="HP15" i="4" s="1"/>
  <c r="AJ46" i="1"/>
  <c r="BJ14" i="1"/>
  <c r="L9" i="1"/>
  <c r="L45" i="1"/>
  <c r="P32" i="1"/>
  <c r="M52" i="1"/>
  <c r="U52" i="1"/>
  <c r="JE9" i="4" s="1"/>
  <c r="HY14" i="4" s="1"/>
  <c r="ID8" i="4" s="1"/>
  <c r="IN14" i="4" s="1"/>
  <c r="IC15" i="4" s="1"/>
  <c r="IX16" i="4" s="1"/>
  <c r="IX21" i="4" s="1"/>
  <c r="BR78" i="1" s="1"/>
  <c r="JF8" i="4" s="1"/>
  <c r="ID7" i="4" s="1"/>
  <c r="IQ9" i="4" s="1"/>
  <c r="IW7" i="4" s="1"/>
  <c r="IV9" i="4" s="1"/>
  <c r="IC16" i="4" s="1"/>
  <c r="IH16" i="4" s="1"/>
  <c r="JE15" i="4" s="1"/>
  <c r="AJ24" i="1"/>
  <c r="J25" i="1"/>
  <c r="H36" i="1"/>
  <c r="L24" i="1"/>
  <c r="I36" i="1"/>
  <c r="M32" i="1"/>
  <c r="M195" i="1" s="1"/>
  <c r="O9" i="1"/>
  <c r="JF14" i="4" s="1"/>
  <c r="V22" i="1"/>
  <c r="D15" i="1"/>
  <c r="V39" i="1"/>
  <c r="W13" i="1"/>
  <c r="IA9" i="4" s="1"/>
  <c r="IG16" i="4" s="1"/>
  <c r="JA9" i="4" s="1"/>
  <c r="HP9" i="4" s="1"/>
  <c r="W22" i="1"/>
  <c r="IO9" i="4" s="1"/>
  <c r="JD9" i="4" s="1"/>
  <c r="HS9" i="4" s="1"/>
  <c r="II9" i="4" s="1"/>
  <c r="BX32" i="1"/>
  <c r="BX195" i="1" s="1"/>
  <c r="AL15" i="1"/>
  <c r="J20" i="1"/>
  <c r="T36" i="1"/>
  <c r="L25" i="1"/>
  <c r="T22" i="1"/>
  <c r="IR9" i="4" s="1"/>
  <c r="BX35" i="1"/>
  <c r="AK45" i="1"/>
  <c r="AJ8" i="1"/>
  <c r="AJ232" i="1" s="1"/>
  <c r="U23" i="1"/>
  <c r="H13" i="1"/>
  <c r="P156" i="1"/>
  <c r="I13" i="1"/>
  <c r="I45" i="1"/>
  <c r="K8" i="1"/>
  <c r="K232" i="1" s="1"/>
  <c r="M9" i="1"/>
  <c r="T24" i="1"/>
  <c r="H22" i="1"/>
  <c r="N36" i="1"/>
  <c r="K46" i="1"/>
  <c r="P39" i="1"/>
  <c r="J45" i="1"/>
  <c r="N8" i="1"/>
  <c r="N232" i="1" s="1"/>
  <c r="IR8" i="4" s="1"/>
  <c r="IC14" i="4" s="1"/>
  <c r="IN7" i="4" s="1"/>
  <c r="IH15" i="4" s="1"/>
  <c r="HT9" i="4" s="1"/>
  <c r="HQ8" i="4" s="1"/>
  <c r="IW9" i="4" s="1"/>
  <c r="IT7" i="4" s="1"/>
  <c r="JH7" i="4" s="1"/>
  <c r="JA16" i="4" s="1"/>
  <c r="IW8" i="4" s="1"/>
  <c r="HX16" i="4" s="1"/>
  <c r="IG7" i="4" s="1"/>
  <c r="AL32" i="1"/>
  <c r="AK39" i="1"/>
  <c r="AM35" i="1"/>
  <c r="AM24" i="1"/>
  <c r="AK9" i="1"/>
  <c r="BJ13" i="1"/>
  <c r="G52" i="1"/>
  <c r="Q22" i="1"/>
  <c r="B20" i="1"/>
  <c r="E47" i="1"/>
  <c r="S20" i="1"/>
  <c r="S22" i="1"/>
  <c r="Q35" i="1"/>
  <c r="C47" i="1"/>
  <c r="N23" i="1"/>
  <c r="J46" i="1"/>
  <c r="N45" i="1"/>
  <c r="AJ47" i="1"/>
  <c r="BX14" i="1"/>
  <c r="W15" i="1"/>
  <c r="C20" i="1"/>
  <c r="L39" i="1"/>
  <c r="D9" i="1"/>
  <c r="U13" i="1"/>
  <c r="S8" i="1"/>
  <c r="S232" i="1" s="1"/>
  <c r="O45" i="1"/>
  <c r="N13" i="1"/>
  <c r="F20" i="1"/>
  <c r="K22" i="1"/>
  <c r="S39" i="1"/>
  <c r="T39" i="1"/>
  <c r="K21" i="1"/>
  <c r="M13" i="1"/>
  <c r="J13" i="1"/>
  <c r="IP8" i="4" s="1"/>
  <c r="BJ15" i="1"/>
  <c r="AM25" i="1"/>
  <c r="AL9" i="1"/>
  <c r="K32" i="1"/>
  <c r="K195" i="1" s="1"/>
  <c r="W47" i="1"/>
  <c r="C13" i="1"/>
  <c r="M8" i="1"/>
  <c r="M232" i="1" s="1"/>
  <c r="G32" i="1"/>
  <c r="G195" i="1" s="1"/>
  <c r="O24" i="1"/>
  <c r="H52" i="1"/>
  <c r="I22" i="1"/>
  <c r="M20" i="1"/>
  <c r="M46" i="1"/>
  <c r="R21" i="1"/>
  <c r="F46" i="1"/>
  <c r="E8" i="1"/>
  <c r="K35" i="1"/>
  <c r="S52" i="1"/>
  <c r="IY9" i="4" s="1"/>
  <c r="IT16" i="4" s="1"/>
  <c r="HW16" i="4" s="1"/>
  <c r="HW21" i="4" s="1"/>
  <c r="AQ78" i="1" s="1"/>
  <c r="IZ16" i="4" s="1"/>
  <c r="HZ9" i="4" s="1"/>
  <c r="IL9" i="4" s="1"/>
  <c r="BX20" i="1"/>
  <c r="AM9" i="1"/>
  <c r="BX25" i="1"/>
  <c r="AM22" i="1"/>
  <c r="AK36" i="1"/>
  <c r="BX45" i="1"/>
  <c r="U22" i="1"/>
  <c r="F13" i="1"/>
  <c r="F32" i="1"/>
  <c r="F195" i="1" s="1"/>
  <c r="W133" i="1"/>
  <c r="K45" i="1"/>
  <c r="C9" i="1"/>
  <c r="J21" i="1"/>
  <c r="S23" i="1"/>
  <c r="J24" i="1"/>
  <c r="N21" i="1"/>
  <c r="C45" i="1"/>
  <c r="T32" i="1"/>
  <c r="T195" i="1" s="1"/>
  <c r="IU16" i="4" s="1"/>
  <c r="IN16" i="4" s="1"/>
  <c r="HW9" i="4" s="1"/>
  <c r="IR16" i="4" s="1"/>
  <c r="IY16" i="4" s="1"/>
  <c r="IE9" i="4" s="1"/>
  <c r="IN9" i="4" s="1"/>
  <c r="IN21" i="4" s="1"/>
  <c r="BH78" i="1" s="1"/>
  <c r="HR9" i="4" s="1"/>
  <c r="AL47" i="1"/>
  <c r="BX13" i="1"/>
  <c r="AM13" i="1"/>
  <c r="AL14" i="1"/>
  <c r="BJ24" i="1"/>
  <c r="AM15" i="1"/>
  <c r="B39" i="1"/>
  <c r="G46" i="1"/>
  <c r="B35" i="1"/>
  <c r="B25" i="1"/>
  <c r="C46" i="1"/>
  <c r="F52" i="1"/>
  <c r="O8" i="1"/>
  <c r="M22" i="1"/>
  <c r="U35" i="1"/>
  <c r="J35" i="1"/>
  <c r="S15" i="1"/>
  <c r="B8" i="1"/>
  <c r="P8" i="1"/>
  <c r="E24" i="1"/>
  <c r="HT8" i="4" s="1"/>
  <c r="IK16" i="4" s="1"/>
  <c r="IK21" i="4" s="1"/>
  <c r="BE78" i="1" s="1"/>
  <c r="JI16" i="4" s="1"/>
  <c r="JI21" i="4" s="1"/>
  <c r="CC78" i="1" s="1"/>
  <c r="CC86" i="1" s="1"/>
  <c r="HP7" i="4" s="1"/>
  <c r="JE14" i="4" s="1"/>
  <c r="IC9" i="4" s="1"/>
  <c r="IC21" i="4" s="1"/>
  <c r="AW78" i="1" s="1"/>
  <c r="JB8" i="4" s="1"/>
  <c r="IS7" i="4" s="1"/>
  <c r="IP9" i="4" s="1"/>
  <c r="BX39" i="1"/>
  <c r="AJ39" i="1"/>
  <c r="AK47" i="1"/>
  <c r="BX165" i="1"/>
  <c r="BY165" i="1" s="1"/>
  <c r="T46" i="1"/>
  <c r="BX74" i="1"/>
  <c r="Q21" i="1"/>
  <c r="D35" i="1"/>
  <c r="K25" i="1"/>
  <c r="R22" i="1"/>
  <c r="G8" i="1"/>
  <c r="G232" i="1" s="1"/>
  <c r="V15" i="1"/>
  <c r="P128" i="1"/>
  <c r="T47" i="1"/>
  <c r="L20" i="1"/>
  <c r="II14" i="4" s="1"/>
  <c r="HZ16" i="4" s="1"/>
  <c r="HQ14" i="4" s="1"/>
  <c r="IB14" i="4" s="1"/>
  <c r="HQ16" i="4" s="1"/>
  <c r="HQ21" i="4" s="1"/>
  <c r="AK78" i="1" s="1"/>
  <c r="IA15" i="4" s="1"/>
  <c r="IS15" i="4" s="1"/>
  <c r="IU9" i="4" s="1"/>
  <c r="IO8" i="4" s="1"/>
  <c r="BJ20" i="1"/>
  <c r="BX23" i="1"/>
  <c r="AM23" i="1"/>
  <c r="C36" i="1"/>
  <c r="J32" i="1"/>
  <c r="J195" i="1" s="1"/>
  <c r="BX155" i="1"/>
  <c r="BY155" i="1" s="1"/>
  <c r="Q13" i="1"/>
  <c r="BY74" i="1"/>
  <c r="Q32" i="1"/>
  <c r="Q195" i="1" s="1"/>
  <c r="G23" i="1"/>
  <c r="G13" i="1"/>
  <c r="Q20" i="1"/>
  <c r="R23" i="1"/>
  <c r="G35" i="1"/>
  <c r="I23" i="1"/>
  <c r="N15" i="1"/>
  <c r="T13" i="1"/>
  <c r="R36" i="1"/>
  <c r="E160" i="1"/>
  <c r="F21" i="1"/>
  <c r="P25" i="1"/>
  <c r="E35" i="1"/>
  <c r="IU7" i="4" s="1"/>
  <c r="IF16" i="4" s="1"/>
  <c r="IF21" i="4" s="1"/>
  <c r="AZ78" i="1" s="1"/>
  <c r="HU9" i="4" s="1"/>
  <c r="HU8" i="4" s="1"/>
  <c r="HY8" i="4" s="1"/>
  <c r="IT14" i="4" s="1"/>
  <c r="ID16" i="4" s="1"/>
  <c r="ID21" i="4" s="1"/>
  <c r="AX78" i="1" s="1"/>
  <c r="AL20" i="1"/>
  <c r="AL45" i="1"/>
  <c r="BX15" i="1"/>
  <c r="AJ14" i="1"/>
  <c r="AJ20" i="1"/>
  <c r="F25" i="1"/>
  <c r="B15" i="1"/>
  <c r="L8" i="1"/>
  <c r="L232" i="1" s="1"/>
  <c r="E20" i="1"/>
  <c r="D32" i="1"/>
  <c r="D195" i="1" s="1"/>
  <c r="BX153" i="1"/>
  <c r="BY153" i="1" s="1"/>
  <c r="D25" i="1"/>
  <c r="P9" i="1"/>
  <c r="L21" i="1"/>
  <c r="H9" i="1"/>
  <c r="V9" i="1"/>
  <c r="V10" i="1" s="1"/>
  <c r="V99" i="1" s="1"/>
  <c r="C25" i="1"/>
  <c r="U24" i="1"/>
  <c r="P47" i="1"/>
  <c r="H39" i="1"/>
  <c r="R8" i="1"/>
  <c r="R232" i="1" s="1"/>
  <c r="S25" i="1"/>
  <c r="F39" i="1"/>
  <c r="C52" i="1"/>
  <c r="M21" i="1"/>
  <c r="C23" i="1"/>
  <c r="V45" i="1"/>
  <c r="O20" i="1"/>
  <c r="G164" i="1"/>
  <c r="T52" i="1"/>
  <c r="O23" i="1"/>
  <c r="V24" i="1"/>
  <c r="N52" i="1"/>
  <c r="F22" i="1"/>
  <c r="T23" i="1"/>
  <c r="F8" i="1"/>
  <c r="F232" i="1" s="1"/>
  <c r="D46" i="1"/>
  <c r="W9" i="1"/>
  <c r="W10" i="1" s="1"/>
  <c r="IP16" i="4" s="1"/>
  <c r="AJ36" i="1"/>
  <c r="BJ23" i="1"/>
  <c r="AJ15" i="1"/>
  <c r="AK25" i="1"/>
  <c r="BJ21" i="1"/>
  <c r="BX145" i="1"/>
  <c r="G36" i="1"/>
  <c r="B13" i="1"/>
  <c r="O15" i="1"/>
  <c r="BX161" i="1"/>
  <c r="J22" i="1"/>
  <c r="G20" i="1"/>
  <c r="U21" i="1"/>
  <c r="O25" i="1"/>
  <c r="BX119" i="1"/>
  <c r="BY119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4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Y9" i="4" s="1"/>
  <c r="JE16" i="4" s="1"/>
  <c r="JE21" i="4" s="1"/>
  <c r="BY78" i="1" s="1"/>
  <c r="JB9" i="4" s="1"/>
  <c r="HP14" i="4" s="1"/>
  <c r="ID9" i="4" s="1"/>
  <c r="HT16" i="4" s="1"/>
  <c r="AK24" i="1"/>
  <c r="BX8" i="1"/>
  <c r="BX36" i="1"/>
  <c r="AJ22" i="1"/>
  <c r="AK23" i="1"/>
  <c r="AL39" i="1"/>
  <c r="BX164" i="1"/>
  <c r="BY164" i="1" s="1"/>
  <c r="U36" i="1"/>
  <c r="U253" i="1" s="1"/>
  <c r="S21" i="1"/>
  <c r="B23" i="1"/>
  <c r="BX147" i="1"/>
  <c r="BY147" i="1" s="1"/>
  <c r="W45" i="1"/>
  <c r="BX132" i="1"/>
  <c r="BX75" i="1"/>
  <c r="BX127" i="1"/>
  <c r="BY127" i="1" s="1"/>
  <c r="K13" i="1"/>
  <c r="BX154" i="1"/>
  <c r="BX184" i="1" s="1"/>
  <c r="BY184" i="1" s="1"/>
  <c r="B36" i="1"/>
  <c r="B253" i="1" s="1"/>
  <c r="B52" i="1"/>
  <c r="V46" i="1"/>
  <c r="L15" i="1"/>
  <c r="K23" i="1"/>
  <c r="I15" i="1"/>
  <c r="D47" i="1"/>
  <c r="S9" i="1"/>
  <c r="N39" i="1"/>
  <c r="C21" i="1"/>
  <c r="D20" i="1"/>
  <c r="J47" i="1"/>
  <c r="B21" i="1"/>
  <c r="Q154" i="1"/>
  <c r="W35" i="1"/>
  <c r="C125" i="1"/>
  <c r="U15" i="1"/>
  <c r="T8" i="1"/>
  <c r="W118" i="1"/>
  <c r="R52" i="1"/>
  <c r="IK8" i="4" s="1"/>
  <c r="HP16" i="4" s="1"/>
  <c r="HP21" i="4" s="1"/>
  <c r="AJ78" i="1" s="1"/>
  <c r="IR14" i="4" s="1"/>
  <c r="IU8" i="4" s="1"/>
  <c r="IO15" i="4" s="1"/>
  <c r="IF14" i="4" s="1"/>
  <c r="AJ23" i="1"/>
  <c r="AJ25" i="1"/>
  <c r="BX47" i="1"/>
  <c r="BX21" i="1"/>
  <c r="BX52" i="1"/>
  <c r="AJ45" i="1"/>
  <c r="AK32" i="1"/>
  <c r="AK195" i="1" s="1"/>
  <c r="AL21" i="1"/>
  <c r="BX143" i="1"/>
  <c r="BY143" i="1" s="1"/>
  <c r="BX141" i="1"/>
  <c r="I39" i="1"/>
  <c r="E23" i="1"/>
  <c r="B24" i="1"/>
  <c r="BX151" i="1"/>
  <c r="BY151" i="1" s="1"/>
  <c r="I20" i="1"/>
  <c r="S45" i="1"/>
  <c r="BX136" i="1"/>
  <c r="BY136" i="1" s="1"/>
  <c r="BX128" i="1"/>
  <c r="BY128" i="1" s="1"/>
  <c r="BX118" i="1"/>
  <c r="BY118" i="1" s="1"/>
  <c r="G45" i="1"/>
  <c r="K39" i="1"/>
  <c r="J8" i="1"/>
  <c r="B45" i="1"/>
  <c r="E46" i="1"/>
  <c r="L47" i="1"/>
  <c r="Q23" i="1"/>
  <c r="S32" i="1"/>
  <c r="S195" i="1" s="1"/>
  <c r="E36" i="1"/>
  <c r="W23" i="1"/>
  <c r="I8" i="1"/>
  <c r="E13" i="1"/>
  <c r="H45" i="1"/>
  <c r="U46" i="1"/>
  <c r="Q8" i="1"/>
  <c r="Q25" i="1"/>
  <c r="J15" i="1"/>
  <c r="E32" i="1"/>
  <c r="E195" i="1" s="1"/>
  <c r="O32" i="1"/>
  <c r="O195" i="1" s="1"/>
  <c r="U9" i="1"/>
  <c r="U10" i="1" s="1"/>
  <c r="G47" i="1"/>
  <c r="W20" i="1"/>
  <c r="R32" i="1"/>
  <c r="R195" i="1" s="1"/>
  <c r="I25" i="1"/>
  <c r="H32" i="1"/>
  <c r="H195" i="1" s="1"/>
  <c r="W46" i="1"/>
  <c r="IO16" i="4" s="1"/>
  <c r="IQ8" i="4" s="1"/>
  <c r="HT7" i="4" s="1"/>
  <c r="IY14" i="4" s="1"/>
  <c r="JH16" i="4" s="1"/>
  <c r="JH21" i="4" s="1"/>
  <c r="CB78" i="1" s="1"/>
  <c r="HZ7" i="4" s="1"/>
  <c r="IQ15" i="4" s="1"/>
  <c r="IN8" i="4" s="1"/>
  <c r="HX9" i="4" s="1"/>
  <c r="HX21" i="4" s="1"/>
  <c r="AR78" i="1" s="1"/>
  <c r="BJ8" i="1"/>
  <c r="BJ232" i="1" s="1"/>
  <c r="AL35" i="1"/>
  <c r="BX9" i="1"/>
  <c r="BX10" i="1" s="1"/>
  <c r="AJ35" i="1"/>
  <c r="AJ37" i="1" s="1"/>
  <c r="AK8" i="1"/>
  <c r="AJ21" i="1"/>
  <c r="BX22" i="1"/>
  <c r="AL25" i="1"/>
  <c r="BX152" i="1"/>
  <c r="BY152" i="1" s="1"/>
  <c r="R13" i="1"/>
  <c r="U32" i="1"/>
  <c r="B46" i="1"/>
  <c r="F15" i="1"/>
  <c r="C39" i="1"/>
  <c r="BX148" i="1"/>
  <c r="BY148" i="1" s="1"/>
  <c r="S36" i="1"/>
  <c r="BX156" i="1"/>
  <c r="BY156" i="1" s="1"/>
  <c r="BX150" i="1"/>
  <c r="BY150" i="1" s="1"/>
  <c r="L35" i="1"/>
  <c r="K36" i="1"/>
  <c r="K20" i="1"/>
  <c r="K26" i="1" s="1"/>
  <c r="D8" i="1"/>
  <c r="J120" i="1"/>
  <c r="D13" i="1"/>
  <c r="P35" i="1"/>
  <c r="V32" i="1"/>
  <c r="V195" i="1" s="1"/>
  <c r="E15" i="1"/>
  <c r="W25" i="1"/>
  <c r="W36" i="1"/>
  <c r="W253" i="1" s="1"/>
  <c r="E9" i="1"/>
  <c r="E10" i="1" s="1"/>
  <c r="H47" i="1"/>
  <c r="R39" i="1"/>
  <c r="L32" i="1"/>
  <c r="V25" i="1"/>
  <c r="L36" i="1"/>
  <c r="D39" i="1"/>
  <c r="Q45" i="1"/>
  <c r="G22" i="1"/>
  <c r="V35" i="1"/>
  <c r="L22" i="1"/>
  <c r="W24" i="1"/>
  <c r="K52" i="1"/>
  <c r="Q15" i="1"/>
  <c r="Q36" i="1"/>
  <c r="R46" i="1"/>
  <c r="Q52" i="1"/>
  <c r="F23" i="1"/>
  <c r="T21" i="1"/>
  <c r="F9" i="1"/>
  <c r="R45" i="1"/>
  <c r="U45" i="1"/>
  <c r="IT9" i="4" s="1"/>
  <c r="IB9" i="4" s="1"/>
  <c r="AJ32" i="1"/>
  <c r="AL22" i="1"/>
  <c r="AM14" i="1"/>
  <c r="AK20" i="1"/>
  <c r="AM8" i="1"/>
  <c r="AM232" i="1" s="1"/>
  <c r="AJ13" i="1"/>
  <c r="AK22" i="1"/>
  <c r="AL52" i="1"/>
  <c r="AM21" i="1"/>
  <c r="F24" i="1"/>
  <c r="BX146" i="1"/>
  <c r="T45" i="1"/>
  <c r="H24" i="1"/>
  <c r="M45" i="1"/>
  <c r="W52" i="1"/>
  <c r="BX144" i="1"/>
  <c r="BY144" i="1" s="1"/>
  <c r="BX120" i="1"/>
  <c r="BY120" i="1" s="1"/>
  <c r="BX138" i="1"/>
  <c r="BY138" i="1" s="1"/>
  <c r="H8" i="1"/>
  <c r="H232" i="1" s="1"/>
  <c r="M24" i="1"/>
  <c r="BL75" i="1"/>
  <c r="BX134" i="1"/>
  <c r="R25" i="1"/>
  <c r="P36" i="1"/>
  <c r="I52" i="1"/>
  <c r="C32" i="1"/>
  <c r="P24" i="1"/>
  <c r="M39" i="1"/>
  <c r="D36" i="1"/>
  <c r="O13" i="1"/>
  <c r="L52" i="1"/>
  <c r="O22" i="1"/>
  <c r="C35" i="1"/>
  <c r="J52" i="1"/>
  <c r="N25" i="1"/>
  <c r="B32" i="1"/>
  <c r="B22" i="1"/>
  <c r="L46" i="1"/>
  <c r="P21" i="1"/>
  <c r="N46" i="1"/>
  <c r="H25" i="1"/>
  <c r="G39" i="1"/>
  <c r="K9" i="1"/>
  <c r="P52" i="1"/>
  <c r="I24" i="1"/>
  <c r="D45" i="1"/>
  <c r="K47" i="1"/>
  <c r="N24" i="1"/>
  <c r="G21" i="1"/>
  <c r="IB16" i="4" s="1"/>
  <c r="AM36" i="1"/>
  <c r="AM39" i="1"/>
  <c r="AM20" i="1"/>
  <c r="AM32" i="1"/>
  <c r="AM195" i="1" s="1"/>
  <c r="AJ52" i="1"/>
  <c r="AK21" i="1"/>
  <c r="AL23" i="1"/>
  <c r="AK13" i="1"/>
  <c r="AK15" i="1"/>
  <c r="AL13" i="1"/>
  <c r="E25" i="1"/>
  <c r="E39" i="1"/>
  <c r="Q39" i="1"/>
  <c r="D24" i="1"/>
  <c r="BX126" i="1"/>
  <c r="BY126" i="1" s="1"/>
  <c r="R47" i="1"/>
  <c r="R20" i="1"/>
  <c r="U39" i="1"/>
  <c r="M15" i="1"/>
  <c r="I47" i="1"/>
  <c r="BX125" i="1"/>
  <c r="BY125" i="1" s="1"/>
  <c r="S35" i="1"/>
  <c r="M35" i="1"/>
  <c r="B47" i="1"/>
  <c r="W21" i="1"/>
  <c r="H46" i="1"/>
  <c r="O47" i="1"/>
  <c r="P23" i="1"/>
  <c r="N47" i="1"/>
  <c r="J39" i="1"/>
  <c r="O21" i="1"/>
  <c r="J36" i="1"/>
  <c r="D52" i="1"/>
  <c r="R35" i="1"/>
  <c r="U20" i="1"/>
  <c r="H15" i="1"/>
  <c r="S46" i="1"/>
  <c r="P13" i="1"/>
  <c r="M36" i="1"/>
  <c r="M47" i="1"/>
  <c r="N32" i="1"/>
  <c r="N195" i="1" s="1"/>
  <c r="K24" i="1"/>
  <c r="I32" i="1"/>
  <c r="I195" i="1" s="1"/>
  <c r="G15" i="1"/>
  <c r="C8" i="1"/>
  <c r="V36" i="1"/>
  <c r="V253" i="1" s="1"/>
  <c r="AL156" i="1"/>
  <c r="AM156" i="1" s="1"/>
  <c r="AL75" i="1"/>
  <c r="BJ155" i="1"/>
  <c r="BK155" i="1" s="1"/>
  <c r="AJ125" i="1"/>
  <c r="AK125" i="1" s="1"/>
  <c r="AJ164" i="1"/>
  <c r="AK164" i="1" s="1"/>
  <c r="AJ128" i="1"/>
  <c r="AK128" i="1" s="1"/>
  <c r="AJ160" i="1"/>
  <c r="AJ123" i="1"/>
  <c r="AK123" i="1" s="1"/>
  <c r="AL146" i="1"/>
  <c r="AL151" i="1"/>
  <c r="AM151" i="1" s="1"/>
  <c r="AL143" i="1"/>
  <c r="AM143" i="1" s="1"/>
  <c r="AL132" i="1"/>
  <c r="AL126" i="1"/>
  <c r="AM126" i="1" s="1"/>
  <c r="AL165" i="1"/>
  <c r="AM165" i="1" s="1"/>
  <c r="AL150" i="1"/>
  <c r="AM150" i="1" s="1"/>
  <c r="AL120" i="1"/>
  <c r="AJ151" i="1"/>
  <c r="AK151" i="1" s="1"/>
  <c r="AJ154" i="1"/>
  <c r="AJ152" i="1"/>
  <c r="AK152" i="1" s="1"/>
  <c r="AL136" i="1"/>
  <c r="AM136" i="1" s="1"/>
  <c r="AJ150" i="1"/>
  <c r="AK150" i="1" s="1"/>
  <c r="AL134" i="1"/>
  <c r="AL164" i="1"/>
  <c r="AM164" i="1" s="1"/>
  <c r="AJ153" i="1"/>
  <c r="AK153" i="1" s="1"/>
  <c r="AJ143" i="1"/>
  <c r="AK143" i="1" s="1"/>
  <c r="AJ155" i="1"/>
  <c r="AK155" i="1" s="1"/>
  <c r="AL152" i="1"/>
  <c r="AM152" i="1" s="1"/>
  <c r="AL123" i="1"/>
  <c r="AM123" i="1" s="1"/>
  <c r="AL154" i="1"/>
  <c r="AL147" i="1"/>
  <c r="AM147" i="1" s="1"/>
  <c r="AL153" i="1"/>
  <c r="AM153" i="1" s="1"/>
  <c r="AL160" i="1"/>
  <c r="AL145" i="1"/>
  <c r="AJ134" i="1"/>
  <c r="AJ145" i="1"/>
  <c r="AJ146" i="1"/>
  <c r="AJ161" i="1"/>
  <c r="AJ120" i="1"/>
  <c r="AJ147" i="1"/>
  <c r="AK147" i="1" s="1"/>
  <c r="AJ126" i="1"/>
  <c r="AK126" i="1" s="1"/>
  <c r="AL155" i="1"/>
  <c r="AM155" i="1" s="1"/>
  <c r="AL118" i="1"/>
  <c r="AM118" i="1" s="1"/>
  <c r="AJ118" i="1"/>
  <c r="AK118" i="1" s="1"/>
  <c r="AL127" i="1"/>
  <c r="AM127" i="1" s="1"/>
  <c r="AL119" i="1"/>
  <c r="AM119" i="1" s="1"/>
  <c r="AL125" i="1"/>
  <c r="AM125" i="1" s="1"/>
  <c r="AL133" i="1"/>
  <c r="AL161" i="1"/>
  <c r="AL128" i="1"/>
  <c r="AM128" i="1" s="1"/>
  <c r="AL74" i="1"/>
  <c r="AL148" i="1"/>
  <c r="AM148" i="1" s="1"/>
  <c r="AJ165" i="1"/>
  <c r="AK165" i="1" s="1"/>
  <c r="AJ127" i="1"/>
  <c r="AK127" i="1" s="1"/>
  <c r="AJ133" i="1"/>
  <c r="AJ156" i="1"/>
  <c r="AK156" i="1" s="1"/>
  <c r="AJ119" i="1"/>
  <c r="AK119" i="1" s="1"/>
  <c r="AJ141" i="1"/>
  <c r="AK141" i="1" s="1"/>
  <c r="AL141" i="1"/>
  <c r="AM141" i="1" s="1"/>
  <c r="AM203" i="1" s="1"/>
  <c r="AJ132" i="1"/>
  <c r="AJ136" i="1"/>
  <c r="AK136" i="1" s="1"/>
  <c r="AJ148" i="1"/>
  <c r="AK148" i="1" s="1"/>
  <c r="AJ144" i="1"/>
  <c r="AK144" i="1" s="1"/>
  <c r="AJ138" i="1"/>
  <c r="AK138" i="1" s="1"/>
  <c r="AL138" i="1"/>
  <c r="AM138" i="1" s="1"/>
  <c r="AL144" i="1"/>
  <c r="HZ14" i="4"/>
  <c r="IM21" i="4"/>
  <c r="BG78" i="1" s="1"/>
  <c r="IB15" i="4"/>
  <c r="B232" i="1"/>
  <c r="B10" i="1"/>
  <c r="HU21" i="4"/>
  <c r="AO78" i="1" s="1"/>
  <c r="JE8" i="4"/>
  <c r="P184" i="1"/>
  <c r="IO14" i="4"/>
  <c r="IO7" i="4"/>
  <c r="IK7" i="4"/>
  <c r="IZ15" i="4"/>
  <c r="IL21" i="4"/>
  <c r="BF78" i="1" s="1"/>
  <c r="BX253" i="1"/>
  <c r="IT21" i="4"/>
  <c r="BN78" i="1" s="1"/>
  <c r="X11" i="1"/>
  <c r="HU7" i="4"/>
  <c r="W254" i="1"/>
  <c r="W195" i="1"/>
  <c r="IJ15" i="4"/>
  <c r="AM10" i="1"/>
  <c r="AM16" i="1" s="1"/>
  <c r="X189" i="1"/>
  <c r="P232" i="1"/>
  <c r="IE15" i="4"/>
  <c r="JG8" i="4"/>
  <c r="HZ8" i="4"/>
  <c r="IC7" i="4"/>
  <c r="HU15" i="4"/>
  <c r="IX8" i="4"/>
  <c r="IT8" i="4"/>
  <c r="IH14" i="4"/>
  <c r="T254" i="1"/>
  <c r="W99" i="1"/>
  <c r="IP14" i="4"/>
  <c r="IF8" i="4"/>
  <c r="HV8" i="4"/>
  <c r="HW15" i="4"/>
  <c r="JH15" i="4"/>
  <c r="E232" i="1"/>
  <c r="U254" i="1"/>
  <c r="U195" i="1"/>
  <c r="HS8" i="4"/>
  <c r="JH14" i="4"/>
  <c r="BX254" i="1"/>
  <c r="D232" i="1"/>
  <c r="CP78" i="1"/>
  <c r="CN64" i="1"/>
  <c r="CM66" i="1"/>
  <c r="BJ138" i="1" l="1"/>
  <c r="BK138" i="1" s="1"/>
  <c r="AL10" i="1"/>
  <c r="B254" i="1"/>
  <c r="C253" i="1"/>
  <c r="U26" i="1"/>
  <c r="S253" i="1"/>
  <c r="AL180" i="1"/>
  <c r="AM180" i="1" s="1"/>
  <c r="II21" i="4"/>
  <c r="BC78" i="1" s="1"/>
  <c r="HV21" i="4"/>
  <c r="AP78" i="1" s="1"/>
  <c r="AL253" i="1"/>
  <c r="D253" i="1"/>
  <c r="JG21" i="4"/>
  <c r="CA78" i="1" s="1"/>
  <c r="IA21" i="4"/>
  <c r="AU78" i="1" s="1"/>
  <c r="JF21" i="4"/>
  <c r="BZ78" i="1" s="1"/>
  <c r="BZ95" i="1" s="1"/>
  <c r="AM253" i="1"/>
  <c r="F253" i="1"/>
  <c r="JB21" i="4"/>
  <c r="BV78" i="1" s="1"/>
  <c r="AL232" i="1"/>
  <c r="BX180" i="1"/>
  <c r="BY180" i="1" s="1"/>
  <c r="CA99" i="1"/>
  <c r="CA100" i="1" s="1"/>
  <c r="BX232" i="1"/>
  <c r="P253" i="1"/>
  <c r="IQ21" i="4"/>
  <c r="BK78" i="1" s="1"/>
  <c r="V16" i="1"/>
  <c r="V17" i="1" s="1"/>
  <c r="IV21" i="4"/>
  <c r="BP78" i="1" s="1"/>
  <c r="HS21" i="4"/>
  <c r="AM78" i="1" s="1"/>
  <c r="W189" i="1"/>
  <c r="W11" i="1"/>
  <c r="C195" i="1"/>
  <c r="O253" i="1"/>
  <c r="C232" i="1"/>
  <c r="C10" i="1"/>
  <c r="JC21" i="4"/>
  <c r="BW78" i="1" s="1"/>
  <c r="T253" i="1"/>
  <c r="W16" i="1"/>
  <c r="L253" i="1"/>
  <c r="BY141" i="1"/>
  <c r="BZ203" i="1" s="1"/>
  <c r="J254" i="1"/>
  <c r="D10" i="1"/>
  <c r="IX14" i="4"/>
  <c r="IE14" i="4"/>
  <c r="JC15" i="4"/>
  <c r="HW14" i="4"/>
  <c r="HT21" i="4"/>
  <c r="AN78" i="1" s="1"/>
  <c r="IQ14" i="4"/>
  <c r="IY21" i="4"/>
  <c r="BS78" i="1" s="1"/>
  <c r="IU14" i="4"/>
  <c r="IW15" i="4"/>
  <c r="P10" i="1"/>
  <c r="S26" i="1"/>
  <c r="HT14" i="4"/>
  <c r="JG14" i="4"/>
  <c r="IM14" i="4"/>
  <c r="JD7" i="4"/>
  <c r="AK26" i="1"/>
  <c r="BX181" i="1"/>
  <c r="BY181" i="1" s="1"/>
  <c r="AL181" i="1"/>
  <c r="AM181" i="1" s="1"/>
  <c r="AL184" i="1"/>
  <c r="AM184" i="1" s="1"/>
  <c r="P195" i="1"/>
  <c r="P254" i="1"/>
  <c r="AL195" i="1"/>
  <c r="AL254" i="1"/>
  <c r="T232" i="1"/>
  <c r="T10" i="1"/>
  <c r="J232" i="1"/>
  <c r="J10" i="1"/>
  <c r="I232" i="1"/>
  <c r="I10" i="1"/>
  <c r="I253" i="1"/>
  <c r="I254" i="1"/>
  <c r="Q254" i="1"/>
  <c r="Q10" i="1"/>
  <c r="Q232" i="1"/>
  <c r="Q253" i="1"/>
  <c r="AK10" i="1"/>
  <c r="AK232" i="1"/>
  <c r="IZ8" i="4"/>
  <c r="V11" i="1"/>
  <c r="G26" i="1"/>
  <c r="JB14" i="4"/>
  <c r="JB19" i="4" s="1"/>
  <c r="BV79" i="1" s="1"/>
  <c r="BV108" i="1" s="1"/>
  <c r="HY21" i="4"/>
  <c r="AS78" i="1" s="1"/>
  <c r="JB15" i="4"/>
  <c r="JC14" i="4"/>
  <c r="JC19" i="4" s="1"/>
  <c r="BW79" i="1" s="1"/>
  <c r="BW108" i="1" s="1"/>
  <c r="II7" i="4"/>
  <c r="II19" i="4" s="1"/>
  <c r="BC79" i="1" s="1"/>
  <c r="BC108" i="1" s="1"/>
  <c r="HQ7" i="4"/>
  <c r="HQ19" i="4" s="1"/>
  <c r="AK79" i="1" s="1"/>
  <c r="IP7" i="4"/>
  <c r="IP19" i="4" s="1"/>
  <c r="BJ79" i="1" s="1"/>
  <c r="BJ108" i="1" s="1"/>
  <c r="IJ21" i="4"/>
  <c r="BD78" i="1" s="1"/>
  <c r="IT15" i="4"/>
  <c r="IT20" i="4" s="1"/>
  <c r="BN80" i="1" s="1"/>
  <c r="BN109" i="1" s="1"/>
  <c r="H26" i="1"/>
  <c r="JI15" i="4"/>
  <c r="JI20" i="4" s="1"/>
  <c r="CC80" i="1" s="1"/>
  <c r="IW21" i="4"/>
  <c r="BQ78" i="1" s="1"/>
  <c r="HR7" i="4"/>
  <c r="IL14" i="4"/>
  <c r="AL26" i="1"/>
  <c r="AL27" i="1" s="1"/>
  <c r="IP15" i="4"/>
  <c r="IP20" i="4" s="1"/>
  <c r="BJ80" i="1" s="1"/>
  <c r="BJ109" i="1" s="1"/>
  <c r="IR7" i="4"/>
  <c r="IR19" i="4" s="1"/>
  <c r="BL79" i="1" s="1"/>
  <c r="IJ14" i="4"/>
  <c r="HP8" i="4"/>
  <c r="HR21" i="4"/>
  <c r="AL78" i="1" s="1"/>
  <c r="JF7" i="4"/>
  <c r="II15" i="4"/>
  <c r="II20" i="4" s="1"/>
  <c r="BC80" i="1" s="1"/>
  <c r="BC109" i="1" s="1"/>
  <c r="N10" i="1"/>
  <c r="L10" i="1"/>
  <c r="IV8" i="4"/>
  <c r="JA7" i="4"/>
  <c r="JE7" i="4"/>
  <c r="JE19" i="4" s="1"/>
  <c r="BY79" i="1" s="1"/>
  <c r="HY15" i="4"/>
  <c r="HY20" i="4" s="1"/>
  <c r="AS80" i="1" s="1"/>
  <c r="AS109" i="1" s="1"/>
  <c r="IE7" i="4"/>
  <c r="IE19" i="4" s="1"/>
  <c r="AY79" i="1" s="1"/>
  <c r="AY108" i="1" s="1"/>
  <c r="IS8" i="4"/>
  <c r="IS20" i="4" s="1"/>
  <c r="BM80" i="1" s="1"/>
  <c r="BM109" i="1" s="1"/>
  <c r="HU14" i="4"/>
  <c r="HU19" i="4" s="1"/>
  <c r="AO79" i="1" s="1"/>
  <c r="AO108" i="1" s="1"/>
  <c r="F26" i="1"/>
  <c r="IV14" i="4"/>
  <c r="IV19" i="4" s="1"/>
  <c r="BP79" i="1" s="1"/>
  <c r="BP108" i="1" s="1"/>
  <c r="IG21" i="4"/>
  <c r="BA78" i="1" s="1"/>
  <c r="JD15" i="4"/>
  <c r="JD14" i="4"/>
  <c r="JD19" i="4" s="1"/>
  <c r="BX79" i="1" s="1"/>
  <c r="IO21" i="4"/>
  <c r="BI78" i="1" s="1"/>
  <c r="IX7" i="4"/>
  <c r="IX19" i="4" s="1"/>
  <c r="BR79" i="1" s="1"/>
  <c r="BR108" i="1" s="1"/>
  <c r="JH8" i="4"/>
  <c r="JH20" i="4" s="1"/>
  <c r="CB80" i="1" s="1"/>
  <c r="HX15" i="4"/>
  <c r="HR14" i="4"/>
  <c r="HR19" i="4" s="1"/>
  <c r="AL79" i="1" s="1"/>
  <c r="HQ15" i="4"/>
  <c r="HQ20" i="4" s="1"/>
  <c r="AK80" i="1" s="1"/>
  <c r="J26" i="1"/>
  <c r="IY15" i="4"/>
  <c r="IY20" i="4" s="1"/>
  <c r="BS80" i="1" s="1"/>
  <c r="BS109" i="1" s="1"/>
  <c r="N253" i="1"/>
  <c r="IM8" i="4"/>
  <c r="IJ7" i="4"/>
  <c r="IQ7" i="4"/>
  <c r="IQ19" i="4" s="1"/>
  <c r="BK79" i="1" s="1"/>
  <c r="BK108" i="1" s="1"/>
  <c r="IZ21" i="4"/>
  <c r="BT78" i="1" s="1"/>
  <c r="HZ21" i="4"/>
  <c r="AT78" i="1" s="1"/>
  <c r="IU15" i="4"/>
  <c r="IB7" i="4"/>
  <c r="IB19" i="4" s="1"/>
  <c r="AV79" i="1" s="1"/>
  <c r="AV108" i="1" s="1"/>
  <c r="IU21" i="4"/>
  <c r="BO78" i="1" s="1"/>
  <c r="HV7" i="4"/>
  <c r="JC7" i="4"/>
  <c r="ID15" i="4"/>
  <c r="IR21" i="4"/>
  <c r="BL78" i="1" s="1"/>
  <c r="BL95" i="1" s="1"/>
  <c r="IV7" i="4"/>
  <c r="O10" i="1"/>
  <c r="M26" i="1"/>
  <c r="HS7" i="4"/>
  <c r="IC8" i="4"/>
  <c r="IC20" i="4" s="1"/>
  <c r="AW80" i="1" s="1"/>
  <c r="AW109" i="1" s="1"/>
  <c r="HY7" i="4"/>
  <c r="HY19" i="4" s="1"/>
  <c r="AS79" i="1" s="1"/>
  <c r="AS108" i="1" s="1"/>
  <c r="IJ8" i="4"/>
  <c r="IJ20" i="4" s="1"/>
  <c r="BD80" i="1" s="1"/>
  <c r="BD109" i="1" s="1"/>
  <c r="IL15" i="4"/>
  <c r="IL20" i="4" s="1"/>
  <c r="BF80" i="1" s="1"/>
  <c r="BF109" i="1" s="1"/>
  <c r="IZ14" i="4"/>
  <c r="IZ19" i="4" s="1"/>
  <c r="BT79" i="1" s="1"/>
  <c r="BT108" i="1" s="1"/>
  <c r="IP21" i="4"/>
  <c r="BJ78" i="1" s="1"/>
  <c r="BX162" i="1"/>
  <c r="BY210" i="1" s="1"/>
  <c r="C26" i="1"/>
  <c r="C27" i="1" s="1"/>
  <c r="G184" i="1"/>
  <c r="S10" i="1"/>
  <c r="B26" i="1"/>
  <c r="B27" i="1" s="1"/>
  <c r="Q184" i="1"/>
  <c r="IH7" i="4"/>
  <c r="IH19" i="4" s="1"/>
  <c r="BB79" i="1" s="1"/>
  <c r="BB108" i="1" s="1"/>
  <c r="BX26" i="1"/>
  <c r="BX27" i="1" s="1"/>
  <c r="C254" i="1"/>
  <c r="O26" i="1"/>
  <c r="K10" i="1"/>
  <c r="JI7" i="4"/>
  <c r="IB21" i="4"/>
  <c r="AV78" i="1" s="1"/>
  <c r="IA7" i="4"/>
  <c r="JC8" i="4"/>
  <c r="JC20" i="4" s="1"/>
  <c r="BW80" i="1" s="1"/>
  <c r="BW109" i="1" s="1"/>
  <c r="HV14" i="4"/>
  <c r="HV19" i="4" s="1"/>
  <c r="AP79" i="1" s="1"/>
  <c r="AP108" i="1" s="1"/>
  <c r="IM7" i="4"/>
  <c r="IM19" i="4" s="1"/>
  <c r="BG79" i="1" s="1"/>
  <c r="BG108" i="1" s="1"/>
  <c r="JA14" i="4"/>
  <c r="JA19" i="4" s="1"/>
  <c r="BU79" i="1" s="1"/>
  <c r="BU108" i="1" s="1"/>
  <c r="R26" i="1"/>
  <c r="M253" i="1"/>
  <c r="BJ180" i="1"/>
  <c r="BK180" i="1" s="1"/>
  <c r="L195" i="1"/>
  <c r="L254" i="1"/>
  <c r="AJ195" i="1"/>
  <c r="AJ33" i="1"/>
  <c r="JD8" i="4"/>
  <c r="I26" i="1"/>
  <c r="L26" i="1"/>
  <c r="IM15" i="4"/>
  <c r="HS14" i="4"/>
  <c r="HS19" i="4" s="1"/>
  <c r="AM79" i="1" s="1"/>
  <c r="Q26" i="1"/>
  <c r="IF15" i="4"/>
  <c r="IF20" i="4" s="1"/>
  <c r="AZ80" i="1" s="1"/>
  <c r="AZ109" i="1" s="1"/>
  <c r="IK15" i="4"/>
  <c r="IK20" i="4" s="1"/>
  <c r="BE80" i="1" s="1"/>
  <c r="BE109" i="1" s="1"/>
  <c r="HW8" i="4"/>
  <c r="HW20" i="4" s="1"/>
  <c r="AQ80" i="1" s="1"/>
  <c r="AQ109" i="1" s="1"/>
  <c r="IH8" i="4"/>
  <c r="IH20" i="4" s="1"/>
  <c r="BB80" i="1" s="1"/>
  <c r="BB109" i="1" s="1"/>
  <c r="IB8" i="4"/>
  <c r="IB20" i="4" s="1"/>
  <c r="AV80" i="1" s="1"/>
  <c r="AV109" i="1" s="1"/>
  <c r="HX8" i="4"/>
  <c r="IZ7" i="4"/>
  <c r="V26" i="1"/>
  <c r="IH21" i="4"/>
  <c r="BB78" i="1" s="1"/>
  <c r="N26" i="1"/>
  <c r="IE8" i="4"/>
  <c r="IE20" i="4" s="1"/>
  <c r="AY80" i="1" s="1"/>
  <c r="AY109" i="1" s="1"/>
  <c r="IY7" i="4"/>
  <c r="IY19" i="4" s="1"/>
  <c r="BS79" i="1" s="1"/>
  <c r="BS108" i="1" s="1"/>
  <c r="BY129" i="1"/>
  <c r="D26" i="1"/>
  <c r="D27" i="1" s="1"/>
  <c r="II8" i="4"/>
  <c r="IL8" i="4"/>
  <c r="HX14" i="4"/>
  <c r="HX19" i="4" s="1"/>
  <c r="AR79" i="1" s="1"/>
  <c r="AR108" i="1" s="1"/>
  <c r="JA8" i="4"/>
  <c r="HR15" i="4"/>
  <c r="HR20" i="4" s="1"/>
  <c r="AL80" i="1" s="1"/>
  <c r="IG14" i="4"/>
  <c r="IG19" i="4" s="1"/>
  <c r="BA79" i="1" s="1"/>
  <c r="BA108" i="1" s="1"/>
  <c r="IA8" i="4"/>
  <c r="IA20" i="4" s="1"/>
  <c r="AU80" i="1" s="1"/>
  <c r="AU109" i="1" s="1"/>
  <c r="IX15" i="4"/>
  <c r="IX20" i="4" s="1"/>
  <c r="BR80" i="1" s="1"/>
  <c r="BR109" i="1" s="1"/>
  <c r="JI8" i="4"/>
  <c r="HT15" i="4"/>
  <c r="HT20" i="4" s="1"/>
  <c r="AN80" i="1" s="1"/>
  <c r="AN109" i="1" s="1"/>
  <c r="JF15" i="4"/>
  <c r="JF20" i="4" s="1"/>
  <c r="BZ80" i="1" s="1"/>
  <c r="HR8" i="4"/>
  <c r="HZ15" i="4"/>
  <c r="HZ20" i="4" s="1"/>
  <c r="AT80" i="1" s="1"/>
  <c r="AT109" i="1" s="1"/>
  <c r="IE21" i="4"/>
  <c r="AY78" i="1" s="1"/>
  <c r="IA14" i="4"/>
  <c r="JG15" i="4"/>
  <c r="JG20" i="4" s="1"/>
  <c r="CA80" i="1" s="1"/>
  <c r="IW14" i="4"/>
  <c r="IW19" i="4" s="1"/>
  <c r="BQ79" i="1" s="1"/>
  <c r="BQ108" i="1" s="1"/>
  <c r="HS15" i="4"/>
  <c r="HS20" i="4" s="1"/>
  <c r="AM80" i="1" s="1"/>
  <c r="IY8" i="4"/>
  <c r="JB7" i="4"/>
  <c r="ID14" i="4"/>
  <c r="ID19" i="4" s="1"/>
  <c r="AX79" i="1" s="1"/>
  <c r="AX108" i="1" s="1"/>
  <c r="H253" i="1"/>
  <c r="HV15" i="4"/>
  <c r="HV20" i="4" s="1"/>
  <c r="AP80" i="1" s="1"/>
  <c r="AP109" i="1" s="1"/>
  <c r="W26" i="1"/>
  <c r="W27" i="1" s="1"/>
  <c r="R10" i="1"/>
  <c r="R99" i="1" s="1"/>
  <c r="IK14" i="4"/>
  <c r="IK19" i="4" s="1"/>
  <c r="BE79" i="1" s="1"/>
  <c r="BE108" i="1" s="1"/>
  <c r="JA21" i="4"/>
  <c r="BU78" i="1" s="1"/>
  <c r="HX7" i="4"/>
  <c r="P26" i="1"/>
  <c r="T26" i="1"/>
  <c r="F254" i="1"/>
  <c r="AM26" i="1"/>
  <c r="JG7" i="4"/>
  <c r="JG19" i="4" s="1"/>
  <c r="CA79" i="1" s="1"/>
  <c r="BJ184" i="1"/>
  <c r="BK184" i="1" s="1"/>
  <c r="IG8" i="4"/>
  <c r="IG20" i="4" s="1"/>
  <c r="BA80" i="1" s="1"/>
  <c r="BA109" i="1" s="1"/>
  <c r="IL7" i="4"/>
  <c r="O254" i="1"/>
  <c r="AJ26" i="1"/>
  <c r="AJ27" i="1" s="1"/>
  <c r="R253" i="1"/>
  <c r="JA15" i="4"/>
  <c r="JA20" i="4" s="1"/>
  <c r="BU80" i="1" s="1"/>
  <c r="BU109" i="1" s="1"/>
  <c r="HW7" i="4"/>
  <c r="HW19" i="4" s="1"/>
  <c r="AQ79" i="1" s="1"/>
  <c r="AQ108" i="1" s="1"/>
  <c r="IN15" i="4"/>
  <c r="IN20" i="4" s="1"/>
  <c r="BH80" i="1" s="1"/>
  <c r="BH109" i="1" s="1"/>
  <c r="IV15" i="4"/>
  <c r="IV20" i="4" s="1"/>
  <c r="BP80" i="1" s="1"/>
  <c r="BP109" i="1" s="1"/>
  <c r="E26" i="1"/>
  <c r="E27" i="1" s="1"/>
  <c r="JI14" i="4"/>
  <c r="IR15" i="4"/>
  <c r="IR20" i="4" s="1"/>
  <c r="BL80" i="1" s="1"/>
  <c r="BL97" i="1" s="1"/>
  <c r="H254" i="1"/>
  <c r="BJ181" i="1"/>
  <c r="BK181" i="1" s="1"/>
  <c r="J253" i="1"/>
  <c r="BX135" i="1"/>
  <c r="BY121" i="1"/>
  <c r="AM254" i="1"/>
  <c r="U99" i="1"/>
  <c r="BX149" i="1"/>
  <c r="BX183" i="1" s="1"/>
  <c r="BX182" i="1" s="1"/>
  <c r="U16" i="1"/>
  <c r="V18" i="1" s="1"/>
  <c r="G10" i="1"/>
  <c r="G99" i="1" s="1"/>
  <c r="V254" i="1"/>
  <c r="V189" i="1"/>
  <c r="AJ180" i="1"/>
  <c r="M254" i="1"/>
  <c r="S254" i="1"/>
  <c r="BX157" i="1"/>
  <c r="BX186" i="1" s="1"/>
  <c r="BX185" i="1" s="1"/>
  <c r="B16" i="1"/>
  <c r="B17" i="1" s="1"/>
  <c r="R254" i="1"/>
  <c r="M10" i="1"/>
  <c r="O232" i="1"/>
  <c r="BX129" i="1"/>
  <c r="AJ10" i="1"/>
  <c r="AJ16" i="1" s="1"/>
  <c r="AJ17" i="1" s="1"/>
  <c r="AJ184" i="1"/>
  <c r="K253" i="1"/>
  <c r="N254" i="1"/>
  <c r="AL16" i="1"/>
  <c r="AL17" i="1" s="1"/>
  <c r="AM99" i="1"/>
  <c r="AM100" i="1" s="1"/>
  <c r="AM103" i="1" s="1"/>
  <c r="F10" i="1"/>
  <c r="G253" i="1"/>
  <c r="BX121" i="1"/>
  <c r="BX93" i="1" s="1"/>
  <c r="BX95" i="1" s="1"/>
  <c r="D254" i="1"/>
  <c r="H10" i="1"/>
  <c r="K254" i="1"/>
  <c r="G254" i="1"/>
  <c r="BJ162" i="1"/>
  <c r="BJ135" i="1"/>
  <c r="BK129" i="1"/>
  <c r="BK118" i="1"/>
  <c r="BJ121" i="1"/>
  <c r="BJ93" i="1" s="1"/>
  <c r="AJ162" i="1"/>
  <c r="AK210" i="1" s="1"/>
  <c r="AM129" i="1"/>
  <c r="AL162" i="1"/>
  <c r="AM210" i="1" s="1"/>
  <c r="BJ157" i="1"/>
  <c r="BJ186" i="1" s="1"/>
  <c r="AL135" i="1"/>
  <c r="AM135" i="1" s="1"/>
  <c r="AM139" i="1" s="1"/>
  <c r="BK150" i="1"/>
  <c r="BJ129" i="1"/>
  <c r="AJ129" i="1"/>
  <c r="AL157" i="1"/>
  <c r="AL186" i="1" s="1"/>
  <c r="AL185" i="1" s="1"/>
  <c r="AJ203" i="1"/>
  <c r="AL121" i="1"/>
  <c r="AL129" i="1"/>
  <c r="AI197" i="1"/>
  <c r="AI199" i="1" s="1"/>
  <c r="AJ135" i="1"/>
  <c r="AK33" i="1" s="1"/>
  <c r="AJ149" i="1"/>
  <c r="AJ181" i="1"/>
  <c r="AK181" i="1" s="1"/>
  <c r="AK129" i="1"/>
  <c r="AJ121" i="1"/>
  <c r="AJ157" i="1"/>
  <c r="BK144" i="1"/>
  <c r="BJ149" i="1"/>
  <c r="AM144" i="1"/>
  <c r="AL149" i="1"/>
  <c r="HX20" i="4"/>
  <c r="AR80" i="1" s="1"/>
  <c r="AR109" i="1" s="1"/>
  <c r="CB95" i="1"/>
  <c r="CB103" i="1"/>
  <c r="CB86" i="1"/>
  <c r="HP20" i="4"/>
  <c r="AJ80" i="1" s="1"/>
  <c r="IU20" i="4"/>
  <c r="BO80" i="1" s="1"/>
  <c r="BO109" i="1" s="1"/>
  <c r="JF19" i="4"/>
  <c r="BZ79" i="1" s="1"/>
  <c r="IF19" i="4"/>
  <c r="AZ79" i="1" s="1"/>
  <c r="AZ108" i="1" s="1"/>
  <c r="JE20" i="4"/>
  <c r="BY80" i="1" s="1"/>
  <c r="BY109" i="1" s="1"/>
  <c r="IC19" i="4"/>
  <c r="AW79" i="1" s="1"/>
  <c r="AW108" i="1" s="1"/>
  <c r="JH19" i="4"/>
  <c r="CB79" i="1" s="1"/>
  <c r="IO20" i="4"/>
  <c r="BI80" i="1" s="1"/>
  <c r="BI109" i="1" s="1"/>
  <c r="IN19" i="4"/>
  <c r="BH79" i="1" s="1"/>
  <c r="BH108" i="1" s="1"/>
  <c r="IS19" i="4"/>
  <c r="BM79" i="1" s="1"/>
  <c r="BM108" i="1" s="1"/>
  <c r="HZ19" i="4"/>
  <c r="AT79" i="1" s="1"/>
  <c r="AT108" i="1" s="1"/>
  <c r="HP19" i="4"/>
  <c r="AJ79" i="1" s="1"/>
  <c r="CC103" i="1"/>
  <c r="HU20" i="4"/>
  <c r="AO80" i="1" s="1"/>
  <c r="AO109" i="1" s="1"/>
  <c r="CC95" i="1"/>
  <c r="IQ20" i="4"/>
  <c r="BK80" i="1" s="1"/>
  <c r="BK109" i="1" s="1"/>
  <c r="IZ20" i="4"/>
  <c r="BT80" i="1" s="1"/>
  <c r="BT109" i="1" s="1"/>
  <c r="IO19" i="4"/>
  <c r="BI79" i="1" s="1"/>
  <c r="BI108" i="1" s="1"/>
  <c r="IT19" i="4"/>
  <c r="BN79" i="1" s="1"/>
  <c r="BN108" i="1" s="1"/>
  <c r="BY12" i="1"/>
  <c r="CB11" i="1"/>
  <c r="CC189" i="1"/>
  <c r="BX16" i="1"/>
  <c r="E99" i="1"/>
  <c r="E16" i="1"/>
  <c r="AL203" i="1"/>
  <c r="AK203" i="1"/>
  <c r="BK203" i="1"/>
  <c r="AM17" i="1"/>
  <c r="AB78" i="1"/>
  <c r="CQ78" i="1"/>
  <c r="AC141" i="1"/>
  <c r="CN66" i="1"/>
  <c r="CO64" i="1"/>
  <c r="ID20" i="4" l="1"/>
  <c r="AX80" i="1" s="1"/>
  <c r="AX109" i="1" s="1"/>
  <c r="IL19" i="4"/>
  <c r="BF79" i="1" s="1"/>
  <c r="BF108" i="1" s="1"/>
  <c r="IW20" i="4"/>
  <c r="BQ80" i="1" s="1"/>
  <c r="BQ109" i="1" s="1"/>
  <c r="I16" i="1"/>
  <c r="I99" i="1"/>
  <c r="J11" i="1"/>
  <c r="J189" i="1"/>
  <c r="U11" i="1"/>
  <c r="T16" i="1"/>
  <c r="U189" i="1"/>
  <c r="CA95" i="1"/>
  <c r="CA103" i="1"/>
  <c r="T99" i="1"/>
  <c r="JB20" i="4"/>
  <c r="BV80" i="1" s="1"/>
  <c r="BV109" i="1" s="1"/>
  <c r="HT19" i="4"/>
  <c r="AN79" i="1" s="1"/>
  <c r="AN108" i="1" s="1"/>
  <c r="IU19" i="4"/>
  <c r="BO79" i="1" s="1"/>
  <c r="BO108" i="1" s="1"/>
  <c r="X18" i="1"/>
  <c r="W17" i="1"/>
  <c r="E189" i="1"/>
  <c r="E11" i="1"/>
  <c r="C16" i="1"/>
  <c r="C189" i="1"/>
  <c r="C11" i="1"/>
  <c r="AL12" i="1"/>
  <c r="AK16" i="1"/>
  <c r="Q189" i="1"/>
  <c r="Q16" i="1"/>
  <c r="Q17" i="1" s="1"/>
  <c r="Q99" i="1"/>
  <c r="Q11" i="1"/>
  <c r="AM12" i="1"/>
  <c r="P99" i="1"/>
  <c r="P16" i="1"/>
  <c r="D189" i="1"/>
  <c r="D11" i="1"/>
  <c r="D16" i="1"/>
  <c r="BY203" i="1"/>
  <c r="AK27" i="1"/>
  <c r="W18" i="1"/>
  <c r="BJ95" i="1"/>
  <c r="BJ185" i="1"/>
  <c r="J16" i="1"/>
  <c r="J99" i="1"/>
  <c r="IJ19" i="4"/>
  <c r="BD79" i="1" s="1"/>
  <c r="BD108" i="1" s="1"/>
  <c r="JD20" i="4"/>
  <c r="BX80" i="1" s="1"/>
  <c r="IM20" i="4"/>
  <c r="BG80" i="1" s="1"/>
  <c r="BG109" i="1" s="1"/>
  <c r="IA19" i="4"/>
  <c r="AU79" i="1" s="1"/>
  <c r="AU108" i="1" s="1"/>
  <c r="JI19" i="4"/>
  <c r="CC79" i="1" s="1"/>
  <c r="BX169" i="1"/>
  <c r="H11" i="1"/>
  <c r="N99" i="1"/>
  <c r="N16" i="1"/>
  <c r="N11" i="1"/>
  <c r="N189" i="1"/>
  <c r="L16" i="1"/>
  <c r="L99" i="1"/>
  <c r="L189" i="1"/>
  <c r="L11" i="1"/>
  <c r="P11" i="1"/>
  <c r="O189" i="1"/>
  <c r="O16" i="1"/>
  <c r="O99" i="1"/>
  <c r="O11" i="1"/>
  <c r="P189" i="1"/>
  <c r="S189" i="1"/>
  <c r="S99" i="1"/>
  <c r="S16" i="1"/>
  <c r="T11" i="1"/>
  <c r="T189" i="1"/>
  <c r="K189" i="1"/>
  <c r="K99" i="1"/>
  <c r="K11" i="1"/>
  <c r="K16" i="1"/>
  <c r="V27" i="1"/>
  <c r="V28" i="1"/>
  <c r="BZ250" i="1"/>
  <c r="BZ252" i="1" s="1"/>
  <c r="BZ207" i="1"/>
  <c r="BY207" i="1"/>
  <c r="AM27" i="1"/>
  <c r="AM28" i="1"/>
  <c r="BY135" i="1"/>
  <c r="BY139" i="1" s="1"/>
  <c r="BZ204" i="1" s="1"/>
  <c r="BZ202" i="1" s="1"/>
  <c r="BX139" i="1"/>
  <c r="BY130" i="1"/>
  <c r="BZ208" i="1"/>
  <c r="BY93" i="1"/>
  <c r="M189" i="1"/>
  <c r="M99" i="1"/>
  <c r="M11" i="1"/>
  <c r="M16" i="1"/>
  <c r="F11" i="1"/>
  <c r="F189" i="1"/>
  <c r="H16" i="1"/>
  <c r="H189" i="1"/>
  <c r="I11" i="1"/>
  <c r="I189" i="1"/>
  <c r="H99" i="1"/>
  <c r="AL28" i="1"/>
  <c r="AM19" i="1"/>
  <c r="R11" i="1"/>
  <c r="BZ33" i="1"/>
  <c r="BX130" i="1"/>
  <c r="W28" i="1"/>
  <c r="BY33" i="1"/>
  <c r="U17" i="1"/>
  <c r="AM226" i="1"/>
  <c r="BY250" i="1"/>
  <c r="BX249" i="1"/>
  <c r="AK12" i="1"/>
  <c r="S11" i="1"/>
  <c r="AJ28" i="1"/>
  <c r="R16" i="1"/>
  <c r="G16" i="1"/>
  <c r="R189" i="1"/>
  <c r="BX96" i="1"/>
  <c r="BY208" i="1"/>
  <c r="BK250" i="1"/>
  <c r="G189" i="1"/>
  <c r="BX187" i="1"/>
  <c r="CB190" i="1" s="1"/>
  <c r="F16" i="1"/>
  <c r="BX158" i="1"/>
  <c r="AK207" i="1"/>
  <c r="B28" i="1"/>
  <c r="B29" i="1" s="1"/>
  <c r="F99" i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G11" i="1"/>
  <c r="AM250" i="1"/>
  <c r="AJ130" i="1"/>
  <c r="BK210" i="1"/>
  <c r="BJ249" i="1"/>
  <c r="BK135" i="1"/>
  <c r="BL33" i="1" s="1"/>
  <c r="BJ139" i="1"/>
  <c r="BJ247" i="1" s="1"/>
  <c r="BL207" i="1"/>
  <c r="BL250" i="1"/>
  <c r="AJ207" i="1"/>
  <c r="AJ169" i="1"/>
  <c r="AK37" i="1" s="1"/>
  <c r="AM33" i="1"/>
  <c r="AL139" i="1"/>
  <c r="AL93" i="1"/>
  <c r="AL96" i="1" s="1"/>
  <c r="AL249" i="1"/>
  <c r="AL207" i="1"/>
  <c r="AM207" i="1"/>
  <c r="AJ198" i="1"/>
  <c r="AJ186" i="1"/>
  <c r="AK135" i="1"/>
  <c r="AL169" i="1"/>
  <c r="AJ158" i="1"/>
  <c r="BJ130" i="1"/>
  <c r="BJ169" i="1"/>
  <c r="BJ110" i="1" s="1"/>
  <c r="AJ139" i="1"/>
  <c r="BK207" i="1"/>
  <c r="AL250" i="1"/>
  <c r="AL130" i="1"/>
  <c r="AJ197" i="1"/>
  <c r="AJ183" i="1"/>
  <c r="BJ183" i="1"/>
  <c r="BJ158" i="1"/>
  <c r="AL183" i="1"/>
  <c r="AL158" i="1"/>
  <c r="AL109" i="1"/>
  <c r="AM104" i="1"/>
  <c r="AM108" i="1"/>
  <c r="BZ96" i="1"/>
  <c r="BZ90" i="1"/>
  <c r="BZ108" i="1"/>
  <c r="BZ111" i="1" s="1"/>
  <c r="AM109" i="1"/>
  <c r="AM105" i="1"/>
  <c r="BX90" i="1"/>
  <c r="BX108" i="1"/>
  <c r="BL108" i="1"/>
  <c r="BL111" i="1" s="1"/>
  <c r="BL96" i="1"/>
  <c r="CA97" i="1"/>
  <c r="CA109" i="1"/>
  <c r="CA105" i="1"/>
  <c r="CB87" i="1"/>
  <c r="CB104" i="1"/>
  <c r="CB96" i="1"/>
  <c r="CB108" i="1"/>
  <c r="CB111" i="1" s="1"/>
  <c r="CB114" i="1" s="1"/>
  <c r="CC97" i="1"/>
  <c r="CC105" i="1"/>
  <c r="CC109" i="1"/>
  <c r="AL108" i="1"/>
  <c r="BZ109" i="1"/>
  <c r="BZ112" i="1" s="1"/>
  <c r="BZ97" i="1"/>
  <c r="CB97" i="1"/>
  <c r="CB109" i="1"/>
  <c r="CB112" i="1" s="1"/>
  <c r="CB115" i="1" s="1"/>
  <c r="BJ96" i="1"/>
  <c r="CC88" i="1"/>
  <c r="BJ97" i="1"/>
  <c r="CB105" i="1"/>
  <c r="BL109" i="1"/>
  <c r="BL112" i="1" s="1"/>
  <c r="CB88" i="1"/>
  <c r="CA104" i="1"/>
  <c r="CA108" i="1"/>
  <c r="CA96" i="1"/>
  <c r="BY108" i="1"/>
  <c r="BY90" i="1"/>
  <c r="BX17" i="1"/>
  <c r="CB18" i="1"/>
  <c r="BY19" i="1"/>
  <c r="BX28" i="1"/>
  <c r="C18" i="1"/>
  <c r="AK19" i="1"/>
  <c r="E28" i="1"/>
  <c r="E29" i="1" s="1"/>
  <c r="E17" i="1"/>
  <c r="CR78" i="1"/>
  <c r="AC203" i="1"/>
  <c r="AB150" i="1"/>
  <c r="AB118" i="1"/>
  <c r="CO66" i="1"/>
  <c r="CP64" i="1"/>
  <c r="AB64" i="1" s="1"/>
  <c r="CA226" i="1"/>
  <c r="I17" i="1" l="1"/>
  <c r="D17" i="1"/>
  <c r="D28" i="1"/>
  <c r="C17" i="1"/>
  <c r="AK28" i="1"/>
  <c r="AK17" i="1"/>
  <c r="U18" i="1"/>
  <c r="T17" i="1"/>
  <c r="E18" i="1"/>
  <c r="Q18" i="1"/>
  <c r="P17" i="1"/>
  <c r="C28" i="1"/>
  <c r="D18" i="1"/>
  <c r="AL19" i="1"/>
  <c r="AB66" i="1"/>
  <c r="AA64" i="1"/>
  <c r="BZ206" i="1"/>
  <c r="BY206" i="1"/>
  <c r="J17" i="1"/>
  <c r="J18" i="1"/>
  <c r="H17" i="1"/>
  <c r="I18" i="1"/>
  <c r="AL233" i="1"/>
  <c r="AL234" i="1" s="1"/>
  <c r="AL34" i="1"/>
  <c r="AL38" i="1" s="1"/>
  <c r="AL29" i="1"/>
  <c r="W233" i="1"/>
  <c r="W234" i="1" s="1"/>
  <c r="W34" i="1"/>
  <c r="W38" i="1" s="1"/>
  <c r="W113" i="1"/>
  <c r="X251" i="1"/>
  <c r="W29" i="1"/>
  <c r="X30" i="1"/>
  <c r="AJ34" i="1"/>
  <c r="AJ38" i="1" s="1"/>
  <c r="AJ29" i="1"/>
  <c r="AJ233" i="1"/>
  <c r="AJ234" i="1" s="1"/>
  <c r="R17" i="1"/>
  <c r="R18" i="1"/>
  <c r="H18" i="1"/>
  <c r="G17" i="1"/>
  <c r="F17" i="1"/>
  <c r="F18" i="1"/>
  <c r="BX109" i="1"/>
  <c r="BX97" i="1"/>
  <c r="CC96" i="1"/>
  <c r="CC108" i="1"/>
  <c r="CC104" i="1"/>
  <c r="CC87" i="1"/>
  <c r="BX110" i="1"/>
  <c r="BY37" i="1"/>
  <c r="BX166" i="1"/>
  <c r="BX167" i="1" s="1"/>
  <c r="N17" i="1"/>
  <c r="O18" i="1"/>
  <c r="L17" i="1"/>
  <c r="M18" i="1"/>
  <c r="O17" i="1"/>
  <c r="P18" i="1"/>
  <c r="S17" i="1"/>
  <c r="S18" i="1"/>
  <c r="T18" i="1"/>
  <c r="K17" i="1"/>
  <c r="K18" i="1"/>
  <c r="L18" i="1"/>
  <c r="V233" i="1"/>
  <c r="V234" i="1" s="1"/>
  <c r="V34" i="1"/>
  <c r="V38" i="1" s="1"/>
  <c r="V113" i="1"/>
  <c r="V29" i="1"/>
  <c r="W30" i="1"/>
  <c r="W251" i="1"/>
  <c r="AM34" i="1"/>
  <c r="AM38" i="1" s="1"/>
  <c r="AM251" i="1"/>
  <c r="AM29" i="1"/>
  <c r="AM233" i="1"/>
  <c r="AM234" i="1" s="1"/>
  <c r="AM31" i="1"/>
  <c r="BX247" i="1"/>
  <c r="BY204" i="1"/>
  <c r="BY202" i="1" s="1"/>
  <c r="BY95" i="1"/>
  <c r="BY96" i="1"/>
  <c r="BY97" i="1"/>
  <c r="M17" i="1"/>
  <c r="N18" i="1"/>
  <c r="G18" i="1"/>
  <c r="B113" i="1"/>
  <c r="BK139" i="1"/>
  <c r="BL204" i="1" s="1"/>
  <c r="BL202" i="1" s="1"/>
  <c r="AM204" i="1"/>
  <c r="AM202" i="1" s="1"/>
  <c r="AL247" i="1"/>
  <c r="AL166" i="1"/>
  <c r="AL167" i="1" s="1"/>
  <c r="AL95" i="1"/>
  <c r="AL97" i="1"/>
  <c r="AL110" i="1"/>
  <c r="AM37" i="1"/>
  <c r="BJ112" i="1"/>
  <c r="BJ111" i="1"/>
  <c r="AJ199" i="1"/>
  <c r="AK139" i="1"/>
  <c r="AL33" i="1"/>
  <c r="AJ166" i="1"/>
  <c r="AJ167" i="1" s="1"/>
  <c r="AJ204" i="1"/>
  <c r="AJ202" i="1" s="1"/>
  <c r="BJ187" i="1"/>
  <c r="BJ182" i="1"/>
  <c r="AL182" i="1"/>
  <c r="AL187" i="1"/>
  <c r="AL251" i="1"/>
  <c r="AL252" i="1" s="1"/>
  <c r="AM227" i="1"/>
  <c r="D29" i="1"/>
  <c r="D34" i="1"/>
  <c r="D38" i="1" s="1"/>
  <c r="D233" i="1"/>
  <c r="D234" i="1" s="1"/>
  <c r="D251" i="1"/>
  <c r="E30" i="1"/>
  <c r="D113" i="1"/>
  <c r="AL41" i="1"/>
  <c r="AL40" i="1"/>
  <c r="W41" i="1"/>
  <c r="W40" i="1"/>
  <c r="C251" i="1"/>
  <c r="C29" i="1"/>
  <c r="D30" i="1"/>
  <c r="C30" i="1"/>
  <c r="AK233" i="1"/>
  <c r="AK234" i="1" s="1"/>
  <c r="AL31" i="1"/>
  <c r="AK29" i="1"/>
  <c r="AK34" i="1"/>
  <c r="AK38" i="1" s="1"/>
  <c r="AM113" i="1"/>
  <c r="AK31" i="1"/>
  <c r="BX29" i="1"/>
  <c r="BX34" i="1"/>
  <c r="CB30" i="1"/>
  <c r="CA113" i="1"/>
  <c r="BX233" i="1"/>
  <c r="BX234" i="1" s="1"/>
  <c r="BY31" i="1"/>
  <c r="BY251" i="1"/>
  <c r="BY252" i="1" s="1"/>
  <c r="CS78" i="1"/>
  <c r="AB164" i="1"/>
  <c r="CP66" i="1"/>
  <c r="CQ64" i="1"/>
  <c r="AC118" i="1"/>
  <c r="AC150" i="1"/>
  <c r="CB226" i="1"/>
  <c r="BQ1" i="1"/>
  <c r="BR1" i="1" s="1"/>
  <c r="BS1" i="1" s="1"/>
  <c r="BT1" i="1" s="1"/>
  <c r="Z64" i="1" l="1"/>
  <c r="AA66" i="1"/>
  <c r="AM252" i="1"/>
  <c r="AJ41" i="1"/>
  <c r="AJ40" i="1"/>
  <c r="AM41" i="1"/>
  <c r="AM42" i="1" s="1"/>
  <c r="AM246" i="1" s="1"/>
  <c r="AM40" i="1"/>
  <c r="CF91" i="1"/>
  <c r="CE91" i="1"/>
  <c r="BX111" i="1"/>
  <c r="BX112" i="1"/>
  <c r="V41" i="1"/>
  <c r="W43" i="1" s="1"/>
  <c r="V40" i="1"/>
  <c r="AL112" i="1"/>
  <c r="AL111" i="1"/>
  <c r="AL204" i="1"/>
  <c r="AL202" i="1" s="1"/>
  <c r="AK204" i="1"/>
  <c r="AK202" i="1" s="1"/>
  <c r="AL235" i="1"/>
  <c r="AM44" i="1"/>
  <c r="AL48" i="1"/>
  <c r="AL42" i="1"/>
  <c r="AL246" i="1" s="1"/>
  <c r="BX38" i="1"/>
  <c r="CA56" i="1"/>
  <c r="AK41" i="1"/>
  <c r="AK40" i="1"/>
  <c r="D41" i="1"/>
  <c r="D40" i="1"/>
  <c r="W48" i="1"/>
  <c r="W53" i="1" s="1"/>
  <c r="W235" i="1"/>
  <c r="W42" i="1"/>
  <c r="W246" i="1" s="1"/>
  <c r="X43" i="1"/>
  <c r="CT78" i="1"/>
  <c r="AB138" i="1"/>
  <c r="AD150" i="1"/>
  <c r="AE150" i="1"/>
  <c r="AD118" i="1"/>
  <c r="AE118" i="1"/>
  <c r="CQ66" i="1"/>
  <c r="CR64" i="1"/>
  <c r="AC164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Z66" i="1" l="1"/>
  <c r="Y64" i="1"/>
  <c r="AA67" i="1"/>
  <c r="AA100" i="1"/>
  <c r="AA93" i="1"/>
  <c r="AA108" i="1"/>
  <c r="AA111" i="1" s="1"/>
  <c r="AA114" i="1" s="1"/>
  <c r="AA109" i="1"/>
  <c r="AA112" i="1" s="1"/>
  <c r="AA115" i="1" s="1"/>
  <c r="V42" i="1"/>
  <c r="V246" i="1" s="1"/>
  <c r="V48" i="1"/>
  <c r="AJ42" i="1"/>
  <c r="AJ48" i="1"/>
  <c r="AJ235" i="1"/>
  <c r="AJ208" i="1"/>
  <c r="AJ206" i="1" s="1"/>
  <c r="AJ53" i="1"/>
  <c r="AJ67" i="1"/>
  <c r="AK235" i="1"/>
  <c r="AK48" i="1"/>
  <c r="AK120" i="1" s="1"/>
  <c r="AK121" i="1" s="1"/>
  <c r="AK130" i="1" s="1"/>
  <c r="AK42" i="1"/>
  <c r="AK44" i="1"/>
  <c r="AL44" i="1"/>
  <c r="AL194" i="1"/>
  <c r="AL196" i="1" s="1"/>
  <c r="AL67" i="1"/>
  <c r="AL53" i="1"/>
  <c r="D235" i="1"/>
  <c r="D42" i="1"/>
  <c r="D48" i="1"/>
  <c r="BX40" i="1"/>
  <c r="BX41" i="1"/>
  <c r="AC78" i="1"/>
  <c r="CU78" i="1"/>
  <c r="AD164" i="1"/>
  <c r="AE164" i="1"/>
  <c r="AD141" i="1"/>
  <c r="CR66" i="1"/>
  <c r="CS64" i="1"/>
  <c r="AC138" i="1"/>
  <c r="BV1" i="1"/>
  <c r="BW1" i="1" s="1"/>
  <c r="BX1" i="1" s="1"/>
  <c r="AM228" i="1"/>
  <c r="AM235" i="1"/>
  <c r="B233" i="1"/>
  <c r="B234" i="1" s="1"/>
  <c r="BL233" i="1"/>
  <c r="BL234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1" i="1" s="1"/>
  <c r="N28" i="1"/>
  <c r="Z67" i="1" l="1"/>
  <c r="Z93" i="1"/>
  <c r="Z108" i="1"/>
  <c r="Z111" i="1" s="1"/>
  <c r="Z114" i="1" s="1"/>
  <c r="Z100" i="1"/>
  <c r="Z109" i="1"/>
  <c r="Z112" i="1" s="1"/>
  <c r="Z115" i="1" s="1"/>
  <c r="Y66" i="1"/>
  <c r="X64" i="1"/>
  <c r="AA70" i="1"/>
  <c r="AA69" i="1"/>
  <c r="AA104" i="1"/>
  <c r="AA105" i="1"/>
  <c r="AA103" i="1"/>
  <c r="AA97" i="1"/>
  <c r="AA96" i="1"/>
  <c r="AA95" i="1"/>
  <c r="AJ194" i="1"/>
  <c r="AJ196" i="1" s="1"/>
  <c r="AJ200" i="1" s="1"/>
  <c r="AJ214" i="1" s="1"/>
  <c r="T251" i="1"/>
  <c r="P251" i="1"/>
  <c r="D194" i="1"/>
  <c r="D196" i="1" s="1"/>
  <c r="D53" i="1"/>
  <c r="CB43" i="1"/>
  <c r="BX235" i="1"/>
  <c r="BX42" i="1"/>
  <c r="BX246" i="1" s="1"/>
  <c r="BX48" i="1"/>
  <c r="BY44" i="1"/>
  <c r="AK194" i="1"/>
  <c r="AK196" i="1" s="1"/>
  <c r="AK67" i="1"/>
  <c r="AK53" i="1"/>
  <c r="M251" i="1"/>
  <c r="R251" i="1"/>
  <c r="I251" i="1"/>
  <c r="K251" i="1"/>
  <c r="G251" i="1"/>
  <c r="H251" i="1"/>
  <c r="L251" i="1"/>
  <c r="S251" i="1"/>
  <c r="O251" i="1"/>
  <c r="J251" i="1"/>
  <c r="N251" i="1"/>
  <c r="U251" i="1"/>
  <c r="V251" i="1"/>
  <c r="Q251" i="1"/>
  <c r="R113" i="1"/>
  <c r="S30" i="1"/>
  <c r="T113" i="1"/>
  <c r="U30" i="1"/>
  <c r="U113" i="1"/>
  <c r="V30" i="1"/>
  <c r="P113" i="1"/>
  <c r="Q30" i="1"/>
  <c r="Q113" i="1"/>
  <c r="R30" i="1"/>
  <c r="I113" i="1"/>
  <c r="J30" i="1"/>
  <c r="S113" i="1"/>
  <c r="T30" i="1"/>
  <c r="H113" i="1"/>
  <c r="I30" i="1"/>
  <c r="E113" i="1"/>
  <c r="F30" i="1"/>
  <c r="L113" i="1"/>
  <c r="M30" i="1"/>
  <c r="O113" i="1"/>
  <c r="P30" i="1"/>
  <c r="N113" i="1"/>
  <c r="O30" i="1"/>
  <c r="K113" i="1"/>
  <c r="L30" i="1"/>
  <c r="F113" i="1"/>
  <c r="G30" i="1"/>
  <c r="G113" i="1"/>
  <c r="H30" i="1"/>
  <c r="M113" i="1"/>
  <c r="N30" i="1"/>
  <c r="J113" i="1"/>
  <c r="K30" i="1"/>
  <c r="CV78" i="1"/>
  <c r="AD203" i="1"/>
  <c r="AB143" i="1"/>
  <c r="AE138" i="1"/>
  <c r="AD138" i="1"/>
  <c r="CT64" i="1"/>
  <c r="AC64" i="1" s="1"/>
  <c r="AC66" i="1" s="1"/>
  <c r="CS66" i="1"/>
  <c r="C113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3" i="1"/>
  <c r="T234" i="1" s="1"/>
  <c r="Q233" i="1"/>
  <c r="Q234" i="1" s="1"/>
  <c r="K233" i="1"/>
  <c r="K234" i="1" s="1"/>
  <c r="O233" i="1"/>
  <c r="O234" i="1" s="1"/>
  <c r="U233" i="1"/>
  <c r="U234" i="1" s="1"/>
  <c r="L233" i="1"/>
  <c r="L234" i="1" s="1"/>
  <c r="C233" i="1"/>
  <c r="C234" i="1" s="1"/>
  <c r="I233" i="1"/>
  <c r="I234" i="1" s="1"/>
  <c r="G233" i="1"/>
  <c r="G234" i="1" s="1"/>
  <c r="R233" i="1"/>
  <c r="R234" i="1" s="1"/>
  <c r="P233" i="1"/>
  <c r="P234" i="1" s="1"/>
  <c r="F233" i="1"/>
  <c r="F234" i="1" s="1"/>
  <c r="M233" i="1"/>
  <c r="M234" i="1" s="1"/>
  <c r="N233" i="1"/>
  <c r="N234" i="1" s="1"/>
  <c r="E233" i="1"/>
  <c r="E234" i="1" s="1"/>
  <c r="S233" i="1"/>
  <c r="S234" i="1" s="1"/>
  <c r="J233" i="1"/>
  <c r="J234" i="1" s="1"/>
  <c r="H233" i="1"/>
  <c r="H234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Z69" i="1" l="1"/>
  <c r="Z70" i="1"/>
  <c r="Z96" i="1"/>
  <c r="Z97" i="1"/>
  <c r="Z95" i="1"/>
  <c r="Z103" i="1"/>
  <c r="Z104" i="1"/>
  <c r="Z105" i="1"/>
  <c r="Y67" i="1"/>
  <c r="Y93" i="1"/>
  <c r="Y108" i="1"/>
  <c r="Y111" i="1" s="1"/>
  <c r="Y114" i="1" s="1"/>
  <c r="Y109" i="1"/>
  <c r="Y112" i="1" s="1"/>
  <c r="Y115" i="1" s="1"/>
  <c r="Y100" i="1"/>
  <c r="W64" i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X66" i="1"/>
  <c r="AA88" i="1"/>
  <c r="AA86" i="1"/>
  <c r="AA87" i="1"/>
  <c r="AJ211" i="1"/>
  <c r="AJ212" i="1" s="1"/>
  <c r="CA55" i="1"/>
  <c r="BX67" i="1"/>
  <c r="CA70" i="1" s="1"/>
  <c r="BX194" i="1"/>
  <c r="BX196" i="1" s="1"/>
  <c r="BX53" i="1"/>
  <c r="AK208" i="1"/>
  <c r="AK206" i="1" s="1"/>
  <c r="AL208" i="1"/>
  <c r="AL206" i="1" s="1"/>
  <c r="BK165" i="1"/>
  <c r="BM165" i="1"/>
  <c r="CW78" i="1"/>
  <c r="AE141" i="1"/>
  <c r="AE203" i="1" s="1"/>
  <c r="CT66" i="1"/>
  <c r="CU64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5" i="1"/>
  <c r="Z88" i="1" l="1"/>
  <c r="Z86" i="1"/>
  <c r="Z87" i="1"/>
  <c r="AA71" i="1"/>
  <c r="Y70" i="1"/>
  <c r="Y69" i="1"/>
  <c r="Y97" i="1"/>
  <c r="Y95" i="1"/>
  <c r="Y96" i="1"/>
  <c r="Y105" i="1"/>
  <c r="Y103" i="1"/>
  <c r="Y104" i="1"/>
  <c r="X67" i="1"/>
  <c r="X109" i="1"/>
  <c r="X112" i="1" s="1"/>
  <c r="X115" i="1" s="1"/>
  <c r="X93" i="1"/>
  <c r="X108" i="1"/>
  <c r="X111" i="1" s="1"/>
  <c r="X114" i="1" s="1"/>
  <c r="X100" i="1"/>
  <c r="R43" i="1"/>
  <c r="CE71" i="1"/>
  <c r="CA88" i="1"/>
  <c r="CA87" i="1"/>
  <c r="CD91" i="1" s="1"/>
  <c r="BW90" i="1"/>
  <c r="CA86" i="1"/>
  <c r="U43" i="1"/>
  <c r="O43" i="1"/>
  <c r="B41" i="1"/>
  <c r="B40" i="1"/>
  <c r="C41" i="1"/>
  <c r="C40" i="1"/>
  <c r="E41" i="1"/>
  <c r="E48" i="1" s="1"/>
  <c r="E40" i="1"/>
  <c r="P43" i="1"/>
  <c r="H43" i="1"/>
  <c r="Q43" i="1"/>
  <c r="BJ166" i="1"/>
  <c r="BJ167" i="1" s="1"/>
  <c r="BL166" i="1"/>
  <c r="BL167" i="1" s="1"/>
  <c r="CX78" i="1"/>
  <c r="CV64" i="1"/>
  <c r="CU66" i="1"/>
  <c r="CA1" i="1"/>
  <c r="CB1" i="1" s="1"/>
  <c r="O40" i="1"/>
  <c r="BL235" i="1"/>
  <c r="S41" i="1"/>
  <c r="U42" i="1"/>
  <c r="U246" i="1" s="1"/>
  <c r="P42" i="1"/>
  <c r="P246" i="1" s="1"/>
  <c r="Q48" i="1"/>
  <c r="Q42" i="1"/>
  <c r="Q246" i="1" s="1"/>
  <c r="L41" i="1"/>
  <c r="P40" i="1"/>
  <c r="H42" i="1"/>
  <c r="H246" i="1" s="1"/>
  <c r="G42" i="1"/>
  <c r="G246" i="1" s="1"/>
  <c r="U48" i="1"/>
  <c r="N42" i="1"/>
  <c r="N246" i="1" s="1"/>
  <c r="R42" i="1"/>
  <c r="R246" i="1" s="1"/>
  <c r="K42" i="1"/>
  <c r="K246" i="1" s="1"/>
  <c r="O48" i="1"/>
  <c r="O42" i="1"/>
  <c r="O246" i="1" s="1"/>
  <c r="T48" i="1"/>
  <c r="T42" i="1"/>
  <c r="T246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5" i="1"/>
  <c r="Q40" i="1"/>
  <c r="P235" i="1"/>
  <c r="P48" i="1"/>
  <c r="K235" i="1"/>
  <c r="K48" i="1"/>
  <c r="H235" i="1"/>
  <c r="H48" i="1"/>
  <c r="R48" i="1"/>
  <c r="N48" i="1"/>
  <c r="G48" i="1"/>
  <c r="G235" i="1"/>
  <c r="R235" i="1"/>
  <c r="N235" i="1"/>
  <c r="Q235" i="1"/>
  <c r="U235" i="1"/>
  <c r="T235" i="1"/>
  <c r="V53" i="1"/>
  <c r="V194" i="1"/>
  <c r="V196" i="1" s="1"/>
  <c r="Y88" i="1" l="1"/>
  <c r="Y87" i="1"/>
  <c r="Y86" i="1"/>
  <c r="X69" i="1"/>
  <c r="X70" i="1"/>
  <c r="X95" i="1"/>
  <c r="X97" i="1"/>
  <c r="X96" i="1"/>
  <c r="X103" i="1"/>
  <c r="X105" i="1"/>
  <c r="X104" i="1"/>
  <c r="Z71" i="1"/>
  <c r="E235" i="1"/>
  <c r="E42" i="1"/>
  <c r="E246" i="1" s="1"/>
  <c r="E43" i="1"/>
  <c r="D43" i="1"/>
  <c r="C42" i="1"/>
  <c r="B42" i="1"/>
  <c r="C43" i="1"/>
  <c r="F43" i="1"/>
  <c r="M43" i="1"/>
  <c r="S42" i="1"/>
  <c r="S246" i="1" s="1"/>
  <c r="T43" i="1"/>
  <c r="L43" i="1"/>
  <c r="J43" i="1"/>
  <c r="S43" i="1"/>
  <c r="I66" i="1"/>
  <c r="I100" i="1" s="1"/>
  <c r="Q66" i="1"/>
  <c r="Q100" i="1" s="1"/>
  <c r="U66" i="1"/>
  <c r="U100" i="1" s="1"/>
  <c r="F66" i="1"/>
  <c r="F100" i="1" s="1"/>
  <c r="R66" i="1"/>
  <c r="R100" i="1" s="1"/>
  <c r="J66" i="1"/>
  <c r="N66" i="1"/>
  <c r="N67" i="1" s="1"/>
  <c r="N70" i="1" s="1"/>
  <c r="T66" i="1"/>
  <c r="E66" i="1"/>
  <c r="E100" i="1" s="1"/>
  <c r="H66" i="1"/>
  <c r="H100" i="1" s="1"/>
  <c r="S66" i="1"/>
  <c r="V66" i="1"/>
  <c r="V100" i="1" s="1"/>
  <c r="P66" i="1"/>
  <c r="G66" i="1"/>
  <c r="G67" i="1" s="1"/>
  <c r="G70" i="1" s="1"/>
  <c r="L66" i="1"/>
  <c r="K66" i="1"/>
  <c r="AD78" i="1"/>
  <c r="CY78" i="1"/>
  <c r="CV66" i="1"/>
  <c r="CW64" i="1"/>
  <c r="CC1" i="1"/>
  <c r="K53" i="1"/>
  <c r="G53" i="1"/>
  <c r="E53" i="1"/>
  <c r="S48" i="1"/>
  <c r="S235" i="1"/>
  <c r="L235" i="1"/>
  <c r="L48" i="1"/>
  <c r="O194" i="1"/>
  <c r="O196" i="1" s="1"/>
  <c r="O53" i="1"/>
  <c r="B235" i="1"/>
  <c r="B48" i="1"/>
  <c r="M48" i="1"/>
  <c r="M42" i="1"/>
  <c r="M246" i="1" s="1"/>
  <c r="C235" i="1"/>
  <c r="I48" i="1"/>
  <c r="I42" i="1"/>
  <c r="I246" i="1" s="1"/>
  <c r="J48" i="1"/>
  <c r="J42" i="1"/>
  <c r="J246" i="1" s="1"/>
  <c r="F48" i="1"/>
  <c r="F42" i="1"/>
  <c r="F246" i="1" s="1"/>
  <c r="L42" i="1"/>
  <c r="L246" i="1" s="1"/>
  <c r="J235" i="1"/>
  <c r="E194" i="1"/>
  <c r="E196" i="1" s="1"/>
  <c r="R194" i="1"/>
  <c r="R196" i="1" s="1"/>
  <c r="M235" i="1"/>
  <c r="R53" i="1"/>
  <c r="I235" i="1"/>
  <c r="H53" i="1"/>
  <c r="H194" i="1"/>
  <c r="H196" i="1" s="1"/>
  <c r="F235" i="1"/>
  <c r="C48" i="1"/>
  <c r="N194" i="1"/>
  <c r="N196" i="1" s="1"/>
  <c r="N53" i="1"/>
  <c r="G194" i="1"/>
  <c r="G196" i="1" s="1"/>
  <c r="P53" i="1"/>
  <c r="K194" i="1"/>
  <c r="K196" i="1" s="1"/>
  <c r="P194" i="1"/>
  <c r="P196" i="1" s="1"/>
  <c r="U53" i="1"/>
  <c r="U194" i="1"/>
  <c r="U196" i="1" s="1"/>
  <c r="Q53" i="1"/>
  <c r="Q194" i="1"/>
  <c r="Q196" i="1" s="1"/>
  <c r="T53" i="1"/>
  <c r="T194" i="1"/>
  <c r="T196" i="1" s="1"/>
  <c r="X88" i="1" l="1"/>
  <c r="X86" i="1"/>
  <c r="X87" i="1"/>
  <c r="Y71" i="1"/>
  <c r="R67" i="1"/>
  <c r="R70" i="1" s="1"/>
  <c r="K100" i="1"/>
  <c r="L100" i="1"/>
  <c r="T100" i="1"/>
  <c r="P100" i="1"/>
  <c r="G100" i="1"/>
  <c r="S100" i="1"/>
  <c r="J100" i="1"/>
  <c r="N100" i="1"/>
  <c r="H67" i="1"/>
  <c r="U67" i="1"/>
  <c r="U70" i="1" s="1"/>
  <c r="V67" i="1"/>
  <c r="E67" i="1"/>
  <c r="Q67" i="1"/>
  <c r="T67" i="1"/>
  <c r="T70" i="1" s="1"/>
  <c r="M66" i="1"/>
  <c r="M67" i="1" s="1"/>
  <c r="M70" i="1" s="1"/>
  <c r="O66" i="1"/>
  <c r="O100" i="1" s="1"/>
  <c r="W66" i="1"/>
  <c r="W100" i="1" s="1"/>
  <c r="K67" i="1"/>
  <c r="P67" i="1"/>
  <c r="P70" i="1" s="1"/>
  <c r="CZ78" i="1"/>
  <c r="AC143" i="1"/>
  <c r="CX64" i="1"/>
  <c r="AD64" i="1" s="1"/>
  <c r="AD66" i="1" s="1"/>
  <c r="CW66" i="1"/>
  <c r="CD1" i="1"/>
  <c r="CE1" i="1" s="1"/>
  <c r="CF1" i="1" s="1"/>
  <c r="CG1" i="1" s="1"/>
  <c r="CH1" i="1" s="1"/>
  <c r="CI1" i="1" s="1"/>
  <c r="CJ1" i="1" s="1"/>
  <c r="CK1" i="1" s="1"/>
  <c r="L194" i="1"/>
  <c r="L196" i="1" s="1"/>
  <c r="J194" i="1"/>
  <c r="J196" i="1" s="1"/>
  <c r="J67" i="1"/>
  <c r="J70" i="1" s="1"/>
  <c r="M194" i="1"/>
  <c r="M196" i="1" s="1"/>
  <c r="B53" i="1"/>
  <c r="F53" i="1"/>
  <c r="F67" i="1"/>
  <c r="F70" i="1" s="1"/>
  <c r="I53" i="1"/>
  <c r="I67" i="1"/>
  <c r="C53" i="1"/>
  <c r="L53" i="1"/>
  <c r="L67" i="1"/>
  <c r="S67" i="1"/>
  <c r="S53" i="1"/>
  <c r="J53" i="1"/>
  <c r="S194" i="1"/>
  <c r="S196" i="1" s="1"/>
  <c r="M53" i="1"/>
  <c r="I194" i="1"/>
  <c r="I196" i="1" s="1"/>
  <c r="F194" i="1"/>
  <c r="F196" i="1" s="1"/>
  <c r="C194" i="1"/>
  <c r="C196" i="1" s="1"/>
  <c r="K70" i="1" l="1"/>
  <c r="Q70" i="1"/>
  <c r="U71" i="1"/>
  <c r="M100" i="1"/>
  <c r="H70" i="1"/>
  <c r="E70" i="1"/>
  <c r="V70" i="1"/>
  <c r="O67" i="1"/>
  <c r="W67" i="1"/>
  <c r="DA78" i="1"/>
  <c r="CX66" i="1"/>
  <c r="CY64" i="1"/>
  <c r="AB12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1" i="1"/>
  <c r="G71" i="1"/>
  <c r="S70" i="1"/>
  <c r="I70" i="1"/>
  <c r="J71" i="1" s="1"/>
  <c r="L70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G90" i="2"/>
  <c r="J41" i="2"/>
  <c r="D65" i="2"/>
  <c r="O40" i="2"/>
  <c r="J52" i="2"/>
  <c r="Q99" i="2"/>
  <c r="R66" i="2"/>
  <c r="X47" i="2"/>
  <c r="D84" i="2"/>
  <c r="F60" i="2"/>
  <c r="H56" i="2"/>
  <c r="L79" i="2"/>
  <c r="J42" i="2"/>
  <c r="R76" i="2"/>
  <c r="N106" i="2"/>
  <c r="D82" i="2"/>
  <c r="T56" i="2"/>
  <c r="V70" i="2"/>
  <c r="H68" i="2"/>
  <c r="Q72" i="2"/>
  <c r="R94" i="2"/>
  <c r="I69" i="2"/>
  <c r="G94" i="2"/>
  <c r="G86" i="2"/>
  <c r="G64" i="2"/>
  <c r="P77" i="2"/>
  <c r="L67" i="2"/>
  <c r="N61" i="2"/>
  <c r="X68" i="2"/>
  <c r="M47" i="2"/>
  <c r="AB65" i="3"/>
  <c r="AB78" i="3"/>
  <c r="AP71" i="3"/>
  <c r="AP92" i="3"/>
  <c r="AB97" i="3"/>
  <c r="AB76" i="3"/>
  <c r="Z30" i="3"/>
  <c r="C37" i="3"/>
  <c r="Y22" i="3"/>
  <c r="T17" i="3"/>
  <c r="I38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D89" i="2"/>
  <c r="J46" i="2"/>
  <c r="C67" i="2"/>
  <c r="O82" i="2"/>
  <c r="U53" i="2"/>
  <c r="T66" i="2"/>
  <c r="J94" i="2"/>
  <c r="R63" i="2"/>
  <c r="X96" i="2"/>
  <c r="R112" i="2"/>
  <c r="Q90" i="2"/>
  <c r="N111" i="2"/>
  <c r="R70" i="2"/>
  <c r="E93" i="2"/>
  <c r="M95" i="2"/>
  <c r="N113" i="2"/>
  <c r="M109" i="2"/>
  <c r="H61" i="2"/>
  <c r="J77" i="2"/>
  <c r="O52" i="2"/>
  <c r="T109" i="2"/>
  <c r="M56" i="2"/>
  <c r="H90" i="2"/>
  <c r="T62" i="2"/>
  <c r="K77" i="2"/>
  <c r="R40" i="2"/>
  <c r="X109" i="2"/>
  <c r="U65" i="2"/>
  <c r="F82" i="2"/>
  <c r="L97" i="2"/>
  <c r="AB83" i="3"/>
  <c r="AP86" i="3"/>
  <c r="AP78" i="3"/>
  <c r="AP62" i="3"/>
  <c r="C49" i="3"/>
  <c r="AP69" i="3"/>
  <c r="W5" i="3"/>
  <c r="L19" i="3"/>
  <c r="C23" i="3"/>
  <c r="O23" i="3"/>
  <c r="T24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R46" i="2"/>
  <c r="L90" i="2"/>
  <c r="M97" i="2"/>
  <c r="G44" i="2"/>
  <c r="I92" i="2"/>
  <c r="H86" i="2"/>
  <c r="V92" i="2"/>
  <c r="U45" i="2"/>
  <c r="C43" i="2"/>
  <c r="C57" i="2"/>
  <c r="V50" i="2"/>
  <c r="O59" i="2"/>
  <c r="N95" i="2"/>
  <c r="V66" i="2"/>
  <c r="P53" i="2"/>
  <c r="I87" i="2"/>
  <c r="I111" i="2"/>
  <c r="H67" i="2"/>
  <c r="G49" i="2"/>
  <c r="T93" i="2"/>
  <c r="I110" i="2"/>
  <c r="D106" i="2"/>
  <c r="X80" i="2"/>
  <c r="X74" i="2"/>
  <c r="R99" i="2"/>
  <c r="C79" i="2"/>
  <c r="P92" i="2"/>
  <c r="P45" i="2"/>
  <c r="X85" i="2"/>
  <c r="C91" i="2"/>
  <c r="AB81" i="3"/>
  <c r="AB55" i="3"/>
  <c r="C47" i="3"/>
  <c r="AB62" i="3"/>
  <c r="AB86" i="3"/>
  <c r="AB85" i="3"/>
  <c r="P32" i="3"/>
  <c r="N24" i="3"/>
  <c r="AQ13" i="3"/>
  <c r="AO33" i="3"/>
  <c r="T25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S57" i="2"/>
  <c r="T97" i="2"/>
  <c r="G92" i="2"/>
  <c r="R48" i="2"/>
  <c r="U92" i="2"/>
  <c r="P70" i="2"/>
  <c r="P41" i="2"/>
  <c r="K105" i="2"/>
  <c r="R98" i="2"/>
  <c r="I86" i="2"/>
  <c r="X42" i="2"/>
  <c r="O110" i="2"/>
  <c r="W41" i="2"/>
  <c r="K96" i="2"/>
  <c r="T89" i="2"/>
  <c r="C93" i="2"/>
  <c r="K69" i="2"/>
  <c r="G87" i="2"/>
  <c r="W110" i="2"/>
  <c r="Q98" i="2"/>
  <c r="V68" i="2"/>
  <c r="P57" i="2"/>
  <c r="F59" i="2"/>
  <c r="C61" i="2"/>
  <c r="P56" i="2"/>
  <c r="Q51" i="2"/>
  <c r="X54" i="2"/>
  <c r="O61" i="2"/>
  <c r="T63" i="2"/>
  <c r="S98" i="2"/>
  <c r="AB68" i="3"/>
  <c r="AB48" i="3"/>
  <c r="AP61" i="3"/>
  <c r="AP82" i="3"/>
  <c r="AB67" i="3"/>
  <c r="AB84" i="3"/>
  <c r="I22" i="3"/>
  <c r="M35" i="3"/>
  <c r="U21" i="3"/>
  <c r="AL20" i="3"/>
  <c r="AO39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Q108" i="2"/>
  <c r="I41" i="2"/>
  <c r="H74" i="2"/>
  <c r="D88" i="2"/>
  <c r="O57" i="2"/>
  <c r="R57" i="2"/>
  <c r="N82" i="2"/>
  <c r="G57" i="2"/>
  <c r="M60" i="2"/>
  <c r="U73" i="2"/>
  <c r="J84" i="2"/>
  <c r="T47" i="2"/>
  <c r="D55" i="2"/>
  <c r="J44" i="2"/>
  <c r="N69" i="2"/>
  <c r="L66" i="2"/>
  <c r="R71" i="2"/>
  <c r="O79" i="2"/>
  <c r="V53" i="2"/>
  <c r="Q86" i="2"/>
  <c r="Q50" i="2"/>
  <c r="X86" i="2"/>
  <c r="R68" i="2"/>
  <c r="D94" i="2"/>
  <c r="W79" i="2"/>
  <c r="U108" i="2"/>
  <c r="F81" i="2"/>
  <c r="J81" i="2"/>
  <c r="K111" i="2"/>
  <c r="L78" i="2"/>
  <c r="AB89" i="3"/>
  <c r="AP97" i="3"/>
  <c r="AB50" i="3"/>
  <c r="AP94" i="3"/>
  <c r="AB70" i="3"/>
  <c r="AB95" i="3"/>
  <c r="K13" i="3"/>
  <c r="AJ38" i="3"/>
  <c r="P39" i="3"/>
  <c r="J16" i="3"/>
  <c r="AL4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F108" i="2"/>
  <c r="I85" i="2"/>
  <c r="V72" i="2"/>
  <c r="P42" i="2"/>
  <c r="I77" i="2"/>
  <c r="S79" i="2"/>
  <c r="R87" i="2"/>
  <c r="P62" i="2"/>
  <c r="Q82" i="2"/>
  <c r="S97" i="2"/>
  <c r="E108" i="2"/>
  <c r="T106" i="2"/>
  <c r="F54" i="2"/>
  <c r="M43" i="2"/>
  <c r="M84" i="2"/>
  <c r="O64" i="2"/>
  <c r="T71" i="2"/>
  <c r="G54" i="2"/>
  <c r="M51" i="2"/>
  <c r="T86" i="2"/>
  <c r="G74" i="2"/>
  <c r="S90" i="2"/>
  <c r="R104" i="2"/>
  <c r="T105" i="2"/>
  <c r="G76" i="2"/>
  <c r="G62" i="2"/>
  <c r="G51" i="2"/>
  <c r="C108" i="2"/>
  <c r="F97" i="2"/>
  <c r="X45" i="2"/>
  <c r="AP70" i="3"/>
  <c r="AB72" i="3"/>
  <c r="AP57" i="3"/>
  <c r="AB87" i="3"/>
  <c r="AP89" i="3"/>
  <c r="AB74" i="3"/>
  <c r="AI6" i="3"/>
  <c r="AI12" i="3"/>
  <c r="R18" i="3"/>
  <c r="AQ39" i="3"/>
  <c r="R25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R53" i="2"/>
  <c r="L88" i="2"/>
  <c r="I91" i="2"/>
  <c r="G97" i="2"/>
  <c r="E43" i="2"/>
  <c r="P72" i="2"/>
  <c r="P81" i="2"/>
  <c r="S105" i="2"/>
  <c r="T79" i="2"/>
  <c r="S48" i="2"/>
  <c r="J68" i="2"/>
  <c r="K48" i="2"/>
  <c r="V56" i="2"/>
  <c r="K68" i="2"/>
  <c r="D95" i="2"/>
  <c r="I45" i="2"/>
  <c r="G56" i="2"/>
  <c r="K57" i="2"/>
  <c r="V46" i="2"/>
  <c r="H58" i="2"/>
  <c r="J51" i="2"/>
  <c r="X104" i="2"/>
  <c r="W104" i="2"/>
  <c r="T58" i="2"/>
  <c r="E48" i="2"/>
  <c r="X112" i="2"/>
  <c r="J67" i="2"/>
  <c r="W112" i="2"/>
  <c r="U40" i="2"/>
  <c r="F93" i="2"/>
  <c r="AP56" i="3"/>
  <c r="AB47" i="3"/>
  <c r="AP79" i="3"/>
  <c r="AB54" i="3"/>
  <c r="AB69" i="3"/>
  <c r="H20" i="3"/>
  <c r="AG39" i="3"/>
  <c r="Z19" i="3"/>
  <c r="N26" i="3"/>
  <c r="AP10" i="3"/>
  <c r="S31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V49" i="2"/>
  <c r="Q63" i="2"/>
  <c r="M92" i="2"/>
  <c r="Q91" i="2"/>
  <c r="S53" i="2"/>
  <c r="O106" i="2"/>
  <c r="T94" i="2"/>
  <c r="L94" i="2"/>
  <c r="W54" i="2"/>
  <c r="D96" i="2"/>
  <c r="R93" i="2"/>
  <c r="O51" i="2"/>
  <c r="J113" i="2"/>
  <c r="U112" i="2"/>
  <c r="W78" i="2"/>
  <c r="L99" i="2"/>
  <c r="D58" i="2"/>
  <c r="F58" i="2"/>
  <c r="J49" i="2"/>
  <c r="V108" i="2"/>
  <c r="O67" i="2"/>
  <c r="D75" i="2"/>
  <c r="I88" i="2"/>
  <c r="T57" i="2"/>
  <c r="U85" i="2"/>
  <c r="W52" i="2"/>
  <c r="X81" i="2"/>
  <c r="M108" i="2"/>
  <c r="D42" i="2"/>
  <c r="U113" i="2"/>
  <c r="AB58" i="3"/>
  <c r="AP88" i="3"/>
  <c r="AP63" i="3"/>
  <c r="AP95" i="3"/>
  <c r="AB64" i="3"/>
  <c r="T23" i="3"/>
  <c r="AN8" i="3"/>
  <c r="L32" i="3"/>
  <c r="AM16" i="3"/>
  <c r="Q34" i="3"/>
  <c r="AD50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P41" i="3"/>
  <c r="I16" i="3"/>
  <c r="AE25" i="3"/>
  <c r="AM11" i="3"/>
  <c r="AH15" i="3"/>
  <c r="H113" i="2"/>
  <c r="P109" i="2"/>
  <c r="P79" i="2"/>
  <c r="C84" i="2"/>
  <c r="S73" i="2"/>
  <c r="D81" i="2"/>
  <c r="D97" i="2"/>
  <c r="T46" i="2"/>
  <c r="C99" i="2"/>
  <c r="G93" i="2"/>
  <c r="S45" i="2"/>
  <c r="T87" i="2"/>
  <c r="E105" i="2"/>
  <c r="E91" i="2"/>
  <c r="M79" i="2"/>
  <c r="V81" i="2"/>
  <c r="H47" i="2"/>
  <c r="E80" i="2"/>
  <c r="C40" i="2"/>
  <c r="V77" i="2"/>
  <c r="O91" i="2"/>
  <c r="J88" i="2"/>
  <c r="S42" i="2"/>
  <c r="L61" i="2"/>
  <c r="L46" i="2"/>
  <c r="K106" i="2"/>
  <c r="Q47" i="2"/>
  <c r="I73" i="2"/>
  <c r="M42" i="2"/>
  <c r="N47" i="2"/>
  <c r="AB73" i="3"/>
  <c r="AP83" i="3"/>
  <c r="AB71" i="3"/>
  <c r="AP54" i="3"/>
  <c r="AB91" i="3"/>
  <c r="C28" i="3"/>
  <c r="H17" i="3"/>
  <c r="O39" i="3"/>
  <c r="G36" i="3"/>
  <c r="AH31" i="3"/>
  <c r="AN22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H110" i="2"/>
  <c r="J93" i="2"/>
  <c r="K108" i="2"/>
  <c r="L48" i="2"/>
  <c r="W88" i="2"/>
  <c r="F106" i="2"/>
  <c r="F49" i="2"/>
  <c r="O90" i="2"/>
  <c r="D86" i="2"/>
  <c r="S88" i="2"/>
  <c r="N108" i="2"/>
  <c r="E83" i="2"/>
  <c r="J111" i="2"/>
  <c r="X105" i="2"/>
  <c r="F79" i="2"/>
  <c r="W82" i="2"/>
  <c r="F56" i="2"/>
  <c r="R73" i="2"/>
  <c r="H80" i="2"/>
  <c r="K46" i="2"/>
  <c r="D56" i="2"/>
  <c r="G42" i="2"/>
  <c r="J60" i="2"/>
  <c r="R59" i="2"/>
  <c r="Q73" i="2"/>
  <c r="H109" i="2"/>
  <c r="E78" i="2"/>
  <c r="S64" i="2"/>
  <c r="X84" i="2"/>
  <c r="E42" i="2"/>
  <c r="AB57" i="3"/>
  <c r="AB90" i="3"/>
  <c r="AP91" i="3"/>
  <c r="AP80" i="3"/>
  <c r="AB66" i="3"/>
  <c r="H34" i="3"/>
  <c r="T8" i="3"/>
  <c r="AN33" i="3"/>
  <c r="AJ31" i="3"/>
  <c r="X30" i="3"/>
  <c r="O29" i="3"/>
  <c r="U30" i="3"/>
  <c r="AN31" i="3"/>
  <c r="H5" i="3"/>
  <c r="AJ25" i="3"/>
  <c r="Q27" i="3"/>
  <c r="E47" i="3"/>
  <c r="N40" i="3"/>
  <c r="AM25" i="3"/>
  <c r="Q33" i="3"/>
  <c r="O107" i="2"/>
  <c r="N65" i="2"/>
  <c r="S60" i="2"/>
  <c r="T53" i="2"/>
  <c r="U71" i="2"/>
  <c r="S46" i="2"/>
  <c r="M44" i="2"/>
  <c r="W49" i="2"/>
  <c r="F86" i="2"/>
  <c r="L53" i="2"/>
  <c r="N74" i="2"/>
  <c r="C105" i="2"/>
  <c r="G59" i="2"/>
  <c r="N86" i="2"/>
  <c r="W53" i="2"/>
  <c r="X61" i="2"/>
  <c r="O104" i="2"/>
  <c r="X43" i="2"/>
  <c r="K78" i="2"/>
  <c r="I51" i="2"/>
  <c r="O88" i="2"/>
  <c r="K41" i="2"/>
  <c r="T49" i="2"/>
  <c r="G78" i="2"/>
  <c r="I58" i="2"/>
  <c r="N98" i="2"/>
  <c r="C95" i="2"/>
  <c r="T110" i="2"/>
  <c r="L40" i="2"/>
  <c r="C87" i="2"/>
  <c r="AB59" i="3"/>
  <c r="AB92" i="3"/>
  <c r="AP58" i="3"/>
  <c r="AB56" i="3"/>
  <c r="AP49" i="3"/>
  <c r="AM33" i="3"/>
  <c r="AL33" i="3"/>
  <c r="AH23" i="3"/>
  <c r="AK31" i="3"/>
  <c r="M10" i="3"/>
  <c r="S16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J71" i="2"/>
  <c r="C46" i="2"/>
  <c r="M46" i="2"/>
  <c r="S43" i="2"/>
  <c r="F42" i="2"/>
  <c r="L41" i="2"/>
  <c r="C47" i="2"/>
  <c r="W42" i="2"/>
  <c r="W111" i="2"/>
  <c r="L57" i="2"/>
  <c r="J74" i="2"/>
  <c r="U60" i="2"/>
  <c r="L104" i="2"/>
  <c r="S41" i="2"/>
  <c r="F64" i="2"/>
  <c r="X48" i="2"/>
  <c r="H42" i="2"/>
  <c r="S110" i="2"/>
  <c r="P60" i="2"/>
  <c r="W86" i="2"/>
  <c r="S65" i="2"/>
  <c r="D68" i="2"/>
  <c r="E112" i="2"/>
  <c r="M67" i="2"/>
  <c r="O66" i="2"/>
  <c r="O50" i="2"/>
  <c r="W96" i="2"/>
  <c r="U64" i="2"/>
  <c r="M59" i="2"/>
  <c r="C63" i="2"/>
  <c r="C48" i="3"/>
  <c r="AP55" i="3"/>
  <c r="AB63" i="3"/>
  <c r="AP76" i="3"/>
  <c r="AP64" i="3"/>
  <c r="R29" i="3"/>
  <c r="J36" i="3"/>
  <c r="H41" i="3"/>
  <c r="M17" i="3"/>
  <c r="W28" i="3"/>
  <c r="AE1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T34" i="3"/>
  <c r="V29" i="3"/>
  <c r="AH35" i="3"/>
  <c r="AM30" i="3"/>
  <c r="N42" i="3"/>
  <c r="V32" i="3"/>
  <c r="G38" i="3"/>
  <c r="AB7" i="3"/>
  <c r="X33" i="3"/>
  <c r="AD27" i="3"/>
  <c r="Q37" i="3"/>
  <c r="N31" i="3"/>
  <c r="AC30" i="3"/>
  <c r="T39" i="3"/>
  <c r="V35" i="3"/>
  <c r="AI29" i="3"/>
  <c r="O12" i="3"/>
  <c r="L34" i="3"/>
  <c r="S25" i="3"/>
  <c r="X11" i="3"/>
  <c r="W30" i="3"/>
  <c r="S20" i="3"/>
  <c r="M14" i="3"/>
  <c r="AB31" i="3"/>
  <c r="J35" i="3"/>
  <c r="W14" i="3"/>
  <c r="AA26" i="3"/>
  <c r="X23" i="3"/>
  <c r="AL11" i="3"/>
  <c r="AQ20" i="3"/>
  <c r="AI33" i="3"/>
  <c r="K5" i="3"/>
  <c r="H22" i="3"/>
  <c r="V23" i="3"/>
  <c r="AH6" i="3"/>
  <c r="W41" i="3"/>
  <c r="U27" i="3"/>
  <c r="K17" i="3"/>
  <c r="AI7" i="3"/>
  <c r="AJ40" i="3"/>
  <c r="AD29" i="3"/>
  <c r="X6" i="3"/>
  <c r="Y34" i="3"/>
  <c r="N35" i="3"/>
  <c r="AI23" i="3"/>
  <c r="U6" i="3"/>
  <c r="N28" i="3"/>
  <c r="AI20" i="3"/>
  <c r="AL36" i="3"/>
  <c r="AM17" i="3"/>
  <c r="Y26" i="3"/>
  <c r="AA20" i="3"/>
  <c r="AM28" i="3"/>
  <c r="Y10" i="3"/>
  <c r="AG41" i="3"/>
  <c r="AC35" i="3"/>
  <c r="T42" i="3"/>
  <c r="AQ10" i="3"/>
  <c r="V42" i="3"/>
  <c r="AH9" i="3"/>
  <c r="AH30" i="3"/>
  <c r="AM38" i="3"/>
  <c r="AA28" i="3"/>
  <c r="AE40" i="3"/>
  <c r="AG40" i="3"/>
  <c r="AN13" i="3"/>
  <c r="AK18" i="3"/>
  <c r="AO36" i="3"/>
  <c r="J26" i="3"/>
  <c r="AQ7" i="3"/>
  <c r="K26" i="3"/>
  <c r="W8" i="3"/>
  <c r="M18" i="3"/>
  <c r="T31" i="3"/>
  <c r="AA35" i="3"/>
  <c r="C11" i="3"/>
  <c r="C13" i="3"/>
  <c r="H8" i="3"/>
  <c r="K9" i="3"/>
  <c r="T5" i="3"/>
  <c r="AQ11" i="3"/>
  <c r="AJ6" i="3"/>
  <c r="K33" i="3"/>
  <c r="AG13" i="3"/>
  <c r="AJ9" i="3"/>
  <c r="V19" i="3"/>
  <c r="AE11" i="3"/>
  <c r="T40" i="3"/>
  <c r="AC34" i="3"/>
  <c r="AA38" i="3"/>
  <c r="AK17" i="3"/>
  <c r="N21" i="3"/>
  <c r="K21" i="3"/>
  <c r="Y37" i="3"/>
  <c r="R10" i="3"/>
  <c r="H15" i="3"/>
  <c r="AO28" i="3"/>
  <c r="AM7" i="3"/>
  <c r="W23" i="3"/>
  <c r="R34" i="3"/>
  <c r="Q13" i="3"/>
  <c r="J33" i="3"/>
  <c r="H26" i="3"/>
  <c r="AN39" i="3"/>
  <c r="AJ42" i="3"/>
  <c r="K34" i="3"/>
  <c r="AB40" i="3"/>
  <c r="N33" i="3"/>
  <c r="Q8" i="3"/>
  <c r="T15" i="3"/>
  <c r="AM27" i="3"/>
  <c r="W39" i="3"/>
  <c r="X18" i="3"/>
  <c r="L24" i="3"/>
  <c r="AE22" i="3"/>
  <c r="AP38" i="3"/>
  <c r="U17" i="3"/>
  <c r="L41" i="3"/>
  <c r="C35" i="3"/>
  <c r="AP32" i="3"/>
  <c r="Q10" i="3"/>
  <c r="AO13" i="3"/>
  <c r="T29" i="3"/>
  <c r="AK23" i="3"/>
  <c r="R16" i="3"/>
  <c r="AD49" i="3"/>
  <c r="AO26" i="3"/>
  <c r="S13" i="3"/>
  <c r="AB16" i="3"/>
  <c r="V20" i="3"/>
  <c r="AB17" i="3"/>
  <c r="H12" i="3"/>
  <c r="AG29" i="3"/>
  <c r="T13" i="3"/>
  <c r="V15" i="3"/>
  <c r="Q28" i="3"/>
  <c r="N11" i="3"/>
  <c r="M36" i="3"/>
  <c r="AQ32" i="3"/>
  <c r="AO31" i="3"/>
  <c r="W27" i="3"/>
  <c r="C39" i="3"/>
  <c r="AA14" i="3"/>
  <c r="U39" i="3"/>
  <c r="I20" i="3"/>
  <c r="AL18" i="3"/>
  <c r="AK6" i="3"/>
  <c r="Y5" i="3"/>
  <c r="K31" i="3"/>
  <c r="AP29" i="3"/>
  <c r="Y15" i="3"/>
  <c r="AL14" i="3"/>
  <c r="T38" i="3"/>
  <c r="U32" i="3"/>
  <c r="AD22" i="3"/>
  <c r="AQ34" i="3"/>
  <c r="R19" i="3"/>
  <c r="G34" i="3"/>
  <c r="I17" i="3"/>
  <c r="U8" i="3"/>
  <c r="Q32" i="3"/>
  <c r="AL19" i="3"/>
  <c r="P36" i="3"/>
  <c r="K8" i="3"/>
  <c r="AI14" i="3"/>
  <c r="AB15" i="3"/>
  <c r="J31" i="3"/>
  <c r="AK28" i="3"/>
  <c r="S37" i="3"/>
  <c r="AA27" i="3"/>
  <c r="AN30" i="3"/>
  <c r="AO37" i="3"/>
  <c r="AO22" i="3"/>
  <c r="AA37" i="3"/>
  <c r="Z33" i="3"/>
  <c r="AP21" i="3"/>
  <c r="W25" i="3"/>
  <c r="H29" i="3"/>
  <c r="AD23" i="3"/>
  <c r="V37" i="3"/>
  <c r="AA39" i="3"/>
  <c r="G47" i="3"/>
  <c r="N27" i="3"/>
  <c r="Y21" i="3"/>
  <c r="V10" i="3"/>
  <c r="AH20" i="3"/>
  <c r="U5" i="3"/>
  <c r="AE26" i="3"/>
  <c r="AJ7" i="3"/>
  <c r="AA17" i="3"/>
  <c r="J8" i="3"/>
  <c r="R42" i="3"/>
  <c r="H7" i="3"/>
  <c r="P23" i="3"/>
  <c r="AD33" i="3"/>
  <c r="T19" i="3"/>
  <c r="C14" i="3"/>
  <c r="N6" i="3"/>
  <c r="C29" i="3"/>
  <c r="AA29" i="3"/>
  <c r="Z5" i="3"/>
  <c r="AK38" i="3"/>
  <c r="S22" i="3"/>
  <c r="H31" i="3"/>
  <c r="O31" i="3"/>
  <c r="V17" i="3"/>
  <c r="AC40" i="3"/>
  <c r="AM6" i="3"/>
  <c r="K28" i="3"/>
  <c r="X41" i="3"/>
  <c r="AN41" i="3"/>
  <c r="AB9" i="3"/>
  <c r="O33" i="3"/>
  <c r="K41" i="3"/>
  <c r="AK16" i="3"/>
  <c r="AO8" i="3"/>
  <c r="N41" i="3"/>
  <c r="K16" i="3"/>
  <c r="AL5" i="3"/>
  <c r="C18" i="3"/>
  <c r="AK15" i="3"/>
  <c r="AN40" i="3"/>
  <c r="P26" i="3"/>
  <c r="M16" i="3"/>
  <c r="J10" i="3"/>
  <c r="M40" i="3"/>
  <c r="AE15" i="3"/>
  <c r="L5" i="3"/>
  <c r="AL10" i="3"/>
  <c r="Z31" i="3"/>
  <c r="N29" i="3"/>
  <c r="AE28" i="3"/>
  <c r="G49" i="3"/>
  <c r="AJ18" i="3"/>
  <c r="AH26" i="3"/>
  <c r="C31" i="3"/>
  <c r="W17" i="3"/>
  <c r="R31" i="3"/>
  <c r="X8" i="3"/>
  <c r="AD42" i="3"/>
  <c r="Z39" i="3"/>
  <c r="N12" i="3"/>
  <c r="AC10" i="3"/>
  <c r="M24" i="3"/>
  <c r="I31" i="3"/>
  <c r="AN36" i="3"/>
  <c r="AI17" i="3"/>
  <c r="AJ27" i="3"/>
  <c r="T36" i="3"/>
  <c r="R12" i="3"/>
  <c r="AC41" i="3"/>
  <c r="H39" i="3"/>
  <c r="Y41" i="3"/>
  <c r="I5" i="3"/>
  <c r="U20" i="3"/>
  <c r="L10" i="3"/>
  <c r="N22" i="3"/>
  <c r="J19" i="3"/>
  <c r="J25" i="3"/>
  <c r="AC19" i="3"/>
  <c r="U33" i="3"/>
  <c r="AI42" i="3"/>
  <c r="S19" i="3"/>
  <c r="O10" i="3"/>
  <c r="I33" i="3"/>
  <c r="AN10" i="3"/>
  <c r="N7" i="3"/>
  <c r="Q24" i="3"/>
  <c r="C4" i="3"/>
  <c r="Y27" i="3"/>
  <c r="K20" i="3"/>
  <c r="AE12" i="3"/>
  <c r="Q7" i="3"/>
  <c r="AC37" i="3"/>
  <c r="Z24" i="3"/>
  <c r="AA5" i="3"/>
  <c r="Y7" i="3"/>
  <c r="AC31" i="3"/>
  <c r="M27" i="3"/>
  <c r="X40" i="3"/>
  <c r="AA7" i="3"/>
  <c r="N38" i="3"/>
  <c r="M28" i="3"/>
  <c r="AK32" i="3"/>
  <c r="AL32" i="3"/>
  <c r="V5" i="3"/>
  <c r="Q20" i="3"/>
  <c r="AC38" i="3"/>
  <c r="AD34" i="3"/>
  <c r="R11" i="3"/>
  <c r="C36" i="3"/>
  <c r="AA15" i="3"/>
  <c r="AL9" i="3"/>
  <c r="L16" i="3"/>
  <c r="Y24" i="3"/>
  <c r="AE20" i="3"/>
  <c r="AJ12" i="3"/>
  <c r="AM23" i="3"/>
  <c r="AK35" i="3"/>
  <c r="J6" i="3"/>
  <c r="U18" i="3"/>
  <c r="AQ25" i="3"/>
  <c r="O14" i="3"/>
  <c r="AP24" i="3"/>
  <c r="AQ35" i="3"/>
  <c r="AJ10" i="3"/>
  <c r="V28" i="3"/>
  <c r="AE16" i="3"/>
  <c r="Z16" i="3"/>
  <c r="U35" i="3"/>
  <c r="J24" i="3"/>
  <c r="R7" i="3"/>
  <c r="V39" i="3"/>
  <c r="O8" i="3"/>
  <c r="AC33" i="3"/>
  <c r="AQ37" i="3"/>
  <c r="AE41" i="3"/>
  <c r="AA33" i="3"/>
  <c r="S39" i="3"/>
  <c r="AI22" i="3"/>
  <c r="AJ26" i="3"/>
  <c r="AC12" i="3"/>
  <c r="V26" i="3"/>
  <c r="J30" i="3"/>
  <c r="U7" i="3"/>
  <c r="Y42" i="3"/>
  <c r="AB8" i="3"/>
  <c r="D48" i="3"/>
  <c r="AG14" i="3"/>
  <c r="AJ37" i="3"/>
  <c r="AM36" i="3"/>
  <c r="U42" i="3"/>
  <c r="K32" i="3"/>
  <c r="AH18" i="3"/>
  <c r="O13" i="3"/>
  <c r="J22" i="3"/>
  <c r="S28" i="3"/>
  <c r="X19" i="3"/>
  <c r="Q17" i="3"/>
  <c r="AQ28" i="3"/>
  <c r="AI26" i="3"/>
  <c r="AC24" i="3"/>
  <c r="AQ17" i="3"/>
  <c r="AH8" i="3"/>
  <c r="AJ29" i="3"/>
  <c r="AO27" i="3"/>
  <c r="N18" i="3"/>
  <c r="X42" i="3"/>
  <c r="AM18" i="3"/>
  <c r="X20" i="3"/>
  <c r="AG11" i="3"/>
  <c r="O30" i="3"/>
  <c r="S29" i="3"/>
  <c r="M19" i="3"/>
  <c r="L21" i="3"/>
  <c r="P20" i="3"/>
  <c r="AP15" i="3"/>
  <c r="D50" i="3"/>
  <c r="AO38" i="3"/>
  <c r="C6" i="3"/>
  <c r="L9" i="3"/>
  <c r="W42" i="3"/>
  <c r="R27" i="3"/>
  <c r="U29" i="3"/>
  <c r="AQ31" i="3"/>
  <c r="P28" i="3"/>
  <c r="W20" i="3"/>
  <c r="C10" i="3"/>
  <c r="AG16" i="3"/>
  <c r="AP27" i="3"/>
  <c r="N37" i="3"/>
  <c r="AP35" i="3"/>
  <c r="AO19" i="3"/>
  <c r="AE13" i="3"/>
  <c r="AL35" i="3"/>
  <c r="S10" i="3"/>
  <c r="P12" i="3"/>
  <c r="AN15" i="3"/>
  <c r="M21" i="3"/>
  <c r="AG25" i="3"/>
  <c r="Q18" i="3"/>
  <c r="T6" i="3"/>
  <c r="AO5" i="3"/>
  <c r="U16" i="3"/>
  <c r="H33" i="3"/>
  <c r="U40" i="3"/>
  <c r="AD41" i="3"/>
  <c r="L35" i="3"/>
  <c r="AO40" i="3"/>
  <c r="U13" i="3"/>
  <c r="N17" i="3"/>
  <c r="K37" i="3"/>
  <c r="AA24" i="3"/>
  <c r="C26" i="3"/>
  <c r="C16" i="3"/>
  <c r="AE27" i="3"/>
  <c r="J11" i="3"/>
  <c r="AJ20" i="3"/>
  <c r="AQ16" i="3"/>
  <c r="Q3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J65" i="3"/>
  <c r="AH78" i="3"/>
  <c r="U50" i="3"/>
  <c r="Y50" i="3"/>
  <c r="P65" i="3"/>
  <c r="P77" i="3"/>
  <c r="AN97" i="3"/>
  <c r="AK73" i="3"/>
  <c r="AC89" i="3"/>
  <c r="X75" i="3"/>
  <c r="V75" i="3"/>
  <c r="Q49" i="3"/>
  <c r="M81" i="3"/>
  <c r="AC64" i="3"/>
  <c r="AE76" i="3"/>
  <c r="K65" i="3"/>
  <c r="AC66" i="3"/>
  <c r="AQ93" i="3"/>
  <c r="AH79" i="3"/>
  <c r="AJ81" i="3"/>
  <c r="Z96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R97" i="3"/>
  <c r="R79" i="3"/>
  <c r="AG83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N54" i="3"/>
  <c r="L79" i="3"/>
  <c r="L58" i="3"/>
  <c r="AA63" i="3"/>
  <c r="Q89" i="3"/>
  <c r="M88" i="3"/>
  <c r="X76" i="3"/>
  <c r="R49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89" i="3"/>
  <c r="AM56" i="3"/>
  <c r="AE83" i="3"/>
  <c r="J97" i="3"/>
  <c r="V67" i="3"/>
  <c r="K94" i="3"/>
  <c r="J59" i="3"/>
  <c r="AH94" i="3"/>
  <c r="N70" i="3"/>
  <c r="R83" i="3"/>
  <c r="AM64" i="3"/>
  <c r="H93" i="3"/>
  <c r="J75" i="3"/>
  <c r="O70" i="3"/>
  <c r="AA86" i="3"/>
  <c r="AQ66" i="3"/>
  <c r="AL7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V69" i="3"/>
  <c r="X97" i="3"/>
  <c r="Q93" i="3"/>
  <c r="AC79" i="3"/>
  <c r="O92" i="3"/>
  <c r="U95" i="3"/>
  <c r="AG71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R50" i="3"/>
  <c r="S84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H48" i="3"/>
  <c r="AO54" i="3"/>
  <c r="Z74" i="3"/>
  <c r="I79" i="3"/>
  <c r="N47" i="3"/>
  <c r="AM61" i="3"/>
  <c r="AG81" i="3"/>
  <c r="AJ96" i="3"/>
  <c r="AO96" i="3"/>
  <c r="S54" i="3"/>
  <c r="U97" i="3"/>
  <c r="I47" i="3"/>
  <c r="AH68" i="3"/>
  <c r="AN74" i="3"/>
  <c r="AL56" i="3"/>
  <c r="Z84" i="3"/>
  <c r="AQ47" i="3"/>
  <c r="AN92" i="3"/>
  <c r="M80" i="3"/>
  <c r="N95" i="3"/>
  <c r="AG92" i="3"/>
  <c r="AO77" i="3"/>
  <c r="AQ67" i="3"/>
  <c r="X79" i="3"/>
  <c r="R89" i="3"/>
  <c r="AA57" i="3"/>
  <c r="AI93" i="3"/>
  <c r="AK57" i="3"/>
  <c r="M50" i="3"/>
  <c r="P57" i="3"/>
  <c r="AN85" i="3"/>
  <c r="AN65" i="3"/>
  <c r="X73" i="3"/>
  <c r="V65" i="3"/>
  <c r="AK71" i="3"/>
  <c r="AA54" i="3"/>
  <c r="AL65" i="3"/>
  <c r="AL67" i="3"/>
  <c r="AQ76" i="3"/>
  <c r="N65" i="3"/>
  <c r="K67" i="3"/>
  <c r="Q91" i="3"/>
  <c r="AK55" i="3"/>
  <c r="AI72" i="3"/>
  <c r="AE48" i="3"/>
  <c r="M68" i="3"/>
  <c r="M89" i="3"/>
  <c r="AL82" i="3"/>
  <c r="AG48" i="3"/>
  <c r="Y55" i="3"/>
  <c r="AN81" i="3"/>
  <c r="AK90" i="3"/>
  <c r="M55" i="3"/>
  <c r="AG78" i="3"/>
  <c r="R87" i="3"/>
  <c r="AG50" i="3"/>
  <c r="Y72" i="3"/>
  <c r="AE94" i="3"/>
  <c r="W91" i="3"/>
  <c r="AO56" i="3"/>
  <c r="AL88" i="3"/>
  <c r="AJ71" i="3"/>
  <c r="AH95" i="3"/>
  <c r="AJ49" i="3"/>
  <c r="AL75" i="3"/>
  <c r="AK88" i="3"/>
  <c r="I83" i="3"/>
  <c r="W63" i="3"/>
  <c r="Z57" i="3"/>
  <c r="AQ95" i="3"/>
  <c r="M64" i="3"/>
  <c r="I86" i="3"/>
  <c r="I50" i="3"/>
  <c r="AI65" i="3"/>
  <c r="N69" i="3"/>
  <c r="L67" i="3"/>
  <c r="H64" i="3"/>
  <c r="AE64" i="3"/>
  <c r="AL54" i="3"/>
  <c r="L77" i="3"/>
  <c r="H62" i="3"/>
  <c r="AE82" i="3"/>
  <c r="U56" i="3"/>
  <c r="Q96" i="3"/>
  <c r="X92" i="3"/>
  <c r="U63" i="3"/>
  <c r="Y75" i="3"/>
  <c r="P68" i="3"/>
  <c r="AM93" i="3"/>
  <c r="AJ91" i="3"/>
  <c r="P75" i="3"/>
  <c r="M65" i="3"/>
  <c r="M71" i="3"/>
  <c r="AN79" i="3"/>
  <c r="AO65" i="3"/>
  <c r="AA50" i="3"/>
  <c r="W66" i="3"/>
  <c r="S78" i="3"/>
  <c r="AG87" i="3"/>
  <c r="Z78" i="3"/>
  <c r="S57" i="3"/>
  <c r="Y49" i="3"/>
  <c r="I88" i="3"/>
  <c r="AC59" i="3"/>
  <c r="K50" i="3"/>
  <c r="T97" i="3"/>
  <c r="R58" i="3"/>
  <c r="M58" i="3"/>
  <c r="AA71" i="3"/>
  <c r="AK66" i="3"/>
  <c r="AG63" i="3"/>
  <c r="R92" i="3"/>
  <c r="AC61" i="3"/>
  <c r="R73" i="3"/>
  <c r="O65" i="3"/>
  <c r="AM85" i="3"/>
  <c r="O49" i="3"/>
  <c r="L89" i="3"/>
  <c r="P90" i="3"/>
  <c r="N81" i="3"/>
  <c r="AL81" i="3"/>
  <c r="R60" i="3"/>
  <c r="AK64" i="3"/>
  <c r="AJ77" i="3"/>
  <c r="W90" i="3"/>
  <c r="S90" i="3"/>
  <c r="AQ49" i="3"/>
  <c r="AN50" i="3"/>
  <c r="U59" i="3"/>
  <c r="Z66" i="3"/>
  <c r="Q92" i="3"/>
  <c r="AM73" i="3"/>
  <c r="Y66" i="3"/>
  <c r="T87" i="3"/>
  <c r="Z50" i="3"/>
  <c r="AO57" i="3"/>
  <c r="V94" i="3"/>
  <c r="AC49" i="3"/>
  <c r="Q66" i="3"/>
  <c r="Y90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L85" i="3"/>
  <c r="AA77" i="3"/>
  <c r="AI62" i="3"/>
  <c r="AK84" i="3"/>
  <c r="H83" i="3"/>
  <c r="L71" i="3"/>
  <c r="AN93" i="3"/>
  <c r="T81" i="3"/>
  <c r="AA62" i="3"/>
  <c r="AH75" i="3"/>
  <c r="K71" i="3"/>
  <c r="T82" i="3"/>
  <c r="H57" i="3"/>
  <c r="AN55" i="3"/>
  <c r="AE71" i="3"/>
  <c r="N63" i="3"/>
  <c r="U55" i="3"/>
  <c r="AH47" i="3"/>
  <c r="AJ68" i="3"/>
  <c r="R85" i="3"/>
  <c r="AJ62" i="3"/>
  <c r="K76" i="3"/>
  <c r="X64" i="3"/>
  <c r="AN56" i="3"/>
  <c r="N55" i="3"/>
  <c r="Z71" i="3"/>
  <c r="H56" i="3"/>
  <c r="R81" i="3"/>
  <c r="AH93" i="3"/>
  <c r="T77" i="3"/>
  <c r="X66" i="3"/>
  <c r="AM54" i="3"/>
  <c r="S50" i="3"/>
  <c r="R65" i="3"/>
  <c r="V58" i="3"/>
  <c r="AA84" i="3"/>
  <c r="Z91" i="3"/>
  <c r="AO85" i="3"/>
  <c r="Q95" i="3"/>
  <c r="Y77" i="3"/>
  <c r="W94" i="3"/>
  <c r="Q64" i="3"/>
  <c r="Z6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H59" i="3"/>
  <c r="L87" i="3"/>
  <c r="O89" i="3"/>
  <c r="AK47" i="3"/>
  <c r="AQ89" i="3"/>
  <c r="I61" i="3"/>
  <c r="Q83" i="3"/>
  <c r="AJ90" i="3"/>
  <c r="K95" i="3"/>
  <c r="AA67" i="3"/>
  <c r="J63" i="3"/>
  <c r="AC62" i="3"/>
  <c r="R57" i="3"/>
  <c r="AQ68" i="3"/>
  <c r="U70" i="3"/>
  <c r="AJ92" i="3"/>
  <c r="AE60" i="3"/>
  <c r="U89" i="3"/>
  <c r="K57" i="3"/>
  <c r="W95" i="3"/>
  <c r="AH97" i="3"/>
  <c r="X70" i="3"/>
  <c r="L47" i="3"/>
  <c r="AA79" i="3"/>
  <c r="S49" i="3"/>
  <c r="Z89" i="3"/>
  <c r="W80" i="3"/>
  <c r="Q61" i="3"/>
  <c r="AN77" i="3"/>
  <c r="H65" i="3"/>
  <c r="AA56" i="3"/>
  <c r="X68" i="3"/>
  <c r="H50" i="3"/>
  <c r="AC67" i="3"/>
  <c r="Z56" i="3"/>
  <c r="Y93" i="3"/>
  <c r="N66" i="3"/>
  <c r="U92" i="3"/>
  <c r="Y92" i="3"/>
  <c r="AL90" i="3"/>
  <c r="V84" i="3"/>
  <c r="T76" i="3"/>
  <c r="AQ75" i="3"/>
  <c r="K49" i="3"/>
  <c r="R66" i="3"/>
  <c r="I65" i="3"/>
  <c r="T89" i="3"/>
  <c r="AQ81" i="3"/>
  <c r="AO89" i="3"/>
  <c r="AI83" i="3"/>
  <c r="AA48" i="3"/>
  <c r="AH90" i="3"/>
  <c r="R71" i="3"/>
  <c r="AQ55" i="3"/>
  <c r="AN80" i="3"/>
  <c r="P48" i="3"/>
  <c r="M84" i="3"/>
  <c r="U90" i="3"/>
  <c r="M54" i="3"/>
  <c r="P80" i="3"/>
  <c r="O55" i="3"/>
  <c r="AG55" i="3"/>
  <c r="V88" i="3"/>
  <c r="I75" i="3"/>
  <c r="N68" i="3"/>
  <c r="AQ80" i="3"/>
  <c r="AM69" i="3"/>
  <c r="AN54" i="3"/>
  <c r="U76" i="3"/>
  <c r="AC63" i="3"/>
  <c r="W97" i="3"/>
  <c r="AJ89" i="3"/>
  <c r="AI50" i="3"/>
  <c r="O94" i="3"/>
  <c r="K47" i="3"/>
  <c r="AC81" i="3"/>
  <c r="AK86" i="3"/>
  <c r="X88" i="3"/>
  <c r="AK81" i="3"/>
  <c r="Z60" i="3"/>
  <c r="Y89" i="3"/>
  <c r="T92" i="3"/>
  <c r="N90" i="3"/>
  <c r="AN73" i="3"/>
  <c r="L49" i="3"/>
  <c r="AA94" i="3"/>
  <c r="AJ56" i="3"/>
  <c r="AO90" i="3"/>
  <c r="AK79" i="3"/>
  <c r="AH63" i="3"/>
  <c r="V62" i="3"/>
  <c r="R94" i="3"/>
  <c r="I72" i="3"/>
  <c r="V93" i="3"/>
  <c r="AL74" i="3"/>
  <c r="AQ61" i="3"/>
  <c r="V71" i="3"/>
  <c r="AJ55" i="3"/>
  <c r="U83" i="3"/>
  <c r="P67" i="3"/>
  <c r="X50" i="3"/>
  <c r="L76" i="3"/>
  <c r="I74" i="3"/>
  <c r="X61" i="3"/>
  <c r="K78" i="3"/>
  <c r="N82" i="3"/>
  <c r="AI79" i="3"/>
  <c r="AA92" i="3"/>
  <c r="AK94" i="3"/>
  <c r="W84" i="3"/>
  <c r="H86" i="3"/>
  <c r="L97" i="3"/>
  <c r="AO72" i="3"/>
  <c r="AO67" i="3"/>
  <c r="L65" i="3"/>
  <c r="W69" i="3"/>
  <c r="I66" i="3"/>
  <c r="R82" i="3"/>
  <c r="AL57" i="3"/>
  <c r="V77" i="3"/>
  <c r="AI61" i="3"/>
  <c r="L57" i="3"/>
  <c r="AE54" i="3"/>
  <c r="U80" i="3"/>
  <c r="M82" i="3"/>
  <c r="V50" i="3"/>
  <c r="P85" i="3"/>
  <c r="T78" i="3"/>
  <c r="P73" i="3"/>
  <c r="AH59" i="3"/>
  <c r="Q80" i="3"/>
  <c r="AI80" i="3"/>
  <c r="I69" i="3"/>
  <c r="AG54" i="3"/>
  <c r="P70" i="3"/>
  <c r="Y97" i="3"/>
  <c r="AL49" i="3"/>
  <c r="O93" i="3"/>
  <c r="H94" i="3"/>
  <c r="P54" i="3"/>
  <c r="AA74" i="3"/>
  <c r="W64" i="3"/>
  <c r="U82" i="3"/>
  <c r="M74" i="3"/>
  <c r="AQ85" i="3"/>
  <c r="AL64" i="3"/>
  <c r="J76" i="3"/>
  <c r="AL47" i="3"/>
  <c r="AC48" i="3"/>
  <c r="AL69" i="3"/>
  <c r="W47" i="3"/>
  <c r="AJ64" i="3"/>
  <c r="AE97" i="3"/>
  <c r="N61" i="3"/>
  <c r="K59" i="3"/>
  <c r="O59" i="3"/>
  <c r="U77" i="3"/>
  <c r="Y88" i="3"/>
  <c r="AJ79" i="3"/>
  <c r="Z86" i="3"/>
  <c r="AK59" i="3"/>
  <c r="AM62" i="3"/>
  <c r="H74" i="3"/>
  <c r="W62" i="3"/>
  <c r="AH61" i="3"/>
  <c r="J77" i="3"/>
  <c r="AO95" i="3"/>
  <c r="AN84" i="3"/>
  <c r="AQ48" i="3"/>
  <c r="M66" i="3"/>
  <c r="AN66" i="3"/>
  <c r="T94" i="3"/>
  <c r="AA82" i="3"/>
  <c r="AE73" i="3"/>
  <c r="AA70" i="3"/>
  <c r="Z85" i="3"/>
  <c r="Y79" i="3"/>
  <c r="AC87" i="3"/>
  <c r="W61" i="3"/>
  <c r="Z81" i="3"/>
  <c r="AE81" i="3"/>
  <c r="AO93" i="3"/>
  <c r="AQ64" i="3"/>
  <c r="H90" i="3"/>
  <c r="AG80" i="3"/>
  <c r="Y58" i="3"/>
  <c r="J47" i="3"/>
  <c r="AG60" i="3"/>
  <c r="AN72" i="3"/>
  <c r="AA64" i="3"/>
  <c r="V48" i="3"/>
  <c r="N57" i="3"/>
  <c r="P89" i="3"/>
  <c r="J78" i="3"/>
  <c r="W58" i="3"/>
  <c r="I89" i="3"/>
  <c r="AI86" i="3"/>
  <c r="K69" i="3"/>
  <c r="AE86" i="3"/>
  <c r="Z62" i="3"/>
  <c r="X85" i="3"/>
  <c r="T71" i="3"/>
  <c r="U78" i="3"/>
  <c r="AE50" i="3"/>
  <c r="AE66" i="3"/>
  <c r="T57" i="3"/>
  <c r="X84" i="3"/>
  <c r="AN58" i="3"/>
  <c r="L60" i="3"/>
  <c r="I84" i="3"/>
  <c r="AN68" i="3"/>
  <c r="AE92" i="3"/>
  <c r="AQ84" i="3"/>
  <c r="P93" i="3"/>
  <c r="X82" i="3"/>
  <c r="AL50" i="3"/>
  <c r="X60" i="3"/>
  <c r="Y82" i="3"/>
  <c r="T93" i="3"/>
  <c r="AE58" i="3"/>
  <c r="AO79" i="3"/>
  <c r="H71" i="3"/>
  <c r="AE95" i="3"/>
  <c r="AL78" i="3"/>
  <c r="K82" i="3"/>
  <c r="AC70" i="3"/>
  <c r="AQ77" i="3"/>
  <c r="P97" i="3"/>
  <c r="O79" i="3"/>
  <c r="O56" i="3"/>
  <c r="AL84" i="3"/>
  <c r="S86" i="3"/>
  <c r="AO61" i="3"/>
  <c r="M73" i="3"/>
  <c r="AH88" i="3"/>
  <c r="AG79" i="3"/>
  <c r="N75" i="3"/>
  <c r="AM77" i="3"/>
  <c r="AC85" i="3"/>
  <c r="M78" i="3"/>
  <c r="AH60" i="3"/>
  <c r="BW20" i="1" l="1"/>
  <c r="BP9" i="1"/>
  <c r="AP15" i="1"/>
  <c r="AI20" i="1"/>
  <c r="AI47" i="1"/>
  <c r="AT21" i="1"/>
  <c r="AR46" i="1"/>
  <c r="BA20" i="1"/>
  <c r="AZ8" i="1"/>
  <c r="AW25" i="1"/>
  <c r="BM36" i="1"/>
  <c r="AS22" i="1"/>
  <c r="BT24" i="1"/>
  <c r="AV14" i="1"/>
  <c r="AY13" i="1"/>
  <c r="BR46" i="1"/>
  <c r="BV46" i="1"/>
  <c r="BM20" i="1"/>
  <c r="AI13" i="1"/>
  <c r="BC9" i="1"/>
  <c r="AV32" i="1"/>
  <c r="AV195" i="1" s="1"/>
  <c r="BA39" i="1"/>
  <c r="BC52" i="1"/>
  <c r="AI8" i="1"/>
  <c r="AI186" i="1" s="1"/>
  <c r="AJ75" i="1"/>
  <c r="BV24" i="1"/>
  <c r="AV9" i="1"/>
  <c r="AR22" i="1"/>
  <c r="AY39" i="1"/>
  <c r="BM15" i="1"/>
  <c r="BD9" i="1"/>
  <c r="BS25" i="1"/>
  <c r="BD52" i="1"/>
  <c r="AT25" i="1"/>
  <c r="BP39" i="1"/>
  <c r="BW21" i="1"/>
  <c r="BO47" i="1"/>
  <c r="BW32" i="1"/>
  <c r="BW195" i="1" s="1"/>
  <c r="AW21" i="1"/>
  <c r="AY32" i="1"/>
  <c r="AY195" i="1" s="1"/>
  <c r="BN25" i="1"/>
  <c r="BA52" i="1"/>
  <c r="BM23" i="1"/>
  <c r="BE52" i="1"/>
  <c r="BB47" i="1"/>
  <c r="BI14" i="1"/>
  <c r="BP47" i="1"/>
  <c r="BA46" i="1"/>
  <c r="BF20" i="1"/>
  <c r="BK20" i="1"/>
  <c r="BB32" i="1"/>
  <c r="BP13" i="1"/>
  <c r="BW46" i="1"/>
  <c r="AU23" i="1"/>
  <c r="BW36" i="1"/>
  <c r="BA25" i="1"/>
  <c r="AP8" i="1"/>
  <c r="AP232" i="1" s="1"/>
  <c r="BQ46" i="1"/>
  <c r="BS35" i="1"/>
  <c r="BP14" i="1"/>
  <c r="BK9" i="1"/>
  <c r="AR20" i="1"/>
  <c r="BG24" i="1"/>
  <c r="AX15" i="1"/>
  <c r="BJ45" i="1"/>
  <c r="AW9" i="1"/>
  <c r="AS32" i="1"/>
  <c r="BK14" i="1"/>
  <c r="AQ9" i="1"/>
  <c r="BT13" i="1"/>
  <c r="AU13" i="1"/>
  <c r="BO52" i="1"/>
  <c r="AP36" i="1"/>
  <c r="AR13" i="1"/>
  <c r="BA9" i="1"/>
  <c r="AX14" i="1"/>
  <c r="BO21" i="1"/>
  <c r="BI13" i="1"/>
  <c r="AT14" i="1"/>
  <c r="BJ52" i="1"/>
  <c r="BC21" i="1"/>
  <c r="BN47" i="1"/>
  <c r="BP25" i="1"/>
  <c r="AM74" i="1"/>
  <c r="BK32" i="1"/>
  <c r="AT39" i="1"/>
  <c r="BR13" i="1"/>
  <c r="BK24" i="1"/>
  <c r="AP13" i="1"/>
  <c r="AS20" i="1"/>
  <c r="AV47" i="1"/>
  <c r="BQ24" i="1"/>
  <c r="AI25" i="1"/>
  <c r="AQ20" i="1"/>
  <c r="BU8" i="1"/>
  <c r="BU232" i="1" s="1"/>
  <c r="BQ20" i="1"/>
  <c r="AQ32" i="1"/>
  <c r="BS8" i="1"/>
  <c r="BS232" i="1" s="1"/>
  <c r="BB21" i="1"/>
  <c r="BG39" i="1"/>
  <c r="AI39" i="1"/>
  <c r="AT8" i="1"/>
  <c r="AI23" i="1"/>
  <c r="AV35" i="1"/>
  <c r="AX52" i="1"/>
  <c r="BG21" i="1"/>
  <c r="BK47" i="1"/>
  <c r="BN9" i="1"/>
  <c r="BB13" i="1"/>
  <c r="BE22" i="1"/>
  <c r="BJ35" i="1"/>
  <c r="AN39" i="1"/>
  <c r="BC36" i="1"/>
  <c r="BV22" i="1"/>
  <c r="BQ32" i="1"/>
  <c r="BQ195" i="1" s="1"/>
  <c r="BH24" i="1"/>
  <c r="BO23" i="1"/>
  <c r="AO21" i="1"/>
  <c r="AM45" i="1"/>
  <c r="BW45" i="1"/>
  <c r="BR23" i="1"/>
  <c r="BE24" i="1"/>
  <c r="BV39" i="1"/>
  <c r="BQ8" i="1"/>
  <c r="BR25" i="1"/>
  <c r="AO9" i="1"/>
  <c r="BG23" i="1"/>
  <c r="AT15" i="1"/>
  <c r="AW32" i="1"/>
  <c r="AW195" i="1" s="1"/>
  <c r="BB24" i="1"/>
  <c r="BM39" i="1"/>
  <c r="AN14" i="1"/>
  <c r="BH21" i="1"/>
  <c r="BB9" i="1"/>
  <c r="BH20" i="1"/>
  <c r="BU47" i="1"/>
  <c r="BJ74" i="1"/>
  <c r="AX20" i="1"/>
  <c r="BQ35" i="1"/>
  <c r="AZ39" i="1"/>
  <c r="AW13" i="1"/>
  <c r="AI46" i="1"/>
  <c r="BA21" i="1"/>
  <c r="BD25" i="1"/>
  <c r="AZ24" i="1"/>
  <c r="AQ45" i="1"/>
  <c r="BP52" i="1"/>
  <c r="AN47" i="1"/>
  <c r="AX45" i="1"/>
  <c r="BC35" i="1"/>
  <c r="BU32" i="1"/>
  <c r="AN24" i="1"/>
  <c r="AX13" i="1"/>
  <c r="AQ22" i="1"/>
  <c r="AT22" i="1"/>
  <c r="BQ21" i="1"/>
  <c r="BI45" i="1"/>
  <c r="BK15" i="1"/>
  <c r="BP8" i="1"/>
  <c r="BW15" i="1"/>
  <c r="AI15" i="1"/>
  <c r="BG46" i="1"/>
  <c r="AS25" i="1"/>
  <c r="AQ47" i="1"/>
  <c r="AP47" i="1"/>
  <c r="BQ25" i="1"/>
  <c r="BG32" i="1"/>
  <c r="BG195" i="1" s="1"/>
  <c r="BB52" i="1"/>
  <c r="BW13" i="1"/>
  <c r="AZ52" i="1"/>
  <c r="BI46" i="1"/>
  <c r="BE13" i="1"/>
  <c r="BS32" i="1"/>
  <c r="BS195" i="1" s="1"/>
  <c r="BG9" i="1"/>
  <c r="BE47" i="1"/>
  <c r="BS21" i="1"/>
  <c r="BO9" i="1"/>
  <c r="AT32" i="1"/>
  <c r="AT195" i="1" s="1"/>
  <c r="BA8" i="1"/>
  <c r="BA232" i="1" s="1"/>
  <c r="BO35" i="1"/>
  <c r="AT46" i="1"/>
  <c r="BE45" i="1"/>
  <c r="BD8" i="1"/>
  <c r="BJ39" i="1"/>
  <c r="AQ21" i="1"/>
  <c r="BN8" i="1"/>
  <c r="BB35" i="1"/>
  <c r="BW9" i="1"/>
  <c r="BR15" i="1"/>
  <c r="BD35" i="1"/>
  <c r="BG47" i="1"/>
  <c r="BC23" i="1"/>
  <c r="AP46" i="1"/>
  <c r="AS23" i="1"/>
  <c r="AY9" i="1"/>
  <c r="BD15" i="1"/>
  <c r="AY36" i="1"/>
  <c r="AR45" i="1"/>
  <c r="AU14" i="1"/>
  <c r="BO39" i="1"/>
  <c r="BB46" i="1"/>
  <c r="AT52" i="1"/>
  <c r="BN46" i="1"/>
  <c r="BB39" i="1"/>
  <c r="AZ45" i="1"/>
  <c r="AW52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2" i="1"/>
  <c r="AV20" i="1"/>
  <c r="AZ47" i="1"/>
  <c r="BW14" i="1"/>
  <c r="AV46" i="1"/>
  <c r="AR35" i="1"/>
  <c r="BU15" i="1"/>
  <c r="AR23" i="1"/>
  <c r="AV8" i="1"/>
  <c r="AZ32" i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K13" i="1"/>
  <c r="BC32" i="1"/>
  <c r="BC195" i="1" s="1"/>
  <c r="AS21" i="1"/>
  <c r="AX39" i="1"/>
  <c r="BV150" i="1"/>
  <c r="BW150" i="1" s="1"/>
  <c r="BH126" i="1"/>
  <c r="BI126" i="1" s="1"/>
  <c r="B133" i="1"/>
  <c r="T134" i="1"/>
  <c r="N150" i="1"/>
  <c r="L138" i="1"/>
  <c r="D74" i="1"/>
  <c r="C137" i="1"/>
  <c r="V136" i="1"/>
  <c r="V132" i="1" s="1"/>
  <c r="R68" i="1"/>
  <c r="R69" i="1" s="1"/>
  <c r="G119" i="1"/>
  <c r="W126" i="1"/>
  <c r="E134" i="1"/>
  <c r="R118" i="1"/>
  <c r="K156" i="1"/>
  <c r="V119" i="1"/>
  <c r="B125" i="1"/>
  <c r="K118" i="1"/>
  <c r="E119" i="1"/>
  <c r="R120" i="1"/>
  <c r="I141" i="1"/>
  <c r="AR14" i="1"/>
  <c r="BU46" i="1"/>
  <c r="BP46" i="1"/>
  <c r="BV52" i="1"/>
  <c r="BE23" i="1"/>
  <c r="BS45" i="1"/>
  <c r="BF9" i="1"/>
  <c r="BJ36" i="1"/>
  <c r="BJ253" i="1" s="1"/>
  <c r="AP35" i="1"/>
  <c r="AZ22" i="1"/>
  <c r="AV21" i="1"/>
  <c r="BW52" i="1"/>
  <c r="BB15" i="1"/>
  <c r="BD39" i="1"/>
  <c r="BU35" i="1"/>
  <c r="AZ23" i="1"/>
  <c r="BR24" i="1"/>
  <c r="AX32" i="1"/>
  <c r="AU8" i="1"/>
  <c r="BI36" i="1"/>
  <c r="AI45" i="1"/>
  <c r="BV32" i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O26" i="1" s="1"/>
  <c r="BD14" i="1"/>
  <c r="BE21" i="1"/>
  <c r="AY20" i="1"/>
  <c r="AS13" i="1"/>
  <c r="BN35" i="1"/>
  <c r="BV74" i="1"/>
  <c r="BH118" i="1"/>
  <c r="BV120" i="1"/>
  <c r="BH156" i="1"/>
  <c r="BI156" i="1" s="1"/>
  <c r="B127" i="1"/>
  <c r="B155" i="1" s="1"/>
  <c r="S68" i="1"/>
  <c r="S69" i="1" s="1"/>
  <c r="B172" i="1"/>
  <c r="F161" i="1"/>
  <c r="S164" i="1"/>
  <c r="J118" i="1"/>
  <c r="H151" i="1"/>
  <c r="J161" i="1"/>
  <c r="W120" i="1"/>
  <c r="M136" i="1"/>
  <c r="M132" i="1" s="1"/>
  <c r="B65" i="1"/>
  <c r="E136" i="1"/>
  <c r="E132" i="1" s="1"/>
  <c r="V164" i="1"/>
  <c r="T141" i="1"/>
  <c r="N79" i="1"/>
  <c r="BS36" i="1"/>
  <c r="BS253" i="1" s="1"/>
  <c r="BP36" i="1"/>
  <c r="BP253" i="1" s="1"/>
  <c r="AU39" i="1"/>
  <c r="AN45" i="1"/>
  <c r="BH152" i="1"/>
  <c r="BV160" i="1"/>
  <c r="BV155" i="1"/>
  <c r="BW155" i="1" s="1"/>
  <c r="BH127" i="1"/>
  <c r="BI127" i="1" s="1"/>
  <c r="BH119" i="1"/>
  <c r="BI119" i="1" s="1"/>
  <c r="D119" i="1"/>
  <c r="R134" i="1"/>
  <c r="D161" i="1"/>
  <c r="P144" i="1"/>
  <c r="F119" i="1"/>
  <c r="C128" i="1"/>
  <c r="G148" i="1"/>
  <c r="Q144" i="1"/>
  <c r="E128" i="1"/>
  <c r="E147" i="1"/>
  <c r="D165" i="1"/>
  <c r="M80" i="1"/>
  <c r="C136" i="1"/>
  <c r="E164" i="1"/>
  <c r="E78" i="1"/>
  <c r="K126" i="1"/>
  <c r="J80" i="1"/>
  <c r="J105" i="1" s="1"/>
  <c r="I173" i="1"/>
  <c r="G68" i="1"/>
  <c r="G69" i="1" s="1"/>
  <c r="AT20" i="1"/>
  <c r="AP32" i="1"/>
  <c r="BG25" i="1"/>
  <c r="BK46" i="1"/>
  <c r="BE46" i="1"/>
  <c r="BT22" i="1"/>
  <c r="AI9" i="1"/>
  <c r="BR47" i="1"/>
  <c r="AR52" i="1"/>
  <c r="BR39" i="1"/>
  <c r="AN35" i="1"/>
  <c r="AP9" i="1"/>
  <c r="AP10" i="1" s="1"/>
  <c r="BF35" i="1"/>
  <c r="AU47" i="1"/>
  <c r="BI20" i="1"/>
  <c r="BH39" i="1"/>
  <c r="AQ24" i="1"/>
  <c r="AZ13" i="1"/>
  <c r="AN36" i="1"/>
  <c r="BM35" i="1"/>
  <c r="AM75" i="1"/>
  <c r="AX47" i="1"/>
  <c r="BU45" i="1"/>
  <c r="AU9" i="1"/>
  <c r="AU10" i="1" s="1"/>
  <c r="BT8" i="1"/>
  <c r="BT232" i="1" s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2" i="1"/>
  <c r="AN21" i="1"/>
  <c r="AI32" i="1"/>
  <c r="BH155" i="1"/>
  <c r="BI155" i="1" s="1"/>
  <c r="BV161" i="1"/>
  <c r="M125" i="1"/>
  <c r="L119" i="1"/>
  <c r="H144" i="1"/>
  <c r="P125" i="1"/>
  <c r="J78" i="1"/>
  <c r="J103" i="1" s="1"/>
  <c r="R119" i="1"/>
  <c r="R121" i="1" s="1"/>
  <c r="U146" i="1"/>
  <c r="U181" i="1" s="1"/>
  <c r="D148" i="1"/>
  <c r="G125" i="1"/>
  <c r="L147" i="1"/>
  <c r="D65" i="1"/>
  <c r="S127" i="1"/>
  <c r="S155" i="1" s="1"/>
  <c r="R123" i="1"/>
  <c r="F173" i="1"/>
  <c r="R144" i="1"/>
  <c r="O147" i="1"/>
  <c r="G75" i="1"/>
  <c r="BN24" i="1"/>
  <c r="BS15" i="1"/>
  <c r="BK36" i="1"/>
  <c r="AO20" i="1"/>
  <c r="BI24" i="1"/>
  <c r="AP23" i="1"/>
  <c r="BS52" i="1"/>
  <c r="AW36" i="1"/>
  <c r="AQ36" i="1"/>
  <c r="AY23" i="1"/>
  <c r="BP22" i="1"/>
  <c r="BF21" i="1"/>
  <c r="AU45" i="1"/>
  <c r="BS24" i="1"/>
  <c r="BF23" i="1"/>
  <c r="BQ47" i="1"/>
  <c r="AT36" i="1"/>
  <c r="BM46" i="1"/>
  <c r="AW15" i="1"/>
  <c r="AY25" i="1"/>
  <c r="BN14" i="1"/>
  <c r="AV23" i="1"/>
  <c r="BQ36" i="1"/>
  <c r="BT47" i="1"/>
  <c r="BB23" i="1"/>
  <c r="BU52" i="1"/>
  <c r="BR35" i="1"/>
  <c r="AJ74" i="1"/>
  <c r="BM14" i="1"/>
  <c r="BT25" i="1"/>
  <c r="AQ15" i="1"/>
  <c r="BH32" i="1"/>
  <c r="BA45" i="1"/>
  <c r="BO36" i="1"/>
  <c r="BI32" i="1"/>
  <c r="AV52" i="1"/>
  <c r="AU36" i="1"/>
  <c r="BO25" i="1"/>
  <c r="BH36" i="1"/>
  <c r="BP32" i="1"/>
  <c r="BA47" i="1"/>
  <c r="BS39" i="1"/>
  <c r="BD22" i="1"/>
  <c r="AY22" i="1"/>
  <c r="BF47" i="1"/>
  <c r="BK8" i="1"/>
  <c r="BK232" i="1" s="1"/>
  <c r="AO52" i="1"/>
  <c r="BW23" i="1"/>
  <c r="BP45" i="1"/>
  <c r="BC20" i="1"/>
  <c r="BI8" i="1"/>
  <c r="BI232" i="1" s="1"/>
  <c r="AP21" i="1"/>
  <c r="BV23" i="1"/>
  <c r="AO24" i="1"/>
  <c r="BE32" i="1"/>
  <c r="BE195" i="1" s="1"/>
  <c r="BP35" i="1"/>
  <c r="AY15" i="1"/>
  <c r="AU52" i="1"/>
  <c r="AI14" i="1"/>
  <c r="BT9" i="1"/>
  <c r="BE36" i="1"/>
  <c r="AX24" i="1"/>
  <c r="AY52" i="1"/>
  <c r="BC45" i="1"/>
  <c r="BD23" i="1"/>
  <c r="BF36" i="1"/>
  <c r="AP14" i="1"/>
  <c r="BG45" i="1"/>
  <c r="AN32" i="1"/>
  <c r="AY14" i="1"/>
  <c r="BJ75" i="1"/>
  <c r="AW45" i="1"/>
  <c r="BS20" i="1"/>
  <c r="AZ35" i="1"/>
  <c r="BH150" i="1"/>
  <c r="BV165" i="1"/>
  <c r="BW165" i="1" s="1"/>
  <c r="BV126" i="1"/>
  <c r="BW126" i="1" s="1"/>
  <c r="BV128" i="1"/>
  <c r="BW128" i="1" s="1"/>
  <c r="BH120" i="1"/>
  <c r="T75" i="1"/>
  <c r="C119" i="1"/>
  <c r="L80" i="1"/>
  <c r="V152" i="1"/>
  <c r="T171" i="1"/>
  <c r="S156" i="1"/>
  <c r="C160" i="1"/>
  <c r="C162" i="1" s="1"/>
  <c r="N138" i="1"/>
  <c r="U80" i="1"/>
  <c r="I164" i="1"/>
  <c r="V161" i="1"/>
  <c r="T74" i="1"/>
  <c r="I75" i="1"/>
  <c r="N151" i="1"/>
  <c r="Q173" i="1"/>
  <c r="V154" i="1"/>
  <c r="V184" i="1" s="1"/>
  <c r="N78" i="1"/>
  <c r="P133" i="1"/>
  <c r="U164" i="1"/>
  <c r="AN25" i="1"/>
  <c r="BH47" i="1"/>
  <c r="BW22" i="1"/>
  <c r="BQ45" i="1"/>
  <c r="AX23" i="1"/>
  <c r="BA32" i="1"/>
  <c r="BM22" i="1"/>
  <c r="AQ52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2" i="1" s="1"/>
  <c r="BN22" i="1"/>
  <c r="BV13" i="1"/>
  <c r="AT47" i="1"/>
  <c r="AN9" i="1"/>
  <c r="BH133" i="1"/>
  <c r="BV144" i="1"/>
  <c r="BW144" i="1" s="1"/>
  <c r="BV118" i="1"/>
  <c r="E173" i="1"/>
  <c r="V74" i="1"/>
  <c r="I138" i="1"/>
  <c r="W74" i="1"/>
  <c r="D126" i="1"/>
  <c r="I151" i="1"/>
  <c r="J156" i="1"/>
  <c r="F128" i="1"/>
  <c r="H123" i="1"/>
  <c r="C172" i="1"/>
  <c r="J137" i="1"/>
  <c r="U128" i="1"/>
  <c r="J126" i="1"/>
  <c r="I137" i="1"/>
  <c r="R126" i="1"/>
  <c r="S147" i="1"/>
  <c r="O143" i="1"/>
  <c r="D120" i="1"/>
  <c r="BQ52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AS232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AS35" i="1"/>
  <c r="BV35" i="1"/>
  <c r="BN21" i="1"/>
  <c r="AX46" i="1"/>
  <c r="AM52" i="1"/>
  <c r="AX36" i="1"/>
  <c r="AX25" i="1"/>
  <c r="BO14" i="1"/>
  <c r="BO8" i="1"/>
  <c r="BO232" i="1" s="1"/>
  <c r="BH138" i="1"/>
  <c r="BI138" i="1" s="1"/>
  <c r="BV154" i="1"/>
  <c r="BH153" i="1"/>
  <c r="BI153" i="1" s="1"/>
  <c r="BV119" i="1"/>
  <c r="BW119" i="1" s="1"/>
  <c r="BH136" i="1"/>
  <c r="BI136" i="1" s="1"/>
  <c r="BV134" i="1"/>
  <c r="W123" i="1"/>
  <c r="B80" i="1"/>
  <c r="F151" i="1"/>
  <c r="F145" i="1"/>
  <c r="F180" i="1" s="1"/>
  <c r="S136" i="1"/>
  <c r="S132" i="1" s="1"/>
  <c r="L151" i="1"/>
  <c r="F154" i="1"/>
  <c r="F184" i="1" s="1"/>
  <c r="S141" i="1"/>
  <c r="N134" i="1"/>
  <c r="L120" i="1"/>
  <c r="E154" i="1"/>
  <c r="E184" i="1" s="1"/>
  <c r="S78" i="1"/>
  <c r="S103" i="1" s="1"/>
  <c r="D80" i="1"/>
  <c r="Q127" i="1"/>
  <c r="Q155" i="1" s="1"/>
  <c r="R147" i="1"/>
  <c r="H146" i="1"/>
  <c r="H181" i="1" s="1"/>
  <c r="O119" i="1"/>
  <c r="U143" i="1"/>
  <c r="H171" i="1"/>
  <c r="E80" i="1"/>
  <c r="BN45" i="1"/>
  <c r="AP39" i="1"/>
  <c r="AY35" i="1"/>
  <c r="BI23" i="1"/>
  <c r="BU39" i="1"/>
  <c r="AP22" i="1"/>
  <c r="AO46" i="1"/>
  <c r="BS9" i="1"/>
  <c r="BS10" i="1" s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P20" i="1"/>
  <c r="BH165" i="1"/>
  <c r="BI165" i="1" s="1"/>
  <c r="BH134" i="1"/>
  <c r="BH75" i="1"/>
  <c r="BH154" i="1"/>
  <c r="BH184" i="1" s="1"/>
  <c r="BI184" i="1" s="1"/>
  <c r="K161" i="1"/>
  <c r="T80" i="1"/>
  <c r="T88" i="1" s="1"/>
  <c r="V147" i="1"/>
  <c r="Q137" i="1"/>
  <c r="W136" i="1"/>
  <c r="W132" i="1" s="1"/>
  <c r="P150" i="1"/>
  <c r="P136" i="1"/>
  <c r="P132" i="1" s="1"/>
  <c r="N147" i="1"/>
  <c r="Q141" i="1"/>
  <c r="S125" i="1"/>
  <c r="S129" i="1" s="1"/>
  <c r="T144" i="1"/>
  <c r="F156" i="1"/>
  <c r="Q156" i="1"/>
  <c r="N156" i="1"/>
  <c r="H118" i="1"/>
  <c r="P80" i="1"/>
  <c r="P109" i="1" s="1"/>
  <c r="AY24" i="1"/>
  <c r="AT35" i="1"/>
  <c r="BI15" i="1"/>
  <c r="AZ25" i="1"/>
  <c r="BB22" i="1"/>
  <c r="AQ14" i="1"/>
  <c r="BT15" i="1"/>
  <c r="BE39" i="1"/>
  <c r="BR32" i="1"/>
  <c r="BD21" i="1"/>
  <c r="BD26" i="1" s="1"/>
  <c r="AW14" i="1"/>
  <c r="AO14" i="1"/>
  <c r="AR24" i="1"/>
  <c r="AW24" i="1"/>
  <c r="BW24" i="1"/>
  <c r="BN36" i="1"/>
  <c r="BN253" i="1" s="1"/>
  <c r="BN32" i="1"/>
  <c r="AS14" i="1"/>
  <c r="BU20" i="1"/>
  <c r="AO8" i="1"/>
  <c r="AN13" i="1"/>
  <c r="BF39" i="1"/>
  <c r="AZ14" i="1"/>
  <c r="BC46" i="1"/>
  <c r="BI35" i="1"/>
  <c r="BO32" i="1"/>
  <c r="BO195" i="1" s="1"/>
  <c r="AU15" i="1"/>
  <c r="BG22" i="1"/>
  <c r="AX9" i="1"/>
  <c r="BM13" i="1"/>
  <c r="AU20" i="1"/>
  <c r="BT36" i="1"/>
  <c r="AP52" i="1"/>
  <c r="BE15" i="1"/>
  <c r="BS22" i="1"/>
  <c r="BK45" i="1"/>
  <c r="BD46" i="1"/>
  <c r="BA24" i="1"/>
  <c r="BG36" i="1"/>
  <c r="BG253" i="1" s="1"/>
  <c r="BF8" i="1"/>
  <c r="BR9" i="1"/>
  <c r="BA22" i="1"/>
  <c r="AS46" i="1"/>
  <c r="BH147" i="1"/>
  <c r="BI147" i="1" s="1"/>
  <c r="BV146" i="1"/>
  <c r="BH132" i="1"/>
  <c r="BH135" i="1" s="1"/>
  <c r="BH139" i="1" s="1"/>
  <c r="S133" i="1"/>
  <c r="W154" i="1"/>
  <c r="P151" i="1"/>
  <c r="O128" i="1"/>
  <c r="O129" i="1" s="1"/>
  <c r="O156" i="1"/>
  <c r="U137" i="1"/>
  <c r="V68" i="1"/>
  <c r="V69" i="1" s="1"/>
  <c r="F127" i="1"/>
  <c r="F155" i="1" s="1"/>
  <c r="B173" i="1"/>
  <c r="V118" i="1"/>
  <c r="N68" i="1"/>
  <c r="N69" i="1" s="1"/>
  <c r="W119" i="1"/>
  <c r="H136" i="1"/>
  <c r="H132" i="1" s="1"/>
  <c r="H135" i="1" s="1"/>
  <c r="O118" i="1"/>
  <c r="O121" i="1" s="1"/>
  <c r="Q126" i="1"/>
  <c r="R156" i="1"/>
  <c r="BE14" i="1"/>
  <c r="BF52" i="1"/>
  <c r="BS13" i="1"/>
  <c r="BH23" i="1"/>
  <c r="BR36" i="1"/>
  <c r="BR253" i="1" s="1"/>
  <c r="BV9" i="1"/>
  <c r="AW23" i="1"/>
  <c r="AX22" i="1"/>
  <c r="AX26" i="1" s="1"/>
  <c r="AX35" i="1"/>
  <c r="BK21" i="1"/>
  <c r="BE9" i="1"/>
  <c r="BE10" i="1" s="1"/>
  <c r="AO13" i="1"/>
  <c r="BG15" i="1"/>
  <c r="BR22" i="1"/>
  <c r="BQ9" i="1"/>
  <c r="BQ10" i="1" s="1"/>
  <c r="BD47" i="1"/>
  <c r="AK75" i="1"/>
  <c r="BD36" i="1"/>
  <c r="BD253" i="1" s="1"/>
  <c r="AO22" i="1"/>
  <c r="BH52" i="1"/>
  <c r="BV15" i="1"/>
  <c r="BE20" i="1"/>
  <c r="BE26" i="1" s="1"/>
  <c r="AI24" i="1"/>
  <c r="AI26" i="1" s="1"/>
  <c r="BC8" i="1"/>
  <c r="BC232" i="1" s="1"/>
  <c r="BK52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4" i="1"/>
  <c r="AZ36" i="1"/>
  <c r="AZ253" i="1" s="1"/>
  <c r="BH148" i="1"/>
  <c r="BI148" i="1" s="1"/>
  <c r="BH125" i="1"/>
  <c r="BI125" i="1" s="1"/>
  <c r="BH145" i="1"/>
  <c r="W171" i="1"/>
  <c r="O123" i="1"/>
  <c r="B147" i="1"/>
  <c r="W148" i="1"/>
  <c r="C78" i="1"/>
  <c r="H68" i="1"/>
  <c r="H69" i="1" s="1"/>
  <c r="S173" i="1"/>
  <c r="F164" i="1"/>
  <c r="G138" i="1"/>
  <c r="H127" i="1"/>
  <c r="H155" i="1" s="1"/>
  <c r="M172" i="1"/>
  <c r="U150" i="1"/>
  <c r="B156" i="1"/>
  <c r="B120" i="1"/>
  <c r="T123" i="1"/>
  <c r="G136" i="1"/>
  <c r="G132" i="1" s="1"/>
  <c r="AS52" i="1"/>
  <c r="BT52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BT39" i="1"/>
  <c r="AO25" i="1"/>
  <c r="BV21" i="1"/>
  <c r="AZ15" i="1"/>
  <c r="BI21" i="1"/>
  <c r="AN52" i="1"/>
  <c r="BO45" i="1"/>
  <c r="BR20" i="1"/>
  <c r="AX8" i="1"/>
  <c r="BG8" i="1"/>
  <c r="BN15" i="1"/>
  <c r="AI36" i="1"/>
  <c r="BV8" i="1"/>
  <c r="AS9" i="1"/>
  <c r="AY45" i="1"/>
  <c r="BN52" i="1"/>
  <c r="BW25" i="1"/>
  <c r="AT45" i="1"/>
  <c r="AQ39" i="1"/>
  <c r="BJ32" i="1"/>
  <c r="AS39" i="1"/>
  <c r="BH9" i="1"/>
  <c r="BQ22" i="1"/>
  <c r="AR36" i="1"/>
  <c r="BF13" i="1"/>
  <c r="AU35" i="1"/>
  <c r="AI35" i="1"/>
  <c r="AI37" i="1" s="1"/>
  <c r="BV133" i="1"/>
  <c r="AI74" i="1"/>
  <c r="BV125" i="1"/>
  <c r="BW125" i="1" s="1"/>
  <c r="BV143" i="1"/>
  <c r="BW143" i="1" s="1"/>
  <c r="BH161" i="1"/>
  <c r="J146" i="1"/>
  <c r="J181" i="1" s="1"/>
  <c r="L128" i="1"/>
  <c r="N152" i="1"/>
  <c r="I146" i="1"/>
  <c r="I181" i="1" s="1"/>
  <c r="M75" i="1"/>
  <c r="L172" i="1"/>
  <c r="D173" i="1"/>
  <c r="Q74" i="1"/>
  <c r="Q133" i="1"/>
  <c r="B138" i="1"/>
  <c r="AO1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2" i="1"/>
  <c r="AO36" i="1"/>
  <c r="BA14" i="1"/>
  <c r="BT45" i="1"/>
  <c r="BP23" i="1"/>
  <c r="AT9" i="1"/>
  <c r="AM47" i="1"/>
  <c r="BH25" i="1"/>
  <c r="BG52" i="1"/>
  <c r="AT13" i="1"/>
  <c r="BF32" i="1"/>
  <c r="BF195" i="1" s="1"/>
  <c r="BI52" i="1"/>
  <c r="AQ46" i="1"/>
  <c r="BS23" i="1"/>
  <c r="BK23" i="1"/>
  <c r="BC25" i="1"/>
  <c r="AR15" i="1"/>
  <c r="AU32" i="1"/>
  <c r="AU195" i="1" s="1"/>
  <c r="BU24" i="1"/>
  <c r="AU22" i="1"/>
  <c r="AZ21" i="1"/>
  <c r="BV156" i="1"/>
  <c r="BW156" i="1" s="1"/>
  <c r="BH143" i="1"/>
  <c r="BI143" i="1" s="1"/>
  <c r="BH151" i="1"/>
  <c r="BI151" i="1" s="1"/>
  <c r="L125" i="1"/>
  <c r="W137" i="1"/>
  <c r="K138" i="1"/>
  <c r="O146" i="1"/>
  <c r="O181" i="1" s="1"/>
  <c r="F134" i="1"/>
  <c r="F136" i="1"/>
  <c r="F132" i="1" s="1"/>
  <c r="P143" i="1"/>
  <c r="G137" i="1"/>
  <c r="S128" i="1"/>
  <c r="M78" i="1"/>
  <c r="M86" i="1" s="1"/>
  <c r="Q145" i="1"/>
  <c r="Q180" i="1" s="1"/>
  <c r="I119" i="1"/>
  <c r="K147" i="1"/>
  <c r="G128" i="1"/>
  <c r="W125" i="1"/>
  <c r="I152" i="1"/>
  <c r="I118" i="1"/>
  <c r="M133" i="1"/>
  <c r="D127" i="1"/>
  <c r="D155" i="1" s="1"/>
  <c r="O126" i="1"/>
  <c r="J144" i="1"/>
  <c r="H160" i="1"/>
  <c r="E123" i="1"/>
  <c r="Q79" i="1"/>
  <c r="Q90" i="1" s="1"/>
  <c r="R128" i="1"/>
  <c r="D75" i="1"/>
  <c r="L137" i="1"/>
  <c r="W127" i="1"/>
  <c r="W155" i="1" s="1"/>
  <c r="R165" i="1"/>
  <c r="M147" i="1"/>
  <c r="C64" i="1"/>
  <c r="D128" i="1"/>
  <c r="W79" i="1"/>
  <c r="W128" i="1"/>
  <c r="H120" i="1"/>
  <c r="E120" i="1"/>
  <c r="T146" i="1"/>
  <c r="T181" i="1" s="1"/>
  <c r="S118" i="1"/>
  <c r="V138" i="1"/>
  <c r="P147" i="1"/>
  <c r="W151" i="1"/>
  <c r="G147" i="1"/>
  <c r="T165" i="1"/>
  <c r="J138" i="1"/>
  <c r="H125" i="1"/>
  <c r="E137" i="1"/>
  <c r="C145" i="1"/>
  <c r="C180" i="1" s="1"/>
  <c r="W75" i="1"/>
  <c r="T161" i="1"/>
  <c r="D138" i="1"/>
  <c r="E143" i="1"/>
  <c r="G118" i="1"/>
  <c r="R80" i="1"/>
  <c r="H79" i="1"/>
  <c r="G172" i="1"/>
  <c r="P137" i="1"/>
  <c r="O127" i="1"/>
  <c r="O155" i="1" s="1"/>
  <c r="I156" i="1"/>
  <c r="I125" i="1"/>
  <c r="B141" i="1"/>
  <c r="B143" i="1"/>
  <c r="E141" i="1"/>
  <c r="I148" i="1"/>
  <c r="H145" i="1"/>
  <c r="H180" i="1" s="1"/>
  <c r="R136" i="1"/>
  <c r="R132" i="1" s="1"/>
  <c r="V144" i="1"/>
  <c r="H165" i="1"/>
  <c r="G74" i="1"/>
  <c r="C150" i="1"/>
  <c r="N154" i="1"/>
  <c r="N184" i="1" s="1"/>
  <c r="W150" i="1"/>
  <c r="Q172" i="1"/>
  <c r="I150" i="1"/>
  <c r="J145" i="1"/>
  <c r="J180" i="1" s="1"/>
  <c r="N118" i="1"/>
  <c r="L68" i="1"/>
  <c r="L69" i="1" s="1"/>
  <c r="U79" i="1"/>
  <c r="W144" i="1"/>
  <c r="K172" i="1"/>
  <c r="L173" i="1"/>
  <c r="H80" i="1"/>
  <c r="L126" i="1"/>
  <c r="S123" i="1"/>
  <c r="T156" i="1"/>
  <c r="V126" i="1"/>
  <c r="K148" i="1"/>
  <c r="H119" i="1"/>
  <c r="U125" i="1"/>
  <c r="I127" i="1"/>
  <c r="I155" i="1" s="1"/>
  <c r="E74" i="1"/>
  <c r="C141" i="1"/>
  <c r="M120" i="1"/>
  <c r="K128" i="1"/>
  <c r="Q148" i="1"/>
  <c r="N133" i="1"/>
  <c r="M152" i="1"/>
  <c r="R173" i="1"/>
  <c r="F68" i="1"/>
  <c r="F69" i="1" s="1"/>
  <c r="J143" i="1"/>
  <c r="S137" i="1"/>
  <c r="S126" i="1"/>
  <c r="H128" i="1"/>
  <c r="C147" i="1"/>
  <c r="S160" i="1"/>
  <c r="S162" i="1" s="1"/>
  <c r="T210" i="1" s="1"/>
  <c r="N127" i="1"/>
  <c r="N155" i="1" s="1"/>
  <c r="J172" i="1"/>
  <c r="V165" i="1"/>
  <c r="L136" i="1"/>
  <c r="L132" i="1" s="1"/>
  <c r="C143" i="1"/>
  <c r="D64" i="1"/>
  <c r="V160" i="1"/>
  <c r="B164" i="1"/>
  <c r="W80" i="1"/>
  <c r="E172" i="1"/>
  <c r="E118" i="1"/>
  <c r="C123" i="1"/>
  <c r="S119" i="1"/>
  <c r="T160" i="1"/>
  <c r="C80" i="1"/>
  <c r="F125" i="1"/>
  <c r="J152" i="1"/>
  <c r="C171" i="1"/>
  <c r="J164" i="1"/>
  <c r="K173" i="1"/>
  <c r="E75" i="1"/>
  <c r="N137" i="1"/>
  <c r="D152" i="1"/>
  <c r="O134" i="1"/>
  <c r="L171" i="1"/>
  <c r="H164" i="1"/>
  <c r="N172" i="1"/>
  <c r="H172" i="1"/>
  <c r="D78" i="1"/>
  <c r="D172" i="1"/>
  <c r="M146" i="1"/>
  <c r="M181" i="1" s="1"/>
  <c r="N80" i="1"/>
  <c r="B128" i="1"/>
  <c r="R154" i="1"/>
  <c r="R184" i="1" s="1"/>
  <c r="U123" i="1"/>
  <c r="G146" i="1"/>
  <c r="G181" i="1" s="1"/>
  <c r="I172" i="1"/>
  <c r="B151" i="1"/>
  <c r="J165" i="1"/>
  <c r="M68" i="1"/>
  <c r="M69" i="1" s="1"/>
  <c r="S152" i="1"/>
  <c r="Q123" i="1"/>
  <c r="G78" i="1"/>
  <c r="Q120" i="1"/>
  <c r="R125" i="1"/>
  <c r="R75" i="1"/>
  <c r="J141" i="1"/>
  <c r="P79" i="1"/>
  <c r="U173" i="1"/>
  <c r="D79" i="1"/>
  <c r="D90" i="1" s="1"/>
  <c r="F150" i="1"/>
  <c r="F157" i="1" s="1"/>
  <c r="F186" i="1" s="1"/>
  <c r="O120" i="1"/>
  <c r="D154" i="1"/>
  <c r="D184" i="1" s="1"/>
  <c r="B132" i="1"/>
  <c r="V78" i="1"/>
  <c r="V103" i="1" s="1"/>
  <c r="F152" i="1"/>
  <c r="J151" i="1"/>
  <c r="K80" i="1"/>
  <c r="D151" i="1"/>
  <c r="C154" i="1"/>
  <c r="C184" i="1" s="1"/>
  <c r="T127" i="1"/>
  <c r="T155" i="1" s="1"/>
  <c r="P173" i="1"/>
  <c r="Q134" i="1"/>
  <c r="U141" i="1"/>
  <c r="V203" i="1" s="1"/>
  <c r="K123" i="1"/>
  <c r="G171" i="1"/>
  <c r="G174" i="1" s="1"/>
  <c r="Q151" i="1"/>
  <c r="O125" i="1"/>
  <c r="L161" i="1"/>
  <c r="J127" i="1"/>
  <c r="J155" i="1" s="1"/>
  <c r="B119" i="1"/>
  <c r="D147" i="1"/>
  <c r="L123" i="1"/>
  <c r="U148" i="1"/>
  <c r="U144" i="1"/>
  <c r="C68" i="1"/>
  <c r="K150" i="1"/>
  <c r="Q128" i="1"/>
  <c r="W173" i="1"/>
  <c r="T137" i="1"/>
  <c r="O79" i="1"/>
  <c r="E156" i="1"/>
  <c r="K74" i="1"/>
  <c r="D134" i="1"/>
  <c r="H148" i="1"/>
  <c r="U160" i="1"/>
  <c r="M150" i="1"/>
  <c r="H78" i="1"/>
  <c r="H103" i="1" s="1"/>
  <c r="O137" i="1"/>
  <c r="Q136" i="1"/>
  <c r="Q132" i="1" s="1"/>
  <c r="J150" i="1"/>
  <c r="H161" i="1"/>
  <c r="M134" i="1"/>
  <c r="E150" i="1"/>
  <c r="C161" i="1"/>
  <c r="C148" i="1"/>
  <c r="K136" i="1"/>
  <c r="K132" i="1" s="1"/>
  <c r="N146" i="1"/>
  <c r="N181" i="1" s="1"/>
  <c r="BH74" i="1"/>
  <c r="BV153" i="1"/>
  <c r="BW153" i="1" s="1"/>
  <c r="BH164" i="1"/>
  <c r="BI164" i="1" s="1"/>
  <c r="BH141" i="1"/>
  <c r="BI141" i="1" s="1"/>
  <c r="BJ203" i="1" s="1"/>
  <c r="BV164" i="1"/>
  <c r="BW164" i="1" s="1"/>
  <c r="BV132" i="1"/>
  <c r="U147" i="1"/>
  <c r="F165" i="1"/>
  <c r="N125" i="1"/>
  <c r="D146" i="1"/>
  <c r="D181" i="1" s="1"/>
  <c r="J133" i="1"/>
  <c r="M138" i="1"/>
  <c r="C118" i="1"/>
  <c r="W161" i="1"/>
  <c r="F138" i="1"/>
  <c r="E146" i="1"/>
  <c r="E181" i="1" s="1"/>
  <c r="T120" i="1"/>
  <c r="G133" i="1"/>
  <c r="B161" i="1"/>
  <c r="C138" i="1"/>
  <c r="V123" i="1"/>
  <c r="J74" i="1"/>
  <c r="B64" i="1"/>
  <c r="B66" i="1" s="1"/>
  <c r="O173" i="1"/>
  <c r="I126" i="1"/>
  <c r="P119" i="1"/>
  <c r="T78" i="1"/>
  <c r="T86" i="1" s="1"/>
  <c r="K134" i="1"/>
  <c r="B152" i="1"/>
  <c r="L143" i="1"/>
  <c r="Q143" i="1"/>
  <c r="W145" i="1"/>
  <c r="G141" i="1"/>
  <c r="R143" i="1"/>
  <c r="I144" i="1"/>
  <c r="Q165" i="1"/>
  <c r="Q75" i="1"/>
  <c r="V148" i="1"/>
  <c r="N136" i="1"/>
  <c r="N132" i="1" s="1"/>
  <c r="E151" i="1"/>
  <c r="D141" i="1"/>
  <c r="E203" i="1" s="1"/>
  <c r="T133" i="1"/>
  <c r="I147" i="1"/>
  <c r="I133" i="1"/>
  <c r="V79" i="1"/>
  <c r="D171" i="1"/>
  <c r="K146" i="1"/>
  <c r="K181" i="1" s="1"/>
  <c r="S148" i="1"/>
  <c r="M143" i="1"/>
  <c r="V137" i="1"/>
  <c r="R133" i="1"/>
  <c r="V127" i="1"/>
  <c r="V155" i="1" s="1"/>
  <c r="P145" i="1"/>
  <c r="P180" i="1" s="1"/>
  <c r="K151" i="1"/>
  <c r="H75" i="1"/>
  <c r="N161" i="1"/>
  <c r="S150" i="1"/>
  <c r="C133" i="1"/>
  <c r="M74" i="1"/>
  <c r="S172" i="1"/>
  <c r="S120" i="1"/>
  <c r="L156" i="1"/>
  <c r="C132" i="1"/>
  <c r="C135" i="1" s="1"/>
  <c r="O133" i="1"/>
  <c r="D136" i="1"/>
  <c r="S161" i="1"/>
  <c r="D132" i="1"/>
  <c r="V173" i="1"/>
  <c r="V80" i="1"/>
  <c r="T143" i="1"/>
  <c r="W165" i="1"/>
  <c r="I120" i="1"/>
  <c r="J154" i="1"/>
  <c r="J184" i="1" s="1"/>
  <c r="R78" i="1"/>
  <c r="R103" i="1" s="1"/>
  <c r="S80" i="1"/>
  <c r="S88" i="1" s="1"/>
  <c r="L141" i="1"/>
  <c r="U138" i="1"/>
  <c r="O150" i="1"/>
  <c r="B118" i="1"/>
  <c r="M123" i="1"/>
  <c r="P171" i="1"/>
  <c r="F141" i="1"/>
  <c r="T148" i="1"/>
  <c r="O145" i="1"/>
  <c r="O180" i="1" s="1"/>
  <c r="S145" i="1"/>
  <c r="S180" i="1" s="1"/>
  <c r="O165" i="1"/>
  <c r="R148" i="1"/>
  <c r="N75" i="1"/>
  <c r="D150" i="1"/>
  <c r="D157" i="1" s="1"/>
  <c r="S165" i="1"/>
  <c r="C74" i="1"/>
  <c r="B78" i="1"/>
  <c r="R141" i="1"/>
  <c r="C127" i="1"/>
  <c r="C155" i="1" s="1"/>
  <c r="O80" i="1"/>
  <c r="I145" i="1"/>
  <c r="I180" i="1" s="1"/>
  <c r="R79" i="1"/>
  <c r="R108" i="1" s="1"/>
  <c r="R164" i="1"/>
  <c r="T138" i="1"/>
  <c r="W68" i="1"/>
  <c r="J119" i="1"/>
  <c r="T125" i="1"/>
  <c r="W143" i="1"/>
  <c r="V172" i="1"/>
  <c r="D118" i="1"/>
  <c r="W147" i="1"/>
  <c r="N165" i="1"/>
  <c r="F126" i="1"/>
  <c r="E127" i="1"/>
  <c r="E155" i="1" s="1"/>
  <c r="I160" i="1"/>
  <c r="J123" i="1"/>
  <c r="Q68" i="1"/>
  <c r="Q69" i="1" s="1"/>
  <c r="Q147" i="1"/>
  <c r="P127" i="1"/>
  <c r="P155" i="1" s="1"/>
  <c r="Q78" i="1"/>
  <c r="L145" i="1"/>
  <c r="L180" i="1" s="1"/>
  <c r="S138" i="1"/>
  <c r="V156" i="1"/>
  <c r="I161" i="1"/>
  <c r="F144" i="1"/>
  <c r="R146" i="1"/>
  <c r="Q161" i="1"/>
  <c r="V133" i="1"/>
  <c r="I128" i="1"/>
  <c r="F79" i="1"/>
  <c r="F104" i="1" s="1"/>
  <c r="W160" i="1"/>
  <c r="G134" i="1"/>
  <c r="S146" i="1"/>
  <c r="S181" i="1" s="1"/>
  <c r="S134" i="1"/>
  <c r="D68" i="1"/>
  <c r="K171" i="1"/>
  <c r="M151" i="1"/>
  <c r="N126" i="1"/>
  <c r="Q138" i="1"/>
  <c r="U78" i="1"/>
  <c r="U103" i="1" s="1"/>
  <c r="G79" i="1"/>
  <c r="G108" i="1" s="1"/>
  <c r="W172" i="1"/>
  <c r="B123" i="1"/>
  <c r="R137" i="1"/>
  <c r="F74" i="1"/>
  <c r="G127" i="1"/>
  <c r="G155" i="1" s="1"/>
  <c r="K68" i="1"/>
  <c r="K69" i="1" s="1"/>
  <c r="U68" i="1"/>
  <c r="U69" i="1" s="1"/>
  <c r="V128" i="1"/>
  <c r="Q171" i="1"/>
  <c r="C65" i="1"/>
  <c r="P172" i="1"/>
  <c r="L75" i="1"/>
  <c r="T128" i="1"/>
  <c r="R74" i="1"/>
  <c r="P146" i="1"/>
  <c r="P181" i="1" s="1"/>
  <c r="E152" i="1"/>
  <c r="V146" i="1"/>
  <c r="V181" i="1" s="1"/>
  <c r="P164" i="1"/>
  <c r="C156" i="1"/>
  <c r="P138" i="1"/>
  <c r="U120" i="1"/>
  <c r="M161" i="1"/>
  <c r="K152" i="1"/>
  <c r="B171" i="1"/>
  <c r="R171" i="1"/>
  <c r="J147" i="1"/>
  <c r="E148" i="1"/>
  <c r="R151" i="1"/>
  <c r="J173" i="1"/>
  <c r="F146" i="1"/>
  <c r="F181" i="1" s="1"/>
  <c r="J136" i="1"/>
  <c r="J132" i="1" s="1"/>
  <c r="D133" i="1"/>
  <c r="R138" i="1"/>
  <c r="O144" i="1"/>
  <c r="F143" i="1"/>
  <c r="D160" i="1"/>
  <c r="O151" i="1"/>
  <c r="G151" i="1"/>
  <c r="T164" i="1"/>
  <c r="P120" i="1"/>
  <c r="J75" i="1"/>
  <c r="BI25" i="1"/>
  <c r="BV141" i="1"/>
  <c r="BV148" i="1"/>
  <c r="BW148" i="1" s="1"/>
  <c r="BV145" i="1"/>
  <c r="BV151" i="1"/>
  <c r="BW151" i="1" s="1"/>
  <c r="BH160" i="1"/>
  <c r="BH128" i="1"/>
  <c r="BI128" i="1" s="1"/>
  <c r="C79" i="1"/>
  <c r="J134" i="1"/>
  <c r="G173" i="1"/>
  <c r="M154" i="1"/>
  <c r="M184" i="1" s="1"/>
  <c r="O152" i="1"/>
  <c r="T68" i="1"/>
  <c r="T69" i="1" s="1"/>
  <c r="S74" i="1"/>
  <c r="L133" i="1"/>
  <c r="F148" i="1"/>
  <c r="B165" i="1"/>
  <c r="M164" i="1"/>
  <c r="O136" i="1"/>
  <c r="O132" i="1" s="1"/>
  <c r="L160" i="1"/>
  <c r="B146" i="1"/>
  <c r="B181" i="1" s="1"/>
  <c r="W152" i="1"/>
  <c r="F133" i="1"/>
  <c r="L165" i="1"/>
  <c r="E79" i="1"/>
  <c r="P160" i="1"/>
  <c r="P162" i="1" s="1"/>
  <c r="Q210" i="1" s="1"/>
  <c r="U133" i="1"/>
  <c r="D137" i="1"/>
  <c r="L74" i="1"/>
  <c r="F137" i="1"/>
  <c r="L118" i="1"/>
  <c r="U145" i="1"/>
  <c r="U180" i="1" s="1"/>
  <c r="G143" i="1"/>
  <c r="E126" i="1"/>
  <c r="S79" i="1"/>
  <c r="P78" i="1"/>
  <c r="Q146" i="1"/>
  <c r="Q181" i="1" s="1"/>
  <c r="C152" i="1"/>
  <c r="M145" i="1"/>
  <c r="M180" i="1" s="1"/>
  <c r="U75" i="1"/>
  <c r="V125" i="1"/>
  <c r="R161" i="1"/>
  <c r="K75" i="1"/>
  <c r="K143" i="1"/>
  <c r="J148" i="1"/>
  <c r="L154" i="1"/>
  <c r="L184" i="1" s="1"/>
  <c r="V141" i="1"/>
  <c r="V75" i="1"/>
  <c r="M79" i="1"/>
  <c r="O141" i="1"/>
  <c r="O138" i="1"/>
  <c r="C165" i="1"/>
  <c r="F123" i="1"/>
  <c r="N164" i="1"/>
  <c r="W164" i="1"/>
  <c r="N145" i="1"/>
  <c r="N180" i="1" s="1"/>
  <c r="H138" i="1"/>
  <c r="F78" i="1"/>
  <c r="I74" i="1"/>
  <c r="K160" i="1"/>
  <c r="I79" i="1"/>
  <c r="T119" i="1"/>
  <c r="T147" i="1"/>
  <c r="J79" i="1"/>
  <c r="O171" i="1"/>
  <c r="P165" i="1"/>
  <c r="J160" i="1"/>
  <c r="N128" i="1"/>
  <c r="L78" i="1"/>
  <c r="L103" i="1" s="1"/>
  <c r="N144" i="1"/>
  <c r="W78" i="1"/>
  <c r="W103" i="1" s="1"/>
  <c r="U171" i="1"/>
  <c r="C173" i="1"/>
  <c r="W141" i="1"/>
  <c r="X203" i="1" s="1"/>
  <c r="T154" i="1"/>
  <c r="T184" i="1" s="1"/>
  <c r="F120" i="1"/>
  <c r="K154" i="1"/>
  <c r="K184" i="1" s="1"/>
  <c r="U119" i="1"/>
  <c r="I154" i="1"/>
  <c r="I184" i="1" s="1"/>
  <c r="BW39" i="1"/>
  <c r="BC47" i="1"/>
  <c r="BV36" i="1"/>
  <c r="BP21" i="1"/>
  <c r="BB20" i="1"/>
  <c r="BV14" i="1"/>
  <c r="AI22" i="1"/>
  <c r="BV123" i="1"/>
  <c r="BW123" i="1" s="1"/>
  <c r="BV136" i="1"/>
  <c r="BW136" i="1" s="1"/>
  <c r="BV138" i="1"/>
  <c r="BW138" i="1" s="1"/>
  <c r="BV127" i="1"/>
  <c r="BW127" i="1" s="1"/>
  <c r="BV152" i="1"/>
  <c r="BW152" i="1" s="1"/>
  <c r="BV147" i="1"/>
  <c r="BW147" i="1" s="1"/>
  <c r="U172" i="1"/>
  <c r="T151" i="1"/>
  <c r="U165" i="1"/>
  <c r="M156" i="1"/>
  <c r="R172" i="1"/>
  <c r="H147" i="1"/>
  <c r="C75" i="1"/>
  <c r="H173" i="1"/>
  <c r="L134" i="1"/>
  <c r="G156" i="1"/>
  <c r="V134" i="1"/>
  <c r="B68" i="1"/>
  <c r="O164" i="1"/>
  <c r="C120" i="1"/>
  <c r="C144" i="1"/>
  <c r="M160" i="1"/>
  <c r="I171" i="1"/>
  <c r="C134" i="1"/>
  <c r="B137" i="1"/>
  <c r="N148" i="1"/>
  <c r="P74" i="1"/>
  <c r="K144" i="1"/>
  <c r="K164" i="1"/>
  <c r="P134" i="1"/>
  <c r="Q125" i="1"/>
  <c r="R145" i="1"/>
  <c r="R180" i="1" s="1"/>
  <c r="D156" i="1"/>
  <c r="N123" i="1"/>
  <c r="K145" i="1"/>
  <c r="K180" i="1" s="1"/>
  <c r="T150" i="1"/>
  <c r="T157" i="1" s="1"/>
  <c r="G144" i="1"/>
  <c r="U154" i="1"/>
  <c r="U184" i="1" s="1"/>
  <c r="H133" i="1"/>
  <c r="L164" i="1"/>
  <c r="V171" i="1"/>
  <c r="P126" i="1"/>
  <c r="Q160" i="1"/>
  <c r="I68" i="1"/>
  <c r="I69" i="1" s="1"/>
  <c r="C164" i="1"/>
  <c r="Q80" i="1"/>
  <c r="V143" i="1"/>
  <c r="S171" i="1"/>
  <c r="J125" i="1"/>
  <c r="U151" i="1"/>
  <c r="M126" i="1"/>
  <c r="U161" i="1"/>
  <c r="O74" i="1"/>
  <c r="D125" i="1"/>
  <c r="D129" i="1" s="1"/>
  <c r="S143" i="1"/>
  <c r="E165" i="1"/>
  <c r="D164" i="1"/>
  <c r="K137" i="1"/>
  <c r="B144" i="1"/>
  <c r="W156" i="1"/>
  <c r="F75" i="1"/>
  <c r="C126" i="1"/>
  <c r="S151" i="1"/>
  <c r="H154" i="1"/>
  <c r="H184" i="1" s="1"/>
  <c r="U127" i="1"/>
  <c r="U155" i="1" s="1"/>
  <c r="L148" i="1"/>
  <c r="H126" i="1"/>
  <c r="L127" i="1"/>
  <c r="L155" i="1" s="1"/>
  <c r="B150" i="1"/>
  <c r="H137" i="1"/>
  <c r="G160" i="1"/>
  <c r="G162" i="1" s="1"/>
  <c r="K79" i="1"/>
  <c r="M137" i="1"/>
  <c r="S144" i="1"/>
  <c r="H134" i="1"/>
  <c r="F80" i="1"/>
  <c r="F109" i="1" s="1"/>
  <c r="H156" i="1"/>
  <c r="G120" i="1"/>
  <c r="P75" i="1"/>
  <c r="T152" i="1"/>
  <c r="G165" i="1"/>
  <c r="D144" i="1"/>
  <c r="F171" i="1"/>
  <c r="B148" i="1"/>
  <c r="J171" i="1"/>
  <c r="V145" i="1"/>
  <c r="V180" i="1" s="1"/>
  <c r="P148" i="1"/>
  <c r="B160" i="1"/>
  <c r="I136" i="1"/>
  <c r="I132" i="1" s="1"/>
  <c r="R160" i="1"/>
  <c r="R162" i="1" s="1"/>
  <c r="C146" i="1"/>
  <c r="C181" i="1" s="1"/>
  <c r="L79" i="1"/>
  <c r="G152" i="1"/>
  <c r="I134" i="1"/>
  <c r="M165" i="1"/>
  <c r="L144" i="1"/>
  <c r="H74" i="1"/>
  <c r="P118" i="1"/>
  <c r="R150" i="1"/>
  <c r="M144" i="1"/>
  <c r="J68" i="1"/>
  <c r="J69" i="1" s="1"/>
  <c r="L152" i="1"/>
  <c r="H150" i="1"/>
  <c r="I78" i="1"/>
  <c r="U126" i="1"/>
  <c r="L146" i="1"/>
  <c r="L181" i="1" s="1"/>
  <c r="O148" i="1"/>
  <c r="K141" i="1"/>
  <c r="K125" i="1"/>
  <c r="E145" i="1"/>
  <c r="E180" i="1" s="1"/>
  <c r="N171" i="1"/>
  <c r="M118" i="1"/>
  <c r="O160" i="1"/>
  <c r="S154" i="1"/>
  <c r="S184" i="1" s="1"/>
  <c r="O78" i="1"/>
  <c r="O103" i="1" s="1"/>
  <c r="O154" i="1"/>
  <c r="O184" i="1" s="1"/>
  <c r="N120" i="1"/>
  <c r="T126" i="1"/>
  <c r="Q119" i="1"/>
  <c r="P141" i="1"/>
  <c r="I165" i="1"/>
  <c r="V120" i="1"/>
  <c r="E133" i="1"/>
  <c r="H141" i="1"/>
  <c r="T145" i="1"/>
  <c r="T180" i="1" s="1"/>
  <c r="N160" i="1"/>
  <c r="U134" i="1"/>
  <c r="E68" i="1"/>
  <c r="E69" i="1" s="1"/>
  <c r="M128" i="1"/>
  <c r="P68" i="1"/>
  <c r="P69" i="1" s="1"/>
  <c r="Q152" i="1"/>
  <c r="M171" i="1"/>
  <c r="Q118" i="1"/>
  <c r="Q121" i="1" s="1"/>
  <c r="E144" i="1"/>
  <c r="R127" i="1"/>
  <c r="R155" i="1" s="1"/>
  <c r="F160" i="1"/>
  <c r="V150" i="1"/>
  <c r="P123" i="1"/>
  <c r="M127" i="1"/>
  <c r="M155" i="1" s="1"/>
  <c r="U156" i="1"/>
  <c r="BV75" i="1"/>
  <c r="BH146" i="1"/>
  <c r="BH144" i="1"/>
  <c r="BI144" i="1" s="1"/>
  <c r="BH123" i="1"/>
  <c r="BI123" i="1" s="1"/>
  <c r="K165" i="1"/>
  <c r="E138" i="1"/>
  <c r="Q150" i="1"/>
  <c r="G145" i="1"/>
  <c r="G180" i="1" s="1"/>
  <c r="T79" i="1"/>
  <c r="T90" i="1" s="1"/>
  <c r="F147" i="1"/>
  <c r="G123" i="1"/>
  <c r="I123" i="1"/>
  <c r="K119" i="1"/>
  <c r="O68" i="1"/>
  <c r="O69" i="1" s="1"/>
  <c r="M141" i="1"/>
  <c r="K78" i="1"/>
  <c r="T136" i="1"/>
  <c r="T132" i="1" s="1"/>
  <c r="E171" i="1"/>
  <c r="G80" i="1"/>
  <c r="R152" i="1"/>
  <c r="T173" i="1"/>
  <c r="M119" i="1"/>
  <c r="N74" i="1"/>
  <c r="N173" i="1"/>
  <c r="D143" i="1"/>
  <c r="D149" i="1" s="1"/>
  <c r="B154" i="1"/>
  <c r="B184" i="1" s="1"/>
  <c r="U74" i="1"/>
  <c r="U118" i="1"/>
  <c r="T172" i="1"/>
  <c r="B136" i="1"/>
  <c r="V151" i="1"/>
  <c r="W138" i="1"/>
  <c r="B79" i="1"/>
  <c r="Q164" i="1"/>
  <c r="F172" i="1"/>
  <c r="N143" i="1"/>
  <c r="M148" i="1"/>
  <c r="G150" i="1"/>
  <c r="I80" i="1"/>
  <c r="H143" i="1"/>
  <c r="H149" i="1" s="1"/>
  <c r="B134" i="1"/>
  <c r="U136" i="1"/>
  <c r="U132" i="1" s="1"/>
  <c r="O161" i="1"/>
  <c r="B145" i="1"/>
  <c r="B180" i="1" s="1"/>
  <c r="N119" i="1"/>
  <c r="K120" i="1"/>
  <c r="U152" i="1"/>
  <c r="P152" i="1"/>
  <c r="N141" i="1"/>
  <c r="T118" i="1"/>
  <c r="H152" i="1"/>
  <c r="W134" i="1"/>
  <c r="G161" i="1"/>
  <c r="L150" i="1"/>
  <c r="M173" i="1"/>
  <c r="B126" i="1"/>
  <c r="G126" i="1"/>
  <c r="I143" i="1"/>
  <c r="E161" i="1"/>
  <c r="E162" i="1" s="1"/>
  <c r="F210" i="1" s="1"/>
  <c r="D145" i="1"/>
  <c r="D180" i="1" s="1"/>
  <c r="K127" i="1"/>
  <c r="K155" i="1" s="1"/>
  <c r="S75" i="1"/>
  <c r="E125" i="1"/>
  <c r="K133" i="1"/>
  <c r="C151" i="1"/>
  <c r="W146" i="1"/>
  <c r="O172" i="1"/>
  <c r="O75" i="1"/>
  <c r="F118" i="1"/>
  <c r="J128" i="1"/>
  <c r="L71" i="1"/>
  <c r="AX141" i="1"/>
  <c r="AY141" i="1" s="1"/>
  <c r="AZ154" i="1"/>
  <c r="BR127" i="1"/>
  <c r="BS127" i="1" s="1"/>
  <c r="AZ155" i="1"/>
  <c r="BA155" i="1" s="1"/>
  <c r="BT132" i="1"/>
  <c r="BP156" i="1"/>
  <c r="BQ156" i="1" s="1"/>
  <c r="BP74" i="1"/>
  <c r="BF126" i="1"/>
  <c r="BG126" i="1" s="1"/>
  <c r="AP147" i="1"/>
  <c r="AQ147" i="1" s="1"/>
  <c r="BI74" i="1"/>
  <c r="AX145" i="1"/>
  <c r="AX180" i="1" s="1"/>
  <c r="BR160" i="1"/>
  <c r="BF75" i="1"/>
  <c r="AZ153" i="1"/>
  <c r="BA153" i="1" s="1"/>
  <c r="BD136" i="1"/>
  <c r="BE136" i="1" s="1"/>
  <c r="AZ118" i="1"/>
  <c r="BA118" i="1" s="1"/>
  <c r="BN165" i="1"/>
  <c r="BO165" i="1" s="1"/>
  <c r="BF148" i="1"/>
  <c r="BG148" i="1" s="1"/>
  <c r="BT152" i="1"/>
  <c r="BU152" i="1" s="1"/>
  <c r="BN120" i="1"/>
  <c r="AX119" i="1"/>
  <c r="AY119" i="1" s="1"/>
  <c r="BW75" i="1"/>
  <c r="BN127" i="1"/>
  <c r="BO127" i="1" s="1"/>
  <c r="AX152" i="1"/>
  <c r="AY152" i="1" s="1"/>
  <c r="AP126" i="1"/>
  <c r="AQ126" i="1" s="1"/>
  <c r="AT132" i="1"/>
  <c r="AZ132" i="1"/>
  <c r="BF155" i="1"/>
  <c r="BG155" i="1" s="1"/>
  <c r="BR128" i="1"/>
  <c r="BS128" i="1" s="1"/>
  <c r="BD148" i="1"/>
  <c r="BE148" i="1" s="1"/>
  <c r="AP144" i="1"/>
  <c r="AQ144" i="1" s="1"/>
  <c r="AV136" i="1"/>
  <c r="AW136" i="1" s="1"/>
  <c r="BB136" i="1"/>
  <c r="BC136" i="1" s="1"/>
  <c r="AN118" i="1"/>
  <c r="AR165" i="1"/>
  <c r="AS165" i="1" s="1"/>
  <c r="AQ74" i="1"/>
  <c r="AT152" i="1"/>
  <c r="AU152" i="1" s="1"/>
  <c r="AX75" i="1"/>
  <c r="BA74" i="1"/>
  <c r="BF152" i="1"/>
  <c r="BG152" i="1" s="1"/>
  <c r="BN123" i="1"/>
  <c r="BO123" i="1" s="1"/>
  <c r="BP128" i="1"/>
  <c r="BQ128" i="1" s="1"/>
  <c r="BF125" i="1"/>
  <c r="BG125" i="1" s="1"/>
  <c r="BF164" i="1"/>
  <c r="BG164" i="1" s="1"/>
  <c r="AZ161" i="1"/>
  <c r="AW74" i="1"/>
  <c r="BP127" i="1"/>
  <c r="BQ127" i="1" s="1"/>
  <c r="BD153" i="1"/>
  <c r="BE153" i="1" s="1"/>
  <c r="BG74" i="1"/>
  <c r="AZ143" i="1"/>
  <c r="BA143" i="1" s="1"/>
  <c r="BD161" i="1"/>
  <c r="BT118" i="1"/>
  <c r="BU118" i="1" s="1"/>
  <c r="BN153" i="1"/>
  <c r="BO153" i="1" s="1"/>
  <c r="BD150" i="1"/>
  <c r="BE150" i="1" s="1"/>
  <c r="BT153" i="1"/>
  <c r="BU153" i="1" s="1"/>
  <c r="BM75" i="1"/>
  <c r="BN128" i="1"/>
  <c r="BO128" i="1" s="1"/>
  <c r="BR133" i="1"/>
  <c r="BP145" i="1"/>
  <c r="AT160" i="1"/>
  <c r="BF165" i="1"/>
  <c r="BG165" i="1" s="1"/>
  <c r="AZ136" i="1"/>
  <c r="BA136" i="1" s="1"/>
  <c r="BT147" i="1"/>
  <c r="BU147" i="1" s="1"/>
  <c r="BP125" i="1"/>
  <c r="BQ125" i="1" s="1"/>
  <c r="BP143" i="1"/>
  <c r="BQ143" i="1" s="1"/>
  <c r="BT75" i="1"/>
  <c r="AR144" i="1"/>
  <c r="AS144" i="1" s="1"/>
  <c r="BF119" i="1"/>
  <c r="BG119" i="1" s="1"/>
  <c r="AX74" i="1"/>
  <c r="AX148" i="1"/>
  <c r="AY148" i="1" s="1"/>
  <c r="AX153" i="1"/>
  <c r="AY153" i="1" s="1"/>
  <c r="BB125" i="1"/>
  <c r="BF118" i="1"/>
  <c r="BG118" i="1" s="1"/>
  <c r="AZ148" i="1"/>
  <c r="BA148" i="1" s="1"/>
  <c r="BP132" i="1"/>
  <c r="AV145" i="1"/>
  <c r="BW74" i="1"/>
  <c r="BN156" i="1"/>
  <c r="BO156" i="1" s="1"/>
  <c r="BR150" i="1"/>
  <c r="BS150" i="1" s="1"/>
  <c r="BP120" i="1"/>
  <c r="BR74" i="1"/>
  <c r="BB75" i="1"/>
  <c r="BD75" i="1"/>
  <c r="AT126" i="1"/>
  <c r="AU126" i="1" s="1"/>
  <c r="BN126" i="1"/>
  <c r="BO126" i="1" s="1"/>
  <c r="BB147" i="1"/>
  <c r="BC147" i="1" s="1"/>
  <c r="BF133" i="1"/>
  <c r="AT123" i="1"/>
  <c r="AU123" i="1" s="1"/>
  <c r="BB133" i="1"/>
  <c r="AN123" i="1"/>
  <c r="AO123" i="1" s="1"/>
  <c r="BB127" i="1"/>
  <c r="BC127" i="1" s="1"/>
  <c r="BP141" i="1"/>
  <c r="BQ141" i="1" s="1"/>
  <c r="AP141" i="1"/>
  <c r="AV141" i="1"/>
  <c r="AV151" i="1"/>
  <c r="AW151" i="1" s="1"/>
  <c r="AN119" i="1"/>
  <c r="AO119" i="1" s="1"/>
  <c r="AN75" i="1"/>
  <c r="BE75" i="1"/>
  <c r="AX123" i="1"/>
  <c r="AY123" i="1" s="1"/>
  <c r="AX161" i="1"/>
  <c r="BB120" i="1"/>
  <c r="AZ146" i="1"/>
  <c r="AZ181" i="1" s="1"/>
  <c r="BA181" i="1" s="1"/>
  <c r="BT145" i="1"/>
  <c r="AP120" i="1"/>
  <c r="BR152" i="1"/>
  <c r="BS152" i="1" s="1"/>
  <c r="AT134" i="1"/>
  <c r="AX151" i="1"/>
  <c r="AY151" i="1" s="1"/>
  <c r="BN147" i="1"/>
  <c r="BO147" i="1" s="1"/>
  <c r="BN133" i="1"/>
  <c r="AY75" i="1"/>
  <c r="BR145" i="1"/>
  <c r="BB161" i="1"/>
  <c r="BD132" i="1"/>
  <c r="BT154" i="1"/>
  <c r="BA75" i="1"/>
  <c r="BR147" i="1"/>
  <c r="BS147" i="1" s="1"/>
  <c r="BB128" i="1"/>
  <c r="BC128" i="1" s="1"/>
  <c r="BP146" i="1"/>
  <c r="AT145" i="1"/>
  <c r="BC74" i="1"/>
  <c r="BD152" i="1"/>
  <c r="BE152" i="1" s="1"/>
  <c r="BR146" i="1"/>
  <c r="BT160" i="1"/>
  <c r="AV150" i="1"/>
  <c r="AW150" i="1" s="1"/>
  <c r="BN143" i="1"/>
  <c r="BO143" i="1" s="1"/>
  <c r="AZ145" i="1"/>
  <c r="AZ180" i="1" s="1"/>
  <c r="BA180" i="1" s="1"/>
  <c r="AP125" i="1"/>
  <c r="AQ125" i="1" s="1"/>
  <c r="BP118" i="1"/>
  <c r="BQ118" i="1" s="1"/>
  <c r="BD127" i="1"/>
  <c r="BE127" i="1" s="1"/>
  <c r="BP133" i="1"/>
  <c r="AP151" i="1"/>
  <c r="AQ151" i="1" s="1"/>
  <c r="BD165" i="1"/>
  <c r="BE165" i="1" s="1"/>
  <c r="AV160" i="1"/>
  <c r="AV118" i="1"/>
  <c r="AW118" i="1" s="1"/>
  <c r="AR120" i="1"/>
  <c r="AR143" i="1"/>
  <c r="AS143" i="1" s="1"/>
  <c r="AZ141" i="1"/>
  <c r="BA141" i="1" s="1"/>
  <c r="AP164" i="1"/>
  <c r="AQ164" i="1" s="1"/>
  <c r="AP143" i="1"/>
  <c r="AN138" i="1"/>
  <c r="AO138" i="1" s="1"/>
  <c r="AV126" i="1"/>
  <c r="AW126" i="1" s="1"/>
  <c r="AV127" i="1"/>
  <c r="AW127" i="1" s="1"/>
  <c r="AR155" i="1"/>
  <c r="AS155" i="1" s="1"/>
  <c r="AV134" i="1"/>
  <c r="AR119" i="1"/>
  <c r="AS119" i="1" s="1"/>
  <c r="AR153" i="1"/>
  <c r="AS153" i="1" s="1"/>
  <c r="BP160" i="1"/>
  <c r="AN151" i="1"/>
  <c r="AO151" i="1" s="1"/>
  <c r="AR125" i="1"/>
  <c r="AN161" i="1"/>
  <c r="AV165" i="1"/>
  <c r="AW165" i="1" s="1"/>
  <c r="AR154" i="1"/>
  <c r="AN127" i="1"/>
  <c r="AO127" i="1" s="1"/>
  <c r="AR123" i="1"/>
  <c r="AS123" i="1" s="1"/>
  <c r="AR147" i="1"/>
  <c r="AS147" i="1" s="1"/>
  <c r="BB132" i="1"/>
  <c r="AV74" i="1"/>
  <c r="AU74" i="1"/>
  <c r="AR161" i="1"/>
  <c r="AV154" i="1"/>
  <c r="AT150" i="1"/>
  <c r="AU150" i="1" s="1"/>
  <c r="AT154" i="1"/>
  <c r="AR74" i="1"/>
  <c r="BO75" i="1"/>
  <c r="BT141" i="1"/>
  <c r="AP134" i="1"/>
  <c r="BF151" i="1"/>
  <c r="BG151" i="1" s="1"/>
  <c r="BN74" i="1"/>
  <c r="AV161" i="1"/>
  <c r="AR145" i="1"/>
  <c r="BP150" i="1"/>
  <c r="BQ150" i="1" s="1"/>
  <c r="AV152" i="1"/>
  <c r="AW152" i="1" s="1"/>
  <c r="BT128" i="1"/>
  <c r="BU128" i="1" s="1"/>
  <c r="AR148" i="1"/>
  <c r="AS148" i="1" s="1"/>
  <c r="BB146" i="1"/>
  <c r="AT119" i="1"/>
  <c r="AU119" i="1" s="1"/>
  <c r="BO74" i="1"/>
  <c r="AX164" i="1"/>
  <c r="AY164" i="1" s="1"/>
  <c r="BB141" i="1"/>
  <c r="BC141" i="1" s="1"/>
  <c r="BD118" i="1"/>
  <c r="BR136" i="1"/>
  <c r="BS136" i="1" s="1"/>
  <c r="BB154" i="1"/>
  <c r="BF161" i="1"/>
  <c r="BP154" i="1"/>
  <c r="AX156" i="1"/>
  <c r="AY156" i="1" s="1"/>
  <c r="BN160" i="1"/>
  <c r="AZ127" i="1"/>
  <c r="BA127" i="1" s="1"/>
  <c r="AX132" i="1"/>
  <c r="BN145" i="1"/>
  <c r="BR119" i="1"/>
  <c r="BS119" i="1" s="1"/>
  <c r="BF146" i="1"/>
  <c r="BS74" i="1"/>
  <c r="BQ75" i="1"/>
  <c r="AT136" i="1"/>
  <c r="AU136" i="1" s="1"/>
  <c r="AT127" i="1"/>
  <c r="AU127" i="1" s="1"/>
  <c r="AZ123" i="1"/>
  <c r="BA123" i="1" s="1"/>
  <c r="BD164" i="1"/>
  <c r="BE164" i="1" s="1"/>
  <c r="BD123" i="1"/>
  <c r="BE123" i="1" s="1"/>
  <c r="BT120" i="1"/>
  <c r="BB155" i="1"/>
  <c r="BC155" i="1" s="1"/>
  <c r="BF132" i="1"/>
  <c r="AX120" i="1"/>
  <c r="AX136" i="1"/>
  <c r="AY136" i="1" s="1"/>
  <c r="AX146" i="1"/>
  <c r="AZ134" i="1"/>
  <c r="AZ156" i="1"/>
  <c r="BA156" i="1" s="1"/>
  <c r="BF154" i="1"/>
  <c r="BF136" i="1"/>
  <c r="BG136" i="1" s="1"/>
  <c r="BD151" i="1"/>
  <c r="BE151" i="1" s="1"/>
  <c r="BN151" i="1"/>
  <c r="BO151" i="1" s="1"/>
  <c r="AQ75" i="1"/>
  <c r="BR75" i="1"/>
  <c r="AZ128" i="1"/>
  <c r="BA128" i="1" s="1"/>
  <c r="BD147" i="1"/>
  <c r="BE147" i="1" s="1"/>
  <c r="BD125" i="1"/>
  <c r="BE125" i="1" s="1"/>
  <c r="BT136" i="1"/>
  <c r="BU136" i="1" s="1"/>
  <c r="BP75" i="1"/>
  <c r="AV155" i="1"/>
  <c r="AW155" i="1" s="1"/>
  <c r="BN75" i="1"/>
  <c r="BR165" i="1"/>
  <c r="BS165" i="1" s="1"/>
  <c r="AN165" i="1"/>
  <c r="AO165" i="1" s="1"/>
  <c r="AT151" i="1"/>
  <c r="AO74" i="1"/>
  <c r="AX150" i="1"/>
  <c r="AX133" i="1"/>
  <c r="AX138" i="1"/>
  <c r="AY138" i="1" s="1"/>
  <c r="BE74" i="1"/>
  <c r="BN134" i="1"/>
  <c r="BN164" i="1"/>
  <c r="BO164" i="1" s="1"/>
  <c r="BN125" i="1"/>
  <c r="BN146" i="1"/>
  <c r="BN155" i="1"/>
  <c r="BO155" i="1" s="1"/>
  <c r="AY74" i="1"/>
  <c r="BR143" i="1"/>
  <c r="BS143" i="1" s="1"/>
  <c r="BB150" i="1"/>
  <c r="BC150" i="1" s="1"/>
  <c r="BB152" i="1"/>
  <c r="BC152" i="1" s="1"/>
  <c r="AZ152" i="1"/>
  <c r="BA152" i="1" s="1"/>
  <c r="BF143" i="1"/>
  <c r="BG143" i="1" s="1"/>
  <c r="BD146" i="1"/>
  <c r="BT155" i="1"/>
  <c r="BU155" i="1" s="1"/>
  <c r="BT161" i="1"/>
  <c r="BP144" i="1"/>
  <c r="BQ144" i="1" s="1"/>
  <c r="BP152" i="1"/>
  <c r="BQ152" i="1" s="1"/>
  <c r="AP119" i="1"/>
  <c r="AQ119" i="1" s="1"/>
  <c r="AZ119" i="1"/>
  <c r="BA119" i="1" s="1"/>
  <c r="AX127" i="1"/>
  <c r="AY127" i="1" s="1"/>
  <c r="AX143" i="1"/>
  <c r="AY143" i="1" s="1"/>
  <c r="BN148" i="1"/>
  <c r="BO148" i="1" s="1"/>
  <c r="BR134" i="1"/>
  <c r="BR156" i="1"/>
  <c r="BS156" i="1" s="1"/>
  <c r="BR151" i="1"/>
  <c r="BS151" i="1" s="1"/>
  <c r="BB123" i="1"/>
  <c r="BC123" i="1" s="1"/>
  <c r="AZ133" i="1"/>
  <c r="AP150" i="1"/>
  <c r="AQ150" i="1" s="1"/>
  <c r="AW75" i="1"/>
  <c r="AS74" i="1"/>
  <c r="AT128" i="1"/>
  <c r="AU128" i="1" s="1"/>
  <c r="AT146" i="1"/>
  <c r="AT156" i="1"/>
  <c r="AU156" i="1" s="1"/>
  <c r="AT147" i="1"/>
  <c r="AU147" i="1" s="1"/>
  <c r="AT155" i="1"/>
  <c r="AU155" i="1" s="1"/>
  <c r="AT118" i="1"/>
  <c r="BB151" i="1"/>
  <c r="BC151" i="1" s="1"/>
  <c r="AZ164" i="1"/>
  <c r="BA164" i="1" s="1"/>
  <c r="AZ151" i="1"/>
  <c r="BA151" i="1" s="1"/>
  <c r="BF120" i="1"/>
  <c r="BD120" i="1"/>
  <c r="BD141" i="1"/>
  <c r="BE141" i="1" s="1"/>
  <c r="AP75" i="1"/>
  <c r="BG75" i="1"/>
  <c r="BF123" i="1"/>
  <c r="BG123" i="1" s="1"/>
  <c r="AZ165" i="1"/>
  <c r="BA165" i="1" s="1"/>
  <c r="BF141" i="1"/>
  <c r="BG141" i="1" s="1"/>
  <c r="BD143" i="1"/>
  <c r="BE143" i="1" s="1"/>
  <c r="BP123" i="1"/>
  <c r="BQ123" i="1" s="1"/>
  <c r="BK74" i="1"/>
  <c r="AP123" i="1"/>
  <c r="AQ123" i="1" s="1"/>
  <c r="AT144" i="1"/>
  <c r="AU144" i="1" s="1"/>
  <c r="AT120" i="1"/>
  <c r="BN154" i="1"/>
  <c r="BB134" i="1"/>
  <c r="BB143" i="1"/>
  <c r="BC143" i="1" s="1"/>
  <c r="AZ150" i="1"/>
  <c r="BA150" i="1" s="1"/>
  <c r="BP147" i="1"/>
  <c r="BQ147" i="1" s="1"/>
  <c r="AN147" i="1"/>
  <c r="AO147" i="1" s="1"/>
  <c r="BT146" i="1"/>
  <c r="BD154" i="1"/>
  <c r="BF127" i="1"/>
  <c r="BG127" i="1" s="1"/>
  <c r="BT151" i="1"/>
  <c r="BU151" i="1" s="1"/>
  <c r="AN160" i="1"/>
  <c r="AZ138" i="1"/>
  <c r="BA138" i="1" s="1"/>
  <c r="AP127" i="1"/>
  <c r="AQ127" i="1" s="1"/>
  <c r="AP145" i="1"/>
  <c r="AN153" i="1"/>
  <c r="AO153" i="1" s="1"/>
  <c r="BP126" i="1"/>
  <c r="BQ126" i="1" s="1"/>
  <c r="AV147" i="1"/>
  <c r="AW147" i="1" s="1"/>
  <c r="AR126" i="1"/>
  <c r="AS126" i="1" s="1"/>
  <c r="AR75" i="1"/>
  <c r="BT148" i="1"/>
  <c r="BU148" i="1" s="1"/>
  <c r="BP153" i="1"/>
  <c r="BQ153" i="1" s="1"/>
  <c r="AN164" i="1"/>
  <c r="AO164" i="1" s="1"/>
  <c r="AV75" i="1"/>
  <c r="AP128" i="1"/>
  <c r="AQ128" i="1" s="1"/>
  <c r="AV119" i="1"/>
  <c r="AW119" i="1" s="1"/>
  <c r="AV164" i="1"/>
  <c r="AW164" i="1" s="1"/>
  <c r="AR118" i="1"/>
  <c r="AV125" i="1"/>
  <c r="BD74" i="1"/>
  <c r="AP154" i="1"/>
  <c r="BP134" i="1"/>
  <c r="AN148" i="1"/>
  <c r="AO148" i="1" s="1"/>
  <c r="AR138" i="1"/>
  <c r="AS138" i="1" s="1"/>
  <c r="BI75" i="1"/>
  <c r="AS75" i="1"/>
  <c r="AR151" i="1"/>
  <c r="AS151" i="1" s="1"/>
  <c r="AP161" i="1"/>
  <c r="AN155" i="1"/>
  <c r="AO155" i="1" s="1"/>
  <c r="AV128" i="1"/>
  <c r="AW128" i="1" s="1"/>
  <c r="BP155" i="1"/>
  <c r="BQ155" i="1" s="1"/>
  <c r="AN152" i="1"/>
  <c r="AO152" i="1" s="1"/>
  <c r="AN136" i="1"/>
  <c r="AO136" i="1" s="1"/>
  <c r="AR128" i="1"/>
  <c r="AS128" i="1" s="1"/>
  <c r="AV153" i="1"/>
  <c r="AW153" i="1" s="1"/>
  <c r="BQ74" i="1"/>
  <c r="BS75" i="1"/>
  <c r="AR150" i="1"/>
  <c r="AS150" i="1" s="1"/>
  <c r="AP74" i="1"/>
  <c r="BR125" i="1"/>
  <c r="BS125" i="1" s="1"/>
  <c r="AV143" i="1"/>
  <c r="AW143" i="1" s="1"/>
  <c r="AN144" i="1"/>
  <c r="AO144" i="1" s="1"/>
  <c r="AN133" i="1"/>
  <c r="AR164" i="1"/>
  <c r="AS164" i="1" s="1"/>
  <c r="AV146" i="1"/>
  <c r="AN143" i="1"/>
  <c r="AR127" i="1"/>
  <c r="AS127" i="1" s="1"/>
  <c r="AX154" i="1"/>
  <c r="BB74" i="1"/>
  <c r="AZ147" i="1"/>
  <c r="BA147" i="1" s="1"/>
  <c r="BD160" i="1"/>
  <c r="BR155" i="1"/>
  <c r="BS155" i="1" s="1"/>
  <c r="BT133" i="1"/>
  <c r="BK75" i="1"/>
  <c r="AX118" i="1"/>
  <c r="AX155" i="1"/>
  <c r="AY155" i="1" s="1"/>
  <c r="BB126" i="1"/>
  <c r="BC126" i="1" s="1"/>
  <c r="BF145" i="1"/>
  <c r="BT126" i="1"/>
  <c r="BU126" i="1" s="1"/>
  <c r="AX125" i="1"/>
  <c r="BR141" i="1"/>
  <c r="BT125" i="1"/>
  <c r="AP156" i="1"/>
  <c r="AQ156" i="1" s="1"/>
  <c r="AT165" i="1"/>
  <c r="AU165" i="1" s="1"/>
  <c r="AT153" i="1"/>
  <c r="AU153" i="1" s="1"/>
  <c r="BC75" i="1"/>
  <c r="AZ125" i="1"/>
  <c r="BA125" i="1" s="1"/>
  <c r="BF153" i="1"/>
  <c r="BG153" i="1" s="1"/>
  <c r="BD145" i="1"/>
  <c r="AT75" i="1"/>
  <c r="BB145" i="1"/>
  <c r="BT156" i="1"/>
  <c r="BU156" i="1" s="1"/>
  <c r="BB148" i="1"/>
  <c r="BC148" i="1" s="1"/>
  <c r="AN141" i="1"/>
  <c r="BP151" i="1"/>
  <c r="BQ151" i="1" s="1"/>
  <c r="AN134" i="1"/>
  <c r="BT74" i="1"/>
  <c r="AP146" i="1"/>
  <c r="AV132" i="1"/>
  <c r="BD128" i="1"/>
  <c r="BE128" i="1" s="1"/>
  <c r="AX160" i="1"/>
  <c r="AX165" i="1"/>
  <c r="AY165" i="1" s="1"/>
  <c r="AX126" i="1"/>
  <c r="AY126" i="1" s="1"/>
  <c r="BB164" i="1"/>
  <c r="BC164" i="1" s="1"/>
  <c r="BU74" i="1"/>
  <c r="AZ75" i="1"/>
  <c r="BF147" i="1"/>
  <c r="BG147" i="1" s="1"/>
  <c r="BF128" i="1"/>
  <c r="BG128" i="1" s="1"/>
  <c r="BD134" i="1"/>
  <c r="BN141" i="1"/>
  <c r="BR153" i="1"/>
  <c r="BS153" i="1" s="1"/>
  <c r="BR120" i="1"/>
  <c r="BR126" i="1"/>
  <c r="BS126" i="1" s="1"/>
  <c r="BR118" i="1"/>
  <c r="BB165" i="1"/>
  <c r="BC165" i="1" s="1"/>
  <c r="AZ120" i="1"/>
  <c r="BF150" i="1"/>
  <c r="BG150" i="1" s="1"/>
  <c r="BD119" i="1"/>
  <c r="BE119" i="1" s="1"/>
  <c r="BT165" i="1"/>
  <c r="BU165" i="1" s="1"/>
  <c r="BP161" i="1"/>
  <c r="AP133" i="1"/>
  <c r="AV133" i="1"/>
  <c r="BN132" i="1"/>
  <c r="BR148" i="1"/>
  <c r="BS148" i="1" s="1"/>
  <c r="AX134" i="1"/>
  <c r="AX147" i="1"/>
  <c r="AY147" i="1" s="1"/>
  <c r="BN161" i="1"/>
  <c r="BN119" i="1"/>
  <c r="BO119" i="1" s="1"/>
  <c r="BN150" i="1"/>
  <c r="BO150" i="1" s="1"/>
  <c r="BR161" i="1"/>
  <c r="BR123" i="1"/>
  <c r="BS123" i="1" s="1"/>
  <c r="BB160" i="1"/>
  <c r="BF134" i="1"/>
  <c r="BT119" i="1"/>
  <c r="BU119" i="1" s="1"/>
  <c r="BP164" i="1"/>
  <c r="BQ164" i="1" s="1"/>
  <c r="BP148" i="1"/>
  <c r="BQ148" i="1" s="1"/>
  <c r="BM74" i="1"/>
  <c r="AX128" i="1"/>
  <c r="AY128" i="1" s="1"/>
  <c r="BN152" i="1"/>
  <c r="BO152" i="1" s="1"/>
  <c r="BN118" i="1"/>
  <c r="BO118" i="1" s="1"/>
  <c r="BR132" i="1"/>
  <c r="BR164" i="1"/>
  <c r="BS164" i="1" s="1"/>
  <c r="BR154" i="1"/>
  <c r="BB156" i="1"/>
  <c r="BC156" i="1" s="1"/>
  <c r="AZ160" i="1"/>
  <c r="BD156" i="1"/>
  <c r="BE156" i="1" s="1"/>
  <c r="BT134" i="1"/>
  <c r="AP152" i="1"/>
  <c r="AQ152" i="1" s="1"/>
  <c r="AT141" i="1"/>
  <c r="AU141" i="1" s="1"/>
  <c r="AT161" i="1"/>
  <c r="AT125" i="1"/>
  <c r="AU125" i="1" s="1"/>
  <c r="AT143" i="1"/>
  <c r="BN136" i="1"/>
  <c r="BO136" i="1" s="1"/>
  <c r="BB153" i="1"/>
  <c r="BC153" i="1" s="1"/>
  <c r="BU75" i="1"/>
  <c r="AZ126" i="1"/>
  <c r="BA126" i="1" s="1"/>
  <c r="BF156" i="1"/>
  <c r="BG156" i="1" s="1"/>
  <c r="BP119" i="1"/>
  <c r="BQ119" i="1" s="1"/>
  <c r="BF160" i="1"/>
  <c r="BF74" i="1"/>
  <c r="BD126" i="1"/>
  <c r="BE126" i="1" s="1"/>
  <c r="BT123" i="1"/>
  <c r="BU123" i="1" s="1"/>
  <c r="AP153" i="1"/>
  <c r="AQ153" i="1" s="1"/>
  <c r="AT164" i="1"/>
  <c r="AU164" i="1" s="1"/>
  <c r="AT148" i="1"/>
  <c r="AU148" i="1" s="1"/>
  <c r="BT127" i="1"/>
  <c r="BU127" i="1" s="1"/>
  <c r="AU75" i="1"/>
  <c r="BB119" i="1"/>
  <c r="BC119" i="1" s="1"/>
  <c r="AZ74" i="1"/>
  <c r="BT143" i="1"/>
  <c r="BU143" i="1" s="1"/>
  <c r="AP165" i="1"/>
  <c r="AQ165" i="1" s="1"/>
  <c r="BB118" i="1"/>
  <c r="AN146" i="1"/>
  <c r="BD155" i="1"/>
  <c r="BE155" i="1" s="1"/>
  <c r="BT164" i="1"/>
  <c r="BU164" i="1" s="1"/>
  <c r="BP136" i="1"/>
  <c r="BQ136" i="1" s="1"/>
  <c r="AP136" i="1"/>
  <c r="AQ136" i="1" s="1"/>
  <c r="AN125" i="1"/>
  <c r="BP165" i="1"/>
  <c r="BQ165" i="1" s="1"/>
  <c r="AP118" i="1"/>
  <c r="AQ118" i="1" s="1"/>
  <c r="AN120" i="1"/>
  <c r="AV123" i="1"/>
  <c r="AW123" i="1" s="1"/>
  <c r="AR136" i="1"/>
  <c r="AS136" i="1" s="1"/>
  <c r="AR141" i="1"/>
  <c r="AS141" i="1" s="1"/>
  <c r="AR134" i="1"/>
  <c r="AP160" i="1"/>
  <c r="AP148" i="1"/>
  <c r="AQ148" i="1" s="1"/>
  <c r="AN154" i="1"/>
  <c r="AV156" i="1"/>
  <c r="AW156" i="1" s="1"/>
  <c r="AP132" i="1"/>
  <c r="AR133" i="1"/>
  <c r="AR132" i="1"/>
  <c r="AR160" i="1"/>
  <c r="BD133" i="1"/>
  <c r="AN145" i="1"/>
  <c r="AV120" i="1"/>
  <c r="AR146" i="1"/>
  <c r="BT150" i="1"/>
  <c r="BU150" i="1" s="1"/>
  <c r="AN150" i="1"/>
  <c r="AO150" i="1" s="1"/>
  <c r="AR156" i="1"/>
  <c r="AS156" i="1" s="1"/>
  <c r="AP155" i="1"/>
  <c r="AQ155" i="1" s="1"/>
  <c r="AN128" i="1"/>
  <c r="AO128" i="1" s="1"/>
  <c r="AN156" i="1"/>
  <c r="AO156" i="1" s="1"/>
  <c r="AR152" i="1"/>
  <c r="AS152" i="1" s="1"/>
  <c r="AN132" i="1"/>
  <c r="AT133" i="1"/>
  <c r="AT74" i="1"/>
  <c r="AN74" i="1"/>
  <c r="AN126" i="1"/>
  <c r="AO126" i="1" s="1"/>
  <c r="AO75" i="1"/>
  <c r="AV148" i="1"/>
  <c r="AW148" i="1" s="1"/>
  <c r="AV138" i="1"/>
  <c r="AW138" i="1" s="1"/>
  <c r="AV144" i="1"/>
  <c r="AP138" i="1"/>
  <c r="AQ138" i="1" s="1"/>
  <c r="BF138" i="1"/>
  <c r="BG138" i="1" s="1"/>
  <c r="AT138" i="1"/>
  <c r="AU138" i="1" s="1"/>
  <c r="BP138" i="1"/>
  <c r="BQ138" i="1" s="1"/>
  <c r="BD138" i="1"/>
  <c r="BE138" i="1" s="1"/>
  <c r="BN138" i="1"/>
  <c r="BO138" i="1" s="1"/>
  <c r="BR138" i="1"/>
  <c r="BS138" i="1" s="1"/>
  <c r="BT138" i="1"/>
  <c r="BU138" i="1" s="1"/>
  <c r="BB138" i="1"/>
  <c r="BC138" i="1" s="1"/>
  <c r="BT144" i="1"/>
  <c r="BB144" i="1"/>
  <c r="BF144" i="1"/>
  <c r="AX144" i="1"/>
  <c r="BD144" i="1"/>
  <c r="AZ144" i="1"/>
  <c r="BR144" i="1"/>
  <c r="BN144" i="1"/>
  <c r="AP253" i="1"/>
  <c r="AT232" i="1"/>
  <c r="BQ232" i="1"/>
  <c r="BB195" i="1"/>
  <c r="AT10" i="1"/>
  <c r="AT16" i="1" s="1"/>
  <c r="R71" i="1"/>
  <c r="K71" i="1"/>
  <c r="BP10" i="1"/>
  <c r="BQ99" i="1"/>
  <c r="BQ100" i="1" s="1"/>
  <c r="BQ103" i="1" s="1"/>
  <c r="BQ254" i="1"/>
  <c r="BU195" i="1"/>
  <c r="BK195" i="1"/>
  <c r="BK33" i="1"/>
  <c r="BK204" i="1"/>
  <c r="BK202" i="1" s="1"/>
  <c r="AQ195" i="1"/>
  <c r="AS195" i="1"/>
  <c r="BS254" i="1"/>
  <c r="Q71" i="1"/>
  <c r="H71" i="1"/>
  <c r="H88" i="1"/>
  <c r="F71" i="1"/>
  <c r="H87" i="1"/>
  <c r="M104" i="1"/>
  <c r="M103" i="1"/>
  <c r="E87" i="1"/>
  <c r="U90" i="1"/>
  <c r="V71" i="1"/>
  <c r="O70" i="1"/>
  <c r="DB78" i="1"/>
  <c r="CY66" i="1"/>
  <c r="CZ64" i="1"/>
  <c r="S87" i="1"/>
  <c r="S71" i="1"/>
  <c r="T71" i="1"/>
  <c r="M71" i="1"/>
  <c r="I87" i="1"/>
  <c r="I71" i="1"/>
  <c r="H90" i="1"/>
  <c r="L86" i="1"/>
  <c r="BI10" i="1" l="1"/>
  <c r="BI253" i="1"/>
  <c r="AN253" i="1"/>
  <c r="G135" i="1"/>
  <c r="BJ27" i="1"/>
  <c r="L135" i="1"/>
  <c r="V162" i="1"/>
  <c r="K203" i="1"/>
  <c r="N135" i="1"/>
  <c r="L203" i="1"/>
  <c r="G203" i="1"/>
  <c r="J121" i="1"/>
  <c r="W203" i="1"/>
  <c r="K162" i="1"/>
  <c r="U174" i="1"/>
  <c r="I174" i="1"/>
  <c r="F174" i="1"/>
  <c r="BH181" i="1"/>
  <c r="BI181" i="1" s="1"/>
  <c r="K121" i="1"/>
  <c r="B129" i="1"/>
  <c r="BI150" i="1"/>
  <c r="AW10" i="1"/>
  <c r="AN195" i="1"/>
  <c r="AN33" i="1"/>
  <c r="BB254" i="1"/>
  <c r="BM232" i="1"/>
  <c r="AS253" i="1"/>
  <c r="AW254" i="1"/>
  <c r="BP254" i="1"/>
  <c r="BP195" i="1"/>
  <c r="BW118" i="1"/>
  <c r="BK254" i="1"/>
  <c r="BB232" i="1"/>
  <c r="BB10" i="1"/>
  <c r="BE254" i="1"/>
  <c r="BA195" i="1"/>
  <c r="AW232" i="1"/>
  <c r="AS254" i="1"/>
  <c r="BK253" i="1"/>
  <c r="BO10" i="1"/>
  <c r="AY253" i="1"/>
  <c r="AZ26" i="1"/>
  <c r="AW253" i="1"/>
  <c r="AQ253" i="1"/>
  <c r="AT253" i="1"/>
  <c r="BQ253" i="1"/>
  <c r="BB26" i="1"/>
  <c r="BO253" i="1"/>
  <c r="BI254" i="1"/>
  <c r="BM10" i="1"/>
  <c r="BR99" i="1"/>
  <c r="BR100" i="1" s="1"/>
  <c r="AU26" i="1"/>
  <c r="BT253" i="1"/>
  <c r="AS10" i="1"/>
  <c r="AR253" i="1"/>
  <c r="L174" i="1"/>
  <c r="BT254" i="1"/>
  <c r="BT26" i="1"/>
  <c r="AO253" i="1"/>
  <c r="F135" i="1"/>
  <c r="D121" i="1"/>
  <c r="Q149" i="1"/>
  <c r="Q162" i="1"/>
  <c r="R210" i="1" s="1"/>
  <c r="I129" i="1"/>
  <c r="K174" i="1"/>
  <c r="Q174" i="1"/>
  <c r="C66" i="1"/>
  <c r="P174" i="1"/>
  <c r="T129" i="1"/>
  <c r="M162" i="1"/>
  <c r="B174" i="1"/>
  <c r="R174" i="1"/>
  <c r="J174" i="1"/>
  <c r="J135" i="1"/>
  <c r="D135" i="1"/>
  <c r="D162" i="1"/>
  <c r="O157" i="1"/>
  <c r="G157" i="1"/>
  <c r="F121" i="1"/>
  <c r="J129" i="1"/>
  <c r="M174" i="1"/>
  <c r="AT181" i="1"/>
  <c r="AU181" i="1" s="1"/>
  <c r="BN184" i="1"/>
  <c r="BO184" i="1" s="1"/>
  <c r="BD184" i="1"/>
  <c r="BE184" i="1" s="1"/>
  <c r="AP180" i="1"/>
  <c r="AQ180" i="1" s="1"/>
  <c r="J203" i="1"/>
  <c r="M135" i="1"/>
  <c r="AT26" i="1"/>
  <c r="AT27" i="1" s="1"/>
  <c r="B121" i="1"/>
  <c r="AZ195" i="1"/>
  <c r="AZ254" i="1"/>
  <c r="N108" i="1"/>
  <c r="N104" i="1"/>
  <c r="M105" i="1"/>
  <c r="M109" i="1"/>
  <c r="M88" i="1"/>
  <c r="L88" i="1"/>
  <c r="L109" i="1"/>
  <c r="L105" i="1"/>
  <c r="U88" i="1"/>
  <c r="U105" i="1"/>
  <c r="U109" i="1"/>
  <c r="E88" i="1"/>
  <c r="E109" i="1"/>
  <c r="E105" i="1"/>
  <c r="W108" i="1"/>
  <c r="W104" i="1"/>
  <c r="R105" i="1"/>
  <c r="R88" i="1"/>
  <c r="R109" i="1"/>
  <c r="U108" i="1"/>
  <c r="U87" i="1"/>
  <c r="U104" i="1"/>
  <c r="H109" i="1"/>
  <c r="H105" i="1"/>
  <c r="W109" i="1"/>
  <c r="W105" i="1"/>
  <c r="P108" i="1"/>
  <c r="P87" i="1"/>
  <c r="P104" i="1"/>
  <c r="P90" i="1"/>
  <c r="K88" i="1"/>
  <c r="K109" i="1"/>
  <c r="K105" i="1"/>
  <c r="O104" i="1"/>
  <c r="O90" i="1"/>
  <c r="O108" i="1"/>
  <c r="V87" i="1"/>
  <c r="V108" i="1"/>
  <c r="V104" i="1"/>
  <c r="V88" i="1"/>
  <c r="V105" i="1"/>
  <c r="V109" i="1"/>
  <c r="O109" i="1"/>
  <c r="O105" i="1"/>
  <c r="E108" i="1"/>
  <c r="E90" i="1"/>
  <c r="E104" i="1"/>
  <c r="S104" i="1"/>
  <c r="S108" i="1"/>
  <c r="S90" i="1"/>
  <c r="P103" i="1"/>
  <c r="P86" i="1"/>
  <c r="M108" i="1"/>
  <c r="M90" i="1"/>
  <c r="M87" i="1"/>
  <c r="F103" i="1"/>
  <c r="F86" i="1"/>
  <c r="I104" i="1"/>
  <c r="I90" i="1"/>
  <c r="I108" i="1"/>
  <c r="J90" i="1"/>
  <c r="J108" i="1"/>
  <c r="J104" i="1"/>
  <c r="J87" i="1"/>
  <c r="Q109" i="1"/>
  <c r="Q105" i="1"/>
  <c r="Q88" i="1"/>
  <c r="K87" i="1"/>
  <c r="K108" i="1"/>
  <c r="K104" i="1"/>
  <c r="K90" i="1"/>
  <c r="L108" i="1"/>
  <c r="L90" i="1"/>
  <c r="L104" i="1"/>
  <c r="L87" i="1"/>
  <c r="I103" i="1"/>
  <c r="I86" i="1"/>
  <c r="P203" i="1"/>
  <c r="Q203" i="1"/>
  <c r="K103" i="1"/>
  <c r="K86" i="1"/>
  <c r="I88" i="1"/>
  <c r="I105" i="1"/>
  <c r="I109" i="1"/>
  <c r="N203" i="1"/>
  <c r="O203" i="1"/>
  <c r="BV162" i="1"/>
  <c r="BV181" i="1"/>
  <c r="BW181" i="1" s="1"/>
  <c r="BH149" i="1"/>
  <c r="BH183" i="1" s="1"/>
  <c r="AM48" i="1"/>
  <c r="AZ10" i="1"/>
  <c r="BM253" i="1"/>
  <c r="BW26" i="1"/>
  <c r="AQ10" i="1"/>
  <c r="AQ26" i="1"/>
  <c r="BG26" i="1"/>
  <c r="BN10" i="1"/>
  <c r="AO26" i="1"/>
  <c r="BC26" i="1"/>
  <c r="BR26" i="1"/>
  <c r="BK37" i="1"/>
  <c r="BM26" i="1"/>
  <c r="BM27" i="1" s="1"/>
  <c r="BF26" i="1"/>
  <c r="AU253" i="1"/>
  <c r="BT10" i="1"/>
  <c r="BT226" i="1" s="1"/>
  <c r="BE253" i="1"/>
  <c r="BS26" i="1"/>
  <c r="N157" i="1"/>
  <c r="BB253" i="1"/>
  <c r="AV253" i="1"/>
  <c r="BV121" i="1"/>
  <c r="BV93" i="1" s="1"/>
  <c r="E174" i="1"/>
  <c r="R129" i="1"/>
  <c r="AP26" i="1"/>
  <c r="AP27" i="1" s="1"/>
  <c r="BH26" i="1"/>
  <c r="BH27" i="1" s="1"/>
  <c r="BV26" i="1"/>
  <c r="V149" i="1"/>
  <c r="W135" i="1"/>
  <c r="AW26" i="1"/>
  <c r="AW27" i="1" s="1"/>
  <c r="BA26" i="1"/>
  <c r="S135" i="1"/>
  <c r="W174" i="1"/>
  <c r="BK26" i="1"/>
  <c r="L129" i="1"/>
  <c r="W129" i="1"/>
  <c r="H162" i="1"/>
  <c r="I210" i="1" s="1"/>
  <c r="E121" i="1"/>
  <c r="S121" i="1"/>
  <c r="T162" i="1"/>
  <c r="E149" i="1"/>
  <c r="E197" i="1" s="1"/>
  <c r="C203" i="1"/>
  <c r="B149" i="1"/>
  <c r="F203" i="1"/>
  <c r="N121" i="1"/>
  <c r="J149" i="1"/>
  <c r="C149" i="1"/>
  <c r="D66" i="1"/>
  <c r="F129" i="1"/>
  <c r="D174" i="1"/>
  <c r="B135" i="1"/>
  <c r="U203" i="1"/>
  <c r="Q157" i="1"/>
  <c r="Q135" i="1"/>
  <c r="Q139" i="1" s="1"/>
  <c r="T121" i="1"/>
  <c r="B157" i="1"/>
  <c r="B186" i="1" s="1"/>
  <c r="B185" i="1" s="1"/>
  <c r="S174" i="1"/>
  <c r="BV180" i="1"/>
  <c r="BW180" i="1" s="1"/>
  <c r="BH162" i="1"/>
  <c r="O135" i="1"/>
  <c r="L162" i="1"/>
  <c r="L121" i="1"/>
  <c r="K149" i="1"/>
  <c r="O174" i="1"/>
  <c r="J162" i="1"/>
  <c r="N129" i="1"/>
  <c r="V174" i="1"/>
  <c r="P129" i="1"/>
  <c r="M129" i="1"/>
  <c r="C129" i="1"/>
  <c r="L149" i="1"/>
  <c r="S149" i="1"/>
  <c r="S183" i="1" s="1"/>
  <c r="S182" i="1" s="1"/>
  <c r="B162" i="1"/>
  <c r="I135" i="1"/>
  <c r="P121" i="1"/>
  <c r="L157" i="1"/>
  <c r="N174" i="1"/>
  <c r="O162" i="1"/>
  <c r="O169" i="1" s="1"/>
  <c r="O110" i="1" s="1"/>
  <c r="V121" i="1"/>
  <c r="V249" i="1" s="1"/>
  <c r="E135" i="1"/>
  <c r="H203" i="1"/>
  <c r="N162" i="1"/>
  <c r="O210" i="1" s="1"/>
  <c r="F162" i="1"/>
  <c r="V157" i="1"/>
  <c r="T135" i="1"/>
  <c r="T33" i="1" s="1"/>
  <c r="G129" i="1"/>
  <c r="I149" i="1"/>
  <c r="C157" i="1"/>
  <c r="BP180" i="1"/>
  <c r="BQ180" i="1" s="1"/>
  <c r="AV180" i="1"/>
  <c r="AW180" i="1" s="1"/>
  <c r="BT180" i="1"/>
  <c r="BU180" i="1" s="1"/>
  <c r="BR180" i="1"/>
  <c r="BS180" i="1" s="1"/>
  <c r="BT184" i="1"/>
  <c r="BU184" i="1" s="1"/>
  <c r="BP181" i="1"/>
  <c r="BQ181" i="1" s="1"/>
  <c r="AT180" i="1"/>
  <c r="AU180" i="1" s="1"/>
  <c r="BR181" i="1"/>
  <c r="BS181" i="1" s="1"/>
  <c r="AV184" i="1"/>
  <c r="AW184" i="1" s="1"/>
  <c r="AT184" i="1"/>
  <c r="AU184" i="1" s="1"/>
  <c r="AR180" i="1"/>
  <c r="AS180" i="1" s="1"/>
  <c r="BB181" i="1"/>
  <c r="BC181" i="1" s="1"/>
  <c r="BB184" i="1"/>
  <c r="BC184" i="1" s="1"/>
  <c r="BP184" i="1"/>
  <c r="BQ184" i="1" s="1"/>
  <c r="BN180" i="1"/>
  <c r="BO180" i="1" s="1"/>
  <c r="BF181" i="1"/>
  <c r="BG181" i="1" s="1"/>
  <c r="AX181" i="1"/>
  <c r="AY181" i="1" s="1"/>
  <c r="BF184" i="1"/>
  <c r="BG184" i="1" s="1"/>
  <c r="BN181" i="1"/>
  <c r="BO181" i="1" s="1"/>
  <c r="BD181" i="1"/>
  <c r="BE181" i="1" s="1"/>
  <c r="BT181" i="1"/>
  <c r="BU181" i="1" s="1"/>
  <c r="AY26" i="1"/>
  <c r="O149" i="1"/>
  <c r="BU26" i="1"/>
  <c r="AV26" i="1"/>
  <c r="AV181" i="1"/>
  <c r="AW181" i="1" s="1"/>
  <c r="AX184" i="1"/>
  <c r="AY184" i="1" s="1"/>
  <c r="BF180" i="1"/>
  <c r="BG180" i="1" s="1"/>
  <c r="BD180" i="1"/>
  <c r="BE180" i="1" s="1"/>
  <c r="BB180" i="1"/>
  <c r="BC180" i="1" s="1"/>
  <c r="AP181" i="1"/>
  <c r="AQ181" i="1" s="1"/>
  <c r="BR184" i="1"/>
  <c r="BS184" i="1" s="1"/>
  <c r="AN181" i="1"/>
  <c r="AO181" i="1" s="1"/>
  <c r="AN184" i="1"/>
  <c r="AO184" i="1" s="1"/>
  <c r="AN180" i="1"/>
  <c r="AO180" i="1" s="1"/>
  <c r="BP26" i="1"/>
  <c r="BP27" i="1" s="1"/>
  <c r="H157" i="1"/>
  <c r="BN26" i="1"/>
  <c r="BI26" i="1"/>
  <c r="BI27" i="1" s="1"/>
  <c r="BP232" i="1"/>
  <c r="BS99" i="1"/>
  <c r="BS100" i="1" s="1"/>
  <c r="BD10" i="1"/>
  <c r="BD232" i="1"/>
  <c r="BG99" i="1"/>
  <c r="BG100" i="1" s="1"/>
  <c r="BP99" i="1"/>
  <c r="BP100" i="1" s="1"/>
  <c r="BN232" i="1"/>
  <c r="BO99" i="1"/>
  <c r="BO100" i="1" s="1"/>
  <c r="BO103" i="1" s="1"/>
  <c r="AY10" i="1"/>
  <c r="AY254" i="1"/>
  <c r="AY232" i="1"/>
  <c r="BR232" i="1"/>
  <c r="BT99" i="1"/>
  <c r="BT100" i="1" s="1"/>
  <c r="BR10" i="1"/>
  <c r="AV232" i="1"/>
  <c r="AY99" i="1"/>
  <c r="AY100" i="1" s="1"/>
  <c r="AV10" i="1"/>
  <c r="AV254" i="1"/>
  <c r="AR232" i="1"/>
  <c r="AR10" i="1"/>
  <c r="AU99" i="1"/>
  <c r="AU100" i="1" s="1"/>
  <c r="BW10" i="1"/>
  <c r="BW253" i="1"/>
  <c r="BW254" i="1"/>
  <c r="BW232" i="1"/>
  <c r="BZ99" i="1"/>
  <c r="BZ100" i="1" s="1"/>
  <c r="AX195" i="1"/>
  <c r="AX254" i="1"/>
  <c r="AU232" i="1"/>
  <c r="AW99" i="1"/>
  <c r="AW100" i="1" s="1"/>
  <c r="AX99" i="1"/>
  <c r="AX100" i="1" s="1"/>
  <c r="AU254" i="1"/>
  <c r="AV99" i="1"/>
  <c r="AV100" i="1" s="1"/>
  <c r="BV195" i="1"/>
  <c r="BV254" i="1"/>
  <c r="BM254" i="1"/>
  <c r="BM33" i="1"/>
  <c r="BM204" i="1"/>
  <c r="BM202" i="1" s="1"/>
  <c r="BM195" i="1"/>
  <c r="BJ28" i="1"/>
  <c r="BJ17" i="1"/>
  <c r="BI118" i="1"/>
  <c r="BH121" i="1"/>
  <c r="BI152" i="1"/>
  <c r="BH157" i="1"/>
  <c r="E103" i="1"/>
  <c r="E86" i="1"/>
  <c r="AP195" i="1"/>
  <c r="AP254" i="1"/>
  <c r="BD195" i="1"/>
  <c r="BD254" i="1"/>
  <c r="AI195" i="1"/>
  <c r="AI204" i="1"/>
  <c r="AI202" i="1" s="1"/>
  <c r="AI33" i="1"/>
  <c r="BH195" i="1"/>
  <c r="BH254" i="1"/>
  <c r="BH232" i="1"/>
  <c r="BH10" i="1"/>
  <c r="BK99" i="1"/>
  <c r="BK100" i="1" s="1"/>
  <c r="BH253" i="1"/>
  <c r="AR195" i="1"/>
  <c r="AR254" i="1"/>
  <c r="AN99" i="1"/>
  <c r="AN100" i="1" s="1"/>
  <c r="AN254" i="1"/>
  <c r="AN232" i="1"/>
  <c r="AQ99" i="1"/>
  <c r="AQ100" i="1" s="1"/>
  <c r="AN10" i="1"/>
  <c r="AO99" i="1"/>
  <c r="AO100" i="1" s="1"/>
  <c r="BR254" i="1"/>
  <c r="BR195" i="1"/>
  <c r="BN254" i="1"/>
  <c r="BN33" i="1"/>
  <c r="BN195" i="1"/>
  <c r="AO232" i="1"/>
  <c r="AO10" i="1"/>
  <c r="BI99" i="1"/>
  <c r="BI100" i="1" s="1"/>
  <c r="BI104" i="1" s="1"/>
  <c r="BF232" i="1"/>
  <c r="BH99" i="1"/>
  <c r="BH100" i="1" s="1"/>
  <c r="BF10" i="1"/>
  <c r="BF253" i="1"/>
  <c r="AO195" i="1"/>
  <c r="AO254" i="1"/>
  <c r="AQ232" i="1"/>
  <c r="AQ254" i="1"/>
  <c r="AT99" i="1"/>
  <c r="AT100" i="1" s="1"/>
  <c r="AX253" i="1"/>
  <c r="AX232" i="1"/>
  <c r="AX10" i="1"/>
  <c r="BG232" i="1"/>
  <c r="BG10" i="1"/>
  <c r="BJ99" i="1"/>
  <c r="BJ100" i="1" s="1"/>
  <c r="BJ103" i="1" s="1"/>
  <c r="BV232" i="1"/>
  <c r="BV253" i="1"/>
  <c r="BV184" i="1"/>
  <c r="BW184" i="1" s="1"/>
  <c r="BV10" i="1"/>
  <c r="BZ11" i="1" s="1"/>
  <c r="BY99" i="1"/>
  <c r="BY100" i="1" s="1"/>
  <c r="BJ254" i="1"/>
  <c r="BJ195" i="1"/>
  <c r="R203" i="1"/>
  <c r="S203" i="1"/>
  <c r="Q103" i="1"/>
  <c r="Q86" i="1"/>
  <c r="R181" i="1"/>
  <c r="R149" i="1"/>
  <c r="BW141" i="1"/>
  <c r="BX203" i="1" s="1"/>
  <c r="BW203" i="1"/>
  <c r="BQ26" i="1"/>
  <c r="AS26" i="1"/>
  <c r="M121" i="1"/>
  <c r="M55" i="1" s="1"/>
  <c r="I157" i="1"/>
  <c r="F87" i="1"/>
  <c r="M203" i="1"/>
  <c r="BM37" i="1"/>
  <c r="BU253" i="1"/>
  <c r="AW16" i="1"/>
  <c r="AZ99" i="1"/>
  <c r="AZ100" i="1" s="1"/>
  <c r="BA10" i="1"/>
  <c r="N87" i="1"/>
  <c r="K129" i="1"/>
  <c r="K37" i="1" s="1"/>
  <c r="G149" i="1"/>
  <c r="G183" i="1" s="1"/>
  <c r="G182" i="1" s="1"/>
  <c r="I121" i="1"/>
  <c r="BU10" i="1"/>
  <c r="BT195" i="1"/>
  <c r="BF254" i="1"/>
  <c r="BV99" i="1"/>
  <c r="BV100" i="1" s="1"/>
  <c r="BV103" i="1" s="1"/>
  <c r="BW99" i="1"/>
  <c r="BW100" i="1" s="1"/>
  <c r="BW104" i="1" s="1"/>
  <c r="AZ232" i="1"/>
  <c r="BK10" i="1"/>
  <c r="L55" i="1"/>
  <c r="T105" i="1"/>
  <c r="K135" i="1"/>
  <c r="U121" i="1"/>
  <c r="U55" i="1" s="1"/>
  <c r="I162" i="1"/>
  <c r="J210" i="1" s="1"/>
  <c r="T203" i="1"/>
  <c r="P135" i="1"/>
  <c r="AN26" i="1"/>
  <c r="AN27" i="1" s="1"/>
  <c r="BU254" i="1"/>
  <c r="BA253" i="1"/>
  <c r="BA99" i="1"/>
  <c r="BA100" i="1" s="1"/>
  <c r="D203" i="1"/>
  <c r="AT254" i="1"/>
  <c r="BG254" i="1"/>
  <c r="BU99" i="1"/>
  <c r="BU100" i="1" s="1"/>
  <c r="BU105" i="1" s="1"/>
  <c r="R86" i="1"/>
  <c r="R87" i="1"/>
  <c r="T109" i="1"/>
  <c r="Q129" i="1"/>
  <c r="AR26" i="1"/>
  <c r="BB99" i="1"/>
  <c r="BB100" i="1" s="1"/>
  <c r="R90" i="1"/>
  <c r="BI195" i="1"/>
  <c r="BM99" i="1"/>
  <c r="BM100" i="1" s="1"/>
  <c r="AS99" i="1"/>
  <c r="AS100" i="1" s="1"/>
  <c r="BL99" i="1"/>
  <c r="BL100" i="1" s="1"/>
  <c r="BL105" i="1" s="1"/>
  <c r="BX99" i="1"/>
  <c r="BX100" i="1" s="1"/>
  <c r="BN99" i="1"/>
  <c r="BN100" i="1" s="1"/>
  <c r="BN104" i="1" s="1"/>
  <c r="J88" i="1"/>
  <c r="R104" i="1"/>
  <c r="H129" i="1"/>
  <c r="G121" i="1"/>
  <c r="AP99" i="1"/>
  <c r="AP100" i="1" s="1"/>
  <c r="AP184" i="1"/>
  <c r="AQ184" i="1" s="1"/>
  <c r="P105" i="1"/>
  <c r="J109" i="1"/>
  <c r="Q87" i="1"/>
  <c r="Q108" i="1"/>
  <c r="R157" i="1"/>
  <c r="M149" i="1"/>
  <c r="M183" i="1" s="1"/>
  <c r="M182" i="1" s="1"/>
  <c r="V135" i="1"/>
  <c r="T174" i="1"/>
  <c r="AZ184" i="1"/>
  <c r="BA184" i="1" s="1"/>
  <c r="BA254" i="1"/>
  <c r="AR99" i="1"/>
  <c r="AR100" i="1" s="1"/>
  <c r="BV16" i="1"/>
  <c r="BV17" i="1" s="1"/>
  <c r="AR184" i="1"/>
  <c r="AS184" i="1" s="1"/>
  <c r="M157" i="1"/>
  <c r="P88" i="1"/>
  <c r="Q104" i="1"/>
  <c r="C121" i="1"/>
  <c r="V86" i="1"/>
  <c r="F149" i="1"/>
  <c r="S157" i="1"/>
  <c r="S86" i="1"/>
  <c r="H86" i="1"/>
  <c r="S105" i="1"/>
  <c r="E129" i="1"/>
  <c r="J157" i="1"/>
  <c r="BW129" i="1"/>
  <c r="BX207" i="1" s="1"/>
  <c r="P157" i="1"/>
  <c r="P186" i="1" s="1"/>
  <c r="P185" i="1" s="1"/>
  <c r="E157" i="1"/>
  <c r="K157" i="1"/>
  <c r="BV135" i="1"/>
  <c r="BV139" i="1" s="1"/>
  <c r="U135" i="1"/>
  <c r="U33" i="1" s="1"/>
  <c r="BV149" i="1"/>
  <c r="BV183" i="1" s="1"/>
  <c r="U157" i="1"/>
  <c r="BI203" i="1"/>
  <c r="D37" i="1"/>
  <c r="D130" i="1"/>
  <c r="D56" i="1" s="1"/>
  <c r="R93" i="1"/>
  <c r="R55" i="1"/>
  <c r="N86" i="1"/>
  <c r="N103" i="1"/>
  <c r="AI183" i="1"/>
  <c r="AI187" i="1" s="1"/>
  <c r="BC253" i="1"/>
  <c r="AI184" i="1"/>
  <c r="AI185" i="1" s="1"/>
  <c r="S109" i="1"/>
  <c r="F108" i="1"/>
  <c r="T149" i="1"/>
  <c r="T183" i="1" s="1"/>
  <c r="G105" i="1"/>
  <c r="G88" i="1"/>
  <c r="G109" i="1"/>
  <c r="H121" i="1"/>
  <c r="T104" i="1"/>
  <c r="T87" i="1"/>
  <c r="T108" i="1"/>
  <c r="BH180" i="1"/>
  <c r="BI180" i="1" s="1"/>
  <c r="BV129" i="1"/>
  <c r="BV169" i="1" s="1"/>
  <c r="AL99" i="1"/>
  <c r="AL100" i="1" s="1"/>
  <c r="AL105" i="1" s="1"/>
  <c r="AZ16" i="1"/>
  <c r="BH203" i="1"/>
  <c r="C174" i="1"/>
  <c r="G86" i="1"/>
  <c r="G103" i="1"/>
  <c r="BE99" i="1"/>
  <c r="BE100" i="1" s="1"/>
  <c r="BE105" i="1" s="1"/>
  <c r="BD99" i="1"/>
  <c r="BD100" i="1" s="1"/>
  <c r="AI181" i="1"/>
  <c r="U162" i="1"/>
  <c r="V210" i="1" s="1"/>
  <c r="G90" i="1"/>
  <c r="U86" i="1"/>
  <c r="V129" i="1"/>
  <c r="V37" i="1" s="1"/>
  <c r="BH129" i="1"/>
  <c r="I203" i="1"/>
  <c r="P149" i="1"/>
  <c r="P183" i="1" s="1"/>
  <c r="J86" i="1"/>
  <c r="H174" i="1"/>
  <c r="BF99" i="1"/>
  <c r="BF100" i="1" s="1"/>
  <c r="BI129" i="1"/>
  <c r="N149" i="1"/>
  <c r="N183" i="1" s="1"/>
  <c r="AI232" i="1"/>
  <c r="BV157" i="1"/>
  <c r="BV186" i="1" s="1"/>
  <c r="BO254" i="1"/>
  <c r="AI10" i="1"/>
  <c r="AM11" i="1" s="1"/>
  <c r="BC99" i="1"/>
  <c r="BC100" i="1" s="1"/>
  <c r="AR135" i="1"/>
  <c r="AS135" i="1" s="1"/>
  <c r="G87" i="1"/>
  <c r="F105" i="1"/>
  <c r="T103" i="1"/>
  <c r="L176" i="1"/>
  <c r="U129" i="1"/>
  <c r="H108" i="1"/>
  <c r="H104" i="1"/>
  <c r="BC254" i="1"/>
  <c r="F90" i="1"/>
  <c r="AI180" i="1"/>
  <c r="BC10" i="1"/>
  <c r="G104" i="1"/>
  <c r="F88" i="1"/>
  <c r="U149" i="1"/>
  <c r="U183" i="1" s="1"/>
  <c r="U182" i="1" s="1"/>
  <c r="R135" i="1"/>
  <c r="N105" i="1"/>
  <c r="N109" i="1"/>
  <c r="N88" i="1"/>
  <c r="T139" i="1"/>
  <c r="D169" i="1"/>
  <c r="D110" i="1" s="1"/>
  <c r="C250" i="1"/>
  <c r="C252" i="1" s="1"/>
  <c r="B109" i="1"/>
  <c r="B108" i="1"/>
  <c r="B67" i="1"/>
  <c r="N139" i="1"/>
  <c r="N33" i="1"/>
  <c r="O249" i="1"/>
  <c r="P210" i="1"/>
  <c r="L33" i="1"/>
  <c r="L139" i="1"/>
  <c r="O176" i="1"/>
  <c r="O93" i="1"/>
  <c r="O55" i="1"/>
  <c r="N210" i="1"/>
  <c r="C139" i="1"/>
  <c r="C33" i="1"/>
  <c r="W210" i="1"/>
  <c r="D207" i="1"/>
  <c r="C37" i="1"/>
  <c r="D250" i="1"/>
  <c r="D252" i="1" s="1"/>
  <c r="J139" i="1"/>
  <c r="J33" i="1"/>
  <c r="C67" i="1"/>
  <c r="C109" i="1"/>
  <c r="C108" i="1"/>
  <c r="S169" i="1"/>
  <c r="S110" i="1" s="1"/>
  <c r="S37" i="1"/>
  <c r="G210" i="1"/>
  <c r="F249" i="1"/>
  <c r="F93" i="1"/>
  <c r="F55" i="1"/>
  <c r="F176" i="1"/>
  <c r="T207" i="1"/>
  <c r="Q249" i="1"/>
  <c r="R208" i="1"/>
  <c r="H139" i="1"/>
  <c r="H33" i="1"/>
  <c r="E210" i="1"/>
  <c r="D249" i="1"/>
  <c r="O130" i="1"/>
  <c r="O56" i="1" s="1"/>
  <c r="O207" i="1"/>
  <c r="K210" i="1"/>
  <c r="J249" i="1"/>
  <c r="J37" i="1"/>
  <c r="J130" i="1"/>
  <c r="J56" i="1" s="1"/>
  <c r="J169" i="1"/>
  <c r="J110" i="1" s="1"/>
  <c r="J250" i="1"/>
  <c r="J252" i="1" s="1"/>
  <c r="D198" i="1"/>
  <c r="E183" i="1"/>
  <c r="E182" i="1" s="1"/>
  <c r="P139" i="1"/>
  <c r="P33" i="1"/>
  <c r="R130" i="1"/>
  <c r="R56" i="1" s="1"/>
  <c r="R176" i="1"/>
  <c r="T186" i="1"/>
  <c r="T185" i="1" s="1"/>
  <c r="K208" i="1"/>
  <c r="G139" i="1"/>
  <c r="G33" i="1"/>
  <c r="I33" i="1"/>
  <c r="I139" i="1"/>
  <c r="V197" i="1"/>
  <c r="V183" i="1"/>
  <c r="V182" i="1" s="1"/>
  <c r="F250" i="1"/>
  <c r="F252" i="1" s="1"/>
  <c r="H250" i="1"/>
  <c r="H252" i="1" s="1"/>
  <c r="G207" i="1"/>
  <c r="G250" i="1"/>
  <c r="G252" i="1" s="1"/>
  <c r="BD162" i="1"/>
  <c r="BE210" i="1" s="1"/>
  <c r="Q197" i="1"/>
  <c r="E33" i="1"/>
  <c r="E139" i="1"/>
  <c r="J176" i="1"/>
  <c r="J93" i="1"/>
  <c r="J55" i="1"/>
  <c r="D33" i="1"/>
  <c r="D139" i="1"/>
  <c r="L186" i="1"/>
  <c r="L185" i="1" s="1"/>
  <c r="L210" i="1"/>
  <c r="K249" i="1"/>
  <c r="B176" i="1"/>
  <c r="B55" i="1"/>
  <c r="T37" i="1"/>
  <c r="T250" i="1"/>
  <c r="T252" i="1" s="1"/>
  <c r="O37" i="1"/>
  <c r="B37" i="1"/>
  <c r="B130" i="1"/>
  <c r="B56" i="1" s="1"/>
  <c r="K55" i="1"/>
  <c r="K176" i="1"/>
  <c r="K93" i="1"/>
  <c r="D210" i="1"/>
  <c r="M139" i="1"/>
  <c r="M33" i="1"/>
  <c r="Q183" i="1"/>
  <c r="Q182" i="1" s="1"/>
  <c r="H183" i="1"/>
  <c r="D183" i="1"/>
  <c r="D182" i="1" s="1"/>
  <c r="D158" i="1"/>
  <c r="I37" i="1"/>
  <c r="J207" i="1"/>
  <c r="Q93" i="1"/>
  <c r="Q55" i="1"/>
  <c r="Q176" i="1"/>
  <c r="D186" i="1"/>
  <c r="S210" i="1"/>
  <c r="R249" i="1"/>
  <c r="AN162" i="1"/>
  <c r="AO210" i="1" s="1"/>
  <c r="AV162" i="1"/>
  <c r="AW210" i="1" s="1"/>
  <c r="BN162" i="1"/>
  <c r="BO210" i="1" s="1"/>
  <c r="BR135" i="1"/>
  <c r="AX162" i="1"/>
  <c r="AY210" i="1" s="1"/>
  <c r="BS129" i="1"/>
  <c r="H210" i="1"/>
  <c r="G186" i="1"/>
  <c r="G198" i="1"/>
  <c r="O186" i="1"/>
  <c r="AZ135" i="1"/>
  <c r="BP135" i="1"/>
  <c r="BT162" i="1"/>
  <c r="BU210" i="1" s="1"/>
  <c r="BP162" i="1"/>
  <c r="BQ210" i="1" s="1"/>
  <c r="BB162" i="1"/>
  <c r="AZ162" i="1"/>
  <c r="BA210" i="1" s="1"/>
  <c r="BE129" i="1"/>
  <c r="AR162" i="1"/>
  <c r="AS210" i="1" s="1"/>
  <c r="AQ141" i="1"/>
  <c r="AW141" i="1"/>
  <c r="AX203" i="1" s="1"/>
  <c r="AQ143" i="1"/>
  <c r="AP149" i="1"/>
  <c r="AP183" i="1" s="1"/>
  <c r="AS125" i="1"/>
  <c r="AS129" i="1" s="1"/>
  <c r="AR129" i="1"/>
  <c r="AU118" i="1"/>
  <c r="AT121" i="1"/>
  <c r="AT93" i="1" s="1"/>
  <c r="AS118" i="1"/>
  <c r="AR121" i="1"/>
  <c r="AX121" i="1"/>
  <c r="AY118" i="1"/>
  <c r="AY125" i="1"/>
  <c r="AY129" i="1" s="1"/>
  <c r="AX129" i="1"/>
  <c r="BO141" i="1"/>
  <c r="BN203" i="1"/>
  <c r="BT135" i="1"/>
  <c r="AT135" i="1"/>
  <c r="BF162" i="1"/>
  <c r="BG210" i="1" s="1"/>
  <c r="BF135" i="1"/>
  <c r="AV135" i="1"/>
  <c r="BD135" i="1"/>
  <c r="AP135" i="1"/>
  <c r="AU143" i="1"/>
  <c r="AT149" i="1"/>
  <c r="BC118" i="1"/>
  <c r="BB121" i="1"/>
  <c r="BB93" i="1" s="1"/>
  <c r="AO125" i="1"/>
  <c r="AO129" i="1" s="1"/>
  <c r="AN129" i="1"/>
  <c r="AR181" i="1"/>
  <c r="AS181" i="1" s="1"/>
  <c r="AR149" i="1"/>
  <c r="AR183" i="1" s="1"/>
  <c r="AO118" i="1"/>
  <c r="AN121" i="1"/>
  <c r="BC125" i="1"/>
  <c r="BC129" i="1" s="1"/>
  <c r="BB129" i="1"/>
  <c r="BU141" i="1"/>
  <c r="BV203" i="1" s="1"/>
  <c r="BE118" i="1"/>
  <c r="BD121" i="1"/>
  <c r="AU151" i="1"/>
  <c r="AT157" i="1"/>
  <c r="AT186" i="1" s="1"/>
  <c r="AY150" i="1"/>
  <c r="AX157" i="1"/>
  <c r="AX186" i="1" s="1"/>
  <c r="BO125" i="1"/>
  <c r="BO129" i="1" s="1"/>
  <c r="BN129" i="1"/>
  <c r="AW125" i="1"/>
  <c r="AW129" i="1" s="1"/>
  <c r="AV129" i="1"/>
  <c r="AO143" i="1"/>
  <c r="AN149" i="1"/>
  <c r="BS141" i="1"/>
  <c r="BR203" i="1"/>
  <c r="BU125" i="1"/>
  <c r="BU129" i="1" s="1"/>
  <c r="BT129" i="1"/>
  <c r="AO141" i="1"/>
  <c r="AN203" i="1"/>
  <c r="BS118" i="1"/>
  <c r="BR121" i="1"/>
  <c r="BR93" i="1" s="1"/>
  <c r="BF203" i="1"/>
  <c r="AQ129" i="1"/>
  <c r="AT203" i="1"/>
  <c r="AN135" i="1"/>
  <c r="AP162" i="1"/>
  <c r="BT157" i="1"/>
  <c r="BT186" i="1" s="1"/>
  <c r="BN135" i="1"/>
  <c r="AX135" i="1"/>
  <c r="BB135" i="1"/>
  <c r="AT162" i="1"/>
  <c r="AU210" i="1" s="1"/>
  <c r="AZ121" i="1"/>
  <c r="BR162" i="1"/>
  <c r="AR157" i="1"/>
  <c r="BN121" i="1"/>
  <c r="AS203" i="1"/>
  <c r="BP157" i="1"/>
  <c r="BP186" i="1" s="1"/>
  <c r="BT121" i="1"/>
  <c r="BF129" i="1"/>
  <c r="BE203" i="1"/>
  <c r="BR157" i="1"/>
  <c r="BR186" i="1" s="1"/>
  <c r="BP149" i="1"/>
  <c r="BP183" i="1" s="1"/>
  <c r="AZ129" i="1"/>
  <c r="BQ203" i="1"/>
  <c r="BB157" i="1"/>
  <c r="BB186" i="1" s="1"/>
  <c r="AP129" i="1"/>
  <c r="AP121" i="1"/>
  <c r="AP93" i="1" s="1"/>
  <c r="BD157" i="1"/>
  <c r="BD186" i="1" s="1"/>
  <c r="BD185" i="1" s="1"/>
  <c r="BP121" i="1"/>
  <c r="BP93" i="1" s="1"/>
  <c r="BP95" i="1" s="1"/>
  <c r="BN157" i="1"/>
  <c r="BN186" i="1" s="1"/>
  <c r="AN157" i="1"/>
  <c r="AN186" i="1" s="1"/>
  <c r="BP129" i="1"/>
  <c r="BG129" i="1"/>
  <c r="BA129" i="1"/>
  <c r="AT129" i="1"/>
  <c r="AP157" i="1"/>
  <c r="BF157" i="1"/>
  <c r="BF186" i="1" s="1"/>
  <c r="AV157" i="1"/>
  <c r="AV186" i="1" s="1"/>
  <c r="BF121" i="1"/>
  <c r="BQ129" i="1"/>
  <c r="BR129" i="1"/>
  <c r="BD129" i="1"/>
  <c r="AZ157" i="1"/>
  <c r="AZ186" i="1" s="1"/>
  <c r="AV121" i="1"/>
  <c r="AU129" i="1"/>
  <c r="AW144" i="1"/>
  <c r="AV149" i="1"/>
  <c r="BC144" i="1"/>
  <c r="BB149" i="1"/>
  <c r="BG144" i="1"/>
  <c r="BF149" i="1"/>
  <c r="BE144" i="1"/>
  <c r="BD149" i="1"/>
  <c r="BO144" i="1"/>
  <c r="BN149" i="1"/>
  <c r="BU144" i="1"/>
  <c r="BT149" i="1"/>
  <c r="AY144" i="1"/>
  <c r="AX149" i="1"/>
  <c r="BS144" i="1"/>
  <c r="BR149" i="1"/>
  <c r="BA144" i="1"/>
  <c r="AZ149" i="1"/>
  <c r="AU203" i="1"/>
  <c r="AV203" i="1"/>
  <c r="BB203" i="1"/>
  <c r="BA203" i="1"/>
  <c r="AY203" i="1"/>
  <c r="AZ203" i="1"/>
  <c r="BE27" i="1"/>
  <c r="AT12" i="1"/>
  <c r="AP226" i="1"/>
  <c r="AP16" i="1"/>
  <c r="AP11" i="1"/>
  <c r="BQ11" i="1"/>
  <c r="BM11" i="1"/>
  <c r="BR103" i="1"/>
  <c r="BR105" i="1"/>
  <c r="BR104" i="1"/>
  <c r="BQ16" i="1"/>
  <c r="BQ12" i="1"/>
  <c r="BC203" i="1"/>
  <c r="BD203" i="1"/>
  <c r="BM16" i="1"/>
  <c r="BM12" i="1"/>
  <c r="BA11" i="1"/>
  <c r="AS16" i="1"/>
  <c r="AW11" i="1"/>
  <c r="AY180" i="1"/>
  <c r="BP12" i="1"/>
  <c r="BO27" i="1"/>
  <c r="BO16" i="1"/>
  <c r="BR226" i="1"/>
  <c r="V59" i="1"/>
  <c r="AT11" i="1"/>
  <c r="AW226" i="1"/>
  <c r="AU12" i="1"/>
  <c r="AT189" i="1"/>
  <c r="AS226" i="1"/>
  <c r="AT17" i="1"/>
  <c r="AT28" i="1"/>
  <c r="AT104" i="1"/>
  <c r="AT105" i="1"/>
  <c r="AT103" i="1"/>
  <c r="BI16" i="1"/>
  <c r="BP16" i="1"/>
  <c r="BQ189" i="1"/>
  <c r="AU16" i="1"/>
  <c r="AU27" i="1"/>
  <c r="BS27" i="1"/>
  <c r="BS16" i="1"/>
  <c r="BT12" i="1"/>
  <c r="BE16" i="1"/>
  <c r="BI11" i="1"/>
  <c r="BG203" i="1"/>
  <c r="BS11" i="1"/>
  <c r="BT189" i="1"/>
  <c r="AU11" i="1"/>
  <c r="AU189" i="1"/>
  <c r="BP11" i="1"/>
  <c r="BJ12" i="1"/>
  <c r="BT27" i="1"/>
  <c r="BQ104" i="1"/>
  <c r="BQ105" i="1"/>
  <c r="AL103" i="1"/>
  <c r="AL104" i="1"/>
  <c r="BH182" i="1"/>
  <c r="BB16" i="1"/>
  <c r="BN11" i="1"/>
  <c r="BN189" i="1"/>
  <c r="BN16" i="1"/>
  <c r="BN12" i="1"/>
  <c r="BQ226" i="1"/>
  <c r="BO12" i="1"/>
  <c r="BB27" i="1"/>
  <c r="BX11" i="1"/>
  <c r="BT16" i="1"/>
  <c r="BI135" i="1"/>
  <c r="AQ16" i="1"/>
  <c r="AQ11" i="1"/>
  <c r="BC12" i="1"/>
  <c r="BP226" i="1"/>
  <c r="BO226" i="1"/>
  <c r="AO11" i="1"/>
  <c r="AS11" i="1"/>
  <c r="AO189" i="1"/>
  <c r="AO16" i="1"/>
  <c r="BI210" i="1"/>
  <c r="AO27" i="1"/>
  <c r="AN11" i="1"/>
  <c r="AO226" i="1"/>
  <c r="AN16" i="1"/>
  <c r="AN12" i="1"/>
  <c r="AN226" i="1"/>
  <c r="AO12" i="1"/>
  <c r="AR11" i="1"/>
  <c r="BH16" i="1"/>
  <c r="BL11" i="1"/>
  <c r="BI12" i="1"/>
  <c r="BT11" i="1"/>
  <c r="AV12" i="1"/>
  <c r="BI33" i="1"/>
  <c r="BI105" i="1"/>
  <c r="BI103" i="1"/>
  <c r="BG189" i="1"/>
  <c r="BG27" i="1"/>
  <c r="BJ226" i="1"/>
  <c r="BJ245" i="1"/>
  <c r="BH12" i="1"/>
  <c r="BG16" i="1"/>
  <c r="BF11" i="1"/>
  <c r="AO103" i="1"/>
  <c r="AO105" i="1"/>
  <c r="AO104" i="1"/>
  <c r="BD12" i="1"/>
  <c r="BG11" i="1"/>
  <c r="AN189" i="1"/>
  <c r="AQ27" i="1"/>
  <c r="BJ29" i="1"/>
  <c r="BJ34" i="1"/>
  <c r="BJ38" i="1" s="1"/>
  <c r="BJ233" i="1"/>
  <c r="BJ234" i="1" s="1"/>
  <c r="F185" i="1"/>
  <c r="P71" i="1"/>
  <c r="N90" i="1"/>
  <c r="O87" i="1"/>
  <c r="O88" i="1"/>
  <c r="O71" i="1"/>
  <c r="O86" i="1"/>
  <c r="AE78" i="1"/>
  <c r="AB126" i="1"/>
  <c r="AB129" i="1" s="1"/>
  <c r="AB250" i="1" s="1"/>
  <c r="AD143" i="1"/>
  <c r="CZ66" i="1"/>
  <c r="DA64" i="1"/>
  <c r="BC27" i="1" l="1"/>
  <c r="BV27" i="1"/>
  <c r="V158" i="1"/>
  <c r="C158" i="1"/>
  <c r="AR27" i="1"/>
  <c r="M208" i="1"/>
  <c r="M176" i="1"/>
  <c r="M93" i="1"/>
  <c r="M96" i="1" s="1"/>
  <c r="I93" i="1"/>
  <c r="I95" i="1" s="1"/>
  <c r="I55" i="1"/>
  <c r="I176" i="1"/>
  <c r="E130" i="1"/>
  <c r="E56" i="1" s="1"/>
  <c r="W139" i="1"/>
  <c r="X204" i="1" s="1"/>
  <c r="X202" i="1" s="1"/>
  <c r="W33" i="1"/>
  <c r="Q33" i="1"/>
  <c r="P130" i="1"/>
  <c r="P56" i="1" s="1"/>
  <c r="P207" i="1"/>
  <c r="P169" i="1"/>
  <c r="P110" i="1" s="1"/>
  <c r="P250" i="1"/>
  <c r="P252" i="1" s="1"/>
  <c r="P37" i="1"/>
  <c r="O250" i="1"/>
  <c r="O252" i="1" s="1"/>
  <c r="N250" i="1"/>
  <c r="N252" i="1" s="1"/>
  <c r="N37" i="1"/>
  <c r="N207" i="1"/>
  <c r="N169" i="1"/>
  <c r="N110" i="1" s="1"/>
  <c r="P208" i="1"/>
  <c r="P55" i="1"/>
  <c r="P249" i="1"/>
  <c r="O139" i="1"/>
  <c r="O33" i="1"/>
  <c r="M210" i="1"/>
  <c r="L249" i="1"/>
  <c r="V93" i="1"/>
  <c r="V55" i="1"/>
  <c r="V176" i="1"/>
  <c r="M37" i="1"/>
  <c r="M169" i="1"/>
  <c r="M110" i="1" s="1"/>
  <c r="V186" i="1"/>
  <c r="AZ27" i="1"/>
  <c r="AY16" i="1"/>
  <c r="BJ104" i="1"/>
  <c r="BJ105" i="1"/>
  <c r="BQ27" i="1"/>
  <c r="BQ28" i="1"/>
  <c r="BS103" i="1"/>
  <c r="BS104" i="1"/>
  <c r="BS105" i="1"/>
  <c r="BO104" i="1"/>
  <c r="BO105" i="1"/>
  <c r="BP104" i="1"/>
  <c r="BP105" i="1"/>
  <c r="BP103" i="1"/>
  <c r="BJ11" i="1"/>
  <c r="BF16" i="1"/>
  <c r="AY189" i="1"/>
  <c r="BE12" i="1"/>
  <c r="BG226" i="1"/>
  <c r="BH11" i="1"/>
  <c r="BD16" i="1"/>
  <c r="BD27" i="1"/>
  <c r="BD189" i="1"/>
  <c r="BG103" i="1"/>
  <c r="BG105" i="1"/>
  <c r="BG104" i="1"/>
  <c r="BJ250" i="1"/>
  <c r="BO11" i="1"/>
  <c r="BW105" i="1"/>
  <c r="BW103" i="1"/>
  <c r="BR27" i="1"/>
  <c r="BV11" i="1"/>
  <c r="BS12" i="1"/>
  <c r="AR16" i="1"/>
  <c r="AR28" i="1" s="1"/>
  <c r="AR29" i="1" s="1"/>
  <c r="AU226" i="1"/>
  <c r="BV104" i="1"/>
  <c r="BV105" i="1"/>
  <c r="BN27" i="1"/>
  <c r="BC189" i="1"/>
  <c r="BW189" i="1"/>
  <c r="AW103" i="1"/>
  <c r="AW105" i="1"/>
  <c r="AW104" i="1"/>
  <c r="BW27" i="1"/>
  <c r="AV11" i="1"/>
  <c r="D176" i="1"/>
  <c r="D55" i="1"/>
  <c r="M207" i="1"/>
  <c r="M206" i="1" s="1"/>
  <c r="AS27" i="1"/>
  <c r="BF28" i="1"/>
  <c r="F33" i="1"/>
  <c r="F139" i="1"/>
  <c r="G204" i="1" s="1"/>
  <c r="G202" i="1" s="1"/>
  <c r="BW210" i="1"/>
  <c r="BV249" i="1"/>
  <c r="AM194" i="1"/>
  <c r="AM196" i="1" s="1"/>
  <c r="AM67" i="1"/>
  <c r="AM70" i="1" s="1"/>
  <c r="AM53" i="1"/>
  <c r="AM120" i="1"/>
  <c r="AM121" i="1" s="1"/>
  <c r="AZ12" i="1"/>
  <c r="BA12" i="1"/>
  <c r="BD11" i="1"/>
  <c r="AQ12" i="1"/>
  <c r="AQ189" i="1"/>
  <c r="N186" i="1"/>
  <c r="N185" i="1" s="1"/>
  <c r="O198" i="1"/>
  <c r="R37" i="1"/>
  <c r="S250" i="1"/>
  <c r="S252" i="1" s="1"/>
  <c r="S207" i="1"/>
  <c r="R169" i="1"/>
  <c r="R110" i="1" s="1"/>
  <c r="S139" i="1"/>
  <c r="S33" i="1"/>
  <c r="M250" i="1"/>
  <c r="M252" i="1" s="1"/>
  <c r="L37" i="1"/>
  <c r="L169" i="1"/>
  <c r="L110" i="1" s="1"/>
  <c r="E93" i="1"/>
  <c r="F208" i="1"/>
  <c r="E208" i="1"/>
  <c r="E55" i="1"/>
  <c r="E176" i="1"/>
  <c r="S176" i="1"/>
  <c r="S249" i="1"/>
  <c r="U210" i="1"/>
  <c r="T169" i="1"/>
  <c r="T110" i="1" s="1"/>
  <c r="T249" i="1"/>
  <c r="B158" i="1"/>
  <c r="B183" i="1"/>
  <c r="C197" i="1"/>
  <c r="O208" i="1"/>
  <c r="N130" i="1"/>
  <c r="N56" i="1" s="1"/>
  <c r="N93" i="1"/>
  <c r="N249" i="1"/>
  <c r="N55" i="1"/>
  <c r="N176" i="1"/>
  <c r="J197" i="1"/>
  <c r="J183" i="1"/>
  <c r="J182" i="1" s="1"/>
  <c r="K197" i="1"/>
  <c r="F37" i="1"/>
  <c r="F169" i="1"/>
  <c r="F110" i="1" s="1"/>
  <c r="F130" i="1"/>
  <c r="F56" i="1" s="1"/>
  <c r="B139" i="1"/>
  <c r="B33" i="1"/>
  <c r="Q158" i="1"/>
  <c r="Q186" i="1"/>
  <c r="T130" i="1"/>
  <c r="T56" i="1" s="1"/>
  <c r="T55" i="1"/>
  <c r="T93" i="1"/>
  <c r="T208" i="1"/>
  <c r="T206" i="1" s="1"/>
  <c r="T176" i="1"/>
  <c r="AZ28" i="1"/>
  <c r="BF103" i="1"/>
  <c r="BF105" i="1"/>
  <c r="BF104" i="1"/>
  <c r="BC104" i="1"/>
  <c r="BC105" i="1"/>
  <c r="BC103" i="1"/>
  <c r="AP182" i="1"/>
  <c r="H249" i="1"/>
  <c r="BH130" i="1"/>
  <c r="P158" i="1"/>
  <c r="BV185" i="1"/>
  <c r="AT185" i="1"/>
  <c r="AX185" i="1"/>
  <c r="BT185" i="1"/>
  <c r="BP185" i="1"/>
  <c r="BR185" i="1"/>
  <c r="BP182" i="1"/>
  <c r="BB185" i="1"/>
  <c r="BF185" i="1"/>
  <c r="AV185" i="1"/>
  <c r="K198" i="1"/>
  <c r="X207" i="1"/>
  <c r="X250" i="1"/>
  <c r="X252" i="1" s="1"/>
  <c r="W37" i="1"/>
  <c r="S93" i="1"/>
  <c r="S55" i="1"/>
  <c r="S208" i="1"/>
  <c r="S130" i="1"/>
  <c r="S56" i="1" s="1"/>
  <c r="C183" i="1"/>
  <c r="D197" i="1"/>
  <c r="D199" i="1" s="1"/>
  <c r="D200" i="1" s="1"/>
  <c r="D108" i="1"/>
  <c r="D111" i="1" s="1"/>
  <c r="D114" i="1" s="1"/>
  <c r="D109" i="1"/>
  <c r="D67" i="1"/>
  <c r="L93" i="1"/>
  <c r="L130" i="1"/>
  <c r="L56" i="1" s="1"/>
  <c r="L208" i="1"/>
  <c r="K158" i="1"/>
  <c r="K183" i="1"/>
  <c r="L197" i="1"/>
  <c r="C207" i="1"/>
  <c r="C169" i="1"/>
  <c r="C110" i="1" s="1"/>
  <c r="L183" i="1"/>
  <c r="L158" i="1"/>
  <c r="L166" i="1" s="1"/>
  <c r="L167" i="1" s="1"/>
  <c r="C210" i="1"/>
  <c r="B169" i="1"/>
  <c r="B110" i="1" s="1"/>
  <c r="B249" i="1"/>
  <c r="P176" i="1"/>
  <c r="Q208" i="1"/>
  <c r="P93" i="1"/>
  <c r="G169" i="1"/>
  <c r="G110" i="1" s="1"/>
  <c r="G37" i="1"/>
  <c r="G130" i="1"/>
  <c r="G56" i="1" s="1"/>
  <c r="I183" i="1"/>
  <c r="I197" i="1"/>
  <c r="C186" i="1"/>
  <c r="C185" i="1" s="1"/>
  <c r="C198" i="1"/>
  <c r="C199" i="1" s="1"/>
  <c r="C200" i="1" s="1"/>
  <c r="P197" i="1"/>
  <c r="O183" i="1"/>
  <c r="O158" i="1"/>
  <c r="O166" i="1" s="1"/>
  <c r="O167" i="1" s="1"/>
  <c r="H186" i="1"/>
  <c r="H185" i="1" s="1"/>
  <c r="H158" i="1"/>
  <c r="H166" i="1" s="1"/>
  <c r="H198" i="1"/>
  <c r="BE226" i="1"/>
  <c r="BE189" i="1"/>
  <c r="AZ189" i="1"/>
  <c r="BC11" i="1"/>
  <c r="AY27" i="1"/>
  <c r="R59" i="1"/>
  <c r="AY11" i="1"/>
  <c r="BT105" i="1"/>
  <c r="BT104" i="1"/>
  <c r="BT103" i="1"/>
  <c r="BS189" i="1"/>
  <c r="BR11" i="1"/>
  <c r="BR189" i="1"/>
  <c r="BR12" i="1"/>
  <c r="BR16" i="1"/>
  <c r="BS226" i="1"/>
  <c r="AY105" i="1"/>
  <c r="AY104" i="1"/>
  <c r="AY103" i="1"/>
  <c r="AV16" i="1"/>
  <c r="AY226" i="1"/>
  <c r="AW12" i="1"/>
  <c r="Q59" i="1"/>
  <c r="AV226" i="1"/>
  <c r="AZ11" i="1"/>
  <c r="AV189" i="1"/>
  <c r="AX226" i="1"/>
  <c r="AV27" i="1"/>
  <c r="AW189" i="1"/>
  <c r="AS189" i="1"/>
  <c r="P59" i="1"/>
  <c r="AR12" i="1"/>
  <c r="AR189" i="1"/>
  <c r="AS12" i="1"/>
  <c r="AT226" i="1"/>
  <c r="AU104" i="1"/>
  <c r="AU105" i="1"/>
  <c r="AU103" i="1"/>
  <c r="BZ245" i="1"/>
  <c r="BX12" i="1"/>
  <c r="BW16" i="1"/>
  <c r="CB189" i="1"/>
  <c r="CA189" i="1"/>
  <c r="BW11" i="1"/>
  <c r="BZ226" i="1"/>
  <c r="BY226" i="1"/>
  <c r="BW12" i="1"/>
  <c r="CA11" i="1"/>
  <c r="BX189" i="1"/>
  <c r="X59" i="1"/>
  <c r="BZ104" i="1"/>
  <c r="BZ105" i="1"/>
  <c r="BZ103" i="1"/>
  <c r="AX104" i="1"/>
  <c r="AX105" i="1"/>
  <c r="AX103" i="1"/>
  <c r="AV103" i="1"/>
  <c r="AV104" i="1"/>
  <c r="AV105" i="1"/>
  <c r="BH93" i="1"/>
  <c r="BH249" i="1"/>
  <c r="BH186" i="1"/>
  <c r="BH158" i="1"/>
  <c r="BH166" i="1" s="1"/>
  <c r="BH167" i="1" s="1"/>
  <c r="BK226" i="1"/>
  <c r="BH189" i="1"/>
  <c r="BM189" i="1"/>
  <c r="BI189" i="1"/>
  <c r="BK105" i="1"/>
  <c r="BK104" i="1"/>
  <c r="BK103" i="1"/>
  <c r="AN103" i="1"/>
  <c r="AN104" i="1"/>
  <c r="AN105" i="1"/>
  <c r="AQ105" i="1"/>
  <c r="AQ104" i="1"/>
  <c r="AQ103" i="1"/>
  <c r="AQ226" i="1"/>
  <c r="O59" i="1"/>
  <c r="AP12" i="1"/>
  <c r="AR226" i="1"/>
  <c r="AP189" i="1"/>
  <c r="BH104" i="1"/>
  <c r="BH105" i="1"/>
  <c r="BH103" i="1"/>
  <c r="BI226" i="1"/>
  <c r="BF189" i="1"/>
  <c r="BF27" i="1"/>
  <c r="BG12" i="1"/>
  <c r="BH226" i="1"/>
  <c r="BJ189" i="1"/>
  <c r="BF12" i="1"/>
  <c r="AY12" i="1"/>
  <c r="AX189" i="1"/>
  <c r="AX12" i="1"/>
  <c r="AX16" i="1"/>
  <c r="BB11" i="1"/>
  <c r="AZ226" i="1"/>
  <c r="AX11" i="1"/>
  <c r="BA226" i="1"/>
  <c r="AX27" i="1"/>
  <c r="BK11" i="1"/>
  <c r="T59" i="1"/>
  <c r="BY103" i="1"/>
  <c r="BY105" i="1"/>
  <c r="BY104" i="1"/>
  <c r="R197" i="1"/>
  <c r="S197" i="1"/>
  <c r="S199" i="1" s="1"/>
  <c r="S200" i="1" s="1"/>
  <c r="R183" i="1"/>
  <c r="R182" i="1" s="1"/>
  <c r="I186" i="1"/>
  <c r="I185" i="1" s="1"/>
  <c r="J198" i="1"/>
  <c r="J199" i="1" s="1"/>
  <c r="J200" i="1" s="1"/>
  <c r="AW17" i="1"/>
  <c r="AW28" i="1"/>
  <c r="AZ103" i="1"/>
  <c r="AZ105" i="1"/>
  <c r="AZ104" i="1"/>
  <c r="BA16" i="1"/>
  <c r="BB189" i="1"/>
  <c r="BD226" i="1"/>
  <c r="BA27" i="1"/>
  <c r="BA189" i="1"/>
  <c r="BC226" i="1"/>
  <c r="BB226" i="1"/>
  <c r="I208" i="1"/>
  <c r="I130" i="1"/>
  <c r="I56" i="1" s="1"/>
  <c r="BY11" i="1"/>
  <c r="BU12" i="1"/>
  <c r="BU16" i="1"/>
  <c r="BK12" i="1"/>
  <c r="BN226" i="1"/>
  <c r="BO189" i="1"/>
  <c r="BP189" i="1"/>
  <c r="K33" i="1"/>
  <c r="K139" i="1"/>
  <c r="BA103" i="1"/>
  <c r="BA105" i="1"/>
  <c r="Q250" i="1"/>
  <c r="Q252" i="1" s="1"/>
  <c r="Q207" i="1"/>
  <c r="Q169" i="1"/>
  <c r="Q110" i="1" s="1"/>
  <c r="Q130" i="1"/>
  <c r="Q56" i="1" s="1"/>
  <c r="R207" i="1"/>
  <c r="R206" i="1" s="1"/>
  <c r="Q37" i="1"/>
  <c r="R250" i="1"/>
  <c r="R252" i="1" s="1"/>
  <c r="BB105" i="1"/>
  <c r="BB103" i="1"/>
  <c r="BB104" i="1"/>
  <c r="BM103" i="1"/>
  <c r="BM104" i="1"/>
  <c r="BM105" i="1"/>
  <c r="AS103" i="1"/>
  <c r="AS105" i="1"/>
  <c r="AS104" i="1"/>
  <c r="BX103" i="1"/>
  <c r="BX104" i="1"/>
  <c r="BX105" i="1"/>
  <c r="I207" i="1"/>
  <c r="H207" i="1"/>
  <c r="H169" i="1"/>
  <c r="H110" i="1" s="1"/>
  <c r="H37" i="1"/>
  <c r="H130" i="1"/>
  <c r="H56" i="1" s="1"/>
  <c r="I250" i="1"/>
  <c r="I252" i="1" s="1"/>
  <c r="G55" i="1"/>
  <c r="H208" i="1"/>
  <c r="G176" i="1"/>
  <c r="G93" i="1"/>
  <c r="G249" i="1"/>
  <c r="G208" i="1"/>
  <c r="G206" i="1" s="1"/>
  <c r="AP104" i="1"/>
  <c r="AP103" i="1"/>
  <c r="AP105" i="1"/>
  <c r="R198" i="1"/>
  <c r="R158" i="1"/>
  <c r="S198" i="1"/>
  <c r="V139" i="1"/>
  <c r="V33" i="1"/>
  <c r="AR103" i="1"/>
  <c r="AR105" i="1"/>
  <c r="AR104" i="1"/>
  <c r="N198" i="1"/>
  <c r="M186" i="1"/>
  <c r="C208" i="1"/>
  <c r="C176" i="1"/>
  <c r="C130" i="1"/>
  <c r="C56" i="1" s="1"/>
  <c r="F183" i="1"/>
  <c r="F158" i="1"/>
  <c r="F166" i="1" s="1"/>
  <c r="F167" i="1" s="1"/>
  <c r="F197" i="1"/>
  <c r="F245" i="1"/>
  <c r="F247" i="1"/>
  <c r="S186" i="1"/>
  <c r="S158" i="1"/>
  <c r="S166" i="1" s="1"/>
  <c r="S167" i="1" s="1"/>
  <c r="T198" i="1"/>
  <c r="F207" i="1"/>
  <c r="F206" i="1" s="1"/>
  <c r="E37" i="1"/>
  <c r="E207" i="1"/>
  <c r="E206" i="1" s="1"/>
  <c r="E169" i="1"/>
  <c r="E110" i="1" s="1"/>
  <c r="E198" i="1"/>
  <c r="E199" i="1" s="1"/>
  <c r="E200" i="1" s="1"/>
  <c r="E158" i="1"/>
  <c r="E166" i="1" s="1"/>
  <c r="E167" i="1" s="1"/>
  <c r="F198" i="1"/>
  <c r="L198" i="1"/>
  <c r="K186" i="1"/>
  <c r="BV182" i="1"/>
  <c r="BV187" i="1"/>
  <c r="BZ190" i="1" s="1"/>
  <c r="U186" i="1"/>
  <c r="V198" i="1"/>
  <c r="U198" i="1"/>
  <c r="U158" i="1"/>
  <c r="BD105" i="1"/>
  <c r="BD104" i="1"/>
  <c r="BD103" i="1"/>
  <c r="U207" i="1"/>
  <c r="U37" i="1"/>
  <c r="S59" i="1"/>
  <c r="BC16" i="1"/>
  <c r="BG18" i="1" s="1"/>
  <c r="BF226" i="1"/>
  <c r="R95" i="1"/>
  <c r="R96" i="1"/>
  <c r="R97" i="1"/>
  <c r="BR250" i="1"/>
  <c r="AW203" i="1"/>
  <c r="BU11" i="1"/>
  <c r="R186" i="1"/>
  <c r="R185" i="1" s="1"/>
  <c r="V207" i="1"/>
  <c r="I97" i="1"/>
  <c r="AI16" i="1"/>
  <c r="BX245" i="1"/>
  <c r="BX250" i="1"/>
  <c r="J158" i="1"/>
  <c r="K169" i="1"/>
  <c r="K110" i="1" s="1"/>
  <c r="BI207" i="1"/>
  <c r="BB12" i="1"/>
  <c r="AJ12" i="1"/>
  <c r="M95" i="1"/>
  <c r="BM226" i="1"/>
  <c r="BK27" i="1"/>
  <c r="G158" i="1"/>
  <c r="L207" i="1"/>
  <c r="K130" i="1"/>
  <c r="K56" i="1" s="1"/>
  <c r="T197" i="1"/>
  <c r="U208" i="1"/>
  <c r="U206" i="1" s="1"/>
  <c r="U59" i="1"/>
  <c r="BL104" i="1"/>
  <c r="BV226" i="1"/>
  <c r="BK189" i="1"/>
  <c r="AL245" i="1"/>
  <c r="M97" i="1"/>
  <c r="AZ185" i="1"/>
  <c r="L250" i="1"/>
  <c r="L252" i="1" s="1"/>
  <c r="T247" i="1"/>
  <c r="H197" i="1"/>
  <c r="W207" i="1"/>
  <c r="K207" i="1"/>
  <c r="T245" i="1"/>
  <c r="BV12" i="1"/>
  <c r="U130" i="1"/>
  <c r="U56" i="1" s="1"/>
  <c r="I158" i="1"/>
  <c r="I166" i="1" s="1"/>
  <c r="I249" i="1"/>
  <c r="AL226" i="1"/>
  <c r="J208" i="1"/>
  <c r="J206" i="1" s="1"/>
  <c r="N208" i="1"/>
  <c r="N206" i="1" s="1"/>
  <c r="BL103" i="1"/>
  <c r="BL226" i="1"/>
  <c r="N59" i="1"/>
  <c r="BN103" i="1"/>
  <c r="BK16" i="1"/>
  <c r="M130" i="1"/>
  <c r="M56" i="1" s="1"/>
  <c r="T158" i="1"/>
  <c r="T166" i="1" s="1"/>
  <c r="W250" i="1"/>
  <c r="W252" i="1" s="1"/>
  <c r="K250" i="1"/>
  <c r="K252" i="1" s="1"/>
  <c r="U250" i="1"/>
  <c r="U252" i="1" s="1"/>
  <c r="I169" i="1"/>
  <c r="I110" i="1" s="1"/>
  <c r="BU27" i="1"/>
  <c r="C55" i="1"/>
  <c r="D208" i="1"/>
  <c r="D206" i="1" s="1"/>
  <c r="BV189" i="1"/>
  <c r="AI27" i="1"/>
  <c r="I96" i="1"/>
  <c r="I198" i="1"/>
  <c r="J186" i="1"/>
  <c r="W59" i="1"/>
  <c r="V169" i="1"/>
  <c r="V110" i="1" s="1"/>
  <c r="BU226" i="1"/>
  <c r="U93" i="1"/>
  <c r="U96" i="1" s="1"/>
  <c r="BX226" i="1"/>
  <c r="M198" i="1"/>
  <c r="BV28" i="1"/>
  <c r="BN105" i="1"/>
  <c r="M197" i="1"/>
  <c r="M199" i="1" s="1"/>
  <c r="M200" i="1" s="1"/>
  <c r="C249" i="1"/>
  <c r="D112" i="1"/>
  <c r="D115" i="1" s="1"/>
  <c r="BH169" i="1"/>
  <c r="M158" i="1"/>
  <c r="M166" i="1" s="1"/>
  <c r="U176" i="1"/>
  <c r="AZ17" i="1"/>
  <c r="V130" i="1"/>
  <c r="V56" i="1" s="1"/>
  <c r="V208" i="1"/>
  <c r="BW226" i="1"/>
  <c r="BA104" i="1"/>
  <c r="BY189" i="1"/>
  <c r="BU103" i="1"/>
  <c r="BE11" i="1"/>
  <c r="BL245" i="1"/>
  <c r="BZ18" i="1"/>
  <c r="BU189" i="1"/>
  <c r="BU104" i="1"/>
  <c r="BL12" i="1"/>
  <c r="Q198" i="1"/>
  <c r="Q199" i="1" s="1"/>
  <c r="Q200" i="1" s="1"/>
  <c r="M249" i="1"/>
  <c r="BZ189" i="1"/>
  <c r="BL189" i="1"/>
  <c r="BU203" i="1"/>
  <c r="E186" i="1"/>
  <c r="E185" i="1" s="1"/>
  <c r="G197" i="1"/>
  <c r="G199" i="1" s="1"/>
  <c r="G200" i="1" s="1"/>
  <c r="BW135" i="1"/>
  <c r="BW33" i="1"/>
  <c r="AI182" i="1"/>
  <c r="P198" i="1"/>
  <c r="BI250" i="1"/>
  <c r="BH207" i="1"/>
  <c r="AR139" i="1"/>
  <c r="AR245" i="1" s="1"/>
  <c r="BW250" i="1"/>
  <c r="BE104" i="1"/>
  <c r="BJ207" i="1"/>
  <c r="AS33" i="1"/>
  <c r="U139" i="1"/>
  <c r="BW207" i="1"/>
  <c r="BE103" i="1"/>
  <c r="BV130" i="1"/>
  <c r="N95" i="1"/>
  <c r="I206" i="1"/>
  <c r="V250" i="1"/>
  <c r="V252" i="1" s="1"/>
  <c r="R33" i="1"/>
  <c r="R139" i="1"/>
  <c r="R166" i="1" s="1"/>
  <c r="R167" i="1" s="1"/>
  <c r="U169" i="1"/>
  <c r="U110" i="1" s="1"/>
  <c r="U111" i="1" s="1"/>
  <c r="U114" i="1" s="1"/>
  <c r="C204" i="1"/>
  <c r="C202" i="1" s="1"/>
  <c r="O197" i="1"/>
  <c r="O199" i="1" s="1"/>
  <c r="O200" i="1" s="1"/>
  <c r="H55" i="1"/>
  <c r="H93" i="1"/>
  <c r="H176" i="1"/>
  <c r="BV158" i="1"/>
  <c r="BV166" i="1" s="1"/>
  <c r="N197" i="1"/>
  <c r="U249" i="1"/>
  <c r="N158" i="1"/>
  <c r="N166" i="1" s="1"/>
  <c r="S112" i="1"/>
  <c r="S115" i="1" s="1"/>
  <c r="U197" i="1"/>
  <c r="U199" i="1" s="1"/>
  <c r="U200" i="1" s="1"/>
  <c r="AR182" i="1"/>
  <c r="S111" i="1"/>
  <c r="S114" i="1" s="1"/>
  <c r="O206" i="1"/>
  <c r="J204" i="1"/>
  <c r="J202" i="1" s="1"/>
  <c r="J166" i="1"/>
  <c r="J167" i="1" s="1"/>
  <c r="N247" i="1"/>
  <c r="N245" i="1"/>
  <c r="C166" i="1"/>
  <c r="D204" i="1"/>
  <c r="D202" i="1" s="1"/>
  <c r="K206" i="1"/>
  <c r="R111" i="1"/>
  <c r="R114" i="1" s="1"/>
  <c r="R112" i="1"/>
  <c r="R115" i="1" s="1"/>
  <c r="B70" i="1"/>
  <c r="B69" i="1"/>
  <c r="M204" i="1"/>
  <c r="M202" i="1" s="1"/>
  <c r="L245" i="1"/>
  <c r="L247" i="1"/>
  <c r="J245" i="1"/>
  <c r="J247" i="1"/>
  <c r="C70" i="1"/>
  <c r="C69" i="1"/>
  <c r="F111" i="1"/>
  <c r="F114" i="1" s="1"/>
  <c r="F112" i="1"/>
  <c r="F115" i="1" s="1"/>
  <c r="F95" i="1"/>
  <c r="F96" i="1"/>
  <c r="F97" i="1"/>
  <c r="S245" i="1"/>
  <c r="T204" i="1"/>
  <c r="T202" i="1" s="1"/>
  <c r="S247" i="1"/>
  <c r="H247" i="1"/>
  <c r="H245" i="1"/>
  <c r="P247" i="1"/>
  <c r="P245" i="1"/>
  <c r="K199" i="1"/>
  <c r="K200" i="1" s="1"/>
  <c r="P166" i="1"/>
  <c r="P167" i="1" s="1"/>
  <c r="V206" i="1"/>
  <c r="T167" i="1"/>
  <c r="B166" i="1"/>
  <c r="G166" i="1"/>
  <c r="G167" i="1" s="1"/>
  <c r="V199" i="1"/>
  <c r="V200" i="1" s="1"/>
  <c r="O95" i="1"/>
  <c r="O97" i="1"/>
  <c r="O96" i="1"/>
  <c r="T111" i="1"/>
  <c r="T114" i="1" s="1"/>
  <c r="T112" i="1"/>
  <c r="T115" i="1" s="1"/>
  <c r="J111" i="1"/>
  <c r="J114" i="1" s="1"/>
  <c r="J112" i="1"/>
  <c r="J115" i="1" s="1"/>
  <c r="G245" i="1"/>
  <c r="G247" i="1"/>
  <c r="H204" i="1"/>
  <c r="H202" i="1" s="1"/>
  <c r="I204" i="1"/>
  <c r="I202" i="1" s="1"/>
  <c r="I245" i="1"/>
  <c r="I247" i="1"/>
  <c r="E245" i="1"/>
  <c r="E247" i="1"/>
  <c r="F204" i="1"/>
  <c r="F202" i="1" s="1"/>
  <c r="N204" i="1"/>
  <c r="N202" i="1" s="1"/>
  <c r="M245" i="1"/>
  <c r="M247" i="1"/>
  <c r="D166" i="1"/>
  <c r="O112" i="1"/>
  <c r="O115" i="1" s="1"/>
  <c r="O111" i="1"/>
  <c r="O114" i="1" s="1"/>
  <c r="E204" i="1"/>
  <c r="E202" i="1" s="1"/>
  <c r="J95" i="1"/>
  <c r="J96" i="1"/>
  <c r="J97" i="1"/>
  <c r="K96" i="1"/>
  <c r="K97" i="1"/>
  <c r="K95" i="1"/>
  <c r="H182" i="1"/>
  <c r="H187" i="1"/>
  <c r="D185" i="1"/>
  <c r="D187" i="1"/>
  <c r="B187" i="1"/>
  <c r="B182" i="1"/>
  <c r="AR203" i="1"/>
  <c r="AQ203" i="1"/>
  <c r="BB169" i="1"/>
  <c r="AV169" i="1"/>
  <c r="P206" i="1"/>
  <c r="Q96" i="1"/>
  <c r="Q97" i="1"/>
  <c r="Q95" i="1"/>
  <c r="K245" i="1"/>
  <c r="K247" i="1"/>
  <c r="BS33" i="1"/>
  <c r="BS135" i="1"/>
  <c r="BR139" i="1"/>
  <c r="P112" i="1"/>
  <c r="P115" i="1" s="1"/>
  <c r="P111" i="1"/>
  <c r="P114" i="1" s="1"/>
  <c r="L112" i="1"/>
  <c r="L115" i="1" s="1"/>
  <c r="L111" i="1"/>
  <c r="L114" i="1" s="1"/>
  <c r="M112" i="1"/>
  <c r="M115" i="1" s="1"/>
  <c r="M111" i="1"/>
  <c r="M114" i="1" s="1"/>
  <c r="AQ250" i="1"/>
  <c r="AN93" i="1"/>
  <c r="AN96" i="1" s="1"/>
  <c r="AN249" i="1"/>
  <c r="P187" i="1"/>
  <c r="P182" i="1"/>
  <c r="AV250" i="1"/>
  <c r="Q247" i="1"/>
  <c r="Q245" i="1"/>
  <c r="Q204" i="1"/>
  <c r="Q202" i="1" s="1"/>
  <c r="N112" i="1"/>
  <c r="N115" i="1" s="1"/>
  <c r="N111" i="1"/>
  <c r="N114" i="1" s="1"/>
  <c r="O247" i="1"/>
  <c r="P204" i="1"/>
  <c r="P202" i="1" s="1"/>
  <c r="AR207" i="1"/>
  <c r="AR250" i="1"/>
  <c r="AO135" i="1"/>
  <c r="AO33" i="1"/>
  <c r="AN139" i="1"/>
  <c r="AN247" i="1" s="1"/>
  <c r="BC33" i="1"/>
  <c r="BB139" i="1"/>
  <c r="BC135" i="1"/>
  <c r="Q187" i="1"/>
  <c r="Q185" i="1"/>
  <c r="AV207" i="1"/>
  <c r="BT130" i="1"/>
  <c r="V96" i="1"/>
  <c r="V95" i="1"/>
  <c r="V97" i="1"/>
  <c r="V185" i="1"/>
  <c r="V187" i="1"/>
  <c r="BN169" i="1"/>
  <c r="BN130" i="1"/>
  <c r="BC207" i="1"/>
  <c r="BC250" i="1"/>
  <c r="T187" i="1"/>
  <c r="T182" i="1"/>
  <c r="O204" i="1"/>
  <c r="O202" i="1" s="1"/>
  <c r="O245" i="1"/>
  <c r="N187" i="1"/>
  <c r="N182" i="1"/>
  <c r="G187" i="1"/>
  <c r="G185" i="1"/>
  <c r="O185" i="1"/>
  <c r="BB130" i="1"/>
  <c r="AT249" i="1"/>
  <c r="AS207" i="1"/>
  <c r="AS250" i="1"/>
  <c r="AR169" i="1"/>
  <c r="AS37" i="1" s="1"/>
  <c r="AR130" i="1"/>
  <c r="AR93" i="1"/>
  <c r="AX93" i="1"/>
  <c r="AX249" i="1"/>
  <c r="BU33" i="1"/>
  <c r="BT139" i="1"/>
  <c r="BU135" i="1"/>
  <c r="BG135" i="1"/>
  <c r="BG33" i="1"/>
  <c r="BF139" i="1"/>
  <c r="AW33" i="1"/>
  <c r="AV139" i="1"/>
  <c r="AW135" i="1"/>
  <c r="BE33" i="1"/>
  <c r="BE135" i="1"/>
  <c r="BD139" i="1"/>
  <c r="AQ135" i="1"/>
  <c r="AP139" i="1"/>
  <c r="AQ33" i="1"/>
  <c r="AT183" i="1"/>
  <c r="AT158" i="1"/>
  <c r="BB96" i="1"/>
  <c r="BB97" i="1"/>
  <c r="BB95" i="1"/>
  <c r="AO250" i="1"/>
  <c r="AO207" i="1"/>
  <c r="AN250" i="1"/>
  <c r="AN207" i="1"/>
  <c r="AN130" i="1"/>
  <c r="AN169" i="1"/>
  <c r="BN139" i="1"/>
  <c r="BO135" i="1"/>
  <c r="BO33" i="1"/>
  <c r="AY135" i="1"/>
  <c r="AX139" i="1"/>
  <c r="AY33" i="1"/>
  <c r="AR186" i="1"/>
  <c r="AR158" i="1"/>
  <c r="BN249" i="1"/>
  <c r="BN93" i="1"/>
  <c r="BF207" i="1"/>
  <c r="BF169" i="1"/>
  <c r="BP250" i="1"/>
  <c r="BP207" i="1"/>
  <c r="BP169" i="1"/>
  <c r="BR130" i="1"/>
  <c r="BS250" i="1"/>
  <c r="BS207" i="1"/>
  <c r="BR169" i="1"/>
  <c r="BA135" i="1"/>
  <c r="BA33" i="1"/>
  <c r="AZ139" i="1"/>
  <c r="BQ33" i="1"/>
  <c r="BP139" i="1"/>
  <c r="BQ135" i="1"/>
  <c r="BC210" i="1"/>
  <c r="BB249" i="1"/>
  <c r="AR249" i="1"/>
  <c r="AX207" i="1"/>
  <c r="AX169" i="1"/>
  <c r="AX130" i="1"/>
  <c r="AX250" i="1"/>
  <c r="BO203" i="1"/>
  <c r="BP203" i="1"/>
  <c r="AT139" i="1"/>
  <c r="AU33" i="1"/>
  <c r="AU135" i="1"/>
  <c r="BD93" i="1"/>
  <c r="BD249" i="1"/>
  <c r="BO207" i="1"/>
  <c r="BO250" i="1"/>
  <c r="BN250" i="1"/>
  <c r="BN207" i="1"/>
  <c r="AW250" i="1"/>
  <c r="AW207" i="1"/>
  <c r="AN183" i="1"/>
  <c r="AN158" i="1"/>
  <c r="BT203" i="1"/>
  <c r="BS203" i="1"/>
  <c r="BV250" i="1"/>
  <c r="BU250" i="1"/>
  <c r="BU207" i="1"/>
  <c r="BV207" i="1"/>
  <c r="BT169" i="1"/>
  <c r="BT250" i="1"/>
  <c r="BT207" i="1"/>
  <c r="AP203" i="1"/>
  <c r="AO203" i="1"/>
  <c r="AZ169" i="1"/>
  <c r="AZ250" i="1"/>
  <c r="AZ130" i="1"/>
  <c r="AZ207" i="1"/>
  <c r="AN185" i="1"/>
  <c r="AT130" i="1"/>
  <c r="AT250" i="1"/>
  <c r="AT207" i="1"/>
  <c r="AT169" i="1"/>
  <c r="BD207" i="1"/>
  <c r="BD130" i="1"/>
  <c r="BE250" i="1"/>
  <c r="BE207" i="1"/>
  <c r="BD169" i="1"/>
  <c r="BD250" i="1"/>
  <c r="AV93" i="1"/>
  <c r="AV249" i="1"/>
  <c r="AQ207" i="1"/>
  <c r="AP207" i="1"/>
  <c r="AP250" i="1"/>
  <c r="BG250" i="1"/>
  <c r="BH250" i="1"/>
  <c r="BB207" i="1"/>
  <c r="BA250" i="1"/>
  <c r="BB250" i="1"/>
  <c r="BA207" i="1"/>
  <c r="AU207" i="1"/>
  <c r="AU250" i="1"/>
  <c r="BP187" i="1"/>
  <c r="BP190" i="1" s="1"/>
  <c r="BR207" i="1"/>
  <c r="AY207" i="1"/>
  <c r="AY250" i="1"/>
  <c r="AQ210" i="1"/>
  <c r="AP249" i="1"/>
  <c r="AZ93" i="1"/>
  <c r="AZ249" i="1"/>
  <c r="BS210" i="1"/>
  <c r="BR249" i="1"/>
  <c r="BT93" i="1"/>
  <c r="BT249" i="1"/>
  <c r="BF250" i="1"/>
  <c r="BF130" i="1"/>
  <c r="AP169" i="1"/>
  <c r="AP130" i="1"/>
  <c r="AP96" i="1"/>
  <c r="AP95" i="1"/>
  <c r="AP97" i="1"/>
  <c r="AP186" i="1"/>
  <c r="AP158" i="1"/>
  <c r="BF93" i="1"/>
  <c r="BF249" i="1"/>
  <c r="BP97" i="1"/>
  <c r="AV130" i="1"/>
  <c r="BQ250" i="1"/>
  <c r="BP249" i="1"/>
  <c r="BP130" i="1"/>
  <c r="BP158" i="1"/>
  <c r="BG207" i="1"/>
  <c r="BQ207" i="1"/>
  <c r="BP96" i="1"/>
  <c r="AV183" i="1"/>
  <c r="AV187" i="1" s="1"/>
  <c r="AV158" i="1"/>
  <c r="BB183" i="1"/>
  <c r="BB158" i="1"/>
  <c r="BD183" i="1"/>
  <c r="BD158" i="1"/>
  <c r="AX183" i="1"/>
  <c r="AX158" i="1"/>
  <c r="BF183" i="1"/>
  <c r="BF158" i="1"/>
  <c r="BT183" i="1"/>
  <c r="BT158" i="1"/>
  <c r="BR183" i="1"/>
  <c r="BR187" i="1" s="1"/>
  <c r="BR158" i="1"/>
  <c r="BN183" i="1"/>
  <c r="BN158" i="1"/>
  <c r="AZ183" i="1"/>
  <c r="AZ158" i="1"/>
  <c r="BV97" i="1"/>
  <c r="BV96" i="1"/>
  <c r="BV95" i="1"/>
  <c r="AP19" i="1"/>
  <c r="AY28" i="1"/>
  <c r="AY17" i="1"/>
  <c r="AZ19" i="1"/>
  <c r="AT18" i="1"/>
  <c r="AP28" i="1"/>
  <c r="AP18" i="1"/>
  <c r="AP17" i="1"/>
  <c r="BQ17" i="1"/>
  <c r="BQ34" i="1"/>
  <c r="BQ38" i="1" s="1"/>
  <c r="BQ29" i="1"/>
  <c r="BQ233" i="1"/>
  <c r="BQ234" i="1" s="1"/>
  <c r="AS139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5" i="1"/>
  <c r="BM17" i="1"/>
  <c r="BQ18" i="1"/>
  <c r="BM28" i="1"/>
  <c r="BM19" i="1"/>
  <c r="BF17" i="1"/>
  <c r="BJ18" i="1"/>
  <c r="BE19" i="1"/>
  <c r="BD17" i="1"/>
  <c r="BD28" i="1"/>
  <c r="BD30" i="1" s="1"/>
  <c r="BD18" i="1"/>
  <c r="BE28" i="1"/>
  <c r="BE17" i="1"/>
  <c r="BF19" i="1"/>
  <c r="BT19" i="1"/>
  <c r="AU18" i="1"/>
  <c r="BO28" i="1"/>
  <c r="BP19" i="1"/>
  <c r="BS18" i="1"/>
  <c r="BO17" i="1"/>
  <c r="AT34" i="1"/>
  <c r="AT38" i="1" s="1"/>
  <c r="AT29" i="1"/>
  <c r="AT233" i="1"/>
  <c r="AT234" i="1" s="1"/>
  <c r="AU19" i="1"/>
  <c r="AU28" i="1"/>
  <c r="AY18" i="1"/>
  <c r="AU17" i="1"/>
  <c r="BV110" i="1"/>
  <c r="BW37" i="1"/>
  <c r="BS28" i="1"/>
  <c r="BS17" i="1"/>
  <c r="AZ29" i="1"/>
  <c r="AZ233" i="1"/>
  <c r="AZ234" i="1" s="1"/>
  <c r="AZ34" i="1"/>
  <c r="AZ38" i="1" s="1"/>
  <c r="AQ19" i="1"/>
  <c r="BH28" i="1"/>
  <c r="BH17" i="1"/>
  <c r="BL18" i="1"/>
  <c r="BH18" i="1"/>
  <c r="AT96" i="1"/>
  <c r="AT97" i="1"/>
  <c r="AT95" i="1"/>
  <c r="BN18" i="1"/>
  <c r="BN28" i="1"/>
  <c r="BN17" i="1"/>
  <c r="BN19" i="1"/>
  <c r="AR233" i="1"/>
  <c r="AR234" i="1" s="1"/>
  <c r="BO19" i="1"/>
  <c r="BG19" i="1"/>
  <c r="BG17" i="1"/>
  <c r="BH19" i="1"/>
  <c r="T60" i="1"/>
  <c r="BG28" i="1"/>
  <c r="AN28" i="1"/>
  <c r="AO19" i="1"/>
  <c r="AN18" i="1"/>
  <c r="AR18" i="1"/>
  <c r="AN19" i="1"/>
  <c r="AN17" i="1"/>
  <c r="BT28" i="1"/>
  <c r="BX18" i="1"/>
  <c r="BT17" i="1"/>
  <c r="BT18" i="1"/>
  <c r="AR34" i="1"/>
  <c r="AR38" i="1" s="1"/>
  <c r="BI19" i="1"/>
  <c r="BV245" i="1"/>
  <c r="BV247" i="1"/>
  <c r="BR97" i="1"/>
  <c r="BR95" i="1"/>
  <c r="BR96" i="1"/>
  <c r="AO18" i="1"/>
  <c r="AO28" i="1"/>
  <c r="AO17" i="1"/>
  <c r="AS18" i="1"/>
  <c r="BH247" i="1"/>
  <c r="BH245" i="1"/>
  <c r="O60" i="1"/>
  <c r="AQ28" i="1"/>
  <c r="P60" i="1"/>
  <c r="AQ18" i="1"/>
  <c r="AQ17" i="1"/>
  <c r="AR19" i="1"/>
  <c r="BJ33" i="1"/>
  <c r="BI139" i="1"/>
  <c r="BJ204" i="1" s="1"/>
  <c r="BJ202" i="1" s="1"/>
  <c r="BB17" i="1"/>
  <c r="BB28" i="1"/>
  <c r="BF18" i="1"/>
  <c r="BJ41" i="1"/>
  <c r="BJ40" i="1"/>
  <c r="AB207" i="1"/>
  <c r="DB64" i="1"/>
  <c r="DA66" i="1"/>
  <c r="S206" i="1" l="1"/>
  <c r="L199" i="1"/>
  <c r="L200" i="1" s="1"/>
  <c r="C206" i="1"/>
  <c r="I199" i="1"/>
  <c r="I200" i="1" s="1"/>
  <c r="P199" i="1"/>
  <c r="P200" i="1" s="1"/>
  <c r="H167" i="1"/>
  <c r="H199" i="1"/>
  <c r="H200" i="1" s="1"/>
  <c r="H206" i="1"/>
  <c r="F199" i="1"/>
  <c r="F200" i="1" s="1"/>
  <c r="M167" i="1"/>
  <c r="Q166" i="1"/>
  <c r="Q167" i="1" s="1"/>
  <c r="K185" i="1"/>
  <c r="U185" i="1"/>
  <c r="U187" i="1"/>
  <c r="Q206" i="1"/>
  <c r="Q211" i="1" s="1"/>
  <c r="Q212" i="1" s="1"/>
  <c r="R199" i="1"/>
  <c r="R200" i="1" s="1"/>
  <c r="T199" i="1"/>
  <c r="T200" i="1" s="1"/>
  <c r="I167" i="1"/>
  <c r="N199" i="1"/>
  <c r="N200" i="1" s="1"/>
  <c r="N167" i="1"/>
  <c r="BV190" i="1"/>
  <c r="K166" i="1"/>
  <c r="K167" i="1" s="1"/>
  <c r="BJ30" i="1"/>
  <c r="BF233" i="1"/>
  <c r="BF234" i="1" s="1"/>
  <c r="BF34" i="1"/>
  <c r="BF38" i="1" s="1"/>
  <c r="BF29" i="1"/>
  <c r="AM87" i="1"/>
  <c r="AM88" i="1"/>
  <c r="AM86" i="1"/>
  <c r="AM130" i="1"/>
  <c r="AM56" i="1" s="1"/>
  <c r="AM55" i="1"/>
  <c r="AM208" i="1"/>
  <c r="AM206" i="1" s="1"/>
  <c r="AM93" i="1"/>
  <c r="E95" i="1"/>
  <c r="E97" i="1"/>
  <c r="E96" i="1"/>
  <c r="N96" i="1"/>
  <c r="N97" i="1"/>
  <c r="T97" i="1"/>
  <c r="T95" i="1"/>
  <c r="T96" i="1"/>
  <c r="K182" i="1"/>
  <c r="K187" i="1"/>
  <c r="K190" i="1" s="1"/>
  <c r="K191" i="1" s="1"/>
  <c r="B112" i="1"/>
  <c r="B115" i="1" s="1"/>
  <c r="B111" i="1"/>
  <c r="B114" i="1" s="1"/>
  <c r="I187" i="1"/>
  <c r="I182" i="1"/>
  <c r="O182" i="1"/>
  <c r="O187" i="1"/>
  <c r="BV18" i="1"/>
  <c r="BR18" i="1"/>
  <c r="AW19" i="1"/>
  <c r="AV28" i="1"/>
  <c r="AV17" i="1"/>
  <c r="AV18" i="1"/>
  <c r="AZ18" i="1"/>
  <c r="R60" i="1"/>
  <c r="BB19" i="1"/>
  <c r="BA19" i="1"/>
  <c r="BA18" i="1"/>
  <c r="BU18" i="1"/>
  <c r="BU19" i="1"/>
  <c r="BU28" i="1"/>
  <c r="Q111" i="1"/>
  <c r="Q114" i="1" s="1"/>
  <c r="Q112" i="1"/>
  <c r="Q115" i="1" s="1"/>
  <c r="V166" i="1"/>
  <c r="V167" i="1" s="1"/>
  <c r="W204" i="1"/>
  <c r="W202" i="1" s="1"/>
  <c r="F187" i="1"/>
  <c r="F182" i="1"/>
  <c r="S187" i="1"/>
  <c r="S185" i="1"/>
  <c r="V112" i="1"/>
  <c r="V115" i="1" s="1"/>
  <c r="V111" i="1"/>
  <c r="V114" i="1" s="1"/>
  <c r="U204" i="1"/>
  <c r="U202" i="1" s="1"/>
  <c r="U166" i="1"/>
  <c r="U167" i="1" s="1"/>
  <c r="L206" i="1"/>
  <c r="L211" i="1" s="1"/>
  <c r="L212" i="1" s="1"/>
  <c r="BH185" i="1"/>
  <c r="BH187" i="1"/>
  <c r="BL190" i="1" s="1"/>
  <c r="L95" i="1"/>
  <c r="L97" i="1"/>
  <c r="L96" i="1"/>
  <c r="BH95" i="1"/>
  <c r="BH96" i="1"/>
  <c r="BH97" i="1"/>
  <c r="BE18" i="1"/>
  <c r="BA28" i="1"/>
  <c r="BA17" i="1"/>
  <c r="R187" i="1"/>
  <c r="R190" i="1" s="1"/>
  <c r="R191" i="1" s="1"/>
  <c r="S97" i="1"/>
  <c r="S95" i="1"/>
  <c r="S96" i="1"/>
  <c r="C182" i="1"/>
  <c r="C187" i="1"/>
  <c r="D69" i="1"/>
  <c r="D70" i="1"/>
  <c r="C111" i="1"/>
  <c r="C114" i="1" s="1"/>
  <c r="C112" i="1"/>
  <c r="C115" i="1" s="1"/>
  <c r="L182" i="1"/>
  <c r="L187" i="1"/>
  <c r="P97" i="1"/>
  <c r="P96" i="1"/>
  <c r="P95" i="1"/>
  <c r="G111" i="1"/>
  <c r="G114" i="1" s="1"/>
  <c r="G112" i="1"/>
  <c r="G115" i="1" s="1"/>
  <c r="BR17" i="1"/>
  <c r="BS19" i="1"/>
  <c r="BR19" i="1"/>
  <c r="BR28" i="1"/>
  <c r="V60" i="1"/>
  <c r="Q60" i="1"/>
  <c r="AV19" i="1"/>
  <c r="BW19" i="1"/>
  <c r="CA18" i="1"/>
  <c r="BW28" i="1"/>
  <c r="BW17" i="1"/>
  <c r="BW18" i="1"/>
  <c r="BX19" i="1"/>
  <c r="X60" i="1"/>
  <c r="AX18" i="1"/>
  <c r="AX28" i="1"/>
  <c r="AX17" i="1"/>
  <c r="AX19" i="1"/>
  <c r="AY19" i="1"/>
  <c r="BB18" i="1"/>
  <c r="AW29" i="1"/>
  <c r="AW34" i="1"/>
  <c r="AW38" i="1" s="1"/>
  <c r="BA30" i="1"/>
  <c r="AW233" i="1"/>
  <c r="AW234" i="1" s="1"/>
  <c r="BV19" i="1"/>
  <c r="BY18" i="1"/>
  <c r="BU17" i="1"/>
  <c r="L204" i="1"/>
  <c r="L202" i="1" s="1"/>
  <c r="K204" i="1"/>
  <c r="K202" i="1" s="1"/>
  <c r="H111" i="1"/>
  <c r="H114" i="1" s="1"/>
  <c r="H112" i="1"/>
  <c r="H115" i="1" s="1"/>
  <c r="G96" i="1"/>
  <c r="G95" i="1"/>
  <c r="G97" i="1"/>
  <c r="V247" i="1"/>
  <c r="V245" i="1"/>
  <c r="M185" i="1"/>
  <c r="M187" i="1"/>
  <c r="E111" i="1"/>
  <c r="E114" i="1" s="1"/>
  <c r="E112" i="1"/>
  <c r="E115" i="1" s="1"/>
  <c r="BC19" i="1"/>
  <c r="BC17" i="1"/>
  <c r="BC28" i="1"/>
  <c r="S60" i="1"/>
  <c r="BC18" i="1"/>
  <c r="BD19" i="1"/>
  <c r="N60" i="1"/>
  <c r="AM18" i="1"/>
  <c r="AJ19" i="1"/>
  <c r="AI17" i="1"/>
  <c r="AI28" i="1"/>
  <c r="K112" i="1"/>
  <c r="K115" i="1" s="1"/>
  <c r="K111" i="1"/>
  <c r="K114" i="1" s="1"/>
  <c r="BO18" i="1"/>
  <c r="BK17" i="1"/>
  <c r="U60" i="1"/>
  <c r="BK18" i="1"/>
  <c r="BL19" i="1"/>
  <c r="BK19" i="1"/>
  <c r="BK28" i="1"/>
  <c r="J187" i="1"/>
  <c r="J185" i="1"/>
  <c r="BV233" i="1"/>
  <c r="BV234" i="1" s="1"/>
  <c r="BZ30" i="1"/>
  <c r="BV34" i="1"/>
  <c r="BV38" i="1" s="1"/>
  <c r="BV29" i="1"/>
  <c r="BH110" i="1"/>
  <c r="BI37" i="1"/>
  <c r="BX33" i="1"/>
  <c r="BW139" i="1"/>
  <c r="DB66" i="1"/>
  <c r="AE64" i="1"/>
  <c r="AE66" i="1" s="1"/>
  <c r="U97" i="1"/>
  <c r="U95" i="1"/>
  <c r="AR166" i="1"/>
  <c r="AR247" i="1"/>
  <c r="E187" i="1"/>
  <c r="U112" i="1"/>
  <c r="U115" i="1" s="1"/>
  <c r="I111" i="1"/>
  <c r="I114" i="1" s="1"/>
  <c r="I112" i="1"/>
  <c r="I115" i="1" s="1"/>
  <c r="R204" i="1"/>
  <c r="R202" i="1" s="1"/>
  <c r="S204" i="1"/>
  <c r="S202" i="1" s="1"/>
  <c r="V204" i="1"/>
  <c r="V202" i="1" s="1"/>
  <c r="V214" i="1" s="1"/>
  <c r="U247" i="1"/>
  <c r="U245" i="1"/>
  <c r="BV167" i="1"/>
  <c r="H96" i="1"/>
  <c r="H97" i="1"/>
  <c r="H95" i="1"/>
  <c r="R247" i="1"/>
  <c r="R245" i="1"/>
  <c r="S214" i="1"/>
  <c r="D245" i="1"/>
  <c r="D167" i="1"/>
  <c r="E214" i="1"/>
  <c r="E211" i="1"/>
  <c r="E212" i="1" s="1"/>
  <c r="C214" i="1"/>
  <c r="AV110" i="1"/>
  <c r="AW37" i="1"/>
  <c r="C245" i="1"/>
  <c r="C167" i="1"/>
  <c r="D214" i="1"/>
  <c r="D211" i="1"/>
  <c r="D212" i="1" s="1"/>
  <c r="B88" i="1"/>
  <c r="B86" i="1"/>
  <c r="B87" i="1"/>
  <c r="C88" i="1"/>
  <c r="C71" i="1"/>
  <c r="C87" i="1"/>
  <c r="C86" i="1"/>
  <c r="B90" i="1"/>
  <c r="Q214" i="1"/>
  <c r="J214" i="1"/>
  <c r="J211" i="1"/>
  <c r="J212" i="1" s="1"/>
  <c r="B245" i="1"/>
  <c r="B167" i="1"/>
  <c r="G211" i="1"/>
  <c r="G212" i="1" s="1"/>
  <c r="G214" i="1"/>
  <c r="BS139" i="1"/>
  <c r="BT33" i="1"/>
  <c r="BR245" i="1"/>
  <c r="BR247" i="1"/>
  <c r="M214" i="1"/>
  <c r="M211" i="1"/>
  <c r="M212" i="1" s="1"/>
  <c r="V211" i="1"/>
  <c r="V212" i="1" s="1"/>
  <c r="AP33" i="1"/>
  <c r="AO139" i="1"/>
  <c r="AN95" i="1"/>
  <c r="AN97" i="1"/>
  <c r="O214" i="1"/>
  <c r="Q190" i="1"/>
  <c r="Q191" i="1" s="1"/>
  <c r="O211" i="1"/>
  <c r="O212" i="1" s="1"/>
  <c r="BR166" i="1"/>
  <c r="BR167" i="1" s="1"/>
  <c r="BB110" i="1"/>
  <c r="BC37" i="1"/>
  <c r="AR167" i="1"/>
  <c r="AN166" i="1"/>
  <c r="AN167" i="1" s="1"/>
  <c r="BP166" i="1"/>
  <c r="BP167" i="1" s="1"/>
  <c r="BN110" i="1"/>
  <c r="BO37" i="1"/>
  <c r="AZ33" i="1"/>
  <c r="AY139" i="1"/>
  <c r="E190" i="1"/>
  <c r="E191" i="1" s="1"/>
  <c r="H190" i="1"/>
  <c r="H191" i="1" s="1"/>
  <c r="BN204" i="1"/>
  <c r="BN202" i="1" s="1"/>
  <c r="BN247" i="1"/>
  <c r="BN245" i="1"/>
  <c r="BN97" i="1"/>
  <c r="BN96" i="1"/>
  <c r="BN95" i="1"/>
  <c r="BP110" i="1"/>
  <c r="BQ37" i="1"/>
  <c r="BB166" i="1"/>
  <c r="BB167" i="1" s="1"/>
  <c r="BF166" i="1"/>
  <c r="BF167" i="1" s="1"/>
  <c r="BT166" i="1"/>
  <c r="BT167" i="1" s="1"/>
  <c r="BF247" i="1"/>
  <c r="BF245" i="1"/>
  <c r="AP247" i="1"/>
  <c r="AP245" i="1"/>
  <c r="BG37" i="1"/>
  <c r="BF110" i="1"/>
  <c r="BD33" i="1"/>
  <c r="BC139" i="1"/>
  <c r="BN166" i="1"/>
  <c r="BN167" i="1" s="1"/>
  <c r="AZ166" i="1"/>
  <c r="AZ167" i="1" s="1"/>
  <c r="AN245" i="1"/>
  <c r="AN204" i="1"/>
  <c r="AN202" i="1" s="1"/>
  <c r="BT247" i="1"/>
  <c r="BT245" i="1"/>
  <c r="AW139" i="1"/>
  <c r="AX33" i="1"/>
  <c r="BS37" i="1"/>
  <c r="BR110" i="1"/>
  <c r="BA139" i="1"/>
  <c r="BB33" i="1"/>
  <c r="AZ245" i="1"/>
  <c r="AZ247" i="1"/>
  <c r="BR33" i="1"/>
  <c r="BQ139" i="1"/>
  <c r="AN182" i="1"/>
  <c r="AN187" i="1"/>
  <c r="BB247" i="1"/>
  <c r="BB245" i="1"/>
  <c r="BG139" i="1"/>
  <c r="BH33" i="1"/>
  <c r="AV245" i="1"/>
  <c r="AV247" i="1"/>
  <c r="BE139" i="1"/>
  <c r="BF33" i="1"/>
  <c r="BD245" i="1"/>
  <c r="BD247" i="1"/>
  <c r="AX247" i="1"/>
  <c r="AX245" i="1"/>
  <c r="AU37" i="1"/>
  <c r="AT110" i="1"/>
  <c r="AP166" i="1"/>
  <c r="AP167" i="1" s="1"/>
  <c r="BD166" i="1"/>
  <c r="BD167" i="1" s="1"/>
  <c r="AR95" i="1"/>
  <c r="AR97" i="1"/>
  <c r="AR96" i="1"/>
  <c r="AX97" i="1"/>
  <c r="AX96" i="1"/>
  <c r="AX95" i="1"/>
  <c r="BV33" i="1"/>
  <c r="BU139" i="1"/>
  <c r="AQ139" i="1"/>
  <c r="AR33" i="1"/>
  <c r="AT187" i="1"/>
  <c r="AT182" i="1"/>
  <c r="AO37" i="1"/>
  <c r="AN110" i="1"/>
  <c r="AR187" i="1"/>
  <c r="AR185" i="1"/>
  <c r="AV33" i="1"/>
  <c r="AU139" i="1"/>
  <c r="BD96" i="1"/>
  <c r="BD95" i="1"/>
  <c r="BD97" i="1"/>
  <c r="BU37" i="1"/>
  <c r="BT110" i="1"/>
  <c r="BE37" i="1"/>
  <c r="BD110" i="1"/>
  <c r="AV97" i="1"/>
  <c r="AV95" i="1"/>
  <c r="AV96" i="1"/>
  <c r="AV166" i="1"/>
  <c r="AV167" i="1" s="1"/>
  <c r="AX166" i="1"/>
  <c r="AX167" i="1" s="1"/>
  <c r="BP33" i="1"/>
  <c r="BO139" i="1"/>
  <c r="BP247" i="1"/>
  <c r="BP245" i="1"/>
  <c r="AY37" i="1"/>
  <c r="AX110" i="1"/>
  <c r="AT166" i="1"/>
  <c r="AT167" i="1" s="1"/>
  <c r="AT247" i="1"/>
  <c r="AT245" i="1"/>
  <c r="AP110" i="1"/>
  <c r="AQ37" i="1"/>
  <c r="AZ110" i="1"/>
  <c r="BA37" i="1"/>
  <c r="N190" i="1"/>
  <c r="N191" i="1" s="1"/>
  <c r="AZ96" i="1"/>
  <c r="AZ97" i="1"/>
  <c r="AZ95" i="1"/>
  <c r="AP187" i="1"/>
  <c r="AP190" i="1" s="1"/>
  <c r="AP185" i="1"/>
  <c r="AX182" i="1"/>
  <c r="AX187" i="1"/>
  <c r="BF182" i="1"/>
  <c r="BF187" i="1"/>
  <c r="BJ190" i="1" s="1"/>
  <c r="BT97" i="1"/>
  <c r="BT96" i="1"/>
  <c r="BT95" i="1"/>
  <c r="BF96" i="1"/>
  <c r="BF97" i="1"/>
  <c r="BF95" i="1"/>
  <c r="AV182" i="1"/>
  <c r="BR182" i="1"/>
  <c r="BN182" i="1"/>
  <c r="BN187" i="1"/>
  <c r="BB187" i="1"/>
  <c r="BB182" i="1"/>
  <c r="BD182" i="1"/>
  <c r="BD187" i="1"/>
  <c r="BT187" i="1"/>
  <c r="BT182" i="1"/>
  <c r="AZ187" i="1"/>
  <c r="AZ190" i="1" s="1"/>
  <c r="AZ182" i="1"/>
  <c r="BL113" i="1"/>
  <c r="AQ251" i="1"/>
  <c r="AQ252" i="1" s="1"/>
  <c r="AT30" i="1"/>
  <c r="AQ31" i="1"/>
  <c r="BO30" i="1"/>
  <c r="BK30" i="1"/>
  <c r="BK31" i="1"/>
  <c r="BK29" i="1"/>
  <c r="BL31" i="1"/>
  <c r="BK233" i="1"/>
  <c r="BK234" i="1" s="1"/>
  <c r="BK34" i="1"/>
  <c r="BK38" i="1" s="1"/>
  <c r="BK251" i="1"/>
  <c r="BK252" i="1" s="1"/>
  <c r="BL251" i="1"/>
  <c r="BL252" i="1" s="1"/>
  <c r="AY29" i="1"/>
  <c r="AY233" i="1"/>
  <c r="AY234" i="1" s="1"/>
  <c r="AY34" i="1"/>
  <c r="AY38" i="1" s="1"/>
  <c r="AZ251" i="1"/>
  <c r="AZ252" i="1" s="1"/>
  <c r="AZ31" i="1"/>
  <c r="AP29" i="1"/>
  <c r="AP30" i="1"/>
  <c r="AP233" i="1"/>
  <c r="AP234" i="1" s="1"/>
  <c r="AP34" i="1"/>
  <c r="AP38" i="1" s="1"/>
  <c r="BM113" i="1"/>
  <c r="BM227" i="1"/>
  <c r="BU30" i="1"/>
  <c r="S61" i="1"/>
  <c r="BK113" i="1"/>
  <c r="U61" i="1"/>
  <c r="AS204" i="1"/>
  <c r="AS202" i="1" s="1"/>
  <c r="AT204" i="1"/>
  <c r="AT202" i="1" s="1"/>
  <c r="AS233" i="1"/>
  <c r="AS234" i="1" s="1"/>
  <c r="AS34" i="1"/>
  <c r="AS38" i="1" s="1"/>
  <c r="AW30" i="1"/>
  <c r="AT31" i="1"/>
  <c r="AS251" i="1"/>
  <c r="AS252" i="1" s="1"/>
  <c r="AS29" i="1"/>
  <c r="AT251" i="1"/>
  <c r="AT252" i="1" s="1"/>
  <c r="AS227" i="1"/>
  <c r="AS113" i="1"/>
  <c r="BF251" i="1"/>
  <c r="BF252" i="1" s="1"/>
  <c r="BI233" i="1"/>
  <c r="BI234" i="1" s="1"/>
  <c r="BI34" i="1"/>
  <c r="BI29" i="1"/>
  <c r="BL227" i="1"/>
  <c r="BJ31" i="1"/>
  <c r="BJ251" i="1"/>
  <c r="BJ252" i="1" s="1"/>
  <c r="BQ31" i="1"/>
  <c r="BP29" i="1"/>
  <c r="BP30" i="1"/>
  <c r="BP233" i="1"/>
  <c r="BP234" i="1" s="1"/>
  <c r="BP34" i="1"/>
  <c r="BP38" i="1" s="1"/>
  <c r="BQ251" i="1"/>
  <c r="BQ252" i="1" s="1"/>
  <c r="BM34" i="1"/>
  <c r="BM38" i="1" s="1"/>
  <c r="BM29" i="1"/>
  <c r="BQ30" i="1"/>
  <c r="BM31" i="1"/>
  <c r="BM30" i="1"/>
  <c r="BM233" i="1"/>
  <c r="BM234" i="1" s="1"/>
  <c r="BM251" i="1"/>
  <c r="BM252" i="1" s="1"/>
  <c r="BD251" i="1"/>
  <c r="BD252" i="1" s="1"/>
  <c r="O61" i="1"/>
  <c r="AP31" i="1"/>
  <c r="BE31" i="1"/>
  <c r="BD34" i="1"/>
  <c r="BD38" i="1" s="1"/>
  <c r="BD29" i="1"/>
  <c r="BD233" i="1"/>
  <c r="BD234" i="1" s="1"/>
  <c r="BE251" i="1"/>
  <c r="BE252" i="1" s="1"/>
  <c r="BI30" i="1"/>
  <c r="BE233" i="1"/>
  <c r="BE234" i="1" s="1"/>
  <c r="BE29" i="1"/>
  <c r="BE34" i="1"/>
  <c r="BE38" i="1" s="1"/>
  <c r="BF31" i="1"/>
  <c r="BO29" i="1"/>
  <c r="BO34" i="1"/>
  <c r="BO38" i="1" s="1"/>
  <c r="BO233" i="1"/>
  <c r="BO234" i="1" s="1"/>
  <c r="BP31" i="1"/>
  <c r="BP251" i="1"/>
  <c r="BP252" i="1" s="1"/>
  <c r="BT251" i="1"/>
  <c r="BT252" i="1" s="1"/>
  <c r="BC31" i="1"/>
  <c r="AJ31" i="1"/>
  <c r="AL113" i="1"/>
  <c r="AI29" i="1"/>
  <c r="AM30" i="1"/>
  <c r="AI34" i="1"/>
  <c r="N61" i="1"/>
  <c r="AL227" i="1"/>
  <c r="AI233" i="1"/>
  <c r="AI234" i="1" s="1"/>
  <c r="AU227" i="1"/>
  <c r="AU31" i="1"/>
  <c r="AU251" i="1"/>
  <c r="AU252" i="1" s="1"/>
  <c r="AU113" i="1"/>
  <c r="AU233" i="1"/>
  <c r="AU234" i="1" s="1"/>
  <c r="AU29" i="1"/>
  <c r="AU34" i="1"/>
  <c r="AU38" i="1" s="1"/>
  <c r="AY30" i="1"/>
  <c r="AU30" i="1"/>
  <c r="BV111" i="1"/>
  <c r="BV112" i="1"/>
  <c r="BS30" i="1"/>
  <c r="BS34" i="1"/>
  <c r="BS38" i="1" s="1"/>
  <c r="BS29" i="1"/>
  <c r="BS233" i="1"/>
  <c r="BS234" i="1" s="1"/>
  <c r="BD31" i="1"/>
  <c r="BG30" i="1"/>
  <c r="BF113" i="1"/>
  <c r="BC34" i="1"/>
  <c r="BC29" i="1"/>
  <c r="BC233" i="1"/>
  <c r="BC234" i="1" s="1"/>
  <c r="BF227" i="1"/>
  <c r="BC30" i="1"/>
  <c r="AQ227" i="1"/>
  <c r="AZ41" i="1"/>
  <c r="AZ40" i="1"/>
  <c r="BN113" i="1"/>
  <c r="BN227" i="1"/>
  <c r="AQ113" i="1"/>
  <c r="BT31" i="1"/>
  <c r="AR227" i="1"/>
  <c r="AP227" i="1"/>
  <c r="AP251" i="1"/>
  <c r="AP252" i="1" s="1"/>
  <c r="AP113" i="1"/>
  <c r="BK227" i="1"/>
  <c r="BI204" i="1"/>
  <c r="BI202" i="1" s="1"/>
  <c r="BV40" i="1"/>
  <c r="BV41" i="1"/>
  <c r="BG29" i="1"/>
  <c r="BH227" i="1"/>
  <c r="T61" i="1"/>
  <c r="BG113" i="1"/>
  <c r="BJ113" i="1"/>
  <c r="BG251" i="1"/>
  <c r="BG252" i="1" s="1"/>
  <c r="BI227" i="1"/>
  <c r="BG34" i="1"/>
  <c r="BI113" i="1"/>
  <c r="BG233" i="1"/>
  <c r="BG234" i="1" s="1"/>
  <c r="BH113" i="1"/>
  <c r="BJ227" i="1"/>
  <c r="BH31" i="1"/>
  <c r="BG227" i="1"/>
  <c r="BG31" i="1"/>
  <c r="BL30" i="1"/>
  <c r="BH29" i="1"/>
  <c r="BH34" i="1"/>
  <c r="BH38" i="1" s="1"/>
  <c r="BH233" i="1"/>
  <c r="BH234" i="1" s="1"/>
  <c r="BH251" i="1"/>
  <c r="BH252" i="1" s="1"/>
  <c r="BH30" i="1"/>
  <c r="BI251" i="1"/>
  <c r="BI252" i="1" s="1"/>
  <c r="BI31" i="1"/>
  <c r="AN251" i="1"/>
  <c r="AN252" i="1" s="1"/>
  <c r="AN34" i="1"/>
  <c r="AO227" i="1"/>
  <c r="AN31" i="1"/>
  <c r="AN29" i="1"/>
  <c r="AN233" i="1"/>
  <c r="AN234" i="1" s="1"/>
  <c r="AN227" i="1"/>
  <c r="AR30" i="1"/>
  <c r="AO113" i="1"/>
  <c r="AN113" i="1"/>
  <c r="AO31" i="1"/>
  <c r="AN30" i="1"/>
  <c r="BN34" i="1"/>
  <c r="BP227" i="1"/>
  <c r="BO227" i="1"/>
  <c r="BQ113" i="1"/>
  <c r="BN29" i="1"/>
  <c r="BO31" i="1"/>
  <c r="BN31" i="1"/>
  <c r="BN233" i="1"/>
  <c r="BN234" i="1" s="1"/>
  <c r="BO251" i="1"/>
  <c r="BO252" i="1" s="1"/>
  <c r="BN251" i="1"/>
  <c r="BN252" i="1" s="1"/>
  <c r="BN30" i="1"/>
  <c r="BP113" i="1"/>
  <c r="BQ227" i="1"/>
  <c r="BO113" i="1"/>
  <c r="BB34" i="1"/>
  <c r="BF30" i="1"/>
  <c r="BB233" i="1"/>
  <c r="BB234" i="1" s="1"/>
  <c r="BB29" i="1"/>
  <c r="BC251" i="1"/>
  <c r="BC252" i="1" s="1"/>
  <c r="BE227" i="1"/>
  <c r="BE113" i="1"/>
  <c r="AQ29" i="1"/>
  <c r="AT227" i="1"/>
  <c r="AQ233" i="1"/>
  <c r="AQ234" i="1" s="1"/>
  <c r="P61" i="1"/>
  <c r="AQ34" i="1"/>
  <c r="AQ30" i="1"/>
  <c r="AR31" i="1"/>
  <c r="AR251" i="1"/>
  <c r="AR252" i="1" s="1"/>
  <c r="AT113" i="1"/>
  <c r="AO233" i="1"/>
  <c r="AO234" i="1" s="1"/>
  <c r="AO34" i="1"/>
  <c r="AO38" i="1" s="1"/>
  <c r="AO40" i="1" s="1"/>
  <c r="AR113" i="1"/>
  <c r="AO251" i="1"/>
  <c r="AO252" i="1" s="1"/>
  <c r="AO30" i="1"/>
  <c r="AS30" i="1"/>
  <c r="AO29" i="1"/>
  <c r="AR41" i="1"/>
  <c r="AR40" i="1"/>
  <c r="BT34" i="1"/>
  <c r="BT29" i="1"/>
  <c r="BX30" i="1"/>
  <c r="BT233" i="1"/>
  <c r="BT234" i="1" s="1"/>
  <c r="BT30" i="1"/>
  <c r="AV30" i="1"/>
  <c r="BJ235" i="1"/>
  <c r="BJ42" i="1"/>
  <c r="BJ246" i="1" s="1"/>
  <c r="BJ48" i="1"/>
  <c r="BQ40" i="1"/>
  <c r="BQ41" i="1"/>
  <c r="AT41" i="1"/>
  <c r="AT40" i="1"/>
  <c r="AE143" i="1"/>
  <c r="AC125" i="1"/>
  <c r="L214" i="1" l="1"/>
  <c r="V190" i="1"/>
  <c r="V191" i="1" s="1"/>
  <c r="U214" i="1"/>
  <c r="U211" i="1"/>
  <c r="U212" i="1" s="1"/>
  <c r="S211" i="1"/>
  <c r="S212" i="1" s="1"/>
  <c r="C211" i="1"/>
  <c r="C212" i="1" s="1"/>
  <c r="I211" i="1"/>
  <c r="I212" i="1" s="1"/>
  <c r="I214" i="1"/>
  <c r="H211" i="1"/>
  <c r="H212" i="1" s="1"/>
  <c r="F211" i="1"/>
  <c r="F212" i="1" s="1"/>
  <c r="H214" i="1"/>
  <c r="F214" i="1"/>
  <c r="P214" i="1"/>
  <c r="P211" i="1"/>
  <c r="P212" i="1" s="1"/>
  <c r="AM96" i="1"/>
  <c r="S190" i="1"/>
  <c r="S191" i="1" s="1"/>
  <c r="U190" i="1"/>
  <c r="U191" i="1" s="1"/>
  <c r="T190" i="1"/>
  <c r="T191" i="1" s="1"/>
  <c r="AM95" i="1"/>
  <c r="AM97" i="1"/>
  <c r="BV251" i="1"/>
  <c r="BV252" i="1" s="1"/>
  <c r="BV31" i="1"/>
  <c r="BU29" i="1"/>
  <c r="BU233" i="1"/>
  <c r="BU234" i="1" s="1"/>
  <c r="BY30" i="1"/>
  <c r="BU34" i="1"/>
  <c r="BU38" i="1" s="1"/>
  <c r="BE30" i="1"/>
  <c r="R214" i="1"/>
  <c r="R211" i="1"/>
  <c r="R212" i="1" s="1"/>
  <c r="T214" i="1"/>
  <c r="T211" i="1"/>
  <c r="T212" i="1" s="1"/>
  <c r="N214" i="1"/>
  <c r="N211" i="1"/>
  <c r="N212" i="1" s="1"/>
  <c r="BF41" i="1"/>
  <c r="BF40" i="1"/>
  <c r="I190" i="1"/>
  <c r="I191" i="1" s="1"/>
  <c r="J190" i="1"/>
  <c r="J191" i="1" s="1"/>
  <c r="O190" i="1"/>
  <c r="O191" i="1" s="1"/>
  <c r="P190" i="1"/>
  <c r="P191" i="1" s="1"/>
  <c r="AY113" i="1"/>
  <c r="AW251" i="1"/>
  <c r="AW252" i="1" s="1"/>
  <c r="AV233" i="1"/>
  <c r="AV234" i="1" s="1"/>
  <c r="AV29" i="1"/>
  <c r="AZ30" i="1"/>
  <c r="AV34" i="1"/>
  <c r="Q61" i="1"/>
  <c r="AV113" i="1"/>
  <c r="AY227" i="1"/>
  <c r="AX113" i="1"/>
  <c r="AX227" i="1"/>
  <c r="AW227" i="1"/>
  <c r="AW113" i="1"/>
  <c r="AV227" i="1"/>
  <c r="AV31" i="1"/>
  <c r="AV251" i="1"/>
  <c r="AV252" i="1" s="1"/>
  <c r="AW31" i="1"/>
  <c r="BV227" i="1"/>
  <c r="BV113" i="1"/>
  <c r="BX113" i="1"/>
  <c r="BW113" i="1"/>
  <c r="BU31" i="1"/>
  <c r="BW227" i="1"/>
  <c r="BU251" i="1"/>
  <c r="BU252" i="1" s="1"/>
  <c r="G190" i="1"/>
  <c r="G191" i="1" s="1"/>
  <c r="F190" i="1"/>
  <c r="F191" i="1" s="1"/>
  <c r="BD113" i="1"/>
  <c r="BB251" i="1"/>
  <c r="BB252" i="1" s="1"/>
  <c r="BB31" i="1"/>
  <c r="BB227" i="1"/>
  <c r="BD227" i="1"/>
  <c r="BC113" i="1"/>
  <c r="BC227" i="1"/>
  <c r="R61" i="1"/>
  <c r="BB113" i="1"/>
  <c r="D71" i="1"/>
  <c r="D86" i="1"/>
  <c r="D88" i="1"/>
  <c r="C90" i="1"/>
  <c r="D87" i="1"/>
  <c r="E71" i="1"/>
  <c r="M190" i="1"/>
  <c r="M191" i="1" s="1"/>
  <c r="L190" i="1"/>
  <c r="L191" i="1" s="1"/>
  <c r="BR233" i="1"/>
  <c r="BR234" i="1" s="1"/>
  <c r="BS251" i="1"/>
  <c r="BS252" i="1" s="1"/>
  <c r="BS227" i="1"/>
  <c r="BR227" i="1"/>
  <c r="BR30" i="1"/>
  <c r="BR34" i="1"/>
  <c r="BR38" i="1" s="1"/>
  <c r="BT113" i="1"/>
  <c r="BT227" i="1"/>
  <c r="BR113" i="1"/>
  <c r="V61" i="1"/>
  <c r="BS31" i="1"/>
  <c r="BR31" i="1"/>
  <c r="BR29" i="1"/>
  <c r="BR251" i="1"/>
  <c r="BR252" i="1" s="1"/>
  <c r="BS113" i="1"/>
  <c r="BV30" i="1"/>
  <c r="BU113" i="1"/>
  <c r="BX227" i="1"/>
  <c r="BW30" i="1"/>
  <c r="BW31" i="1"/>
  <c r="BX31" i="1"/>
  <c r="BW233" i="1"/>
  <c r="BW234" i="1" s="1"/>
  <c r="X61" i="1"/>
  <c r="BW29" i="1"/>
  <c r="BZ113" i="1"/>
  <c r="BZ227" i="1"/>
  <c r="BW251" i="1"/>
  <c r="BW252" i="1" s="1"/>
  <c r="BW34" i="1"/>
  <c r="BY113" i="1"/>
  <c r="CA30" i="1"/>
  <c r="BX251" i="1"/>
  <c r="BX252" i="1" s="1"/>
  <c r="BY227" i="1"/>
  <c r="BA113" i="1"/>
  <c r="AY31" i="1"/>
  <c r="AY251" i="1"/>
  <c r="AY252" i="1" s="1"/>
  <c r="AZ113" i="1"/>
  <c r="AX31" i="1"/>
  <c r="AX29" i="1"/>
  <c r="AX251" i="1"/>
  <c r="AX252" i="1" s="1"/>
  <c r="AX30" i="1"/>
  <c r="BB30" i="1"/>
  <c r="AZ227" i="1"/>
  <c r="AX233" i="1"/>
  <c r="AX234" i="1" s="1"/>
  <c r="AX34" i="1"/>
  <c r="BA227" i="1"/>
  <c r="AW40" i="1"/>
  <c r="AW41" i="1"/>
  <c r="K211" i="1"/>
  <c r="K212" i="1" s="1"/>
  <c r="K214" i="1"/>
  <c r="C190" i="1"/>
  <c r="C191" i="1" s="1"/>
  <c r="D190" i="1"/>
  <c r="D191" i="1" s="1"/>
  <c r="BH111" i="1"/>
  <c r="BH114" i="1" s="1"/>
  <c r="BH112" i="1"/>
  <c r="BH115" i="1" s="1"/>
  <c r="BX204" i="1"/>
  <c r="BX202" i="1" s="1"/>
  <c r="BW204" i="1"/>
  <c r="BW202" i="1" s="1"/>
  <c r="BA31" i="1"/>
  <c r="BA34" i="1"/>
  <c r="BA38" i="1" s="1"/>
  <c r="BA233" i="1"/>
  <c r="BA234" i="1" s="1"/>
  <c r="BA29" i="1"/>
  <c r="BA251" i="1"/>
  <c r="BA252" i="1" s="1"/>
  <c r="AV112" i="1"/>
  <c r="AV111" i="1"/>
  <c r="BT204" i="1"/>
  <c r="BT202" i="1" s="1"/>
  <c r="BS204" i="1"/>
  <c r="BS202" i="1" s="1"/>
  <c r="AP204" i="1"/>
  <c r="AP202" i="1" s="1"/>
  <c r="AO204" i="1"/>
  <c r="AO202" i="1" s="1"/>
  <c r="BB112" i="1"/>
  <c r="BB111" i="1"/>
  <c r="BN112" i="1"/>
  <c r="BN115" i="1" s="1"/>
  <c r="BN111" i="1"/>
  <c r="BN114" i="1" s="1"/>
  <c r="BP111" i="1"/>
  <c r="BP114" i="1" s="1"/>
  <c r="BP112" i="1"/>
  <c r="BP115" i="1" s="1"/>
  <c r="AY204" i="1"/>
  <c r="AY202" i="1" s="1"/>
  <c r="AZ204" i="1"/>
  <c r="AZ202" i="1" s="1"/>
  <c r="BF112" i="1"/>
  <c r="BF115" i="1" s="1"/>
  <c r="BF111" i="1"/>
  <c r="BF114" i="1" s="1"/>
  <c r="BC204" i="1"/>
  <c r="BC202" i="1" s="1"/>
  <c r="BD204" i="1"/>
  <c r="BD202" i="1" s="1"/>
  <c r="AX204" i="1"/>
  <c r="AX202" i="1" s="1"/>
  <c r="AW204" i="1"/>
  <c r="AW202" i="1" s="1"/>
  <c r="BB204" i="1"/>
  <c r="BB202" i="1" s="1"/>
  <c r="BA204" i="1"/>
  <c r="BA202" i="1" s="1"/>
  <c r="BR204" i="1"/>
  <c r="BR202" i="1" s="1"/>
  <c r="BQ204" i="1"/>
  <c r="BQ202" i="1" s="1"/>
  <c r="BH204" i="1"/>
  <c r="BH202" i="1" s="1"/>
  <c r="BG204" i="1"/>
  <c r="BG202" i="1" s="1"/>
  <c r="AR204" i="1"/>
  <c r="AR202" i="1" s="1"/>
  <c r="AQ204" i="1"/>
  <c r="AQ202" i="1" s="1"/>
  <c r="AR190" i="1"/>
  <c r="AV190" i="1"/>
  <c r="BR111" i="1"/>
  <c r="BR114" i="1" s="1"/>
  <c r="BR112" i="1"/>
  <c r="BR115" i="1" s="1"/>
  <c r="BE204" i="1"/>
  <c r="BE202" i="1" s="1"/>
  <c r="BF204" i="1"/>
  <c r="BF202" i="1" s="1"/>
  <c r="AT112" i="1"/>
  <c r="AT115" i="1" s="1"/>
  <c r="AT111" i="1"/>
  <c r="AT114" i="1" s="1"/>
  <c r="AN112" i="1"/>
  <c r="AN115" i="1" s="1"/>
  <c r="AN111" i="1"/>
  <c r="AN114" i="1" s="1"/>
  <c r="AT190" i="1"/>
  <c r="AX190" i="1"/>
  <c r="BV204" i="1"/>
  <c r="BV202" i="1" s="1"/>
  <c r="BU204" i="1"/>
  <c r="BU202" i="1" s="1"/>
  <c r="AV204" i="1"/>
  <c r="AV202" i="1" s="1"/>
  <c r="AU204" i="1"/>
  <c r="AU202" i="1" s="1"/>
  <c r="BT112" i="1"/>
  <c r="BT111" i="1"/>
  <c r="BD112" i="1"/>
  <c r="BD111" i="1"/>
  <c r="BO204" i="1"/>
  <c r="BO202" i="1" s="1"/>
  <c r="BP204" i="1"/>
  <c r="BP202" i="1" s="1"/>
  <c r="AX111" i="1"/>
  <c r="AX112" i="1"/>
  <c r="AP111" i="1"/>
  <c r="AP114" i="1" s="1"/>
  <c r="AP112" i="1"/>
  <c r="AP115" i="1" s="1"/>
  <c r="AZ111" i="1"/>
  <c r="AZ112" i="1"/>
  <c r="BH190" i="1"/>
  <c r="BD190" i="1"/>
  <c r="BN190" i="1"/>
  <c r="BR190" i="1"/>
  <c r="BB190" i="1"/>
  <c r="BF190" i="1"/>
  <c r="BT190" i="1"/>
  <c r="BX190" i="1"/>
  <c r="BL114" i="1"/>
  <c r="BL115" i="1"/>
  <c r="BK41" i="1"/>
  <c r="BK40" i="1"/>
  <c r="AY40" i="1"/>
  <c r="AY41" i="1"/>
  <c r="AP40" i="1"/>
  <c r="AP41" i="1"/>
  <c r="AP43" i="1" s="1"/>
  <c r="AS40" i="1"/>
  <c r="AS41" i="1"/>
  <c r="AS44" i="1" s="1"/>
  <c r="BP40" i="1"/>
  <c r="BP41" i="1"/>
  <c r="BQ44" i="1" s="1"/>
  <c r="BI38" i="1"/>
  <c r="BL56" i="1"/>
  <c r="BM40" i="1"/>
  <c r="BM41" i="1"/>
  <c r="BE40" i="1"/>
  <c r="BE41" i="1"/>
  <c r="BV56" i="1"/>
  <c r="BD40" i="1"/>
  <c r="BD41" i="1"/>
  <c r="BO41" i="1"/>
  <c r="BO40" i="1"/>
  <c r="AL115" i="1"/>
  <c r="AL114" i="1"/>
  <c r="AI38" i="1"/>
  <c r="AL56" i="1"/>
  <c r="AU41" i="1"/>
  <c r="AU40" i="1"/>
  <c r="BC38" i="1"/>
  <c r="BF56" i="1"/>
  <c r="AZ235" i="1"/>
  <c r="AZ48" i="1"/>
  <c r="AZ42" i="1"/>
  <c r="AZ246" i="1" s="1"/>
  <c r="BR56" i="1"/>
  <c r="AR56" i="1"/>
  <c r="AP56" i="1"/>
  <c r="AO41" i="1"/>
  <c r="AR42" i="1"/>
  <c r="AR246" i="1" s="1"/>
  <c r="AR48" i="1"/>
  <c r="AR235" i="1"/>
  <c r="BN38" i="1"/>
  <c r="BP56" i="1"/>
  <c r="BV42" i="1"/>
  <c r="BV246" i="1" s="1"/>
  <c r="BV48" i="1"/>
  <c r="BV235" i="1"/>
  <c r="BZ43" i="1"/>
  <c r="BH41" i="1"/>
  <c r="BH40" i="1"/>
  <c r="AQ38" i="1"/>
  <c r="AT56" i="1"/>
  <c r="BB38" i="1"/>
  <c r="BB56" i="1"/>
  <c r="AN56" i="1"/>
  <c r="AN38" i="1"/>
  <c r="BT38" i="1"/>
  <c r="BT56" i="1"/>
  <c r="BJ114" i="1"/>
  <c r="BJ115" i="1"/>
  <c r="BN56" i="1"/>
  <c r="BY56" i="1"/>
  <c r="BJ56" i="1"/>
  <c r="BG38" i="1"/>
  <c r="BH56" i="1"/>
  <c r="BS40" i="1"/>
  <c r="BS41" i="1"/>
  <c r="BJ53" i="1"/>
  <c r="BJ194" i="1"/>
  <c r="BJ196" i="1" s="1"/>
  <c r="BJ67" i="1"/>
  <c r="BQ42" i="1"/>
  <c r="BQ246" i="1" s="1"/>
  <c r="BQ48" i="1"/>
  <c r="BQ235" i="1"/>
  <c r="AT48" i="1"/>
  <c r="AT235" i="1"/>
  <c r="AT42" i="1"/>
  <c r="AT246" i="1" s="1"/>
  <c r="BT115" i="1" l="1"/>
  <c r="BT114" i="1"/>
  <c r="BU41" i="1"/>
  <c r="BY43" i="1" s="1"/>
  <c r="BU40" i="1"/>
  <c r="BD56" i="1"/>
  <c r="BX56" i="1"/>
  <c r="BZ56" i="1"/>
  <c r="BW38" i="1"/>
  <c r="BZ114" i="1"/>
  <c r="BZ115" i="1"/>
  <c r="AW48" i="1"/>
  <c r="AW235" i="1"/>
  <c r="AW42" i="1"/>
  <c r="AW246" i="1" s="1"/>
  <c r="AV115" i="1"/>
  <c r="AV114" i="1"/>
  <c r="BB115" i="1"/>
  <c r="BB114" i="1"/>
  <c r="BD115" i="1"/>
  <c r="AX114" i="1"/>
  <c r="AX115" i="1"/>
  <c r="BD114" i="1"/>
  <c r="AZ114" i="1"/>
  <c r="AZ115" i="1"/>
  <c r="BF235" i="1"/>
  <c r="BF42" i="1"/>
  <c r="BF246" i="1" s="1"/>
  <c r="BF48" i="1"/>
  <c r="BJ43" i="1"/>
  <c r="AV56" i="1"/>
  <c r="AV38" i="1"/>
  <c r="AX56" i="1"/>
  <c r="BV114" i="1"/>
  <c r="BV115" i="1"/>
  <c r="BX114" i="1"/>
  <c r="BX115" i="1"/>
  <c r="AX38" i="1"/>
  <c r="AZ56" i="1"/>
  <c r="BA41" i="1"/>
  <c r="BE43" i="1" s="1"/>
  <c r="BA40" i="1"/>
  <c r="BL44" i="1"/>
  <c r="BK48" i="1"/>
  <c r="BK42" i="1"/>
  <c r="BK246" i="1" s="1"/>
  <c r="AY235" i="1"/>
  <c r="AY42" i="1"/>
  <c r="AY246" i="1" s="1"/>
  <c r="AT43" i="1"/>
  <c r="AP235" i="1"/>
  <c r="AP48" i="1"/>
  <c r="AP42" i="1"/>
  <c r="AP246" i="1" s="1"/>
  <c r="AZ44" i="1"/>
  <c r="AY48" i="1"/>
  <c r="BU42" i="1"/>
  <c r="BU246" i="1" s="1"/>
  <c r="BU235" i="1"/>
  <c r="BU48" i="1"/>
  <c r="BK44" i="1"/>
  <c r="BK235" i="1"/>
  <c r="AS48" i="1"/>
  <c r="AS42" i="1"/>
  <c r="AS246" i="1" s="1"/>
  <c r="BV44" i="1"/>
  <c r="BU43" i="1"/>
  <c r="AS235" i="1"/>
  <c r="AT44" i="1"/>
  <c r="AW43" i="1"/>
  <c r="BP48" i="1"/>
  <c r="BP43" i="1"/>
  <c r="BP235" i="1"/>
  <c r="BP42" i="1"/>
  <c r="BP246" i="1" s="1"/>
  <c r="BI41" i="1"/>
  <c r="BI44" i="1" s="1"/>
  <c r="BI40" i="1"/>
  <c r="BM48" i="1"/>
  <c r="BM44" i="1"/>
  <c r="BM235" i="1"/>
  <c r="BM228" i="1"/>
  <c r="BQ43" i="1"/>
  <c r="BM42" i="1"/>
  <c r="BM246" i="1" s="1"/>
  <c r="BE42" i="1"/>
  <c r="BE246" i="1" s="1"/>
  <c r="BE48" i="1"/>
  <c r="BE235" i="1"/>
  <c r="BF44" i="1"/>
  <c r="BF67" i="1"/>
  <c r="BC41" i="1"/>
  <c r="BC40" i="1"/>
  <c r="BS43" i="1"/>
  <c r="BD48" i="1"/>
  <c r="BD235" i="1"/>
  <c r="BD42" i="1"/>
  <c r="BD246" i="1" s="1"/>
  <c r="BD43" i="1"/>
  <c r="BE44" i="1"/>
  <c r="BO235" i="1"/>
  <c r="BO42" i="1"/>
  <c r="BO246" i="1" s="1"/>
  <c r="BO48" i="1"/>
  <c r="BP44" i="1"/>
  <c r="BO43" i="1"/>
  <c r="AI41" i="1"/>
  <c r="AI40" i="1"/>
  <c r="AU42" i="1"/>
  <c r="AU246" i="1" s="1"/>
  <c r="AU235" i="1"/>
  <c r="AY43" i="1"/>
  <c r="AU48" i="1"/>
  <c r="AU228" i="1"/>
  <c r="AU44" i="1"/>
  <c r="AP44" i="1"/>
  <c r="AO48" i="1"/>
  <c r="AZ67" i="1"/>
  <c r="AZ53" i="1"/>
  <c r="AZ194" i="1"/>
  <c r="AZ196" i="1" s="1"/>
  <c r="BR41" i="1"/>
  <c r="BR40" i="1"/>
  <c r="AO43" i="1"/>
  <c r="BH43" i="1"/>
  <c r="AO235" i="1"/>
  <c r="AS43" i="1"/>
  <c r="AO42" i="1"/>
  <c r="AO246" i="1" s="1"/>
  <c r="BW41" i="1"/>
  <c r="BW43" i="1" s="1"/>
  <c r="BW40" i="1"/>
  <c r="BN41" i="1"/>
  <c r="BN40" i="1"/>
  <c r="AQ41" i="1"/>
  <c r="AQ40" i="1"/>
  <c r="AR53" i="1"/>
  <c r="AR194" i="1"/>
  <c r="AR196" i="1" s="1"/>
  <c r="AR67" i="1"/>
  <c r="BT41" i="1"/>
  <c r="BT40" i="1"/>
  <c r="AV40" i="1"/>
  <c r="AV41" i="1"/>
  <c r="AN41" i="1"/>
  <c r="AN40" i="1"/>
  <c r="BH48" i="1"/>
  <c r="BL43" i="1"/>
  <c r="BH235" i="1"/>
  <c r="BH42" i="1"/>
  <c r="BH246" i="1" s="1"/>
  <c r="AX41" i="1"/>
  <c r="AX40" i="1"/>
  <c r="BV194" i="1"/>
  <c r="BV196" i="1" s="1"/>
  <c r="BV67" i="1"/>
  <c r="BV53" i="1"/>
  <c r="BG40" i="1"/>
  <c r="BG41" i="1"/>
  <c r="BB41" i="1"/>
  <c r="BB40" i="1"/>
  <c r="BS235" i="1"/>
  <c r="BS42" i="1"/>
  <c r="BS246" i="1" s="1"/>
  <c r="BS48" i="1"/>
  <c r="BQ194" i="1"/>
  <c r="BQ196" i="1" s="1"/>
  <c r="BQ120" i="1"/>
  <c r="BQ121" i="1" s="1"/>
  <c r="BQ67" i="1"/>
  <c r="BQ53" i="1"/>
  <c r="AT67" i="1"/>
  <c r="AT194" i="1"/>
  <c r="AT196" i="1" s="1"/>
  <c r="AT53" i="1"/>
  <c r="AC126" i="1"/>
  <c r="AC129" i="1" s="1"/>
  <c r="AC250" i="1" s="1"/>
  <c r="AW194" i="1" l="1"/>
  <c r="AW196" i="1" s="1"/>
  <c r="AW67" i="1"/>
  <c r="AW120" i="1"/>
  <c r="AW121" i="1" s="1"/>
  <c r="AW53" i="1"/>
  <c r="BF194" i="1"/>
  <c r="BF196" i="1" s="1"/>
  <c r="BF53" i="1"/>
  <c r="BA43" i="1"/>
  <c r="BA48" i="1"/>
  <c r="BA44" i="1"/>
  <c r="BA42" i="1"/>
  <c r="BA246" i="1" s="1"/>
  <c r="BA235" i="1"/>
  <c r="BK53" i="1"/>
  <c r="BK194" i="1"/>
  <c r="BK196" i="1" s="1"/>
  <c r="BK120" i="1"/>
  <c r="BK121" i="1" s="1"/>
  <c r="BK67" i="1"/>
  <c r="AP194" i="1"/>
  <c r="AP196" i="1" s="1"/>
  <c r="AP67" i="1"/>
  <c r="AP53" i="1"/>
  <c r="BU120" i="1"/>
  <c r="BU121" i="1" s="1"/>
  <c r="BU53" i="1"/>
  <c r="BU194" i="1"/>
  <c r="BU196" i="1" s="1"/>
  <c r="BU67" i="1"/>
  <c r="BS44" i="1"/>
  <c r="BS228" i="1"/>
  <c r="AY194" i="1"/>
  <c r="AY196" i="1" s="1"/>
  <c r="AY67" i="1"/>
  <c r="AY120" i="1"/>
  <c r="AY121" i="1" s="1"/>
  <c r="AY53" i="1"/>
  <c r="AS53" i="1"/>
  <c r="AS120" i="1"/>
  <c r="AS121" i="1" s="1"/>
  <c r="AS194" i="1"/>
  <c r="AS196" i="1" s="1"/>
  <c r="AS67" i="1"/>
  <c r="BI43" i="1"/>
  <c r="BK228" i="1"/>
  <c r="BM67" i="1"/>
  <c r="BM53" i="1"/>
  <c r="BP53" i="1"/>
  <c r="BP194" i="1"/>
  <c r="BP196" i="1" s="1"/>
  <c r="BP67" i="1"/>
  <c r="BM43" i="1"/>
  <c r="BL228" i="1"/>
  <c r="BI48" i="1"/>
  <c r="BI235" i="1"/>
  <c r="BJ44" i="1"/>
  <c r="BI42" i="1"/>
  <c r="BI246" i="1" s="1"/>
  <c r="BM120" i="1"/>
  <c r="BM121" i="1" s="1"/>
  <c r="BM194" i="1"/>
  <c r="BM196" i="1" s="1"/>
  <c r="BE67" i="1"/>
  <c r="BE194" i="1"/>
  <c r="BE196" i="1" s="1"/>
  <c r="BE53" i="1"/>
  <c r="BE120" i="1"/>
  <c r="BE121" i="1" s="1"/>
  <c r="BF228" i="1"/>
  <c r="BD44" i="1"/>
  <c r="BC43" i="1"/>
  <c r="BC48" i="1"/>
  <c r="BC235" i="1"/>
  <c r="BC42" i="1"/>
  <c r="BC246" i="1" s="1"/>
  <c r="BD53" i="1"/>
  <c r="BD194" i="1"/>
  <c r="BD196" i="1" s="1"/>
  <c r="BD67" i="1"/>
  <c r="BO53" i="1"/>
  <c r="BO67" i="1"/>
  <c r="BO194" i="1"/>
  <c r="BO196" i="1" s="1"/>
  <c r="BO120" i="1"/>
  <c r="BO121" i="1" s="1"/>
  <c r="AI42" i="1"/>
  <c r="AI235" i="1"/>
  <c r="AJ44" i="1"/>
  <c r="AM43" i="1"/>
  <c r="AI48" i="1"/>
  <c r="AL228" i="1"/>
  <c r="AU53" i="1"/>
  <c r="AU67" i="1"/>
  <c r="AU194" i="1"/>
  <c r="AU196" i="1" s="1"/>
  <c r="AU120" i="1"/>
  <c r="AU121" i="1" s="1"/>
  <c r="AO194" i="1"/>
  <c r="AO196" i="1" s="1"/>
  <c r="AO67" i="1"/>
  <c r="AO120" i="1"/>
  <c r="AO121" i="1" s="1"/>
  <c r="AO53" i="1"/>
  <c r="BR42" i="1"/>
  <c r="BR246" i="1" s="1"/>
  <c r="BR235" i="1"/>
  <c r="BR48" i="1"/>
  <c r="BR208" i="1" s="1"/>
  <c r="BR206" i="1" s="1"/>
  <c r="BV43" i="1"/>
  <c r="BR44" i="1"/>
  <c r="BR228" i="1"/>
  <c r="AN42" i="1"/>
  <c r="AN246" i="1" s="1"/>
  <c r="AQ228" i="1"/>
  <c r="AO44" i="1"/>
  <c r="AN228" i="1"/>
  <c r="AN43" i="1"/>
  <c r="AP228" i="1"/>
  <c r="AR43" i="1"/>
  <c r="AO228" i="1"/>
  <c r="AN48" i="1"/>
  <c r="AN44" i="1"/>
  <c r="AN235" i="1"/>
  <c r="BX43" i="1"/>
  <c r="BT42" i="1"/>
  <c r="BT246" i="1" s="1"/>
  <c r="BT235" i="1"/>
  <c r="BT48" i="1"/>
  <c r="BU44" i="1"/>
  <c r="BT43" i="1"/>
  <c r="BW228" i="1"/>
  <c r="BV228" i="1"/>
  <c r="AZ43" i="1"/>
  <c r="AV42" i="1"/>
  <c r="AV246" i="1" s="1"/>
  <c r="AV235" i="1"/>
  <c r="AV48" i="1"/>
  <c r="AY228" i="1"/>
  <c r="AW228" i="1"/>
  <c r="AW44" i="1"/>
  <c r="AV43" i="1"/>
  <c r="AV44" i="1"/>
  <c r="AX228" i="1"/>
  <c r="AV228" i="1"/>
  <c r="AR44" i="1"/>
  <c r="AQ43" i="1"/>
  <c r="AQ235" i="1"/>
  <c r="AQ48" i="1"/>
  <c r="AQ42" i="1"/>
  <c r="AQ246" i="1" s="1"/>
  <c r="AQ44" i="1"/>
  <c r="AU43" i="1"/>
  <c r="AT228" i="1"/>
  <c r="AS228" i="1"/>
  <c r="AR228" i="1"/>
  <c r="BN235" i="1"/>
  <c r="BR43" i="1"/>
  <c r="BN48" i="1"/>
  <c r="BQ55" i="1" s="1"/>
  <c r="BN43" i="1"/>
  <c r="BN42" i="1"/>
  <c r="BN246" i="1" s="1"/>
  <c r="BO44" i="1"/>
  <c r="BN228" i="1"/>
  <c r="BQ228" i="1"/>
  <c r="BN44" i="1"/>
  <c r="BO228" i="1"/>
  <c r="BP228" i="1"/>
  <c r="BB42" i="1"/>
  <c r="BB246" i="1" s="1"/>
  <c r="BF43" i="1"/>
  <c r="BB235" i="1"/>
  <c r="BB48" i="1"/>
  <c r="BC44" i="1"/>
  <c r="BD228" i="1"/>
  <c r="BB228" i="1"/>
  <c r="BB44" i="1"/>
  <c r="BC228" i="1"/>
  <c r="BE228" i="1"/>
  <c r="BB43" i="1"/>
  <c r="AX48" i="1"/>
  <c r="AX235" i="1"/>
  <c r="AX42" i="1"/>
  <c r="AX246" i="1" s="1"/>
  <c r="AZ228" i="1"/>
  <c r="AX44" i="1"/>
  <c r="AY44" i="1"/>
  <c r="AX43" i="1"/>
  <c r="BA228" i="1"/>
  <c r="BH53" i="1"/>
  <c r="BH67" i="1"/>
  <c r="BH194" i="1"/>
  <c r="BH196" i="1" s="1"/>
  <c r="BT228" i="1"/>
  <c r="BT44" i="1"/>
  <c r="BK43" i="1"/>
  <c r="BG48" i="1"/>
  <c r="BH228" i="1"/>
  <c r="BG43" i="1"/>
  <c r="BG42" i="1"/>
  <c r="BG246" i="1" s="1"/>
  <c r="BH44" i="1"/>
  <c r="BG228" i="1"/>
  <c r="BG235" i="1"/>
  <c r="BJ228" i="1"/>
  <c r="BG44" i="1"/>
  <c r="BI228" i="1"/>
  <c r="BX228" i="1"/>
  <c r="BW235" i="1"/>
  <c r="BW44" i="1"/>
  <c r="BX44" i="1"/>
  <c r="BW48" i="1"/>
  <c r="X62" i="1"/>
  <c r="BY228" i="1"/>
  <c r="CA43" i="1"/>
  <c r="BW42" i="1"/>
  <c r="BW246" i="1" s="1"/>
  <c r="BZ228" i="1"/>
  <c r="BS194" i="1"/>
  <c r="BS196" i="1" s="1"/>
  <c r="BS53" i="1"/>
  <c r="BS120" i="1"/>
  <c r="BS121" i="1" s="1"/>
  <c r="BS67" i="1"/>
  <c r="BQ208" i="1"/>
  <c r="BQ206" i="1" s="1"/>
  <c r="BQ130" i="1"/>
  <c r="BQ56" i="1" s="1"/>
  <c r="BQ93" i="1"/>
  <c r="AC207" i="1"/>
  <c r="CA227" i="1"/>
  <c r="CB227" i="1"/>
  <c r="BU227" i="1"/>
  <c r="AW130" i="1" l="1"/>
  <c r="AW56" i="1" s="1"/>
  <c r="AW208" i="1"/>
  <c r="AW206" i="1" s="1"/>
  <c r="AW93" i="1"/>
  <c r="BA120" i="1"/>
  <c r="BA121" i="1" s="1"/>
  <c r="BA67" i="1"/>
  <c r="BA194" i="1"/>
  <c r="BA196" i="1" s="1"/>
  <c r="BA53" i="1"/>
  <c r="BK55" i="1"/>
  <c r="BM70" i="1"/>
  <c r="BI90" i="1" s="1"/>
  <c r="BK93" i="1"/>
  <c r="BL208" i="1"/>
  <c r="BL206" i="1" s="1"/>
  <c r="BK208" i="1"/>
  <c r="BK206" i="1" s="1"/>
  <c r="BK130" i="1"/>
  <c r="BK56" i="1" s="1"/>
  <c r="BV208" i="1"/>
  <c r="BV206" i="1" s="1"/>
  <c r="BU208" i="1"/>
  <c r="BU206" i="1" s="1"/>
  <c r="BU93" i="1"/>
  <c r="BU130" i="1"/>
  <c r="BU56" i="1" s="1"/>
  <c r="AU70" i="1"/>
  <c r="AY93" i="1"/>
  <c r="AY208" i="1"/>
  <c r="AY206" i="1" s="1"/>
  <c r="AY130" i="1"/>
  <c r="AY56" i="1" s="1"/>
  <c r="AZ208" i="1"/>
  <c r="AZ206" i="1" s="1"/>
  <c r="AS208" i="1"/>
  <c r="AS206" i="1" s="1"/>
  <c r="AS93" i="1"/>
  <c r="AS130" i="1"/>
  <c r="AS56" i="1" s="1"/>
  <c r="AT208" i="1"/>
  <c r="AT206" i="1" s="1"/>
  <c r="AO55" i="1"/>
  <c r="BL55" i="1"/>
  <c r="BI53" i="1"/>
  <c r="BI194" i="1"/>
  <c r="BI196" i="1" s="1"/>
  <c r="BI67" i="1"/>
  <c r="BI120" i="1"/>
  <c r="BI121" i="1" s="1"/>
  <c r="BM55" i="1"/>
  <c r="BM208" i="1"/>
  <c r="BM206" i="1" s="1"/>
  <c r="BM130" i="1"/>
  <c r="BM56" i="1" s="1"/>
  <c r="BM93" i="1"/>
  <c r="AX208" i="1"/>
  <c r="AX206" i="1" s="1"/>
  <c r="BA55" i="1"/>
  <c r="BF208" i="1"/>
  <c r="BF206" i="1" s="1"/>
  <c r="BE93" i="1"/>
  <c r="BE130" i="1"/>
  <c r="BE56" i="1" s="1"/>
  <c r="BE208" i="1"/>
  <c r="BE206" i="1" s="1"/>
  <c r="S62" i="1"/>
  <c r="BF55" i="1"/>
  <c r="BC67" i="1"/>
  <c r="BF70" i="1" s="1"/>
  <c r="BC120" i="1"/>
  <c r="BC121" i="1" s="1"/>
  <c r="BC194" i="1"/>
  <c r="BC196" i="1" s="1"/>
  <c r="BC53" i="1"/>
  <c r="BO208" i="1"/>
  <c r="BO206" i="1" s="1"/>
  <c r="BO130" i="1"/>
  <c r="BO56" i="1" s="1"/>
  <c r="BP208" i="1"/>
  <c r="BP206" i="1" s="1"/>
  <c r="BO93" i="1"/>
  <c r="AI67" i="1"/>
  <c r="AL70" i="1" s="1"/>
  <c r="AI53" i="1"/>
  <c r="AL55" i="1"/>
  <c r="N62" i="1"/>
  <c r="AI208" i="1"/>
  <c r="AI206" i="1" s="1"/>
  <c r="AI194" i="1"/>
  <c r="AI196" i="1" s="1"/>
  <c r="AI200" i="1" s="1"/>
  <c r="AI214" i="1" s="1"/>
  <c r="AU93" i="1"/>
  <c r="AU208" i="1"/>
  <c r="AU206" i="1" s="1"/>
  <c r="AU130" i="1"/>
  <c r="AU56" i="1" s="1"/>
  <c r="AU55" i="1"/>
  <c r="AP208" i="1"/>
  <c r="AP206" i="1" s="1"/>
  <c r="AO93" i="1"/>
  <c r="AO130" i="1"/>
  <c r="AO56" i="1" s="1"/>
  <c r="AO208" i="1"/>
  <c r="AO206" i="1" s="1"/>
  <c r="AV208" i="1"/>
  <c r="AV206" i="1" s="1"/>
  <c r="AY55" i="1"/>
  <c r="BT55" i="1"/>
  <c r="BR53" i="1"/>
  <c r="BR194" i="1"/>
  <c r="BR196" i="1" s="1"/>
  <c r="BR67" i="1"/>
  <c r="BR55" i="1"/>
  <c r="V62" i="1"/>
  <c r="AW55" i="1"/>
  <c r="BV55" i="1"/>
  <c r="BO55" i="1"/>
  <c r="BN208" i="1"/>
  <c r="BN206" i="1" s="1"/>
  <c r="BU55" i="1"/>
  <c r="BX55" i="1"/>
  <c r="BW120" i="1"/>
  <c r="BW121" i="1" s="1"/>
  <c r="BY55" i="1"/>
  <c r="BW194" i="1"/>
  <c r="BW196" i="1" s="1"/>
  <c r="BW53" i="1"/>
  <c r="BZ55" i="1"/>
  <c r="BW67" i="1"/>
  <c r="BN53" i="1"/>
  <c r="BN67" i="1"/>
  <c r="BN194" i="1"/>
  <c r="BN196" i="1" s="1"/>
  <c r="BN55" i="1"/>
  <c r="U62" i="1"/>
  <c r="BP55" i="1"/>
  <c r="AV194" i="1"/>
  <c r="AV196" i="1" s="1"/>
  <c r="AV53" i="1"/>
  <c r="AV67" i="1"/>
  <c r="AV55" i="1"/>
  <c r="Q62" i="1"/>
  <c r="AX55" i="1"/>
  <c r="BT194" i="1"/>
  <c r="BT196" i="1" s="1"/>
  <c r="BT53" i="1"/>
  <c r="BT67" i="1"/>
  <c r="BV70" i="1" s="1"/>
  <c r="BR90" i="1" s="1"/>
  <c r="AX53" i="1"/>
  <c r="AX67" i="1"/>
  <c r="AX194" i="1"/>
  <c r="AX196" i="1" s="1"/>
  <c r="AZ55" i="1"/>
  <c r="BB67" i="1"/>
  <c r="BB53" i="1"/>
  <c r="BB194" i="1"/>
  <c r="BB196" i="1" s="1"/>
  <c r="BB55" i="1"/>
  <c r="R62" i="1"/>
  <c r="BD55" i="1"/>
  <c r="BE55" i="1"/>
  <c r="AQ120" i="1"/>
  <c r="AQ121" i="1" s="1"/>
  <c r="AQ194" i="1"/>
  <c r="AQ196" i="1" s="1"/>
  <c r="AQ53" i="1"/>
  <c r="AQ67" i="1"/>
  <c r="AS55" i="1"/>
  <c r="AR55" i="1"/>
  <c r="AT55" i="1"/>
  <c r="P62" i="1"/>
  <c r="BG53" i="1"/>
  <c r="BG67" i="1"/>
  <c r="BG120" i="1"/>
  <c r="BG121" i="1" s="1"/>
  <c r="BJ55" i="1"/>
  <c r="BH55" i="1"/>
  <c r="BG194" i="1"/>
  <c r="BG196" i="1" s="1"/>
  <c r="T62" i="1"/>
  <c r="AN53" i="1"/>
  <c r="AP55" i="1"/>
  <c r="AN67" i="1"/>
  <c r="AN194" i="1"/>
  <c r="AN196" i="1" s="1"/>
  <c r="AN55" i="1"/>
  <c r="O62" i="1"/>
  <c r="AN208" i="1"/>
  <c r="AN206" i="1" s="1"/>
  <c r="BT208" i="1"/>
  <c r="BT206" i="1" s="1"/>
  <c r="BS93" i="1"/>
  <c r="BS130" i="1"/>
  <c r="BS56" i="1" s="1"/>
  <c r="BS208" i="1"/>
  <c r="BS206" i="1" s="1"/>
  <c r="BS55" i="1"/>
  <c r="BQ95" i="1"/>
  <c r="BQ96" i="1"/>
  <c r="BQ97" i="1"/>
  <c r="AW96" i="1"/>
  <c r="AW95" i="1"/>
  <c r="AW97" i="1"/>
  <c r="AD125" i="1"/>
  <c r="W60" i="1"/>
  <c r="BA130" i="1" l="1"/>
  <c r="BA56" i="1" s="1"/>
  <c r="BA93" i="1"/>
  <c r="BA208" i="1"/>
  <c r="BA206" i="1" s="1"/>
  <c r="BB208" i="1"/>
  <c r="BB206" i="1" s="1"/>
  <c r="BM86" i="1"/>
  <c r="BM88" i="1"/>
  <c r="BM87" i="1"/>
  <c r="BK97" i="1"/>
  <c r="BK95" i="1"/>
  <c r="BK96" i="1"/>
  <c r="BU95" i="1"/>
  <c r="BU97" i="1"/>
  <c r="BU96" i="1"/>
  <c r="AU88" i="1"/>
  <c r="AU87" i="1"/>
  <c r="AQ90" i="1"/>
  <c r="AU86" i="1"/>
  <c r="AY95" i="1"/>
  <c r="AY96" i="1"/>
  <c r="AY97" i="1"/>
  <c r="BL70" i="1"/>
  <c r="BK70" i="1"/>
  <c r="BR70" i="1"/>
  <c r="BR87" i="1" s="1"/>
  <c r="BT70" i="1"/>
  <c r="BS70" i="1"/>
  <c r="AS96" i="1"/>
  <c r="AS97" i="1"/>
  <c r="AS95" i="1"/>
  <c r="BI93" i="1"/>
  <c r="BI130" i="1"/>
  <c r="BI56" i="1" s="1"/>
  <c r="BI208" i="1"/>
  <c r="BI206" i="1" s="1"/>
  <c r="BI55" i="1"/>
  <c r="BJ208" i="1"/>
  <c r="BJ206" i="1" s="1"/>
  <c r="AI211" i="1"/>
  <c r="AI212" i="1" s="1"/>
  <c r="BM96" i="1"/>
  <c r="BM97" i="1"/>
  <c r="BM95" i="1"/>
  <c r="BU70" i="1"/>
  <c r="BU86" i="1" s="1"/>
  <c r="BE95" i="1"/>
  <c r="BE97" i="1"/>
  <c r="BE96" i="1"/>
  <c r="BC208" i="1"/>
  <c r="BC206" i="1" s="1"/>
  <c r="BC130" i="1"/>
  <c r="BC56" i="1" s="1"/>
  <c r="BC93" i="1"/>
  <c r="BC55" i="1"/>
  <c r="BD208" i="1"/>
  <c r="BD206" i="1" s="1"/>
  <c r="BB90" i="1"/>
  <c r="BF86" i="1"/>
  <c r="BF88" i="1"/>
  <c r="BF87" i="1"/>
  <c r="BO95" i="1"/>
  <c r="BO96" i="1"/>
  <c r="BO97" i="1"/>
  <c r="AL86" i="1"/>
  <c r="AL87" i="1"/>
  <c r="AL88" i="1"/>
  <c r="AU96" i="1"/>
  <c r="AU97" i="1"/>
  <c r="AU95" i="1"/>
  <c r="AO97" i="1"/>
  <c r="AO95" i="1"/>
  <c r="AO96" i="1"/>
  <c r="BA70" i="1"/>
  <c r="AZ70" i="1"/>
  <c r="AY70" i="1"/>
  <c r="AY87" i="1" s="1"/>
  <c r="AX70" i="1"/>
  <c r="AV70" i="1"/>
  <c r="AW70" i="1"/>
  <c r="AT70" i="1"/>
  <c r="AR70" i="1"/>
  <c r="AS70" i="1"/>
  <c r="BQ70" i="1"/>
  <c r="BO70" i="1"/>
  <c r="BN70" i="1"/>
  <c r="BP70" i="1"/>
  <c r="AQ70" i="1"/>
  <c r="AN70" i="1"/>
  <c r="AP70" i="1"/>
  <c r="AO70" i="1"/>
  <c r="BJ70" i="1"/>
  <c r="BF90" i="1" s="1"/>
  <c r="BG70" i="1"/>
  <c r="BH70" i="1"/>
  <c r="BI70" i="1"/>
  <c r="BE70" i="1"/>
  <c r="BE87" i="1" s="1"/>
  <c r="BD70" i="1"/>
  <c r="BB70" i="1"/>
  <c r="BC70" i="1"/>
  <c r="BZ70" i="1"/>
  <c r="BX70" i="1"/>
  <c r="BY70" i="1"/>
  <c r="BW70" i="1"/>
  <c r="BG208" i="1"/>
  <c r="BG206" i="1" s="1"/>
  <c r="BG130" i="1"/>
  <c r="BG56" i="1" s="1"/>
  <c r="BG93" i="1"/>
  <c r="BG55" i="1"/>
  <c r="BH208" i="1"/>
  <c r="BH206" i="1" s="1"/>
  <c r="AQ130" i="1"/>
  <c r="AQ56" i="1" s="1"/>
  <c r="AQ208" i="1"/>
  <c r="AQ206" i="1" s="1"/>
  <c r="AQ93" i="1"/>
  <c r="AR208" i="1"/>
  <c r="AR206" i="1" s="1"/>
  <c r="AQ55" i="1"/>
  <c r="BW208" i="1"/>
  <c r="BW206" i="1" s="1"/>
  <c r="BX208" i="1"/>
  <c r="BX206" i="1" s="1"/>
  <c r="BW130" i="1"/>
  <c r="BW56" i="1" s="1"/>
  <c r="BW55" i="1"/>
  <c r="BW93" i="1"/>
  <c r="BV88" i="1"/>
  <c r="BV87" i="1"/>
  <c r="BV86" i="1"/>
  <c r="BS95" i="1"/>
  <c r="BS96" i="1"/>
  <c r="BS97" i="1"/>
  <c r="W61" i="1"/>
  <c r="BA97" i="1" l="1"/>
  <c r="BA95" i="1"/>
  <c r="BA96" i="1"/>
  <c r="BL86" i="1"/>
  <c r="BL87" i="1"/>
  <c r="BN90" i="1"/>
  <c r="BR86" i="1"/>
  <c r="BR88" i="1"/>
  <c r="BV71" i="1"/>
  <c r="BP90" i="1"/>
  <c r="BT88" i="1"/>
  <c r="BT86" i="1"/>
  <c r="BT87" i="1"/>
  <c r="BS88" i="1"/>
  <c r="BO90" i="1"/>
  <c r="BS87" i="1"/>
  <c r="BS86" i="1"/>
  <c r="BH90" i="1"/>
  <c r="BL88" i="1"/>
  <c r="BK86" i="1"/>
  <c r="BK87" i="1"/>
  <c r="BK88" i="1"/>
  <c r="BG90" i="1"/>
  <c r="BT71" i="1"/>
  <c r="BV90" i="1"/>
  <c r="BZ71" i="1"/>
  <c r="BY71" i="1"/>
  <c r="BI96" i="1"/>
  <c r="BI97" i="1"/>
  <c r="BI95" i="1"/>
  <c r="BQ90" i="1"/>
  <c r="BU88" i="1"/>
  <c r="BU87" i="1"/>
  <c r="BW86" i="1"/>
  <c r="BW71" i="1"/>
  <c r="BC96" i="1"/>
  <c r="BC95" i="1"/>
  <c r="BC97" i="1"/>
  <c r="AW90" i="1"/>
  <c r="BE71" i="1"/>
  <c r="BQ87" i="1"/>
  <c r="BM90" i="1"/>
  <c r="AQ87" i="1"/>
  <c r="AQ86" i="1"/>
  <c r="BU71" i="1"/>
  <c r="BA88" i="1"/>
  <c r="AX71" i="1"/>
  <c r="CD71" i="1"/>
  <c r="BZ88" i="1"/>
  <c r="BX87" i="1"/>
  <c r="BT90" i="1"/>
  <c r="BX88" i="1"/>
  <c r="CB71" i="1"/>
  <c r="BX86" i="1"/>
  <c r="AN88" i="1"/>
  <c r="AR71" i="1"/>
  <c r="AN87" i="1"/>
  <c r="AN86" i="1"/>
  <c r="BO86" i="1"/>
  <c r="BK90" i="1"/>
  <c r="BO87" i="1"/>
  <c r="BO71" i="1"/>
  <c r="BO88" i="1"/>
  <c r="AP90" i="1"/>
  <c r="CA71" i="1"/>
  <c r="BS90" i="1"/>
  <c r="BW88" i="1"/>
  <c r="BE88" i="1"/>
  <c r="BI71" i="1"/>
  <c r="BE86" i="1"/>
  <c r="BJ87" i="1"/>
  <c r="BJ71" i="1"/>
  <c r="BJ86" i="1"/>
  <c r="AU71" i="1"/>
  <c r="AQ71" i="1"/>
  <c r="AQ88" i="1"/>
  <c r="BQ86" i="1"/>
  <c r="BQ71" i="1"/>
  <c r="BQ88" i="1"/>
  <c r="AW86" i="1"/>
  <c r="AW87" i="1"/>
  <c r="AS90" i="1"/>
  <c r="BA71" i="1"/>
  <c r="AW88" i="1"/>
  <c r="AV90" i="1"/>
  <c r="AZ88" i="1"/>
  <c r="AZ87" i="1"/>
  <c r="BD71" i="1"/>
  <c r="AZ86" i="1"/>
  <c r="AZ90" i="1"/>
  <c r="BD86" i="1"/>
  <c r="BH71" i="1"/>
  <c r="BD88" i="1"/>
  <c r="BD87" i="1"/>
  <c r="AY88" i="1"/>
  <c r="AU90" i="1"/>
  <c r="BC71" i="1"/>
  <c r="AY71" i="1"/>
  <c r="AT87" i="1"/>
  <c r="BJ88" i="1"/>
  <c r="BW87" i="1"/>
  <c r="AM90" i="1"/>
  <c r="BS71" i="1"/>
  <c r="BC88" i="1"/>
  <c r="AY90" i="1"/>
  <c r="BG71" i="1"/>
  <c r="BC87" i="1"/>
  <c r="BC86" i="1"/>
  <c r="BM71" i="1"/>
  <c r="BI88" i="1"/>
  <c r="BI86" i="1"/>
  <c r="BI87" i="1"/>
  <c r="BE90" i="1"/>
  <c r="AO88" i="1"/>
  <c r="AO86" i="1"/>
  <c r="AS71" i="1"/>
  <c r="AO87" i="1"/>
  <c r="BP71" i="1"/>
  <c r="BL90" i="1"/>
  <c r="BP87" i="1"/>
  <c r="BP88" i="1"/>
  <c r="BP86" i="1"/>
  <c r="AS87" i="1"/>
  <c r="AO90" i="1"/>
  <c r="AS88" i="1"/>
  <c r="AS86" i="1"/>
  <c r="AW71" i="1"/>
  <c r="AV87" i="1"/>
  <c r="AV86" i="1"/>
  <c r="AZ71" i="1"/>
  <c r="AV88" i="1"/>
  <c r="AR90" i="1"/>
  <c r="BA86" i="1"/>
  <c r="BA87" i="1"/>
  <c r="BC90" i="1"/>
  <c r="BG86" i="1"/>
  <c r="BG87" i="1"/>
  <c r="BG88" i="1"/>
  <c r="BK71" i="1"/>
  <c r="AT88" i="1"/>
  <c r="AT86" i="1"/>
  <c r="AY86" i="1"/>
  <c r="BZ87" i="1"/>
  <c r="CC91" i="1" s="1"/>
  <c r="BA90" i="1"/>
  <c r="BN71" i="1"/>
  <c r="BZ86" i="1"/>
  <c r="CC71" i="1"/>
  <c r="BY88" i="1"/>
  <c r="BU90" i="1"/>
  <c r="BY87" i="1"/>
  <c r="BY86" i="1"/>
  <c r="AX90" i="1"/>
  <c r="BF71" i="1"/>
  <c r="BB88" i="1"/>
  <c r="BB87" i="1"/>
  <c r="BB86" i="1"/>
  <c r="BH88" i="1"/>
  <c r="BH86" i="1"/>
  <c r="BD90" i="1"/>
  <c r="BL71" i="1"/>
  <c r="BH87" i="1"/>
  <c r="AT71" i="1"/>
  <c r="AP88" i="1"/>
  <c r="AP71" i="1"/>
  <c r="AL90" i="1"/>
  <c r="AP87" i="1"/>
  <c r="AP86" i="1"/>
  <c r="BR71" i="1"/>
  <c r="BJ90" i="1"/>
  <c r="BN88" i="1"/>
  <c r="BN86" i="1"/>
  <c r="BN87" i="1"/>
  <c r="AN90" i="1"/>
  <c r="AR88" i="1"/>
  <c r="AR87" i="1"/>
  <c r="AR86" i="1"/>
  <c r="AV71" i="1"/>
  <c r="AX87" i="1"/>
  <c r="BB71" i="1"/>
  <c r="AX86" i="1"/>
  <c r="AT90" i="1"/>
  <c r="AX88" i="1"/>
  <c r="BX71" i="1"/>
  <c r="BW95" i="1"/>
  <c r="BW97" i="1"/>
  <c r="BW96" i="1"/>
  <c r="BG95" i="1"/>
  <c r="BG97" i="1"/>
  <c r="BG96" i="1"/>
  <c r="AQ96" i="1"/>
  <c r="AQ97" i="1"/>
  <c r="AQ95" i="1"/>
  <c r="AD126" i="1"/>
  <c r="AD129" i="1" s="1"/>
  <c r="AD250" i="1" s="1"/>
  <c r="AR110" i="1"/>
  <c r="W62" i="1"/>
  <c r="CB91" i="1" l="1"/>
  <c r="BT91" i="1"/>
  <c r="BH91" i="1"/>
  <c r="BM91" i="1"/>
  <c r="BG91" i="1"/>
  <c r="BN91" i="1"/>
  <c r="BB91" i="1"/>
  <c r="BI91" i="1"/>
  <c r="AW91" i="1"/>
  <c r="BL91" i="1"/>
  <c r="BY91" i="1"/>
  <c r="AZ91" i="1"/>
  <c r="AR91" i="1"/>
  <c r="AV91" i="1"/>
  <c r="BJ91" i="1"/>
  <c r="BE91" i="1"/>
  <c r="AS91" i="1"/>
  <c r="AU91" i="1"/>
  <c r="BA91" i="1"/>
  <c r="AT91" i="1"/>
  <c r="AQ91" i="1"/>
  <c r="AP91" i="1"/>
  <c r="AO91" i="1"/>
  <c r="BP91" i="1"/>
  <c r="BO91" i="1"/>
  <c r="AY91" i="1"/>
  <c r="AX91" i="1"/>
  <c r="CA91" i="1"/>
  <c r="BR91" i="1"/>
  <c r="BC91" i="1"/>
  <c r="BZ91" i="1"/>
  <c r="BF91" i="1"/>
  <c r="BS91" i="1"/>
  <c r="BD91" i="1"/>
  <c r="BK91" i="1"/>
  <c r="BQ91" i="1"/>
  <c r="BX91" i="1"/>
  <c r="BW91" i="1"/>
  <c r="BV91" i="1"/>
  <c r="BU91" i="1"/>
  <c r="AD207" i="1"/>
  <c r="AR111" i="1"/>
  <c r="AR114" i="1" s="1"/>
  <c r="AR112" i="1"/>
  <c r="AR115" i="1" s="1"/>
  <c r="CA228" i="1"/>
  <c r="CB228" i="1"/>
  <c r="W194" i="1"/>
  <c r="W196" i="1" s="1"/>
  <c r="BU228" i="1"/>
  <c r="AE125" i="1" l="1"/>
  <c r="CA90" i="1"/>
  <c r="CF90" i="1" l="1"/>
  <c r="W90" i="1"/>
  <c r="W70" i="1"/>
  <c r="W69" i="1"/>
  <c r="AE126" i="1" l="1"/>
  <c r="AE129" i="1" s="1"/>
  <c r="AE250" i="1" s="1"/>
  <c r="W71" i="1"/>
  <c r="X71" i="1"/>
  <c r="X90" i="1"/>
  <c r="W88" i="1"/>
  <c r="V90" i="1"/>
  <c r="W86" i="1"/>
  <c r="W87" i="1"/>
  <c r="AE207" i="1" l="1"/>
  <c r="W121" i="1"/>
  <c r="W55" i="1" l="1"/>
  <c r="W93" i="1"/>
  <c r="X208" i="1"/>
  <c r="X206" i="1" s="1"/>
  <c r="W208" i="1"/>
  <c r="W206" i="1" s="1"/>
  <c r="W130" i="1"/>
  <c r="W56" i="1" s="1"/>
  <c r="W176" i="1"/>
  <c r="W96" i="1" l="1"/>
  <c r="W95" i="1"/>
  <c r="W97" i="1"/>
  <c r="W181" i="1" l="1"/>
  <c r="W184" i="1" l="1"/>
  <c r="W157" i="1"/>
  <c r="X198" i="1" s="1"/>
  <c r="W186" i="1" l="1"/>
  <c r="W185" i="1" s="1"/>
  <c r="W198" i="1"/>
  <c r="W149" i="1"/>
  <c r="X197" i="1" s="1"/>
  <c r="X199" i="1" s="1"/>
  <c r="X200" i="1" s="1"/>
  <c r="X214" i="1" s="1"/>
  <c r="W180" i="1"/>
  <c r="W183" i="1" l="1"/>
  <c r="W158" i="1"/>
  <c r="W197" i="1"/>
  <c r="W199" i="1" s="1"/>
  <c r="W200" i="1" s="1"/>
  <c r="W182" i="1" l="1"/>
  <c r="W187" i="1"/>
  <c r="W211" i="1"/>
  <c r="W214" i="1"/>
  <c r="W190" i="1" l="1"/>
  <c r="W191" i="1" s="1"/>
  <c r="X190" i="1"/>
  <c r="X191" i="1" s="1"/>
  <c r="W162" i="1" l="1"/>
  <c r="X210" i="1" l="1"/>
  <c r="X211" i="1" s="1"/>
  <c r="X212" i="1" s="1"/>
  <c r="W247" i="1"/>
  <c r="W249" i="1"/>
  <c r="W245" i="1"/>
  <c r="W169" i="1"/>
  <c r="W110" i="1" s="1"/>
  <c r="W166" i="1"/>
  <c r="W212" i="1"/>
  <c r="W112" i="1" l="1"/>
  <c r="W115" i="1" s="1"/>
  <c r="W111" i="1"/>
  <c r="W114" i="1" s="1"/>
  <c r="W167" i="1"/>
  <c r="C112" i="2" l="1"/>
  <c r="C111" i="2"/>
  <c r="C113" i="2"/>
  <c r="B74" i="1" l="1"/>
  <c r="B75" i="1"/>
  <c r="AK180" i="1" l="1"/>
  <c r="AK145" i="1" s="1"/>
  <c r="AM145" i="1" l="1"/>
  <c r="AO145" i="1" l="1"/>
  <c r="AQ145" i="1" l="1"/>
  <c r="AS145" i="1" l="1"/>
  <c r="AU145" i="1" l="1"/>
  <c r="AW145" i="1" l="1"/>
  <c r="AY145" i="1" l="1"/>
  <c r="BA145" i="1" l="1"/>
  <c r="BC145" i="1" l="1"/>
  <c r="BE145" i="1" l="1"/>
  <c r="BG145" i="1" l="1"/>
  <c r="BI145" i="1" l="1"/>
  <c r="BK145" i="1" l="1"/>
  <c r="BM145" i="1" l="1"/>
  <c r="BO145" i="1" l="1"/>
  <c r="BQ145" i="1" l="1"/>
  <c r="BS145" i="1" l="1"/>
  <c r="BU145" i="1" l="1"/>
  <c r="BW145" i="1" l="1"/>
  <c r="BY145" i="1" l="1"/>
  <c r="AK146" i="1" l="1"/>
  <c r="AK149" i="1" s="1"/>
  <c r="AL197" i="1" l="1"/>
  <c r="AK197" i="1"/>
  <c r="AK183" i="1"/>
  <c r="AM146" i="1"/>
  <c r="AM149" i="1" s="1"/>
  <c r="AM183" i="1" l="1"/>
  <c r="AM182" i="1" s="1"/>
  <c r="AN197" i="1"/>
  <c r="AM197" i="1"/>
  <c r="AJ182" i="1"/>
  <c r="AK182" i="1"/>
  <c r="AO146" i="1" l="1"/>
  <c r="AO149" i="1" s="1"/>
  <c r="AP197" i="1" l="1"/>
  <c r="AO183" i="1"/>
  <c r="AO182" i="1" s="1"/>
  <c r="AO197" i="1"/>
  <c r="AQ146" i="1" l="1"/>
  <c r="AQ149" i="1" s="1"/>
  <c r="AQ183" i="1" l="1"/>
  <c r="AQ182" i="1" s="1"/>
  <c r="AR197" i="1"/>
  <c r="AQ197" i="1"/>
  <c r="AS146" i="1" l="1"/>
  <c r="AS149" i="1" s="1"/>
  <c r="AT197" i="1" l="1"/>
  <c r="AS183" i="1"/>
  <c r="AS182" i="1" s="1"/>
  <c r="AS197" i="1"/>
  <c r="AU146" i="1" l="1"/>
  <c r="AU149" i="1" s="1"/>
  <c r="AU183" i="1" l="1"/>
  <c r="AU182" i="1" s="1"/>
  <c r="AV197" i="1"/>
  <c r="AU197" i="1"/>
  <c r="AW146" i="1" l="1"/>
  <c r="AW149" i="1" s="1"/>
  <c r="AW183" i="1" l="1"/>
  <c r="AW182" i="1" s="1"/>
  <c r="AX197" i="1"/>
  <c r="AW197" i="1"/>
  <c r="AY146" i="1" l="1"/>
  <c r="AY149" i="1" s="1"/>
  <c r="AY183" i="1" l="1"/>
  <c r="AY182" i="1" s="1"/>
  <c r="AZ197" i="1"/>
  <c r="AY197" i="1"/>
  <c r="BA146" i="1" l="1"/>
  <c r="BA149" i="1" s="1"/>
  <c r="BB197" i="1" l="1"/>
  <c r="BA183" i="1"/>
  <c r="BA182" i="1" s="1"/>
  <c r="BA197" i="1"/>
  <c r="BC146" i="1" l="1"/>
  <c r="BC149" i="1" s="1"/>
  <c r="BD197" i="1" l="1"/>
  <c r="BC183" i="1"/>
  <c r="BC182" i="1" s="1"/>
  <c r="BC197" i="1"/>
  <c r="BE146" i="1" l="1"/>
  <c r="BE149" i="1" s="1"/>
  <c r="BF197" i="1" l="1"/>
  <c r="BE183" i="1"/>
  <c r="BE182" i="1" s="1"/>
  <c r="BE197" i="1"/>
  <c r="BG146" i="1" l="1"/>
  <c r="BG149" i="1" s="1"/>
  <c r="BG183" i="1" l="1"/>
  <c r="BG182" i="1" s="1"/>
  <c r="BH197" i="1"/>
  <c r="BG197" i="1"/>
  <c r="BI146" i="1" l="1"/>
  <c r="BI149" i="1" s="1"/>
  <c r="BJ197" i="1" l="1"/>
  <c r="BI183" i="1"/>
  <c r="BI182" i="1" s="1"/>
  <c r="BI197" i="1"/>
  <c r="BK146" i="1" l="1"/>
  <c r="BK149" i="1" s="1"/>
  <c r="BL197" i="1" l="1"/>
  <c r="BK183" i="1"/>
  <c r="BK182" i="1" s="1"/>
  <c r="BK197" i="1"/>
  <c r="BM146" i="1" l="1"/>
  <c r="BM149" i="1" s="1"/>
  <c r="BM183" i="1" l="1"/>
  <c r="BM182" i="1" s="1"/>
  <c r="BN197" i="1"/>
  <c r="BM197" i="1"/>
  <c r="BO146" i="1" l="1"/>
  <c r="BO149" i="1" s="1"/>
  <c r="BO183" i="1" l="1"/>
  <c r="BO182" i="1" s="1"/>
  <c r="BP197" i="1"/>
  <c r="BO197" i="1"/>
  <c r="BQ146" i="1" l="1"/>
  <c r="BQ149" i="1" s="1"/>
  <c r="BR197" i="1" l="1"/>
  <c r="BQ183" i="1"/>
  <c r="BQ182" i="1" s="1"/>
  <c r="BQ197" i="1"/>
  <c r="BS146" i="1" l="1"/>
  <c r="BS149" i="1" s="1"/>
  <c r="BT197" i="1" l="1"/>
  <c r="BS183" i="1"/>
  <c r="BS182" i="1" s="1"/>
  <c r="BS197" i="1"/>
  <c r="BU146" i="1" l="1"/>
  <c r="BU149" i="1" s="1"/>
  <c r="BU183" i="1" l="1"/>
  <c r="BU182" i="1" s="1"/>
  <c r="BV197" i="1"/>
  <c r="BU197" i="1"/>
  <c r="BW146" i="1" l="1"/>
  <c r="BW149" i="1" s="1"/>
  <c r="BW183" i="1" l="1"/>
  <c r="BW182" i="1" s="1"/>
  <c r="BX197" i="1"/>
  <c r="BW197" i="1"/>
  <c r="BY146" i="1" l="1"/>
  <c r="BY149" i="1" s="1"/>
  <c r="BZ197" i="1" l="1"/>
  <c r="BY183" i="1"/>
  <c r="BY182" i="1" s="1"/>
  <c r="BY197" i="1"/>
  <c r="AK184" i="1" l="1"/>
  <c r="AK154" i="1" s="1"/>
  <c r="AK157" i="1" s="1"/>
  <c r="AK158" i="1" l="1"/>
  <c r="AK186" i="1"/>
  <c r="AL198" i="1"/>
  <c r="AL199" i="1" s="1"/>
  <c r="AL200" i="1" s="1"/>
  <c r="AL214" i="1" s="1"/>
  <c r="AK198" i="1"/>
  <c r="AK199" i="1" s="1"/>
  <c r="AK200" i="1" s="1"/>
  <c r="AM154" i="1"/>
  <c r="AM157" i="1" s="1"/>
  <c r="AK214" i="1" l="1"/>
  <c r="AK211" i="1"/>
  <c r="AK161" i="1" s="1"/>
  <c r="AK162" i="1" s="1"/>
  <c r="AK166" i="1" s="1"/>
  <c r="AK167" i="1" s="1"/>
  <c r="AN198" i="1"/>
  <c r="AN199" i="1" s="1"/>
  <c r="AN200" i="1" s="1"/>
  <c r="AN214" i="1" s="1"/>
  <c r="AM186" i="1"/>
  <c r="AM185" i="1" s="1"/>
  <c r="AM198" i="1"/>
  <c r="AM199" i="1" s="1"/>
  <c r="AM200" i="1" s="1"/>
  <c r="AM158" i="1"/>
  <c r="AJ185" i="1"/>
  <c r="AJ187" i="1"/>
  <c r="AN190" i="1" s="1"/>
  <c r="AK185" i="1"/>
  <c r="AK187" i="1"/>
  <c r="AO154" i="1"/>
  <c r="AO157" i="1" s="1"/>
  <c r="AM187" i="1" l="1"/>
  <c r="AO186" i="1"/>
  <c r="AO185" i="1" s="1"/>
  <c r="AP198" i="1"/>
  <c r="AP199" i="1" s="1"/>
  <c r="AP200" i="1" s="1"/>
  <c r="AP214" i="1" s="1"/>
  <c r="AO198" i="1"/>
  <c r="AO199" i="1" s="1"/>
  <c r="AO200" i="1" s="1"/>
  <c r="AM214" i="1"/>
  <c r="AM211" i="1"/>
  <c r="AO158" i="1"/>
  <c r="AL210" i="1" l="1"/>
  <c r="AL211" i="1" s="1"/>
  <c r="AL212" i="1" s="1"/>
  <c r="AK212" i="1"/>
  <c r="AO187" i="1"/>
  <c r="AO190" i="1" s="1"/>
  <c r="AO214" i="1"/>
  <c r="AO211" i="1"/>
  <c r="AQ154" i="1"/>
  <c r="AQ157" i="1" s="1"/>
  <c r="AK169" i="1"/>
  <c r="AL37" i="1" s="1"/>
  <c r="AM161" i="1"/>
  <c r="AM162" i="1" s="1"/>
  <c r="AM166" i="1" s="1"/>
  <c r="AN210" i="1" l="1"/>
  <c r="AN211" i="1" s="1"/>
  <c r="AN212" i="1" s="1"/>
  <c r="AM249" i="1"/>
  <c r="AM247" i="1"/>
  <c r="AM245" i="1"/>
  <c r="AQ186" i="1"/>
  <c r="AQ185" i="1" s="1"/>
  <c r="AR198" i="1"/>
  <c r="AR199" i="1" s="1"/>
  <c r="AR200" i="1" s="1"/>
  <c r="AR214" i="1" s="1"/>
  <c r="AQ198" i="1"/>
  <c r="AQ199" i="1" s="1"/>
  <c r="AQ200" i="1" s="1"/>
  <c r="AM212" i="1"/>
  <c r="AQ158" i="1"/>
  <c r="AO161" i="1"/>
  <c r="AO162" i="1" s="1"/>
  <c r="AM169" i="1"/>
  <c r="AO247" i="1" l="1"/>
  <c r="AO249" i="1"/>
  <c r="AO245" i="1"/>
  <c r="AM110" i="1"/>
  <c r="AM111" i="1" s="1"/>
  <c r="AM114" i="1" s="1"/>
  <c r="AN37" i="1"/>
  <c r="AQ187" i="1"/>
  <c r="AQ190" i="1" s="1"/>
  <c r="AQ214" i="1"/>
  <c r="AQ211" i="1"/>
  <c r="AP210" i="1"/>
  <c r="AP211" i="1" s="1"/>
  <c r="AP212" i="1" s="1"/>
  <c r="AO212" i="1"/>
  <c r="AS154" i="1"/>
  <c r="AS157" i="1" s="1"/>
  <c r="AO169" i="1"/>
  <c r="AO166" i="1"/>
  <c r="AM167" i="1"/>
  <c r="AM112" i="1" l="1"/>
  <c r="AM115" i="1" s="1"/>
  <c r="AO110" i="1"/>
  <c r="AO112" i="1" s="1"/>
  <c r="AO115" i="1" s="1"/>
  <c r="AP37" i="1"/>
  <c r="AS186" i="1"/>
  <c r="AS185" i="1" s="1"/>
  <c r="AT198" i="1"/>
  <c r="AT199" i="1" s="1"/>
  <c r="AT200" i="1" s="1"/>
  <c r="AT214" i="1" s="1"/>
  <c r="AS198" i="1"/>
  <c r="AS199" i="1" s="1"/>
  <c r="AS200" i="1" s="1"/>
  <c r="AO167" i="1"/>
  <c r="AS158" i="1"/>
  <c r="AQ161" i="1"/>
  <c r="AQ162" i="1" s="1"/>
  <c r="AQ247" i="1" l="1"/>
  <c r="AQ249" i="1"/>
  <c r="AQ245" i="1"/>
  <c r="AO111" i="1"/>
  <c r="AO114" i="1" s="1"/>
  <c r="AS187" i="1"/>
  <c r="AS190" i="1" s="1"/>
  <c r="AS214" i="1"/>
  <c r="AS211" i="1"/>
  <c r="AR210" i="1"/>
  <c r="AR211" i="1" s="1"/>
  <c r="AR212" i="1" s="1"/>
  <c r="AQ212" i="1"/>
  <c r="AQ166" i="1"/>
  <c r="AQ169" i="1"/>
  <c r="AU154" i="1"/>
  <c r="AU157" i="1" s="1"/>
  <c r="AQ110" i="1" l="1"/>
  <c r="AQ111" i="1" s="1"/>
  <c r="AQ114" i="1" s="1"/>
  <c r="AR37" i="1"/>
  <c r="AU186" i="1"/>
  <c r="AU185" i="1" s="1"/>
  <c r="AV198" i="1"/>
  <c r="AV199" i="1" s="1"/>
  <c r="AV200" i="1" s="1"/>
  <c r="AV214" i="1" s="1"/>
  <c r="AU198" i="1"/>
  <c r="AU199" i="1" s="1"/>
  <c r="AU200" i="1" s="1"/>
  <c r="AU158" i="1"/>
  <c r="AS161" i="1"/>
  <c r="AS162" i="1" s="1"/>
  <c r="AQ167" i="1"/>
  <c r="AS249" i="1" l="1"/>
  <c r="AS247" i="1"/>
  <c r="AS245" i="1"/>
  <c r="AQ112" i="1"/>
  <c r="AQ115" i="1" s="1"/>
  <c r="AU187" i="1"/>
  <c r="AU190" i="1" s="1"/>
  <c r="AU214" i="1"/>
  <c r="AU211" i="1"/>
  <c r="AT210" i="1"/>
  <c r="AT211" i="1" s="1"/>
  <c r="AT212" i="1" s="1"/>
  <c r="AS212" i="1"/>
  <c r="AS169" i="1"/>
  <c r="AS166" i="1"/>
  <c r="AW154" i="1"/>
  <c r="AW157" i="1" s="1"/>
  <c r="AS110" i="1" l="1"/>
  <c r="AS111" i="1" s="1"/>
  <c r="AS114" i="1" s="1"/>
  <c r="AT37" i="1"/>
  <c r="AW186" i="1"/>
  <c r="AW187" i="1" s="1"/>
  <c r="AW190" i="1" s="1"/>
  <c r="AX198" i="1"/>
  <c r="AX199" i="1" s="1"/>
  <c r="AX200" i="1" s="1"/>
  <c r="AX214" i="1" s="1"/>
  <c r="AW198" i="1"/>
  <c r="AW199" i="1" s="1"/>
  <c r="AW200" i="1" s="1"/>
  <c r="AU161" i="1"/>
  <c r="AU162" i="1" s="1"/>
  <c r="AS167" i="1"/>
  <c r="AW158" i="1"/>
  <c r="AU249" i="1" l="1"/>
  <c r="AU247" i="1"/>
  <c r="AU245" i="1"/>
  <c r="AS112" i="1"/>
  <c r="AS115" i="1" s="1"/>
  <c r="AW185" i="1"/>
  <c r="AW214" i="1"/>
  <c r="AW211" i="1"/>
  <c r="AV210" i="1"/>
  <c r="AV211" i="1" s="1"/>
  <c r="AV212" i="1" s="1"/>
  <c r="AU212" i="1"/>
  <c r="AU169" i="1"/>
  <c r="AU166" i="1"/>
  <c r="AY154" i="1"/>
  <c r="AY157" i="1" s="1"/>
  <c r="AU110" i="1" l="1"/>
  <c r="AU112" i="1" s="1"/>
  <c r="AU115" i="1" s="1"/>
  <c r="AV37" i="1"/>
  <c r="AY186" i="1"/>
  <c r="AY185" i="1" s="1"/>
  <c r="AZ198" i="1"/>
  <c r="AZ199" i="1" s="1"/>
  <c r="AZ200" i="1" s="1"/>
  <c r="AZ214" i="1" s="1"/>
  <c r="AY198" i="1"/>
  <c r="AY199" i="1" s="1"/>
  <c r="AY200" i="1" s="1"/>
  <c r="AW161" i="1"/>
  <c r="AW162" i="1" s="1"/>
  <c r="AY158" i="1"/>
  <c r="AU167" i="1"/>
  <c r="AW247" i="1" l="1"/>
  <c r="AW249" i="1"/>
  <c r="AW245" i="1"/>
  <c r="AU111" i="1"/>
  <c r="AU114" i="1" s="1"/>
  <c r="AY187" i="1"/>
  <c r="AY190" i="1" s="1"/>
  <c r="AY214" i="1"/>
  <c r="AY211" i="1"/>
  <c r="AX210" i="1"/>
  <c r="AX211" i="1" s="1"/>
  <c r="AX212" i="1" s="1"/>
  <c r="AW212" i="1"/>
  <c r="BA154" i="1"/>
  <c r="BA157" i="1" s="1"/>
  <c r="AW166" i="1"/>
  <c r="AW169" i="1"/>
  <c r="AW110" i="1" l="1"/>
  <c r="AW112" i="1" s="1"/>
  <c r="AW115" i="1" s="1"/>
  <c r="AX37" i="1"/>
  <c r="BB198" i="1"/>
  <c r="BB199" i="1" s="1"/>
  <c r="BB200" i="1" s="1"/>
  <c r="BB214" i="1" s="1"/>
  <c r="BA186" i="1"/>
  <c r="BA185" i="1" s="1"/>
  <c r="BA198" i="1"/>
  <c r="BA199" i="1" s="1"/>
  <c r="BA200" i="1" s="1"/>
  <c r="AW167" i="1"/>
  <c r="BA158" i="1"/>
  <c r="AY161" i="1"/>
  <c r="AY162" i="1" s="1"/>
  <c r="AY247" i="1" l="1"/>
  <c r="AY249" i="1"/>
  <c r="AY245" i="1"/>
  <c r="AW111" i="1"/>
  <c r="AW114" i="1" s="1"/>
  <c r="BA187" i="1"/>
  <c r="BA190" i="1" s="1"/>
  <c r="BA214" i="1"/>
  <c r="BA211" i="1"/>
  <c r="AZ210" i="1"/>
  <c r="AZ211" i="1" s="1"/>
  <c r="AZ212" i="1" s="1"/>
  <c r="AY212" i="1"/>
  <c r="AY166" i="1"/>
  <c r="AY169" i="1"/>
  <c r="BC154" i="1"/>
  <c r="BC157" i="1" s="1"/>
  <c r="AY110" i="1" l="1"/>
  <c r="AY112" i="1" s="1"/>
  <c r="AY115" i="1" s="1"/>
  <c r="AZ37" i="1"/>
  <c r="BC186" i="1"/>
  <c r="BC185" i="1" s="1"/>
  <c r="BD198" i="1"/>
  <c r="BD199" i="1" s="1"/>
  <c r="BD200" i="1" s="1"/>
  <c r="BD214" i="1" s="1"/>
  <c r="BC198" i="1"/>
  <c r="BC199" i="1" s="1"/>
  <c r="BC200" i="1" s="1"/>
  <c r="AY167" i="1"/>
  <c r="BC158" i="1"/>
  <c r="BA161" i="1"/>
  <c r="BA162" i="1" s="1"/>
  <c r="BA249" i="1" l="1"/>
  <c r="BA247" i="1"/>
  <c r="BA245" i="1"/>
  <c r="AY111" i="1"/>
  <c r="AY114" i="1" s="1"/>
  <c r="BC187" i="1"/>
  <c r="BC190" i="1" s="1"/>
  <c r="BC214" i="1"/>
  <c r="BC211" i="1"/>
  <c r="BB210" i="1"/>
  <c r="BB211" i="1" s="1"/>
  <c r="BB212" i="1" s="1"/>
  <c r="BA212" i="1"/>
  <c r="BE154" i="1"/>
  <c r="BE157" i="1" s="1"/>
  <c r="BA169" i="1"/>
  <c r="BA166" i="1"/>
  <c r="BA110" i="1" l="1"/>
  <c r="BA111" i="1" s="1"/>
  <c r="BA114" i="1" s="1"/>
  <c r="BB37" i="1"/>
  <c r="BE186" i="1"/>
  <c r="BE185" i="1" s="1"/>
  <c r="BF198" i="1"/>
  <c r="BF199" i="1" s="1"/>
  <c r="BF200" i="1" s="1"/>
  <c r="BF214" i="1" s="1"/>
  <c r="BE198" i="1"/>
  <c r="BE199" i="1" s="1"/>
  <c r="BE200" i="1" s="1"/>
  <c r="BC161" i="1"/>
  <c r="BC162" i="1" s="1"/>
  <c r="BA167" i="1"/>
  <c r="BE158" i="1"/>
  <c r="BC249" i="1" l="1"/>
  <c r="BC247" i="1"/>
  <c r="BC245" i="1"/>
  <c r="BA112" i="1"/>
  <c r="BA115" i="1" s="1"/>
  <c r="BE187" i="1"/>
  <c r="BE190" i="1" s="1"/>
  <c r="BE214" i="1"/>
  <c r="BE211" i="1"/>
  <c r="BD210" i="1"/>
  <c r="BD211" i="1" s="1"/>
  <c r="BD212" i="1" s="1"/>
  <c r="BC212" i="1"/>
  <c r="BG154" i="1"/>
  <c r="BG157" i="1" s="1"/>
  <c r="BC166" i="1"/>
  <c r="BC169" i="1"/>
  <c r="BC110" i="1" l="1"/>
  <c r="BC111" i="1" s="1"/>
  <c r="BC114" i="1" s="1"/>
  <c r="BD37" i="1"/>
  <c r="BG186" i="1"/>
  <c r="BG187" i="1" s="1"/>
  <c r="BG190" i="1" s="1"/>
  <c r="BH198" i="1"/>
  <c r="BH199" i="1" s="1"/>
  <c r="BH200" i="1" s="1"/>
  <c r="BH214" i="1" s="1"/>
  <c r="BG198" i="1"/>
  <c r="BG199" i="1" s="1"/>
  <c r="BG200" i="1" s="1"/>
  <c r="BC167" i="1"/>
  <c r="BE161" i="1"/>
  <c r="BE162" i="1" s="1"/>
  <c r="BG158" i="1"/>
  <c r="BE247" i="1" l="1"/>
  <c r="BE249" i="1"/>
  <c r="BE245" i="1"/>
  <c r="BC112" i="1"/>
  <c r="BC115" i="1" s="1"/>
  <c r="BG185" i="1"/>
  <c r="BG214" i="1"/>
  <c r="BG211" i="1"/>
  <c r="BF210" i="1"/>
  <c r="BF211" i="1" s="1"/>
  <c r="BF212" i="1" s="1"/>
  <c r="BE212" i="1"/>
  <c r="BE169" i="1"/>
  <c r="BE166" i="1"/>
  <c r="BI154" i="1"/>
  <c r="BI157" i="1" s="1"/>
  <c r="BE110" i="1" l="1"/>
  <c r="BE111" i="1" s="1"/>
  <c r="BE114" i="1" s="1"/>
  <c r="BF37" i="1"/>
  <c r="BI186" i="1"/>
  <c r="BI185" i="1" s="1"/>
  <c r="BJ198" i="1"/>
  <c r="BJ199" i="1" s="1"/>
  <c r="BJ200" i="1" s="1"/>
  <c r="BJ214" i="1" s="1"/>
  <c r="BI198" i="1"/>
  <c r="BI199" i="1" s="1"/>
  <c r="BI200" i="1" s="1"/>
  <c r="BE167" i="1"/>
  <c r="BG161" i="1"/>
  <c r="BG162" i="1" s="1"/>
  <c r="BI158" i="1"/>
  <c r="BG247" i="1" l="1"/>
  <c r="BG249" i="1"/>
  <c r="BG245" i="1"/>
  <c r="BE112" i="1"/>
  <c r="BE115" i="1" s="1"/>
  <c r="BI187" i="1"/>
  <c r="BI190" i="1" s="1"/>
  <c r="BI214" i="1"/>
  <c r="BI211" i="1"/>
  <c r="BH210" i="1"/>
  <c r="BH211" i="1" s="1"/>
  <c r="BH212" i="1" s="1"/>
  <c r="BG212" i="1"/>
  <c r="BG166" i="1"/>
  <c r="BG169" i="1"/>
  <c r="BK154" i="1"/>
  <c r="BK157" i="1" s="1"/>
  <c r="BG110" i="1" l="1"/>
  <c r="BG111" i="1" s="1"/>
  <c r="BG114" i="1" s="1"/>
  <c r="BH37" i="1"/>
  <c r="BL198" i="1"/>
  <c r="BL199" i="1" s="1"/>
  <c r="BL200" i="1" s="1"/>
  <c r="BL214" i="1" s="1"/>
  <c r="BK186" i="1"/>
  <c r="BK185" i="1" s="1"/>
  <c r="BK198" i="1"/>
  <c r="BK199" i="1" s="1"/>
  <c r="BK200" i="1" s="1"/>
  <c r="BK158" i="1"/>
  <c r="BG167" i="1"/>
  <c r="BI161" i="1"/>
  <c r="BI162" i="1" s="1"/>
  <c r="BI249" i="1" l="1"/>
  <c r="BI247" i="1"/>
  <c r="BI245" i="1"/>
  <c r="BG112" i="1"/>
  <c r="BG115" i="1" s="1"/>
  <c r="BK187" i="1"/>
  <c r="BK190" i="1" s="1"/>
  <c r="BK214" i="1"/>
  <c r="BK211" i="1"/>
  <c r="BJ210" i="1"/>
  <c r="BJ211" i="1" s="1"/>
  <c r="BJ212" i="1" s="1"/>
  <c r="BI212" i="1"/>
  <c r="BI169" i="1"/>
  <c r="BI166" i="1"/>
  <c r="BM154" i="1"/>
  <c r="BM157" i="1" s="1"/>
  <c r="BI110" i="1" l="1"/>
  <c r="BI112" i="1" s="1"/>
  <c r="BI115" i="1" s="1"/>
  <c r="BJ37" i="1"/>
  <c r="BM186" i="1"/>
  <c r="BM185" i="1" s="1"/>
  <c r="BN198" i="1"/>
  <c r="BN199" i="1" s="1"/>
  <c r="BN200" i="1" s="1"/>
  <c r="BN214" i="1" s="1"/>
  <c r="BM198" i="1"/>
  <c r="BM199" i="1" s="1"/>
  <c r="BM200" i="1" s="1"/>
  <c r="BM158" i="1"/>
  <c r="BI167" i="1"/>
  <c r="BK161" i="1"/>
  <c r="BK162" i="1" s="1"/>
  <c r="BK249" i="1" l="1"/>
  <c r="BK247" i="1"/>
  <c r="BK245" i="1"/>
  <c r="BI111" i="1"/>
  <c r="BI114" i="1" s="1"/>
  <c r="BM187" i="1"/>
  <c r="BM190" i="1" s="1"/>
  <c r="BM214" i="1"/>
  <c r="BM211" i="1"/>
  <c r="BL210" i="1"/>
  <c r="BL211" i="1" s="1"/>
  <c r="BL212" i="1" s="1"/>
  <c r="BK212" i="1"/>
  <c r="BK169" i="1"/>
  <c r="BK166" i="1"/>
  <c r="BO154" i="1"/>
  <c r="BO157" i="1" s="1"/>
  <c r="BK110" i="1" l="1"/>
  <c r="BK112" i="1" s="1"/>
  <c r="BK115" i="1" s="1"/>
  <c r="BL37" i="1"/>
  <c r="BO186" i="1"/>
  <c r="BO185" i="1" s="1"/>
  <c r="BP198" i="1"/>
  <c r="BP199" i="1" s="1"/>
  <c r="BP200" i="1" s="1"/>
  <c r="BP214" i="1" s="1"/>
  <c r="BO198" i="1"/>
  <c r="BO199" i="1" s="1"/>
  <c r="BO200" i="1" s="1"/>
  <c r="BM161" i="1"/>
  <c r="BM162" i="1" s="1"/>
  <c r="BK167" i="1"/>
  <c r="BO158" i="1"/>
  <c r="BM247" i="1" l="1"/>
  <c r="BM249" i="1"/>
  <c r="BM245" i="1"/>
  <c r="BK111" i="1"/>
  <c r="BK114" i="1" s="1"/>
  <c r="BO187" i="1"/>
  <c r="BO190" i="1" s="1"/>
  <c r="BO214" i="1"/>
  <c r="BO211" i="1"/>
  <c r="BN210" i="1"/>
  <c r="BN211" i="1" s="1"/>
  <c r="BN212" i="1" s="1"/>
  <c r="BM212" i="1"/>
  <c r="BM166" i="1"/>
  <c r="BM169" i="1"/>
  <c r="BQ154" i="1"/>
  <c r="BQ157" i="1" s="1"/>
  <c r="BM110" i="1" l="1"/>
  <c r="BM111" i="1" s="1"/>
  <c r="BM114" i="1" s="1"/>
  <c r="BN37" i="1"/>
  <c r="BQ186" i="1"/>
  <c r="BQ185" i="1" s="1"/>
  <c r="BR198" i="1"/>
  <c r="BR199" i="1" s="1"/>
  <c r="BR200" i="1" s="1"/>
  <c r="BR214" i="1" s="1"/>
  <c r="BQ198" i="1"/>
  <c r="BQ199" i="1" s="1"/>
  <c r="BQ200" i="1" s="1"/>
  <c r="BO161" i="1"/>
  <c r="BO162" i="1" s="1"/>
  <c r="BQ158" i="1"/>
  <c r="BM167" i="1"/>
  <c r="BO247" i="1" l="1"/>
  <c r="BO249" i="1"/>
  <c r="BO245" i="1"/>
  <c r="BM112" i="1"/>
  <c r="BM115" i="1" s="1"/>
  <c r="BQ187" i="1"/>
  <c r="BQ190" i="1" s="1"/>
  <c r="BQ214" i="1"/>
  <c r="BQ211" i="1"/>
  <c r="BP210" i="1"/>
  <c r="BP211" i="1" s="1"/>
  <c r="BP212" i="1" s="1"/>
  <c r="BO212" i="1"/>
  <c r="BS154" i="1"/>
  <c r="BS157" i="1" s="1"/>
  <c r="BO166" i="1"/>
  <c r="BO169" i="1"/>
  <c r="BO110" i="1" l="1"/>
  <c r="BO111" i="1" s="1"/>
  <c r="BO114" i="1" s="1"/>
  <c r="BP37" i="1"/>
  <c r="BS186" i="1"/>
  <c r="BS185" i="1" s="1"/>
  <c r="BT198" i="1"/>
  <c r="BT199" i="1" s="1"/>
  <c r="BT200" i="1" s="1"/>
  <c r="BT214" i="1" s="1"/>
  <c r="BS198" i="1"/>
  <c r="BS199" i="1" s="1"/>
  <c r="BS200" i="1" s="1"/>
  <c r="BO167" i="1"/>
  <c r="BS158" i="1"/>
  <c r="BQ161" i="1"/>
  <c r="BQ162" i="1" s="1"/>
  <c r="BQ249" i="1" l="1"/>
  <c r="BQ247" i="1"/>
  <c r="BQ245" i="1"/>
  <c r="BO112" i="1"/>
  <c r="BO115" i="1" s="1"/>
  <c r="BS187" i="1"/>
  <c r="BS190" i="1" s="1"/>
  <c r="BS214" i="1"/>
  <c r="BS211" i="1"/>
  <c r="BR210" i="1"/>
  <c r="BR211" i="1" s="1"/>
  <c r="BR212" i="1" s="1"/>
  <c r="BQ212" i="1"/>
  <c r="BQ166" i="1"/>
  <c r="BQ169" i="1"/>
  <c r="BU154" i="1"/>
  <c r="BU157" i="1" s="1"/>
  <c r="BQ110" i="1" l="1"/>
  <c r="BQ111" i="1" s="1"/>
  <c r="BQ114" i="1" s="1"/>
  <c r="BR37" i="1"/>
  <c r="BU186" i="1"/>
  <c r="BU185" i="1" s="1"/>
  <c r="BV198" i="1"/>
  <c r="BV199" i="1" s="1"/>
  <c r="BV200" i="1" s="1"/>
  <c r="BV214" i="1" s="1"/>
  <c r="BU198" i="1"/>
  <c r="BU199" i="1" s="1"/>
  <c r="BU200" i="1" s="1"/>
  <c r="BS161" i="1"/>
  <c r="BS162" i="1" s="1"/>
  <c r="BQ167" i="1"/>
  <c r="BU158" i="1"/>
  <c r="BS249" i="1" l="1"/>
  <c r="BS247" i="1"/>
  <c r="BS245" i="1"/>
  <c r="BQ112" i="1"/>
  <c r="BQ115" i="1" s="1"/>
  <c r="BU187" i="1"/>
  <c r="BU190" i="1" s="1"/>
  <c r="BU214" i="1"/>
  <c r="BU211" i="1"/>
  <c r="BT210" i="1"/>
  <c r="BT211" i="1" s="1"/>
  <c r="BT212" i="1" s="1"/>
  <c r="BS212" i="1"/>
  <c r="BS166" i="1"/>
  <c r="BS169" i="1"/>
  <c r="BW154" i="1"/>
  <c r="BW157" i="1" s="1"/>
  <c r="BS110" i="1" l="1"/>
  <c r="BS112" i="1" s="1"/>
  <c r="BS115" i="1" s="1"/>
  <c r="BT37" i="1"/>
  <c r="BW186" i="1"/>
  <c r="BW185" i="1" s="1"/>
  <c r="BX198" i="1"/>
  <c r="BX199" i="1" s="1"/>
  <c r="BX200" i="1" s="1"/>
  <c r="BX214" i="1" s="1"/>
  <c r="BW198" i="1"/>
  <c r="BW199" i="1" s="1"/>
  <c r="BW200" i="1" s="1"/>
  <c r="BW158" i="1"/>
  <c r="BS167" i="1"/>
  <c r="BU161" i="1"/>
  <c r="BU162" i="1" s="1"/>
  <c r="BU247" i="1" l="1"/>
  <c r="BU249" i="1"/>
  <c r="BU245" i="1"/>
  <c r="BS111" i="1"/>
  <c r="BS114" i="1" s="1"/>
  <c r="BW187" i="1"/>
  <c r="BW190" i="1" s="1"/>
  <c r="BW214" i="1"/>
  <c r="BW211" i="1"/>
  <c r="BV210" i="1"/>
  <c r="BV211" i="1" s="1"/>
  <c r="BV212" i="1" s="1"/>
  <c r="BU212" i="1"/>
  <c r="BU166" i="1"/>
  <c r="BU169" i="1"/>
  <c r="BY154" i="1"/>
  <c r="BY157" i="1" s="1"/>
  <c r="BU110" i="1" l="1"/>
  <c r="BU112" i="1" s="1"/>
  <c r="BU115" i="1" s="1"/>
  <c r="BV37" i="1"/>
  <c r="BZ198" i="1"/>
  <c r="BZ199" i="1" s="1"/>
  <c r="BZ200" i="1" s="1"/>
  <c r="BZ214" i="1" s="1"/>
  <c r="BY186" i="1"/>
  <c r="BY185" i="1" s="1"/>
  <c r="BY198" i="1"/>
  <c r="BY199" i="1" s="1"/>
  <c r="BY200" i="1" s="1"/>
  <c r="BW161" i="1"/>
  <c r="BW162" i="1" s="1"/>
  <c r="BY158" i="1"/>
  <c r="BU167" i="1"/>
  <c r="BW247" i="1" l="1"/>
  <c r="BW249" i="1"/>
  <c r="BW245" i="1"/>
  <c r="BU111" i="1"/>
  <c r="BU114" i="1" s="1"/>
  <c r="BY187" i="1"/>
  <c r="BY190" i="1" s="1"/>
  <c r="BY214" i="1"/>
  <c r="BY211" i="1"/>
  <c r="BX210" i="1"/>
  <c r="BX211" i="1" s="1"/>
  <c r="BX212" i="1" s="1"/>
  <c r="BW212" i="1"/>
  <c r="BW166" i="1"/>
  <c r="BW169" i="1"/>
  <c r="BW110" i="1" l="1"/>
  <c r="BW112" i="1" s="1"/>
  <c r="BW115" i="1" s="1"/>
  <c r="BX37" i="1"/>
  <c r="BW167" i="1"/>
  <c r="BY161" i="1"/>
  <c r="BY162" i="1" s="1"/>
  <c r="BY249" i="1" l="1"/>
  <c r="BY247" i="1"/>
  <c r="BY245" i="1"/>
  <c r="BW111" i="1"/>
  <c r="BW114" i="1" s="1"/>
  <c r="BZ210" i="1"/>
  <c r="BZ211" i="1" s="1"/>
  <c r="BZ212" i="1" s="1"/>
  <c r="BY212" i="1"/>
  <c r="BY169" i="1"/>
  <c r="BY166" i="1"/>
  <c r="BY110" i="1" l="1"/>
  <c r="BY111" i="1" s="1"/>
  <c r="BY114" i="1" s="1"/>
  <c r="BZ37" i="1"/>
  <c r="BY167" i="1"/>
  <c r="CC146" i="1"/>
  <c r="CC145" i="1"/>
  <c r="CA145" i="1"/>
  <c r="CA154" i="1"/>
  <c r="CA157" i="1" s="1"/>
  <c r="CA146" i="1"/>
  <c r="BY112" i="1" l="1"/>
  <c r="BY115" i="1" s="1"/>
  <c r="CA149" i="1"/>
  <c r="CA183" i="1" s="1"/>
  <c r="CA182" i="1" s="1"/>
  <c r="CB198" i="1"/>
  <c r="CA186" i="1"/>
  <c r="CA185" i="1" s="1"/>
  <c r="CA198" i="1"/>
  <c r="CC154" i="1"/>
  <c r="CC157" i="1" s="1"/>
  <c r="CC149" i="1"/>
  <c r="CA158" i="1" l="1"/>
  <c r="CA197" i="1"/>
  <c r="CA199" i="1" s="1"/>
  <c r="CA200" i="1" s="1"/>
  <c r="CA214" i="1" s="1"/>
  <c r="CB197" i="1"/>
  <c r="CB199" i="1" s="1"/>
  <c r="CB200" i="1" s="1"/>
  <c r="CB214" i="1" s="1"/>
  <c r="CA187" i="1"/>
  <c r="CD197" i="1"/>
  <c r="CC183" i="1"/>
  <c r="CC182" i="1" s="1"/>
  <c r="CC197" i="1"/>
  <c r="CC186" i="1"/>
  <c r="CC185" i="1" s="1"/>
  <c r="CD198" i="1"/>
  <c r="CC198" i="1"/>
  <c r="CC158" i="1"/>
  <c r="CA190" i="1" l="1"/>
  <c r="CE190" i="1"/>
  <c r="CC199" i="1"/>
  <c r="CC200" i="1" s="1"/>
  <c r="CC214" i="1" s="1"/>
  <c r="CD199" i="1"/>
  <c r="CD200" i="1" s="1"/>
  <c r="CD214" i="1" s="1"/>
  <c r="CA211" i="1"/>
  <c r="CA161" i="1" s="1"/>
  <c r="CA162" i="1" s="1"/>
  <c r="CC187" i="1"/>
  <c r="CA249" i="1" l="1"/>
  <c r="CA247" i="1"/>
  <c r="CA245" i="1"/>
  <c r="CC190" i="1"/>
  <c r="CG190" i="1"/>
  <c r="CC211" i="1"/>
  <c r="CC161" i="1" s="1"/>
  <c r="CC162" i="1" s="1"/>
  <c r="CB210" i="1"/>
  <c r="CB211" i="1" s="1"/>
  <c r="CB212" i="1" s="1"/>
  <c r="CA212" i="1"/>
  <c r="CA169" i="1"/>
  <c r="CA166" i="1"/>
  <c r="CC247" i="1" l="1"/>
  <c r="CC249" i="1"/>
  <c r="CC245" i="1"/>
  <c r="CA110" i="1"/>
  <c r="CA111" i="1" s="1"/>
  <c r="CA114" i="1" s="1"/>
  <c r="CB37" i="1"/>
  <c r="CD210" i="1"/>
  <c r="CD211" i="1" s="1"/>
  <c r="CD212" i="1" s="1"/>
  <c r="CC212" i="1"/>
  <c r="CC166" i="1"/>
  <c r="CC169" i="1"/>
  <c r="CA167" i="1"/>
  <c r="CA112" i="1" l="1"/>
  <c r="CA115" i="1" s="1"/>
  <c r="CC110" i="1"/>
  <c r="CC111" i="1" s="1"/>
  <c r="CC114" i="1" s="1"/>
  <c r="CD37" i="1"/>
  <c r="CC167" i="1"/>
  <c r="CC112" i="1" l="1"/>
  <c r="CC115" i="1" s="1"/>
  <c r="CE90" i="1"/>
  <c r="CD90" i="1"/>
  <c r="CC90" i="1"/>
  <c r="CB90" i="1"/>
  <c r="Y90" i="1"/>
  <c r="CI146" i="1" l="1"/>
  <c r="CI154" i="1"/>
  <c r="CI157" i="1" s="1"/>
  <c r="CI145" i="1"/>
  <c r="CJ198" i="1" l="1"/>
  <c r="CI149" i="1"/>
  <c r="CI198" i="1"/>
  <c r="CJ197" i="1" l="1"/>
  <c r="CJ199" i="1" s="1"/>
  <c r="CJ200" i="1" s="1"/>
  <c r="CJ214" i="1" s="1"/>
  <c r="CI158" i="1"/>
  <c r="CI197" i="1"/>
  <c r="CI199" i="1" s="1"/>
  <c r="CI200" i="1" s="1"/>
  <c r="CI214" i="1" s="1"/>
  <c r="CI187" i="1" l="1"/>
  <c r="CI190" i="1" s="1"/>
  <c r="CI211" i="1"/>
  <c r="CI161" i="1" s="1"/>
  <c r="CI162" i="1" s="1"/>
  <c r="CI249" i="1" l="1"/>
  <c r="CI247" i="1"/>
  <c r="CI245" i="1"/>
  <c r="CI212" i="1"/>
  <c r="CJ210" i="1"/>
  <c r="CJ211" i="1" s="1"/>
  <c r="CI169" i="1"/>
  <c r="CI166" i="1"/>
  <c r="CI110" i="1" l="1"/>
  <c r="CI112" i="1" s="1"/>
  <c r="CI115" i="1" s="1"/>
  <c r="CJ37" i="1"/>
  <c r="CJ212" i="1"/>
  <c r="CI167" i="1"/>
  <c r="CI111" i="1" l="1"/>
  <c r="CI114" i="1" s="1"/>
  <c r="CJ169" i="1"/>
  <c r="CJ110" i="1" l="1"/>
  <c r="CK37" i="1"/>
  <c r="CN37" i="1" s="1"/>
  <c r="CO37" i="1" s="1"/>
  <c r="CP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2" i="1" l="1"/>
  <c r="CJ115" i="1" s="1"/>
  <c r="CJ111" i="1"/>
  <c r="CJ114" i="1" s="1"/>
  <c r="CK232" i="1" l="1"/>
  <c r="CK254" i="1"/>
  <c r="CK253" i="1"/>
  <c r="CN10" i="1"/>
  <c r="CM10" i="1"/>
  <c r="CN232" i="1"/>
  <c r="CM232" i="1"/>
  <c r="CM99" i="1"/>
  <c r="CM100" i="1" s="1"/>
  <c r="CM103" i="1" s="1"/>
  <c r="CN99" i="1"/>
  <c r="CN100" i="1" s="1"/>
  <c r="CN103" i="1" s="1"/>
  <c r="CP8" i="1"/>
  <c r="CM147" i="1" l="1"/>
  <c r="CQ8" i="1"/>
  <c r="CO8" i="1"/>
  <c r="CO10" i="1" s="1"/>
  <c r="CN26" i="1"/>
  <c r="CN23" i="1" s="1"/>
  <c r="CR8" i="1"/>
  <c r="CN146" i="1"/>
  <c r="CN16" i="1"/>
  <c r="CN145" i="1"/>
  <c r="CN154" i="1"/>
  <c r="CM26" i="1"/>
  <c r="CM23" i="1" s="1"/>
  <c r="CM154" i="1"/>
  <c r="CN12" i="1"/>
  <c r="CN153" i="1"/>
  <c r="CN147" i="1"/>
  <c r="CM146" i="1"/>
  <c r="CM12" i="1"/>
  <c r="CM16" i="1"/>
  <c r="CM15" i="1" s="1"/>
  <c r="CM153" i="1"/>
  <c r="CM145" i="1"/>
  <c r="CK145" i="1"/>
  <c r="CK154" i="1"/>
  <c r="CK146" i="1"/>
  <c r="CM226" i="1"/>
  <c r="CK153" i="1"/>
  <c r="CK226" i="1"/>
  <c r="CK147" i="1"/>
  <c r="CN226" i="1"/>
  <c r="CO226" i="1" l="1"/>
  <c r="CS8" i="1"/>
  <c r="CM157" i="1"/>
  <c r="CK157" i="1"/>
  <c r="CN15" i="1"/>
  <c r="CN18" i="1"/>
  <c r="CN28" i="1"/>
  <c r="CN149" i="1"/>
  <c r="CM149" i="1"/>
  <c r="CN157" i="1"/>
  <c r="CR10" i="1"/>
  <c r="CV8" i="1" s="1"/>
  <c r="CM18" i="1"/>
  <c r="CR232" i="1"/>
  <c r="CQ10" i="1"/>
  <c r="CQ232" i="1"/>
  <c r="CM28" i="1"/>
  <c r="CR99" i="1"/>
  <c r="CR100" i="1" s="1"/>
  <c r="CR103" i="1" s="1"/>
  <c r="CN19" i="1"/>
  <c r="CO99" i="1"/>
  <c r="CO100" i="1" s="1"/>
  <c r="CO103" i="1" s="1"/>
  <c r="CO232" i="1"/>
  <c r="CK149" i="1"/>
  <c r="CM19" i="1"/>
  <c r="CP232" i="1"/>
  <c r="CP10" i="1"/>
  <c r="CT8" i="1" s="1"/>
  <c r="CQ99" i="1"/>
  <c r="CQ100" i="1" s="1"/>
  <c r="CQ103" i="1" s="1"/>
  <c r="AB8" i="1"/>
  <c r="CP99" i="1"/>
  <c r="CP100" i="1" s="1"/>
  <c r="CP103" i="1" s="1"/>
  <c r="CO145" i="1"/>
  <c r="CO16" i="1"/>
  <c r="CO153" i="1"/>
  <c r="CO154" i="1"/>
  <c r="CO26" i="1"/>
  <c r="CO23" i="1" s="1"/>
  <c r="CO146" i="1"/>
  <c r="CO147" i="1"/>
  <c r="CO12" i="1"/>
  <c r="CK198" i="1" l="1"/>
  <c r="CL198" i="1"/>
  <c r="CK197" i="1"/>
  <c r="CL197" i="1"/>
  <c r="CL199" i="1" s="1"/>
  <c r="CL200" i="1" s="1"/>
  <c r="CU8" i="1"/>
  <c r="CN251" i="1"/>
  <c r="CN252" i="1" s="1"/>
  <c r="CN198" i="1"/>
  <c r="CN29" i="1"/>
  <c r="CN233" i="1"/>
  <c r="CN234" i="1" s="1"/>
  <c r="CN30" i="1"/>
  <c r="CN158" i="1"/>
  <c r="CM158" i="1"/>
  <c r="CN197" i="1"/>
  <c r="CR153" i="1"/>
  <c r="CR16" i="1"/>
  <c r="CR145" i="1"/>
  <c r="CR146" i="1"/>
  <c r="CR12" i="1"/>
  <c r="CR147" i="1"/>
  <c r="CR26" i="1"/>
  <c r="CR23" i="1" s="1"/>
  <c r="CR154" i="1"/>
  <c r="CK199" i="1"/>
  <c r="CQ12" i="1"/>
  <c r="CQ26" i="1"/>
  <c r="CQ23" i="1" s="1"/>
  <c r="CQ147" i="1"/>
  <c r="CQ146" i="1"/>
  <c r="CQ153" i="1"/>
  <c r="CQ154" i="1"/>
  <c r="CQ145" i="1"/>
  <c r="CN31" i="1"/>
  <c r="CM30" i="1"/>
  <c r="CM233" i="1"/>
  <c r="CM234" i="1" s="1"/>
  <c r="CM29" i="1"/>
  <c r="CQ16" i="1"/>
  <c r="CK158" i="1"/>
  <c r="CK251" i="1"/>
  <c r="CK252" i="1" s="1"/>
  <c r="CS99" i="1"/>
  <c r="CS100" i="1" s="1"/>
  <c r="CS103" i="1" s="1"/>
  <c r="CM251" i="1"/>
  <c r="CM252" i="1" s="1"/>
  <c r="CK233" i="1"/>
  <c r="CK234" i="1" s="1"/>
  <c r="CK227" i="1"/>
  <c r="CN227" i="1"/>
  <c r="CR226" i="1"/>
  <c r="CP226" i="1"/>
  <c r="AB10" i="1"/>
  <c r="CO157" i="1"/>
  <c r="CS10" i="1"/>
  <c r="CS232" i="1"/>
  <c r="CO149" i="1"/>
  <c r="CM113" i="1"/>
  <c r="CN113" i="1"/>
  <c r="CM198" i="1"/>
  <c r="CP146" i="1"/>
  <c r="AB146" i="1" s="1"/>
  <c r="AB181" i="1" s="1"/>
  <c r="CP145" i="1"/>
  <c r="CP153" i="1"/>
  <c r="CP16" i="1"/>
  <c r="CP15" i="1" s="1"/>
  <c r="CP154" i="1"/>
  <c r="AB154" i="1" s="1"/>
  <c r="AB184" i="1" s="1"/>
  <c r="CP147" i="1"/>
  <c r="AB147" i="1" s="1"/>
  <c r="CP12" i="1"/>
  <c r="CP26" i="1"/>
  <c r="CP23" i="1" s="1"/>
  <c r="CO28" i="1"/>
  <c r="CO18" i="1"/>
  <c r="CO19" i="1"/>
  <c r="CM197" i="1"/>
  <c r="CQ226" i="1"/>
  <c r="CO15" i="1"/>
  <c r="CM227" i="1"/>
  <c r="CM31" i="1"/>
  <c r="CU10" i="1" l="1"/>
  <c r="CU232" i="1"/>
  <c r="CS226" i="1"/>
  <c r="CW8" i="1"/>
  <c r="CR149" i="1"/>
  <c r="CQ157" i="1"/>
  <c r="AB23" i="1"/>
  <c r="AB26" i="1" s="1"/>
  <c r="AB27" i="1" s="1"/>
  <c r="CN199" i="1"/>
  <c r="CR157" i="1"/>
  <c r="CR18" i="1"/>
  <c r="CR19" i="1"/>
  <c r="CR28" i="1"/>
  <c r="CR15" i="1"/>
  <c r="CV232" i="1"/>
  <c r="CV10" i="1"/>
  <c r="CZ8" i="1" s="1"/>
  <c r="CQ15" i="1"/>
  <c r="CQ18" i="1"/>
  <c r="CQ28" i="1"/>
  <c r="CQ149" i="1"/>
  <c r="CO113" i="1"/>
  <c r="CO251" i="1"/>
  <c r="CO252" i="1" s="1"/>
  <c r="AB99" i="1"/>
  <c r="AB100" i="1" s="1"/>
  <c r="AB103" i="1" s="1"/>
  <c r="AB189" i="1"/>
  <c r="CQ19" i="1"/>
  <c r="AB15" i="1"/>
  <c r="AB16" i="1" s="1"/>
  <c r="CM199" i="1"/>
  <c r="CO158" i="1"/>
  <c r="CO197" i="1"/>
  <c r="CO227" i="1"/>
  <c r="AC8" i="1"/>
  <c r="CV99" i="1"/>
  <c r="CV100" i="1" s="1"/>
  <c r="CV103" i="1" s="1"/>
  <c r="AB11" i="1"/>
  <c r="AB59" i="1"/>
  <c r="AB145" i="1"/>
  <c r="CP149" i="1"/>
  <c r="CS145" i="1"/>
  <c r="CS16" i="1"/>
  <c r="CS15" i="1" s="1"/>
  <c r="CS153" i="1"/>
  <c r="CS12" i="1"/>
  <c r="CS146" i="1"/>
  <c r="CS154" i="1"/>
  <c r="CS147" i="1"/>
  <c r="CS26" i="1"/>
  <c r="CS23" i="1" s="1"/>
  <c r="CT99" i="1"/>
  <c r="CT100" i="1" s="1"/>
  <c r="CT103" i="1" s="1"/>
  <c r="CO198" i="1"/>
  <c r="CO30" i="1"/>
  <c r="CO233" i="1"/>
  <c r="CO234" i="1" s="1"/>
  <c r="CO31" i="1"/>
  <c r="CO29" i="1"/>
  <c r="CP18" i="1"/>
  <c r="CP28" i="1"/>
  <c r="CP19" i="1"/>
  <c r="CT232" i="1"/>
  <c r="CT10" i="1"/>
  <c r="AB153" i="1"/>
  <c r="AB157" i="1" s="1"/>
  <c r="CP157" i="1"/>
  <c r="CU99" i="1"/>
  <c r="CU100" i="1" s="1"/>
  <c r="CU103" i="1" s="1"/>
  <c r="CY8" i="1" l="1"/>
  <c r="CU26" i="1"/>
  <c r="CU23" i="1" s="1"/>
  <c r="CU16" i="1"/>
  <c r="CU145" i="1"/>
  <c r="CU153" i="1"/>
  <c r="CU146" i="1"/>
  <c r="CU154" i="1"/>
  <c r="CU147" i="1"/>
  <c r="CU12" i="1"/>
  <c r="CX8" i="1"/>
  <c r="CQ198" i="1"/>
  <c r="CV145" i="1"/>
  <c r="CV16" i="1"/>
  <c r="CV18" i="1" s="1"/>
  <c r="CV153" i="1"/>
  <c r="CR198" i="1"/>
  <c r="CR158" i="1"/>
  <c r="CR233" i="1"/>
  <c r="CR234" i="1" s="1"/>
  <c r="CR29" i="1"/>
  <c r="CR30" i="1"/>
  <c r="CV147" i="1"/>
  <c r="CV146" i="1"/>
  <c r="CV26" i="1"/>
  <c r="CV23" i="1" s="1"/>
  <c r="CV12" i="1"/>
  <c r="CV154" i="1"/>
  <c r="CQ29" i="1"/>
  <c r="CQ30" i="1"/>
  <c r="CR31" i="1"/>
  <c r="CR251" i="1"/>
  <c r="CR252" i="1" s="1"/>
  <c r="CQ233" i="1"/>
  <c r="CQ234" i="1" s="1"/>
  <c r="CR197" i="1"/>
  <c r="CQ158" i="1"/>
  <c r="AB18" i="1"/>
  <c r="CP113" i="1"/>
  <c r="CP251" i="1"/>
  <c r="CP252" i="1" s="1"/>
  <c r="CQ251" i="1"/>
  <c r="CQ252" i="1" s="1"/>
  <c r="CS157" i="1"/>
  <c r="CS198" i="1" s="1"/>
  <c r="CV226" i="1"/>
  <c r="CP198" i="1"/>
  <c r="CP233" i="1"/>
  <c r="CP234" i="1" s="1"/>
  <c r="CP30" i="1"/>
  <c r="CP31" i="1"/>
  <c r="CP29" i="1"/>
  <c r="CT226" i="1"/>
  <c r="CP227" i="1"/>
  <c r="CU226" i="1"/>
  <c r="CR227" i="1"/>
  <c r="CQ227" i="1"/>
  <c r="CS28" i="1"/>
  <c r="CS251" i="1" s="1"/>
  <c r="CS252" i="1" s="1"/>
  <c r="CS18" i="1"/>
  <c r="CS19" i="1"/>
  <c r="AC10" i="1"/>
  <c r="CO199" i="1"/>
  <c r="CW232" i="1"/>
  <c r="CW10" i="1"/>
  <c r="CQ113" i="1"/>
  <c r="CW99" i="1"/>
  <c r="CW100" i="1" s="1"/>
  <c r="CW103" i="1" s="1"/>
  <c r="CS149" i="1"/>
  <c r="CT145" i="1"/>
  <c r="CT154" i="1"/>
  <c r="AC154" i="1" s="1"/>
  <c r="AC184" i="1" s="1"/>
  <c r="CT16" i="1"/>
  <c r="CT15" i="1" s="1"/>
  <c r="AC15" i="1" s="1"/>
  <c r="CT146" i="1"/>
  <c r="AC146" i="1" s="1"/>
  <c r="AC181" i="1" s="1"/>
  <c r="CT153" i="1"/>
  <c r="CT26" i="1"/>
  <c r="CT23" i="1" s="1"/>
  <c r="CT12" i="1"/>
  <c r="CT147" i="1"/>
  <c r="AC147" i="1" s="1"/>
  <c r="AB60" i="1"/>
  <c r="AB17" i="1"/>
  <c r="AB28" i="1"/>
  <c r="AB251" i="1" s="1"/>
  <c r="AB252" i="1" s="1"/>
  <c r="CQ31" i="1"/>
  <c r="CQ197" i="1"/>
  <c r="CP158" i="1"/>
  <c r="CP197" i="1"/>
  <c r="AB186" i="1"/>
  <c r="AB185" i="1" s="1"/>
  <c r="AB198" i="1"/>
  <c r="CR113" i="1"/>
  <c r="AB149" i="1"/>
  <c r="AB180" i="1"/>
  <c r="CU157" i="1" l="1"/>
  <c r="CU149" i="1"/>
  <c r="CY10" i="1"/>
  <c r="CY232" i="1"/>
  <c r="CU15" i="1"/>
  <c r="CU28" i="1"/>
  <c r="CU18" i="1"/>
  <c r="CW226" i="1"/>
  <c r="DA8" i="1"/>
  <c r="CQ199" i="1"/>
  <c r="AC23" i="1"/>
  <c r="AC26" i="1" s="1"/>
  <c r="AC27" i="1" s="1"/>
  <c r="CV149" i="1"/>
  <c r="CV15" i="1"/>
  <c r="CV19" i="1"/>
  <c r="CV157" i="1"/>
  <c r="CV28" i="1"/>
  <c r="CZ232" i="1"/>
  <c r="CZ10" i="1"/>
  <c r="CZ154" i="1" s="1"/>
  <c r="CR199" i="1"/>
  <c r="CX99" i="1"/>
  <c r="CX100" i="1" s="1"/>
  <c r="CX103" i="1" s="1"/>
  <c r="CP199" i="1"/>
  <c r="AC99" i="1"/>
  <c r="AC100" i="1" s="1"/>
  <c r="AC103" i="1" s="1"/>
  <c r="AC189" i="1"/>
  <c r="AB30" i="1"/>
  <c r="CT149" i="1"/>
  <c r="CT197" i="1" s="1"/>
  <c r="AC145" i="1"/>
  <c r="CS158" i="1"/>
  <c r="CS197" i="1"/>
  <c r="CS199" i="1" s="1"/>
  <c r="CY99" i="1"/>
  <c r="CY100" i="1" s="1"/>
  <c r="CY103" i="1" s="1"/>
  <c r="CS31" i="1"/>
  <c r="CS29" i="1"/>
  <c r="CS233" i="1"/>
  <c r="CS234" i="1" s="1"/>
  <c r="CS30" i="1"/>
  <c r="AB158" i="1"/>
  <c r="AB183" i="1"/>
  <c r="AB197" i="1"/>
  <c r="AB199" i="1" s="1"/>
  <c r="AB61" i="1"/>
  <c r="AB113" i="1"/>
  <c r="AB29" i="1"/>
  <c r="CW16" i="1"/>
  <c r="CW15" i="1" s="1"/>
  <c r="CW153" i="1"/>
  <c r="CW145" i="1"/>
  <c r="CW12" i="1"/>
  <c r="CW147" i="1"/>
  <c r="CW146" i="1"/>
  <c r="CW154" i="1"/>
  <c r="CW26" i="1"/>
  <c r="CW23" i="1" s="1"/>
  <c r="CT157" i="1"/>
  <c r="AC153" i="1"/>
  <c r="AC157" i="1" s="1"/>
  <c r="CS113" i="1"/>
  <c r="CK246" i="1"/>
  <c r="CK228" i="1"/>
  <c r="CK235" i="1"/>
  <c r="CS227" i="1"/>
  <c r="CT19" i="1"/>
  <c r="CT18" i="1"/>
  <c r="CT28" i="1"/>
  <c r="AC11" i="1"/>
  <c r="AC16" i="1"/>
  <c r="AC59" i="1"/>
  <c r="CX232" i="1"/>
  <c r="CX10" i="1"/>
  <c r="DB8" i="1" s="1"/>
  <c r="CZ99" i="1"/>
  <c r="CZ100" i="1" s="1"/>
  <c r="CZ103" i="1" s="1"/>
  <c r="CU19" i="1"/>
  <c r="AD8" i="1"/>
  <c r="CU158" i="1" l="1"/>
  <c r="CV197" i="1"/>
  <c r="CY16" i="1"/>
  <c r="CY146" i="1"/>
  <c r="CY154" i="1"/>
  <c r="CY147" i="1"/>
  <c r="CY153" i="1"/>
  <c r="CY157" i="1" s="1"/>
  <c r="CY26" i="1"/>
  <c r="CY23" i="1" s="1"/>
  <c r="CY145" i="1"/>
  <c r="CU29" i="1"/>
  <c r="CU30" i="1"/>
  <c r="CU233" i="1"/>
  <c r="CU234" i="1" s="1"/>
  <c r="CZ226" i="1"/>
  <c r="CV251" i="1"/>
  <c r="CV252" i="1" s="1"/>
  <c r="CV233" i="1"/>
  <c r="CV234" i="1" s="1"/>
  <c r="CV29" i="1"/>
  <c r="CV31" i="1"/>
  <c r="CV30" i="1"/>
  <c r="CZ26" i="1"/>
  <c r="CZ23" i="1" s="1"/>
  <c r="CZ145" i="1"/>
  <c r="CZ12" i="1"/>
  <c r="CZ153" i="1"/>
  <c r="CZ157" i="1" s="1"/>
  <c r="CZ147" i="1"/>
  <c r="CZ146" i="1"/>
  <c r="CZ16" i="1"/>
  <c r="CV158" i="1"/>
  <c r="CV198" i="1"/>
  <c r="AC18" i="1"/>
  <c r="CU113" i="1"/>
  <c r="CT251" i="1"/>
  <c r="CT252" i="1" s="1"/>
  <c r="CU251" i="1"/>
  <c r="CU252" i="1" s="1"/>
  <c r="CW157" i="1"/>
  <c r="CW198" i="1" s="1"/>
  <c r="CX226" i="1"/>
  <c r="CY226" i="1"/>
  <c r="CY12" i="1"/>
  <c r="CU198" i="1"/>
  <c r="CT198" i="1"/>
  <c r="CT199" i="1" s="1"/>
  <c r="CK194" i="1"/>
  <c r="CK196" i="1" s="1"/>
  <c r="CK200" i="1" s="1"/>
  <c r="CK120" i="1"/>
  <c r="CV227" i="1"/>
  <c r="AC28" i="1"/>
  <c r="AC251" i="1" s="1"/>
  <c r="AC252" i="1" s="1"/>
  <c r="AC60" i="1"/>
  <c r="AC17" i="1"/>
  <c r="CW149" i="1"/>
  <c r="CT227" i="1"/>
  <c r="AC180" i="1"/>
  <c r="AC149" i="1"/>
  <c r="DA232" i="1"/>
  <c r="DA10" i="1"/>
  <c r="DA226" i="1" s="1"/>
  <c r="CT158" i="1"/>
  <c r="CU197" i="1"/>
  <c r="CX145" i="1"/>
  <c r="CX146" i="1"/>
  <c r="AD146" i="1" s="1"/>
  <c r="AD181" i="1" s="1"/>
  <c r="CX16" i="1"/>
  <c r="CX154" i="1"/>
  <c r="AD154" i="1" s="1"/>
  <c r="AD184" i="1" s="1"/>
  <c r="CX153" i="1"/>
  <c r="CX12" i="1"/>
  <c r="CX26" i="1"/>
  <c r="CX23" i="1" s="1"/>
  <c r="CX147" i="1"/>
  <c r="AD147" i="1" s="1"/>
  <c r="CT30" i="1"/>
  <c r="CT29" i="1"/>
  <c r="CT233" i="1"/>
  <c r="CT234" i="1" s="1"/>
  <c r="CT31" i="1"/>
  <c r="CW19" i="1"/>
  <c r="CW18" i="1"/>
  <c r="CW28" i="1"/>
  <c r="CU227" i="1"/>
  <c r="CU31" i="1"/>
  <c r="AD10" i="1"/>
  <c r="DA99" i="1"/>
  <c r="DA100" i="1" s="1"/>
  <c r="DA103" i="1" s="1"/>
  <c r="AC186" i="1"/>
  <c r="AC185" i="1" s="1"/>
  <c r="AC198" i="1"/>
  <c r="AB182" i="1"/>
  <c r="AB187" i="1"/>
  <c r="AB190" i="1" s="1"/>
  <c r="AB191" i="1" s="1"/>
  <c r="CT113" i="1"/>
  <c r="CV113" i="1"/>
  <c r="CV199" i="1" l="1"/>
  <c r="CY15" i="1"/>
  <c r="CY18" i="1"/>
  <c r="CY28" i="1"/>
  <c r="CY149" i="1"/>
  <c r="CY158" i="1" s="1"/>
  <c r="CY19" i="1"/>
  <c r="AD23" i="1"/>
  <c r="AD26" i="1" s="1"/>
  <c r="AD27" i="1" s="1"/>
  <c r="CZ149" i="1"/>
  <c r="CZ15" i="1"/>
  <c r="CZ18" i="1"/>
  <c r="CZ28" i="1"/>
  <c r="CZ19" i="1"/>
  <c r="CZ198" i="1"/>
  <c r="CW227" i="1"/>
  <c r="CW251" i="1"/>
  <c r="CW252" i="1" s="1"/>
  <c r="DB99" i="1"/>
  <c r="DB100" i="1" s="1"/>
  <c r="DB103" i="1" s="1"/>
  <c r="AD99" i="1"/>
  <c r="AD100" i="1" s="1"/>
  <c r="AD103" i="1" s="1"/>
  <c r="AD189" i="1"/>
  <c r="CU199" i="1"/>
  <c r="AC30" i="1"/>
  <c r="AD153" i="1"/>
  <c r="AD157" i="1" s="1"/>
  <c r="CX157" i="1"/>
  <c r="DA153" i="1"/>
  <c r="DA154" i="1"/>
  <c r="DA146" i="1"/>
  <c r="DA16" i="1"/>
  <c r="DA145" i="1"/>
  <c r="DA26" i="1"/>
  <c r="DA23" i="1" s="1"/>
  <c r="DA12" i="1"/>
  <c r="DA147" i="1"/>
  <c r="CK121" i="1"/>
  <c r="CL208" i="1" s="1"/>
  <c r="CL206" i="1" s="1"/>
  <c r="CX19" i="1"/>
  <c r="CX28" i="1"/>
  <c r="CX18" i="1"/>
  <c r="AC183" i="1"/>
  <c r="AC158" i="1"/>
  <c r="AC197" i="1"/>
  <c r="AC199" i="1" s="1"/>
  <c r="AC61" i="1"/>
  <c r="AC29" i="1"/>
  <c r="AC113" i="1"/>
  <c r="DB10" i="1"/>
  <c r="DB226" i="1" s="1"/>
  <c r="DB232" i="1"/>
  <c r="CW158" i="1"/>
  <c r="CW197" i="1"/>
  <c r="CW199" i="1" s="1"/>
  <c r="AD145" i="1"/>
  <c r="CX149" i="1"/>
  <c r="AD59" i="1"/>
  <c r="AD11" i="1"/>
  <c r="CW30" i="1"/>
  <c r="CW233" i="1"/>
  <c r="CW234" i="1" s="1"/>
  <c r="CW31" i="1"/>
  <c r="CW29" i="1"/>
  <c r="CW113" i="1"/>
  <c r="CX15" i="1"/>
  <c r="AD15" i="1" s="1"/>
  <c r="AD16" i="1" s="1"/>
  <c r="AE8" i="1"/>
  <c r="CY251" i="1" l="1"/>
  <c r="CY252" i="1" s="1"/>
  <c r="CY30" i="1"/>
  <c r="CY29" i="1"/>
  <c r="CY233" i="1"/>
  <c r="CY234" i="1" s="1"/>
  <c r="CK93" i="1"/>
  <c r="CK55" i="1"/>
  <c r="CZ197" i="1"/>
  <c r="CZ199" i="1" s="1"/>
  <c r="CZ158" i="1"/>
  <c r="CZ251" i="1"/>
  <c r="CZ252" i="1" s="1"/>
  <c r="CZ29" i="1"/>
  <c r="CZ233" i="1"/>
  <c r="CZ234" i="1" s="1"/>
  <c r="CZ31" i="1"/>
  <c r="CZ30" i="1"/>
  <c r="AD18" i="1"/>
  <c r="CZ113" i="1"/>
  <c r="CX251" i="1"/>
  <c r="CX252" i="1" s="1"/>
  <c r="CY227" i="1"/>
  <c r="CY31" i="1"/>
  <c r="CZ227" i="1"/>
  <c r="CX227" i="1"/>
  <c r="CY113" i="1"/>
  <c r="CX113" i="1"/>
  <c r="DA149" i="1"/>
  <c r="DA197" i="1" s="1"/>
  <c r="AD17" i="1"/>
  <c r="AD60" i="1"/>
  <c r="AD28" i="1"/>
  <c r="AD251" i="1" s="1"/>
  <c r="AD252" i="1" s="1"/>
  <c r="CY197" i="1"/>
  <c r="CX158" i="1"/>
  <c r="CY198" i="1"/>
  <c r="CX198" i="1"/>
  <c r="AD186" i="1"/>
  <c r="AD185" i="1" s="1"/>
  <c r="AD198" i="1"/>
  <c r="CG90" i="1"/>
  <c r="DA19" i="1"/>
  <c r="DA18" i="1"/>
  <c r="DA28" i="1"/>
  <c r="DA251" i="1" s="1"/>
  <c r="DA252" i="1" s="1"/>
  <c r="CX197" i="1"/>
  <c r="CX30" i="1"/>
  <c r="CX29" i="1"/>
  <c r="CX233" i="1"/>
  <c r="CX234" i="1" s="1"/>
  <c r="CX31" i="1"/>
  <c r="AD180" i="1"/>
  <c r="AD149" i="1"/>
  <c r="CK208" i="1"/>
  <c r="CK206" i="1" s="1"/>
  <c r="CK130" i="1"/>
  <c r="CK56" i="1" s="1"/>
  <c r="AC182" i="1"/>
  <c r="AC187" i="1"/>
  <c r="AC190" i="1" s="1"/>
  <c r="AC191" i="1" s="1"/>
  <c r="DA15" i="1"/>
  <c r="DB146" i="1"/>
  <c r="AE146" i="1" s="1"/>
  <c r="AE181" i="1" s="1"/>
  <c r="DB16" i="1"/>
  <c r="DB15" i="1" s="1"/>
  <c r="DB145" i="1"/>
  <c r="DB26" i="1"/>
  <c r="DB23" i="1" s="1"/>
  <c r="DB154" i="1"/>
  <c r="AE154" i="1" s="1"/>
  <c r="AE184" i="1" s="1"/>
  <c r="DB12" i="1"/>
  <c r="DB147" i="1"/>
  <c r="AE147" i="1" s="1"/>
  <c r="DB153" i="1"/>
  <c r="AE10" i="1"/>
  <c r="DA157" i="1"/>
  <c r="CK96" i="1" l="1"/>
  <c r="CK97" i="1"/>
  <c r="CK95" i="1"/>
  <c r="AE23" i="1"/>
  <c r="AE26" i="1" s="1"/>
  <c r="AE27" i="1" s="1"/>
  <c r="AE99" i="1"/>
  <c r="AE100" i="1" s="1"/>
  <c r="AE103" i="1" s="1"/>
  <c r="AE189" i="1"/>
  <c r="AD30" i="1"/>
  <c r="DA158" i="1"/>
  <c r="DB19" i="1"/>
  <c r="DB28" i="1"/>
  <c r="DB251" i="1" s="1"/>
  <c r="DB252" i="1" s="1"/>
  <c r="DB18" i="1"/>
  <c r="CX199" i="1"/>
  <c r="CY199" i="1"/>
  <c r="AD158" i="1"/>
  <c r="AD183" i="1"/>
  <c r="AD197" i="1"/>
  <c r="AD199" i="1" s="1"/>
  <c r="DB149" i="1"/>
  <c r="AE145" i="1"/>
  <c r="DA29" i="1"/>
  <c r="DA30" i="1"/>
  <c r="DA31" i="1"/>
  <c r="DA233" i="1"/>
  <c r="DA234" i="1" s="1"/>
  <c r="AD29" i="1"/>
  <c r="AD113" i="1"/>
  <c r="AD61" i="1"/>
  <c r="AE11" i="1"/>
  <c r="AE59" i="1"/>
  <c r="AE15" i="1"/>
  <c r="AE16" i="1" s="1"/>
  <c r="AE18" i="1" s="1"/>
  <c r="DA113" i="1"/>
  <c r="DA227" i="1"/>
  <c r="AE153" i="1"/>
  <c r="AE157" i="1" s="1"/>
  <c r="DB157" i="1"/>
  <c r="DB198" i="1" s="1"/>
  <c r="DA198" i="1"/>
  <c r="DA199" i="1" s="1"/>
  <c r="AE28" i="1" l="1"/>
  <c r="AE17" i="1"/>
  <c r="AE60" i="1"/>
  <c r="DB31" i="1"/>
  <c r="DB233" i="1"/>
  <c r="DB234" i="1" s="1"/>
  <c r="DB29" i="1"/>
  <c r="DB30" i="1"/>
  <c r="DB113" i="1"/>
  <c r="AD187" i="1"/>
  <c r="AD190" i="1" s="1"/>
  <c r="AD191" i="1" s="1"/>
  <c r="AD182" i="1"/>
  <c r="AE149" i="1"/>
  <c r="AE180" i="1"/>
  <c r="DB158" i="1"/>
  <c r="DB197" i="1"/>
  <c r="DB199" i="1" s="1"/>
  <c r="AE186" i="1"/>
  <c r="AE185" i="1" s="1"/>
  <c r="AE198" i="1"/>
  <c r="DB227" i="1"/>
  <c r="AE30" i="1" l="1"/>
  <c r="AE251" i="1"/>
  <c r="AE252" i="1" s="1"/>
  <c r="AE158" i="1"/>
  <c r="AE183" i="1"/>
  <c r="AE197" i="1"/>
  <c r="AE199" i="1" s="1"/>
  <c r="AE29" i="1"/>
  <c r="AE61" i="1"/>
  <c r="AE113" i="1"/>
  <c r="AE187" i="1" l="1"/>
  <c r="AE190" i="1" s="1"/>
  <c r="AE191" i="1" s="1"/>
  <c r="AE182" i="1"/>
  <c r="CK135" i="1" l="1"/>
  <c r="CK139" i="1" l="1"/>
  <c r="CL33" i="1"/>
  <c r="CM33" i="1" s="1"/>
  <c r="CN33" i="1" s="1"/>
  <c r="CO33" i="1" s="1"/>
  <c r="CP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204" i="1" l="1"/>
  <c r="CL202" i="1" s="1"/>
  <c r="CL214" i="1" s="1"/>
  <c r="CK204" i="1"/>
  <c r="CK202" i="1" s="1"/>
  <c r="CK214" i="1"/>
  <c r="CK211" i="1"/>
  <c r="CK161" i="1" l="1"/>
  <c r="CK162" i="1" s="1"/>
  <c r="CL210" i="1" s="1"/>
  <c r="CL211" i="1" s="1"/>
  <c r="CL212" i="1" s="1"/>
  <c r="CK245" i="1" l="1"/>
  <c r="CK166" i="1"/>
  <c r="CK167" i="1" s="1"/>
  <c r="CK249" i="1"/>
  <c r="CK247" i="1"/>
  <c r="CK169" i="1"/>
  <c r="CL37" i="1" s="1"/>
  <c r="CK212" i="1"/>
  <c r="CK110" i="1" l="1"/>
  <c r="CK112" i="1" l="1"/>
  <c r="CK115" i="1" s="1"/>
  <c r="CK111" i="1"/>
  <c r="CK114" i="1" s="1"/>
  <c r="CM88" i="1" l="1"/>
  <c r="CN88" i="1" s="1"/>
  <c r="CO88" i="1" s="1"/>
  <c r="CP88" i="1" s="1"/>
  <c r="CQ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CH90" i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7" i="1" l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Z90" i="1"/>
  <c r="AD132" i="1"/>
  <c r="AE132" i="1"/>
  <c r="AB132" i="1"/>
  <c r="AC132" i="1"/>
  <c r="CM32" i="1"/>
  <c r="CM34" i="1" s="1"/>
  <c r="CM133" i="1" l="1"/>
  <c r="CM195" i="1"/>
  <c r="CM254" i="1"/>
  <c r="CM135" i="1" l="1"/>
  <c r="CM139" i="1" l="1"/>
  <c r="CN32" i="1"/>
  <c r="CM210" i="1" l="1"/>
  <c r="AB210" i="1"/>
  <c r="CN254" i="1"/>
  <c r="CN195" i="1"/>
  <c r="CN34" i="1"/>
  <c r="CN133" i="1"/>
  <c r="CM204" i="1"/>
  <c r="CM202" i="1" s="1"/>
  <c r="CM36" i="1" l="1"/>
  <c r="CN135" i="1"/>
  <c r="CM253" i="1" l="1"/>
  <c r="CM38" i="1"/>
  <c r="CN139" i="1"/>
  <c r="CO32" i="1"/>
  <c r="CO195" i="1" l="1"/>
  <c r="CO254" i="1"/>
  <c r="CO34" i="1"/>
  <c r="CO133" i="1"/>
  <c r="CN204" i="1"/>
  <c r="CN202" i="1" s="1"/>
  <c r="CM39" i="1"/>
  <c r="CM41" i="1" s="1"/>
  <c r="CO135" i="1" l="1"/>
  <c r="CM228" i="1"/>
  <c r="CM43" i="1"/>
  <c r="CM42" i="1"/>
  <c r="CM246" i="1" s="1"/>
  <c r="CM44" i="1"/>
  <c r="CM235" i="1"/>
  <c r="CM48" i="1"/>
  <c r="CO139" i="1" l="1"/>
  <c r="CP32" i="1"/>
  <c r="CM120" i="1"/>
  <c r="CM194" i="1"/>
  <c r="CM196" i="1" s="1"/>
  <c r="CM200" i="1" s="1"/>
  <c r="CM214" i="1" s="1"/>
  <c r="CM67" i="1"/>
  <c r="CM121" i="1" l="1"/>
  <c r="CP254" i="1"/>
  <c r="CP195" i="1"/>
  <c r="CP34" i="1"/>
  <c r="AB32" i="1"/>
  <c r="CP133" i="1"/>
  <c r="CM70" i="1"/>
  <c r="CO204" i="1"/>
  <c r="CO202" i="1" s="1"/>
  <c r="AB34" i="1" l="1"/>
  <c r="AB254" i="1"/>
  <c r="AB195" i="1"/>
  <c r="CM208" i="1"/>
  <c r="CM206" i="1" s="1"/>
  <c r="CM211" i="1" s="1"/>
  <c r="CM130" i="1"/>
  <c r="CM56" i="1" s="1"/>
  <c r="CM93" i="1"/>
  <c r="CM55" i="1"/>
  <c r="AB133" i="1"/>
  <c r="AB135" i="1" s="1"/>
  <c r="AB139" i="1" s="1"/>
  <c r="AB204" i="1" s="1"/>
  <c r="AB202" i="1" s="1"/>
  <c r="CP135" i="1"/>
  <c r="CM86" i="1"/>
  <c r="CI90" i="1"/>
  <c r="CM71" i="1"/>
  <c r="CM79" i="1" l="1"/>
  <c r="CM95" i="1"/>
  <c r="CM80" i="1"/>
  <c r="CM161" i="1"/>
  <c r="CM162" i="1" s="1"/>
  <c r="CM212" i="1" s="1"/>
  <c r="AB33" i="1"/>
  <c r="CP139" i="1"/>
  <c r="CQ32" i="1"/>
  <c r="CP204" i="1" l="1"/>
  <c r="CP202" i="1" s="1"/>
  <c r="CM169" i="1"/>
  <c r="CM166" i="1"/>
  <c r="CM167" i="1" s="1"/>
  <c r="CM249" i="1"/>
  <c r="CM247" i="1"/>
  <c r="CM245" i="1"/>
  <c r="CN210" i="1"/>
  <c r="CM109" i="1"/>
  <c r="CM83" i="1"/>
  <c r="CM108" i="1"/>
  <c r="CM82" i="1"/>
  <c r="CQ254" i="1"/>
  <c r="CQ34" i="1"/>
  <c r="CQ195" i="1"/>
  <c r="CQ133" i="1"/>
  <c r="CQ135" i="1" l="1"/>
  <c r="CM110" i="1"/>
  <c r="CM111" i="1" s="1"/>
  <c r="CM114" i="1" s="1"/>
  <c r="CN36" i="1"/>
  <c r="CM112" i="1" l="1"/>
  <c r="CM115" i="1" s="1"/>
  <c r="CN253" i="1"/>
  <c r="CN38" i="1"/>
  <c r="CQ139" i="1"/>
  <c r="CR32" i="1"/>
  <c r="CR254" i="1" l="1"/>
  <c r="CR195" i="1"/>
  <c r="CR34" i="1"/>
  <c r="CR133" i="1"/>
  <c r="CQ204" i="1"/>
  <c r="CQ202" i="1" s="1"/>
  <c r="CN39" i="1"/>
  <c r="CN41" i="1" s="1"/>
  <c r="CR135" i="1" l="1"/>
  <c r="CN44" i="1"/>
  <c r="CN48" i="1"/>
  <c r="CN43" i="1"/>
  <c r="CN42" i="1"/>
  <c r="CN246" i="1" s="1"/>
  <c r="CN235" i="1"/>
  <c r="CN228" i="1"/>
  <c r="CN194" i="1" l="1"/>
  <c r="CN196" i="1" s="1"/>
  <c r="CN200" i="1" s="1"/>
  <c r="CN214" i="1" s="1"/>
  <c r="CN67" i="1"/>
  <c r="CN120" i="1"/>
  <c r="CR139" i="1"/>
  <c r="CS32" i="1"/>
  <c r="CS195" i="1" l="1"/>
  <c r="CS254" i="1"/>
  <c r="CS34" i="1"/>
  <c r="CS133" i="1"/>
  <c r="CR204" i="1"/>
  <c r="CR202" i="1" s="1"/>
  <c r="CN121" i="1"/>
  <c r="CN70" i="1"/>
  <c r="CS135" i="1" l="1"/>
  <c r="CN71" i="1"/>
  <c r="CJ90" i="1"/>
  <c r="CN86" i="1"/>
  <c r="CN93" i="1"/>
  <c r="CN130" i="1"/>
  <c r="CN56" i="1" s="1"/>
  <c r="CN208" i="1"/>
  <c r="CN206" i="1" s="1"/>
  <c r="CN211" i="1" s="1"/>
  <c r="CN55" i="1"/>
  <c r="CN161" i="1" l="1"/>
  <c r="CN162" i="1" s="1"/>
  <c r="CN79" i="1"/>
  <c r="CN80" i="1"/>
  <c r="CN95" i="1"/>
  <c r="CT32" i="1"/>
  <c r="CS139" i="1"/>
  <c r="CN247" i="1" l="1"/>
  <c r="CN245" i="1"/>
  <c r="CN249" i="1"/>
  <c r="CN169" i="1"/>
  <c r="CO210" i="1"/>
  <c r="CN166" i="1"/>
  <c r="CN167" i="1" s="1"/>
  <c r="CS204" i="1"/>
  <c r="CS202" i="1" s="1"/>
  <c r="CT254" i="1"/>
  <c r="CT195" i="1"/>
  <c r="CT34" i="1"/>
  <c r="AC32" i="1"/>
  <c r="CT133" i="1"/>
  <c r="CN109" i="1"/>
  <c r="CN83" i="1"/>
  <c r="CN82" i="1"/>
  <c r="CN108" i="1"/>
  <c r="CN212" i="1"/>
  <c r="AC133" i="1" l="1"/>
  <c r="AC135" i="1" s="1"/>
  <c r="AC139" i="1" s="1"/>
  <c r="CT135" i="1"/>
  <c r="AC34" i="1"/>
  <c r="AC254" i="1"/>
  <c r="AC195" i="1"/>
  <c r="CO36" i="1"/>
  <c r="CN110" i="1"/>
  <c r="CN112" i="1" s="1"/>
  <c r="CN115" i="1" s="1"/>
  <c r="AC33" i="1" l="1"/>
  <c r="CU32" i="1"/>
  <c r="CT139" i="1"/>
  <c r="CO253" i="1"/>
  <c r="CO38" i="1"/>
  <c r="CN111" i="1"/>
  <c r="CN114" i="1" s="1"/>
  <c r="AC204" i="1"/>
  <c r="AC202" i="1" s="1"/>
  <c r="CO39" i="1" l="1"/>
  <c r="CU195" i="1"/>
  <c r="CU34" i="1"/>
  <c r="CU254" i="1"/>
  <c r="CU133" i="1"/>
  <c r="CT204" i="1"/>
  <c r="CT202" i="1" s="1"/>
  <c r="CU135" i="1" l="1"/>
  <c r="CO41" i="1"/>
  <c r="CV32" i="1" l="1"/>
  <c r="CU139" i="1"/>
  <c r="CO235" i="1"/>
  <c r="CO42" i="1"/>
  <c r="CO246" i="1" s="1"/>
  <c r="CO43" i="1"/>
  <c r="CO48" i="1"/>
  <c r="CO44" i="1"/>
  <c r="CO228" i="1"/>
  <c r="CO194" i="1" l="1"/>
  <c r="CO196" i="1" s="1"/>
  <c r="CO200" i="1" s="1"/>
  <c r="CO214" i="1" s="1"/>
  <c r="CO67" i="1"/>
  <c r="CO120" i="1"/>
  <c r="CU204" i="1"/>
  <c r="CU202" i="1" s="1"/>
  <c r="CV254" i="1"/>
  <c r="CV195" i="1"/>
  <c r="CV34" i="1"/>
  <c r="CV133" i="1"/>
  <c r="CO121" i="1" l="1"/>
  <c r="CV135" i="1"/>
  <c r="CO70" i="1"/>
  <c r="CO86" i="1" l="1"/>
  <c r="CK90" i="1"/>
  <c r="CO71" i="1"/>
  <c r="CV139" i="1"/>
  <c r="CW32" i="1"/>
  <c r="CO130" i="1"/>
  <c r="CO56" i="1" s="1"/>
  <c r="CO208" i="1"/>
  <c r="CO206" i="1" s="1"/>
  <c r="CO211" i="1" s="1"/>
  <c r="CO93" i="1"/>
  <c r="CO55" i="1"/>
  <c r="CO95" i="1" l="1"/>
  <c r="CO80" i="1"/>
  <c r="CO79" i="1"/>
  <c r="CO161" i="1"/>
  <c r="CO162" i="1" s="1"/>
  <c r="CW254" i="1"/>
  <c r="CW34" i="1"/>
  <c r="CW195" i="1"/>
  <c r="CW133" i="1"/>
  <c r="CV204" i="1"/>
  <c r="CV202" i="1" s="1"/>
  <c r="CO166" i="1" l="1"/>
  <c r="CO167" i="1" s="1"/>
  <c r="CO245" i="1"/>
  <c r="CO249" i="1"/>
  <c r="CO169" i="1"/>
  <c r="CO247" i="1"/>
  <c r="CP210" i="1"/>
  <c r="CO212" i="1"/>
  <c r="CO108" i="1"/>
  <c r="CO82" i="1"/>
  <c r="CW135" i="1"/>
  <c r="CO109" i="1"/>
  <c r="CO83" i="1"/>
  <c r="CX32" i="1" l="1"/>
  <c r="CW139" i="1"/>
  <c r="CO110" i="1"/>
  <c r="CO111" i="1" s="1"/>
  <c r="CO114" i="1" s="1"/>
  <c r="CP36" i="1"/>
  <c r="CP253" i="1" l="1"/>
  <c r="CP38" i="1"/>
  <c r="AB36" i="1"/>
  <c r="CW204" i="1"/>
  <c r="CW202" i="1" s="1"/>
  <c r="CX34" i="1"/>
  <c r="CX254" i="1"/>
  <c r="CX195" i="1"/>
  <c r="AD32" i="1"/>
  <c r="CX133" i="1"/>
  <c r="CO112" i="1"/>
  <c r="CO115" i="1" s="1"/>
  <c r="CP39" i="1" l="1"/>
  <c r="AB39" i="1" s="1"/>
  <c r="AB253" i="1"/>
  <c r="AB37" i="1"/>
  <c r="AB38" i="1"/>
  <c r="AD133" i="1"/>
  <c r="AD135" i="1" s="1"/>
  <c r="AD139" i="1" s="1"/>
  <c r="CX135" i="1"/>
  <c r="AD195" i="1"/>
  <c r="AD254" i="1"/>
  <c r="AD34" i="1"/>
  <c r="CP41" i="1" l="1"/>
  <c r="AD33" i="1"/>
  <c r="AB40" i="1"/>
  <c r="CP228" i="1"/>
  <c r="CX139" i="1"/>
  <c r="CY32" i="1"/>
  <c r="AB41" i="1"/>
  <c r="AD204" i="1"/>
  <c r="AD202" i="1" s="1"/>
  <c r="CP235" i="1" l="1"/>
  <c r="CP42" i="1"/>
  <c r="CP246" i="1" s="1"/>
  <c r="CP44" i="1"/>
  <c r="CP43" i="1"/>
  <c r="CP48" i="1"/>
  <c r="AB43" i="1"/>
  <c r="AB62" i="1"/>
  <c r="AB42" i="1"/>
  <c r="AB246" i="1" s="1"/>
  <c r="AB48" i="1"/>
  <c r="CY195" i="1"/>
  <c r="CY34" i="1"/>
  <c r="CY254" i="1"/>
  <c r="CY133" i="1"/>
  <c r="CX204" i="1"/>
  <c r="CX202" i="1" s="1"/>
  <c r="CP194" i="1" l="1"/>
  <c r="CP196" i="1" s="1"/>
  <c r="CP200" i="1" s="1"/>
  <c r="CP214" i="1" s="1"/>
  <c r="CP67" i="1"/>
  <c r="CP70" i="1" s="1"/>
  <c r="CL90" i="1" s="1"/>
  <c r="CP120" i="1"/>
  <c r="AB120" i="1" s="1"/>
  <c r="AB121" i="1" s="1"/>
  <c r="AB55" i="1" s="1"/>
  <c r="CP121" i="1"/>
  <c r="CY135" i="1"/>
  <c r="AB194" i="1"/>
  <c r="AB196" i="1" s="1"/>
  <c r="AB200" i="1" s="1"/>
  <c r="AB214" i="1" s="1"/>
  <c r="AB67" i="1"/>
  <c r="AB52" i="1"/>
  <c r="AB53" i="1" s="1"/>
  <c r="AB69" i="1" l="1"/>
  <c r="AB70" i="1"/>
  <c r="AA90" i="1" s="1"/>
  <c r="CP71" i="1"/>
  <c r="CP86" i="1"/>
  <c r="CP73" i="1"/>
  <c r="CP130" i="1"/>
  <c r="CP56" i="1" s="1"/>
  <c r="CP208" i="1"/>
  <c r="CP206" i="1" s="1"/>
  <c r="CP211" i="1" s="1"/>
  <c r="CP93" i="1"/>
  <c r="CP55" i="1"/>
  <c r="CY139" i="1"/>
  <c r="CZ32" i="1"/>
  <c r="AB93" i="1"/>
  <c r="AB95" i="1" s="1"/>
  <c r="AB208" i="1"/>
  <c r="AB206" i="1" s="1"/>
  <c r="AB211" i="1" s="1"/>
  <c r="AB176" i="1"/>
  <c r="AB130" i="1"/>
  <c r="AB56" i="1" s="1"/>
  <c r="CZ195" i="1" l="1"/>
  <c r="CZ254" i="1"/>
  <c r="CZ34" i="1"/>
  <c r="CZ133" i="1"/>
  <c r="CY204" i="1"/>
  <c r="CY202" i="1" s="1"/>
  <c r="AB71" i="1"/>
  <c r="AB86" i="1"/>
  <c r="CP80" i="1"/>
  <c r="CP95" i="1"/>
  <c r="CP79" i="1"/>
  <c r="CP161" i="1"/>
  <c r="CP162" i="1" l="1"/>
  <c r="AB161" i="1"/>
  <c r="AB162" i="1" s="1"/>
  <c r="CP108" i="1"/>
  <c r="CP82" i="1"/>
  <c r="AB79" i="1"/>
  <c r="CZ135" i="1"/>
  <c r="CP109" i="1"/>
  <c r="CP83" i="1"/>
  <c r="AB80" i="1"/>
  <c r="CZ139" i="1" l="1"/>
  <c r="DA32" i="1"/>
  <c r="AB88" i="1"/>
  <c r="AB83" i="1"/>
  <c r="AB105" i="1"/>
  <c r="AB109" i="1"/>
  <c r="AB97" i="1"/>
  <c r="AB108" i="1"/>
  <c r="AB82" i="1"/>
  <c r="AB96" i="1"/>
  <c r="AB104" i="1"/>
  <c r="AB87" i="1"/>
  <c r="AB169" i="1"/>
  <c r="AB110" i="1" s="1"/>
  <c r="AB247" i="1"/>
  <c r="AB249" i="1"/>
  <c r="AB166" i="1"/>
  <c r="AB167" i="1" s="1"/>
  <c r="AB245" i="1"/>
  <c r="AC210" i="1"/>
  <c r="AB212" i="1"/>
  <c r="CP245" i="1"/>
  <c r="CP247" i="1"/>
  <c r="CQ210" i="1"/>
  <c r="CP249" i="1"/>
  <c r="CP169" i="1"/>
  <c r="CP166" i="1"/>
  <c r="CP167" i="1" s="1"/>
  <c r="CP212" i="1"/>
  <c r="CQ36" i="1" l="1"/>
  <c r="CP110" i="1"/>
  <c r="DA195" i="1"/>
  <c r="DA254" i="1"/>
  <c r="DA34" i="1"/>
  <c r="DA133" i="1"/>
  <c r="AB112" i="1"/>
  <c r="AB115" i="1" s="1"/>
  <c r="AB111" i="1"/>
  <c r="AB114" i="1" s="1"/>
  <c r="CZ204" i="1"/>
  <c r="CZ202" i="1" s="1"/>
  <c r="DA135" i="1" l="1"/>
  <c r="CP111" i="1"/>
  <c r="CP114" i="1" s="1"/>
  <c r="CP112" i="1"/>
  <c r="CP115" i="1" s="1"/>
  <c r="CQ253" i="1"/>
  <c r="CQ38" i="1"/>
  <c r="CQ39" i="1" l="1"/>
  <c r="DB32" i="1"/>
  <c r="DA139" i="1"/>
  <c r="DA204" i="1" l="1"/>
  <c r="DA202" i="1" s="1"/>
  <c r="DB195" i="1"/>
  <c r="DB34" i="1"/>
  <c r="DB254" i="1"/>
  <c r="AE32" i="1"/>
  <c r="DB133" i="1"/>
  <c r="CQ41" i="1"/>
  <c r="DB135" i="1" l="1"/>
  <c r="DB139" i="1" s="1"/>
  <c r="DB204" i="1" s="1"/>
  <c r="DB202" i="1" s="1"/>
  <c r="AE133" i="1"/>
  <c r="AE135" i="1" s="1"/>
  <c r="AE195" i="1"/>
  <c r="AE254" i="1"/>
  <c r="AE34" i="1"/>
  <c r="CQ43" i="1"/>
  <c r="CQ48" i="1"/>
  <c r="CQ42" i="1"/>
  <c r="CQ246" i="1" s="1"/>
  <c r="CQ44" i="1"/>
  <c r="CQ235" i="1"/>
  <c r="CQ228" i="1"/>
  <c r="AE139" i="1" l="1"/>
  <c r="AE204" i="1" s="1"/>
  <c r="AE202" i="1" s="1"/>
  <c r="AE33" i="1"/>
  <c r="CQ194" i="1"/>
  <c r="CQ196" i="1" s="1"/>
  <c r="CQ200" i="1" s="1"/>
  <c r="CQ214" i="1" s="1"/>
  <c r="CQ67" i="1"/>
  <c r="CQ120" i="1"/>
  <c r="CQ70" i="1" l="1"/>
  <c r="CQ121" i="1"/>
  <c r="CQ130" i="1" l="1"/>
  <c r="CQ56" i="1" s="1"/>
  <c r="CQ208" i="1"/>
  <c r="CQ206" i="1" s="1"/>
  <c r="CQ211" i="1" s="1"/>
  <c r="CQ93" i="1"/>
  <c r="CQ55" i="1"/>
  <c r="CQ86" i="1"/>
  <c r="CQ71" i="1"/>
  <c r="CQ95" i="1" l="1"/>
  <c r="CQ80" i="1"/>
  <c r="CQ79" i="1"/>
  <c r="CQ161" i="1"/>
  <c r="CQ162" i="1" s="1"/>
  <c r="CQ169" i="1" l="1"/>
  <c r="CQ249" i="1"/>
  <c r="CQ166" i="1"/>
  <c r="CQ167" i="1" s="1"/>
  <c r="CQ247" i="1"/>
  <c r="CQ245" i="1"/>
  <c r="CR210" i="1"/>
  <c r="CQ212" i="1"/>
  <c r="CQ108" i="1"/>
  <c r="CQ82" i="1"/>
  <c r="CQ109" i="1"/>
  <c r="CQ83" i="1"/>
  <c r="CQ110" i="1" l="1"/>
  <c r="CQ111" i="1" s="1"/>
  <c r="CQ114" i="1" s="1"/>
  <c r="CR36" i="1"/>
  <c r="CR253" i="1" l="1"/>
  <c r="CR38" i="1"/>
  <c r="CQ112" i="1"/>
  <c r="CQ115" i="1" s="1"/>
  <c r="CR39" i="1" l="1"/>
  <c r="CR41" i="1" l="1"/>
  <c r="CR48" i="1" l="1"/>
  <c r="CR235" i="1"/>
  <c r="CR44" i="1"/>
  <c r="CR42" i="1"/>
  <c r="CR246" i="1" s="1"/>
  <c r="CR43" i="1"/>
  <c r="CR228" i="1"/>
  <c r="CR194" i="1" l="1"/>
  <c r="CR196" i="1" s="1"/>
  <c r="CR200" i="1" s="1"/>
  <c r="CR214" i="1" s="1"/>
  <c r="CR67" i="1"/>
  <c r="CR120" i="1"/>
  <c r="CR121" i="1" l="1"/>
  <c r="CR70" i="1"/>
  <c r="CR86" i="1" l="1"/>
  <c r="CR71" i="1"/>
  <c r="CR208" i="1"/>
  <c r="CR206" i="1" s="1"/>
  <c r="CR211" i="1" s="1"/>
  <c r="CR93" i="1"/>
  <c r="CR130" i="1"/>
  <c r="CR56" i="1" s="1"/>
  <c r="CR55" i="1"/>
  <c r="CR161" i="1" l="1"/>
  <c r="CR162" i="1" s="1"/>
  <c r="CR95" i="1"/>
  <c r="CR79" i="1"/>
  <c r="CR80" i="1"/>
  <c r="CR109" i="1" l="1"/>
  <c r="CR83" i="1"/>
  <c r="CR82" i="1"/>
  <c r="CR108" i="1"/>
  <c r="CR166" i="1"/>
  <c r="CR167" i="1" s="1"/>
  <c r="CR249" i="1"/>
  <c r="CR169" i="1"/>
  <c r="CR247" i="1"/>
  <c r="CR245" i="1"/>
  <c r="CS210" i="1"/>
  <c r="CR212" i="1"/>
  <c r="CR110" i="1" l="1"/>
  <c r="CR111" i="1" s="1"/>
  <c r="CR114" i="1" s="1"/>
  <c r="CS36" i="1"/>
  <c r="CR112" i="1" l="1"/>
  <c r="CR115" i="1" s="1"/>
  <c r="CS253" i="1"/>
  <c r="CS38" i="1"/>
  <c r="CS39" i="1" l="1"/>
  <c r="CS41" i="1" s="1"/>
  <c r="CS44" i="1" l="1"/>
  <c r="CS235" i="1"/>
  <c r="CS43" i="1"/>
  <c r="CS48" i="1"/>
  <c r="CS42" i="1"/>
  <c r="CS246" i="1" s="1"/>
  <c r="CS228" i="1"/>
  <c r="CS194" i="1" l="1"/>
  <c r="CS196" i="1" s="1"/>
  <c r="CS200" i="1" s="1"/>
  <c r="CS214" i="1" s="1"/>
  <c r="CS67" i="1"/>
  <c r="CS120" i="1"/>
  <c r="CS121" i="1" l="1"/>
  <c r="CS70" i="1"/>
  <c r="CS130" i="1" l="1"/>
  <c r="CS56" i="1" s="1"/>
  <c r="CS93" i="1"/>
  <c r="CS208" i="1"/>
  <c r="CS206" i="1" s="1"/>
  <c r="CS211" i="1" s="1"/>
  <c r="CS55" i="1"/>
  <c r="CS86" i="1"/>
  <c r="CS71" i="1"/>
  <c r="CS161" i="1" l="1"/>
  <c r="CS162" i="1" s="1"/>
  <c r="CS95" i="1"/>
  <c r="CS80" i="1"/>
  <c r="CS79" i="1"/>
  <c r="CS83" i="1" l="1"/>
  <c r="CS109" i="1"/>
  <c r="CS82" i="1"/>
  <c r="CS108" i="1"/>
  <c r="CS247" i="1"/>
  <c r="CS169" i="1"/>
  <c r="CS166" i="1"/>
  <c r="CS167" i="1" s="1"/>
  <c r="CS245" i="1"/>
  <c r="CS249" i="1"/>
  <c r="CT210" i="1"/>
  <c r="CS212" i="1"/>
  <c r="CS110" i="1" l="1"/>
  <c r="CS111" i="1" s="1"/>
  <c r="CS114" i="1" s="1"/>
  <c r="CT36" i="1"/>
  <c r="CS112" i="1" l="1"/>
  <c r="CS115" i="1" s="1"/>
  <c r="CT253" i="1"/>
  <c r="CT38" i="1"/>
  <c r="AC36" i="1"/>
  <c r="AC37" i="1" l="1"/>
  <c r="AC253" i="1"/>
  <c r="AC38" i="1"/>
  <c r="CT39" i="1"/>
  <c r="AC39" i="1" s="1"/>
  <c r="AC40" i="1" l="1"/>
  <c r="CT41" i="1"/>
  <c r="AC41" i="1"/>
  <c r="CT42" i="1" l="1"/>
  <c r="CT246" i="1" s="1"/>
  <c r="CT48" i="1"/>
  <c r="CT43" i="1"/>
  <c r="CT235" i="1"/>
  <c r="CT44" i="1"/>
  <c r="CT228" i="1"/>
  <c r="AC42" i="1"/>
  <c r="AC246" i="1" s="1"/>
  <c r="AC48" i="1"/>
  <c r="AC62" i="1"/>
  <c r="AC43" i="1"/>
  <c r="AC194" i="1" l="1"/>
  <c r="AC196" i="1" s="1"/>
  <c r="AC200" i="1" s="1"/>
  <c r="AC214" i="1" s="1"/>
  <c r="AC52" i="1"/>
  <c r="AC53" i="1" s="1"/>
  <c r="AC67" i="1"/>
  <c r="CT67" i="1"/>
  <c r="CT194" i="1"/>
  <c r="CT196" i="1" s="1"/>
  <c r="CT200" i="1" s="1"/>
  <c r="CT214" i="1" s="1"/>
  <c r="CT120" i="1"/>
  <c r="CT70" i="1" l="1"/>
  <c r="AC69" i="1"/>
  <c r="AC70" i="1"/>
  <c r="AC120" i="1"/>
  <c r="AC121" i="1" s="1"/>
  <c r="CT121" i="1"/>
  <c r="AC71" i="1" l="1"/>
  <c r="AC86" i="1"/>
  <c r="AB90" i="1"/>
  <c r="AC130" i="1"/>
  <c r="AC56" i="1" s="1"/>
  <c r="AC208" i="1"/>
  <c r="AC206" i="1" s="1"/>
  <c r="AC211" i="1" s="1"/>
  <c r="AC176" i="1"/>
  <c r="AC93" i="1"/>
  <c r="AC95" i="1" s="1"/>
  <c r="AC55" i="1"/>
  <c r="CT86" i="1"/>
  <c r="CT73" i="1"/>
  <c r="CT71" i="1"/>
  <c r="CT208" i="1"/>
  <c r="CT206" i="1" s="1"/>
  <c r="CT211" i="1" s="1"/>
  <c r="CT130" i="1"/>
  <c r="CT56" i="1" s="1"/>
  <c r="CT93" i="1"/>
  <c r="CT55" i="1"/>
  <c r="CT161" i="1" l="1"/>
  <c r="CT80" i="1"/>
  <c r="CT95" i="1"/>
  <c r="CT79" i="1"/>
  <c r="CT108" i="1" l="1"/>
  <c r="CT82" i="1"/>
  <c r="AC79" i="1"/>
  <c r="CT83" i="1"/>
  <c r="CT109" i="1"/>
  <c r="AC80" i="1"/>
  <c r="CT162" i="1"/>
  <c r="AC161" i="1"/>
  <c r="AC162" i="1" s="1"/>
  <c r="AC105" i="1" l="1"/>
  <c r="AC88" i="1"/>
  <c r="AC97" i="1"/>
  <c r="AC83" i="1"/>
  <c r="AC109" i="1"/>
  <c r="AC166" i="1"/>
  <c r="AC167" i="1" s="1"/>
  <c r="AC245" i="1"/>
  <c r="AD210" i="1"/>
  <c r="AC249" i="1"/>
  <c r="AC247" i="1"/>
  <c r="AC169" i="1"/>
  <c r="AC110" i="1" s="1"/>
  <c r="AC212" i="1"/>
  <c r="CT166" i="1"/>
  <c r="CT167" i="1" s="1"/>
  <c r="CT247" i="1"/>
  <c r="CT169" i="1"/>
  <c r="CU210" i="1"/>
  <c r="CT245" i="1"/>
  <c r="CT249" i="1"/>
  <c r="CT212" i="1"/>
  <c r="AC108" i="1"/>
  <c r="AC82" i="1"/>
  <c r="AC104" i="1"/>
  <c r="AC96" i="1"/>
  <c r="AC87" i="1"/>
  <c r="AC112" i="1" l="1"/>
  <c r="AC115" i="1" s="1"/>
  <c r="AC111" i="1"/>
  <c r="AC114" i="1" s="1"/>
  <c r="CT110" i="1"/>
  <c r="CU36" i="1"/>
  <c r="CU253" i="1" l="1"/>
  <c r="CU38" i="1"/>
  <c r="CT112" i="1"/>
  <c r="CT115" i="1" s="1"/>
  <c r="CT111" i="1"/>
  <c r="CT114" i="1" s="1"/>
  <c r="CU39" i="1" l="1"/>
  <c r="CU41" i="1" s="1"/>
  <c r="CU44" i="1" l="1"/>
  <c r="CU235" i="1"/>
  <c r="CU43" i="1"/>
  <c r="CU42" i="1"/>
  <c r="CU246" i="1" s="1"/>
  <c r="CU48" i="1"/>
  <c r="CU228" i="1"/>
  <c r="CU67" i="1" l="1"/>
  <c r="CU194" i="1"/>
  <c r="CU196" i="1" s="1"/>
  <c r="CU200" i="1" s="1"/>
  <c r="CU214" i="1" s="1"/>
  <c r="CU120" i="1"/>
  <c r="CU121" i="1" l="1"/>
  <c r="CU70" i="1"/>
  <c r="CU86" i="1" l="1"/>
  <c r="CU71" i="1"/>
  <c r="CU208" i="1"/>
  <c r="CU206" i="1" s="1"/>
  <c r="CU211" i="1" s="1"/>
  <c r="CU130" i="1"/>
  <c r="CU56" i="1" s="1"/>
  <c r="CU93" i="1"/>
  <c r="CU55" i="1"/>
  <c r="CU95" i="1" l="1"/>
  <c r="CU79" i="1"/>
  <c r="CU80" i="1"/>
  <c r="CU161" i="1"/>
  <c r="CU162" i="1" s="1"/>
  <c r="CU166" i="1" l="1"/>
  <c r="CU167" i="1" s="1"/>
  <c r="CU247" i="1"/>
  <c r="CU245" i="1"/>
  <c r="CU249" i="1"/>
  <c r="CV210" i="1"/>
  <c r="CU169" i="1"/>
  <c r="CU212" i="1"/>
  <c r="CU83" i="1"/>
  <c r="CU109" i="1"/>
  <c r="CU82" i="1"/>
  <c r="CU108" i="1"/>
  <c r="CU110" i="1" l="1"/>
  <c r="CU112" i="1" s="1"/>
  <c r="CU115" i="1" s="1"/>
  <c r="CV36" i="1"/>
  <c r="CU111" i="1" l="1"/>
  <c r="CU114" i="1" s="1"/>
  <c r="CV253" i="1"/>
  <c r="CV38" i="1"/>
  <c r="CV39" i="1" l="1"/>
  <c r="CV41" i="1" s="1"/>
  <c r="CV42" i="1" l="1"/>
  <c r="CV246" i="1" s="1"/>
  <c r="CV235" i="1"/>
  <c r="CV43" i="1"/>
  <c r="CV48" i="1"/>
  <c r="CV44" i="1"/>
  <c r="CV228" i="1"/>
  <c r="CV194" i="1" l="1"/>
  <c r="CV196" i="1" s="1"/>
  <c r="CV200" i="1" s="1"/>
  <c r="CV214" i="1" s="1"/>
  <c r="CV67" i="1"/>
  <c r="CV120" i="1"/>
  <c r="CV121" i="1" l="1"/>
  <c r="CV70" i="1"/>
  <c r="CV86" i="1" l="1"/>
  <c r="CV71" i="1"/>
  <c r="CV208" i="1"/>
  <c r="CV206" i="1" s="1"/>
  <c r="CV211" i="1" s="1"/>
  <c r="CV130" i="1"/>
  <c r="CV56" i="1" s="1"/>
  <c r="CV93" i="1"/>
  <c r="CV55" i="1"/>
  <c r="CV79" i="1" l="1"/>
  <c r="CV95" i="1"/>
  <c r="CV80" i="1"/>
  <c r="CV161" i="1"/>
  <c r="CV162" i="1" s="1"/>
  <c r="CV212" i="1" s="1"/>
  <c r="CV82" i="1" l="1"/>
  <c r="CV108" i="1"/>
  <c r="CV169" i="1"/>
  <c r="CW210" i="1"/>
  <c r="CV166" i="1"/>
  <c r="CV167" i="1" s="1"/>
  <c r="CV247" i="1"/>
  <c r="CV249" i="1"/>
  <c r="CV245" i="1"/>
  <c r="CV83" i="1"/>
  <c r="CV109" i="1"/>
  <c r="CW36" i="1" l="1"/>
  <c r="CV110" i="1"/>
  <c r="CV112" i="1" s="1"/>
  <c r="CV115" i="1" s="1"/>
  <c r="CV111" i="1" l="1"/>
  <c r="CV114" i="1" s="1"/>
  <c r="CW253" i="1"/>
  <c r="CW38" i="1"/>
  <c r="CW39" i="1" l="1"/>
  <c r="CW41" i="1" s="1"/>
  <c r="CW48" i="1" l="1"/>
  <c r="CW235" i="1"/>
  <c r="CW43" i="1"/>
  <c r="CW42" i="1"/>
  <c r="CW246" i="1" s="1"/>
  <c r="CW44" i="1"/>
  <c r="CW228" i="1"/>
  <c r="CW67" i="1" l="1"/>
  <c r="CW194" i="1"/>
  <c r="CW196" i="1" s="1"/>
  <c r="CW200" i="1" s="1"/>
  <c r="CW214" i="1" s="1"/>
  <c r="CW120" i="1"/>
  <c r="CW70" i="1" l="1"/>
  <c r="CW121" i="1"/>
  <c r="CW93" i="1" l="1"/>
  <c r="CW208" i="1"/>
  <c r="CW206" i="1" s="1"/>
  <c r="CW211" i="1" s="1"/>
  <c r="CW130" i="1"/>
  <c r="CW56" i="1" s="1"/>
  <c r="CW55" i="1"/>
  <c r="CW86" i="1"/>
  <c r="CW71" i="1"/>
  <c r="CW161" i="1" l="1"/>
  <c r="CW162" i="1" s="1"/>
  <c r="CW95" i="1"/>
  <c r="CW80" i="1"/>
  <c r="CW79" i="1"/>
  <c r="CW108" i="1" l="1"/>
  <c r="CW82" i="1"/>
  <c r="CW83" i="1"/>
  <c r="CW109" i="1"/>
  <c r="CW169" i="1"/>
  <c r="CW245" i="1"/>
  <c r="CW247" i="1"/>
  <c r="CX210" i="1"/>
  <c r="CW166" i="1"/>
  <c r="CW167" i="1" s="1"/>
  <c r="CW249" i="1"/>
  <c r="CW212" i="1"/>
  <c r="CX36" i="1" l="1"/>
  <c r="CW110" i="1"/>
  <c r="CW112" i="1" s="1"/>
  <c r="CW115" i="1" s="1"/>
  <c r="CW111" i="1" l="1"/>
  <c r="CW114" i="1" s="1"/>
  <c r="CX253" i="1"/>
  <c r="CX38" i="1"/>
  <c r="AD36" i="1"/>
  <c r="AD37" i="1" l="1"/>
  <c r="AD253" i="1"/>
  <c r="AD38" i="1"/>
  <c r="CX39" i="1"/>
  <c r="AD39" i="1" s="1"/>
  <c r="AD40" i="1" s="1"/>
  <c r="CX41" i="1" l="1"/>
  <c r="CX43" i="1" s="1"/>
  <c r="AD41" i="1"/>
  <c r="CX235" i="1" l="1"/>
  <c r="CX228" i="1"/>
  <c r="CX48" i="1"/>
  <c r="CX194" i="1" s="1"/>
  <c r="CX196" i="1" s="1"/>
  <c r="CX200" i="1" s="1"/>
  <c r="CX214" i="1" s="1"/>
  <c r="CX42" i="1"/>
  <c r="CX246" i="1" s="1"/>
  <c r="CX44" i="1"/>
  <c r="AD62" i="1"/>
  <c r="AD42" i="1"/>
  <c r="AD246" i="1" s="1"/>
  <c r="AD48" i="1"/>
  <c r="AD43" i="1"/>
  <c r="CX120" i="1" l="1"/>
  <c r="CX121" i="1" s="1"/>
  <c r="CX67" i="1"/>
  <c r="CX70" i="1" s="1"/>
  <c r="AD194" i="1"/>
  <c r="AD196" i="1" s="1"/>
  <c r="AD200" i="1" s="1"/>
  <c r="AD214" i="1" s="1"/>
  <c r="AD52" i="1"/>
  <c r="AD53" i="1" s="1"/>
  <c r="AD67" i="1"/>
  <c r="AD120" i="1" l="1"/>
  <c r="AD121" i="1" s="1"/>
  <c r="AD70" i="1"/>
  <c r="AD69" i="1"/>
  <c r="CX86" i="1"/>
  <c r="CX71" i="1"/>
  <c r="CX93" i="1"/>
  <c r="CX208" i="1"/>
  <c r="CX206" i="1" s="1"/>
  <c r="CX211" i="1" s="1"/>
  <c r="CX130" i="1"/>
  <c r="CX56" i="1" s="1"/>
  <c r="CX55" i="1"/>
  <c r="AD55" i="1" l="1"/>
  <c r="AD176" i="1"/>
  <c r="AD208" i="1"/>
  <c r="AD206" i="1" s="1"/>
  <c r="AD211" i="1" s="1"/>
  <c r="AD130" i="1"/>
  <c r="AD56" i="1" s="1"/>
  <c r="AD93" i="1"/>
  <c r="AD95" i="1" s="1"/>
  <c r="CX161" i="1"/>
  <c r="CX79" i="1"/>
  <c r="CX95" i="1"/>
  <c r="CX80" i="1"/>
  <c r="AD71" i="1"/>
  <c r="AD86" i="1"/>
  <c r="AC90" i="1"/>
  <c r="CX83" i="1" l="1"/>
  <c r="CX109" i="1"/>
  <c r="AD80" i="1"/>
  <c r="CX108" i="1"/>
  <c r="CX82" i="1"/>
  <c r="AD79" i="1"/>
  <c r="CX162" i="1"/>
  <c r="AD161" i="1"/>
  <c r="AD162" i="1" s="1"/>
  <c r="AD247" i="1" l="1"/>
  <c r="AE210" i="1"/>
  <c r="AD169" i="1"/>
  <c r="AD110" i="1" s="1"/>
  <c r="AD249" i="1"/>
  <c r="AD245" i="1"/>
  <c r="AD166" i="1"/>
  <c r="AD167" i="1" s="1"/>
  <c r="AD212" i="1"/>
  <c r="CX245" i="1"/>
  <c r="CX249" i="1"/>
  <c r="CX166" i="1"/>
  <c r="CX167" i="1" s="1"/>
  <c r="CY210" i="1"/>
  <c r="CX247" i="1"/>
  <c r="CX169" i="1"/>
  <c r="CX212" i="1"/>
  <c r="AD105" i="1"/>
  <c r="AD88" i="1"/>
  <c r="AD83" i="1"/>
  <c r="AD109" i="1"/>
  <c r="AD97" i="1"/>
  <c r="AD87" i="1"/>
  <c r="AD82" i="1"/>
  <c r="AD108" i="1"/>
  <c r="AD104" i="1"/>
  <c r="AD96" i="1"/>
  <c r="AD111" i="1" l="1"/>
  <c r="AD114" i="1" s="1"/>
  <c r="CY36" i="1"/>
  <c r="CX110" i="1"/>
  <c r="AD112" i="1"/>
  <c r="AD115" i="1" s="1"/>
  <c r="CX111" i="1" l="1"/>
  <c r="CX114" i="1" s="1"/>
  <c r="CX112" i="1"/>
  <c r="CX115" i="1" s="1"/>
  <c r="CY253" i="1"/>
  <c r="CY38" i="1"/>
  <c r="CY39" i="1" l="1"/>
  <c r="CY41" i="1" s="1"/>
  <c r="CY42" i="1" l="1"/>
  <c r="CY246" i="1" s="1"/>
  <c r="CY44" i="1"/>
  <c r="CY43" i="1"/>
  <c r="CY48" i="1"/>
  <c r="CY235" i="1"/>
  <c r="CY228" i="1"/>
  <c r="CY67" i="1" l="1"/>
  <c r="CY194" i="1"/>
  <c r="CY196" i="1" s="1"/>
  <c r="CY200" i="1" s="1"/>
  <c r="CY214" i="1" s="1"/>
  <c r="CY120" i="1"/>
  <c r="CY121" i="1" l="1"/>
  <c r="CY70" i="1"/>
  <c r="CY86" i="1" l="1"/>
  <c r="CY71" i="1"/>
  <c r="CY93" i="1"/>
  <c r="CY130" i="1"/>
  <c r="CY56" i="1" s="1"/>
  <c r="CY208" i="1"/>
  <c r="CY206" i="1" s="1"/>
  <c r="CY211" i="1" s="1"/>
  <c r="CY55" i="1"/>
  <c r="CY161" i="1" l="1"/>
  <c r="CY162" i="1" s="1"/>
  <c r="CY212" i="1" s="1"/>
  <c r="CY79" i="1"/>
  <c r="CY80" i="1"/>
  <c r="CY95" i="1"/>
  <c r="CY83" i="1" l="1"/>
  <c r="CY109" i="1"/>
  <c r="CY82" i="1"/>
  <c r="CY108" i="1"/>
  <c r="CY249" i="1"/>
  <c r="CY245" i="1"/>
  <c r="CY166" i="1"/>
  <c r="CY167" i="1" s="1"/>
  <c r="CZ210" i="1"/>
  <c r="CY169" i="1"/>
  <c r="CY247" i="1"/>
  <c r="CY110" i="1" l="1"/>
  <c r="CY111" i="1" s="1"/>
  <c r="CY114" i="1" s="1"/>
  <c r="CZ36" i="1"/>
  <c r="CY112" i="1" l="1"/>
  <c r="CY115" i="1" s="1"/>
  <c r="CZ253" i="1"/>
  <c r="CZ38" i="1"/>
  <c r="CZ39" i="1" l="1"/>
  <c r="CZ41" i="1" l="1"/>
  <c r="CZ42" i="1" l="1"/>
  <c r="CZ246" i="1" s="1"/>
  <c r="CZ44" i="1"/>
  <c r="CZ235" i="1"/>
  <c r="CZ48" i="1"/>
  <c r="CZ43" i="1"/>
  <c r="CZ228" i="1"/>
  <c r="CZ194" i="1" l="1"/>
  <c r="CZ196" i="1" s="1"/>
  <c r="CZ200" i="1" s="1"/>
  <c r="CZ214" i="1" s="1"/>
  <c r="CZ67" i="1"/>
  <c r="CZ120" i="1"/>
  <c r="CZ121" i="1" l="1"/>
  <c r="CZ70" i="1"/>
  <c r="CZ86" i="1" l="1"/>
  <c r="CZ71" i="1"/>
  <c r="CZ93" i="1"/>
  <c r="CZ130" i="1"/>
  <c r="CZ56" i="1" s="1"/>
  <c r="CZ208" i="1"/>
  <c r="CZ206" i="1" s="1"/>
  <c r="CZ211" i="1" s="1"/>
  <c r="CZ55" i="1"/>
  <c r="CZ161" i="1" l="1"/>
  <c r="CZ162" i="1" s="1"/>
  <c r="CZ79" i="1"/>
  <c r="CZ80" i="1"/>
  <c r="CZ95" i="1"/>
  <c r="CZ109" i="1" l="1"/>
  <c r="CZ83" i="1"/>
  <c r="CZ108" i="1"/>
  <c r="CZ82" i="1"/>
  <c r="CZ169" i="1"/>
  <c r="CZ245" i="1"/>
  <c r="DA210" i="1"/>
  <c r="CZ249" i="1"/>
  <c r="CZ166" i="1"/>
  <c r="CZ167" i="1" s="1"/>
  <c r="CZ247" i="1"/>
  <c r="CZ212" i="1"/>
  <c r="CZ110" i="1" l="1"/>
  <c r="CZ111" i="1" s="1"/>
  <c r="CZ114" i="1" s="1"/>
  <c r="DA36" i="1"/>
  <c r="CZ112" i="1" l="1"/>
  <c r="CZ115" i="1" s="1"/>
  <c r="DA253" i="1"/>
  <c r="DA38" i="1"/>
  <c r="DA39" i="1" l="1"/>
  <c r="DA41" i="1" s="1"/>
  <c r="DA42" i="1" l="1"/>
  <c r="DA246" i="1" s="1"/>
  <c r="DA44" i="1"/>
  <c r="DA48" i="1"/>
  <c r="DA43" i="1"/>
  <c r="DA235" i="1"/>
  <c r="DA228" i="1"/>
  <c r="DA194" i="1" l="1"/>
  <c r="DA196" i="1" s="1"/>
  <c r="DA200" i="1" s="1"/>
  <c r="DA214" i="1" s="1"/>
  <c r="DA67" i="1"/>
  <c r="DA120" i="1"/>
  <c r="DA121" i="1" l="1"/>
  <c r="DA70" i="1"/>
  <c r="DA93" i="1" l="1"/>
  <c r="DA130" i="1"/>
  <c r="DA56" i="1" s="1"/>
  <c r="DA208" i="1"/>
  <c r="DA206" i="1" s="1"/>
  <c r="DA211" i="1" s="1"/>
  <c r="DA55" i="1"/>
  <c r="DA86" i="1"/>
  <c r="DA71" i="1"/>
  <c r="DA95" i="1" l="1"/>
  <c r="DA79" i="1"/>
  <c r="DA80" i="1"/>
  <c r="DA161" i="1"/>
  <c r="DA162" i="1" s="1"/>
  <c r="DA169" i="1" l="1"/>
  <c r="DA249" i="1"/>
  <c r="DA166" i="1"/>
  <c r="DA167" i="1" s="1"/>
  <c r="DA247" i="1"/>
  <c r="DA245" i="1"/>
  <c r="DB210" i="1"/>
  <c r="DA212" i="1"/>
  <c r="DA109" i="1"/>
  <c r="DA83" i="1"/>
  <c r="DA82" i="1"/>
  <c r="DA108" i="1"/>
  <c r="DA110" i="1" l="1"/>
  <c r="DA112" i="1" s="1"/>
  <c r="DA115" i="1" s="1"/>
  <c r="DB36" i="1"/>
  <c r="DB253" i="1" l="1"/>
  <c r="DB38" i="1"/>
  <c r="AE36" i="1"/>
  <c r="DA111" i="1"/>
  <c r="DA114" i="1" s="1"/>
  <c r="AE253" i="1" l="1"/>
  <c r="AE37" i="1"/>
  <c r="AE38" i="1"/>
  <c r="DB39" i="1"/>
  <c r="AE39" i="1" s="1"/>
  <c r="AE40" i="1" s="1"/>
  <c r="DB41" i="1" l="1"/>
  <c r="DB228" i="1" s="1"/>
  <c r="AE41" i="1"/>
  <c r="DB48" i="1" l="1"/>
  <c r="DB42" i="1"/>
  <c r="DB246" i="1" s="1"/>
  <c r="DB44" i="1"/>
  <c r="DB43" i="1"/>
  <c r="DB235" i="1"/>
  <c r="AE62" i="1"/>
  <c r="AE42" i="1"/>
  <c r="AE246" i="1" s="1"/>
  <c r="AE48" i="1"/>
  <c r="AE43" i="1"/>
  <c r="DB194" i="1" l="1"/>
  <c r="DB196" i="1" s="1"/>
  <c r="DB200" i="1" s="1"/>
  <c r="DB214" i="1" s="1"/>
  <c r="DB67" i="1"/>
  <c r="DB70" i="1" s="1"/>
  <c r="DB71" i="1" s="1"/>
  <c r="DB120" i="1"/>
  <c r="AE120" i="1"/>
  <c r="AE121" i="1" s="1"/>
  <c r="AE52" i="1"/>
  <c r="AE53" i="1" s="1"/>
  <c r="AE67" i="1"/>
  <c r="AE194" i="1"/>
  <c r="AE196" i="1" s="1"/>
  <c r="AE200" i="1" s="1"/>
  <c r="AE214" i="1" s="1"/>
  <c r="DB121" i="1" l="1"/>
  <c r="DB86" i="1"/>
  <c r="AE208" i="1"/>
  <c r="AE206" i="1" s="1"/>
  <c r="AE211" i="1" s="1"/>
  <c r="AE130" i="1"/>
  <c r="AE56" i="1" s="1"/>
  <c r="AE93" i="1"/>
  <c r="AE95" i="1" s="1"/>
  <c r="AE176" i="1"/>
  <c r="AE70" i="1"/>
  <c r="AE69" i="1"/>
  <c r="AE55" i="1"/>
  <c r="DB130" i="1"/>
  <c r="DB56" i="1" s="1"/>
  <c r="DB208" i="1"/>
  <c r="DB206" i="1" s="1"/>
  <c r="DB211" i="1" s="1"/>
  <c r="DB93" i="1"/>
  <c r="DB55" i="1"/>
  <c r="AE71" i="1" l="1"/>
  <c r="AE86" i="1"/>
  <c r="AD90" i="1"/>
  <c r="DB95" i="1"/>
  <c r="DB79" i="1"/>
  <c r="DB80" i="1"/>
  <c r="DB161" i="1"/>
  <c r="DB162" i="1" l="1"/>
  <c r="AE161" i="1"/>
  <c r="AE162" i="1" s="1"/>
  <c r="DB83" i="1"/>
  <c r="DB109" i="1"/>
  <c r="AE80" i="1"/>
  <c r="DB108" i="1"/>
  <c r="DB82" i="1"/>
  <c r="AE79" i="1"/>
  <c r="AE87" i="1" l="1"/>
  <c r="AE108" i="1"/>
  <c r="AE96" i="1"/>
  <c r="AE82" i="1"/>
  <c r="AE104" i="1"/>
  <c r="AE109" i="1"/>
  <c r="AE83" i="1"/>
  <c r="AE105" i="1"/>
  <c r="AE88" i="1"/>
  <c r="AE97" i="1"/>
  <c r="AE245" i="1"/>
  <c r="AE249" i="1"/>
  <c r="AE169" i="1"/>
  <c r="AE110" i="1" s="1"/>
  <c r="AE247" i="1"/>
  <c r="AE166" i="1"/>
  <c r="AE167" i="1" s="1"/>
  <c r="AE212" i="1"/>
  <c r="DB166" i="1"/>
  <c r="DB167" i="1" s="1"/>
  <c r="DB245" i="1"/>
  <c r="DB249" i="1"/>
  <c r="DB169" i="1"/>
  <c r="DB110" i="1" s="1"/>
  <c r="DB112" i="1" s="1"/>
  <c r="DB115" i="1" s="1"/>
  <c r="DB247" i="1"/>
  <c r="DB212" i="1"/>
  <c r="DB111" i="1" l="1"/>
  <c r="DB114" i="1" s="1"/>
  <c r="AE112" i="1"/>
  <c r="AE115" i="1" s="1"/>
  <c r="AE111" i="1"/>
  <c r="AE1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M64" authorId="0" shapeId="0" xr:uid="{49256002-355C-418E-BBBA-757C946321C0}">
      <text>
        <r>
          <rPr>
            <b/>
            <sz val="9"/>
            <color indexed="81"/>
            <rFont val="Tahoma"/>
            <family val="2"/>
          </rPr>
          <t xml:space="preserve">Scheme of arrangement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<sst xmlns="http://schemas.openxmlformats.org/spreadsheetml/2006/main" count="663" uniqueCount="524">
  <si>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</si>
  <si>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</si>
  <si>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</si>
  <si>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</si>
  <si>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</si>
  <si>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</si>
  <si>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</si>
  <si>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</si>
  <si>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</si>
  <si>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</si>
  <si>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</si>
  <si>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</si>
  <si>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</si>
  <si>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</si>
  <si>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</si>
  <si>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</si>
  <si>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</si>
  <si>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</si>
  <si>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</si>
  <si>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</si>
  <si>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</si>
  <si>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</si>
  <si>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</si>
  <si>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</si>
  <si>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</si>
  <si>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</si>
  <si>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</si>
  <si>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</si>
  <si>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</si>
  <si>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</si>
  <si>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</si>
  <si>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</si>
  <si>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</si>
  <si>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</si>
  <si>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</si>
  <si>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</si>
  <si>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</si>
  <si>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</si>
  <si>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</si>
  <si>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</si>
  <si>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</si>
  <si>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</si>
  <si>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</si>
  <si>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</si>
  <si>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</si>
  <si>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</si>
  <si>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</si>
  <si>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</si>
  <si>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</si>
  <si>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</si>
  <si>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</si>
  <si>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</si>
  <si>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</si>
  <si>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</si>
  <si>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</si>
  <si>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</si>
  <si>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</si>
  <si>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</si>
  <si>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</si>
  <si>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</si>
  <si>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</si>
  <si>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</si>
  <si>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</si>
  <si>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</si>
  <si>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</si>
  <si>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</si>
  <si>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</si>
  <si>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</si>
  <si>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</si>
  <si>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</si>
  <si>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</si>
  <si>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</si>
  <si>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</si>
  <si>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</si>
  <si>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</si>
  <si>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</si>
  <si>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</si>
  <si>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</si>
  <si>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</si>
  <si>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</si>
  <si>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</si>
  <si>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</si>
  <si>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</si>
  <si>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</si>
  <si>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</si>
  <si>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</si>
  <si>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</si>
  <si>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</si>
  <si>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</si>
  <si>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</si>
  <si>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</si>
  <si>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</si>
  <si>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</si>
  <si>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</si>
  <si>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</si>
  <si>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</si>
  <si>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</si>
  <si>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</si>
  <si>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</si>
  <si>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</si>
  <si>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</si>
  <si>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</si>
  <si>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</si>
  <si>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</si>
  <si>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</si>
  <si>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</si>
  <si>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</si>
  <si>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</si>
  <si>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</si>
  <si>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</si>
  <si>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</si>
  <si>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</si>
  <si>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</si>
  <si>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</si>
  <si>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</si>
  <si>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</si>
  <si>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</si>
  <si>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</si>
  <si>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</si>
  <si>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</si>
  <si>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</si>
  <si>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</si>
  <si>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</si>
  <si>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</si>
  <si>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</si>
  <si>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</si>
  <si>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</si>
  <si>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</si>
  <si>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</si>
  <si>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</si>
  <si>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</si>
  <si>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</si>
  <si>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</si>
  <si>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</si>
  <si>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</si>
  <si>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</si>
  <si>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</si>
  <si>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</si>
  <si>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</si>
  <si>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</si>
  <si>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</si>
  <si>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</si>
  <si>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</si>
  <si>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</si>
  <si>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</si>
  <si>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</si>
  <si>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</si>
  <si>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</si>
  <si>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</si>
  <si>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</si>
  <si>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</si>
  <si>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</si>
  <si>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</si>
  <si>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</si>
  <si>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</si>
  <si>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</si>
  <si>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</si>
  <si>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</si>
  <si>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</si>
  <si>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</si>
  <si>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</si>
  <si>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</si>
  <si>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</si>
  <si>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</si>
  <si>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</si>
  <si>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</si>
  <si>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</si>
  <si>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</si>
  <si>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</si>
  <si>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</si>
  <si>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</si>
  <si>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</si>
  <si>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</si>
  <si>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</si>
  <si>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</si>
  <si>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</si>
  <si>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</si>
  <si>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</si>
  <si>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</si>
  <si>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</si>
  <si>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</si>
  <si>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</si>
  <si>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</si>
  <si>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</si>
  <si>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</si>
  <si>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</si>
  <si>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</si>
  <si>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</si>
  <si>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</si>
  <si>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</si>
  <si>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</si>
  <si>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</si>
  <si>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</si>
  <si>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</si>
  <si>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</si>
  <si>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</si>
  <si>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</si>
  <si>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</si>
  <si>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</si>
  <si>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</si>
  <si>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</si>
  <si>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</si>
  <si>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</si>
  <si>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</si>
  <si>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</si>
  <si>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</si>
  <si>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</si>
  <si>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</si>
  <si>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</si>
  <si>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</si>
  <si>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</si>
  <si>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</si>
  <si>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</si>
  <si>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</si>
  <si>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</si>
  <si>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</si>
  <si>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</si>
  <si>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</si>
  <si>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</si>
  <si>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</si>
  <si>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</si>
  <si>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</si>
  <si>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</si>
  <si>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</si>
  <si>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</si>
  <si>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</si>
  <si>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</si>
  <si>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</si>
  <si>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</si>
  <si>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</si>
  <si>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</si>
  <si>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</si>
  <si>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</si>
  <si>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</si>
  <si>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</si>
  <si>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</si>
  <si>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</si>
  <si>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</si>
  <si>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</si>
  <si>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</si>
  <si>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</si>
  <si>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</si>
  <si>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</si>
  <si>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</si>
  <si>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</si>
  <si>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</si>
  <si>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</si>
  <si>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</si>
  <si>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</si>
  <si>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</si>
  <si>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</si>
  <si>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</si>
  <si>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</si>
  <si>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</si>
  <si>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</si>
  <si>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</si>
  <si>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</si>
  <si>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</si>
  <si>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</si>
  <si>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</si>
  <si>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</si>
  <si>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</si>
  <si>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</si>
  <si>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</si>
  <si>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</si>
  <si>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</si>
  <si>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</si>
  <si>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</si>
  <si>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</si>
  <si>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</si>
  <si>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</si>
  <si>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</si>
  <si>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</si>
  <si>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</si>
  <si>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</si>
  <si>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</si>
  <si>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</si>
  <si>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</si>
  <si>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</si>
  <si>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</si>
  <si>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</si>
  <si>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</si>
  <si>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</si>
  <si>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</si>
  <si>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</si>
  <si>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</si>
  <si>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</si>
  <si>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</si>
  <si>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</si>
  <si>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</si>
  <si>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</si>
  <si>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</si>
  <si>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</si>
  <si>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</si>
  <si>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</si>
  <si>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</si>
  <si>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</si>
  <si>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</si>
  <si>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</si>
  <si>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</si>
  <si>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</si>
  <si>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</si>
  <si>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</si>
  <si>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</si>
  <si>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</si>
  <si>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</si>
  <si>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</si>
  <si>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</si>
  <si>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</si>
  <si>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</si>
  <si>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</si>
  <si>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</si>
  <si>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</si>
  <si>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</si>
  <si>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</si>
  <si>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</si>
  <si>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</si>
  <si>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</si>
  <si>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</si>
  <si>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</si>
  <si>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</si>
  <si>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</si>
  <si>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</si>
  <si>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</si>
  <si>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</si>
  <si>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</si>
  <si>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</si>
  <si>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</si>
  <si>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</si>
  <si>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</si>
  <si>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</si>
  <si>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</si>
  <si>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</si>
  <si>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</si>
  <si>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</si>
  <si>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</si>
  <si>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</si>
  <si>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</si>
  <si>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</si>
  <si>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</si>
  <si>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</si>
  <si>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</si>
  <si>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</si>
  <si>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</si>
  <si>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</si>
  <si>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</si>
  <si>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</si>
  <si>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</si>
  <si>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</si>
  <si>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</si>
  <si>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</si>
  <si>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</si>
  <si>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</si>
  <si>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</si>
  <si>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</si>
  <si>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</si>
  <si>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</si>
  <si>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</si>
  <si>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</si>
  <si>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</si>
  <si>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</si>
  <si>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</si>
  <si>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</si>
  <si>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</si>
  <si>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</si>
  <si>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</si>
  <si>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</si>
  <si>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</si>
  <si>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</si>
  <si>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</si>
  <si>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</si>
  <si>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</si>
  <si>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</si>
  <si>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</si>
  <si>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</si>
  <si>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</si>
  <si>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</si>
  <si>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</si>
  <si>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</si>
  <si>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</si>
  <si>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</si>
  <si>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</si>
  <si>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</si>
  <si>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</si>
  <si>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</si>
  <si>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</si>
  <si>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</si>
  <si>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</si>
  <si>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</si>
  <si>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</si>
  <si>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</si>
  <si>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</si>
  <si>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</si>
  <si>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</si>
  <si>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</si>
  <si>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</si>
  <si>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</si>
  <si>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</si>
  <si>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</si>
  <si>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</si>
  <si>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</si>
  <si>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</si>
  <si>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</si>
  <si>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</si>
  <si>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</si>
  <si>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</si>
  <si>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</si>
  <si>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</si>
  <si>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</si>
  <si>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</si>
  <si>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</si>
  <si>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</si>
  <si>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</si>
  <si>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</si>
  <si>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</si>
  <si>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</si>
  <si>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</si>
  <si>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</si>
  <si>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</si>
  <si>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</si>
  <si>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</si>
  <si>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</si>
  <si>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</si>
  <si>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</si>
  <si>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</si>
  <si>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</si>
  <si>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</si>
  <si>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</si>
  <si>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</si>
  <si>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</si>
  <si>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</si>
  <si>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</si>
  <si>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</si>
  <si>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</si>
  <si>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</si>
  <si>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</si>
  <si>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</si>
  <si>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</si>
  <si>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</si>
  <si>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</si>
  <si>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</si>
  <si>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</si>
  <si>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</si>
  <si>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</si>
  <si>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</si>
  <si>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</si>
  <si>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</si>
  <si>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</si>
  <si>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</si>
  <si>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</si>
  <si>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</si>
  <si>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</si>
  <si>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</si>
  <si>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</si>
  <si>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</si>
  <si>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</si>
  <si>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</si>
  <si>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</si>
  <si>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</si>
  <si>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</si>
  <si>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</si>
  <si>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</si>
  <si>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</si>
  <si>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</si>
  <si>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</si>
  <si>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</si>
  <si>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</si>
  <si>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</si>
  <si>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</si>
  <si>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</si>
  <si>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</si>
  <si>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</si>
  <si>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</si>
  <si>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</si>
  <si>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</si>
  <si>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</si>
  <si>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</si>
  <si>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</si>
  <si>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</si>
  <si>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</si>
  <si>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</si>
  <si>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</si>
  <si>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</si>
  <si>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</si>
  <si>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</si>
  <si>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</si>
  <si>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</si>
  <si>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</si>
  <si>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</si>
  <si>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</si>
  <si>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</si>
  <si>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</si>
  <si>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</si>
  <si>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</si>
  <si>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</si>
  <si>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</si>
  <si>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</si>
  <si>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</si>
  <si>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</si>
  <si>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</si>
  <si>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</si>
  <si>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</si>
  <si>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</si>
  <si>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</si>
  <si>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</si>
  <si>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</si>
  <si>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</si>
  <si>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</si>
  <si>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</si>
  <si>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</si>
  <si>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</si>
  <si>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</si>
  <si>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</si>
  <si>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</si>
  <si>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</si>
  <si>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Enterprises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</si>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</sst>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5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100468.61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100468.61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ca="1">+AVERAGE(CI11:CL11)+25%</f>
        <v>#NAME?</v>
      </c>
      <c r="CN11" s="40" t="e">
        <f t="shared" ref="CN11:CP11" ca="1" si="57">+AVERAGE(CJ11:CM11)+25%</f>
        <v>#NAME?</v>
      </c>
      <c r="CO11" s="40" t="e">
        <f t="shared" ca="1" si="57"/>
        <v>#NAME?</v>
      </c>
      <c r="CP11" s="40" t="e">
        <f t="shared" ca="1" si="57"/>
        <v>#NAME?</v>
      </c>
      <c r="CQ11" s="40" t="e">
        <f ca="1">+AVERAGE(CM11:CP11)-18%</f>
        <v>#NAME?</v>
      </c>
      <c r="CR11" s="40" t="e">
        <f t="shared" ref="CR11:CT11" ca="1" si="58">+AVERAGE(CN11:CQ11)-18%</f>
        <v>#NAME?</v>
      </c>
      <c r="CS11" s="40" t="e">
        <f t="shared" ca="1" si="58"/>
        <v>#NAME?</v>
      </c>
      <c r="CT11" s="40" t="e">
        <f t="shared" ca="1" si="58"/>
        <v>#NAME?</v>
      </c>
      <c r="CU11" s="40" t="e">
        <f t="shared" ref="CU11" ca="1" si="59">+AVERAGE(CQ11:CT11)</f>
        <v>#NAME?</v>
      </c>
      <c r="CV11" s="40" t="e">
        <f t="shared" ref="CV11" ca="1" si="60">+AVERAGE(CR11:CU11)</f>
        <v>#NAME?</v>
      </c>
      <c r="CW11" s="40" t="e">
        <f t="shared" ref="CW11" ca="1" si="61">+AVERAGE(CS11:CV11)</f>
        <v>#NAME?</v>
      </c>
      <c r="CX11" s="40" t="e">
        <f t="shared" ref="CX11" ca="1" si="62">+AVERAGE(CT11:CW11)</f>
        <v>#NAME?</v>
      </c>
      <c r="CY11" s="40" t="e">
        <f t="shared" ref="CY11" ca="1" si="63">+AVERAGE(CU11:CX11)</f>
        <v>#NAME?</v>
      </c>
      <c r="CZ11" s="40" t="e">
        <f t="shared" ref="CZ11" ca="1" si="64">+AVERAGE(CV11:CY11)</f>
        <v>#NAME?</v>
      </c>
      <c r="DA11" s="40" t="e">
        <f t="shared" ref="DA11" ca="1" si="65">+AVERAGE(CW11:CZ11)</f>
        <v>#NAME?</v>
      </c>
      <c r="DB11" s="40" t="e">
        <f t="shared" ref="DB11" ca="1" si="66">+AVERAGE(CX11:DA11)</f>
        <v>#NAME?</v>
      </c>
      <c r="DE11" s="122"/>
      <c r="DF11" s="39">
        <v>2.6292114745683604E-2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67">+IF(AI10&lt;0,1-AJ10/AI10,AJ10/AI10-1)</f>
        <v>#NAME?</v>
      </c>
      <c r="AK12" s="39" t="e">
        <f t="shared" ca="1" si="67"/>
        <v>#NAME?</v>
      </c>
      <c r="AL12" s="39" t="e">
        <f t="shared" ca="1" si="67"/>
        <v>#NAME?</v>
      </c>
      <c r="AM12" s="39" t="e">
        <f t="shared" ref="AM12:CI12" ca="1" si="68">+IF(AL10&lt;0,1-AM10/AL10,AM10/AL10-1)</f>
        <v>#NAME?</v>
      </c>
      <c r="AN12" s="39" t="e">
        <f t="shared" ca="1" si="68"/>
        <v>#NAME?</v>
      </c>
      <c r="AO12" s="39" t="e">
        <f t="shared" ca="1" si="68"/>
        <v>#NAME?</v>
      </c>
      <c r="AP12" s="39" t="e">
        <f t="shared" ca="1" si="68"/>
        <v>#NAME?</v>
      </c>
      <c r="AQ12" s="39" t="e">
        <f t="shared" ca="1" si="68"/>
        <v>#NAME?</v>
      </c>
      <c r="AR12" s="39" t="e">
        <f t="shared" ca="1" si="68"/>
        <v>#NAME?</v>
      </c>
      <c r="AS12" s="39" t="e">
        <f t="shared" ca="1" si="68"/>
        <v>#NAME?</v>
      </c>
      <c r="AT12" s="39" t="e">
        <f t="shared" ca="1" si="68"/>
        <v>#NAME?</v>
      </c>
      <c r="AU12" s="39" t="e">
        <f t="shared" ca="1" si="68"/>
        <v>#NAME?</v>
      </c>
      <c r="AV12" s="39" t="e">
        <f t="shared" ca="1" si="68"/>
        <v>#NAME?</v>
      </c>
      <c r="AW12" s="39" t="e">
        <f t="shared" ca="1" si="68"/>
        <v>#NAME?</v>
      </c>
      <c r="AX12" s="39" t="e">
        <f t="shared" ca="1" si="68"/>
        <v>#NAME?</v>
      </c>
      <c r="AY12" s="39" t="e">
        <f t="shared" ca="1" si="68"/>
        <v>#NAME?</v>
      </c>
      <c r="AZ12" s="39" t="e">
        <f t="shared" ca="1" si="68"/>
        <v>#NAME?</v>
      </c>
      <c r="BA12" s="39" t="e">
        <f t="shared" ca="1" si="68"/>
        <v>#NAME?</v>
      </c>
      <c r="BB12" s="39" t="e">
        <f t="shared" ca="1" si="68"/>
        <v>#NAME?</v>
      </c>
      <c r="BC12" s="39" t="e">
        <f t="shared" ca="1" si="68"/>
        <v>#NAME?</v>
      </c>
      <c r="BD12" s="39" t="e">
        <f t="shared" ca="1" si="68"/>
        <v>#NAME?</v>
      </c>
      <c r="BE12" s="39" t="e">
        <f t="shared" ca="1" si="68"/>
        <v>#NAME?</v>
      </c>
      <c r="BF12" s="39" t="e">
        <f t="shared" ca="1" si="68"/>
        <v>#NAME?</v>
      </c>
      <c r="BG12" s="39" t="e">
        <f t="shared" ca="1" si="68"/>
        <v>#NAME?</v>
      </c>
      <c r="BH12" s="39" t="e">
        <f t="shared" ca="1" si="68"/>
        <v>#NAME?</v>
      </c>
      <c r="BI12" s="39" t="e">
        <f t="shared" ca="1" si="68"/>
        <v>#NAME?</v>
      </c>
      <c r="BJ12" s="39" t="e">
        <f t="shared" ca="1" si="68"/>
        <v>#NAME?</v>
      </c>
      <c r="BK12" s="39" t="e">
        <f t="shared" ca="1" si="68"/>
        <v>#NAME?</v>
      </c>
      <c r="BL12" s="39" t="e">
        <f t="shared" ca="1" si="68"/>
        <v>#NAME?</v>
      </c>
      <c r="BM12" s="39" t="e">
        <f t="shared" ca="1" si="68"/>
        <v>#NAME?</v>
      </c>
      <c r="BN12" s="39" t="e">
        <f t="shared" ca="1" si="68"/>
        <v>#NAME?</v>
      </c>
      <c r="BO12" s="39" t="e">
        <f t="shared" ca="1" si="68"/>
        <v>#NAME?</v>
      </c>
      <c r="BP12" s="39" t="e">
        <f t="shared" ca="1" si="68"/>
        <v>#NAME?</v>
      </c>
      <c r="BQ12" s="39" t="e">
        <f t="shared" ca="1" si="68"/>
        <v>#NAME?</v>
      </c>
      <c r="BR12" s="39" t="e">
        <f t="shared" ca="1" si="68"/>
        <v>#NAME?</v>
      </c>
      <c r="BS12" s="39" t="e">
        <f t="shared" ca="1" si="68"/>
        <v>#NAME?</v>
      </c>
      <c r="BT12" s="39" t="e">
        <f t="shared" ca="1" si="68"/>
        <v>#NAME?</v>
      </c>
      <c r="BU12" s="39" t="e">
        <f t="shared" ca="1" si="68"/>
        <v>#NAME?</v>
      </c>
      <c r="BV12" s="39" t="e">
        <f t="shared" ca="1" si="68"/>
        <v>#NAME?</v>
      </c>
      <c r="BW12" s="39" t="e">
        <f t="shared" ca="1" si="68"/>
        <v>#NAME?</v>
      </c>
      <c r="BX12" s="39" t="e">
        <f t="shared" ca="1" si="68"/>
        <v>#NAME?</v>
      </c>
      <c r="BY12" s="39" t="e">
        <f t="shared" ca="1" si="68"/>
        <v>#NAME?</v>
      </c>
      <c r="BZ12" s="39" t="e">
        <f t="shared" ca="1" si="68"/>
        <v>#NAME?</v>
      </c>
      <c r="CA12" s="39" t="e">
        <f t="shared" ca="1" si="68"/>
        <v>#NAME?</v>
      </c>
      <c r="CB12" s="39" t="e">
        <f t="shared" ca="1" si="68"/>
        <v>#NAME?</v>
      </c>
      <c r="CC12" s="39" t="e">
        <f t="shared" ca="1" si="68"/>
        <v>#NAME?</v>
      </c>
      <c r="CD12" s="39" t="e">
        <f t="shared" ca="1" si="68"/>
        <v>#NAME?</v>
      </c>
      <c r="CE12" s="39" t="e">
        <f t="shared" ca="1" si="68"/>
        <v>#NAME?</v>
      </c>
      <c r="CF12" s="39" t="e">
        <f t="shared" ca="1" si="68"/>
        <v>#NAME?</v>
      </c>
      <c r="CG12" s="39" t="e">
        <f t="shared" ca="1" si="68"/>
        <v>#NAME?</v>
      </c>
      <c r="CH12" s="39" t="e">
        <f t="shared" ca="1" si="68"/>
        <v>#NAME?</v>
      </c>
      <c r="CI12" s="39" t="e">
        <f t="shared" ca="1" si="68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69">+CM10/CL10-1</f>
        <v>#NAME?</v>
      </c>
      <c r="CN12" s="40" t="e">
        <f t="shared" ref="CN12" ca="1" si="70">+CN10/CM10-1</f>
        <v>#NAME?</v>
      </c>
      <c r="CO12" s="40" t="e">
        <f t="shared" ref="CO12" ca="1" si="71">+CO10/CN10-1</f>
        <v>#NAME?</v>
      </c>
      <c r="CP12" s="40" t="e">
        <f t="shared" ref="CP12" ca="1" si="72">+CP10/CO10-1</f>
        <v>#NAME?</v>
      </c>
      <c r="CQ12" s="40" t="e">
        <f t="shared" ref="CQ12" ca="1" si="73">+CQ10/CP10-1</f>
        <v>#NAME?</v>
      </c>
      <c r="CR12" s="40" t="e">
        <f t="shared" ref="CR12" ca="1" si="74">+CR10/CQ10-1</f>
        <v>#NAME?</v>
      </c>
      <c r="CS12" s="40" t="e">
        <f t="shared" ref="CS12" ca="1" si="75">+CS10/CR10-1</f>
        <v>#NAME?</v>
      </c>
      <c r="CT12" s="40" t="e">
        <f t="shared" ref="CT12" ca="1" si="76">+CT10/CS10-1</f>
        <v>#NAME?</v>
      </c>
      <c r="CU12" s="40" t="e">
        <f t="shared" ref="CU12" ca="1" si="77">+CU10/CT10-1</f>
        <v>#NAME?</v>
      </c>
      <c r="CV12" s="40" t="e">
        <f t="shared" ref="CV12" ca="1" si="78">+CV10/CU10-1</f>
        <v>#NAME?</v>
      </c>
      <c r="CW12" s="40" t="e">
        <f t="shared" ref="CW12" ca="1" si="79">+CW10/CV10-1</f>
        <v>#NAME?</v>
      </c>
      <c r="CX12" s="40" t="e">
        <f t="shared" ref="CX12" ca="1" si="80">+CX10/CW10-1</f>
        <v>#NAME?</v>
      </c>
      <c r="CY12" s="40" t="e">
        <f t="shared" ref="CY12" ca="1" si="81">+CY10/CX10-1</f>
        <v>#NAME?</v>
      </c>
      <c r="CZ12" s="40" t="e">
        <f t="shared" ref="CZ12" ca="1" si="82">+CZ10/CY10-1</f>
        <v>#NAME?</v>
      </c>
      <c r="DA12" s="40" t="e">
        <f t="shared" ref="DA12" ca="1" si="83">+DA10/CZ10-1</f>
        <v>#NAME?</v>
      </c>
      <c r="DB12" s="40" t="e">
        <f t="shared" ref="DB12" ca="1" si="84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-2824.59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29154.920000000002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85">+CM10-CM16</f>
        <v>#NAME?</v>
      </c>
      <c r="CN15" s="24" t="e">
        <f t="shared" ca="1" si="85"/>
        <v>#NAME?</v>
      </c>
      <c r="CO15" s="24" t="e">
        <f t="shared" ca="1" si="85"/>
        <v>#NAME?</v>
      </c>
      <c r="CP15" s="24" t="e">
        <f t="shared" ca="1" si="85"/>
        <v>#NAME?</v>
      </c>
      <c r="CQ15" s="24" t="e">
        <f t="shared" ca="1" si="85"/>
        <v>#NAME?</v>
      </c>
      <c r="CR15" s="24" t="e">
        <f t="shared" ca="1" si="85"/>
        <v>#NAME?</v>
      </c>
      <c r="CS15" s="24" t="e">
        <f t="shared" ca="1" si="85"/>
        <v>#NAME?</v>
      </c>
      <c r="CT15" s="24" t="e">
        <f t="shared" ca="1" si="85"/>
        <v>#NAME?</v>
      </c>
      <c r="CU15" s="24" t="e">
        <f t="shared" ca="1" si="85"/>
        <v>#NAME?</v>
      </c>
      <c r="CV15" s="24" t="e">
        <f t="shared" ca="1" si="85"/>
        <v>#NAME?</v>
      </c>
      <c r="CW15" s="24" t="e">
        <f t="shared" ca="1" si="85"/>
        <v>#NAME?</v>
      </c>
      <c r="CX15" s="24" t="e">
        <f t="shared" ca="1" si="85"/>
        <v>#NAME?</v>
      </c>
      <c r="CY15" s="24" t="e">
        <f t="shared" ca="1" si="85"/>
        <v>#NAME?</v>
      </c>
      <c r="CZ15" s="24" t="e">
        <f t="shared" ca="1" si="85"/>
        <v>#NAME?</v>
      </c>
      <c r="DA15" s="24" t="e">
        <f t="shared" ca="1" si="85"/>
        <v>#NAME?</v>
      </c>
      <c r="DB15" s="24" t="e">
        <f t="shared" ca="1" si="85"/>
        <v>#NAME?</v>
      </c>
      <c r="DE15" s="123"/>
      <c r="DF15" s="23">
        <v>27778.489999999998</v>
      </c>
    </row>
    <row r="16" spans="1:110" s="31" customFormat="1" x14ac:dyDescent="0.2">
      <c r="A16" s="31" t="s">
        <v>5</v>
      </c>
      <c r="B16" s="31" t="e">
        <f t="shared" ref="B16:T16" ca="1" si="86">B10-B13-B15-B14</f>
        <v>#NAME?</v>
      </c>
      <c r="C16" s="31" t="e">
        <f t="shared" ca="1" si="86"/>
        <v>#NAME?</v>
      </c>
      <c r="D16" s="31" t="e">
        <f t="shared" ca="1" si="86"/>
        <v>#NAME?</v>
      </c>
      <c r="E16" s="31" t="e">
        <f t="shared" ca="1" si="86"/>
        <v>#NAME?</v>
      </c>
      <c r="F16" s="31" t="e">
        <f t="shared" ca="1" si="86"/>
        <v>#NAME?</v>
      </c>
      <c r="G16" s="31" t="e">
        <f t="shared" ca="1" si="86"/>
        <v>#NAME?</v>
      </c>
      <c r="H16" s="31" t="e">
        <f t="shared" ca="1" si="86"/>
        <v>#NAME?</v>
      </c>
      <c r="I16" s="31" t="e">
        <f t="shared" ca="1" si="86"/>
        <v>#NAME?</v>
      </c>
      <c r="J16" s="31" t="e">
        <f t="shared" ca="1" si="86"/>
        <v>#NAME?</v>
      </c>
      <c r="K16" s="31" t="e">
        <f t="shared" ca="1" si="86"/>
        <v>#NAME?</v>
      </c>
      <c r="L16" s="31" t="e">
        <f t="shared" ca="1" si="86"/>
        <v>#NAME?</v>
      </c>
      <c r="M16" s="31" t="e">
        <f t="shared" ca="1" si="86"/>
        <v>#NAME?</v>
      </c>
      <c r="N16" s="31" t="e">
        <f t="shared" ca="1" si="86"/>
        <v>#NAME?</v>
      </c>
      <c r="O16" s="31" t="e">
        <f t="shared" ca="1" si="86"/>
        <v>#NAME?</v>
      </c>
      <c r="P16" s="31" t="e">
        <f t="shared" ca="1" si="86"/>
        <v>#NAME?</v>
      </c>
      <c r="Q16" s="31" t="e">
        <f t="shared" ca="1" si="86"/>
        <v>#NAME?</v>
      </c>
      <c r="R16" s="31" t="e">
        <f t="shared" ca="1" si="86"/>
        <v>#NAME?</v>
      </c>
      <c r="S16" s="31" t="e">
        <f t="shared" ca="1" si="86"/>
        <v>#NAME?</v>
      </c>
      <c r="T16" s="31" t="e">
        <f t="shared" ca="1" si="86"/>
        <v>#NAME?</v>
      </c>
      <c r="U16" s="31" t="e">
        <f t="shared" ref="U16:Z16" ca="1" si="87">U10-U13-U15-U14</f>
        <v>#NAME?</v>
      </c>
      <c r="V16" s="31" t="e">
        <f t="shared" ca="1" si="87"/>
        <v>#NAME?</v>
      </c>
      <c r="W16" s="31" t="e">
        <f t="shared" ca="1" si="87"/>
        <v>#NAME?</v>
      </c>
      <c r="X16" s="31" t="e">
        <f t="shared" ca="1" si="87"/>
        <v>#NAME?</v>
      </c>
      <c r="Y16" s="31" t="e">
        <f t="shared" ca="1" si="87"/>
        <v>#NAME?</v>
      </c>
      <c r="Z16" s="31" t="e">
        <f t="shared" ca="1" si="87"/>
        <v>#NAME?</v>
      </c>
      <c r="AA16" s="31" t="e">
        <f t="shared" ref="AA16" ca="1" si="88">AA10-AA13-AA15-AA14</f>
        <v>#NAME?</v>
      </c>
      <c r="AB16" s="32" t="e">
        <f t="shared" ref="AA16:AD16" ca="1" si="89">AB10-AB13-AB15-AB14</f>
        <v>#NAME?</v>
      </c>
      <c r="AC16" s="32" t="e">
        <f t="shared" ca="1" si="89"/>
        <v>#NAME?</v>
      </c>
      <c r="AD16" s="32" t="e">
        <f t="shared" ca="1" si="89"/>
        <v>#NAME?</v>
      </c>
      <c r="AE16" s="32" t="e">
        <f t="shared" ref="AE16" ca="1" si="90">AE10-AE13-AE15-AE14</f>
        <v>#NAME?</v>
      </c>
      <c r="AI16" s="31" t="e">
        <f t="shared" ref="AI16" ca="1" si="91">AI10-AI13-AI15-AI14</f>
        <v>#NAME?</v>
      </c>
      <c r="AJ16" s="31" t="e">
        <f t="shared" ref="AJ16" ca="1" si="92">AJ10-AJ13-AJ15-AJ14</f>
        <v>#NAME?</v>
      </c>
      <c r="AK16" s="31" t="e">
        <f t="shared" ref="AK16:AM16" ca="1" si="93">AK10-AK13-AK15-AK14</f>
        <v>#NAME?</v>
      </c>
      <c r="AL16" s="31" t="e">
        <f t="shared" ca="1" si="93"/>
        <v>#NAME?</v>
      </c>
      <c r="AM16" s="31" t="e">
        <f t="shared" ca="1" si="93"/>
        <v>#NAME?</v>
      </c>
      <c r="AN16" s="31" t="e">
        <f t="shared" ref="AN16:AO16" ca="1" si="94">AN10-AN13-AN15-AN14</f>
        <v>#NAME?</v>
      </c>
      <c r="AO16" s="31" t="e">
        <f t="shared" ca="1" si="94"/>
        <v>#NAME?</v>
      </c>
      <c r="AP16" s="31" t="e">
        <f t="shared" ref="AP16:CD16" ca="1" si="95">AP10-AP13-AP15-AP14</f>
        <v>#NAME?</v>
      </c>
      <c r="AQ16" s="31" t="e">
        <f t="shared" ca="1" si="95"/>
        <v>#NAME?</v>
      </c>
      <c r="AR16" s="31" t="e">
        <f t="shared" ca="1" si="95"/>
        <v>#NAME?</v>
      </c>
      <c r="AS16" s="31" t="e">
        <f t="shared" ca="1" si="95"/>
        <v>#NAME?</v>
      </c>
      <c r="AT16" s="31" t="e">
        <f t="shared" ca="1" si="95"/>
        <v>#NAME?</v>
      </c>
      <c r="AU16" s="31" t="e">
        <f t="shared" ca="1" si="95"/>
        <v>#NAME?</v>
      </c>
      <c r="AV16" s="31" t="e">
        <f t="shared" ca="1" si="95"/>
        <v>#NAME?</v>
      </c>
      <c r="AW16" s="31" t="e">
        <f t="shared" ca="1" si="95"/>
        <v>#NAME?</v>
      </c>
      <c r="AX16" s="31" t="e">
        <f t="shared" ca="1" si="95"/>
        <v>#NAME?</v>
      </c>
      <c r="AY16" s="31" t="e">
        <f t="shared" ca="1" si="95"/>
        <v>#NAME?</v>
      </c>
      <c r="AZ16" s="31" t="e">
        <f t="shared" ca="1" si="95"/>
        <v>#NAME?</v>
      </c>
      <c r="BA16" s="31" t="e">
        <f t="shared" ca="1" si="95"/>
        <v>#NAME?</v>
      </c>
      <c r="BB16" s="31" t="e">
        <f t="shared" ca="1" si="95"/>
        <v>#NAME?</v>
      </c>
      <c r="BC16" s="31" t="e">
        <f t="shared" ca="1" si="95"/>
        <v>#NAME?</v>
      </c>
      <c r="BD16" s="31" t="e">
        <f t="shared" ca="1" si="95"/>
        <v>#NAME?</v>
      </c>
      <c r="BE16" s="31" t="e">
        <f t="shared" ca="1" si="95"/>
        <v>#NAME?</v>
      </c>
      <c r="BF16" s="31" t="e">
        <f t="shared" ca="1" si="95"/>
        <v>#NAME?</v>
      </c>
      <c r="BG16" s="31" t="e">
        <f t="shared" ca="1" si="95"/>
        <v>#NAME?</v>
      </c>
      <c r="BH16" s="31" t="e">
        <f t="shared" ca="1" si="95"/>
        <v>#NAME?</v>
      </c>
      <c r="BI16" s="31" t="e">
        <f t="shared" ca="1" si="95"/>
        <v>#NAME?</v>
      </c>
      <c r="BJ16" s="31" t="e">
        <f t="shared" ca="1" si="95"/>
        <v>#NAME?</v>
      </c>
      <c r="BK16" s="31" t="e">
        <f t="shared" ca="1" si="95"/>
        <v>#NAME?</v>
      </c>
      <c r="BL16" s="31" t="e">
        <f t="shared" ca="1" si="95"/>
        <v>#NAME?</v>
      </c>
      <c r="BM16" s="31" t="e">
        <f t="shared" ca="1" si="95"/>
        <v>#NAME?</v>
      </c>
      <c r="BN16" s="31" t="e">
        <f t="shared" ca="1" si="95"/>
        <v>#NAME?</v>
      </c>
      <c r="BO16" s="31" t="e">
        <f t="shared" ca="1" si="95"/>
        <v>#NAME?</v>
      </c>
      <c r="BP16" s="31" t="e">
        <f t="shared" ca="1" si="95"/>
        <v>#NAME?</v>
      </c>
      <c r="BQ16" s="31" t="e">
        <f t="shared" ca="1" si="95"/>
        <v>#NAME?</v>
      </c>
      <c r="BR16" s="31" t="e">
        <f t="shared" ca="1" si="95"/>
        <v>#NAME?</v>
      </c>
      <c r="BS16" s="31" t="e">
        <f t="shared" ca="1" si="95"/>
        <v>#NAME?</v>
      </c>
      <c r="BT16" s="31" t="e">
        <f t="shared" ca="1" si="95"/>
        <v>#NAME?</v>
      </c>
      <c r="BU16" s="31" t="e">
        <f t="shared" ca="1" si="95"/>
        <v>#NAME?</v>
      </c>
      <c r="BV16" s="31" t="e">
        <f t="shared" ca="1" si="95"/>
        <v>#NAME?</v>
      </c>
      <c r="BW16" s="31" t="e">
        <f t="shared" ca="1" si="95"/>
        <v>#NAME?</v>
      </c>
      <c r="BX16" s="31" t="e">
        <f t="shared" ca="1" si="95"/>
        <v>#NAME?</v>
      </c>
      <c r="BY16" s="31" t="e">
        <f t="shared" ca="1" si="95"/>
        <v>#NAME?</v>
      </c>
      <c r="BZ16" s="31" t="e">
        <f t="shared" ca="1" si="95"/>
        <v>#NAME?</v>
      </c>
      <c r="CA16" s="31" t="e">
        <f t="shared" ca="1" si="95"/>
        <v>#NAME?</v>
      </c>
      <c r="CB16" s="31" t="e">
        <f t="shared" ca="1" si="95"/>
        <v>#NAME?</v>
      </c>
      <c r="CC16" s="31" t="e">
        <f t="shared" ca="1" si="95"/>
        <v>#NAME?</v>
      </c>
      <c r="CD16" s="31" t="e">
        <f t="shared" ca="1" si="95"/>
        <v>#NAME?</v>
      </c>
      <c r="CE16" s="31" t="e">
        <f t="shared" ref="CE16:CF16" ca="1" si="96">CE10-CE13-CE15-CE14</f>
        <v>#NAME?</v>
      </c>
      <c r="CF16" s="31" t="e">
        <f t="shared" ca="1" si="96"/>
        <v>#NAME?</v>
      </c>
      <c r="CG16" s="31" t="e">
        <f t="shared" ref="CG16:CH16" ca="1" si="97">CG10-CG13-CG15-CG14</f>
        <v>#NAME?</v>
      </c>
      <c r="CH16" s="31" t="e">
        <f t="shared" ca="1" si="97"/>
        <v>#NAME?</v>
      </c>
      <c r="CI16" s="31" t="e">
        <f t="shared" ref="CI16:CJ16" ca="1" si="98">CI10-CI13-CI15-CI14</f>
        <v>#NAME?</v>
      </c>
      <c r="CJ16" s="31" t="e">
        <f t="shared" ca="1" si="98"/>
        <v>#NAME?</v>
      </c>
      <c r="CK16" s="31" t="e">
        <f t="shared" ref="CK16:CL16" ca="1" si="99">CK10-CK13-CK15-CK14</f>
        <v>#NAME?</v>
      </c>
      <c r="CL16" s="31" t="e">
        <f t="shared" ca="1" si="99"/>
        <v>#NAME?</v>
      </c>
      <c r="CM16" s="32" t="e">
        <f t="shared" ref="CM16:DB16" ca="1" si="100">+CM17*CM10</f>
        <v>#NAME?</v>
      </c>
      <c r="CN16" s="32" t="e">
        <f t="shared" ca="1" si="100"/>
        <v>#NAME?</v>
      </c>
      <c r="CO16" s="32" t="e">
        <f t="shared" ca="1" si="100"/>
        <v>#NAME?</v>
      </c>
      <c r="CP16" s="32" t="e">
        <f t="shared" ca="1" si="100"/>
        <v>#NAME?</v>
      </c>
      <c r="CQ16" s="32" t="e">
        <f t="shared" ca="1" si="100"/>
        <v>#NAME?</v>
      </c>
      <c r="CR16" s="32" t="e">
        <f t="shared" ca="1" si="100"/>
        <v>#NAME?</v>
      </c>
      <c r="CS16" s="32" t="e">
        <f t="shared" ca="1" si="100"/>
        <v>#NAME?</v>
      </c>
      <c r="CT16" s="32" t="e">
        <f t="shared" ca="1" si="100"/>
        <v>#NAME?</v>
      </c>
      <c r="CU16" s="32" t="e">
        <f t="shared" ca="1" si="100"/>
        <v>#NAME?</v>
      </c>
      <c r="CV16" s="32" t="e">
        <f t="shared" ca="1" si="100"/>
        <v>#NAME?</v>
      </c>
      <c r="CW16" s="32" t="e">
        <f t="shared" ca="1" si="100"/>
        <v>#NAME?</v>
      </c>
      <c r="CX16" s="32" t="e">
        <f t="shared" ca="1" si="100"/>
        <v>#NAME?</v>
      </c>
      <c r="CY16" s="32" t="e">
        <f t="shared" ca="1" si="100"/>
        <v>#NAME?</v>
      </c>
      <c r="CZ16" s="32" t="e">
        <f t="shared" ca="1" si="100"/>
        <v>#NAME?</v>
      </c>
      <c r="DA16" s="32" t="e">
        <f t="shared" ca="1" si="100"/>
        <v>#NAME?</v>
      </c>
      <c r="DB16" s="32" t="e">
        <f t="shared" ca="1" si="100"/>
        <v>#NAME?</v>
      </c>
      <c r="DE16" s="124"/>
      <c r="DF16" s="31">
        <v>46359.789999999994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1">C16/C10</f>
        <v>#NAME?</v>
      </c>
      <c r="D17" s="41" t="e">
        <f t="shared" ca="1" si="101"/>
        <v>#NAME?</v>
      </c>
      <c r="E17" s="41" t="e">
        <f t="shared" ca="1" si="101"/>
        <v>#NAME?</v>
      </c>
      <c r="F17" s="41" t="e">
        <f t="shared" ca="1" si="101"/>
        <v>#NAME?</v>
      </c>
      <c r="G17" s="41" t="e">
        <f t="shared" ca="1" si="101"/>
        <v>#NAME?</v>
      </c>
      <c r="H17" s="41" t="e">
        <f t="shared" ca="1" si="101"/>
        <v>#NAME?</v>
      </c>
      <c r="I17" s="41" t="e">
        <f t="shared" ca="1" si="101"/>
        <v>#NAME?</v>
      </c>
      <c r="J17" s="41" t="e">
        <f t="shared" ca="1" si="101"/>
        <v>#NAME?</v>
      </c>
      <c r="K17" s="41" t="e">
        <f t="shared" ca="1" si="101"/>
        <v>#NAME?</v>
      </c>
      <c r="L17" s="41" t="e">
        <f t="shared" ca="1" si="101"/>
        <v>#NAME?</v>
      </c>
      <c r="M17" s="41" t="e">
        <f t="shared" ca="1" si="101"/>
        <v>#NAME?</v>
      </c>
      <c r="N17" s="41" t="e">
        <f t="shared" ca="1" si="101"/>
        <v>#NAME?</v>
      </c>
      <c r="O17" s="41" t="e">
        <f t="shared" ca="1" si="101"/>
        <v>#NAME?</v>
      </c>
      <c r="P17" s="41" t="e">
        <f t="shared" ca="1" si="101"/>
        <v>#NAME?</v>
      </c>
      <c r="Q17" s="41" t="e">
        <f t="shared" ca="1" si="101"/>
        <v>#NAME?</v>
      </c>
      <c r="R17" s="41" t="e">
        <f t="shared" ca="1" si="101"/>
        <v>#NAME?</v>
      </c>
      <c r="S17" s="41" t="e">
        <f t="shared" ca="1" si="101"/>
        <v>#NAME?</v>
      </c>
      <c r="T17" s="41" t="e">
        <f t="shared" ca="1" si="101"/>
        <v>#NAME?</v>
      </c>
      <c r="U17" s="41" t="e">
        <f t="shared" ca="1" si="101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2">AB16/AB10</f>
        <v>#NAME?</v>
      </c>
      <c r="AC17" s="42" t="e">
        <f t="shared" ca="1" si="102"/>
        <v>#NAME?</v>
      </c>
      <c r="AD17" s="42" t="e">
        <f t="shared" ca="1" si="102"/>
        <v>#NAME?</v>
      </c>
      <c r="AE17" s="42" t="e">
        <f t="shared" ref="AE17" ca="1" si="103">AE16/AE10</f>
        <v>#NAME?</v>
      </c>
      <c r="AI17" s="41" t="e">
        <f t="shared" ref="AI17" ca="1" si="104">AI16/AI10</f>
        <v>#NAME?</v>
      </c>
      <c r="AJ17" s="41" t="e">
        <f t="shared" ref="AJ17" ca="1" si="105">AJ16/AJ10</f>
        <v>#NAME?</v>
      </c>
      <c r="AK17" s="41" t="e">
        <f t="shared" ref="AK17:AM17" ca="1" si="106">AK16/AK10</f>
        <v>#NAME?</v>
      </c>
      <c r="AL17" s="41" t="e">
        <f t="shared" ca="1" si="106"/>
        <v>#NAME?</v>
      </c>
      <c r="AM17" s="41" t="e">
        <f t="shared" ca="1" si="106"/>
        <v>#NAME?</v>
      </c>
      <c r="AN17" s="41" t="e">
        <f t="shared" ref="AN17:AO17" ca="1" si="107">AN16/AN10</f>
        <v>#NAME?</v>
      </c>
      <c r="AO17" s="41" t="e">
        <f t="shared" ca="1" si="107"/>
        <v>#NAME?</v>
      </c>
      <c r="AP17" s="41" t="e">
        <f t="shared" ref="AP17:CD17" ca="1" si="108">AP16/AP10</f>
        <v>#NAME?</v>
      </c>
      <c r="AQ17" s="41" t="e">
        <f t="shared" ca="1" si="108"/>
        <v>#NAME?</v>
      </c>
      <c r="AR17" s="41" t="e">
        <f t="shared" ca="1" si="108"/>
        <v>#NAME?</v>
      </c>
      <c r="AS17" s="41" t="e">
        <f t="shared" ca="1" si="108"/>
        <v>#NAME?</v>
      </c>
      <c r="AT17" s="41" t="e">
        <f t="shared" ca="1" si="108"/>
        <v>#NAME?</v>
      </c>
      <c r="AU17" s="41" t="e">
        <f t="shared" ca="1" si="108"/>
        <v>#NAME?</v>
      </c>
      <c r="AV17" s="41" t="e">
        <f t="shared" ca="1" si="108"/>
        <v>#NAME?</v>
      </c>
      <c r="AW17" s="41" t="e">
        <f t="shared" ca="1" si="108"/>
        <v>#NAME?</v>
      </c>
      <c r="AX17" s="41" t="e">
        <f t="shared" ca="1" si="108"/>
        <v>#NAME?</v>
      </c>
      <c r="AY17" s="41" t="e">
        <f t="shared" ca="1" si="108"/>
        <v>#NAME?</v>
      </c>
      <c r="AZ17" s="41" t="e">
        <f t="shared" ca="1" si="108"/>
        <v>#NAME?</v>
      </c>
      <c r="BA17" s="41" t="e">
        <f t="shared" ca="1" si="108"/>
        <v>#NAME?</v>
      </c>
      <c r="BB17" s="41" t="e">
        <f t="shared" ca="1" si="108"/>
        <v>#NAME?</v>
      </c>
      <c r="BC17" s="41" t="e">
        <f t="shared" ca="1" si="108"/>
        <v>#NAME?</v>
      </c>
      <c r="BD17" s="41" t="e">
        <f t="shared" ca="1" si="108"/>
        <v>#NAME?</v>
      </c>
      <c r="BE17" s="41" t="e">
        <f t="shared" ca="1" si="108"/>
        <v>#NAME?</v>
      </c>
      <c r="BF17" s="41" t="e">
        <f t="shared" ca="1" si="108"/>
        <v>#NAME?</v>
      </c>
      <c r="BG17" s="41" t="e">
        <f t="shared" ca="1" si="108"/>
        <v>#NAME?</v>
      </c>
      <c r="BH17" s="41" t="e">
        <f t="shared" ca="1" si="108"/>
        <v>#NAME?</v>
      </c>
      <c r="BI17" s="41" t="e">
        <f t="shared" ca="1" si="108"/>
        <v>#NAME?</v>
      </c>
      <c r="BJ17" s="41" t="e">
        <f t="shared" ca="1" si="108"/>
        <v>#NAME?</v>
      </c>
      <c r="BK17" s="41" t="e">
        <f t="shared" ca="1" si="108"/>
        <v>#NAME?</v>
      </c>
      <c r="BL17" s="41" t="e">
        <f t="shared" ca="1" si="108"/>
        <v>#NAME?</v>
      </c>
      <c r="BM17" s="41" t="e">
        <f t="shared" ca="1" si="108"/>
        <v>#NAME?</v>
      </c>
      <c r="BN17" s="41" t="e">
        <f t="shared" ca="1" si="108"/>
        <v>#NAME?</v>
      </c>
      <c r="BO17" s="41" t="e">
        <f t="shared" ca="1" si="108"/>
        <v>#NAME?</v>
      </c>
      <c r="BP17" s="41" t="e">
        <f t="shared" ca="1" si="108"/>
        <v>#NAME?</v>
      </c>
      <c r="BQ17" s="41" t="e">
        <f t="shared" ca="1" si="108"/>
        <v>#NAME?</v>
      </c>
      <c r="BR17" s="41" t="e">
        <f t="shared" ca="1" si="108"/>
        <v>#NAME?</v>
      </c>
      <c r="BS17" s="41" t="e">
        <f t="shared" ca="1" si="108"/>
        <v>#NAME?</v>
      </c>
      <c r="BT17" s="41" t="e">
        <f t="shared" ca="1" si="108"/>
        <v>#NAME?</v>
      </c>
      <c r="BU17" s="41" t="e">
        <f t="shared" ca="1" si="108"/>
        <v>#NAME?</v>
      </c>
      <c r="BV17" s="41" t="e">
        <f t="shared" ca="1" si="108"/>
        <v>#NAME?</v>
      </c>
      <c r="BW17" s="41" t="e">
        <f t="shared" ca="1" si="108"/>
        <v>#NAME?</v>
      </c>
      <c r="BX17" s="41" t="e">
        <f t="shared" ca="1" si="108"/>
        <v>#NAME?</v>
      </c>
      <c r="BY17" s="41" t="e">
        <f t="shared" ca="1" si="108"/>
        <v>#NAME?</v>
      </c>
      <c r="BZ17" s="41" t="e">
        <f t="shared" ca="1" si="108"/>
        <v>#NAME?</v>
      </c>
      <c r="CA17" s="41" t="e">
        <f t="shared" ca="1" si="108"/>
        <v>#NAME?</v>
      </c>
      <c r="CB17" s="41" t="e">
        <f t="shared" ca="1" si="108"/>
        <v>#NAME?</v>
      </c>
      <c r="CC17" s="41" t="e">
        <f t="shared" ca="1" si="108"/>
        <v>#NAME?</v>
      </c>
      <c r="CD17" s="41" t="e">
        <f t="shared" ca="1" si="108"/>
        <v>#NAME?</v>
      </c>
      <c r="CE17" s="41" t="e">
        <f t="shared" ref="CE17:CF17" ca="1" si="109">CE16/CE10</f>
        <v>#NAME?</v>
      </c>
      <c r="CF17" s="41" t="e">
        <f t="shared" ca="1" si="109"/>
        <v>#NAME?</v>
      </c>
      <c r="CG17" s="41" t="e">
        <f t="shared" ref="CG17:CH17" ca="1" si="110">CG16/CG10</f>
        <v>#NAME?</v>
      </c>
      <c r="CH17" s="41" t="e">
        <f t="shared" ca="1" si="110"/>
        <v>#NAME?</v>
      </c>
      <c r="CI17" s="41" t="e">
        <f t="shared" ref="CI17:CJ17" ca="1" si="111">CI16/CI10</f>
        <v>#NAME?</v>
      </c>
      <c r="CJ17" s="41" t="e">
        <f t="shared" ca="1" si="111"/>
        <v>#NAME?</v>
      </c>
      <c r="CK17" s="41" t="e">
        <f t="shared" ref="CK17:CL17" ca="1" si="112">CK16/CK10</f>
        <v>#NAME?</v>
      </c>
      <c r="CL17" s="41" t="e">
        <f t="shared" ca="1" si="112"/>
        <v>#NAME?</v>
      </c>
      <c r="CM17" s="42" t="e">
        <f ca="1">AVERAGE(CI17:CL17)*1.02</f>
        <v>#NAME?</v>
      </c>
      <c r="CN17" s="42" t="e">
        <f t="shared" ref="CN17:CP17" ca="1" si="113">AVERAGE(CJ17:CM17)*1.02</f>
        <v>#NAME?</v>
      </c>
      <c r="CO17" s="42" t="e">
        <f t="shared" ca="1" si="113"/>
        <v>#NAME?</v>
      </c>
      <c r="CP17" s="42" t="e">
        <f t="shared" ca="1" si="113"/>
        <v>#NAME?</v>
      </c>
      <c r="CQ17" s="42" t="e">
        <f t="shared" ref="CQ17:DB17" ca="1" si="114">AVERAGE(CM17:CP17)</f>
        <v>#NAME?</v>
      </c>
      <c r="CR17" s="42" t="e">
        <f t="shared" ca="1" si="114"/>
        <v>#NAME?</v>
      </c>
      <c r="CS17" s="42" t="e">
        <f t="shared" ca="1" si="114"/>
        <v>#NAME?</v>
      </c>
      <c r="CT17" s="42" t="e">
        <f t="shared" ca="1" si="114"/>
        <v>#NAME?</v>
      </c>
      <c r="CU17" s="42" t="e">
        <f t="shared" ca="1" si="114"/>
        <v>#NAME?</v>
      </c>
      <c r="CV17" s="42" t="e">
        <f t="shared" ca="1" si="114"/>
        <v>#NAME?</v>
      </c>
      <c r="CW17" s="42" t="e">
        <f t="shared" ca="1" si="114"/>
        <v>#NAME?</v>
      </c>
      <c r="CX17" s="42" t="e">
        <f t="shared" ca="1" si="114"/>
        <v>#NAME?</v>
      </c>
      <c r="CY17" s="42" t="e">
        <f t="shared" ca="1" si="114"/>
        <v>#NAME?</v>
      </c>
      <c r="CZ17" s="42" t="e">
        <f t="shared" ca="1" si="114"/>
        <v>#NAME?</v>
      </c>
      <c r="DA17" s="42" t="e">
        <f t="shared" ca="1" si="114"/>
        <v>#NAME?</v>
      </c>
      <c r="DB17" s="42" t="e">
        <f t="shared" ca="1" si="114"/>
        <v>#NAME?</v>
      </c>
      <c r="DE17" s="125"/>
      <c r="DF17" s="41">
        <v>0.46143556679046316</v>
      </c>
    </row>
    <row r="18" spans="1:110" s="39" customFormat="1" x14ac:dyDescent="0.2">
      <c r="A18" s="39" t="s">
        <v>447</v>
      </c>
      <c r="C18" s="39" t="e">
        <f t="shared" ref="C18:AE18" ca="1" si="115">+IF(B16&lt;0,1-C16/B16,C16/B16-1)</f>
        <v>#NAME?</v>
      </c>
      <c r="D18" s="39" t="e">
        <f t="shared" ca="1" si="115"/>
        <v>#NAME?</v>
      </c>
      <c r="E18" s="39" t="e">
        <f t="shared" ca="1" si="115"/>
        <v>#NAME?</v>
      </c>
      <c r="F18" s="39" t="e">
        <f t="shared" ca="1" si="115"/>
        <v>#NAME?</v>
      </c>
      <c r="G18" s="39" t="e">
        <f t="shared" ca="1" si="115"/>
        <v>#NAME?</v>
      </c>
      <c r="H18" s="39" t="e">
        <f t="shared" ca="1" si="115"/>
        <v>#NAME?</v>
      </c>
      <c r="I18" s="39" t="e">
        <f t="shared" ca="1" si="115"/>
        <v>#NAME?</v>
      </c>
      <c r="J18" s="39" t="e">
        <f t="shared" ca="1" si="115"/>
        <v>#NAME?</v>
      </c>
      <c r="K18" s="39" t="e">
        <f t="shared" ca="1" si="115"/>
        <v>#NAME?</v>
      </c>
      <c r="L18" s="39" t="e">
        <f t="shared" ca="1" si="115"/>
        <v>#NAME?</v>
      </c>
      <c r="M18" s="39" t="e">
        <f t="shared" ca="1" si="115"/>
        <v>#NAME?</v>
      </c>
      <c r="N18" s="39" t="e">
        <f t="shared" ca="1" si="115"/>
        <v>#NAME?</v>
      </c>
      <c r="O18" s="39" t="e">
        <f t="shared" ca="1" si="115"/>
        <v>#NAME?</v>
      </c>
      <c r="P18" s="39" t="e">
        <f t="shared" ca="1" si="115"/>
        <v>#NAME?</v>
      </c>
      <c r="Q18" s="39" t="e">
        <f t="shared" ca="1" si="115"/>
        <v>#NAME?</v>
      </c>
      <c r="R18" s="39" t="e">
        <f t="shared" ca="1" si="115"/>
        <v>#NAME?</v>
      </c>
      <c r="S18" s="39" t="e">
        <f t="shared" ca="1" si="115"/>
        <v>#NAME?</v>
      </c>
      <c r="T18" s="39" t="e">
        <f t="shared" ca="1" si="115"/>
        <v>#NAME?</v>
      </c>
      <c r="U18" s="39" t="e">
        <f t="shared" ca="1" si="115"/>
        <v>#NAME?</v>
      </c>
      <c r="V18" s="39" t="e">
        <f t="shared" ca="1" si="115"/>
        <v>#NAME?</v>
      </c>
      <c r="W18" s="39" t="e">
        <f t="shared" ca="1" si="115"/>
        <v>#NAME?</v>
      </c>
      <c r="X18" s="39" t="e">
        <f t="shared" ca="1" si="115"/>
        <v>#NAME?</v>
      </c>
      <c r="Y18" s="39" t="e">
        <f t="shared" ca="1" si="115"/>
        <v>#NAME?</v>
      </c>
      <c r="Z18" s="39" t="e">
        <f t="shared" ca="1" si="115"/>
        <v>#NAME?</v>
      </c>
      <c r="AA18" s="39" t="e">
        <f t="shared" ca="1" si="115"/>
        <v>#NAME?</v>
      </c>
      <c r="AB18" s="40" t="e">
        <f t="shared" ca="1" si="115"/>
        <v>#NAME?</v>
      </c>
      <c r="AC18" s="40" t="e">
        <f t="shared" ca="1" si="115"/>
        <v>#NAME?</v>
      </c>
      <c r="AD18" s="40" t="e">
        <f t="shared" ca="1" si="115"/>
        <v>#NAME?</v>
      </c>
      <c r="AE18" s="40" t="e">
        <f t="shared" ca="1" si="115"/>
        <v>#NAME?</v>
      </c>
      <c r="AM18" s="39" t="e">
        <f ca="1">+IF(AI16&lt;0,1-AM16/AI16,AM16/AI16-1)</f>
        <v>#NAME?</v>
      </c>
      <c r="AN18" s="39" t="e">
        <f t="shared" ref="AN18" ca="1" si="116">+IF(AJ16&lt;0,1-AN16/AJ16,AN16/AJ16-1)</f>
        <v>#NAME?</v>
      </c>
      <c r="AO18" s="39" t="e">
        <f t="shared" ref="AO18" ca="1" si="117">+IF(AK16&lt;0,1-AO16/AK16,AO16/AK16-1)</f>
        <v>#NAME?</v>
      </c>
      <c r="AP18" s="39" t="e">
        <f t="shared" ref="AP18" ca="1" si="118">+IF(AL16&lt;0,1-AP16/AL16,AP16/AL16-1)</f>
        <v>#NAME?</v>
      </c>
      <c r="AQ18" s="39" t="e">
        <f t="shared" ref="AQ18" ca="1" si="119">+IF(AM16&lt;0,1-AQ16/AM16,AQ16/AM16-1)</f>
        <v>#NAME?</v>
      </c>
      <c r="AR18" s="39" t="e">
        <f t="shared" ref="AR18" ca="1" si="120">+IF(AN16&lt;0,1-AR16/AN16,AR16/AN16-1)</f>
        <v>#NAME?</v>
      </c>
      <c r="AS18" s="39" t="e">
        <f t="shared" ref="AS18" ca="1" si="121">+IF(AO16&lt;0,1-AS16/AO16,AS16/AO16-1)</f>
        <v>#NAME?</v>
      </c>
      <c r="AT18" s="39" t="e">
        <f t="shared" ref="AT18" ca="1" si="122">+IF(AP16&lt;0,1-AT16/AP16,AT16/AP16-1)</f>
        <v>#NAME?</v>
      </c>
      <c r="AU18" s="39" t="e">
        <f t="shared" ref="AU18" ca="1" si="123">+IF(AQ16&lt;0,1-AU16/AQ16,AU16/AQ16-1)</f>
        <v>#NAME?</v>
      </c>
      <c r="AV18" s="39" t="e">
        <f t="shared" ref="AV18" ca="1" si="124">+IF(AR16&lt;0,1-AV16/AR16,AV16/AR16-1)</f>
        <v>#NAME?</v>
      </c>
      <c r="AW18" s="39" t="e">
        <f t="shared" ref="AW18" ca="1" si="125">+IF(AS16&lt;0,1-AW16/AS16,AW16/AS16-1)</f>
        <v>#NAME?</v>
      </c>
      <c r="AX18" s="39" t="e">
        <f t="shared" ref="AX18" ca="1" si="126">+IF(AT16&lt;0,1-AX16/AT16,AX16/AT16-1)</f>
        <v>#NAME?</v>
      </c>
      <c r="AY18" s="39" t="e">
        <f t="shared" ref="AY18" ca="1" si="127">+IF(AU16&lt;0,1-AY16/AU16,AY16/AU16-1)</f>
        <v>#NAME?</v>
      </c>
      <c r="AZ18" s="39" t="e">
        <f t="shared" ref="AZ18" ca="1" si="128">+IF(AV16&lt;0,1-AZ16/AV16,AZ16/AV16-1)</f>
        <v>#NAME?</v>
      </c>
      <c r="BA18" s="39" t="e">
        <f t="shared" ref="BA18" ca="1" si="129">+IF(AW16&lt;0,1-BA16/AW16,BA16/AW16-1)</f>
        <v>#NAME?</v>
      </c>
      <c r="BB18" s="39" t="e">
        <f t="shared" ref="BB18" ca="1" si="130">+IF(AX16&lt;0,1-BB16/AX16,BB16/AX16-1)</f>
        <v>#NAME?</v>
      </c>
      <c r="BC18" s="39" t="e">
        <f t="shared" ref="BC18" ca="1" si="131">+IF(AY16&lt;0,1-BC16/AY16,BC16/AY16-1)</f>
        <v>#NAME?</v>
      </c>
      <c r="BD18" s="39" t="e">
        <f t="shared" ref="BD18" ca="1" si="132">+IF(AZ16&lt;0,1-BD16/AZ16,BD16/AZ16-1)</f>
        <v>#NAME?</v>
      </c>
      <c r="BE18" s="39" t="e">
        <f t="shared" ref="BE18" ca="1" si="133">+IF(BA16&lt;0,1-BE16/BA16,BE16/BA16-1)</f>
        <v>#NAME?</v>
      </c>
      <c r="BF18" s="39" t="e">
        <f t="shared" ref="BF18" ca="1" si="134">+IF(BB16&lt;0,1-BF16/BB16,BF16/BB16-1)</f>
        <v>#NAME?</v>
      </c>
      <c r="BG18" s="39" t="e">
        <f t="shared" ref="BG18" ca="1" si="135">+IF(BC16&lt;0,1-BG16/BC16,BG16/BC16-1)</f>
        <v>#NAME?</v>
      </c>
      <c r="BH18" s="39" t="e">
        <f t="shared" ref="BH18" ca="1" si="136">+IF(BD16&lt;0,1-BH16/BD16,BH16/BD16-1)</f>
        <v>#NAME?</v>
      </c>
      <c r="BI18" s="39" t="e">
        <f t="shared" ref="BI18" ca="1" si="137">+IF(BE16&lt;0,1-BI16/BE16,BI16/BE16-1)</f>
        <v>#NAME?</v>
      </c>
      <c r="BJ18" s="39" t="e">
        <f t="shared" ref="BJ18" ca="1" si="138">+IF(BF16&lt;0,1-BJ16/BF16,BJ16/BF16-1)</f>
        <v>#NAME?</v>
      </c>
      <c r="BK18" s="39" t="e">
        <f t="shared" ref="BK18" ca="1" si="139">+IF(BG16&lt;0,1-BK16/BG16,BK16/BG16-1)</f>
        <v>#NAME?</v>
      </c>
      <c r="BL18" s="39" t="e">
        <f t="shared" ref="BL18" ca="1" si="140">+IF(BH16&lt;0,1-BL16/BH16,BL16/BH16-1)</f>
        <v>#NAME?</v>
      </c>
      <c r="BM18" s="39" t="e">
        <f t="shared" ref="BM18" ca="1" si="141">+IF(BI16&lt;0,1-BM16/BI16,BM16/BI16-1)</f>
        <v>#NAME?</v>
      </c>
      <c r="BN18" s="39" t="e">
        <f t="shared" ref="BN18" ca="1" si="142">+IF(BJ16&lt;0,1-BN16/BJ16,BN16/BJ16-1)</f>
        <v>#NAME?</v>
      </c>
      <c r="BO18" s="39" t="e">
        <f t="shared" ref="BO18" ca="1" si="143">+IF(BK16&lt;0,1-BO16/BK16,BO16/BK16-1)</f>
        <v>#NAME?</v>
      </c>
      <c r="BP18" s="39" t="e">
        <f t="shared" ref="BP18" ca="1" si="144">+IF(BL16&lt;0,1-BP16/BL16,BP16/BL16-1)</f>
        <v>#NAME?</v>
      </c>
      <c r="BQ18" s="39" t="e">
        <f t="shared" ref="BQ18" ca="1" si="145">+IF(BM16&lt;0,1-BQ16/BM16,BQ16/BM16-1)</f>
        <v>#NAME?</v>
      </c>
      <c r="BR18" s="39" t="e">
        <f t="shared" ref="BR18" ca="1" si="146">+IF(BN16&lt;0,1-BR16/BN16,BR16/BN16-1)</f>
        <v>#NAME?</v>
      </c>
      <c r="BS18" s="39" t="e">
        <f t="shared" ref="BS18" ca="1" si="147">+IF(BO16&lt;0,1-BS16/BO16,BS16/BO16-1)</f>
        <v>#NAME?</v>
      </c>
      <c r="BT18" s="39" t="e">
        <f t="shared" ref="BT18" ca="1" si="148">+IF(BP16&lt;0,1-BT16/BP16,BT16/BP16-1)</f>
        <v>#NAME?</v>
      </c>
      <c r="BU18" s="39" t="e">
        <f t="shared" ref="BU18" ca="1" si="149">+IF(BQ16&lt;0,1-BU16/BQ16,BU16/BQ16-1)</f>
        <v>#NAME?</v>
      </c>
      <c r="BV18" s="39" t="e">
        <f t="shared" ref="BV18" ca="1" si="150">+IF(BR16&lt;0,1-BV16/BR16,BV16/BR16-1)</f>
        <v>#NAME?</v>
      </c>
      <c r="BW18" s="39" t="e">
        <f t="shared" ref="BW18" ca="1" si="151">+IF(BS16&lt;0,1-BW16/BS16,BW16/BS16-1)</f>
        <v>#NAME?</v>
      </c>
      <c r="BX18" s="39" t="e">
        <f t="shared" ref="BX18" ca="1" si="152">+IF(BT16&lt;0,1-BX16/BT16,BX16/BT16-1)</f>
        <v>#NAME?</v>
      </c>
      <c r="BY18" s="39" t="e">
        <f t="shared" ref="BY18" ca="1" si="153">+IF(BU16&lt;0,1-BY16/BU16,BY16/BU16-1)</f>
        <v>#NAME?</v>
      </c>
      <c r="BZ18" s="39" t="e">
        <f t="shared" ref="BZ18" ca="1" si="154">+IF(BV16&lt;0,1-BZ16/BV16,BZ16/BV16-1)</f>
        <v>#NAME?</v>
      </c>
      <c r="CA18" s="39" t="e">
        <f t="shared" ref="CA18" ca="1" si="155">+IF(BW16&lt;0,1-CA16/BW16,CA16/BW16-1)</f>
        <v>#NAME?</v>
      </c>
      <c r="CB18" s="39" t="e">
        <f t="shared" ref="CB18" ca="1" si="156">+IF(BX16&lt;0,1-CB16/BX16,CB16/BX16-1)</f>
        <v>#NAME?</v>
      </c>
      <c r="CC18" s="39" t="e">
        <f t="shared" ref="CC18" ca="1" si="157">+IF(BY16&lt;0,1-CC16/BY16,CC16/BY16-1)</f>
        <v>#NAME?</v>
      </c>
      <c r="CD18" s="39" t="e">
        <f t="shared" ref="CD18" ca="1" si="158">+IF(BZ16&lt;0,1-CD16/BZ16,CD16/BZ16-1)</f>
        <v>#NAME?</v>
      </c>
      <c r="CE18" s="39" t="e">
        <f t="shared" ref="CE18" ca="1" si="159">+IF(CA16&lt;0,1-CE16/CA16,CE16/CA16-1)</f>
        <v>#NAME?</v>
      </c>
      <c r="CF18" s="39" t="e">
        <f t="shared" ref="CF18" ca="1" si="160">+IF(CB16&lt;0,1-CF16/CB16,CF16/CB16-1)</f>
        <v>#NAME?</v>
      </c>
      <c r="CG18" s="39" t="e">
        <f t="shared" ref="CG18" ca="1" si="161">+IF(CC16&lt;0,1-CG16/CC16,CG16/CC16-1)</f>
        <v>#NAME?</v>
      </c>
      <c r="CH18" s="39" t="e">
        <f t="shared" ref="CH18:CL18" ca="1" si="162">+IF(CD16&lt;0,1-CH16/CD16,CH16/CD16-1)</f>
        <v>#NAME?</v>
      </c>
      <c r="CI18" s="39" t="e">
        <f t="shared" ca="1" si="162"/>
        <v>#NAME?</v>
      </c>
      <c r="CJ18" s="39" t="e">
        <f t="shared" ca="1" si="162"/>
        <v>#NAME?</v>
      </c>
      <c r="CK18" s="39" t="e">
        <f t="shared" ca="1" si="162"/>
        <v>#NAME?</v>
      </c>
      <c r="CL18" s="39" t="e">
        <f t="shared" ca="1" si="162"/>
        <v>#NAME?</v>
      </c>
      <c r="CM18" s="40" t="e">
        <f t="shared" ref="CM18" ca="1" si="163">+CM16/CI16-1</f>
        <v>#NAME?</v>
      </c>
      <c r="CN18" s="40" t="e">
        <f t="shared" ref="CN18" ca="1" si="164">+CN16/CJ16-1</f>
        <v>#NAME?</v>
      </c>
      <c r="CO18" s="40" t="e">
        <f t="shared" ref="CO18" ca="1" si="165">+CO16/CK16-1</f>
        <v>#NAME?</v>
      </c>
      <c r="CP18" s="40" t="e">
        <f t="shared" ref="CP18" ca="1" si="166">+CP16/CL16-1</f>
        <v>#NAME?</v>
      </c>
      <c r="CQ18" s="40" t="e">
        <f t="shared" ref="CQ18" ca="1" si="167">+CQ16/CM16-1</f>
        <v>#NAME?</v>
      </c>
      <c r="CR18" s="40" t="e">
        <f t="shared" ref="CR18" ca="1" si="168">+CR16/CN16-1</f>
        <v>#NAME?</v>
      </c>
      <c r="CS18" s="40" t="e">
        <f t="shared" ref="CS18" ca="1" si="169">+CS16/CO16-1</f>
        <v>#NAME?</v>
      </c>
      <c r="CT18" s="40" t="e">
        <f t="shared" ref="CT18" ca="1" si="170">+CT16/CP16-1</f>
        <v>#NAME?</v>
      </c>
      <c r="CU18" s="40" t="e">
        <f t="shared" ref="CU18" ca="1" si="171">+CU16/CQ16-1</f>
        <v>#NAME?</v>
      </c>
      <c r="CV18" s="40" t="e">
        <f t="shared" ref="CV18" ca="1" si="172">+CV16/CR16-1</f>
        <v>#NAME?</v>
      </c>
      <c r="CW18" s="40" t="e">
        <f t="shared" ref="CW18" ca="1" si="173">+CW16/CS16-1</f>
        <v>#NAME?</v>
      </c>
      <c r="CX18" s="40" t="e">
        <f t="shared" ref="CX18" ca="1" si="174">+CX16/CT16-1</f>
        <v>#NAME?</v>
      </c>
      <c r="CY18" s="40" t="e">
        <f t="shared" ref="CY18" ca="1" si="175">+CY16/CU16-1</f>
        <v>#NAME?</v>
      </c>
      <c r="CZ18" s="40" t="e">
        <f t="shared" ref="CZ18" ca="1" si="176">+CZ16/CV16-1</f>
        <v>#NAME?</v>
      </c>
      <c r="DA18" s="40" t="e">
        <f t="shared" ref="DA18" ca="1" si="177">+DA16/CW16-1</f>
        <v>#NAME?</v>
      </c>
      <c r="DB18" s="40" t="e">
        <f t="shared" ref="DB18" ca="1" si="178">+DB16/CX16-1</f>
        <v>#NAME?</v>
      </c>
      <c r="DE18" s="122"/>
      <c r="DF18" s="39">
        <v>-3.561274381263968E-3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79">+IF(AJ16&lt;0,1-AK16/AJ16,AK16/AJ16-1)</f>
        <v>#NAME?</v>
      </c>
      <c r="AL19" s="39" t="e">
        <f t="shared" ref="AL19" ca="1" si="180">+IF(AK16&lt;0,1-AL16/AK16,AL16/AK16-1)</f>
        <v>#NAME?</v>
      </c>
      <c r="AM19" s="39" t="e">
        <f t="shared" ref="AM19" ca="1" si="181">+IF(AL16&lt;0,1-AM16/AL16,AM16/AL16-1)</f>
        <v>#NAME?</v>
      </c>
      <c r="AN19" s="39" t="e">
        <f t="shared" ref="AN19" ca="1" si="182">+IF(AM16&lt;0,1-AN16/AM16,AN16/AM16-1)</f>
        <v>#NAME?</v>
      </c>
      <c r="AO19" s="39" t="e">
        <f t="shared" ref="AO19" ca="1" si="183">+IF(AN16&lt;0,1-AO16/AN16,AO16/AN16-1)</f>
        <v>#NAME?</v>
      </c>
      <c r="AP19" s="39" t="e">
        <f t="shared" ref="AP19" ca="1" si="184">+IF(AO16&lt;0,1-AP16/AO16,AP16/AO16-1)</f>
        <v>#NAME?</v>
      </c>
      <c r="AQ19" s="39" t="e">
        <f t="shared" ref="AQ19" ca="1" si="185">+IF(AP16&lt;0,1-AQ16/AP16,AQ16/AP16-1)</f>
        <v>#NAME?</v>
      </c>
      <c r="AR19" s="39" t="e">
        <f t="shared" ref="AR19" ca="1" si="186">+IF(AQ16&lt;0,1-AR16/AQ16,AR16/AQ16-1)</f>
        <v>#NAME?</v>
      </c>
      <c r="AS19" s="39" t="e">
        <f t="shared" ref="AS19" ca="1" si="187">+IF(AR16&lt;0,1-AS16/AR16,AS16/AR16-1)</f>
        <v>#NAME?</v>
      </c>
      <c r="AT19" s="39" t="e">
        <f t="shared" ref="AT19" ca="1" si="188">+IF(AS16&lt;0,1-AT16/AS16,AT16/AS16-1)</f>
        <v>#NAME?</v>
      </c>
      <c r="AU19" s="39" t="e">
        <f t="shared" ref="AU19" ca="1" si="189">+IF(AT16&lt;0,1-AU16/AT16,AU16/AT16-1)</f>
        <v>#NAME?</v>
      </c>
      <c r="AV19" s="39" t="e">
        <f t="shared" ref="AV19" ca="1" si="190">+IF(AU16&lt;0,1-AV16/AU16,AV16/AU16-1)</f>
        <v>#NAME?</v>
      </c>
      <c r="AW19" s="39" t="e">
        <f t="shared" ref="AW19" ca="1" si="191">+IF(AV16&lt;0,1-AW16/AV16,AW16/AV16-1)</f>
        <v>#NAME?</v>
      </c>
      <c r="AX19" s="39" t="e">
        <f t="shared" ref="AX19" ca="1" si="192">+IF(AW16&lt;0,1-AX16/AW16,AX16/AW16-1)</f>
        <v>#NAME?</v>
      </c>
      <c r="AY19" s="39" t="e">
        <f t="shared" ref="AY19" ca="1" si="193">+IF(AX16&lt;0,1-AY16/AX16,AY16/AX16-1)</f>
        <v>#NAME?</v>
      </c>
      <c r="AZ19" s="39" t="e">
        <f t="shared" ref="AZ19" ca="1" si="194">+IF(AY16&lt;0,1-AZ16/AY16,AZ16/AY16-1)</f>
        <v>#NAME?</v>
      </c>
      <c r="BA19" s="39" t="e">
        <f t="shared" ref="BA19" ca="1" si="195">+IF(AZ16&lt;0,1-BA16/AZ16,BA16/AZ16-1)</f>
        <v>#NAME?</v>
      </c>
      <c r="BB19" s="39" t="e">
        <f t="shared" ref="BB19" ca="1" si="196">+IF(BA16&lt;0,1-BB16/BA16,BB16/BA16-1)</f>
        <v>#NAME?</v>
      </c>
      <c r="BC19" s="39" t="e">
        <f t="shared" ref="BC19" ca="1" si="197">+IF(BB16&lt;0,1-BC16/BB16,BC16/BB16-1)</f>
        <v>#NAME?</v>
      </c>
      <c r="BD19" s="39" t="e">
        <f t="shared" ref="BD19" ca="1" si="198">+IF(BC16&lt;0,1-BD16/BC16,BD16/BC16-1)</f>
        <v>#NAME?</v>
      </c>
      <c r="BE19" s="39" t="e">
        <f t="shared" ref="BE19" ca="1" si="199">+IF(BD16&lt;0,1-BE16/BD16,BE16/BD16-1)</f>
        <v>#NAME?</v>
      </c>
      <c r="BF19" s="39" t="e">
        <f t="shared" ref="BF19" ca="1" si="200">+IF(BE16&lt;0,1-BF16/BE16,BF16/BE16-1)</f>
        <v>#NAME?</v>
      </c>
      <c r="BG19" s="39" t="e">
        <f t="shared" ref="BG19" ca="1" si="201">+IF(BF16&lt;0,1-BG16/BF16,BG16/BF16-1)</f>
        <v>#NAME?</v>
      </c>
      <c r="BH19" s="39" t="e">
        <f t="shared" ref="BH19" ca="1" si="202">+IF(BG16&lt;0,1-BH16/BG16,BH16/BG16-1)</f>
        <v>#NAME?</v>
      </c>
      <c r="BI19" s="39" t="e">
        <f t="shared" ref="BI19" ca="1" si="203">+IF(BH16&lt;0,1-BI16/BH16,BI16/BH16-1)</f>
        <v>#NAME?</v>
      </c>
      <c r="BJ19" s="39" t="e">
        <f t="shared" ref="BJ19" ca="1" si="204">+IF(BI16&lt;0,1-BJ16/BI16,BJ16/BI16-1)</f>
        <v>#NAME?</v>
      </c>
      <c r="BK19" s="39" t="e">
        <f t="shared" ref="BK19" ca="1" si="205">+IF(BJ16&lt;0,1-BK16/BJ16,BK16/BJ16-1)</f>
        <v>#NAME?</v>
      </c>
      <c r="BL19" s="39" t="e">
        <f t="shared" ref="BL19" ca="1" si="206">+IF(BK16&lt;0,1-BL16/BK16,BL16/BK16-1)</f>
        <v>#NAME?</v>
      </c>
      <c r="BM19" s="39" t="e">
        <f t="shared" ref="BM19" ca="1" si="207">+IF(BL16&lt;0,1-BM16/BL16,BM16/BL16-1)</f>
        <v>#NAME?</v>
      </c>
      <c r="BN19" s="39" t="e">
        <f t="shared" ref="BN19" ca="1" si="208">+IF(BM16&lt;0,1-BN16/BM16,BN16/BM16-1)</f>
        <v>#NAME?</v>
      </c>
      <c r="BO19" s="39" t="e">
        <f t="shared" ref="BO19" ca="1" si="209">+IF(BN16&lt;0,1-BO16/BN16,BO16/BN16-1)</f>
        <v>#NAME?</v>
      </c>
      <c r="BP19" s="39" t="e">
        <f t="shared" ref="BP19" ca="1" si="210">+IF(BO16&lt;0,1-BP16/BO16,BP16/BO16-1)</f>
        <v>#NAME?</v>
      </c>
      <c r="BQ19" s="39" t="e">
        <f t="shared" ref="BQ19" ca="1" si="211">+IF(BP16&lt;0,1-BQ16/BP16,BQ16/BP16-1)</f>
        <v>#NAME?</v>
      </c>
      <c r="BR19" s="39" t="e">
        <f t="shared" ref="BR19" ca="1" si="212">+IF(BQ16&lt;0,1-BR16/BQ16,BR16/BQ16-1)</f>
        <v>#NAME?</v>
      </c>
      <c r="BS19" s="39" t="e">
        <f t="shared" ref="BS19" ca="1" si="213">+IF(BR16&lt;0,1-BS16/BR16,BS16/BR16-1)</f>
        <v>#NAME?</v>
      </c>
      <c r="BT19" s="39" t="e">
        <f t="shared" ref="BT19" ca="1" si="214">+IF(BS16&lt;0,1-BT16/BS16,BT16/BS16-1)</f>
        <v>#NAME?</v>
      </c>
      <c r="BU19" s="39" t="e">
        <f t="shared" ref="BU19" ca="1" si="215">+IF(BT16&lt;0,1-BU16/BT16,BU16/BT16-1)</f>
        <v>#NAME?</v>
      </c>
      <c r="BV19" s="39" t="e">
        <f t="shared" ref="BV19" ca="1" si="216">+IF(BU16&lt;0,1-BV16/BU16,BV16/BU16-1)</f>
        <v>#NAME?</v>
      </c>
      <c r="BW19" s="39" t="e">
        <f t="shared" ref="BW19" ca="1" si="217">+IF(BV16&lt;0,1-BW16/BV16,BW16/BV16-1)</f>
        <v>#NAME?</v>
      </c>
      <c r="BX19" s="39" t="e">
        <f t="shared" ref="BX19" ca="1" si="218">+IF(BW16&lt;0,1-BX16/BW16,BX16/BW16-1)</f>
        <v>#NAME?</v>
      </c>
      <c r="BY19" s="39" t="e">
        <f t="shared" ref="BY19" ca="1" si="219">+IF(BX16&lt;0,1-BY16/BX16,BY16/BX16-1)</f>
        <v>#NAME?</v>
      </c>
      <c r="BZ19" s="39" t="e">
        <f t="shared" ref="BZ19" ca="1" si="220">+IF(BY16&lt;0,1-BZ16/BY16,BZ16/BY16-1)</f>
        <v>#NAME?</v>
      </c>
      <c r="CA19" s="39" t="e">
        <f t="shared" ref="CA19" ca="1" si="221">+IF(BZ16&lt;0,1-CA16/BZ16,CA16/BZ16-1)</f>
        <v>#NAME?</v>
      </c>
      <c r="CB19" s="39" t="e">
        <f t="shared" ref="CB19" ca="1" si="222">+IF(CA16&lt;0,1-CB16/CA16,CB16/CA16-1)</f>
        <v>#NAME?</v>
      </c>
      <c r="CC19" s="39" t="e">
        <f t="shared" ref="CC19" ca="1" si="223">+IF(CB16&lt;0,1-CC16/CB16,CC16/CB16-1)</f>
        <v>#NAME?</v>
      </c>
      <c r="CD19" s="39" t="e">
        <f t="shared" ref="CD19" ca="1" si="224">+IF(CC16&lt;0,1-CD16/CC16,CD16/CC16-1)</f>
        <v>#NAME?</v>
      </c>
      <c r="CE19" s="39" t="e">
        <f t="shared" ref="CE19" ca="1" si="225">+IF(CD16&lt;0,1-CE16/CD16,CE16/CD16-1)</f>
        <v>#NAME?</v>
      </c>
      <c r="CF19" s="39" t="e">
        <f t="shared" ref="CF19" ca="1" si="226">+IF(CE16&lt;0,1-CF16/CE16,CF16/CE16-1)</f>
        <v>#NAME?</v>
      </c>
      <c r="CG19" s="39" t="e">
        <f t="shared" ref="CG19" ca="1" si="227">+IF(CF16&lt;0,1-CG16/CF16,CG16/CF16-1)</f>
        <v>#NAME?</v>
      </c>
      <c r="CH19" s="39" t="e">
        <f t="shared" ref="CH19:CL19" ca="1" si="228">+IF(CG16&lt;0,1-CH16/CG16,CH16/CG16-1)</f>
        <v>#NAME?</v>
      </c>
      <c r="CI19" s="39" t="e">
        <f t="shared" ca="1" si="228"/>
        <v>#NAME?</v>
      </c>
      <c r="CJ19" s="39" t="e">
        <f t="shared" ca="1" si="228"/>
        <v>#NAME?</v>
      </c>
      <c r="CK19" s="39" t="e">
        <f t="shared" ca="1" si="228"/>
        <v>#NAME?</v>
      </c>
      <c r="CL19" s="39" t="e">
        <f t="shared" ca="1" si="228"/>
        <v>#NAME?</v>
      </c>
      <c r="CM19" s="40" t="e">
        <f t="shared" ref="CM19" ca="1" si="229">+CM16/CL16-1</f>
        <v>#NAME?</v>
      </c>
      <c r="CN19" s="40" t="e">
        <f t="shared" ref="CN19" ca="1" si="230">+CN16/CM16-1</f>
        <v>#NAME?</v>
      </c>
      <c r="CO19" s="40" t="e">
        <f t="shared" ref="CO19" ca="1" si="231">+CO16/CN16-1</f>
        <v>#NAME?</v>
      </c>
      <c r="CP19" s="40" t="e">
        <f t="shared" ref="CP19" ca="1" si="232">+CP16/CO16-1</f>
        <v>#NAME?</v>
      </c>
      <c r="CQ19" s="40" t="e">
        <f t="shared" ref="CQ19" ca="1" si="233">+CQ16/CP16-1</f>
        <v>#NAME?</v>
      </c>
      <c r="CR19" s="40" t="e">
        <f t="shared" ref="CR19" ca="1" si="234">+CR16/CQ16-1</f>
        <v>#NAME?</v>
      </c>
      <c r="CS19" s="40" t="e">
        <f t="shared" ref="CS19" ca="1" si="235">+CS16/CR16-1</f>
        <v>#NAME?</v>
      </c>
      <c r="CT19" s="40" t="e">
        <f t="shared" ref="CT19" ca="1" si="236">+CT16/CS16-1</f>
        <v>#NAME?</v>
      </c>
      <c r="CU19" s="40" t="e">
        <f t="shared" ref="CU19" ca="1" si="237">+CU16/CT16-1</f>
        <v>#NAME?</v>
      </c>
      <c r="CV19" s="40" t="e">
        <f t="shared" ref="CV19" ca="1" si="238">+CV16/CU16-1</f>
        <v>#NAME?</v>
      </c>
      <c r="CW19" s="40" t="e">
        <f t="shared" ref="CW19" ca="1" si="239">+CW16/CV16-1</f>
        <v>#NAME?</v>
      </c>
      <c r="CX19" s="40" t="e">
        <f t="shared" ref="CX19" ca="1" si="240">+CX16/CW16-1</f>
        <v>#NAME?</v>
      </c>
      <c r="CY19" s="40" t="e">
        <f t="shared" ref="CY19" ca="1" si="241">+CY16/CX16-1</f>
        <v>#NAME?</v>
      </c>
      <c r="CZ19" s="40" t="e">
        <f t="shared" ref="CZ19" ca="1" si="242">+CZ16/CY16-1</f>
        <v>#NAME?</v>
      </c>
      <c r="DA19" s="40" t="e">
        <f t="shared" ref="DA19" ca="1" si="243">+DA16/CZ16-1</f>
        <v>#NAME?</v>
      </c>
      <c r="DB19" s="40" t="e">
        <f t="shared" ref="DB19" ca="1" si="244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45">+SUM(CM20:CP20)</f>
        <v>#NAME?</v>
      </c>
      <c r="AC20" s="76" t="e">
        <f t="shared" ref="AC20:AC25" ca="1" si="246">+SUM(CQ20:CT20)</f>
        <v>#NAME?</v>
      </c>
      <c r="AD20" s="76" t="e">
        <f t="shared" ref="AD20:AD25" ca="1" si="247">+SUM(CU20:CX20)</f>
        <v>#NAME?</v>
      </c>
      <c r="AE20" s="76" t="e">
        <f t="shared" ref="AE20:AE25" ca="1" si="248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49">CI20*107%</f>
        <v>#NAME?</v>
      </c>
      <c r="CN20" s="24" t="e">
        <f t="shared" ca="1" si="249"/>
        <v>#NAME?</v>
      </c>
      <c r="CO20" s="24" t="e">
        <f t="shared" ca="1" si="249"/>
        <v>#NAME?</v>
      </c>
      <c r="CP20" s="24" t="e">
        <f t="shared" ca="1" si="249"/>
        <v>#NAME?</v>
      </c>
      <c r="CQ20" s="24" t="e">
        <f t="shared" ca="1" si="249"/>
        <v>#NAME?</v>
      </c>
      <c r="CR20" s="24" t="e">
        <f t="shared" ca="1" si="249"/>
        <v>#NAME?</v>
      </c>
      <c r="CS20" s="24" t="e">
        <f t="shared" ca="1" si="249"/>
        <v>#NAME?</v>
      </c>
      <c r="CT20" s="24" t="e">
        <f t="shared" ca="1" si="249"/>
        <v>#NAME?</v>
      </c>
      <c r="CU20" s="24" t="e">
        <f t="shared" ca="1" si="249"/>
        <v>#NAME?</v>
      </c>
      <c r="CV20" s="24" t="e">
        <f t="shared" ca="1" si="249"/>
        <v>#NAME?</v>
      </c>
      <c r="CW20" s="24" t="e">
        <f t="shared" ca="1" si="249"/>
        <v>#NAME?</v>
      </c>
      <c r="CX20" s="24" t="e">
        <f t="shared" ca="1" si="249"/>
        <v>#NAME?</v>
      </c>
      <c r="CY20" s="24" t="e">
        <f t="shared" ca="1" si="249"/>
        <v>#NAME?</v>
      </c>
      <c r="CZ20" s="24" t="e">
        <f t="shared" ca="1" si="249"/>
        <v>#NAME?</v>
      </c>
      <c r="DA20" s="24" t="e">
        <f t="shared" ca="1" si="249"/>
        <v>#NAME?</v>
      </c>
      <c r="DB20" s="24" t="e">
        <f t="shared" ca="1" si="249"/>
        <v>#NAME?</v>
      </c>
      <c r="DE20" s="123"/>
      <c r="DF20" s="23">
        <v>3658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45"/>
        <v>0</v>
      </c>
      <c r="AC21" s="76">
        <f t="shared" si="246"/>
        <v>0</v>
      </c>
      <c r="AD21" s="76">
        <f t="shared" si="247"/>
        <v>0</v>
      </c>
      <c r="AE21" s="76">
        <f t="shared" si="248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45"/>
        <v>0</v>
      </c>
      <c r="AC22" s="76">
        <f t="shared" si="246"/>
        <v>0</v>
      </c>
      <c r="AD22" s="76">
        <f t="shared" si="247"/>
        <v>0</v>
      </c>
      <c r="AE22" s="76">
        <f t="shared" si="248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45"/>
        <v>#NAME?</v>
      </c>
      <c r="AC23" s="76" t="e">
        <f t="shared" ca="1" si="246"/>
        <v>#NAME?</v>
      </c>
      <c r="AD23" s="76" t="e">
        <f t="shared" ca="1" si="247"/>
        <v>#NAME?</v>
      </c>
      <c r="AE23" s="76" t="e">
        <f t="shared" ca="1" si="248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0">CM26-CM20-CM21-CM22-CM24-CM25</f>
        <v>#NAME?</v>
      </c>
      <c r="CN23" s="24" t="e">
        <f t="shared" ca="1" si="250"/>
        <v>#NAME?</v>
      </c>
      <c r="CO23" s="24" t="e">
        <f t="shared" ca="1" si="250"/>
        <v>#NAME?</v>
      </c>
      <c r="CP23" s="24" t="e">
        <f t="shared" ca="1" si="250"/>
        <v>#NAME?</v>
      </c>
      <c r="CQ23" s="24" t="e">
        <f t="shared" ca="1" si="250"/>
        <v>#NAME?</v>
      </c>
      <c r="CR23" s="24" t="e">
        <f t="shared" ca="1" si="250"/>
        <v>#NAME?</v>
      </c>
      <c r="CS23" s="24" t="e">
        <f t="shared" ca="1" si="250"/>
        <v>#NAME?</v>
      </c>
      <c r="CT23" s="24" t="e">
        <f t="shared" ca="1" si="250"/>
        <v>#NAME?</v>
      </c>
      <c r="CU23" s="24" t="e">
        <f t="shared" ca="1" si="250"/>
        <v>#NAME?</v>
      </c>
      <c r="CV23" s="24" t="e">
        <f t="shared" ca="1" si="250"/>
        <v>#NAME?</v>
      </c>
      <c r="CW23" s="24" t="e">
        <f t="shared" ca="1" si="250"/>
        <v>#NAME?</v>
      </c>
      <c r="CX23" s="24" t="e">
        <f t="shared" ca="1" si="250"/>
        <v>#NAME?</v>
      </c>
      <c r="CY23" s="24" t="e">
        <f t="shared" ca="1" si="250"/>
        <v>#NAME?</v>
      </c>
      <c r="CZ23" s="24" t="e">
        <f t="shared" ca="1" si="250"/>
        <v>#NAME?</v>
      </c>
      <c r="DA23" s="24" t="e">
        <f t="shared" ca="1" si="250"/>
        <v>#NAME?</v>
      </c>
      <c r="DB23" s="24" t="e">
        <f t="shared" ca="1" si="250"/>
        <v>#NAME?</v>
      </c>
      <c r="DE23" s="123"/>
      <c r="DF23" s="23">
        <v>28712.670000000002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45"/>
        <v>0</v>
      </c>
      <c r="AC24" s="76">
        <f t="shared" si="246"/>
        <v>0</v>
      </c>
      <c r="AD24" s="76">
        <f t="shared" si="247"/>
        <v>0</v>
      </c>
      <c r="AE24" s="76">
        <f t="shared" si="248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45"/>
        <v>0</v>
      </c>
      <c r="AC25" s="76">
        <f t="shared" si="246"/>
        <v>0</v>
      </c>
      <c r="AD25" s="76">
        <f t="shared" si="247"/>
        <v>0</v>
      </c>
      <c r="AE25" s="76">
        <f t="shared" si="248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1">+SUM(B20:B25)</f>
        <v>#NAME?</v>
      </c>
      <c r="C26" s="22" t="e">
        <f t="shared" ca="1" si="251"/>
        <v>#NAME?</v>
      </c>
      <c r="D26" s="22" t="e">
        <f t="shared" ca="1" si="251"/>
        <v>#NAME?</v>
      </c>
      <c r="E26" s="22" t="e">
        <f t="shared" ca="1" si="251"/>
        <v>#NAME?</v>
      </c>
      <c r="F26" s="22" t="e">
        <f t="shared" ref="F26:AE26" ca="1" si="252">+SUM(F20:F25)</f>
        <v>#NAME?</v>
      </c>
      <c r="G26" s="22" t="e">
        <f t="shared" ca="1" si="252"/>
        <v>#NAME?</v>
      </c>
      <c r="H26" s="22" t="e">
        <f t="shared" ca="1" si="252"/>
        <v>#NAME?</v>
      </c>
      <c r="I26" s="22" t="e">
        <f t="shared" ca="1" si="252"/>
        <v>#NAME?</v>
      </c>
      <c r="J26" s="22" t="e">
        <f t="shared" ca="1" si="252"/>
        <v>#NAME?</v>
      </c>
      <c r="K26" s="22" t="e">
        <f t="shared" ca="1" si="252"/>
        <v>#NAME?</v>
      </c>
      <c r="L26" s="22" t="e">
        <f t="shared" ca="1" si="252"/>
        <v>#NAME?</v>
      </c>
      <c r="M26" s="22" t="e">
        <f t="shared" ca="1" si="252"/>
        <v>#NAME?</v>
      </c>
      <c r="N26" s="22" t="e">
        <f t="shared" ca="1" si="252"/>
        <v>#NAME?</v>
      </c>
      <c r="O26" s="22" t="e">
        <f t="shared" ca="1" si="252"/>
        <v>#NAME?</v>
      </c>
      <c r="P26" s="22" t="e">
        <f t="shared" ca="1" si="252"/>
        <v>#NAME?</v>
      </c>
      <c r="Q26" s="22" t="e">
        <f t="shared" ca="1" si="252"/>
        <v>#NAME?</v>
      </c>
      <c r="R26" s="22" t="e">
        <f t="shared" ca="1" si="252"/>
        <v>#NAME?</v>
      </c>
      <c r="S26" s="22" t="e">
        <f t="shared" ca="1" si="252"/>
        <v>#NAME?</v>
      </c>
      <c r="T26" s="22" t="e">
        <f t="shared" ca="1" si="252"/>
        <v>#NAME?</v>
      </c>
      <c r="U26" s="22" t="e">
        <f t="shared" ca="1" si="252"/>
        <v>#NAME?</v>
      </c>
      <c r="V26" s="22" t="e">
        <f t="shared" ca="1" si="252"/>
        <v>#NAME?</v>
      </c>
      <c r="W26" s="22" t="e">
        <f t="shared" ca="1" si="252"/>
        <v>#NAME?</v>
      </c>
      <c r="X26" s="22" t="e">
        <f t="shared" ca="1" si="252"/>
        <v>#NAME?</v>
      </c>
      <c r="Y26" s="22" t="e">
        <f t="shared" ca="1" si="252"/>
        <v>#NAME?</v>
      </c>
      <c r="Z26" s="22" t="e">
        <f t="shared" ref="Z26:AA26" ca="1" si="253">+SUM(Z20:Z25)</f>
        <v>#NAME?</v>
      </c>
      <c r="AA26" s="22" t="e">
        <f t="shared" ca="1" si="253"/>
        <v>#NAME?</v>
      </c>
      <c r="AB26" s="21" t="e">
        <f t="shared" ca="1" si="252"/>
        <v>#NAME?</v>
      </c>
      <c r="AC26" s="21" t="e">
        <f t="shared" ca="1" si="252"/>
        <v>#NAME?</v>
      </c>
      <c r="AD26" s="21" t="e">
        <f t="shared" ca="1" si="252"/>
        <v>#NAME?</v>
      </c>
      <c r="AE26" s="21" t="e">
        <f t="shared" ca="1" si="252"/>
        <v>#NAME?</v>
      </c>
      <c r="AI26" s="22" t="e">
        <f t="shared" ref="AI26:BN26" ca="1" si="254">+SUM(AI20:AI25)</f>
        <v>#NAME?</v>
      </c>
      <c r="AJ26" s="22" t="e">
        <f t="shared" ca="1" si="254"/>
        <v>#NAME?</v>
      </c>
      <c r="AK26" s="22" t="e">
        <f t="shared" ca="1" si="254"/>
        <v>#NAME?</v>
      </c>
      <c r="AL26" s="22" t="e">
        <f t="shared" ca="1" si="254"/>
        <v>#NAME?</v>
      </c>
      <c r="AM26" s="22" t="e">
        <f t="shared" ca="1" si="254"/>
        <v>#NAME?</v>
      </c>
      <c r="AN26" s="22" t="e">
        <f t="shared" ca="1" si="254"/>
        <v>#NAME?</v>
      </c>
      <c r="AO26" s="22" t="e">
        <f t="shared" ca="1" si="254"/>
        <v>#NAME?</v>
      </c>
      <c r="AP26" s="22" t="e">
        <f t="shared" ca="1" si="254"/>
        <v>#NAME?</v>
      </c>
      <c r="AQ26" s="22" t="e">
        <f t="shared" ca="1" si="254"/>
        <v>#NAME?</v>
      </c>
      <c r="AR26" s="22" t="e">
        <f t="shared" ca="1" si="254"/>
        <v>#NAME?</v>
      </c>
      <c r="AS26" s="22" t="e">
        <f t="shared" ca="1" si="254"/>
        <v>#NAME?</v>
      </c>
      <c r="AT26" s="22" t="e">
        <f t="shared" ca="1" si="254"/>
        <v>#NAME?</v>
      </c>
      <c r="AU26" s="22" t="e">
        <f t="shared" ca="1" si="254"/>
        <v>#NAME?</v>
      </c>
      <c r="AV26" s="22" t="e">
        <f t="shared" ca="1" si="254"/>
        <v>#NAME?</v>
      </c>
      <c r="AW26" s="22" t="e">
        <f t="shared" ca="1" si="254"/>
        <v>#NAME?</v>
      </c>
      <c r="AX26" s="22" t="e">
        <f t="shared" ca="1" si="254"/>
        <v>#NAME?</v>
      </c>
      <c r="AY26" s="22" t="e">
        <f t="shared" ca="1" si="254"/>
        <v>#NAME?</v>
      </c>
      <c r="AZ26" s="22" t="e">
        <f t="shared" ca="1" si="254"/>
        <v>#NAME?</v>
      </c>
      <c r="BA26" s="22" t="e">
        <f t="shared" ca="1" si="254"/>
        <v>#NAME?</v>
      </c>
      <c r="BB26" s="22" t="e">
        <f t="shared" ca="1" si="254"/>
        <v>#NAME?</v>
      </c>
      <c r="BC26" s="22" t="e">
        <f t="shared" ca="1" si="254"/>
        <v>#NAME?</v>
      </c>
      <c r="BD26" s="22" t="e">
        <f t="shared" ca="1" si="254"/>
        <v>#NAME?</v>
      </c>
      <c r="BE26" s="22" t="e">
        <f t="shared" ca="1" si="254"/>
        <v>#NAME?</v>
      </c>
      <c r="BF26" s="22" t="e">
        <f t="shared" ca="1" si="254"/>
        <v>#NAME?</v>
      </c>
      <c r="BG26" s="22" t="e">
        <f t="shared" ca="1" si="254"/>
        <v>#NAME?</v>
      </c>
      <c r="BH26" s="22" t="e">
        <f t="shared" ca="1" si="254"/>
        <v>#NAME?</v>
      </c>
      <c r="BI26" s="22" t="e">
        <f t="shared" ca="1" si="254"/>
        <v>#NAME?</v>
      </c>
      <c r="BJ26" s="22" t="e">
        <f t="shared" ca="1" si="254"/>
        <v>#NAME?</v>
      </c>
      <c r="BK26" s="22" t="e">
        <f t="shared" ca="1" si="254"/>
        <v>#NAME?</v>
      </c>
      <c r="BL26" s="22" t="e">
        <f t="shared" ca="1" si="254"/>
        <v>#NAME?</v>
      </c>
      <c r="BM26" s="22" t="e">
        <f t="shared" ca="1" si="254"/>
        <v>#NAME?</v>
      </c>
      <c r="BN26" s="22" t="e">
        <f t="shared" ca="1" si="254"/>
        <v>#NAME?</v>
      </c>
      <c r="BO26" s="22" t="e">
        <f t="shared" ref="BO26:CH26" ca="1" si="255">+SUM(BO20:BO25)</f>
        <v>#NAME?</v>
      </c>
      <c r="BP26" s="22" t="e">
        <f t="shared" ca="1" si="255"/>
        <v>#NAME?</v>
      </c>
      <c r="BQ26" s="22" t="e">
        <f t="shared" ca="1" si="255"/>
        <v>#NAME?</v>
      </c>
      <c r="BR26" s="22" t="e">
        <f t="shared" ca="1" si="255"/>
        <v>#NAME?</v>
      </c>
      <c r="BS26" s="22" t="e">
        <f t="shared" ca="1" si="255"/>
        <v>#NAME?</v>
      </c>
      <c r="BT26" s="22" t="e">
        <f t="shared" ca="1" si="255"/>
        <v>#NAME?</v>
      </c>
      <c r="BU26" s="22" t="e">
        <f t="shared" ca="1" si="255"/>
        <v>#NAME?</v>
      </c>
      <c r="BV26" s="22" t="e">
        <f t="shared" ca="1" si="255"/>
        <v>#NAME?</v>
      </c>
      <c r="BW26" s="22" t="e">
        <f t="shared" ca="1" si="255"/>
        <v>#NAME?</v>
      </c>
      <c r="BX26" s="22" t="e">
        <f t="shared" ca="1" si="255"/>
        <v>#NAME?</v>
      </c>
      <c r="BY26" s="22" t="e">
        <f t="shared" ca="1" si="255"/>
        <v>#NAME?</v>
      </c>
      <c r="BZ26" s="22" t="e">
        <f t="shared" ca="1" si="255"/>
        <v>#NAME?</v>
      </c>
      <c r="CA26" s="22" t="e">
        <f t="shared" ca="1" si="255"/>
        <v>#NAME?</v>
      </c>
      <c r="CB26" s="22" t="e">
        <f t="shared" ca="1" si="255"/>
        <v>#NAME?</v>
      </c>
      <c r="CC26" s="22" t="e">
        <f t="shared" ca="1" si="255"/>
        <v>#NAME?</v>
      </c>
      <c r="CD26" s="22" t="e">
        <f t="shared" ca="1" si="255"/>
        <v>#NAME?</v>
      </c>
      <c r="CE26" s="22" t="e">
        <f t="shared" ca="1" si="255"/>
        <v>#NAME?</v>
      </c>
      <c r="CF26" s="22" t="e">
        <f t="shared" ca="1" si="255"/>
        <v>#NAME?</v>
      </c>
      <c r="CG26" s="22" t="e">
        <f t="shared" ca="1" si="255"/>
        <v>#NAME?</v>
      </c>
      <c r="CH26" s="22" t="e">
        <f t="shared" ca="1" si="255"/>
        <v>#NAME?</v>
      </c>
      <c r="CI26" s="22" t="e">
        <f t="shared" ref="CI26:CJ26" ca="1" si="256">+SUM(CI20:CI25)</f>
        <v>#NAME?</v>
      </c>
      <c r="CJ26" s="22" t="e">
        <f t="shared" ca="1" si="256"/>
        <v>#NAME?</v>
      </c>
      <c r="CK26" s="22" t="e">
        <f t="shared" ref="CK26:CL26" ca="1" si="257">+SUM(CK20:CK25)</f>
        <v>#NAME?</v>
      </c>
      <c r="CL26" s="22" t="e">
        <f t="shared" ca="1" si="257"/>
        <v>#NAME?</v>
      </c>
      <c r="CM26" s="21" t="e">
        <f t="shared" ref="CM26:DB26" ca="1" si="258">CM27*CM10</f>
        <v>#NAME?</v>
      </c>
      <c r="CN26" s="21" t="e">
        <f t="shared" ca="1" si="258"/>
        <v>#NAME?</v>
      </c>
      <c r="CO26" s="21" t="e">
        <f t="shared" ca="1" si="258"/>
        <v>#NAME?</v>
      </c>
      <c r="CP26" s="21" t="e">
        <f t="shared" ca="1" si="258"/>
        <v>#NAME?</v>
      </c>
      <c r="CQ26" s="21" t="e">
        <f t="shared" ca="1" si="258"/>
        <v>#NAME?</v>
      </c>
      <c r="CR26" s="21" t="e">
        <f t="shared" ca="1" si="258"/>
        <v>#NAME?</v>
      </c>
      <c r="CS26" s="21" t="e">
        <f t="shared" ca="1" si="258"/>
        <v>#NAME?</v>
      </c>
      <c r="CT26" s="21" t="e">
        <f t="shared" ca="1" si="258"/>
        <v>#NAME?</v>
      </c>
      <c r="CU26" s="21" t="e">
        <f t="shared" ca="1" si="258"/>
        <v>#NAME?</v>
      </c>
      <c r="CV26" s="21" t="e">
        <f t="shared" ca="1" si="258"/>
        <v>#NAME?</v>
      </c>
      <c r="CW26" s="21" t="e">
        <f t="shared" ca="1" si="258"/>
        <v>#NAME?</v>
      </c>
      <c r="CX26" s="21" t="e">
        <f t="shared" ca="1" si="258"/>
        <v>#NAME?</v>
      </c>
      <c r="CY26" s="21" t="e">
        <f t="shared" ca="1" si="258"/>
        <v>#NAME?</v>
      </c>
      <c r="CZ26" s="21" t="e">
        <f t="shared" ca="1" si="258"/>
        <v>#NAME?</v>
      </c>
      <c r="DA26" s="21" t="e">
        <f t="shared" ca="1" si="258"/>
        <v>#NAME?</v>
      </c>
      <c r="DB26" s="21" t="e">
        <f t="shared" ca="1" si="258"/>
        <v>#NAME?</v>
      </c>
      <c r="DE26" s="126"/>
      <c r="DF26" s="22">
        <v>32370.670000000002</v>
      </c>
    </row>
    <row r="27" spans="1:110" s="44" customFormat="1" x14ac:dyDescent="0.2">
      <c r="A27" s="43" t="s">
        <v>349</v>
      </c>
      <c r="B27" s="44" t="e">
        <f t="shared" ref="B27:E27" ca="1" si="259">B26/B10</f>
        <v>#NAME?</v>
      </c>
      <c r="C27" s="44" t="e">
        <f t="shared" ca="1" si="259"/>
        <v>#NAME?</v>
      </c>
      <c r="D27" s="44" t="e">
        <f t="shared" ca="1" si="259"/>
        <v>#NAME?</v>
      </c>
      <c r="E27" s="44" t="e">
        <f t="shared" ca="1" si="259"/>
        <v>#NAME?</v>
      </c>
      <c r="F27" s="44" t="e">
        <f t="shared" ref="F27:AE27" ca="1" si="260">F26/F10</f>
        <v>#NAME?</v>
      </c>
      <c r="G27" s="44" t="e">
        <f t="shared" ca="1" si="260"/>
        <v>#NAME?</v>
      </c>
      <c r="H27" s="44" t="e">
        <f t="shared" ca="1" si="260"/>
        <v>#NAME?</v>
      </c>
      <c r="I27" s="44" t="e">
        <f t="shared" ca="1" si="260"/>
        <v>#NAME?</v>
      </c>
      <c r="J27" s="44" t="e">
        <f t="shared" ca="1" si="260"/>
        <v>#NAME?</v>
      </c>
      <c r="K27" s="44" t="e">
        <f t="shared" ca="1" si="260"/>
        <v>#NAME?</v>
      </c>
      <c r="L27" s="44" t="e">
        <f t="shared" ca="1" si="260"/>
        <v>#NAME?</v>
      </c>
      <c r="M27" s="44" t="e">
        <f t="shared" ca="1" si="260"/>
        <v>#NAME?</v>
      </c>
      <c r="N27" s="44" t="e">
        <f t="shared" ca="1" si="260"/>
        <v>#NAME?</v>
      </c>
      <c r="O27" s="44" t="e">
        <f t="shared" ca="1" si="260"/>
        <v>#NAME?</v>
      </c>
      <c r="P27" s="44" t="e">
        <f t="shared" ca="1" si="260"/>
        <v>#NAME?</v>
      </c>
      <c r="Q27" s="44" t="e">
        <f t="shared" ca="1" si="260"/>
        <v>#NAME?</v>
      </c>
      <c r="R27" s="44" t="e">
        <f t="shared" ca="1" si="260"/>
        <v>#NAME?</v>
      </c>
      <c r="S27" s="44" t="e">
        <f t="shared" ca="1" si="260"/>
        <v>#NAME?</v>
      </c>
      <c r="T27" s="44" t="e">
        <f t="shared" ca="1" si="260"/>
        <v>#NAME?</v>
      </c>
      <c r="U27" s="44" t="e">
        <f t="shared" ca="1" si="260"/>
        <v>#NAME?</v>
      </c>
      <c r="V27" s="44" t="e">
        <f t="shared" ca="1" si="260"/>
        <v>#NAME?</v>
      </c>
      <c r="W27" s="44" t="e">
        <f t="shared" ca="1" si="260"/>
        <v>#NAME?</v>
      </c>
      <c r="X27" s="44" t="e">
        <f t="shared" ca="1" si="260"/>
        <v>#NAME?</v>
      </c>
      <c r="Y27" s="44" t="e">
        <f t="shared" ca="1" si="260"/>
        <v>#NAME?</v>
      </c>
      <c r="Z27" s="44" t="e">
        <f t="shared" ref="Z27:AA27" ca="1" si="261">Z26/Z10</f>
        <v>#NAME?</v>
      </c>
      <c r="AA27" s="44" t="e">
        <f t="shared" ca="1" si="261"/>
        <v>#NAME?</v>
      </c>
      <c r="AB27" s="52" t="e">
        <f t="shared" ca="1" si="260"/>
        <v>#NAME?</v>
      </c>
      <c r="AC27" s="52" t="e">
        <f t="shared" ca="1" si="260"/>
        <v>#NAME?</v>
      </c>
      <c r="AD27" s="52" t="e">
        <f t="shared" ca="1" si="260"/>
        <v>#NAME?</v>
      </c>
      <c r="AE27" s="52" t="e">
        <f t="shared" ca="1" si="260"/>
        <v>#NAME?</v>
      </c>
      <c r="AI27" s="44" t="e">
        <f t="shared" ref="AI27:BN27" ca="1" si="262">AI26/AI10</f>
        <v>#NAME?</v>
      </c>
      <c r="AJ27" s="44" t="e">
        <f t="shared" ca="1" si="262"/>
        <v>#NAME?</v>
      </c>
      <c r="AK27" s="44" t="e">
        <f t="shared" ca="1" si="262"/>
        <v>#NAME?</v>
      </c>
      <c r="AL27" s="44" t="e">
        <f t="shared" ca="1" si="262"/>
        <v>#NAME?</v>
      </c>
      <c r="AM27" s="44" t="e">
        <f t="shared" ca="1" si="262"/>
        <v>#NAME?</v>
      </c>
      <c r="AN27" s="44" t="e">
        <f t="shared" ca="1" si="262"/>
        <v>#NAME?</v>
      </c>
      <c r="AO27" s="44" t="e">
        <f t="shared" ca="1" si="262"/>
        <v>#NAME?</v>
      </c>
      <c r="AP27" s="44" t="e">
        <f t="shared" ca="1" si="262"/>
        <v>#NAME?</v>
      </c>
      <c r="AQ27" s="44" t="e">
        <f t="shared" ca="1" si="262"/>
        <v>#NAME?</v>
      </c>
      <c r="AR27" s="44" t="e">
        <f t="shared" ca="1" si="262"/>
        <v>#NAME?</v>
      </c>
      <c r="AS27" s="44" t="e">
        <f t="shared" ca="1" si="262"/>
        <v>#NAME?</v>
      </c>
      <c r="AT27" s="44" t="e">
        <f t="shared" ca="1" si="262"/>
        <v>#NAME?</v>
      </c>
      <c r="AU27" s="44" t="e">
        <f t="shared" ca="1" si="262"/>
        <v>#NAME?</v>
      </c>
      <c r="AV27" s="44" t="e">
        <f t="shared" ca="1" si="262"/>
        <v>#NAME?</v>
      </c>
      <c r="AW27" s="44" t="e">
        <f t="shared" ca="1" si="262"/>
        <v>#NAME?</v>
      </c>
      <c r="AX27" s="44" t="e">
        <f t="shared" ca="1" si="262"/>
        <v>#NAME?</v>
      </c>
      <c r="AY27" s="44" t="e">
        <f t="shared" ca="1" si="262"/>
        <v>#NAME?</v>
      </c>
      <c r="AZ27" s="44" t="e">
        <f t="shared" ca="1" si="262"/>
        <v>#NAME?</v>
      </c>
      <c r="BA27" s="44" t="e">
        <f t="shared" ca="1" si="262"/>
        <v>#NAME?</v>
      </c>
      <c r="BB27" s="44" t="e">
        <f t="shared" ca="1" si="262"/>
        <v>#NAME?</v>
      </c>
      <c r="BC27" s="44" t="e">
        <f t="shared" ca="1" si="262"/>
        <v>#NAME?</v>
      </c>
      <c r="BD27" s="44" t="e">
        <f t="shared" ca="1" si="262"/>
        <v>#NAME?</v>
      </c>
      <c r="BE27" s="44" t="e">
        <f t="shared" ca="1" si="262"/>
        <v>#NAME?</v>
      </c>
      <c r="BF27" s="44" t="e">
        <f t="shared" ca="1" si="262"/>
        <v>#NAME?</v>
      </c>
      <c r="BG27" s="44" t="e">
        <f t="shared" ca="1" si="262"/>
        <v>#NAME?</v>
      </c>
      <c r="BH27" s="44" t="e">
        <f t="shared" ca="1" si="262"/>
        <v>#NAME?</v>
      </c>
      <c r="BI27" s="44" t="e">
        <f t="shared" ca="1" si="262"/>
        <v>#NAME?</v>
      </c>
      <c r="BJ27" s="44" t="e">
        <f t="shared" ca="1" si="262"/>
        <v>#NAME?</v>
      </c>
      <c r="BK27" s="44" t="e">
        <f t="shared" ca="1" si="262"/>
        <v>#NAME?</v>
      </c>
      <c r="BL27" s="44" t="e">
        <f t="shared" ca="1" si="262"/>
        <v>#NAME?</v>
      </c>
      <c r="BM27" s="44" t="e">
        <f t="shared" ca="1" si="262"/>
        <v>#NAME?</v>
      </c>
      <c r="BN27" s="44" t="e">
        <f t="shared" ca="1" si="262"/>
        <v>#NAME?</v>
      </c>
      <c r="BO27" s="44" t="e">
        <f t="shared" ref="BO27:CH27" ca="1" si="263">BO26/BO10</f>
        <v>#NAME?</v>
      </c>
      <c r="BP27" s="44" t="e">
        <f t="shared" ca="1" si="263"/>
        <v>#NAME?</v>
      </c>
      <c r="BQ27" s="44" t="e">
        <f t="shared" ca="1" si="263"/>
        <v>#NAME?</v>
      </c>
      <c r="BR27" s="44" t="e">
        <f t="shared" ca="1" si="263"/>
        <v>#NAME?</v>
      </c>
      <c r="BS27" s="44" t="e">
        <f t="shared" ca="1" si="263"/>
        <v>#NAME?</v>
      </c>
      <c r="BT27" s="44" t="e">
        <f t="shared" ca="1" si="263"/>
        <v>#NAME?</v>
      </c>
      <c r="BU27" s="44" t="e">
        <f t="shared" ca="1" si="263"/>
        <v>#NAME?</v>
      </c>
      <c r="BV27" s="44" t="e">
        <f t="shared" ca="1" si="263"/>
        <v>#NAME?</v>
      </c>
      <c r="BW27" s="44" t="e">
        <f t="shared" ca="1" si="263"/>
        <v>#NAME?</v>
      </c>
      <c r="BX27" s="44" t="e">
        <f t="shared" ca="1" si="263"/>
        <v>#NAME?</v>
      </c>
      <c r="BY27" s="44" t="e">
        <f t="shared" ca="1" si="263"/>
        <v>#NAME?</v>
      </c>
      <c r="BZ27" s="44" t="e">
        <f t="shared" ca="1" si="263"/>
        <v>#NAME?</v>
      </c>
      <c r="CA27" s="44" t="e">
        <f t="shared" ca="1" si="263"/>
        <v>#NAME?</v>
      </c>
      <c r="CB27" s="44" t="e">
        <f t="shared" ca="1" si="263"/>
        <v>#NAME?</v>
      </c>
      <c r="CC27" s="44" t="e">
        <f t="shared" ca="1" si="263"/>
        <v>#NAME?</v>
      </c>
      <c r="CD27" s="44" t="e">
        <f t="shared" ca="1" si="263"/>
        <v>#NAME?</v>
      </c>
      <c r="CE27" s="44" t="e">
        <f t="shared" ca="1" si="263"/>
        <v>#NAME?</v>
      </c>
      <c r="CF27" s="44" t="e">
        <f t="shared" ca="1" si="263"/>
        <v>#NAME?</v>
      </c>
      <c r="CG27" s="44" t="e">
        <f t="shared" ca="1" si="263"/>
        <v>#NAME?</v>
      </c>
      <c r="CH27" s="44" t="e">
        <f t="shared" ca="1" si="263"/>
        <v>#NAME?</v>
      </c>
      <c r="CI27" s="44" t="e">
        <f t="shared" ref="CI27:CJ27" ca="1" si="264">CI26/CI10</f>
        <v>#NAME?</v>
      </c>
      <c r="CJ27" s="44" t="e">
        <f t="shared" ca="1" si="264"/>
        <v>#NAME?</v>
      </c>
      <c r="CK27" s="44" t="e">
        <f t="shared" ref="CK27:CL27" ca="1" si="265">CK26/CK10</f>
        <v>#NAME?</v>
      </c>
      <c r="CL27" s="44" t="e">
        <f t="shared" ca="1" si="265"/>
        <v>#NAME?</v>
      </c>
      <c r="CM27" s="52" t="e">
        <f ca="1">AVERAGE(CI27:CL27)*1.03</f>
        <v>#NAME?</v>
      </c>
      <c r="CN27" s="52" t="e">
        <f t="shared" ref="CN27:CP27" ca="1" si="266">AVERAGE(CJ27:CM27)*1.03</f>
        <v>#NAME?</v>
      </c>
      <c r="CO27" s="52" t="e">
        <f t="shared" ca="1" si="266"/>
        <v>#NAME?</v>
      </c>
      <c r="CP27" s="52" t="e">
        <f t="shared" ca="1" si="266"/>
        <v>#NAME?</v>
      </c>
      <c r="CQ27" s="52" t="e">
        <f ca="1">AVERAGE(CM27:CP27)*0.99</f>
        <v>#NAME?</v>
      </c>
      <c r="CR27" s="52" t="e">
        <f t="shared" ref="CR27:CT27" ca="1" si="267">AVERAGE(CN27:CQ27)*0.99</f>
        <v>#NAME?</v>
      </c>
      <c r="CS27" s="52" t="e">
        <f t="shared" ca="1" si="267"/>
        <v>#NAME?</v>
      </c>
      <c r="CT27" s="52" t="e">
        <f t="shared" ca="1" si="267"/>
        <v>#NAME?</v>
      </c>
      <c r="CU27" s="52" t="e">
        <f t="shared" ref="CU27:DB27" ca="1" si="268">AVERAGE(CQ27:CT27)</f>
        <v>#NAME?</v>
      </c>
      <c r="CV27" s="52" t="e">
        <f t="shared" ca="1" si="268"/>
        <v>#NAME?</v>
      </c>
      <c r="CW27" s="52" t="e">
        <f t="shared" ca="1" si="268"/>
        <v>#NAME?</v>
      </c>
      <c r="CX27" s="52" t="e">
        <f t="shared" ca="1" si="268"/>
        <v>#NAME?</v>
      </c>
      <c r="CY27" s="52" t="e">
        <f t="shared" ca="1" si="268"/>
        <v>#NAME?</v>
      </c>
      <c r="CZ27" s="52" t="e">
        <f t="shared" ca="1" si="268"/>
        <v>#NAME?</v>
      </c>
      <c r="DA27" s="52" t="e">
        <f t="shared" ca="1" si="268"/>
        <v>#NAME?</v>
      </c>
      <c r="DB27" s="52" t="e">
        <f t="shared" ca="1" si="268"/>
        <v>#NAME?</v>
      </c>
      <c r="DE27" s="128"/>
      <c r="DF27" s="44">
        <v>0.32219685332563081</v>
      </c>
    </row>
    <row r="28" spans="1:110" s="26" customFormat="1" x14ac:dyDescent="0.2">
      <c r="A28" s="34" t="s">
        <v>13</v>
      </c>
      <c r="B28" s="26" t="e">
        <f t="shared" ref="B28:E28" ca="1" si="269">B16-B26</f>
        <v>#NAME?</v>
      </c>
      <c r="C28" s="26" t="e">
        <f t="shared" ca="1" si="269"/>
        <v>#NAME?</v>
      </c>
      <c r="D28" s="26" t="e">
        <f t="shared" ca="1" si="269"/>
        <v>#NAME?</v>
      </c>
      <c r="E28" s="26" t="e">
        <f t="shared" ca="1" si="269"/>
        <v>#NAME?</v>
      </c>
      <c r="F28" s="26" t="e">
        <f t="shared" ref="F28:AE28" ca="1" si="270">F16-F26</f>
        <v>#NAME?</v>
      </c>
      <c r="G28" s="26" t="e">
        <f t="shared" ca="1" si="270"/>
        <v>#NAME?</v>
      </c>
      <c r="H28" s="26" t="e">
        <f t="shared" ca="1" si="270"/>
        <v>#NAME?</v>
      </c>
      <c r="I28" s="26" t="e">
        <f t="shared" ca="1" si="270"/>
        <v>#NAME?</v>
      </c>
      <c r="J28" s="26" t="e">
        <f t="shared" ca="1" si="270"/>
        <v>#NAME?</v>
      </c>
      <c r="K28" s="26" t="e">
        <f t="shared" ca="1" si="270"/>
        <v>#NAME?</v>
      </c>
      <c r="L28" s="26" t="e">
        <f t="shared" ca="1" si="270"/>
        <v>#NAME?</v>
      </c>
      <c r="M28" s="26" t="e">
        <f t="shared" ca="1" si="270"/>
        <v>#NAME?</v>
      </c>
      <c r="N28" s="26" t="e">
        <f t="shared" ca="1" si="270"/>
        <v>#NAME?</v>
      </c>
      <c r="O28" s="26" t="e">
        <f t="shared" ca="1" si="270"/>
        <v>#NAME?</v>
      </c>
      <c r="P28" s="26" t="e">
        <f t="shared" ca="1" si="270"/>
        <v>#NAME?</v>
      </c>
      <c r="Q28" s="26" t="e">
        <f t="shared" ca="1" si="270"/>
        <v>#NAME?</v>
      </c>
      <c r="R28" s="26" t="e">
        <f t="shared" ca="1" si="270"/>
        <v>#NAME?</v>
      </c>
      <c r="S28" s="26" t="e">
        <f t="shared" ca="1" si="270"/>
        <v>#NAME?</v>
      </c>
      <c r="T28" s="26" t="e">
        <f t="shared" ca="1" si="270"/>
        <v>#NAME?</v>
      </c>
      <c r="U28" s="26" t="e">
        <f t="shared" ca="1" si="270"/>
        <v>#NAME?</v>
      </c>
      <c r="V28" s="26" t="e">
        <f t="shared" ca="1" si="270"/>
        <v>#NAME?</v>
      </c>
      <c r="W28" s="26" t="e">
        <f t="shared" ca="1" si="270"/>
        <v>#NAME?</v>
      </c>
      <c r="X28" s="26" t="e">
        <f t="shared" ca="1" si="270"/>
        <v>#NAME?</v>
      </c>
      <c r="Y28" s="26" t="e">
        <f t="shared" ca="1" si="270"/>
        <v>#NAME?</v>
      </c>
      <c r="Z28" s="26" t="e">
        <f t="shared" ref="Z28:AA28" ca="1" si="271">Z16-Z26</f>
        <v>#NAME?</v>
      </c>
      <c r="AA28" s="26" t="e">
        <f t="shared" ca="1" si="271"/>
        <v>#NAME?</v>
      </c>
      <c r="AB28" s="27" t="e">
        <f t="shared" ca="1" si="270"/>
        <v>#NAME?</v>
      </c>
      <c r="AC28" s="27" t="e">
        <f t="shared" ca="1" si="270"/>
        <v>#NAME?</v>
      </c>
      <c r="AD28" s="27" t="e">
        <f t="shared" ca="1" si="270"/>
        <v>#NAME?</v>
      </c>
      <c r="AE28" s="27" t="e">
        <f t="shared" ca="1" si="270"/>
        <v>#NAME?</v>
      </c>
      <c r="AI28" s="26" t="e">
        <f t="shared" ref="AI28:BN28" ca="1" si="272">AI16-AI26</f>
        <v>#NAME?</v>
      </c>
      <c r="AJ28" s="26" t="e">
        <f t="shared" ca="1" si="272"/>
        <v>#NAME?</v>
      </c>
      <c r="AK28" s="26" t="e">
        <f t="shared" ca="1" si="272"/>
        <v>#NAME?</v>
      </c>
      <c r="AL28" s="26" t="e">
        <f t="shared" ca="1" si="272"/>
        <v>#NAME?</v>
      </c>
      <c r="AM28" s="26" t="e">
        <f t="shared" ca="1" si="272"/>
        <v>#NAME?</v>
      </c>
      <c r="AN28" s="26" t="e">
        <f t="shared" ca="1" si="272"/>
        <v>#NAME?</v>
      </c>
      <c r="AO28" s="26" t="e">
        <f t="shared" ca="1" si="272"/>
        <v>#NAME?</v>
      </c>
      <c r="AP28" s="26" t="e">
        <f t="shared" ca="1" si="272"/>
        <v>#NAME?</v>
      </c>
      <c r="AQ28" s="26" t="e">
        <f t="shared" ca="1" si="272"/>
        <v>#NAME?</v>
      </c>
      <c r="AR28" s="26" t="e">
        <f t="shared" ca="1" si="272"/>
        <v>#NAME?</v>
      </c>
      <c r="AS28" s="26" t="e">
        <f t="shared" ca="1" si="272"/>
        <v>#NAME?</v>
      </c>
      <c r="AT28" s="26" t="e">
        <f t="shared" ca="1" si="272"/>
        <v>#NAME?</v>
      </c>
      <c r="AU28" s="26" t="e">
        <f t="shared" ca="1" si="272"/>
        <v>#NAME?</v>
      </c>
      <c r="AV28" s="26" t="e">
        <f t="shared" ca="1" si="272"/>
        <v>#NAME?</v>
      </c>
      <c r="AW28" s="26" t="e">
        <f t="shared" ca="1" si="272"/>
        <v>#NAME?</v>
      </c>
      <c r="AX28" s="26" t="e">
        <f t="shared" ca="1" si="272"/>
        <v>#NAME?</v>
      </c>
      <c r="AY28" s="26" t="e">
        <f t="shared" ca="1" si="272"/>
        <v>#NAME?</v>
      </c>
      <c r="AZ28" s="26" t="e">
        <f t="shared" ca="1" si="272"/>
        <v>#NAME?</v>
      </c>
      <c r="BA28" s="26" t="e">
        <f t="shared" ca="1" si="272"/>
        <v>#NAME?</v>
      </c>
      <c r="BB28" s="26" t="e">
        <f t="shared" ca="1" si="272"/>
        <v>#NAME?</v>
      </c>
      <c r="BC28" s="26" t="e">
        <f t="shared" ca="1" si="272"/>
        <v>#NAME?</v>
      </c>
      <c r="BD28" s="26" t="e">
        <f t="shared" ca="1" si="272"/>
        <v>#NAME?</v>
      </c>
      <c r="BE28" s="26" t="e">
        <f t="shared" ca="1" si="272"/>
        <v>#NAME?</v>
      </c>
      <c r="BF28" s="26" t="e">
        <f t="shared" ca="1" si="272"/>
        <v>#NAME?</v>
      </c>
      <c r="BG28" s="26" t="e">
        <f t="shared" ca="1" si="272"/>
        <v>#NAME?</v>
      </c>
      <c r="BH28" s="26" t="e">
        <f t="shared" ca="1" si="272"/>
        <v>#NAME?</v>
      </c>
      <c r="BI28" s="26" t="e">
        <f t="shared" ca="1" si="272"/>
        <v>#NAME?</v>
      </c>
      <c r="BJ28" s="26" t="e">
        <f t="shared" ca="1" si="272"/>
        <v>#NAME?</v>
      </c>
      <c r="BK28" s="26" t="e">
        <f t="shared" ca="1" si="272"/>
        <v>#NAME?</v>
      </c>
      <c r="BL28" s="26" t="e">
        <f t="shared" ca="1" si="272"/>
        <v>#NAME?</v>
      </c>
      <c r="BM28" s="26" t="e">
        <f t="shared" ca="1" si="272"/>
        <v>#NAME?</v>
      </c>
      <c r="BN28" s="26" t="e">
        <f t="shared" ca="1" si="272"/>
        <v>#NAME?</v>
      </c>
      <c r="BO28" s="26" t="e">
        <f t="shared" ref="BO28:CT28" ca="1" si="273">BO16-BO26</f>
        <v>#NAME?</v>
      </c>
      <c r="BP28" s="26" t="e">
        <f t="shared" ca="1" si="273"/>
        <v>#NAME?</v>
      </c>
      <c r="BQ28" s="26" t="e">
        <f t="shared" ca="1" si="273"/>
        <v>#NAME?</v>
      </c>
      <c r="BR28" s="26" t="e">
        <f t="shared" ca="1" si="273"/>
        <v>#NAME?</v>
      </c>
      <c r="BS28" s="26" t="e">
        <f t="shared" ca="1" si="273"/>
        <v>#NAME?</v>
      </c>
      <c r="BT28" s="26" t="e">
        <f t="shared" ca="1" si="273"/>
        <v>#NAME?</v>
      </c>
      <c r="BU28" s="26" t="e">
        <f t="shared" ca="1" si="273"/>
        <v>#NAME?</v>
      </c>
      <c r="BV28" s="26" t="e">
        <f t="shared" ca="1" si="273"/>
        <v>#NAME?</v>
      </c>
      <c r="BW28" s="26" t="e">
        <f t="shared" ca="1" si="273"/>
        <v>#NAME?</v>
      </c>
      <c r="BX28" s="26" t="e">
        <f t="shared" ca="1" si="273"/>
        <v>#NAME?</v>
      </c>
      <c r="BY28" s="26" t="e">
        <f t="shared" ca="1" si="273"/>
        <v>#NAME?</v>
      </c>
      <c r="BZ28" s="26" t="e">
        <f t="shared" ca="1" si="273"/>
        <v>#NAME?</v>
      </c>
      <c r="CA28" s="26" t="e">
        <f t="shared" ca="1" si="273"/>
        <v>#NAME?</v>
      </c>
      <c r="CB28" s="26" t="e">
        <f t="shared" ca="1" si="273"/>
        <v>#NAME?</v>
      </c>
      <c r="CC28" s="26" t="e">
        <f t="shared" ca="1" si="273"/>
        <v>#NAME?</v>
      </c>
      <c r="CD28" s="26" t="e">
        <f t="shared" ca="1" si="273"/>
        <v>#NAME?</v>
      </c>
      <c r="CE28" s="26" t="e">
        <f t="shared" ca="1" si="273"/>
        <v>#NAME?</v>
      </c>
      <c r="CF28" s="26" t="e">
        <f t="shared" ca="1" si="273"/>
        <v>#NAME?</v>
      </c>
      <c r="CG28" s="26" t="e">
        <f t="shared" ca="1" si="273"/>
        <v>#NAME?</v>
      </c>
      <c r="CH28" s="26" t="e">
        <f t="shared" ca="1" si="273"/>
        <v>#NAME?</v>
      </c>
      <c r="CI28" s="26" t="e">
        <f t="shared" ref="CI28:CJ28" ca="1" si="274">CI16-CI26</f>
        <v>#NAME?</v>
      </c>
      <c r="CJ28" s="26" t="e">
        <f t="shared" ca="1" si="274"/>
        <v>#NAME?</v>
      </c>
      <c r="CK28" s="26" t="e">
        <f t="shared" ref="CK28:CL28" ca="1" si="275">CK16-CK26</f>
        <v>#NAME?</v>
      </c>
      <c r="CL28" s="26" t="e">
        <f t="shared" ca="1" si="275"/>
        <v>#NAME?</v>
      </c>
      <c r="CM28" s="27" t="e">
        <f t="shared" ca="1" si="273"/>
        <v>#NAME?</v>
      </c>
      <c r="CN28" s="27" t="e">
        <f t="shared" ca="1" si="273"/>
        <v>#NAME?</v>
      </c>
      <c r="CO28" s="27" t="e">
        <f t="shared" ca="1" si="273"/>
        <v>#NAME?</v>
      </c>
      <c r="CP28" s="27" t="e">
        <f t="shared" ca="1" si="273"/>
        <v>#NAME?</v>
      </c>
      <c r="CQ28" s="27" t="e">
        <f t="shared" ca="1" si="273"/>
        <v>#NAME?</v>
      </c>
      <c r="CR28" s="27" t="e">
        <f t="shared" ca="1" si="273"/>
        <v>#NAME?</v>
      </c>
      <c r="CS28" s="27" t="e">
        <f t="shared" ca="1" si="273"/>
        <v>#NAME?</v>
      </c>
      <c r="CT28" s="27" t="e">
        <f t="shared" ca="1" si="273"/>
        <v>#NAME?</v>
      </c>
      <c r="CU28" s="27" t="e">
        <f t="shared" ref="CU28:DB28" ca="1" si="276">CU16-CU26</f>
        <v>#NAME?</v>
      </c>
      <c r="CV28" s="27" t="e">
        <f t="shared" ca="1" si="276"/>
        <v>#NAME?</v>
      </c>
      <c r="CW28" s="27" t="e">
        <f t="shared" ca="1" si="276"/>
        <v>#NAME?</v>
      </c>
      <c r="CX28" s="27" t="e">
        <f t="shared" ca="1" si="276"/>
        <v>#NAME?</v>
      </c>
      <c r="CY28" s="27" t="e">
        <f t="shared" ca="1" si="276"/>
        <v>#NAME?</v>
      </c>
      <c r="CZ28" s="27" t="e">
        <f t="shared" ca="1" si="276"/>
        <v>#NAME?</v>
      </c>
      <c r="DA28" s="27" t="e">
        <f t="shared" ca="1" si="276"/>
        <v>#NAME?</v>
      </c>
      <c r="DB28" s="27" t="e">
        <f t="shared" ca="1" si="276"/>
        <v>#NAME?</v>
      </c>
      <c r="DE28" s="121"/>
      <c r="DF28" s="26">
        <v>13989.119999999992</v>
      </c>
    </row>
    <row r="29" spans="1:110" s="168" customFormat="1" x14ac:dyDescent="0.2">
      <c r="A29" s="165" t="s">
        <v>14</v>
      </c>
      <c r="B29" s="166" t="e">
        <f t="shared" ref="B29:E29" ca="1" si="277">B28/B10</f>
        <v>#NAME?</v>
      </c>
      <c r="C29" s="166" t="e">
        <f t="shared" ca="1" si="277"/>
        <v>#NAME?</v>
      </c>
      <c r="D29" s="166" t="e">
        <f t="shared" ca="1" si="277"/>
        <v>#NAME?</v>
      </c>
      <c r="E29" s="166" t="e">
        <f t="shared" ca="1" si="277"/>
        <v>#NAME?</v>
      </c>
      <c r="F29" s="166" t="e">
        <f t="shared" ref="F29:AE29" ca="1" si="278">F28/F10</f>
        <v>#NAME?</v>
      </c>
      <c r="G29" s="166" t="e">
        <f t="shared" ca="1" si="278"/>
        <v>#NAME?</v>
      </c>
      <c r="H29" s="166" t="e">
        <f t="shared" ca="1" si="278"/>
        <v>#NAME?</v>
      </c>
      <c r="I29" s="166" t="e">
        <f t="shared" ca="1" si="278"/>
        <v>#NAME?</v>
      </c>
      <c r="J29" s="166" t="e">
        <f t="shared" ca="1" si="278"/>
        <v>#NAME?</v>
      </c>
      <c r="K29" s="166" t="e">
        <f t="shared" ca="1" si="278"/>
        <v>#NAME?</v>
      </c>
      <c r="L29" s="166" t="e">
        <f t="shared" ca="1" si="278"/>
        <v>#NAME?</v>
      </c>
      <c r="M29" s="166" t="e">
        <f t="shared" ca="1" si="278"/>
        <v>#NAME?</v>
      </c>
      <c r="N29" s="166" t="e">
        <f t="shared" ca="1" si="278"/>
        <v>#NAME?</v>
      </c>
      <c r="O29" s="166" t="e">
        <f t="shared" ca="1" si="278"/>
        <v>#NAME?</v>
      </c>
      <c r="P29" s="166" t="e">
        <f t="shared" ca="1" si="278"/>
        <v>#NAME?</v>
      </c>
      <c r="Q29" s="166" t="e">
        <f t="shared" ca="1" si="278"/>
        <v>#NAME?</v>
      </c>
      <c r="R29" s="166" t="e">
        <f t="shared" ca="1" si="278"/>
        <v>#NAME?</v>
      </c>
      <c r="S29" s="166" t="e">
        <f t="shared" ca="1" si="278"/>
        <v>#NAME?</v>
      </c>
      <c r="T29" s="166" t="e">
        <f t="shared" ca="1" si="278"/>
        <v>#NAME?</v>
      </c>
      <c r="U29" s="166" t="e">
        <f t="shared" ca="1" si="278"/>
        <v>#NAME?</v>
      </c>
      <c r="V29" s="166" t="e">
        <f t="shared" ca="1" si="278"/>
        <v>#NAME?</v>
      </c>
      <c r="W29" s="166" t="e">
        <f t="shared" ca="1" si="278"/>
        <v>#NAME?</v>
      </c>
      <c r="X29" s="166" t="e">
        <f t="shared" ca="1" si="278"/>
        <v>#NAME?</v>
      </c>
      <c r="Y29" s="166" t="e">
        <f t="shared" ca="1" si="278"/>
        <v>#NAME?</v>
      </c>
      <c r="Z29" s="166" t="e">
        <f t="shared" ref="Z29:AA29" ca="1" si="279">Z28/Z10</f>
        <v>#NAME?</v>
      </c>
      <c r="AA29" s="166" t="e">
        <f t="shared" ca="1" si="279"/>
        <v>#NAME?</v>
      </c>
      <c r="AB29" s="167" t="e">
        <f t="shared" ca="1" si="278"/>
        <v>#NAME?</v>
      </c>
      <c r="AC29" s="167" t="e">
        <f t="shared" ca="1" si="278"/>
        <v>#NAME?</v>
      </c>
      <c r="AD29" s="167" t="e">
        <f t="shared" ca="1" si="278"/>
        <v>#NAME?</v>
      </c>
      <c r="AE29" s="167" t="e">
        <f t="shared" ca="1" si="278"/>
        <v>#NAME?</v>
      </c>
      <c r="AI29" s="166" t="e">
        <f t="shared" ref="AI29:BN29" ca="1" si="280">AI28/AI10</f>
        <v>#NAME?</v>
      </c>
      <c r="AJ29" s="166" t="e">
        <f t="shared" ca="1" si="280"/>
        <v>#NAME?</v>
      </c>
      <c r="AK29" s="166" t="e">
        <f t="shared" ca="1" si="280"/>
        <v>#NAME?</v>
      </c>
      <c r="AL29" s="166" t="e">
        <f t="shared" ca="1" si="280"/>
        <v>#NAME?</v>
      </c>
      <c r="AM29" s="166" t="e">
        <f t="shared" ca="1" si="280"/>
        <v>#NAME?</v>
      </c>
      <c r="AN29" s="166" t="e">
        <f t="shared" ca="1" si="280"/>
        <v>#NAME?</v>
      </c>
      <c r="AO29" s="166" t="e">
        <f t="shared" ca="1" si="280"/>
        <v>#NAME?</v>
      </c>
      <c r="AP29" s="166" t="e">
        <f t="shared" ca="1" si="280"/>
        <v>#NAME?</v>
      </c>
      <c r="AQ29" s="166" t="e">
        <f t="shared" ca="1" si="280"/>
        <v>#NAME?</v>
      </c>
      <c r="AR29" s="166" t="e">
        <f t="shared" ca="1" si="280"/>
        <v>#NAME?</v>
      </c>
      <c r="AS29" s="166" t="e">
        <f t="shared" ca="1" si="280"/>
        <v>#NAME?</v>
      </c>
      <c r="AT29" s="166" t="e">
        <f t="shared" ca="1" si="280"/>
        <v>#NAME?</v>
      </c>
      <c r="AU29" s="166" t="e">
        <f t="shared" ca="1" si="280"/>
        <v>#NAME?</v>
      </c>
      <c r="AV29" s="166" t="e">
        <f t="shared" ca="1" si="280"/>
        <v>#NAME?</v>
      </c>
      <c r="AW29" s="166" t="e">
        <f t="shared" ca="1" si="280"/>
        <v>#NAME?</v>
      </c>
      <c r="AX29" s="166" t="e">
        <f t="shared" ca="1" si="280"/>
        <v>#NAME?</v>
      </c>
      <c r="AY29" s="166" t="e">
        <f t="shared" ca="1" si="280"/>
        <v>#NAME?</v>
      </c>
      <c r="AZ29" s="166" t="e">
        <f t="shared" ca="1" si="280"/>
        <v>#NAME?</v>
      </c>
      <c r="BA29" s="166" t="e">
        <f t="shared" ca="1" si="280"/>
        <v>#NAME?</v>
      </c>
      <c r="BB29" s="166" t="e">
        <f t="shared" ca="1" si="280"/>
        <v>#NAME?</v>
      </c>
      <c r="BC29" s="166" t="e">
        <f t="shared" ca="1" si="280"/>
        <v>#NAME?</v>
      </c>
      <c r="BD29" s="166" t="e">
        <f t="shared" ca="1" si="280"/>
        <v>#NAME?</v>
      </c>
      <c r="BE29" s="166" t="e">
        <f t="shared" ca="1" si="280"/>
        <v>#NAME?</v>
      </c>
      <c r="BF29" s="166" t="e">
        <f t="shared" ca="1" si="280"/>
        <v>#NAME?</v>
      </c>
      <c r="BG29" s="166" t="e">
        <f t="shared" ca="1" si="280"/>
        <v>#NAME?</v>
      </c>
      <c r="BH29" s="166" t="e">
        <f t="shared" ca="1" si="280"/>
        <v>#NAME?</v>
      </c>
      <c r="BI29" s="166" t="e">
        <f t="shared" ca="1" si="280"/>
        <v>#NAME?</v>
      </c>
      <c r="BJ29" s="166" t="e">
        <f t="shared" ca="1" si="280"/>
        <v>#NAME?</v>
      </c>
      <c r="BK29" s="166" t="e">
        <f t="shared" ca="1" si="280"/>
        <v>#NAME?</v>
      </c>
      <c r="BL29" s="166" t="e">
        <f t="shared" ca="1" si="280"/>
        <v>#NAME?</v>
      </c>
      <c r="BM29" s="166" t="e">
        <f t="shared" ca="1" si="280"/>
        <v>#NAME?</v>
      </c>
      <c r="BN29" s="166" t="e">
        <f t="shared" ca="1" si="280"/>
        <v>#NAME?</v>
      </c>
      <c r="BO29" s="166" t="e">
        <f t="shared" ref="BO29:CT29" ca="1" si="281">BO28/BO10</f>
        <v>#NAME?</v>
      </c>
      <c r="BP29" s="166" t="e">
        <f t="shared" ca="1" si="281"/>
        <v>#NAME?</v>
      </c>
      <c r="BQ29" s="166" t="e">
        <f t="shared" ca="1" si="281"/>
        <v>#NAME?</v>
      </c>
      <c r="BR29" s="166" t="e">
        <f t="shared" ca="1" si="281"/>
        <v>#NAME?</v>
      </c>
      <c r="BS29" s="166" t="e">
        <f t="shared" ca="1" si="281"/>
        <v>#NAME?</v>
      </c>
      <c r="BT29" s="166" t="e">
        <f t="shared" ca="1" si="281"/>
        <v>#NAME?</v>
      </c>
      <c r="BU29" s="166" t="e">
        <f t="shared" ca="1" si="281"/>
        <v>#NAME?</v>
      </c>
      <c r="BV29" s="166" t="e">
        <f t="shared" ca="1" si="281"/>
        <v>#NAME?</v>
      </c>
      <c r="BW29" s="166" t="e">
        <f t="shared" ca="1" si="281"/>
        <v>#NAME?</v>
      </c>
      <c r="BX29" s="166" t="e">
        <f t="shared" ca="1" si="281"/>
        <v>#NAME?</v>
      </c>
      <c r="BY29" s="166" t="e">
        <f t="shared" ca="1" si="281"/>
        <v>#NAME?</v>
      </c>
      <c r="BZ29" s="166" t="e">
        <f t="shared" ca="1" si="281"/>
        <v>#NAME?</v>
      </c>
      <c r="CA29" s="166" t="e">
        <f t="shared" ca="1" si="281"/>
        <v>#NAME?</v>
      </c>
      <c r="CB29" s="166" t="e">
        <f t="shared" ca="1" si="281"/>
        <v>#NAME?</v>
      </c>
      <c r="CC29" s="166" t="e">
        <f t="shared" ca="1" si="281"/>
        <v>#NAME?</v>
      </c>
      <c r="CD29" s="166" t="e">
        <f t="shared" ca="1" si="281"/>
        <v>#NAME?</v>
      </c>
      <c r="CE29" s="166" t="e">
        <f t="shared" ca="1" si="281"/>
        <v>#NAME?</v>
      </c>
      <c r="CF29" s="166" t="e">
        <f t="shared" ca="1" si="281"/>
        <v>#NAME?</v>
      </c>
      <c r="CG29" s="166" t="e">
        <f t="shared" ca="1" si="281"/>
        <v>#NAME?</v>
      </c>
      <c r="CH29" s="166" t="e">
        <f t="shared" ca="1" si="281"/>
        <v>#NAME?</v>
      </c>
      <c r="CI29" s="166" t="e">
        <f t="shared" ref="CI29:CJ29" ca="1" si="282">CI28/CI10</f>
        <v>#NAME?</v>
      </c>
      <c r="CJ29" s="166" t="e">
        <f t="shared" ca="1" si="282"/>
        <v>#NAME?</v>
      </c>
      <c r="CK29" s="166" t="e">
        <f t="shared" ref="CK29:CL29" ca="1" si="283">CK28/CK10</f>
        <v>#NAME?</v>
      </c>
      <c r="CL29" s="166" t="e">
        <f t="shared" ca="1" si="283"/>
        <v>#NAME?</v>
      </c>
      <c r="CM29" s="167" t="e">
        <f t="shared" ca="1" si="281"/>
        <v>#NAME?</v>
      </c>
      <c r="CN29" s="167" t="e">
        <f t="shared" ca="1" si="281"/>
        <v>#NAME?</v>
      </c>
      <c r="CO29" s="167" t="e">
        <f t="shared" ca="1" si="281"/>
        <v>#NAME?</v>
      </c>
      <c r="CP29" s="167" t="e">
        <f t="shared" ca="1" si="281"/>
        <v>#NAME?</v>
      </c>
      <c r="CQ29" s="167" t="e">
        <f t="shared" ca="1" si="281"/>
        <v>#NAME?</v>
      </c>
      <c r="CR29" s="167" t="e">
        <f t="shared" ca="1" si="281"/>
        <v>#NAME?</v>
      </c>
      <c r="CS29" s="167" t="e">
        <f t="shared" ca="1" si="281"/>
        <v>#NAME?</v>
      </c>
      <c r="CT29" s="167" t="e">
        <f t="shared" ca="1" si="281"/>
        <v>#NAME?</v>
      </c>
      <c r="CU29" s="167" t="e">
        <f t="shared" ref="CU29:DB29" ca="1" si="284">CU28/CU10</f>
        <v>#NAME?</v>
      </c>
      <c r="CV29" s="167" t="e">
        <f t="shared" ca="1" si="284"/>
        <v>#NAME?</v>
      </c>
      <c r="CW29" s="167" t="e">
        <f t="shared" ca="1" si="284"/>
        <v>#NAME?</v>
      </c>
      <c r="CX29" s="167" t="e">
        <f t="shared" ca="1" si="284"/>
        <v>#NAME?</v>
      </c>
      <c r="CY29" s="167" t="e">
        <f t="shared" ca="1" si="284"/>
        <v>#NAME?</v>
      </c>
      <c r="CZ29" s="167" t="e">
        <f t="shared" ca="1" si="284"/>
        <v>#NAME?</v>
      </c>
      <c r="DA29" s="167" t="e">
        <f t="shared" ca="1" si="284"/>
        <v>#NAME?</v>
      </c>
      <c r="DB29" s="167" t="e">
        <f t="shared" ca="1" si="284"/>
        <v>#NAME?</v>
      </c>
      <c r="DE29" s="169"/>
      <c r="DF29" s="168">
        <v>0.13923871346483235</v>
      </c>
    </row>
    <row r="30" spans="1:110" s="38" customFormat="1" x14ac:dyDescent="0.2">
      <c r="A30" s="39" t="s">
        <v>449</v>
      </c>
      <c r="B30" s="39"/>
      <c r="C30" s="39" t="e">
        <f t="shared" ref="C30:E30" ca="1" si="285">+IF(B28&lt;0,1-C28/B28,C28/B28-1)</f>
        <v>#NAME?</v>
      </c>
      <c r="D30" s="39" t="e">
        <f t="shared" ca="1" si="285"/>
        <v>#NAME?</v>
      </c>
      <c r="E30" s="39" t="e">
        <f t="shared" ca="1" si="285"/>
        <v>#NAME?</v>
      </c>
      <c r="F30" s="39" t="e">
        <f t="shared" ref="F30:Y30" ca="1" si="286">+IF(E28&lt;0,1-F28/E28,F28/E28-1)</f>
        <v>#NAME?</v>
      </c>
      <c r="G30" s="39" t="e">
        <f t="shared" ca="1" si="286"/>
        <v>#NAME?</v>
      </c>
      <c r="H30" s="39" t="e">
        <f t="shared" ca="1" si="286"/>
        <v>#NAME?</v>
      </c>
      <c r="I30" s="39" t="e">
        <f t="shared" ca="1" si="286"/>
        <v>#NAME?</v>
      </c>
      <c r="J30" s="39" t="e">
        <f t="shared" ca="1" si="286"/>
        <v>#NAME?</v>
      </c>
      <c r="K30" s="39" t="e">
        <f t="shared" ca="1" si="286"/>
        <v>#NAME?</v>
      </c>
      <c r="L30" s="39" t="e">
        <f t="shared" ca="1" si="286"/>
        <v>#NAME?</v>
      </c>
      <c r="M30" s="39" t="e">
        <f t="shared" ca="1" si="286"/>
        <v>#NAME?</v>
      </c>
      <c r="N30" s="39" t="e">
        <f t="shared" ca="1" si="286"/>
        <v>#NAME?</v>
      </c>
      <c r="O30" s="39" t="e">
        <f t="shared" ca="1" si="286"/>
        <v>#NAME?</v>
      </c>
      <c r="P30" s="39" t="e">
        <f t="shared" ca="1" si="286"/>
        <v>#NAME?</v>
      </c>
      <c r="Q30" s="39" t="e">
        <f t="shared" ca="1" si="286"/>
        <v>#NAME?</v>
      </c>
      <c r="R30" s="39" t="e">
        <f t="shared" ca="1" si="286"/>
        <v>#NAME?</v>
      </c>
      <c r="S30" s="39" t="e">
        <f t="shared" ca="1" si="286"/>
        <v>#NAME?</v>
      </c>
      <c r="T30" s="39" t="e">
        <f t="shared" ca="1" si="286"/>
        <v>#NAME?</v>
      </c>
      <c r="U30" s="39" t="e">
        <f t="shared" ca="1" si="286"/>
        <v>#NAME?</v>
      </c>
      <c r="V30" s="39" t="e">
        <f t="shared" ca="1" si="286"/>
        <v>#NAME?</v>
      </c>
      <c r="W30" s="39" t="e">
        <f t="shared" ca="1" si="286"/>
        <v>#NAME?</v>
      </c>
      <c r="X30" s="39" t="e">
        <f t="shared" ca="1" si="286"/>
        <v>#NAME?</v>
      </c>
      <c r="Y30" s="39" t="e">
        <f t="shared" ca="1" si="286"/>
        <v>#NAME?</v>
      </c>
      <c r="Z30" s="39" t="e">
        <f t="shared" ref="Z30:AE30" ca="1" si="287">+IF(Y28&lt;0,1-Z28/Y28,Z28/Y28-1)</f>
        <v>#NAME?</v>
      </c>
      <c r="AA30" s="39" t="e">
        <f t="shared" ca="1" si="287"/>
        <v>#NAME?</v>
      </c>
      <c r="AB30" s="40" t="e">
        <f t="shared" ca="1" si="287"/>
        <v>#NAME?</v>
      </c>
      <c r="AC30" s="40" t="e">
        <f t="shared" ca="1" si="287"/>
        <v>#NAME?</v>
      </c>
      <c r="AD30" s="40" t="e">
        <f t="shared" ca="1" si="287"/>
        <v>#NAME?</v>
      </c>
      <c r="AE30" s="40" t="e">
        <f t="shared" ca="1" si="287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88">+IF(AJ28&lt;0,1-AN28/AJ28,AN28/AJ28-1)</f>
        <v>#NAME?</v>
      </c>
      <c r="AO30" s="39" t="e">
        <f t="shared" ref="AO30" ca="1" si="289">+IF(AK28&lt;0,1-AO28/AK28,AO28/AK28-1)</f>
        <v>#NAME?</v>
      </c>
      <c r="AP30" s="39" t="e">
        <f t="shared" ref="AP30" ca="1" si="290">+IF(AL28&lt;0,1-AP28/AL28,AP28/AL28-1)</f>
        <v>#NAME?</v>
      </c>
      <c r="AQ30" s="39" t="e">
        <f t="shared" ref="AQ30" ca="1" si="291">+IF(AM28&lt;0,1-AQ28/AM28,AQ28/AM28-1)</f>
        <v>#NAME?</v>
      </c>
      <c r="AR30" s="39" t="e">
        <f t="shared" ref="AR30" ca="1" si="292">+IF(AN28&lt;0,1-AR28/AN28,AR28/AN28-1)</f>
        <v>#NAME?</v>
      </c>
      <c r="AS30" s="39" t="e">
        <f t="shared" ref="AS30" ca="1" si="293">+IF(AO28&lt;0,1-AS28/AO28,AS28/AO28-1)</f>
        <v>#NAME?</v>
      </c>
      <c r="AT30" s="39" t="e">
        <f t="shared" ref="AT30" ca="1" si="294">+IF(AP28&lt;0,1-AT28/AP28,AT28/AP28-1)</f>
        <v>#NAME?</v>
      </c>
      <c r="AU30" s="39" t="e">
        <f t="shared" ref="AU30" ca="1" si="295">+IF(AQ28&lt;0,1-AU28/AQ28,AU28/AQ28-1)</f>
        <v>#NAME?</v>
      </c>
      <c r="AV30" s="39" t="e">
        <f t="shared" ref="AV30" ca="1" si="296">+IF(AR28&lt;0,1-AV28/AR28,AV28/AR28-1)</f>
        <v>#NAME?</v>
      </c>
      <c r="AW30" s="39" t="e">
        <f t="shared" ref="AW30" ca="1" si="297">+IF(AS28&lt;0,1-AW28/AS28,AW28/AS28-1)</f>
        <v>#NAME?</v>
      </c>
      <c r="AX30" s="39" t="e">
        <f t="shared" ref="AX30" ca="1" si="298">+IF(AT28&lt;0,1-AX28/AT28,AX28/AT28-1)</f>
        <v>#NAME?</v>
      </c>
      <c r="AY30" s="39" t="e">
        <f t="shared" ref="AY30" ca="1" si="299">+IF(AU28&lt;0,1-AY28/AU28,AY28/AU28-1)</f>
        <v>#NAME?</v>
      </c>
      <c r="AZ30" s="39" t="e">
        <f t="shared" ref="AZ30" ca="1" si="300">+IF(AV28&lt;0,1-AZ28/AV28,AZ28/AV28-1)</f>
        <v>#NAME?</v>
      </c>
      <c r="BA30" s="39" t="e">
        <f t="shared" ref="BA30" ca="1" si="301">+IF(AW28&lt;0,1-BA28/AW28,BA28/AW28-1)</f>
        <v>#NAME?</v>
      </c>
      <c r="BB30" s="39" t="e">
        <f t="shared" ref="BB30" ca="1" si="302">+IF(AX28&lt;0,1-BB28/AX28,BB28/AX28-1)</f>
        <v>#NAME?</v>
      </c>
      <c r="BC30" s="39" t="e">
        <f t="shared" ref="BC30" ca="1" si="303">+IF(AY28&lt;0,1-BC28/AY28,BC28/AY28-1)</f>
        <v>#NAME?</v>
      </c>
      <c r="BD30" s="39" t="e">
        <f t="shared" ref="BD30" ca="1" si="304">+IF(AZ28&lt;0,1-BD28/AZ28,BD28/AZ28-1)</f>
        <v>#NAME?</v>
      </c>
      <c r="BE30" s="39" t="e">
        <f t="shared" ref="BE30" ca="1" si="305">+IF(BA28&lt;0,1-BE28/BA28,BE28/BA28-1)</f>
        <v>#NAME?</v>
      </c>
      <c r="BF30" s="39" t="e">
        <f t="shared" ref="BF30" ca="1" si="306">+IF(BB28&lt;0,1-BF28/BB28,BF28/BB28-1)</f>
        <v>#NAME?</v>
      </c>
      <c r="BG30" s="39" t="e">
        <f t="shared" ref="BG30" ca="1" si="307">+IF(BC28&lt;0,1-BG28/BC28,BG28/BC28-1)</f>
        <v>#NAME?</v>
      </c>
      <c r="BH30" s="39" t="e">
        <f t="shared" ref="BH30" ca="1" si="308">+IF(BD28&lt;0,1-BH28/BD28,BH28/BD28-1)</f>
        <v>#NAME?</v>
      </c>
      <c r="BI30" s="39" t="e">
        <f t="shared" ref="BI30" ca="1" si="309">+IF(BE28&lt;0,1-BI28/BE28,BI28/BE28-1)</f>
        <v>#NAME?</v>
      </c>
      <c r="BJ30" s="39" t="e">
        <f t="shared" ref="BJ30" ca="1" si="310">+IF(BF28&lt;0,1-BJ28/BF28,BJ28/BF28-1)</f>
        <v>#NAME?</v>
      </c>
      <c r="BK30" s="39" t="e">
        <f t="shared" ref="BK30" ca="1" si="311">+IF(BG28&lt;0,1-BK28/BG28,BK28/BG28-1)</f>
        <v>#NAME?</v>
      </c>
      <c r="BL30" s="39" t="e">
        <f t="shared" ref="BL30" ca="1" si="312">+IF(BH28&lt;0,1-BL28/BH28,BL28/BH28-1)</f>
        <v>#NAME?</v>
      </c>
      <c r="BM30" s="39" t="e">
        <f t="shared" ref="BM30" ca="1" si="313">+IF(BI28&lt;0,1-BM28/BI28,BM28/BI28-1)</f>
        <v>#NAME?</v>
      </c>
      <c r="BN30" s="39" t="e">
        <f t="shared" ref="BN30" ca="1" si="314">+IF(BJ28&lt;0,1-BN28/BJ28,BN28/BJ28-1)</f>
        <v>#NAME?</v>
      </c>
      <c r="BO30" s="39" t="e">
        <f t="shared" ref="BO30" ca="1" si="315">+IF(BK28&lt;0,1-BO28/BK28,BO28/BK28-1)</f>
        <v>#NAME?</v>
      </c>
      <c r="BP30" s="39" t="e">
        <f t="shared" ref="BP30" ca="1" si="316">+IF(BL28&lt;0,1-BP28/BL28,BP28/BL28-1)</f>
        <v>#NAME?</v>
      </c>
      <c r="BQ30" s="39" t="e">
        <f t="shared" ref="BQ30" ca="1" si="317">+IF(BM28&lt;0,1-BQ28/BM28,BQ28/BM28-1)</f>
        <v>#NAME?</v>
      </c>
      <c r="BR30" s="39" t="e">
        <f t="shared" ref="BR30" ca="1" si="318">+IF(BN28&lt;0,1-BR28/BN28,BR28/BN28-1)</f>
        <v>#NAME?</v>
      </c>
      <c r="BS30" s="39" t="e">
        <f t="shared" ref="BS30" ca="1" si="319">+IF(BO28&lt;0,1-BS28/BO28,BS28/BO28-1)</f>
        <v>#NAME?</v>
      </c>
      <c r="BT30" s="39" t="e">
        <f t="shared" ref="BT30" ca="1" si="320">+IF(BP28&lt;0,1-BT28/BP28,BT28/BP28-1)</f>
        <v>#NAME?</v>
      </c>
      <c r="BU30" s="39" t="e">
        <f t="shared" ref="BU30" ca="1" si="321">+IF(BQ28&lt;0,1-BU28/BQ28,BU28/BQ28-1)</f>
        <v>#NAME?</v>
      </c>
      <c r="BV30" s="39" t="e">
        <f t="shared" ref="BV30" ca="1" si="322">+IF(BR28&lt;0,1-BV28/BR28,BV28/BR28-1)</f>
        <v>#NAME?</v>
      </c>
      <c r="BW30" s="39" t="e">
        <f t="shared" ref="BW30" ca="1" si="323">+IF(BS28&lt;0,1-BW28/BS28,BW28/BS28-1)</f>
        <v>#NAME?</v>
      </c>
      <c r="BX30" s="39" t="e">
        <f t="shared" ref="BX30" ca="1" si="324">+IF(BT28&lt;0,1-BX28/BT28,BX28/BT28-1)</f>
        <v>#NAME?</v>
      </c>
      <c r="BY30" s="39" t="e">
        <f t="shared" ref="BY30" ca="1" si="325">+IF(BU28&lt;0,1-BY28/BU28,BY28/BU28-1)</f>
        <v>#NAME?</v>
      </c>
      <c r="BZ30" s="39" t="e">
        <f t="shared" ref="BZ30" ca="1" si="326">+IF(BV28&lt;0,1-BZ28/BV28,BZ28/BV28-1)</f>
        <v>#NAME?</v>
      </c>
      <c r="CA30" s="39" t="e">
        <f t="shared" ref="CA30" ca="1" si="327">+IF(BW28&lt;0,1-CA28/BW28,CA28/BW28-1)</f>
        <v>#NAME?</v>
      </c>
      <c r="CB30" s="39" t="e">
        <f t="shared" ref="CB30" ca="1" si="328">+IF(BX28&lt;0,1-CB28/BX28,CB28/BX28-1)</f>
        <v>#NAME?</v>
      </c>
      <c r="CC30" s="39" t="e">
        <f t="shared" ref="CC30" ca="1" si="329">+IF(BY28&lt;0,1-CC28/BY28,CC28/BY28-1)</f>
        <v>#NAME?</v>
      </c>
      <c r="CD30" s="39" t="e">
        <f t="shared" ref="CD30" ca="1" si="330">+IF(BZ28&lt;0,1-CD28/BZ28,CD28/BZ28-1)</f>
        <v>#NAME?</v>
      </c>
      <c r="CE30" s="39" t="e">
        <f t="shared" ref="CE30" ca="1" si="331">+IF(CA28&lt;0,1-CE28/CA28,CE28/CA28-1)</f>
        <v>#NAME?</v>
      </c>
      <c r="CF30" s="39" t="e">
        <f t="shared" ref="CF30" ca="1" si="332">+IF(CB28&lt;0,1-CF28/CB28,CF28/CB28-1)</f>
        <v>#NAME?</v>
      </c>
      <c r="CG30" s="39" t="e">
        <f t="shared" ref="CG30" ca="1" si="333">+IF(CC28&lt;0,1-CG28/CC28,CG28/CC28-1)</f>
        <v>#NAME?</v>
      </c>
      <c r="CH30" s="39" t="e">
        <f t="shared" ref="CH30:CL30" ca="1" si="334">+IF(CD28&lt;0,1-CH28/CD28,CH28/CD28-1)</f>
        <v>#NAME?</v>
      </c>
      <c r="CI30" s="39" t="e">
        <f t="shared" ca="1" si="334"/>
        <v>#NAME?</v>
      </c>
      <c r="CJ30" s="39" t="e">
        <f t="shared" ca="1" si="334"/>
        <v>#NAME?</v>
      </c>
      <c r="CK30" s="39" t="e">
        <f t="shared" ca="1" si="334"/>
        <v>#NAME?</v>
      </c>
      <c r="CL30" s="39" t="e">
        <f t="shared" ca="1" si="334"/>
        <v>#NAME?</v>
      </c>
      <c r="CM30" s="40" t="e">
        <f t="shared" ref="CM30" ca="1" si="335">+CM28/CI28-1</f>
        <v>#NAME?</v>
      </c>
      <c r="CN30" s="40" t="e">
        <f t="shared" ref="CN30" ca="1" si="336">+CN28/CJ28-1</f>
        <v>#NAME?</v>
      </c>
      <c r="CO30" s="40" t="e">
        <f t="shared" ref="CO30" ca="1" si="337">+CO28/CK28-1</f>
        <v>#NAME?</v>
      </c>
      <c r="CP30" s="40" t="e">
        <f t="shared" ref="CP30" ca="1" si="338">+CP28/CL28-1</f>
        <v>#NAME?</v>
      </c>
      <c r="CQ30" s="40" t="e">
        <f t="shared" ref="CQ30" ca="1" si="339">+CQ28/CM28-1</f>
        <v>#NAME?</v>
      </c>
      <c r="CR30" s="40" t="e">
        <f t="shared" ref="CR30" ca="1" si="340">+CR28/CN28-1</f>
        <v>#NAME?</v>
      </c>
      <c r="CS30" s="40" t="e">
        <f t="shared" ref="CS30" ca="1" si="341">+CS28/CO28-1</f>
        <v>#NAME?</v>
      </c>
      <c r="CT30" s="40" t="e">
        <f t="shared" ref="CT30" ca="1" si="342">+CT28/CP28-1</f>
        <v>#NAME?</v>
      </c>
      <c r="CU30" s="40" t="e">
        <f t="shared" ref="CU30" ca="1" si="343">+CU28/CQ28-1</f>
        <v>#NAME?</v>
      </c>
      <c r="CV30" s="40" t="e">
        <f t="shared" ref="CV30" ca="1" si="344">+CV28/CR28-1</f>
        <v>#NAME?</v>
      </c>
      <c r="CW30" s="40" t="e">
        <f t="shared" ref="CW30" ca="1" si="345">+CW28/CS28-1</f>
        <v>#NAME?</v>
      </c>
      <c r="CX30" s="40" t="e">
        <f t="shared" ref="CX30" ca="1" si="346">+CX28/CT28-1</f>
        <v>#NAME?</v>
      </c>
      <c r="CY30" s="40" t="e">
        <f t="shared" ref="CY30" ca="1" si="347">+CY28/CU28-1</f>
        <v>#NAME?</v>
      </c>
      <c r="CZ30" s="40" t="e">
        <f t="shared" ref="CZ30" ca="1" si="348">+CZ28/CV28-1</f>
        <v>#NAME?</v>
      </c>
      <c r="DA30" s="40" t="e">
        <f t="shared" ref="DA30" ca="1" si="349">+DA28/CW28-1</f>
        <v>#NAME?</v>
      </c>
      <c r="DB30" s="40" t="e">
        <f t="shared" ref="DB30" ca="1" si="350">+DB28/CX28-1</f>
        <v>#NAME?</v>
      </c>
      <c r="DE30" s="122"/>
      <c r="DF30" s="38">
        <v>-1.8397606956834789E-2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1">+IF(AJ28&lt;0,1-AK28/AJ28,AK28/AJ28-1)</f>
        <v>#NAME?</v>
      </c>
      <c r="AL31" s="39" t="e">
        <f t="shared" ca="1" si="351"/>
        <v>#NAME?</v>
      </c>
      <c r="AM31" s="39" t="e">
        <f t="shared" ca="1" si="351"/>
        <v>#NAME?</v>
      </c>
      <c r="AN31" s="39" t="e">
        <f t="shared" ref="AN31" ca="1" si="352">+IF(AM28&lt;0,1-AN28/AM28,AN28/AM28-1)</f>
        <v>#NAME?</v>
      </c>
      <c r="AO31" s="39" t="e">
        <f t="shared" ref="AO31" ca="1" si="353">+IF(AN28&lt;0,1-AO28/AN28,AO28/AN28-1)</f>
        <v>#NAME?</v>
      </c>
      <c r="AP31" s="39" t="e">
        <f t="shared" ref="AP31" ca="1" si="354">+IF(AO28&lt;0,1-AP28/AO28,AP28/AO28-1)</f>
        <v>#NAME?</v>
      </c>
      <c r="AQ31" s="39" t="e">
        <f t="shared" ref="AQ31" ca="1" si="355">+IF(AP28&lt;0,1-AQ28/AP28,AQ28/AP28-1)</f>
        <v>#NAME?</v>
      </c>
      <c r="AR31" s="39" t="e">
        <f t="shared" ref="AR31" ca="1" si="356">+IF(AQ28&lt;0,1-AR28/AQ28,AR28/AQ28-1)</f>
        <v>#NAME?</v>
      </c>
      <c r="AS31" s="39" t="e">
        <f t="shared" ref="AS31" ca="1" si="357">+IF(AR28&lt;0,1-AS28/AR28,AS28/AR28-1)</f>
        <v>#NAME?</v>
      </c>
      <c r="AT31" s="39" t="e">
        <f t="shared" ref="AT31" ca="1" si="358">+IF(AS28&lt;0,1-AT28/AS28,AT28/AS28-1)</f>
        <v>#NAME?</v>
      </c>
      <c r="AU31" s="39" t="e">
        <f t="shared" ref="AU31" ca="1" si="359">+IF(AT28&lt;0,1-AU28/AT28,AU28/AT28-1)</f>
        <v>#NAME?</v>
      </c>
      <c r="AV31" s="39" t="e">
        <f t="shared" ref="AV31" ca="1" si="360">+IF(AU28&lt;0,1-AV28/AU28,AV28/AU28-1)</f>
        <v>#NAME?</v>
      </c>
      <c r="AW31" s="39" t="e">
        <f t="shared" ref="AW31" ca="1" si="361">+IF(AV28&lt;0,1-AW28/AV28,AW28/AV28-1)</f>
        <v>#NAME?</v>
      </c>
      <c r="AX31" s="39" t="e">
        <f t="shared" ref="AX31" ca="1" si="362">+IF(AW28&lt;0,1-AX28/AW28,AX28/AW28-1)</f>
        <v>#NAME?</v>
      </c>
      <c r="AY31" s="39" t="e">
        <f t="shared" ref="AY31" ca="1" si="363">+IF(AX28&lt;0,1-AY28/AX28,AY28/AX28-1)</f>
        <v>#NAME?</v>
      </c>
      <c r="AZ31" s="39" t="e">
        <f t="shared" ref="AZ31" ca="1" si="364">+IF(AY28&lt;0,1-AZ28/AY28,AZ28/AY28-1)</f>
        <v>#NAME?</v>
      </c>
      <c r="BA31" s="39" t="e">
        <f t="shared" ref="BA31" ca="1" si="365">+IF(AZ28&lt;0,1-BA28/AZ28,BA28/AZ28-1)</f>
        <v>#NAME?</v>
      </c>
      <c r="BB31" s="39" t="e">
        <f t="shared" ref="BB31" ca="1" si="366">+IF(BA28&lt;0,1-BB28/BA28,BB28/BA28-1)</f>
        <v>#NAME?</v>
      </c>
      <c r="BC31" s="39" t="e">
        <f t="shared" ref="BC31" ca="1" si="367">+IF(BB28&lt;0,1-BC28/BB28,BC28/BB28-1)</f>
        <v>#NAME?</v>
      </c>
      <c r="BD31" s="39" t="e">
        <f t="shared" ref="BD31" ca="1" si="368">+IF(BC28&lt;0,1-BD28/BC28,BD28/BC28-1)</f>
        <v>#NAME?</v>
      </c>
      <c r="BE31" s="39" t="e">
        <f t="shared" ref="BE31" ca="1" si="369">+IF(BD28&lt;0,1-BE28/BD28,BE28/BD28-1)</f>
        <v>#NAME?</v>
      </c>
      <c r="BF31" s="39" t="e">
        <f t="shared" ref="BF31" ca="1" si="370">+IF(BE28&lt;0,1-BF28/BE28,BF28/BE28-1)</f>
        <v>#NAME?</v>
      </c>
      <c r="BG31" s="39" t="e">
        <f t="shared" ref="BG31" ca="1" si="371">+IF(BF28&lt;0,1-BG28/BF28,BG28/BF28-1)</f>
        <v>#NAME?</v>
      </c>
      <c r="BH31" s="39" t="e">
        <f t="shared" ref="BH31" ca="1" si="372">+IF(BG28&lt;0,1-BH28/BG28,BH28/BG28-1)</f>
        <v>#NAME?</v>
      </c>
      <c r="BI31" s="39" t="e">
        <f t="shared" ref="BI31" ca="1" si="373">+IF(BH28&lt;0,1-BI28/BH28,BI28/BH28-1)</f>
        <v>#NAME?</v>
      </c>
      <c r="BJ31" s="39" t="e">
        <f t="shared" ref="BJ31" ca="1" si="374">+IF(BI28&lt;0,1-BJ28/BI28,BJ28/BI28-1)</f>
        <v>#NAME?</v>
      </c>
      <c r="BK31" s="39" t="e">
        <f t="shared" ref="BK31" ca="1" si="375">+IF(BJ28&lt;0,1-BK28/BJ28,BK28/BJ28-1)</f>
        <v>#NAME?</v>
      </c>
      <c r="BL31" s="39" t="e">
        <f t="shared" ref="BL31" ca="1" si="376">+IF(BK28&lt;0,1-BL28/BK28,BL28/BK28-1)</f>
        <v>#NAME?</v>
      </c>
      <c r="BM31" s="39" t="e">
        <f t="shared" ref="BM31" ca="1" si="377">+IF(BL28&lt;0,1-BM28/BL28,BM28/BL28-1)</f>
        <v>#NAME?</v>
      </c>
      <c r="BN31" s="39" t="e">
        <f t="shared" ref="BN31" ca="1" si="378">+IF(BM28&lt;0,1-BN28/BM28,BN28/BM28-1)</f>
        <v>#NAME?</v>
      </c>
      <c r="BO31" s="39" t="e">
        <f t="shared" ref="BO31" ca="1" si="379">+IF(BN28&lt;0,1-BO28/BN28,BO28/BN28-1)</f>
        <v>#NAME?</v>
      </c>
      <c r="BP31" s="39" t="e">
        <f t="shared" ref="BP31" ca="1" si="380">+IF(BO28&lt;0,1-BP28/BO28,BP28/BO28-1)</f>
        <v>#NAME?</v>
      </c>
      <c r="BQ31" s="39" t="e">
        <f t="shared" ref="BQ31" ca="1" si="381">+IF(BP28&lt;0,1-BQ28/BP28,BQ28/BP28-1)</f>
        <v>#NAME?</v>
      </c>
      <c r="BR31" s="39" t="e">
        <f t="shared" ref="BR31" ca="1" si="382">+IF(BQ28&lt;0,1-BR28/BQ28,BR28/BQ28-1)</f>
        <v>#NAME?</v>
      </c>
      <c r="BS31" s="39" t="e">
        <f t="shared" ref="BS31" ca="1" si="383">+IF(BR28&lt;0,1-BS28/BR28,BS28/BR28-1)</f>
        <v>#NAME?</v>
      </c>
      <c r="BT31" s="39" t="e">
        <f t="shared" ref="BT31" ca="1" si="384">+IF(BS28&lt;0,1-BT28/BS28,BT28/BS28-1)</f>
        <v>#NAME?</v>
      </c>
      <c r="BU31" s="39" t="e">
        <f t="shared" ref="BU31" ca="1" si="385">+IF(BT28&lt;0,1-BU28/BT28,BU28/BT28-1)</f>
        <v>#NAME?</v>
      </c>
      <c r="BV31" s="39" t="e">
        <f t="shared" ref="BV31" ca="1" si="386">+IF(BU28&lt;0,1-BV28/BU28,BV28/BU28-1)</f>
        <v>#NAME?</v>
      </c>
      <c r="BW31" s="39" t="e">
        <f t="shared" ref="BW31" ca="1" si="387">+IF(BV28&lt;0,1-BW28/BV28,BW28/BV28-1)</f>
        <v>#NAME?</v>
      </c>
      <c r="BX31" s="39" t="e">
        <f t="shared" ref="BX31" ca="1" si="388">+IF(BW28&lt;0,1-BX28/BW28,BX28/BW28-1)</f>
        <v>#NAME?</v>
      </c>
      <c r="BY31" s="39" t="e">
        <f t="shared" ref="BY31" ca="1" si="389">+IF(BX28&lt;0,1-BY28/BX28,BY28/BX28-1)</f>
        <v>#NAME?</v>
      </c>
      <c r="BZ31" s="39" t="e">
        <f t="shared" ref="BZ31" ca="1" si="390">+IF(BY28&lt;0,1-BZ28/BY28,BZ28/BY28-1)</f>
        <v>#NAME?</v>
      </c>
      <c r="CA31" s="39" t="e">
        <f t="shared" ref="CA31" ca="1" si="391">+IF(BZ28&lt;0,1-CA28/BZ28,CA28/BZ28-1)</f>
        <v>#NAME?</v>
      </c>
      <c r="CB31" s="39" t="e">
        <f t="shared" ref="CB31" ca="1" si="392">+IF(CA28&lt;0,1-CB28/CA28,CB28/CA28-1)</f>
        <v>#NAME?</v>
      </c>
      <c r="CC31" s="39" t="e">
        <f t="shared" ref="CC31" ca="1" si="393">+IF(CB28&lt;0,1-CC28/CB28,CC28/CB28-1)</f>
        <v>#NAME?</v>
      </c>
      <c r="CD31" s="39" t="e">
        <f t="shared" ref="CD31" ca="1" si="394">+IF(CC28&lt;0,1-CD28/CC28,CD28/CC28-1)</f>
        <v>#NAME?</v>
      </c>
      <c r="CE31" s="39" t="e">
        <f t="shared" ref="CE31" ca="1" si="395">+IF(CD28&lt;0,1-CE28/CD28,CE28/CD28-1)</f>
        <v>#NAME?</v>
      </c>
      <c r="CF31" s="39" t="e">
        <f t="shared" ref="CF31" ca="1" si="396">+IF(CE28&lt;0,1-CF28/CE28,CF28/CE28-1)</f>
        <v>#NAME?</v>
      </c>
      <c r="CG31" s="39" t="e">
        <f t="shared" ref="CG31" ca="1" si="397">+IF(CF28&lt;0,1-CG28/CF28,CG28/CF28-1)</f>
        <v>#NAME?</v>
      </c>
      <c r="CH31" s="39" t="e">
        <f t="shared" ref="CH31:CI31" ca="1" si="398">+IF(CG28&lt;0,1-CH28/CG28,CH28/CG28-1)</f>
        <v>#NAME?</v>
      </c>
      <c r="CI31" s="39" t="e">
        <f t="shared" ca="1" si="398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399">+CM28/CL28-1</f>
        <v>#NAME?</v>
      </c>
      <c r="CN31" s="40" t="e">
        <f t="shared" ref="CN31" ca="1" si="400">+CN28/CM28-1</f>
        <v>#NAME?</v>
      </c>
      <c r="CO31" s="40" t="e">
        <f t="shared" ref="CO31" ca="1" si="401">+CO28/CN28-1</f>
        <v>#NAME?</v>
      </c>
      <c r="CP31" s="40" t="e">
        <f t="shared" ref="CP31" ca="1" si="402">+CP28/CO28-1</f>
        <v>#NAME?</v>
      </c>
      <c r="CQ31" s="40" t="e">
        <f t="shared" ref="CQ31" ca="1" si="403">+CQ28/CP28-1</f>
        <v>#NAME?</v>
      </c>
      <c r="CR31" s="40" t="e">
        <f t="shared" ref="CR31" ca="1" si="404">+CR28/CQ28-1</f>
        <v>#NAME?</v>
      </c>
      <c r="CS31" s="40" t="e">
        <f t="shared" ref="CS31" ca="1" si="405">+CS28/CR28-1</f>
        <v>#NAME?</v>
      </c>
      <c r="CT31" s="40" t="e">
        <f t="shared" ref="CT31" ca="1" si="406">+CT28/CS28-1</f>
        <v>#NAME?</v>
      </c>
      <c r="CU31" s="40" t="e">
        <f t="shared" ref="CU31" ca="1" si="407">+CU28/CT28-1</f>
        <v>#NAME?</v>
      </c>
      <c r="CV31" s="40" t="e">
        <f t="shared" ref="CV31" ca="1" si="408">+CV28/CU28-1</f>
        <v>#NAME?</v>
      </c>
      <c r="CW31" s="40" t="e">
        <f t="shared" ref="CW31" ca="1" si="409">+CW28/CV28-1</f>
        <v>#NAME?</v>
      </c>
      <c r="CX31" s="40" t="e">
        <f t="shared" ref="CX31" ca="1" si="410">+CX28/CW28-1</f>
        <v>#NAME?</v>
      </c>
      <c r="CY31" s="40" t="e">
        <f t="shared" ref="CY31" ca="1" si="411">+CY28/CX28-1</f>
        <v>#NAME?</v>
      </c>
      <c r="CZ31" s="40" t="e">
        <f t="shared" ref="CZ31" ca="1" si="412">+CZ28/CY28-1</f>
        <v>#NAME?</v>
      </c>
      <c r="DA31" s="40" t="e">
        <f t="shared" ref="DA31" ca="1" si="413">+DA28/CZ28-1</f>
        <v>#NAME?</v>
      </c>
      <c r="DB31" s="40" t="e">
        <f t="shared" ref="DB31" ca="1" si="414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5">CM33*CL135</f>
        <v>#NAME?</v>
      </c>
      <c r="CN32" s="24" t="e">
        <f t="shared" ca="1" si="415"/>
        <v>#NAME?</v>
      </c>
      <c r="CO32" s="24" t="e">
        <f t="shared" ca="1" si="415"/>
        <v>#NAME?</v>
      </c>
      <c r="CP32" s="24" t="e">
        <f t="shared" ca="1" si="415"/>
        <v>#NAME?</v>
      </c>
      <c r="CQ32" s="24" t="e">
        <f t="shared" ca="1" si="415"/>
        <v>#NAME?</v>
      </c>
      <c r="CR32" s="24" t="e">
        <f t="shared" ca="1" si="415"/>
        <v>#NAME?</v>
      </c>
      <c r="CS32" s="24" t="e">
        <f t="shared" ca="1" si="415"/>
        <v>#NAME?</v>
      </c>
      <c r="CT32" s="24" t="e">
        <f t="shared" ca="1" si="415"/>
        <v>#NAME?</v>
      </c>
      <c r="CU32" s="24" t="e">
        <f t="shared" ca="1" si="415"/>
        <v>#NAME?</v>
      </c>
      <c r="CV32" s="24" t="e">
        <f t="shared" ca="1" si="415"/>
        <v>#NAME?</v>
      </c>
      <c r="CW32" s="24" t="e">
        <f t="shared" ca="1" si="415"/>
        <v>#NAME?</v>
      </c>
      <c r="CX32" s="24" t="e">
        <f t="shared" ca="1" si="415"/>
        <v>#NAME?</v>
      </c>
      <c r="CY32" s="24" t="e">
        <f t="shared" ca="1" si="415"/>
        <v>#NAME?</v>
      </c>
      <c r="CZ32" s="24" t="e">
        <f t="shared" ca="1" si="415"/>
        <v>#NAME?</v>
      </c>
      <c r="DA32" s="24" t="e">
        <f t="shared" ca="1" si="415"/>
        <v>#NAME?</v>
      </c>
      <c r="DB32" s="24" t="e">
        <f t="shared" ca="1" si="415"/>
        <v>#NAME?</v>
      </c>
      <c r="DE32" s="123"/>
      <c r="DF32" s="23">
        <v>6135.34</v>
      </c>
    </row>
    <row r="33" spans="1:110" s="46" customFormat="1" x14ac:dyDescent="0.2">
      <c r="A33" s="46" t="s">
        <v>483</v>
      </c>
      <c r="B33" s="46" t="e">
        <f t="shared" ref="B33:D33" ca="1" si="416">+B32/B135</f>
        <v>#NAME?</v>
      </c>
      <c r="C33" s="46" t="e">
        <f t="shared" ca="1" si="416"/>
        <v>#NAME?</v>
      </c>
      <c r="D33" s="46" t="e">
        <f t="shared" ca="1" si="416"/>
        <v>#NAME?</v>
      </c>
      <c r="E33" s="46" t="e">
        <f t="shared" ref="E33:AE33" ca="1" si="417">+E32/E135</f>
        <v>#NAME?</v>
      </c>
      <c r="F33" s="46" t="e">
        <f t="shared" ca="1" si="417"/>
        <v>#NAME?</v>
      </c>
      <c r="G33" s="46" t="e">
        <f t="shared" ca="1" si="417"/>
        <v>#NAME?</v>
      </c>
      <c r="H33" s="46" t="e">
        <f t="shared" ca="1" si="417"/>
        <v>#NAME?</v>
      </c>
      <c r="I33" s="46" t="e">
        <f t="shared" ca="1" si="417"/>
        <v>#NAME?</v>
      </c>
      <c r="J33" s="46" t="e">
        <f t="shared" ca="1" si="417"/>
        <v>#NAME?</v>
      </c>
      <c r="K33" s="46" t="e">
        <f t="shared" ca="1" si="417"/>
        <v>#NAME?</v>
      </c>
      <c r="L33" s="46" t="e">
        <f t="shared" ca="1" si="417"/>
        <v>#NAME?</v>
      </c>
      <c r="M33" s="46" t="e">
        <f t="shared" ca="1" si="417"/>
        <v>#NAME?</v>
      </c>
      <c r="N33" s="46" t="e">
        <f t="shared" ca="1" si="417"/>
        <v>#NAME?</v>
      </c>
      <c r="O33" s="46" t="e">
        <f t="shared" ca="1" si="417"/>
        <v>#NAME?</v>
      </c>
      <c r="P33" s="46" t="e">
        <f t="shared" ca="1" si="417"/>
        <v>#NAME?</v>
      </c>
      <c r="Q33" s="46" t="e">
        <f t="shared" ca="1" si="417"/>
        <v>#NAME?</v>
      </c>
      <c r="R33" s="46" t="e">
        <f t="shared" ca="1" si="417"/>
        <v>#NAME?</v>
      </c>
      <c r="S33" s="46" t="e">
        <f t="shared" ca="1" si="417"/>
        <v>#NAME?</v>
      </c>
      <c r="T33" s="46" t="e">
        <f t="shared" ca="1" si="417"/>
        <v>#NAME?</v>
      </c>
      <c r="U33" s="46" t="e">
        <f t="shared" ca="1" si="417"/>
        <v>#NAME?</v>
      </c>
      <c r="V33" s="46" t="e">
        <f t="shared" ca="1" si="417"/>
        <v>#NAME?</v>
      </c>
      <c r="W33" s="46" t="e">
        <f t="shared" ca="1" si="417"/>
        <v>#NAME?</v>
      </c>
      <c r="X33" s="46" t="e">
        <f t="shared" ca="1" si="417"/>
        <v>#NAME?</v>
      </c>
      <c r="Y33" s="46" t="e">
        <f t="shared" ca="1" si="417"/>
        <v>#NAME?</v>
      </c>
      <c r="Z33" s="46" t="e">
        <f t="shared" ca="1" si="417"/>
        <v>#NAME?</v>
      </c>
      <c r="AA33" s="46" t="e">
        <f t="shared" ref="AA33" ca="1" si="418">+AA32/AA135</f>
        <v>#NAME?</v>
      </c>
      <c r="AB33" s="110" t="e">
        <f t="shared" ca="1" si="417"/>
        <v>#NAME?</v>
      </c>
      <c r="AC33" s="110" t="e">
        <f t="shared" ca="1" si="417"/>
        <v>#NAME?</v>
      </c>
      <c r="AD33" s="110" t="e">
        <f t="shared" ca="1" si="417"/>
        <v>#NAME?</v>
      </c>
      <c r="AE33" s="110" t="e">
        <f t="shared" ca="1" si="417"/>
        <v>#NAME?</v>
      </c>
      <c r="AI33" s="46" t="e">
        <f t="shared" ref="AI33:BN33" ca="1" si="419">+AI32/AH135</f>
        <v>#NAME?</v>
      </c>
      <c r="AJ33" s="46" t="e">
        <f t="shared" ca="1" si="419"/>
        <v>#NAME?</v>
      </c>
      <c r="AK33" s="46" t="e">
        <f t="shared" ca="1" si="419"/>
        <v>#NAME?</v>
      </c>
      <c r="AL33" s="46" t="e">
        <f t="shared" ca="1" si="419"/>
        <v>#NAME?</v>
      </c>
      <c r="AM33" s="46" t="e">
        <f t="shared" ca="1" si="419"/>
        <v>#NAME?</v>
      </c>
      <c r="AN33" s="46" t="e">
        <f t="shared" ca="1" si="419"/>
        <v>#NAME?</v>
      </c>
      <c r="AO33" s="46" t="e">
        <f t="shared" ca="1" si="419"/>
        <v>#NAME?</v>
      </c>
      <c r="AP33" s="46" t="e">
        <f t="shared" ca="1" si="419"/>
        <v>#NAME?</v>
      </c>
      <c r="AQ33" s="46" t="e">
        <f t="shared" ca="1" si="419"/>
        <v>#NAME?</v>
      </c>
      <c r="AR33" s="46" t="e">
        <f t="shared" ca="1" si="419"/>
        <v>#NAME?</v>
      </c>
      <c r="AS33" s="46" t="e">
        <f t="shared" ca="1" si="419"/>
        <v>#NAME?</v>
      </c>
      <c r="AT33" s="46" t="e">
        <f t="shared" ca="1" si="419"/>
        <v>#NAME?</v>
      </c>
      <c r="AU33" s="46" t="e">
        <f t="shared" ca="1" si="419"/>
        <v>#NAME?</v>
      </c>
      <c r="AV33" s="46" t="e">
        <f t="shared" ca="1" si="419"/>
        <v>#NAME?</v>
      </c>
      <c r="AW33" s="46" t="e">
        <f t="shared" ca="1" si="419"/>
        <v>#NAME?</v>
      </c>
      <c r="AX33" s="46" t="e">
        <f t="shared" ca="1" si="419"/>
        <v>#NAME?</v>
      </c>
      <c r="AY33" s="46" t="e">
        <f t="shared" ca="1" si="419"/>
        <v>#NAME?</v>
      </c>
      <c r="AZ33" s="46" t="e">
        <f t="shared" ca="1" si="419"/>
        <v>#NAME?</v>
      </c>
      <c r="BA33" s="46" t="e">
        <f t="shared" ca="1" si="419"/>
        <v>#NAME?</v>
      </c>
      <c r="BB33" s="46" t="e">
        <f t="shared" ca="1" si="419"/>
        <v>#NAME?</v>
      </c>
      <c r="BC33" s="46" t="e">
        <f t="shared" ca="1" si="419"/>
        <v>#NAME?</v>
      </c>
      <c r="BD33" s="46" t="e">
        <f t="shared" ca="1" si="419"/>
        <v>#NAME?</v>
      </c>
      <c r="BE33" s="46" t="e">
        <f t="shared" ca="1" si="419"/>
        <v>#NAME?</v>
      </c>
      <c r="BF33" s="46" t="e">
        <f t="shared" ca="1" si="419"/>
        <v>#NAME?</v>
      </c>
      <c r="BG33" s="46" t="e">
        <f t="shared" ca="1" si="419"/>
        <v>#NAME?</v>
      </c>
      <c r="BH33" s="46" t="e">
        <f t="shared" ca="1" si="419"/>
        <v>#NAME?</v>
      </c>
      <c r="BI33" s="46" t="e">
        <f t="shared" ca="1" si="419"/>
        <v>#NAME?</v>
      </c>
      <c r="BJ33" s="46" t="e">
        <f t="shared" ca="1" si="419"/>
        <v>#NAME?</v>
      </c>
      <c r="BK33" s="46" t="e">
        <f t="shared" ca="1" si="419"/>
        <v>#NAME?</v>
      </c>
      <c r="BL33" s="46" t="e">
        <f t="shared" ca="1" si="419"/>
        <v>#NAME?</v>
      </c>
      <c r="BM33" s="46" t="e">
        <f t="shared" ca="1" si="419"/>
        <v>#NAME?</v>
      </c>
      <c r="BN33" s="46" t="e">
        <f t="shared" ca="1" si="419"/>
        <v>#NAME?</v>
      </c>
      <c r="BO33" s="46" t="e">
        <f t="shared" ref="BO33:CL33" ca="1" si="420">+BO32/BN135</f>
        <v>#NAME?</v>
      </c>
      <c r="BP33" s="46" t="e">
        <f t="shared" ca="1" si="420"/>
        <v>#NAME?</v>
      </c>
      <c r="BQ33" s="46" t="e">
        <f t="shared" ca="1" si="420"/>
        <v>#NAME?</v>
      </c>
      <c r="BR33" s="46" t="e">
        <f t="shared" ca="1" si="420"/>
        <v>#NAME?</v>
      </c>
      <c r="BS33" s="46" t="e">
        <f t="shared" ca="1" si="420"/>
        <v>#NAME?</v>
      </c>
      <c r="BT33" s="46" t="e">
        <f t="shared" ca="1" si="420"/>
        <v>#NAME?</v>
      </c>
      <c r="BU33" s="46" t="e">
        <f t="shared" ca="1" si="420"/>
        <v>#NAME?</v>
      </c>
      <c r="BV33" s="46" t="e">
        <f t="shared" ca="1" si="420"/>
        <v>#NAME?</v>
      </c>
      <c r="BW33" s="46" t="e">
        <f t="shared" ca="1" si="420"/>
        <v>#NAME?</v>
      </c>
      <c r="BX33" s="46" t="e">
        <f t="shared" ca="1" si="420"/>
        <v>#NAME?</v>
      </c>
      <c r="BY33" s="46" t="e">
        <f t="shared" ca="1" si="420"/>
        <v>#NAME?</v>
      </c>
      <c r="BZ33" s="46" t="e">
        <f t="shared" ca="1" si="420"/>
        <v>#NAME?</v>
      </c>
      <c r="CA33" s="46" t="e">
        <f t="shared" ca="1" si="420"/>
        <v>#NAME?</v>
      </c>
      <c r="CB33" s="46" t="e">
        <f t="shared" ca="1" si="420"/>
        <v>#NAME?</v>
      </c>
      <c r="CC33" s="46" t="e">
        <f t="shared" ca="1" si="420"/>
        <v>#NAME?</v>
      </c>
      <c r="CD33" s="46" t="e">
        <f t="shared" ca="1" si="420"/>
        <v>#NAME?</v>
      </c>
      <c r="CE33" s="46" t="e">
        <f t="shared" ca="1" si="420"/>
        <v>#NAME?</v>
      </c>
      <c r="CF33" s="46" t="e">
        <f t="shared" ca="1" si="420"/>
        <v>#NAME?</v>
      </c>
      <c r="CG33" s="46" t="e">
        <f t="shared" ca="1" si="420"/>
        <v>#NAME?</v>
      </c>
      <c r="CH33" s="46" t="e">
        <f t="shared" ca="1" si="420"/>
        <v>#NAME?</v>
      </c>
      <c r="CI33" s="46" t="e">
        <f t="shared" ca="1" si="420"/>
        <v>#NAME?</v>
      </c>
      <c r="CJ33" s="46" t="e">
        <f t="shared" ca="1" si="420"/>
        <v>#NAME?</v>
      </c>
      <c r="CK33" s="46" t="e">
        <f t="shared" ca="1" si="420"/>
        <v>#NAME?</v>
      </c>
      <c r="CL33" s="46" t="e">
        <f t="shared" ca="1" si="420"/>
        <v>#NAME?</v>
      </c>
      <c r="CM33" s="47" t="e">
        <f t="shared" ref="CM33" ca="1" si="421">CL33</f>
        <v>#NAME?</v>
      </c>
      <c r="CN33" s="47" t="e">
        <f t="shared" ref="CN33" ca="1" si="422">CM33</f>
        <v>#NAME?</v>
      </c>
      <c r="CO33" s="47" t="e">
        <f t="shared" ref="CO33" ca="1" si="423">CN33</f>
        <v>#NAME?</v>
      </c>
      <c r="CP33" s="47" t="e">
        <f t="shared" ref="CP33" ca="1" si="424">CO33</f>
        <v>#NAME?</v>
      </c>
      <c r="CQ33" s="47">
        <v>1.7999999999999999E-2</v>
      </c>
      <c r="CR33" s="47">
        <f t="shared" ref="CR33" si="425">CQ33</f>
        <v>1.7999999999999999E-2</v>
      </c>
      <c r="CS33" s="47">
        <f t="shared" ref="CS33" si="426">CR33</f>
        <v>1.7999999999999999E-2</v>
      </c>
      <c r="CT33" s="47">
        <f t="shared" ref="CT33" si="427">CS33</f>
        <v>1.7999999999999999E-2</v>
      </c>
      <c r="CU33" s="47">
        <f t="shared" ref="CU33" si="428">CT33</f>
        <v>1.7999999999999999E-2</v>
      </c>
      <c r="CV33" s="47">
        <f t="shared" ref="CV33" si="429">CU33</f>
        <v>1.7999999999999999E-2</v>
      </c>
      <c r="CW33" s="47">
        <f t="shared" ref="CW33" si="430">CV33</f>
        <v>1.7999999999999999E-2</v>
      </c>
      <c r="CX33" s="47">
        <f t="shared" ref="CX33" si="431">CW33</f>
        <v>1.7999999999999999E-2</v>
      </c>
      <c r="CY33" s="47">
        <f t="shared" ref="CY33" si="432">CX33</f>
        <v>1.7999999999999999E-2</v>
      </c>
      <c r="CZ33" s="47">
        <f t="shared" ref="CZ33" si="433">CY33</f>
        <v>1.7999999999999999E-2</v>
      </c>
      <c r="DA33" s="47">
        <f t="shared" ref="DA33" si="434">CZ33</f>
        <v>1.7999999999999999E-2</v>
      </c>
      <c r="DB33" s="47">
        <f t="shared" ref="DB33" si="435">DA33</f>
        <v>1.7999999999999999E-2</v>
      </c>
      <c r="DE33" s="130"/>
      <c r="DF33" s="46">
        <v>5.1888339099371523E-2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36">C28-C32</f>
        <v>#NAME?</v>
      </c>
      <c r="D34" s="26" t="e">
        <f ca="1">D28-D32</f>
        <v>#NAME?</v>
      </c>
      <c r="E34" s="26" t="e">
        <f t="shared" ca="1" si="436"/>
        <v>#NAME?</v>
      </c>
      <c r="F34" s="26" t="e">
        <f t="shared" ca="1" si="436"/>
        <v>#NAME?</v>
      </c>
      <c r="G34" s="26" t="e">
        <f t="shared" ca="1" si="436"/>
        <v>#NAME?</v>
      </c>
      <c r="H34" s="26" t="e">
        <f t="shared" ca="1" si="436"/>
        <v>#NAME?</v>
      </c>
      <c r="I34" s="26" t="e">
        <f t="shared" ca="1" si="436"/>
        <v>#NAME?</v>
      </c>
      <c r="J34" s="26" t="e">
        <f t="shared" ca="1" si="436"/>
        <v>#NAME?</v>
      </c>
      <c r="K34" s="26" t="e">
        <f t="shared" ca="1" si="436"/>
        <v>#NAME?</v>
      </c>
      <c r="L34" s="26" t="e">
        <f t="shared" ca="1" si="436"/>
        <v>#NAME?</v>
      </c>
      <c r="M34" s="26" t="e">
        <f t="shared" ca="1" si="436"/>
        <v>#NAME?</v>
      </c>
      <c r="N34" s="26" t="e">
        <f t="shared" ca="1" si="436"/>
        <v>#NAME?</v>
      </c>
      <c r="O34" s="26" t="e">
        <f t="shared" ca="1" si="436"/>
        <v>#NAME?</v>
      </c>
      <c r="P34" s="26" t="e">
        <f t="shared" ca="1" si="436"/>
        <v>#NAME?</v>
      </c>
      <c r="Q34" s="26" t="e">
        <f t="shared" ca="1" si="436"/>
        <v>#NAME?</v>
      </c>
      <c r="R34" s="26" t="e">
        <f t="shared" ca="1" si="436"/>
        <v>#NAME?</v>
      </c>
      <c r="S34" s="26" t="e">
        <f t="shared" ca="1" si="436"/>
        <v>#NAME?</v>
      </c>
      <c r="T34" s="26" t="e">
        <f t="shared" ca="1" si="436"/>
        <v>#NAME?</v>
      </c>
      <c r="U34" s="26" t="e">
        <f t="shared" ref="U34:Z34" ca="1" si="437">U28-U32</f>
        <v>#NAME?</v>
      </c>
      <c r="V34" s="26" t="e">
        <f t="shared" ca="1" si="437"/>
        <v>#NAME?</v>
      </c>
      <c r="W34" s="26" t="e">
        <f t="shared" ca="1" si="437"/>
        <v>#NAME?</v>
      </c>
      <c r="X34" s="26" t="e">
        <f t="shared" ca="1" si="437"/>
        <v>#NAME?</v>
      </c>
      <c r="Y34" s="26" t="e">
        <f t="shared" ca="1" si="437"/>
        <v>#NAME?</v>
      </c>
      <c r="Z34" s="26" t="e">
        <f t="shared" ca="1" si="437"/>
        <v>#NAME?</v>
      </c>
      <c r="AA34" s="26" t="e">
        <f t="shared" ref="AA34" ca="1" si="438">AA28-AA32</f>
        <v>#NAME?</v>
      </c>
      <c r="AB34" s="27" t="e">
        <f t="shared" ref="AA34:AD34" ca="1" si="439">AB28-AB32</f>
        <v>#NAME?</v>
      </c>
      <c r="AC34" s="27" t="e">
        <f t="shared" ca="1" si="439"/>
        <v>#NAME?</v>
      </c>
      <c r="AD34" s="27" t="e">
        <f t="shared" ca="1" si="439"/>
        <v>#NAME?</v>
      </c>
      <c r="AE34" s="27" t="e">
        <f t="shared" ref="AE34" ca="1" si="440">AE28-AE32</f>
        <v>#NAME?</v>
      </c>
      <c r="AI34" s="26" t="e">
        <f t="shared" ref="AI34" ca="1" si="441">AI28-AI32</f>
        <v>#NAME?</v>
      </c>
      <c r="AJ34" s="26" t="e">
        <f t="shared" ref="AJ34" ca="1" si="442">AJ28-AJ32</f>
        <v>#NAME?</v>
      </c>
      <c r="AK34" s="26" t="e">
        <f t="shared" ref="AK34:AM34" ca="1" si="443">AK28-AK32</f>
        <v>#NAME?</v>
      </c>
      <c r="AL34" s="26" t="e">
        <f t="shared" ca="1" si="443"/>
        <v>#NAME?</v>
      </c>
      <c r="AM34" s="26" t="e">
        <f t="shared" ca="1" si="443"/>
        <v>#NAME?</v>
      </c>
      <c r="AN34" s="26" t="e">
        <f t="shared" ref="AN34:AO34" ca="1" si="444">AN28-AN32</f>
        <v>#NAME?</v>
      </c>
      <c r="AO34" s="26" t="e">
        <f t="shared" ca="1" si="444"/>
        <v>#NAME?</v>
      </c>
      <c r="AP34" s="26" t="e">
        <f t="shared" ref="AP34:CD34" ca="1" si="445">AP28-AP32</f>
        <v>#NAME?</v>
      </c>
      <c r="AQ34" s="26" t="e">
        <f t="shared" ca="1" si="445"/>
        <v>#NAME?</v>
      </c>
      <c r="AR34" s="26" t="e">
        <f t="shared" ca="1" si="445"/>
        <v>#NAME?</v>
      </c>
      <c r="AS34" s="26" t="e">
        <f t="shared" ca="1" si="445"/>
        <v>#NAME?</v>
      </c>
      <c r="AT34" s="26" t="e">
        <f t="shared" ca="1" si="445"/>
        <v>#NAME?</v>
      </c>
      <c r="AU34" s="26" t="e">
        <f t="shared" ca="1" si="445"/>
        <v>#NAME?</v>
      </c>
      <c r="AV34" s="26" t="e">
        <f t="shared" ca="1" si="445"/>
        <v>#NAME?</v>
      </c>
      <c r="AW34" s="26" t="e">
        <f t="shared" ca="1" si="445"/>
        <v>#NAME?</v>
      </c>
      <c r="AX34" s="26" t="e">
        <f t="shared" ca="1" si="445"/>
        <v>#NAME?</v>
      </c>
      <c r="AY34" s="26" t="e">
        <f t="shared" ca="1" si="445"/>
        <v>#NAME?</v>
      </c>
      <c r="AZ34" s="26" t="e">
        <f t="shared" ca="1" si="445"/>
        <v>#NAME?</v>
      </c>
      <c r="BA34" s="26" t="e">
        <f t="shared" ca="1" si="445"/>
        <v>#NAME?</v>
      </c>
      <c r="BB34" s="26" t="e">
        <f t="shared" ca="1" si="445"/>
        <v>#NAME?</v>
      </c>
      <c r="BC34" s="26" t="e">
        <f t="shared" ca="1" si="445"/>
        <v>#NAME?</v>
      </c>
      <c r="BD34" s="26" t="e">
        <f t="shared" ca="1" si="445"/>
        <v>#NAME?</v>
      </c>
      <c r="BE34" s="26" t="e">
        <f t="shared" ca="1" si="445"/>
        <v>#NAME?</v>
      </c>
      <c r="BF34" s="26" t="e">
        <f t="shared" ca="1" si="445"/>
        <v>#NAME?</v>
      </c>
      <c r="BG34" s="26" t="e">
        <f t="shared" ca="1" si="445"/>
        <v>#NAME?</v>
      </c>
      <c r="BH34" s="26" t="e">
        <f t="shared" ca="1" si="445"/>
        <v>#NAME?</v>
      </c>
      <c r="BI34" s="26" t="e">
        <f t="shared" ca="1" si="445"/>
        <v>#NAME?</v>
      </c>
      <c r="BJ34" s="26" t="e">
        <f t="shared" ca="1" si="445"/>
        <v>#NAME?</v>
      </c>
      <c r="BK34" s="26" t="e">
        <f t="shared" ca="1" si="445"/>
        <v>#NAME?</v>
      </c>
      <c r="BL34" s="26" t="e">
        <f t="shared" ca="1" si="445"/>
        <v>#NAME?</v>
      </c>
      <c r="BM34" s="26" t="e">
        <f t="shared" ca="1" si="445"/>
        <v>#NAME?</v>
      </c>
      <c r="BN34" s="26" t="e">
        <f t="shared" ca="1" si="445"/>
        <v>#NAME?</v>
      </c>
      <c r="BO34" s="26" t="e">
        <f t="shared" ca="1" si="445"/>
        <v>#NAME?</v>
      </c>
      <c r="BP34" s="26" t="e">
        <f t="shared" ca="1" si="445"/>
        <v>#NAME?</v>
      </c>
      <c r="BQ34" s="26" t="e">
        <f t="shared" ca="1" si="445"/>
        <v>#NAME?</v>
      </c>
      <c r="BR34" s="26" t="e">
        <f t="shared" ca="1" si="445"/>
        <v>#NAME?</v>
      </c>
      <c r="BS34" s="26" t="e">
        <f t="shared" ca="1" si="445"/>
        <v>#NAME?</v>
      </c>
      <c r="BT34" s="26" t="e">
        <f t="shared" ca="1" si="445"/>
        <v>#NAME?</v>
      </c>
      <c r="BU34" s="26" t="e">
        <f t="shared" ca="1" si="445"/>
        <v>#NAME?</v>
      </c>
      <c r="BV34" s="26" t="e">
        <f t="shared" ca="1" si="445"/>
        <v>#NAME?</v>
      </c>
      <c r="BW34" s="26" t="e">
        <f t="shared" ca="1" si="445"/>
        <v>#NAME?</v>
      </c>
      <c r="BX34" s="26" t="e">
        <f t="shared" ca="1" si="445"/>
        <v>#NAME?</v>
      </c>
      <c r="BY34" s="26" t="e">
        <f t="shared" ca="1" si="445"/>
        <v>#NAME?</v>
      </c>
      <c r="BZ34" s="26" t="e">
        <f t="shared" ca="1" si="445"/>
        <v>#NAME?</v>
      </c>
      <c r="CA34" s="26" t="e">
        <f t="shared" ca="1" si="445"/>
        <v>#NAME?</v>
      </c>
      <c r="CB34" s="26" t="e">
        <f t="shared" ca="1" si="445"/>
        <v>#NAME?</v>
      </c>
      <c r="CC34" s="26" t="e">
        <f t="shared" ca="1" si="445"/>
        <v>#NAME?</v>
      </c>
      <c r="CD34" s="26" t="e">
        <f t="shared" ca="1" si="445"/>
        <v>#NAME?</v>
      </c>
      <c r="CE34" s="26" t="e">
        <f t="shared" ref="CE34:CF34" ca="1" si="446">CE28-CE32</f>
        <v>#NAME?</v>
      </c>
      <c r="CF34" s="26" t="e">
        <f t="shared" ca="1" si="446"/>
        <v>#NAME?</v>
      </c>
      <c r="CG34" s="26" t="e">
        <f t="shared" ref="CG34:CH34" ca="1" si="447">CG28-CG32</f>
        <v>#NAME?</v>
      </c>
      <c r="CH34" s="26" t="e">
        <f t="shared" ca="1" si="447"/>
        <v>#NAME?</v>
      </c>
      <c r="CI34" s="26" t="e">
        <f t="shared" ref="CI34:CJ34" ca="1" si="448">CI28-CI32</f>
        <v>#NAME?</v>
      </c>
      <c r="CJ34" s="26" t="e">
        <f t="shared" ca="1" si="448"/>
        <v>#NAME?</v>
      </c>
      <c r="CK34" s="26" t="e">
        <f t="shared" ref="CK34:CL34" ca="1" si="449">CK28-CK32</f>
        <v>#NAME?</v>
      </c>
      <c r="CL34" s="26" t="e">
        <f t="shared" ca="1" si="449"/>
        <v>#NAME?</v>
      </c>
      <c r="CM34" s="27" t="e">
        <f t="shared" ref="CM34:DB34" ca="1" si="450">CM28-CM32</f>
        <v>#NAME?</v>
      </c>
      <c r="CN34" s="27" t="e">
        <f t="shared" ca="1" si="450"/>
        <v>#NAME?</v>
      </c>
      <c r="CO34" s="27" t="e">
        <f t="shared" ca="1" si="450"/>
        <v>#NAME?</v>
      </c>
      <c r="CP34" s="27" t="e">
        <f t="shared" ca="1" si="450"/>
        <v>#NAME?</v>
      </c>
      <c r="CQ34" s="27" t="e">
        <f t="shared" ca="1" si="450"/>
        <v>#NAME?</v>
      </c>
      <c r="CR34" s="27" t="e">
        <f t="shared" ca="1" si="450"/>
        <v>#NAME?</v>
      </c>
      <c r="CS34" s="27" t="e">
        <f t="shared" ca="1" si="450"/>
        <v>#NAME?</v>
      </c>
      <c r="CT34" s="27" t="e">
        <f t="shared" ca="1" si="450"/>
        <v>#NAME?</v>
      </c>
      <c r="CU34" s="27" t="e">
        <f t="shared" ca="1" si="450"/>
        <v>#NAME?</v>
      </c>
      <c r="CV34" s="27" t="e">
        <f t="shared" ca="1" si="450"/>
        <v>#NAME?</v>
      </c>
      <c r="CW34" s="27" t="e">
        <f t="shared" ca="1" si="450"/>
        <v>#NAME?</v>
      </c>
      <c r="CX34" s="27" t="e">
        <f t="shared" ca="1" si="450"/>
        <v>#NAME?</v>
      </c>
      <c r="CY34" s="27" t="e">
        <f t="shared" ca="1" si="450"/>
        <v>#NAME?</v>
      </c>
      <c r="CZ34" s="27" t="e">
        <f t="shared" ca="1" si="450"/>
        <v>#NAME?</v>
      </c>
      <c r="DA34" s="27" t="e">
        <f t="shared" ca="1" si="450"/>
        <v>#NAME?</v>
      </c>
      <c r="DB34" s="27" t="e">
        <f t="shared" ca="1" si="450"/>
        <v>#NAME?</v>
      </c>
      <c r="DE34" s="121"/>
      <c r="DF34" s="26">
        <v>7853.7799999999916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1">+SUM(CM35:CP35)</f>
        <v>0</v>
      </c>
      <c r="AC35" s="76">
        <f t="shared" ref="AC35:AC36" si="452">+SUM(CQ35:CT35)</f>
        <v>0</v>
      </c>
      <c r="AD35" s="76">
        <f t="shared" ref="AD35:AD36" si="453">+SUM(CU35:CX35)</f>
        <v>0</v>
      </c>
      <c r="AE35" s="76">
        <f t="shared" ref="AE35:AE36" si="454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2733.72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1"/>
        <v>#NAME?</v>
      </c>
      <c r="AC36" s="76" t="e">
        <f t="shared" ca="1" si="452"/>
        <v>#NAME?</v>
      </c>
      <c r="AD36" s="76" t="e">
        <f t="shared" ca="1" si="453"/>
        <v>#NAME?</v>
      </c>
      <c r="AE36" s="76" t="e">
        <f t="shared" ca="1" si="454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5">CM37*CL169</f>
        <v>#NAME?</v>
      </c>
      <c r="CN36" s="24" t="e">
        <f t="shared" ca="1" si="455"/>
        <v>#NAME?</v>
      </c>
      <c r="CO36" s="24" t="e">
        <f t="shared" ca="1" si="455"/>
        <v>#NAME?</v>
      </c>
      <c r="CP36" s="24" t="e">
        <f t="shared" ca="1" si="455"/>
        <v>#NAME?</v>
      </c>
      <c r="CQ36" s="24" t="e">
        <f t="shared" ca="1" si="455"/>
        <v>#NAME?</v>
      </c>
      <c r="CR36" s="24" t="e">
        <f t="shared" ca="1" si="455"/>
        <v>#NAME?</v>
      </c>
      <c r="CS36" s="24" t="e">
        <f t="shared" ca="1" si="455"/>
        <v>#NAME?</v>
      </c>
      <c r="CT36" s="24" t="e">
        <f t="shared" ca="1" si="455"/>
        <v>#NAME?</v>
      </c>
      <c r="CU36" s="24" t="e">
        <f t="shared" ca="1" si="455"/>
        <v>#NAME?</v>
      </c>
      <c r="CV36" s="24" t="e">
        <f t="shared" ca="1" si="455"/>
        <v>#NAME?</v>
      </c>
      <c r="CW36" s="24" t="e">
        <f t="shared" ca="1" si="455"/>
        <v>#NAME?</v>
      </c>
      <c r="CX36" s="24" t="e">
        <f t="shared" ca="1" si="455"/>
        <v>#NAME?</v>
      </c>
      <c r="CY36" s="24" t="e">
        <f t="shared" ca="1" si="455"/>
        <v>#NAME?</v>
      </c>
      <c r="CZ36" s="24" t="e">
        <f t="shared" ca="1" si="455"/>
        <v>#NAME?</v>
      </c>
      <c r="DA36" s="24" t="e">
        <f t="shared" ca="1" si="455"/>
        <v>#NAME?</v>
      </c>
      <c r="DB36" s="24" t="e">
        <f t="shared" ca="1" si="455"/>
        <v>#NAME?</v>
      </c>
      <c r="DE36" s="123"/>
      <c r="DF36" s="23">
        <v>6278.2099999999991</v>
      </c>
    </row>
    <row r="37" spans="1:110" s="46" customFormat="1" x14ac:dyDescent="0.2">
      <c r="A37" s="46" t="s">
        <v>482</v>
      </c>
      <c r="B37" s="46" t="e">
        <f t="shared" ref="B37:D37" ca="1" si="456">+B36/B129</f>
        <v>#NAME?</v>
      </c>
      <c r="C37" s="46" t="e">
        <f t="shared" ca="1" si="456"/>
        <v>#NAME?</v>
      </c>
      <c r="D37" s="46" t="e">
        <f t="shared" ca="1" si="456"/>
        <v>#NAME?</v>
      </c>
      <c r="E37" s="46" t="e">
        <f t="shared" ref="E37:AE37" ca="1" si="457">+E36/E129</f>
        <v>#NAME?</v>
      </c>
      <c r="F37" s="46" t="e">
        <f t="shared" ca="1" si="457"/>
        <v>#NAME?</v>
      </c>
      <c r="G37" s="46" t="e">
        <f t="shared" ca="1" si="457"/>
        <v>#NAME?</v>
      </c>
      <c r="H37" s="46" t="e">
        <f t="shared" ca="1" si="457"/>
        <v>#NAME?</v>
      </c>
      <c r="I37" s="46" t="e">
        <f t="shared" ca="1" si="457"/>
        <v>#NAME?</v>
      </c>
      <c r="J37" s="46" t="e">
        <f t="shared" ca="1" si="457"/>
        <v>#NAME?</v>
      </c>
      <c r="K37" s="46" t="e">
        <f t="shared" ca="1" si="457"/>
        <v>#NAME?</v>
      </c>
      <c r="L37" s="46" t="e">
        <f t="shared" ca="1" si="457"/>
        <v>#NAME?</v>
      </c>
      <c r="M37" s="46" t="e">
        <f t="shared" ca="1" si="457"/>
        <v>#NAME?</v>
      </c>
      <c r="N37" s="46" t="e">
        <f t="shared" ca="1" si="457"/>
        <v>#NAME?</v>
      </c>
      <c r="O37" s="46" t="e">
        <f t="shared" ca="1" si="457"/>
        <v>#NAME?</v>
      </c>
      <c r="P37" s="46" t="e">
        <f t="shared" ca="1" si="457"/>
        <v>#NAME?</v>
      </c>
      <c r="Q37" s="46" t="e">
        <f t="shared" ca="1" si="457"/>
        <v>#NAME?</v>
      </c>
      <c r="R37" s="46" t="e">
        <f t="shared" ca="1" si="457"/>
        <v>#NAME?</v>
      </c>
      <c r="S37" s="46" t="e">
        <f t="shared" ca="1" si="457"/>
        <v>#NAME?</v>
      </c>
      <c r="T37" s="46" t="e">
        <f t="shared" ca="1" si="457"/>
        <v>#NAME?</v>
      </c>
      <c r="U37" s="46" t="e">
        <f t="shared" ca="1" si="457"/>
        <v>#NAME?</v>
      </c>
      <c r="V37" s="46" t="e">
        <f t="shared" ca="1" si="457"/>
        <v>#NAME?</v>
      </c>
      <c r="W37" s="46" t="e">
        <f t="shared" ca="1" si="457"/>
        <v>#NAME?</v>
      </c>
      <c r="X37" s="46" t="e">
        <f t="shared" ca="1" si="457"/>
        <v>#NAME?</v>
      </c>
      <c r="Y37" s="46" t="e">
        <f t="shared" ca="1" si="457"/>
        <v>#NAME?</v>
      </c>
      <c r="Z37" s="46" t="e">
        <f t="shared" ca="1" si="457"/>
        <v>#NAME?</v>
      </c>
      <c r="AA37" s="46" t="e">
        <f t="shared" ref="AA37" ca="1" si="458">+AA36/AA129</f>
        <v>#NAME?</v>
      </c>
      <c r="AB37" s="110" t="e">
        <f t="shared" ca="1" si="457"/>
        <v>#NAME?</v>
      </c>
      <c r="AC37" s="110" t="e">
        <f t="shared" ca="1" si="457"/>
        <v>#NAME?</v>
      </c>
      <c r="AD37" s="110" t="e">
        <f t="shared" ca="1" si="457"/>
        <v>#NAME?</v>
      </c>
      <c r="AE37" s="110" t="e">
        <f t="shared" ca="1" si="457"/>
        <v>#NAME?</v>
      </c>
      <c r="AI37" s="46" t="e">
        <f t="shared" ref="AI37:BN37" ca="1" si="459">(AI36-AI35)/AH169</f>
        <v>#NAME?</v>
      </c>
      <c r="AJ37" s="46" t="e">
        <f t="shared" ca="1" si="459"/>
        <v>#NAME?</v>
      </c>
      <c r="AK37" s="46" t="e">
        <f t="shared" ca="1" si="459"/>
        <v>#NAME?</v>
      </c>
      <c r="AL37" s="46" t="e">
        <f t="shared" ca="1" si="459"/>
        <v>#NAME?</v>
      </c>
      <c r="AM37" s="46" t="e">
        <f t="shared" ca="1" si="459"/>
        <v>#NAME?</v>
      </c>
      <c r="AN37" s="46" t="e">
        <f t="shared" ca="1" si="459"/>
        <v>#NAME?</v>
      </c>
      <c r="AO37" s="46" t="e">
        <f t="shared" ca="1" si="459"/>
        <v>#NAME?</v>
      </c>
      <c r="AP37" s="46" t="e">
        <f t="shared" ca="1" si="459"/>
        <v>#NAME?</v>
      </c>
      <c r="AQ37" s="46" t="e">
        <f t="shared" ca="1" si="459"/>
        <v>#NAME?</v>
      </c>
      <c r="AR37" s="46" t="e">
        <f t="shared" ca="1" si="459"/>
        <v>#NAME?</v>
      </c>
      <c r="AS37" s="46" t="e">
        <f t="shared" ca="1" si="459"/>
        <v>#NAME?</v>
      </c>
      <c r="AT37" s="46" t="e">
        <f t="shared" ca="1" si="459"/>
        <v>#NAME?</v>
      </c>
      <c r="AU37" s="46" t="e">
        <f t="shared" ca="1" si="459"/>
        <v>#NAME?</v>
      </c>
      <c r="AV37" s="46" t="e">
        <f t="shared" ca="1" si="459"/>
        <v>#NAME?</v>
      </c>
      <c r="AW37" s="46" t="e">
        <f t="shared" ca="1" si="459"/>
        <v>#NAME?</v>
      </c>
      <c r="AX37" s="46" t="e">
        <f t="shared" ca="1" si="459"/>
        <v>#NAME?</v>
      </c>
      <c r="AY37" s="46" t="e">
        <f t="shared" ca="1" si="459"/>
        <v>#NAME?</v>
      </c>
      <c r="AZ37" s="46" t="e">
        <f t="shared" ca="1" si="459"/>
        <v>#NAME?</v>
      </c>
      <c r="BA37" s="46" t="e">
        <f t="shared" ca="1" si="459"/>
        <v>#NAME?</v>
      </c>
      <c r="BB37" s="46" t="e">
        <f t="shared" ca="1" si="459"/>
        <v>#NAME?</v>
      </c>
      <c r="BC37" s="46" t="e">
        <f t="shared" ca="1" si="459"/>
        <v>#NAME?</v>
      </c>
      <c r="BD37" s="46" t="e">
        <f t="shared" ca="1" si="459"/>
        <v>#NAME?</v>
      </c>
      <c r="BE37" s="46" t="e">
        <f t="shared" ca="1" si="459"/>
        <v>#NAME?</v>
      </c>
      <c r="BF37" s="46" t="e">
        <f t="shared" ca="1" si="459"/>
        <v>#NAME?</v>
      </c>
      <c r="BG37" s="46" t="e">
        <f t="shared" ca="1" si="459"/>
        <v>#NAME?</v>
      </c>
      <c r="BH37" s="46" t="e">
        <f t="shared" ca="1" si="459"/>
        <v>#NAME?</v>
      </c>
      <c r="BI37" s="46" t="e">
        <f t="shared" ca="1" si="459"/>
        <v>#NAME?</v>
      </c>
      <c r="BJ37" s="46" t="e">
        <f t="shared" ca="1" si="459"/>
        <v>#NAME?</v>
      </c>
      <c r="BK37" s="46" t="e">
        <f t="shared" ca="1" si="459"/>
        <v>#NAME?</v>
      </c>
      <c r="BL37" s="46" t="e">
        <f t="shared" ca="1" si="459"/>
        <v>#NAME?</v>
      </c>
      <c r="BM37" s="46" t="e">
        <f t="shared" ca="1" si="459"/>
        <v>#NAME?</v>
      </c>
      <c r="BN37" s="46" t="e">
        <f t="shared" ca="1" si="459"/>
        <v>#NAME?</v>
      </c>
      <c r="BO37" s="46" t="e">
        <f t="shared" ref="BO37:CL37" ca="1" si="460">(BO36-BO35)/BN169</f>
        <v>#NAME?</v>
      </c>
      <c r="BP37" s="46" t="e">
        <f t="shared" ca="1" si="460"/>
        <v>#NAME?</v>
      </c>
      <c r="BQ37" s="46" t="e">
        <f t="shared" ca="1" si="460"/>
        <v>#NAME?</v>
      </c>
      <c r="BR37" s="46" t="e">
        <f t="shared" ca="1" si="460"/>
        <v>#NAME?</v>
      </c>
      <c r="BS37" s="46" t="e">
        <f t="shared" ca="1" si="460"/>
        <v>#NAME?</v>
      </c>
      <c r="BT37" s="46" t="e">
        <f t="shared" ca="1" si="460"/>
        <v>#NAME?</v>
      </c>
      <c r="BU37" s="46" t="e">
        <f t="shared" ca="1" si="460"/>
        <v>#NAME?</v>
      </c>
      <c r="BV37" s="46" t="e">
        <f t="shared" ca="1" si="460"/>
        <v>#NAME?</v>
      </c>
      <c r="BW37" s="46" t="e">
        <f t="shared" ca="1" si="460"/>
        <v>#NAME?</v>
      </c>
      <c r="BX37" s="46" t="e">
        <f t="shared" ca="1" si="460"/>
        <v>#NAME?</v>
      </c>
      <c r="BY37" s="46" t="e">
        <f t="shared" ca="1" si="460"/>
        <v>#NAME?</v>
      </c>
      <c r="BZ37" s="46" t="e">
        <f t="shared" ca="1" si="460"/>
        <v>#NAME?</v>
      </c>
      <c r="CA37" s="46" t="e">
        <f t="shared" ca="1" si="460"/>
        <v>#NAME?</v>
      </c>
      <c r="CB37" s="46" t="e">
        <f t="shared" ca="1" si="460"/>
        <v>#NAME?</v>
      </c>
      <c r="CC37" s="46" t="e">
        <f t="shared" ca="1" si="460"/>
        <v>#NAME?</v>
      </c>
      <c r="CD37" s="46" t="e">
        <f t="shared" ca="1" si="460"/>
        <v>#NAME?</v>
      </c>
      <c r="CE37" s="46" t="e">
        <f t="shared" ca="1" si="460"/>
        <v>#NAME?</v>
      </c>
      <c r="CF37" s="46" t="e">
        <f t="shared" ca="1" si="460"/>
        <v>#NAME?</v>
      </c>
      <c r="CG37" s="46" t="e">
        <f t="shared" ca="1" si="460"/>
        <v>#NAME?</v>
      </c>
      <c r="CH37" s="46" t="e">
        <f t="shared" ca="1" si="460"/>
        <v>#NAME?</v>
      </c>
      <c r="CI37" s="46" t="e">
        <f t="shared" ca="1" si="460"/>
        <v>#NAME?</v>
      </c>
      <c r="CJ37" s="46" t="e">
        <f t="shared" ca="1" si="460"/>
        <v>#NAME?</v>
      </c>
      <c r="CK37" s="46" t="e">
        <f t="shared" ca="1" si="460"/>
        <v>#NAME?</v>
      </c>
      <c r="CL37" s="46" t="e">
        <f t="shared" ca="1" si="460"/>
        <v>#NAME?</v>
      </c>
      <c r="CM37" s="47">
        <v>0.01</v>
      </c>
      <c r="CN37" s="47">
        <f t="shared" ref="CN37" si="461">+CM37</f>
        <v>0.01</v>
      </c>
      <c r="CO37" s="47">
        <f t="shared" ref="CO37" si="462">+CN37</f>
        <v>0.01</v>
      </c>
      <c r="CP37" s="47">
        <f t="shared" ref="CP37" si="463">+CO37</f>
        <v>0.01</v>
      </c>
      <c r="CQ37" s="47">
        <v>0.02</v>
      </c>
      <c r="CR37" s="47">
        <f>+CQ37</f>
        <v>0.02</v>
      </c>
      <c r="CS37" s="47">
        <f t="shared" ref="CS37" si="464">+CR37</f>
        <v>0.02</v>
      </c>
      <c r="CT37" s="47">
        <f t="shared" ref="CT37" si="465">+CS37</f>
        <v>0.02</v>
      </c>
      <c r="CU37" s="47">
        <f t="shared" ref="CU37" si="466">+CT37</f>
        <v>0.02</v>
      </c>
      <c r="CV37" s="47">
        <f t="shared" ref="CV37" si="467">+CU37</f>
        <v>0.02</v>
      </c>
      <c r="CW37" s="47">
        <f t="shared" ref="CW37" si="468">+CV37</f>
        <v>0.02</v>
      </c>
      <c r="CX37" s="47">
        <f t="shared" ref="CX37" si="469">+CW37</f>
        <v>0.02</v>
      </c>
      <c r="CY37" s="47">
        <f t="shared" ref="CY37" si="470">+CX37</f>
        <v>0.02</v>
      </c>
      <c r="CZ37" s="47">
        <f t="shared" ref="CZ37" si="471">+CY37</f>
        <v>0.02</v>
      </c>
      <c r="DA37" s="47">
        <f t="shared" ref="DA37" si="472">+CZ37</f>
        <v>0.02</v>
      </c>
      <c r="DB37" s="47">
        <f t="shared" ref="DB37" si="473">+DA37</f>
        <v>0.02</v>
      </c>
      <c r="DE37" s="130"/>
      <c r="DF37" s="46">
        <v>7.2411187673301514E-2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74">C34+C35-C36</f>
        <v>#NAME?</v>
      </c>
      <c r="D38" s="26" t="e">
        <f ca="1">D34+D35-D36</f>
        <v>#NAME?</v>
      </c>
      <c r="E38" s="26" t="e">
        <f t="shared" ca="1" si="474"/>
        <v>#NAME?</v>
      </c>
      <c r="F38" s="26" t="e">
        <f t="shared" ca="1" si="474"/>
        <v>#NAME?</v>
      </c>
      <c r="G38" s="26" t="e">
        <f t="shared" ca="1" si="474"/>
        <v>#NAME?</v>
      </c>
      <c r="H38" s="26" t="e">
        <f t="shared" ca="1" si="474"/>
        <v>#NAME?</v>
      </c>
      <c r="I38" s="26" t="e">
        <f t="shared" ca="1" si="474"/>
        <v>#NAME?</v>
      </c>
      <c r="J38" s="26" t="e">
        <f t="shared" ca="1" si="474"/>
        <v>#NAME?</v>
      </c>
      <c r="K38" s="26" t="e">
        <f t="shared" ca="1" si="474"/>
        <v>#NAME?</v>
      </c>
      <c r="L38" s="26" t="e">
        <f t="shared" ca="1" si="474"/>
        <v>#NAME?</v>
      </c>
      <c r="M38" s="26" t="e">
        <f t="shared" ca="1" si="474"/>
        <v>#NAME?</v>
      </c>
      <c r="N38" s="26" t="e">
        <f t="shared" ca="1" si="474"/>
        <v>#NAME?</v>
      </c>
      <c r="O38" s="26" t="e">
        <f t="shared" ca="1" si="474"/>
        <v>#NAME?</v>
      </c>
      <c r="P38" s="26" t="e">
        <f t="shared" ca="1" si="474"/>
        <v>#NAME?</v>
      </c>
      <c r="Q38" s="26" t="e">
        <f t="shared" ca="1" si="474"/>
        <v>#NAME?</v>
      </c>
      <c r="R38" s="26" t="e">
        <f t="shared" ca="1" si="474"/>
        <v>#NAME?</v>
      </c>
      <c r="S38" s="26" t="e">
        <f t="shared" ca="1" si="474"/>
        <v>#NAME?</v>
      </c>
      <c r="T38" s="26" t="e">
        <f t="shared" ca="1" si="474"/>
        <v>#NAME?</v>
      </c>
      <c r="U38" s="26" t="e">
        <f t="shared" ref="U38:Z38" ca="1" si="475">U34+U35-U36</f>
        <v>#NAME?</v>
      </c>
      <c r="V38" s="26" t="e">
        <f t="shared" ca="1" si="475"/>
        <v>#NAME?</v>
      </c>
      <c r="W38" s="26" t="e">
        <f t="shared" ca="1" si="475"/>
        <v>#NAME?</v>
      </c>
      <c r="X38" s="26" t="e">
        <f t="shared" ca="1" si="475"/>
        <v>#NAME?</v>
      </c>
      <c r="Y38" s="26" t="e">
        <f t="shared" ca="1" si="475"/>
        <v>#NAME?</v>
      </c>
      <c r="Z38" s="26" t="e">
        <f t="shared" ca="1" si="475"/>
        <v>#NAME?</v>
      </c>
      <c r="AA38" s="26" t="e">
        <f t="shared" ref="AA38" ca="1" si="476">AA34+AA35-AA36</f>
        <v>#NAME?</v>
      </c>
      <c r="AB38" s="27" t="e">
        <f t="shared" ref="AB38:AD38" ca="1" si="477">AB34+AB35-AB36</f>
        <v>#NAME?</v>
      </c>
      <c r="AC38" s="27" t="e">
        <f t="shared" ca="1" si="477"/>
        <v>#NAME?</v>
      </c>
      <c r="AD38" s="27" t="e">
        <f t="shared" ca="1" si="477"/>
        <v>#NAME?</v>
      </c>
      <c r="AE38" s="27" t="e">
        <f t="shared" ref="AE38" ca="1" si="478">AE34+AE35-AE36</f>
        <v>#NAME?</v>
      </c>
      <c r="AI38" s="26" t="e">
        <f ca="1">AI34+AI35-AI36</f>
        <v>#NAME?</v>
      </c>
      <c r="AJ38" s="26" t="e">
        <f t="shared" ref="AJ38" ca="1" si="479">AJ34+AJ35-AJ36</f>
        <v>#NAME?</v>
      </c>
      <c r="AK38" s="26" t="e">
        <f t="shared" ref="AK38:AM38" ca="1" si="480">AK34+AK35-AK36</f>
        <v>#NAME?</v>
      </c>
      <c r="AL38" s="26" t="e">
        <f t="shared" ca="1" si="480"/>
        <v>#NAME?</v>
      </c>
      <c r="AM38" s="26" t="e">
        <f t="shared" ca="1" si="480"/>
        <v>#NAME?</v>
      </c>
      <c r="AN38" s="26" t="e">
        <f t="shared" ref="AN38:AO38" ca="1" si="481">AN34+AN35-AN36</f>
        <v>#NAME?</v>
      </c>
      <c r="AO38" s="26" t="e">
        <f t="shared" ca="1" si="481"/>
        <v>#NAME?</v>
      </c>
      <c r="AP38" s="26" t="e">
        <f t="shared" ref="AP38:CD38" ca="1" si="482">AP34+AP35-AP36</f>
        <v>#NAME?</v>
      </c>
      <c r="AQ38" s="26" t="e">
        <f t="shared" ca="1" si="482"/>
        <v>#NAME?</v>
      </c>
      <c r="AR38" s="26" t="e">
        <f t="shared" ca="1" si="482"/>
        <v>#NAME?</v>
      </c>
      <c r="AS38" s="26" t="e">
        <f t="shared" ca="1" si="482"/>
        <v>#NAME?</v>
      </c>
      <c r="AT38" s="26" t="e">
        <f t="shared" ca="1" si="482"/>
        <v>#NAME?</v>
      </c>
      <c r="AU38" s="26" t="e">
        <f t="shared" ca="1" si="482"/>
        <v>#NAME?</v>
      </c>
      <c r="AV38" s="26" t="e">
        <f t="shared" ca="1" si="482"/>
        <v>#NAME?</v>
      </c>
      <c r="AW38" s="26" t="e">
        <f t="shared" ca="1" si="482"/>
        <v>#NAME?</v>
      </c>
      <c r="AX38" s="26" t="e">
        <f t="shared" ca="1" si="482"/>
        <v>#NAME?</v>
      </c>
      <c r="AY38" s="26" t="e">
        <f t="shared" ca="1" si="482"/>
        <v>#NAME?</v>
      </c>
      <c r="AZ38" s="26" t="e">
        <f t="shared" ca="1" si="482"/>
        <v>#NAME?</v>
      </c>
      <c r="BA38" s="26" t="e">
        <f t="shared" ca="1" si="482"/>
        <v>#NAME?</v>
      </c>
      <c r="BB38" s="26" t="e">
        <f t="shared" ca="1" si="482"/>
        <v>#NAME?</v>
      </c>
      <c r="BC38" s="26" t="e">
        <f t="shared" ca="1" si="482"/>
        <v>#NAME?</v>
      </c>
      <c r="BD38" s="26" t="e">
        <f t="shared" ca="1" si="482"/>
        <v>#NAME?</v>
      </c>
      <c r="BE38" s="26" t="e">
        <f t="shared" ca="1" si="482"/>
        <v>#NAME?</v>
      </c>
      <c r="BF38" s="26" t="e">
        <f t="shared" ca="1" si="482"/>
        <v>#NAME?</v>
      </c>
      <c r="BG38" s="26" t="e">
        <f t="shared" ca="1" si="482"/>
        <v>#NAME?</v>
      </c>
      <c r="BH38" s="26" t="e">
        <f t="shared" ca="1" si="482"/>
        <v>#NAME?</v>
      </c>
      <c r="BI38" s="26" t="e">
        <f t="shared" ca="1" si="482"/>
        <v>#NAME?</v>
      </c>
      <c r="BJ38" s="26" t="e">
        <f t="shared" ca="1" si="482"/>
        <v>#NAME?</v>
      </c>
      <c r="BK38" s="26" t="e">
        <f t="shared" ca="1" si="482"/>
        <v>#NAME?</v>
      </c>
      <c r="BL38" s="26" t="e">
        <f t="shared" ca="1" si="482"/>
        <v>#NAME?</v>
      </c>
      <c r="BM38" s="26" t="e">
        <f t="shared" ca="1" si="482"/>
        <v>#NAME?</v>
      </c>
      <c r="BN38" s="26" t="e">
        <f t="shared" ca="1" si="482"/>
        <v>#NAME?</v>
      </c>
      <c r="BO38" s="26" t="e">
        <f t="shared" ca="1" si="482"/>
        <v>#NAME?</v>
      </c>
      <c r="BP38" s="26" t="e">
        <f t="shared" ca="1" si="482"/>
        <v>#NAME?</v>
      </c>
      <c r="BQ38" s="26" t="e">
        <f t="shared" ca="1" si="482"/>
        <v>#NAME?</v>
      </c>
      <c r="BR38" s="26" t="e">
        <f t="shared" ca="1" si="482"/>
        <v>#NAME?</v>
      </c>
      <c r="BS38" s="26" t="e">
        <f t="shared" ca="1" si="482"/>
        <v>#NAME?</v>
      </c>
      <c r="BT38" s="26" t="e">
        <f t="shared" ca="1" si="482"/>
        <v>#NAME?</v>
      </c>
      <c r="BU38" s="26" t="e">
        <f t="shared" ca="1" si="482"/>
        <v>#NAME?</v>
      </c>
      <c r="BV38" s="26" t="e">
        <f t="shared" ca="1" si="482"/>
        <v>#NAME?</v>
      </c>
      <c r="BW38" s="26" t="e">
        <f t="shared" ca="1" si="482"/>
        <v>#NAME?</v>
      </c>
      <c r="BX38" s="26" t="e">
        <f t="shared" ca="1" si="482"/>
        <v>#NAME?</v>
      </c>
      <c r="BY38" s="26" t="e">
        <f t="shared" ca="1" si="482"/>
        <v>#NAME?</v>
      </c>
      <c r="BZ38" s="26" t="e">
        <f t="shared" ca="1" si="482"/>
        <v>#NAME?</v>
      </c>
      <c r="CA38" s="26" t="e">
        <f t="shared" ca="1" si="482"/>
        <v>#NAME?</v>
      </c>
      <c r="CB38" s="26" t="e">
        <f t="shared" ca="1" si="482"/>
        <v>#NAME?</v>
      </c>
      <c r="CC38" s="26" t="e">
        <f t="shared" ca="1" si="482"/>
        <v>#NAME?</v>
      </c>
      <c r="CD38" s="26" t="e">
        <f t="shared" ca="1" si="482"/>
        <v>#NAME?</v>
      </c>
      <c r="CE38" s="26" t="e">
        <f t="shared" ref="CE38:CF38" ca="1" si="483">CE34+CE35-CE36</f>
        <v>#NAME?</v>
      </c>
      <c r="CF38" s="26" t="e">
        <f t="shared" ca="1" si="483"/>
        <v>#NAME?</v>
      </c>
      <c r="CG38" s="26" t="e">
        <f t="shared" ref="CG38:CH38" ca="1" si="484">CG34+CG35-CG36</f>
        <v>#NAME?</v>
      </c>
      <c r="CH38" s="26" t="e">
        <f t="shared" ca="1" si="484"/>
        <v>#NAME?</v>
      </c>
      <c r="CI38" s="26" t="e">
        <f t="shared" ref="CI38:CJ38" ca="1" si="485">CI34+CI35-CI36</f>
        <v>#NAME?</v>
      </c>
      <c r="CJ38" s="26" t="e">
        <f t="shared" ca="1" si="485"/>
        <v>#NAME?</v>
      </c>
      <c r="CK38" s="26" t="e">
        <f t="shared" ref="CK38:CL38" ca="1" si="486">CK34+CK35-CK36</f>
        <v>#NAME?</v>
      </c>
      <c r="CL38" s="26" t="e">
        <f t="shared" ca="1" si="486"/>
        <v>#NAME?</v>
      </c>
      <c r="CM38" s="27" t="e">
        <f t="shared" ref="CM38:DB38" ca="1" si="487">CM34+CM35-CM36</f>
        <v>#NAME?</v>
      </c>
      <c r="CN38" s="27" t="e">
        <f t="shared" ca="1" si="487"/>
        <v>#NAME?</v>
      </c>
      <c r="CO38" s="27" t="e">
        <f t="shared" ca="1" si="487"/>
        <v>#NAME?</v>
      </c>
      <c r="CP38" s="27" t="e">
        <f t="shared" ca="1" si="487"/>
        <v>#NAME?</v>
      </c>
      <c r="CQ38" s="27" t="e">
        <f t="shared" ca="1" si="487"/>
        <v>#NAME?</v>
      </c>
      <c r="CR38" s="27" t="e">
        <f t="shared" ca="1" si="487"/>
        <v>#NAME?</v>
      </c>
      <c r="CS38" s="27" t="e">
        <f t="shared" ca="1" si="487"/>
        <v>#NAME?</v>
      </c>
      <c r="CT38" s="27" t="e">
        <f t="shared" ca="1" si="487"/>
        <v>#NAME?</v>
      </c>
      <c r="CU38" s="27" t="e">
        <f t="shared" ca="1" si="487"/>
        <v>#NAME?</v>
      </c>
      <c r="CV38" s="27" t="e">
        <f t="shared" ca="1" si="487"/>
        <v>#NAME?</v>
      </c>
      <c r="CW38" s="27" t="e">
        <f t="shared" ca="1" si="487"/>
        <v>#NAME?</v>
      </c>
      <c r="CX38" s="27" t="e">
        <f t="shared" ca="1" si="487"/>
        <v>#NAME?</v>
      </c>
      <c r="CY38" s="27" t="e">
        <f t="shared" ca="1" si="487"/>
        <v>#NAME?</v>
      </c>
      <c r="CZ38" s="27" t="e">
        <f t="shared" ca="1" si="487"/>
        <v>#NAME?</v>
      </c>
      <c r="DA38" s="27" t="e">
        <f t="shared" ca="1" si="487"/>
        <v>#NAME?</v>
      </c>
      <c r="DB38" s="27" t="e">
        <f t="shared" ca="1" si="487"/>
        <v>#NAME?</v>
      </c>
      <c r="DE38" s="121"/>
      <c r="DF38" s="26">
        <v>4309.2899999999918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88">+CM38*CM40</f>
        <v>#NAME?</v>
      </c>
      <c r="CN39" s="24" t="e">
        <f t="shared" ca="1" si="488"/>
        <v>#NAME?</v>
      </c>
      <c r="CO39" s="24" t="e">
        <f t="shared" ca="1" si="488"/>
        <v>#NAME?</v>
      </c>
      <c r="CP39" s="24" t="e">
        <f t="shared" ca="1" si="488"/>
        <v>#NAME?</v>
      </c>
      <c r="CQ39" s="24" t="e">
        <f t="shared" ca="1" si="488"/>
        <v>#NAME?</v>
      </c>
      <c r="CR39" s="24" t="e">
        <f t="shared" ca="1" si="488"/>
        <v>#NAME?</v>
      </c>
      <c r="CS39" s="24" t="e">
        <f t="shared" ca="1" si="488"/>
        <v>#NAME?</v>
      </c>
      <c r="CT39" s="24" t="e">
        <f t="shared" ca="1" si="488"/>
        <v>#NAME?</v>
      </c>
      <c r="CU39" s="24" t="e">
        <f t="shared" ca="1" si="488"/>
        <v>#NAME?</v>
      </c>
      <c r="CV39" s="24" t="e">
        <f t="shared" ca="1" si="488"/>
        <v>#NAME?</v>
      </c>
      <c r="CW39" s="24" t="e">
        <f t="shared" ca="1" si="488"/>
        <v>#NAME?</v>
      </c>
      <c r="CX39" s="24" t="e">
        <f t="shared" ca="1" si="488"/>
        <v>#NAME?</v>
      </c>
      <c r="CY39" s="24" t="e">
        <f t="shared" ca="1" si="488"/>
        <v>#NAME?</v>
      </c>
      <c r="CZ39" s="24" t="e">
        <f t="shared" ca="1" si="488"/>
        <v>#NAME?</v>
      </c>
      <c r="DA39" s="24" t="e">
        <f t="shared" ca="1" si="488"/>
        <v>#NAME?</v>
      </c>
      <c r="DB39" s="24" t="e">
        <f t="shared" ca="1" si="488"/>
        <v>#NAME?</v>
      </c>
      <c r="DE39" s="123"/>
      <c r="DF39" s="23">
        <v>3831.1500000000005</v>
      </c>
    </row>
    <row r="40" spans="1:110" s="90" customFormat="1" x14ac:dyDescent="0.2">
      <c r="A40" s="90" t="s">
        <v>106</v>
      </c>
      <c r="B40" s="90" t="e">
        <f t="shared" ref="B40:E40" ca="1" si="489">B39/B38</f>
        <v>#NAME?</v>
      </c>
      <c r="C40" s="90" t="e">
        <f t="shared" ca="1" si="489"/>
        <v>#NAME?</v>
      </c>
      <c r="D40" s="90" t="e">
        <f t="shared" ca="1" si="489"/>
        <v>#NAME?</v>
      </c>
      <c r="E40" s="90" t="e">
        <f t="shared" ca="1" si="489"/>
        <v>#NAME?</v>
      </c>
      <c r="F40" s="90" t="e">
        <f t="shared" ref="F40:T40" ca="1" si="490">F39/F38</f>
        <v>#NAME?</v>
      </c>
      <c r="G40" s="90" t="e">
        <f t="shared" ca="1" si="490"/>
        <v>#NAME?</v>
      </c>
      <c r="H40" s="90" t="e">
        <f t="shared" ca="1" si="490"/>
        <v>#NAME?</v>
      </c>
      <c r="I40" s="90" t="e">
        <f t="shared" ca="1" si="490"/>
        <v>#NAME?</v>
      </c>
      <c r="J40" s="90" t="e">
        <f t="shared" ca="1" si="490"/>
        <v>#NAME?</v>
      </c>
      <c r="K40" s="90" t="e">
        <f t="shared" ca="1" si="490"/>
        <v>#NAME?</v>
      </c>
      <c r="L40" s="90" t="e">
        <f t="shared" ca="1" si="490"/>
        <v>#NAME?</v>
      </c>
      <c r="M40" s="90" t="e">
        <f t="shared" ca="1" si="490"/>
        <v>#NAME?</v>
      </c>
      <c r="N40" s="90" t="e">
        <f t="shared" ca="1" si="490"/>
        <v>#NAME?</v>
      </c>
      <c r="O40" s="90" t="e">
        <f t="shared" ca="1" si="490"/>
        <v>#NAME?</v>
      </c>
      <c r="P40" s="90" t="e">
        <f t="shared" ca="1" si="490"/>
        <v>#NAME?</v>
      </c>
      <c r="Q40" s="90" t="e">
        <f t="shared" ca="1" si="490"/>
        <v>#NAME?</v>
      </c>
      <c r="R40" s="90" t="e">
        <f t="shared" ca="1" si="490"/>
        <v>#NAME?</v>
      </c>
      <c r="S40" s="90" t="e">
        <f t="shared" ca="1" si="490"/>
        <v>#NAME?</v>
      </c>
      <c r="T40" s="90" t="e">
        <f t="shared" ca="1" si="490"/>
        <v>#NAME?</v>
      </c>
      <c r="U40" s="90" t="e">
        <f t="shared" ref="U40:Z40" ca="1" si="491">U39/U38</f>
        <v>#NAME?</v>
      </c>
      <c r="V40" s="90" t="e">
        <f t="shared" ca="1" si="491"/>
        <v>#NAME?</v>
      </c>
      <c r="W40" s="90" t="e">
        <f t="shared" ca="1" si="491"/>
        <v>#NAME?</v>
      </c>
      <c r="X40" s="90" t="e">
        <f t="shared" ca="1" si="491"/>
        <v>#NAME?</v>
      </c>
      <c r="Y40" s="90" t="e">
        <f t="shared" ca="1" si="491"/>
        <v>#NAME?</v>
      </c>
      <c r="Z40" s="90" t="e">
        <f t="shared" ca="1" si="491"/>
        <v>#NAME?</v>
      </c>
      <c r="AA40" s="90" t="e">
        <f t="shared" ref="AA40" ca="1" si="492">AA39/AA38</f>
        <v>#NAME?</v>
      </c>
      <c r="AB40" s="91" t="e">
        <f t="shared" ref="AA40:AD40" ca="1" si="493">AB39/AB38</f>
        <v>#NAME?</v>
      </c>
      <c r="AC40" s="91" t="e">
        <f t="shared" ca="1" si="493"/>
        <v>#NAME?</v>
      </c>
      <c r="AD40" s="91" t="e">
        <f t="shared" ca="1" si="493"/>
        <v>#NAME?</v>
      </c>
      <c r="AE40" s="91" t="e">
        <f t="shared" ref="AE40" ca="1" si="494">AE39/AE38</f>
        <v>#NAME?</v>
      </c>
      <c r="AI40" s="90" t="e">
        <f t="shared" ref="AI40" ca="1" si="495">AI39/AI38</f>
        <v>#NAME?</v>
      </c>
      <c r="AJ40" s="90" t="e">
        <f t="shared" ref="AJ40" ca="1" si="496">AJ39/AJ38</f>
        <v>#NAME?</v>
      </c>
      <c r="AK40" s="90" t="e">
        <f t="shared" ref="AK40:AM40" ca="1" si="497">AK39/AK38</f>
        <v>#NAME?</v>
      </c>
      <c r="AL40" s="90" t="e">
        <f t="shared" ca="1" si="497"/>
        <v>#NAME?</v>
      </c>
      <c r="AM40" s="90" t="e">
        <f t="shared" ca="1" si="497"/>
        <v>#NAME?</v>
      </c>
      <c r="AN40" s="90" t="e">
        <f t="shared" ref="AN40:AO40" ca="1" si="498">AN39/AN38</f>
        <v>#NAME?</v>
      </c>
      <c r="AO40" s="90" t="e">
        <f t="shared" ca="1" si="498"/>
        <v>#NAME?</v>
      </c>
      <c r="AP40" s="90" t="e">
        <f t="shared" ref="AP40:CD40" ca="1" si="499">AP39/AP38</f>
        <v>#NAME?</v>
      </c>
      <c r="AQ40" s="90" t="e">
        <f t="shared" ca="1" si="499"/>
        <v>#NAME?</v>
      </c>
      <c r="AR40" s="90" t="e">
        <f t="shared" ca="1" si="499"/>
        <v>#NAME?</v>
      </c>
      <c r="AS40" s="90" t="e">
        <f t="shared" ca="1" si="499"/>
        <v>#NAME?</v>
      </c>
      <c r="AT40" s="90" t="e">
        <f t="shared" ca="1" si="499"/>
        <v>#NAME?</v>
      </c>
      <c r="AU40" s="90" t="e">
        <f t="shared" ca="1" si="499"/>
        <v>#NAME?</v>
      </c>
      <c r="AV40" s="90" t="e">
        <f t="shared" ca="1" si="499"/>
        <v>#NAME?</v>
      </c>
      <c r="AW40" s="90" t="e">
        <f t="shared" ca="1" si="499"/>
        <v>#NAME?</v>
      </c>
      <c r="AX40" s="90" t="e">
        <f t="shared" ca="1" si="499"/>
        <v>#NAME?</v>
      </c>
      <c r="AY40" s="90" t="e">
        <f t="shared" ca="1" si="499"/>
        <v>#NAME?</v>
      </c>
      <c r="AZ40" s="90" t="e">
        <f t="shared" ca="1" si="499"/>
        <v>#NAME?</v>
      </c>
      <c r="BA40" s="90" t="e">
        <f t="shared" ca="1" si="499"/>
        <v>#NAME?</v>
      </c>
      <c r="BB40" s="90" t="e">
        <f t="shared" ca="1" si="499"/>
        <v>#NAME?</v>
      </c>
      <c r="BC40" s="90" t="e">
        <f t="shared" ca="1" si="499"/>
        <v>#NAME?</v>
      </c>
      <c r="BD40" s="90" t="e">
        <f t="shared" ca="1" si="499"/>
        <v>#NAME?</v>
      </c>
      <c r="BE40" s="90" t="e">
        <f t="shared" ca="1" si="499"/>
        <v>#NAME?</v>
      </c>
      <c r="BF40" s="90" t="e">
        <f t="shared" ca="1" si="499"/>
        <v>#NAME?</v>
      </c>
      <c r="BG40" s="90" t="e">
        <f t="shared" ca="1" si="499"/>
        <v>#NAME?</v>
      </c>
      <c r="BH40" s="90" t="e">
        <f t="shared" ca="1" si="499"/>
        <v>#NAME?</v>
      </c>
      <c r="BI40" s="90" t="e">
        <f t="shared" ca="1" si="499"/>
        <v>#NAME?</v>
      </c>
      <c r="BJ40" s="90" t="e">
        <f t="shared" ca="1" si="499"/>
        <v>#NAME?</v>
      </c>
      <c r="BK40" s="90" t="e">
        <f t="shared" ca="1" si="499"/>
        <v>#NAME?</v>
      </c>
      <c r="BL40" s="90" t="e">
        <f t="shared" ca="1" si="499"/>
        <v>#NAME?</v>
      </c>
      <c r="BM40" s="90" t="e">
        <f t="shared" ca="1" si="499"/>
        <v>#NAME?</v>
      </c>
      <c r="BN40" s="90" t="e">
        <f t="shared" ca="1" si="499"/>
        <v>#NAME?</v>
      </c>
      <c r="BO40" s="90" t="e">
        <f t="shared" ca="1" si="499"/>
        <v>#NAME?</v>
      </c>
      <c r="BP40" s="90" t="e">
        <f t="shared" ca="1" si="499"/>
        <v>#NAME?</v>
      </c>
      <c r="BQ40" s="90" t="e">
        <f t="shared" ca="1" si="499"/>
        <v>#NAME?</v>
      </c>
      <c r="BR40" s="90" t="e">
        <f t="shared" ca="1" si="499"/>
        <v>#NAME?</v>
      </c>
      <c r="BS40" s="90" t="e">
        <f t="shared" ca="1" si="499"/>
        <v>#NAME?</v>
      </c>
      <c r="BT40" s="90" t="e">
        <f t="shared" ca="1" si="499"/>
        <v>#NAME?</v>
      </c>
      <c r="BU40" s="90" t="e">
        <f t="shared" ca="1" si="499"/>
        <v>#NAME?</v>
      </c>
      <c r="BV40" s="90" t="e">
        <f t="shared" ca="1" si="499"/>
        <v>#NAME?</v>
      </c>
      <c r="BW40" s="90" t="e">
        <f t="shared" ca="1" si="499"/>
        <v>#NAME?</v>
      </c>
      <c r="BX40" s="90" t="e">
        <f t="shared" ca="1" si="499"/>
        <v>#NAME?</v>
      </c>
      <c r="BY40" s="90" t="e">
        <f t="shared" ca="1" si="499"/>
        <v>#NAME?</v>
      </c>
      <c r="BZ40" s="90" t="e">
        <f t="shared" ca="1" si="499"/>
        <v>#NAME?</v>
      </c>
      <c r="CA40" s="90" t="e">
        <f t="shared" ca="1" si="499"/>
        <v>#NAME?</v>
      </c>
      <c r="CB40" s="90" t="e">
        <f t="shared" ca="1" si="499"/>
        <v>#NAME?</v>
      </c>
      <c r="CC40" s="90" t="e">
        <f t="shared" ca="1" si="499"/>
        <v>#NAME?</v>
      </c>
      <c r="CD40" s="90" t="e">
        <f t="shared" ca="1" si="499"/>
        <v>#NAME?</v>
      </c>
      <c r="CE40" s="90" t="e">
        <f t="shared" ref="CE40:CF40" ca="1" si="500">CE39/CE38</f>
        <v>#NAME?</v>
      </c>
      <c r="CF40" s="90" t="e">
        <f t="shared" ca="1" si="500"/>
        <v>#NAME?</v>
      </c>
      <c r="CG40" s="90" t="e">
        <f t="shared" ref="CG40:CH40" ca="1" si="501">CG39/CG38</f>
        <v>#NAME?</v>
      </c>
      <c r="CH40" s="90" t="e">
        <f t="shared" ca="1" si="501"/>
        <v>#NAME?</v>
      </c>
      <c r="CI40" s="90" t="e">
        <f t="shared" ref="CI40:CJ40" ca="1" si="502">CI39/CI38</f>
        <v>#NAME?</v>
      </c>
      <c r="CJ40" s="90" t="e">
        <f t="shared" ca="1" si="502"/>
        <v>#NAME?</v>
      </c>
      <c r="CK40" s="90" t="e">
        <f t="shared" ref="CK40:CL40" ca="1" si="503">CK39/CK38</f>
        <v>#NAME?</v>
      </c>
      <c r="CL40" s="90" t="e">
        <f t="shared" ca="1" si="503"/>
        <v>#NAME?</v>
      </c>
      <c r="CM40" s="91">
        <v>0.55000000000000004</v>
      </c>
      <c r="CN40" s="91">
        <f>+CM40</f>
        <v>0.55000000000000004</v>
      </c>
      <c r="CO40" s="91">
        <f t="shared" ref="CO40:DB40" si="504">+CN40</f>
        <v>0.55000000000000004</v>
      </c>
      <c r="CP40" s="91">
        <f t="shared" si="504"/>
        <v>0.55000000000000004</v>
      </c>
      <c r="CQ40" s="91">
        <v>0.55000000000000004</v>
      </c>
      <c r="CR40" s="91">
        <f t="shared" si="504"/>
        <v>0.55000000000000004</v>
      </c>
      <c r="CS40" s="91">
        <f t="shared" si="504"/>
        <v>0.55000000000000004</v>
      </c>
      <c r="CT40" s="91">
        <f t="shared" si="504"/>
        <v>0.55000000000000004</v>
      </c>
      <c r="CU40" s="91">
        <f t="shared" si="504"/>
        <v>0.55000000000000004</v>
      </c>
      <c r="CV40" s="91">
        <f t="shared" si="504"/>
        <v>0.55000000000000004</v>
      </c>
      <c r="CW40" s="91">
        <f t="shared" si="504"/>
        <v>0.55000000000000004</v>
      </c>
      <c r="CX40" s="91">
        <f t="shared" si="504"/>
        <v>0.55000000000000004</v>
      </c>
      <c r="CY40" s="91">
        <f t="shared" si="504"/>
        <v>0.55000000000000004</v>
      </c>
      <c r="CZ40" s="91">
        <f t="shared" si="504"/>
        <v>0.55000000000000004</v>
      </c>
      <c r="DA40" s="91">
        <f t="shared" si="504"/>
        <v>0.55000000000000004</v>
      </c>
      <c r="DB40" s="91">
        <f t="shared" si="504"/>
        <v>0.55000000000000004</v>
      </c>
      <c r="DE40" s="127"/>
      <c r="DF40" s="90">
        <v>0.88904436693747879</v>
      </c>
    </row>
    <row r="41" spans="1:110" s="26" customFormat="1" x14ac:dyDescent="0.2">
      <c r="A41" s="26" t="s">
        <v>22</v>
      </c>
      <c r="B41" s="26" t="e">
        <f t="shared" ref="B41:E41" ca="1" si="505">B38-B39</f>
        <v>#NAME?</v>
      </c>
      <c r="C41" s="26" t="e">
        <f t="shared" ca="1" si="505"/>
        <v>#NAME?</v>
      </c>
      <c r="D41" s="26" t="e">
        <f t="shared" ca="1" si="505"/>
        <v>#NAME?</v>
      </c>
      <c r="E41" s="26" t="e">
        <f t="shared" ca="1" si="505"/>
        <v>#NAME?</v>
      </c>
      <c r="F41" s="26" t="e">
        <f t="shared" ref="F41:T41" ca="1" si="506">F38-F39</f>
        <v>#NAME?</v>
      </c>
      <c r="G41" s="26" t="e">
        <f t="shared" ca="1" si="506"/>
        <v>#NAME?</v>
      </c>
      <c r="H41" s="26" t="e">
        <f t="shared" ca="1" si="506"/>
        <v>#NAME?</v>
      </c>
      <c r="I41" s="26" t="e">
        <f t="shared" ca="1" si="506"/>
        <v>#NAME?</v>
      </c>
      <c r="J41" s="26" t="e">
        <f t="shared" ca="1" si="506"/>
        <v>#NAME?</v>
      </c>
      <c r="K41" s="26" t="e">
        <f t="shared" ca="1" si="506"/>
        <v>#NAME?</v>
      </c>
      <c r="L41" s="26" t="e">
        <f t="shared" ca="1" si="506"/>
        <v>#NAME?</v>
      </c>
      <c r="M41" s="26" t="e">
        <f t="shared" ca="1" si="506"/>
        <v>#NAME?</v>
      </c>
      <c r="N41" s="26" t="e">
        <f t="shared" ca="1" si="506"/>
        <v>#NAME?</v>
      </c>
      <c r="O41" s="26" t="e">
        <f t="shared" ca="1" si="506"/>
        <v>#NAME?</v>
      </c>
      <c r="P41" s="26" t="e">
        <f t="shared" ca="1" si="506"/>
        <v>#NAME?</v>
      </c>
      <c r="Q41" s="26" t="e">
        <f t="shared" ca="1" si="506"/>
        <v>#NAME?</v>
      </c>
      <c r="R41" s="26" t="e">
        <f t="shared" ca="1" si="506"/>
        <v>#NAME?</v>
      </c>
      <c r="S41" s="26" t="e">
        <f t="shared" ca="1" si="506"/>
        <v>#NAME?</v>
      </c>
      <c r="T41" s="26" t="e">
        <f t="shared" ca="1" si="506"/>
        <v>#NAME?</v>
      </c>
      <c r="U41" s="26" t="e">
        <f t="shared" ref="U41:Z41" ca="1" si="507">U38-U39</f>
        <v>#NAME?</v>
      </c>
      <c r="V41" s="26" t="e">
        <f t="shared" ca="1" si="507"/>
        <v>#NAME?</v>
      </c>
      <c r="W41" s="26" t="e">
        <f t="shared" ca="1" si="507"/>
        <v>#NAME?</v>
      </c>
      <c r="X41" s="26" t="e">
        <f t="shared" ca="1" si="507"/>
        <v>#NAME?</v>
      </c>
      <c r="Y41" s="26" t="e">
        <f t="shared" ca="1" si="507"/>
        <v>#NAME?</v>
      </c>
      <c r="Z41" s="26" t="e">
        <f t="shared" ca="1" si="507"/>
        <v>#NAME?</v>
      </c>
      <c r="AA41" s="26" t="e">
        <f t="shared" ref="AA41" ca="1" si="508">AA38-AA39</f>
        <v>#NAME?</v>
      </c>
      <c r="AB41" s="27" t="e">
        <f t="shared" ref="AA41:AD41" ca="1" si="509">AB38-AB39</f>
        <v>#NAME?</v>
      </c>
      <c r="AC41" s="27" t="e">
        <f t="shared" ca="1" si="509"/>
        <v>#NAME?</v>
      </c>
      <c r="AD41" s="27" t="e">
        <f t="shared" ca="1" si="509"/>
        <v>#NAME?</v>
      </c>
      <c r="AE41" s="27" t="e">
        <f t="shared" ref="AE41" ca="1" si="510">AE38-AE39</f>
        <v>#NAME?</v>
      </c>
      <c r="AI41" s="26" t="e">
        <f ca="1">AI38-AI39</f>
        <v>#NAME?</v>
      </c>
      <c r="AJ41" s="26" t="e">
        <f t="shared" ref="AJ41" ca="1" si="511">AJ38-AJ39</f>
        <v>#NAME?</v>
      </c>
      <c r="AK41" s="26" t="e">
        <f t="shared" ref="AK41:AM41" ca="1" si="512">AK38-AK39</f>
        <v>#NAME?</v>
      </c>
      <c r="AL41" s="26" t="e">
        <f t="shared" ca="1" si="512"/>
        <v>#NAME?</v>
      </c>
      <c r="AM41" s="26" t="e">
        <f t="shared" ca="1" si="512"/>
        <v>#NAME?</v>
      </c>
      <c r="AN41" s="26" t="e">
        <f t="shared" ref="AN41:AO41" ca="1" si="513">AN38-AN39</f>
        <v>#NAME?</v>
      </c>
      <c r="AO41" s="26" t="e">
        <f t="shared" ca="1" si="513"/>
        <v>#NAME?</v>
      </c>
      <c r="AP41" s="26" t="e">
        <f t="shared" ref="AP41:CD41" ca="1" si="514">AP38-AP39</f>
        <v>#NAME?</v>
      </c>
      <c r="AQ41" s="26" t="e">
        <f t="shared" ca="1" si="514"/>
        <v>#NAME?</v>
      </c>
      <c r="AR41" s="26" t="e">
        <f t="shared" ca="1" si="514"/>
        <v>#NAME?</v>
      </c>
      <c r="AS41" s="26" t="e">
        <f t="shared" ca="1" si="514"/>
        <v>#NAME?</v>
      </c>
      <c r="AT41" s="26" t="e">
        <f t="shared" ca="1" si="514"/>
        <v>#NAME?</v>
      </c>
      <c r="AU41" s="26" t="e">
        <f t="shared" ca="1" si="514"/>
        <v>#NAME?</v>
      </c>
      <c r="AV41" s="26" t="e">
        <f t="shared" ca="1" si="514"/>
        <v>#NAME?</v>
      </c>
      <c r="AW41" s="26" t="e">
        <f t="shared" ca="1" si="514"/>
        <v>#NAME?</v>
      </c>
      <c r="AX41" s="26" t="e">
        <f t="shared" ca="1" si="514"/>
        <v>#NAME?</v>
      </c>
      <c r="AY41" s="26" t="e">
        <f t="shared" ca="1" si="514"/>
        <v>#NAME?</v>
      </c>
      <c r="AZ41" s="26" t="e">
        <f t="shared" ca="1" si="514"/>
        <v>#NAME?</v>
      </c>
      <c r="BA41" s="26" t="e">
        <f t="shared" ca="1" si="514"/>
        <v>#NAME?</v>
      </c>
      <c r="BB41" s="26" t="e">
        <f t="shared" ca="1" si="514"/>
        <v>#NAME?</v>
      </c>
      <c r="BC41" s="26" t="e">
        <f t="shared" ca="1" si="514"/>
        <v>#NAME?</v>
      </c>
      <c r="BD41" s="26" t="e">
        <f t="shared" ca="1" si="514"/>
        <v>#NAME?</v>
      </c>
      <c r="BE41" s="26" t="e">
        <f t="shared" ca="1" si="514"/>
        <v>#NAME?</v>
      </c>
      <c r="BF41" s="26" t="e">
        <f t="shared" ca="1" si="514"/>
        <v>#NAME?</v>
      </c>
      <c r="BG41" s="26" t="e">
        <f t="shared" ca="1" si="514"/>
        <v>#NAME?</v>
      </c>
      <c r="BH41" s="26" t="e">
        <f t="shared" ca="1" si="514"/>
        <v>#NAME?</v>
      </c>
      <c r="BI41" s="26" t="e">
        <f t="shared" ca="1" si="514"/>
        <v>#NAME?</v>
      </c>
      <c r="BJ41" s="26" t="e">
        <f t="shared" ca="1" si="514"/>
        <v>#NAME?</v>
      </c>
      <c r="BK41" s="26" t="e">
        <f t="shared" ca="1" si="514"/>
        <v>#NAME?</v>
      </c>
      <c r="BL41" s="26" t="e">
        <f t="shared" ca="1" si="514"/>
        <v>#NAME?</v>
      </c>
      <c r="BM41" s="26" t="e">
        <f t="shared" ca="1" si="514"/>
        <v>#NAME?</v>
      </c>
      <c r="BN41" s="26" t="e">
        <f t="shared" ca="1" si="514"/>
        <v>#NAME?</v>
      </c>
      <c r="BO41" s="26" t="e">
        <f t="shared" ca="1" si="514"/>
        <v>#NAME?</v>
      </c>
      <c r="BP41" s="26" t="e">
        <f t="shared" ca="1" si="514"/>
        <v>#NAME?</v>
      </c>
      <c r="BQ41" s="26" t="e">
        <f t="shared" ca="1" si="514"/>
        <v>#NAME?</v>
      </c>
      <c r="BR41" s="26" t="e">
        <f t="shared" ca="1" si="514"/>
        <v>#NAME?</v>
      </c>
      <c r="BS41" s="26" t="e">
        <f t="shared" ca="1" si="514"/>
        <v>#NAME?</v>
      </c>
      <c r="BT41" s="26" t="e">
        <f t="shared" ca="1" si="514"/>
        <v>#NAME?</v>
      </c>
      <c r="BU41" s="26" t="e">
        <f t="shared" ca="1" si="514"/>
        <v>#NAME?</v>
      </c>
      <c r="BV41" s="26" t="e">
        <f t="shared" ca="1" si="514"/>
        <v>#NAME?</v>
      </c>
      <c r="BW41" s="26" t="e">
        <f t="shared" ca="1" si="514"/>
        <v>#NAME?</v>
      </c>
      <c r="BX41" s="26" t="e">
        <f t="shared" ca="1" si="514"/>
        <v>#NAME?</v>
      </c>
      <c r="BY41" s="26" t="e">
        <f t="shared" ca="1" si="514"/>
        <v>#NAME?</v>
      </c>
      <c r="BZ41" s="26" t="e">
        <f t="shared" ca="1" si="514"/>
        <v>#NAME?</v>
      </c>
      <c r="CA41" s="26" t="e">
        <f t="shared" ca="1" si="514"/>
        <v>#NAME?</v>
      </c>
      <c r="CB41" s="26" t="e">
        <f t="shared" ca="1" si="514"/>
        <v>#NAME?</v>
      </c>
      <c r="CC41" s="26" t="e">
        <f t="shared" ca="1" si="514"/>
        <v>#NAME?</v>
      </c>
      <c r="CD41" s="26" t="e">
        <f t="shared" ca="1" si="514"/>
        <v>#NAME?</v>
      </c>
      <c r="CE41" s="26" t="e">
        <f t="shared" ref="CE41:CF41" ca="1" si="515">CE38-CE39</f>
        <v>#NAME?</v>
      </c>
      <c r="CF41" s="26" t="e">
        <f t="shared" ca="1" si="515"/>
        <v>#NAME?</v>
      </c>
      <c r="CG41" s="26" t="e">
        <f t="shared" ref="CG41:CH41" ca="1" si="516">CG38-CG39</f>
        <v>#NAME?</v>
      </c>
      <c r="CH41" s="26" t="e">
        <f t="shared" ca="1" si="516"/>
        <v>#NAME?</v>
      </c>
      <c r="CI41" s="26" t="e">
        <f t="shared" ref="CI41:CJ41" ca="1" si="517">CI38-CI39</f>
        <v>#NAME?</v>
      </c>
      <c r="CJ41" s="26" t="e">
        <f t="shared" ca="1" si="517"/>
        <v>#NAME?</v>
      </c>
      <c r="CK41" s="26" t="e">
        <f t="shared" ref="CK41:CL41" ca="1" si="518">CK38-CK39</f>
        <v>#NAME?</v>
      </c>
      <c r="CL41" s="26" t="e">
        <f t="shared" ca="1" si="518"/>
        <v>#NAME?</v>
      </c>
      <c r="CM41" s="27" t="e">
        <f t="shared" ref="CM41:DB41" ca="1" si="519">CM38-CM39</f>
        <v>#NAME?</v>
      </c>
      <c r="CN41" s="27" t="e">
        <f t="shared" ca="1" si="519"/>
        <v>#NAME?</v>
      </c>
      <c r="CO41" s="27" t="e">
        <f t="shared" ca="1" si="519"/>
        <v>#NAME?</v>
      </c>
      <c r="CP41" s="27" t="e">
        <f t="shared" ca="1" si="519"/>
        <v>#NAME?</v>
      </c>
      <c r="CQ41" s="27" t="e">
        <f t="shared" ca="1" si="519"/>
        <v>#NAME?</v>
      </c>
      <c r="CR41" s="27" t="e">
        <f t="shared" ca="1" si="519"/>
        <v>#NAME?</v>
      </c>
      <c r="CS41" s="27" t="e">
        <f t="shared" ca="1" si="519"/>
        <v>#NAME?</v>
      </c>
      <c r="CT41" s="27" t="e">
        <f t="shared" ca="1" si="519"/>
        <v>#NAME?</v>
      </c>
      <c r="CU41" s="27" t="e">
        <f t="shared" ca="1" si="519"/>
        <v>#NAME?</v>
      </c>
      <c r="CV41" s="27" t="e">
        <f t="shared" ca="1" si="519"/>
        <v>#NAME?</v>
      </c>
      <c r="CW41" s="27" t="e">
        <f t="shared" ca="1" si="519"/>
        <v>#NAME?</v>
      </c>
      <c r="CX41" s="27" t="e">
        <f t="shared" ca="1" si="519"/>
        <v>#NAME?</v>
      </c>
      <c r="CY41" s="27" t="e">
        <f t="shared" ca="1" si="519"/>
        <v>#NAME?</v>
      </c>
      <c r="CZ41" s="27" t="e">
        <f t="shared" ca="1" si="519"/>
        <v>#NAME?</v>
      </c>
      <c r="DA41" s="27" t="e">
        <f t="shared" ca="1" si="519"/>
        <v>#NAME?</v>
      </c>
      <c r="DB41" s="27" t="e">
        <f t="shared" ca="1" si="519"/>
        <v>#NAME?</v>
      </c>
      <c r="DE41" s="121"/>
      <c r="DF41" s="26">
        <v>478.13999999999123</v>
      </c>
    </row>
    <row r="42" spans="1:110" s="45" customFormat="1" x14ac:dyDescent="0.2">
      <c r="A42" s="45" t="s">
        <v>107</v>
      </c>
      <c r="B42" s="45" t="e">
        <f t="shared" ref="B42:E42" ca="1" si="520">+B41/B10</f>
        <v>#NAME?</v>
      </c>
      <c r="C42" s="45" t="e">
        <f t="shared" ca="1" si="520"/>
        <v>#NAME?</v>
      </c>
      <c r="D42" s="45" t="e">
        <f t="shared" ca="1" si="520"/>
        <v>#NAME?</v>
      </c>
      <c r="E42" s="45" t="e">
        <f t="shared" ca="1" si="520"/>
        <v>#NAME?</v>
      </c>
      <c r="F42" s="45" t="e">
        <f t="shared" ref="F42:AE42" ca="1" si="521">+F41/F10</f>
        <v>#NAME?</v>
      </c>
      <c r="G42" s="45" t="e">
        <f t="shared" ca="1" si="521"/>
        <v>#NAME?</v>
      </c>
      <c r="H42" s="45" t="e">
        <f t="shared" ca="1" si="521"/>
        <v>#NAME?</v>
      </c>
      <c r="I42" s="45" t="e">
        <f t="shared" ca="1" si="521"/>
        <v>#NAME?</v>
      </c>
      <c r="J42" s="45" t="e">
        <f t="shared" ca="1" si="521"/>
        <v>#NAME?</v>
      </c>
      <c r="K42" s="45" t="e">
        <f t="shared" ca="1" si="521"/>
        <v>#NAME?</v>
      </c>
      <c r="L42" s="45" t="e">
        <f t="shared" ca="1" si="521"/>
        <v>#NAME?</v>
      </c>
      <c r="M42" s="45" t="e">
        <f t="shared" ca="1" si="521"/>
        <v>#NAME?</v>
      </c>
      <c r="N42" s="45" t="e">
        <f t="shared" ca="1" si="521"/>
        <v>#NAME?</v>
      </c>
      <c r="O42" s="45" t="e">
        <f t="shared" ca="1" si="521"/>
        <v>#NAME?</v>
      </c>
      <c r="P42" s="45" t="e">
        <f t="shared" ca="1" si="521"/>
        <v>#NAME?</v>
      </c>
      <c r="Q42" s="45" t="e">
        <f t="shared" ca="1" si="521"/>
        <v>#NAME?</v>
      </c>
      <c r="R42" s="45" t="e">
        <f t="shared" ca="1" si="521"/>
        <v>#NAME?</v>
      </c>
      <c r="S42" s="45" t="e">
        <f t="shared" ca="1" si="521"/>
        <v>#NAME?</v>
      </c>
      <c r="T42" s="45" t="e">
        <f t="shared" ca="1" si="521"/>
        <v>#NAME?</v>
      </c>
      <c r="U42" s="45" t="e">
        <f t="shared" ca="1" si="521"/>
        <v>#NAME?</v>
      </c>
      <c r="V42" s="45" t="e">
        <f t="shared" ca="1" si="521"/>
        <v>#NAME?</v>
      </c>
      <c r="W42" s="45" t="e">
        <f t="shared" ca="1" si="521"/>
        <v>#NAME?</v>
      </c>
      <c r="X42" s="45" t="e">
        <f t="shared" ca="1" si="521"/>
        <v>#NAME?</v>
      </c>
      <c r="Y42" s="45" t="e">
        <f t="shared" ca="1" si="521"/>
        <v>#NAME?</v>
      </c>
      <c r="Z42" s="45" t="e">
        <f t="shared" ref="Z42:AA42" ca="1" si="522">+Z41/Z10</f>
        <v>#NAME?</v>
      </c>
      <c r="AA42" s="45" t="e">
        <f t="shared" ca="1" si="522"/>
        <v>#NAME?</v>
      </c>
      <c r="AB42" s="48" t="e">
        <f t="shared" ca="1" si="521"/>
        <v>#NAME?</v>
      </c>
      <c r="AC42" s="48" t="e">
        <f t="shared" ca="1" si="521"/>
        <v>#NAME?</v>
      </c>
      <c r="AD42" s="48" t="e">
        <f t="shared" ca="1" si="521"/>
        <v>#NAME?</v>
      </c>
      <c r="AE42" s="48" t="e">
        <f t="shared" ca="1" si="521"/>
        <v>#NAME?</v>
      </c>
      <c r="AI42" s="45" t="e">
        <f t="shared" ref="AI42:BN42" ca="1" si="523">+AI41/AI10</f>
        <v>#NAME?</v>
      </c>
      <c r="AJ42" s="45" t="e">
        <f t="shared" ca="1" si="523"/>
        <v>#NAME?</v>
      </c>
      <c r="AK42" s="45" t="e">
        <f t="shared" ca="1" si="523"/>
        <v>#NAME?</v>
      </c>
      <c r="AL42" s="45" t="e">
        <f t="shared" ca="1" si="523"/>
        <v>#NAME?</v>
      </c>
      <c r="AM42" s="45" t="e">
        <f t="shared" ca="1" si="523"/>
        <v>#NAME?</v>
      </c>
      <c r="AN42" s="45" t="e">
        <f t="shared" ca="1" si="523"/>
        <v>#NAME?</v>
      </c>
      <c r="AO42" s="45" t="e">
        <f t="shared" ca="1" si="523"/>
        <v>#NAME?</v>
      </c>
      <c r="AP42" s="45" t="e">
        <f t="shared" ca="1" si="523"/>
        <v>#NAME?</v>
      </c>
      <c r="AQ42" s="45" t="e">
        <f t="shared" ca="1" si="523"/>
        <v>#NAME?</v>
      </c>
      <c r="AR42" s="45" t="e">
        <f t="shared" ca="1" si="523"/>
        <v>#NAME?</v>
      </c>
      <c r="AS42" s="45" t="e">
        <f t="shared" ca="1" si="523"/>
        <v>#NAME?</v>
      </c>
      <c r="AT42" s="45" t="e">
        <f t="shared" ca="1" si="523"/>
        <v>#NAME?</v>
      </c>
      <c r="AU42" s="45" t="e">
        <f t="shared" ca="1" si="523"/>
        <v>#NAME?</v>
      </c>
      <c r="AV42" s="45" t="e">
        <f t="shared" ca="1" si="523"/>
        <v>#NAME?</v>
      </c>
      <c r="AW42" s="45" t="e">
        <f t="shared" ca="1" si="523"/>
        <v>#NAME?</v>
      </c>
      <c r="AX42" s="45" t="e">
        <f t="shared" ca="1" si="523"/>
        <v>#NAME?</v>
      </c>
      <c r="AY42" s="45" t="e">
        <f t="shared" ca="1" si="523"/>
        <v>#NAME?</v>
      </c>
      <c r="AZ42" s="45" t="e">
        <f t="shared" ca="1" si="523"/>
        <v>#NAME?</v>
      </c>
      <c r="BA42" s="45" t="e">
        <f t="shared" ca="1" si="523"/>
        <v>#NAME?</v>
      </c>
      <c r="BB42" s="45" t="e">
        <f t="shared" ca="1" si="523"/>
        <v>#NAME?</v>
      </c>
      <c r="BC42" s="45" t="e">
        <f t="shared" ca="1" si="523"/>
        <v>#NAME?</v>
      </c>
      <c r="BD42" s="45" t="e">
        <f t="shared" ca="1" si="523"/>
        <v>#NAME?</v>
      </c>
      <c r="BE42" s="45" t="e">
        <f t="shared" ca="1" si="523"/>
        <v>#NAME?</v>
      </c>
      <c r="BF42" s="45" t="e">
        <f t="shared" ca="1" si="523"/>
        <v>#NAME?</v>
      </c>
      <c r="BG42" s="45" t="e">
        <f t="shared" ca="1" si="523"/>
        <v>#NAME?</v>
      </c>
      <c r="BH42" s="45" t="e">
        <f t="shared" ca="1" si="523"/>
        <v>#NAME?</v>
      </c>
      <c r="BI42" s="45" t="e">
        <f t="shared" ca="1" si="523"/>
        <v>#NAME?</v>
      </c>
      <c r="BJ42" s="45" t="e">
        <f t="shared" ca="1" si="523"/>
        <v>#NAME?</v>
      </c>
      <c r="BK42" s="45" t="e">
        <f t="shared" ca="1" si="523"/>
        <v>#NAME?</v>
      </c>
      <c r="BL42" s="45" t="e">
        <f t="shared" ca="1" si="523"/>
        <v>#NAME?</v>
      </c>
      <c r="BM42" s="45" t="e">
        <f t="shared" ca="1" si="523"/>
        <v>#NAME?</v>
      </c>
      <c r="BN42" s="45" t="e">
        <f t="shared" ca="1" si="523"/>
        <v>#NAME?</v>
      </c>
      <c r="BO42" s="45" t="e">
        <f t="shared" ref="BO42:CT42" ca="1" si="524">+BO41/BO10</f>
        <v>#NAME?</v>
      </c>
      <c r="BP42" s="45" t="e">
        <f t="shared" ca="1" si="524"/>
        <v>#NAME?</v>
      </c>
      <c r="BQ42" s="45" t="e">
        <f t="shared" ca="1" si="524"/>
        <v>#NAME?</v>
      </c>
      <c r="BR42" s="45" t="e">
        <f t="shared" ca="1" si="524"/>
        <v>#NAME?</v>
      </c>
      <c r="BS42" s="45" t="e">
        <f t="shared" ca="1" si="524"/>
        <v>#NAME?</v>
      </c>
      <c r="BT42" s="45" t="e">
        <f t="shared" ca="1" si="524"/>
        <v>#NAME?</v>
      </c>
      <c r="BU42" s="45" t="e">
        <f t="shared" ca="1" si="524"/>
        <v>#NAME?</v>
      </c>
      <c r="BV42" s="45" t="e">
        <f t="shared" ca="1" si="524"/>
        <v>#NAME?</v>
      </c>
      <c r="BW42" s="45" t="e">
        <f t="shared" ca="1" si="524"/>
        <v>#NAME?</v>
      </c>
      <c r="BX42" s="45" t="e">
        <f t="shared" ca="1" si="524"/>
        <v>#NAME?</v>
      </c>
      <c r="BY42" s="45" t="e">
        <f t="shared" ca="1" si="524"/>
        <v>#NAME?</v>
      </c>
      <c r="BZ42" s="45" t="e">
        <f t="shared" ca="1" si="524"/>
        <v>#NAME?</v>
      </c>
      <c r="CA42" s="45" t="e">
        <f t="shared" ca="1" si="524"/>
        <v>#NAME?</v>
      </c>
      <c r="CB42" s="45" t="e">
        <f t="shared" ca="1" si="524"/>
        <v>#NAME?</v>
      </c>
      <c r="CC42" s="45" t="e">
        <f t="shared" ca="1" si="524"/>
        <v>#NAME?</v>
      </c>
      <c r="CD42" s="45" t="e">
        <f t="shared" ca="1" si="524"/>
        <v>#NAME?</v>
      </c>
      <c r="CE42" s="45" t="e">
        <f t="shared" ca="1" si="524"/>
        <v>#NAME?</v>
      </c>
      <c r="CF42" s="45" t="e">
        <f t="shared" ca="1" si="524"/>
        <v>#NAME?</v>
      </c>
      <c r="CG42" s="45" t="e">
        <f t="shared" ca="1" si="524"/>
        <v>#NAME?</v>
      </c>
      <c r="CH42" s="45" t="e">
        <f t="shared" ca="1" si="524"/>
        <v>#NAME?</v>
      </c>
      <c r="CI42" s="45" t="e">
        <f t="shared" ref="CI42:CJ42" ca="1" si="525">+CI41/CI10</f>
        <v>#NAME?</v>
      </c>
      <c r="CJ42" s="45" t="e">
        <f t="shared" ca="1" si="525"/>
        <v>#NAME?</v>
      </c>
      <c r="CK42" s="45" t="e">
        <f t="shared" ref="CK42:CL42" ca="1" si="526">+CK41/CK10</f>
        <v>#NAME?</v>
      </c>
      <c r="CL42" s="45" t="e">
        <f t="shared" ca="1" si="526"/>
        <v>#NAME?</v>
      </c>
      <c r="CM42" s="48" t="e">
        <f t="shared" ca="1" si="524"/>
        <v>#NAME?</v>
      </c>
      <c r="CN42" s="48" t="e">
        <f t="shared" ca="1" si="524"/>
        <v>#NAME?</v>
      </c>
      <c r="CO42" s="48" t="e">
        <f t="shared" ca="1" si="524"/>
        <v>#NAME?</v>
      </c>
      <c r="CP42" s="48" t="e">
        <f t="shared" ca="1" si="524"/>
        <v>#NAME?</v>
      </c>
      <c r="CQ42" s="48" t="e">
        <f t="shared" ca="1" si="524"/>
        <v>#NAME?</v>
      </c>
      <c r="CR42" s="48" t="e">
        <f t="shared" ca="1" si="524"/>
        <v>#NAME?</v>
      </c>
      <c r="CS42" s="48" t="e">
        <f t="shared" ca="1" si="524"/>
        <v>#NAME?</v>
      </c>
      <c r="CT42" s="48" t="e">
        <f t="shared" ca="1" si="524"/>
        <v>#NAME?</v>
      </c>
      <c r="CU42" s="48" t="e">
        <f t="shared" ref="CU42:DB42" ca="1" si="527">+CU41/CU10</f>
        <v>#NAME?</v>
      </c>
      <c r="CV42" s="48" t="e">
        <f t="shared" ca="1" si="527"/>
        <v>#NAME?</v>
      </c>
      <c r="CW42" s="48" t="e">
        <f t="shared" ca="1" si="527"/>
        <v>#NAME?</v>
      </c>
      <c r="CX42" s="48" t="e">
        <f t="shared" ca="1" si="527"/>
        <v>#NAME?</v>
      </c>
      <c r="CY42" s="48" t="e">
        <f t="shared" ca="1" si="527"/>
        <v>#NAME?</v>
      </c>
      <c r="CZ42" s="48" t="e">
        <f t="shared" ca="1" si="527"/>
        <v>#NAME?</v>
      </c>
      <c r="DA42" s="48" t="e">
        <f t="shared" ca="1" si="527"/>
        <v>#NAME?</v>
      </c>
      <c r="DB42" s="48" t="e">
        <f t="shared" ca="1" si="527"/>
        <v>#NAME?</v>
      </c>
      <c r="DE42" s="129"/>
      <c r="DF42" s="45">
        <v>4.7590983890390369E-3</v>
      </c>
    </row>
    <row r="43" spans="1:110" s="39" customFormat="1" x14ac:dyDescent="0.2">
      <c r="A43" s="39" t="s">
        <v>451</v>
      </c>
      <c r="C43" s="39" t="e">
        <f t="shared" ref="C43:E43" ca="1" si="528">+IF(B41&lt;0,1-C41/B41,C41/B41-1)</f>
        <v>#NAME?</v>
      </c>
      <c r="D43" s="39" t="e">
        <f t="shared" ca="1" si="528"/>
        <v>#NAME?</v>
      </c>
      <c r="E43" s="39" t="e">
        <f t="shared" ca="1" si="528"/>
        <v>#NAME?</v>
      </c>
      <c r="F43" s="39" t="e">
        <f t="shared" ref="F43:AE43" ca="1" si="529">+IF(E41&lt;0,1-F41/E41,F41/E41-1)</f>
        <v>#NAME?</v>
      </c>
      <c r="G43" s="39" t="e">
        <f t="shared" ca="1" si="529"/>
        <v>#NAME?</v>
      </c>
      <c r="H43" s="39" t="e">
        <f t="shared" ca="1" si="529"/>
        <v>#NAME?</v>
      </c>
      <c r="I43" s="39" t="e">
        <f t="shared" ca="1" si="529"/>
        <v>#NAME?</v>
      </c>
      <c r="J43" s="39" t="e">
        <f t="shared" ca="1" si="529"/>
        <v>#NAME?</v>
      </c>
      <c r="K43" s="39" t="e">
        <f t="shared" ca="1" si="529"/>
        <v>#NAME?</v>
      </c>
      <c r="L43" s="39" t="e">
        <f t="shared" ca="1" si="529"/>
        <v>#NAME?</v>
      </c>
      <c r="M43" s="39" t="e">
        <f t="shared" ca="1" si="529"/>
        <v>#NAME?</v>
      </c>
      <c r="N43" s="39" t="e">
        <f t="shared" ca="1" si="529"/>
        <v>#NAME?</v>
      </c>
      <c r="O43" s="39" t="e">
        <f t="shared" ca="1" si="529"/>
        <v>#NAME?</v>
      </c>
      <c r="P43" s="39" t="e">
        <f t="shared" ca="1" si="529"/>
        <v>#NAME?</v>
      </c>
      <c r="Q43" s="39" t="e">
        <f t="shared" ca="1" si="529"/>
        <v>#NAME?</v>
      </c>
      <c r="R43" s="39" t="e">
        <f t="shared" ca="1" si="529"/>
        <v>#NAME?</v>
      </c>
      <c r="S43" s="39" t="e">
        <f t="shared" ca="1" si="529"/>
        <v>#NAME?</v>
      </c>
      <c r="T43" s="39" t="e">
        <f t="shared" ca="1" si="529"/>
        <v>#NAME?</v>
      </c>
      <c r="U43" s="39" t="e">
        <f t="shared" ca="1" si="529"/>
        <v>#NAME?</v>
      </c>
      <c r="V43" s="39" t="e">
        <f t="shared" ca="1" si="529"/>
        <v>#NAME?</v>
      </c>
      <c r="W43" s="39" t="e">
        <f t="shared" ca="1" si="529"/>
        <v>#NAME?</v>
      </c>
      <c r="X43" s="39" t="e">
        <f t="shared" ca="1" si="529"/>
        <v>#NAME?</v>
      </c>
      <c r="Y43" s="39" t="e">
        <f t="shared" ca="1" si="529"/>
        <v>#NAME?</v>
      </c>
      <c r="Z43" s="39" t="e">
        <f t="shared" ref="Z43:AA43" ca="1" si="530">+IF(Y41&lt;0,1-Z41/Y41,Z41/Y41-1)</f>
        <v>#NAME?</v>
      </c>
      <c r="AA43" s="39" t="e">
        <f t="shared" ca="1" si="530"/>
        <v>#NAME?</v>
      </c>
      <c r="AB43" s="40" t="e">
        <f t="shared" ca="1" si="529"/>
        <v>#NAME?</v>
      </c>
      <c r="AC43" s="40" t="e">
        <f t="shared" ca="1" si="529"/>
        <v>#NAME?</v>
      </c>
      <c r="AD43" s="40" t="e">
        <f t="shared" ca="1" si="529"/>
        <v>#NAME?</v>
      </c>
      <c r="AE43" s="40" t="e">
        <f t="shared" ca="1" si="529"/>
        <v>#NAME?</v>
      </c>
      <c r="AM43" s="39" t="e">
        <f ca="1">+IF(AI41&lt;0,1-AM41/AI41,AM41/AI41-1)</f>
        <v>#NAME?</v>
      </c>
      <c r="AN43" s="39" t="e">
        <f t="shared" ref="AN43" ca="1" si="531">+IF(AJ41&lt;0,1-AN41/AJ41,AN41/AJ41-1)</f>
        <v>#NAME?</v>
      </c>
      <c r="AO43" s="39" t="e">
        <f t="shared" ref="AO43" ca="1" si="532">+IF(AK41&lt;0,1-AO41/AK41,AO41/AK41-1)</f>
        <v>#NAME?</v>
      </c>
      <c r="AP43" s="39" t="e">
        <f t="shared" ref="AP43" ca="1" si="533">+IF(AL41&lt;0,1-AP41/AL41,AP41/AL41-1)</f>
        <v>#NAME?</v>
      </c>
      <c r="AQ43" s="39" t="e">
        <f t="shared" ref="AQ43" ca="1" si="534">+IF(AM41&lt;0,1-AQ41/AM41,AQ41/AM41-1)</f>
        <v>#NAME?</v>
      </c>
      <c r="AR43" s="39" t="e">
        <f t="shared" ref="AR43" ca="1" si="535">+IF(AN41&lt;0,1-AR41/AN41,AR41/AN41-1)</f>
        <v>#NAME?</v>
      </c>
      <c r="AS43" s="39" t="e">
        <f t="shared" ref="AS43" ca="1" si="536">+IF(AO41&lt;0,1-AS41/AO41,AS41/AO41-1)</f>
        <v>#NAME?</v>
      </c>
      <c r="AT43" s="39" t="e">
        <f t="shared" ref="AT43" ca="1" si="537">+IF(AP41&lt;0,1-AT41/AP41,AT41/AP41-1)</f>
        <v>#NAME?</v>
      </c>
      <c r="AU43" s="39" t="e">
        <f t="shared" ref="AU43" ca="1" si="538">+IF(AQ41&lt;0,1-AU41/AQ41,AU41/AQ41-1)</f>
        <v>#NAME?</v>
      </c>
      <c r="AV43" s="39" t="e">
        <f t="shared" ref="AV43" ca="1" si="539">+IF(AR41&lt;0,1-AV41/AR41,AV41/AR41-1)</f>
        <v>#NAME?</v>
      </c>
      <c r="AW43" s="39" t="e">
        <f t="shared" ref="AW43" ca="1" si="540">+IF(AS41&lt;0,1-AW41/AS41,AW41/AS41-1)</f>
        <v>#NAME?</v>
      </c>
      <c r="AX43" s="39" t="e">
        <f t="shared" ref="AX43" ca="1" si="541">+IF(AT41&lt;0,1-AX41/AT41,AX41/AT41-1)</f>
        <v>#NAME?</v>
      </c>
      <c r="AY43" s="39" t="e">
        <f t="shared" ref="AY43" ca="1" si="542">+IF(AU41&lt;0,1-AY41/AU41,AY41/AU41-1)</f>
        <v>#NAME?</v>
      </c>
      <c r="AZ43" s="39" t="e">
        <f t="shared" ref="AZ43" ca="1" si="543">+IF(AV41&lt;0,1-AZ41/AV41,AZ41/AV41-1)</f>
        <v>#NAME?</v>
      </c>
      <c r="BA43" s="39" t="e">
        <f t="shared" ref="BA43" ca="1" si="544">+IF(AW41&lt;0,1-BA41/AW41,BA41/AW41-1)</f>
        <v>#NAME?</v>
      </c>
      <c r="BB43" s="39" t="e">
        <f t="shared" ref="BB43" ca="1" si="545">+IF(AX41&lt;0,1-BB41/AX41,BB41/AX41-1)</f>
        <v>#NAME?</v>
      </c>
      <c r="BC43" s="39" t="e">
        <f t="shared" ref="BC43" ca="1" si="546">+IF(AY41&lt;0,1-BC41/AY41,BC41/AY41-1)</f>
        <v>#NAME?</v>
      </c>
      <c r="BD43" s="39" t="e">
        <f t="shared" ref="BD43" ca="1" si="547">+IF(AZ41&lt;0,1-BD41/AZ41,BD41/AZ41-1)</f>
        <v>#NAME?</v>
      </c>
      <c r="BE43" s="39" t="e">
        <f t="shared" ref="BE43" ca="1" si="548">+IF(BA41&lt;0,1-BE41/BA41,BE41/BA41-1)</f>
        <v>#NAME?</v>
      </c>
      <c r="BF43" s="39" t="e">
        <f t="shared" ref="BF43" ca="1" si="549">+IF(BB41&lt;0,1-BF41/BB41,BF41/BB41-1)</f>
        <v>#NAME?</v>
      </c>
      <c r="BG43" s="39" t="e">
        <f t="shared" ref="BG43" ca="1" si="550">+IF(BC41&lt;0,1-BG41/BC41,BG41/BC41-1)</f>
        <v>#NAME?</v>
      </c>
      <c r="BH43" s="39" t="e">
        <f t="shared" ref="BH43" ca="1" si="551">+IF(BD41&lt;0,1-BH41/BD41,BH41/BD41-1)</f>
        <v>#NAME?</v>
      </c>
      <c r="BI43" s="39" t="e">
        <f t="shared" ref="BI43" ca="1" si="552">+IF(BE41&lt;0,1-BI41/BE41,BI41/BE41-1)</f>
        <v>#NAME?</v>
      </c>
      <c r="BJ43" s="39" t="e">
        <f t="shared" ref="BJ43" ca="1" si="553">+IF(BF41&lt;0,1-BJ41/BF41,BJ41/BF41-1)</f>
        <v>#NAME?</v>
      </c>
      <c r="BK43" s="39" t="e">
        <f t="shared" ref="BK43" ca="1" si="554">+IF(BG41&lt;0,1-BK41/BG41,BK41/BG41-1)</f>
        <v>#NAME?</v>
      </c>
      <c r="BL43" s="39" t="e">
        <f t="shared" ref="BL43" ca="1" si="555">+IF(BH41&lt;0,1-BL41/BH41,BL41/BH41-1)</f>
        <v>#NAME?</v>
      </c>
      <c r="BM43" s="39" t="e">
        <f t="shared" ref="BM43" ca="1" si="556">+IF(BI41&lt;0,1-BM41/BI41,BM41/BI41-1)</f>
        <v>#NAME?</v>
      </c>
      <c r="BN43" s="39" t="e">
        <f t="shared" ref="BN43" ca="1" si="557">+IF(BJ41&lt;0,1-BN41/BJ41,BN41/BJ41-1)</f>
        <v>#NAME?</v>
      </c>
      <c r="BO43" s="39" t="e">
        <f t="shared" ref="BO43" ca="1" si="558">+IF(BK41&lt;0,1-BO41/BK41,BO41/BK41-1)</f>
        <v>#NAME?</v>
      </c>
      <c r="BP43" s="39" t="e">
        <f t="shared" ref="BP43" ca="1" si="559">+IF(BL41&lt;0,1-BP41/BL41,BP41/BL41-1)</f>
        <v>#NAME?</v>
      </c>
      <c r="BQ43" s="39" t="e">
        <f t="shared" ref="BQ43" ca="1" si="560">+IF(BM41&lt;0,1-BQ41/BM41,BQ41/BM41-1)</f>
        <v>#NAME?</v>
      </c>
      <c r="BR43" s="39" t="e">
        <f t="shared" ref="BR43" ca="1" si="561">+IF(BN41&lt;0,1-BR41/BN41,BR41/BN41-1)</f>
        <v>#NAME?</v>
      </c>
      <c r="BS43" s="39" t="e">
        <f t="shared" ref="BS43" ca="1" si="562">+IF(BO41&lt;0,1-BS41/BO41,BS41/BO41-1)</f>
        <v>#NAME?</v>
      </c>
      <c r="BT43" s="39" t="e">
        <f t="shared" ref="BT43" ca="1" si="563">+IF(BP41&lt;0,1-BT41/BP41,BT41/BP41-1)</f>
        <v>#NAME?</v>
      </c>
      <c r="BU43" s="39" t="e">
        <f t="shared" ref="BU43" ca="1" si="564">+IF(BQ41&lt;0,1-BU41/BQ41,BU41/BQ41-1)</f>
        <v>#NAME?</v>
      </c>
      <c r="BV43" s="39" t="e">
        <f t="shared" ref="BV43" ca="1" si="565">+IF(BR41&lt;0,1-BV41/BR41,BV41/BR41-1)</f>
        <v>#NAME?</v>
      </c>
      <c r="BW43" s="39" t="e">
        <f t="shared" ref="BW43" ca="1" si="566">+IF(BS41&lt;0,1-BW41/BS41,BW41/BS41-1)</f>
        <v>#NAME?</v>
      </c>
      <c r="BX43" s="39" t="e">
        <f t="shared" ref="BX43" ca="1" si="567">+IF(BT41&lt;0,1-BX41/BT41,BX41/BT41-1)</f>
        <v>#NAME?</v>
      </c>
      <c r="BY43" s="39" t="e">
        <f t="shared" ref="BY43" ca="1" si="568">+IF(BU41&lt;0,1-BY41/BU41,BY41/BU41-1)</f>
        <v>#NAME?</v>
      </c>
      <c r="BZ43" s="39" t="e">
        <f t="shared" ref="BZ43" ca="1" si="569">+IF(BV41&lt;0,1-BZ41/BV41,BZ41/BV41-1)</f>
        <v>#NAME?</v>
      </c>
      <c r="CA43" s="39" t="e">
        <f t="shared" ref="CA43" ca="1" si="570">+IF(BW41&lt;0,1-CA41/BW41,CA41/BW41-1)</f>
        <v>#NAME?</v>
      </c>
      <c r="CB43" s="39" t="e">
        <f t="shared" ref="CB43" ca="1" si="571">+IF(BX41&lt;0,1-CB41/BX41,CB41/BX41-1)</f>
        <v>#NAME?</v>
      </c>
      <c r="CC43" s="39" t="e">
        <f t="shared" ref="CC43" ca="1" si="572">+IF(BY41&lt;0,1-CC41/BY41,CC41/BY41-1)</f>
        <v>#NAME?</v>
      </c>
      <c r="CD43" s="39" t="e">
        <f t="shared" ref="CD43" ca="1" si="573">+IF(BZ41&lt;0,1-CD41/BZ41,CD41/BZ41-1)</f>
        <v>#NAME?</v>
      </c>
      <c r="CE43" s="39" t="e">
        <f t="shared" ref="CE43" ca="1" si="574">+IF(CA41&lt;0,1-CE41/CA41,CE41/CA41-1)</f>
        <v>#NAME?</v>
      </c>
      <c r="CF43" s="39" t="e">
        <f t="shared" ref="CF43" ca="1" si="575">+IF(CB41&lt;0,1-CF41/CB41,CF41/CB41-1)</f>
        <v>#NAME?</v>
      </c>
      <c r="CG43" s="39" t="e">
        <f t="shared" ref="CG43" ca="1" si="576">+IF(CC41&lt;0,1-CG41/CC41,CG41/CC41-1)</f>
        <v>#NAME?</v>
      </c>
      <c r="CH43" s="39" t="e">
        <f t="shared" ref="CH43:CL43" ca="1" si="577">+IF(CD41&lt;0,1-CH41/CD41,CH41/CD41-1)</f>
        <v>#NAME?</v>
      </c>
      <c r="CI43" s="39" t="e">
        <f t="shared" ca="1" si="577"/>
        <v>#NAME?</v>
      </c>
      <c r="CJ43" s="39" t="e">
        <f t="shared" ca="1" si="577"/>
        <v>#NAME?</v>
      </c>
      <c r="CK43" s="39" t="e">
        <f t="shared" ca="1" si="577"/>
        <v>#NAME?</v>
      </c>
      <c r="CL43" s="39" t="e">
        <f t="shared" ca="1" si="577"/>
        <v>#NAME?</v>
      </c>
      <c r="CM43" s="40" t="e">
        <f t="shared" ref="CM43" ca="1" si="578">+CM41/CI41-1</f>
        <v>#NAME?</v>
      </c>
      <c r="CN43" s="40" t="e">
        <f t="shared" ref="CN43" ca="1" si="579">+CN41/CJ41-1</f>
        <v>#NAME?</v>
      </c>
      <c r="CO43" s="40" t="e">
        <f t="shared" ref="CO43" ca="1" si="580">+CO41/CK41-1</f>
        <v>#NAME?</v>
      </c>
      <c r="CP43" s="40" t="e">
        <f t="shared" ref="CP43" ca="1" si="581">+CP41/CL41-1</f>
        <v>#NAME?</v>
      </c>
      <c r="CQ43" s="40" t="e">
        <f t="shared" ref="CQ43" ca="1" si="582">+CQ41/CM41-1</f>
        <v>#NAME?</v>
      </c>
      <c r="CR43" s="40" t="e">
        <f t="shared" ref="CR43" ca="1" si="583">+CR41/CN41-1</f>
        <v>#NAME?</v>
      </c>
      <c r="CS43" s="40" t="e">
        <f t="shared" ref="CS43" ca="1" si="584">+CS41/CO41-1</f>
        <v>#NAME?</v>
      </c>
      <c r="CT43" s="40" t="e">
        <f t="shared" ref="CT43" ca="1" si="585">+CT41/CP41-1</f>
        <v>#NAME?</v>
      </c>
      <c r="CU43" s="40" t="e">
        <f t="shared" ref="CU43" ca="1" si="586">+CU41/CQ41-1</f>
        <v>#NAME?</v>
      </c>
      <c r="CV43" s="40" t="e">
        <f t="shared" ref="CV43" ca="1" si="587">+CV41/CR41-1</f>
        <v>#NAME?</v>
      </c>
      <c r="CW43" s="40" t="e">
        <f t="shared" ref="CW43" ca="1" si="588">+CW41/CS41-1</f>
        <v>#NAME?</v>
      </c>
      <c r="CX43" s="40" t="e">
        <f t="shared" ref="CX43" ca="1" si="589">+CX41/CT41-1</f>
        <v>#NAME?</v>
      </c>
      <c r="CY43" s="40" t="e">
        <f t="shared" ref="CY43" ca="1" si="590">+CY41/CU41-1</f>
        <v>#NAME?</v>
      </c>
      <c r="CZ43" s="40" t="e">
        <f t="shared" ref="CZ43" ca="1" si="591">+CZ41/CV41-1</f>
        <v>#NAME?</v>
      </c>
      <c r="DA43" s="40" t="e">
        <f t="shared" ref="DA43" ca="1" si="592">+DA41/CW41-1</f>
        <v>#NAME?</v>
      </c>
      <c r="DB43" s="40" t="e">
        <f t="shared" ref="DB43" ca="1" si="593">+DB41/CX41-1</f>
        <v>#NAME?</v>
      </c>
      <c r="DE43" s="122"/>
      <c r="DF43" s="39">
        <v>-0.86586019318331908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594">+IF(AJ41&lt;0,1-AK41/AJ41,AK41/AJ41-1)</f>
        <v>#NAME?</v>
      </c>
      <c r="AL44" s="39" t="e">
        <f t="shared" ca="1" si="594"/>
        <v>#NAME?</v>
      </c>
      <c r="AM44" s="39" t="e">
        <f t="shared" ca="1" si="594"/>
        <v>#NAME?</v>
      </c>
      <c r="AN44" s="39" t="e">
        <f t="shared" ref="AN44" ca="1" si="595">+IF(AM41&lt;0,1-AN41/AM41,AN41/AM41-1)</f>
        <v>#NAME?</v>
      </c>
      <c r="AO44" s="39" t="e">
        <f t="shared" ref="AO44" ca="1" si="596">+IF(AN41&lt;0,1-AO41/AN41,AO41/AN41-1)</f>
        <v>#NAME?</v>
      </c>
      <c r="AP44" s="39" t="e">
        <f t="shared" ref="AP44" ca="1" si="597">+IF(AO41&lt;0,1-AP41/AO41,AP41/AO41-1)</f>
        <v>#NAME?</v>
      </c>
      <c r="AQ44" s="39" t="e">
        <f t="shared" ref="AQ44" ca="1" si="598">+IF(AP41&lt;0,1-AQ41/AP41,AQ41/AP41-1)</f>
        <v>#NAME?</v>
      </c>
      <c r="AR44" s="39" t="e">
        <f t="shared" ref="AR44" ca="1" si="599">+IF(AQ41&lt;0,1-AR41/AQ41,AR41/AQ41-1)</f>
        <v>#NAME?</v>
      </c>
      <c r="AS44" s="39" t="e">
        <f t="shared" ref="AS44" ca="1" si="600">+IF(AR41&lt;0,1-AS41/AR41,AS41/AR41-1)</f>
        <v>#NAME?</v>
      </c>
      <c r="AT44" s="39" t="e">
        <f t="shared" ref="AT44" ca="1" si="601">+IF(AS41&lt;0,1-AT41/AS41,AT41/AS41-1)</f>
        <v>#NAME?</v>
      </c>
      <c r="AU44" s="39" t="e">
        <f t="shared" ref="AU44" ca="1" si="602">+IF(AT41&lt;0,1-AU41/AT41,AU41/AT41-1)</f>
        <v>#NAME?</v>
      </c>
      <c r="AV44" s="39" t="e">
        <f t="shared" ref="AV44" ca="1" si="603">+IF(AU41&lt;0,1-AV41/AU41,AV41/AU41-1)</f>
        <v>#NAME?</v>
      </c>
      <c r="AW44" s="39" t="e">
        <f t="shared" ref="AW44" ca="1" si="604">+IF(AV41&lt;0,1-AW41/AV41,AW41/AV41-1)</f>
        <v>#NAME?</v>
      </c>
      <c r="AX44" s="39" t="e">
        <f t="shared" ref="AX44" ca="1" si="605">+IF(AW41&lt;0,1-AX41/AW41,AX41/AW41-1)</f>
        <v>#NAME?</v>
      </c>
      <c r="AY44" s="39" t="e">
        <f t="shared" ref="AY44" ca="1" si="606">+IF(AX41&lt;0,1-AY41/AX41,AY41/AX41-1)</f>
        <v>#NAME?</v>
      </c>
      <c r="AZ44" s="39" t="e">
        <f t="shared" ref="AZ44" ca="1" si="607">+IF(AY41&lt;0,1-AZ41/AY41,AZ41/AY41-1)</f>
        <v>#NAME?</v>
      </c>
      <c r="BA44" s="39" t="e">
        <f t="shared" ref="BA44" ca="1" si="608">+IF(AZ41&lt;0,1-BA41/AZ41,BA41/AZ41-1)</f>
        <v>#NAME?</v>
      </c>
      <c r="BB44" s="39" t="e">
        <f t="shared" ref="BB44" ca="1" si="609">+IF(BA41&lt;0,1-BB41/BA41,BB41/BA41-1)</f>
        <v>#NAME?</v>
      </c>
      <c r="BC44" s="39" t="e">
        <f t="shared" ref="BC44" ca="1" si="610">+IF(BB41&lt;0,1-BC41/BB41,BC41/BB41-1)</f>
        <v>#NAME?</v>
      </c>
      <c r="BD44" s="39" t="e">
        <f t="shared" ref="BD44" ca="1" si="611">+IF(BC41&lt;0,1-BD41/BC41,BD41/BC41-1)</f>
        <v>#NAME?</v>
      </c>
      <c r="BE44" s="39" t="e">
        <f t="shared" ref="BE44" ca="1" si="612">+IF(BD41&lt;0,1-BE41/BD41,BE41/BD41-1)</f>
        <v>#NAME?</v>
      </c>
      <c r="BF44" s="39" t="e">
        <f t="shared" ref="BF44" ca="1" si="613">+IF(BE41&lt;0,1-BF41/BE41,BF41/BE41-1)</f>
        <v>#NAME?</v>
      </c>
      <c r="BG44" s="39" t="e">
        <f t="shared" ref="BG44" ca="1" si="614">+IF(BF41&lt;0,1-BG41/BF41,BG41/BF41-1)</f>
        <v>#NAME?</v>
      </c>
      <c r="BH44" s="39" t="e">
        <f t="shared" ref="BH44" ca="1" si="615">+IF(BG41&lt;0,1-BH41/BG41,BH41/BG41-1)</f>
        <v>#NAME?</v>
      </c>
      <c r="BI44" s="39" t="e">
        <f t="shared" ref="BI44" ca="1" si="616">+IF(BH41&lt;0,1-BI41/BH41,BI41/BH41-1)</f>
        <v>#NAME?</v>
      </c>
      <c r="BJ44" s="39" t="e">
        <f t="shared" ref="BJ44" ca="1" si="617">+IF(BI41&lt;0,1-BJ41/BI41,BJ41/BI41-1)</f>
        <v>#NAME?</v>
      </c>
      <c r="BK44" s="39" t="e">
        <f t="shared" ref="BK44" ca="1" si="618">+IF(BJ41&lt;0,1-BK41/BJ41,BK41/BJ41-1)</f>
        <v>#NAME?</v>
      </c>
      <c r="BL44" s="39" t="e">
        <f t="shared" ref="BL44" ca="1" si="619">+IF(BK41&lt;0,1-BL41/BK41,BL41/BK41-1)</f>
        <v>#NAME?</v>
      </c>
      <c r="BM44" s="39" t="e">
        <f t="shared" ref="BM44" ca="1" si="620">+IF(BL41&lt;0,1-BM41/BL41,BM41/BL41-1)</f>
        <v>#NAME?</v>
      </c>
      <c r="BN44" s="39" t="e">
        <f t="shared" ref="BN44" ca="1" si="621">+IF(BM41&lt;0,1-BN41/BM41,BN41/BM41-1)</f>
        <v>#NAME?</v>
      </c>
      <c r="BO44" s="39" t="e">
        <f t="shared" ref="BO44" ca="1" si="622">+IF(BN41&lt;0,1-BO41/BN41,BO41/BN41-1)</f>
        <v>#NAME?</v>
      </c>
      <c r="BP44" s="39" t="e">
        <f t="shared" ref="BP44" ca="1" si="623">+IF(BO41&lt;0,1-BP41/BO41,BP41/BO41-1)</f>
        <v>#NAME?</v>
      </c>
      <c r="BQ44" s="39" t="e">
        <f t="shared" ref="BQ44" ca="1" si="624">+IF(BP41&lt;0,1-BQ41/BP41,BQ41/BP41-1)</f>
        <v>#NAME?</v>
      </c>
      <c r="BR44" s="39" t="e">
        <f t="shared" ref="BR44" ca="1" si="625">+IF(BQ41&lt;0,1-BR41/BQ41,BR41/BQ41-1)</f>
        <v>#NAME?</v>
      </c>
      <c r="BS44" s="39" t="e">
        <f t="shared" ref="BS44" ca="1" si="626">+IF(BR41&lt;0,1-BS41/BR41,BS41/BR41-1)</f>
        <v>#NAME?</v>
      </c>
      <c r="BT44" s="39" t="e">
        <f t="shared" ref="BT44" ca="1" si="627">+IF(BS41&lt;0,1-BT41/BS41,BT41/BS41-1)</f>
        <v>#NAME?</v>
      </c>
      <c r="BU44" s="39" t="e">
        <f t="shared" ref="BU44" ca="1" si="628">+IF(BT41&lt;0,1-BU41/BT41,BU41/BT41-1)</f>
        <v>#NAME?</v>
      </c>
      <c r="BV44" s="39" t="e">
        <f t="shared" ref="BV44" ca="1" si="629">+IF(BU41&lt;0,1-BV41/BU41,BV41/BU41-1)</f>
        <v>#NAME?</v>
      </c>
      <c r="BW44" s="39" t="e">
        <f t="shared" ref="BW44" ca="1" si="630">+IF(BV41&lt;0,1-BW41/BV41,BW41/BV41-1)</f>
        <v>#NAME?</v>
      </c>
      <c r="BX44" s="39" t="e">
        <f t="shared" ref="BX44" ca="1" si="631">+IF(BW41&lt;0,1-BX41/BW41,BX41/BW41-1)</f>
        <v>#NAME?</v>
      </c>
      <c r="BY44" s="39" t="e">
        <f t="shared" ref="BY44" ca="1" si="632">+IF(BX41&lt;0,1-BY41/BX41,BY41/BX41-1)</f>
        <v>#NAME?</v>
      </c>
      <c r="BZ44" s="39" t="e">
        <f t="shared" ref="BZ44" ca="1" si="633">+IF(BY41&lt;0,1-BZ41/BY41,BZ41/BY41-1)</f>
        <v>#NAME?</v>
      </c>
      <c r="CA44" s="39" t="e">
        <f t="shared" ref="CA44" ca="1" si="634">+IF(BZ41&lt;0,1-CA41/BZ41,CA41/BZ41-1)</f>
        <v>#NAME?</v>
      </c>
      <c r="CB44" s="39" t="e">
        <f t="shared" ref="CB44" ca="1" si="635">+IF(CA41&lt;0,1-CB41/CA41,CB41/CA41-1)</f>
        <v>#NAME?</v>
      </c>
      <c r="CC44" s="39" t="e">
        <f t="shared" ref="CC44" ca="1" si="636">+IF(CB41&lt;0,1-CC41/CB41,CC41/CB41-1)</f>
        <v>#NAME?</v>
      </c>
      <c r="CD44" s="39" t="e">
        <f t="shared" ref="CD44" ca="1" si="637">+IF(CC41&lt;0,1-CD41/CC41,CD41/CC41-1)</f>
        <v>#NAME?</v>
      </c>
      <c r="CE44" s="39" t="e">
        <f t="shared" ref="CE44" ca="1" si="638">+IF(CD41&lt;0,1-CE41/CD41,CE41/CD41-1)</f>
        <v>#NAME?</v>
      </c>
      <c r="CF44" s="39" t="e">
        <f t="shared" ref="CF44" ca="1" si="639">+IF(CE41&lt;0,1-CF41/CE41,CF41/CE41-1)</f>
        <v>#NAME?</v>
      </c>
      <c r="CG44" s="39" t="e">
        <f t="shared" ref="CG44" ca="1" si="640">+IF(CF41&lt;0,1-CG41/CF41,CG41/CF41-1)</f>
        <v>#NAME?</v>
      </c>
      <c r="CH44" s="39" t="e">
        <f t="shared" ref="CH44:CL44" ca="1" si="641">+IF(CG41&lt;0,1-CH41/CG41,CH41/CG41-1)</f>
        <v>#NAME?</v>
      </c>
      <c r="CI44" s="39" t="e">
        <f t="shared" ca="1" si="641"/>
        <v>#NAME?</v>
      </c>
      <c r="CJ44" s="39" t="e">
        <f t="shared" ca="1" si="641"/>
        <v>#NAME?</v>
      </c>
      <c r="CK44" s="39" t="e">
        <f t="shared" ca="1" si="641"/>
        <v>#NAME?</v>
      </c>
      <c r="CL44" s="39" t="e">
        <f t="shared" ca="1" si="641"/>
        <v>#NAME?</v>
      </c>
      <c r="CM44" s="40" t="e">
        <f t="shared" ref="CM44" ca="1" si="642">+CM41/CL41-1</f>
        <v>#NAME?</v>
      </c>
      <c r="CN44" s="40" t="e">
        <f t="shared" ref="CN44" ca="1" si="643">+CN41/CM41-1</f>
        <v>#NAME?</v>
      </c>
      <c r="CO44" s="40" t="e">
        <f t="shared" ref="CO44" ca="1" si="644">+CO41/CN41-1</f>
        <v>#NAME?</v>
      </c>
      <c r="CP44" s="40" t="e">
        <f t="shared" ref="CP44" ca="1" si="645">+CP41/CO41-1</f>
        <v>#NAME?</v>
      </c>
      <c r="CQ44" s="40" t="e">
        <f t="shared" ref="CQ44" ca="1" si="646">+CQ41/CP41-1</f>
        <v>#NAME?</v>
      </c>
      <c r="CR44" s="40" t="e">
        <f t="shared" ref="CR44" ca="1" si="647">+CR41/CQ41-1</f>
        <v>#NAME?</v>
      </c>
      <c r="CS44" s="40" t="e">
        <f t="shared" ref="CS44" ca="1" si="648">+CS41/CR41-1</f>
        <v>#NAME?</v>
      </c>
      <c r="CT44" s="40" t="e">
        <f t="shared" ref="CT44" ca="1" si="649">+CT41/CS41-1</f>
        <v>#NAME?</v>
      </c>
      <c r="CU44" s="40" t="e">
        <f t="shared" ref="CU44" ca="1" si="650">+CU41/CT41-1</f>
        <v>#NAME?</v>
      </c>
      <c r="CV44" s="40" t="e">
        <f t="shared" ref="CV44" ca="1" si="651">+CV41/CU41-1</f>
        <v>#NAME?</v>
      </c>
      <c r="CW44" s="40" t="e">
        <f t="shared" ref="CW44" ca="1" si="652">+CW41/CV41-1</f>
        <v>#NAME?</v>
      </c>
      <c r="CX44" s="40" t="e">
        <f t="shared" ref="CX44" ca="1" si="653">+CX41/CW41-1</f>
        <v>#NAME?</v>
      </c>
      <c r="CY44" s="40" t="e">
        <f t="shared" ref="CY44" ca="1" si="654">+CY41/CX41-1</f>
        <v>#NAME?</v>
      </c>
      <c r="CZ44" s="40" t="e">
        <f t="shared" ref="CZ44" ca="1" si="655">+CZ41/CY41-1</f>
        <v>#NAME?</v>
      </c>
      <c r="DA44" s="40" t="e">
        <f t="shared" ref="DA44" ca="1" si="656">+DA41/CZ41-1</f>
        <v>#NAME?</v>
      </c>
      <c r="DB44" s="40" t="e">
        <f t="shared" ref="DB44" ca="1" si="657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58">+SUM(CM45:CP45)</f>
        <v>#NAME?</v>
      </c>
      <c r="AC45" s="76" t="e">
        <f t="shared" ref="AC45:AC46" ca="1" si="659">+SUM(CQ45:CT45)</f>
        <v>#NAME?</v>
      </c>
      <c r="AD45" s="76" t="e">
        <f t="shared" ref="AD45:AD46" ca="1" si="660">+SUM(CU45:CX45)</f>
        <v>#NAME?</v>
      </c>
      <c r="AE45" s="76" t="e">
        <f t="shared" ref="AE45:AE46" ca="1" si="661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2">+CL45</f>
        <v>#NAME?</v>
      </c>
      <c r="CN45" s="76" t="e">
        <f t="shared" ref="CN45:CN46" ca="1" si="663">+CM45</f>
        <v>#NAME?</v>
      </c>
      <c r="CO45" s="76" t="e">
        <f t="shared" ref="CO45:CO46" ca="1" si="664">+CN45</f>
        <v>#NAME?</v>
      </c>
      <c r="CP45" s="76" t="e">
        <f t="shared" ref="CP45:CP46" ca="1" si="665">+CO45</f>
        <v>#NAME?</v>
      </c>
      <c r="CQ45" s="76" t="e">
        <f t="shared" ref="CQ45:CQ46" ca="1" si="666">+CP45</f>
        <v>#NAME?</v>
      </c>
      <c r="CR45" s="76" t="e">
        <f t="shared" ref="CR45:CR46" ca="1" si="667">+CQ45</f>
        <v>#NAME?</v>
      </c>
      <c r="CS45" s="76" t="e">
        <f t="shared" ref="CS45:CS46" ca="1" si="668">+CR45</f>
        <v>#NAME?</v>
      </c>
      <c r="CT45" s="76" t="e">
        <f t="shared" ref="CT45:CT46" ca="1" si="669">+CS45</f>
        <v>#NAME?</v>
      </c>
      <c r="CU45" s="76" t="e">
        <f t="shared" ref="CU45:CU46" ca="1" si="670">+CT45</f>
        <v>#NAME?</v>
      </c>
      <c r="CV45" s="76" t="e">
        <f t="shared" ref="CV45:CV46" ca="1" si="671">+CU45</f>
        <v>#NAME?</v>
      </c>
      <c r="CW45" s="76" t="e">
        <f t="shared" ref="CW45:CW46" ca="1" si="672">+CV45</f>
        <v>#NAME?</v>
      </c>
      <c r="CX45" s="76" t="e">
        <f t="shared" ref="CX45:CX46" ca="1" si="673">+CW45</f>
        <v>#NAME?</v>
      </c>
      <c r="CY45" s="76" t="e">
        <f t="shared" ref="CY45:CY46" ca="1" si="674">+CX45</f>
        <v>#NAME?</v>
      </c>
      <c r="CZ45" s="76" t="e">
        <f t="shared" ref="CZ45:CZ46" ca="1" si="675">+CY45</f>
        <v>#NAME?</v>
      </c>
      <c r="DA45" s="76" t="e">
        <f t="shared" ref="DA45:DA46" ca="1" si="676">+CZ45</f>
        <v>#NAME?</v>
      </c>
      <c r="DB45" s="76" t="e">
        <f t="shared" ref="DB45:DB46" ca="1" si="677">+DA45</f>
        <v>#NAME?</v>
      </c>
      <c r="DE45" s="131"/>
      <c r="DF45" s="75">
        <v>-611.21999999999991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58"/>
        <v>#NAME?</v>
      </c>
      <c r="AC46" s="76" t="e">
        <f t="shared" ca="1" si="659"/>
        <v>#NAME?</v>
      </c>
      <c r="AD46" s="76" t="e">
        <f t="shared" ca="1" si="660"/>
        <v>#NAME?</v>
      </c>
      <c r="AE46" s="76" t="e">
        <f t="shared" ca="1" si="661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2"/>
        <v>#NAME?</v>
      </c>
      <c r="CN46" s="76" t="e">
        <f t="shared" ca="1" si="663"/>
        <v>#NAME?</v>
      </c>
      <c r="CO46" s="76" t="e">
        <f t="shared" ca="1" si="664"/>
        <v>#NAME?</v>
      </c>
      <c r="CP46" s="76" t="e">
        <f t="shared" ca="1" si="665"/>
        <v>#NAME?</v>
      </c>
      <c r="CQ46" s="76" t="e">
        <f t="shared" ca="1" si="666"/>
        <v>#NAME?</v>
      </c>
      <c r="CR46" s="76" t="e">
        <f t="shared" ca="1" si="667"/>
        <v>#NAME?</v>
      </c>
      <c r="CS46" s="76" t="e">
        <f t="shared" ca="1" si="668"/>
        <v>#NAME?</v>
      </c>
      <c r="CT46" s="76" t="e">
        <f t="shared" ca="1" si="669"/>
        <v>#NAME?</v>
      </c>
      <c r="CU46" s="76" t="e">
        <f t="shared" ca="1" si="670"/>
        <v>#NAME?</v>
      </c>
      <c r="CV46" s="76" t="e">
        <f t="shared" ca="1" si="671"/>
        <v>#NAME?</v>
      </c>
      <c r="CW46" s="76" t="e">
        <f t="shared" ca="1" si="672"/>
        <v>#NAME?</v>
      </c>
      <c r="CX46" s="76" t="e">
        <f t="shared" ca="1" si="673"/>
        <v>#NAME?</v>
      </c>
      <c r="CY46" s="76" t="e">
        <f t="shared" ca="1" si="674"/>
        <v>#NAME?</v>
      </c>
      <c r="CZ46" s="76" t="e">
        <f t="shared" ca="1" si="675"/>
        <v>#NAME?</v>
      </c>
      <c r="DA46" s="76" t="e">
        <f t="shared" ca="1" si="676"/>
        <v>#NAME?</v>
      </c>
      <c r="DB46" s="76" t="e">
        <f t="shared" ca="1" si="677"/>
        <v>#NAME?</v>
      </c>
      <c r="DE46" s="131"/>
      <c r="DF46" s="75">
        <v>257.18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9215.3700000000008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78">E41+E45+E46+E47</f>
        <v>#NAME?</v>
      </c>
      <c r="F48" s="26" t="e">
        <f t="shared" ca="1" si="678"/>
        <v>#NAME?</v>
      </c>
      <c r="G48" s="26" t="e">
        <f t="shared" ca="1" si="678"/>
        <v>#NAME?</v>
      </c>
      <c r="H48" s="26" t="e">
        <f t="shared" ca="1" si="678"/>
        <v>#NAME?</v>
      </c>
      <c r="I48" s="26" t="e">
        <f t="shared" ca="1" si="678"/>
        <v>#NAME?</v>
      </c>
      <c r="J48" s="26" t="e">
        <f t="shared" ca="1" si="678"/>
        <v>#NAME?</v>
      </c>
      <c r="K48" s="26" t="e">
        <f t="shared" ca="1" si="678"/>
        <v>#NAME?</v>
      </c>
      <c r="L48" s="26" t="e">
        <f t="shared" ca="1" si="678"/>
        <v>#NAME?</v>
      </c>
      <c r="M48" s="26" t="e">
        <f t="shared" ca="1" si="678"/>
        <v>#NAME?</v>
      </c>
      <c r="N48" s="26" t="e">
        <f t="shared" ca="1" si="678"/>
        <v>#NAME?</v>
      </c>
      <c r="O48" s="26" t="e">
        <f t="shared" ca="1" si="678"/>
        <v>#NAME?</v>
      </c>
      <c r="P48" s="26" t="e">
        <f t="shared" ca="1" si="678"/>
        <v>#NAME?</v>
      </c>
      <c r="Q48" s="26" t="e">
        <f t="shared" ca="1" si="678"/>
        <v>#NAME?</v>
      </c>
      <c r="R48" s="26" t="e">
        <f t="shared" ca="1" si="678"/>
        <v>#NAME?</v>
      </c>
      <c r="S48" s="26" t="e">
        <f t="shared" ca="1" si="678"/>
        <v>#NAME?</v>
      </c>
      <c r="T48" s="26" t="e">
        <f t="shared" ca="1" si="678"/>
        <v>#NAME?</v>
      </c>
      <c r="U48" s="26" t="e">
        <f t="shared" ca="1" si="678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79">AB41+AB45+AB46+AB47</f>
        <v>#NAME?</v>
      </c>
      <c r="AC48" s="27" t="e">
        <f t="shared" ca="1" si="679"/>
        <v>#NAME?</v>
      </c>
      <c r="AD48" s="27" t="e">
        <f t="shared" ca="1" si="679"/>
        <v>#NAME?</v>
      </c>
      <c r="AE48" s="27" t="e">
        <f t="shared" ref="AE48" ca="1" si="680">AE41+AE45+AE46+AE47</f>
        <v>#NAME?</v>
      </c>
      <c r="AI48" s="26" t="e">
        <f t="shared" ref="AI48" ca="1" si="681">AI41+AI45+AI46+AI47</f>
        <v>#NAME?</v>
      </c>
      <c r="AJ48" s="26" t="e">
        <f t="shared" ref="AJ48" ca="1" si="682">AJ41+AJ45+AJ46+AJ47</f>
        <v>#NAME?</v>
      </c>
      <c r="AK48" s="26" t="e">
        <f t="shared" ref="AK48:AM48" ca="1" si="683">AK41+AK45+AK46+AK47</f>
        <v>#NAME?</v>
      </c>
      <c r="AL48" s="26" t="e">
        <f t="shared" ca="1" si="683"/>
        <v>#NAME?</v>
      </c>
      <c r="AM48" s="26" t="e">
        <f t="shared" ca="1" si="683"/>
        <v>#NAME?</v>
      </c>
      <c r="AN48" s="26" t="e">
        <f t="shared" ref="AN48:AO48" ca="1" si="684">AN41+AN45+AN46+AN47</f>
        <v>#NAME?</v>
      </c>
      <c r="AO48" s="26" t="e">
        <f t="shared" ca="1" si="684"/>
        <v>#NAME?</v>
      </c>
      <c r="AP48" s="26" t="e">
        <f t="shared" ref="AP48:CD48" ca="1" si="685">AP41+AP45+AP46+AP47</f>
        <v>#NAME?</v>
      </c>
      <c r="AQ48" s="26" t="e">
        <f t="shared" ca="1" si="685"/>
        <v>#NAME?</v>
      </c>
      <c r="AR48" s="26" t="e">
        <f t="shared" ca="1" si="685"/>
        <v>#NAME?</v>
      </c>
      <c r="AS48" s="26" t="e">
        <f t="shared" ca="1" si="685"/>
        <v>#NAME?</v>
      </c>
      <c r="AT48" s="26" t="e">
        <f t="shared" ca="1" si="685"/>
        <v>#NAME?</v>
      </c>
      <c r="AU48" s="26" t="e">
        <f t="shared" ca="1" si="685"/>
        <v>#NAME?</v>
      </c>
      <c r="AV48" s="26" t="e">
        <f t="shared" ca="1" si="685"/>
        <v>#NAME?</v>
      </c>
      <c r="AW48" s="26" t="e">
        <f t="shared" ca="1" si="685"/>
        <v>#NAME?</v>
      </c>
      <c r="AX48" s="26" t="e">
        <f t="shared" ca="1" si="685"/>
        <v>#NAME?</v>
      </c>
      <c r="AY48" s="26" t="e">
        <f t="shared" ca="1" si="685"/>
        <v>#NAME?</v>
      </c>
      <c r="AZ48" s="26" t="e">
        <f t="shared" ca="1" si="685"/>
        <v>#NAME?</v>
      </c>
      <c r="BA48" s="26" t="e">
        <f t="shared" ca="1" si="685"/>
        <v>#NAME?</v>
      </c>
      <c r="BB48" s="26" t="e">
        <f t="shared" ca="1" si="685"/>
        <v>#NAME?</v>
      </c>
      <c r="BC48" s="26" t="e">
        <f t="shared" ca="1" si="685"/>
        <v>#NAME?</v>
      </c>
      <c r="BD48" s="26" t="e">
        <f t="shared" ca="1" si="685"/>
        <v>#NAME?</v>
      </c>
      <c r="BE48" s="26" t="e">
        <f t="shared" ca="1" si="685"/>
        <v>#NAME?</v>
      </c>
      <c r="BF48" s="26" t="e">
        <f t="shared" ca="1" si="685"/>
        <v>#NAME?</v>
      </c>
      <c r="BG48" s="26" t="e">
        <f t="shared" ca="1" si="685"/>
        <v>#NAME?</v>
      </c>
      <c r="BH48" s="26" t="e">
        <f t="shared" ca="1" si="685"/>
        <v>#NAME?</v>
      </c>
      <c r="BI48" s="26" t="e">
        <f t="shared" ca="1" si="685"/>
        <v>#NAME?</v>
      </c>
      <c r="BJ48" s="26" t="e">
        <f t="shared" ca="1" si="685"/>
        <v>#NAME?</v>
      </c>
      <c r="BK48" s="26" t="e">
        <f t="shared" ca="1" si="685"/>
        <v>#NAME?</v>
      </c>
      <c r="BL48" s="26" t="e">
        <f t="shared" ca="1" si="685"/>
        <v>#NAME?</v>
      </c>
      <c r="BM48" s="26" t="e">
        <f t="shared" ca="1" si="685"/>
        <v>#NAME?</v>
      </c>
      <c r="BN48" s="26" t="e">
        <f t="shared" ca="1" si="685"/>
        <v>#NAME?</v>
      </c>
      <c r="BO48" s="26" t="e">
        <f t="shared" ca="1" si="685"/>
        <v>#NAME?</v>
      </c>
      <c r="BP48" s="26" t="e">
        <f t="shared" ca="1" si="685"/>
        <v>#NAME?</v>
      </c>
      <c r="BQ48" s="26" t="e">
        <f t="shared" ca="1" si="685"/>
        <v>#NAME?</v>
      </c>
      <c r="BR48" s="26" t="e">
        <f t="shared" ca="1" si="685"/>
        <v>#NAME?</v>
      </c>
      <c r="BS48" s="26" t="e">
        <f t="shared" ca="1" si="685"/>
        <v>#NAME?</v>
      </c>
      <c r="BT48" s="26" t="e">
        <f t="shared" ca="1" si="685"/>
        <v>#NAME?</v>
      </c>
      <c r="BU48" s="26" t="e">
        <f t="shared" ca="1" si="685"/>
        <v>#NAME?</v>
      </c>
      <c r="BV48" s="26" t="e">
        <f t="shared" ca="1" si="685"/>
        <v>#NAME?</v>
      </c>
      <c r="BW48" s="26" t="e">
        <f t="shared" ca="1" si="685"/>
        <v>#NAME?</v>
      </c>
      <c r="BX48" s="26" t="e">
        <f t="shared" ca="1" si="685"/>
        <v>#NAME?</v>
      </c>
      <c r="BY48" s="26" t="e">
        <f t="shared" ca="1" si="685"/>
        <v>#NAME?</v>
      </c>
      <c r="BZ48" s="26" t="e">
        <f t="shared" ca="1" si="685"/>
        <v>#NAME?</v>
      </c>
      <c r="CA48" s="26" t="e">
        <f t="shared" ca="1" si="685"/>
        <v>#NAME?</v>
      </c>
      <c r="CB48" s="26" t="e">
        <f t="shared" ca="1" si="685"/>
        <v>#NAME?</v>
      </c>
      <c r="CC48" s="26" t="e">
        <f t="shared" ca="1" si="685"/>
        <v>#NAME?</v>
      </c>
      <c r="CD48" s="26" t="e">
        <f t="shared" ca="1" si="685"/>
        <v>#NAME?</v>
      </c>
      <c r="CE48" s="26" t="e">
        <f t="shared" ref="CE48:CF48" ca="1" si="686">CE41+CE45+CE46+CE47</f>
        <v>#NAME?</v>
      </c>
      <c r="CF48" s="26" t="e">
        <f t="shared" ca="1" si="686"/>
        <v>#NAME?</v>
      </c>
      <c r="CG48" s="26" t="e">
        <f t="shared" ref="CG48:CH48" ca="1" si="687">CG41+CG45+CG46+CG47</f>
        <v>#NAME?</v>
      </c>
      <c r="CH48" s="26" t="e">
        <f t="shared" ca="1" si="687"/>
        <v>#NAME?</v>
      </c>
      <c r="CI48" s="26" t="e">
        <f t="shared" ref="CI48:CJ48" ca="1" si="688">CI41+CI45+CI46+CI47</f>
        <v>#NAME?</v>
      </c>
      <c r="CJ48" s="26" t="e">
        <f t="shared" ca="1" si="688"/>
        <v>#NAME?</v>
      </c>
      <c r="CK48" s="26" t="e">
        <f t="shared" ref="CK48:CL48" ca="1" si="689">CK41+CK45+CK46+CK47</f>
        <v>#NAME?</v>
      </c>
      <c r="CL48" s="26" t="e">
        <f t="shared" ca="1" si="689"/>
        <v>#NAME?</v>
      </c>
      <c r="CM48" s="27" t="e">
        <f t="shared" ref="CM48:DB48" ca="1" si="690">CM41+CM45+CM46+CM47</f>
        <v>#NAME?</v>
      </c>
      <c r="CN48" s="27" t="e">
        <f t="shared" ca="1" si="690"/>
        <v>#NAME?</v>
      </c>
      <c r="CO48" s="27" t="e">
        <f t="shared" ca="1" si="690"/>
        <v>#NAME?</v>
      </c>
      <c r="CP48" s="27" t="e">
        <f t="shared" ca="1" si="690"/>
        <v>#NAME?</v>
      </c>
      <c r="CQ48" s="27" t="e">
        <f t="shared" ca="1" si="690"/>
        <v>#NAME?</v>
      </c>
      <c r="CR48" s="27" t="e">
        <f t="shared" ca="1" si="690"/>
        <v>#NAME?</v>
      </c>
      <c r="CS48" s="27" t="e">
        <f t="shared" ca="1" si="690"/>
        <v>#NAME?</v>
      </c>
      <c r="CT48" s="27" t="e">
        <f t="shared" ca="1" si="690"/>
        <v>#NAME?</v>
      </c>
      <c r="CU48" s="27" t="e">
        <f t="shared" ca="1" si="690"/>
        <v>#NAME?</v>
      </c>
      <c r="CV48" s="27" t="e">
        <f t="shared" ca="1" si="690"/>
        <v>#NAME?</v>
      </c>
      <c r="CW48" s="27" t="e">
        <f t="shared" ca="1" si="690"/>
        <v>#NAME?</v>
      </c>
      <c r="CX48" s="27" t="e">
        <f t="shared" ca="1" si="690"/>
        <v>#NAME?</v>
      </c>
      <c r="CY48" s="27" t="e">
        <f t="shared" ca="1" si="690"/>
        <v>#NAME?</v>
      </c>
      <c r="CZ48" s="27" t="e">
        <f t="shared" ca="1" si="690"/>
        <v>#NAME?</v>
      </c>
      <c r="DA48" s="27" t="e">
        <f t="shared" ca="1" si="690"/>
        <v>#NAME?</v>
      </c>
      <c r="DB48" s="27" t="e">
        <f t="shared" ca="1" si="690"/>
        <v>#NAME?</v>
      </c>
      <c r="DE48" s="121"/>
      <c r="DF48" s="26">
        <v>9339.4699999999921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25" customFormat="1" x14ac:dyDescent="0.2">
      <c r="A50" s="151"/>
      <c r="AB50" s="17"/>
      <c r="AC50" s="17"/>
      <c r="AD50" s="17"/>
      <c r="AE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1" customFormat="1" x14ac:dyDescent="0.2">
      <c r="AB51" s="20"/>
      <c r="AC51" s="20"/>
      <c r="AD51" s="20"/>
      <c r="AE51" s="20"/>
      <c r="BV51" s="183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</row>
    <row r="52" spans="1:110" s="22" customFormat="1" x14ac:dyDescent="0.2">
      <c r="A52" s="22" t="s">
        <v>434</v>
      </c>
      <c r="B52" s="22" t="e">
        <f ca="1">'Annual Raw'!C35</f>
        <v>#NAME?</v>
      </c>
      <c r="C52" s="22" t="e">
        <f ca="1">'Annual Raw'!D35</f>
        <v>#NAME?</v>
      </c>
      <c r="D52" s="22" t="e">
        <f ca="1">'Annual Raw'!E35</f>
        <v>#NAME?</v>
      </c>
      <c r="E52" s="22" t="e">
        <f ca="1">'Annual Raw'!F35</f>
        <v>#NAME?</v>
      </c>
      <c r="F52" s="22" t="e">
        <f ca="1">'Annual Raw'!G35</f>
        <v>#NAME?</v>
      </c>
      <c r="G52" s="22" t="e">
        <f ca="1">'Annual Raw'!H35</f>
        <v>#NAME?</v>
      </c>
      <c r="H52" s="22" t="e">
        <f ca="1">'Annual Raw'!I35</f>
        <v>#NAME?</v>
      </c>
      <c r="I52" s="22" t="e">
        <f ca="1">'Annual Raw'!J35</f>
        <v>#NAME?</v>
      </c>
      <c r="J52" s="22" t="e">
        <f ca="1">'Annual Raw'!K35</f>
        <v>#NAME?</v>
      </c>
      <c r="K52" s="22" t="e">
        <f ca="1">'Annual Raw'!L35</f>
        <v>#NAME?</v>
      </c>
      <c r="L52" s="22" t="e">
        <f ca="1">'Annual Raw'!M35</f>
        <v>#NAME?</v>
      </c>
      <c r="M52" s="22" t="e">
        <f ca="1">'Annual Raw'!N35</f>
        <v>#NAME?</v>
      </c>
      <c r="N52" s="22" t="e">
        <f ca="1">'Annual Raw'!O35</f>
        <v>#NAME?</v>
      </c>
      <c r="O52" s="22" t="e">
        <f ca="1">'Annual Raw'!P35</f>
        <v>#NAME?</v>
      </c>
      <c r="P52" s="22" t="e">
        <f ca="1">'Annual Raw'!Q35</f>
        <v>#NAME?</v>
      </c>
      <c r="Q52" s="22" t="e">
        <f ca="1">'Annual Raw'!R35</f>
        <v>#NAME?</v>
      </c>
      <c r="R52" s="22" t="e">
        <f ca="1">'Annual Raw'!S35</f>
        <v>#NAME?</v>
      </c>
      <c r="S52" s="22" t="e">
        <f ca="1">'Annual Raw'!T35</f>
        <v>#NAME?</v>
      </c>
      <c r="T52" s="22" t="e">
        <f ca="1">'Annual Raw'!U35</f>
        <v>#NAME?</v>
      </c>
      <c r="U52" s="22" t="e">
        <f ca="1">'Annual Raw'!V35</f>
        <v>#NAME?</v>
      </c>
      <c r="V52" s="22" t="e">
        <f ca="1">'Annual Raw'!W35</f>
        <v>#NAME?</v>
      </c>
      <c r="W52" s="22" t="e">
        <f ca="1">'Annual Raw'!X35</f>
        <v>#NAME?</v>
      </c>
      <c r="X52" s="22" t="e">
        <f ca="1">'Annual Raw'!Y35</f>
        <v>#NAME?</v>
      </c>
      <c r="Y52" s="22" t="e">
        <f ca="1">'Annual Raw'!Z35</f>
        <v>#NAME?</v>
      </c>
      <c r="Z52" s="22" t="e">
        <f ca="1">'Annual Raw'!AA35</f>
        <v>#NAME?</v>
      </c>
      <c r="AA52" s="22" t="e">
        <f ca="1">'Annual Raw'!AB35</f>
        <v>#NAME?</v>
      </c>
      <c r="AB52" s="21" t="e">
        <f t="shared" ref="AA52:AD52" ca="1" si="691">+AB48</f>
        <v>#NAME?</v>
      </c>
      <c r="AC52" s="21" t="e">
        <f t="shared" ca="1" si="691"/>
        <v>#NAME?</v>
      </c>
      <c r="AD52" s="21" t="e">
        <f t="shared" ca="1" si="691"/>
        <v>#NAME?</v>
      </c>
      <c r="AE52" s="21" t="e">
        <f t="shared" ref="AE52" ca="1" si="692">+AE48</f>
        <v>#NAME?</v>
      </c>
      <c r="AI52" s="22" t="e">
        <f ca="1">'QTR Raw'!C42</f>
        <v>#NAME?</v>
      </c>
      <c r="AJ52" s="22" t="e">
        <f ca="1">'QTR Raw'!D42</f>
        <v>#NAME?</v>
      </c>
      <c r="AK52" s="22" t="e">
        <f ca="1">'QTR Raw'!E42</f>
        <v>#NAME?</v>
      </c>
      <c r="AL52" s="22" t="e">
        <f ca="1">'QTR Raw'!F42</f>
        <v>#NAME?</v>
      </c>
      <c r="AM52" s="22" t="e">
        <f ca="1">'QTR Raw'!G42</f>
        <v>#NAME?</v>
      </c>
      <c r="AN52" s="22" t="e">
        <f ca="1">'QTR Raw'!H42</f>
        <v>#NAME?</v>
      </c>
      <c r="AO52" s="22" t="e">
        <f ca="1">'QTR Raw'!I42</f>
        <v>#NAME?</v>
      </c>
      <c r="AP52" s="22" t="e">
        <f ca="1">'QTR Raw'!J42</f>
        <v>#NAME?</v>
      </c>
      <c r="AQ52" s="22" t="e">
        <f ca="1">'QTR Raw'!K42</f>
        <v>#NAME?</v>
      </c>
      <c r="AR52" s="22" t="e">
        <f ca="1">'QTR Raw'!L42</f>
        <v>#NAME?</v>
      </c>
      <c r="AS52" s="22" t="e">
        <f ca="1">'QTR Raw'!M42</f>
        <v>#NAME?</v>
      </c>
      <c r="AT52" s="22" t="e">
        <f ca="1">'QTR Raw'!N42</f>
        <v>#NAME?</v>
      </c>
      <c r="AU52" s="22" t="e">
        <f ca="1">'QTR Raw'!O42</f>
        <v>#NAME?</v>
      </c>
      <c r="AV52" s="22" t="e">
        <f ca="1">'QTR Raw'!P42</f>
        <v>#NAME?</v>
      </c>
      <c r="AW52" s="22" t="e">
        <f ca="1">'QTR Raw'!Q42</f>
        <v>#NAME?</v>
      </c>
      <c r="AX52" s="22" t="e">
        <f ca="1">'QTR Raw'!R42</f>
        <v>#NAME?</v>
      </c>
      <c r="AY52" s="22" t="e">
        <f ca="1">'QTR Raw'!S42</f>
        <v>#NAME?</v>
      </c>
      <c r="AZ52" s="22" t="e">
        <f ca="1">'QTR Raw'!T42</f>
        <v>#NAME?</v>
      </c>
      <c r="BA52" s="22" t="e">
        <f ca="1">'QTR Raw'!U42</f>
        <v>#NAME?</v>
      </c>
      <c r="BB52" s="22" t="e">
        <f ca="1">'QTR Raw'!V42</f>
        <v>#NAME?</v>
      </c>
      <c r="BC52" s="22" t="e">
        <f ca="1">'QTR Raw'!W42</f>
        <v>#NAME?</v>
      </c>
      <c r="BD52" s="22" t="e">
        <f ca="1">'QTR Raw'!X42</f>
        <v>#NAME?</v>
      </c>
      <c r="BE52" s="22" t="e">
        <f ca="1">'QTR Raw'!Y42</f>
        <v>#NAME?</v>
      </c>
      <c r="BF52" s="22" t="e">
        <f ca="1">'QTR Raw'!Z42</f>
        <v>#NAME?</v>
      </c>
      <c r="BG52" s="22" t="e">
        <f ca="1">'QTR Raw'!AA42</f>
        <v>#NAME?</v>
      </c>
      <c r="BH52" s="22" t="e">
        <f ca="1">'QTR Raw'!AB42</f>
        <v>#NAME?</v>
      </c>
      <c r="BI52" s="22" t="e">
        <f ca="1">'QTR Raw'!AC42</f>
        <v>#NAME?</v>
      </c>
      <c r="BJ52" s="22" t="e">
        <f ca="1">'QTR Raw'!AD42</f>
        <v>#NAME?</v>
      </c>
      <c r="BK52" s="22" t="e">
        <f ca="1">'QTR Raw'!AE42</f>
        <v>#NAME?</v>
      </c>
      <c r="BL52" s="22" t="e">
        <f ca="1">'QTR Raw'!AF42</f>
        <v>#NAME?</v>
      </c>
      <c r="BM52" s="22" t="e">
        <f ca="1">'QTR Raw'!AG42</f>
        <v>#NAME?</v>
      </c>
      <c r="BN52" s="22" t="e">
        <f ca="1">'QTR Raw'!AH42</f>
        <v>#NAME?</v>
      </c>
      <c r="BO52" s="22" t="e">
        <f ca="1">'QTR Raw'!AI42</f>
        <v>#NAME?</v>
      </c>
      <c r="BP52" s="22" t="e">
        <f ca="1">'QTR Raw'!AJ42</f>
        <v>#NAME?</v>
      </c>
      <c r="BQ52" s="22" t="e">
        <f ca="1">'QTR Raw'!AK42</f>
        <v>#NAME?</v>
      </c>
      <c r="BR52" s="22" t="e">
        <f ca="1">'QTR Raw'!AL42</f>
        <v>#NAME?</v>
      </c>
      <c r="BS52" s="22" t="e">
        <f ca="1">'QTR Raw'!AM42</f>
        <v>#NAME?</v>
      </c>
      <c r="BT52" s="22" t="e">
        <f ca="1">'QTR Raw'!AN42</f>
        <v>#NAME?</v>
      </c>
      <c r="BU52" s="22" t="e">
        <f ca="1">'QTR Raw'!AO42</f>
        <v>#NAME?</v>
      </c>
      <c r="BV52" s="22" t="e">
        <f ca="1">'QTR Raw'!AP42</f>
        <v>#NAME?</v>
      </c>
      <c r="BW52" s="22" t="e">
        <f ca="1">'QTR Raw'!AQ42</f>
        <v>#NAME?</v>
      </c>
      <c r="BX52" s="22" t="e">
        <f ca="1">'QTR Raw'!AR42</f>
        <v>#NAME?</v>
      </c>
      <c r="BY52" s="22" t="e">
        <f ca="1">'QTR Raw'!AS42</f>
        <v>#NAME?</v>
      </c>
      <c r="BZ52" s="22" t="e">
        <f ca="1">'QTR Raw'!AT42</f>
        <v>#NAME?</v>
      </c>
      <c r="CA52" s="22" t="e">
        <f ca="1">'QTR Raw'!AU42</f>
        <v>#NAME?</v>
      </c>
      <c r="CB52" s="22" t="e">
        <f ca="1">'QTR Raw'!AV42</f>
        <v>#NAME?</v>
      </c>
      <c r="CC52" s="22" t="e">
        <f ca="1">'QTR Raw'!AW42</f>
        <v>#NAME?</v>
      </c>
      <c r="CD52" s="22" t="e">
        <f ca="1">'QTR Raw'!AX42</f>
        <v>#NAME?</v>
      </c>
      <c r="CE52" s="22" t="e">
        <f ca="1">'QTR Raw'!AY42</f>
        <v>#NAME?</v>
      </c>
      <c r="CF52" s="22" t="e">
        <f ca="1">'QTR Raw'!AZ42</f>
        <v>#NAME?</v>
      </c>
      <c r="CG52" s="22" t="e">
        <f ca="1">'QTR Raw'!BA42</f>
        <v>#NAME?</v>
      </c>
      <c r="CH52" s="22" t="e">
        <f ca="1">'QTR Raw'!BB42</f>
        <v>#NAME?</v>
      </c>
      <c r="CI52" s="22" t="e">
        <f ca="1">'QTR Raw'!BC42</f>
        <v>#NAME?</v>
      </c>
      <c r="CJ52" s="22" t="e">
        <f ca="1">'QTR Raw'!BD42</f>
        <v>#NAME?</v>
      </c>
      <c r="CK52" s="22" t="e">
        <f ca="1">'QTR Raw'!BE42</f>
        <v>#NAME?</v>
      </c>
      <c r="CL52" s="22" t="e">
        <f ca="1">'QTR Raw'!BF42</f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2">
        <v>9339.4699999999921</v>
      </c>
    </row>
    <row r="53" spans="1:110" s="25" customFormat="1" x14ac:dyDescent="0.2">
      <c r="A53" s="36" t="s">
        <v>435</v>
      </c>
      <c r="B53" s="25" t="e">
        <f t="shared" ref="B53:V53" ca="1" si="693">B52-B48</f>
        <v>#NAME?</v>
      </c>
      <c r="C53" s="25" t="e">
        <f ca="1">C52-C48</f>
        <v>#NAME?</v>
      </c>
      <c r="D53" s="25" t="e">
        <f t="shared" ca="1" si="693"/>
        <v>#NAME?</v>
      </c>
      <c r="E53" s="25" t="e">
        <f t="shared" ca="1" si="693"/>
        <v>#NAME?</v>
      </c>
      <c r="F53" s="25" t="e">
        <f t="shared" ca="1" si="693"/>
        <v>#NAME?</v>
      </c>
      <c r="G53" s="25" t="e">
        <f t="shared" ca="1" si="693"/>
        <v>#NAME?</v>
      </c>
      <c r="H53" s="25" t="e">
        <f t="shared" ca="1" si="693"/>
        <v>#NAME?</v>
      </c>
      <c r="I53" s="25" t="e">
        <f t="shared" ca="1" si="693"/>
        <v>#NAME?</v>
      </c>
      <c r="J53" s="25" t="e">
        <f t="shared" ca="1" si="693"/>
        <v>#NAME?</v>
      </c>
      <c r="K53" s="25" t="e">
        <f t="shared" ca="1" si="693"/>
        <v>#NAME?</v>
      </c>
      <c r="L53" s="25" t="e">
        <f t="shared" ca="1" si="693"/>
        <v>#NAME?</v>
      </c>
      <c r="M53" s="25" t="e">
        <f t="shared" ca="1" si="693"/>
        <v>#NAME?</v>
      </c>
      <c r="N53" s="25" t="e">
        <f t="shared" ca="1" si="693"/>
        <v>#NAME?</v>
      </c>
      <c r="O53" s="25" t="e">
        <f t="shared" ca="1" si="693"/>
        <v>#NAME?</v>
      </c>
      <c r="P53" s="25" t="e">
        <f t="shared" ca="1" si="693"/>
        <v>#NAME?</v>
      </c>
      <c r="Q53" s="25" t="e">
        <f t="shared" ca="1" si="693"/>
        <v>#NAME?</v>
      </c>
      <c r="R53" s="25" t="e">
        <f t="shared" ca="1" si="693"/>
        <v>#NAME?</v>
      </c>
      <c r="S53" s="25" t="e">
        <f t="shared" ca="1" si="693"/>
        <v>#NAME?</v>
      </c>
      <c r="T53" s="25" t="e">
        <f t="shared" ca="1" si="693"/>
        <v>#NAME?</v>
      </c>
      <c r="U53" s="25" t="e">
        <f t="shared" ca="1" si="693"/>
        <v>#NAME?</v>
      </c>
      <c r="V53" s="25" t="e">
        <f t="shared" ca="1" si="693"/>
        <v>#NAME?</v>
      </c>
      <c r="W53" s="25" t="e">
        <f t="shared" ref="W53" ca="1" si="694">W52-W48</f>
        <v>#NAME?</v>
      </c>
      <c r="X53" s="25" t="e">
        <f t="shared" ref="X53:Y53" ca="1" si="695">X52-X48</f>
        <v>#NAME?</v>
      </c>
      <c r="Y53" s="25" t="e">
        <f t="shared" ca="1" si="695"/>
        <v>#NAME?</v>
      </c>
      <c r="Z53" s="25" t="e">
        <f t="shared" ref="Z53:AA53" ca="1" si="696">Z52-Z48</f>
        <v>#NAME?</v>
      </c>
      <c r="AA53" s="25" t="e">
        <f t="shared" ca="1" si="696"/>
        <v>#NAME?</v>
      </c>
      <c r="AB53" s="17" t="e">
        <f t="shared" ref="AA53:AD53" ca="1" si="697">AB52-AB48</f>
        <v>#NAME?</v>
      </c>
      <c r="AC53" s="17" t="e">
        <f t="shared" ca="1" si="697"/>
        <v>#NAME?</v>
      </c>
      <c r="AD53" s="17" t="e">
        <f t="shared" ca="1" si="697"/>
        <v>#NAME?</v>
      </c>
      <c r="AE53" s="17" t="e">
        <f t="shared" ref="AE53" ca="1" si="698">AE52-AE48</f>
        <v>#NAME?</v>
      </c>
      <c r="AI53" s="25" t="e">
        <f t="shared" ref="AI53" ca="1" si="699">AI52-AI48</f>
        <v>#NAME?</v>
      </c>
      <c r="AJ53" s="25" t="e">
        <f t="shared" ref="AJ53" ca="1" si="700">AJ52-AJ48</f>
        <v>#NAME?</v>
      </c>
      <c r="AK53" s="25" t="e">
        <f t="shared" ref="AK53:AM53" ca="1" si="701">AK52-AK48</f>
        <v>#NAME?</v>
      </c>
      <c r="AL53" s="25" t="e">
        <f t="shared" ca="1" si="701"/>
        <v>#NAME?</v>
      </c>
      <c r="AM53" s="25" t="e">
        <f t="shared" ca="1" si="701"/>
        <v>#NAME?</v>
      </c>
      <c r="AN53" s="25" t="e">
        <f t="shared" ref="AN53:AO53" ca="1" si="702">AN52-AN48</f>
        <v>#NAME?</v>
      </c>
      <c r="AO53" s="25" t="e">
        <f t="shared" ca="1" si="702"/>
        <v>#NAME?</v>
      </c>
      <c r="AP53" s="25" t="e">
        <f t="shared" ref="AP53:CD53" ca="1" si="703">AP52-AP48</f>
        <v>#NAME?</v>
      </c>
      <c r="AQ53" s="25" t="e">
        <f t="shared" ca="1" si="703"/>
        <v>#NAME?</v>
      </c>
      <c r="AR53" s="25" t="e">
        <f t="shared" ca="1" si="703"/>
        <v>#NAME?</v>
      </c>
      <c r="AS53" s="25" t="e">
        <f t="shared" ca="1" si="703"/>
        <v>#NAME?</v>
      </c>
      <c r="AT53" s="25" t="e">
        <f t="shared" ca="1" si="703"/>
        <v>#NAME?</v>
      </c>
      <c r="AU53" s="25" t="e">
        <f t="shared" ca="1" si="703"/>
        <v>#NAME?</v>
      </c>
      <c r="AV53" s="25" t="e">
        <f t="shared" ca="1" si="703"/>
        <v>#NAME?</v>
      </c>
      <c r="AW53" s="25" t="e">
        <f t="shared" ca="1" si="703"/>
        <v>#NAME?</v>
      </c>
      <c r="AX53" s="25" t="e">
        <f t="shared" ca="1" si="703"/>
        <v>#NAME?</v>
      </c>
      <c r="AY53" s="25" t="e">
        <f t="shared" ca="1" si="703"/>
        <v>#NAME?</v>
      </c>
      <c r="AZ53" s="25" t="e">
        <f t="shared" ca="1" si="703"/>
        <v>#NAME?</v>
      </c>
      <c r="BA53" s="25" t="e">
        <f t="shared" ca="1" si="703"/>
        <v>#NAME?</v>
      </c>
      <c r="BB53" s="25" t="e">
        <f t="shared" ca="1" si="703"/>
        <v>#NAME?</v>
      </c>
      <c r="BC53" s="25" t="e">
        <f t="shared" ca="1" si="703"/>
        <v>#NAME?</v>
      </c>
      <c r="BD53" s="25" t="e">
        <f t="shared" ca="1" si="703"/>
        <v>#NAME?</v>
      </c>
      <c r="BE53" s="25" t="e">
        <f t="shared" ca="1" si="703"/>
        <v>#NAME?</v>
      </c>
      <c r="BF53" s="25" t="e">
        <f t="shared" ca="1" si="703"/>
        <v>#NAME?</v>
      </c>
      <c r="BG53" s="25" t="e">
        <f t="shared" ca="1" si="703"/>
        <v>#NAME?</v>
      </c>
      <c r="BH53" s="25" t="e">
        <f t="shared" ca="1" si="703"/>
        <v>#NAME?</v>
      </c>
      <c r="BI53" s="25" t="e">
        <f t="shared" ca="1" si="703"/>
        <v>#NAME?</v>
      </c>
      <c r="BJ53" s="25" t="e">
        <f t="shared" ca="1" si="703"/>
        <v>#NAME?</v>
      </c>
      <c r="BK53" s="25" t="e">
        <f t="shared" ca="1" si="703"/>
        <v>#NAME?</v>
      </c>
      <c r="BL53" s="25" t="e">
        <f t="shared" ca="1" si="703"/>
        <v>#NAME?</v>
      </c>
      <c r="BM53" s="25" t="e">
        <f t="shared" ca="1" si="703"/>
        <v>#NAME?</v>
      </c>
      <c r="BN53" s="25" t="e">
        <f t="shared" ca="1" si="703"/>
        <v>#NAME?</v>
      </c>
      <c r="BO53" s="25" t="e">
        <f t="shared" ca="1" si="703"/>
        <v>#NAME?</v>
      </c>
      <c r="BP53" s="25" t="e">
        <f t="shared" ca="1" si="703"/>
        <v>#NAME?</v>
      </c>
      <c r="BQ53" s="25" t="e">
        <f t="shared" ca="1" si="703"/>
        <v>#NAME?</v>
      </c>
      <c r="BR53" s="25" t="e">
        <f t="shared" ca="1" si="703"/>
        <v>#NAME?</v>
      </c>
      <c r="BS53" s="25" t="e">
        <f t="shared" ca="1" si="703"/>
        <v>#NAME?</v>
      </c>
      <c r="BT53" s="25" t="e">
        <f t="shared" ca="1" si="703"/>
        <v>#NAME?</v>
      </c>
      <c r="BU53" s="25" t="e">
        <f t="shared" ca="1" si="703"/>
        <v>#NAME?</v>
      </c>
      <c r="BV53" s="25" t="e">
        <f t="shared" ca="1" si="703"/>
        <v>#NAME?</v>
      </c>
      <c r="BW53" s="25" t="e">
        <f t="shared" ca="1" si="703"/>
        <v>#NAME?</v>
      </c>
      <c r="BX53" s="25" t="e">
        <f t="shared" ca="1" si="703"/>
        <v>#NAME?</v>
      </c>
      <c r="BY53" s="25" t="e">
        <f t="shared" ca="1" si="703"/>
        <v>#NAME?</v>
      </c>
      <c r="BZ53" s="25" t="e">
        <f t="shared" ca="1" si="703"/>
        <v>#NAME?</v>
      </c>
      <c r="CA53" s="25" t="e">
        <f t="shared" ca="1" si="703"/>
        <v>#NAME?</v>
      </c>
      <c r="CB53" s="25" t="e">
        <f t="shared" ca="1" si="703"/>
        <v>#NAME?</v>
      </c>
      <c r="CC53" s="25" t="e">
        <f t="shared" ca="1" si="703"/>
        <v>#NAME?</v>
      </c>
      <c r="CD53" s="25" t="e">
        <f t="shared" ca="1" si="703"/>
        <v>#NAME?</v>
      </c>
      <c r="CE53" s="25" t="e">
        <f t="shared" ref="CE53:CF53" ca="1" si="704">CE52-CE48</f>
        <v>#NAME?</v>
      </c>
      <c r="CF53" s="25" t="e">
        <f t="shared" ca="1" si="704"/>
        <v>#NAME?</v>
      </c>
      <c r="CG53" s="25" t="e">
        <f t="shared" ref="CG53:CH53" ca="1" si="705">CG52-CG48</f>
        <v>#NAME?</v>
      </c>
      <c r="CH53" s="25" t="e">
        <f t="shared" ca="1" si="705"/>
        <v>#NAME?</v>
      </c>
      <c r="CI53" s="25" t="e">
        <f t="shared" ref="CI53:CJ53" ca="1" si="706">CI52-CI48</f>
        <v>#NAME?</v>
      </c>
      <c r="CJ53" s="25" t="e">
        <f t="shared" ca="1" si="706"/>
        <v>#NAME?</v>
      </c>
      <c r="CK53" s="25" t="e">
        <f t="shared" ref="CK53:CL53" ca="1" si="707">CK52-CK48</f>
        <v>#NAME?</v>
      </c>
      <c r="CL53" s="25" t="e">
        <f t="shared" ca="1" si="707"/>
        <v>#NAME?</v>
      </c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  <c r="DF53" s="25">
        <v>0</v>
      </c>
    </row>
    <row r="54" spans="1:110" s="1" customFormat="1" x14ac:dyDescent="0.2">
      <c r="A54" s="150" t="s">
        <v>487</v>
      </c>
      <c r="AB54" s="20"/>
      <c r="AC54" s="20"/>
      <c r="AD54" s="20"/>
      <c r="AE54" s="20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E54" s="119"/>
    </row>
    <row r="55" spans="1:110" s="38" customFormat="1" x14ac:dyDescent="0.2">
      <c r="A55" s="38" t="s">
        <v>350</v>
      </c>
      <c r="B55" s="39" t="e">
        <f t="shared" ref="B55:AE55" ca="1" si="708">(B48-B47)/B121</f>
        <v>#NAME?</v>
      </c>
      <c r="C55" s="39" t="e">
        <f t="shared" ca="1" si="708"/>
        <v>#NAME?</v>
      </c>
      <c r="D55" s="39" t="e">
        <f t="shared" ca="1" si="708"/>
        <v>#NAME?</v>
      </c>
      <c r="E55" s="39" t="e">
        <f t="shared" ca="1" si="708"/>
        <v>#NAME?</v>
      </c>
      <c r="F55" s="39" t="e">
        <f t="shared" ca="1" si="708"/>
        <v>#NAME?</v>
      </c>
      <c r="G55" s="39" t="e">
        <f t="shared" ca="1" si="708"/>
        <v>#NAME?</v>
      </c>
      <c r="H55" s="39" t="e">
        <f t="shared" ca="1" si="708"/>
        <v>#NAME?</v>
      </c>
      <c r="I55" s="39" t="e">
        <f t="shared" ca="1" si="708"/>
        <v>#NAME?</v>
      </c>
      <c r="J55" s="39" t="e">
        <f t="shared" ca="1" si="708"/>
        <v>#NAME?</v>
      </c>
      <c r="K55" s="39" t="e">
        <f t="shared" ca="1" si="708"/>
        <v>#NAME?</v>
      </c>
      <c r="L55" s="39" t="e">
        <f t="shared" ca="1" si="708"/>
        <v>#NAME?</v>
      </c>
      <c r="M55" s="39" t="e">
        <f t="shared" ca="1" si="708"/>
        <v>#NAME?</v>
      </c>
      <c r="N55" s="39" t="e">
        <f t="shared" ca="1" si="708"/>
        <v>#NAME?</v>
      </c>
      <c r="O55" s="39" t="e">
        <f t="shared" ca="1" si="708"/>
        <v>#NAME?</v>
      </c>
      <c r="P55" s="39" t="e">
        <f t="shared" ca="1" si="708"/>
        <v>#NAME?</v>
      </c>
      <c r="Q55" s="39" t="e">
        <f t="shared" ca="1" si="708"/>
        <v>#NAME?</v>
      </c>
      <c r="R55" s="39" t="e">
        <f t="shared" ca="1" si="708"/>
        <v>#NAME?</v>
      </c>
      <c r="S55" s="39" t="e">
        <f t="shared" ca="1" si="708"/>
        <v>#NAME?</v>
      </c>
      <c r="T55" s="39" t="e">
        <f t="shared" ca="1" si="708"/>
        <v>#NAME?</v>
      </c>
      <c r="U55" s="39" t="e">
        <f t="shared" ca="1" si="708"/>
        <v>#NAME?</v>
      </c>
      <c r="V55" s="39" t="e">
        <f t="shared" ca="1" si="708"/>
        <v>#NAME?</v>
      </c>
      <c r="W55" s="39" t="e">
        <f t="shared" ca="1" si="708"/>
        <v>#NAME?</v>
      </c>
      <c r="X55" s="39" t="e">
        <f t="shared" ca="1" si="708"/>
        <v>#NAME?</v>
      </c>
      <c r="Y55" s="39" t="e">
        <f t="shared" ca="1" si="708"/>
        <v>#NAME?</v>
      </c>
      <c r="Z55" s="39" t="e">
        <f t="shared" ca="1" si="708"/>
        <v>#NAME?</v>
      </c>
      <c r="AA55" s="39" t="e">
        <f t="shared" ref="AA55" ca="1" si="709">(AA48-AA47)/AA121</f>
        <v>#NAME?</v>
      </c>
      <c r="AB55" s="40" t="e">
        <f t="shared" ca="1" si="708"/>
        <v>#NAME?</v>
      </c>
      <c r="AC55" s="40" t="e">
        <f t="shared" ca="1" si="708"/>
        <v>#NAME?</v>
      </c>
      <c r="AD55" s="40" t="e">
        <f t="shared" ca="1" si="708"/>
        <v>#NAME?</v>
      </c>
      <c r="AE55" s="40" t="e">
        <f t="shared" ca="1" si="708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10">(SUM(AI48:AL48)-SUM(AI47:AL47))/AL121</f>
        <v>#NAME?</v>
      </c>
      <c r="AM55" s="39" t="e">
        <f t="shared" ca="1" si="710"/>
        <v>#NAME?</v>
      </c>
      <c r="AN55" s="39" t="e">
        <f t="shared" ca="1" si="710"/>
        <v>#NAME?</v>
      </c>
      <c r="AO55" s="39" t="e">
        <f t="shared" ca="1" si="710"/>
        <v>#NAME?</v>
      </c>
      <c r="AP55" s="39" t="e">
        <f t="shared" ca="1" si="710"/>
        <v>#NAME?</v>
      </c>
      <c r="AQ55" s="39" t="e">
        <f t="shared" ca="1" si="710"/>
        <v>#NAME?</v>
      </c>
      <c r="AR55" s="39" t="e">
        <f t="shared" ca="1" si="710"/>
        <v>#NAME?</v>
      </c>
      <c r="AS55" s="39" t="e">
        <f t="shared" ca="1" si="710"/>
        <v>#NAME?</v>
      </c>
      <c r="AT55" s="39" t="e">
        <f t="shared" ca="1" si="710"/>
        <v>#NAME?</v>
      </c>
      <c r="AU55" s="39" t="e">
        <f t="shared" ca="1" si="710"/>
        <v>#NAME?</v>
      </c>
      <c r="AV55" s="39" t="e">
        <f t="shared" ca="1" si="710"/>
        <v>#NAME?</v>
      </c>
      <c r="AW55" s="39" t="e">
        <f t="shared" ca="1" si="710"/>
        <v>#NAME?</v>
      </c>
      <c r="AX55" s="39" t="e">
        <f t="shared" ca="1" si="710"/>
        <v>#NAME?</v>
      </c>
      <c r="AY55" s="39" t="e">
        <f t="shared" ca="1" si="710"/>
        <v>#NAME?</v>
      </c>
      <c r="AZ55" s="39" t="e">
        <f t="shared" ca="1" si="710"/>
        <v>#NAME?</v>
      </c>
      <c r="BA55" s="39" t="e">
        <f t="shared" ca="1" si="710"/>
        <v>#NAME?</v>
      </c>
      <c r="BB55" s="39" t="e">
        <f t="shared" ca="1" si="710"/>
        <v>#NAME?</v>
      </c>
      <c r="BC55" s="39" t="e">
        <f t="shared" ca="1" si="710"/>
        <v>#NAME?</v>
      </c>
      <c r="BD55" s="39" t="e">
        <f t="shared" ca="1" si="710"/>
        <v>#NAME?</v>
      </c>
      <c r="BE55" s="39" t="e">
        <f t="shared" ca="1" si="710"/>
        <v>#NAME?</v>
      </c>
      <c r="BF55" s="39" t="e">
        <f t="shared" ca="1" si="710"/>
        <v>#NAME?</v>
      </c>
      <c r="BG55" s="39" t="e">
        <f t="shared" ca="1" si="710"/>
        <v>#NAME?</v>
      </c>
      <c r="BH55" s="39" t="e">
        <f t="shared" ca="1" si="710"/>
        <v>#NAME?</v>
      </c>
      <c r="BI55" s="39" t="e">
        <f t="shared" ca="1" si="710"/>
        <v>#NAME?</v>
      </c>
      <c r="BJ55" s="39" t="e">
        <f t="shared" ca="1" si="710"/>
        <v>#NAME?</v>
      </c>
      <c r="BK55" s="39" t="e">
        <f t="shared" ca="1" si="710"/>
        <v>#NAME?</v>
      </c>
      <c r="BL55" s="39" t="e">
        <f t="shared" ca="1" si="710"/>
        <v>#NAME?</v>
      </c>
      <c r="BM55" s="39" t="e">
        <f t="shared" ca="1" si="710"/>
        <v>#NAME?</v>
      </c>
      <c r="BN55" s="39" t="e">
        <f t="shared" ca="1" si="710"/>
        <v>#NAME?</v>
      </c>
      <c r="BO55" s="39" t="e">
        <f t="shared" ca="1" si="710"/>
        <v>#NAME?</v>
      </c>
      <c r="BP55" s="39" t="e">
        <f t="shared" ca="1" si="710"/>
        <v>#NAME?</v>
      </c>
      <c r="BQ55" s="39" t="e">
        <f t="shared" ca="1" si="710"/>
        <v>#NAME?</v>
      </c>
      <c r="BR55" s="39" t="e">
        <f t="shared" ref="BR55:CW55" ca="1" si="711">(SUM(BO48:BR48)-SUM(BO47:BR47))/BR121</f>
        <v>#NAME?</v>
      </c>
      <c r="BS55" s="39" t="e">
        <f t="shared" ca="1" si="711"/>
        <v>#NAME?</v>
      </c>
      <c r="BT55" s="39" t="e">
        <f t="shared" ca="1" si="711"/>
        <v>#NAME?</v>
      </c>
      <c r="BU55" s="39" t="e">
        <f t="shared" ca="1" si="711"/>
        <v>#NAME?</v>
      </c>
      <c r="BV55" s="39" t="e">
        <f t="shared" ca="1" si="711"/>
        <v>#NAME?</v>
      </c>
      <c r="BW55" s="39" t="e">
        <f t="shared" ca="1" si="711"/>
        <v>#NAME?</v>
      </c>
      <c r="BX55" s="39" t="e">
        <f t="shared" ca="1" si="711"/>
        <v>#NAME?</v>
      </c>
      <c r="BY55" s="39" t="e">
        <f t="shared" ca="1" si="711"/>
        <v>#NAME?</v>
      </c>
      <c r="BZ55" s="39" t="e">
        <f t="shared" ca="1" si="711"/>
        <v>#NAME?</v>
      </c>
      <c r="CA55" s="39" t="e">
        <f t="shared" ca="1" si="711"/>
        <v>#NAME?</v>
      </c>
      <c r="CB55" s="39" t="e">
        <f t="shared" ca="1" si="711"/>
        <v>#NAME?</v>
      </c>
      <c r="CC55" s="39" t="e">
        <f t="shared" ca="1" si="711"/>
        <v>#NAME?</v>
      </c>
      <c r="CD55" s="39" t="e">
        <f t="shared" ca="1" si="711"/>
        <v>#NAME?</v>
      </c>
      <c r="CE55" s="39" t="e">
        <f t="shared" ca="1" si="711"/>
        <v>#NAME?</v>
      </c>
      <c r="CF55" s="39" t="e">
        <f t="shared" ca="1" si="711"/>
        <v>#NAME?</v>
      </c>
      <c r="CG55" s="39" t="e">
        <f t="shared" ca="1" si="711"/>
        <v>#NAME?</v>
      </c>
      <c r="CH55" s="39" t="e">
        <f t="shared" ca="1" si="711"/>
        <v>#NAME?</v>
      </c>
      <c r="CI55" s="39" t="e">
        <f t="shared" ca="1" si="711"/>
        <v>#NAME?</v>
      </c>
      <c r="CJ55" s="39" t="e">
        <f t="shared" ca="1" si="711"/>
        <v>#NAME?</v>
      </c>
      <c r="CK55" s="39" t="e">
        <f t="shared" ca="1" si="711"/>
        <v>#NAME?</v>
      </c>
      <c r="CL55" s="39" t="e">
        <f t="shared" ca="1" si="711"/>
        <v>#NAME?</v>
      </c>
      <c r="CM55" s="40" t="e">
        <f t="shared" ca="1" si="711"/>
        <v>#NAME?</v>
      </c>
      <c r="CN55" s="40" t="e">
        <f t="shared" ca="1" si="711"/>
        <v>#NAME?</v>
      </c>
      <c r="CO55" s="40" t="e">
        <f t="shared" ca="1" si="711"/>
        <v>#NAME?</v>
      </c>
      <c r="CP55" s="40" t="e">
        <f t="shared" ca="1" si="711"/>
        <v>#NAME?</v>
      </c>
      <c r="CQ55" s="40" t="e">
        <f t="shared" ca="1" si="711"/>
        <v>#NAME?</v>
      </c>
      <c r="CR55" s="40" t="e">
        <f t="shared" ca="1" si="711"/>
        <v>#NAME?</v>
      </c>
      <c r="CS55" s="40" t="e">
        <f t="shared" ca="1" si="711"/>
        <v>#NAME?</v>
      </c>
      <c r="CT55" s="40" t="e">
        <f t="shared" ca="1" si="711"/>
        <v>#NAME?</v>
      </c>
      <c r="CU55" s="40" t="e">
        <f t="shared" ca="1" si="711"/>
        <v>#NAME?</v>
      </c>
      <c r="CV55" s="40" t="e">
        <f t="shared" ca="1" si="711"/>
        <v>#NAME?</v>
      </c>
      <c r="CW55" s="40" t="e">
        <f t="shared" ca="1" si="711"/>
        <v>#NAME?</v>
      </c>
      <c r="CX55" s="40" t="e">
        <f t="shared" ref="CX55:DB55" ca="1" si="712">(SUM(CU48:CX48)-SUM(CU47:CX47))/CX121</f>
        <v>#NAME?</v>
      </c>
      <c r="CY55" s="40" t="e">
        <f t="shared" ca="1" si="712"/>
        <v>#NAME?</v>
      </c>
      <c r="CZ55" s="40" t="e">
        <f t="shared" ca="1" si="712"/>
        <v>#NAME?</v>
      </c>
      <c r="DA55" s="40" t="e">
        <f t="shared" ca="1" si="712"/>
        <v>#NAME?</v>
      </c>
      <c r="DB55" s="40" t="e">
        <f t="shared" ca="1" si="712"/>
        <v>#NAME?</v>
      </c>
      <c r="DE55" s="122"/>
      <c r="DF55" s="38">
        <v>1.5335006879745156E-3</v>
      </c>
    </row>
    <row r="56" spans="1:110" s="38" customFormat="1" x14ac:dyDescent="0.2">
      <c r="A56" s="38" t="s">
        <v>351</v>
      </c>
      <c r="B56" s="39" t="e">
        <f t="shared" ref="B56:AE56" ca="1" si="713">+B34/B130</f>
        <v>#NAME?</v>
      </c>
      <c r="C56" s="39" t="e">
        <f t="shared" ca="1" si="713"/>
        <v>#NAME?</v>
      </c>
      <c r="D56" s="39" t="e">
        <f t="shared" ca="1" si="713"/>
        <v>#NAME?</v>
      </c>
      <c r="E56" s="39" t="e">
        <f t="shared" ca="1" si="713"/>
        <v>#NAME?</v>
      </c>
      <c r="F56" s="39" t="e">
        <f t="shared" ca="1" si="713"/>
        <v>#NAME?</v>
      </c>
      <c r="G56" s="39" t="e">
        <f t="shared" ca="1" si="713"/>
        <v>#NAME?</v>
      </c>
      <c r="H56" s="39" t="e">
        <f t="shared" ca="1" si="713"/>
        <v>#NAME?</v>
      </c>
      <c r="I56" s="39" t="e">
        <f t="shared" ca="1" si="713"/>
        <v>#NAME?</v>
      </c>
      <c r="J56" s="39" t="e">
        <f t="shared" ca="1" si="713"/>
        <v>#NAME?</v>
      </c>
      <c r="K56" s="39" t="e">
        <f t="shared" ca="1" si="713"/>
        <v>#NAME?</v>
      </c>
      <c r="L56" s="39" t="e">
        <f t="shared" ca="1" si="713"/>
        <v>#NAME?</v>
      </c>
      <c r="M56" s="39" t="e">
        <f t="shared" ca="1" si="713"/>
        <v>#NAME?</v>
      </c>
      <c r="N56" s="39" t="e">
        <f t="shared" ca="1" si="713"/>
        <v>#NAME?</v>
      </c>
      <c r="O56" s="39" t="e">
        <f t="shared" ca="1" si="713"/>
        <v>#NAME?</v>
      </c>
      <c r="P56" s="39" t="e">
        <f t="shared" ca="1" si="713"/>
        <v>#NAME?</v>
      </c>
      <c r="Q56" s="39" t="e">
        <f t="shared" ca="1" si="713"/>
        <v>#NAME?</v>
      </c>
      <c r="R56" s="39" t="e">
        <f t="shared" ca="1" si="713"/>
        <v>#NAME?</v>
      </c>
      <c r="S56" s="39" t="e">
        <f t="shared" ca="1" si="713"/>
        <v>#NAME?</v>
      </c>
      <c r="T56" s="39" t="e">
        <f t="shared" ca="1" si="713"/>
        <v>#NAME?</v>
      </c>
      <c r="U56" s="39" t="e">
        <f t="shared" ca="1" si="713"/>
        <v>#NAME?</v>
      </c>
      <c r="V56" s="39" t="e">
        <f t="shared" ca="1" si="713"/>
        <v>#NAME?</v>
      </c>
      <c r="W56" s="39" t="e">
        <f t="shared" ca="1" si="713"/>
        <v>#NAME?</v>
      </c>
      <c r="X56" s="39" t="e">
        <f t="shared" ca="1" si="713"/>
        <v>#NAME?</v>
      </c>
      <c r="Y56" s="39" t="e">
        <f t="shared" ca="1" si="713"/>
        <v>#NAME?</v>
      </c>
      <c r="Z56" s="39" t="e">
        <f t="shared" ca="1" si="713"/>
        <v>#NAME?</v>
      </c>
      <c r="AA56" s="39" t="e">
        <f t="shared" ref="AA56" ca="1" si="714">+AA34/AA130</f>
        <v>#NAME?</v>
      </c>
      <c r="AB56" s="40" t="e">
        <f t="shared" ca="1" si="713"/>
        <v>#NAME?</v>
      </c>
      <c r="AC56" s="40" t="e">
        <f t="shared" ca="1" si="713"/>
        <v>#NAME?</v>
      </c>
      <c r="AD56" s="40" t="e">
        <f t="shared" ca="1" si="713"/>
        <v>#NAME?</v>
      </c>
      <c r="AE56" s="40" t="e">
        <f t="shared" ca="1" si="713"/>
        <v>#NAME?</v>
      </c>
      <c r="AF56" s="39"/>
      <c r="AG56" s="39"/>
      <c r="AH56" s="39"/>
      <c r="AI56" s="39"/>
      <c r="AJ56" s="39"/>
      <c r="AK56" s="39"/>
      <c r="AL56" s="39" t="e">
        <f t="shared" ref="AL56:BQ56" ca="1" si="715">+SUM(AI34:AL34)/AL130</f>
        <v>#NAME?</v>
      </c>
      <c r="AM56" s="39" t="e">
        <f t="shared" ca="1" si="715"/>
        <v>#NAME?</v>
      </c>
      <c r="AN56" s="39" t="e">
        <f t="shared" ca="1" si="715"/>
        <v>#NAME?</v>
      </c>
      <c r="AO56" s="39" t="e">
        <f t="shared" ca="1" si="715"/>
        <v>#NAME?</v>
      </c>
      <c r="AP56" s="39" t="e">
        <f t="shared" ca="1" si="715"/>
        <v>#NAME?</v>
      </c>
      <c r="AQ56" s="39" t="e">
        <f t="shared" ca="1" si="715"/>
        <v>#NAME?</v>
      </c>
      <c r="AR56" s="39" t="e">
        <f t="shared" ca="1" si="715"/>
        <v>#NAME?</v>
      </c>
      <c r="AS56" s="39" t="e">
        <f t="shared" ca="1" si="715"/>
        <v>#NAME?</v>
      </c>
      <c r="AT56" s="39" t="e">
        <f t="shared" ca="1" si="715"/>
        <v>#NAME?</v>
      </c>
      <c r="AU56" s="39" t="e">
        <f t="shared" ca="1" si="715"/>
        <v>#NAME?</v>
      </c>
      <c r="AV56" s="39" t="e">
        <f t="shared" ca="1" si="715"/>
        <v>#NAME?</v>
      </c>
      <c r="AW56" s="39" t="e">
        <f t="shared" ca="1" si="715"/>
        <v>#NAME?</v>
      </c>
      <c r="AX56" s="39" t="e">
        <f t="shared" ca="1" si="715"/>
        <v>#NAME?</v>
      </c>
      <c r="AY56" s="39" t="e">
        <f t="shared" ca="1" si="715"/>
        <v>#NAME?</v>
      </c>
      <c r="AZ56" s="39" t="e">
        <f t="shared" ca="1" si="715"/>
        <v>#NAME?</v>
      </c>
      <c r="BA56" s="39" t="e">
        <f t="shared" ca="1" si="715"/>
        <v>#NAME?</v>
      </c>
      <c r="BB56" s="39" t="e">
        <f t="shared" ca="1" si="715"/>
        <v>#NAME?</v>
      </c>
      <c r="BC56" s="39" t="e">
        <f t="shared" ca="1" si="715"/>
        <v>#NAME?</v>
      </c>
      <c r="BD56" s="39" t="e">
        <f t="shared" ca="1" si="715"/>
        <v>#NAME?</v>
      </c>
      <c r="BE56" s="39" t="e">
        <f t="shared" ca="1" si="715"/>
        <v>#NAME?</v>
      </c>
      <c r="BF56" s="39" t="e">
        <f t="shared" ca="1" si="715"/>
        <v>#NAME?</v>
      </c>
      <c r="BG56" s="39" t="e">
        <f t="shared" ca="1" si="715"/>
        <v>#NAME?</v>
      </c>
      <c r="BH56" s="39" t="e">
        <f t="shared" ca="1" si="715"/>
        <v>#NAME?</v>
      </c>
      <c r="BI56" s="39" t="e">
        <f t="shared" ca="1" si="715"/>
        <v>#NAME?</v>
      </c>
      <c r="BJ56" s="39" t="e">
        <f t="shared" ca="1" si="715"/>
        <v>#NAME?</v>
      </c>
      <c r="BK56" s="39" t="e">
        <f t="shared" ca="1" si="715"/>
        <v>#NAME?</v>
      </c>
      <c r="BL56" s="39" t="e">
        <f t="shared" ca="1" si="715"/>
        <v>#NAME?</v>
      </c>
      <c r="BM56" s="39" t="e">
        <f t="shared" ca="1" si="715"/>
        <v>#NAME?</v>
      </c>
      <c r="BN56" s="39" t="e">
        <f t="shared" ca="1" si="715"/>
        <v>#NAME?</v>
      </c>
      <c r="BO56" s="39" t="e">
        <f t="shared" ca="1" si="715"/>
        <v>#NAME?</v>
      </c>
      <c r="BP56" s="39" t="e">
        <f t="shared" ca="1" si="715"/>
        <v>#NAME?</v>
      </c>
      <c r="BQ56" s="39" t="e">
        <f t="shared" ca="1" si="715"/>
        <v>#NAME?</v>
      </c>
      <c r="BR56" s="39" t="e">
        <f t="shared" ref="BR56:CW56" ca="1" si="716">+SUM(BO34:BR34)/BR130</f>
        <v>#NAME?</v>
      </c>
      <c r="BS56" s="39" t="e">
        <f t="shared" ca="1" si="716"/>
        <v>#NAME?</v>
      </c>
      <c r="BT56" s="39" t="e">
        <f t="shared" ca="1" si="716"/>
        <v>#NAME?</v>
      </c>
      <c r="BU56" s="39" t="e">
        <f t="shared" ca="1" si="716"/>
        <v>#NAME?</v>
      </c>
      <c r="BV56" s="39" t="e">
        <f t="shared" ca="1" si="716"/>
        <v>#NAME?</v>
      </c>
      <c r="BW56" s="39" t="e">
        <f t="shared" ca="1" si="716"/>
        <v>#NAME?</v>
      </c>
      <c r="BX56" s="39" t="e">
        <f t="shared" ca="1" si="716"/>
        <v>#NAME?</v>
      </c>
      <c r="BY56" s="39" t="e">
        <f t="shared" ca="1" si="716"/>
        <v>#NAME?</v>
      </c>
      <c r="BZ56" s="39" t="e">
        <f t="shared" ca="1" si="716"/>
        <v>#NAME?</v>
      </c>
      <c r="CA56" s="39" t="e">
        <f t="shared" ca="1" si="716"/>
        <v>#NAME?</v>
      </c>
      <c r="CB56" s="39" t="e">
        <f t="shared" ca="1" si="716"/>
        <v>#NAME?</v>
      </c>
      <c r="CC56" s="39" t="e">
        <f t="shared" ca="1" si="716"/>
        <v>#NAME?</v>
      </c>
      <c r="CD56" s="39" t="e">
        <f t="shared" ca="1" si="716"/>
        <v>#NAME?</v>
      </c>
      <c r="CE56" s="39" t="e">
        <f t="shared" ca="1" si="716"/>
        <v>#NAME?</v>
      </c>
      <c r="CF56" s="39" t="e">
        <f t="shared" ca="1" si="716"/>
        <v>#NAME?</v>
      </c>
      <c r="CG56" s="39" t="e">
        <f t="shared" ca="1" si="716"/>
        <v>#NAME?</v>
      </c>
      <c r="CH56" s="39" t="e">
        <f t="shared" ca="1" si="716"/>
        <v>#NAME?</v>
      </c>
      <c r="CI56" s="39" t="e">
        <f t="shared" ca="1" si="716"/>
        <v>#NAME?</v>
      </c>
      <c r="CJ56" s="39" t="e">
        <f t="shared" ca="1" si="716"/>
        <v>#NAME?</v>
      </c>
      <c r="CK56" s="39" t="e">
        <f t="shared" ca="1" si="716"/>
        <v>#NAME?</v>
      </c>
      <c r="CL56" s="39" t="e">
        <f t="shared" ca="1" si="716"/>
        <v>#NAME?</v>
      </c>
      <c r="CM56" s="40" t="e">
        <f t="shared" ca="1" si="716"/>
        <v>#NAME?</v>
      </c>
      <c r="CN56" s="40" t="e">
        <f t="shared" ca="1" si="716"/>
        <v>#NAME?</v>
      </c>
      <c r="CO56" s="40" t="e">
        <f t="shared" ca="1" si="716"/>
        <v>#NAME?</v>
      </c>
      <c r="CP56" s="40" t="e">
        <f t="shared" ca="1" si="716"/>
        <v>#NAME?</v>
      </c>
      <c r="CQ56" s="40" t="e">
        <f t="shared" ca="1" si="716"/>
        <v>#NAME?</v>
      </c>
      <c r="CR56" s="40" t="e">
        <f t="shared" ca="1" si="716"/>
        <v>#NAME?</v>
      </c>
      <c r="CS56" s="40" t="e">
        <f t="shared" ca="1" si="716"/>
        <v>#NAME?</v>
      </c>
      <c r="CT56" s="40" t="e">
        <f t="shared" ca="1" si="716"/>
        <v>#NAME?</v>
      </c>
      <c r="CU56" s="40" t="e">
        <f t="shared" ca="1" si="716"/>
        <v>#NAME?</v>
      </c>
      <c r="CV56" s="40" t="e">
        <f t="shared" ca="1" si="716"/>
        <v>#NAME?</v>
      </c>
      <c r="CW56" s="40" t="e">
        <f t="shared" ca="1" si="716"/>
        <v>#NAME?</v>
      </c>
      <c r="CX56" s="40" t="e">
        <f t="shared" ref="CX56:DB56" ca="1" si="717">+SUM(CU34:CX34)/CX130</f>
        <v>#NAME?</v>
      </c>
      <c r="CY56" s="40" t="e">
        <f t="shared" ca="1" si="717"/>
        <v>#NAME?</v>
      </c>
      <c r="CZ56" s="40" t="e">
        <f t="shared" ca="1" si="717"/>
        <v>#NAME?</v>
      </c>
      <c r="DA56" s="40" t="e">
        <f t="shared" ca="1" si="717"/>
        <v>#NAME?</v>
      </c>
      <c r="DB56" s="40" t="e">
        <f t="shared" ca="1" si="717"/>
        <v>#NAME?</v>
      </c>
      <c r="DE56" s="122"/>
      <c r="DF56" s="38">
        <v>4.465407925360209E-2</v>
      </c>
    </row>
    <row r="57" spans="1:110" s="1" customFormat="1" x14ac:dyDescent="0.2">
      <c r="A57" s="150" t="s">
        <v>488</v>
      </c>
      <c r="AB57" s="20"/>
      <c r="AC57" s="20"/>
      <c r="AD57" s="20"/>
      <c r="AE57" s="20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8" customFormat="1" x14ac:dyDescent="0.2">
      <c r="A58" s="12" t="s">
        <v>26</v>
      </c>
      <c r="AB58" s="58"/>
      <c r="AC58" s="58"/>
      <c r="AD58" s="58"/>
      <c r="AE58" s="58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E58" s="132"/>
    </row>
    <row r="59" spans="1:110" s="9" customFormat="1" x14ac:dyDescent="0.2">
      <c r="A59" s="9" t="s">
        <v>453</v>
      </c>
      <c r="N59" s="9" t="e">
        <f ca="1">N10-SUM(AI10:AL10)</f>
        <v>#NAME?</v>
      </c>
      <c r="O59" s="9" t="e">
        <f ca="1">O10-SUM(AM10:AP10)</f>
        <v>#NAME?</v>
      </c>
      <c r="P59" s="9" t="e">
        <f ca="1">P10-SUM(AQ10:AT10)</f>
        <v>#NAME?</v>
      </c>
      <c r="Q59" s="9" t="e">
        <f ca="1">Q10-SUM(AU10:AX10)</f>
        <v>#NAME?</v>
      </c>
      <c r="R59" s="9" t="e">
        <f ca="1">R10-SUM(AY10:BB10)</f>
        <v>#NAME?</v>
      </c>
      <c r="S59" s="9" t="e">
        <f ca="1">S10-SUM(BC10:BF10)</f>
        <v>#NAME?</v>
      </c>
      <c r="T59" s="9" t="e">
        <f ca="1">T10-SUM(BG10:BJ10)</f>
        <v>#NAME?</v>
      </c>
      <c r="U59" s="9" t="e">
        <f ca="1">U10-SUM(BK10:BN10)</f>
        <v>#NAME?</v>
      </c>
      <c r="V59" s="9" t="e">
        <f ca="1">V10-SUM(BO10:BR10)</f>
        <v>#NAME?</v>
      </c>
      <c r="W59" s="9" t="e">
        <f ca="1">W10-SUM(BS10:BV10)</f>
        <v>#NAME?</v>
      </c>
      <c r="X59" s="9" t="e">
        <f ca="1">X10-SUM(BW10:BZ10)</f>
        <v>#NAME?</v>
      </c>
      <c r="Y59" s="9" t="e">
        <f ca="1">Y10-SUM(CA10:CD10)</f>
        <v>#NAME?</v>
      </c>
      <c r="Z59" s="9" t="e">
        <f ca="1">Z10-SUM(CE10:CH10)</f>
        <v>#NAME?</v>
      </c>
      <c r="AA59" s="9" t="e">
        <f ca="1">AA10-SUM(CF10:CI10)</f>
        <v>#NAME?</v>
      </c>
      <c r="AB59" s="15" t="e">
        <f ca="1">AB10-SUM(CM10:CP10)</f>
        <v>#NAME?</v>
      </c>
      <c r="AC59" s="15" t="e">
        <f ca="1">AC10-SUM(CQ10:CT10)</f>
        <v>#NAME?</v>
      </c>
      <c r="AD59" s="15" t="e">
        <f ca="1">AD10-SUM(CU10:CX10)</f>
        <v>#NAME?</v>
      </c>
      <c r="AE59" s="15" t="e">
        <f ca="1">AE10-SUM(CY10:DB10)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454</v>
      </c>
      <c r="N60" s="9" t="e">
        <f ca="1">N16-SUM(AI16:AL16)</f>
        <v>#NAME?</v>
      </c>
      <c r="O60" s="9" t="e">
        <f ca="1">O16-SUM(AM16:AP16)</f>
        <v>#NAME?</v>
      </c>
      <c r="P60" s="9" t="e">
        <f ca="1">P16-SUM(AQ16:AT16)</f>
        <v>#NAME?</v>
      </c>
      <c r="Q60" s="9" t="e">
        <f ca="1">Q16-SUM(AU16:AX16)</f>
        <v>#NAME?</v>
      </c>
      <c r="R60" s="9" t="e">
        <f ca="1">R16-SUM(AY16:BB16)</f>
        <v>#NAME?</v>
      </c>
      <c r="S60" s="9" t="e">
        <f ca="1">S16-SUM(BC16:BF16)</f>
        <v>#NAME?</v>
      </c>
      <c r="T60" s="9" t="e">
        <f ca="1">T16-SUM(BG16:BJ16)</f>
        <v>#NAME?</v>
      </c>
      <c r="U60" s="9" t="e">
        <f ca="1">U16-SUM(BK16:BN16)</f>
        <v>#NAME?</v>
      </c>
      <c r="V60" s="9" t="e">
        <f ca="1">V16-SUM(BO16:BR16)</f>
        <v>#NAME?</v>
      </c>
      <c r="W60" s="9" t="e">
        <f ca="1">W16-SUM(BS16:BV16)</f>
        <v>#NAME?</v>
      </c>
      <c r="X60" s="9" t="e">
        <f ca="1">X16-SUM(BW16:BZ16)</f>
        <v>#NAME?</v>
      </c>
      <c r="Y60" s="9" t="e">
        <f ca="1">Y16-SUM(CA16:CD16)</f>
        <v>#NAME?</v>
      </c>
      <c r="Z60" s="9" t="e">
        <f ca="1">Z16-SUM(CE16:CH16)</f>
        <v>#NAME?</v>
      </c>
      <c r="AA60" s="9" t="e">
        <f ca="1">AA16-SUM(CF16:CI16)</f>
        <v>#NAME?</v>
      </c>
      <c r="AB60" s="15" t="e">
        <f ca="1">AB16-SUM(CM16:CP16)</f>
        <v>#NAME?</v>
      </c>
      <c r="AC60" s="15" t="e">
        <f ca="1">AC16-SUM(CQ16:CT16)</f>
        <v>#NAME?</v>
      </c>
      <c r="AD60" s="15" t="e">
        <f ca="1">AD16-SUM(CU16:CX16)</f>
        <v>#NAME?</v>
      </c>
      <c r="AE60" s="15" t="e">
        <f ca="1">AE16-SUM(CY16:DB16)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455</v>
      </c>
      <c r="N61" s="9" t="e">
        <f ca="1">N28-SUM(AI28:AL28)</f>
        <v>#NAME?</v>
      </c>
      <c r="O61" s="9" t="e">
        <f ca="1">O28-SUM(AM28:AP28)</f>
        <v>#NAME?</v>
      </c>
      <c r="P61" s="9" t="e">
        <f ca="1">P28-SUM(AQ28:AT28)</f>
        <v>#NAME?</v>
      </c>
      <c r="Q61" s="9" t="e">
        <f ca="1">Q28-SUM(AU28:AX28)</f>
        <v>#NAME?</v>
      </c>
      <c r="R61" s="9" t="e">
        <f ca="1">R28-SUM(AY28:BB28)</f>
        <v>#NAME?</v>
      </c>
      <c r="S61" s="9" t="e">
        <f ca="1">S28-SUM(BC28:BF28)</f>
        <v>#NAME?</v>
      </c>
      <c r="T61" s="9" t="e">
        <f ca="1">T28-SUM(BG28:BJ28)</f>
        <v>#NAME?</v>
      </c>
      <c r="U61" s="9" t="e">
        <f ca="1">U28-SUM(BK28:BN28)</f>
        <v>#NAME?</v>
      </c>
      <c r="V61" s="9" t="e">
        <f ca="1">V28-SUM(BO28:BR28)</f>
        <v>#NAME?</v>
      </c>
      <c r="W61" s="9" t="e">
        <f ca="1">W28-SUM(BS28:BV28)</f>
        <v>#NAME?</v>
      </c>
      <c r="X61" s="9" t="e">
        <f ca="1">X28-SUM(BW28:BZ28)</f>
        <v>#NAME?</v>
      </c>
      <c r="Y61" s="9" t="e">
        <f ca="1">Y28-SUM(CA28:CD28)</f>
        <v>#NAME?</v>
      </c>
      <c r="Z61" s="9" t="e">
        <f ca="1">Z28-SUM(CE28:CH28)</f>
        <v>#NAME?</v>
      </c>
      <c r="AA61" s="9" t="e">
        <f ca="1">AA28-SUM(CF28:CI28)</f>
        <v>#NAME?</v>
      </c>
      <c r="AB61" s="15" t="e">
        <f ca="1">AB28-SUM(CM28:CP28)</f>
        <v>#NAME?</v>
      </c>
      <c r="AC61" s="15" t="e">
        <f ca="1">AC28-SUM(CQ28:CT28)</f>
        <v>#NAME?</v>
      </c>
      <c r="AD61" s="15" t="e">
        <f ca="1">AD28-SUM(CU28:CX28)</f>
        <v>#NAME?</v>
      </c>
      <c r="AE61" s="15" t="e">
        <f ca="1">AE28-SUM(CY28:DB28)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-1.4551915228366852E-11</v>
      </c>
    </row>
    <row r="62" spans="1:110" s="9" customFormat="1" x14ac:dyDescent="0.2">
      <c r="A62" s="9" t="s">
        <v>456</v>
      </c>
      <c r="N62" s="9" t="e">
        <f ca="1">N48-SUM(AI48:AL48)</f>
        <v>#NAME?</v>
      </c>
      <c r="O62" s="9" t="e">
        <f ca="1">O48-SUM(AM48:AP48)</f>
        <v>#NAME?</v>
      </c>
      <c r="P62" s="9" t="e">
        <f ca="1">P48-SUM(AQ48:AT48)</f>
        <v>#NAME?</v>
      </c>
      <c r="Q62" s="9" t="e">
        <f ca="1">Q48-SUM(AU48:AX48)</f>
        <v>#NAME?</v>
      </c>
      <c r="R62" s="9" t="e">
        <f ca="1">R48-SUM(AY48:BB48)</f>
        <v>#NAME?</v>
      </c>
      <c r="S62" s="9" t="e">
        <f ca="1">S48-SUM(BC48:BF48)</f>
        <v>#NAME?</v>
      </c>
      <c r="T62" s="9" t="e">
        <f ca="1">T48-SUM(BG48:BJ48)</f>
        <v>#NAME?</v>
      </c>
      <c r="U62" s="9" t="e">
        <f ca="1">U48-SUM(BK48:BN48)</f>
        <v>#NAME?</v>
      </c>
      <c r="V62" s="9" t="e">
        <f ca="1">V48-SUM(BO48:BR48)</f>
        <v>#NAME?</v>
      </c>
      <c r="W62" s="9" t="e">
        <f ca="1">W41-SUM(BS41:BV41)</f>
        <v>#NAME?</v>
      </c>
      <c r="X62" s="9" t="e">
        <f ca="1">X41-SUM(BW41:BZ41)</f>
        <v>#NAME?</v>
      </c>
      <c r="Y62" s="9" t="e">
        <f ca="1">Y41-SUM(CA41:CD41)</f>
        <v>#NAME?</v>
      </c>
      <c r="Z62" s="9" t="e">
        <f ca="1">Z41-SUM(CE41:CH41)</f>
        <v>#NAME?</v>
      </c>
      <c r="AA62" s="9" t="e">
        <f ca="1">AA41-SUM(CF41:CI41)</f>
        <v>#NAME?</v>
      </c>
      <c r="AB62" s="15" t="e">
        <f ca="1">AB41-SUM(CM41:CP41)</f>
        <v>#NAME?</v>
      </c>
      <c r="AC62" s="15" t="e">
        <f ca="1">AC41-SUM(CQ41:CT41)</f>
        <v>#NAME?</v>
      </c>
      <c r="AD62" s="15" t="e">
        <f ca="1">AD41-SUM(CU41:CX41)</f>
        <v>#NAME?</v>
      </c>
      <c r="AE62" s="15" t="e">
        <f ca="1">AE41-SUM(CY41:DB41)</f>
        <v>#NAME?</v>
      </c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E62" s="133"/>
      <c r="DF62" s="9">
        <v>-1.5575096767861396E-11</v>
      </c>
    </row>
    <row r="63" spans="1:110" s="8" customFormat="1" x14ac:dyDescent="0.2">
      <c r="A63" s="149" t="s">
        <v>489</v>
      </c>
      <c r="AB63" s="58"/>
      <c r="AC63" s="58"/>
      <c r="AD63" s="58"/>
      <c r="AE63" s="58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E63" s="132"/>
    </row>
    <row r="64" spans="1:110" s="3" customFormat="1" x14ac:dyDescent="0.2">
      <c r="A64" s="3" t="s">
        <v>27</v>
      </c>
      <c r="B64" s="3" t="e">
        <f ca="1">'Annual Raw'!C104</f>
        <v>#NAME?</v>
      </c>
      <c r="C64" s="3" t="e">
        <f ca="1">'Annual Raw'!D104</f>
        <v>#NAME?</v>
      </c>
      <c r="D64" s="3" t="e">
        <f ca="1">'Annual Raw'!E104</f>
        <v>#NAME?</v>
      </c>
      <c r="E64" s="3">
        <f t="shared" ref="E64:Y64" si="718">+F64</f>
        <v>130.16999999999999</v>
      </c>
      <c r="F64" s="3">
        <f t="shared" si="718"/>
        <v>130.16999999999999</v>
      </c>
      <c r="G64" s="3">
        <f t="shared" si="718"/>
        <v>130.16999999999999</v>
      </c>
      <c r="H64" s="3">
        <f t="shared" si="718"/>
        <v>130.16999999999999</v>
      </c>
      <c r="I64" s="3">
        <f t="shared" si="718"/>
        <v>130.16999999999999</v>
      </c>
      <c r="J64" s="3">
        <f t="shared" si="718"/>
        <v>130.16999999999999</v>
      </c>
      <c r="K64" s="3">
        <f t="shared" si="718"/>
        <v>130.16999999999999</v>
      </c>
      <c r="L64" s="3">
        <f t="shared" si="718"/>
        <v>130.16999999999999</v>
      </c>
      <c r="M64" s="3">
        <f t="shared" si="718"/>
        <v>130.16999999999999</v>
      </c>
      <c r="N64" s="3">
        <f t="shared" si="718"/>
        <v>130.16999999999999</v>
      </c>
      <c r="O64" s="3">
        <f t="shared" si="718"/>
        <v>130.16999999999999</v>
      </c>
      <c r="P64" s="3">
        <f t="shared" si="718"/>
        <v>130.16999999999999</v>
      </c>
      <c r="Q64" s="3">
        <f t="shared" si="718"/>
        <v>130.16999999999999</v>
      </c>
      <c r="R64" s="3">
        <f t="shared" si="718"/>
        <v>130.16999999999999</v>
      </c>
      <c r="S64" s="3">
        <f t="shared" si="718"/>
        <v>130.16999999999999</v>
      </c>
      <c r="T64" s="3">
        <f t="shared" si="718"/>
        <v>130.16999999999999</v>
      </c>
      <c r="U64" s="3">
        <f t="shared" si="718"/>
        <v>130.16999999999999</v>
      </c>
      <c r="V64" s="3">
        <f t="shared" si="718"/>
        <v>130.16999999999999</v>
      </c>
      <c r="W64" s="3">
        <f t="shared" si="718"/>
        <v>130.16999999999999</v>
      </c>
      <c r="X64" s="3">
        <f t="shared" si="718"/>
        <v>130.16999999999999</v>
      </c>
      <c r="Y64" s="3">
        <f t="shared" si="718"/>
        <v>130.16999999999999</v>
      </c>
      <c r="Z64" s="3">
        <f>+AA64</f>
        <v>130.16999999999999</v>
      </c>
      <c r="AA64" s="3">
        <f>+AB64</f>
        <v>130.16999999999999</v>
      </c>
      <c r="AB64" s="37">
        <f>CP64</f>
        <v>130.16999999999999</v>
      </c>
      <c r="AC64" s="37">
        <f>CT64</f>
        <v>130.16999999999999</v>
      </c>
      <c r="AD64" s="37">
        <f>CX64</f>
        <v>130.16999999999999</v>
      </c>
      <c r="AE64" s="37">
        <f>DB64</f>
        <v>130.16999999999999</v>
      </c>
      <c r="AI64" s="3" t="e">
        <f t="shared" ref="AI64:CH64" ca="1" si="719">+AJ64</f>
        <v>#NAME?</v>
      </c>
      <c r="AJ64" s="3" t="e">
        <f t="shared" ca="1" si="719"/>
        <v>#NAME?</v>
      </c>
      <c r="AK64" s="3" t="e">
        <f t="shared" ca="1" si="719"/>
        <v>#NAME?</v>
      </c>
      <c r="AL64" s="3" t="e">
        <f t="shared" ca="1" si="719"/>
        <v>#NAME?</v>
      </c>
      <c r="AM64" s="3" t="e">
        <f t="shared" ca="1" si="719"/>
        <v>#NAME?</v>
      </c>
      <c r="AN64" s="3" t="e">
        <f t="shared" ca="1" si="719"/>
        <v>#NAME?</v>
      </c>
      <c r="AO64" s="3" t="e">
        <f t="shared" ca="1" si="719"/>
        <v>#NAME?</v>
      </c>
      <c r="AP64" s="3" t="e">
        <f t="shared" ca="1" si="719"/>
        <v>#NAME?</v>
      </c>
      <c r="AQ64" s="3" t="e">
        <f t="shared" ca="1" si="719"/>
        <v>#NAME?</v>
      </c>
      <c r="AR64" s="3" t="e">
        <f t="shared" ca="1" si="719"/>
        <v>#NAME?</v>
      </c>
      <c r="AS64" s="3" t="e">
        <f t="shared" ca="1" si="719"/>
        <v>#NAME?</v>
      </c>
      <c r="AT64" s="3" t="e">
        <f t="shared" ca="1" si="719"/>
        <v>#NAME?</v>
      </c>
      <c r="AU64" s="3" t="e">
        <f t="shared" ca="1" si="719"/>
        <v>#NAME?</v>
      </c>
      <c r="AV64" s="3" t="e">
        <f t="shared" ca="1" si="719"/>
        <v>#NAME?</v>
      </c>
      <c r="AW64" s="3" t="e">
        <f t="shared" ca="1" si="719"/>
        <v>#NAME?</v>
      </c>
      <c r="AX64" s="3" t="e">
        <f t="shared" ca="1" si="719"/>
        <v>#NAME?</v>
      </c>
      <c r="AY64" s="3" t="e">
        <f t="shared" ca="1" si="719"/>
        <v>#NAME?</v>
      </c>
      <c r="AZ64" s="3" t="e">
        <f t="shared" ca="1" si="719"/>
        <v>#NAME?</v>
      </c>
      <c r="BA64" s="3" t="e">
        <f t="shared" ca="1" si="719"/>
        <v>#NAME?</v>
      </c>
      <c r="BB64" s="3" t="e">
        <f t="shared" ca="1" si="719"/>
        <v>#NAME?</v>
      </c>
      <c r="BC64" s="3" t="e">
        <f t="shared" ca="1" si="719"/>
        <v>#NAME?</v>
      </c>
      <c r="BD64" s="3" t="e">
        <f t="shared" ca="1" si="719"/>
        <v>#NAME?</v>
      </c>
      <c r="BE64" s="3" t="e">
        <f t="shared" ca="1" si="719"/>
        <v>#NAME?</v>
      </c>
      <c r="BF64" s="3" t="e">
        <f t="shared" ca="1" si="719"/>
        <v>#NAME?</v>
      </c>
      <c r="BG64" s="3" t="e">
        <f t="shared" ca="1" si="719"/>
        <v>#NAME?</v>
      </c>
      <c r="BH64" s="3" t="e">
        <f t="shared" ca="1" si="719"/>
        <v>#NAME?</v>
      </c>
      <c r="BI64" s="3" t="e">
        <f t="shared" ca="1" si="719"/>
        <v>#NAME?</v>
      </c>
      <c r="BJ64" s="3" t="e">
        <f t="shared" ca="1" si="719"/>
        <v>#NAME?</v>
      </c>
      <c r="BK64" s="3" t="e">
        <f t="shared" ca="1" si="719"/>
        <v>#NAME?</v>
      </c>
      <c r="BL64" s="3" t="e">
        <f t="shared" ca="1" si="719"/>
        <v>#NAME?</v>
      </c>
      <c r="BM64" s="3" t="e">
        <f t="shared" ca="1" si="719"/>
        <v>#NAME?</v>
      </c>
      <c r="BN64" s="3" t="e">
        <f t="shared" ca="1" si="719"/>
        <v>#NAME?</v>
      </c>
      <c r="BO64" s="3" t="e">
        <f t="shared" ca="1" si="719"/>
        <v>#NAME?</v>
      </c>
      <c r="BP64" s="3" t="e">
        <f t="shared" ca="1" si="719"/>
        <v>#NAME?</v>
      </c>
      <c r="BQ64" s="3" t="e">
        <f t="shared" ca="1" si="719"/>
        <v>#NAME?</v>
      </c>
      <c r="BR64" s="3" t="e">
        <f t="shared" ca="1" si="719"/>
        <v>#NAME?</v>
      </c>
      <c r="BS64" s="3" t="e">
        <f t="shared" ca="1" si="719"/>
        <v>#NAME?</v>
      </c>
      <c r="BT64" s="3" t="e">
        <f t="shared" ca="1" si="719"/>
        <v>#NAME?</v>
      </c>
      <c r="BU64" s="3" t="e">
        <f t="shared" ca="1" si="719"/>
        <v>#NAME?</v>
      </c>
      <c r="BV64" s="3" t="e">
        <f t="shared" ca="1" si="719"/>
        <v>#NAME?</v>
      </c>
      <c r="BW64" s="3" t="e">
        <f t="shared" ca="1" si="719"/>
        <v>#NAME?</v>
      </c>
      <c r="BX64" s="3" t="e">
        <f t="shared" ca="1" si="719"/>
        <v>#NAME?</v>
      </c>
      <c r="BY64" s="3" t="e">
        <f t="shared" ca="1" si="719"/>
        <v>#NAME?</v>
      </c>
      <c r="BZ64" s="3" t="e">
        <f t="shared" ca="1" si="719"/>
        <v>#NAME?</v>
      </c>
      <c r="CA64" s="3" t="e">
        <f t="shared" ca="1" si="719"/>
        <v>#NAME?</v>
      </c>
      <c r="CB64" s="3" t="e">
        <f t="shared" ca="1" si="719"/>
        <v>#NAME?</v>
      </c>
      <c r="CC64" s="3" t="e">
        <f t="shared" ca="1" si="719"/>
        <v>#NAME?</v>
      </c>
      <c r="CD64" s="3" t="e">
        <f t="shared" ca="1" si="719"/>
        <v>#NAME?</v>
      </c>
      <c r="CE64" s="3" t="e">
        <f t="shared" ca="1" si="719"/>
        <v>#NAME?</v>
      </c>
      <c r="CF64" s="3" t="e">
        <f t="shared" ca="1" si="719"/>
        <v>#NAME?</v>
      </c>
      <c r="CG64" s="3" t="e">
        <f t="shared" ca="1" si="719"/>
        <v>#NAME?</v>
      </c>
      <c r="CH64" s="3" t="e">
        <f t="shared" ca="1" si="719"/>
        <v>#NAME?</v>
      </c>
      <c r="CI64" s="3" t="e">
        <f ca="1">+CJ64</f>
        <v>#NAME?</v>
      </c>
      <c r="CJ64" s="3" t="e">
        <f ca="1">'QTR Raw'!BD45</f>
        <v>#NAME?</v>
      </c>
      <c r="CK64" s="3" t="e">
        <f ca="1">'QTR Raw'!BE45</f>
        <v>#NAME?</v>
      </c>
      <c r="CL64" s="3" t="e">
        <f ca="1">'QTR Raw'!BF45</f>
        <v>#NAME?</v>
      </c>
      <c r="CM64" s="37">
        <v>130.16999999999999</v>
      </c>
      <c r="CN64" s="37">
        <f t="shared" ref="CN64:CN65" si="720">+CM64</f>
        <v>130.16999999999999</v>
      </c>
      <c r="CO64" s="37">
        <f t="shared" ref="CO64:CO65" si="721">+CN64</f>
        <v>130.16999999999999</v>
      </c>
      <c r="CP64" s="37">
        <f t="shared" ref="CP64:CP65" si="722">+CO64</f>
        <v>130.16999999999999</v>
      </c>
      <c r="CQ64" s="37">
        <f t="shared" ref="CQ64:CQ65" si="723">+CP64</f>
        <v>130.16999999999999</v>
      </c>
      <c r="CR64" s="37">
        <f t="shared" ref="CR64:CR65" si="724">+CQ64</f>
        <v>130.16999999999999</v>
      </c>
      <c r="CS64" s="37">
        <f t="shared" ref="CS64:CS65" si="725">+CR64</f>
        <v>130.16999999999999</v>
      </c>
      <c r="CT64" s="37">
        <f t="shared" ref="CT64:CT65" si="726">+CS64</f>
        <v>130.16999999999999</v>
      </c>
      <c r="CU64" s="37">
        <f t="shared" ref="CU64:CU65" si="727">+CT64</f>
        <v>130.16999999999999</v>
      </c>
      <c r="CV64" s="37">
        <f t="shared" ref="CV64:CV65" si="728">+CU64</f>
        <v>130.16999999999999</v>
      </c>
      <c r="CW64" s="37">
        <f t="shared" ref="CW64:CW65" si="729">+CV64</f>
        <v>130.16999999999999</v>
      </c>
      <c r="CX64" s="37">
        <f t="shared" ref="CX64:CX65" si="730">+CW64</f>
        <v>130.16999999999999</v>
      </c>
      <c r="CY64" s="37">
        <f t="shared" ref="CY64:CY65" si="731">+CX64</f>
        <v>130.16999999999999</v>
      </c>
      <c r="CZ64" s="37">
        <f t="shared" ref="CZ64:CZ65" si="732">+CY64</f>
        <v>130.16999999999999</v>
      </c>
      <c r="DA64" s="37">
        <f t="shared" ref="DA64:DA65" si="733">+CZ64</f>
        <v>130.16999999999999</v>
      </c>
      <c r="DB64" s="37">
        <f t="shared" ref="DB64:DB65" si="734">+DA64</f>
        <v>130.16999999999999</v>
      </c>
      <c r="DE64" s="134"/>
      <c r="DF64" s="3">
        <v>129.24</v>
      </c>
    </row>
    <row r="65" spans="1:110" s="3" customFormat="1" x14ac:dyDescent="0.2">
      <c r="A65" s="3" t="s">
        <v>28</v>
      </c>
      <c r="B65" s="3" t="e">
        <f ca="1">'Annual Raw'!C105</f>
        <v>#NAME?</v>
      </c>
      <c r="C65" s="3" t="e">
        <f ca="1">'Annual Raw'!D105</f>
        <v>#NAME?</v>
      </c>
      <c r="D65" s="3" t="e">
        <f ca="1">'Annual Raw'!E105</f>
        <v>#NAME?</v>
      </c>
      <c r="E65" s="3" t="e">
        <f t="shared" ref="E65:Y65" ca="1" si="735">+F65</f>
        <v>#NAME?</v>
      </c>
      <c r="F65" s="3" t="e">
        <f t="shared" ca="1" si="735"/>
        <v>#NAME?</v>
      </c>
      <c r="G65" s="3" t="e">
        <f t="shared" ca="1" si="735"/>
        <v>#NAME?</v>
      </c>
      <c r="H65" s="3" t="e">
        <f t="shared" ca="1" si="735"/>
        <v>#NAME?</v>
      </c>
      <c r="I65" s="3" t="e">
        <f t="shared" ca="1" si="735"/>
        <v>#NAME?</v>
      </c>
      <c r="J65" s="3" t="e">
        <f t="shared" ca="1" si="735"/>
        <v>#NAME?</v>
      </c>
      <c r="K65" s="3" t="e">
        <f t="shared" ca="1" si="735"/>
        <v>#NAME?</v>
      </c>
      <c r="L65" s="3" t="e">
        <f t="shared" ca="1" si="735"/>
        <v>#NAME?</v>
      </c>
      <c r="M65" s="3" t="e">
        <f t="shared" ca="1" si="735"/>
        <v>#NAME?</v>
      </c>
      <c r="N65" s="3" t="e">
        <f t="shared" ca="1" si="735"/>
        <v>#NAME?</v>
      </c>
      <c r="O65" s="3" t="e">
        <f t="shared" ca="1" si="735"/>
        <v>#NAME?</v>
      </c>
      <c r="P65" s="3" t="e">
        <f t="shared" ca="1" si="735"/>
        <v>#NAME?</v>
      </c>
      <c r="Q65" s="3" t="e">
        <f t="shared" ca="1" si="735"/>
        <v>#NAME?</v>
      </c>
      <c r="R65" s="3" t="e">
        <f t="shared" ca="1" si="735"/>
        <v>#NAME?</v>
      </c>
      <c r="S65" s="3" t="e">
        <f t="shared" ca="1" si="735"/>
        <v>#NAME?</v>
      </c>
      <c r="T65" s="3" t="e">
        <f t="shared" ca="1" si="735"/>
        <v>#NAME?</v>
      </c>
      <c r="U65" s="3" t="e">
        <f t="shared" ca="1" si="735"/>
        <v>#NAME?</v>
      </c>
      <c r="V65" s="3" t="e">
        <f t="shared" ca="1" si="735"/>
        <v>#NAME?</v>
      </c>
      <c r="W65" s="3" t="e">
        <f t="shared" ca="1" si="735"/>
        <v>#NAME?</v>
      </c>
      <c r="X65" s="3" t="e">
        <f t="shared" ca="1" si="735"/>
        <v>#NAME?</v>
      </c>
      <c r="Y65" s="3" t="e">
        <f t="shared" ca="1" si="735"/>
        <v>#NAME?</v>
      </c>
      <c r="Z65" s="3" t="e">
        <f ca="1">+AA65</f>
        <v>#NAME?</v>
      </c>
      <c r="AA65" s="3" t="e">
        <f ca="1">+AB65</f>
        <v>#NAME?</v>
      </c>
      <c r="AB65" s="37" t="e">
        <f ca="1">CP65</f>
        <v>#NAME?</v>
      </c>
      <c r="AC65" s="37" t="e">
        <f ca="1">CT65</f>
        <v>#NAME?</v>
      </c>
      <c r="AD65" s="37" t="e">
        <f ca="1">CX65</f>
        <v>#NAME?</v>
      </c>
      <c r="AE65" s="37" t="e">
        <f ca="1">DB65</f>
        <v>#NAME?</v>
      </c>
      <c r="AI65" s="3" t="e">
        <f t="shared" ref="AI65:CH65" ca="1" si="736">AJ65</f>
        <v>#NAME?</v>
      </c>
      <c r="AJ65" s="3" t="e">
        <f t="shared" ca="1" si="736"/>
        <v>#NAME?</v>
      </c>
      <c r="AK65" s="3" t="e">
        <f t="shared" ca="1" si="736"/>
        <v>#NAME?</v>
      </c>
      <c r="AL65" s="3" t="e">
        <f t="shared" ca="1" si="736"/>
        <v>#NAME?</v>
      </c>
      <c r="AM65" s="3" t="e">
        <f t="shared" ca="1" si="736"/>
        <v>#NAME?</v>
      </c>
      <c r="AN65" s="3" t="e">
        <f t="shared" ca="1" si="736"/>
        <v>#NAME?</v>
      </c>
      <c r="AO65" s="3" t="e">
        <f t="shared" ca="1" si="736"/>
        <v>#NAME?</v>
      </c>
      <c r="AP65" s="3" t="e">
        <f t="shared" ca="1" si="736"/>
        <v>#NAME?</v>
      </c>
      <c r="AQ65" s="3" t="e">
        <f t="shared" ca="1" si="736"/>
        <v>#NAME?</v>
      </c>
      <c r="AR65" s="3" t="e">
        <f t="shared" ca="1" si="736"/>
        <v>#NAME?</v>
      </c>
      <c r="AS65" s="3" t="e">
        <f t="shared" ca="1" si="736"/>
        <v>#NAME?</v>
      </c>
      <c r="AT65" s="3" t="e">
        <f t="shared" ca="1" si="736"/>
        <v>#NAME?</v>
      </c>
      <c r="AU65" s="3" t="e">
        <f t="shared" ca="1" si="736"/>
        <v>#NAME?</v>
      </c>
      <c r="AV65" s="3" t="e">
        <f t="shared" ca="1" si="736"/>
        <v>#NAME?</v>
      </c>
      <c r="AW65" s="3" t="e">
        <f t="shared" ca="1" si="736"/>
        <v>#NAME?</v>
      </c>
      <c r="AX65" s="3" t="e">
        <f t="shared" ca="1" si="736"/>
        <v>#NAME?</v>
      </c>
      <c r="AY65" s="3" t="e">
        <f t="shared" ca="1" si="736"/>
        <v>#NAME?</v>
      </c>
      <c r="AZ65" s="3" t="e">
        <f t="shared" ca="1" si="736"/>
        <v>#NAME?</v>
      </c>
      <c r="BA65" s="3" t="e">
        <f t="shared" ca="1" si="736"/>
        <v>#NAME?</v>
      </c>
      <c r="BB65" s="3" t="e">
        <f t="shared" ca="1" si="736"/>
        <v>#NAME?</v>
      </c>
      <c r="BC65" s="3" t="e">
        <f t="shared" ca="1" si="736"/>
        <v>#NAME?</v>
      </c>
      <c r="BD65" s="3" t="e">
        <f t="shared" ca="1" si="736"/>
        <v>#NAME?</v>
      </c>
      <c r="BE65" s="3" t="e">
        <f t="shared" ca="1" si="736"/>
        <v>#NAME?</v>
      </c>
      <c r="BF65" s="3" t="e">
        <f t="shared" ca="1" si="736"/>
        <v>#NAME?</v>
      </c>
      <c r="BG65" s="3" t="e">
        <f t="shared" ca="1" si="736"/>
        <v>#NAME?</v>
      </c>
      <c r="BH65" s="3" t="e">
        <f t="shared" ca="1" si="736"/>
        <v>#NAME?</v>
      </c>
      <c r="BI65" s="3" t="e">
        <f t="shared" ca="1" si="736"/>
        <v>#NAME?</v>
      </c>
      <c r="BJ65" s="3" t="e">
        <f t="shared" ca="1" si="736"/>
        <v>#NAME?</v>
      </c>
      <c r="BK65" s="3" t="e">
        <f t="shared" ca="1" si="736"/>
        <v>#NAME?</v>
      </c>
      <c r="BL65" s="3" t="e">
        <f t="shared" ca="1" si="736"/>
        <v>#NAME?</v>
      </c>
      <c r="BM65" s="3" t="e">
        <f t="shared" ca="1" si="736"/>
        <v>#NAME?</v>
      </c>
      <c r="BN65" s="3" t="e">
        <f t="shared" ca="1" si="736"/>
        <v>#NAME?</v>
      </c>
      <c r="BO65" s="3" t="e">
        <f t="shared" ca="1" si="736"/>
        <v>#NAME?</v>
      </c>
      <c r="BP65" s="3" t="e">
        <f t="shared" ca="1" si="736"/>
        <v>#NAME?</v>
      </c>
      <c r="BQ65" s="3" t="e">
        <f t="shared" ca="1" si="736"/>
        <v>#NAME?</v>
      </c>
      <c r="BR65" s="3" t="e">
        <f t="shared" ca="1" si="736"/>
        <v>#NAME?</v>
      </c>
      <c r="BS65" s="3" t="e">
        <f t="shared" ca="1" si="736"/>
        <v>#NAME?</v>
      </c>
      <c r="BT65" s="3" t="e">
        <f t="shared" ca="1" si="736"/>
        <v>#NAME?</v>
      </c>
      <c r="BU65" s="3" t="e">
        <f t="shared" ca="1" si="736"/>
        <v>#NAME?</v>
      </c>
      <c r="BV65" s="3" t="e">
        <f t="shared" ca="1" si="736"/>
        <v>#NAME?</v>
      </c>
      <c r="BW65" s="3" t="e">
        <f t="shared" ca="1" si="736"/>
        <v>#NAME?</v>
      </c>
      <c r="BX65" s="3" t="e">
        <f t="shared" ca="1" si="736"/>
        <v>#NAME?</v>
      </c>
      <c r="BY65" s="3" t="e">
        <f t="shared" ca="1" si="736"/>
        <v>#NAME?</v>
      </c>
      <c r="BZ65" s="3" t="e">
        <f t="shared" ca="1" si="736"/>
        <v>#NAME?</v>
      </c>
      <c r="CA65" s="3" t="e">
        <f t="shared" ca="1" si="736"/>
        <v>#NAME?</v>
      </c>
      <c r="CB65" s="3" t="e">
        <f t="shared" ca="1" si="736"/>
        <v>#NAME?</v>
      </c>
      <c r="CC65" s="3" t="e">
        <f t="shared" ca="1" si="736"/>
        <v>#NAME?</v>
      </c>
      <c r="CD65" s="3" t="e">
        <f t="shared" ca="1" si="736"/>
        <v>#NAME?</v>
      </c>
      <c r="CE65" s="3" t="e">
        <f t="shared" ca="1" si="736"/>
        <v>#NAME?</v>
      </c>
      <c r="CF65" s="3" t="e">
        <f t="shared" ca="1" si="736"/>
        <v>#NAME?</v>
      </c>
      <c r="CG65" s="3" t="e">
        <f t="shared" ca="1" si="736"/>
        <v>#NAME?</v>
      </c>
      <c r="CH65" s="3" t="e">
        <f t="shared" ca="1" si="736"/>
        <v>#NAME?</v>
      </c>
      <c r="CI65" s="3" t="e">
        <f ca="1">CJ65</f>
        <v>#NAME?</v>
      </c>
      <c r="CJ65" s="3" t="e">
        <f ca="1">'QTR Raw'!BD46</f>
        <v>#NAME?</v>
      </c>
      <c r="CK65" s="3" t="e">
        <f ca="1">'QTR Raw'!BE46</f>
        <v>#NAME?</v>
      </c>
      <c r="CL65" s="3" t="e">
        <f ca="1">'QTR Raw'!BF46</f>
        <v>#NAME?</v>
      </c>
      <c r="CM65" s="37" t="e">
        <f t="shared" ref="CM65" ca="1" si="737">+CL65</f>
        <v>#NAME?</v>
      </c>
      <c r="CN65" s="37" t="e">
        <f t="shared" ca="1" si="720"/>
        <v>#NAME?</v>
      </c>
      <c r="CO65" s="37" t="e">
        <f t="shared" ca="1" si="721"/>
        <v>#NAME?</v>
      </c>
      <c r="CP65" s="37" t="e">
        <f t="shared" ca="1" si="722"/>
        <v>#NAME?</v>
      </c>
      <c r="CQ65" s="37" t="e">
        <f t="shared" ca="1" si="723"/>
        <v>#NAME?</v>
      </c>
      <c r="CR65" s="37" t="e">
        <f t="shared" ca="1" si="724"/>
        <v>#NAME?</v>
      </c>
      <c r="CS65" s="37" t="e">
        <f t="shared" ca="1" si="725"/>
        <v>#NAME?</v>
      </c>
      <c r="CT65" s="37" t="e">
        <f t="shared" ca="1" si="726"/>
        <v>#NAME?</v>
      </c>
      <c r="CU65" s="37" t="e">
        <f t="shared" ca="1" si="727"/>
        <v>#NAME?</v>
      </c>
      <c r="CV65" s="37" t="e">
        <f t="shared" ca="1" si="728"/>
        <v>#NAME?</v>
      </c>
      <c r="CW65" s="37" t="e">
        <f t="shared" ca="1" si="729"/>
        <v>#NAME?</v>
      </c>
      <c r="CX65" s="37" t="e">
        <f t="shared" ca="1" si="730"/>
        <v>#NAME?</v>
      </c>
      <c r="CY65" s="37" t="e">
        <f t="shared" ca="1" si="731"/>
        <v>#NAME?</v>
      </c>
      <c r="CZ65" s="37" t="e">
        <f t="shared" ca="1" si="732"/>
        <v>#NAME?</v>
      </c>
      <c r="DA65" s="37" t="e">
        <f t="shared" ca="1" si="733"/>
        <v>#NAME?</v>
      </c>
      <c r="DB65" s="37" t="e">
        <f t="shared" ca="1" si="734"/>
        <v>#NAME?</v>
      </c>
      <c r="DE65" s="134"/>
      <c r="DF65" s="3">
        <v>1</v>
      </c>
    </row>
    <row r="66" spans="1:110" s="3" customFormat="1" x14ac:dyDescent="0.2">
      <c r="A66" s="3" t="s">
        <v>29</v>
      </c>
      <c r="B66" s="3" t="e">
        <f ca="1">B64/B65</f>
        <v>#NAME?</v>
      </c>
      <c r="C66" s="3" t="e">
        <f t="shared" ref="C66:W66" ca="1" si="738">C64/C65</f>
        <v>#NAME?</v>
      </c>
      <c r="D66" s="3" t="e">
        <f t="shared" ca="1" si="738"/>
        <v>#NAME?</v>
      </c>
      <c r="E66" s="3" t="e">
        <f t="shared" ca="1" si="738"/>
        <v>#NAME?</v>
      </c>
      <c r="F66" s="3" t="e">
        <f t="shared" ca="1" si="738"/>
        <v>#NAME?</v>
      </c>
      <c r="G66" s="3" t="e">
        <f t="shared" ca="1" si="738"/>
        <v>#NAME?</v>
      </c>
      <c r="H66" s="3" t="e">
        <f t="shared" ca="1" si="738"/>
        <v>#NAME?</v>
      </c>
      <c r="I66" s="3" t="e">
        <f t="shared" ca="1" si="738"/>
        <v>#NAME?</v>
      </c>
      <c r="J66" s="3" t="e">
        <f t="shared" ca="1" si="738"/>
        <v>#NAME?</v>
      </c>
      <c r="K66" s="3" t="e">
        <f t="shared" ca="1" si="738"/>
        <v>#NAME?</v>
      </c>
      <c r="L66" s="3" t="e">
        <f t="shared" ca="1" si="738"/>
        <v>#NAME?</v>
      </c>
      <c r="M66" s="3" t="e">
        <f t="shared" ca="1" si="738"/>
        <v>#NAME?</v>
      </c>
      <c r="N66" s="3" t="e">
        <f t="shared" ca="1" si="738"/>
        <v>#NAME?</v>
      </c>
      <c r="O66" s="3" t="e">
        <f t="shared" ca="1" si="738"/>
        <v>#NAME?</v>
      </c>
      <c r="P66" s="3" t="e">
        <f t="shared" ca="1" si="738"/>
        <v>#NAME?</v>
      </c>
      <c r="Q66" s="3" t="e">
        <f t="shared" ca="1" si="738"/>
        <v>#NAME?</v>
      </c>
      <c r="R66" s="3" t="e">
        <f t="shared" ca="1" si="738"/>
        <v>#NAME?</v>
      </c>
      <c r="S66" s="3" t="e">
        <f t="shared" ca="1" si="738"/>
        <v>#NAME?</v>
      </c>
      <c r="T66" s="3" t="e">
        <f t="shared" ca="1" si="738"/>
        <v>#NAME?</v>
      </c>
      <c r="U66" s="3" t="e">
        <f t="shared" ca="1" si="738"/>
        <v>#NAME?</v>
      </c>
      <c r="V66" s="3" t="e">
        <f ca="1">V64/V65</f>
        <v>#NAME?</v>
      </c>
      <c r="W66" s="3" t="e">
        <f t="shared" ca="1" si="738"/>
        <v>#NAME?</v>
      </c>
      <c r="X66" s="3" t="e">
        <f t="shared" ref="X66:Y66" ca="1" si="739">X64/X65</f>
        <v>#NAME?</v>
      </c>
      <c r="Y66" s="3" t="e">
        <f t="shared" ca="1" si="739"/>
        <v>#NAME?</v>
      </c>
      <c r="Z66" s="3" t="e">
        <f t="shared" ref="Z66:AA66" ca="1" si="740">Z64/Z65</f>
        <v>#NAME?</v>
      </c>
      <c r="AA66" s="3" t="e">
        <f t="shared" ca="1" si="740"/>
        <v>#NAME?</v>
      </c>
      <c r="AB66" s="37" t="e">
        <f t="shared" ref="AA66:AD66" ca="1" si="741">AB64/AB65</f>
        <v>#NAME?</v>
      </c>
      <c r="AC66" s="37" t="e">
        <f t="shared" ca="1" si="741"/>
        <v>#NAME?</v>
      </c>
      <c r="AD66" s="37" t="e">
        <f t="shared" ca="1" si="741"/>
        <v>#NAME?</v>
      </c>
      <c r="AE66" s="37" t="e">
        <f t="shared" ref="AE66" ca="1" si="742">AE64/AE65</f>
        <v>#NAME?</v>
      </c>
      <c r="AI66" s="3" t="e">
        <f t="shared" ref="AI66" ca="1" si="743">AI64/AI65</f>
        <v>#NAME?</v>
      </c>
      <c r="AJ66" s="3" t="e">
        <f t="shared" ref="AJ66" ca="1" si="744">AJ64/AJ65</f>
        <v>#NAME?</v>
      </c>
      <c r="AK66" s="3" t="e">
        <f t="shared" ref="AK66:AM66" ca="1" si="745">AK64/AK65</f>
        <v>#NAME?</v>
      </c>
      <c r="AL66" s="3" t="e">
        <f t="shared" ca="1" si="745"/>
        <v>#NAME?</v>
      </c>
      <c r="AM66" s="3" t="e">
        <f t="shared" ca="1" si="745"/>
        <v>#NAME?</v>
      </c>
      <c r="AN66" s="3" t="e">
        <f t="shared" ref="AN66:AO66" ca="1" si="746">AN64/AN65</f>
        <v>#NAME?</v>
      </c>
      <c r="AO66" s="3" t="e">
        <f t="shared" ca="1" si="746"/>
        <v>#NAME?</v>
      </c>
      <c r="AP66" s="3" t="e">
        <f t="shared" ref="AP66:CD66" ca="1" si="747">AP64/AP65</f>
        <v>#NAME?</v>
      </c>
      <c r="AQ66" s="3" t="e">
        <f t="shared" ca="1" si="747"/>
        <v>#NAME?</v>
      </c>
      <c r="AR66" s="3" t="e">
        <f t="shared" ca="1" si="747"/>
        <v>#NAME?</v>
      </c>
      <c r="AS66" s="3" t="e">
        <f t="shared" ca="1" si="747"/>
        <v>#NAME?</v>
      </c>
      <c r="AT66" s="3" t="e">
        <f t="shared" ca="1" si="747"/>
        <v>#NAME?</v>
      </c>
      <c r="AU66" s="3" t="e">
        <f t="shared" ca="1" si="747"/>
        <v>#NAME?</v>
      </c>
      <c r="AV66" s="3" t="e">
        <f t="shared" ca="1" si="747"/>
        <v>#NAME?</v>
      </c>
      <c r="AW66" s="3" t="e">
        <f t="shared" ca="1" si="747"/>
        <v>#NAME?</v>
      </c>
      <c r="AX66" s="3" t="e">
        <f t="shared" ca="1" si="747"/>
        <v>#NAME?</v>
      </c>
      <c r="AY66" s="3" t="e">
        <f t="shared" ca="1" si="747"/>
        <v>#NAME?</v>
      </c>
      <c r="AZ66" s="3" t="e">
        <f t="shared" ca="1" si="747"/>
        <v>#NAME?</v>
      </c>
      <c r="BA66" s="3" t="e">
        <f t="shared" ca="1" si="747"/>
        <v>#NAME?</v>
      </c>
      <c r="BB66" s="3" t="e">
        <f t="shared" ca="1" si="747"/>
        <v>#NAME?</v>
      </c>
      <c r="BC66" s="3" t="e">
        <f t="shared" ca="1" si="747"/>
        <v>#NAME?</v>
      </c>
      <c r="BD66" s="3" t="e">
        <f t="shared" ca="1" si="747"/>
        <v>#NAME?</v>
      </c>
      <c r="BE66" s="3" t="e">
        <f t="shared" ca="1" si="747"/>
        <v>#NAME?</v>
      </c>
      <c r="BF66" s="3" t="e">
        <f t="shared" ca="1" si="747"/>
        <v>#NAME?</v>
      </c>
      <c r="BG66" s="3" t="e">
        <f t="shared" ca="1" si="747"/>
        <v>#NAME?</v>
      </c>
      <c r="BH66" s="3" t="e">
        <f t="shared" ca="1" si="747"/>
        <v>#NAME?</v>
      </c>
      <c r="BI66" s="3" t="e">
        <f t="shared" ca="1" si="747"/>
        <v>#NAME?</v>
      </c>
      <c r="BJ66" s="3" t="e">
        <f t="shared" ca="1" si="747"/>
        <v>#NAME?</v>
      </c>
      <c r="BK66" s="3" t="e">
        <f t="shared" ca="1" si="747"/>
        <v>#NAME?</v>
      </c>
      <c r="BL66" s="3" t="e">
        <f t="shared" ca="1" si="747"/>
        <v>#NAME?</v>
      </c>
      <c r="BM66" s="3" t="e">
        <f t="shared" ca="1" si="747"/>
        <v>#NAME?</v>
      </c>
      <c r="BN66" s="3" t="e">
        <f t="shared" ca="1" si="747"/>
        <v>#NAME?</v>
      </c>
      <c r="BO66" s="3" t="e">
        <f t="shared" ca="1" si="747"/>
        <v>#NAME?</v>
      </c>
      <c r="BP66" s="3" t="e">
        <f t="shared" ca="1" si="747"/>
        <v>#NAME?</v>
      </c>
      <c r="BQ66" s="3" t="e">
        <f t="shared" ca="1" si="747"/>
        <v>#NAME?</v>
      </c>
      <c r="BR66" s="3" t="e">
        <f t="shared" ca="1" si="747"/>
        <v>#NAME?</v>
      </c>
      <c r="BS66" s="3" t="e">
        <f t="shared" ca="1" si="747"/>
        <v>#NAME?</v>
      </c>
      <c r="BT66" s="3" t="e">
        <f t="shared" ca="1" si="747"/>
        <v>#NAME?</v>
      </c>
      <c r="BU66" s="3" t="e">
        <f t="shared" ca="1" si="747"/>
        <v>#NAME?</v>
      </c>
      <c r="BV66" s="3" t="e">
        <f t="shared" ca="1" si="747"/>
        <v>#NAME?</v>
      </c>
      <c r="BW66" s="3" t="e">
        <f t="shared" ca="1" si="747"/>
        <v>#NAME?</v>
      </c>
      <c r="BX66" s="3" t="e">
        <f t="shared" ca="1" si="747"/>
        <v>#NAME?</v>
      </c>
      <c r="BY66" s="3" t="e">
        <f t="shared" ca="1" si="747"/>
        <v>#NAME?</v>
      </c>
      <c r="BZ66" s="3" t="e">
        <f t="shared" ca="1" si="747"/>
        <v>#NAME?</v>
      </c>
      <c r="CA66" s="3" t="e">
        <f t="shared" ca="1" si="747"/>
        <v>#NAME?</v>
      </c>
      <c r="CB66" s="3" t="e">
        <f t="shared" ca="1" si="747"/>
        <v>#NAME?</v>
      </c>
      <c r="CC66" s="3" t="e">
        <f t="shared" ca="1" si="747"/>
        <v>#NAME?</v>
      </c>
      <c r="CD66" s="3" t="e">
        <f t="shared" ca="1" si="747"/>
        <v>#NAME?</v>
      </c>
      <c r="CE66" s="3" t="e">
        <f t="shared" ref="CE66:CF66" ca="1" si="748">CE64/CE65</f>
        <v>#NAME?</v>
      </c>
      <c r="CF66" s="3" t="e">
        <f t="shared" ca="1" si="748"/>
        <v>#NAME?</v>
      </c>
      <c r="CG66" s="3" t="e">
        <f t="shared" ref="CG66:CH66" ca="1" si="749">CG64/CG65</f>
        <v>#NAME?</v>
      </c>
      <c r="CH66" s="3" t="e">
        <f t="shared" ca="1" si="749"/>
        <v>#NAME?</v>
      </c>
      <c r="CI66" s="3" t="e">
        <f t="shared" ref="CI66:CJ66" ca="1" si="750">CI64/CI65</f>
        <v>#NAME?</v>
      </c>
      <c r="CJ66" s="3" t="e">
        <f t="shared" ca="1" si="750"/>
        <v>#NAME?</v>
      </c>
      <c r="CK66" s="3" t="e">
        <f t="shared" ref="CK66:CL66" ca="1" si="751">CK64/CK65</f>
        <v>#NAME?</v>
      </c>
      <c r="CL66" s="3" t="e">
        <f t="shared" ca="1" si="751"/>
        <v>#NAME?</v>
      </c>
      <c r="CM66" s="37" t="e">
        <f t="shared" ref="CM66:DB66" ca="1" si="752">CM64/CM65</f>
        <v>#NAME?</v>
      </c>
      <c r="CN66" s="37" t="e">
        <f t="shared" ca="1" si="752"/>
        <v>#NAME?</v>
      </c>
      <c r="CO66" s="37" t="e">
        <f t="shared" ca="1" si="752"/>
        <v>#NAME?</v>
      </c>
      <c r="CP66" s="37" t="e">
        <f t="shared" ca="1" si="752"/>
        <v>#NAME?</v>
      </c>
      <c r="CQ66" s="37" t="e">
        <f t="shared" ca="1" si="752"/>
        <v>#NAME?</v>
      </c>
      <c r="CR66" s="37" t="e">
        <f t="shared" ca="1" si="752"/>
        <v>#NAME?</v>
      </c>
      <c r="CS66" s="37" t="e">
        <f t="shared" ca="1" si="752"/>
        <v>#NAME?</v>
      </c>
      <c r="CT66" s="37" t="e">
        <f t="shared" ca="1" si="752"/>
        <v>#NAME?</v>
      </c>
      <c r="CU66" s="37" t="e">
        <f t="shared" ca="1" si="752"/>
        <v>#NAME?</v>
      </c>
      <c r="CV66" s="37" t="e">
        <f t="shared" ca="1" si="752"/>
        <v>#NAME?</v>
      </c>
      <c r="CW66" s="37" t="e">
        <f t="shared" ca="1" si="752"/>
        <v>#NAME?</v>
      </c>
      <c r="CX66" s="37" t="e">
        <f t="shared" ca="1" si="752"/>
        <v>#NAME?</v>
      </c>
      <c r="CY66" s="37" t="e">
        <f t="shared" ca="1" si="752"/>
        <v>#NAME?</v>
      </c>
      <c r="CZ66" s="37" t="e">
        <f t="shared" ca="1" si="752"/>
        <v>#NAME?</v>
      </c>
      <c r="DA66" s="37" t="e">
        <f t="shared" ca="1" si="752"/>
        <v>#NAME?</v>
      </c>
      <c r="DB66" s="37" t="e">
        <f t="shared" ca="1" si="752"/>
        <v>#NAME?</v>
      </c>
      <c r="DE66" s="134"/>
      <c r="DF66" s="3">
        <v>129.24</v>
      </c>
    </row>
    <row r="67" spans="1:110" s="53" customFormat="1" x14ac:dyDescent="0.2">
      <c r="A67" s="53" t="s">
        <v>30</v>
      </c>
      <c r="B67" s="53" t="e">
        <f t="shared" ref="B67:AE67" ca="1" si="753">(B48-B47)/B66</f>
        <v>#NAME?</v>
      </c>
      <c r="C67" s="53" t="e">
        <f t="shared" ca="1" si="753"/>
        <v>#NAME?</v>
      </c>
      <c r="D67" s="53" t="e">
        <f t="shared" ca="1" si="753"/>
        <v>#NAME?</v>
      </c>
      <c r="E67" s="53" t="e">
        <f t="shared" ca="1" si="753"/>
        <v>#NAME?</v>
      </c>
      <c r="F67" s="53" t="e">
        <f t="shared" ca="1" si="753"/>
        <v>#NAME?</v>
      </c>
      <c r="G67" s="53" t="e">
        <f t="shared" ca="1" si="753"/>
        <v>#NAME?</v>
      </c>
      <c r="H67" s="53" t="e">
        <f t="shared" ca="1" si="753"/>
        <v>#NAME?</v>
      </c>
      <c r="I67" s="53" t="e">
        <f t="shared" ca="1" si="753"/>
        <v>#NAME?</v>
      </c>
      <c r="J67" s="53" t="e">
        <f t="shared" ca="1" si="753"/>
        <v>#NAME?</v>
      </c>
      <c r="K67" s="53" t="e">
        <f t="shared" ca="1" si="753"/>
        <v>#NAME?</v>
      </c>
      <c r="L67" s="53" t="e">
        <f t="shared" ca="1" si="753"/>
        <v>#NAME?</v>
      </c>
      <c r="M67" s="53" t="e">
        <f t="shared" ca="1" si="753"/>
        <v>#NAME?</v>
      </c>
      <c r="N67" s="53" t="e">
        <f t="shared" ca="1" si="753"/>
        <v>#NAME?</v>
      </c>
      <c r="O67" s="53" t="e">
        <f t="shared" ca="1" si="753"/>
        <v>#NAME?</v>
      </c>
      <c r="P67" s="53" t="e">
        <f t="shared" ca="1" si="753"/>
        <v>#NAME?</v>
      </c>
      <c r="Q67" s="53" t="e">
        <f t="shared" ca="1" si="753"/>
        <v>#NAME?</v>
      </c>
      <c r="R67" s="53" t="e">
        <f t="shared" ca="1" si="753"/>
        <v>#NAME?</v>
      </c>
      <c r="S67" s="53" t="e">
        <f t="shared" ca="1" si="753"/>
        <v>#NAME?</v>
      </c>
      <c r="T67" s="53" t="e">
        <f t="shared" ca="1" si="753"/>
        <v>#NAME?</v>
      </c>
      <c r="U67" s="53" t="e">
        <f t="shared" ca="1" si="753"/>
        <v>#NAME?</v>
      </c>
      <c r="V67" s="53" t="e">
        <f t="shared" ca="1" si="753"/>
        <v>#NAME?</v>
      </c>
      <c r="W67" s="53" t="e">
        <f t="shared" ca="1" si="753"/>
        <v>#NAME?</v>
      </c>
      <c r="X67" s="53" t="e">
        <f t="shared" ca="1" si="753"/>
        <v>#NAME?</v>
      </c>
      <c r="Y67" s="53" t="e">
        <f t="shared" ca="1" si="753"/>
        <v>#NAME?</v>
      </c>
      <c r="Z67" s="53" t="e">
        <f t="shared" ca="1" si="753"/>
        <v>#NAME?</v>
      </c>
      <c r="AA67" s="53" t="e">
        <f t="shared" ref="AA67" ca="1" si="754">(AA48-AA47)/AA66</f>
        <v>#NAME?</v>
      </c>
      <c r="AB67" s="54" t="e">
        <f t="shared" ca="1" si="753"/>
        <v>#NAME?</v>
      </c>
      <c r="AC67" s="54" t="e">
        <f t="shared" ca="1" si="753"/>
        <v>#NAME?</v>
      </c>
      <c r="AD67" s="54" t="e">
        <f t="shared" ca="1" si="753"/>
        <v>#NAME?</v>
      </c>
      <c r="AE67" s="54" t="e">
        <f t="shared" ca="1" si="753"/>
        <v>#NAME?</v>
      </c>
      <c r="AI67" s="53" t="e">
        <f t="shared" ref="AI67:BN67" ca="1" si="755">(AI48-AI47)/AI66</f>
        <v>#NAME?</v>
      </c>
      <c r="AJ67" s="53" t="e">
        <f t="shared" ca="1" si="755"/>
        <v>#NAME?</v>
      </c>
      <c r="AK67" s="53" t="e">
        <f t="shared" ca="1" si="755"/>
        <v>#NAME?</v>
      </c>
      <c r="AL67" s="53" t="e">
        <f t="shared" ca="1" si="755"/>
        <v>#NAME?</v>
      </c>
      <c r="AM67" s="53" t="e">
        <f t="shared" ca="1" si="755"/>
        <v>#NAME?</v>
      </c>
      <c r="AN67" s="53" t="e">
        <f t="shared" ca="1" si="755"/>
        <v>#NAME?</v>
      </c>
      <c r="AO67" s="53" t="e">
        <f t="shared" ca="1" si="755"/>
        <v>#NAME?</v>
      </c>
      <c r="AP67" s="53" t="e">
        <f t="shared" ca="1" si="755"/>
        <v>#NAME?</v>
      </c>
      <c r="AQ67" s="53" t="e">
        <f t="shared" ca="1" si="755"/>
        <v>#NAME?</v>
      </c>
      <c r="AR67" s="53" t="e">
        <f t="shared" ca="1" si="755"/>
        <v>#NAME?</v>
      </c>
      <c r="AS67" s="53" t="e">
        <f t="shared" ca="1" si="755"/>
        <v>#NAME?</v>
      </c>
      <c r="AT67" s="53" t="e">
        <f t="shared" ca="1" si="755"/>
        <v>#NAME?</v>
      </c>
      <c r="AU67" s="53" t="e">
        <f t="shared" ca="1" si="755"/>
        <v>#NAME?</v>
      </c>
      <c r="AV67" s="53" t="e">
        <f t="shared" ca="1" si="755"/>
        <v>#NAME?</v>
      </c>
      <c r="AW67" s="53" t="e">
        <f t="shared" ca="1" si="755"/>
        <v>#NAME?</v>
      </c>
      <c r="AX67" s="53" t="e">
        <f t="shared" ca="1" si="755"/>
        <v>#NAME?</v>
      </c>
      <c r="AY67" s="53" t="e">
        <f t="shared" ca="1" si="755"/>
        <v>#NAME?</v>
      </c>
      <c r="AZ67" s="53" t="e">
        <f t="shared" ca="1" si="755"/>
        <v>#NAME?</v>
      </c>
      <c r="BA67" s="53" t="e">
        <f t="shared" ca="1" si="755"/>
        <v>#NAME?</v>
      </c>
      <c r="BB67" s="53" t="e">
        <f t="shared" ca="1" si="755"/>
        <v>#NAME?</v>
      </c>
      <c r="BC67" s="53" t="e">
        <f t="shared" ca="1" si="755"/>
        <v>#NAME?</v>
      </c>
      <c r="BD67" s="53" t="e">
        <f t="shared" ca="1" si="755"/>
        <v>#NAME?</v>
      </c>
      <c r="BE67" s="53" t="e">
        <f t="shared" ca="1" si="755"/>
        <v>#NAME?</v>
      </c>
      <c r="BF67" s="53" t="e">
        <f t="shared" ca="1" si="755"/>
        <v>#NAME?</v>
      </c>
      <c r="BG67" s="53" t="e">
        <f t="shared" ca="1" si="755"/>
        <v>#NAME?</v>
      </c>
      <c r="BH67" s="53" t="e">
        <f t="shared" ca="1" si="755"/>
        <v>#NAME?</v>
      </c>
      <c r="BI67" s="53" t="e">
        <f t="shared" ca="1" si="755"/>
        <v>#NAME?</v>
      </c>
      <c r="BJ67" s="53" t="e">
        <f t="shared" ca="1" si="755"/>
        <v>#NAME?</v>
      </c>
      <c r="BK67" s="53" t="e">
        <f t="shared" ca="1" si="755"/>
        <v>#NAME?</v>
      </c>
      <c r="BL67" s="53" t="e">
        <f t="shared" ca="1" si="755"/>
        <v>#NAME?</v>
      </c>
      <c r="BM67" s="53" t="e">
        <f t="shared" ca="1" si="755"/>
        <v>#NAME?</v>
      </c>
      <c r="BN67" s="53" t="e">
        <f t="shared" ca="1" si="755"/>
        <v>#NAME?</v>
      </c>
      <c r="BO67" s="53" t="e">
        <f t="shared" ref="BO67:CT67" ca="1" si="756">(BO48-BO47)/BO66</f>
        <v>#NAME?</v>
      </c>
      <c r="BP67" s="53" t="e">
        <f t="shared" ca="1" si="756"/>
        <v>#NAME?</v>
      </c>
      <c r="BQ67" s="53" t="e">
        <f t="shared" ca="1" si="756"/>
        <v>#NAME?</v>
      </c>
      <c r="BR67" s="53" t="e">
        <f t="shared" ca="1" si="756"/>
        <v>#NAME?</v>
      </c>
      <c r="BS67" s="53" t="e">
        <f t="shared" ca="1" si="756"/>
        <v>#NAME?</v>
      </c>
      <c r="BT67" s="53" t="e">
        <f t="shared" ca="1" si="756"/>
        <v>#NAME?</v>
      </c>
      <c r="BU67" s="53" t="e">
        <f t="shared" ca="1" si="756"/>
        <v>#NAME?</v>
      </c>
      <c r="BV67" s="53" t="e">
        <f t="shared" ca="1" si="756"/>
        <v>#NAME?</v>
      </c>
      <c r="BW67" s="53" t="e">
        <f t="shared" ca="1" si="756"/>
        <v>#NAME?</v>
      </c>
      <c r="BX67" s="53" t="e">
        <f t="shared" ca="1" si="756"/>
        <v>#NAME?</v>
      </c>
      <c r="BY67" s="53" t="e">
        <f t="shared" ca="1" si="756"/>
        <v>#NAME?</v>
      </c>
      <c r="BZ67" s="53" t="e">
        <f t="shared" ca="1" si="756"/>
        <v>#NAME?</v>
      </c>
      <c r="CA67" s="53" t="e">
        <f t="shared" ca="1" si="756"/>
        <v>#NAME?</v>
      </c>
      <c r="CB67" s="53" t="e">
        <f t="shared" ca="1" si="756"/>
        <v>#NAME?</v>
      </c>
      <c r="CC67" s="53" t="e">
        <f t="shared" ca="1" si="756"/>
        <v>#NAME?</v>
      </c>
      <c r="CD67" s="53" t="e">
        <f t="shared" ca="1" si="756"/>
        <v>#NAME?</v>
      </c>
      <c r="CE67" s="53" t="e">
        <f t="shared" ca="1" si="756"/>
        <v>#NAME?</v>
      </c>
      <c r="CF67" s="53" t="e">
        <f t="shared" ca="1" si="756"/>
        <v>#NAME?</v>
      </c>
      <c r="CG67" s="53" t="e">
        <f t="shared" ca="1" si="756"/>
        <v>#NAME?</v>
      </c>
      <c r="CH67" s="53" t="e">
        <f t="shared" ca="1" si="756"/>
        <v>#NAME?</v>
      </c>
      <c r="CI67" s="53" t="e">
        <f t="shared" ca="1" si="756"/>
        <v>#NAME?</v>
      </c>
      <c r="CJ67" s="53" t="e">
        <f t="shared" ca="1" si="756"/>
        <v>#NAME?</v>
      </c>
      <c r="CK67" s="53" t="e">
        <f ca="1">(CK48)/CK66</f>
        <v>#NAME?</v>
      </c>
      <c r="CL67" s="53" t="e">
        <f t="shared" ref="CL67" ca="1" si="757">(CL48-CL47)/CL66</f>
        <v>#NAME?</v>
      </c>
      <c r="CM67" s="54" t="e">
        <f t="shared" ca="1" si="756"/>
        <v>#NAME?</v>
      </c>
      <c r="CN67" s="54" t="e">
        <f t="shared" ca="1" si="756"/>
        <v>#NAME?</v>
      </c>
      <c r="CO67" s="54" t="e">
        <f t="shared" ca="1" si="756"/>
        <v>#NAME?</v>
      </c>
      <c r="CP67" s="54" t="e">
        <f t="shared" ca="1" si="756"/>
        <v>#NAME?</v>
      </c>
      <c r="CQ67" s="54" t="e">
        <f t="shared" ca="1" si="756"/>
        <v>#NAME?</v>
      </c>
      <c r="CR67" s="54" t="e">
        <f t="shared" ca="1" si="756"/>
        <v>#NAME?</v>
      </c>
      <c r="CS67" s="54" t="e">
        <f t="shared" ca="1" si="756"/>
        <v>#NAME?</v>
      </c>
      <c r="CT67" s="54" t="e">
        <f t="shared" ca="1" si="756"/>
        <v>#NAME?</v>
      </c>
      <c r="CU67" s="54" t="e">
        <f t="shared" ref="CU67:DB67" ca="1" si="758">(CU48-CU47)/CU66</f>
        <v>#NAME?</v>
      </c>
      <c r="CV67" s="54" t="e">
        <f t="shared" ca="1" si="758"/>
        <v>#NAME?</v>
      </c>
      <c r="CW67" s="54" t="e">
        <f t="shared" ca="1" si="758"/>
        <v>#NAME?</v>
      </c>
      <c r="CX67" s="54" t="e">
        <f t="shared" ca="1" si="758"/>
        <v>#NAME?</v>
      </c>
      <c r="CY67" s="54" t="e">
        <f t="shared" ca="1" si="758"/>
        <v>#NAME?</v>
      </c>
      <c r="CZ67" s="54" t="e">
        <f t="shared" ca="1" si="758"/>
        <v>#NAME?</v>
      </c>
      <c r="DA67" s="54" t="e">
        <f t="shared" ca="1" si="758"/>
        <v>#NAME?</v>
      </c>
      <c r="DB67" s="54" t="e">
        <f t="shared" ca="1" si="758"/>
        <v>#NAME?</v>
      </c>
      <c r="DE67" s="132"/>
      <c r="DF67" s="53">
        <v>0.96022903125960435</v>
      </c>
    </row>
    <row r="68" spans="1:110" s="3" customFormat="1" x14ac:dyDescent="0.2">
      <c r="A68" s="3" t="s">
        <v>31</v>
      </c>
      <c r="B68" s="3" t="e">
        <f ca="1">'Annual Raw'!C110</f>
        <v>#NAME?</v>
      </c>
      <c r="C68" s="3" t="e">
        <f ca="1">'Annual Raw'!D110</f>
        <v>#NAME?</v>
      </c>
      <c r="D68" s="3" t="e">
        <f ca="1">'Annual Raw'!E110</f>
        <v>#NAME?</v>
      </c>
      <c r="E68" s="3" t="e">
        <f ca="1">'Annual Raw'!F110</f>
        <v>#NAME?</v>
      </c>
      <c r="F68" s="3" t="e">
        <f ca="1">'Annual Raw'!G110</f>
        <v>#NAME?</v>
      </c>
      <c r="G68" s="3" t="e">
        <f ca="1">'Annual Raw'!H110</f>
        <v>#NAME?</v>
      </c>
      <c r="H68" s="3" t="e">
        <f ca="1">'Annual Raw'!I110</f>
        <v>#NAME?</v>
      </c>
      <c r="I68" s="3" t="e">
        <f ca="1">'Annual Raw'!J110</f>
        <v>#NAME?</v>
      </c>
      <c r="J68" s="3" t="e">
        <f ca="1">'Annual Raw'!K110</f>
        <v>#NAME?</v>
      </c>
      <c r="K68" s="3" t="e">
        <f ca="1">'Annual Raw'!L110</f>
        <v>#NAME?</v>
      </c>
      <c r="L68" s="3" t="e">
        <f ca="1">'Annual Raw'!M110</f>
        <v>#NAME?</v>
      </c>
      <c r="M68" s="3" t="e">
        <f ca="1">'Annual Raw'!N110</f>
        <v>#NAME?</v>
      </c>
      <c r="N68" s="3" t="e">
        <f ca="1">'Annual Raw'!O110</f>
        <v>#NAME?</v>
      </c>
      <c r="O68" s="3" t="e">
        <f ca="1">'Annual Raw'!P110</f>
        <v>#NAME?</v>
      </c>
      <c r="P68" s="3" t="e">
        <f ca="1">'Annual Raw'!Q110</f>
        <v>#NAME?</v>
      </c>
      <c r="Q68" s="3" t="e">
        <f ca="1">'Annual Raw'!R110</f>
        <v>#NAME?</v>
      </c>
      <c r="R68" s="3" t="e">
        <f ca="1">'Annual Raw'!S110</f>
        <v>#NAME?</v>
      </c>
      <c r="S68" s="3" t="e">
        <f ca="1">'Annual Raw'!T110</f>
        <v>#NAME?</v>
      </c>
      <c r="T68" s="3" t="e">
        <f ca="1">'Annual Raw'!U110</f>
        <v>#NAME?</v>
      </c>
      <c r="U68" s="3" t="e">
        <f ca="1">'Annual Raw'!V110</f>
        <v>#NAME?</v>
      </c>
      <c r="V68" s="3" t="e">
        <f ca="1">'Annual Raw'!W110</f>
        <v>#NAME?</v>
      </c>
      <c r="W68" s="3" t="e">
        <f ca="1">'Annual Raw'!X110</f>
        <v>#NAME?</v>
      </c>
      <c r="X68" s="3" t="e">
        <f ca="1">'Annual Raw'!Y110</f>
        <v>#NAME?</v>
      </c>
      <c r="Y68" s="3" t="e">
        <f ca="1">'Annual Raw'!Z110</f>
        <v>#NAME?</v>
      </c>
      <c r="Z68" s="3" t="e">
        <f ca="1">'Annual Raw'!AA110</f>
        <v>#NAME?</v>
      </c>
      <c r="AA68" s="3" t="e">
        <f ca="1">'Annual Raw'!AB110</f>
        <v>#NAME?</v>
      </c>
      <c r="AB68" s="37"/>
      <c r="AC68" s="37"/>
      <c r="AD68" s="37"/>
      <c r="AE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</row>
    <row r="69" spans="1:110" s="3" customFormat="1" x14ac:dyDescent="0.2">
      <c r="A69" s="3" t="s">
        <v>32</v>
      </c>
      <c r="B69" s="3" t="e">
        <f ca="1">B68/B67</f>
        <v>#NAME?</v>
      </c>
      <c r="C69" s="3" t="e">
        <f t="shared" ref="C69:U69" ca="1" si="759">C68/C67</f>
        <v>#NAME?</v>
      </c>
      <c r="D69" s="3" t="e">
        <f t="shared" ca="1" si="759"/>
        <v>#NAME?</v>
      </c>
      <c r="E69" s="3" t="e">
        <f t="shared" ca="1" si="759"/>
        <v>#NAME?</v>
      </c>
      <c r="F69" s="3" t="e">
        <f t="shared" ca="1" si="759"/>
        <v>#NAME?</v>
      </c>
      <c r="G69" s="3" t="e">
        <f t="shared" ca="1" si="759"/>
        <v>#NAME?</v>
      </c>
      <c r="H69" s="3" t="e">
        <f t="shared" ca="1" si="759"/>
        <v>#NAME?</v>
      </c>
      <c r="I69" s="3" t="e">
        <f t="shared" ca="1" si="759"/>
        <v>#NAME?</v>
      </c>
      <c r="J69" s="3" t="e">
        <f t="shared" ca="1" si="759"/>
        <v>#NAME?</v>
      </c>
      <c r="K69" s="3" t="e">
        <f t="shared" ca="1" si="759"/>
        <v>#NAME?</v>
      </c>
      <c r="L69" s="3" t="e">
        <f t="shared" ca="1" si="759"/>
        <v>#NAME?</v>
      </c>
      <c r="M69" s="3" t="e">
        <f t="shared" ca="1" si="759"/>
        <v>#NAME?</v>
      </c>
      <c r="N69" s="3" t="e">
        <f t="shared" ca="1" si="759"/>
        <v>#NAME?</v>
      </c>
      <c r="O69" s="3" t="e">
        <f t="shared" ca="1" si="759"/>
        <v>#NAME?</v>
      </c>
      <c r="P69" s="3" t="e">
        <f t="shared" ca="1" si="759"/>
        <v>#NAME?</v>
      </c>
      <c r="Q69" s="3" t="e">
        <f t="shared" ca="1" si="759"/>
        <v>#NAME?</v>
      </c>
      <c r="R69" s="3" t="e">
        <f t="shared" ca="1" si="759"/>
        <v>#NAME?</v>
      </c>
      <c r="S69" s="3" t="e">
        <f t="shared" ca="1" si="759"/>
        <v>#NAME?</v>
      </c>
      <c r="T69" s="3" t="e">
        <f t="shared" ca="1" si="759"/>
        <v>#NAME?</v>
      </c>
      <c r="U69" s="3" t="e">
        <f t="shared" ca="1" si="759"/>
        <v>#NAME?</v>
      </c>
      <c r="V69" s="3" t="e">
        <f ca="1">V68/V67</f>
        <v>#NAME?</v>
      </c>
      <c r="W69" s="3" t="e">
        <f t="shared" ref="W69" ca="1" si="760">W68/W67</f>
        <v>#NAME?</v>
      </c>
      <c r="X69" s="3" t="e">
        <f t="shared" ref="X69:Y69" ca="1" si="761">X68/X67</f>
        <v>#NAME?</v>
      </c>
      <c r="Y69" s="3" t="e">
        <f t="shared" ca="1" si="761"/>
        <v>#NAME?</v>
      </c>
      <c r="Z69" s="3" t="e">
        <f t="shared" ref="Z69:AA69" ca="1" si="762">Z68/Z67</f>
        <v>#NAME?</v>
      </c>
      <c r="AA69" s="3" t="e">
        <f t="shared" ca="1" si="762"/>
        <v>#NAME?</v>
      </c>
      <c r="AB69" s="37" t="e">
        <f t="shared" ref="AA69:AD69" ca="1" si="763">AB68/AB67</f>
        <v>#NAME?</v>
      </c>
      <c r="AC69" s="37" t="e">
        <f t="shared" ca="1" si="763"/>
        <v>#NAME?</v>
      </c>
      <c r="AD69" s="37" t="e">
        <f t="shared" ca="1" si="763"/>
        <v>#NAME?</v>
      </c>
      <c r="AE69" s="37" t="e">
        <f t="shared" ref="AE69" ca="1" si="764">AE68/AE67</f>
        <v>#NAME?</v>
      </c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E69" s="134"/>
      <c r="DF69" s="3">
        <v>0</v>
      </c>
    </row>
    <row r="70" spans="1:110" s="3" customFormat="1" x14ac:dyDescent="0.2">
      <c r="A70" s="3" t="s">
        <v>33</v>
      </c>
      <c r="B70" s="3" t="e">
        <f ca="1">+B67</f>
        <v>#NAME?</v>
      </c>
      <c r="C70" s="3" t="e">
        <f t="shared" ref="C70:U70" ca="1" si="765">+C67</f>
        <v>#NAME?</v>
      </c>
      <c r="D70" s="3" t="e">
        <f t="shared" ca="1" si="765"/>
        <v>#NAME?</v>
      </c>
      <c r="E70" s="3" t="e">
        <f t="shared" ca="1" si="765"/>
        <v>#NAME?</v>
      </c>
      <c r="F70" s="3" t="e">
        <f t="shared" ca="1" si="765"/>
        <v>#NAME?</v>
      </c>
      <c r="G70" s="3" t="e">
        <f t="shared" ca="1" si="765"/>
        <v>#NAME?</v>
      </c>
      <c r="H70" s="3" t="e">
        <f t="shared" ca="1" si="765"/>
        <v>#NAME?</v>
      </c>
      <c r="I70" s="3" t="e">
        <f t="shared" ca="1" si="765"/>
        <v>#NAME?</v>
      </c>
      <c r="J70" s="3" t="e">
        <f t="shared" ca="1" si="765"/>
        <v>#NAME?</v>
      </c>
      <c r="K70" s="3" t="e">
        <f t="shared" ca="1" si="765"/>
        <v>#NAME?</v>
      </c>
      <c r="L70" s="3" t="e">
        <f t="shared" ca="1" si="765"/>
        <v>#NAME?</v>
      </c>
      <c r="M70" s="3" t="e">
        <f t="shared" ca="1" si="765"/>
        <v>#NAME?</v>
      </c>
      <c r="N70" s="3" t="e">
        <f t="shared" ca="1" si="765"/>
        <v>#NAME?</v>
      </c>
      <c r="O70" s="3" t="e">
        <f t="shared" ca="1" si="765"/>
        <v>#NAME?</v>
      </c>
      <c r="P70" s="3" t="e">
        <f t="shared" ca="1" si="765"/>
        <v>#NAME?</v>
      </c>
      <c r="Q70" s="3" t="e">
        <f t="shared" ca="1" si="765"/>
        <v>#NAME?</v>
      </c>
      <c r="R70" s="3" t="e">
        <f t="shared" ca="1" si="765"/>
        <v>#NAME?</v>
      </c>
      <c r="S70" s="3" t="e">
        <f t="shared" ca="1" si="765"/>
        <v>#NAME?</v>
      </c>
      <c r="T70" s="3" t="e">
        <f ca="1">+T67</f>
        <v>#NAME?</v>
      </c>
      <c r="U70" s="3" t="e">
        <f t="shared" ca="1" si="765"/>
        <v>#NAME?</v>
      </c>
      <c r="V70" s="3" t="e">
        <f ca="1">+V67</f>
        <v>#NAME?</v>
      </c>
      <c r="W70" s="3" t="e">
        <f t="shared" ref="W70" ca="1" si="766">+W67</f>
        <v>#NAME?</v>
      </c>
      <c r="X70" s="3" t="e">
        <f t="shared" ref="X70:Y70" ca="1" si="767">+X67</f>
        <v>#NAME?</v>
      </c>
      <c r="Y70" s="3" t="e">
        <f t="shared" ca="1" si="767"/>
        <v>#NAME?</v>
      </c>
      <c r="Z70" s="3" t="e">
        <f t="shared" ref="Z70:AA70" ca="1" si="768">+Z67</f>
        <v>#NAME?</v>
      </c>
      <c r="AA70" s="3" t="e">
        <f t="shared" ca="1" si="768"/>
        <v>#NAME?</v>
      </c>
      <c r="AB70" s="37" t="e">
        <f t="shared" ref="AA70:AD70" ca="1" si="769">+AB67</f>
        <v>#NAME?</v>
      </c>
      <c r="AC70" s="37" t="e">
        <f t="shared" ca="1" si="769"/>
        <v>#NAME?</v>
      </c>
      <c r="AD70" s="37" t="e">
        <f t="shared" ca="1" si="769"/>
        <v>#NAME?</v>
      </c>
      <c r="AE70" s="37" t="e">
        <f t="shared" ref="AE70" ca="1" si="770">+AE67</f>
        <v>#NAME?</v>
      </c>
      <c r="AL70" s="3" t="e">
        <f ca="1">SUM(AI67:AL67)</f>
        <v>#NAME?</v>
      </c>
      <c r="AM70" s="3" t="e">
        <f t="shared" ref="AM70" ca="1" si="771">SUM(AJ67:AM67)</f>
        <v>#NAME?</v>
      </c>
      <c r="AN70" s="3" t="e">
        <f t="shared" ref="AN70" ca="1" si="772">SUM(AK67:AN67)</f>
        <v>#NAME?</v>
      </c>
      <c r="AO70" s="3" t="e">
        <f t="shared" ref="AO70" ca="1" si="773">SUM(AL67:AO67)</f>
        <v>#NAME?</v>
      </c>
      <c r="AP70" s="3" t="e">
        <f t="shared" ref="AP70" ca="1" si="774">SUM(AM67:AP67)</f>
        <v>#NAME?</v>
      </c>
      <c r="AQ70" s="3" t="e">
        <f t="shared" ref="AQ70" ca="1" si="775">SUM(AN67:AQ67)</f>
        <v>#NAME?</v>
      </c>
      <c r="AR70" s="3" t="e">
        <f t="shared" ref="AR70" ca="1" si="776">SUM(AO67:AR67)</f>
        <v>#NAME?</v>
      </c>
      <c r="AS70" s="3" t="e">
        <f t="shared" ref="AS70" ca="1" si="777">SUM(AP67:AS67)</f>
        <v>#NAME?</v>
      </c>
      <c r="AT70" s="3" t="e">
        <f t="shared" ref="AT70" ca="1" si="778">SUM(AQ67:AT67)</f>
        <v>#NAME?</v>
      </c>
      <c r="AU70" s="3" t="e">
        <f t="shared" ref="AU70" ca="1" si="779">SUM(AR67:AU67)</f>
        <v>#NAME?</v>
      </c>
      <c r="AV70" s="3" t="e">
        <f t="shared" ref="AV70" ca="1" si="780">SUM(AS67:AV67)</f>
        <v>#NAME?</v>
      </c>
      <c r="AW70" s="3" t="e">
        <f t="shared" ref="AW70" ca="1" si="781">SUM(AT67:AW67)</f>
        <v>#NAME?</v>
      </c>
      <c r="AX70" s="3" t="e">
        <f t="shared" ref="AX70" ca="1" si="782">SUM(AU67:AX67)</f>
        <v>#NAME?</v>
      </c>
      <c r="AY70" s="3" t="e">
        <f t="shared" ref="AY70" ca="1" si="783">SUM(AV67:AY67)</f>
        <v>#NAME?</v>
      </c>
      <c r="AZ70" s="3" t="e">
        <f t="shared" ref="AZ70" ca="1" si="784">SUM(AW67:AZ67)</f>
        <v>#NAME?</v>
      </c>
      <c r="BA70" s="3" t="e">
        <f t="shared" ref="BA70" ca="1" si="785">SUM(AX67:BA67)</f>
        <v>#NAME?</v>
      </c>
      <c r="BB70" s="3" t="e">
        <f t="shared" ref="BB70" ca="1" si="786">SUM(AY67:BB67)</f>
        <v>#NAME?</v>
      </c>
      <c r="BC70" s="3" t="e">
        <f t="shared" ref="BC70" ca="1" si="787">SUM(AZ67:BC67)</f>
        <v>#NAME?</v>
      </c>
      <c r="BD70" s="3" t="e">
        <f t="shared" ref="BD70" ca="1" si="788">SUM(BA67:BD67)</f>
        <v>#NAME?</v>
      </c>
      <c r="BE70" s="3" t="e">
        <f t="shared" ref="BE70" ca="1" si="789">SUM(BB67:BE67)</f>
        <v>#NAME?</v>
      </c>
      <c r="BF70" s="3" t="e">
        <f t="shared" ref="BF70" ca="1" si="790">SUM(BC67:BF67)</f>
        <v>#NAME?</v>
      </c>
      <c r="BG70" s="3" t="e">
        <f t="shared" ref="BG70" ca="1" si="791">SUM(BD67:BG67)</f>
        <v>#NAME?</v>
      </c>
      <c r="BH70" s="3" t="e">
        <f t="shared" ref="BH70" ca="1" si="792">SUM(BE67:BH67)</f>
        <v>#NAME?</v>
      </c>
      <c r="BI70" s="3" t="e">
        <f t="shared" ref="BI70" ca="1" si="793">SUM(BF67:BI67)</f>
        <v>#NAME?</v>
      </c>
      <c r="BJ70" s="3" t="e">
        <f t="shared" ref="BJ70" ca="1" si="794">SUM(BG67:BJ67)</f>
        <v>#NAME?</v>
      </c>
      <c r="BK70" s="3" t="e">
        <f t="shared" ref="BK70" ca="1" si="795">SUM(BH67:BK67)</f>
        <v>#NAME?</v>
      </c>
      <c r="BL70" s="3" t="e">
        <f t="shared" ref="BL70" ca="1" si="796">SUM(BI67:BL67)</f>
        <v>#NAME?</v>
      </c>
      <c r="BM70" s="3" t="e">
        <f t="shared" ref="BM70" ca="1" si="797">SUM(BJ67:BM67)</f>
        <v>#NAME?</v>
      </c>
      <c r="BN70" s="3" t="e">
        <f t="shared" ref="BN70" ca="1" si="798">SUM(BK67:BN67)</f>
        <v>#NAME?</v>
      </c>
      <c r="BO70" s="3" t="e">
        <f t="shared" ref="BO70" ca="1" si="799">SUM(BL67:BO67)</f>
        <v>#NAME?</v>
      </c>
      <c r="BP70" s="3" t="e">
        <f t="shared" ref="BP70" ca="1" si="800">SUM(BM67:BP67)</f>
        <v>#NAME?</v>
      </c>
      <c r="BQ70" s="3" t="e">
        <f t="shared" ref="BQ70" ca="1" si="801">SUM(BN67:BQ67)</f>
        <v>#NAME?</v>
      </c>
      <c r="BR70" s="3" t="e">
        <f t="shared" ref="BR70" ca="1" si="802">SUM(BO67:BR67)</f>
        <v>#NAME?</v>
      </c>
      <c r="BS70" s="3" t="e">
        <f t="shared" ref="BS70" ca="1" si="803">SUM(BP67:BS67)</f>
        <v>#NAME?</v>
      </c>
      <c r="BT70" s="3" t="e">
        <f t="shared" ref="BT70" ca="1" si="804">SUM(BQ67:BT67)</f>
        <v>#NAME?</v>
      </c>
      <c r="BU70" s="3" t="e">
        <f t="shared" ref="BU70" ca="1" si="805">SUM(BR67:BU67)</f>
        <v>#NAME?</v>
      </c>
      <c r="BV70" s="3" t="e">
        <f t="shared" ref="BV70" ca="1" si="806">SUM(BS67:BV67)</f>
        <v>#NAME?</v>
      </c>
      <c r="BW70" s="3" t="e">
        <f t="shared" ref="BW70" ca="1" si="807">SUM(BT67:BW67)</f>
        <v>#NAME?</v>
      </c>
      <c r="BX70" s="3" t="e">
        <f t="shared" ref="BX70" ca="1" si="808">SUM(BU67:BX67)</f>
        <v>#NAME?</v>
      </c>
      <c r="BY70" s="3" t="e">
        <f t="shared" ref="BY70" ca="1" si="809">SUM(BV67:BY67)</f>
        <v>#NAME?</v>
      </c>
      <c r="BZ70" s="3" t="e">
        <f t="shared" ref="BZ70" ca="1" si="810">SUM(BW67:BZ67)</f>
        <v>#NAME?</v>
      </c>
      <c r="CA70" s="3" t="e">
        <f t="shared" ref="CA70" ca="1" si="811">SUM(BX67:CA67)</f>
        <v>#NAME?</v>
      </c>
      <c r="CB70" s="3" t="e">
        <f t="shared" ref="CB70" ca="1" si="812">SUM(BY67:CB67)</f>
        <v>#NAME?</v>
      </c>
      <c r="CC70" s="3" t="e">
        <f t="shared" ref="CC70" ca="1" si="813">SUM(BZ67:CC67)</f>
        <v>#NAME?</v>
      </c>
      <c r="CD70" s="3" t="e">
        <f t="shared" ref="CD70" ca="1" si="814">SUM(CA67:CD67)</f>
        <v>#NAME?</v>
      </c>
      <c r="CE70" s="3" t="e">
        <f t="shared" ref="CE70" ca="1" si="815">SUM(CB67:CE67)</f>
        <v>#NAME?</v>
      </c>
      <c r="CF70" s="3" t="e">
        <f t="shared" ref="CF70" ca="1" si="816">SUM(CC67:CF67)</f>
        <v>#NAME?</v>
      </c>
      <c r="CG70" s="3" t="e">
        <f t="shared" ref="CG70" ca="1" si="817">SUM(CD67:CG67)</f>
        <v>#NAME?</v>
      </c>
      <c r="CH70" s="3" t="e">
        <f t="shared" ref="CH70:CL70" ca="1" si="818">SUM(CE67:CH67)</f>
        <v>#NAME?</v>
      </c>
      <c r="CI70" s="3" t="e">
        <f t="shared" ca="1" si="818"/>
        <v>#NAME?</v>
      </c>
      <c r="CJ70" s="3" t="e">
        <f t="shared" ca="1" si="818"/>
        <v>#NAME?</v>
      </c>
      <c r="CK70" s="3" t="e">
        <f t="shared" ca="1" si="818"/>
        <v>#NAME?</v>
      </c>
      <c r="CL70" s="3" t="e">
        <f t="shared" ca="1" si="818"/>
        <v>#NAME?</v>
      </c>
      <c r="CM70" s="37" t="e">
        <f t="shared" ref="CM70" ca="1" si="819">SUM(CJ67:CM67)</f>
        <v>#NAME?</v>
      </c>
      <c r="CN70" s="37" t="e">
        <f t="shared" ref="CN70" ca="1" si="820">SUM(CK67:CN67)</f>
        <v>#NAME?</v>
      </c>
      <c r="CO70" s="37" t="e">
        <f t="shared" ref="CO70" ca="1" si="821">SUM(CL67:CO67)</f>
        <v>#NAME?</v>
      </c>
      <c r="CP70" s="37" t="e">
        <f t="shared" ref="CP70" ca="1" si="822">SUM(CM67:CP67)</f>
        <v>#NAME?</v>
      </c>
      <c r="CQ70" s="37" t="e">
        <f t="shared" ref="CQ70" ca="1" si="823">SUM(CN67:CQ67)</f>
        <v>#NAME?</v>
      </c>
      <c r="CR70" s="37" t="e">
        <f t="shared" ref="CR70" ca="1" si="824">SUM(CO67:CR67)</f>
        <v>#NAME?</v>
      </c>
      <c r="CS70" s="37" t="e">
        <f t="shared" ref="CS70" ca="1" si="825">SUM(CP67:CS67)</f>
        <v>#NAME?</v>
      </c>
      <c r="CT70" s="37" t="e">
        <f t="shared" ref="CT70" ca="1" si="826">SUM(CQ67:CT67)</f>
        <v>#NAME?</v>
      </c>
      <c r="CU70" s="37" t="e">
        <f t="shared" ref="CU70" ca="1" si="827">SUM(CR67:CU67)</f>
        <v>#NAME?</v>
      </c>
      <c r="CV70" s="37" t="e">
        <f t="shared" ref="CV70" ca="1" si="828">SUM(CS67:CV67)</f>
        <v>#NAME?</v>
      </c>
      <c r="CW70" s="37" t="e">
        <f t="shared" ref="CW70" ca="1" si="829">SUM(CT67:CW67)</f>
        <v>#NAME?</v>
      </c>
      <c r="CX70" s="37" t="e">
        <f t="shared" ref="CX70" ca="1" si="830">SUM(CU67:CX67)</f>
        <v>#NAME?</v>
      </c>
      <c r="CY70" s="37" t="e">
        <f t="shared" ref="CY70" ca="1" si="831">SUM(CV67:CY67)</f>
        <v>#NAME?</v>
      </c>
      <c r="CZ70" s="37" t="e">
        <f t="shared" ref="CZ70" ca="1" si="832">SUM(CW67:CZ67)</f>
        <v>#NAME?</v>
      </c>
      <c r="DA70" s="37" t="e">
        <f t="shared" ref="DA70" ca="1" si="833">SUM(CX67:DA67)</f>
        <v>#NAME?</v>
      </c>
      <c r="DB70" s="37" t="e">
        <f t="shared" ref="DB70" ca="1" si="834">SUM(CY67:DB67)</f>
        <v>#NAME?</v>
      </c>
      <c r="DE70" s="134"/>
      <c r="DF70" s="3">
        <v>0.96022903125960435</v>
      </c>
    </row>
    <row r="71" spans="1:110" s="97" customFormat="1" x14ac:dyDescent="0.2">
      <c r="A71" s="97" t="s">
        <v>425</v>
      </c>
      <c r="C71" s="101" t="e">
        <f t="shared" ref="C71:AA71" ca="1" si="835">+C70/B70-1</f>
        <v>#NAME?</v>
      </c>
      <c r="D71" s="101" t="e">
        <f t="shared" ca="1" si="835"/>
        <v>#NAME?</v>
      </c>
      <c r="E71" s="101" t="e">
        <f t="shared" ca="1" si="835"/>
        <v>#NAME?</v>
      </c>
      <c r="F71" s="101" t="e">
        <f t="shared" ca="1" si="835"/>
        <v>#NAME?</v>
      </c>
      <c r="G71" s="101" t="e">
        <f t="shared" ca="1" si="835"/>
        <v>#NAME?</v>
      </c>
      <c r="H71" s="101" t="e">
        <f t="shared" ca="1" si="835"/>
        <v>#NAME?</v>
      </c>
      <c r="I71" s="101" t="e">
        <f t="shared" ca="1" si="835"/>
        <v>#NAME?</v>
      </c>
      <c r="J71" s="101" t="e">
        <f t="shared" ca="1" si="835"/>
        <v>#NAME?</v>
      </c>
      <c r="K71" s="101" t="e">
        <f t="shared" ca="1" si="835"/>
        <v>#NAME?</v>
      </c>
      <c r="L71" s="101" t="e">
        <f t="shared" ca="1" si="835"/>
        <v>#NAME?</v>
      </c>
      <c r="M71" s="101" t="e">
        <f t="shared" ca="1" si="835"/>
        <v>#NAME?</v>
      </c>
      <c r="N71" s="101" t="e">
        <f t="shared" ca="1" si="835"/>
        <v>#NAME?</v>
      </c>
      <c r="O71" s="101" t="e">
        <f t="shared" ca="1" si="835"/>
        <v>#NAME?</v>
      </c>
      <c r="P71" s="101" t="e">
        <f t="shared" ca="1" si="835"/>
        <v>#NAME?</v>
      </c>
      <c r="Q71" s="101" t="e">
        <f t="shared" ca="1" si="835"/>
        <v>#NAME?</v>
      </c>
      <c r="R71" s="101" t="e">
        <f t="shared" ca="1" si="835"/>
        <v>#NAME?</v>
      </c>
      <c r="S71" s="101" t="e">
        <f t="shared" ca="1" si="835"/>
        <v>#NAME?</v>
      </c>
      <c r="T71" s="101" t="e">
        <f t="shared" ca="1" si="835"/>
        <v>#NAME?</v>
      </c>
      <c r="U71" s="101" t="e">
        <f t="shared" ca="1" si="835"/>
        <v>#NAME?</v>
      </c>
      <c r="V71" s="101" t="e">
        <f t="shared" ca="1" si="835"/>
        <v>#NAME?</v>
      </c>
      <c r="W71" s="101" t="e">
        <f t="shared" ca="1" si="835"/>
        <v>#NAME?</v>
      </c>
      <c r="X71" s="101" t="e">
        <f t="shared" ca="1" si="835"/>
        <v>#NAME?</v>
      </c>
      <c r="Y71" s="101" t="e">
        <f t="shared" ca="1" si="835"/>
        <v>#NAME?</v>
      </c>
      <c r="Z71" s="101" t="e">
        <f t="shared" ca="1" si="835"/>
        <v>#NAME?</v>
      </c>
      <c r="AA71" s="101" t="e">
        <f t="shared" ca="1" si="835"/>
        <v>#NAME?</v>
      </c>
      <c r="AB71" s="174" t="e">
        <f t="shared" ref="AB71" ca="1" si="836">+AB70/AA70-1</f>
        <v>#NAME?</v>
      </c>
      <c r="AC71" s="174" t="e">
        <f t="shared" ref="AC71" ca="1" si="837">+AC70/AB70-1</f>
        <v>#NAME?</v>
      </c>
      <c r="AD71" s="174" t="e">
        <f t="shared" ref="AD71" ca="1" si="838">+AD70/AC70-1</f>
        <v>#NAME?</v>
      </c>
      <c r="AE71" s="174" t="e">
        <f t="shared" ref="AE71" ca="1" si="839">+AE70/AD70-1</f>
        <v>#NAME?</v>
      </c>
      <c r="AL71" s="176"/>
      <c r="AM71" s="176"/>
      <c r="AN71" s="176"/>
      <c r="AO71" s="176"/>
      <c r="AP71" s="176" t="e">
        <f t="shared" ref="AP71:CL71" ca="1" si="840">+IF(AL70&lt;0,1-AP70/AL70,AP70/AL70-1)</f>
        <v>#NAME?</v>
      </c>
      <c r="AQ71" s="176" t="e">
        <f t="shared" ca="1" si="840"/>
        <v>#NAME?</v>
      </c>
      <c r="AR71" s="176" t="e">
        <f t="shared" ca="1" si="840"/>
        <v>#NAME?</v>
      </c>
      <c r="AS71" s="176" t="e">
        <f t="shared" ca="1" si="840"/>
        <v>#NAME?</v>
      </c>
      <c r="AT71" s="176" t="e">
        <f t="shared" ca="1" si="840"/>
        <v>#NAME?</v>
      </c>
      <c r="AU71" s="176" t="e">
        <f t="shared" ca="1" si="840"/>
        <v>#NAME?</v>
      </c>
      <c r="AV71" s="176" t="e">
        <f t="shared" ca="1" si="840"/>
        <v>#NAME?</v>
      </c>
      <c r="AW71" s="176" t="e">
        <f t="shared" ca="1" si="840"/>
        <v>#NAME?</v>
      </c>
      <c r="AX71" s="176" t="e">
        <f t="shared" ca="1" si="840"/>
        <v>#NAME?</v>
      </c>
      <c r="AY71" s="176" t="e">
        <f t="shared" ca="1" si="840"/>
        <v>#NAME?</v>
      </c>
      <c r="AZ71" s="176" t="e">
        <f t="shared" ca="1" si="840"/>
        <v>#NAME?</v>
      </c>
      <c r="BA71" s="176" t="e">
        <f t="shared" ca="1" si="840"/>
        <v>#NAME?</v>
      </c>
      <c r="BB71" s="176" t="e">
        <f t="shared" ca="1" si="840"/>
        <v>#NAME?</v>
      </c>
      <c r="BC71" s="176" t="e">
        <f t="shared" ca="1" si="840"/>
        <v>#NAME?</v>
      </c>
      <c r="BD71" s="176" t="e">
        <f t="shared" ca="1" si="840"/>
        <v>#NAME?</v>
      </c>
      <c r="BE71" s="176" t="e">
        <f t="shared" ca="1" si="840"/>
        <v>#NAME?</v>
      </c>
      <c r="BF71" s="176" t="e">
        <f t="shared" ca="1" si="840"/>
        <v>#NAME?</v>
      </c>
      <c r="BG71" s="176" t="e">
        <f t="shared" ca="1" si="840"/>
        <v>#NAME?</v>
      </c>
      <c r="BH71" s="176" t="e">
        <f t="shared" ca="1" si="840"/>
        <v>#NAME?</v>
      </c>
      <c r="BI71" s="176" t="e">
        <f t="shared" ca="1" si="840"/>
        <v>#NAME?</v>
      </c>
      <c r="BJ71" s="176" t="e">
        <f t="shared" ca="1" si="840"/>
        <v>#NAME?</v>
      </c>
      <c r="BK71" s="176" t="e">
        <f t="shared" ca="1" si="840"/>
        <v>#NAME?</v>
      </c>
      <c r="BL71" s="176" t="e">
        <f t="shared" ca="1" si="840"/>
        <v>#NAME?</v>
      </c>
      <c r="BM71" s="176" t="e">
        <f t="shared" ca="1" si="840"/>
        <v>#NAME?</v>
      </c>
      <c r="BN71" s="176" t="e">
        <f t="shared" ca="1" si="840"/>
        <v>#NAME?</v>
      </c>
      <c r="BO71" s="176" t="e">
        <f t="shared" ca="1" si="840"/>
        <v>#NAME?</v>
      </c>
      <c r="BP71" s="176" t="e">
        <f t="shared" ca="1" si="840"/>
        <v>#NAME?</v>
      </c>
      <c r="BQ71" s="176" t="e">
        <f t="shared" ca="1" si="840"/>
        <v>#NAME?</v>
      </c>
      <c r="BR71" s="176" t="e">
        <f t="shared" ca="1" si="840"/>
        <v>#NAME?</v>
      </c>
      <c r="BS71" s="176" t="e">
        <f t="shared" ca="1" si="840"/>
        <v>#NAME?</v>
      </c>
      <c r="BT71" s="176" t="e">
        <f t="shared" ca="1" si="840"/>
        <v>#NAME?</v>
      </c>
      <c r="BU71" s="176" t="e">
        <f t="shared" ca="1" si="840"/>
        <v>#NAME?</v>
      </c>
      <c r="BV71" s="176" t="e">
        <f t="shared" ca="1" si="840"/>
        <v>#NAME?</v>
      </c>
      <c r="BW71" s="176" t="e">
        <f t="shared" ca="1" si="840"/>
        <v>#NAME?</v>
      </c>
      <c r="BX71" s="176" t="e">
        <f t="shared" ca="1" si="840"/>
        <v>#NAME?</v>
      </c>
      <c r="BY71" s="176" t="e">
        <f t="shared" ca="1" si="840"/>
        <v>#NAME?</v>
      </c>
      <c r="BZ71" s="176" t="e">
        <f t="shared" ca="1" si="840"/>
        <v>#NAME?</v>
      </c>
      <c r="CA71" s="176" t="e">
        <f t="shared" ca="1" si="840"/>
        <v>#NAME?</v>
      </c>
      <c r="CB71" s="176" t="e">
        <f t="shared" ca="1" si="840"/>
        <v>#NAME?</v>
      </c>
      <c r="CC71" s="176" t="e">
        <f t="shared" ca="1" si="840"/>
        <v>#NAME?</v>
      </c>
      <c r="CD71" s="176" t="e">
        <f t="shared" ca="1" si="840"/>
        <v>#NAME?</v>
      </c>
      <c r="CE71" s="176" t="e">
        <f t="shared" ca="1" si="840"/>
        <v>#NAME?</v>
      </c>
      <c r="CF71" s="176" t="e">
        <f t="shared" ca="1" si="840"/>
        <v>#NAME?</v>
      </c>
      <c r="CG71" s="176" t="e">
        <f t="shared" ca="1" si="840"/>
        <v>#NAME?</v>
      </c>
      <c r="CH71" s="176" t="e">
        <f t="shared" ca="1" si="840"/>
        <v>#NAME?</v>
      </c>
      <c r="CI71" s="176" t="e">
        <f t="shared" ca="1" si="840"/>
        <v>#NAME?</v>
      </c>
      <c r="CJ71" s="176" t="e">
        <f t="shared" ca="1" si="840"/>
        <v>#NAME?</v>
      </c>
      <c r="CK71" s="176" t="e">
        <f t="shared" ca="1" si="840"/>
        <v>#NAME?</v>
      </c>
      <c r="CL71" s="176" t="e">
        <f t="shared" ca="1" si="840"/>
        <v>#NAME?</v>
      </c>
      <c r="CM71" s="102" t="e">
        <f t="shared" ref="CM71:DB71" ca="1" si="841">+IF(CI70&lt;0,1-CM70/CI70,CM70/CI70-1)</f>
        <v>#NAME?</v>
      </c>
      <c r="CN71" s="102" t="e">
        <f t="shared" ca="1" si="841"/>
        <v>#NAME?</v>
      </c>
      <c r="CO71" s="102" t="e">
        <f t="shared" ca="1" si="841"/>
        <v>#NAME?</v>
      </c>
      <c r="CP71" s="102" t="e">
        <f t="shared" ca="1" si="841"/>
        <v>#NAME?</v>
      </c>
      <c r="CQ71" s="102" t="e">
        <f t="shared" ca="1" si="841"/>
        <v>#NAME?</v>
      </c>
      <c r="CR71" s="102" t="e">
        <f t="shared" ca="1" si="841"/>
        <v>#NAME?</v>
      </c>
      <c r="CS71" s="102" t="e">
        <f t="shared" ca="1" si="841"/>
        <v>#NAME?</v>
      </c>
      <c r="CT71" s="102" t="e">
        <f t="shared" ca="1" si="841"/>
        <v>#NAME?</v>
      </c>
      <c r="CU71" s="102" t="e">
        <f t="shared" ca="1" si="841"/>
        <v>#NAME?</v>
      </c>
      <c r="CV71" s="102" t="e">
        <f t="shared" ca="1" si="841"/>
        <v>#NAME?</v>
      </c>
      <c r="CW71" s="102" t="e">
        <f t="shared" ca="1" si="841"/>
        <v>#NAME?</v>
      </c>
      <c r="CX71" s="102" t="e">
        <f t="shared" ca="1" si="841"/>
        <v>#NAME?</v>
      </c>
      <c r="CY71" s="102" t="e">
        <f t="shared" ca="1" si="841"/>
        <v>#NAME?</v>
      </c>
      <c r="CZ71" s="102" t="e">
        <f t="shared" ca="1" si="841"/>
        <v>#NAME?</v>
      </c>
      <c r="DA71" s="102" t="e">
        <f t="shared" ca="1" si="841"/>
        <v>#NAME?</v>
      </c>
      <c r="DB71" s="102" t="e">
        <f t="shared" ca="1" si="841"/>
        <v>#NAME?</v>
      </c>
      <c r="DE71" s="135"/>
      <c r="DF71" s="97">
        <v>-0.96080512154834263</v>
      </c>
    </row>
    <row r="72" spans="1:110" s="144" customFormat="1" x14ac:dyDescent="0.2">
      <c r="A72" s="144" t="s">
        <v>424</v>
      </c>
      <c r="AB72" s="145"/>
      <c r="AC72" s="145"/>
      <c r="AD72" s="145"/>
      <c r="AE72" s="145"/>
      <c r="CM72" s="145"/>
      <c r="CN72" s="145"/>
      <c r="CO72" s="145"/>
      <c r="CP72" s="145">
        <v>42.2</v>
      </c>
      <c r="CQ72" s="145"/>
      <c r="CR72" s="145"/>
      <c r="CS72" s="145"/>
      <c r="CT72" s="145">
        <v>43.4</v>
      </c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144" customFormat="1" x14ac:dyDescent="0.2">
      <c r="A73" s="144" t="s">
        <v>436</v>
      </c>
      <c r="AB73" s="145"/>
      <c r="AC73" s="145"/>
      <c r="AD73" s="145"/>
      <c r="AE73" s="145"/>
      <c r="CM73" s="145"/>
      <c r="CN73" s="145"/>
      <c r="CO73" s="145"/>
      <c r="CP73" s="145" t="e">
        <f ca="1">+CP70/CP72-1</f>
        <v>#NAME?</v>
      </c>
      <c r="CQ73" s="145"/>
      <c r="CR73" s="145"/>
      <c r="CS73" s="145"/>
      <c r="CT73" s="145" t="e">
        <f ca="1">+CT70/CT72-1</f>
        <v>#NAME?</v>
      </c>
      <c r="CU73" s="145"/>
      <c r="CV73" s="145"/>
      <c r="CW73" s="145"/>
      <c r="CX73" s="145"/>
      <c r="CY73" s="145"/>
      <c r="CZ73" s="145"/>
      <c r="DA73" s="145"/>
      <c r="DB73" s="145"/>
      <c r="DE73" s="146"/>
    </row>
    <row r="74" spans="1:110" s="3" customFormat="1" x14ac:dyDescent="0.2">
      <c r="A74" s="3" t="s">
        <v>34</v>
      </c>
      <c r="B74" s="3" t="e">
        <f ca="1">'Annual Raw'!C112</f>
        <v>#NAME?</v>
      </c>
      <c r="C74" s="3" t="e">
        <f ca="1">'Annual Raw'!D112</f>
        <v>#NAME?</v>
      </c>
      <c r="D74" s="3" t="e">
        <f ca="1">'Annual Raw'!E112</f>
        <v>#NAME?</v>
      </c>
      <c r="E74" s="3" t="e">
        <f ca="1">'Annual Raw'!F112</f>
        <v>#NAME?</v>
      </c>
      <c r="F74" s="3" t="e">
        <f ca="1">'Annual Raw'!G112</f>
        <v>#NAME?</v>
      </c>
      <c r="G74" s="3" t="e">
        <f ca="1">'Annual Raw'!H112</f>
        <v>#NAME?</v>
      </c>
      <c r="H74" s="3" t="e">
        <f ca="1">'Annual Raw'!I112</f>
        <v>#NAME?</v>
      </c>
      <c r="I74" s="3" t="e">
        <f ca="1">'Annual Raw'!J112</f>
        <v>#NAME?</v>
      </c>
      <c r="J74" s="3" t="e">
        <f ca="1">'Annual Raw'!K112</f>
        <v>#NAME?</v>
      </c>
      <c r="K74" s="3" t="e">
        <f ca="1">'Annual Raw'!L112</f>
        <v>#NAME?</v>
      </c>
      <c r="L74" s="3" t="e">
        <f ca="1">'Annual Raw'!M112</f>
        <v>#NAME?</v>
      </c>
      <c r="M74" s="3" t="e">
        <f ca="1">'Annual Raw'!N112</f>
        <v>#NAME?</v>
      </c>
      <c r="N74" s="3" t="e">
        <f ca="1">'Annual Raw'!O112</f>
        <v>#NAME?</v>
      </c>
      <c r="O74" s="3" t="e">
        <f ca="1">'Annual Raw'!P112</f>
        <v>#NAME?</v>
      </c>
      <c r="P74" s="3" t="e">
        <f ca="1">'Annual Raw'!Q112</f>
        <v>#NAME?</v>
      </c>
      <c r="Q74" s="3" t="e">
        <f ca="1">'Annual Raw'!R112</f>
        <v>#NAME?</v>
      </c>
      <c r="R74" s="3" t="e">
        <f ca="1">'Annual Raw'!S112</f>
        <v>#NAME?</v>
      </c>
      <c r="S74" s="3" t="e">
        <f ca="1">'Annual Raw'!T112</f>
        <v>#NAME?</v>
      </c>
      <c r="T74" s="3" t="e">
        <f ca="1">'Annual Raw'!U112</f>
        <v>#NAME?</v>
      </c>
      <c r="U74" s="3" t="e">
        <f ca="1">'Annual Raw'!V112</f>
        <v>#NAME?</v>
      </c>
      <c r="V74" s="3" t="e">
        <f ca="1">'Annual Raw'!W112</f>
        <v>#NAME?</v>
      </c>
      <c r="W74" s="3" t="e">
        <f ca="1">'Annual Raw'!X112</f>
        <v>#NAME?</v>
      </c>
      <c r="X74" s="3" t="e">
        <f ca="1">'Annual Raw'!Y112</f>
        <v>#NAME?</v>
      </c>
      <c r="Y74" s="3" t="e">
        <f ca="1">'Annual Raw'!Z112</f>
        <v>#NAME?</v>
      </c>
      <c r="Z74" s="3" t="e">
        <f ca="1">'Annual Raw'!AA112</f>
        <v>#NAME?</v>
      </c>
      <c r="AA74" s="3" t="e">
        <f ca="1">'Annual Raw'!AB112</f>
        <v>#NAME?</v>
      </c>
      <c r="AB74" s="37"/>
      <c r="AC74" s="37"/>
      <c r="AD74" s="37"/>
      <c r="AE74" s="37"/>
      <c r="AI74" s="3" t="e">
        <f ca="1">'QTR Raw'!C49</f>
        <v>#NAME?</v>
      </c>
      <c r="AJ74" s="3" t="e">
        <f ca="1">'QTR Raw'!D49</f>
        <v>#NAME?</v>
      </c>
      <c r="AK74" s="3" t="e">
        <f ca="1">'QTR Raw'!E49</f>
        <v>#NAME?</v>
      </c>
      <c r="AL74" s="3" t="e">
        <f ca="1">'QTR Raw'!F49</f>
        <v>#NAME?</v>
      </c>
      <c r="AM74" s="3" t="e">
        <f ca="1">'QTR Raw'!G49</f>
        <v>#NAME?</v>
      </c>
      <c r="AN74" s="3" t="e">
        <f ca="1">'QTR Raw'!H49</f>
        <v>#NAME?</v>
      </c>
      <c r="AO74" s="3" t="e">
        <f ca="1">'QTR Raw'!I49</f>
        <v>#NAME?</v>
      </c>
      <c r="AP74" s="3" t="e">
        <f ca="1">'QTR Raw'!J49</f>
        <v>#NAME?</v>
      </c>
      <c r="AQ74" s="3" t="e">
        <f ca="1">'QTR Raw'!K49</f>
        <v>#NAME?</v>
      </c>
      <c r="AR74" s="3" t="e">
        <f ca="1">'QTR Raw'!L49</f>
        <v>#NAME?</v>
      </c>
      <c r="AS74" s="3" t="e">
        <f ca="1">'QTR Raw'!M49</f>
        <v>#NAME?</v>
      </c>
      <c r="AT74" s="3" t="e">
        <f ca="1">'QTR Raw'!N49</f>
        <v>#NAME?</v>
      </c>
      <c r="AU74" s="3" t="e">
        <f ca="1">'QTR Raw'!O49</f>
        <v>#NAME?</v>
      </c>
      <c r="AV74" s="3" t="e">
        <f ca="1">'QTR Raw'!P49</f>
        <v>#NAME?</v>
      </c>
      <c r="AW74" s="3" t="e">
        <f ca="1">'QTR Raw'!Q49</f>
        <v>#NAME?</v>
      </c>
      <c r="AX74" s="3" t="e">
        <f ca="1">'QTR Raw'!R49</f>
        <v>#NAME?</v>
      </c>
      <c r="AY74" s="3" t="e">
        <f ca="1">'QTR Raw'!S49</f>
        <v>#NAME?</v>
      </c>
      <c r="AZ74" s="3" t="e">
        <f ca="1">'QTR Raw'!T49</f>
        <v>#NAME?</v>
      </c>
      <c r="BA74" s="3" t="e">
        <f ca="1">'QTR Raw'!U49</f>
        <v>#NAME?</v>
      </c>
      <c r="BB74" s="3" t="e">
        <f ca="1">'QTR Raw'!V49</f>
        <v>#NAME?</v>
      </c>
      <c r="BC74" s="3" t="e">
        <f ca="1">'QTR Raw'!W49</f>
        <v>#NAME?</v>
      </c>
      <c r="BD74" s="3" t="e">
        <f ca="1">'QTR Raw'!X49</f>
        <v>#NAME?</v>
      </c>
      <c r="BE74" s="3" t="e">
        <f ca="1">'QTR Raw'!Y49</f>
        <v>#NAME?</v>
      </c>
      <c r="BF74" s="3" t="e">
        <f ca="1">'QTR Raw'!Z49</f>
        <v>#NAME?</v>
      </c>
      <c r="BG74" s="3" t="e">
        <f ca="1">'QTR Raw'!AA49</f>
        <v>#NAME?</v>
      </c>
      <c r="BH74" s="3" t="e">
        <f ca="1">'QTR Raw'!AB49</f>
        <v>#NAME?</v>
      </c>
      <c r="BI74" s="3" t="e">
        <f ca="1">'QTR Raw'!AC49</f>
        <v>#NAME?</v>
      </c>
      <c r="BJ74" s="3" t="e">
        <f ca="1">'QTR Raw'!AD49</f>
        <v>#NAME?</v>
      </c>
      <c r="BK74" s="3" t="e">
        <f ca="1">'QTR Raw'!AE49</f>
        <v>#NAME?</v>
      </c>
      <c r="BL74" s="3" t="e">
        <f ca="1">'QTR Raw'!AF49</f>
        <v>#NAME?</v>
      </c>
      <c r="BM74" s="3" t="e">
        <f ca="1">'QTR Raw'!AG49</f>
        <v>#NAME?</v>
      </c>
      <c r="BN74" s="3" t="e">
        <f ca="1">'QTR Raw'!AH49</f>
        <v>#NAME?</v>
      </c>
      <c r="BO74" s="3" t="e">
        <f ca="1">'QTR Raw'!AI49</f>
        <v>#NAME?</v>
      </c>
      <c r="BP74" s="3" t="e">
        <f ca="1">'QTR Raw'!AJ49</f>
        <v>#NAME?</v>
      </c>
      <c r="BQ74" s="3" t="e">
        <f ca="1">'QTR Raw'!AK49</f>
        <v>#NAME?</v>
      </c>
      <c r="BR74" s="3" t="e">
        <f ca="1">'QTR Raw'!AL49</f>
        <v>#NAME?</v>
      </c>
      <c r="BS74" s="3" t="e">
        <f ca="1">'QTR Raw'!AM49</f>
        <v>#NAME?</v>
      </c>
      <c r="BT74" s="3" t="e">
        <f ca="1">'QTR Raw'!AN49</f>
        <v>#NAME?</v>
      </c>
      <c r="BU74" s="3" t="e">
        <f ca="1">'QTR Raw'!AO49</f>
        <v>#NAME?</v>
      </c>
      <c r="BV74" s="3" t="e">
        <f ca="1">'QTR Raw'!AP49</f>
        <v>#NAME?</v>
      </c>
      <c r="BW74" s="3" t="e">
        <f ca="1">'QTR Raw'!AQ49</f>
        <v>#NAME?</v>
      </c>
      <c r="BX74" s="3" t="e">
        <f ca="1">'QTR Raw'!AR49</f>
        <v>#NAME?</v>
      </c>
      <c r="BY74" s="3" t="e">
        <f ca="1">'QTR Raw'!AS49</f>
        <v>#NAME?</v>
      </c>
      <c r="BZ74" s="3" t="e">
        <f ca="1">'QTR Raw'!AT49</f>
        <v>#NAME?</v>
      </c>
      <c r="CA74" s="3" t="e">
        <f ca="1">'QTR Raw'!AU49</f>
        <v>#NAME?</v>
      </c>
      <c r="CB74" s="3" t="e">
        <f ca="1">'QTR Raw'!AV49</f>
        <v>#NAME?</v>
      </c>
      <c r="CC74" s="3" t="e">
        <f ca="1">'QTR Raw'!AW49</f>
        <v>#NAME?</v>
      </c>
      <c r="CD74" s="3" t="e">
        <f ca="1">'QTR Raw'!AX49</f>
        <v>#NAME?</v>
      </c>
      <c r="CE74" s="3" t="e">
        <f ca="1">'QTR Raw'!AY49</f>
        <v>#NAME?</v>
      </c>
      <c r="CF74" s="3" t="e">
        <f ca="1">'QTR Raw'!AZ49</f>
        <v>#NAME?</v>
      </c>
      <c r="CG74" s="3" t="e">
        <f ca="1">'QTR Raw'!BA49</f>
        <v>#NAME?</v>
      </c>
      <c r="CH74" s="3" t="e">
        <f ca="1">'QTR Raw'!BB49</f>
        <v>#NAME?</v>
      </c>
      <c r="CI74" s="3" t="e">
        <f ca="1">'QTR Raw'!BC49</f>
        <v>#NAME?</v>
      </c>
      <c r="CJ74" s="3" t="e">
        <f ca="1">'QTR Raw'!BD49</f>
        <v>#NAME?</v>
      </c>
      <c r="CK74" s="3" t="e">
        <f ca="1">'QTR Raw'!BE49</f>
        <v>#NAME?</v>
      </c>
      <c r="CL74" s="3" t="e">
        <f ca="1">'QTR Raw'!BF49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75" s="3" t="s">
        <v>35</v>
      </c>
      <c r="B75" s="3" t="e">
        <f ca="1">'Annual Raw'!C113</f>
        <v>#NAME?</v>
      </c>
      <c r="C75" s="3" t="e">
        <f ca="1">'Annual Raw'!D113</f>
        <v>#NAME?</v>
      </c>
      <c r="D75" s="3" t="e">
        <f ca="1">'Annual Raw'!E113</f>
        <v>#NAME?</v>
      </c>
      <c r="E75" s="3" t="e">
        <f ca="1">'Annual Raw'!F113</f>
        <v>#NAME?</v>
      </c>
      <c r="F75" s="3" t="e">
        <f ca="1">'Annual Raw'!G113</f>
        <v>#NAME?</v>
      </c>
      <c r="G75" s="3" t="e">
        <f ca="1">'Annual Raw'!H113</f>
        <v>#NAME?</v>
      </c>
      <c r="H75" s="3" t="e">
        <f ca="1">'Annual Raw'!I113</f>
        <v>#NAME?</v>
      </c>
      <c r="I75" s="3" t="e">
        <f ca="1">'Annual Raw'!J113</f>
        <v>#NAME?</v>
      </c>
      <c r="J75" s="3" t="e">
        <f ca="1">'Annual Raw'!K113</f>
        <v>#NAME?</v>
      </c>
      <c r="K75" s="3" t="e">
        <f ca="1">'Annual Raw'!L113</f>
        <v>#NAME?</v>
      </c>
      <c r="L75" s="3" t="e">
        <f ca="1">'Annual Raw'!M113</f>
        <v>#NAME?</v>
      </c>
      <c r="M75" s="3" t="e">
        <f ca="1">'Annual Raw'!N113</f>
        <v>#NAME?</v>
      </c>
      <c r="N75" s="3" t="e">
        <f ca="1">'Annual Raw'!O113</f>
        <v>#NAME?</v>
      </c>
      <c r="O75" s="3" t="e">
        <f ca="1">'Annual Raw'!P113</f>
        <v>#NAME?</v>
      </c>
      <c r="P75" s="3" t="e">
        <f ca="1">'Annual Raw'!Q113</f>
        <v>#NAME?</v>
      </c>
      <c r="Q75" s="3" t="e">
        <f ca="1">'Annual Raw'!R113</f>
        <v>#NAME?</v>
      </c>
      <c r="R75" s="3" t="e">
        <f ca="1">'Annual Raw'!S113</f>
        <v>#NAME?</v>
      </c>
      <c r="S75" s="3" t="e">
        <f ca="1">'Annual Raw'!T113</f>
        <v>#NAME?</v>
      </c>
      <c r="T75" s="3" t="e">
        <f ca="1">'Annual Raw'!U113</f>
        <v>#NAME?</v>
      </c>
      <c r="U75" s="3" t="e">
        <f ca="1">'Annual Raw'!V113</f>
        <v>#NAME?</v>
      </c>
      <c r="V75" s="3" t="e">
        <f ca="1">'Annual Raw'!W113</f>
        <v>#NAME?</v>
      </c>
      <c r="W75" s="3" t="e">
        <f ca="1">'Annual Raw'!X113</f>
        <v>#NAME?</v>
      </c>
      <c r="X75" s="3" t="e">
        <f ca="1">'Annual Raw'!Y113</f>
        <v>#NAME?</v>
      </c>
      <c r="Y75" s="3" t="e">
        <f ca="1">'Annual Raw'!Z113</f>
        <v>#NAME?</v>
      </c>
      <c r="Z75" s="3" t="e">
        <f ca="1">'Annual Raw'!AA113</f>
        <v>#NAME?</v>
      </c>
      <c r="AA75" s="3" t="e">
        <f ca="1">'Annual Raw'!AB113</f>
        <v>#NAME?</v>
      </c>
      <c r="AB75" s="37"/>
      <c r="AC75" s="37"/>
      <c r="AD75" s="37"/>
      <c r="AE75" s="37"/>
      <c r="AI75" s="3" t="e">
        <f ca="1">'QTR Raw'!C50</f>
        <v>#NAME?</v>
      </c>
      <c r="AJ75" s="3" t="e">
        <f ca="1">'QTR Raw'!D50</f>
        <v>#NAME?</v>
      </c>
      <c r="AK75" s="3" t="e">
        <f ca="1">'QTR Raw'!E50</f>
        <v>#NAME?</v>
      </c>
      <c r="AL75" s="3" t="e">
        <f ca="1">'QTR Raw'!F50</f>
        <v>#NAME?</v>
      </c>
      <c r="AM75" s="3" t="e">
        <f ca="1">'QTR Raw'!G50</f>
        <v>#NAME?</v>
      </c>
      <c r="AN75" s="3" t="e">
        <f ca="1">'QTR Raw'!H50</f>
        <v>#NAME?</v>
      </c>
      <c r="AO75" s="3" t="e">
        <f ca="1">'QTR Raw'!I50</f>
        <v>#NAME?</v>
      </c>
      <c r="AP75" s="3" t="e">
        <f ca="1">'QTR Raw'!J50</f>
        <v>#NAME?</v>
      </c>
      <c r="AQ75" s="3" t="e">
        <f ca="1">'QTR Raw'!K50</f>
        <v>#NAME?</v>
      </c>
      <c r="AR75" s="3" t="e">
        <f ca="1">'QTR Raw'!L50</f>
        <v>#NAME?</v>
      </c>
      <c r="AS75" s="3" t="e">
        <f ca="1">'QTR Raw'!M50</f>
        <v>#NAME?</v>
      </c>
      <c r="AT75" s="3" t="e">
        <f ca="1">'QTR Raw'!N50</f>
        <v>#NAME?</v>
      </c>
      <c r="AU75" s="3" t="e">
        <f ca="1">'QTR Raw'!O50</f>
        <v>#NAME?</v>
      </c>
      <c r="AV75" s="3" t="e">
        <f ca="1">'QTR Raw'!P50</f>
        <v>#NAME?</v>
      </c>
      <c r="AW75" s="3" t="e">
        <f ca="1">'QTR Raw'!Q50</f>
        <v>#NAME?</v>
      </c>
      <c r="AX75" s="3" t="e">
        <f ca="1">'QTR Raw'!R50</f>
        <v>#NAME?</v>
      </c>
      <c r="AY75" s="3" t="e">
        <f ca="1">'QTR Raw'!S50</f>
        <v>#NAME?</v>
      </c>
      <c r="AZ75" s="3" t="e">
        <f ca="1">'QTR Raw'!T50</f>
        <v>#NAME?</v>
      </c>
      <c r="BA75" s="3" t="e">
        <f ca="1">'QTR Raw'!U50</f>
        <v>#NAME?</v>
      </c>
      <c r="BB75" s="3" t="e">
        <f ca="1">'QTR Raw'!V50</f>
        <v>#NAME?</v>
      </c>
      <c r="BC75" s="3" t="e">
        <f ca="1">'QTR Raw'!W50</f>
        <v>#NAME?</v>
      </c>
      <c r="BD75" s="3" t="e">
        <f ca="1">'QTR Raw'!X50</f>
        <v>#NAME?</v>
      </c>
      <c r="BE75" s="3" t="e">
        <f ca="1">'QTR Raw'!Y50</f>
        <v>#NAME?</v>
      </c>
      <c r="BF75" s="3" t="e">
        <f ca="1">'QTR Raw'!Z50</f>
        <v>#NAME?</v>
      </c>
      <c r="BG75" s="3" t="e">
        <f ca="1">'QTR Raw'!AA50</f>
        <v>#NAME?</v>
      </c>
      <c r="BH75" s="3" t="e">
        <f ca="1">'QTR Raw'!AB50</f>
        <v>#NAME?</v>
      </c>
      <c r="BI75" s="3" t="e">
        <f ca="1">'QTR Raw'!AC50</f>
        <v>#NAME?</v>
      </c>
      <c r="BJ75" s="3" t="e">
        <f ca="1">'QTR Raw'!AD50</f>
        <v>#NAME?</v>
      </c>
      <c r="BK75" s="3" t="e">
        <f ca="1">'QTR Raw'!AE50</f>
        <v>#NAME?</v>
      </c>
      <c r="BL75" s="3" t="e">
        <f ca="1">'QTR Raw'!AF50</f>
        <v>#NAME?</v>
      </c>
      <c r="BM75" s="3" t="e">
        <f ca="1">'QTR Raw'!AG50</f>
        <v>#NAME?</v>
      </c>
      <c r="BN75" s="3" t="e">
        <f ca="1">'QTR Raw'!AH50</f>
        <v>#NAME?</v>
      </c>
      <c r="BO75" s="3" t="e">
        <f ca="1">'QTR Raw'!AI50</f>
        <v>#NAME?</v>
      </c>
      <c r="BP75" s="3" t="e">
        <f ca="1">'QTR Raw'!AJ50</f>
        <v>#NAME?</v>
      </c>
      <c r="BQ75" s="3" t="e">
        <f ca="1">'QTR Raw'!AK50</f>
        <v>#NAME?</v>
      </c>
      <c r="BR75" s="3" t="e">
        <f ca="1">'QTR Raw'!AL50</f>
        <v>#NAME?</v>
      </c>
      <c r="BS75" s="3" t="e">
        <f ca="1">'QTR Raw'!AM50</f>
        <v>#NAME?</v>
      </c>
      <c r="BT75" s="3" t="e">
        <f ca="1">'QTR Raw'!AN50</f>
        <v>#NAME?</v>
      </c>
      <c r="BU75" s="3" t="e">
        <f ca="1">'QTR Raw'!AO50</f>
        <v>#NAME?</v>
      </c>
      <c r="BV75" s="3" t="e">
        <f ca="1">'QTR Raw'!AP50</f>
        <v>#NAME?</v>
      </c>
      <c r="BW75" s="3" t="e">
        <f ca="1">'QTR Raw'!AQ50</f>
        <v>#NAME?</v>
      </c>
      <c r="BX75" s="3" t="e">
        <f ca="1">'QTR Raw'!AR50</f>
        <v>#NAME?</v>
      </c>
      <c r="BY75" s="3" t="e">
        <f ca="1">'QTR Raw'!AS50</f>
        <v>#NAME?</v>
      </c>
      <c r="BZ75" s="3" t="e">
        <f ca="1">'QTR Raw'!AT50</f>
        <v>#NAME?</v>
      </c>
      <c r="CA75" s="3" t="e">
        <f ca="1">'QTR Raw'!AU50</f>
        <v>#NAME?</v>
      </c>
      <c r="CB75" s="3" t="e">
        <f ca="1">'QTR Raw'!AV50</f>
        <v>#NAME?</v>
      </c>
      <c r="CC75" s="3" t="e">
        <f ca="1">'QTR Raw'!AW50</f>
        <v>#NAME?</v>
      </c>
      <c r="CD75" s="3" t="e">
        <f ca="1">'QTR Raw'!AX50</f>
        <v>#NAME?</v>
      </c>
      <c r="CE75" s="3" t="e">
        <f ca="1">'QTR Raw'!AY50</f>
        <v>#NAME?</v>
      </c>
      <c r="CF75" s="3" t="e">
        <f ca="1">'QTR Raw'!AZ50</f>
        <v>#NAME?</v>
      </c>
      <c r="CG75" s="3" t="e">
        <f ca="1">'QTR Raw'!BA50</f>
        <v>#NAME?</v>
      </c>
      <c r="CH75" s="3" t="e">
        <f ca="1">'QTR Raw'!BB50</f>
        <v>#NAME?</v>
      </c>
      <c r="CI75" s="3" t="e">
        <f ca="1">'QTR Raw'!BC50</f>
        <v>#NAME?</v>
      </c>
      <c r="CJ75" s="3" t="e">
        <f ca="1">'QTR Raw'!BD50</f>
        <v>#NAME?</v>
      </c>
      <c r="CK75" s="3" t="e">
        <f ca="1">'QTR Raw'!BE50</f>
        <v>#NAME?</v>
      </c>
      <c r="CL75" s="3" t="e">
        <f ca="1">'QTR Raw'!BF50</f>
        <v>#NAME?</v>
      </c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3" customFormat="1" x14ac:dyDescent="0.2"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36</v>
      </c>
      <c r="AB77" s="37"/>
      <c r="AC77" s="37"/>
      <c r="AD77" s="37"/>
      <c r="AE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</row>
    <row r="78" spans="1:110" s="13" customFormat="1" x14ac:dyDescent="0.2">
      <c r="A78" s="13" t="s">
        <v>457</v>
      </c>
      <c r="B78" s="13" t="e">
        <f ca="1">'Annual Raw'!C106</f>
        <v>#NAME?</v>
      </c>
      <c r="C78" s="13" t="e">
        <f ca="1">'Annual Raw'!D106</f>
        <v>#NAME?</v>
      </c>
      <c r="D78" s="13" t="e">
        <f ca="1">'Annual Raw'!E106</f>
        <v>#NAME?</v>
      </c>
      <c r="E78" s="13" t="e">
        <f ca="1">'Annual Raw'!F106</f>
        <v>#NAME?</v>
      </c>
      <c r="F78" s="13" t="e">
        <f ca="1">'Annual Raw'!G106</f>
        <v>#NAME?</v>
      </c>
      <c r="G78" s="13" t="e">
        <f ca="1">'Annual Raw'!H106</f>
        <v>#NAME?</v>
      </c>
      <c r="H78" s="13" t="e">
        <f ca="1">'Annual Raw'!I106</f>
        <v>#NAME?</v>
      </c>
      <c r="I78" s="13" t="e">
        <f ca="1">'Annual Raw'!J106</f>
        <v>#NAME?</v>
      </c>
      <c r="J78" s="13" t="e">
        <f ca="1">'Annual Raw'!K106</f>
        <v>#NAME?</v>
      </c>
      <c r="K78" s="13" t="e">
        <f ca="1">'Annual Raw'!L106</f>
        <v>#NAME?</v>
      </c>
      <c r="L78" s="13" t="e">
        <f ca="1">'Annual Raw'!M106</f>
        <v>#NAME?</v>
      </c>
      <c r="M78" s="13" t="e">
        <f ca="1">'Annual Raw'!N106</f>
        <v>#NAME?</v>
      </c>
      <c r="N78" s="13" t="e">
        <f ca="1">'Annual Raw'!O106</f>
        <v>#NAME?</v>
      </c>
      <c r="O78" s="13" t="e">
        <f ca="1">'Annual Raw'!P106</f>
        <v>#NAME?</v>
      </c>
      <c r="P78" s="13" t="e">
        <f ca="1">'Annual Raw'!Q106</f>
        <v>#NAME?</v>
      </c>
      <c r="Q78" s="13" t="e">
        <f ca="1">'Annual Raw'!R106</f>
        <v>#NAME?</v>
      </c>
      <c r="R78" s="13" t="e">
        <f ca="1">'Annual Raw'!S106</f>
        <v>#NAME?</v>
      </c>
      <c r="S78" s="13" t="e">
        <f ca="1">'Annual Raw'!T106</f>
        <v>#NAME?</v>
      </c>
      <c r="T78" s="13" t="e">
        <f ca="1">'Annual Raw'!U106</f>
        <v>#NAME?</v>
      </c>
      <c r="U78" s="13" t="e">
        <f ca="1">'Annual Raw'!V106</f>
        <v>#NAME?</v>
      </c>
      <c r="V78" s="13" t="e">
        <f ca="1">'Annual Raw'!W106</f>
        <v>#NAME?</v>
      </c>
      <c r="W78" s="13" t="e">
        <f ca="1">'Annual Raw'!X106</f>
        <v>#NAME?</v>
      </c>
      <c r="X78" s="13" t="e">
        <f ca="1">'Annual Raw'!Y106</f>
        <v>#NAME?</v>
      </c>
      <c r="Y78" s="13" t="e">
        <f ca="1">'Annual Raw'!Z106</f>
        <v>#NAME?</v>
      </c>
      <c r="Z78" s="13" t="e">
        <f ca="1">'Annual Raw'!AA106</f>
        <v>#NAME?</v>
      </c>
      <c r="AA78" s="13" t="e">
        <f ca="1">'Annual Raw'!AB106</f>
        <v>#NAME?</v>
      </c>
      <c r="AB78" s="37">
        <f>+CP78</f>
        <v>2255</v>
      </c>
      <c r="AC78" s="37">
        <f>+CT78</f>
        <v>2255</v>
      </c>
      <c r="AD78" s="37">
        <f>+CX78</f>
        <v>2255</v>
      </c>
      <c r="AE78" s="37">
        <f>+DB78</f>
        <v>2255</v>
      </c>
      <c r="AJ78" s="13" t="e">
        <f ca="1">'QTR Share Price'!HP21</f>
        <v>#NAME?</v>
      </c>
      <c r="AK78" s="13" t="e">
        <f ca="1">'QTR Share Price'!HQ21</f>
        <v>#NAME?</v>
      </c>
      <c r="AL78" s="13" t="e">
        <f ca="1">'QTR Share Price'!HR21</f>
        <v>#NAME?</v>
      </c>
      <c r="AM78" s="13" t="e">
        <f ca="1">'QTR Share Price'!HS21</f>
        <v>#NAME?</v>
      </c>
      <c r="AN78" s="13" t="e">
        <f ca="1">'QTR Share Price'!HT21</f>
        <v>#NAME?</v>
      </c>
      <c r="AO78" s="13" t="e">
        <f ca="1">'QTR Share Price'!HU21</f>
        <v>#NAME?</v>
      </c>
      <c r="AP78" s="13" t="e">
        <f ca="1">'QTR Share Price'!HV21</f>
        <v>#NAME?</v>
      </c>
      <c r="AQ78" s="13" t="e">
        <f ca="1">'QTR Share Price'!HW21</f>
        <v>#NAME?</v>
      </c>
      <c r="AR78" s="13" t="e">
        <f ca="1">'QTR Share Price'!HX21</f>
        <v>#NAME?</v>
      </c>
      <c r="AS78" s="13" t="e">
        <f ca="1">'QTR Share Price'!HY21</f>
        <v>#NAME?</v>
      </c>
      <c r="AT78" s="13" t="e">
        <f ca="1">'QTR Share Price'!HZ21</f>
        <v>#NAME?</v>
      </c>
      <c r="AU78" s="13" t="e">
        <f ca="1">'QTR Share Price'!IA21</f>
        <v>#NAME?</v>
      </c>
      <c r="AV78" s="13" t="e">
        <f ca="1">'QTR Share Price'!IB21</f>
        <v>#NAME?</v>
      </c>
      <c r="AW78" s="13" t="e">
        <f ca="1">'QTR Share Price'!IC21</f>
        <v>#NAME?</v>
      </c>
      <c r="AX78" s="13" t="e">
        <f ca="1">'QTR Share Price'!ID21</f>
        <v>#NAME?</v>
      </c>
      <c r="AY78" s="13" t="e">
        <f ca="1">'QTR Share Price'!IE21</f>
        <v>#NAME?</v>
      </c>
      <c r="AZ78" s="13" t="e">
        <f ca="1">'QTR Share Price'!IF21</f>
        <v>#NAME?</v>
      </c>
      <c r="BA78" s="13" t="e">
        <f ca="1">'QTR Share Price'!IG21</f>
        <v>#NAME?</v>
      </c>
      <c r="BB78" s="13" t="e">
        <f ca="1">'QTR Share Price'!IH21</f>
        <v>#NAME?</v>
      </c>
      <c r="BC78" s="13" t="e">
        <f ca="1">'QTR Share Price'!II21</f>
        <v>#NAME?</v>
      </c>
      <c r="BD78" s="13" t="e">
        <f ca="1">'QTR Share Price'!IJ21</f>
        <v>#NAME?</v>
      </c>
      <c r="BE78" s="13" t="e">
        <f ca="1">'QTR Share Price'!IK21</f>
        <v>#NAME?</v>
      </c>
      <c r="BF78" s="13" t="e">
        <f ca="1">'QTR Share Price'!IL21</f>
        <v>#NAME?</v>
      </c>
      <c r="BG78" s="13" t="e">
        <f ca="1">'QTR Share Price'!IM21</f>
        <v>#NAME?</v>
      </c>
      <c r="BH78" s="13" t="e">
        <f ca="1">'QTR Share Price'!IN21</f>
        <v>#NAME?</v>
      </c>
      <c r="BI78" s="13" t="e">
        <f ca="1">'QTR Share Price'!IO21</f>
        <v>#NAME?</v>
      </c>
      <c r="BJ78" s="13" t="e">
        <f ca="1">'QTR Share Price'!IP21</f>
        <v>#NAME?</v>
      </c>
      <c r="BK78" s="13" t="e">
        <f ca="1">'QTR Share Price'!IQ21</f>
        <v>#NAME?</v>
      </c>
      <c r="BL78" s="13" t="e">
        <f ca="1">'QTR Share Price'!IR21</f>
        <v>#NAME?</v>
      </c>
      <c r="BM78" s="13" t="e">
        <f ca="1">'QTR Share Price'!IS21</f>
        <v>#NAME?</v>
      </c>
      <c r="BN78" s="13" t="e">
        <f ca="1">'QTR Share Price'!IT21</f>
        <v>#NAME?</v>
      </c>
      <c r="BO78" s="13" t="e">
        <f ca="1">'QTR Share Price'!IU21</f>
        <v>#NAME?</v>
      </c>
      <c r="BP78" s="13" t="e">
        <f ca="1">'QTR Share Price'!IV21</f>
        <v>#NAME?</v>
      </c>
      <c r="BQ78" s="13" t="e">
        <f ca="1">'QTR Share Price'!IW21</f>
        <v>#NAME?</v>
      </c>
      <c r="BR78" s="13" t="e">
        <f ca="1">'QTR Share Price'!IX21</f>
        <v>#NAME?</v>
      </c>
      <c r="BS78" s="13" t="e">
        <f ca="1">'QTR Share Price'!IY21</f>
        <v>#NAME?</v>
      </c>
      <c r="BT78" s="13" t="e">
        <f ca="1">'QTR Share Price'!IZ21</f>
        <v>#NAME?</v>
      </c>
      <c r="BU78" s="13" t="e">
        <f ca="1">'QTR Share Price'!JA21</f>
        <v>#NAME?</v>
      </c>
      <c r="BV78" s="13" t="e">
        <f ca="1">'QTR Share Price'!JB21</f>
        <v>#NAME?</v>
      </c>
      <c r="BW78" s="13" t="e">
        <f ca="1">'QTR Share Price'!JC21</f>
        <v>#NAME?</v>
      </c>
      <c r="BX78" s="13" t="e">
        <f ca="1">'QTR Share Price'!JD21</f>
        <v>#NAME?</v>
      </c>
      <c r="BY78" s="13" t="e">
        <f ca="1">'QTR Share Price'!JE21</f>
        <v>#NAME?</v>
      </c>
      <c r="BZ78" s="13" t="e">
        <f ca="1">'QTR Share Price'!JF21</f>
        <v>#NAME?</v>
      </c>
      <c r="CA78" s="13" t="e">
        <f ca="1">'QTR Share Price'!JG21</f>
        <v>#NAME?</v>
      </c>
      <c r="CB78" s="13" t="e">
        <f ca="1">'QTR Share Price'!JH21</f>
        <v>#NAME?</v>
      </c>
      <c r="CC78" s="13" t="e">
        <f ca="1">'QTR Share Price'!JI21</f>
        <v>#NAME?</v>
      </c>
      <c r="CD78" s="13" t="e">
        <f ca="1">'QTR Share Price'!JJ21</f>
        <v>#NAME?</v>
      </c>
      <c r="CE78" s="13" t="e">
        <f ca="1">'QTR Share Price'!JK21</f>
        <v>#NAME?</v>
      </c>
      <c r="CF78" s="13" t="e">
        <f ca="1">'QTR Share Price'!JL21</f>
        <v>#NAME?</v>
      </c>
      <c r="CG78" s="13" t="e">
        <f ca="1">'QTR Share Price'!JM21</f>
        <v>#NAME?</v>
      </c>
      <c r="CH78" s="13" t="e">
        <f ca="1">'QTR Share Price'!JN21</f>
        <v>#NAME?</v>
      </c>
      <c r="CI78" s="13" t="e">
        <f ca="1">'QTR Share Price'!JO21</f>
        <v>#NAME?</v>
      </c>
      <c r="CJ78" s="13" t="e">
        <f ca="1">'QTR Share Price'!JP21</f>
        <v>#NAME?</v>
      </c>
      <c r="CK78" s="13" t="e">
        <f ca="1">'QTR Share Price'!JQ21</f>
        <v>#NAME?</v>
      </c>
      <c r="CL78" s="13" t="e">
        <f ca="1">'QTR Share Price'!JR21</f>
        <v>#NAME?</v>
      </c>
      <c r="CM78" s="37">
        <v>2255</v>
      </c>
      <c r="CN78" s="37">
        <f t="shared" ref="CN78" si="842">+CM78</f>
        <v>2255</v>
      </c>
      <c r="CO78" s="37">
        <f t="shared" ref="CO78" si="843">+CN78</f>
        <v>2255</v>
      </c>
      <c r="CP78" s="37">
        <f t="shared" ref="CP78" si="844">+CO78</f>
        <v>2255</v>
      </c>
      <c r="CQ78" s="37">
        <f t="shared" ref="CQ78" si="845">+CP78</f>
        <v>2255</v>
      </c>
      <c r="CR78" s="37">
        <f t="shared" ref="CR78" si="846">+CQ78</f>
        <v>2255</v>
      </c>
      <c r="CS78" s="37">
        <f t="shared" ref="CS78" si="847">+CR78</f>
        <v>2255</v>
      </c>
      <c r="CT78" s="37">
        <f t="shared" ref="CT78" si="848">+CS78</f>
        <v>2255</v>
      </c>
      <c r="CU78" s="37">
        <f t="shared" ref="CU78" si="849">+CT78</f>
        <v>2255</v>
      </c>
      <c r="CV78" s="37">
        <f t="shared" ref="CV78" si="850">+CU78</f>
        <v>2255</v>
      </c>
      <c r="CW78" s="37">
        <f t="shared" ref="CW78" si="851">+CV78</f>
        <v>2255</v>
      </c>
      <c r="CX78" s="37">
        <f t="shared" ref="CX78" si="852">+CW78</f>
        <v>2255</v>
      </c>
      <c r="CY78" s="37">
        <f t="shared" ref="CY78" si="853">+CX78</f>
        <v>2255</v>
      </c>
      <c r="CZ78" s="37">
        <f t="shared" ref="CZ78" si="854">+CY78</f>
        <v>2255</v>
      </c>
      <c r="DA78" s="37">
        <f t="shared" ref="DA78" si="855">+CZ78</f>
        <v>2255</v>
      </c>
      <c r="DB78" s="37">
        <f t="shared" ref="DB78" si="856">+DA78</f>
        <v>2255</v>
      </c>
      <c r="DE78" s="134"/>
      <c r="DF78" s="13">
        <v>1759.65</v>
      </c>
    </row>
    <row r="79" spans="1:110" s="13" customFormat="1" x14ac:dyDescent="0.2">
      <c r="A79" s="13" t="s">
        <v>458</v>
      </c>
      <c r="B79" s="13" t="e">
        <f ca="1">'Annual Raw'!C107</f>
        <v>#NAME?</v>
      </c>
      <c r="C79" s="13" t="e">
        <f ca="1">'Annual Raw'!D107</f>
        <v>#NAME?</v>
      </c>
      <c r="D79" s="13" t="e">
        <f ca="1">'Annual Raw'!E107</f>
        <v>#NAME?</v>
      </c>
      <c r="E79" s="13" t="e">
        <f ca="1">'Annual Raw'!F107</f>
        <v>#NAME?</v>
      </c>
      <c r="F79" s="13" t="e">
        <f ca="1">'Annual Raw'!G107</f>
        <v>#NAME?</v>
      </c>
      <c r="G79" s="13" t="e">
        <f ca="1">'Annual Raw'!H107</f>
        <v>#NAME?</v>
      </c>
      <c r="H79" s="13" t="e">
        <f ca="1">'Annual Raw'!I107</f>
        <v>#NAME?</v>
      </c>
      <c r="I79" s="13" t="e">
        <f ca="1">'Annual Raw'!J107</f>
        <v>#NAME?</v>
      </c>
      <c r="J79" s="13" t="e">
        <f ca="1">'Annual Raw'!K107</f>
        <v>#NAME?</v>
      </c>
      <c r="K79" s="13" t="e">
        <f ca="1">'Annual Raw'!L107</f>
        <v>#NAME?</v>
      </c>
      <c r="L79" s="13" t="e">
        <f ca="1">'Annual Raw'!M107</f>
        <v>#NAME?</v>
      </c>
      <c r="M79" s="13" t="e">
        <f ca="1">'Annual Raw'!N107</f>
        <v>#NAME?</v>
      </c>
      <c r="N79" s="13" t="e">
        <f ca="1">'Annual Raw'!O107</f>
        <v>#NAME?</v>
      </c>
      <c r="O79" s="13" t="e">
        <f ca="1">'Annual Raw'!P107</f>
        <v>#NAME?</v>
      </c>
      <c r="P79" s="13" t="e">
        <f ca="1">'Annual Raw'!Q107</f>
        <v>#NAME?</v>
      </c>
      <c r="Q79" s="13" t="e">
        <f ca="1">'Annual Raw'!R107</f>
        <v>#NAME?</v>
      </c>
      <c r="R79" s="13" t="e">
        <f ca="1">'Annual Raw'!S107</f>
        <v>#NAME?</v>
      </c>
      <c r="S79" s="13" t="e">
        <f ca="1">'Annual Raw'!T107</f>
        <v>#NAME?</v>
      </c>
      <c r="T79" s="13" t="e">
        <f ca="1">'Annual Raw'!U107</f>
        <v>#NAME?</v>
      </c>
      <c r="U79" s="13" t="e">
        <f ca="1">'Annual Raw'!V107</f>
        <v>#NAME?</v>
      </c>
      <c r="V79" s="13" t="e">
        <f ca="1">'Annual Raw'!W107</f>
        <v>#NAME?</v>
      </c>
      <c r="W79" s="13" t="e">
        <f ca="1">'Annual Raw'!X107</f>
        <v>#NAME?</v>
      </c>
      <c r="X79" s="13" t="e">
        <f ca="1">'Annual Raw'!Y107</f>
        <v>#NAME?</v>
      </c>
      <c r="Y79" s="13" t="e">
        <f ca="1">'Annual Raw'!Z107</f>
        <v>#NAME?</v>
      </c>
      <c r="Z79" s="13" t="e">
        <f ca="1">'Annual Raw'!AA107</f>
        <v>#NAME?</v>
      </c>
      <c r="AA79" s="13" t="e">
        <f ca="1">'Annual Raw'!AB107</f>
        <v>#NAME?</v>
      </c>
      <c r="AB79" s="37" t="e">
        <f ca="1">+MAX(CM79:CP79)</f>
        <v>#NAME?</v>
      </c>
      <c r="AC79" s="37" t="e">
        <f ca="1">+MAX(CQ79:CT79)</f>
        <v>#NAME?</v>
      </c>
      <c r="AD79" s="37" t="e">
        <f ca="1">+MAX(CU79:CX79)</f>
        <v>#NAME?</v>
      </c>
      <c r="AE79" s="37" t="e">
        <f ca="1">+MAX(CY79:DB79)</f>
        <v>#NAME?</v>
      </c>
      <c r="AJ79" s="13" t="e">
        <f ca="1">'QTR Share Price'!HP19</f>
        <v>#NAME?</v>
      </c>
      <c r="AK79" s="13" t="e">
        <f ca="1">'QTR Share Price'!HQ19</f>
        <v>#NAME?</v>
      </c>
      <c r="AL79" s="13" t="e">
        <f ca="1">'QTR Share Price'!HR19</f>
        <v>#NAME?</v>
      </c>
      <c r="AM79" s="13" t="e">
        <f ca="1">'QTR Share Price'!HS19</f>
        <v>#NAME?</v>
      </c>
      <c r="AN79" s="13" t="e">
        <f ca="1">'QTR Share Price'!HT19</f>
        <v>#NAME?</v>
      </c>
      <c r="AO79" s="13" t="e">
        <f ca="1">'QTR Share Price'!HU19</f>
        <v>#NAME?</v>
      </c>
      <c r="AP79" s="13" t="e">
        <f ca="1">'QTR Share Price'!HV19</f>
        <v>#NAME?</v>
      </c>
      <c r="AQ79" s="13" t="e">
        <f ca="1">'QTR Share Price'!HW19</f>
        <v>#NAME?</v>
      </c>
      <c r="AR79" s="13" t="e">
        <f ca="1">'QTR Share Price'!HX19</f>
        <v>#NAME?</v>
      </c>
      <c r="AS79" s="13" t="e">
        <f ca="1">'QTR Share Price'!HY19</f>
        <v>#NAME?</v>
      </c>
      <c r="AT79" s="13" t="e">
        <f ca="1">'QTR Share Price'!HZ19</f>
        <v>#NAME?</v>
      </c>
      <c r="AU79" s="13" t="e">
        <f ca="1">'QTR Share Price'!IA19</f>
        <v>#NAME?</v>
      </c>
      <c r="AV79" s="13" t="e">
        <f ca="1">'QTR Share Price'!IB19</f>
        <v>#NAME?</v>
      </c>
      <c r="AW79" s="13" t="e">
        <f ca="1">'QTR Share Price'!IC19</f>
        <v>#NAME?</v>
      </c>
      <c r="AX79" s="13" t="e">
        <f ca="1">'QTR Share Price'!ID19</f>
        <v>#NAME?</v>
      </c>
      <c r="AY79" s="13" t="e">
        <f ca="1">'QTR Share Price'!IE19</f>
        <v>#NAME?</v>
      </c>
      <c r="AZ79" s="13" t="e">
        <f ca="1">'QTR Share Price'!IF19</f>
        <v>#NAME?</v>
      </c>
      <c r="BA79" s="13" t="e">
        <f ca="1">'QTR Share Price'!IG19</f>
        <v>#NAME?</v>
      </c>
      <c r="BB79" s="13" t="e">
        <f ca="1">'QTR Share Price'!IH19</f>
        <v>#NAME?</v>
      </c>
      <c r="BC79" s="13" t="e">
        <f ca="1">'QTR Share Price'!II19</f>
        <v>#NAME?</v>
      </c>
      <c r="BD79" s="13" t="e">
        <f ca="1">'QTR Share Price'!IJ19</f>
        <v>#NAME?</v>
      </c>
      <c r="BE79" s="13" t="e">
        <f ca="1">'QTR Share Price'!IK19</f>
        <v>#NAME?</v>
      </c>
      <c r="BF79" s="13" t="e">
        <f ca="1">'QTR Share Price'!IL19</f>
        <v>#NAME?</v>
      </c>
      <c r="BG79" s="13" t="e">
        <f ca="1">'QTR Share Price'!IM19</f>
        <v>#NAME?</v>
      </c>
      <c r="BH79" s="13" t="e">
        <f ca="1">'QTR Share Price'!IN19</f>
        <v>#NAME?</v>
      </c>
      <c r="BI79" s="13" t="e">
        <f ca="1">'QTR Share Price'!IO19</f>
        <v>#NAME?</v>
      </c>
      <c r="BJ79" s="13" t="e">
        <f ca="1">'QTR Share Price'!IP19</f>
        <v>#NAME?</v>
      </c>
      <c r="BK79" s="13" t="e">
        <f ca="1">'QTR Share Price'!IQ19</f>
        <v>#NAME?</v>
      </c>
      <c r="BL79" s="13" t="e">
        <f ca="1">'QTR Share Price'!IR19</f>
        <v>#NAME?</v>
      </c>
      <c r="BM79" s="13" t="e">
        <f ca="1">'QTR Share Price'!IS19</f>
        <v>#NAME?</v>
      </c>
      <c r="BN79" s="13" t="e">
        <f ca="1">'QTR Share Price'!IT19</f>
        <v>#NAME?</v>
      </c>
      <c r="BO79" s="13" t="e">
        <f ca="1">'QTR Share Price'!IU19</f>
        <v>#NAME?</v>
      </c>
      <c r="BP79" s="13" t="e">
        <f ca="1">'QTR Share Price'!IV19</f>
        <v>#NAME?</v>
      </c>
      <c r="BQ79" s="13" t="e">
        <f ca="1">'QTR Share Price'!IW19</f>
        <v>#NAME?</v>
      </c>
      <c r="BR79" s="13" t="e">
        <f ca="1">'QTR Share Price'!IX19</f>
        <v>#NAME?</v>
      </c>
      <c r="BS79" s="13" t="e">
        <f ca="1">'QTR Share Price'!IY19</f>
        <v>#NAME?</v>
      </c>
      <c r="BT79" s="13" t="e">
        <f ca="1">'QTR Share Price'!IZ19</f>
        <v>#NAME?</v>
      </c>
      <c r="BU79" s="13" t="e">
        <f ca="1">'QTR Share Price'!JA19</f>
        <v>#NAME?</v>
      </c>
      <c r="BV79" s="13" t="e">
        <f ca="1">'QTR Share Price'!JB19</f>
        <v>#NAME?</v>
      </c>
      <c r="BW79" s="13" t="e">
        <f ca="1">'QTR Share Price'!JC19</f>
        <v>#NAME?</v>
      </c>
      <c r="BX79" s="13" t="e">
        <f ca="1">'QTR Share Price'!JD19</f>
        <v>#NAME?</v>
      </c>
      <c r="BY79" s="13" t="e">
        <f ca="1">'QTR Share Price'!JE19</f>
        <v>#NAME?</v>
      </c>
      <c r="BZ79" s="13" t="e">
        <f ca="1">'QTR Share Price'!JF19</f>
        <v>#NAME?</v>
      </c>
      <c r="CA79" s="13" t="e">
        <f ca="1">'QTR Share Price'!JG19</f>
        <v>#NAME?</v>
      </c>
      <c r="CB79" s="13" t="e">
        <f ca="1">'QTR Share Price'!JH19</f>
        <v>#NAME?</v>
      </c>
      <c r="CC79" s="13" t="e">
        <f ca="1">'QTR Share Price'!JI19</f>
        <v>#NAME?</v>
      </c>
      <c r="CD79" s="13" t="e">
        <f ca="1">'QTR Share Price'!JJ19</f>
        <v>#NAME?</v>
      </c>
      <c r="CE79" s="13" t="e">
        <f ca="1">'QTR Share Price'!JK19</f>
        <v>#NAME?</v>
      </c>
      <c r="CF79" s="13" t="e">
        <f ca="1">'QTR Share Price'!JL19</f>
        <v>#NAME?</v>
      </c>
      <c r="CG79" s="13" t="e">
        <f ca="1">'QTR Share Price'!JM19</f>
        <v>#NAME?</v>
      </c>
      <c r="CH79" s="13" t="e">
        <f ca="1">'QTR Share Price'!JN19</f>
        <v>#NAME?</v>
      </c>
      <c r="CI79" s="13" t="e">
        <f ca="1">'QTR Share Price'!JO19</f>
        <v>#NAME?</v>
      </c>
      <c r="CJ79" s="13" t="e">
        <f ca="1">'QTR Share Price'!JP19</f>
        <v>#NAME?</v>
      </c>
      <c r="CK79" s="13" t="e">
        <f ca="1">'QTR Share Price'!JQ19</f>
        <v>#NAME?</v>
      </c>
      <c r="CL79" s="13" t="e">
        <f ca="1">'QTR Share Price'!JR19</f>
        <v>#NAME?</v>
      </c>
      <c r="CM79" s="37" t="e">
        <f t="shared" ref="CM79:DB79" ca="1" si="857">+CM93*CM96</f>
        <v>#NAME?</v>
      </c>
      <c r="CN79" s="37" t="e">
        <f t="shared" ca="1" si="857"/>
        <v>#NAME?</v>
      </c>
      <c r="CO79" s="37" t="e">
        <f t="shared" ca="1" si="857"/>
        <v>#NAME?</v>
      </c>
      <c r="CP79" s="37" t="e">
        <f t="shared" ca="1" si="857"/>
        <v>#NAME?</v>
      </c>
      <c r="CQ79" s="37" t="e">
        <f t="shared" ca="1" si="857"/>
        <v>#NAME?</v>
      </c>
      <c r="CR79" s="37" t="e">
        <f t="shared" ca="1" si="857"/>
        <v>#NAME?</v>
      </c>
      <c r="CS79" s="37" t="e">
        <f t="shared" ca="1" si="857"/>
        <v>#NAME?</v>
      </c>
      <c r="CT79" s="37" t="e">
        <f t="shared" ca="1" si="857"/>
        <v>#NAME?</v>
      </c>
      <c r="CU79" s="37" t="e">
        <f t="shared" ca="1" si="857"/>
        <v>#NAME?</v>
      </c>
      <c r="CV79" s="37" t="e">
        <f t="shared" ca="1" si="857"/>
        <v>#NAME?</v>
      </c>
      <c r="CW79" s="37" t="e">
        <f t="shared" ca="1" si="857"/>
        <v>#NAME?</v>
      </c>
      <c r="CX79" s="37" t="e">
        <f t="shared" ca="1" si="857"/>
        <v>#NAME?</v>
      </c>
      <c r="CY79" s="37" t="e">
        <f t="shared" ca="1" si="857"/>
        <v>#NAME?</v>
      </c>
      <c r="CZ79" s="37" t="e">
        <f t="shared" ca="1" si="857"/>
        <v>#NAME?</v>
      </c>
      <c r="DA79" s="37" t="e">
        <f t="shared" ca="1" si="857"/>
        <v>#NAME?</v>
      </c>
      <c r="DB79" s="37" t="e">
        <f t="shared" ca="1" si="857"/>
        <v>#NAME?</v>
      </c>
      <c r="DE79" s="134"/>
      <c r="DF79" s="13">
        <v>2612.7581351689601</v>
      </c>
    </row>
    <row r="80" spans="1:110" s="13" customFormat="1" x14ac:dyDescent="0.2">
      <c r="A80" s="13" t="s">
        <v>459</v>
      </c>
      <c r="B80" s="13" t="e">
        <f ca="1">'Annual Raw'!C108</f>
        <v>#NAME?</v>
      </c>
      <c r="C80" s="13" t="e">
        <f ca="1">'Annual Raw'!D108</f>
        <v>#NAME?</v>
      </c>
      <c r="D80" s="13" t="e">
        <f ca="1">'Annual Raw'!E108</f>
        <v>#NAME?</v>
      </c>
      <c r="E80" s="13" t="e">
        <f ca="1">'Annual Raw'!F108</f>
        <v>#NAME?</v>
      </c>
      <c r="F80" s="13" t="e">
        <f ca="1">'Annual Raw'!G108</f>
        <v>#NAME?</v>
      </c>
      <c r="G80" s="13" t="e">
        <f ca="1">'Annual Raw'!H108</f>
        <v>#NAME?</v>
      </c>
      <c r="H80" s="13" t="e">
        <f ca="1">'Annual Raw'!I108</f>
        <v>#NAME?</v>
      </c>
      <c r="I80" s="13" t="e">
        <f ca="1">'Annual Raw'!J108</f>
        <v>#NAME?</v>
      </c>
      <c r="J80" s="13" t="e">
        <f ca="1">'Annual Raw'!K108</f>
        <v>#NAME?</v>
      </c>
      <c r="K80" s="13" t="e">
        <f ca="1">'Annual Raw'!L108</f>
        <v>#NAME?</v>
      </c>
      <c r="L80" s="13" t="e">
        <f ca="1">'Annual Raw'!M108</f>
        <v>#NAME?</v>
      </c>
      <c r="M80" s="13" t="e">
        <f ca="1">'Annual Raw'!N108</f>
        <v>#NAME?</v>
      </c>
      <c r="N80" s="13" t="e">
        <f ca="1">'Annual Raw'!O108</f>
        <v>#NAME?</v>
      </c>
      <c r="O80" s="13" t="e">
        <f ca="1">'Annual Raw'!P108</f>
        <v>#NAME?</v>
      </c>
      <c r="P80" s="13" t="e">
        <f ca="1">'Annual Raw'!Q108</f>
        <v>#NAME?</v>
      </c>
      <c r="Q80" s="13" t="e">
        <f ca="1">'Annual Raw'!R108</f>
        <v>#NAME?</v>
      </c>
      <c r="R80" s="13" t="e">
        <f ca="1">'Annual Raw'!S108</f>
        <v>#NAME?</v>
      </c>
      <c r="S80" s="13" t="e">
        <f ca="1">'Annual Raw'!T108</f>
        <v>#NAME?</v>
      </c>
      <c r="T80" s="13" t="e">
        <f ca="1">'Annual Raw'!U108</f>
        <v>#NAME?</v>
      </c>
      <c r="U80" s="13" t="e">
        <f ca="1">'Annual Raw'!V108</f>
        <v>#NAME?</v>
      </c>
      <c r="V80" s="13" t="e">
        <f ca="1">'Annual Raw'!W108</f>
        <v>#NAME?</v>
      </c>
      <c r="W80" s="13" t="e">
        <f ca="1">'Annual Raw'!X108</f>
        <v>#NAME?</v>
      </c>
      <c r="X80" s="13" t="e">
        <f ca="1">'Annual Raw'!Y108</f>
        <v>#NAME?</v>
      </c>
      <c r="Y80" s="13" t="e">
        <f ca="1">'Annual Raw'!Z108</f>
        <v>#NAME?</v>
      </c>
      <c r="Z80" s="13" t="e">
        <f ca="1">'Annual Raw'!AA108</f>
        <v>#NAME?</v>
      </c>
      <c r="AA80" s="13" t="e">
        <f ca="1">'Annual Raw'!AB108</f>
        <v>#NAME?</v>
      </c>
      <c r="AB80" s="37" t="e">
        <f ca="1">+MIN(CM80:CP80)</f>
        <v>#NAME?</v>
      </c>
      <c r="AC80" s="37" t="e">
        <f ca="1">+MIN(CQ80:CT80)</f>
        <v>#NAME?</v>
      </c>
      <c r="AD80" s="37" t="e">
        <f ca="1">+MIN(CU80:CX80)</f>
        <v>#NAME?</v>
      </c>
      <c r="AE80" s="37" t="e">
        <f ca="1">+MIN(CY80:DB80)</f>
        <v>#NAME?</v>
      </c>
      <c r="AJ80" s="13" t="e">
        <f ca="1">+'QTR Share Price'!HP20</f>
        <v>#NAME?</v>
      </c>
      <c r="AK80" s="13" t="e">
        <f ca="1">+'QTR Share Price'!HQ20</f>
        <v>#NAME?</v>
      </c>
      <c r="AL80" s="13" t="e">
        <f ca="1">+'QTR Share Price'!HR20</f>
        <v>#NAME?</v>
      </c>
      <c r="AM80" s="13" t="e">
        <f ca="1">+'QTR Share Price'!HS20</f>
        <v>#NAME?</v>
      </c>
      <c r="AN80" s="13" t="e">
        <f ca="1">+'QTR Share Price'!HT20</f>
        <v>#NAME?</v>
      </c>
      <c r="AO80" s="13" t="e">
        <f ca="1">+'QTR Share Price'!HU20</f>
        <v>#NAME?</v>
      </c>
      <c r="AP80" s="13" t="e">
        <f ca="1">+'QTR Share Price'!HV20</f>
        <v>#NAME?</v>
      </c>
      <c r="AQ80" s="13" t="e">
        <f ca="1">+'QTR Share Price'!HW20</f>
        <v>#NAME?</v>
      </c>
      <c r="AR80" s="13" t="e">
        <f ca="1">+'QTR Share Price'!HX20</f>
        <v>#NAME?</v>
      </c>
      <c r="AS80" s="13" t="e">
        <f ca="1">+'QTR Share Price'!HY20</f>
        <v>#NAME?</v>
      </c>
      <c r="AT80" s="13" t="e">
        <f ca="1">+'QTR Share Price'!HZ20</f>
        <v>#NAME?</v>
      </c>
      <c r="AU80" s="13" t="e">
        <f ca="1">+'QTR Share Price'!IA20</f>
        <v>#NAME?</v>
      </c>
      <c r="AV80" s="13" t="e">
        <f ca="1">+'QTR Share Price'!IB20</f>
        <v>#NAME?</v>
      </c>
      <c r="AW80" s="13" t="e">
        <f ca="1">+'QTR Share Price'!IC20</f>
        <v>#NAME?</v>
      </c>
      <c r="AX80" s="13" t="e">
        <f ca="1">+'QTR Share Price'!ID20</f>
        <v>#NAME?</v>
      </c>
      <c r="AY80" s="13" t="e">
        <f ca="1">+'QTR Share Price'!IE20</f>
        <v>#NAME?</v>
      </c>
      <c r="AZ80" s="13" t="e">
        <f ca="1">+'QTR Share Price'!IF20</f>
        <v>#NAME?</v>
      </c>
      <c r="BA80" s="13" t="e">
        <f ca="1">+'QTR Share Price'!IG20</f>
        <v>#NAME?</v>
      </c>
      <c r="BB80" s="13" t="e">
        <f ca="1">+'QTR Share Price'!IH20</f>
        <v>#NAME?</v>
      </c>
      <c r="BC80" s="13" t="e">
        <f ca="1">+'QTR Share Price'!II20</f>
        <v>#NAME?</v>
      </c>
      <c r="BD80" s="13" t="e">
        <f ca="1">+'QTR Share Price'!IJ20</f>
        <v>#NAME?</v>
      </c>
      <c r="BE80" s="13" t="e">
        <f ca="1">+'QTR Share Price'!IK20</f>
        <v>#NAME?</v>
      </c>
      <c r="BF80" s="13" t="e">
        <f ca="1">+'QTR Share Price'!IL20</f>
        <v>#NAME?</v>
      </c>
      <c r="BG80" s="13" t="e">
        <f ca="1">+'QTR Share Price'!IM20</f>
        <v>#NAME?</v>
      </c>
      <c r="BH80" s="13" t="e">
        <f ca="1">+'QTR Share Price'!IN20</f>
        <v>#NAME?</v>
      </c>
      <c r="BI80" s="13" t="e">
        <f ca="1">+'QTR Share Price'!IO20</f>
        <v>#NAME?</v>
      </c>
      <c r="BJ80" s="13" t="e">
        <f ca="1">+'QTR Share Price'!IP20</f>
        <v>#NAME?</v>
      </c>
      <c r="BK80" s="13" t="e">
        <f ca="1">+'QTR Share Price'!IQ20</f>
        <v>#NAME?</v>
      </c>
      <c r="BL80" s="13" t="e">
        <f ca="1">+'QTR Share Price'!IR20</f>
        <v>#NAME?</v>
      </c>
      <c r="BM80" s="13" t="e">
        <f ca="1">+'QTR Share Price'!IS20</f>
        <v>#NAME?</v>
      </c>
      <c r="BN80" s="13" t="e">
        <f ca="1">+'QTR Share Price'!IT20</f>
        <v>#NAME?</v>
      </c>
      <c r="BO80" s="13" t="e">
        <f ca="1">+'QTR Share Price'!IU20</f>
        <v>#NAME?</v>
      </c>
      <c r="BP80" s="13" t="e">
        <f ca="1">+'QTR Share Price'!IV20</f>
        <v>#NAME?</v>
      </c>
      <c r="BQ80" s="13" t="e">
        <f ca="1">+'QTR Share Price'!IW20</f>
        <v>#NAME?</v>
      </c>
      <c r="BR80" s="13" t="e">
        <f ca="1">+'QTR Share Price'!IX20</f>
        <v>#NAME?</v>
      </c>
      <c r="BS80" s="13" t="e">
        <f ca="1">+'QTR Share Price'!IY20</f>
        <v>#NAME?</v>
      </c>
      <c r="BT80" s="13" t="e">
        <f ca="1">+'QTR Share Price'!IZ20</f>
        <v>#NAME?</v>
      </c>
      <c r="BU80" s="13" t="e">
        <f ca="1">+'QTR Share Price'!JA20</f>
        <v>#NAME?</v>
      </c>
      <c r="BV80" s="13" t="e">
        <f ca="1">+'QTR Share Price'!JB20</f>
        <v>#NAME?</v>
      </c>
      <c r="BW80" s="13" t="e">
        <f ca="1">+'QTR Share Price'!JC20</f>
        <v>#NAME?</v>
      </c>
      <c r="BX80" s="13" t="e">
        <f ca="1">+'QTR Share Price'!JD20</f>
        <v>#NAME?</v>
      </c>
      <c r="BY80" s="13" t="e">
        <f ca="1">+'QTR Share Price'!JE20</f>
        <v>#NAME?</v>
      </c>
      <c r="BZ80" s="13" t="e">
        <f ca="1">+'QTR Share Price'!JF20</f>
        <v>#NAME?</v>
      </c>
      <c r="CA80" s="13" t="e">
        <f ca="1">+'QTR Share Price'!JG20</f>
        <v>#NAME?</v>
      </c>
      <c r="CB80" s="13" t="e">
        <f ca="1">+'QTR Share Price'!JH20</f>
        <v>#NAME?</v>
      </c>
      <c r="CC80" s="13" t="e">
        <f ca="1">+'QTR Share Price'!JI20</f>
        <v>#NAME?</v>
      </c>
      <c r="CD80" s="13" t="e">
        <f ca="1">+'QTR Share Price'!JJ20</f>
        <v>#NAME?</v>
      </c>
      <c r="CE80" s="13" t="e">
        <f ca="1">+'QTR Share Price'!JK20</f>
        <v>#NAME?</v>
      </c>
      <c r="CF80" s="13" t="e">
        <f ca="1">+'QTR Share Price'!JL20</f>
        <v>#NAME?</v>
      </c>
      <c r="CG80" s="13" t="e">
        <f ca="1">+'QTR Share Price'!JM20</f>
        <v>#NAME?</v>
      </c>
      <c r="CH80" s="13" t="e">
        <f ca="1">+'QTR Share Price'!JN20</f>
        <v>#NAME?</v>
      </c>
      <c r="CI80" s="13" t="e">
        <f ca="1">+'QTR Share Price'!JO20</f>
        <v>#NAME?</v>
      </c>
      <c r="CJ80" s="13" t="e">
        <f ca="1">+'QTR Share Price'!JP20</f>
        <v>#NAME?</v>
      </c>
      <c r="CK80" s="13" t="e">
        <f ca="1">+'QTR Share Price'!JQ20</f>
        <v>#NAME?</v>
      </c>
      <c r="CL80" s="13" t="e">
        <f ca="1">+'QTR Share Price'!JR20</f>
        <v>#NAME?</v>
      </c>
      <c r="CM80" s="37" t="e">
        <f t="shared" ref="CM80:DB80" ca="1" si="858">+CM93*CM97</f>
        <v>#NAME?</v>
      </c>
      <c r="CN80" s="37" t="e">
        <f t="shared" ca="1" si="858"/>
        <v>#NAME?</v>
      </c>
      <c r="CO80" s="37" t="e">
        <f t="shared" ca="1" si="858"/>
        <v>#NAME?</v>
      </c>
      <c r="CP80" s="37" t="e">
        <f t="shared" ca="1" si="858"/>
        <v>#NAME?</v>
      </c>
      <c r="CQ80" s="37" t="e">
        <f t="shared" ca="1" si="858"/>
        <v>#NAME?</v>
      </c>
      <c r="CR80" s="37" t="e">
        <f t="shared" ca="1" si="858"/>
        <v>#NAME?</v>
      </c>
      <c r="CS80" s="37" t="e">
        <f t="shared" ca="1" si="858"/>
        <v>#NAME?</v>
      </c>
      <c r="CT80" s="37" t="e">
        <f t="shared" ca="1" si="858"/>
        <v>#NAME?</v>
      </c>
      <c r="CU80" s="37" t="e">
        <f t="shared" ca="1" si="858"/>
        <v>#NAME?</v>
      </c>
      <c r="CV80" s="37" t="e">
        <f t="shared" ca="1" si="858"/>
        <v>#NAME?</v>
      </c>
      <c r="CW80" s="37" t="e">
        <f t="shared" ca="1" si="858"/>
        <v>#NAME?</v>
      </c>
      <c r="CX80" s="37" t="e">
        <f t="shared" ca="1" si="858"/>
        <v>#NAME?</v>
      </c>
      <c r="CY80" s="37" t="e">
        <f t="shared" ca="1" si="858"/>
        <v>#NAME?</v>
      </c>
      <c r="CZ80" s="37" t="e">
        <f t="shared" ca="1" si="858"/>
        <v>#NAME?</v>
      </c>
      <c r="DA80" s="37" t="e">
        <f t="shared" ca="1" si="858"/>
        <v>#NAME?</v>
      </c>
      <c r="DB80" s="37" t="e">
        <f t="shared" ca="1" si="858"/>
        <v>#NAME?</v>
      </c>
      <c r="DE80" s="134"/>
      <c r="DF80" s="13">
        <v>1753.45</v>
      </c>
    </row>
    <row r="81" spans="1:110" s="14" customFormat="1" x14ac:dyDescent="0.2">
      <c r="AB81" s="16"/>
      <c r="AC81" s="16"/>
      <c r="AD81" s="16"/>
      <c r="AE81" s="16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51" customFormat="1" x14ac:dyDescent="0.2">
      <c r="A82" s="51" t="s">
        <v>346</v>
      </c>
      <c r="AB82" s="48" t="e">
        <f t="shared" ref="AB82:AD82" ca="1" si="859">+AB79/AB78-1</f>
        <v>#NAME?</v>
      </c>
      <c r="AC82" s="48" t="e">
        <f t="shared" ca="1" si="859"/>
        <v>#NAME?</v>
      </c>
      <c r="AD82" s="48" t="e">
        <f t="shared" ca="1" si="859"/>
        <v>#NAME?</v>
      </c>
      <c r="AE82" s="48" t="e">
        <f t="shared" ref="AE82" ca="1" si="860">+AE79/AE78-1</f>
        <v>#NAME?</v>
      </c>
      <c r="CM82" s="48" t="e">
        <f t="shared" ref="CM82:DB82" ca="1" si="861">+CM79/CM78-1</f>
        <v>#NAME?</v>
      </c>
      <c r="CN82" s="48" t="e">
        <f t="shared" ca="1" si="861"/>
        <v>#NAME?</v>
      </c>
      <c r="CO82" s="48" t="e">
        <f t="shared" ca="1" si="861"/>
        <v>#NAME?</v>
      </c>
      <c r="CP82" s="48" t="e">
        <f t="shared" ca="1" si="861"/>
        <v>#NAME?</v>
      </c>
      <c r="CQ82" s="48" t="e">
        <f t="shared" ca="1" si="861"/>
        <v>#NAME?</v>
      </c>
      <c r="CR82" s="48" t="e">
        <f t="shared" ca="1" si="861"/>
        <v>#NAME?</v>
      </c>
      <c r="CS82" s="48" t="e">
        <f t="shared" ca="1" si="861"/>
        <v>#NAME?</v>
      </c>
      <c r="CT82" s="48" t="e">
        <f t="shared" ca="1" si="861"/>
        <v>#NAME?</v>
      </c>
      <c r="CU82" s="48" t="e">
        <f t="shared" ca="1" si="861"/>
        <v>#NAME?</v>
      </c>
      <c r="CV82" s="48" t="e">
        <f t="shared" ca="1" si="861"/>
        <v>#NAME?</v>
      </c>
      <c r="CW82" s="48" t="e">
        <f t="shared" ca="1" si="861"/>
        <v>#NAME?</v>
      </c>
      <c r="CX82" s="48" t="e">
        <f t="shared" ca="1" si="861"/>
        <v>#NAME?</v>
      </c>
      <c r="CY82" s="48" t="e">
        <f t="shared" ca="1" si="861"/>
        <v>#NAME?</v>
      </c>
      <c r="CZ82" s="48" t="e">
        <f t="shared" ca="1" si="861"/>
        <v>#NAME?</v>
      </c>
      <c r="DA82" s="48" t="e">
        <f t="shared" ca="1" si="861"/>
        <v>#NAME?</v>
      </c>
      <c r="DB82" s="48" t="e">
        <f t="shared" ca="1" si="861"/>
        <v>#NAME?</v>
      </c>
      <c r="DE82" s="129"/>
      <c r="DF82" s="51">
        <v>0.48481694380641605</v>
      </c>
    </row>
    <row r="83" spans="1:110" s="51" customFormat="1" x14ac:dyDescent="0.2">
      <c r="A83" s="51" t="s">
        <v>347</v>
      </c>
      <c r="AB83" s="48" t="e">
        <f t="shared" ref="AB83:AD83" ca="1" si="862">+AB80/AB78-1</f>
        <v>#NAME?</v>
      </c>
      <c r="AC83" s="48" t="e">
        <f t="shared" ca="1" si="862"/>
        <v>#NAME?</v>
      </c>
      <c r="AD83" s="48" t="e">
        <f t="shared" ca="1" si="862"/>
        <v>#NAME?</v>
      </c>
      <c r="AE83" s="48" t="e">
        <f t="shared" ref="AE83" ca="1" si="863">+AE80/AE78-1</f>
        <v>#NAME?</v>
      </c>
      <c r="CM83" s="48" t="e">
        <f t="shared" ref="CM83:DB83" ca="1" si="864">+CM80/CM78-1</f>
        <v>#NAME?</v>
      </c>
      <c r="CN83" s="48" t="e">
        <f t="shared" ca="1" si="864"/>
        <v>#NAME?</v>
      </c>
      <c r="CO83" s="48" t="e">
        <f t="shared" ca="1" si="864"/>
        <v>#NAME?</v>
      </c>
      <c r="CP83" s="48" t="e">
        <f t="shared" ca="1" si="864"/>
        <v>#NAME?</v>
      </c>
      <c r="CQ83" s="48" t="e">
        <f t="shared" ca="1" si="864"/>
        <v>#NAME?</v>
      </c>
      <c r="CR83" s="48" t="e">
        <f t="shared" ca="1" si="864"/>
        <v>#NAME?</v>
      </c>
      <c r="CS83" s="48" t="e">
        <f t="shared" ca="1" si="864"/>
        <v>#NAME?</v>
      </c>
      <c r="CT83" s="48" t="e">
        <f t="shared" ca="1" si="864"/>
        <v>#NAME?</v>
      </c>
      <c r="CU83" s="48" t="e">
        <f t="shared" ca="1" si="864"/>
        <v>#NAME?</v>
      </c>
      <c r="CV83" s="48" t="e">
        <f t="shared" ca="1" si="864"/>
        <v>#NAME?</v>
      </c>
      <c r="CW83" s="48" t="e">
        <f t="shared" ca="1" si="864"/>
        <v>#NAME?</v>
      </c>
      <c r="CX83" s="48" t="e">
        <f t="shared" ca="1" si="864"/>
        <v>#NAME?</v>
      </c>
      <c r="CY83" s="48" t="e">
        <f t="shared" ca="1" si="864"/>
        <v>#NAME?</v>
      </c>
      <c r="CZ83" s="48" t="e">
        <f t="shared" ca="1" si="864"/>
        <v>#NAME?</v>
      </c>
      <c r="DA83" s="48" t="e">
        <f t="shared" ca="1" si="864"/>
        <v>#NAME?</v>
      </c>
      <c r="DB83" s="48" t="e">
        <f t="shared" ca="1" si="864"/>
        <v>#NAME?</v>
      </c>
      <c r="DE83" s="129"/>
      <c r="DF83" s="51">
        <v>-3.5234279544227309E-3</v>
      </c>
    </row>
    <row r="84" spans="1:110" s="14" customFormat="1" x14ac:dyDescent="0.2">
      <c r="AB84" s="16"/>
      <c r="AC84" s="16"/>
      <c r="AD84" s="16"/>
      <c r="AE84" s="16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40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460</v>
      </c>
      <c r="B86" s="13" t="e">
        <f t="shared" ref="B86:D86" ca="1" si="865">+B78/B70</f>
        <v>#NAME?</v>
      </c>
      <c r="C86" s="13" t="e">
        <f t="shared" ca="1" si="865"/>
        <v>#NAME?</v>
      </c>
      <c r="D86" s="13" t="e">
        <f t="shared" ca="1" si="865"/>
        <v>#NAME?</v>
      </c>
      <c r="E86" s="13" t="e">
        <f t="shared" ref="E86:AE86" ca="1" si="866">+E78/E70</f>
        <v>#NAME?</v>
      </c>
      <c r="F86" s="13" t="e">
        <f t="shared" ca="1" si="866"/>
        <v>#NAME?</v>
      </c>
      <c r="G86" s="13" t="e">
        <f t="shared" ca="1" si="866"/>
        <v>#NAME?</v>
      </c>
      <c r="H86" s="13" t="e">
        <f t="shared" ca="1" si="866"/>
        <v>#NAME?</v>
      </c>
      <c r="I86" s="13" t="e">
        <f t="shared" ca="1" si="866"/>
        <v>#NAME?</v>
      </c>
      <c r="J86" s="13" t="e">
        <f t="shared" ca="1" si="866"/>
        <v>#NAME?</v>
      </c>
      <c r="K86" s="13" t="e">
        <f t="shared" ca="1" si="866"/>
        <v>#NAME?</v>
      </c>
      <c r="L86" s="13" t="e">
        <f t="shared" ca="1" si="866"/>
        <v>#NAME?</v>
      </c>
      <c r="M86" s="13" t="e">
        <f t="shared" ca="1" si="866"/>
        <v>#NAME?</v>
      </c>
      <c r="N86" s="13" t="e">
        <f t="shared" ca="1" si="866"/>
        <v>#NAME?</v>
      </c>
      <c r="O86" s="13" t="e">
        <f t="shared" ca="1" si="866"/>
        <v>#NAME?</v>
      </c>
      <c r="P86" s="13" t="e">
        <f t="shared" ca="1" si="866"/>
        <v>#NAME?</v>
      </c>
      <c r="Q86" s="13" t="e">
        <f t="shared" ca="1" si="866"/>
        <v>#NAME?</v>
      </c>
      <c r="R86" s="13" t="e">
        <f t="shared" ca="1" si="866"/>
        <v>#NAME?</v>
      </c>
      <c r="S86" s="13" t="e">
        <f t="shared" ca="1" si="866"/>
        <v>#NAME?</v>
      </c>
      <c r="T86" s="13" t="e">
        <f t="shared" ca="1" si="866"/>
        <v>#NAME?</v>
      </c>
      <c r="U86" s="13" t="e">
        <f t="shared" ca="1" si="866"/>
        <v>#NAME?</v>
      </c>
      <c r="V86" s="13" t="e">
        <f t="shared" ca="1" si="866"/>
        <v>#NAME?</v>
      </c>
      <c r="W86" s="13" t="e">
        <f t="shared" ca="1" si="866"/>
        <v>#NAME?</v>
      </c>
      <c r="X86" s="13" t="e">
        <f t="shared" ca="1" si="866"/>
        <v>#NAME?</v>
      </c>
      <c r="Y86" s="13" t="e">
        <f t="shared" ca="1" si="866"/>
        <v>#NAME?</v>
      </c>
      <c r="Z86" s="13" t="e">
        <f t="shared" ref="Z86:AA86" ca="1" si="867">+Z78/Z70</f>
        <v>#NAME?</v>
      </c>
      <c r="AA86" s="13" t="e">
        <f t="shared" ca="1" si="867"/>
        <v>#NAME?</v>
      </c>
      <c r="AB86" s="37" t="e">
        <f t="shared" ca="1" si="866"/>
        <v>#NAME?</v>
      </c>
      <c r="AC86" s="37" t="e">
        <f t="shared" ca="1" si="866"/>
        <v>#NAME?</v>
      </c>
      <c r="AD86" s="37" t="e">
        <f t="shared" ca="1" si="866"/>
        <v>#NAME?</v>
      </c>
      <c r="AE86" s="37" t="e">
        <f t="shared" ca="1" si="866"/>
        <v>#NAME?</v>
      </c>
      <c r="AL86" s="13" t="e">
        <f t="shared" ref="AL86:BQ86" ca="1" si="868">+AL78/AL70</f>
        <v>#NAME?</v>
      </c>
      <c r="AM86" s="13" t="e">
        <f t="shared" ca="1" si="868"/>
        <v>#NAME?</v>
      </c>
      <c r="AN86" s="13" t="e">
        <f t="shared" ca="1" si="868"/>
        <v>#NAME?</v>
      </c>
      <c r="AO86" s="13" t="e">
        <f t="shared" ca="1" si="868"/>
        <v>#NAME?</v>
      </c>
      <c r="AP86" s="13" t="e">
        <f t="shared" ca="1" si="868"/>
        <v>#NAME?</v>
      </c>
      <c r="AQ86" s="13" t="e">
        <f t="shared" ca="1" si="868"/>
        <v>#NAME?</v>
      </c>
      <c r="AR86" s="13" t="e">
        <f t="shared" ca="1" si="868"/>
        <v>#NAME?</v>
      </c>
      <c r="AS86" s="13" t="e">
        <f t="shared" ca="1" si="868"/>
        <v>#NAME?</v>
      </c>
      <c r="AT86" s="13" t="e">
        <f t="shared" ca="1" si="868"/>
        <v>#NAME?</v>
      </c>
      <c r="AU86" s="13" t="e">
        <f t="shared" ca="1" si="868"/>
        <v>#NAME?</v>
      </c>
      <c r="AV86" s="13" t="e">
        <f t="shared" ca="1" si="868"/>
        <v>#NAME?</v>
      </c>
      <c r="AW86" s="13" t="e">
        <f t="shared" ca="1" si="868"/>
        <v>#NAME?</v>
      </c>
      <c r="AX86" s="13" t="e">
        <f t="shared" ca="1" si="868"/>
        <v>#NAME?</v>
      </c>
      <c r="AY86" s="13" t="e">
        <f t="shared" ca="1" si="868"/>
        <v>#NAME?</v>
      </c>
      <c r="AZ86" s="13" t="e">
        <f t="shared" ca="1" si="868"/>
        <v>#NAME?</v>
      </c>
      <c r="BA86" s="13" t="e">
        <f t="shared" ca="1" si="868"/>
        <v>#NAME?</v>
      </c>
      <c r="BB86" s="13" t="e">
        <f t="shared" ca="1" si="868"/>
        <v>#NAME?</v>
      </c>
      <c r="BC86" s="13" t="e">
        <f t="shared" ca="1" si="868"/>
        <v>#NAME?</v>
      </c>
      <c r="BD86" s="13" t="e">
        <f t="shared" ca="1" si="868"/>
        <v>#NAME?</v>
      </c>
      <c r="BE86" s="13" t="e">
        <f t="shared" ca="1" si="868"/>
        <v>#NAME?</v>
      </c>
      <c r="BF86" s="13" t="e">
        <f t="shared" ca="1" si="868"/>
        <v>#NAME?</v>
      </c>
      <c r="BG86" s="13" t="e">
        <f t="shared" ca="1" si="868"/>
        <v>#NAME?</v>
      </c>
      <c r="BH86" s="13" t="e">
        <f t="shared" ca="1" si="868"/>
        <v>#NAME?</v>
      </c>
      <c r="BI86" s="13" t="e">
        <f t="shared" ca="1" si="868"/>
        <v>#NAME?</v>
      </c>
      <c r="BJ86" s="13" t="e">
        <f t="shared" ca="1" si="868"/>
        <v>#NAME?</v>
      </c>
      <c r="BK86" s="13" t="e">
        <f t="shared" ca="1" si="868"/>
        <v>#NAME?</v>
      </c>
      <c r="BL86" s="13" t="e">
        <f t="shared" ca="1" si="868"/>
        <v>#NAME?</v>
      </c>
      <c r="BM86" s="13" t="e">
        <f t="shared" ca="1" si="868"/>
        <v>#NAME?</v>
      </c>
      <c r="BN86" s="13" t="e">
        <f t="shared" ca="1" si="868"/>
        <v>#NAME?</v>
      </c>
      <c r="BO86" s="13" t="e">
        <f t="shared" ca="1" si="868"/>
        <v>#NAME?</v>
      </c>
      <c r="BP86" s="13" t="e">
        <f t="shared" ca="1" si="868"/>
        <v>#NAME?</v>
      </c>
      <c r="BQ86" s="13" t="e">
        <f t="shared" ca="1" si="868"/>
        <v>#NAME?</v>
      </c>
      <c r="BR86" s="13" t="e">
        <f t="shared" ref="BR86:DB86" ca="1" si="869">+BR78/BR70</f>
        <v>#NAME?</v>
      </c>
      <c r="BS86" s="13" t="e">
        <f t="shared" ca="1" si="869"/>
        <v>#NAME?</v>
      </c>
      <c r="BT86" s="13" t="e">
        <f t="shared" ca="1" si="869"/>
        <v>#NAME?</v>
      </c>
      <c r="BU86" s="13" t="e">
        <f t="shared" ca="1" si="869"/>
        <v>#NAME?</v>
      </c>
      <c r="BV86" s="13" t="e">
        <f t="shared" ca="1" si="869"/>
        <v>#NAME?</v>
      </c>
      <c r="BW86" s="13" t="e">
        <f t="shared" ca="1" si="869"/>
        <v>#NAME?</v>
      </c>
      <c r="BX86" s="13" t="e">
        <f t="shared" ca="1" si="869"/>
        <v>#NAME?</v>
      </c>
      <c r="BY86" s="13" t="e">
        <f t="shared" ca="1" si="869"/>
        <v>#NAME?</v>
      </c>
      <c r="BZ86" s="13" t="e">
        <f t="shared" ca="1" si="869"/>
        <v>#NAME?</v>
      </c>
      <c r="CA86" s="13" t="e">
        <f t="shared" ca="1" si="869"/>
        <v>#NAME?</v>
      </c>
      <c r="CB86" s="13" t="e">
        <f t="shared" ca="1" si="869"/>
        <v>#NAME?</v>
      </c>
      <c r="CC86" s="13" t="e">
        <f t="shared" ca="1" si="869"/>
        <v>#NAME?</v>
      </c>
      <c r="CD86" s="13" t="e">
        <f t="shared" ca="1" si="869"/>
        <v>#NAME?</v>
      </c>
      <c r="CE86" s="13" t="e">
        <f t="shared" ca="1" si="869"/>
        <v>#NAME?</v>
      </c>
      <c r="CF86" s="13" t="e">
        <f t="shared" ca="1" si="869"/>
        <v>#NAME?</v>
      </c>
      <c r="CG86" s="13" t="e">
        <f t="shared" ca="1" si="869"/>
        <v>#NAME?</v>
      </c>
      <c r="CH86" s="13" t="e">
        <f t="shared" ca="1" si="869"/>
        <v>#NAME?</v>
      </c>
      <c r="CI86" s="13" t="e">
        <f t="shared" ref="CI86:CJ86" ca="1" si="870">+CI78/CI70</f>
        <v>#NAME?</v>
      </c>
      <c r="CJ86" s="13" t="e">
        <f t="shared" ca="1" si="870"/>
        <v>#NAME?</v>
      </c>
      <c r="CK86" s="13" t="e">
        <f t="shared" ref="CK86:CL86" ca="1" si="871">+CK78/CK70</f>
        <v>#NAME?</v>
      </c>
      <c r="CL86" s="13" t="e">
        <f t="shared" ca="1" si="871"/>
        <v>#NAME?</v>
      </c>
      <c r="CM86" s="37" t="e">
        <f t="shared" ca="1" si="869"/>
        <v>#NAME?</v>
      </c>
      <c r="CN86" s="37" t="e">
        <f t="shared" ca="1" si="869"/>
        <v>#NAME?</v>
      </c>
      <c r="CO86" s="37" t="e">
        <f t="shared" ca="1" si="869"/>
        <v>#NAME?</v>
      </c>
      <c r="CP86" s="37" t="e">
        <f t="shared" ca="1" si="869"/>
        <v>#NAME?</v>
      </c>
      <c r="CQ86" s="37" t="e">
        <f t="shared" ca="1" si="869"/>
        <v>#NAME?</v>
      </c>
      <c r="CR86" s="37" t="e">
        <f t="shared" ca="1" si="869"/>
        <v>#NAME?</v>
      </c>
      <c r="CS86" s="37" t="e">
        <f t="shared" ca="1" si="869"/>
        <v>#NAME?</v>
      </c>
      <c r="CT86" s="37" t="e">
        <f t="shared" ca="1" si="869"/>
        <v>#NAME?</v>
      </c>
      <c r="CU86" s="37" t="e">
        <f t="shared" ca="1" si="869"/>
        <v>#NAME?</v>
      </c>
      <c r="CV86" s="37" t="e">
        <f t="shared" ca="1" si="869"/>
        <v>#NAME?</v>
      </c>
      <c r="CW86" s="37" t="e">
        <f t="shared" ca="1" si="869"/>
        <v>#NAME?</v>
      </c>
      <c r="CX86" s="37" t="e">
        <f t="shared" ca="1" si="869"/>
        <v>#NAME?</v>
      </c>
      <c r="CY86" s="37" t="e">
        <f t="shared" ca="1" si="869"/>
        <v>#NAME?</v>
      </c>
      <c r="CZ86" s="37" t="e">
        <f t="shared" ca="1" si="869"/>
        <v>#NAME?</v>
      </c>
      <c r="DA86" s="37" t="e">
        <f t="shared" ca="1" si="869"/>
        <v>#NAME?</v>
      </c>
      <c r="DB86" s="37" t="e">
        <f t="shared" ca="1" si="869"/>
        <v>#NAME?</v>
      </c>
      <c r="DE86" s="134"/>
      <c r="DF86" s="13">
        <v>1832.5315551975505</v>
      </c>
    </row>
    <row r="87" spans="1:110" s="13" customFormat="1" x14ac:dyDescent="0.2">
      <c r="A87" s="13" t="s">
        <v>461</v>
      </c>
      <c r="B87" s="13" t="e">
        <f t="shared" ref="B87:D87" ca="1" si="872">+B79/B70</f>
        <v>#NAME?</v>
      </c>
      <c r="C87" s="13" t="e">
        <f t="shared" ca="1" si="872"/>
        <v>#NAME?</v>
      </c>
      <c r="D87" s="13" t="e">
        <f t="shared" ca="1" si="872"/>
        <v>#NAME?</v>
      </c>
      <c r="E87" s="13" t="e">
        <f t="shared" ref="E87:AE87" ca="1" si="873">+E79/E70</f>
        <v>#NAME?</v>
      </c>
      <c r="F87" s="13" t="e">
        <f t="shared" ca="1" si="873"/>
        <v>#NAME?</v>
      </c>
      <c r="G87" s="13" t="e">
        <f t="shared" ca="1" si="873"/>
        <v>#NAME?</v>
      </c>
      <c r="H87" s="13" t="e">
        <f t="shared" ca="1" si="873"/>
        <v>#NAME?</v>
      </c>
      <c r="I87" s="13" t="e">
        <f t="shared" ca="1" si="873"/>
        <v>#NAME?</v>
      </c>
      <c r="J87" s="13" t="e">
        <f t="shared" ca="1" si="873"/>
        <v>#NAME?</v>
      </c>
      <c r="K87" s="13" t="e">
        <f t="shared" ca="1" si="873"/>
        <v>#NAME?</v>
      </c>
      <c r="L87" s="13" t="e">
        <f t="shared" ca="1" si="873"/>
        <v>#NAME?</v>
      </c>
      <c r="M87" s="13" t="e">
        <f t="shared" ca="1" si="873"/>
        <v>#NAME?</v>
      </c>
      <c r="N87" s="13" t="e">
        <f t="shared" ca="1" si="873"/>
        <v>#NAME?</v>
      </c>
      <c r="O87" s="13" t="e">
        <f t="shared" ca="1" si="873"/>
        <v>#NAME?</v>
      </c>
      <c r="P87" s="13" t="e">
        <f t="shared" ca="1" si="873"/>
        <v>#NAME?</v>
      </c>
      <c r="Q87" s="13" t="e">
        <f t="shared" ca="1" si="873"/>
        <v>#NAME?</v>
      </c>
      <c r="R87" s="13" t="e">
        <f t="shared" ca="1" si="873"/>
        <v>#NAME?</v>
      </c>
      <c r="S87" s="13" t="e">
        <f t="shared" ca="1" si="873"/>
        <v>#NAME?</v>
      </c>
      <c r="T87" s="13" t="e">
        <f t="shared" ca="1" si="873"/>
        <v>#NAME?</v>
      </c>
      <c r="U87" s="13" t="e">
        <f t="shared" ca="1" si="873"/>
        <v>#NAME?</v>
      </c>
      <c r="V87" s="13" t="e">
        <f t="shared" ca="1" si="873"/>
        <v>#NAME?</v>
      </c>
      <c r="W87" s="13" t="e">
        <f t="shared" ca="1" si="873"/>
        <v>#NAME?</v>
      </c>
      <c r="X87" s="13" t="e">
        <f t="shared" ca="1" si="873"/>
        <v>#NAME?</v>
      </c>
      <c r="Y87" s="13" t="e">
        <f t="shared" ca="1" si="873"/>
        <v>#NAME?</v>
      </c>
      <c r="Z87" s="13" t="e">
        <f t="shared" ref="Z87:AA87" ca="1" si="874">+Z79/Z70</f>
        <v>#NAME?</v>
      </c>
      <c r="AA87" s="13" t="e">
        <f t="shared" ca="1" si="874"/>
        <v>#NAME?</v>
      </c>
      <c r="AB87" s="60" t="e">
        <f t="shared" ca="1" si="873"/>
        <v>#NAME?</v>
      </c>
      <c r="AC87" s="60" t="e">
        <f t="shared" ca="1" si="873"/>
        <v>#NAME?</v>
      </c>
      <c r="AD87" s="60" t="e">
        <f t="shared" ca="1" si="873"/>
        <v>#NAME?</v>
      </c>
      <c r="AE87" s="60" t="e">
        <f t="shared" ca="1" si="873"/>
        <v>#NAME?</v>
      </c>
      <c r="AL87" s="13" t="e">
        <f t="shared" ref="AL87:BQ87" ca="1" si="875">+AL79/AL70</f>
        <v>#NAME?</v>
      </c>
      <c r="AM87" s="13" t="e">
        <f t="shared" ca="1" si="875"/>
        <v>#NAME?</v>
      </c>
      <c r="AN87" s="13" t="e">
        <f t="shared" ca="1" si="875"/>
        <v>#NAME?</v>
      </c>
      <c r="AO87" s="13" t="e">
        <f t="shared" ca="1" si="875"/>
        <v>#NAME?</v>
      </c>
      <c r="AP87" s="13" t="e">
        <f t="shared" ca="1" si="875"/>
        <v>#NAME?</v>
      </c>
      <c r="AQ87" s="13" t="e">
        <f t="shared" ca="1" si="875"/>
        <v>#NAME?</v>
      </c>
      <c r="AR87" s="13" t="e">
        <f t="shared" ca="1" si="875"/>
        <v>#NAME?</v>
      </c>
      <c r="AS87" s="13" t="e">
        <f t="shared" ca="1" si="875"/>
        <v>#NAME?</v>
      </c>
      <c r="AT87" s="13" t="e">
        <f t="shared" ca="1" si="875"/>
        <v>#NAME?</v>
      </c>
      <c r="AU87" s="13" t="e">
        <f t="shared" ca="1" si="875"/>
        <v>#NAME?</v>
      </c>
      <c r="AV87" s="13" t="e">
        <f t="shared" ca="1" si="875"/>
        <v>#NAME?</v>
      </c>
      <c r="AW87" s="13" t="e">
        <f t="shared" ca="1" si="875"/>
        <v>#NAME?</v>
      </c>
      <c r="AX87" s="13" t="e">
        <f t="shared" ca="1" si="875"/>
        <v>#NAME?</v>
      </c>
      <c r="AY87" s="13" t="e">
        <f t="shared" ca="1" si="875"/>
        <v>#NAME?</v>
      </c>
      <c r="AZ87" s="13" t="e">
        <f t="shared" ca="1" si="875"/>
        <v>#NAME?</v>
      </c>
      <c r="BA87" s="13" t="e">
        <f t="shared" ca="1" si="875"/>
        <v>#NAME?</v>
      </c>
      <c r="BB87" s="13" t="e">
        <f t="shared" ca="1" si="875"/>
        <v>#NAME?</v>
      </c>
      <c r="BC87" s="13" t="e">
        <f t="shared" ca="1" si="875"/>
        <v>#NAME?</v>
      </c>
      <c r="BD87" s="13" t="e">
        <f t="shared" ca="1" si="875"/>
        <v>#NAME?</v>
      </c>
      <c r="BE87" s="13" t="e">
        <f t="shared" ca="1" si="875"/>
        <v>#NAME?</v>
      </c>
      <c r="BF87" s="13" t="e">
        <f t="shared" ca="1" si="875"/>
        <v>#NAME?</v>
      </c>
      <c r="BG87" s="13" t="e">
        <f t="shared" ca="1" si="875"/>
        <v>#NAME?</v>
      </c>
      <c r="BH87" s="13" t="e">
        <f t="shared" ca="1" si="875"/>
        <v>#NAME?</v>
      </c>
      <c r="BI87" s="13" t="e">
        <f t="shared" ca="1" si="875"/>
        <v>#NAME?</v>
      </c>
      <c r="BJ87" s="13" t="e">
        <f t="shared" ca="1" si="875"/>
        <v>#NAME?</v>
      </c>
      <c r="BK87" s="13" t="e">
        <f t="shared" ca="1" si="875"/>
        <v>#NAME?</v>
      </c>
      <c r="BL87" s="13" t="e">
        <f t="shared" ca="1" si="875"/>
        <v>#NAME?</v>
      </c>
      <c r="BM87" s="13" t="e">
        <f t="shared" ca="1" si="875"/>
        <v>#NAME?</v>
      </c>
      <c r="BN87" s="13" t="e">
        <f t="shared" ca="1" si="875"/>
        <v>#NAME?</v>
      </c>
      <c r="BO87" s="13" t="e">
        <f t="shared" ca="1" si="875"/>
        <v>#NAME?</v>
      </c>
      <c r="BP87" s="13" t="e">
        <f t="shared" ca="1" si="875"/>
        <v>#NAME?</v>
      </c>
      <c r="BQ87" s="13" t="e">
        <f t="shared" ca="1" si="875"/>
        <v>#NAME?</v>
      </c>
      <c r="BR87" s="13" t="e">
        <f t="shared" ref="BR87:CH87" ca="1" si="876">+BR79/BR70</f>
        <v>#NAME?</v>
      </c>
      <c r="BS87" s="13" t="e">
        <f t="shared" ca="1" si="876"/>
        <v>#NAME?</v>
      </c>
      <c r="BT87" s="13" t="e">
        <f t="shared" ca="1" si="876"/>
        <v>#NAME?</v>
      </c>
      <c r="BU87" s="13" t="e">
        <f t="shared" ca="1" si="876"/>
        <v>#NAME?</v>
      </c>
      <c r="BV87" s="13" t="e">
        <f t="shared" ca="1" si="876"/>
        <v>#NAME?</v>
      </c>
      <c r="BW87" s="13" t="e">
        <f t="shared" ca="1" si="876"/>
        <v>#NAME?</v>
      </c>
      <c r="BX87" s="13" t="e">
        <f t="shared" ca="1" si="876"/>
        <v>#NAME?</v>
      </c>
      <c r="BY87" s="13" t="e">
        <f t="shared" ca="1" si="876"/>
        <v>#NAME?</v>
      </c>
      <c r="BZ87" s="13" t="e">
        <f t="shared" ca="1" si="876"/>
        <v>#NAME?</v>
      </c>
      <c r="CA87" s="13" t="e">
        <f t="shared" ca="1" si="876"/>
        <v>#NAME?</v>
      </c>
      <c r="CB87" s="13" t="e">
        <f t="shared" ca="1" si="876"/>
        <v>#NAME?</v>
      </c>
      <c r="CC87" s="13" t="e">
        <f t="shared" ca="1" si="876"/>
        <v>#NAME?</v>
      </c>
      <c r="CD87" s="13" t="e">
        <f t="shared" ca="1" si="876"/>
        <v>#NAME?</v>
      </c>
      <c r="CE87" s="13" t="e">
        <f t="shared" ca="1" si="876"/>
        <v>#NAME?</v>
      </c>
      <c r="CF87" s="13" t="e">
        <f t="shared" ca="1" si="876"/>
        <v>#NAME?</v>
      </c>
      <c r="CG87" s="13" t="e">
        <f t="shared" ca="1" si="876"/>
        <v>#NAME?</v>
      </c>
      <c r="CH87" s="13" t="e">
        <f t="shared" ca="1" si="876"/>
        <v>#NAME?</v>
      </c>
      <c r="CI87" s="13" t="e">
        <f t="shared" ref="CI87:CJ87" ca="1" si="877">+CI79/CI70</f>
        <v>#NAME?</v>
      </c>
      <c r="CJ87" s="13" t="e">
        <f t="shared" ca="1" si="877"/>
        <v>#NAME?</v>
      </c>
      <c r="CK87" s="13" t="e">
        <f t="shared" ref="CK87:CL87" ca="1" si="878">+CK79/CK70</f>
        <v>#NAME?</v>
      </c>
      <c r="CL87" s="13" t="e">
        <f t="shared" ca="1" si="878"/>
        <v>#NAME?</v>
      </c>
      <c r="CM87" s="60" t="e">
        <f t="shared" ref="CM87:CM88" ca="1" si="879">+CL87</f>
        <v>#NAME?</v>
      </c>
      <c r="CN87" s="60" t="e">
        <f t="shared" ref="CN87:CN88" ca="1" si="880">+CM87</f>
        <v>#NAME?</v>
      </c>
      <c r="CO87" s="60" t="e">
        <f t="shared" ref="CO87:CO88" ca="1" si="881">+CN87</f>
        <v>#NAME?</v>
      </c>
      <c r="CP87" s="60" t="e">
        <f t="shared" ref="CP87:CP88" ca="1" si="882">+CO87</f>
        <v>#NAME?</v>
      </c>
      <c r="CQ87" s="60" t="e">
        <f t="shared" ref="CQ87:CQ88" ca="1" si="883">+CP87</f>
        <v>#NAME?</v>
      </c>
      <c r="CR87" s="60" t="e">
        <f t="shared" ref="CR87:CR88" ca="1" si="884">+CQ87</f>
        <v>#NAME?</v>
      </c>
      <c r="CS87" s="60" t="e">
        <f t="shared" ref="CS87:CS88" ca="1" si="885">+CR87</f>
        <v>#NAME?</v>
      </c>
      <c r="CT87" s="60" t="e">
        <f t="shared" ref="CT87:CT88" ca="1" si="886">+CS87</f>
        <v>#NAME?</v>
      </c>
      <c r="CU87" s="60" t="e">
        <f t="shared" ref="CU87:CU88" ca="1" si="887">+CT87</f>
        <v>#NAME?</v>
      </c>
      <c r="CV87" s="60" t="e">
        <f t="shared" ref="CV87:CV88" ca="1" si="888">+CU87</f>
        <v>#NAME?</v>
      </c>
      <c r="CW87" s="60" t="e">
        <f t="shared" ref="CW87:CW88" ca="1" si="889">+CV87</f>
        <v>#NAME?</v>
      </c>
      <c r="CX87" s="60" t="e">
        <f t="shared" ref="CX87:CX88" ca="1" si="890">+CW87</f>
        <v>#NAME?</v>
      </c>
      <c r="CY87" s="60" t="e">
        <f t="shared" ref="CY87:CY88" ca="1" si="891">+CX87</f>
        <v>#NAME?</v>
      </c>
      <c r="CZ87" s="60" t="e">
        <f t="shared" ref="CZ87:CZ88" ca="1" si="892">+CY87</f>
        <v>#NAME?</v>
      </c>
      <c r="DA87" s="60" t="e">
        <f t="shared" ref="DA87:DA88" ca="1" si="893">+CZ87</f>
        <v>#NAME?</v>
      </c>
      <c r="DB87" s="60" t="e">
        <f t="shared" ref="DB87:DB88" ca="1" si="894">+DA87</f>
        <v>#NAME?</v>
      </c>
      <c r="DE87" s="136"/>
      <c r="DF87" s="13">
        <v>2720.9739032172456</v>
      </c>
    </row>
    <row r="88" spans="1:110" s="13" customFormat="1" x14ac:dyDescent="0.2">
      <c r="A88" s="13" t="s">
        <v>462</v>
      </c>
      <c r="B88" s="13" t="e">
        <f t="shared" ref="B88:D88" ca="1" si="895">+B80/B70</f>
        <v>#NAME?</v>
      </c>
      <c r="C88" s="13" t="e">
        <f t="shared" ca="1" si="895"/>
        <v>#NAME?</v>
      </c>
      <c r="D88" s="13" t="e">
        <f t="shared" ca="1" si="895"/>
        <v>#NAME?</v>
      </c>
      <c r="E88" s="13" t="e">
        <f t="shared" ref="E88:AE88" ca="1" si="896">+E80/E70</f>
        <v>#NAME?</v>
      </c>
      <c r="F88" s="13" t="e">
        <f t="shared" ca="1" si="896"/>
        <v>#NAME?</v>
      </c>
      <c r="G88" s="13" t="e">
        <f t="shared" ca="1" si="896"/>
        <v>#NAME?</v>
      </c>
      <c r="H88" s="13" t="e">
        <f t="shared" ca="1" si="896"/>
        <v>#NAME?</v>
      </c>
      <c r="I88" s="13" t="e">
        <f t="shared" ca="1" si="896"/>
        <v>#NAME?</v>
      </c>
      <c r="J88" s="13" t="e">
        <f t="shared" ca="1" si="896"/>
        <v>#NAME?</v>
      </c>
      <c r="K88" s="13" t="e">
        <f t="shared" ca="1" si="896"/>
        <v>#NAME?</v>
      </c>
      <c r="L88" s="13" t="e">
        <f t="shared" ca="1" si="896"/>
        <v>#NAME?</v>
      </c>
      <c r="M88" s="13" t="e">
        <f t="shared" ca="1" si="896"/>
        <v>#NAME?</v>
      </c>
      <c r="N88" s="13" t="e">
        <f t="shared" ca="1" si="896"/>
        <v>#NAME?</v>
      </c>
      <c r="O88" s="13" t="e">
        <f t="shared" ca="1" si="896"/>
        <v>#NAME?</v>
      </c>
      <c r="P88" s="13" t="e">
        <f t="shared" ca="1" si="896"/>
        <v>#NAME?</v>
      </c>
      <c r="Q88" s="13" t="e">
        <f t="shared" ca="1" si="896"/>
        <v>#NAME?</v>
      </c>
      <c r="R88" s="13" t="e">
        <f t="shared" ca="1" si="896"/>
        <v>#NAME?</v>
      </c>
      <c r="S88" s="13" t="e">
        <f t="shared" ca="1" si="896"/>
        <v>#NAME?</v>
      </c>
      <c r="T88" s="13" t="e">
        <f t="shared" ca="1" si="896"/>
        <v>#NAME?</v>
      </c>
      <c r="U88" s="13" t="e">
        <f t="shared" ca="1" si="896"/>
        <v>#NAME?</v>
      </c>
      <c r="V88" s="13" t="e">
        <f t="shared" ca="1" si="896"/>
        <v>#NAME?</v>
      </c>
      <c r="W88" s="13" t="e">
        <f t="shared" ca="1" si="896"/>
        <v>#NAME?</v>
      </c>
      <c r="X88" s="13" t="e">
        <f t="shared" ca="1" si="896"/>
        <v>#NAME?</v>
      </c>
      <c r="Y88" s="13" t="e">
        <f t="shared" ca="1" si="896"/>
        <v>#NAME?</v>
      </c>
      <c r="Z88" s="13" t="e">
        <f t="shared" ref="Z88:AA88" ca="1" si="897">+Z80/Z70</f>
        <v>#NAME?</v>
      </c>
      <c r="AA88" s="13" t="e">
        <f t="shared" ca="1" si="897"/>
        <v>#NAME?</v>
      </c>
      <c r="AB88" s="60" t="e">
        <f t="shared" ca="1" si="896"/>
        <v>#NAME?</v>
      </c>
      <c r="AC88" s="60" t="e">
        <f t="shared" ca="1" si="896"/>
        <v>#NAME?</v>
      </c>
      <c r="AD88" s="60" t="e">
        <f t="shared" ca="1" si="896"/>
        <v>#NAME?</v>
      </c>
      <c r="AE88" s="60" t="e">
        <f t="shared" ca="1" si="896"/>
        <v>#NAME?</v>
      </c>
      <c r="AL88" s="13" t="e">
        <f t="shared" ref="AL88:BQ88" ca="1" si="898">+AL80/AL70</f>
        <v>#NAME?</v>
      </c>
      <c r="AM88" s="13" t="e">
        <f t="shared" ca="1" si="898"/>
        <v>#NAME?</v>
      </c>
      <c r="AN88" s="13" t="e">
        <f t="shared" ca="1" si="898"/>
        <v>#NAME?</v>
      </c>
      <c r="AO88" s="13" t="e">
        <f t="shared" ca="1" si="898"/>
        <v>#NAME?</v>
      </c>
      <c r="AP88" s="13" t="e">
        <f t="shared" ca="1" si="898"/>
        <v>#NAME?</v>
      </c>
      <c r="AQ88" s="13" t="e">
        <f t="shared" ca="1" si="898"/>
        <v>#NAME?</v>
      </c>
      <c r="AR88" s="13" t="e">
        <f t="shared" ca="1" si="898"/>
        <v>#NAME?</v>
      </c>
      <c r="AS88" s="13" t="e">
        <f t="shared" ca="1" si="898"/>
        <v>#NAME?</v>
      </c>
      <c r="AT88" s="13" t="e">
        <f t="shared" ca="1" si="898"/>
        <v>#NAME?</v>
      </c>
      <c r="AU88" s="13" t="e">
        <f t="shared" ca="1" si="898"/>
        <v>#NAME?</v>
      </c>
      <c r="AV88" s="13" t="e">
        <f t="shared" ca="1" si="898"/>
        <v>#NAME?</v>
      </c>
      <c r="AW88" s="13" t="e">
        <f t="shared" ca="1" si="898"/>
        <v>#NAME?</v>
      </c>
      <c r="AX88" s="13" t="e">
        <f t="shared" ca="1" si="898"/>
        <v>#NAME?</v>
      </c>
      <c r="AY88" s="13" t="e">
        <f t="shared" ca="1" si="898"/>
        <v>#NAME?</v>
      </c>
      <c r="AZ88" s="13" t="e">
        <f t="shared" ca="1" si="898"/>
        <v>#NAME?</v>
      </c>
      <c r="BA88" s="13" t="e">
        <f t="shared" ca="1" si="898"/>
        <v>#NAME?</v>
      </c>
      <c r="BB88" s="13" t="e">
        <f t="shared" ca="1" si="898"/>
        <v>#NAME?</v>
      </c>
      <c r="BC88" s="13" t="e">
        <f t="shared" ca="1" si="898"/>
        <v>#NAME?</v>
      </c>
      <c r="BD88" s="13" t="e">
        <f t="shared" ca="1" si="898"/>
        <v>#NAME?</v>
      </c>
      <c r="BE88" s="13" t="e">
        <f t="shared" ca="1" si="898"/>
        <v>#NAME?</v>
      </c>
      <c r="BF88" s="13" t="e">
        <f t="shared" ca="1" si="898"/>
        <v>#NAME?</v>
      </c>
      <c r="BG88" s="13" t="e">
        <f t="shared" ca="1" si="898"/>
        <v>#NAME?</v>
      </c>
      <c r="BH88" s="13" t="e">
        <f t="shared" ca="1" si="898"/>
        <v>#NAME?</v>
      </c>
      <c r="BI88" s="13" t="e">
        <f t="shared" ca="1" si="898"/>
        <v>#NAME?</v>
      </c>
      <c r="BJ88" s="13" t="e">
        <f t="shared" ca="1" si="898"/>
        <v>#NAME?</v>
      </c>
      <c r="BK88" s="13" t="e">
        <f t="shared" ca="1" si="898"/>
        <v>#NAME?</v>
      </c>
      <c r="BL88" s="13" t="e">
        <f t="shared" ca="1" si="898"/>
        <v>#NAME?</v>
      </c>
      <c r="BM88" s="13" t="e">
        <f t="shared" ca="1" si="898"/>
        <v>#NAME?</v>
      </c>
      <c r="BN88" s="13" t="e">
        <f t="shared" ca="1" si="898"/>
        <v>#NAME?</v>
      </c>
      <c r="BO88" s="13" t="e">
        <f t="shared" ca="1" si="898"/>
        <v>#NAME?</v>
      </c>
      <c r="BP88" s="13" t="e">
        <f t="shared" ca="1" si="898"/>
        <v>#NAME?</v>
      </c>
      <c r="BQ88" s="13" t="e">
        <f t="shared" ca="1" si="898"/>
        <v>#NAME?</v>
      </c>
      <c r="BR88" s="13" t="e">
        <f t="shared" ref="BR88:CH88" ca="1" si="899">+BR80/BR70</f>
        <v>#NAME?</v>
      </c>
      <c r="BS88" s="13" t="e">
        <f t="shared" ca="1" si="899"/>
        <v>#NAME?</v>
      </c>
      <c r="BT88" s="13" t="e">
        <f t="shared" ca="1" si="899"/>
        <v>#NAME?</v>
      </c>
      <c r="BU88" s="13" t="e">
        <f t="shared" ca="1" si="899"/>
        <v>#NAME?</v>
      </c>
      <c r="BV88" s="13" t="e">
        <f t="shared" ca="1" si="899"/>
        <v>#NAME?</v>
      </c>
      <c r="BW88" s="13" t="e">
        <f t="shared" ca="1" si="899"/>
        <v>#NAME?</v>
      </c>
      <c r="BX88" s="13" t="e">
        <f t="shared" ca="1" si="899"/>
        <v>#NAME?</v>
      </c>
      <c r="BY88" s="13" t="e">
        <f t="shared" ca="1" si="899"/>
        <v>#NAME?</v>
      </c>
      <c r="BZ88" s="13" t="e">
        <f t="shared" ca="1" si="899"/>
        <v>#NAME?</v>
      </c>
      <c r="CA88" s="13" t="e">
        <f t="shared" ca="1" si="899"/>
        <v>#NAME?</v>
      </c>
      <c r="CB88" s="13" t="e">
        <f t="shared" ca="1" si="899"/>
        <v>#NAME?</v>
      </c>
      <c r="CC88" s="13" t="e">
        <f t="shared" ca="1" si="899"/>
        <v>#NAME?</v>
      </c>
      <c r="CD88" s="13" t="e">
        <f t="shared" ca="1" si="899"/>
        <v>#NAME?</v>
      </c>
      <c r="CE88" s="13" t="e">
        <f t="shared" ca="1" si="899"/>
        <v>#NAME?</v>
      </c>
      <c r="CF88" s="13" t="e">
        <f t="shared" ca="1" si="899"/>
        <v>#NAME?</v>
      </c>
      <c r="CG88" s="13" t="e">
        <f t="shared" ca="1" si="899"/>
        <v>#NAME?</v>
      </c>
      <c r="CH88" s="13" t="e">
        <f t="shared" ca="1" si="899"/>
        <v>#NAME?</v>
      </c>
      <c r="CI88" s="13" t="e">
        <f t="shared" ref="CI88:CJ88" ca="1" si="900">+CI80/CI70</f>
        <v>#NAME?</v>
      </c>
      <c r="CJ88" s="13" t="e">
        <f t="shared" ca="1" si="900"/>
        <v>#NAME?</v>
      </c>
      <c r="CK88" s="13" t="e">
        <f t="shared" ref="CK88:CL88" ca="1" si="901">+CK80/CK70</f>
        <v>#NAME?</v>
      </c>
      <c r="CL88" s="13" t="e">
        <f t="shared" ca="1" si="901"/>
        <v>#NAME?</v>
      </c>
      <c r="CM88" s="60" t="e">
        <f t="shared" ca="1" si="879"/>
        <v>#NAME?</v>
      </c>
      <c r="CN88" s="60" t="e">
        <f t="shared" ca="1" si="880"/>
        <v>#NAME?</v>
      </c>
      <c r="CO88" s="60" t="e">
        <f t="shared" ca="1" si="881"/>
        <v>#NAME?</v>
      </c>
      <c r="CP88" s="60" t="e">
        <f t="shared" ca="1" si="882"/>
        <v>#NAME?</v>
      </c>
      <c r="CQ88" s="60" t="e">
        <f t="shared" ca="1" si="883"/>
        <v>#NAME?</v>
      </c>
      <c r="CR88" s="60" t="e">
        <f t="shared" ca="1" si="884"/>
        <v>#NAME?</v>
      </c>
      <c r="CS88" s="60" t="e">
        <f t="shared" ca="1" si="885"/>
        <v>#NAME?</v>
      </c>
      <c r="CT88" s="60" t="e">
        <f t="shared" ca="1" si="886"/>
        <v>#NAME?</v>
      </c>
      <c r="CU88" s="60" t="e">
        <f t="shared" ca="1" si="887"/>
        <v>#NAME?</v>
      </c>
      <c r="CV88" s="60" t="e">
        <f t="shared" ca="1" si="888"/>
        <v>#NAME?</v>
      </c>
      <c r="CW88" s="60" t="e">
        <f t="shared" ca="1" si="889"/>
        <v>#NAME?</v>
      </c>
      <c r="CX88" s="60" t="e">
        <f t="shared" ca="1" si="890"/>
        <v>#NAME?</v>
      </c>
      <c r="CY88" s="60" t="e">
        <f t="shared" ca="1" si="891"/>
        <v>#NAME?</v>
      </c>
      <c r="CZ88" s="60" t="e">
        <f t="shared" ca="1" si="892"/>
        <v>#NAME?</v>
      </c>
      <c r="DA88" s="60" t="e">
        <f t="shared" ca="1" si="893"/>
        <v>#NAME?</v>
      </c>
      <c r="DB88" s="60" t="e">
        <f t="shared" ca="1" si="894"/>
        <v>#NAME?</v>
      </c>
      <c r="DE88" s="136"/>
      <c r="DF88" s="13">
        <v>1826.0747622886056</v>
      </c>
    </row>
    <row r="89" spans="1:110" s="13" customFormat="1" x14ac:dyDescent="0.2">
      <c r="AB89" s="60"/>
      <c r="AC89" s="60"/>
      <c r="AD89" s="60"/>
      <c r="AE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E89" s="136"/>
    </row>
    <row r="90" spans="1:110" s="13" customFormat="1" x14ac:dyDescent="0.2">
      <c r="A90" s="13" t="s">
        <v>463</v>
      </c>
      <c r="B90" s="13" t="e">
        <f t="shared" ref="B90:AD90" ca="1" si="902">+B79/C70</f>
        <v>#NAME?</v>
      </c>
      <c r="C90" s="13" t="e">
        <f t="shared" ca="1" si="902"/>
        <v>#NAME?</v>
      </c>
      <c r="D90" s="13" t="e">
        <f t="shared" ca="1" si="902"/>
        <v>#NAME?</v>
      </c>
      <c r="E90" s="13" t="e">
        <f t="shared" ca="1" si="902"/>
        <v>#NAME?</v>
      </c>
      <c r="F90" s="13" t="e">
        <f t="shared" ca="1" si="902"/>
        <v>#NAME?</v>
      </c>
      <c r="G90" s="13" t="e">
        <f t="shared" ca="1" si="902"/>
        <v>#NAME?</v>
      </c>
      <c r="H90" s="13" t="e">
        <f t="shared" ca="1" si="902"/>
        <v>#NAME?</v>
      </c>
      <c r="I90" s="13" t="e">
        <f t="shared" ca="1" si="902"/>
        <v>#NAME?</v>
      </c>
      <c r="J90" s="13" t="e">
        <f t="shared" ca="1" si="902"/>
        <v>#NAME?</v>
      </c>
      <c r="K90" s="13" t="e">
        <f t="shared" ca="1" si="902"/>
        <v>#NAME?</v>
      </c>
      <c r="L90" s="13" t="e">
        <f t="shared" ca="1" si="902"/>
        <v>#NAME?</v>
      </c>
      <c r="M90" s="13" t="e">
        <f t="shared" ca="1" si="902"/>
        <v>#NAME?</v>
      </c>
      <c r="N90" s="13" t="e">
        <f t="shared" ca="1" si="902"/>
        <v>#NAME?</v>
      </c>
      <c r="O90" s="13" t="e">
        <f t="shared" ca="1" si="902"/>
        <v>#NAME?</v>
      </c>
      <c r="P90" s="13" t="e">
        <f t="shared" ca="1" si="902"/>
        <v>#NAME?</v>
      </c>
      <c r="Q90" s="13" t="e">
        <f t="shared" ca="1" si="902"/>
        <v>#NAME?</v>
      </c>
      <c r="R90" s="13" t="e">
        <f t="shared" ca="1" si="902"/>
        <v>#NAME?</v>
      </c>
      <c r="S90" s="13" t="e">
        <f t="shared" ca="1" si="902"/>
        <v>#NAME?</v>
      </c>
      <c r="T90" s="13" t="e">
        <f t="shared" ca="1" si="902"/>
        <v>#NAME?</v>
      </c>
      <c r="U90" s="13" t="e">
        <f t="shared" ca="1" si="902"/>
        <v>#NAME?</v>
      </c>
      <c r="V90" s="13" t="e">
        <f t="shared" ca="1" si="902"/>
        <v>#NAME?</v>
      </c>
      <c r="W90" s="13" t="e">
        <f t="shared" ca="1" si="902"/>
        <v>#NAME?</v>
      </c>
      <c r="X90" s="13" t="e">
        <f t="shared" ca="1" si="902"/>
        <v>#NAME?</v>
      </c>
      <c r="Y90" s="13" t="e">
        <f t="shared" ca="1" si="902"/>
        <v>#NAME?</v>
      </c>
      <c r="Z90" s="13" t="e">
        <f t="shared" ref="Z90:AA90" ca="1" si="903">+Z79/AA70</f>
        <v>#NAME?</v>
      </c>
      <c r="AA90" s="13" t="e">
        <f t="shared" ca="1" si="903"/>
        <v>#NAME?</v>
      </c>
      <c r="AB90" s="37" t="e">
        <f t="shared" ca="1" si="902"/>
        <v>#NAME?</v>
      </c>
      <c r="AC90" s="37" t="e">
        <f t="shared" ca="1" si="902"/>
        <v>#NAME?</v>
      </c>
      <c r="AD90" s="37" t="e">
        <f t="shared" ca="1" si="902"/>
        <v>#NAME?</v>
      </c>
      <c r="AE90" s="37"/>
      <c r="AL90" s="13" t="e">
        <f t="shared" ref="AL90:BQ90" ca="1" si="904">+AL79/AP70</f>
        <v>#NAME?</v>
      </c>
      <c r="AM90" s="13" t="e">
        <f t="shared" ca="1" si="904"/>
        <v>#NAME?</v>
      </c>
      <c r="AN90" s="13" t="e">
        <f t="shared" ca="1" si="904"/>
        <v>#NAME?</v>
      </c>
      <c r="AO90" s="13" t="e">
        <f t="shared" ca="1" si="904"/>
        <v>#NAME?</v>
      </c>
      <c r="AP90" s="13" t="e">
        <f t="shared" ca="1" si="904"/>
        <v>#NAME?</v>
      </c>
      <c r="AQ90" s="13" t="e">
        <f t="shared" ca="1" si="904"/>
        <v>#NAME?</v>
      </c>
      <c r="AR90" s="13" t="e">
        <f t="shared" ca="1" si="904"/>
        <v>#NAME?</v>
      </c>
      <c r="AS90" s="13" t="e">
        <f t="shared" ca="1" si="904"/>
        <v>#NAME?</v>
      </c>
      <c r="AT90" s="13" t="e">
        <f t="shared" ca="1" si="904"/>
        <v>#NAME?</v>
      </c>
      <c r="AU90" s="13" t="e">
        <f t="shared" ca="1" si="904"/>
        <v>#NAME?</v>
      </c>
      <c r="AV90" s="13" t="e">
        <f t="shared" ca="1" si="904"/>
        <v>#NAME?</v>
      </c>
      <c r="AW90" s="13" t="e">
        <f t="shared" ca="1" si="904"/>
        <v>#NAME?</v>
      </c>
      <c r="AX90" s="13" t="e">
        <f t="shared" ca="1" si="904"/>
        <v>#NAME?</v>
      </c>
      <c r="AY90" s="13" t="e">
        <f t="shared" ca="1" si="904"/>
        <v>#NAME?</v>
      </c>
      <c r="AZ90" s="13" t="e">
        <f t="shared" ca="1" si="904"/>
        <v>#NAME?</v>
      </c>
      <c r="BA90" s="13" t="e">
        <f t="shared" ca="1" si="904"/>
        <v>#NAME?</v>
      </c>
      <c r="BB90" s="13" t="e">
        <f t="shared" ca="1" si="904"/>
        <v>#NAME?</v>
      </c>
      <c r="BC90" s="13" t="e">
        <f t="shared" ca="1" si="904"/>
        <v>#NAME?</v>
      </c>
      <c r="BD90" s="13" t="e">
        <f t="shared" ca="1" si="904"/>
        <v>#NAME?</v>
      </c>
      <c r="BE90" s="13" t="e">
        <f t="shared" ca="1" si="904"/>
        <v>#NAME?</v>
      </c>
      <c r="BF90" s="13" t="e">
        <f t="shared" ca="1" si="904"/>
        <v>#NAME?</v>
      </c>
      <c r="BG90" s="13" t="e">
        <f t="shared" ca="1" si="904"/>
        <v>#NAME?</v>
      </c>
      <c r="BH90" s="13" t="e">
        <f t="shared" ca="1" si="904"/>
        <v>#NAME?</v>
      </c>
      <c r="BI90" s="13" t="e">
        <f t="shared" ca="1" si="904"/>
        <v>#NAME?</v>
      </c>
      <c r="BJ90" s="13" t="e">
        <f t="shared" ca="1" si="904"/>
        <v>#NAME?</v>
      </c>
      <c r="BK90" s="13" t="e">
        <f t="shared" ca="1" si="904"/>
        <v>#NAME?</v>
      </c>
      <c r="BL90" s="13" t="e">
        <f t="shared" ca="1" si="904"/>
        <v>#NAME?</v>
      </c>
      <c r="BM90" s="13" t="e">
        <f t="shared" ca="1" si="904"/>
        <v>#NAME?</v>
      </c>
      <c r="BN90" s="13" t="e">
        <f t="shared" ca="1" si="904"/>
        <v>#NAME?</v>
      </c>
      <c r="BO90" s="13" t="e">
        <f t="shared" ca="1" si="904"/>
        <v>#NAME?</v>
      </c>
      <c r="BP90" s="13" t="e">
        <f t="shared" ca="1" si="904"/>
        <v>#NAME?</v>
      </c>
      <c r="BQ90" s="13" t="e">
        <f t="shared" ca="1" si="904"/>
        <v>#NAME?</v>
      </c>
      <c r="BR90" s="13" t="e">
        <f t="shared" ref="BR90:CL90" ca="1" si="905">+BR79/BV70</f>
        <v>#NAME?</v>
      </c>
      <c r="BS90" s="13" t="e">
        <f t="shared" ca="1" si="905"/>
        <v>#NAME?</v>
      </c>
      <c r="BT90" s="13" t="e">
        <f t="shared" ca="1" si="905"/>
        <v>#NAME?</v>
      </c>
      <c r="BU90" s="13" t="e">
        <f t="shared" ca="1" si="905"/>
        <v>#NAME?</v>
      </c>
      <c r="BV90" s="13" t="e">
        <f t="shared" ca="1" si="905"/>
        <v>#NAME?</v>
      </c>
      <c r="BW90" s="13" t="e">
        <f t="shared" ca="1" si="905"/>
        <v>#NAME?</v>
      </c>
      <c r="BX90" s="13" t="e">
        <f t="shared" ca="1" si="905"/>
        <v>#NAME?</v>
      </c>
      <c r="BY90" s="13" t="e">
        <f t="shared" ca="1" si="905"/>
        <v>#NAME?</v>
      </c>
      <c r="BZ90" s="13" t="e">
        <f t="shared" ca="1" si="905"/>
        <v>#NAME?</v>
      </c>
      <c r="CA90" s="13" t="e">
        <f t="shared" ca="1" si="905"/>
        <v>#NAME?</v>
      </c>
      <c r="CB90" s="13" t="e">
        <f t="shared" ca="1" si="905"/>
        <v>#NAME?</v>
      </c>
      <c r="CC90" s="13" t="e">
        <f t="shared" ca="1" si="905"/>
        <v>#NAME?</v>
      </c>
      <c r="CD90" s="13" t="e">
        <f t="shared" ca="1" si="905"/>
        <v>#NAME?</v>
      </c>
      <c r="CE90" s="13" t="e">
        <f t="shared" ca="1" si="905"/>
        <v>#NAME?</v>
      </c>
      <c r="CF90" s="13" t="e">
        <f t="shared" ca="1" si="905"/>
        <v>#NAME?</v>
      </c>
      <c r="CG90" s="13" t="e">
        <f t="shared" ca="1" si="905"/>
        <v>#NAME?</v>
      </c>
      <c r="CH90" s="13" t="e">
        <f t="shared" ca="1" si="905"/>
        <v>#NAME?</v>
      </c>
      <c r="CI90" s="13" t="e">
        <f t="shared" ca="1" si="905"/>
        <v>#NAME?</v>
      </c>
      <c r="CJ90" s="13" t="e">
        <f t="shared" ca="1" si="905"/>
        <v>#NAME?</v>
      </c>
      <c r="CK90" s="13" t="e">
        <f t="shared" ca="1" si="905"/>
        <v>#NAME?</v>
      </c>
      <c r="CL90" s="13" t="e">
        <f t="shared" ca="1" si="905"/>
        <v>#NAME?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  <c r="DF90" s="13">
        <v>162.47823099940447</v>
      </c>
    </row>
    <row r="91" spans="1:110" s="98" customFormat="1" x14ac:dyDescent="0.2">
      <c r="A91" s="98" t="s">
        <v>426</v>
      </c>
      <c r="AB91" s="99"/>
      <c r="AC91" s="99"/>
      <c r="AD91" s="99"/>
      <c r="AE91" s="99"/>
      <c r="AL91" s="175"/>
      <c r="AM91" s="175"/>
      <c r="AN91" s="175"/>
      <c r="AO91" s="175" t="e">
        <f t="shared" ref="AO91:CI91" ca="1" si="906">+CORREL(AL70:AO70,AL87:AO87)</f>
        <v>#NAME?</v>
      </c>
      <c r="AP91" s="175" t="e">
        <f t="shared" ca="1" si="906"/>
        <v>#NAME?</v>
      </c>
      <c r="AQ91" s="175" t="e">
        <f t="shared" ca="1" si="906"/>
        <v>#NAME?</v>
      </c>
      <c r="AR91" s="175" t="e">
        <f t="shared" ca="1" si="906"/>
        <v>#NAME?</v>
      </c>
      <c r="AS91" s="175" t="e">
        <f t="shared" ca="1" si="906"/>
        <v>#NAME?</v>
      </c>
      <c r="AT91" s="175" t="e">
        <f t="shared" ca="1" si="906"/>
        <v>#NAME?</v>
      </c>
      <c r="AU91" s="175" t="e">
        <f t="shared" ca="1" si="906"/>
        <v>#NAME?</v>
      </c>
      <c r="AV91" s="175" t="e">
        <f t="shared" ca="1" si="906"/>
        <v>#NAME?</v>
      </c>
      <c r="AW91" s="175" t="e">
        <f t="shared" ca="1" si="906"/>
        <v>#NAME?</v>
      </c>
      <c r="AX91" s="175" t="e">
        <f t="shared" ca="1" si="906"/>
        <v>#NAME?</v>
      </c>
      <c r="AY91" s="175" t="e">
        <f t="shared" ca="1" si="906"/>
        <v>#NAME?</v>
      </c>
      <c r="AZ91" s="175" t="e">
        <f t="shared" ca="1" si="906"/>
        <v>#NAME?</v>
      </c>
      <c r="BA91" s="175" t="e">
        <f t="shared" ca="1" si="906"/>
        <v>#NAME?</v>
      </c>
      <c r="BB91" s="175" t="e">
        <f t="shared" ca="1" si="906"/>
        <v>#NAME?</v>
      </c>
      <c r="BC91" s="175" t="e">
        <f t="shared" ca="1" si="906"/>
        <v>#NAME?</v>
      </c>
      <c r="BD91" s="175" t="e">
        <f t="shared" ca="1" si="906"/>
        <v>#NAME?</v>
      </c>
      <c r="BE91" s="175" t="e">
        <f t="shared" ca="1" si="906"/>
        <v>#NAME?</v>
      </c>
      <c r="BF91" s="175" t="e">
        <f t="shared" ca="1" si="906"/>
        <v>#NAME?</v>
      </c>
      <c r="BG91" s="175" t="e">
        <f t="shared" ca="1" si="906"/>
        <v>#NAME?</v>
      </c>
      <c r="BH91" s="175" t="e">
        <f t="shared" ca="1" si="906"/>
        <v>#NAME?</v>
      </c>
      <c r="BI91" s="175" t="e">
        <f t="shared" ca="1" si="906"/>
        <v>#NAME?</v>
      </c>
      <c r="BJ91" s="175" t="e">
        <f t="shared" ca="1" si="906"/>
        <v>#NAME?</v>
      </c>
      <c r="BK91" s="175" t="e">
        <f t="shared" ca="1" si="906"/>
        <v>#NAME?</v>
      </c>
      <c r="BL91" s="175" t="e">
        <f t="shared" ca="1" si="906"/>
        <v>#NAME?</v>
      </c>
      <c r="BM91" s="175" t="e">
        <f t="shared" ca="1" si="906"/>
        <v>#NAME?</v>
      </c>
      <c r="BN91" s="175" t="e">
        <f t="shared" ca="1" si="906"/>
        <v>#NAME?</v>
      </c>
      <c r="BO91" s="175" t="e">
        <f t="shared" ca="1" si="906"/>
        <v>#NAME?</v>
      </c>
      <c r="BP91" s="175" t="e">
        <f t="shared" ca="1" si="906"/>
        <v>#NAME?</v>
      </c>
      <c r="BQ91" s="175" t="e">
        <f t="shared" ca="1" si="906"/>
        <v>#NAME?</v>
      </c>
      <c r="BR91" s="175" t="e">
        <f t="shared" ca="1" si="906"/>
        <v>#NAME?</v>
      </c>
      <c r="BS91" s="175" t="e">
        <f t="shared" ca="1" si="906"/>
        <v>#NAME?</v>
      </c>
      <c r="BT91" s="175" t="e">
        <f t="shared" ca="1" si="906"/>
        <v>#NAME?</v>
      </c>
      <c r="BU91" s="175" t="e">
        <f t="shared" ca="1" si="906"/>
        <v>#NAME?</v>
      </c>
      <c r="BV91" s="175" t="e">
        <f t="shared" ca="1" si="906"/>
        <v>#NAME?</v>
      </c>
      <c r="BW91" s="175" t="e">
        <f t="shared" ca="1" si="906"/>
        <v>#NAME?</v>
      </c>
      <c r="BX91" s="175" t="e">
        <f t="shared" ca="1" si="906"/>
        <v>#NAME?</v>
      </c>
      <c r="BY91" s="175" t="e">
        <f t="shared" ca="1" si="906"/>
        <v>#NAME?</v>
      </c>
      <c r="BZ91" s="175" t="e">
        <f t="shared" ca="1" si="906"/>
        <v>#NAME?</v>
      </c>
      <c r="CA91" s="175" t="e">
        <f t="shared" ca="1" si="906"/>
        <v>#NAME?</v>
      </c>
      <c r="CB91" s="175" t="e">
        <f t="shared" ca="1" si="906"/>
        <v>#NAME?</v>
      </c>
      <c r="CC91" s="175" t="e">
        <f t="shared" ca="1" si="906"/>
        <v>#NAME?</v>
      </c>
      <c r="CD91" s="175" t="e">
        <f t="shared" ca="1" si="906"/>
        <v>#NAME?</v>
      </c>
      <c r="CE91" s="175" t="e">
        <f t="shared" ca="1" si="906"/>
        <v>#NAME?</v>
      </c>
      <c r="CF91" s="175" t="e">
        <f t="shared" ca="1" si="906"/>
        <v>#NAME?</v>
      </c>
      <c r="CG91" s="175" t="e">
        <f t="shared" ca="1" si="906"/>
        <v>#NAME?</v>
      </c>
      <c r="CH91" s="175" t="e">
        <f t="shared" ca="1" si="906"/>
        <v>#NAME?</v>
      </c>
      <c r="CI91" s="175" t="e">
        <f t="shared" ca="1" si="906"/>
        <v>#NAME?</v>
      </c>
      <c r="CJ91" s="175" t="e">
        <f ca="1">+CORREL(CG70:CJ70,CG87:CJ87)</f>
        <v>#NAME?</v>
      </c>
      <c r="CK91" s="175" t="e">
        <f ca="1">+CORREL(CH70:CK70,CH87:CK87)</f>
        <v>#NAME?</v>
      </c>
      <c r="CL91" s="175" t="e">
        <f ca="1">+CORREL(CI70:CL70,CI87:CL87)</f>
        <v>#NAME?</v>
      </c>
      <c r="CM91" s="99"/>
      <c r="CN91" s="99"/>
      <c r="CO91" s="99"/>
      <c r="CP91" s="99"/>
      <c r="CQ91" s="99"/>
      <c r="CR91" s="99"/>
      <c r="CS91" s="99"/>
      <c r="CT91" s="99"/>
      <c r="CU91" s="99"/>
      <c r="CV91" s="99"/>
      <c r="CW91" s="99"/>
      <c r="CX91" s="99"/>
      <c r="CY91" s="99"/>
      <c r="CZ91" s="99"/>
      <c r="DA91" s="99"/>
      <c r="DB91" s="99"/>
      <c r="DE91" s="137"/>
    </row>
    <row r="92" spans="1:110" s="4" customFormat="1" x14ac:dyDescent="0.2">
      <c r="A92" s="3"/>
      <c r="AB92" s="17"/>
      <c r="AC92" s="17"/>
      <c r="AD92" s="17"/>
      <c r="AE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E92" s="119"/>
    </row>
    <row r="93" spans="1:110" s="162" customFormat="1" x14ac:dyDescent="0.2">
      <c r="A93" s="49" t="s">
        <v>505</v>
      </c>
      <c r="E93" s="162" t="e">
        <f t="shared" ref="E93:AE93" ca="1" si="907">+E$121/E$66</f>
        <v>#NAME?</v>
      </c>
      <c r="F93" s="162" t="e">
        <f t="shared" ca="1" si="907"/>
        <v>#NAME?</v>
      </c>
      <c r="G93" s="162" t="e">
        <f t="shared" ca="1" si="907"/>
        <v>#NAME?</v>
      </c>
      <c r="H93" s="162" t="e">
        <f t="shared" ca="1" si="907"/>
        <v>#NAME?</v>
      </c>
      <c r="I93" s="162" t="e">
        <f t="shared" ca="1" si="907"/>
        <v>#NAME?</v>
      </c>
      <c r="J93" s="162" t="e">
        <f t="shared" ca="1" si="907"/>
        <v>#NAME?</v>
      </c>
      <c r="K93" s="162" t="e">
        <f t="shared" ca="1" si="907"/>
        <v>#NAME?</v>
      </c>
      <c r="L93" s="162" t="e">
        <f t="shared" ca="1" si="907"/>
        <v>#NAME?</v>
      </c>
      <c r="M93" s="162" t="e">
        <f t="shared" ca="1" si="907"/>
        <v>#NAME?</v>
      </c>
      <c r="N93" s="162" t="e">
        <f t="shared" ca="1" si="907"/>
        <v>#NAME?</v>
      </c>
      <c r="O93" s="162" t="e">
        <f t="shared" ca="1" si="907"/>
        <v>#NAME?</v>
      </c>
      <c r="P93" s="162" t="e">
        <f t="shared" ca="1" si="907"/>
        <v>#NAME?</v>
      </c>
      <c r="Q93" s="162" t="e">
        <f t="shared" ca="1" si="907"/>
        <v>#NAME?</v>
      </c>
      <c r="R93" s="162" t="e">
        <f t="shared" ca="1" si="907"/>
        <v>#NAME?</v>
      </c>
      <c r="S93" s="162" t="e">
        <f t="shared" ca="1" si="907"/>
        <v>#NAME?</v>
      </c>
      <c r="T93" s="162" t="e">
        <f t="shared" ca="1" si="907"/>
        <v>#NAME?</v>
      </c>
      <c r="U93" s="162" t="e">
        <f t="shared" ca="1" si="907"/>
        <v>#NAME?</v>
      </c>
      <c r="V93" s="162" t="e">
        <f t="shared" ca="1" si="907"/>
        <v>#NAME?</v>
      </c>
      <c r="W93" s="162" t="e">
        <f t="shared" ca="1" si="907"/>
        <v>#NAME?</v>
      </c>
      <c r="X93" s="162" t="e">
        <f t="shared" ca="1" si="907"/>
        <v>#NAME?</v>
      </c>
      <c r="Y93" s="162" t="e">
        <f t="shared" ca="1" si="907"/>
        <v>#NAME?</v>
      </c>
      <c r="Z93" s="162" t="e">
        <f t="shared" ca="1" si="907"/>
        <v>#NAME?</v>
      </c>
      <c r="AA93" s="162" t="e">
        <f t="shared" ca="1" si="907"/>
        <v>#NAME?</v>
      </c>
      <c r="AB93" s="21" t="e">
        <f t="shared" ca="1" si="907"/>
        <v>#NAME?</v>
      </c>
      <c r="AC93" s="21" t="e">
        <f t="shared" ca="1" si="907"/>
        <v>#NAME?</v>
      </c>
      <c r="AD93" s="21" t="e">
        <f t="shared" ca="1" si="907"/>
        <v>#NAME?</v>
      </c>
      <c r="AE93" s="21" t="e">
        <f t="shared" ca="1" si="907"/>
        <v>#NAME?</v>
      </c>
      <c r="AL93" s="162" t="e">
        <f t="shared" ref="AL93:BQ93" ca="1" si="908">+AL$121/AL$66</f>
        <v>#NAME?</v>
      </c>
      <c r="AM93" s="162" t="e">
        <f t="shared" ca="1" si="908"/>
        <v>#NAME?</v>
      </c>
      <c r="AN93" s="162" t="e">
        <f t="shared" ca="1" si="908"/>
        <v>#NAME?</v>
      </c>
      <c r="AO93" s="162" t="e">
        <f t="shared" ca="1" si="908"/>
        <v>#NAME?</v>
      </c>
      <c r="AP93" s="162" t="e">
        <f t="shared" ca="1" si="908"/>
        <v>#NAME?</v>
      </c>
      <c r="AQ93" s="162" t="e">
        <f t="shared" ca="1" si="908"/>
        <v>#NAME?</v>
      </c>
      <c r="AR93" s="162" t="e">
        <f t="shared" ca="1" si="908"/>
        <v>#NAME?</v>
      </c>
      <c r="AS93" s="162" t="e">
        <f t="shared" ca="1" si="908"/>
        <v>#NAME?</v>
      </c>
      <c r="AT93" s="162" t="e">
        <f t="shared" ca="1" si="908"/>
        <v>#NAME?</v>
      </c>
      <c r="AU93" s="162" t="e">
        <f t="shared" ca="1" si="908"/>
        <v>#NAME?</v>
      </c>
      <c r="AV93" s="162" t="e">
        <f t="shared" ca="1" si="908"/>
        <v>#NAME?</v>
      </c>
      <c r="AW93" s="162" t="e">
        <f t="shared" ca="1" si="908"/>
        <v>#NAME?</v>
      </c>
      <c r="AX93" s="162" t="e">
        <f t="shared" ca="1" si="908"/>
        <v>#NAME?</v>
      </c>
      <c r="AY93" s="162" t="e">
        <f t="shared" ca="1" si="908"/>
        <v>#NAME?</v>
      </c>
      <c r="AZ93" s="162" t="e">
        <f t="shared" ca="1" si="908"/>
        <v>#NAME?</v>
      </c>
      <c r="BA93" s="162" t="e">
        <f t="shared" ca="1" si="908"/>
        <v>#NAME?</v>
      </c>
      <c r="BB93" s="162" t="e">
        <f t="shared" ca="1" si="908"/>
        <v>#NAME?</v>
      </c>
      <c r="BC93" s="162" t="e">
        <f t="shared" ca="1" si="908"/>
        <v>#NAME?</v>
      </c>
      <c r="BD93" s="162" t="e">
        <f t="shared" ca="1" si="908"/>
        <v>#NAME?</v>
      </c>
      <c r="BE93" s="162" t="e">
        <f t="shared" ca="1" si="908"/>
        <v>#NAME?</v>
      </c>
      <c r="BF93" s="162" t="e">
        <f t="shared" ca="1" si="908"/>
        <v>#NAME?</v>
      </c>
      <c r="BG93" s="162" t="e">
        <f t="shared" ca="1" si="908"/>
        <v>#NAME?</v>
      </c>
      <c r="BH93" s="162" t="e">
        <f t="shared" ca="1" si="908"/>
        <v>#NAME?</v>
      </c>
      <c r="BI93" s="162" t="e">
        <f t="shared" ca="1" si="908"/>
        <v>#NAME?</v>
      </c>
      <c r="BJ93" s="162" t="e">
        <f t="shared" ca="1" si="908"/>
        <v>#NAME?</v>
      </c>
      <c r="BK93" s="162" t="e">
        <f t="shared" ca="1" si="908"/>
        <v>#NAME?</v>
      </c>
      <c r="BL93" s="162" t="e">
        <f t="shared" ca="1" si="908"/>
        <v>#NAME?</v>
      </c>
      <c r="BM93" s="162" t="e">
        <f t="shared" ca="1" si="908"/>
        <v>#NAME?</v>
      </c>
      <c r="BN93" s="162" t="e">
        <f t="shared" ca="1" si="908"/>
        <v>#NAME?</v>
      </c>
      <c r="BO93" s="162" t="e">
        <f t="shared" ca="1" si="908"/>
        <v>#NAME?</v>
      </c>
      <c r="BP93" s="162" t="e">
        <f t="shared" ca="1" si="908"/>
        <v>#NAME?</v>
      </c>
      <c r="BQ93" s="162" t="e">
        <f t="shared" ca="1" si="908"/>
        <v>#NAME?</v>
      </c>
      <c r="BR93" s="162" t="e">
        <f t="shared" ref="BR93:DB93" ca="1" si="909">+BR$121/BR$66</f>
        <v>#NAME?</v>
      </c>
      <c r="BS93" s="162" t="e">
        <f t="shared" ca="1" si="909"/>
        <v>#NAME?</v>
      </c>
      <c r="BT93" s="162" t="e">
        <f t="shared" ca="1" si="909"/>
        <v>#NAME?</v>
      </c>
      <c r="BU93" s="162" t="e">
        <f t="shared" ca="1" si="909"/>
        <v>#NAME?</v>
      </c>
      <c r="BV93" s="162" t="e">
        <f t="shared" ca="1" si="909"/>
        <v>#NAME?</v>
      </c>
      <c r="BW93" s="162" t="e">
        <f t="shared" ca="1" si="909"/>
        <v>#NAME?</v>
      </c>
      <c r="BX93" s="162" t="e">
        <f t="shared" ca="1" si="909"/>
        <v>#NAME?</v>
      </c>
      <c r="BY93" s="162" t="e">
        <f t="shared" ca="1" si="909"/>
        <v>#NAME?</v>
      </c>
      <c r="BZ93" s="162" t="e">
        <f t="shared" ca="1" si="909"/>
        <v>#NAME?</v>
      </c>
      <c r="CA93" s="162" t="e">
        <f t="shared" ca="1" si="909"/>
        <v>#NAME?</v>
      </c>
      <c r="CB93" s="162" t="e">
        <f t="shared" ca="1" si="909"/>
        <v>#NAME?</v>
      </c>
      <c r="CC93" s="162" t="e">
        <f t="shared" ca="1" si="909"/>
        <v>#NAME?</v>
      </c>
      <c r="CD93" s="162" t="e">
        <f t="shared" ca="1" si="909"/>
        <v>#NAME?</v>
      </c>
      <c r="CE93" s="162" t="e">
        <f t="shared" ca="1" si="909"/>
        <v>#NAME?</v>
      </c>
      <c r="CF93" s="162" t="e">
        <f t="shared" ca="1" si="909"/>
        <v>#NAME?</v>
      </c>
      <c r="CG93" s="162" t="e">
        <f t="shared" ca="1" si="909"/>
        <v>#NAME?</v>
      </c>
      <c r="CH93" s="162" t="e">
        <f t="shared" ca="1" si="909"/>
        <v>#NAME?</v>
      </c>
      <c r="CI93" s="162" t="e">
        <f t="shared" ca="1" si="909"/>
        <v>#NAME?</v>
      </c>
      <c r="CJ93" s="162" t="e">
        <f t="shared" ca="1" si="909"/>
        <v>#NAME?</v>
      </c>
      <c r="CK93" s="162" t="e">
        <f t="shared" ca="1" si="909"/>
        <v>#NAME?</v>
      </c>
      <c r="CL93" s="162" t="e">
        <f t="shared" ca="1" si="909"/>
        <v>#NAME?</v>
      </c>
      <c r="CM93" s="21" t="e">
        <f t="shared" ca="1" si="909"/>
        <v>#NAME?</v>
      </c>
      <c r="CN93" s="21" t="e">
        <f t="shared" ca="1" si="909"/>
        <v>#NAME?</v>
      </c>
      <c r="CO93" s="21" t="e">
        <f t="shared" ca="1" si="909"/>
        <v>#NAME?</v>
      </c>
      <c r="CP93" s="21" t="e">
        <f t="shared" ca="1" si="909"/>
        <v>#NAME?</v>
      </c>
      <c r="CQ93" s="21" t="e">
        <f t="shared" ca="1" si="909"/>
        <v>#NAME?</v>
      </c>
      <c r="CR93" s="21" t="e">
        <f t="shared" ca="1" si="909"/>
        <v>#NAME?</v>
      </c>
      <c r="CS93" s="21" t="e">
        <f t="shared" ca="1" si="909"/>
        <v>#NAME?</v>
      </c>
      <c r="CT93" s="21" t="e">
        <f t="shared" ca="1" si="909"/>
        <v>#NAME?</v>
      </c>
      <c r="CU93" s="21" t="e">
        <f t="shared" ca="1" si="909"/>
        <v>#NAME?</v>
      </c>
      <c r="CV93" s="21" t="e">
        <f t="shared" ca="1" si="909"/>
        <v>#NAME?</v>
      </c>
      <c r="CW93" s="21" t="e">
        <f t="shared" ca="1" si="909"/>
        <v>#NAME?</v>
      </c>
      <c r="CX93" s="21" t="e">
        <f t="shared" ca="1" si="909"/>
        <v>#NAME?</v>
      </c>
      <c r="CY93" s="21" t="e">
        <f t="shared" ca="1" si="909"/>
        <v>#NAME?</v>
      </c>
      <c r="CZ93" s="21" t="e">
        <f t="shared" ca="1" si="909"/>
        <v>#NAME?</v>
      </c>
      <c r="DA93" s="21" t="e">
        <f t="shared" ca="1" si="909"/>
        <v>#NAME?</v>
      </c>
      <c r="DB93" s="21" t="e">
        <f t="shared" ca="1" si="909"/>
        <v>#NAME?</v>
      </c>
      <c r="DE93" s="22"/>
      <c r="DF93" s="162">
        <v>626.16798204890131</v>
      </c>
    </row>
    <row r="94" spans="1:110" s="162" customFormat="1" x14ac:dyDescent="0.2">
      <c r="A94" s="49" t="s">
        <v>501</v>
      </c>
      <c r="AB94" s="21"/>
      <c r="AC94" s="21"/>
      <c r="AD94" s="21"/>
      <c r="AE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E94" s="22"/>
    </row>
    <row r="95" spans="1:110" s="162" customFormat="1" x14ac:dyDescent="0.2">
      <c r="A95" s="49" t="s">
        <v>502</v>
      </c>
      <c r="E95" s="162" t="e">
        <f t="shared" ref="E95:AE97" ca="1" si="910">+E78/E$93</f>
        <v>#NAME?</v>
      </c>
      <c r="F95" s="162" t="e">
        <f t="shared" ca="1" si="910"/>
        <v>#NAME?</v>
      </c>
      <c r="G95" s="162" t="e">
        <f t="shared" ca="1" si="910"/>
        <v>#NAME?</v>
      </c>
      <c r="H95" s="162" t="e">
        <f t="shared" ca="1" si="910"/>
        <v>#NAME?</v>
      </c>
      <c r="I95" s="162" t="e">
        <f t="shared" ca="1" si="910"/>
        <v>#NAME?</v>
      </c>
      <c r="J95" s="162" t="e">
        <f t="shared" ca="1" si="910"/>
        <v>#NAME?</v>
      </c>
      <c r="K95" s="162" t="e">
        <f t="shared" ca="1" si="910"/>
        <v>#NAME?</v>
      </c>
      <c r="L95" s="162" t="e">
        <f t="shared" ca="1" si="910"/>
        <v>#NAME?</v>
      </c>
      <c r="M95" s="162" t="e">
        <f t="shared" ca="1" si="910"/>
        <v>#NAME?</v>
      </c>
      <c r="N95" s="162" t="e">
        <f t="shared" ca="1" si="910"/>
        <v>#NAME?</v>
      </c>
      <c r="O95" s="162" t="e">
        <f t="shared" ca="1" si="910"/>
        <v>#NAME?</v>
      </c>
      <c r="P95" s="162" t="e">
        <f t="shared" ca="1" si="910"/>
        <v>#NAME?</v>
      </c>
      <c r="Q95" s="162" t="e">
        <f t="shared" ca="1" si="910"/>
        <v>#NAME?</v>
      </c>
      <c r="R95" s="162" t="e">
        <f t="shared" ca="1" si="910"/>
        <v>#NAME?</v>
      </c>
      <c r="S95" s="162" t="e">
        <f t="shared" ca="1" si="910"/>
        <v>#NAME?</v>
      </c>
      <c r="T95" s="162" t="e">
        <f t="shared" ca="1" si="910"/>
        <v>#NAME?</v>
      </c>
      <c r="U95" s="162" t="e">
        <f t="shared" ca="1" si="910"/>
        <v>#NAME?</v>
      </c>
      <c r="V95" s="162" t="e">
        <f t="shared" ca="1" si="910"/>
        <v>#NAME?</v>
      </c>
      <c r="W95" s="162" t="e">
        <f t="shared" ca="1" si="910"/>
        <v>#NAME?</v>
      </c>
      <c r="X95" s="162" t="e">
        <f t="shared" ca="1" si="910"/>
        <v>#NAME?</v>
      </c>
      <c r="Y95" s="162" t="e">
        <f t="shared" ca="1" si="910"/>
        <v>#NAME?</v>
      </c>
      <c r="Z95" s="162" t="e">
        <f t="shared" ca="1" si="910"/>
        <v>#NAME?</v>
      </c>
      <c r="AA95" s="162" t="e">
        <f t="shared" ref="AA95" ca="1" si="911">+AA78/AA$93</f>
        <v>#NAME?</v>
      </c>
      <c r="AB95" s="21" t="e">
        <f t="shared" ca="1" si="910"/>
        <v>#NAME?</v>
      </c>
      <c r="AC95" s="21" t="e">
        <f t="shared" ca="1" si="910"/>
        <v>#NAME?</v>
      </c>
      <c r="AD95" s="21" t="e">
        <f t="shared" ca="1" si="910"/>
        <v>#NAME?</v>
      </c>
      <c r="AE95" s="21" t="e">
        <f t="shared" ca="1" si="910"/>
        <v>#NAME?</v>
      </c>
      <c r="AL95" s="162" t="e">
        <f t="shared" ref="AL95:CI97" ca="1" si="912">+AL78/AL$93</f>
        <v>#NAME?</v>
      </c>
      <c r="AM95" s="162" t="e">
        <f t="shared" ca="1" si="912"/>
        <v>#NAME?</v>
      </c>
      <c r="AN95" s="162" t="e">
        <f t="shared" ca="1" si="912"/>
        <v>#NAME?</v>
      </c>
      <c r="AO95" s="162" t="e">
        <f t="shared" ca="1" si="912"/>
        <v>#NAME?</v>
      </c>
      <c r="AP95" s="162" t="e">
        <f t="shared" ca="1" si="912"/>
        <v>#NAME?</v>
      </c>
      <c r="AQ95" s="162" t="e">
        <f t="shared" ca="1" si="912"/>
        <v>#NAME?</v>
      </c>
      <c r="AR95" s="162" t="e">
        <f t="shared" ca="1" si="912"/>
        <v>#NAME?</v>
      </c>
      <c r="AS95" s="162" t="e">
        <f t="shared" ca="1" si="912"/>
        <v>#NAME?</v>
      </c>
      <c r="AT95" s="162" t="e">
        <f t="shared" ca="1" si="912"/>
        <v>#NAME?</v>
      </c>
      <c r="AU95" s="162" t="e">
        <f t="shared" ca="1" si="912"/>
        <v>#NAME?</v>
      </c>
      <c r="AV95" s="162" t="e">
        <f t="shared" ca="1" si="912"/>
        <v>#NAME?</v>
      </c>
      <c r="AW95" s="162" t="e">
        <f t="shared" ca="1" si="912"/>
        <v>#NAME?</v>
      </c>
      <c r="AX95" s="162" t="e">
        <f t="shared" ca="1" si="912"/>
        <v>#NAME?</v>
      </c>
      <c r="AY95" s="162" t="e">
        <f t="shared" ca="1" si="912"/>
        <v>#NAME?</v>
      </c>
      <c r="AZ95" s="162" t="e">
        <f t="shared" ca="1" si="912"/>
        <v>#NAME?</v>
      </c>
      <c r="BA95" s="162" t="e">
        <f t="shared" ca="1" si="912"/>
        <v>#NAME?</v>
      </c>
      <c r="BB95" s="162" t="e">
        <f t="shared" ca="1" si="912"/>
        <v>#NAME?</v>
      </c>
      <c r="BC95" s="162" t="e">
        <f t="shared" ca="1" si="912"/>
        <v>#NAME?</v>
      </c>
      <c r="BD95" s="162" t="e">
        <f t="shared" ca="1" si="912"/>
        <v>#NAME?</v>
      </c>
      <c r="BE95" s="162" t="e">
        <f t="shared" ca="1" si="912"/>
        <v>#NAME?</v>
      </c>
      <c r="BF95" s="162" t="e">
        <f t="shared" ca="1" si="912"/>
        <v>#NAME?</v>
      </c>
      <c r="BG95" s="162" t="e">
        <f t="shared" ca="1" si="912"/>
        <v>#NAME?</v>
      </c>
      <c r="BH95" s="162" t="e">
        <f t="shared" ca="1" si="912"/>
        <v>#NAME?</v>
      </c>
      <c r="BI95" s="162" t="e">
        <f t="shared" ca="1" si="912"/>
        <v>#NAME?</v>
      </c>
      <c r="BJ95" s="162" t="e">
        <f t="shared" ca="1" si="912"/>
        <v>#NAME?</v>
      </c>
      <c r="BK95" s="162" t="e">
        <f t="shared" ca="1" si="912"/>
        <v>#NAME?</v>
      </c>
      <c r="BL95" s="162" t="e">
        <f t="shared" ca="1" si="912"/>
        <v>#NAME?</v>
      </c>
      <c r="BM95" s="162" t="e">
        <f t="shared" ca="1" si="912"/>
        <v>#NAME?</v>
      </c>
      <c r="BN95" s="162" t="e">
        <f t="shared" ca="1" si="912"/>
        <v>#NAME?</v>
      </c>
      <c r="BO95" s="162" t="e">
        <f t="shared" ca="1" si="912"/>
        <v>#NAME?</v>
      </c>
      <c r="BP95" s="162" t="e">
        <f t="shared" ca="1" si="912"/>
        <v>#NAME?</v>
      </c>
      <c r="BQ95" s="162" t="e">
        <f t="shared" ca="1" si="912"/>
        <v>#NAME?</v>
      </c>
      <c r="BR95" s="162" t="e">
        <f t="shared" ca="1" si="912"/>
        <v>#NAME?</v>
      </c>
      <c r="BS95" s="162" t="e">
        <f t="shared" ca="1" si="912"/>
        <v>#NAME?</v>
      </c>
      <c r="BT95" s="162" t="e">
        <f t="shared" ca="1" si="912"/>
        <v>#NAME?</v>
      </c>
      <c r="BU95" s="162" t="e">
        <f t="shared" ca="1" si="912"/>
        <v>#NAME?</v>
      </c>
      <c r="BV95" s="162" t="e">
        <f t="shared" ca="1" si="912"/>
        <v>#NAME?</v>
      </c>
      <c r="BW95" s="162" t="e">
        <f t="shared" ca="1" si="912"/>
        <v>#NAME?</v>
      </c>
      <c r="BX95" s="162" t="e">
        <f t="shared" ca="1" si="912"/>
        <v>#NAME?</v>
      </c>
      <c r="BY95" s="162" t="e">
        <f t="shared" ca="1" si="912"/>
        <v>#NAME?</v>
      </c>
      <c r="BZ95" s="162" t="e">
        <f t="shared" ca="1" si="912"/>
        <v>#NAME?</v>
      </c>
      <c r="CA95" s="162" t="e">
        <f t="shared" ca="1" si="912"/>
        <v>#NAME?</v>
      </c>
      <c r="CB95" s="162" t="e">
        <f t="shared" ca="1" si="912"/>
        <v>#NAME?</v>
      </c>
      <c r="CC95" s="162" t="e">
        <f t="shared" ca="1" si="912"/>
        <v>#NAME?</v>
      </c>
      <c r="CD95" s="162" t="e">
        <f t="shared" ca="1" si="912"/>
        <v>#NAME?</v>
      </c>
      <c r="CE95" s="162" t="e">
        <f t="shared" ca="1" si="912"/>
        <v>#NAME?</v>
      </c>
      <c r="CF95" s="162" t="e">
        <f t="shared" ca="1" si="912"/>
        <v>#NAME?</v>
      </c>
      <c r="CG95" s="162" t="e">
        <f t="shared" ca="1" si="912"/>
        <v>#NAME?</v>
      </c>
      <c r="CH95" s="162" t="e">
        <f t="shared" ca="1" si="912"/>
        <v>#NAME?</v>
      </c>
      <c r="CI95" s="162" t="e">
        <f t="shared" ca="1" si="912"/>
        <v>#NAME?</v>
      </c>
      <c r="CJ95" s="162" t="e">
        <f ca="1">+CJ78/CJ$93</f>
        <v>#NAME?</v>
      </c>
      <c r="CK95" s="162" t="e">
        <f ca="1">+CK78/CK$93</f>
        <v>#NAME?</v>
      </c>
      <c r="CL95" s="162" t="e">
        <f ca="1">+CL78/CL$93</f>
        <v>#NAME?</v>
      </c>
      <c r="CM95" s="21" t="e">
        <f t="shared" ref="CM95:DB95" ca="1" si="913">+CM78/CM$93</f>
        <v>#NAME?</v>
      </c>
      <c r="CN95" s="21" t="e">
        <f t="shared" ca="1" si="913"/>
        <v>#NAME?</v>
      </c>
      <c r="CO95" s="21" t="e">
        <f t="shared" ca="1" si="913"/>
        <v>#NAME?</v>
      </c>
      <c r="CP95" s="21" t="e">
        <f t="shared" ca="1" si="913"/>
        <v>#NAME?</v>
      </c>
      <c r="CQ95" s="21" t="e">
        <f t="shared" ca="1" si="913"/>
        <v>#NAME?</v>
      </c>
      <c r="CR95" s="21" t="e">
        <f t="shared" ca="1" si="913"/>
        <v>#NAME?</v>
      </c>
      <c r="CS95" s="21" t="e">
        <f t="shared" ca="1" si="913"/>
        <v>#NAME?</v>
      </c>
      <c r="CT95" s="21" t="e">
        <f t="shared" ca="1" si="913"/>
        <v>#NAME?</v>
      </c>
      <c r="CU95" s="21" t="e">
        <f t="shared" ca="1" si="913"/>
        <v>#NAME?</v>
      </c>
      <c r="CV95" s="21" t="e">
        <f t="shared" ca="1" si="913"/>
        <v>#NAME?</v>
      </c>
      <c r="CW95" s="21" t="e">
        <f t="shared" ca="1" si="913"/>
        <v>#NAME?</v>
      </c>
      <c r="CX95" s="21" t="e">
        <f t="shared" ca="1" si="913"/>
        <v>#NAME?</v>
      </c>
      <c r="CY95" s="21" t="e">
        <f t="shared" ca="1" si="913"/>
        <v>#NAME?</v>
      </c>
      <c r="CZ95" s="21" t="e">
        <f t="shared" ca="1" si="913"/>
        <v>#NAME?</v>
      </c>
      <c r="DA95" s="21" t="e">
        <f t="shared" ca="1" si="913"/>
        <v>#NAME?</v>
      </c>
      <c r="DB95" s="21" t="e">
        <f t="shared" ca="1" si="913"/>
        <v>#NAME?</v>
      </c>
      <c r="DE95" s="22"/>
      <c r="DF95" s="162">
        <v>2.8101884006304529</v>
      </c>
    </row>
    <row r="96" spans="1:110" s="162" customFormat="1" x14ac:dyDescent="0.2">
      <c r="A96" s="49" t="s">
        <v>503</v>
      </c>
      <c r="E96" s="162" t="e">
        <f t="shared" ca="1" si="910"/>
        <v>#NAME?</v>
      </c>
      <c r="F96" s="162" t="e">
        <f t="shared" ca="1" si="910"/>
        <v>#NAME?</v>
      </c>
      <c r="G96" s="162" t="e">
        <f t="shared" ca="1" si="910"/>
        <v>#NAME?</v>
      </c>
      <c r="H96" s="162" t="e">
        <f t="shared" ca="1" si="910"/>
        <v>#NAME?</v>
      </c>
      <c r="I96" s="162" t="e">
        <f t="shared" ca="1" si="910"/>
        <v>#NAME?</v>
      </c>
      <c r="J96" s="162" t="e">
        <f t="shared" ca="1" si="910"/>
        <v>#NAME?</v>
      </c>
      <c r="K96" s="162" t="e">
        <f t="shared" ca="1" si="910"/>
        <v>#NAME?</v>
      </c>
      <c r="L96" s="162" t="e">
        <f t="shared" ca="1" si="910"/>
        <v>#NAME?</v>
      </c>
      <c r="M96" s="162" t="e">
        <f t="shared" ca="1" si="910"/>
        <v>#NAME?</v>
      </c>
      <c r="N96" s="162" t="e">
        <f t="shared" ca="1" si="910"/>
        <v>#NAME?</v>
      </c>
      <c r="O96" s="162" t="e">
        <f t="shared" ca="1" si="910"/>
        <v>#NAME?</v>
      </c>
      <c r="P96" s="162" t="e">
        <f t="shared" ca="1" si="910"/>
        <v>#NAME?</v>
      </c>
      <c r="Q96" s="162" t="e">
        <f t="shared" ca="1" si="910"/>
        <v>#NAME?</v>
      </c>
      <c r="R96" s="162" t="e">
        <f t="shared" ca="1" si="910"/>
        <v>#NAME?</v>
      </c>
      <c r="S96" s="162" t="e">
        <f t="shared" ca="1" si="910"/>
        <v>#NAME?</v>
      </c>
      <c r="T96" s="162" t="e">
        <f t="shared" ca="1" si="910"/>
        <v>#NAME?</v>
      </c>
      <c r="U96" s="162" t="e">
        <f t="shared" ca="1" si="910"/>
        <v>#NAME?</v>
      </c>
      <c r="V96" s="162" t="e">
        <f t="shared" ca="1" si="910"/>
        <v>#NAME?</v>
      </c>
      <c r="W96" s="162" t="e">
        <f t="shared" ca="1" si="910"/>
        <v>#NAME?</v>
      </c>
      <c r="X96" s="162" t="e">
        <f t="shared" ca="1" si="910"/>
        <v>#NAME?</v>
      </c>
      <c r="Y96" s="162" t="e">
        <f t="shared" ca="1" si="910"/>
        <v>#NAME?</v>
      </c>
      <c r="Z96" s="162" t="e">
        <f t="shared" ca="1" si="910"/>
        <v>#NAME?</v>
      </c>
      <c r="AA96" s="162" t="e">
        <f t="shared" ref="AA96" ca="1" si="914">+AA79/AA$93</f>
        <v>#NAME?</v>
      </c>
      <c r="AB96" s="21" t="e">
        <f t="shared" ca="1" si="910"/>
        <v>#NAME?</v>
      </c>
      <c r="AC96" s="21" t="e">
        <f t="shared" ca="1" si="910"/>
        <v>#NAME?</v>
      </c>
      <c r="AD96" s="21" t="e">
        <f t="shared" ca="1" si="910"/>
        <v>#NAME?</v>
      </c>
      <c r="AE96" s="21" t="e">
        <f t="shared" ca="1" si="910"/>
        <v>#NAME?</v>
      </c>
      <c r="AL96" s="162" t="e">
        <f t="shared" ca="1" si="912"/>
        <v>#NAME?</v>
      </c>
      <c r="AM96" s="162" t="e">
        <f t="shared" ca="1" si="912"/>
        <v>#NAME?</v>
      </c>
      <c r="AN96" s="162" t="e">
        <f t="shared" ca="1" si="912"/>
        <v>#NAME?</v>
      </c>
      <c r="AO96" s="162" t="e">
        <f t="shared" ca="1" si="912"/>
        <v>#NAME?</v>
      </c>
      <c r="AP96" s="162" t="e">
        <f t="shared" ca="1" si="912"/>
        <v>#NAME?</v>
      </c>
      <c r="AQ96" s="162" t="e">
        <f t="shared" ca="1" si="912"/>
        <v>#NAME?</v>
      </c>
      <c r="AR96" s="162" t="e">
        <f t="shared" ca="1" si="912"/>
        <v>#NAME?</v>
      </c>
      <c r="AS96" s="162" t="e">
        <f t="shared" ca="1" si="912"/>
        <v>#NAME?</v>
      </c>
      <c r="AT96" s="162" t="e">
        <f t="shared" ca="1" si="912"/>
        <v>#NAME?</v>
      </c>
      <c r="AU96" s="162" t="e">
        <f t="shared" ca="1" si="912"/>
        <v>#NAME?</v>
      </c>
      <c r="AV96" s="162" t="e">
        <f t="shared" ca="1" si="912"/>
        <v>#NAME?</v>
      </c>
      <c r="AW96" s="162" t="e">
        <f t="shared" ca="1" si="912"/>
        <v>#NAME?</v>
      </c>
      <c r="AX96" s="162" t="e">
        <f t="shared" ca="1" si="912"/>
        <v>#NAME?</v>
      </c>
      <c r="AY96" s="162" t="e">
        <f t="shared" ca="1" si="912"/>
        <v>#NAME?</v>
      </c>
      <c r="AZ96" s="162" t="e">
        <f t="shared" ca="1" si="912"/>
        <v>#NAME?</v>
      </c>
      <c r="BA96" s="162" t="e">
        <f t="shared" ca="1" si="912"/>
        <v>#NAME?</v>
      </c>
      <c r="BB96" s="162" t="e">
        <f t="shared" ca="1" si="912"/>
        <v>#NAME?</v>
      </c>
      <c r="BC96" s="162" t="e">
        <f t="shared" ca="1" si="912"/>
        <v>#NAME?</v>
      </c>
      <c r="BD96" s="162" t="e">
        <f t="shared" ca="1" si="912"/>
        <v>#NAME?</v>
      </c>
      <c r="BE96" s="162" t="e">
        <f t="shared" ca="1" si="912"/>
        <v>#NAME?</v>
      </c>
      <c r="BF96" s="162" t="e">
        <f t="shared" ca="1" si="912"/>
        <v>#NAME?</v>
      </c>
      <c r="BG96" s="162" t="e">
        <f t="shared" ca="1" si="912"/>
        <v>#NAME?</v>
      </c>
      <c r="BH96" s="162" t="e">
        <f t="shared" ca="1" si="912"/>
        <v>#NAME?</v>
      </c>
      <c r="BI96" s="162" t="e">
        <f t="shared" ca="1" si="912"/>
        <v>#NAME?</v>
      </c>
      <c r="BJ96" s="162" t="e">
        <f t="shared" ca="1" si="912"/>
        <v>#NAME?</v>
      </c>
      <c r="BK96" s="162" t="e">
        <f t="shared" ca="1" si="912"/>
        <v>#NAME?</v>
      </c>
      <c r="BL96" s="162" t="e">
        <f t="shared" ca="1" si="912"/>
        <v>#NAME?</v>
      </c>
      <c r="BM96" s="162" t="e">
        <f t="shared" ca="1" si="912"/>
        <v>#NAME?</v>
      </c>
      <c r="BN96" s="162" t="e">
        <f t="shared" ca="1" si="912"/>
        <v>#NAME?</v>
      </c>
      <c r="BO96" s="162" t="e">
        <f t="shared" ca="1" si="912"/>
        <v>#NAME?</v>
      </c>
      <c r="BP96" s="162" t="e">
        <f t="shared" ca="1" si="912"/>
        <v>#NAME?</v>
      </c>
      <c r="BQ96" s="162" t="e">
        <f t="shared" ca="1" si="912"/>
        <v>#NAME?</v>
      </c>
      <c r="BR96" s="162" t="e">
        <f t="shared" ca="1" si="912"/>
        <v>#NAME?</v>
      </c>
      <c r="BS96" s="162" t="e">
        <f t="shared" ca="1" si="912"/>
        <v>#NAME?</v>
      </c>
      <c r="BT96" s="162" t="e">
        <f t="shared" ca="1" si="912"/>
        <v>#NAME?</v>
      </c>
      <c r="BU96" s="162" t="e">
        <f t="shared" ca="1" si="912"/>
        <v>#NAME?</v>
      </c>
      <c r="BV96" s="162" t="e">
        <f t="shared" ca="1" si="912"/>
        <v>#NAME?</v>
      </c>
      <c r="BW96" s="162" t="e">
        <f t="shared" ca="1" si="912"/>
        <v>#NAME?</v>
      </c>
      <c r="BX96" s="162" t="e">
        <f t="shared" ca="1" si="912"/>
        <v>#NAME?</v>
      </c>
      <c r="BY96" s="162" t="e">
        <f t="shared" ca="1" si="912"/>
        <v>#NAME?</v>
      </c>
      <c r="BZ96" s="162" t="e">
        <f t="shared" ca="1" si="912"/>
        <v>#NAME?</v>
      </c>
      <c r="CA96" s="162" t="e">
        <f t="shared" ca="1" si="912"/>
        <v>#NAME?</v>
      </c>
      <c r="CB96" s="162" t="e">
        <f t="shared" ca="1" si="912"/>
        <v>#NAME?</v>
      </c>
      <c r="CC96" s="162" t="e">
        <f t="shared" ca="1" si="912"/>
        <v>#NAME?</v>
      </c>
      <c r="CD96" s="162" t="e">
        <f t="shared" ca="1" si="912"/>
        <v>#NAME?</v>
      </c>
      <c r="CE96" s="162" t="e">
        <f t="shared" ca="1" si="912"/>
        <v>#NAME?</v>
      </c>
      <c r="CF96" s="162" t="e">
        <f t="shared" ca="1" si="912"/>
        <v>#NAME?</v>
      </c>
      <c r="CG96" s="162" t="e">
        <f t="shared" ca="1" si="912"/>
        <v>#NAME?</v>
      </c>
      <c r="CH96" s="162" t="e">
        <f t="shared" ca="1" si="912"/>
        <v>#NAME?</v>
      </c>
      <c r="CI96" s="162" t="e">
        <f t="shared" ca="1" si="912"/>
        <v>#NAME?</v>
      </c>
      <c r="CJ96" s="162" t="e">
        <f t="shared" ref="CJ96:CK97" ca="1" si="915">+CJ79/CJ$93</f>
        <v>#NAME?</v>
      </c>
      <c r="CK96" s="162" t="e">
        <f t="shared" ca="1" si="915"/>
        <v>#NAME?</v>
      </c>
      <c r="CL96" s="162" t="e">
        <f t="shared" ref="CL96" ca="1" si="916">+CL79/CL$93</f>
        <v>#NAME?</v>
      </c>
      <c r="CM96" s="94" t="e">
        <f t="shared" ref="CM96:DB96" ca="1" si="917">+CL96</f>
        <v>#NAME?</v>
      </c>
      <c r="CN96" s="94" t="e">
        <f t="shared" ca="1" si="917"/>
        <v>#NAME?</v>
      </c>
      <c r="CO96" s="94" t="e">
        <f t="shared" ca="1" si="917"/>
        <v>#NAME?</v>
      </c>
      <c r="CP96" s="94" t="e">
        <f t="shared" ca="1" si="917"/>
        <v>#NAME?</v>
      </c>
      <c r="CQ96" s="94" t="e">
        <f t="shared" ca="1" si="917"/>
        <v>#NAME?</v>
      </c>
      <c r="CR96" s="94" t="e">
        <f t="shared" ca="1" si="917"/>
        <v>#NAME?</v>
      </c>
      <c r="CS96" s="94" t="e">
        <f t="shared" ca="1" si="917"/>
        <v>#NAME?</v>
      </c>
      <c r="CT96" s="94" t="e">
        <f t="shared" ca="1" si="917"/>
        <v>#NAME?</v>
      </c>
      <c r="CU96" s="94" t="e">
        <f t="shared" ca="1" si="917"/>
        <v>#NAME?</v>
      </c>
      <c r="CV96" s="94" t="e">
        <f t="shared" ca="1" si="917"/>
        <v>#NAME?</v>
      </c>
      <c r="CW96" s="94" t="e">
        <f t="shared" ca="1" si="917"/>
        <v>#NAME?</v>
      </c>
      <c r="CX96" s="94" t="e">
        <f t="shared" ca="1" si="917"/>
        <v>#NAME?</v>
      </c>
      <c r="CY96" s="94" t="e">
        <f t="shared" ca="1" si="917"/>
        <v>#NAME?</v>
      </c>
      <c r="CZ96" s="94" t="e">
        <f t="shared" ca="1" si="917"/>
        <v>#NAME?</v>
      </c>
      <c r="DA96" s="94" t="e">
        <f t="shared" ca="1" si="917"/>
        <v>#NAME?</v>
      </c>
      <c r="DB96" s="94" t="e">
        <f t="shared" ca="1" si="917"/>
        <v>#NAME?</v>
      </c>
      <c r="DC96" s="94"/>
      <c r="DE96" s="22"/>
      <c r="DF96" s="162">
        <v>4.1726153525443488</v>
      </c>
    </row>
    <row r="97" spans="1:110" s="162" customFormat="1" x14ac:dyDescent="0.2">
      <c r="A97" s="49" t="s">
        <v>504</v>
      </c>
      <c r="E97" s="162" t="e">
        <f t="shared" ca="1" si="910"/>
        <v>#NAME?</v>
      </c>
      <c r="F97" s="162" t="e">
        <f t="shared" ca="1" si="910"/>
        <v>#NAME?</v>
      </c>
      <c r="G97" s="162" t="e">
        <f t="shared" ca="1" si="910"/>
        <v>#NAME?</v>
      </c>
      <c r="H97" s="162" t="e">
        <f t="shared" ca="1" si="910"/>
        <v>#NAME?</v>
      </c>
      <c r="I97" s="162" t="e">
        <f t="shared" ca="1" si="910"/>
        <v>#NAME?</v>
      </c>
      <c r="J97" s="162" t="e">
        <f t="shared" ca="1" si="910"/>
        <v>#NAME?</v>
      </c>
      <c r="K97" s="162" t="e">
        <f t="shared" ca="1" si="910"/>
        <v>#NAME?</v>
      </c>
      <c r="L97" s="162" t="e">
        <f t="shared" ca="1" si="910"/>
        <v>#NAME?</v>
      </c>
      <c r="M97" s="162" t="e">
        <f t="shared" ca="1" si="910"/>
        <v>#NAME?</v>
      </c>
      <c r="N97" s="162" t="e">
        <f t="shared" ca="1" si="910"/>
        <v>#NAME?</v>
      </c>
      <c r="O97" s="162" t="e">
        <f t="shared" ca="1" si="910"/>
        <v>#NAME?</v>
      </c>
      <c r="P97" s="162" t="e">
        <f t="shared" ca="1" si="910"/>
        <v>#NAME?</v>
      </c>
      <c r="Q97" s="162" t="e">
        <f t="shared" ca="1" si="910"/>
        <v>#NAME?</v>
      </c>
      <c r="R97" s="162" t="e">
        <f t="shared" ca="1" si="910"/>
        <v>#NAME?</v>
      </c>
      <c r="S97" s="162" t="e">
        <f t="shared" ca="1" si="910"/>
        <v>#NAME?</v>
      </c>
      <c r="T97" s="162" t="e">
        <f t="shared" ca="1" si="910"/>
        <v>#NAME?</v>
      </c>
      <c r="U97" s="162" t="e">
        <f t="shared" ca="1" si="910"/>
        <v>#NAME?</v>
      </c>
      <c r="V97" s="162" t="e">
        <f t="shared" ca="1" si="910"/>
        <v>#NAME?</v>
      </c>
      <c r="W97" s="162" t="e">
        <f t="shared" ca="1" si="910"/>
        <v>#NAME?</v>
      </c>
      <c r="X97" s="162" t="e">
        <f t="shared" ca="1" si="910"/>
        <v>#NAME?</v>
      </c>
      <c r="Y97" s="162" t="e">
        <f t="shared" ca="1" si="910"/>
        <v>#NAME?</v>
      </c>
      <c r="Z97" s="162" t="e">
        <f t="shared" ca="1" si="910"/>
        <v>#NAME?</v>
      </c>
      <c r="AA97" s="162" t="e">
        <f t="shared" ref="AA97" ca="1" si="918">+AA80/AA$93</f>
        <v>#NAME?</v>
      </c>
      <c r="AB97" s="21" t="e">
        <f t="shared" ca="1" si="910"/>
        <v>#NAME?</v>
      </c>
      <c r="AC97" s="21" t="e">
        <f t="shared" ca="1" si="910"/>
        <v>#NAME?</v>
      </c>
      <c r="AD97" s="21" t="e">
        <f t="shared" ca="1" si="910"/>
        <v>#NAME?</v>
      </c>
      <c r="AE97" s="21" t="e">
        <f t="shared" ca="1" si="910"/>
        <v>#NAME?</v>
      </c>
      <c r="AL97" s="162" t="e">
        <f t="shared" ca="1" si="912"/>
        <v>#NAME?</v>
      </c>
      <c r="AM97" s="162" t="e">
        <f t="shared" ca="1" si="912"/>
        <v>#NAME?</v>
      </c>
      <c r="AN97" s="162" t="e">
        <f t="shared" ca="1" si="912"/>
        <v>#NAME?</v>
      </c>
      <c r="AO97" s="162" t="e">
        <f t="shared" ca="1" si="912"/>
        <v>#NAME?</v>
      </c>
      <c r="AP97" s="162" t="e">
        <f t="shared" ca="1" si="912"/>
        <v>#NAME?</v>
      </c>
      <c r="AQ97" s="162" t="e">
        <f t="shared" ca="1" si="912"/>
        <v>#NAME?</v>
      </c>
      <c r="AR97" s="162" t="e">
        <f t="shared" ca="1" si="912"/>
        <v>#NAME?</v>
      </c>
      <c r="AS97" s="162" t="e">
        <f t="shared" ca="1" si="912"/>
        <v>#NAME?</v>
      </c>
      <c r="AT97" s="162" t="e">
        <f t="shared" ca="1" si="912"/>
        <v>#NAME?</v>
      </c>
      <c r="AU97" s="162" t="e">
        <f t="shared" ca="1" si="912"/>
        <v>#NAME?</v>
      </c>
      <c r="AV97" s="162" t="e">
        <f t="shared" ca="1" si="912"/>
        <v>#NAME?</v>
      </c>
      <c r="AW97" s="162" t="e">
        <f t="shared" ca="1" si="912"/>
        <v>#NAME?</v>
      </c>
      <c r="AX97" s="162" t="e">
        <f t="shared" ca="1" si="912"/>
        <v>#NAME?</v>
      </c>
      <c r="AY97" s="162" t="e">
        <f t="shared" ca="1" si="912"/>
        <v>#NAME?</v>
      </c>
      <c r="AZ97" s="162" t="e">
        <f t="shared" ca="1" si="912"/>
        <v>#NAME?</v>
      </c>
      <c r="BA97" s="162" t="e">
        <f t="shared" ca="1" si="912"/>
        <v>#NAME?</v>
      </c>
      <c r="BB97" s="162" t="e">
        <f t="shared" ca="1" si="912"/>
        <v>#NAME?</v>
      </c>
      <c r="BC97" s="162" t="e">
        <f t="shared" ca="1" si="912"/>
        <v>#NAME?</v>
      </c>
      <c r="BD97" s="162" t="e">
        <f t="shared" ca="1" si="912"/>
        <v>#NAME?</v>
      </c>
      <c r="BE97" s="162" t="e">
        <f t="shared" ca="1" si="912"/>
        <v>#NAME?</v>
      </c>
      <c r="BF97" s="162" t="e">
        <f t="shared" ca="1" si="912"/>
        <v>#NAME?</v>
      </c>
      <c r="BG97" s="162" t="e">
        <f t="shared" ca="1" si="912"/>
        <v>#NAME?</v>
      </c>
      <c r="BH97" s="162" t="e">
        <f t="shared" ca="1" si="912"/>
        <v>#NAME?</v>
      </c>
      <c r="BI97" s="162" t="e">
        <f t="shared" ca="1" si="912"/>
        <v>#NAME?</v>
      </c>
      <c r="BJ97" s="162" t="e">
        <f t="shared" ca="1" si="912"/>
        <v>#NAME?</v>
      </c>
      <c r="BK97" s="162" t="e">
        <f t="shared" ca="1" si="912"/>
        <v>#NAME?</v>
      </c>
      <c r="BL97" s="162" t="e">
        <f t="shared" ca="1" si="912"/>
        <v>#NAME?</v>
      </c>
      <c r="BM97" s="162" t="e">
        <f t="shared" ca="1" si="912"/>
        <v>#NAME?</v>
      </c>
      <c r="BN97" s="162" t="e">
        <f t="shared" ca="1" si="912"/>
        <v>#NAME?</v>
      </c>
      <c r="BO97" s="162" t="e">
        <f t="shared" ca="1" si="912"/>
        <v>#NAME?</v>
      </c>
      <c r="BP97" s="162" t="e">
        <f t="shared" ca="1" si="912"/>
        <v>#NAME?</v>
      </c>
      <c r="BQ97" s="162" t="e">
        <f t="shared" ca="1" si="912"/>
        <v>#NAME?</v>
      </c>
      <c r="BR97" s="162" t="e">
        <f t="shared" ca="1" si="912"/>
        <v>#NAME?</v>
      </c>
      <c r="BS97" s="162" t="e">
        <f t="shared" ca="1" si="912"/>
        <v>#NAME?</v>
      </c>
      <c r="BT97" s="162" t="e">
        <f t="shared" ca="1" si="912"/>
        <v>#NAME?</v>
      </c>
      <c r="BU97" s="162" t="e">
        <f t="shared" ca="1" si="912"/>
        <v>#NAME?</v>
      </c>
      <c r="BV97" s="162" t="e">
        <f t="shared" ca="1" si="912"/>
        <v>#NAME?</v>
      </c>
      <c r="BW97" s="162" t="e">
        <f t="shared" ca="1" si="912"/>
        <v>#NAME?</v>
      </c>
      <c r="BX97" s="162" t="e">
        <f t="shared" ca="1" si="912"/>
        <v>#NAME?</v>
      </c>
      <c r="BY97" s="162" t="e">
        <f t="shared" ca="1" si="912"/>
        <v>#NAME?</v>
      </c>
      <c r="BZ97" s="162" t="e">
        <f t="shared" ca="1" si="912"/>
        <v>#NAME?</v>
      </c>
      <c r="CA97" s="162" t="e">
        <f t="shared" ca="1" si="912"/>
        <v>#NAME?</v>
      </c>
      <c r="CB97" s="162" t="e">
        <f t="shared" ca="1" si="912"/>
        <v>#NAME?</v>
      </c>
      <c r="CC97" s="162" t="e">
        <f t="shared" ca="1" si="912"/>
        <v>#NAME?</v>
      </c>
      <c r="CD97" s="162" t="e">
        <f t="shared" ca="1" si="912"/>
        <v>#NAME?</v>
      </c>
      <c r="CE97" s="162" t="e">
        <f t="shared" ca="1" si="912"/>
        <v>#NAME?</v>
      </c>
      <c r="CF97" s="162" t="e">
        <f t="shared" ca="1" si="912"/>
        <v>#NAME?</v>
      </c>
      <c r="CG97" s="162" t="e">
        <f t="shared" ca="1" si="912"/>
        <v>#NAME?</v>
      </c>
      <c r="CH97" s="162" t="e">
        <f t="shared" ca="1" si="912"/>
        <v>#NAME?</v>
      </c>
      <c r="CI97" s="162" t="e">
        <f t="shared" ca="1" si="912"/>
        <v>#NAME?</v>
      </c>
      <c r="CJ97" s="162" t="e">
        <f t="shared" ca="1" si="915"/>
        <v>#NAME?</v>
      </c>
      <c r="CK97" s="162" t="e">
        <f t="shared" ca="1" si="915"/>
        <v>#NAME?</v>
      </c>
      <c r="CL97" s="162" t="e">
        <f t="shared" ref="CL97" ca="1" si="919">+CL80/CL$93</f>
        <v>#NAME?</v>
      </c>
      <c r="CM97" s="94" t="e">
        <f t="shared" ref="CM97:DB97" ca="1" si="920">+CL97</f>
        <v>#NAME?</v>
      </c>
      <c r="CN97" s="94" t="e">
        <f t="shared" ca="1" si="920"/>
        <v>#NAME?</v>
      </c>
      <c r="CO97" s="94" t="e">
        <f t="shared" ca="1" si="920"/>
        <v>#NAME?</v>
      </c>
      <c r="CP97" s="94" t="e">
        <f t="shared" ca="1" si="920"/>
        <v>#NAME?</v>
      </c>
      <c r="CQ97" s="94" t="e">
        <f t="shared" ca="1" si="920"/>
        <v>#NAME?</v>
      </c>
      <c r="CR97" s="94" t="e">
        <f t="shared" ca="1" si="920"/>
        <v>#NAME?</v>
      </c>
      <c r="CS97" s="94" t="e">
        <f t="shared" ca="1" si="920"/>
        <v>#NAME?</v>
      </c>
      <c r="CT97" s="94" t="e">
        <f t="shared" ca="1" si="920"/>
        <v>#NAME?</v>
      </c>
      <c r="CU97" s="94" t="e">
        <f t="shared" ca="1" si="920"/>
        <v>#NAME?</v>
      </c>
      <c r="CV97" s="94" t="e">
        <f t="shared" ca="1" si="920"/>
        <v>#NAME?</v>
      </c>
      <c r="CW97" s="94" t="e">
        <f t="shared" ca="1" si="920"/>
        <v>#NAME?</v>
      </c>
      <c r="CX97" s="94" t="e">
        <f t="shared" ca="1" si="920"/>
        <v>#NAME?</v>
      </c>
      <c r="CY97" s="94" t="e">
        <f t="shared" ca="1" si="920"/>
        <v>#NAME?</v>
      </c>
      <c r="CZ97" s="94" t="e">
        <f t="shared" ca="1" si="920"/>
        <v>#NAME?</v>
      </c>
      <c r="DA97" s="94" t="e">
        <f t="shared" ca="1" si="920"/>
        <v>#NAME?</v>
      </c>
      <c r="DB97" s="94" t="e">
        <f t="shared" ca="1" si="920"/>
        <v>#NAME?</v>
      </c>
      <c r="DC97" s="94"/>
      <c r="DE97" s="22"/>
      <c r="DF97" s="162">
        <v>2.8002869042624767</v>
      </c>
    </row>
    <row r="98" spans="1:110" s="4" customFormat="1" x14ac:dyDescent="0.2">
      <c r="A98" s="3"/>
      <c r="AB98" s="17"/>
      <c r="AC98" s="17"/>
      <c r="AD98" s="17"/>
      <c r="AE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E98" s="119"/>
    </row>
    <row r="99" spans="1:110" s="177" customFormat="1" x14ac:dyDescent="0.2">
      <c r="A99" s="177" t="s">
        <v>510</v>
      </c>
      <c r="E99" s="177" t="e">
        <f t="shared" ref="E99:Y99" ca="1" si="921">+E10</f>
        <v>#NAME?</v>
      </c>
      <c r="F99" s="177" t="e">
        <f t="shared" ca="1" si="921"/>
        <v>#NAME?</v>
      </c>
      <c r="G99" s="177" t="e">
        <f t="shared" ca="1" si="921"/>
        <v>#NAME?</v>
      </c>
      <c r="H99" s="177" t="e">
        <f t="shared" ca="1" si="921"/>
        <v>#NAME?</v>
      </c>
      <c r="I99" s="177" t="e">
        <f t="shared" ca="1" si="921"/>
        <v>#NAME?</v>
      </c>
      <c r="J99" s="177" t="e">
        <f t="shared" ca="1" si="921"/>
        <v>#NAME?</v>
      </c>
      <c r="K99" s="177" t="e">
        <f t="shared" ca="1" si="921"/>
        <v>#NAME?</v>
      </c>
      <c r="L99" s="177" t="e">
        <f t="shared" ca="1" si="921"/>
        <v>#NAME?</v>
      </c>
      <c r="M99" s="177" t="e">
        <f t="shared" ca="1" si="921"/>
        <v>#NAME?</v>
      </c>
      <c r="N99" s="177" t="e">
        <f t="shared" ca="1" si="921"/>
        <v>#NAME?</v>
      </c>
      <c r="O99" s="177" t="e">
        <f t="shared" ca="1" si="921"/>
        <v>#NAME?</v>
      </c>
      <c r="P99" s="177" t="e">
        <f t="shared" ca="1" si="921"/>
        <v>#NAME?</v>
      </c>
      <c r="Q99" s="177" t="e">
        <f t="shared" ca="1" si="921"/>
        <v>#NAME?</v>
      </c>
      <c r="R99" s="177" t="e">
        <f t="shared" ca="1" si="921"/>
        <v>#NAME?</v>
      </c>
      <c r="S99" s="177" t="e">
        <f t="shared" ca="1" si="921"/>
        <v>#NAME?</v>
      </c>
      <c r="T99" s="177" t="e">
        <f t="shared" ca="1" si="921"/>
        <v>#NAME?</v>
      </c>
      <c r="U99" s="177" t="e">
        <f t="shared" ca="1" si="921"/>
        <v>#NAME?</v>
      </c>
      <c r="V99" s="177" t="e">
        <f t="shared" ca="1" si="921"/>
        <v>#NAME?</v>
      </c>
      <c r="W99" s="177" t="e">
        <f t="shared" ca="1" si="921"/>
        <v>#NAME?</v>
      </c>
      <c r="X99" s="177" t="e">
        <f t="shared" ca="1" si="921"/>
        <v>#NAME?</v>
      </c>
      <c r="Y99" s="177" t="e">
        <f t="shared" ca="1" si="921"/>
        <v>#NAME?</v>
      </c>
      <c r="Z99" s="177" t="e">
        <f ca="1">+Z10</f>
        <v>#NAME?</v>
      </c>
      <c r="AA99" s="177" t="e">
        <f ca="1">+AA10</f>
        <v>#NAME?</v>
      </c>
      <c r="AB99" s="178" t="e">
        <f t="shared" ref="AA99:AE99" ca="1" si="922">+AB10</f>
        <v>#NAME?</v>
      </c>
      <c r="AC99" s="178" t="e">
        <f t="shared" ca="1" si="922"/>
        <v>#NAME?</v>
      </c>
      <c r="AD99" s="178" t="e">
        <f t="shared" ca="1" si="922"/>
        <v>#NAME?</v>
      </c>
      <c r="AE99" s="178" t="e">
        <f t="shared" ca="1" si="922"/>
        <v>#NAME?</v>
      </c>
      <c r="AL99" s="177" t="e">
        <f t="shared" ref="AL99:BQ99" ca="1" si="923">+SUM(AI8:AL8)</f>
        <v>#NAME?</v>
      </c>
      <c r="AM99" s="177" t="e">
        <f t="shared" ca="1" si="923"/>
        <v>#NAME?</v>
      </c>
      <c r="AN99" s="177" t="e">
        <f t="shared" ca="1" si="923"/>
        <v>#NAME?</v>
      </c>
      <c r="AO99" s="177" t="e">
        <f t="shared" ca="1" si="923"/>
        <v>#NAME?</v>
      </c>
      <c r="AP99" s="177" t="e">
        <f t="shared" ca="1" si="923"/>
        <v>#NAME?</v>
      </c>
      <c r="AQ99" s="177" t="e">
        <f t="shared" ca="1" si="923"/>
        <v>#NAME?</v>
      </c>
      <c r="AR99" s="177" t="e">
        <f t="shared" ca="1" si="923"/>
        <v>#NAME?</v>
      </c>
      <c r="AS99" s="177" t="e">
        <f t="shared" ca="1" si="923"/>
        <v>#NAME?</v>
      </c>
      <c r="AT99" s="177" t="e">
        <f t="shared" ca="1" si="923"/>
        <v>#NAME?</v>
      </c>
      <c r="AU99" s="177" t="e">
        <f t="shared" ca="1" si="923"/>
        <v>#NAME?</v>
      </c>
      <c r="AV99" s="177" t="e">
        <f t="shared" ca="1" si="923"/>
        <v>#NAME?</v>
      </c>
      <c r="AW99" s="177" t="e">
        <f t="shared" ca="1" si="923"/>
        <v>#NAME?</v>
      </c>
      <c r="AX99" s="177" t="e">
        <f t="shared" ca="1" si="923"/>
        <v>#NAME?</v>
      </c>
      <c r="AY99" s="177" t="e">
        <f t="shared" ca="1" si="923"/>
        <v>#NAME?</v>
      </c>
      <c r="AZ99" s="177" t="e">
        <f t="shared" ca="1" si="923"/>
        <v>#NAME?</v>
      </c>
      <c r="BA99" s="177" t="e">
        <f t="shared" ca="1" si="923"/>
        <v>#NAME?</v>
      </c>
      <c r="BB99" s="177" t="e">
        <f t="shared" ca="1" si="923"/>
        <v>#NAME?</v>
      </c>
      <c r="BC99" s="177" t="e">
        <f t="shared" ca="1" si="923"/>
        <v>#NAME?</v>
      </c>
      <c r="BD99" s="177" t="e">
        <f t="shared" ca="1" si="923"/>
        <v>#NAME?</v>
      </c>
      <c r="BE99" s="177" t="e">
        <f t="shared" ca="1" si="923"/>
        <v>#NAME?</v>
      </c>
      <c r="BF99" s="177" t="e">
        <f t="shared" ca="1" si="923"/>
        <v>#NAME?</v>
      </c>
      <c r="BG99" s="177" t="e">
        <f t="shared" ca="1" si="923"/>
        <v>#NAME?</v>
      </c>
      <c r="BH99" s="177" t="e">
        <f t="shared" ca="1" si="923"/>
        <v>#NAME?</v>
      </c>
      <c r="BI99" s="177" t="e">
        <f t="shared" ca="1" si="923"/>
        <v>#NAME?</v>
      </c>
      <c r="BJ99" s="177" t="e">
        <f t="shared" ca="1" si="923"/>
        <v>#NAME?</v>
      </c>
      <c r="BK99" s="177" t="e">
        <f t="shared" ca="1" si="923"/>
        <v>#NAME?</v>
      </c>
      <c r="BL99" s="177" t="e">
        <f t="shared" ca="1" si="923"/>
        <v>#NAME?</v>
      </c>
      <c r="BM99" s="177" t="e">
        <f t="shared" ca="1" si="923"/>
        <v>#NAME?</v>
      </c>
      <c r="BN99" s="177" t="e">
        <f t="shared" ca="1" si="923"/>
        <v>#NAME?</v>
      </c>
      <c r="BO99" s="177" t="e">
        <f t="shared" ca="1" si="923"/>
        <v>#NAME?</v>
      </c>
      <c r="BP99" s="177" t="e">
        <f t="shared" ca="1" si="923"/>
        <v>#NAME?</v>
      </c>
      <c r="BQ99" s="177" t="e">
        <f t="shared" ca="1" si="923"/>
        <v>#NAME?</v>
      </c>
      <c r="BR99" s="177" t="e">
        <f t="shared" ref="BR99:CW99" ca="1" si="924">+SUM(BO8:BR8)</f>
        <v>#NAME?</v>
      </c>
      <c r="BS99" s="177" t="e">
        <f t="shared" ca="1" si="924"/>
        <v>#NAME?</v>
      </c>
      <c r="BT99" s="177" t="e">
        <f t="shared" ca="1" si="924"/>
        <v>#NAME?</v>
      </c>
      <c r="BU99" s="177" t="e">
        <f t="shared" ca="1" si="924"/>
        <v>#NAME?</v>
      </c>
      <c r="BV99" s="177" t="e">
        <f t="shared" ca="1" si="924"/>
        <v>#NAME?</v>
      </c>
      <c r="BW99" s="177" t="e">
        <f t="shared" ca="1" si="924"/>
        <v>#NAME?</v>
      </c>
      <c r="BX99" s="177" t="e">
        <f t="shared" ca="1" si="924"/>
        <v>#NAME?</v>
      </c>
      <c r="BY99" s="177" t="e">
        <f t="shared" ca="1" si="924"/>
        <v>#NAME?</v>
      </c>
      <c r="BZ99" s="177" t="e">
        <f t="shared" ca="1" si="924"/>
        <v>#NAME?</v>
      </c>
      <c r="CA99" s="177" t="e">
        <f t="shared" ca="1" si="924"/>
        <v>#NAME?</v>
      </c>
      <c r="CB99" s="177" t="e">
        <f t="shared" ca="1" si="924"/>
        <v>#NAME?</v>
      </c>
      <c r="CC99" s="177" t="e">
        <f t="shared" ca="1" si="924"/>
        <v>#NAME?</v>
      </c>
      <c r="CD99" s="177" t="e">
        <f t="shared" ca="1" si="924"/>
        <v>#NAME?</v>
      </c>
      <c r="CE99" s="177" t="e">
        <f t="shared" ca="1" si="924"/>
        <v>#NAME?</v>
      </c>
      <c r="CF99" s="177" t="e">
        <f t="shared" ca="1" si="924"/>
        <v>#NAME?</v>
      </c>
      <c r="CG99" s="177" t="e">
        <f t="shared" ca="1" si="924"/>
        <v>#NAME?</v>
      </c>
      <c r="CH99" s="177" t="e">
        <f t="shared" ca="1" si="924"/>
        <v>#NAME?</v>
      </c>
      <c r="CI99" s="177" t="e">
        <f t="shared" ca="1" si="924"/>
        <v>#NAME?</v>
      </c>
      <c r="CJ99" s="177" t="e">
        <f t="shared" ca="1" si="924"/>
        <v>#NAME?</v>
      </c>
      <c r="CK99" s="177" t="e">
        <f t="shared" ca="1" si="924"/>
        <v>#NAME?</v>
      </c>
      <c r="CL99" s="177" t="e">
        <f t="shared" ca="1" si="924"/>
        <v>#NAME?</v>
      </c>
      <c r="CM99" s="178" t="e">
        <f t="shared" ca="1" si="924"/>
        <v>#NAME?</v>
      </c>
      <c r="CN99" s="178" t="e">
        <f t="shared" ca="1" si="924"/>
        <v>#NAME?</v>
      </c>
      <c r="CO99" s="178" t="e">
        <f t="shared" ca="1" si="924"/>
        <v>#NAME?</v>
      </c>
      <c r="CP99" s="178" t="e">
        <f t="shared" ca="1" si="924"/>
        <v>#NAME?</v>
      </c>
      <c r="CQ99" s="178" t="e">
        <f t="shared" ca="1" si="924"/>
        <v>#NAME?</v>
      </c>
      <c r="CR99" s="178" t="e">
        <f t="shared" ca="1" si="924"/>
        <v>#NAME?</v>
      </c>
      <c r="CS99" s="178" t="e">
        <f t="shared" ca="1" si="924"/>
        <v>#NAME?</v>
      </c>
      <c r="CT99" s="178" t="e">
        <f t="shared" ca="1" si="924"/>
        <v>#NAME?</v>
      </c>
      <c r="CU99" s="178" t="e">
        <f t="shared" ca="1" si="924"/>
        <v>#NAME?</v>
      </c>
      <c r="CV99" s="178" t="e">
        <f t="shared" ca="1" si="924"/>
        <v>#NAME?</v>
      </c>
      <c r="CW99" s="178" t="e">
        <f t="shared" ca="1" si="924"/>
        <v>#NAME?</v>
      </c>
      <c r="CX99" s="178" t="e">
        <f t="shared" ref="CX99:DB99" ca="1" si="925">+SUM(CU8:CX8)</f>
        <v>#NAME?</v>
      </c>
      <c r="CY99" s="178" t="e">
        <f t="shared" ca="1" si="925"/>
        <v>#NAME?</v>
      </c>
      <c r="CZ99" s="178" t="e">
        <f t="shared" ca="1" si="925"/>
        <v>#NAME?</v>
      </c>
      <c r="DA99" s="178" t="e">
        <f t="shared" ca="1" si="925"/>
        <v>#NAME?</v>
      </c>
      <c r="DB99" s="178" t="e">
        <f t="shared" ca="1" si="925"/>
        <v>#NAME?</v>
      </c>
      <c r="DE99" s="179"/>
      <c r="DF99" s="177">
        <v>100468.61</v>
      </c>
    </row>
    <row r="100" spans="1:110" s="163" customFormat="1" x14ac:dyDescent="0.2">
      <c r="A100" s="163" t="s">
        <v>511</v>
      </c>
      <c r="E100" s="163" t="e">
        <f t="shared" ref="E100:AE100" ca="1" si="926">+E99/E66</f>
        <v>#NAME?</v>
      </c>
      <c r="F100" s="163" t="e">
        <f t="shared" ca="1" si="926"/>
        <v>#NAME?</v>
      </c>
      <c r="G100" s="163" t="e">
        <f t="shared" ca="1" si="926"/>
        <v>#NAME?</v>
      </c>
      <c r="H100" s="163" t="e">
        <f t="shared" ca="1" si="926"/>
        <v>#NAME?</v>
      </c>
      <c r="I100" s="163" t="e">
        <f t="shared" ca="1" si="926"/>
        <v>#NAME?</v>
      </c>
      <c r="J100" s="163" t="e">
        <f t="shared" ca="1" si="926"/>
        <v>#NAME?</v>
      </c>
      <c r="K100" s="163" t="e">
        <f t="shared" ca="1" si="926"/>
        <v>#NAME?</v>
      </c>
      <c r="L100" s="163" t="e">
        <f t="shared" ca="1" si="926"/>
        <v>#NAME?</v>
      </c>
      <c r="M100" s="163" t="e">
        <f t="shared" ca="1" si="926"/>
        <v>#NAME?</v>
      </c>
      <c r="N100" s="163" t="e">
        <f t="shared" ca="1" si="926"/>
        <v>#NAME?</v>
      </c>
      <c r="O100" s="163" t="e">
        <f t="shared" ca="1" si="926"/>
        <v>#NAME?</v>
      </c>
      <c r="P100" s="163" t="e">
        <f t="shared" ca="1" si="926"/>
        <v>#NAME?</v>
      </c>
      <c r="Q100" s="163" t="e">
        <f t="shared" ca="1" si="926"/>
        <v>#NAME?</v>
      </c>
      <c r="R100" s="163" t="e">
        <f t="shared" ca="1" si="926"/>
        <v>#NAME?</v>
      </c>
      <c r="S100" s="163" t="e">
        <f t="shared" ca="1" si="926"/>
        <v>#NAME?</v>
      </c>
      <c r="T100" s="163" t="e">
        <f t="shared" ca="1" si="926"/>
        <v>#NAME?</v>
      </c>
      <c r="U100" s="163" t="e">
        <f t="shared" ca="1" si="926"/>
        <v>#NAME?</v>
      </c>
      <c r="V100" s="163" t="e">
        <f t="shared" ca="1" si="926"/>
        <v>#NAME?</v>
      </c>
      <c r="W100" s="163" t="e">
        <f t="shared" ca="1" si="926"/>
        <v>#NAME?</v>
      </c>
      <c r="X100" s="163" t="e">
        <f t="shared" ca="1" si="926"/>
        <v>#NAME?</v>
      </c>
      <c r="Y100" s="163" t="e">
        <f t="shared" ca="1" si="926"/>
        <v>#NAME?</v>
      </c>
      <c r="Z100" s="163" t="e">
        <f t="shared" ref="Z100:AA100" ca="1" si="927">+Z99/Z66</f>
        <v>#NAME?</v>
      </c>
      <c r="AA100" s="163" t="e">
        <f t="shared" ca="1" si="927"/>
        <v>#NAME?</v>
      </c>
      <c r="AB100" s="94" t="e">
        <f t="shared" ca="1" si="926"/>
        <v>#NAME?</v>
      </c>
      <c r="AC100" s="94" t="e">
        <f t="shared" ca="1" si="926"/>
        <v>#NAME?</v>
      </c>
      <c r="AD100" s="94" t="e">
        <f t="shared" ca="1" si="926"/>
        <v>#NAME?</v>
      </c>
      <c r="AE100" s="94" t="e">
        <f t="shared" ca="1" si="926"/>
        <v>#NAME?</v>
      </c>
      <c r="AL100" s="163" t="e">
        <f t="shared" ref="AL100:BQ100" ca="1" si="928">+AL99/AL66</f>
        <v>#NAME?</v>
      </c>
      <c r="AM100" s="163" t="e">
        <f t="shared" ca="1" si="928"/>
        <v>#NAME?</v>
      </c>
      <c r="AN100" s="163" t="e">
        <f t="shared" ca="1" si="928"/>
        <v>#NAME?</v>
      </c>
      <c r="AO100" s="163" t="e">
        <f t="shared" ca="1" si="928"/>
        <v>#NAME?</v>
      </c>
      <c r="AP100" s="163" t="e">
        <f t="shared" ca="1" si="928"/>
        <v>#NAME?</v>
      </c>
      <c r="AQ100" s="163" t="e">
        <f t="shared" ca="1" si="928"/>
        <v>#NAME?</v>
      </c>
      <c r="AR100" s="163" t="e">
        <f t="shared" ca="1" si="928"/>
        <v>#NAME?</v>
      </c>
      <c r="AS100" s="163" t="e">
        <f t="shared" ca="1" si="928"/>
        <v>#NAME?</v>
      </c>
      <c r="AT100" s="163" t="e">
        <f t="shared" ca="1" si="928"/>
        <v>#NAME?</v>
      </c>
      <c r="AU100" s="163" t="e">
        <f t="shared" ca="1" si="928"/>
        <v>#NAME?</v>
      </c>
      <c r="AV100" s="163" t="e">
        <f t="shared" ca="1" si="928"/>
        <v>#NAME?</v>
      </c>
      <c r="AW100" s="163" t="e">
        <f t="shared" ca="1" si="928"/>
        <v>#NAME?</v>
      </c>
      <c r="AX100" s="163" t="e">
        <f t="shared" ca="1" si="928"/>
        <v>#NAME?</v>
      </c>
      <c r="AY100" s="163" t="e">
        <f t="shared" ca="1" si="928"/>
        <v>#NAME?</v>
      </c>
      <c r="AZ100" s="163" t="e">
        <f t="shared" ca="1" si="928"/>
        <v>#NAME?</v>
      </c>
      <c r="BA100" s="163" t="e">
        <f t="shared" ca="1" si="928"/>
        <v>#NAME?</v>
      </c>
      <c r="BB100" s="163" t="e">
        <f t="shared" ca="1" si="928"/>
        <v>#NAME?</v>
      </c>
      <c r="BC100" s="163" t="e">
        <f t="shared" ca="1" si="928"/>
        <v>#NAME?</v>
      </c>
      <c r="BD100" s="163" t="e">
        <f t="shared" ca="1" si="928"/>
        <v>#NAME?</v>
      </c>
      <c r="BE100" s="163" t="e">
        <f t="shared" ca="1" si="928"/>
        <v>#NAME?</v>
      </c>
      <c r="BF100" s="163" t="e">
        <f t="shared" ca="1" si="928"/>
        <v>#NAME?</v>
      </c>
      <c r="BG100" s="163" t="e">
        <f t="shared" ca="1" si="928"/>
        <v>#NAME?</v>
      </c>
      <c r="BH100" s="163" t="e">
        <f t="shared" ca="1" si="928"/>
        <v>#NAME?</v>
      </c>
      <c r="BI100" s="163" t="e">
        <f t="shared" ca="1" si="928"/>
        <v>#NAME?</v>
      </c>
      <c r="BJ100" s="163" t="e">
        <f t="shared" ca="1" si="928"/>
        <v>#NAME?</v>
      </c>
      <c r="BK100" s="163" t="e">
        <f t="shared" ca="1" si="928"/>
        <v>#NAME?</v>
      </c>
      <c r="BL100" s="163" t="e">
        <f t="shared" ca="1" si="928"/>
        <v>#NAME?</v>
      </c>
      <c r="BM100" s="163" t="e">
        <f t="shared" ca="1" si="928"/>
        <v>#NAME?</v>
      </c>
      <c r="BN100" s="163" t="e">
        <f t="shared" ca="1" si="928"/>
        <v>#NAME?</v>
      </c>
      <c r="BO100" s="163" t="e">
        <f t="shared" ca="1" si="928"/>
        <v>#NAME?</v>
      </c>
      <c r="BP100" s="163" t="e">
        <f t="shared" ca="1" si="928"/>
        <v>#NAME?</v>
      </c>
      <c r="BQ100" s="163" t="e">
        <f t="shared" ca="1" si="928"/>
        <v>#NAME?</v>
      </c>
      <c r="BR100" s="163" t="e">
        <f t="shared" ref="BR100:CW100" ca="1" si="929">+BR99/BR66</f>
        <v>#NAME?</v>
      </c>
      <c r="BS100" s="163" t="e">
        <f t="shared" ca="1" si="929"/>
        <v>#NAME?</v>
      </c>
      <c r="BT100" s="163" t="e">
        <f t="shared" ca="1" si="929"/>
        <v>#NAME?</v>
      </c>
      <c r="BU100" s="163" t="e">
        <f t="shared" ca="1" si="929"/>
        <v>#NAME?</v>
      </c>
      <c r="BV100" s="163" t="e">
        <f t="shared" ca="1" si="929"/>
        <v>#NAME?</v>
      </c>
      <c r="BW100" s="163" t="e">
        <f t="shared" ca="1" si="929"/>
        <v>#NAME?</v>
      </c>
      <c r="BX100" s="163" t="e">
        <f t="shared" ca="1" si="929"/>
        <v>#NAME?</v>
      </c>
      <c r="BY100" s="163" t="e">
        <f t="shared" ca="1" si="929"/>
        <v>#NAME?</v>
      </c>
      <c r="BZ100" s="163" t="e">
        <f t="shared" ca="1" si="929"/>
        <v>#NAME?</v>
      </c>
      <c r="CA100" s="163" t="e">
        <f t="shared" ca="1" si="929"/>
        <v>#NAME?</v>
      </c>
      <c r="CB100" s="163" t="e">
        <f t="shared" ca="1" si="929"/>
        <v>#NAME?</v>
      </c>
      <c r="CC100" s="163" t="e">
        <f t="shared" ca="1" si="929"/>
        <v>#NAME?</v>
      </c>
      <c r="CD100" s="163" t="e">
        <f t="shared" ca="1" si="929"/>
        <v>#NAME?</v>
      </c>
      <c r="CE100" s="163" t="e">
        <f t="shared" ca="1" si="929"/>
        <v>#NAME?</v>
      </c>
      <c r="CF100" s="163" t="e">
        <f t="shared" ca="1" si="929"/>
        <v>#NAME?</v>
      </c>
      <c r="CG100" s="163" t="e">
        <f t="shared" ca="1" si="929"/>
        <v>#NAME?</v>
      </c>
      <c r="CH100" s="163" t="e">
        <f t="shared" ca="1" si="929"/>
        <v>#NAME?</v>
      </c>
      <c r="CI100" s="163" t="e">
        <f t="shared" ca="1" si="929"/>
        <v>#NAME?</v>
      </c>
      <c r="CJ100" s="163" t="e">
        <f t="shared" ca="1" si="929"/>
        <v>#NAME?</v>
      </c>
      <c r="CK100" s="163" t="e">
        <f t="shared" ref="CK100:CL100" ca="1" si="930">+CK99/CK66</f>
        <v>#NAME?</v>
      </c>
      <c r="CL100" s="163" t="e">
        <f t="shared" ca="1" si="930"/>
        <v>#NAME?</v>
      </c>
      <c r="CM100" s="50" t="e">
        <f t="shared" ca="1" si="929"/>
        <v>#NAME?</v>
      </c>
      <c r="CN100" s="50" t="e">
        <f t="shared" ca="1" si="929"/>
        <v>#NAME?</v>
      </c>
      <c r="CO100" s="50" t="e">
        <f t="shared" ca="1" si="929"/>
        <v>#NAME?</v>
      </c>
      <c r="CP100" s="50" t="e">
        <f t="shared" ca="1" si="929"/>
        <v>#NAME?</v>
      </c>
      <c r="CQ100" s="50" t="e">
        <f t="shared" ca="1" si="929"/>
        <v>#NAME?</v>
      </c>
      <c r="CR100" s="50" t="e">
        <f t="shared" ca="1" si="929"/>
        <v>#NAME?</v>
      </c>
      <c r="CS100" s="50" t="e">
        <f t="shared" ca="1" si="929"/>
        <v>#NAME?</v>
      </c>
      <c r="CT100" s="50" t="e">
        <f t="shared" ca="1" si="929"/>
        <v>#NAME?</v>
      </c>
      <c r="CU100" s="50" t="e">
        <f t="shared" ca="1" si="929"/>
        <v>#NAME?</v>
      </c>
      <c r="CV100" s="50" t="e">
        <f t="shared" ca="1" si="929"/>
        <v>#NAME?</v>
      </c>
      <c r="CW100" s="50" t="e">
        <f t="shared" ca="1" si="929"/>
        <v>#NAME?</v>
      </c>
      <c r="CX100" s="50" t="e">
        <f t="shared" ref="CX100:DB100" ca="1" si="931">+CX99/CX66</f>
        <v>#NAME?</v>
      </c>
      <c r="CY100" s="50" t="e">
        <f t="shared" ca="1" si="931"/>
        <v>#NAME?</v>
      </c>
      <c r="CZ100" s="50" t="e">
        <f t="shared" ca="1" si="931"/>
        <v>#NAME?</v>
      </c>
      <c r="DA100" s="50" t="e">
        <f t="shared" ca="1" si="931"/>
        <v>#NAME?</v>
      </c>
      <c r="DB100" s="50" t="e">
        <f t="shared" ca="1" si="931"/>
        <v>#NAME?</v>
      </c>
      <c r="DE100" s="164"/>
      <c r="DF100" s="163">
        <v>777.38014546579996</v>
      </c>
    </row>
    <row r="101" spans="1:110" s="163" customFormat="1" x14ac:dyDescent="0.2"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506</v>
      </c>
      <c r="AB102" s="94"/>
      <c r="AC102" s="94"/>
      <c r="AD102" s="94"/>
      <c r="AE102" s="94"/>
      <c r="CM102" s="94"/>
      <c r="CN102" s="94"/>
      <c r="CO102" s="94"/>
      <c r="CP102" s="94"/>
      <c r="CQ102" s="94"/>
      <c r="CR102" s="94"/>
      <c r="CS102" s="94"/>
      <c r="CT102" s="94"/>
      <c r="CU102" s="94"/>
      <c r="CV102" s="94"/>
      <c r="CW102" s="94"/>
      <c r="CX102" s="94"/>
      <c r="CY102" s="94"/>
      <c r="CZ102" s="94"/>
      <c r="DA102" s="94"/>
      <c r="DB102" s="94"/>
      <c r="DE102" s="164"/>
    </row>
    <row r="103" spans="1:110" s="163" customFormat="1" x14ac:dyDescent="0.2">
      <c r="A103" s="163" t="s">
        <v>507</v>
      </c>
      <c r="E103" s="163" t="e">
        <f t="shared" ref="E103:AE105" ca="1" si="932">+E78/E$100</f>
        <v>#NAME?</v>
      </c>
      <c r="F103" s="163" t="e">
        <f t="shared" ca="1" si="932"/>
        <v>#NAME?</v>
      </c>
      <c r="G103" s="163" t="e">
        <f t="shared" ca="1" si="932"/>
        <v>#NAME?</v>
      </c>
      <c r="H103" s="163" t="e">
        <f t="shared" ca="1" si="932"/>
        <v>#NAME?</v>
      </c>
      <c r="I103" s="163" t="e">
        <f t="shared" ca="1" si="932"/>
        <v>#NAME?</v>
      </c>
      <c r="J103" s="163" t="e">
        <f t="shared" ca="1" si="932"/>
        <v>#NAME?</v>
      </c>
      <c r="K103" s="163" t="e">
        <f t="shared" ca="1" si="932"/>
        <v>#NAME?</v>
      </c>
      <c r="L103" s="163" t="e">
        <f t="shared" ca="1" si="932"/>
        <v>#NAME?</v>
      </c>
      <c r="M103" s="163" t="e">
        <f t="shared" ca="1" si="932"/>
        <v>#NAME?</v>
      </c>
      <c r="N103" s="163" t="e">
        <f t="shared" ca="1" si="932"/>
        <v>#NAME?</v>
      </c>
      <c r="O103" s="163" t="e">
        <f t="shared" ca="1" si="932"/>
        <v>#NAME?</v>
      </c>
      <c r="P103" s="163" t="e">
        <f t="shared" ca="1" si="932"/>
        <v>#NAME?</v>
      </c>
      <c r="Q103" s="163" t="e">
        <f t="shared" ca="1" si="932"/>
        <v>#NAME?</v>
      </c>
      <c r="R103" s="163" t="e">
        <f t="shared" ca="1" si="932"/>
        <v>#NAME?</v>
      </c>
      <c r="S103" s="163" t="e">
        <f t="shared" ca="1" si="932"/>
        <v>#NAME?</v>
      </c>
      <c r="T103" s="163" t="e">
        <f t="shared" ca="1" si="932"/>
        <v>#NAME?</v>
      </c>
      <c r="U103" s="163" t="e">
        <f t="shared" ca="1" si="932"/>
        <v>#NAME?</v>
      </c>
      <c r="V103" s="163" t="e">
        <f t="shared" ca="1" si="932"/>
        <v>#NAME?</v>
      </c>
      <c r="W103" s="163" t="e">
        <f t="shared" ca="1" si="932"/>
        <v>#NAME?</v>
      </c>
      <c r="X103" s="163" t="e">
        <f t="shared" ca="1" si="932"/>
        <v>#NAME?</v>
      </c>
      <c r="Y103" s="163" t="e">
        <f t="shared" ca="1" si="932"/>
        <v>#NAME?</v>
      </c>
      <c r="Z103" s="163" t="e">
        <f ca="1">+Z78/Z$100</f>
        <v>#NAME?</v>
      </c>
      <c r="AA103" s="163" t="e">
        <f ca="1">+AA78/AA$100</f>
        <v>#NAME?</v>
      </c>
      <c r="AB103" s="50" t="e">
        <f t="shared" ref="AA103:AE103" ca="1" si="933">+AB78/AB$100</f>
        <v>#NAME?</v>
      </c>
      <c r="AC103" s="50" t="e">
        <f t="shared" ca="1" si="933"/>
        <v>#NAME?</v>
      </c>
      <c r="AD103" s="50" t="e">
        <f t="shared" ca="1" si="933"/>
        <v>#NAME?</v>
      </c>
      <c r="AE103" s="50" t="e">
        <f t="shared" ca="1" si="933"/>
        <v>#NAME?</v>
      </c>
      <c r="AL103" s="163" t="e">
        <f t="shared" ref="AL103:BQ103" ca="1" si="934">+AL78/AL100</f>
        <v>#NAME?</v>
      </c>
      <c r="AM103" s="163" t="e">
        <f t="shared" ca="1" si="934"/>
        <v>#NAME?</v>
      </c>
      <c r="AN103" s="163" t="e">
        <f t="shared" ca="1" si="934"/>
        <v>#NAME?</v>
      </c>
      <c r="AO103" s="163" t="e">
        <f t="shared" ca="1" si="934"/>
        <v>#NAME?</v>
      </c>
      <c r="AP103" s="163" t="e">
        <f t="shared" ca="1" si="934"/>
        <v>#NAME?</v>
      </c>
      <c r="AQ103" s="163" t="e">
        <f t="shared" ca="1" si="934"/>
        <v>#NAME?</v>
      </c>
      <c r="AR103" s="163" t="e">
        <f t="shared" ca="1" si="934"/>
        <v>#NAME?</v>
      </c>
      <c r="AS103" s="163" t="e">
        <f t="shared" ca="1" si="934"/>
        <v>#NAME?</v>
      </c>
      <c r="AT103" s="163" t="e">
        <f t="shared" ca="1" si="934"/>
        <v>#NAME?</v>
      </c>
      <c r="AU103" s="163" t="e">
        <f t="shared" ca="1" si="934"/>
        <v>#NAME?</v>
      </c>
      <c r="AV103" s="163" t="e">
        <f t="shared" ca="1" si="934"/>
        <v>#NAME?</v>
      </c>
      <c r="AW103" s="163" t="e">
        <f t="shared" ca="1" si="934"/>
        <v>#NAME?</v>
      </c>
      <c r="AX103" s="163" t="e">
        <f t="shared" ca="1" si="934"/>
        <v>#NAME?</v>
      </c>
      <c r="AY103" s="163" t="e">
        <f t="shared" ca="1" si="934"/>
        <v>#NAME?</v>
      </c>
      <c r="AZ103" s="163" t="e">
        <f t="shared" ca="1" si="934"/>
        <v>#NAME?</v>
      </c>
      <c r="BA103" s="163" t="e">
        <f t="shared" ca="1" si="934"/>
        <v>#NAME?</v>
      </c>
      <c r="BB103" s="163" t="e">
        <f t="shared" ca="1" si="934"/>
        <v>#NAME?</v>
      </c>
      <c r="BC103" s="163" t="e">
        <f t="shared" ca="1" si="934"/>
        <v>#NAME?</v>
      </c>
      <c r="BD103" s="163" t="e">
        <f t="shared" ca="1" si="934"/>
        <v>#NAME?</v>
      </c>
      <c r="BE103" s="163" t="e">
        <f t="shared" ca="1" si="934"/>
        <v>#NAME?</v>
      </c>
      <c r="BF103" s="163" t="e">
        <f t="shared" ca="1" si="934"/>
        <v>#NAME?</v>
      </c>
      <c r="BG103" s="163" t="e">
        <f t="shared" ca="1" si="934"/>
        <v>#NAME?</v>
      </c>
      <c r="BH103" s="163" t="e">
        <f t="shared" ca="1" si="934"/>
        <v>#NAME?</v>
      </c>
      <c r="BI103" s="163" t="e">
        <f t="shared" ca="1" si="934"/>
        <v>#NAME?</v>
      </c>
      <c r="BJ103" s="163" t="e">
        <f t="shared" ca="1" si="934"/>
        <v>#NAME?</v>
      </c>
      <c r="BK103" s="163" t="e">
        <f t="shared" ca="1" si="934"/>
        <v>#NAME?</v>
      </c>
      <c r="BL103" s="163" t="e">
        <f t="shared" ca="1" si="934"/>
        <v>#NAME?</v>
      </c>
      <c r="BM103" s="163" t="e">
        <f t="shared" ca="1" si="934"/>
        <v>#NAME?</v>
      </c>
      <c r="BN103" s="163" t="e">
        <f t="shared" ca="1" si="934"/>
        <v>#NAME?</v>
      </c>
      <c r="BO103" s="163" t="e">
        <f t="shared" ca="1" si="934"/>
        <v>#NAME?</v>
      </c>
      <c r="BP103" s="163" t="e">
        <f t="shared" ca="1" si="934"/>
        <v>#NAME?</v>
      </c>
      <c r="BQ103" s="163" t="e">
        <f t="shared" ca="1" si="934"/>
        <v>#NAME?</v>
      </c>
      <c r="BR103" s="163" t="e">
        <f t="shared" ref="BR103:DB103" ca="1" si="935">+BR78/BR100</f>
        <v>#NAME?</v>
      </c>
      <c r="BS103" s="163" t="e">
        <f t="shared" ca="1" si="935"/>
        <v>#NAME?</v>
      </c>
      <c r="BT103" s="163" t="e">
        <f t="shared" ca="1" si="935"/>
        <v>#NAME?</v>
      </c>
      <c r="BU103" s="163" t="e">
        <f t="shared" ca="1" si="935"/>
        <v>#NAME?</v>
      </c>
      <c r="BV103" s="163" t="e">
        <f t="shared" ca="1" si="935"/>
        <v>#NAME?</v>
      </c>
      <c r="BW103" s="163" t="e">
        <f t="shared" ca="1" si="935"/>
        <v>#NAME?</v>
      </c>
      <c r="BX103" s="163" t="e">
        <f t="shared" ca="1" si="935"/>
        <v>#NAME?</v>
      </c>
      <c r="BY103" s="163" t="e">
        <f t="shared" ca="1" si="935"/>
        <v>#NAME?</v>
      </c>
      <c r="BZ103" s="163" t="e">
        <f t="shared" ca="1" si="935"/>
        <v>#NAME?</v>
      </c>
      <c r="CA103" s="163" t="e">
        <f t="shared" ca="1" si="935"/>
        <v>#NAME?</v>
      </c>
      <c r="CB103" s="163" t="e">
        <f t="shared" ca="1" si="935"/>
        <v>#NAME?</v>
      </c>
      <c r="CC103" s="163" t="e">
        <f t="shared" ca="1" si="935"/>
        <v>#NAME?</v>
      </c>
      <c r="CD103" s="163" t="e">
        <f t="shared" ca="1" si="935"/>
        <v>#NAME?</v>
      </c>
      <c r="CE103" s="163" t="e">
        <f t="shared" ca="1" si="935"/>
        <v>#NAME?</v>
      </c>
      <c r="CF103" s="163" t="e">
        <f t="shared" ca="1" si="935"/>
        <v>#NAME?</v>
      </c>
      <c r="CG103" s="163" t="e">
        <f t="shared" ca="1" si="935"/>
        <v>#NAME?</v>
      </c>
      <c r="CH103" s="163" t="e">
        <f t="shared" ca="1" si="935"/>
        <v>#NAME?</v>
      </c>
      <c r="CI103" s="163" t="e">
        <f t="shared" ca="1" si="935"/>
        <v>#NAME?</v>
      </c>
      <c r="CJ103" s="163" t="e">
        <f t="shared" ca="1" si="935"/>
        <v>#NAME?</v>
      </c>
      <c r="CK103" s="163" t="e">
        <f t="shared" ref="CK103:CL103" ca="1" si="936">+CK78/CK100</f>
        <v>#NAME?</v>
      </c>
      <c r="CL103" s="163" t="e">
        <f t="shared" ca="1" si="936"/>
        <v>#NAME?</v>
      </c>
      <c r="CM103" s="50" t="e">
        <f t="shared" ca="1" si="935"/>
        <v>#NAME?</v>
      </c>
      <c r="CN103" s="50" t="e">
        <f t="shared" ca="1" si="935"/>
        <v>#NAME?</v>
      </c>
      <c r="CO103" s="50" t="e">
        <f t="shared" ca="1" si="935"/>
        <v>#NAME?</v>
      </c>
      <c r="CP103" s="50" t="e">
        <f t="shared" ca="1" si="935"/>
        <v>#NAME?</v>
      </c>
      <c r="CQ103" s="50" t="e">
        <f t="shared" ca="1" si="935"/>
        <v>#NAME?</v>
      </c>
      <c r="CR103" s="50" t="e">
        <f t="shared" ca="1" si="935"/>
        <v>#NAME?</v>
      </c>
      <c r="CS103" s="50" t="e">
        <f t="shared" ca="1" si="935"/>
        <v>#NAME?</v>
      </c>
      <c r="CT103" s="50" t="e">
        <f t="shared" ca="1" si="935"/>
        <v>#NAME?</v>
      </c>
      <c r="CU103" s="50" t="e">
        <f t="shared" ca="1" si="935"/>
        <v>#NAME?</v>
      </c>
      <c r="CV103" s="50" t="e">
        <f t="shared" ca="1" si="935"/>
        <v>#NAME?</v>
      </c>
      <c r="CW103" s="50" t="e">
        <f t="shared" ca="1" si="935"/>
        <v>#NAME?</v>
      </c>
      <c r="CX103" s="50" t="e">
        <f t="shared" ca="1" si="935"/>
        <v>#NAME?</v>
      </c>
      <c r="CY103" s="50" t="e">
        <f t="shared" ca="1" si="935"/>
        <v>#NAME?</v>
      </c>
      <c r="CZ103" s="50" t="e">
        <f t="shared" ca="1" si="935"/>
        <v>#NAME?</v>
      </c>
      <c r="DA103" s="50" t="e">
        <f t="shared" ca="1" si="935"/>
        <v>#NAME?</v>
      </c>
      <c r="DB103" s="50" t="e">
        <f t="shared" ca="1" si="935"/>
        <v>#NAME?</v>
      </c>
      <c r="DE103" s="106"/>
      <c r="DF103" s="163">
        <v>2.2635643710010522</v>
      </c>
    </row>
    <row r="104" spans="1:110" s="163" customFormat="1" x14ac:dyDescent="0.2">
      <c r="A104" s="163" t="s">
        <v>508</v>
      </c>
      <c r="E104" s="163" t="e">
        <f t="shared" ca="1" si="932"/>
        <v>#NAME?</v>
      </c>
      <c r="F104" s="163" t="e">
        <f t="shared" ca="1" si="932"/>
        <v>#NAME?</v>
      </c>
      <c r="G104" s="163" t="e">
        <f t="shared" ca="1" si="932"/>
        <v>#NAME?</v>
      </c>
      <c r="H104" s="163" t="e">
        <f t="shared" ca="1" si="932"/>
        <v>#NAME?</v>
      </c>
      <c r="I104" s="163" t="e">
        <f t="shared" ca="1" si="932"/>
        <v>#NAME?</v>
      </c>
      <c r="J104" s="163" t="e">
        <f t="shared" ca="1" si="932"/>
        <v>#NAME?</v>
      </c>
      <c r="K104" s="163" t="e">
        <f t="shared" ca="1" si="932"/>
        <v>#NAME?</v>
      </c>
      <c r="L104" s="163" t="e">
        <f t="shared" ca="1" si="932"/>
        <v>#NAME?</v>
      </c>
      <c r="M104" s="163" t="e">
        <f t="shared" ca="1" si="932"/>
        <v>#NAME?</v>
      </c>
      <c r="N104" s="163" t="e">
        <f t="shared" ca="1" si="932"/>
        <v>#NAME?</v>
      </c>
      <c r="O104" s="163" t="e">
        <f t="shared" ca="1" si="932"/>
        <v>#NAME?</v>
      </c>
      <c r="P104" s="163" t="e">
        <f t="shared" ca="1" si="932"/>
        <v>#NAME?</v>
      </c>
      <c r="Q104" s="163" t="e">
        <f t="shared" ca="1" si="932"/>
        <v>#NAME?</v>
      </c>
      <c r="R104" s="163" t="e">
        <f t="shared" ca="1" si="932"/>
        <v>#NAME?</v>
      </c>
      <c r="S104" s="163" t="e">
        <f t="shared" ca="1" si="932"/>
        <v>#NAME?</v>
      </c>
      <c r="T104" s="163" t="e">
        <f t="shared" ca="1" si="932"/>
        <v>#NAME?</v>
      </c>
      <c r="U104" s="163" t="e">
        <f t="shared" ca="1" si="932"/>
        <v>#NAME?</v>
      </c>
      <c r="V104" s="163" t="e">
        <f t="shared" ca="1" si="932"/>
        <v>#NAME?</v>
      </c>
      <c r="W104" s="163" t="e">
        <f t="shared" ca="1" si="932"/>
        <v>#NAME?</v>
      </c>
      <c r="X104" s="163" t="e">
        <f t="shared" ca="1" si="932"/>
        <v>#NAME?</v>
      </c>
      <c r="Y104" s="163" t="e">
        <f t="shared" ca="1" si="932"/>
        <v>#NAME?</v>
      </c>
      <c r="Z104" s="163" t="e">
        <f t="shared" ref="Z104:AA105" ca="1" si="937">+Z79/Z$100</f>
        <v>#NAME?</v>
      </c>
      <c r="AA104" s="163" t="e">
        <f t="shared" ca="1" si="937"/>
        <v>#NAME?</v>
      </c>
      <c r="AB104" s="94" t="e">
        <f t="shared" ca="1" si="932"/>
        <v>#NAME?</v>
      </c>
      <c r="AC104" s="94" t="e">
        <f t="shared" ca="1" si="932"/>
        <v>#NAME?</v>
      </c>
      <c r="AD104" s="94" t="e">
        <f t="shared" ca="1" si="932"/>
        <v>#NAME?</v>
      </c>
      <c r="AE104" s="94" t="e">
        <f t="shared" ca="1" si="932"/>
        <v>#NAME?</v>
      </c>
      <c r="AL104" s="163" t="e">
        <f t="shared" ref="AL104:BQ104" ca="1" si="938">+AL79/AL100</f>
        <v>#NAME?</v>
      </c>
      <c r="AM104" s="163" t="e">
        <f t="shared" ca="1" si="938"/>
        <v>#NAME?</v>
      </c>
      <c r="AN104" s="163" t="e">
        <f t="shared" ca="1" si="938"/>
        <v>#NAME?</v>
      </c>
      <c r="AO104" s="163" t="e">
        <f t="shared" ca="1" si="938"/>
        <v>#NAME?</v>
      </c>
      <c r="AP104" s="163" t="e">
        <f t="shared" ca="1" si="938"/>
        <v>#NAME?</v>
      </c>
      <c r="AQ104" s="163" t="e">
        <f t="shared" ca="1" si="938"/>
        <v>#NAME?</v>
      </c>
      <c r="AR104" s="163" t="e">
        <f t="shared" ca="1" si="938"/>
        <v>#NAME?</v>
      </c>
      <c r="AS104" s="163" t="e">
        <f t="shared" ca="1" si="938"/>
        <v>#NAME?</v>
      </c>
      <c r="AT104" s="163" t="e">
        <f t="shared" ca="1" si="938"/>
        <v>#NAME?</v>
      </c>
      <c r="AU104" s="163" t="e">
        <f t="shared" ca="1" si="938"/>
        <v>#NAME?</v>
      </c>
      <c r="AV104" s="163" t="e">
        <f t="shared" ca="1" si="938"/>
        <v>#NAME?</v>
      </c>
      <c r="AW104" s="163" t="e">
        <f t="shared" ca="1" si="938"/>
        <v>#NAME?</v>
      </c>
      <c r="AX104" s="163" t="e">
        <f t="shared" ca="1" si="938"/>
        <v>#NAME?</v>
      </c>
      <c r="AY104" s="163" t="e">
        <f t="shared" ca="1" si="938"/>
        <v>#NAME?</v>
      </c>
      <c r="AZ104" s="163" t="e">
        <f t="shared" ca="1" si="938"/>
        <v>#NAME?</v>
      </c>
      <c r="BA104" s="163" t="e">
        <f t="shared" ca="1" si="938"/>
        <v>#NAME?</v>
      </c>
      <c r="BB104" s="163" t="e">
        <f t="shared" ca="1" si="938"/>
        <v>#NAME?</v>
      </c>
      <c r="BC104" s="163" t="e">
        <f t="shared" ca="1" si="938"/>
        <v>#NAME?</v>
      </c>
      <c r="BD104" s="163" t="e">
        <f t="shared" ca="1" si="938"/>
        <v>#NAME?</v>
      </c>
      <c r="BE104" s="163" t="e">
        <f t="shared" ca="1" si="938"/>
        <v>#NAME?</v>
      </c>
      <c r="BF104" s="163" t="e">
        <f t="shared" ca="1" si="938"/>
        <v>#NAME?</v>
      </c>
      <c r="BG104" s="163" t="e">
        <f t="shared" ca="1" si="938"/>
        <v>#NAME?</v>
      </c>
      <c r="BH104" s="163" t="e">
        <f t="shared" ca="1" si="938"/>
        <v>#NAME?</v>
      </c>
      <c r="BI104" s="163" t="e">
        <f t="shared" ca="1" si="938"/>
        <v>#NAME?</v>
      </c>
      <c r="BJ104" s="163" t="e">
        <f t="shared" ca="1" si="938"/>
        <v>#NAME?</v>
      </c>
      <c r="BK104" s="163" t="e">
        <f t="shared" ca="1" si="938"/>
        <v>#NAME?</v>
      </c>
      <c r="BL104" s="163" t="e">
        <f t="shared" ca="1" si="938"/>
        <v>#NAME?</v>
      </c>
      <c r="BM104" s="163" t="e">
        <f t="shared" ca="1" si="938"/>
        <v>#NAME?</v>
      </c>
      <c r="BN104" s="163" t="e">
        <f t="shared" ca="1" si="938"/>
        <v>#NAME?</v>
      </c>
      <c r="BO104" s="163" t="e">
        <f t="shared" ca="1" si="938"/>
        <v>#NAME?</v>
      </c>
      <c r="BP104" s="163" t="e">
        <f t="shared" ca="1" si="938"/>
        <v>#NAME?</v>
      </c>
      <c r="BQ104" s="163" t="e">
        <f t="shared" ca="1" si="938"/>
        <v>#NAME?</v>
      </c>
      <c r="BR104" s="163" t="e">
        <f t="shared" ref="BR104:CJ104" ca="1" si="939">+BR79/BR100</f>
        <v>#NAME?</v>
      </c>
      <c r="BS104" s="163" t="e">
        <f t="shared" ca="1" si="939"/>
        <v>#NAME?</v>
      </c>
      <c r="BT104" s="163" t="e">
        <f t="shared" ca="1" si="939"/>
        <v>#NAME?</v>
      </c>
      <c r="BU104" s="163" t="e">
        <f t="shared" ca="1" si="939"/>
        <v>#NAME?</v>
      </c>
      <c r="BV104" s="163" t="e">
        <f t="shared" ca="1" si="939"/>
        <v>#NAME?</v>
      </c>
      <c r="BW104" s="163" t="e">
        <f t="shared" ca="1" si="939"/>
        <v>#NAME?</v>
      </c>
      <c r="BX104" s="163" t="e">
        <f t="shared" ca="1" si="939"/>
        <v>#NAME?</v>
      </c>
      <c r="BY104" s="163" t="e">
        <f t="shared" ca="1" si="939"/>
        <v>#NAME?</v>
      </c>
      <c r="BZ104" s="163" t="e">
        <f t="shared" ca="1" si="939"/>
        <v>#NAME?</v>
      </c>
      <c r="CA104" s="163" t="e">
        <f t="shared" ca="1" si="939"/>
        <v>#NAME?</v>
      </c>
      <c r="CB104" s="163" t="e">
        <f t="shared" ca="1" si="939"/>
        <v>#NAME?</v>
      </c>
      <c r="CC104" s="163" t="e">
        <f t="shared" ca="1" si="939"/>
        <v>#NAME?</v>
      </c>
      <c r="CD104" s="163" t="e">
        <f t="shared" ca="1" si="939"/>
        <v>#NAME?</v>
      </c>
      <c r="CE104" s="163" t="e">
        <f t="shared" ca="1" si="939"/>
        <v>#NAME?</v>
      </c>
      <c r="CF104" s="163" t="e">
        <f t="shared" ca="1" si="939"/>
        <v>#NAME?</v>
      </c>
      <c r="CG104" s="163" t="e">
        <f t="shared" ca="1" si="939"/>
        <v>#NAME?</v>
      </c>
      <c r="CH104" s="163" t="e">
        <f t="shared" ca="1" si="939"/>
        <v>#NAME?</v>
      </c>
      <c r="CI104" s="163" t="e">
        <f t="shared" ca="1" si="939"/>
        <v>#NAME?</v>
      </c>
      <c r="CJ104" s="163" t="e">
        <f t="shared" ca="1" si="939"/>
        <v>#NAME?</v>
      </c>
      <c r="CK104" s="163" t="e">
        <f t="shared" ref="CK104:CL104" ca="1" si="940">+CK79/CK100</f>
        <v>#NAME?</v>
      </c>
      <c r="CL104" s="163" t="e">
        <f t="shared" ca="1" si="940"/>
        <v>#NAME?</v>
      </c>
      <c r="CM104" s="94" t="e">
        <f t="shared" ref="CM104:DB104" ca="1" si="941">+CL104</f>
        <v>#NAME?</v>
      </c>
      <c r="CN104" s="94" t="e">
        <f t="shared" ca="1" si="941"/>
        <v>#NAME?</v>
      </c>
      <c r="CO104" s="94" t="e">
        <f t="shared" ca="1" si="941"/>
        <v>#NAME?</v>
      </c>
      <c r="CP104" s="94" t="e">
        <f t="shared" ca="1" si="941"/>
        <v>#NAME?</v>
      </c>
      <c r="CQ104" s="94" t="e">
        <f t="shared" ca="1" si="941"/>
        <v>#NAME?</v>
      </c>
      <c r="CR104" s="94" t="e">
        <f t="shared" ca="1" si="941"/>
        <v>#NAME?</v>
      </c>
      <c r="CS104" s="94" t="e">
        <f t="shared" ca="1" si="941"/>
        <v>#NAME?</v>
      </c>
      <c r="CT104" s="94" t="e">
        <f t="shared" ca="1" si="941"/>
        <v>#NAME?</v>
      </c>
      <c r="CU104" s="94" t="e">
        <f t="shared" ca="1" si="941"/>
        <v>#NAME?</v>
      </c>
      <c r="CV104" s="94" t="e">
        <f t="shared" ca="1" si="941"/>
        <v>#NAME?</v>
      </c>
      <c r="CW104" s="94" t="e">
        <f t="shared" ca="1" si="941"/>
        <v>#NAME?</v>
      </c>
      <c r="CX104" s="94" t="e">
        <f t="shared" ca="1" si="941"/>
        <v>#NAME?</v>
      </c>
      <c r="CY104" s="94" t="e">
        <f t="shared" ca="1" si="941"/>
        <v>#NAME?</v>
      </c>
      <c r="CZ104" s="94" t="e">
        <f t="shared" ca="1" si="941"/>
        <v>#NAME?</v>
      </c>
      <c r="DA104" s="94" t="e">
        <f t="shared" ca="1" si="941"/>
        <v>#NAME?</v>
      </c>
      <c r="DB104" s="94" t="e">
        <f t="shared" ca="1" si="941"/>
        <v>#NAME?</v>
      </c>
      <c r="DE104" s="164"/>
      <c r="DF104" s="163">
        <v>3.360978731458875</v>
      </c>
    </row>
    <row r="105" spans="1:110" s="163" customFormat="1" x14ac:dyDescent="0.2">
      <c r="A105" s="163" t="s">
        <v>509</v>
      </c>
      <c r="E105" s="163" t="e">
        <f t="shared" ca="1" si="932"/>
        <v>#NAME?</v>
      </c>
      <c r="F105" s="163" t="e">
        <f t="shared" ca="1" si="932"/>
        <v>#NAME?</v>
      </c>
      <c r="G105" s="163" t="e">
        <f t="shared" ca="1" si="932"/>
        <v>#NAME?</v>
      </c>
      <c r="H105" s="163" t="e">
        <f t="shared" ca="1" si="932"/>
        <v>#NAME?</v>
      </c>
      <c r="I105" s="163" t="e">
        <f t="shared" ca="1" si="932"/>
        <v>#NAME?</v>
      </c>
      <c r="J105" s="163" t="e">
        <f t="shared" ca="1" si="932"/>
        <v>#NAME?</v>
      </c>
      <c r="K105" s="163" t="e">
        <f t="shared" ca="1" si="932"/>
        <v>#NAME?</v>
      </c>
      <c r="L105" s="163" t="e">
        <f t="shared" ca="1" si="932"/>
        <v>#NAME?</v>
      </c>
      <c r="M105" s="163" t="e">
        <f t="shared" ca="1" si="932"/>
        <v>#NAME?</v>
      </c>
      <c r="N105" s="163" t="e">
        <f t="shared" ca="1" si="932"/>
        <v>#NAME?</v>
      </c>
      <c r="O105" s="163" t="e">
        <f t="shared" ca="1" si="932"/>
        <v>#NAME?</v>
      </c>
      <c r="P105" s="163" t="e">
        <f t="shared" ca="1" si="932"/>
        <v>#NAME?</v>
      </c>
      <c r="Q105" s="163" t="e">
        <f t="shared" ca="1" si="932"/>
        <v>#NAME?</v>
      </c>
      <c r="R105" s="163" t="e">
        <f t="shared" ca="1" si="932"/>
        <v>#NAME?</v>
      </c>
      <c r="S105" s="163" t="e">
        <f t="shared" ca="1" si="932"/>
        <v>#NAME?</v>
      </c>
      <c r="T105" s="163" t="e">
        <f t="shared" ca="1" si="932"/>
        <v>#NAME?</v>
      </c>
      <c r="U105" s="163" t="e">
        <f t="shared" ca="1" si="932"/>
        <v>#NAME?</v>
      </c>
      <c r="V105" s="163" t="e">
        <f t="shared" ca="1" si="932"/>
        <v>#NAME?</v>
      </c>
      <c r="W105" s="163" t="e">
        <f t="shared" ca="1" si="932"/>
        <v>#NAME?</v>
      </c>
      <c r="X105" s="163" t="e">
        <f t="shared" ca="1" si="932"/>
        <v>#NAME?</v>
      </c>
      <c r="Y105" s="163" t="e">
        <f t="shared" ca="1" si="932"/>
        <v>#NAME?</v>
      </c>
      <c r="Z105" s="163" t="e">
        <f t="shared" ca="1" si="937"/>
        <v>#NAME?</v>
      </c>
      <c r="AA105" s="163" t="e">
        <f t="shared" ca="1" si="937"/>
        <v>#NAME?</v>
      </c>
      <c r="AB105" s="94" t="e">
        <f t="shared" ca="1" si="932"/>
        <v>#NAME?</v>
      </c>
      <c r="AC105" s="94" t="e">
        <f t="shared" ca="1" si="932"/>
        <v>#NAME?</v>
      </c>
      <c r="AD105" s="94" t="e">
        <f t="shared" ca="1" si="932"/>
        <v>#NAME?</v>
      </c>
      <c r="AE105" s="94" t="e">
        <f t="shared" ca="1" si="932"/>
        <v>#NAME?</v>
      </c>
      <c r="AL105" s="163" t="e">
        <f t="shared" ref="AL105:BQ105" ca="1" si="942">+AL80/AL100</f>
        <v>#NAME?</v>
      </c>
      <c r="AM105" s="163" t="e">
        <f t="shared" ca="1" si="942"/>
        <v>#NAME?</v>
      </c>
      <c r="AN105" s="163" t="e">
        <f t="shared" ca="1" si="942"/>
        <v>#NAME?</v>
      </c>
      <c r="AO105" s="163" t="e">
        <f t="shared" ca="1" si="942"/>
        <v>#NAME?</v>
      </c>
      <c r="AP105" s="163" t="e">
        <f t="shared" ca="1" si="942"/>
        <v>#NAME?</v>
      </c>
      <c r="AQ105" s="163" t="e">
        <f t="shared" ca="1" si="942"/>
        <v>#NAME?</v>
      </c>
      <c r="AR105" s="163" t="e">
        <f t="shared" ca="1" si="942"/>
        <v>#NAME?</v>
      </c>
      <c r="AS105" s="163" t="e">
        <f t="shared" ca="1" si="942"/>
        <v>#NAME?</v>
      </c>
      <c r="AT105" s="163" t="e">
        <f t="shared" ca="1" si="942"/>
        <v>#NAME?</v>
      </c>
      <c r="AU105" s="163" t="e">
        <f t="shared" ca="1" si="942"/>
        <v>#NAME?</v>
      </c>
      <c r="AV105" s="163" t="e">
        <f t="shared" ca="1" si="942"/>
        <v>#NAME?</v>
      </c>
      <c r="AW105" s="163" t="e">
        <f t="shared" ca="1" si="942"/>
        <v>#NAME?</v>
      </c>
      <c r="AX105" s="163" t="e">
        <f t="shared" ca="1" si="942"/>
        <v>#NAME?</v>
      </c>
      <c r="AY105" s="163" t="e">
        <f t="shared" ca="1" si="942"/>
        <v>#NAME?</v>
      </c>
      <c r="AZ105" s="163" t="e">
        <f t="shared" ca="1" si="942"/>
        <v>#NAME?</v>
      </c>
      <c r="BA105" s="163" t="e">
        <f t="shared" ca="1" si="942"/>
        <v>#NAME?</v>
      </c>
      <c r="BB105" s="163" t="e">
        <f t="shared" ca="1" si="942"/>
        <v>#NAME?</v>
      </c>
      <c r="BC105" s="163" t="e">
        <f t="shared" ca="1" si="942"/>
        <v>#NAME?</v>
      </c>
      <c r="BD105" s="163" t="e">
        <f t="shared" ca="1" si="942"/>
        <v>#NAME?</v>
      </c>
      <c r="BE105" s="163" t="e">
        <f t="shared" ca="1" si="942"/>
        <v>#NAME?</v>
      </c>
      <c r="BF105" s="163" t="e">
        <f t="shared" ca="1" si="942"/>
        <v>#NAME?</v>
      </c>
      <c r="BG105" s="163" t="e">
        <f t="shared" ca="1" si="942"/>
        <v>#NAME?</v>
      </c>
      <c r="BH105" s="163" t="e">
        <f t="shared" ca="1" si="942"/>
        <v>#NAME?</v>
      </c>
      <c r="BI105" s="163" t="e">
        <f t="shared" ca="1" si="942"/>
        <v>#NAME?</v>
      </c>
      <c r="BJ105" s="163" t="e">
        <f t="shared" ca="1" si="942"/>
        <v>#NAME?</v>
      </c>
      <c r="BK105" s="163" t="e">
        <f t="shared" ca="1" si="942"/>
        <v>#NAME?</v>
      </c>
      <c r="BL105" s="163" t="e">
        <f t="shared" ca="1" si="942"/>
        <v>#NAME?</v>
      </c>
      <c r="BM105" s="163" t="e">
        <f t="shared" ca="1" si="942"/>
        <v>#NAME?</v>
      </c>
      <c r="BN105" s="163" t="e">
        <f t="shared" ca="1" si="942"/>
        <v>#NAME?</v>
      </c>
      <c r="BO105" s="163" t="e">
        <f t="shared" ca="1" si="942"/>
        <v>#NAME?</v>
      </c>
      <c r="BP105" s="163" t="e">
        <f t="shared" ca="1" si="942"/>
        <v>#NAME?</v>
      </c>
      <c r="BQ105" s="163" t="e">
        <f t="shared" ca="1" si="942"/>
        <v>#NAME?</v>
      </c>
      <c r="BR105" s="163" t="e">
        <f t="shared" ref="BR105:CJ105" ca="1" si="943">+BR80/BR100</f>
        <v>#NAME?</v>
      </c>
      <c r="BS105" s="163" t="e">
        <f t="shared" ca="1" si="943"/>
        <v>#NAME?</v>
      </c>
      <c r="BT105" s="163" t="e">
        <f t="shared" ca="1" si="943"/>
        <v>#NAME?</v>
      </c>
      <c r="BU105" s="163" t="e">
        <f t="shared" ca="1" si="943"/>
        <v>#NAME?</v>
      </c>
      <c r="BV105" s="163" t="e">
        <f t="shared" ca="1" si="943"/>
        <v>#NAME?</v>
      </c>
      <c r="BW105" s="163" t="e">
        <f t="shared" ca="1" si="943"/>
        <v>#NAME?</v>
      </c>
      <c r="BX105" s="163" t="e">
        <f t="shared" ca="1" si="943"/>
        <v>#NAME?</v>
      </c>
      <c r="BY105" s="163" t="e">
        <f t="shared" ca="1" si="943"/>
        <v>#NAME?</v>
      </c>
      <c r="BZ105" s="163" t="e">
        <f t="shared" ca="1" si="943"/>
        <v>#NAME?</v>
      </c>
      <c r="CA105" s="163" t="e">
        <f t="shared" ca="1" si="943"/>
        <v>#NAME?</v>
      </c>
      <c r="CB105" s="163" t="e">
        <f t="shared" ca="1" si="943"/>
        <v>#NAME?</v>
      </c>
      <c r="CC105" s="163" t="e">
        <f t="shared" ca="1" si="943"/>
        <v>#NAME?</v>
      </c>
      <c r="CD105" s="163" t="e">
        <f t="shared" ca="1" si="943"/>
        <v>#NAME?</v>
      </c>
      <c r="CE105" s="163" t="e">
        <f t="shared" ca="1" si="943"/>
        <v>#NAME?</v>
      </c>
      <c r="CF105" s="163" t="e">
        <f t="shared" ca="1" si="943"/>
        <v>#NAME?</v>
      </c>
      <c r="CG105" s="163" t="e">
        <f t="shared" ca="1" si="943"/>
        <v>#NAME?</v>
      </c>
      <c r="CH105" s="163" t="e">
        <f t="shared" ca="1" si="943"/>
        <v>#NAME?</v>
      </c>
      <c r="CI105" s="163" t="e">
        <f t="shared" ca="1" si="943"/>
        <v>#NAME?</v>
      </c>
      <c r="CJ105" s="163" t="e">
        <f t="shared" ca="1" si="943"/>
        <v>#NAME?</v>
      </c>
      <c r="CK105" s="163" t="e">
        <f t="shared" ref="CK105:CL105" ca="1" si="944">+CK80/CK100</f>
        <v>#NAME?</v>
      </c>
      <c r="CL105" s="163" t="e">
        <f t="shared" ca="1" si="944"/>
        <v>#NAME?</v>
      </c>
      <c r="CM105" s="94" t="e">
        <f t="shared" ref="CM105:DB105" ca="1" si="945">+CL105</f>
        <v>#NAME?</v>
      </c>
      <c r="CN105" s="94" t="e">
        <f t="shared" ca="1" si="945"/>
        <v>#NAME?</v>
      </c>
      <c r="CO105" s="94" t="e">
        <f t="shared" ca="1" si="945"/>
        <v>#NAME?</v>
      </c>
      <c r="CP105" s="94" t="e">
        <f t="shared" ca="1" si="945"/>
        <v>#NAME?</v>
      </c>
      <c r="CQ105" s="94" t="e">
        <f t="shared" ca="1" si="945"/>
        <v>#NAME?</v>
      </c>
      <c r="CR105" s="94" t="e">
        <f t="shared" ca="1" si="945"/>
        <v>#NAME?</v>
      </c>
      <c r="CS105" s="94" t="e">
        <f t="shared" ca="1" si="945"/>
        <v>#NAME?</v>
      </c>
      <c r="CT105" s="94" t="e">
        <f t="shared" ca="1" si="945"/>
        <v>#NAME?</v>
      </c>
      <c r="CU105" s="94" t="e">
        <f t="shared" ca="1" si="945"/>
        <v>#NAME?</v>
      </c>
      <c r="CV105" s="94" t="e">
        <f t="shared" ca="1" si="945"/>
        <v>#NAME?</v>
      </c>
      <c r="CW105" s="94" t="e">
        <f t="shared" ca="1" si="945"/>
        <v>#NAME?</v>
      </c>
      <c r="CX105" s="94" t="e">
        <f t="shared" ca="1" si="945"/>
        <v>#NAME?</v>
      </c>
      <c r="CY105" s="94" t="e">
        <f t="shared" ca="1" si="945"/>
        <v>#NAME?</v>
      </c>
      <c r="CZ105" s="94" t="e">
        <f t="shared" ca="1" si="945"/>
        <v>#NAME?</v>
      </c>
      <c r="DA105" s="94" t="e">
        <f t="shared" ca="1" si="945"/>
        <v>#NAME?</v>
      </c>
      <c r="DB105" s="94" t="e">
        <f t="shared" ca="1" si="945"/>
        <v>#NAME?</v>
      </c>
      <c r="DE105" s="164"/>
      <c r="DF105" s="163">
        <v>2.2555888650196319</v>
      </c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340</v>
      </c>
      <c r="B108" s="162" t="e">
        <f t="shared" ref="B108:AE108" ca="1" si="946">+B79*B66</f>
        <v>#NAME?</v>
      </c>
      <c r="C108" s="162" t="e">
        <f t="shared" ca="1" si="946"/>
        <v>#NAME?</v>
      </c>
      <c r="D108" s="162" t="e">
        <f t="shared" ca="1" si="946"/>
        <v>#NAME?</v>
      </c>
      <c r="E108" s="162" t="e">
        <f t="shared" ca="1" si="946"/>
        <v>#NAME?</v>
      </c>
      <c r="F108" s="162" t="e">
        <f t="shared" ca="1" si="946"/>
        <v>#NAME?</v>
      </c>
      <c r="G108" s="162" t="e">
        <f t="shared" ca="1" si="946"/>
        <v>#NAME?</v>
      </c>
      <c r="H108" s="162" t="e">
        <f t="shared" ca="1" si="946"/>
        <v>#NAME?</v>
      </c>
      <c r="I108" s="162" t="e">
        <f t="shared" ca="1" si="946"/>
        <v>#NAME?</v>
      </c>
      <c r="J108" s="162" t="e">
        <f t="shared" ca="1" si="946"/>
        <v>#NAME?</v>
      </c>
      <c r="K108" s="162" t="e">
        <f t="shared" ca="1" si="946"/>
        <v>#NAME?</v>
      </c>
      <c r="L108" s="162" t="e">
        <f t="shared" ca="1" si="946"/>
        <v>#NAME?</v>
      </c>
      <c r="M108" s="162" t="e">
        <f t="shared" ca="1" si="946"/>
        <v>#NAME?</v>
      </c>
      <c r="N108" s="162" t="e">
        <f t="shared" ca="1" si="946"/>
        <v>#NAME?</v>
      </c>
      <c r="O108" s="162" t="e">
        <f t="shared" ca="1" si="946"/>
        <v>#NAME?</v>
      </c>
      <c r="P108" s="162" t="e">
        <f t="shared" ca="1" si="946"/>
        <v>#NAME?</v>
      </c>
      <c r="Q108" s="162" t="e">
        <f t="shared" ca="1" si="946"/>
        <v>#NAME?</v>
      </c>
      <c r="R108" s="162" t="e">
        <f t="shared" ca="1" si="946"/>
        <v>#NAME?</v>
      </c>
      <c r="S108" s="162" t="e">
        <f t="shared" ca="1" si="946"/>
        <v>#NAME?</v>
      </c>
      <c r="T108" s="162" t="e">
        <f t="shared" ca="1" si="946"/>
        <v>#NAME?</v>
      </c>
      <c r="U108" s="162" t="e">
        <f t="shared" ca="1" si="946"/>
        <v>#NAME?</v>
      </c>
      <c r="V108" s="162" t="e">
        <f t="shared" ca="1" si="946"/>
        <v>#NAME?</v>
      </c>
      <c r="W108" s="162" t="e">
        <f t="shared" ca="1" si="946"/>
        <v>#NAME?</v>
      </c>
      <c r="X108" s="162" t="e">
        <f t="shared" ca="1" si="946"/>
        <v>#NAME?</v>
      </c>
      <c r="Y108" s="162" t="e">
        <f t="shared" ca="1" si="946"/>
        <v>#NAME?</v>
      </c>
      <c r="Z108" s="162" t="e">
        <f t="shared" ca="1" si="946"/>
        <v>#NAME?</v>
      </c>
      <c r="AA108" s="162" t="e">
        <f t="shared" ref="AA108" ca="1" si="947">+AA79*AA66</f>
        <v>#NAME?</v>
      </c>
      <c r="AB108" s="21" t="e">
        <f t="shared" ca="1" si="946"/>
        <v>#NAME?</v>
      </c>
      <c r="AC108" s="21" t="e">
        <f t="shared" ca="1" si="946"/>
        <v>#NAME?</v>
      </c>
      <c r="AD108" s="21" t="e">
        <f t="shared" ca="1" si="946"/>
        <v>#NAME?</v>
      </c>
      <c r="AE108" s="21" t="e">
        <f t="shared" ca="1" si="946"/>
        <v>#NAME?</v>
      </c>
      <c r="AL108" s="162" t="e">
        <f t="shared" ref="AL108:BQ108" ca="1" si="948">+AL79*AL66</f>
        <v>#NAME?</v>
      </c>
      <c r="AM108" s="162" t="e">
        <f t="shared" ca="1" si="948"/>
        <v>#NAME?</v>
      </c>
      <c r="AN108" s="162" t="e">
        <f t="shared" ca="1" si="948"/>
        <v>#NAME?</v>
      </c>
      <c r="AO108" s="162" t="e">
        <f t="shared" ca="1" si="948"/>
        <v>#NAME?</v>
      </c>
      <c r="AP108" s="162" t="e">
        <f t="shared" ca="1" si="948"/>
        <v>#NAME?</v>
      </c>
      <c r="AQ108" s="162" t="e">
        <f t="shared" ca="1" si="948"/>
        <v>#NAME?</v>
      </c>
      <c r="AR108" s="162" t="e">
        <f t="shared" ca="1" si="948"/>
        <v>#NAME?</v>
      </c>
      <c r="AS108" s="162" t="e">
        <f t="shared" ca="1" si="948"/>
        <v>#NAME?</v>
      </c>
      <c r="AT108" s="162" t="e">
        <f t="shared" ca="1" si="948"/>
        <v>#NAME?</v>
      </c>
      <c r="AU108" s="162" t="e">
        <f t="shared" ca="1" si="948"/>
        <v>#NAME?</v>
      </c>
      <c r="AV108" s="162" t="e">
        <f t="shared" ca="1" si="948"/>
        <v>#NAME?</v>
      </c>
      <c r="AW108" s="162" t="e">
        <f t="shared" ca="1" si="948"/>
        <v>#NAME?</v>
      </c>
      <c r="AX108" s="162" t="e">
        <f t="shared" ca="1" si="948"/>
        <v>#NAME?</v>
      </c>
      <c r="AY108" s="162" t="e">
        <f t="shared" ca="1" si="948"/>
        <v>#NAME?</v>
      </c>
      <c r="AZ108" s="162" t="e">
        <f t="shared" ca="1" si="948"/>
        <v>#NAME?</v>
      </c>
      <c r="BA108" s="162" t="e">
        <f t="shared" ca="1" si="948"/>
        <v>#NAME?</v>
      </c>
      <c r="BB108" s="162" t="e">
        <f t="shared" ca="1" si="948"/>
        <v>#NAME?</v>
      </c>
      <c r="BC108" s="162" t="e">
        <f t="shared" ca="1" si="948"/>
        <v>#NAME?</v>
      </c>
      <c r="BD108" s="162" t="e">
        <f t="shared" ca="1" si="948"/>
        <v>#NAME?</v>
      </c>
      <c r="BE108" s="162" t="e">
        <f t="shared" ca="1" si="948"/>
        <v>#NAME?</v>
      </c>
      <c r="BF108" s="162" t="e">
        <f t="shared" ca="1" si="948"/>
        <v>#NAME?</v>
      </c>
      <c r="BG108" s="162" t="e">
        <f t="shared" ca="1" si="948"/>
        <v>#NAME?</v>
      </c>
      <c r="BH108" s="162" t="e">
        <f t="shared" ca="1" si="948"/>
        <v>#NAME?</v>
      </c>
      <c r="BI108" s="162" t="e">
        <f t="shared" ca="1" si="948"/>
        <v>#NAME?</v>
      </c>
      <c r="BJ108" s="162" t="e">
        <f t="shared" ca="1" si="948"/>
        <v>#NAME?</v>
      </c>
      <c r="BK108" s="162" t="e">
        <f t="shared" ca="1" si="948"/>
        <v>#NAME?</v>
      </c>
      <c r="BL108" s="162" t="e">
        <f t="shared" ca="1" si="948"/>
        <v>#NAME?</v>
      </c>
      <c r="BM108" s="162" t="e">
        <f t="shared" ca="1" si="948"/>
        <v>#NAME?</v>
      </c>
      <c r="BN108" s="162" t="e">
        <f t="shared" ca="1" si="948"/>
        <v>#NAME?</v>
      </c>
      <c r="BO108" s="162" t="e">
        <f t="shared" ca="1" si="948"/>
        <v>#NAME?</v>
      </c>
      <c r="BP108" s="162" t="e">
        <f t="shared" ca="1" si="948"/>
        <v>#NAME?</v>
      </c>
      <c r="BQ108" s="162" t="e">
        <f t="shared" ca="1" si="948"/>
        <v>#NAME?</v>
      </c>
      <c r="BR108" s="162" t="e">
        <f t="shared" ref="BR108:CJ108" ca="1" si="949">+BR79*BR66</f>
        <v>#NAME?</v>
      </c>
      <c r="BS108" s="162" t="e">
        <f t="shared" ca="1" si="949"/>
        <v>#NAME?</v>
      </c>
      <c r="BT108" s="162" t="e">
        <f t="shared" ca="1" si="949"/>
        <v>#NAME?</v>
      </c>
      <c r="BU108" s="162" t="e">
        <f t="shared" ca="1" si="949"/>
        <v>#NAME?</v>
      </c>
      <c r="BV108" s="162" t="e">
        <f t="shared" ca="1" si="949"/>
        <v>#NAME?</v>
      </c>
      <c r="BW108" s="162" t="e">
        <f t="shared" ca="1" si="949"/>
        <v>#NAME?</v>
      </c>
      <c r="BX108" s="162" t="e">
        <f t="shared" ca="1" si="949"/>
        <v>#NAME?</v>
      </c>
      <c r="BY108" s="162" t="e">
        <f t="shared" ca="1" si="949"/>
        <v>#NAME?</v>
      </c>
      <c r="BZ108" s="162" t="e">
        <f t="shared" ca="1" si="949"/>
        <v>#NAME?</v>
      </c>
      <c r="CA108" s="162" t="e">
        <f t="shared" ca="1" si="949"/>
        <v>#NAME?</v>
      </c>
      <c r="CB108" s="162" t="e">
        <f t="shared" ca="1" si="949"/>
        <v>#NAME?</v>
      </c>
      <c r="CC108" s="162" t="e">
        <f t="shared" ca="1" si="949"/>
        <v>#NAME?</v>
      </c>
      <c r="CD108" s="162" t="e">
        <f t="shared" ca="1" si="949"/>
        <v>#NAME?</v>
      </c>
      <c r="CE108" s="162" t="e">
        <f t="shared" ca="1" si="949"/>
        <v>#NAME?</v>
      </c>
      <c r="CF108" s="162" t="e">
        <f t="shared" ca="1" si="949"/>
        <v>#NAME?</v>
      </c>
      <c r="CG108" s="162" t="e">
        <f t="shared" ca="1" si="949"/>
        <v>#NAME?</v>
      </c>
      <c r="CH108" s="162" t="e">
        <f t="shared" ca="1" si="949"/>
        <v>#NAME?</v>
      </c>
      <c r="CI108" s="162" t="e">
        <f t="shared" ca="1" si="949"/>
        <v>#NAME?</v>
      </c>
      <c r="CJ108" s="162" t="e">
        <f t="shared" ca="1" si="949"/>
        <v>#NAME?</v>
      </c>
      <c r="CK108" s="162" t="e">
        <f t="shared" ref="CK108:CL108" ca="1" si="950">+CK79*CK66</f>
        <v>#NAME?</v>
      </c>
      <c r="CL108" s="162" t="e">
        <f t="shared" ca="1" si="950"/>
        <v>#NAME?</v>
      </c>
      <c r="CM108" s="21" t="e">
        <f t="shared" ref="CM108:DB108" ca="1" si="951">+CM79*CM66</f>
        <v>#NAME?</v>
      </c>
      <c r="CN108" s="21" t="e">
        <f t="shared" ca="1" si="951"/>
        <v>#NAME?</v>
      </c>
      <c r="CO108" s="21" t="e">
        <f t="shared" ca="1" si="951"/>
        <v>#NAME?</v>
      </c>
      <c r="CP108" s="21" t="e">
        <f t="shared" ca="1" si="951"/>
        <v>#NAME?</v>
      </c>
      <c r="CQ108" s="21" t="e">
        <f t="shared" ca="1" si="951"/>
        <v>#NAME?</v>
      </c>
      <c r="CR108" s="21" t="e">
        <f t="shared" ca="1" si="951"/>
        <v>#NAME?</v>
      </c>
      <c r="CS108" s="21" t="e">
        <f t="shared" ca="1" si="951"/>
        <v>#NAME?</v>
      </c>
      <c r="CT108" s="21" t="e">
        <f t="shared" ca="1" si="951"/>
        <v>#NAME?</v>
      </c>
      <c r="CU108" s="21" t="e">
        <f t="shared" ca="1" si="951"/>
        <v>#NAME?</v>
      </c>
      <c r="CV108" s="21" t="e">
        <f t="shared" ca="1" si="951"/>
        <v>#NAME?</v>
      </c>
      <c r="CW108" s="21" t="e">
        <f t="shared" ca="1" si="951"/>
        <v>#NAME?</v>
      </c>
      <c r="CX108" s="21" t="e">
        <f t="shared" ca="1" si="951"/>
        <v>#NAME?</v>
      </c>
      <c r="CY108" s="21" t="e">
        <f t="shared" ca="1" si="951"/>
        <v>#NAME?</v>
      </c>
      <c r="CZ108" s="21" t="e">
        <f t="shared" ca="1" si="951"/>
        <v>#NAME?</v>
      </c>
      <c r="DA108" s="21" t="e">
        <f t="shared" ca="1" si="951"/>
        <v>#NAME?</v>
      </c>
      <c r="DB108" s="21" t="e">
        <f t="shared" ca="1" si="951"/>
        <v>#NAME?</v>
      </c>
      <c r="DE108" s="22"/>
      <c r="DF108" s="162">
        <v>337672.86138923641</v>
      </c>
    </row>
    <row r="109" spans="1:110" s="162" customFormat="1" x14ac:dyDescent="0.2">
      <c r="A109" s="49" t="s">
        <v>341</v>
      </c>
      <c r="B109" s="162" t="e">
        <f t="shared" ref="B109:AE109" ca="1" si="952">+B80*B66</f>
        <v>#NAME?</v>
      </c>
      <c r="C109" s="162" t="e">
        <f t="shared" ca="1" si="952"/>
        <v>#NAME?</v>
      </c>
      <c r="D109" s="162" t="e">
        <f t="shared" ca="1" si="952"/>
        <v>#NAME?</v>
      </c>
      <c r="E109" s="162" t="e">
        <f t="shared" ca="1" si="952"/>
        <v>#NAME?</v>
      </c>
      <c r="F109" s="162" t="e">
        <f t="shared" ca="1" si="952"/>
        <v>#NAME?</v>
      </c>
      <c r="G109" s="162" t="e">
        <f t="shared" ca="1" si="952"/>
        <v>#NAME?</v>
      </c>
      <c r="H109" s="162" t="e">
        <f t="shared" ca="1" si="952"/>
        <v>#NAME?</v>
      </c>
      <c r="I109" s="162" t="e">
        <f t="shared" ca="1" si="952"/>
        <v>#NAME?</v>
      </c>
      <c r="J109" s="162" t="e">
        <f t="shared" ca="1" si="952"/>
        <v>#NAME?</v>
      </c>
      <c r="K109" s="162" t="e">
        <f t="shared" ca="1" si="952"/>
        <v>#NAME?</v>
      </c>
      <c r="L109" s="162" t="e">
        <f t="shared" ca="1" si="952"/>
        <v>#NAME?</v>
      </c>
      <c r="M109" s="162" t="e">
        <f t="shared" ca="1" si="952"/>
        <v>#NAME?</v>
      </c>
      <c r="N109" s="162" t="e">
        <f t="shared" ca="1" si="952"/>
        <v>#NAME?</v>
      </c>
      <c r="O109" s="162" t="e">
        <f t="shared" ca="1" si="952"/>
        <v>#NAME?</v>
      </c>
      <c r="P109" s="162" t="e">
        <f t="shared" ca="1" si="952"/>
        <v>#NAME?</v>
      </c>
      <c r="Q109" s="162" t="e">
        <f t="shared" ca="1" si="952"/>
        <v>#NAME?</v>
      </c>
      <c r="R109" s="162" t="e">
        <f t="shared" ca="1" si="952"/>
        <v>#NAME?</v>
      </c>
      <c r="S109" s="162" t="e">
        <f t="shared" ca="1" si="952"/>
        <v>#NAME?</v>
      </c>
      <c r="T109" s="162" t="e">
        <f t="shared" ca="1" si="952"/>
        <v>#NAME?</v>
      </c>
      <c r="U109" s="162" t="e">
        <f t="shared" ca="1" si="952"/>
        <v>#NAME?</v>
      </c>
      <c r="V109" s="162" t="e">
        <f t="shared" ca="1" si="952"/>
        <v>#NAME?</v>
      </c>
      <c r="W109" s="162" t="e">
        <f t="shared" ca="1" si="952"/>
        <v>#NAME?</v>
      </c>
      <c r="X109" s="162" t="e">
        <f t="shared" ca="1" si="952"/>
        <v>#NAME?</v>
      </c>
      <c r="Y109" s="162" t="e">
        <f t="shared" ca="1" si="952"/>
        <v>#NAME?</v>
      </c>
      <c r="Z109" s="162" t="e">
        <f t="shared" ca="1" si="952"/>
        <v>#NAME?</v>
      </c>
      <c r="AA109" s="162" t="e">
        <f t="shared" ref="AA109" ca="1" si="953">+AA80*AA66</f>
        <v>#NAME?</v>
      </c>
      <c r="AB109" s="21" t="e">
        <f t="shared" ca="1" si="952"/>
        <v>#NAME?</v>
      </c>
      <c r="AC109" s="21" t="e">
        <f t="shared" ca="1" si="952"/>
        <v>#NAME?</v>
      </c>
      <c r="AD109" s="21" t="e">
        <f t="shared" ca="1" si="952"/>
        <v>#NAME?</v>
      </c>
      <c r="AE109" s="21" t="e">
        <f t="shared" ca="1" si="952"/>
        <v>#NAME?</v>
      </c>
      <c r="AL109" s="162" t="e">
        <f t="shared" ref="AL109:BQ109" ca="1" si="954">+AL80*AL66</f>
        <v>#NAME?</v>
      </c>
      <c r="AM109" s="162" t="e">
        <f t="shared" ca="1" si="954"/>
        <v>#NAME?</v>
      </c>
      <c r="AN109" s="162" t="e">
        <f t="shared" ca="1" si="954"/>
        <v>#NAME?</v>
      </c>
      <c r="AO109" s="162" t="e">
        <f t="shared" ca="1" si="954"/>
        <v>#NAME?</v>
      </c>
      <c r="AP109" s="162" t="e">
        <f t="shared" ca="1" si="954"/>
        <v>#NAME?</v>
      </c>
      <c r="AQ109" s="162" t="e">
        <f t="shared" ca="1" si="954"/>
        <v>#NAME?</v>
      </c>
      <c r="AR109" s="162" t="e">
        <f t="shared" ca="1" si="954"/>
        <v>#NAME?</v>
      </c>
      <c r="AS109" s="162" t="e">
        <f t="shared" ca="1" si="954"/>
        <v>#NAME?</v>
      </c>
      <c r="AT109" s="162" t="e">
        <f t="shared" ca="1" si="954"/>
        <v>#NAME?</v>
      </c>
      <c r="AU109" s="162" t="e">
        <f t="shared" ca="1" si="954"/>
        <v>#NAME?</v>
      </c>
      <c r="AV109" s="162" t="e">
        <f t="shared" ca="1" si="954"/>
        <v>#NAME?</v>
      </c>
      <c r="AW109" s="162" t="e">
        <f t="shared" ca="1" si="954"/>
        <v>#NAME?</v>
      </c>
      <c r="AX109" s="162" t="e">
        <f t="shared" ca="1" si="954"/>
        <v>#NAME?</v>
      </c>
      <c r="AY109" s="162" t="e">
        <f t="shared" ca="1" si="954"/>
        <v>#NAME?</v>
      </c>
      <c r="AZ109" s="162" t="e">
        <f t="shared" ca="1" si="954"/>
        <v>#NAME?</v>
      </c>
      <c r="BA109" s="162" t="e">
        <f t="shared" ca="1" si="954"/>
        <v>#NAME?</v>
      </c>
      <c r="BB109" s="162" t="e">
        <f t="shared" ca="1" si="954"/>
        <v>#NAME?</v>
      </c>
      <c r="BC109" s="162" t="e">
        <f t="shared" ca="1" si="954"/>
        <v>#NAME?</v>
      </c>
      <c r="BD109" s="162" t="e">
        <f t="shared" ca="1" si="954"/>
        <v>#NAME?</v>
      </c>
      <c r="BE109" s="162" t="e">
        <f t="shared" ca="1" si="954"/>
        <v>#NAME?</v>
      </c>
      <c r="BF109" s="162" t="e">
        <f t="shared" ca="1" si="954"/>
        <v>#NAME?</v>
      </c>
      <c r="BG109" s="162" t="e">
        <f t="shared" ca="1" si="954"/>
        <v>#NAME?</v>
      </c>
      <c r="BH109" s="162" t="e">
        <f t="shared" ca="1" si="954"/>
        <v>#NAME?</v>
      </c>
      <c r="BI109" s="162" t="e">
        <f t="shared" ca="1" si="954"/>
        <v>#NAME?</v>
      </c>
      <c r="BJ109" s="162" t="e">
        <f t="shared" ca="1" si="954"/>
        <v>#NAME?</v>
      </c>
      <c r="BK109" s="162" t="e">
        <f t="shared" ca="1" si="954"/>
        <v>#NAME?</v>
      </c>
      <c r="BL109" s="162" t="e">
        <f t="shared" ca="1" si="954"/>
        <v>#NAME?</v>
      </c>
      <c r="BM109" s="162" t="e">
        <f t="shared" ca="1" si="954"/>
        <v>#NAME?</v>
      </c>
      <c r="BN109" s="162" t="e">
        <f t="shared" ca="1" si="954"/>
        <v>#NAME?</v>
      </c>
      <c r="BO109" s="162" t="e">
        <f t="shared" ca="1" si="954"/>
        <v>#NAME?</v>
      </c>
      <c r="BP109" s="162" t="e">
        <f t="shared" ca="1" si="954"/>
        <v>#NAME?</v>
      </c>
      <c r="BQ109" s="162" t="e">
        <f t="shared" ca="1" si="954"/>
        <v>#NAME?</v>
      </c>
      <c r="BR109" s="162" t="e">
        <f t="shared" ref="BR109:CJ109" ca="1" si="955">+BR80*BR66</f>
        <v>#NAME?</v>
      </c>
      <c r="BS109" s="162" t="e">
        <f t="shared" ca="1" si="955"/>
        <v>#NAME?</v>
      </c>
      <c r="BT109" s="162" t="e">
        <f t="shared" ca="1" si="955"/>
        <v>#NAME?</v>
      </c>
      <c r="BU109" s="162" t="e">
        <f t="shared" ca="1" si="955"/>
        <v>#NAME?</v>
      </c>
      <c r="BV109" s="162" t="e">
        <f t="shared" ca="1" si="955"/>
        <v>#NAME?</v>
      </c>
      <c r="BW109" s="162" t="e">
        <f t="shared" ca="1" si="955"/>
        <v>#NAME?</v>
      </c>
      <c r="BX109" s="162" t="e">
        <f t="shared" ca="1" si="955"/>
        <v>#NAME?</v>
      </c>
      <c r="BY109" s="162" t="e">
        <f t="shared" ca="1" si="955"/>
        <v>#NAME?</v>
      </c>
      <c r="BZ109" s="162" t="e">
        <f t="shared" ca="1" si="955"/>
        <v>#NAME?</v>
      </c>
      <c r="CA109" s="162" t="e">
        <f t="shared" ca="1" si="955"/>
        <v>#NAME?</v>
      </c>
      <c r="CB109" s="162" t="e">
        <f t="shared" ca="1" si="955"/>
        <v>#NAME?</v>
      </c>
      <c r="CC109" s="162" t="e">
        <f t="shared" ca="1" si="955"/>
        <v>#NAME?</v>
      </c>
      <c r="CD109" s="162" t="e">
        <f t="shared" ca="1" si="955"/>
        <v>#NAME?</v>
      </c>
      <c r="CE109" s="162" t="e">
        <f t="shared" ca="1" si="955"/>
        <v>#NAME?</v>
      </c>
      <c r="CF109" s="162" t="e">
        <f t="shared" ca="1" si="955"/>
        <v>#NAME?</v>
      </c>
      <c r="CG109" s="162" t="e">
        <f t="shared" ca="1" si="955"/>
        <v>#NAME?</v>
      </c>
      <c r="CH109" s="162" t="e">
        <f t="shared" ca="1" si="955"/>
        <v>#NAME?</v>
      </c>
      <c r="CI109" s="162" t="e">
        <f t="shared" ca="1" si="955"/>
        <v>#NAME?</v>
      </c>
      <c r="CJ109" s="162" t="e">
        <f t="shared" ca="1" si="955"/>
        <v>#NAME?</v>
      </c>
      <c r="CK109" s="162" t="e">
        <f t="shared" ref="CK109:CL109" ca="1" si="956">+CK80*CK66</f>
        <v>#NAME?</v>
      </c>
      <c r="CL109" s="162" t="e">
        <f t="shared" ca="1" si="956"/>
        <v>#NAME?</v>
      </c>
      <c r="CM109" s="21" t="e">
        <f t="shared" ref="CM109:DB109" ca="1" si="957">+CM80*CM66</f>
        <v>#NAME?</v>
      </c>
      <c r="CN109" s="21" t="e">
        <f t="shared" ca="1" si="957"/>
        <v>#NAME?</v>
      </c>
      <c r="CO109" s="21" t="e">
        <f t="shared" ca="1" si="957"/>
        <v>#NAME?</v>
      </c>
      <c r="CP109" s="21" t="e">
        <f t="shared" ca="1" si="957"/>
        <v>#NAME?</v>
      </c>
      <c r="CQ109" s="21" t="e">
        <f t="shared" ca="1" si="957"/>
        <v>#NAME?</v>
      </c>
      <c r="CR109" s="21" t="e">
        <f t="shared" ca="1" si="957"/>
        <v>#NAME?</v>
      </c>
      <c r="CS109" s="21" t="e">
        <f t="shared" ca="1" si="957"/>
        <v>#NAME?</v>
      </c>
      <c r="CT109" s="21" t="e">
        <f t="shared" ca="1" si="957"/>
        <v>#NAME?</v>
      </c>
      <c r="CU109" s="21" t="e">
        <f t="shared" ca="1" si="957"/>
        <v>#NAME?</v>
      </c>
      <c r="CV109" s="21" t="e">
        <f t="shared" ca="1" si="957"/>
        <v>#NAME?</v>
      </c>
      <c r="CW109" s="21" t="e">
        <f t="shared" ca="1" si="957"/>
        <v>#NAME?</v>
      </c>
      <c r="CX109" s="21" t="e">
        <f t="shared" ca="1" si="957"/>
        <v>#NAME?</v>
      </c>
      <c r="CY109" s="21" t="e">
        <f t="shared" ca="1" si="957"/>
        <v>#NAME?</v>
      </c>
      <c r="CZ109" s="21" t="e">
        <f t="shared" ca="1" si="957"/>
        <v>#NAME?</v>
      </c>
      <c r="DA109" s="21" t="e">
        <f t="shared" ca="1" si="957"/>
        <v>#NAME?</v>
      </c>
      <c r="DB109" s="21" t="e">
        <f t="shared" ca="1" si="957"/>
        <v>#NAME?</v>
      </c>
      <c r="DE109" s="22"/>
      <c r="DF109" s="162">
        <v>226615.87800000003</v>
      </c>
    </row>
    <row r="110" spans="1:110" s="162" customFormat="1" x14ac:dyDescent="0.2">
      <c r="A110" s="49" t="s">
        <v>80</v>
      </c>
      <c r="B110" s="162" t="e">
        <f ca="1">+B169</f>
        <v>#NAME?</v>
      </c>
      <c r="C110" s="162" t="e">
        <f t="shared" ref="C110:W110" ca="1" si="958">+C169</f>
        <v>#NAME?</v>
      </c>
      <c r="D110" s="162" t="e">
        <f t="shared" ca="1" si="958"/>
        <v>#NAME?</v>
      </c>
      <c r="E110" s="162" t="e">
        <f t="shared" ca="1" si="958"/>
        <v>#NAME?</v>
      </c>
      <c r="F110" s="162" t="e">
        <f t="shared" ca="1" si="958"/>
        <v>#NAME?</v>
      </c>
      <c r="G110" s="162" t="e">
        <f t="shared" ca="1" si="958"/>
        <v>#NAME?</v>
      </c>
      <c r="H110" s="162" t="e">
        <f t="shared" ca="1" si="958"/>
        <v>#NAME?</v>
      </c>
      <c r="I110" s="162" t="e">
        <f t="shared" ca="1" si="958"/>
        <v>#NAME?</v>
      </c>
      <c r="J110" s="162" t="e">
        <f t="shared" ca="1" si="958"/>
        <v>#NAME?</v>
      </c>
      <c r="K110" s="162" t="e">
        <f t="shared" ca="1" si="958"/>
        <v>#NAME?</v>
      </c>
      <c r="L110" s="162" t="e">
        <f t="shared" ca="1" si="958"/>
        <v>#NAME?</v>
      </c>
      <c r="M110" s="162" t="e">
        <f t="shared" ca="1" si="958"/>
        <v>#NAME?</v>
      </c>
      <c r="N110" s="162" t="e">
        <f t="shared" ca="1" si="958"/>
        <v>#NAME?</v>
      </c>
      <c r="O110" s="162" t="e">
        <f t="shared" ca="1" si="958"/>
        <v>#NAME?</v>
      </c>
      <c r="P110" s="162" t="e">
        <f t="shared" ca="1" si="958"/>
        <v>#NAME?</v>
      </c>
      <c r="Q110" s="162" t="e">
        <f t="shared" ca="1" si="958"/>
        <v>#NAME?</v>
      </c>
      <c r="R110" s="162" t="e">
        <f t="shared" ca="1" si="958"/>
        <v>#NAME?</v>
      </c>
      <c r="S110" s="162" t="e">
        <f t="shared" ca="1" si="958"/>
        <v>#NAME?</v>
      </c>
      <c r="T110" s="162" t="e">
        <f t="shared" ca="1" si="958"/>
        <v>#NAME?</v>
      </c>
      <c r="U110" s="162" t="e">
        <f t="shared" ca="1" si="958"/>
        <v>#NAME?</v>
      </c>
      <c r="V110" s="162" t="e">
        <f t="shared" ca="1" si="958"/>
        <v>#NAME?</v>
      </c>
      <c r="W110" s="162" t="e">
        <f t="shared" ca="1" si="958"/>
        <v>#NAME?</v>
      </c>
      <c r="X110" s="162" t="e">
        <f t="shared" ref="X110:Y110" ca="1" si="959">+X169</f>
        <v>#NAME?</v>
      </c>
      <c r="Y110" s="162" t="e">
        <f t="shared" ca="1" si="959"/>
        <v>#NAME?</v>
      </c>
      <c r="Z110" s="162" t="e">
        <f t="shared" ref="Z110:AA110" ca="1" si="960">+Z169</f>
        <v>#NAME?</v>
      </c>
      <c r="AA110" s="162" t="e">
        <f t="shared" ca="1" si="960"/>
        <v>#NAME?</v>
      </c>
      <c r="AB110" s="21" t="e">
        <f t="shared" ref="AA110:AD110" ca="1" si="961">+AB169</f>
        <v>#NAME?</v>
      </c>
      <c r="AC110" s="21" t="e">
        <f t="shared" ca="1" si="961"/>
        <v>#NAME?</v>
      </c>
      <c r="AD110" s="21" t="e">
        <f t="shared" ca="1" si="961"/>
        <v>#NAME?</v>
      </c>
      <c r="AE110" s="21" t="e">
        <f t="shared" ref="AE110" ca="1" si="962">+AE169</f>
        <v>#NAME?</v>
      </c>
      <c r="AL110" s="162" t="e">
        <f t="shared" ref="AL110:AM110" ca="1" si="963">+AL169</f>
        <v>#NAME?</v>
      </c>
      <c r="AM110" s="162" t="e">
        <f t="shared" ca="1" si="963"/>
        <v>#NAME?</v>
      </c>
      <c r="AN110" s="162" t="e">
        <f t="shared" ref="AN110:AO110" ca="1" si="964">+AN169</f>
        <v>#NAME?</v>
      </c>
      <c r="AO110" s="162" t="e">
        <f t="shared" ca="1" si="964"/>
        <v>#NAME?</v>
      </c>
      <c r="AP110" s="162" t="e">
        <f t="shared" ref="AP110:CD110" ca="1" si="965">+AP169</f>
        <v>#NAME?</v>
      </c>
      <c r="AQ110" s="162" t="e">
        <f t="shared" ca="1" si="965"/>
        <v>#NAME?</v>
      </c>
      <c r="AR110" s="162" t="e">
        <f t="shared" ca="1" si="965"/>
        <v>#NAME?</v>
      </c>
      <c r="AS110" s="162" t="e">
        <f t="shared" ca="1" si="965"/>
        <v>#NAME?</v>
      </c>
      <c r="AT110" s="162" t="e">
        <f t="shared" ca="1" si="965"/>
        <v>#NAME?</v>
      </c>
      <c r="AU110" s="162" t="e">
        <f t="shared" ca="1" si="965"/>
        <v>#NAME?</v>
      </c>
      <c r="AV110" s="162" t="e">
        <f t="shared" ca="1" si="965"/>
        <v>#NAME?</v>
      </c>
      <c r="AW110" s="162" t="e">
        <f t="shared" ca="1" si="965"/>
        <v>#NAME?</v>
      </c>
      <c r="AX110" s="162" t="e">
        <f t="shared" ca="1" si="965"/>
        <v>#NAME?</v>
      </c>
      <c r="AY110" s="162" t="e">
        <f t="shared" ca="1" si="965"/>
        <v>#NAME?</v>
      </c>
      <c r="AZ110" s="162" t="e">
        <f t="shared" ca="1" si="965"/>
        <v>#NAME?</v>
      </c>
      <c r="BA110" s="162" t="e">
        <f t="shared" ca="1" si="965"/>
        <v>#NAME?</v>
      </c>
      <c r="BB110" s="162" t="e">
        <f t="shared" ca="1" si="965"/>
        <v>#NAME?</v>
      </c>
      <c r="BC110" s="162" t="e">
        <f t="shared" ca="1" si="965"/>
        <v>#NAME?</v>
      </c>
      <c r="BD110" s="162" t="e">
        <f t="shared" ca="1" si="965"/>
        <v>#NAME?</v>
      </c>
      <c r="BE110" s="162" t="e">
        <f t="shared" ca="1" si="965"/>
        <v>#NAME?</v>
      </c>
      <c r="BF110" s="162" t="e">
        <f t="shared" ca="1" si="965"/>
        <v>#NAME?</v>
      </c>
      <c r="BG110" s="162" t="e">
        <f t="shared" ca="1" si="965"/>
        <v>#NAME?</v>
      </c>
      <c r="BH110" s="162" t="e">
        <f t="shared" ca="1" si="965"/>
        <v>#NAME?</v>
      </c>
      <c r="BI110" s="162" t="e">
        <f t="shared" ca="1" si="965"/>
        <v>#NAME?</v>
      </c>
      <c r="BJ110" s="162" t="e">
        <f t="shared" ca="1" si="965"/>
        <v>#NAME?</v>
      </c>
      <c r="BK110" s="162" t="e">
        <f t="shared" ca="1" si="965"/>
        <v>#NAME?</v>
      </c>
      <c r="BL110" s="162" t="e">
        <f t="shared" ca="1" si="965"/>
        <v>#NAME?</v>
      </c>
      <c r="BM110" s="162" t="e">
        <f t="shared" ca="1" si="965"/>
        <v>#NAME?</v>
      </c>
      <c r="BN110" s="162" t="e">
        <f t="shared" ca="1" si="965"/>
        <v>#NAME?</v>
      </c>
      <c r="BO110" s="162" t="e">
        <f t="shared" ca="1" si="965"/>
        <v>#NAME?</v>
      </c>
      <c r="BP110" s="162" t="e">
        <f t="shared" ca="1" si="965"/>
        <v>#NAME?</v>
      </c>
      <c r="BQ110" s="162" t="e">
        <f t="shared" ca="1" si="965"/>
        <v>#NAME?</v>
      </c>
      <c r="BR110" s="162" t="e">
        <f t="shared" ca="1" si="965"/>
        <v>#NAME?</v>
      </c>
      <c r="BS110" s="162" t="e">
        <f t="shared" ca="1" si="965"/>
        <v>#NAME?</v>
      </c>
      <c r="BT110" s="162" t="e">
        <f t="shared" ca="1" si="965"/>
        <v>#NAME?</v>
      </c>
      <c r="BU110" s="162" t="e">
        <f t="shared" ca="1" si="965"/>
        <v>#NAME?</v>
      </c>
      <c r="BV110" s="162" t="e">
        <f t="shared" ca="1" si="965"/>
        <v>#NAME?</v>
      </c>
      <c r="BW110" s="162" t="e">
        <f t="shared" ca="1" si="965"/>
        <v>#NAME?</v>
      </c>
      <c r="BX110" s="162" t="e">
        <f t="shared" ca="1" si="965"/>
        <v>#NAME?</v>
      </c>
      <c r="BY110" s="162" t="e">
        <f t="shared" ca="1" si="965"/>
        <v>#NAME?</v>
      </c>
      <c r="BZ110" s="162" t="e">
        <f t="shared" ca="1" si="965"/>
        <v>#NAME?</v>
      </c>
      <c r="CA110" s="162" t="e">
        <f t="shared" ca="1" si="965"/>
        <v>#NAME?</v>
      </c>
      <c r="CB110" s="162" t="e">
        <f t="shared" ca="1" si="965"/>
        <v>#NAME?</v>
      </c>
      <c r="CC110" s="162" t="e">
        <f t="shared" ca="1" si="965"/>
        <v>#NAME?</v>
      </c>
      <c r="CD110" s="162" t="e">
        <f t="shared" ca="1" si="965"/>
        <v>#NAME?</v>
      </c>
      <c r="CE110" s="162" t="e">
        <f t="shared" ref="CE110:CF110" ca="1" si="966">+CE169</f>
        <v>#NAME?</v>
      </c>
      <c r="CF110" s="162" t="e">
        <f t="shared" ca="1" si="966"/>
        <v>#NAME?</v>
      </c>
      <c r="CG110" s="162" t="e">
        <f t="shared" ref="CG110:CH110" ca="1" si="967">+CG169</f>
        <v>#NAME?</v>
      </c>
      <c r="CH110" s="162" t="e">
        <f t="shared" ca="1" si="967"/>
        <v>#NAME?</v>
      </c>
      <c r="CI110" s="162" t="e">
        <f t="shared" ref="CI110:CJ110" ca="1" si="968">+CI169</f>
        <v>#NAME?</v>
      </c>
      <c r="CJ110" s="162" t="e">
        <f t="shared" ca="1" si="968"/>
        <v>#NAME?</v>
      </c>
      <c r="CK110" s="162" t="e">
        <f t="shared" ref="CK110:CL110" ca="1" si="969">+CK169</f>
        <v>#NAME?</v>
      </c>
      <c r="CL110" s="162" t="e">
        <f t="shared" ca="1" si="969"/>
        <v>#NAME?</v>
      </c>
      <c r="CM110" s="21" t="e">
        <f t="shared" ref="CM110:DB110" ca="1" si="970">+CM169</f>
        <v>#NAME?</v>
      </c>
      <c r="CN110" s="21" t="e">
        <f t="shared" ca="1" si="970"/>
        <v>#NAME?</v>
      </c>
      <c r="CO110" s="21" t="e">
        <f t="shared" ca="1" si="970"/>
        <v>#NAME?</v>
      </c>
      <c r="CP110" s="21" t="e">
        <f t="shared" ca="1" si="970"/>
        <v>#NAME?</v>
      </c>
      <c r="CQ110" s="21" t="e">
        <f t="shared" ca="1" si="970"/>
        <v>#NAME?</v>
      </c>
      <c r="CR110" s="21" t="e">
        <f t="shared" ca="1" si="970"/>
        <v>#NAME?</v>
      </c>
      <c r="CS110" s="21" t="e">
        <f t="shared" ca="1" si="970"/>
        <v>#NAME?</v>
      </c>
      <c r="CT110" s="21" t="e">
        <f t="shared" ca="1" si="970"/>
        <v>#NAME?</v>
      </c>
      <c r="CU110" s="21" t="e">
        <f t="shared" ca="1" si="970"/>
        <v>#NAME?</v>
      </c>
      <c r="CV110" s="21" t="e">
        <f t="shared" ca="1" si="970"/>
        <v>#NAME?</v>
      </c>
      <c r="CW110" s="21" t="e">
        <f t="shared" ca="1" si="970"/>
        <v>#NAME?</v>
      </c>
      <c r="CX110" s="21" t="e">
        <f t="shared" ca="1" si="970"/>
        <v>#NAME?</v>
      </c>
      <c r="CY110" s="21" t="e">
        <f t="shared" ca="1" si="970"/>
        <v>#NAME?</v>
      </c>
      <c r="CZ110" s="21" t="e">
        <f t="shared" ca="1" si="970"/>
        <v>#NAME?</v>
      </c>
      <c r="DA110" s="21" t="e">
        <f t="shared" ca="1" si="970"/>
        <v>#NAME?</v>
      </c>
      <c r="DB110" s="21" t="e">
        <f t="shared" ca="1" si="970"/>
        <v>#NAME?</v>
      </c>
      <c r="DE110" s="22"/>
      <c r="DF110" s="162">
        <v>72386.139999999985</v>
      </c>
    </row>
    <row r="111" spans="1:110" s="162" customFormat="1" x14ac:dyDescent="0.2">
      <c r="A111" s="49" t="s">
        <v>342</v>
      </c>
      <c r="B111" s="162" t="e">
        <f ca="1">+B108+B110</f>
        <v>#NAME?</v>
      </c>
      <c r="C111" s="162" t="e">
        <f t="shared" ref="C111:W111" ca="1" si="971">+C108+C110</f>
        <v>#NAME?</v>
      </c>
      <c r="D111" s="162" t="e">
        <f t="shared" ca="1" si="971"/>
        <v>#NAME?</v>
      </c>
      <c r="E111" s="162" t="e">
        <f t="shared" ca="1" si="971"/>
        <v>#NAME?</v>
      </c>
      <c r="F111" s="162" t="e">
        <f t="shared" ca="1" si="971"/>
        <v>#NAME?</v>
      </c>
      <c r="G111" s="162" t="e">
        <f t="shared" ca="1" si="971"/>
        <v>#NAME?</v>
      </c>
      <c r="H111" s="162" t="e">
        <f t="shared" ca="1" si="971"/>
        <v>#NAME?</v>
      </c>
      <c r="I111" s="162" t="e">
        <f t="shared" ca="1" si="971"/>
        <v>#NAME?</v>
      </c>
      <c r="J111" s="162" t="e">
        <f t="shared" ca="1" si="971"/>
        <v>#NAME?</v>
      </c>
      <c r="K111" s="162" t="e">
        <f t="shared" ca="1" si="971"/>
        <v>#NAME?</v>
      </c>
      <c r="L111" s="162" t="e">
        <f t="shared" ca="1" si="971"/>
        <v>#NAME?</v>
      </c>
      <c r="M111" s="162" t="e">
        <f t="shared" ca="1" si="971"/>
        <v>#NAME?</v>
      </c>
      <c r="N111" s="162" t="e">
        <f t="shared" ca="1" si="971"/>
        <v>#NAME?</v>
      </c>
      <c r="O111" s="162" t="e">
        <f t="shared" ca="1" si="971"/>
        <v>#NAME?</v>
      </c>
      <c r="P111" s="162" t="e">
        <f t="shared" ca="1" si="971"/>
        <v>#NAME?</v>
      </c>
      <c r="Q111" s="162" t="e">
        <f t="shared" ca="1" si="971"/>
        <v>#NAME?</v>
      </c>
      <c r="R111" s="162" t="e">
        <f t="shared" ca="1" si="971"/>
        <v>#NAME?</v>
      </c>
      <c r="S111" s="162" t="e">
        <f t="shared" ca="1" si="971"/>
        <v>#NAME?</v>
      </c>
      <c r="T111" s="162" t="e">
        <f t="shared" ca="1" si="971"/>
        <v>#NAME?</v>
      </c>
      <c r="U111" s="162" t="e">
        <f t="shared" ca="1" si="971"/>
        <v>#NAME?</v>
      </c>
      <c r="V111" s="162" t="e">
        <f t="shared" ca="1" si="971"/>
        <v>#NAME?</v>
      </c>
      <c r="W111" s="162" t="e">
        <f t="shared" ca="1" si="971"/>
        <v>#NAME?</v>
      </c>
      <c r="X111" s="162" t="e">
        <f t="shared" ref="X111:Y111" ca="1" si="972">+X108+X110</f>
        <v>#NAME?</v>
      </c>
      <c r="Y111" s="162" t="e">
        <f t="shared" ca="1" si="972"/>
        <v>#NAME?</v>
      </c>
      <c r="Z111" s="162" t="e">
        <f t="shared" ref="Z111:AA111" ca="1" si="973">+Z108+Z110</f>
        <v>#NAME?</v>
      </c>
      <c r="AA111" s="162" t="e">
        <f t="shared" ca="1" si="973"/>
        <v>#NAME?</v>
      </c>
      <c r="AB111" s="21" t="e">
        <f t="shared" ref="AA111:AD111" ca="1" si="974">+AB108+AB110</f>
        <v>#NAME?</v>
      </c>
      <c r="AC111" s="21" t="e">
        <f t="shared" ca="1" si="974"/>
        <v>#NAME?</v>
      </c>
      <c r="AD111" s="21" t="e">
        <f t="shared" ca="1" si="974"/>
        <v>#NAME?</v>
      </c>
      <c r="AE111" s="21" t="e">
        <f t="shared" ref="AE111" ca="1" si="975">+AE108+AE110</f>
        <v>#NAME?</v>
      </c>
      <c r="AL111" s="162" t="e">
        <f t="shared" ref="AL111" ca="1" si="976">+AL108+AL110</f>
        <v>#NAME?</v>
      </c>
      <c r="AM111" s="162" t="e">
        <f t="shared" ref="AM111:AO111" ca="1" si="977">+AM108+AM110</f>
        <v>#NAME?</v>
      </c>
      <c r="AN111" s="162" t="e">
        <f t="shared" ca="1" si="977"/>
        <v>#NAME?</v>
      </c>
      <c r="AO111" s="162" t="e">
        <f t="shared" ca="1" si="977"/>
        <v>#NAME?</v>
      </c>
      <c r="AP111" s="162" t="e">
        <f t="shared" ref="AP111:CD111" ca="1" si="978">+AP108+AP110</f>
        <v>#NAME?</v>
      </c>
      <c r="AQ111" s="162" t="e">
        <f t="shared" ca="1" si="978"/>
        <v>#NAME?</v>
      </c>
      <c r="AR111" s="162" t="e">
        <f t="shared" ca="1" si="978"/>
        <v>#NAME?</v>
      </c>
      <c r="AS111" s="162" t="e">
        <f t="shared" ca="1" si="978"/>
        <v>#NAME?</v>
      </c>
      <c r="AT111" s="162" t="e">
        <f t="shared" ca="1" si="978"/>
        <v>#NAME?</v>
      </c>
      <c r="AU111" s="162" t="e">
        <f t="shared" ca="1" si="978"/>
        <v>#NAME?</v>
      </c>
      <c r="AV111" s="162" t="e">
        <f t="shared" ca="1" si="978"/>
        <v>#NAME?</v>
      </c>
      <c r="AW111" s="162" t="e">
        <f t="shared" ca="1" si="978"/>
        <v>#NAME?</v>
      </c>
      <c r="AX111" s="162" t="e">
        <f t="shared" ca="1" si="978"/>
        <v>#NAME?</v>
      </c>
      <c r="AY111" s="162" t="e">
        <f t="shared" ca="1" si="978"/>
        <v>#NAME?</v>
      </c>
      <c r="AZ111" s="162" t="e">
        <f t="shared" ca="1" si="978"/>
        <v>#NAME?</v>
      </c>
      <c r="BA111" s="162" t="e">
        <f t="shared" ca="1" si="978"/>
        <v>#NAME?</v>
      </c>
      <c r="BB111" s="162" t="e">
        <f t="shared" ca="1" si="978"/>
        <v>#NAME?</v>
      </c>
      <c r="BC111" s="162" t="e">
        <f t="shared" ca="1" si="978"/>
        <v>#NAME?</v>
      </c>
      <c r="BD111" s="162" t="e">
        <f t="shared" ca="1" si="978"/>
        <v>#NAME?</v>
      </c>
      <c r="BE111" s="162" t="e">
        <f t="shared" ca="1" si="978"/>
        <v>#NAME?</v>
      </c>
      <c r="BF111" s="162" t="e">
        <f t="shared" ca="1" si="978"/>
        <v>#NAME?</v>
      </c>
      <c r="BG111" s="162" t="e">
        <f t="shared" ca="1" si="978"/>
        <v>#NAME?</v>
      </c>
      <c r="BH111" s="162" t="e">
        <f t="shared" ca="1" si="978"/>
        <v>#NAME?</v>
      </c>
      <c r="BI111" s="162" t="e">
        <f t="shared" ca="1" si="978"/>
        <v>#NAME?</v>
      </c>
      <c r="BJ111" s="162" t="e">
        <f t="shared" ca="1" si="978"/>
        <v>#NAME?</v>
      </c>
      <c r="BK111" s="162" t="e">
        <f t="shared" ca="1" si="978"/>
        <v>#NAME?</v>
      </c>
      <c r="BL111" s="162" t="e">
        <f t="shared" ca="1" si="978"/>
        <v>#NAME?</v>
      </c>
      <c r="BM111" s="162" t="e">
        <f t="shared" ca="1" si="978"/>
        <v>#NAME?</v>
      </c>
      <c r="BN111" s="162" t="e">
        <f t="shared" ca="1" si="978"/>
        <v>#NAME?</v>
      </c>
      <c r="BO111" s="162" t="e">
        <f t="shared" ca="1" si="978"/>
        <v>#NAME?</v>
      </c>
      <c r="BP111" s="162" t="e">
        <f t="shared" ca="1" si="978"/>
        <v>#NAME?</v>
      </c>
      <c r="BQ111" s="162" t="e">
        <f t="shared" ca="1" si="978"/>
        <v>#NAME?</v>
      </c>
      <c r="BR111" s="162" t="e">
        <f t="shared" ca="1" si="978"/>
        <v>#NAME?</v>
      </c>
      <c r="BS111" s="162" t="e">
        <f t="shared" ca="1" si="978"/>
        <v>#NAME?</v>
      </c>
      <c r="BT111" s="162" t="e">
        <f t="shared" ca="1" si="978"/>
        <v>#NAME?</v>
      </c>
      <c r="BU111" s="162" t="e">
        <f t="shared" ca="1" si="978"/>
        <v>#NAME?</v>
      </c>
      <c r="BV111" s="162" t="e">
        <f t="shared" ca="1" si="978"/>
        <v>#NAME?</v>
      </c>
      <c r="BW111" s="162" t="e">
        <f t="shared" ca="1" si="978"/>
        <v>#NAME?</v>
      </c>
      <c r="BX111" s="162" t="e">
        <f t="shared" ca="1" si="978"/>
        <v>#NAME?</v>
      </c>
      <c r="BY111" s="162" t="e">
        <f t="shared" ca="1" si="978"/>
        <v>#NAME?</v>
      </c>
      <c r="BZ111" s="162" t="e">
        <f t="shared" ca="1" si="978"/>
        <v>#NAME?</v>
      </c>
      <c r="CA111" s="162" t="e">
        <f t="shared" ca="1" si="978"/>
        <v>#NAME?</v>
      </c>
      <c r="CB111" s="162" t="e">
        <f t="shared" ca="1" si="978"/>
        <v>#NAME?</v>
      </c>
      <c r="CC111" s="162" t="e">
        <f t="shared" ca="1" si="978"/>
        <v>#NAME?</v>
      </c>
      <c r="CD111" s="162" t="e">
        <f t="shared" ca="1" si="978"/>
        <v>#NAME?</v>
      </c>
      <c r="CE111" s="162" t="e">
        <f t="shared" ref="CE111:CF111" ca="1" si="979">+CE108+CE110</f>
        <v>#NAME?</v>
      </c>
      <c r="CF111" s="162" t="e">
        <f t="shared" ca="1" si="979"/>
        <v>#NAME?</v>
      </c>
      <c r="CG111" s="162" t="e">
        <f t="shared" ref="CG111:CH111" ca="1" si="980">+CG108+CG110</f>
        <v>#NAME?</v>
      </c>
      <c r="CH111" s="162" t="e">
        <f t="shared" ca="1" si="980"/>
        <v>#NAME?</v>
      </c>
      <c r="CI111" s="162" t="e">
        <f t="shared" ref="CI111:CJ111" ca="1" si="981">+CI108+CI110</f>
        <v>#NAME?</v>
      </c>
      <c r="CJ111" s="162" t="e">
        <f t="shared" ca="1" si="981"/>
        <v>#NAME?</v>
      </c>
      <c r="CK111" s="162" t="e">
        <f t="shared" ref="CK111:CL111" ca="1" si="982">+CK108+CK110</f>
        <v>#NAME?</v>
      </c>
      <c r="CL111" s="162" t="e">
        <f t="shared" ca="1" si="982"/>
        <v>#NAME?</v>
      </c>
      <c r="CM111" s="21" t="e">
        <f t="shared" ref="CM111:DB111" ca="1" si="983">+CM108+CM110</f>
        <v>#NAME?</v>
      </c>
      <c r="CN111" s="21" t="e">
        <f t="shared" ca="1" si="983"/>
        <v>#NAME?</v>
      </c>
      <c r="CO111" s="21" t="e">
        <f t="shared" ca="1" si="983"/>
        <v>#NAME?</v>
      </c>
      <c r="CP111" s="21" t="e">
        <f t="shared" ca="1" si="983"/>
        <v>#NAME?</v>
      </c>
      <c r="CQ111" s="21" t="e">
        <f t="shared" ca="1" si="983"/>
        <v>#NAME?</v>
      </c>
      <c r="CR111" s="21" t="e">
        <f t="shared" ca="1" si="983"/>
        <v>#NAME?</v>
      </c>
      <c r="CS111" s="21" t="e">
        <f t="shared" ca="1" si="983"/>
        <v>#NAME?</v>
      </c>
      <c r="CT111" s="21" t="e">
        <f t="shared" ca="1" si="983"/>
        <v>#NAME?</v>
      </c>
      <c r="CU111" s="21" t="e">
        <f t="shared" ca="1" si="983"/>
        <v>#NAME?</v>
      </c>
      <c r="CV111" s="21" t="e">
        <f t="shared" ca="1" si="983"/>
        <v>#NAME?</v>
      </c>
      <c r="CW111" s="21" t="e">
        <f t="shared" ca="1" si="983"/>
        <v>#NAME?</v>
      </c>
      <c r="CX111" s="21" t="e">
        <f t="shared" ca="1" si="983"/>
        <v>#NAME?</v>
      </c>
      <c r="CY111" s="21" t="e">
        <f t="shared" ca="1" si="983"/>
        <v>#NAME?</v>
      </c>
      <c r="CZ111" s="21" t="e">
        <f t="shared" ca="1" si="983"/>
        <v>#NAME?</v>
      </c>
      <c r="DA111" s="21" t="e">
        <f t="shared" ca="1" si="983"/>
        <v>#NAME?</v>
      </c>
      <c r="DB111" s="21" t="e">
        <f t="shared" ca="1" si="983"/>
        <v>#NAME?</v>
      </c>
      <c r="DE111" s="22"/>
      <c r="DF111" s="162">
        <v>410059.00138923642</v>
      </c>
    </row>
    <row r="112" spans="1:110" s="162" customFormat="1" x14ac:dyDescent="0.2">
      <c r="A112" s="49" t="s">
        <v>345</v>
      </c>
      <c r="B112" s="162" t="e">
        <f ca="1">+B109+B110</f>
        <v>#NAME?</v>
      </c>
      <c r="C112" s="162" t="e">
        <f t="shared" ref="C112:W112" ca="1" si="984">+C109+C110</f>
        <v>#NAME?</v>
      </c>
      <c r="D112" s="162" t="e">
        <f t="shared" ca="1" si="984"/>
        <v>#NAME?</v>
      </c>
      <c r="E112" s="162" t="e">
        <f t="shared" ca="1" si="984"/>
        <v>#NAME?</v>
      </c>
      <c r="F112" s="162" t="e">
        <f t="shared" ca="1" si="984"/>
        <v>#NAME?</v>
      </c>
      <c r="G112" s="162" t="e">
        <f t="shared" ca="1" si="984"/>
        <v>#NAME?</v>
      </c>
      <c r="H112" s="162" t="e">
        <f t="shared" ca="1" si="984"/>
        <v>#NAME?</v>
      </c>
      <c r="I112" s="162" t="e">
        <f t="shared" ca="1" si="984"/>
        <v>#NAME?</v>
      </c>
      <c r="J112" s="162" t="e">
        <f t="shared" ca="1" si="984"/>
        <v>#NAME?</v>
      </c>
      <c r="K112" s="162" t="e">
        <f t="shared" ca="1" si="984"/>
        <v>#NAME?</v>
      </c>
      <c r="L112" s="162" t="e">
        <f t="shared" ca="1" si="984"/>
        <v>#NAME?</v>
      </c>
      <c r="M112" s="162" t="e">
        <f t="shared" ca="1" si="984"/>
        <v>#NAME?</v>
      </c>
      <c r="N112" s="162" t="e">
        <f t="shared" ca="1" si="984"/>
        <v>#NAME?</v>
      </c>
      <c r="O112" s="162" t="e">
        <f t="shared" ca="1" si="984"/>
        <v>#NAME?</v>
      </c>
      <c r="P112" s="162" t="e">
        <f t="shared" ca="1" si="984"/>
        <v>#NAME?</v>
      </c>
      <c r="Q112" s="162" t="e">
        <f t="shared" ca="1" si="984"/>
        <v>#NAME?</v>
      </c>
      <c r="R112" s="162" t="e">
        <f t="shared" ca="1" si="984"/>
        <v>#NAME?</v>
      </c>
      <c r="S112" s="162" t="e">
        <f t="shared" ca="1" si="984"/>
        <v>#NAME?</v>
      </c>
      <c r="T112" s="162" t="e">
        <f t="shared" ca="1" si="984"/>
        <v>#NAME?</v>
      </c>
      <c r="U112" s="162" t="e">
        <f t="shared" ca="1" si="984"/>
        <v>#NAME?</v>
      </c>
      <c r="V112" s="162" t="e">
        <f t="shared" ca="1" si="984"/>
        <v>#NAME?</v>
      </c>
      <c r="W112" s="162" t="e">
        <f t="shared" ca="1" si="984"/>
        <v>#NAME?</v>
      </c>
      <c r="X112" s="162" t="e">
        <f t="shared" ref="X112:Y112" ca="1" si="985">+X109+X110</f>
        <v>#NAME?</v>
      </c>
      <c r="Y112" s="162" t="e">
        <f t="shared" ca="1" si="985"/>
        <v>#NAME?</v>
      </c>
      <c r="Z112" s="162" t="e">
        <f t="shared" ref="Z112:AA112" ca="1" si="986">+Z109+Z110</f>
        <v>#NAME?</v>
      </c>
      <c r="AA112" s="162" t="e">
        <f t="shared" ca="1" si="986"/>
        <v>#NAME?</v>
      </c>
      <c r="AB112" s="21" t="e">
        <f t="shared" ref="AA112:AD112" ca="1" si="987">+AB109+AB110</f>
        <v>#NAME?</v>
      </c>
      <c r="AC112" s="21" t="e">
        <f t="shared" ca="1" si="987"/>
        <v>#NAME?</v>
      </c>
      <c r="AD112" s="21" t="e">
        <f t="shared" ca="1" si="987"/>
        <v>#NAME?</v>
      </c>
      <c r="AE112" s="21" t="e">
        <f t="shared" ref="AE112" ca="1" si="988">+AE109+AE110</f>
        <v>#NAME?</v>
      </c>
      <c r="AL112" s="162" t="e">
        <f t="shared" ref="AL112:AM112" ca="1" si="989">+AL109+AL110</f>
        <v>#NAME?</v>
      </c>
      <c r="AM112" s="162" t="e">
        <f t="shared" ca="1" si="989"/>
        <v>#NAME?</v>
      </c>
      <c r="AN112" s="162" t="e">
        <f t="shared" ref="AN112:AO112" ca="1" si="990">+AN109+AN110</f>
        <v>#NAME?</v>
      </c>
      <c r="AO112" s="162" t="e">
        <f t="shared" ca="1" si="990"/>
        <v>#NAME?</v>
      </c>
      <c r="AP112" s="162" t="e">
        <f t="shared" ref="AP112:CD112" ca="1" si="991">+AP109+AP110</f>
        <v>#NAME?</v>
      </c>
      <c r="AQ112" s="162" t="e">
        <f t="shared" ca="1" si="991"/>
        <v>#NAME?</v>
      </c>
      <c r="AR112" s="162" t="e">
        <f t="shared" ca="1" si="991"/>
        <v>#NAME?</v>
      </c>
      <c r="AS112" s="162" t="e">
        <f t="shared" ca="1" si="991"/>
        <v>#NAME?</v>
      </c>
      <c r="AT112" s="162" t="e">
        <f t="shared" ca="1" si="991"/>
        <v>#NAME?</v>
      </c>
      <c r="AU112" s="162" t="e">
        <f t="shared" ca="1" si="991"/>
        <v>#NAME?</v>
      </c>
      <c r="AV112" s="162" t="e">
        <f t="shared" ca="1" si="991"/>
        <v>#NAME?</v>
      </c>
      <c r="AW112" s="162" t="e">
        <f t="shared" ca="1" si="991"/>
        <v>#NAME?</v>
      </c>
      <c r="AX112" s="162" t="e">
        <f t="shared" ca="1" si="991"/>
        <v>#NAME?</v>
      </c>
      <c r="AY112" s="162" t="e">
        <f t="shared" ca="1" si="991"/>
        <v>#NAME?</v>
      </c>
      <c r="AZ112" s="162" t="e">
        <f t="shared" ca="1" si="991"/>
        <v>#NAME?</v>
      </c>
      <c r="BA112" s="162" t="e">
        <f t="shared" ca="1" si="991"/>
        <v>#NAME?</v>
      </c>
      <c r="BB112" s="162" t="e">
        <f t="shared" ca="1" si="991"/>
        <v>#NAME?</v>
      </c>
      <c r="BC112" s="162" t="e">
        <f t="shared" ca="1" si="991"/>
        <v>#NAME?</v>
      </c>
      <c r="BD112" s="162" t="e">
        <f t="shared" ca="1" si="991"/>
        <v>#NAME?</v>
      </c>
      <c r="BE112" s="162" t="e">
        <f t="shared" ca="1" si="991"/>
        <v>#NAME?</v>
      </c>
      <c r="BF112" s="162" t="e">
        <f t="shared" ca="1" si="991"/>
        <v>#NAME?</v>
      </c>
      <c r="BG112" s="162" t="e">
        <f t="shared" ca="1" si="991"/>
        <v>#NAME?</v>
      </c>
      <c r="BH112" s="162" t="e">
        <f t="shared" ca="1" si="991"/>
        <v>#NAME?</v>
      </c>
      <c r="BI112" s="162" t="e">
        <f t="shared" ca="1" si="991"/>
        <v>#NAME?</v>
      </c>
      <c r="BJ112" s="162" t="e">
        <f t="shared" ca="1" si="991"/>
        <v>#NAME?</v>
      </c>
      <c r="BK112" s="162" t="e">
        <f t="shared" ca="1" si="991"/>
        <v>#NAME?</v>
      </c>
      <c r="BL112" s="162" t="e">
        <f t="shared" ca="1" si="991"/>
        <v>#NAME?</v>
      </c>
      <c r="BM112" s="162" t="e">
        <f t="shared" ca="1" si="991"/>
        <v>#NAME?</v>
      </c>
      <c r="BN112" s="162" t="e">
        <f t="shared" ca="1" si="991"/>
        <v>#NAME?</v>
      </c>
      <c r="BO112" s="162" t="e">
        <f t="shared" ca="1" si="991"/>
        <v>#NAME?</v>
      </c>
      <c r="BP112" s="162" t="e">
        <f t="shared" ca="1" si="991"/>
        <v>#NAME?</v>
      </c>
      <c r="BQ112" s="162" t="e">
        <f t="shared" ca="1" si="991"/>
        <v>#NAME?</v>
      </c>
      <c r="BR112" s="162" t="e">
        <f t="shared" ca="1" si="991"/>
        <v>#NAME?</v>
      </c>
      <c r="BS112" s="162" t="e">
        <f t="shared" ca="1" si="991"/>
        <v>#NAME?</v>
      </c>
      <c r="BT112" s="162" t="e">
        <f t="shared" ca="1" si="991"/>
        <v>#NAME?</v>
      </c>
      <c r="BU112" s="162" t="e">
        <f t="shared" ca="1" si="991"/>
        <v>#NAME?</v>
      </c>
      <c r="BV112" s="162" t="e">
        <f t="shared" ca="1" si="991"/>
        <v>#NAME?</v>
      </c>
      <c r="BW112" s="162" t="e">
        <f t="shared" ca="1" si="991"/>
        <v>#NAME?</v>
      </c>
      <c r="BX112" s="162" t="e">
        <f t="shared" ca="1" si="991"/>
        <v>#NAME?</v>
      </c>
      <c r="BY112" s="162" t="e">
        <f t="shared" ca="1" si="991"/>
        <v>#NAME?</v>
      </c>
      <c r="BZ112" s="162" t="e">
        <f t="shared" ca="1" si="991"/>
        <v>#NAME?</v>
      </c>
      <c r="CA112" s="162" t="e">
        <f t="shared" ca="1" si="991"/>
        <v>#NAME?</v>
      </c>
      <c r="CB112" s="162" t="e">
        <f t="shared" ca="1" si="991"/>
        <v>#NAME?</v>
      </c>
      <c r="CC112" s="162" t="e">
        <f t="shared" ca="1" si="991"/>
        <v>#NAME?</v>
      </c>
      <c r="CD112" s="162" t="e">
        <f t="shared" ca="1" si="991"/>
        <v>#NAME?</v>
      </c>
      <c r="CE112" s="162" t="e">
        <f t="shared" ref="CE112:CF112" ca="1" si="992">+CE109+CE110</f>
        <v>#NAME?</v>
      </c>
      <c r="CF112" s="162" t="e">
        <f t="shared" ca="1" si="992"/>
        <v>#NAME?</v>
      </c>
      <c r="CG112" s="162" t="e">
        <f t="shared" ref="CG112:CH112" ca="1" si="993">+CG109+CG110</f>
        <v>#NAME?</v>
      </c>
      <c r="CH112" s="162" t="e">
        <f t="shared" ca="1" si="993"/>
        <v>#NAME?</v>
      </c>
      <c r="CI112" s="162" t="e">
        <f t="shared" ref="CI112:CJ112" ca="1" si="994">+CI109+CI110</f>
        <v>#NAME?</v>
      </c>
      <c r="CJ112" s="162" t="e">
        <f t="shared" ca="1" si="994"/>
        <v>#NAME?</v>
      </c>
      <c r="CK112" s="162" t="e">
        <f t="shared" ref="CK112:CL112" ca="1" si="995">+CK109+CK110</f>
        <v>#NAME?</v>
      </c>
      <c r="CL112" s="162" t="e">
        <f t="shared" ca="1" si="995"/>
        <v>#NAME?</v>
      </c>
      <c r="CM112" s="21" t="e">
        <f t="shared" ref="CM112:DB112" ca="1" si="996">+CM109+CM110</f>
        <v>#NAME?</v>
      </c>
      <c r="CN112" s="21" t="e">
        <f t="shared" ca="1" si="996"/>
        <v>#NAME?</v>
      </c>
      <c r="CO112" s="21" t="e">
        <f t="shared" ca="1" si="996"/>
        <v>#NAME?</v>
      </c>
      <c r="CP112" s="21" t="e">
        <f t="shared" ca="1" si="996"/>
        <v>#NAME?</v>
      </c>
      <c r="CQ112" s="21" t="e">
        <f t="shared" ca="1" si="996"/>
        <v>#NAME?</v>
      </c>
      <c r="CR112" s="21" t="e">
        <f t="shared" ca="1" si="996"/>
        <v>#NAME?</v>
      </c>
      <c r="CS112" s="21" t="e">
        <f t="shared" ca="1" si="996"/>
        <v>#NAME?</v>
      </c>
      <c r="CT112" s="21" t="e">
        <f t="shared" ca="1" si="996"/>
        <v>#NAME?</v>
      </c>
      <c r="CU112" s="21" t="e">
        <f t="shared" ca="1" si="996"/>
        <v>#NAME?</v>
      </c>
      <c r="CV112" s="21" t="e">
        <f t="shared" ca="1" si="996"/>
        <v>#NAME?</v>
      </c>
      <c r="CW112" s="21" t="e">
        <f t="shared" ca="1" si="996"/>
        <v>#NAME?</v>
      </c>
      <c r="CX112" s="21" t="e">
        <f t="shared" ca="1" si="996"/>
        <v>#NAME?</v>
      </c>
      <c r="CY112" s="21" t="e">
        <f t="shared" ca="1" si="996"/>
        <v>#NAME?</v>
      </c>
      <c r="CZ112" s="21" t="e">
        <f t="shared" ca="1" si="996"/>
        <v>#NAME?</v>
      </c>
      <c r="DA112" s="21" t="e">
        <f t="shared" ca="1" si="996"/>
        <v>#NAME?</v>
      </c>
      <c r="DB112" s="21" t="e">
        <f t="shared" ca="1" si="996"/>
        <v>#NAME?</v>
      </c>
      <c r="DE112" s="22"/>
      <c r="DF112" s="162">
        <v>299002.01800000004</v>
      </c>
    </row>
    <row r="113" spans="1:110" s="162" customFormat="1" x14ac:dyDescent="0.2">
      <c r="A113" s="49" t="s">
        <v>13</v>
      </c>
      <c r="B113" s="162" t="e">
        <f t="shared" ref="B113:AE113" ca="1" si="997">+B28</f>
        <v>#NAME?</v>
      </c>
      <c r="C113" s="162" t="e">
        <f t="shared" ca="1" si="997"/>
        <v>#NAME?</v>
      </c>
      <c r="D113" s="162" t="e">
        <f t="shared" ca="1" si="997"/>
        <v>#NAME?</v>
      </c>
      <c r="E113" s="162" t="e">
        <f t="shared" ca="1" si="997"/>
        <v>#NAME?</v>
      </c>
      <c r="F113" s="162" t="e">
        <f t="shared" ca="1" si="997"/>
        <v>#NAME?</v>
      </c>
      <c r="G113" s="162" t="e">
        <f t="shared" ca="1" si="997"/>
        <v>#NAME?</v>
      </c>
      <c r="H113" s="162" t="e">
        <f t="shared" ca="1" si="997"/>
        <v>#NAME?</v>
      </c>
      <c r="I113" s="162" t="e">
        <f t="shared" ca="1" si="997"/>
        <v>#NAME?</v>
      </c>
      <c r="J113" s="162" t="e">
        <f t="shared" ca="1" si="997"/>
        <v>#NAME?</v>
      </c>
      <c r="K113" s="162" t="e">
        <f t="shared" ca="1" si="997"/>
        <v>#NAME?</v>
      </c>
      <c r="L113" s="162" t="e">
        <f t="shared" ca="1" si="997"/>
        <v>#NAME?</v>
      </c>
      <c r="M113" s="162" t="e">
        <f t="shared" ca="1" si="997"/>
        <v>#NAME?</v>
      </c>
      <c r="N113" s="162" t="e">
        <f t="shared" ca="1" si="997"/>
        <v>#NAME?</v>
      </c>
      <c r="O113" s="162" t="e">
        <f t="shared" ca="1" si="997"/>
        <v>#NAME?</v>
      </c>
      <c r="P113" s="162" t="e">
        <f t="shared" ca="1" si="997"/>
        <v>#NAME?</v>
      </c>
      <c r="Q113" s="162" t="e">
        <f t="shared" ca="1" si="997"/>
        <v>#NAME?</v>
      </c>
      <c r="R113" s="162" t="e">
        <f t="shared" ca="1" si="997"/>
        <v>#NAME?</v>
      </c>
      <c r="S113" s="162" t="e">
        <f t="shared" ca="1" si="997"/>
        <v>#NAME?</v>
      </c>
      <c r="T113" s="162" t="e">
        <f t="shared" ca="1" si="997"/>
        <v>#NAME?</v>
      </c>
      <c r="U113" s="162" t="e">
        <f t="shared" ca="1" si="997"/>
        <v>#NAME?</v>
      </c>
      <c r="V113" s="162" t="e">
        <f t="shared" ca="1" si="997"/>
        <v>#NAME?</v>
      </c>
      <c r="W113" s="162" t="e">
        <f t="shared" ca="1" si="997"/>
        <v>#NAME?</v>
      </c>
      <c r="X113" s="162" t="e">
        <f t="shared" ca="1" si="997"/>
        <v>#NAME?</v>
      </c>
      <c r="Y113" s="162" t="e">
        <f t="shared" ca="1" si="997"/>
        <v>#NAME?</v>
      </c>
      <c r="Z113" s="162" t="e">
        <f t="shared" ca="1" si="997"/>
        <v>#NAME?</v>
      </c>
      <c r="AA113" s="162" t="e">
        <f t="shared" ref="AA113" ca="1" si="998">+AA28</f>
        <v>#NAME?</v>
      </c>
      <c r="AB113" s="21" t="e">
        <f t="shared" ca="1" si="997"/>
        <v>#NAME?</v>
      </c>
      <c r="AC113" s="21" t="e">
        <f t="shared" ca="1" si="997"/>
        <v>#NAME?</v>
      </c>
      <c r="AD113" s="21" t="e">
        <f t="shared" ca="1" si="997"/>
        <v>#NAME?</v>
      </c>
      <c r="AE113" s="21" t="e">
        <f t="shared" ca="1" si="997"/>
        <v>#NAME?</v>
      </c>
      <c r="AL113" s="162" t="e">
        <f t="shared" ref="AL113:BQ113" ca="1" si="999">+SUM(AI28:AL28)</f>
        <v>#NAME?</v>
      </c>
      <c r="AM113" s="162" t="e">
        <f t="shared" ca="1" si="999"/>
        <v>#NAME?</v>
      </c>
      <c r="AN113" s="162" t="e">
        <f t="shared" ca="1" si="999"/>
        <v>#NAME?</v>
      </c>
      <c r="AO113" s="162" t="e">
        <f t="shared" ca="1" si="999"/>
        <v>#NAME?</v>
      </c>
      <c r="AP113" s="162" t="e">
        <f t="shared" ca="1" si="999"/>
        <v>#NAME?</v>
      </c>
      <c r="AQ113" s="162" t="e">
        <f t="shared" ca="1" si="999"/>
        <v>#NAME?</v>
      </c>
      <c r="AR113" s="162" t="e">
        <f t="shared" ca="1" si="999"/>
        <v>#NAME?</v>
      </c>
      <c r="AS113" s="162" t="e">
        <f t="shared" ca="1" si="999"/>
        <v>#NAME?</v>
      </c>
      <c r="AT113" s="162" t="e">
        <f t="shared" ca="1" si="999"/>
        <v>#NAME?</v>
      </c>
      <c r="AU113" s="162" t="e">
        <f t="shared" ca="1" si="999"/>
        <v>#NAME?</v>
      </c>
      <c r="AV113" s="162" t="e">
        <f t="shared" ca="1" si="999"/>
        <v>#NAME?</v>
      </c>
      <c r="AW113" s="162" t="e">
        <f t="shared" ca="1" si="999"/>
        <v>#NAME?</v>
      </c>
      <c r="AX113" s="162" t="e">
        <f t="shared" ca="1" si="999"/>
        <v>#NAME?</v>
      </c>
      <c r="AY113" s="162" t="e">
        <f t="shared" ca="1" si="999"/>
        <v>#NAME?</v>
      </c>
      <c r="AZ113" s="162" t="e">
        <f t="shared" ca="1" si="999"/>
        <v>#NAME?</v>
      </c>
      <c r="BA113" s="162" t="e">
        <f t="shared" ca="1" si="999"/>
        <v>#NAME?</v>
      </c>
      <c r="BB113" s="162" t="e">
        <f t="shared" ca="1" si="999"/>
        <v>#NAME?</v>
      </c>
      <c r="BC113" s="162" t="e">
        <f t="shared" ca="1" si="999"/>
        <v>#NAME?</v>
      </c>
      <c r="BD113" s="162" t="e">
        <f t="shared" ca="1" si="999"/>
        <v>#NAME?</v>
      </c>
      <c r="BE113" s="162" t="e">
        <f t="shared" ca="1" si="999"/>
        <v>#NAME?</v>
      </c>
      <c r="BF113" s="162" t="e">
        <f t="shared" ca="1" si="999"/>
        <v>#NAME?</v>
      </c>
      <c r="BG113" s="162" t="e">
        <f t="shared" ca="1" si="999"/>
        <v>#NAME?</v>
      </c>
      <c r="BH113" s="162" t="e">
        <f t="shared" ca="1" si="999"/>
        <v>#NAME?</v>
      </c>
      <c r="BI113" s="162" t="e">
        <f t="shared" ca="1" si="999"/>
        <v>#NAME?</v>
      </c>
      <c r="BJ113" s="162" t="e">
        <f t="shared" ca="1" si="999"/>
        <v>#NAME?</v>
      </c>
      <c r="BK113" s="162" t="e">
        <f t="shared" ca="1" si="999"/>
        <v>#NAME?</v>
      </c>
      <c r="BL113" s="162" t="e">
        <f t="shared" ca="1" si="999"/>
        <v>#NAME?</v>
      </c>
      <c r="BM113" s="162" t="e">
        <f t="shared" ca="1" si="999"/>
        <v>#NAME?</v>
      </c>
      <c r="BN113" s="162" t="e">
        <f t="shared" ca="1" si="999"/>
        <v>#NAME?</v>
      </c>
      <c r="BO113" s="162" t="e">
        <f t="shared" ca="1" si="999"/>
        <v>#NAME?</v>
      </c>
      <c r="BP113" s="162" t="e">
        <f t="shared" ca="1" si="999"/>
        <v>#NAME?</v>
      </c>
      <c r="BQ113" s="162" t="e">
        <f t="shared" ca="1" si="999"/>
        <v>#NAME?</v>
      </c>
      <c r="BR113" s="162" t="e">
        <f t="shared" ref="BR113:CW113" ca="1" si="1000">+SUM(BO28:BR28)</f>
        <v>#NAME?</v>
      </c>
      <c r="BS113" s="162" t="e">
        <f t="shared" ca="1" si="1000"/>
        <v>#NAME?</v>
      </c>
      <c r="BT113" s="162" t="e">
        <f t="shared" ca="1" si="1000"/>
        <v>#NAME?</v>
      </c>
      <c r="BU113" s="162" t="e">
        <f t="shared" ca="1" si="1000"/>
        <v>#NAME?</v>
      </c>
      <c r="BV113" s="162" t="e">
        <f t="shared" ca="1" si="1000"/>
        <v>#NAME?</v>
      </c>
      <c r="BW113" s="162" t="e">
        <f t="shared" ca="1" si="1000"/>
        <v>#NAME?</v>
      </c>
      <c r="BX113" s="162" t="e">
        <f t="shared" ca="1" si="1000"/>
        <v>#NAME?</v>
      </c>
      <c r="BY113" s="162" t="e">
        <f t="shared" ca="1" si="1000"/>
        <v>#NAME?</v>
      </c>
      <c r="BZ113" s="162" t="e">
        <f t="shared" ca="1" si="1000"/>
        <v>#NAME?</v>
      </c>
      <c r="CA113" s="162" t="e">
        <f t="shared" ca="1" si="1000"/>
        <v>#NAME?</v>
      </c>
      <c r="CB113" s="162" t="e">
        <f t="shared" ca="1" si="1000"/>
        <v>#NAME?</v>
      </c>
      <c r="CC113" s="162" t="e">
        <f t="shared" ca="1" si="1000"/>
        <v>#NAME?</v>
      </c>
      <c r="CD113" s="162" t="e">
        <f t="shared" ca="1" si="1000"/>
        <v>#NAME?</v>
      </c>
      <c r="CE113" s="162" t="e">
        <f t="shared" ca="1" si="1000"/>
        <v>#NAME?</v>
      </c>
      <c r="CF113" s="162" t="e">
        <f t="shared" ca="1" si="1000"/>
        <v>#NAME?</v>
      </c>
      <c r="CG113" s="162" t="e">
        <f t="shared" ca="1" si="1000"/>
        <v>#NAME?</v>
      </c>
      <c r="CH113" s="162" t="e">
        <f t="shared" ca="1" si="1000"/>
        <v>#NAME?</v>
      </c>
      <c r="CI113" s="162" t="e">
        <f t="shared" ca="1" si="1000"/>
        <v>#NAME?</v>
      </c>
      <c r="CJ113" s="162" t="e">
        <f t="shared" ca="1" si="1000"/>
        <v>#NAME?</v>
      </c>
      <c r="CK113" s="162" t="e">
        <f t="shared" ca="1" si="1000"/>
        <v>#NAME?</v>
      </c>
      <c r="CL113" s="162" t="e">
        <f t="shared" ca="1" si="1000"/>
        <v>#NAME?</v>
      </c>
      <c r="CM113" s="21" t="e">
        <f t="shared" ca="1" si="1000"/>
        <v>#NAME?</v>
      </c>
      <c r="CN113" s="21" t="e">
        <f t="shared" ca="1" si="1000"/>
        <v>#NAME?</v>
      </c>
      <c r="CO113" s="21" t="e">
        <f t="shared" ca="1" si="1000"/>
        <v>#NAME?</v>
      </c>
      <c r="CP113" s="21" t="e">
        <f t="shared" ca="1" si="1000"/>
        <v>#NAME?</v>
      </c>
      <c r="CQ113" s="21" t="e">
        <f t="shared" ca="1" si="1000"/>
        <v>#NAME?</v>
      </c>
      <c r="CR113" s="21" t="e">
        <f t="shared" ca="1" si="1000"/>
        <v>#NAME?</v>
      </c>
      <c r="CS113" s="21" t="e">
        <f t="shared" ca="1" si="1000"/>
        <v>#NAME?</v>
      </c>
      <c r="CT113" s="21" t="e">
        <f t="shared" ca="1" si="1000"/>
        <v>#NAME?</v>
      </c>
      <c r="CU113" s="21" t="e">
        <f t="shared" ca="1" si="1000"/>
        <v>#NAME?</v>
      </c>
      <c r="CV113" s="21" t="e">
        <f t="shared" ca="1" si="1000"/>
        <v>#NAME?</v>
      </c>
      <c r="CW113" s="21" t="e">
        <f t="shared" ca="1" si="1000"/>
        <v>#NAME?</v>
      </c>
      <c r="CX113" s="21" t="e">
        <f t="shared" ref="CX113:DB113" ca="1" si="1001">+SUM(CU28:CX28)</f>
        <v>#NAME?</v>
      </c>
      <c r="CY113" s="21" t="e">
        <f t="shared" ca="1" si="1001"/>
        <v>#NAME?</v>
      </c>
      <c r="CZ113" s="21" t="e">
        <f t="shared" ca="1" si="1001"/>
        <v>#NAME?</v>
      </c>
      <c r="DA113" s="21" t="e">
        <f t="shared" ca="1" si="1001"/>
        <v>#NAME?</v>
      </c>
      <c r="DB113" s="21" t="e">
        <f t="shared" ca="1" si="1001"/>
        <v>#NAME?</v>
      </c>
      <c r="DE113" s="22"/>
      <c r="DF113" s="162">
        <v>13989.119999999992</v>
      </c>
    </row>
    <row r="114" spans="1:110" s="162" customFormat="1" x14ac:dyDescent="0.2">
      <c r="A114" s="49" t="s">
        <v>343</v>
      </c>
      <c r="B114" s="162" t="e">
        <f ca="1">+B111/B113</f>
        <v>#NAME?</v>
      </c>
      <c r="C114" s="162" t="e">
        <f t="shared" ref="C114:W114" ca="1" si="1002">+C111/C113</f>
        <v>#NAME?</v>
      </c>
      <c r="D114" s="162" t="e">
        <f t="shared" ca="1" si="1002"/>
        <v>#NAME?</v>
      </c>
      <c r="E114" s="162" t="e">
        <f t="shared" ca="1" si="1002"/>
        <v>#NAME?</v>
      </c>
      <c r="F114" s="162" t="e">
        <f t="shared" ca="1" si="1002"/>
        <v>#NAME?</v>
      </c>
      <c r="G114" s="162" t="e">
        <f t="shared" ca="1" si="1002"/>
        <v>#NAME?</v>
      </c>
      <c r="H114" s="162" t="e">
        <f t="shared" ca="1" si="1002"/>
        <v>#NAME?</v>
      </c>
      <c r="I114" s="162" t="e">
        <f t="shared" ca="1" si="1002"/>
        <v>#NAME?</v>
      </c>
      <c r="J114" s="162" t="e">
        <f t="shared" ca="1" si="1002"/>
        <v>#NAME?</v>
      </c>
      <c r="K114" s="162" t="e">
        <f t="shared" ca="1" si="1002"/>
        <v>#NAME?</v>
      </c>
      <c r="L114" s="162" t="e">
        <f t="shared" ca="1" si="1002"/>
        <v>#NAME?</v>
      </c>
      <c r="M114" s="162" t="e">
        <f t="shared" ca="1" si="1002"/>
        <v>#NAME?</v>
      </c>
      <c r="N114" s="162" t="e">
        <f t="shared" ca="1" si="1002"/>
        <v>#NAME?</v>
      </c>
      <c r="O114" s="162" t="e">
        <f t="shared" ca="1" si="1002"/>
        <v>#NAME?</v>
      </c>
      <c r="P114" s="162" t="e">
        <f t="shared" ca="1" si="1002"/>
        <v>#NAME?</v>
      </c>
      <c r="Q114" s="162" t="e">
        <f t="shared" ca="1" si="1002"/>
        <v>#NAME?</v>
      </c>
      <c r="R114" s="162" t="e">
        <f t="shared" ca="1" si="1002"/>
        <v>#NAME?</v>
      </c>
      <c r="S114" s="162" t="e">
        <f t="shared" ca="1" si="1002"/>
        <v>#NAME?</v>
      </c>
      <c r="T114" s="162" t="e">
        <f t="shared" ca="1" si="1002"/>
        <v>#NAME?</v>
      </c>
      <c r="U114" s="162" t="e">
        <f t="shared" ca="1" si="1002"/>
        <v>#NAME?</v>
      </c>
      <c r="V114" s="162" t="e">
        <f t="shared" ca="1" si="1002"/>
        <v>#NAME?</v>
      </c>
      <c r="W114" s="162" t="e">
        <f t="shared" ca="1" si="1002"/>
        <v>#NAME?</v>
      </c>
      <c r="X114" s="162" t="e">
        <f t="shared" ref="X114:Y114" ca="1" si="1003">+X111/X113</f>
        <v>#NAME?</v>
      </c>
      <c r="Y114" s="162" t="e">
        <f t="shared" ca="1" si="1003"/>
        <v>#NAME?</v>
      </c>
      <c r="Z114" s="162" t="e">
        <f t="shared" ref="Z114:AA114" ca="1" si="1004">+Z111/Z113</f>
        <v>#NAME?</v>
      </c>
      <c r="AA114" s="162" t="e">
        <f t="shared" ca="1" si="1004"/>
        <v>#NAME?</v>
      </c>
      <c r="AB114" s="21" t="e">
        <f t="shared" ref="AA114:AD114" ca="1" si="1005">+AB111/AB113</f>
        <v>#NAME?</v>
      </c>
      <c r="AC114" s="21" t="e">
        <f t="shared" ca="1" si="1005"/>
        <v>#NAME?</v>
      </c>
      <c r="AD114" s="21" t="e">
        <f t="shared" ca="1" si="1005"/>
        <v>#NAME?</v>
      </c>
      <c r="AE114" s="21" t="e">
        <f t="shared" ref="AE114" ca="1" si="1006">+AE111/AE113</f>
        <v>#NAME?</v>
      </c>
      <c r="AL114" s="162" t="e">
        <f t="shared" ref="AL114" ca="1" si="1007">+AL111/AL113</f>
        <v>#NAME?</v>
      </c>
      <c r="AM114" s="162" t="e">
        <f t="shared" ref="AM114:AO114" ca="1" si="1008">+AM111/AM113</f>
        <v>#NAME?</v>
      </c>
      <c r="AN114" s="162" t="e">
        <f t="shared" ca="1" si="1008"/>
        <v>#NAME?</v>
      </c>
      <c r="AO114" s="162" t="e">
        <f t="shared" ca="1" si="1008"/>
        <v>#NAME?</v>
      </c>
      <c r="AP114" s="162" t="e">
        <f t="shared" ref="AP114:CD114" ca="1" si="1009">+AP111/AP113</f>
        <v>#NAME?</v>
      </c>
      <c r="AQ114" s="162" t="e">
        <f t="shared" ca="1" si="1009"/>
        <v>#NAME?</v>
      </c>
      <c r="AR114" s="162" t="e">
        <f t="shared" ca="1" si="1009"/>
        <v>#NAME?</v>
      </c>
      <c r="AS114" s="162" t="e">
        <f t="shared" ca="1" si="1009"/>
        <v>#NAME?</v>
      </c>
      <c r="AT114" s="162" t="e">
        <f t="shared" ca="1" si="1009"/>
        <v>#NAME?</v>
      </c>
      <c r="AU114" s="162" t="e">
        <f t="shared" ca="1" si="1009"/>
        <v>#NAME?</v>
      </c>
      <c r="AV114" s="162" t="e">
        <f t="shared" ca="1" si="1009"/>
        <v>#NAME?</v>
      </c>
      <c r="AW114" s="162" t="e">
        <f t="shared" ca="1" si="1009"/>
        <v>#NAME?</v>
      </c>
      <c r="AX114" s="162" t="e">
        <f t="shared" ca="1" si="1009"/>
        <v>#NAME?</v>
      </c>
      <c r="AY114" s="162" t="e">
        <f t="shared" ca="1" si="1009"/>
        <v>#NAME?</v>
      </c>
      <c r="AZ114" s="162" t="e">
        <f t="shared" ca="1" si="1009"/>
        <v>#NAME?</v>
      </c>
      <c r="BA114" s="162" t="e">
        <f t="shared" ca="1" si="1009"/>
        <v>#NAME?</v>
      </c>
      <c r="BB114" s="162" t="e">
        <f t="shared" ca="1" si="1009"/>
        <v>#NAME?</v>
      </c>
      <c r="BC114" s="162" t="e">
        <f t="shared" ca="1" si="1009"/>
        <v>#NAME?</v>
      </c>
      <c r="BD114" s="162" t="e">
        <f t="shared" ca="1" si="1009"/>
        <v>#NAME?</v>
      </c>
      <c r="BE114" s="162" t="e">
        <f t="shared" ca="1" si="1009"/>
        <v>#NAME?</v>
      </c>
      <c r="BF114" s="162" t="e">
        <f t="shared" ca="1" si="1009"/>
        <v>#NAME?</v>
      </c>
      <c r="BG114" s="162" t="e">
        <f t="shared" ca="1" si="1009"/>
        <v>#NAME?</v>
      </c>
      <c r="BH114" s="162" t="e">
        <f t="shared" ca="1" si="1009"/>
        <v>#NAME?</v>
      </c>
      <c r="BI114" s="162" t="e">
        <f t="shared" ca="1" si="1009"/>
        <v>#NAME?</v>
      </c>
      <c r="BJ114" s="162" t="e">
        <f t="shared" ca="1" si="1009"/>
        <v>#NAME?</v>
      </c>
      <c r="BK114" s="162" t="e">
        <f t="shared" ca="1" si="1009"/>
        <v>#NAME?</v>
      </c>
      <c r="BL114" s="162" t="e">
        <f t="shared" ca="1" si="1009"/>
        <v>#NAME?</v>
      </c>
      <c r="BM114" s="162" t="e">
        <f t="shared" ca="1" si="1009"/>
        <v>#NAME?</v>
      </c>
      <c r="BN114" s="162" t="e">
        <f t="shared" ca="1" si="1009"/>
        <v>#NAME?</v>
      </c>
      <c r="BO114" s="162" t="e">
        <f t="shared" ca="1" si="1009"/>
        <v>#NAME?</v>
      </c>
      <c r="BP114" s="162" t="e">
        <f t="shared" ca="1" si="1009"/>
        <v>#NAME?</v>
      </c>
      <c r="BQ114" s="162" t="e">
        <f t="shared" ca="1" si="1009"/>
        <v>#NAME?</v>
      </c>
      <c r="BR114" s="162" t="e">
        <f t="shared" ca="1" si="1009"/>
        <v>#NAME?</v>
      </c>
      <c r="BS114" s="162" t="e">
        <f t="shared" ca="1" si="1009"/>
        <v>#NAME?</v>
      </c>
      <c r="BT114" s="162" t="e">
        <f t="shared" ca="1" si="1009"/>
        <v>#NAME?</v>
      </c>
      <c r="BU114" s="162" t="e">
        <f t="shared" ca="1" si="1009"/>
        <v>#NAME?</v>
      </c>
      <c r="BV114" s="162" t="e">
        <f t="shared" ca="1" si="1009"/>
        <v>#NAME?</v>
      </c>
      <c r="BW114" s="162" t="e">
        <f t="shared" ca="1" si="1009"/>
        <v>#NAME?</v>
      </c>
      <c r="BX114" s="162" t="e">
        <f t="shared" ca="1" si="1009"/>
        <v>#NAME?</v>
      </c>
      <c r="BY114" s="162" t="e">
        <f t="shared" ca="1" si="1009"/>
        <v>#NAME?</v>
      </c>
      <c r="BZ114" s="162" t="e">
        <f t="shared" ca="1" si="1009"/>
        <v>#NAME?</v>
      </c>
      <c r="CA114" s="162" t="e">
        <f t="shared" ca="1" si="1009"/>
        <v>#NAME?</v>
      </c>
      <c r="CB114" s="162" t="e">
        <f t="shared" ca="1" si="1009"/>
        <v>#NAME?</v>
      </c>
      <c r="CC114" s="162" t="e">
        <f t="shared" ca="1" si="1009"/>
        <v>#NAME?</v>
      </c>
      <c r="CD114" s="162" t="e">
        <f t="shared" ca="1" si="1009"/>
        <v>#NAME?</v>
      </c>
      <c r="CE114" s="162" t="e">
        <f t="shared" ref="CE114:CF114" ca="1" si="1010">+CE111/CE113</f>
        <v>#NAME?</v>
      </c>
      <c r="CF114" s="162" t="e">
        <f t="shared" ca="1" si="1010"/>
        <v>#NAME?</v>
      </c>
      <c r="CG114" s="162" t="e">
        <f t="shared" ref="CG114:CH114" ca="1" si="1011">+CG111/CG113</f>
        <v>#NAME?</v>
      </c>
      <c r="CH114" s="162" t="e">
        <f t="shared" ca="1" si="1011"/>
        <v>#NAME?</v>
      </c>
      <c r="CI114" s="162" t="e">
        <f t="shared" ref="CI114:CJ114" ca="1" si="1012">+CI111/CI113</f>
        <v>#NAME?</v>
      </c>
      <c r="CJ114" s="162" t="e">
        <f t="shared" ca="1" si="1012"/>
        <v>#NAME?</v>
      </c>
      <c r="CK114" s="162" t="e">
        <f t="shared" ref="CK114:CL114" ca="1" si="1013">+CK111/CK113</f>
        <v>#NAME?</v>
      </c>
      <c r="CL114" s="162" t="e">
        <f t="shared" ca="1" si="1013"/>
        <v>#NAME?</v>
      </c>
      <c r="CM114" s="21" t="e">
        <f t="shared" ref="CM114:DB114" ca="1" si="1014">+CM111/CM113</f>
        <v>#NAME?</v>
      </c>
      <c r="CN114" s="21" t="e">
        <f t="shared" ca="1" si="1014"/>
        <v>#NAME?</v>
      </c>
      <c r="CO114" s="21" t="e">
        <f t="shared" ca="1" si="1014"/>
        <v>#NAME?</v>
      </c>
      <c r="CP114" s="21" t="e">
        <f t="shared" ca="1" si="1014"/>
        <v>#NAME?</v>
      </c>
      <c r="CQ114" s="21" t="e">
        <f t="shared" ca="1" si="1014"/>
        <v>#NAME?</v>
      </c>
      <c r="CR114" s="21" t="e">
        <f t="shared" ca="1" si="1014"/>
        <v>#NAME?</v>
      </c>
      <c r="CS114" s="21" t="e">
        <f t="shared" ca="1" si="1014"/>
        <v>#NAME?</v>
      </c>
      <c r="CT114" s="21" t="e">
        <f t="shared" ca="1" si="1014"/>
        <v>#NAME?</v>
      </c>
      <c r="CU114" s="21" t="e">
        <f t="shared" ca="1" si="1014"/>
        <v>#NAME?</v>
      </c>
      <c r="CV114" s="21" t="e">
        <f t="shared" ca="1" si="1014"/>
        <v>#NAME?</v>
      </c>
      <c r="CW114" s="21" t="e">
        <f t="shared" ca="1" si="1014"/>
        <v>#NAME?</v>
      </c>
      <c r="CX114" s="21" t="e">
        <f t="shared" ca="1" si="1014"/>
        <v>#NAME?</v>
      </c>
      <c r="CY114" s="21" t="e">
        <f t="shared" ca="1" si="1014"/>
        <v>#NAME?</v>
      </c>
      <c r="CZ114" s="21" t="e">
        <f t="shared" ca="1" si="1014"/>
        <v>#NAME?</v>
      </c>
      <c r="DA114" s="21" t="e">
        <f t="shared" ca="1" si="1014"/>
        <v>#NAME?</v>
      </c>
      <c r="DB114" s="21" t="e">
        <f t="shared" ca="1" si="1014"/>
        <v>#NAME?</v>
      </c>
      <c r="DE114" s="22"/>
      <c r="DF114" s="162">
        <v>29.312708832952801</v>
      </c>
    </row>
    <row r="115" spans="1:110" s="162" customFormat="1" x14ac:dyDescent="0.2">
      <c r="A115" s="49" t="s">
        <v>344</v>
      </c>
      <c r="B115" s="162" t="e">
        <f ca="1">+B112/B113</f>
        <v>#NAME?</v>
      </c>
      <c r="C115" s="162" t="e">
        <f t="shared" ref="C115:W115" ca="1" si="1015">+C112/C113</f>
        <v>#NAME?</v>
      </c>
      <c r="D115" s="162" t="e">
        <f t="shared" ca="1" si="1015"/>
        <v>#NAME?</v>
      </c>
      <c r="E115" s="162" t="e">
        <f t="shared" ca="1" si="1015"/>
        <v>#NAME?</v>
      </c>
      <c r="F115" s="162" t="e">
        <f t="shared" ca="1" si="1015"/>
        <v>#NAME?</v>
      </c>
      <c r="G115" s="162" t="e">
        <f t="shared" ca="1" si="1015"/>
        <v>#NAME?</v>
      </c>
      <c r="H115" s="162" t="e">
        <f t="shared" ca="1" si="1015"/>
        <v>#NAME?</v>
      </c>
      <c r="I115" s="162" t="e">
        <f t="shared" ca="1" si="1015"/>
        <v>#NAME?</v>
      </c>
      <c r="J115" s="162" t="e">
        <f t="shared" ca="1" si="1015"/>
        <v>#NAME?</v>
      </c>
      <c r="K115" s="162" t="e">
        <f t="shared" ca="1" si="1015"/>
        <v>#NAME?</v>
      </c>
      <c r="L115" s="162" t="e">
        <f t="shared" ca="1" si="1015"/>
        <v>#NAME?</v>
      </c>
      <c r="M115" s="162" t="e">
        <f t="shared" ca="1" si="1015"/>
        <v>#NAME?</v>
      </c>
      <c r="N115" s="162" t="e">
        <f t="shared" ca="1" si="1015"/>
        <v>#NAME?</v>
      </c>
      <c r="O115" s="162" t="e">
        <f t="shared" ca="1" si="1015"/>
        <v>#NAME?</v>
      </c>
      <c r="P115" s="162" t="e">
        <f t="shared" ca="1" si="1015"/>
        <v>#NAME?</v>
      </c>
      <c r="Q115" s="162" t="e">
        <f t="shared" ca="1" si="1015"/>
        <v>#NAME?</v>
      </c>
      <c r="R115" s="162" t="e">
        <f t="shared" ca="1" si="1015"/>
        <v>#NAME?</v>
      </c>
      <c r="S115" s="162" t="e">
        <f t="shared" ca="1" si="1015"/>
        <v>#NAME?</v>
      </c>
      <c r="T115" s="162" t="e">
        <f t="shared" ca="1" si="1015"/>
        <v>#NAME?</v>
      </c>
      <c r="U115" s="162" t="e">
        <f t="shared" ca="1" si="1015"/>
        <v>#NAME?</v>
      </c>
      <c r="V115" s="162" t="e">
        <f t="shared" ca="1" si="1015"/>
        <v>#NAME?</v>
      </c>
      <c r="W115" s="162" t="e">
        <f t="shared" ca="1" si="1015"/>
        <v>#NAME?</v>
      </c>
      <c r="X115" s="162" t="e">
        <f t="shared" ref="X115:Y115" ca="1" si="1016">+X112/X113</f>
        <v>#NAME?</v>
      </c>
      <c r="Y115" s="162" t="e">
        <f t="shared" ca="1" si="1016"/>
        <v>#NAME?</v>
      </c>
      <c r="Z115" s="162" t="e">
        <f t="shared" ref="Z115:AA115" ca="1" si="1017">+Z112/Z113</f>
        <v>#NAME?</v>
      </c>
      <c r="AA115" s="162" t="e">
        <f t="shared" ca="1" si="1017"/>
        <v>#NAME?</v>
      </c>
      <c r="AB115" s="21" t="e">
        <f t="shared" ref="AA115:AD115" ca="1" si="1018">+AB112/AB113</f>
        <v>#NAME?</v>
      </c>
      <c r="AC115" s="21" t="e">
        <f t="shared" ca="1" si="1018"/>
        <v>#NAME?</v>
      </c>
      <c r="AD115" s="21" t="e">
        <f t="shared" ca="1" si="1018"/>
        <v>#NAME?</v>
      </c>
      <c r="AE115" s="21" t="e">
        <f t="shared" ref="AE115" ca="1" si="1019">+AE112/AE113</f>
        <v>#NAME?</v>
      </c>
      <c r="AL115" s="162" t="e">
        <f t="shared" ref="AL115:AM115" ca="1" si="1020">+AL112/AL113</f>
        <v>#NAME?</v>
      </c>
      <c r="AM115" s="162" t="e">
        <f t="shared" ca="1" si="1020"/>
        <v>#NAME?</v>
      </c>
      <c r="AN115" s="162" t="e">
        <f t="shared" ref="AN115:AO115" ca="1" si="1021">+AN112/AN113</f>
        <v>#NAME?</v>
      </c>
      <c r="AO115" s="162" t="e">
        <f t="shared" ca="1" si="1021"/>
        <v>#NAME?</v>
      </c>
      <c r="AP115" s="162" t="e">
        <f t="shared" ref="AP115:CD115" ca="1" si="1022">+AP112/AP113</f>
        <v>#NAME?</v>
      </c>
      <c r="AQ115" s="162" t="e">
        <f t="shared" ca="1" si="1022"/>
        <v>#NAME?</v>
      </c>
      <c r="AR115" s="162" t="e">
        <f t="shared" ca="1" si="1022"/>
        <v>#NAME?</v>
      </c>
      <c r="AS115" s="162" t="e">
        <f t="shared" ca="1" si="1022"/>
        <v>#NAME?</v>
      </c>
      <c r="AT115" s="162" t="e">
        <f t="shared" ca="1" si="1022"/>
        <v>#NAME?</v>
      </c>
      <c r="AU115" s="162" t="e">
        <f t="shared" ca="1" si="1022"/>
        <v>#NAME?</v>
      </c>
      <c r="AV115" s="162" t="e">
        <f t="shared" ca="1" si="1022"/>
        <v>#NAME?</v>
      </c>
      <c r="AW115" s="162" t="e">
        <f t="shared" ca="1" si="1022"/>
        <v>#NAME?</v>
      </c>
      <c r="AX115" s="162" t="e">
        <f t="shared" ca="1" si="1022"/>
        <v>#NAME?</v>
      </c>
      <c r="AY115" s="162" t="e">
        <f t="shared" ca="1" si="1022"/>
        <v>#NAME?</v>
      </c>
      <c r="AZ115" s="162" t="e">
        <f t="shared" ca="1" si="1022"/>
        <v>#NAME?</v>
      </c>
      <c r="BA115" s="162" t="e">
        <f t="shared" ca="1" si="1022"/>
        <v>#NAME?</v>
      </c>
      <c r="BB115" s="162" t="e">
        <f t="shared" ca="1" si="1022"/>
        <v>#NAME?</v>
      </c>
      <c r="BC115" s="162" t="e">
        <f t="shared" ca="1" si="1022"/>
        <v>#NAME?</v>
      </c>
      <c r="BD115" s="162" t="e">
        <f t="shared" ca="1" si="1022"/>
        <v>#NAME?</v>
      </c>
      <c r="BE115" s="162" t="e">
        <f t="shared" ca="1" si="1022"/>
        <v>#NAME?</v>
      </c>
      <c r="BF115" s="162" t="e">
        <f t="shared" ca="1" si="1022"/>
        <v>#NAME?</v>
      </c>
      <c r="BG115" s="162" t="e">
        <f t="shared" ca="1" si="1022"/>
        <v>#NAME?</v>
      </c>
      <c r="BH115" s="162" t="e">
        <f t="shared" ca="1" si="1022"/>
        <v>#NAME?</v>
      </c>
      <c r="BI115" s="162" t="e">
        <f t="shared" ca="1" si="1022"/>
        <v>#NAME?</v>
      </c>
      <c r="BJ115" s="162" t="e">
        <f t="shared" ca="1" si="1022"/>
        <v>#NAME?</v>
      </c>
      <c r="BK115" s="162" t="e">
        <f t="shared" ca="1" si="1022"/>
        <v>#NAME?</v>
      </c>
      <c r="BL115" s="162" t="e">
        <f t="shared" ca="1" si="1022"/>
        <v>#NAME?</v>
      </c>
      <c r="BM115" s="162" t="e">
        <f t="shared" ca="1" si="1022"/>
        <v>#NAME?</v>
      </c>
      <c r="BN115" s="162" t="e">
        <f t="shared" ca="1" si="1022"/>
        <v>#NAME?</v>
      </c>
      <c r="BO115" s="162" t="e">
        <f t="shared" ca="1" si="1022"/>
        <v>#NAME?</v>
      </c>
      <c r="BP115" s="162" t="e">
        <f t="shared" ca="1" si="1022"/>
        <v>#NAME?</v>
      </c>
      <c r="BQ115" s="162" t="e">
        <f t="shared" ca="1" si="1022"/>
        <v>#NAME?</v>
      </c>
      <c r="BR115" s="162" t="e">
        <f t="shared" ca="1" si="1022"/>
        <v>#NAME?</v>
      </c>
      <c r="BS115" s="162" t="e">
        <f t="shared" ca="1" si="1022"/>
        <v>#NAME?</v>
      </c>
      <c r="BT115" s="162" t="e">
        <f t="shared" ca="1" si="1022"/>
        <v>#NAME?</v>
      </c>
      <c r="BU115" s="162" t="e">
        <f t="shared" ca="1" si="1022"/>
        <v>#NAME?</v>
      </c>
      <c r="BV115" s="162" t="e">
        <f t="shared" ca="1" si="1022"/>
        <v>#NAME?</v>
      </c>
      <c r="BW115" s="162" t="e">
        <f t="shared" ca="1" si="1022"/>
        <v>#NAME?</v>
      </c>
      <c r="BX115" s="162" t="e">
        <f t="shared" ca="1" si="1022"/>
        <v>#NAME?</v>
      </c>
      <c r="BY115" s="162" t="e">
        <f t="shared" ca="1" si="1022"/>
        <v>#NAME?</v>
      </c>
      <c r="BZ115" s="162" t="e">
        <f t="shared" ca="1" si="1022"/>
        <v>#NAME?</v>
      </c>
      <c r="CA115" s="162" t="e">
        <f t="shared" ca="1" si="1022"/>
        <v>#NAME?</v>
      </c>
      <c r="CB115" s="162" t="e">
        <f t="shared" ca="1" si="1022"/>
        <v>#NAME?</v>
      </c>
      <c r="CC115" s="162" t="e">
        <f t="shared" ca="1" si="1022"/>
        <v>#NAME?</v>
      </c>
      <c r="CD115" s="162" t="e">
        <f t="shared" ca="1" si="1022"/>
        <v>#NAME?</v>
      </c>
      <c r="CE115" s="162" t="e">
        <f t="shared" ref="CE115:CF115" ca="1" si="1023">+CE112/CE113</f>
        <v>#NAME?</v>
      </c>
      <c r="CF115" s="162" t="e">
        <f t="shared" ca="1" si="1023"/>
        <v>#NAME?</v>
      </c>
      <c r="CG115" s="162" t="e">
        <f t="shared" ref="CG115:CH115" ca="1" si="1024">+CG112/CG113</f>
        <v>#NAME?</v>
      </c>
      <c r="CH115" s="162" t="e">
        <f t="shared" ca="1" si="1024"/>
        <v>#NAME?</v>
      </c>
      <c r="CI115" s="162" t="e">
        <f t="shared" ref="CI115:CJ115" ca="1" si="1025">+CI112/CI113</f>
        <v>#NAME?</v>
      </c>
      <c r="CJ115" s="162" t="e">
        <f t="shared" ca="1" si="1025"/>
        <v>#NAME?</v>
      </c>
      <c r="CK115" s="162" t="e">
        <f t="shared" ref="CK115:CL115" ca="1" si="1026">+CK112/CK113</f>
        <v>#NAME?</v>
      </c>
      <c r="CL115" s="162" t="e">
        <f t="shared" ca="1" si="1026"/>
        <v>#NAME?</v>
      </c>
      <c r="CM115" s="21" t="e">
        <f t="shared" ref="CM115:DB115" ca="1" si="1027">+CM112/CM113</f>
        <v>#NAME?</v>
      </c>
      <c r="CN115" s="21" t="e">
        <f t="shared" ca="1" si="1027"/>
        <v>#NAME?</v>
      </c>
      <c r="CO115" s="21" t="e">
        <f t="shared" ca="1" si="1027"/>
        <v>#NAME?</v>
      </c>
      <c r="CP115" s="21" t="e">
        <f t="shared" ca="1" si="1027"/>
        <v>#NAME?</v>
      </c>
      <c r="CQ115" s="21" t="e">
        <f t="shared" ca="1" si="1027"/>
        <v>#NAME?</v>
      </c>
      <c r="CR115" s="21" t="e">
        <f t="shared" ca="1" si="1027"/>
        <v>#NAME?</v>
      </c>
      <c r="CS115" s="21" t="e">
        <f t="shared" ca="1" si="1027"/>
        <v>#NAME?</v>
      </c>
      <c r="CT115" s="21" t="e">
        <f t="shared" ca="1" si="1027"/>
        <v>#NAME?</v>
      </c>
      <c r="CU115" s="21" t="e">
        <f t="shared" ca="1" si="1027"/>
        <v>#NAME?</v>
      </c>
      <c r="CV115" s="21" t="e">
        <f t="shared" ca="1" si="1027"/>
        <v>#NAME?</v>
      </c>
      <c r="CW115" s="21" t="e">
        <f t="shared" ca="1" si="1027"/>
        <v>#NAME?</v>
      </c>
      <c r="CX115" s="21" t="e">
        <f t="shared" ca="1" si="1027"/>
        <v>#NAME?</v>
      </c>
      <c r="CY115" s="21" t="e">
        <f t="shared" ca="1" si="1027"/>
        <v>#NAME?</v>
      </c>
      <c r="CZ115" s="21" t="e">
        <f t="shared" ca="1" si="1027"/>
        <v>#NAME?</v>
      </c>
      <c r="DA115" s="21" t="e">
        <f t="shared" ca="1" si="1027"/>
        <v>#NAME?</v>
      </c>
      <c r="DB115" s="21" t="e">
        <f t="shared" ca="1" si="1027"/>
        <v>#NAME?</v>
      </c>
      <c r="DE115" s="22"/>
      <c r="DF115" s="162">
        <v>21.373897571827264</v>
      </c>
    </row>
    <row r="116" spans="1:110" s="10" customFormat="1" x14ac:dyDescent="0.2">
      <c r="A116" s="149" t="s">
        <v>490</v>
      </c>
      <c r="AB116" s="20"/>
      <c r="AC116" s="20"/>
      <c r="AD116" s="20"/>
      <c r="AE116" s="20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E116" s="126"/>
    </row>
    <row r="117" spans="1:110" x14ac:dyDescent="0.2">
      <c r="A117" s="152" t="s">
        <v>491</v>
      </c>
      <c r="AA117" s="2"/>
      <c r="CL117" s="2"/>
    </row>
    <row r="118" spans="1:110" s="23" customFormat="1" outlineLevel="1" x14ac:dyDescent="0.2">
      <c r="A118" s="23" t="s">
        <v>41</v>
      </c>
      <c r="B118" s="23" t="e">
        <f ca="1">'Annual Raw'!C41</f>
        <v>#NAME?</v>
      </c>
      <c r="C118" s="23" t="e">
        <f ca="1">'Annual Raw'!D41</f>
        <v>#NAME?</v>
      </c>
      <c r="D118" s="23" t="e">
        <f ca="1">'Annual Raw'!E41</f>
        <v>#NAME?</v>
      </c>
      <c r="E118" s="23" t="e">
        <f ca="1">'Annual Raw'!F41</f>
        <v>#NAME?</v>
      </c>
      <c r="F118" s="23" t="e">
        <f ca="1">'Annual Raw'!G41</f>
        <v>#NAME?</v>
      </c>
      <c r="G118" s="23" t="e">
        <f ca="1">'Annual Raw'!H41</f>
        <v>#NAME?</v>
      </c>
      <c r="H118" s="23" t="e">
        <f ca="1">'Annual Raw'!I41</f>
        <v>#NAME?</v>
      </c>
      <c r="I118" s="23" t="e">
        <f ca="1">'Annual Raw'!J41</f>
        <v>#NAME?</v>
      </c>
      <c r="J118" s="23" t="e">
        <f ca="1">'Annual Raw'!K41</f>
        <v>#NAME?</v>
      </c>
      <c r="K118" s="23" t="e">
        <f ca="1">'Annual Raw'!L41</f>
        <v>#NAME?</v>
      </c>
      <c r="L118" s="23" t="e">
        <f ca="1">'Annual Raw'!M41</f>
        <v>#NAME?</v>
      </c>
      <c r="M118" s="23" t="e">
        <f ca="1">'Annual Raw'!N41</f>
        <v>#NAME?</v>
      </c>
      <c r="N118" s="23" t="e">
        <f ca="1">'Annual Raw'!O41</f>
        <v>#NAME?</v>
      </c>
      <c r="O118" s="23" t="e">
        <f ca="1">'Annual Raw'!P41</f>
        <v>#NAME?</v>
      </c>
      <c r="P118" s="23" t="e">
        <f ca="1">'Annual Raw'!Q41</f>
        <v>#NAME?</v>
      </c>
      <c r="Q118" s="23" t="e">
        <f ca="1">'Annual Raw'!R41</f>
        <v>#NAME?</v>
      </c>
      <c r="R118" s="23" t="e">
        <f ca="1">'Annual Raw'!S41</f>
        <v>#NAME?</v>
      </c>
      <c r="S118" s="23" t="e">
        <f ca="1">'Annual Raw'!T41</f>
        <v>#NAME?</v>
      </c>
      <c r="T118" s="23" t="e">
        <f ca="1">'Annual Raw'!U41</f>
        <v>#NAME?</v>
      </c>
      <c r="U118" s="23" t="e">
        <f ca="1">'Annual Raw'!V41</f>
        <v>#NAME?</v>
      </c>
      <c r="V118" s="23" t="e">
        <f ca="1">'Annual Raw'!W41</f>
        <v>#NAME?</v>
      </c>
      <c r="W118" s="23" t="e">
        <f ca="1">'Annual Raw'!X41</f>
        <v>#NAME?</v>
      </c>
      <c r="X118" s="23" t="e">
        <f ca="1">'Annual Raw'!Y41</f>
        <v>#NAME?</v>
      </c>
      <c r="Y118" s="23" t="e">
        <f ca="1">'Annual Raw'!Z41</f>
        <v>#NAME?</v>
      </c>
      <c r="Z118" s="23" t="e">
        <f ca="1">'Annual Raw'!AA41</f>
        <v>#NAME?</v>
      </c>
      <c r="AA118" s="23" t="e">
        <f ca="1">'Annual Raw'!AB41</f>
        <v>#NAME?</v>
      </c>
      <c r="AB118" s="24" t="e">
        <f ca="1">+CP118</f>
        <v>#NAME?</v>
      </c>
      <c r="AC118" s="24" t="e">
        <f ca="1">+CT118</f>
        <v>#NAME?</v>
      </c>
      <c r="AD118" s="24" t="e">
        <f ca="1">+CX118</f>
        <v>#NAME?</v>
      </c>
      <c r="AE118" s="24" t="e">
        <f ca="1">+DB118</f>
        <v>#NAME?</v>
      </c>
      <c r="AJ118" s="23" t="e">
        <f ca="1">+'QTR Raw'!D56</f>
        <v>#NAME?</v>
      </c>
      <c r="AK118" s="23" t="e">
        <f t="shared" ref="AK118:CE118" ca="1" si="1028">+AJ118</f>
        <v>#NAME?</v>
      </c>
      <c r="AL118" s="23" t="e">
        <f ca="1">+'QTR Raw'!F56</f>
        <v>#NAME?</v>
      </c>
      <c r="AM118" s="23" t="e">
        <f t="shared" ca="1" si="1028"/>
        <v>#NAME?</v>
      </c>
      <c r="AN118" s="23" t="e">
        <f ca="1">+'QTR Raw'!H56</f>
        <v>#NAME?</v>
      </c>
      <c r="AO118" s="23" t="e">
        <f t="shared" ca="1" si="1028"/>
        <v>#NAME?</v>
      </c>
      <c r="AP118" s="23" t="e">
        <f ca="1">+'QTR Raw'!J56</f>
        <v>#NAME?</v>
      </c>
      <c r="AQ118" s="23" t="e">
        <f t="shared" ca="1" si="1028"/>
        <v>#NAME?</v>
      </c>
      <c r="AR118" s="23" t="e">
        <f ca="1">+'QTR Raw'!L56</f>
        <v>#NAME?</v>
      </c>
      <c r="AS118" s="23" t="e">
        <f t="shared" ca="1" si="1028"/>
        <v>#NAME?</v>
      </c>
      <c r="AT118" s="23" t="e">
        <f ca="1">+'QTR Raw'!N56</f>
        <v>#NAME?</v>
      </c>
      <c r="AU118" s="23" t="e">
        <f t="shared" ca="1" si="1028"/>
        <v>#NAME?</v>
      </c>
      <c r="AV118" s="23" t="e">
        <f ca="1">+'QTR Raw'!P56</f>
        <v>#NAME?</v>
      </c>
      <c r="AW118" s="23" t="e">
        <f t="shared" ca="1" si="1028"/>
        <v>#NAME?</v>
      </c>
      <c r="AX118" s="23" t="e">
        <f ca="1">+'QTR Raw'!R56</f>
        <v>#NAME?</v>
      </c>
      <c r="AY118" s="23" t="e">
        <f t="shared" ca="1" si="1028"/>
        <v>#NAME?</v>
      </c>
      <c r="AZ118" s="23" t="e">
        <f ca="1">+'QTR Raw'!T56</f>
        <v>#NAME?</v>
      </c>
      <c r="BA118" s="23" t="e">
        <f t="shared" ca="1" si="1028"/>
        <v>#NAME?</v>
      </c>
      <c r="BB118" s="23" t="e">
        <f ca="1">+'QTR Raw'!V56</f>
        <v>#NAME?</v>
      </c>
      <c r="BC118" s="23" t="e">
        <f t="shared" ca="1" si="1028"/>
        <v>#NAME?</v>
      </c>
      <c r="BD118" s="23" t="e">
        <f ca="1">+'QTR Raw'!X56</f>
        <v>#NAME?</v>
      </c>
      <c r="BE118" s="23" t="e">
        <f t="shared" ca="1" si="1028"/>
        <v>#NAME?</v>
      </c>
      <c r="BF118" s="23" t="e">
        <f ca="1">+'QTR Raw'!Z56</f>
        <v>#NAME?</v>
      </c>
      <c r="BG118" s="23" t="e">
        <f t="shared" ca="1" si="1028"/>
        <v>#NAME?</v>
      </c>
      <c r="BH118" s="23" t="e">
        <f ca="1">+'QTR Raw'!AB56</f>
        <v>#NAME?</v>
      </c>
      <c r="BI118" s="23" t="e">
        <f t="shared" ca="1" si="1028"/>
        <v>#NAME?</v>
      </c>
      <c r="BJ118" s="23" t="e">
        <f ca="1">+'QTR Raw'!AD56</f>
        <v>#NAME?</v>
      </c>
      <c r="BK118" s="23" t="e">
        <f t="shared" ca="1" si="1028"/>
        <v>#NAME?</v>
      </c>
      <c r="BL118" s="23" t="e">
        <f ca="1">+'QTR Raw'!AF56</f>
        <v>#NAME?</v>
      </c>
      <c r="BM118" s="23" t="e">
        <f t="shared" ca="1" si="1028"/>
        <v>#NAME?</v>
      </c>
      <c r="BN118" s="23" t="e">
        <f ca="1">+'QTR Raw'!AH56</f>
        <v>#NAME?</v>
      </c>
      <c r="BO118" s="23" t="e">
        <f t="shared" ca="1" si="1028"/>
        <v>#NAME?</v>
      </c>
      <c r="BP118" s="23" t="e">
        <f ca="1">+'QTR Raw'!AJ56</f>
        <v>#NAME?</v>
      </c>
      <c r="BQ118" s="23" t="e">
        <f t="shared" ca="1" si="1028"/>
        <v>#NAME?</v>
      </c>
      <c r="BR118" s="23" t="e">
        <f ca="1">+'QTR Raw'!AL56</f>
        <v>#NAME?</v>
      </c>
      <c r="BS118" s="23" t="e">
        <f t="shared" ca="1" si="1028"/>
        <v>#NAME?</v>
      </c>
      <c r="BT118" s="23" t="e">
        <f ca="1">+'QTR Raw'!AN56</f>
        <v>#NAME?</v>
      </c>
      <c r="BU118" s="23" t="e">
        <f t="shared" ca="1" si="1028"/>
        <v>#NAME?</v>
      </c>
      <c r="BV118" s="23" t="e">
        <f ca="1">+'QTR Raw'!AP56</f>
        <v>#NAME?</v>
      </c>
      <c r="BW118" s="23" t="e">
        <f t="shared" ca="1" si="1028"/>
        <v>#NAME?</v>
      </c>
      <c r="BX118" s="23" t="e">
        <f ca="1">+'QTR Raw'!AR56</f>
        <v>#NAME?</v>
      </c>
      <c r="BY118" s="23" t="e">
        <f t="shared" ca="1" si="1028"/>
        <v>#NAME?</v>
      </c>
      <c r="BZ118" s="23" t="e">
        <f ca="1">+'QTR Raw'!AT56</f>
        <v>#NAME?</v>
      </c>
      <c r="CA118" s="23" t="e">
        <f t="shared" ca="1" si="1028"/>
        <v>#NAME?</v>
      </c>
      <c r="CB118" s="23" t="e">
        <f ca="1">+'QTR Raw'!AV56</f>
        <v>#NAME?</v>
      </c>
      <c r="CC118" s="23" t="e">
        <f t="shared" ca="1" si="1028"/>
        <v>#NAME?</v>
      </c>
      <c r="CD118" s="23" t="e">
        <f ca="1">+'QTR Raw'!AX56</f>
        <v>#NAME?</v>
      </c>
      <c r="CE118" s="23" t="e">
        <f t="shared" ca="1" si="1028"/>
        <v>#NAME?</v>
      </c>
      <c r="CF118" s="23" t="e">
        <f ca="1">+'QTR Raw'!AZ56</f>
        <v>#NAME?</v>
      </c>
      <c r="CG118" s="23" t="e">
        <f t="shared" ref="CG118:CG119" ca="1" si="1029">+CF118</f>
        <v>#NAME?</v>
      </c>
      <c r="CH118" s="23" t="e">
        <f ca="1">Z118</f>
        <v>#NAME?</v>
      </c>
      <c r="CI118" s="23" t="e">
        <f ca="1">CH118</f>
        <v>#NAME?</v>
      </c>
      <c r="CJ118" s="23" t="e">
        <f ca="1">+'QTR Raw'!BD56</f>
        <v>#NAME?</v>
      </c>
      <c r="CK118" s="24" t="e">
        <f t="shared" ref="CK118:DB118" ca="1" si="1030">CJ118</f>
        <v>#NAME?</v>
      </c>
      <c r="CL118" s="23" t="e">
        <f ca="1">+'QTR Raw'!BF56</f>
        <v>#NAME?</v>
      </c>
      <c r="CM118" s="24" t="e">
        <f t="shared" ca="1" si="1030"/>
        <v>#NAME?</v>
      </c>
      <c r="CN118" s="24" t="e">
        <f t="shared" ca="1" si="1030"/>
        <v>#NAME?</v>
      </c>
      <c r="CO118" s="24" t="e">
        <f t="shared" ca="1" si="1030"/>
        <v>#NAME?</v>
      </c>
      <c r="CP118" s="24" t="e">
        <f t="shared" ca="1" si="1030"/>
        <v>#NAME?</v>
      </c>
      <c r="CQ118" s="24" t="e">
        <f t="shared" ca="1" si="1030"/>
        <v>#NAME?</v>
      </c>
      <c r="CR118" s="24" t="e">
        <f t="shared" ca="1" si="1030"/>
        <v>#NAME?</v>
      </c>
      <c r="CS118" s="24" t="e">
        <f t="shared" ca="1" si="1030"/>
        <v>#NAME?</v>
      </c>
      <c r="CT118" s="24" t="e">
        <f t="shared" ca="1" si="1030"/>
        <v>#NAME?</v>
      </c>
      <c r="CU118" s="24" t="e">
        <f t="shared" ca="1" si="1030"/>
        <v>#NAME?</v>
      </c>
      <c r="CV118" s="24" t="e">
        <f t="shared" ca="1" si="1030"/>
        <v>#NAME?</v>
      </c>
      <c r="CW118" s="24" t="e">
        <f t="shared" ca="1" si="1030"/>
        <v>#NAME?</v>
      </c>
      <c r="CX118" s="24" t="e">
        <f t="shared" ca="1" si="1030"/>
        <v>#NAME?</v>
      </c>
      <c r="CY118" s="24" t="e">
        <f t="shared" ca="1" si="1030"/>
        <v>#NAME?</v>
      </c>
      <c r="CZ118" s="24" t="e">
        <f t="shared" ca="1" si="1030"/>
        <v>#NAME?</v>
      </c>
      <c r="DA118" s="24" t="e">
        <f t="shared" ca="1" si="1030"/>
        <v>#NAME?</v>
      </c>
      <c r="DB118" s="24" t="e">
        <f t="shared" ca="1" si="1030"/>
        <v>#NAME?</v>
      </c>
      <c r="DE118" s="123"/>
      <c r="DF118" s="23">
        <v>129.24</v>
      </c>
    </row>
    <row r="119" spans="1:110" s="23" customFormat="1" outlineLevel="1" x14ac:dyDescent="0.2">
      <c r="A119" s="23" t="s">
        <v>42</v>
      </c>
      <c r="B119" s="23" t="e">
        <f ca="1">'Annual Raw'!C42</f>
        <v>#NAME?</v>
      </c>
      <c r="C119" s="23" t="e">
        <f ca="1">'Annual Raw'!D42</f>
        <v>#NAME?</v>
      </c>
      <c r="D119" s="23" t="e">
        <f ca="1">'Annual Raw'!E42</f>
        <v>#NAME?</v>
      </c>
      <c r="E119" s="23" t="e">
        <f ca="1">'Annual Raw'!F42</f>
        <v>#NAME?</v>
      </c>
      <c r="F119" s="23" t="e">
        <f ca="1">'Annual Raw'!G42</f>
        <v>#NAME?</v>
      </c>
      <c r="G119" s="23" t="e">
        <f ca="1">'Annual Raw'!H42</f>
        <v>#NAME?</v>
      </c>
      <c r="H119" s="23" t="e">
        <f ca="1">'Annual Raw'!I42</f>
        <v>#NAME?</v>
      </c>
      <c r="I119" s="23" t="e">
        <f ca="1">'Annual Raw'!J42</f>
        <v>#NAME?</v>
      </c>
      <c r="J119" s="23" t="e">
        <f ca="1">'Annual Raw'!K42</f>
        <v>#NAME?</v>
      </c>
      <c r="K119" s="23" t="e">
        <f ca="1">'Annual Raw'!L42</f>
        <v>#NAME?</v>
      </c>
      <c r="L119" s="23" t="e">
        <f ca="1">'Annual Raw'!M42</f>
        <v>#NAME?</v>
      </c>
      <c r="M119" s="23" t="e">
        <f ca="1">'Annual Raw'!N42</f>
        <v>#NAME?</v>
      </c>
      <c r="N119" s="23" t="e">
        <f ca="1">'Annual Raw'!O42</f>
        <v>#NAME?</v>
      </c>
      <c r="O119" s="23" t="e">
        <f ca="1">'Annual Raw'!P42</f>
        <v>#NAME?</v>
      </c>
      <c r="P119" s="23" t="e">
        <f ca="1">'Annual Raw'!Q42</f>
        <v>#NAME?</v>
      </c>
      <c r="Q119" s="23" t="e">
        <f ca="1">'Annual Raw'!R42</f>
        <v>#NAME?</v>
      </c>
      <c r="R119" s="23" t="e">
        <f ca="1">'Annual Raw'!S42</f>
        <v>#NAME?</v>
      </c>
      <c r="S119" s="23" t="e">
        <f ca="1">'Annual Raw'!T42</f>
        <v>#NAME?</v>
      </c>
      <c r="T119" s="23" t="e">
        <f ca="1">'Annual Raw'!U42</f>
        <v>#NAME?</v>
      </c>
      <c r="U119" s="23" t="e">
        <f ca="1">'Annual Raw'!V42</f>
        <v>#NAME?</v>
      </c>
      <c r="V119" s="23" t="e">
        <f ca="1">'Annual Raw'!W42</f>
        <v>#NAME?</v>
      </c>
      <c r="W119" s="23" t="e">
        <f ca="1">'Annual Raw'!X42</f>
        <v>#NAME?</v>
      </c>
      <c r="X119" s="23" t="e">
        <f ca="1">'Annual Raw'!Y42</f>
        <v>#NAME?</v>
      </c>
      <c r="Y119" s="23" t="e">
        <f ca="1">'Annual Raw'!Z42</f>
        <v>#NAME?</v>
      </c>
      <c r="Z119" s="23" t="e">
        <f ca="1">'Annual Raw'!AA42</f>
        <v>#NAME?</v>
      </c>
      <c r="AA119" s="23" t="e">
        <f ca="1">'Annual Raw'!AB42</f>
        <v>#NAME?</v>
      </c>
      <c r="AB119" s="24" t="e">
        <f t="shared" ref="AB119:AB120" ca="1" si="1031">+CP119</f>
        <v>#NAME?</v>
      </c>
      <c r="AC119" s="24" t="e">
        <f t="shared" ref="AC119:AC120" ca="1" si="1032">+CT119</f>
        <v>#NAME?</v>
      </c>
      <c r="AD119" s="24" t="e">
        <f t="shared" ref="AD119:AD120" ca="1" si="1033">+CX119</f>
        <v>#NAME?</v>
      </c>
      <c r="AE119" s="24" t="e">
        <f t="shared" ref="AE119:AE120" ca="1" si="1034">+DB119</f>
        <v>#NAME?</v>
      </c>
      <c r="AJ119" s="23" t="e">
        <f ca="1">+'QTR Raw'!D57</f>
        <v>#NAME?</v>
      </c>
      <c r="AK119" s="23" t="e">
        <f t="shared" ref="AK119:CE119" ca="1" si="1035">+AJ119</f>
        <v>#NAME?</v>
      </c>
      <c r="AL119" s="23" t="e">
        <f ca="1">+'QTR Raw'!F57</f>
        <v>#NAME?</v>
      </c>
      <c r="AM119" s="23" t="e">
        <f t="shared" ca="1" si="1035"/>
        <v>#NAME?</v>
      </c>
      <c r="AN119" s="23" t="e">
        <f ca="1">+'QTR Raw'!H57</f>
        <v>#NAME?</v>
      </c>
      <c r="AO119" s="23" t="e">
        <f t="shared" ca="1" si="1035"/>
        <v>#NAME?</v>
      </c>
      <c r="AP119" s="23" t="e">
        <f ca="1">+'QTR Raw'!J57</f>
        <v>#NAME?</v>
      </c>
      <c r="AQ119" s="23" t="e">
        <f t="shared" ca="1" si="1035"/>
        <v>#NAME?</v>
      </c>
      <c r="AR119" s="23" t="e">
        <f ca="1">+'QTR Raw'!L57</f>
        <v>#NAME?</v>
      </c>
      <c r="AS119" s="23" t="e">
        <f t="shared" ca="1" si="1035"/>
        <v>#NAME?</v>
      </c>
      <c r="AT119" s="23" t="e">
        <f ca="1">+'QTR Raw'!N57</f>
        <v>#NAME?</v>
      </c>
      <c r="AU119" s="23" t="e">
        <f t="shared" ca="1" si="1035"/>
        <v>#NAME?</v>
      </c>
      <c r="AV119" s="23" t="e">
        <f ca="1">+'QTR Raw'!P57</f>
        <v>#NAME?</v>
      </c>
      <c r="AW119" s="23" t="e">
        <f t="shared" ca="1" si="1035"/>
        <v>#NAME?</v>
      </c>
      <c r="AX119" s="23" t="e">
        <f ca="1">+'QTR Raw'!R57</f>
        <v>#NAME?</v>
      </c>
      <c r="AY119" s="23" t="e">
        <f t="shared" ca="1" si="1035"/>
        <v>#NAME?</v>
      </c>
      <c r="AZ119" s="23" t="e">
        <f ca="1">+'QTR Raw'!T57</f>
        <v>#NAME?</v>
      </c>
      <c r="BA119" s="23" t="e">
        <f t="shared" ca="1" si="1035"/>
        <v>#NAME?</v>
      </c>
      <c r="BB119" s="23" t="e">
        <f ca="1">+'QTR Raw'!V57</f>
        <v>#NAME?</v>
      </c>
      <c r="BC119" s="23" t="e">
        <f t="shared" ca="1" si="1035"/>
        <v>#NAME?</v>
      </c>
      <c r="BD119" s="23" t="e">
        <f ca="1">+'QTR Raw'!X57</f>
        <v>#NAME?</v>
      </c>
      <c r="BE119" s="23" t="e">
        <f t="shared" ca="1" si="1035"/>
        <v>#NAME?</v>
      </c>
      <c r="BF119" s="23" t="e">
        <f ca="1">+'QTR Raw'!Z57</f>
        <v>#NAME?</v>
      </c>
      <c r="BG119" s="23" t="e">
        <f t="shared" ca="1" si="1035"/>
        <v>#NAME?</v>
      </c>
      <c r="BH119" s="23" t="e">
        <f ca="1">+'QTR Raw'!AB57</f>
        <v>#NAME?</v>
      </c>
      <c r="BI119" s="23" t="e">
        <f t="shared" ca="1" si="1035"/>
        <v>#NAME?</v>
      </c>
      <c r="BJ119" s="23" t="e">
        <f ca="1">+'QTR Raw'!AD57</f>
        <v>#NAME?</v>
      </c>
      <c r="BK119" s="23" t="e">
        <f t="shared" ca="1" si="1035"/>
        <v>#NAME?</v>
      </c>
      <c r="BL119" s="23" t="e">
        <f ca="1">+'QTR Raw'!AF57</f>
        <v>#NAME?</v>
      </c>
      <c r="BM119" s="23" t="e">
        <f t="shared" ca="1" si="1035"/>
        <v>#NAME?</v>
      </c>
      <c r="BN119" s="23" t="e">
        <f ca="1">+'QTR Raw'!AH57</f>
        <v>#NAME?</v>
      </c>
      <c r="BO119" s="23" t="e">
        <f t="shared" ca="1" si="1035"/>
        <v>#NAME?</v>
      </c>
      <c r="BP119" s="23" t="e">
        <f ca="1">+'QTR Raw'!AJ57</f>
        <v>#NAME?</v>
      </c>
      <c r="BQ119" s="23" t="e">
        <f t="shared" ca="1" si="1035"/>
        <v>#NAME?</v>
      </c>
      <c r="BR119" s="23" t="e">
        <f ca="1">+'QTR Raw'!AL57</f>
        <v>#NAME?</v>
      </c>
      <c r="BS119" s="23" t="e">
        <f t="shared" ca="1" si="1035"/>
        <v>#NAME?</v>
      </c>
      <c r="BT119" s="23" t="e">
        <f ca="1">+'QTR Raw'!AN57</f>
        <v>#NAME?</v>
      </c>
      <c r="BU119" s="23" t="e">
        <f t="shared" ca="1" si="1035"/>
        <v>#NAME?</v>
      </c>
      <c r="BV119" s="23" t="e">
        <f ca="1">+'QTR Raw'!AP57</f>
        <v>#NAME?</v>
      </c>
      <c r="BW119" s="23" t="e">
        <f t="shared" ca="1" si="1035"/>
        <v>#NAME?</v>
      </c>
      <c r="BX119" s="23" t="e">
        <f ca="1">+'QTR Raw'!AR57</f>
        <v>#NAME?</v>
      </c>
      <c r="BY119" s="23" t="e">
        <f t="shared" ca="1" si="1035"/>
        <v>#NAME?</v>
      </c>
      <c r="BZ119" s="23" t="e">
        <f ca="1">+'QTR Raw'!AT57</f>
        <v>#NAME?</v>
      </c>
      <c r="CA119" s="23" t="e">
        <f t="shared" ca="1" si="1035"/>
        <v>#NAME?</v>
      </c>
      <c r="CB119" s="23" t="e">
        <f ca="1">+'QTR Raw'!AV57</f>
        <v>#NAME?</v>
      </c>
      <c r="CC119" s="23" t="e">
        <f t="shared" ca="1" si="1035"/>
        <v>#NAME?</v>
      </c>
      <c r="CD119" s="23" t="e">
        <f ca="1">+'QTR Raw'!AX57</f>
        <v>#NAME?</v>
      </c>
      <c r="CE119" s="23" t="e">
        <f t="shared" ca="1" si="1035"/>
        <v>#NAME?</v>
      </c>
      <c r="CF119" s="23" t="e">
        <f ca="1">+'QTR Raw'!AZ57</f>
        <v>#NAME?</v>
      </c>
      <c r="CG119" s="23" t="e">
        <f t="shared" ca="1" si="1029"/>
        <v>#NAME?</v>
      </c>
      <c r="CH119" s="23" t="e">
        <f t="shared" ref="CH119:CH120" ca="1" si="1036">Z119</f>
        <v>#NAME?</v>
      </c>
      <c r="CI119" s="23" t="e">
        <f ca="1">CH119</f>
        <v>#NAME?</v>
      </c>
      <c r="CJ119" s="23" t="e">
        <f ca="1">+'QTR Raw'!BD57</f>
        <v>#NAME?</v>
      </c>
      <c r="CK119" s="24" t="e">
        <f t="shared" ref="CK119:DB119" ca="1" si="1037">CJ119</f>
        <v>#NAME?</v>
      </c>
      <c r="CL119" s="23" t="e">
        <f ca="1">+'QTR Raw'!BF57</f>
        <v>#NAME?</v>
      </c>
      <c r="CM119" s="24" t="e">
        <f t="shared" ca="1" si="1037"/>
        <v>#NAME?</v>
      </c>
      <c r="CN119" s="24" t="e">
        <f t="shared" ca="1" si="1037"/>
        <v>#NAME?</v>
      </c>
      <c r="CO119" s="24" t="e">
        <f t="shared" ca="1" si="1037"/>
        <v>#NAME?</v>
      </c>
      <c r="CP119" s="24" t="e">
        <f t="shared" ca="1" si="1037"/>
        <v>#NAME?</v>
      </c>
      <c r="CQ119" s="24" t="e">
        <f t="shared" ca="1" si="1037"/>
        <v>#NAME?</v>
      </c>
      <c r="CR119" s="24" t="e">
        <f t="shared" ca="1" si="1037"/>
        <v>#NAME?</v>
      </c>
      <c r="CS119" s="24" t="e">
        <f t="shared" ca="1" si="1037"/>
        <v>#NAME?</v>
      </c>
      <c r="CT119" s="24" t="e">
        <f t="shared" ca="1" si="1037"/>
        <v>#NAME?</v>
      </c>
      <c r="CU119" s="24" t="e">
        <f t="shared" ca="1" si="1037"/>
        <v>#NAME?</v>
      </c>
      <c r="CV119" s="24" t="e">
        <f t="shared" ca="1" si="1037"/>
        <v>#NAME?</v>
      </c>
      <c r="CW119" s="24" t="e">
        <f t="shared" ca="1" si="1037"/>
        <v>#NAME?</v>
      </c>
      <c r="CX119" s="24" t="e">
        <f t="shared" ca="1" si="1037"/>
        <v>#NAME?</v>
      </c>
      <c r="CY119" s="24" t="e">
        <f t="shared" ca="1" si="1037"/>
        <v>#NAME?</v>
      </c>
      <c r="CZ119" s="24" t="e">
        <f t="shared" ca="1" si="1037"/>
        <v>#NAME?</v>
      </c>
      <c r="DA119" s="24" t="e">
        <f t="shared" ca="1" si="1037"/>
        <v>#NAME?</v>
      </c>
      <c r="DB119" s="24" t="e">
        <f t="shared" ca="1" si="1037"/>
        <v>#NAME?</v>
      </c>
      <c r="DE119" s="123"/>
      <c r="DF119" s="23">
        <v>0</v>
      </c>
    </row>
    <row r="120" spans="1:110" s="23" customFormat="1" outlineLevel="1" x14ac:dyDescent="0.2">
      <c r="A120" s="23" t="s">
        <v>43</v>
      </c>
      <c r="B120" s="23" t="e">
        <f ca="1">'Annual Raw'!C43</f>
        <v>#NAME?</v>
      </c>
      <c r="C120" s="23" t="e">
        <f ca="1">'Annual Raw'!D43</f>
        <v>#NAME?</v>
      </c>
      <c r="D120" s="23" t="e">
        <f ca="1">'Annual Raw'!E43</f>
        <v>#NAME?</v>
      </c>
      <c r="E120" s="23" t="e">
        <f ca="1">'Annual Raw'!F43</f>
        <v>#NAME?</v>
      </c>
      <c r="F120" s="23" t="e">
        <f ca="1">'Annual Raw'!G43</f>
        <v>#NAME?</v>
      </c>
      <c r="G120" s="23" t="e">
        <f ca="1">'Annual Raw'!H43</f>
        <v>#NAME?</v>
      </c>
      <c r="H120" s="23" t="e">
        <f ca="1">'Annual Raw'!I43</f>
        <v>#NAME?</v>
      </c>
      <c r="I120" s="23" t="e">
        <f ca="1">'Annual Raw'!J43</f>
        <v>#NAME?</v>
      </c>
      <c r="J120" s="23" t="e">
        <f ca="1">'Annual Raw'!K43</f>
        <v>#NAME?</v>
      </c>
      <c r="K120" s="23" t="e">
        <f ca="1">'Annual Raw'!L43</f>
        <v>#NAME?</v>
      </c>
      <c r="L120" s="23" t="e">
        <f ca="1">'Annual Raw'!M43</f>
        <v>#NAME?</v>
      </c>
      <c r="M120" s="23" t="e">
        <f ca="1">'Annual Raw'!N43</f>
        <v>#NAME?</v>
      </c>
      <c r="N120" s="23" t="e">
        <f ca="1">'Annual Raw'!O43</f>
        <v>#NAME?</v>
      </c>
      <c r="O120" s="23" t="e">
        <f ca="1">'Annual Raw'!P43</f>
        <v>#NAME?</v>
      </c>
      <c r="P120" s="23" t="e">
        <f ca="1">'Annual Raw'!Q43</f>
        <v>#NAME?</v>
      </c>
      <c r="Q120" s="23" t="e">
        <f ca="1">'Annual Raw'!R43</f>
        <v>#NAME?</v>
      </c>
      <c r="R120" s="23" t="e">
        <f ca="1">'Annual Raw'!S43</f>
        <v>#NAME?</v>
      </c>
      <c r="S120" s="23" t="e">
        <f ca="1">'Annual Raw'!T43</f>
        <v>#NAME?</v>
      </c>
      <c r="T120" s="23" t="e">
        <f ca="1">'Annual Raw'!U43</f>
        <v>#NAME?</v>
      </c>
      <c r="U120" s="23" t="e">
        <f ca="1">'Annual Raw'!V43</f>
        <v>#NAME?</v>
      </c>
      <c r="V120" s="23" t="e">
        <f ca="1">'Annual Raw'!W43</f>
        <v>#NAME?</v>
      </c>
      <c r="W120" s="23" t="e">
        <f ca="1">'Annual Raw'!X43</f>
        <v>#NAME?</v>
      </c>
      <c r="X120" s="23" t="e">
        <f ca="1">'Annual Raw'!Y43</f>
        <v>#NAME?</v>
      </c>
      <c r="Y120" s="23" t="e">
        <f ca="1">'Annual Raw'!Z43</f>
        <v>#NAME?</v>
      </c>
      <c r="Z120" s="23" t="e">
        <f ca="1">'Annual Raw'!AA43</f>
        <v>#NAME?</v>
      </c>
      <c r="AA120" s="23" t="e">
        <f ca="1">'Annual Raw'!AB43</f>
        <v>#NAME?</v>
      </c>
      <c r="AB120" s="24" t="e">
        <f t="shared" ca="1" si="1031"/>
        <v>#NAME?</v>
      </c>
      <c r="AC120" s="24" t="e">
        <f t="shared" ca="1" si="1032"/>
        <v>#NAME?</v>
      </c>
      <c r="AD120" s="24" t="e">
        <f t="shared" ca="1" si="1033"/>
        <v>#NAME?</v>
      </c>
      <c r="AE120" s="24" t="e">
        <f t="shared" ca="1" si="1034"/>
        <v>#NAME?</v>
      </c>
      <c r="AJ120" s="23" t="e">
        <f ca="1">+'QTR Raw'!D58</f>
        <v>#NAME?</v>
      </c>
      <c r="AK120" s="23" t="e">
        <f ca="1">+AJ120+AK48</f>
        <v>#NAME?</v>
      </c>
      <c r="AL120" s="23" t="e">
        <f ca="1">+'QTR Raw'!F58</f>
        <v>#NAME?</v>
      </c>
      <c r="AM120" s="23" t="e">
        <f ca="1">+AL120+AM48</f>
        <v>#NAME?</v>
      </c>
      <c r="AN120" s="23" t="e">
        <f ca="1">+'QTR Raw'!H58</f>
        <v>#NAME?</v>
      </c>
      <c r="AO120" s="23" t="e">
        <f ca="1">+AN120+AO48</f>
        <v>#NAME?</v>
      </c>
      <c r="AP120" s="23" t="e">
        <f ca="1">+'QTR Raw'!J58</f>
        <v>#NAME?</v>
      </c>
      <c r="AQ120" s="23" t="e">
        <f ca="1">+AP120+AQ48</f>
        <v>#NAME?</v>
      </c>
      <c r="AR120" s="23" t="e">
        <f ca="1">+'QTR Raw'!L58</f>
        <v>#NAME?</v>
      </c>
      <c r="AS120" s="23" t="e">
        <f ca="1">+AR120+AS48</f>
        <v>#NAME?</v>
      </c>
      <c r="AT120" s="23" t="e">
        <f ca="1">+'QTR Raw'!N58</f>
        <v>#NAME?</v>
      </c>
      <c r="AU120" s="23" t="e">
        <f ca="1">+AT120+AU48</f>
        <v>#NAME?</v>
      </c>
      <c r="AV120" s="23" t="e">
        <f ca="1">+'QTR Raw'!P58</f>
        <v>#NAME?</v>
      </c>
      <c r="AW120" s="23" t="e">
        <f ca="1">+AV120+AW48</f>
        <v>#NAME?</v>
      </c>
      <c r="AX120" s="23" t="e">
        <f ca="1">+'QTR Raw'!R58</f>
        <v>#NAME?</v>
      </c>
      <c r="AY120" s="23" t="e">
        <f ca="1">+AX120+AY48</f>
        <v>#NAME?</v>
      </c>
      <c r="AZ120" s="23" t="e">
        <f ca="1">+'QTR Raw'!T58</f>
        <v>#NAME?</v>
      </c>
      <c r="BA120" s="23" t="e">
        <f ca="1">+AZ120+BA48</f>
        <v>#NAME?</v>
      </c>
      <c r="BB120" s="23" t="e">
        <f ca="1">+'QTR Raw'!V58</f>
        <v>#NAME?</v>
      </c>
      <c r="BC120" s="23" t="e">
        <f ca="1">+BB120+BC48</f>
        <v>#NAME?</v>
      </c>
      <c r="BD120" s="23" t="e">
        <f ca="1">+'QTR Raw'!X58</f>
        <v>#NAME?</v>
      </c>
      <c r="BE120" s="23" t="e">
        <f ca="1">+BD120+BE48</f>
        <v>#NAME?</v>
      </c>
      <c r="BF120" s="23" t="e">
        <f ca="1">+'QTR Raw'!Z58</f>
        <v>#NAME?</v>
      </c>
      <c r="BG120" s="23" t="e">
        <f ca="1">+BF120+BG48</f>
        <v>#NAME?</v>
      </c>
      <c r="BH120" s="23" t="e">
        <f ca="1">+'QTR Raw'!AB58</f>
        <v>#NAME?</v>
      </c>
      <c r="BI120" s="23" t="e">
        <f ca="1">+BH120+BI48</f>
        <v>#NAME?</v>
      </c>
      <c r="BJ120" s="23" t="e">
        <f ca="1">+'QTR Raw'!AD58</f>
        <v>#NAME?</v>
      </c>
      <c r="BK120" s="23" t="e">
        <f ca="1">+BJ120+BK48</f>
        <v>#NAME?</v>
      </c>
      <c r="BL120" s="23" t="e">
        <f ca="1">+'QTR Raw'!AF58</f>
        <v>#NAME?</v>
      </c>
      <c r="BM120" s="23" t="e">
        <f ca="1">+BL120+BM48</f>
        <v>#NAME?</v>
      </c>
      <c r="BN120" s="23" t="e">
        <f ca="1">+'QTR Raw'!AH58</f>
        <v>#NAME?</v>
      </c>
      <c r="BO120" s="23" t="e">
        <f ca="1">+BN120+BO48</f>
        <v>#NAME?</v>
      </c>
      <c r="BP120" s="23" t="e">
        <f ca="1">+'QTR Raw'!AJ58</f>
        <v>#NAME?</v>
      </c>
      <c r="BQ120" s="23" t="e">
        <f ca="1">+BP120+BQ48</f>
        <v>#NAME?</v>
      </c>
      <c r="BR120" s="23" t="e">
        <f ca="1">+'QTR Raw'!AL58</f>
        <v>#NAME?</v>
      </c>
      <c r="BS120" s="23" t="e">
        <f ca="1">+BR120+BS48</f>
        <v>#NAME?</v>
      </c>
      <c r="BT120" s="23" t="e">
        <f ca="1">+'QTR Raw'!AN58</f>
        <v>#NAME?</v>
      </c>
      <c r="BU120" s="23" t="e">
        <f ca="1">+BT120+BU48</f>
        <v>#NAME?</v>
      </c>
      <c r="BV120" s="23" t="e">
        <f ca="1">+'QTR Raw'!AP58</f>
        <v>#NAME?</v>
      </c>
      <c r="BW120" s="23" t="e">
        <f ca="1">+BV120+BW48</f>
        <v>#NAME?</v>
      </c>
      <c r="BX120" s="23" t="e">
        <f ca="1">+'QTR Raw'!AR58</f>
        <v>#NAME?</v>
      </c>
      <c r="BY120" s="23" t="e">
        <f ca="1">+BX120+BY48</f>
        <v>#NAME?</v>
      </c>
      <c r="BZ120" s="23" t="e">
        <f ca="1">+'QTR Raw'!AT58</f>
        <v>#NAME?</v>
      </c>
      <c r="CA120" s="23" t="e">
        <f ca="1">+BZ120+CA48</f>
        <v>#NAME?</v>
      </c>
      <c r="CB120" s="23" t="e">
        <f ca="1">+'QTR Raw'!AV58</f>
        <v>#NAME?</v>
      </c>
      <c r="CC120" s="23" t="e">
        <f ca="1">+CB120+CC48</f>
        <v>#NAME?</v>
      </c>
      <c r="CD120" s="23" t="e">
        <f ca="1">+'QTR Raw'!AX58</f>
        <v>#NAME?</v>
      </c>
      <c r="CE120" s="23" t="e">
        <f ca="1">+CD120+CE48</f>
        <v>#NAME?</v>
      </c>
      <c r="CF120" s="23" t="e">
        <f ca="1">+'QTR Raw'!AZ58</f>
        <v>#NAME?</v>
      </c>
      <c r="CG120" s="23" t="e">
        <f ca="1">+CF120+CG48</f>
        <v>#NAME?</v>
      </c>
      <c r="CH120" s="23" t="e">
        <f t="shared" ca="1" si="1036"/>
        <v>#NAME?</v>
      </c>
      <c r="CI120" s="23" t="e">
        <f ca="1">CH120+CI48</f>
        <v>#NAME?</v>
      </c>
      <c r="CJ120" s="23" t="e">
        <f ca="1">+'QTR Raw'!BD58</f>
        <v>#NAME?</v>
      </c>
      <c r="CK120" s="24" t="e">
        <f t="shared" ref="CK120:DB120" ca="1" si="1038">CJ120+CK48</f>
        <v>#NAME?</v>
      </c>
      <c r="CL120" s="23" t="e">
        <f ca="1">+'QTR Raw'!BF58</f>
        <v>#NAME?</v>
      </c>
      <c r="CM120" s="24" t="e">
        <f t="shared" ca="1" si="1038"/>
        <v>#NAME?</v>
      </c>
      <c r="CN120" s="24" t="e">
        <f t="shared" ca="1" si="1038"/>
        <v>#NAME?</v>
      </c>
      <c r="CO120" s="24" t="e">
        <f t="shared" ca="1" si="1038"/>
        <v>#NAME?</v>
      </c>
      <c r="CP120" s="24" t="e">
        <f t="shared" ca="1" si="1038"/>
        <v>#NAME?</v>
      </c>
      <c r="CQ120" s="24" t="e">
        <f t="shared" ca="1" si="1038"/>
        <v>#NAME?</v>
      </c>
      <c r="CR120" s="24" t="e">
        <f t="shared" ca="1" si="1038"/>
        <v>#NAME?</v>
      </c>
      <c r="CS120" s="24" t="e">
        <f t="shared" ca="1" si="1038"/>
        <v>#NAME?</v>
      </c>
      <c r="CT120" s="24" t="e">
        <f t="shared" ca="1" si="1038"/>
        <v>#NAME?</v>
      </c>
      <c r="CU120" s="24" t="e">
        <f t="shared" ca="1" si="1038"/>
        <v>#NAME?</v>
      </c>
      <c r="CV120" s="24" t="e">
        <f t="shared" ca="1" si="1038"/>
        <v>#NAME?</v>
      </c>
      <c r="CW120" s="24" t="e">
        <f t="shared" ca="1" si="1038"/>
        <v>#NAME?</v>
      </c>
      <c r="CX120" s="24" t="e">
        <f t="shared" ca="1" si="1038"/>
        <v>#NAME?</v>
      </c>
      <c r="CY120" s="24" t="e">
        <f t="shared" ca="1" si="1038"/>
        <v>#NAME?</v>
      </c>
      <c r="CZ120" s="24" t="e">
        <f t="shared" ca="1" si="1038"/>
        <v>#NAME?</v>
      </c>
      <c r="DA120" s="24" t="e">
        <f t="shared" ca="1" si="1038"/>
        <v>#NAME?</v>
      </c>
      <c r="DB120" s="24" t="e">
        <f t="shared" ca="1" si="1038"/>
        <v>#NAME?</v>
      </c>
      <c r="DE120" s="123"/>
      <c r="DF120" s="23">
        <v>80796.710000000006</v>
      </c>
    </row>
    <row r="121" spans="1:110" s="22" customFormat="1" x14ac:dyDescent="0.2">
      <c r="A121" s="22" t="s">
        <v>44</v>
      </c>
      <c r="B121" s="22" t="e">
        <f ca="1">B118+B119+B120</f>
        <v>#NAME?</v>
      </c>
      <c r="C121" s="22" t="e">
        <f t="shared" ref="C121:V121" ca="1" si="1039">C118+C119+C120</f>
        <v>#NAME?</v>
      </c>
      <c r="D121" s="22" t="e">
        <f t="shared" ca="1" si="1039"/>
        <v>#NAME?</v>
      </c>
      <c r="E121" s="22" t="e">
        <f t="shared" ca="1" si="1039"/>
        <v>#NAME?</v>
      </c>
      <c r="F121" s="22" t="e">
        <f t="shared" ca="1" si="1039"/>
        <v>#NAME?</v>
      </c>
      <c r="G121" s="22" t="e">
        <f t="shared" ca="1" si="1039"/>
        <v>#NAME?</v>
      </c>
      <c r="H121" s="22" t="e">
        <f t="shared" ca="1" si="1039"/>
        <v>#NAME?</v>
      </c>
      <c r="I121" s="22" t="e">
        <f t="shared" ca="1" si="1039"/>
        <v>#NAME?</v>
      </c>
      <c r="J121" s="22" t="e">
        <f t="shared" ca="1" si="1039"/>
        <v>#NAME?</v>
      </c>
      <c r="K121" s="22" t="e">
        <f t="shared" ca="1" si="1039"/>
        <v>#NAME?</v>
      </c>
      <c r="L121" s="22" t="e">
        <f t="shared" ca="1" si="1039"/>
        <v>#NAME?</v>
      </c>
      <c r="M121" s="22" t="e">
        <f ca="1">M118+M119+M120</f>
        <v>#NAME?</v>
      </c>
      <c r="N121" s="22" t="e">
        <f t="shared" ca="1" si="1039"/>
        <v>#NAME?</v>
      </c>
      <c r="O121" s="22" t="e">
        <f t="shared" ca="1" si="1039"/>
        <v>#NAME?</v>
      </c>
      <c r="P121" s="22" t="e">
        <f t="shared" ca="1" si="1039"/>
        <v>#NAME?</v>
      </c>
      <c r="Q121" s="22" t="e">
        <f t="shared" ca="1" si="1039"/>
        <v>#NAME?</v>
      </c>
      <c r="R121" s="22" t="e">
        <f t="shared" ca="1" si="1039"/>
        <v>#NAME?</v>
      </c>
      <c r="S121" s="22" t="e">
        <f t="shared" ca="1" si="1039"/>
        <v>#NAME?</v>
      </c>
      <c r="T121" s="22" t="e">
        <f t="shared" ca="1" si="1039"/>
        <v>#NAME?</v>
      </c>
      <c r="U121" s="22" t="e">
        <f t="shared" ca="1" si="1039"/>
        <v>#NAME?</v>
      </c>
      <c r="V121" s="22" t="e">
        <f t="shared" ca="1" si="1039"/>
        <v>#NAME?</v>
      </c>
      <c r="W121" s="22" t="e">
        <f t="shared" ref="W121" ca="1" si="1040">W118+W119+W120</f>
        <v>#NAME?</v>
      </c>
      <c r="X121" s="22" t="e">
        <f t="shared" ref="X121:Y121" ca="1" si="1041">X118+X119+X120</f>
        <v>#NAME?</v>
      </c>
      <c r="Y121" s="22" t="e">
        <f t="shared" ca="1" si="1041"/>
        <v>#NAME?</v>
      </c>
      <c r="Z121" s="22" t="e">
        <f t="shared" ref="Z121:AA121" ca="1" si="1042">Z118+Z119+Z120</f>
        <v>#NAME?</v>
      </c>
      <c r="AA121" s="22" t="e">
        <f t="shared" ca="1" si="1042"/>
        <v>#NAME?</v>
      </c>
      <c r="AB121" s="21" t="e">
        <f t="shared" ref="AA121:AD121" ca="1" si="1043">AB118+AB119+AB120</f>
        <v>#NAME?</v>
      </c>
      <c r="AC121" s="21" t="e">
        <f t="shared" ca="1" si="1043"/>
        <v>#NAME?</v>
      </c>
      <c r="AD121" s="21" t="e">
        <f t="shared" ca="1" si="1043"/>
        <v>#NAME?</v>
      </c>
      <c r="AE121" s="21" t="e">
        <f t="shared" ref="AE121" ca="1" si="1044">AE118+AE119+AE120</f>
        <v>#NAME?</v>
      </c>
      <c r="AJ121" s="22" t="e">
        <f t="shared" ref="AJ121" ca="1" si="1045">AJ118+AJ119+AJ120</f>
        <v>#NAME?</v>
      </c>
      <c r="AK121" s="22" t="e">
        <f t="shared" ref="AK121" ca="1" si="1046">AK118+AK119+AK120</f>
        <v>#NAME?</v>
      </c>
      <c r="AL121" s="22" t="e">
        <f t="shared" ref="AL121:AM121" ca="1" si="1047">AL118+AL119+AL120</f>
        <v>#NAME?</v>
      </c>
      <c r="AM121" s="22" t="e">
        <f t="shared" ca="1" si="1047"/>
        <v>#NAME?</v>
      </c>
      <c r="AN121" s="22" t="e">
        <f t="shared" ref="AN121:AO121" ca="1" si="1048">AN118+AN119+AN120</f>
        <v>#NAME?</v>
      </c>
      <c r="AO121" s="22" t="e">
        <f t="shared" ca="1" si="1048"/>
        <v>#NAME?</v>
      </c>
      <c r="AP121" s="22" t="e">
        <f t="shared" ref="AP121:CE121" ca="1" si="1049">AP118+AP119+AP120</f>
        <v>#NAME?</v>
      </c>
      <c r="AQ121" s="22" t="e">
        <f t="shared" ca="1" si="1049"/>
        <v>#NAME?</v>
      </c>
      <c r="AR121" s="22" t="e">
        <f t="shared" ca="1" si="1049"/>
        <v>#NAME?</v>
      </c>
      <c r="AS121" s="22" t="e">
        <f t="shared" ca="1" si="1049"/>
        <v>#NAME?</v>
      </c>
      <c r="AT121" s="22" t="e">
        <f t="shared" ca="1" si="1049"/>
        <v>#NAME?</v>
      </c>
      <c r="AU121" s="22" t="e">
        <f t="shared" ca="1" si="1049"/>
        <v>#NAME?</v>
      </c>
      <c r="AV121" s="22" t="e">
        <f t="shared" ca="1" si="1049"/>
        <v>#NAME?</v>
      </c>
      <c r="AW121" s="22" t="e">
        <f t="shared" ca="1" si="1049"/>
        <v>#NAME?</v>
      </c>
      <c r="AX121" s="22" t="e">
        <f t="shared" ca="1" si="1049"/>
        <v>#NAME?</v>
      </c>
      <c r="AY121" s="22" t="e">
        <f t="shared" ca="1" si="1049"/>
        <v>#NAME?</v>
      </c>
      <c r="AZ121" s="22" t="e">
        <f t="shared" ca="1" si="1049"/>
        <v>#NAME?</v>
      </c>
      <c r="BA121" s="22" t="e">
        <f t="shared" ca="1" si="1049"/>
        <v>#NAME?</v>
      </c>
      <c r="BB121" s="22" t="e">
        <f t="shared" ca="1" si="1049"/>
        <v>#NAME?</v>
      </c>
      <c r="BC121" s="22" t="e">
        <f t="shared" ca="1" si="1049"/>
        <v>#NAME?</v>
      </c>
      <c r="BD121" s="22" t="e">
        <f t="shared" ca="1" si="1049"/>
        <v>#NAME?</v>
      </c>
      <c r="BE121" s="22" t="e">
        <f t="shared" ca="1" si="1049"/>
        <v>#NAME?</v>
      </c>
      <c r="BF121" s="22" t="e">
        <f t="shared" ca="1" si="1049"/>
        <v>#NAME?</v>
      </c>
      <c r="BG121" s="22" t="e">
        <f t="shared" ca="1" si="1049"/>
        <v>#NAME?</v>
      </c>
      <c r="BH121" s="22" t="e">
        <f t="shared" ca="1" si="1049"/>
        <v>#NAME?</v>
      </c>
      <c r="BI121" s="22" t="e">
        <f t="shared" ca="1" si="1049"/>
        <v>#NAME?</v>
      </c>
      <c r="BJ121" s="22" t="e">
        <f t="shared" ca="1" si="1049"/>
        <v>#NAME?</v>
      </c>
      <c r="BK121" s="22" t="e">
        <f t="shared" ca="1" si="1049"/>
        <v>#NAME?</v>
      </c>
      <c r="BL121" s="22" t="e">
        <f t="shared" ca="1" si="1049"/>
        <v>#NAME?</v>
      </c>
      <c r="BM121" s="22" t="e">
        <f t="shared" ca="1" si="1049"/>
        <v>#NAME?</v>
      </c>
      <c r="BN121" s="22" t="e">
        <f t="shared" ca="1" si="1049"/>
        <v>#NAME?</v>
      </c>
      <c r="BO121" s="22" t="e">
        <f t="shared" ca="1" si="1049"/>
        <v>#NAME?</v>
      </c>
      <c r="BP121" s="22" t="e">
        <f t="shared" ca="1" si="1049"/>
        <v>#NAME?</v>
      </c>
      <c r="BQ121" s="22" t="e">
        <f t="shared" ca="1" si="1049"/>
        <v>#NAME?</v>
      </c>
      <c r="BR121" s="22" t="e">
        <f t="shared" ca="1" si="1049"/>
        <v>#NAME?</v>
      </c>
      <c r="BS121" s="22" t="e">
        <f t="shared" ca="1" si="1049"/>
        <v>#NAME?</v>
      </c>
      <c r="BT121" s="22" t="e">
        <f t="shared" ca="1" si="1049"/>
        <v>#NAME?</v>
      </c>
      <c r="BU121" s="22" t="e">
        <f t="shared" ca="1" si="1049"/>
        <v>#NAME?</v>
      </c>
      <c r="BV121" s="22" t="e">
        <f t="shared" ca="1" si="1049"/>
        <v>#NAME?</v>
      </c>
      <c r="BW121" s="22" t="e">
        <f t="shared" ca="1" si="1049"/>
        <v>#NAME?</v>
      </c>
      <c r="BX121" s="22" t="e">
        <f t="shared" ca="1" si="1049"/>
        <v>#NAME?</v>
      </c>
      <c r="BY121" s="22" t="e">
        <f t="shared" ca="1" si="1049"/>
        <v>#NAME?</v>
      </c>
      <c r="BZ121" s="22" t="e">
        <f t="shared" ca="1" si="1049"/>
        <v>#NAME?</v>
      </c>
      <c r="CA121" s="22" t="e">
        <f t="shared" ca="1" si="1049"/>
        <v>#NAME?</v>
      </c>
      <c r="CB121" s="22" t="e">
        <f t="shared" ca="1" si="1049"/>
        <v>#NAME?</v>
      </c>
      <c r="CC121" s="22" t="e">
        <f t="shared" ca="1" si="1049"/>
        <v>#NAME?</v>
      </c>
      <c r="CD121" s="22" t="e">
        <f t="shared" ca="1" si="1049"/>
        <v>#NAME?</v>
      </c>
      <c r="CE121" s="22" t="e">
        <f t="shared" ca="1" si="1049"/>
        <v>#NAME?</v>
      </c>
      <c r="CF121" s="22" t="e">
        <f t="shared" ref="CF121:CG121" ca="1" si="1050">CF118+CF119+CF120</f>
        <v>#NAME?</v>
      </c>
      <c r="CG121" s="22" t="e">
        <f t="shared" ca="1" si="1050"/>
        <v>#NAME?</v>
      </c>
      <c r="CH121" s="22" t="e">
        <f t="shared" ref="CH121:CI121" ca="1" si="1051">CH118+CH119+CH120</f>
        <v>#NAME?</v>
      </c>
      <c r="CI121" s="22" t="e">
        <f t="shared" ca="1" si="1051"/>
        <v>#NAME?</v>
      </c>
      <c r="CJ121" s="22" t="e">
        <f t="shared" ref="CJ121:DB121" ca="1" si="1052">CJ118+CJ119+CJ120</f>
        <v>#NAME?</v>
      </c>
      <c r="CK121" s="21" t="e">
        <f t="shared" ca="1" si="1052"/>
        <v>#NAME?</v>
      </c>
      <c r="CL121" s="22" t="e">
        <f t="shared" ref="CL121" ca="1" si="1053">CL118+CL119+CL120</f>
        <v>#NAME?</v>
      </c>
      <c r="CM121" s="21" t="e">
        <f t="shared" ca="1" si="1052"/>
        <v>#NAME?</v>
      </c>
      <c r="CN121" s="21" t="e">
        <f t="shared" ca="1" si="1052"/>
        <v>#NAME?</v>
      </c>
      <c r="CO121" s="21" t="e">
        <f t="shared" ca="1" si="1052"/>
        <v>#NAME?</v>
      </c>
      <c r="CP121" s="21" t="e">
        <f t="shared" ca="1" si="1052"/>
        <v>#NAME?</v>
      </c>
      <c r="CQ121" s="21" t="e">
        <f t="shared" ca="1" si="1052"/>
        <v>#NAME?</v>
      </c>
      <c r="CR121" s="21" t="e">
        <f t="shared" ca="1" si="1052"/>
        <v>#NAME?</v>
      </c>
      <c r="CS121" s="21" t="e">
        <f t="shared" ca="1" si="1052"/>
        <v>#NAME?</v>
      </c>
      <c r="CT121" s="21" t="e">
        <f t="shared" ca="1" si="1052"/>
        <v>#NAME?</v>
      </c>
      <c r="CU121" s="21" t="e">
        <f t="shared" ca="1" si="1052"/>
        <v>#NAME?</v>
      </c>
      <c r="CV121" s="21" t="e">
        <f t="shared" ca="1" si="1052"/>
        <v>#NAME?</v>
      </c>
      <c r="CW121" s="21" t="e">
        <f t="shared" ca="1" si="1052"/>
        <v>#NAME?</v>
      </c>
      <c r="CX121" s="21" t="e">
        <f t="shared" ca="1" si="1052"/>
        <v>#NAME?</v>
      </c>
      <c r="CY121" s="21" t="e">
        <f t="shared" ca="1" si="1052"/>
        <v>#NAME?</v>
      </c>
      <c r="CZ121" s="21" t="e">
        <f t="shared" ca="1" si="1052"/>
        <v>#NAME?</v>
      </c>
      <c r="DA121" s="21" t="e">
        <f t="shared" ca="1" si="1052"/>
        <v>#NAME?</v>
      </c>
      <c r="DB121" s="21" t="e">
        <f t="shared" ca="1" si="1052"/>
        <v>#NAME?</v>
      </c>
      <c r="DE121" s="126"/>
      <c r="DF121" s="22">
        <v>80925.950000000012</v>
      </c>
    </row>
    <row r="122" spans="1:110" s="22" customFormat="1" x14ac:dyDescent="0.2">
      <c r="AB122" s="21"/>
      <c r="AC122" s="21"/>
      <c r="AD122" s="21"/>
      <c r="AE122" s="21"/>
      <c r="CK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E122" s="126"/>
    </row>
    <row r="123" spans="1:110" s="23" customFormat="1" x14ac:dyDescent="0.2">
      <c r="A123" s="23" t="s">
        <v>23</v>
      </c>
      <c r="B123" s="23" t="e">
        <f ca="1">'Annual Raw'!C45</f>
        <v>#NAME?</v>
      </c>
      <c r="C123" s="23" t="e">
        <f ca="1">'Annual Raw'!D45</f>
        <v>#NAME?</v>
      </c>
      <c r="D123" s="23" t="e">
        <f ca="1">'Annual Raw'!E45</f>
        <v>#NAME?</v>
      </c>
      <c r="E123" s="23" t="e">
        <f ca="1">'Annual Raw'!F45</f>
        <v>#NAME?</v>
      </c>
      <c r="F123" s="23" t="e">
        <f ca="1">'Annual Raw'!G45</f>
        <v>#NAME?</v>
      </c>
      <c r="G123" s="23" t="e">
        <f ca="1">'Annual Raw'!H45</f>
        <v>#NAME?</v>
      </c>
      <c r="H123" s="23" t="e">
        <f ca="1">'Annual Raw'!I45</f>
        <v>#NAME?</v>
      </c>
      <c r="I123" s="23" t="e">
        <f ca="1">'Annual Raw'!J45</f>
        <v>#NAME?</v>
      </c>
      <c r="J123" s="23" t="e">
        <f ca="1">'Annual Raw'!K45</f>
        <v>#NAME?</v>
      </c>
      <c r="K123" s="23" t="e">
        <f ca="1">'Annual Raw'!L45</f>
        <v>#NAME?</v>
      </c>
      <c r="L123" s="23" t="e">
        <f ca="1">'Annual Raw'!M45</f>
        <v>#NAME?</v>
      </c>
      <c r="M123" s="23" t="e">
        <f ca="1">'Annual Raw'!N45</f>
        <v>#NAME?</v>
      </c>
      <c r="N123" s="23" t="e">
        <f ca="1">'Annual Raw'!O45</f>
        <v>#NAME?</v>
      </c>
      <c r="O123" s="23" t="e">
        <f ca="1">'Annual Raw'!P45</f>
        <v>#NAME?</v>
      </c>
      <c r="P123" s="23" t="e">
        <f ca="1">'Annual Raw'!Q45</f>
        <v>#NAME?</v>
      </c>
      <c r="Q123" s="23" t="e">
        <f ca="1">'Annual Raw'!R45</f>
        <v>#NAME?</v>
      </c>
      <c r="R123" s="23" t="e">
        <f ca="1">'Annual Raw'!S45</f>
        <v>#NAME?</v>
      </c>
      <c r="S123" s="23" t="e">
        <f ca="1">'Annual Raw'!T45</f>
        <v>#NAME?</v>
      </c>
      <c r="T123" s="23" t="e">
        <f ca="1">'Annual Raw'!U45</f>
        <v>#NAME?</v>
      </c>
      <c r="U123" s="23" t="e">
        <f ca="1">'Annual Raw'!V45</f>
        <v>#NAME?</v>
      </c>
      <c r="V123" s="23" t="e">
        <f ca="1">'Annual Raw'!W45</f>
        <v>#NAME?</v>
      </c>
      <c r="W123" s="23" t="e">
        <f ca="1">'Annual Raw'!X45</f>
        <v>#NAME?</v>
      </c>
      <c r="X123" s="23" t="e">
        <f ca="1">'Annual Raw'!Y45</f>
        <v>#NAME?</v>
      </c>
      <c r="Y123" s="23" t="e">
        <f ca="1">'Annual Raw'!Z45</f>
        <v>#NAME?</v>
      </c>
      <c r="Z123" s="23" t="e">
        <f ca="1">'Annual Raw'!AA45</f>
        <v>#NAME?</v>
      </c>
      <c r="AA123" s="23" t="e">
        <f ca="1">'Annual Raw'!AB45</f>
        <v>#NAME?</v>
      </c>
      <c r="AB123" s="24" t="e">
        <f ca="1">+CP123</f>
        <v>#NAME?</v>
      </c>
      <c r="AC123" s="24" t="e">
        <f ca="1">+CT123</f>
        <v>#NAME?</v>
      </c>
      <c r="AD123" s="24" t="e">
        <f ca="1">+CX123</f>
        <v>#NAME?</v>
      </c>
      <c r="AE123" s="24" t="e">
        <f ca="1">+DB123</f>
        <v>#NAME?</v>
      </c>
      <c r="AJ123" s="23" t="e">
        <f ca="1">+'QTR Raw'!D60</f>
        <v>#NAME?</v>
      </c>
      <c r="AK123" s="23" t="e">
        <f t="shared" ref="AK123:CE123" ca="1" si="1054">+AJ123</f>
        <v>#NAME?</v>
      </c>
      <c r="AL123" s="23" t="e">
        <f ca="1">+'QTR Raw'!F60</f>
        <v>#NAME?</v>
      </c>
      <c r="AM123" s="23" t="e">
        <f t="shared" ca="1" si="1054"/>
        <v>#NAME?</v>
      </c>
      <c r="AN123" s="23" t="e">
        <f ca="1">+'QTR Raw'!H60</f>
        <v>#NAME?</v>
      </c>
      <c r="AO123" s="23" t="e">
        <f t="shared" ca="1" si="1054"/>
        <v>#NAME?</v>
      </c>
      <c r="AP123" s="23" t="e">
        <f ca="1">+'QTR Raw'!J60</f>
        <v>#NAME?</v>
      </c>
      <c r="AQ123" s="23" t="e">
        <f t="shared" ca="1" si="1054"/>
        <v>#NAME?</v>
      </c>
      <c r="AR123" s="23" t="e">
        <f ca="1">+'QTR Raw'!L60</f>
        <v>#NAME?</v>
      </c>
      <c r="AS123" s="23" t="e">
        <f t="shared" ca="1" si="1054"/>
        <v>#NAME?</v>
      </c>
      <c r="AT123" s="23" t="e">
        <f ca="1">+'QTR Raw'!N60</f>
        <v>#NAME?</v>
      </c>
      <c r="AU123" s="23" t="e">
        <f t="shared" ca="1" si="1054"/>
        <v>#NAME?</v>
      </c>
      <c r="AV123" s="23" t="e">
        <f ca="1">+'QTR Raw'!P60</f>
        <v>#NAME?</v>
      </c>
      <c r="AW123" s="23" t="e">
        <f t="shared" ca="1" si="1054"/>
        <v>#NAME?</v>
      </c>
      <c r="AX123" s="23" t="e">
        <f ca="1">+'QTR Raw'!R60</f>
        <v>#NAME?</v>
      </c>
      <c r="AY123" s="23" t="e">
        <f t="shared" ca="1" si="1054"/>
        <v>#NAME?</v>
      </c>
      <c r="AZ123" s="23" t="e">
        <f ca="1">+'QTR Raw'!T60</f>
        <v>#NAME?</v>
      </c>
      <c r="BA123" s="23" t="e">
        <f t="shared" ca="1" si="1054"/>
        <v>#NAME?</v>
      </c>
      <c r="BB123" s="23" t="e">
        <f ca="1">+'QTR Raw'!V60</f>
        <v>#NAME?</v>
      </c>
      <c r="BC123" s="23" t="e">
        <f t="shared" ca="1" si="1054"/>
        <v>#NAME?</v>
      </c>
      <c r="BD123" s="23" t="e">
        <f ca="1">+'QTR Raw'!X60</f>
        <v>#NAME?</v>
      </c>
      <c r="BE123" s="23" t="e">
        <f t="shared" ca="1" si="1054"/>
        <v>#NAME?</v>
      </c>
      <c r="BF123" s="23" t="e">
        <f ca="1">+'QTR Raw'!Z60</f>
        <v>#NAME?</v>
      </c>
      <c r="BG123" s="23" t="e">
        <f t="shared" ca="1" si="1054"/>
        <v>#NAME?</v>
      </c>
      <c r="BH123" s="22" t="e">
        <f ca="1">+'QTR Raw'!AB60</f>
        <v>#NAME?</v>
      </c>
      <c r="BI123" s="23" t="e">
        <f t="shared" ca="1" si="1054"/>
        <v>#NAME?</v>
      </c>
      <c r="BJ123" s="23" t="e">
        <f ca="1">+'QTR Raw'!AD60</f>
        <v>#NAME?</v>
      </c>
      <c r="BK123" s="23" t="e">
        <f t="shared" ca="1" si="1054"/>
        <v>#NAME?</v>
      </c>
      <c r="BL123" s="23" t="e">
        <f ca="1">+'QTR Raw'!AF60</f>
        <v>#NAME?</v>
      </c>
      <c r="BM123" s="23" t="e">
        <f t="shared" ca="1" si="1054"/>
        <v>#NAME?</v>
      </c>
      <c r="BN123" s="23" t="e">
        <f ca="1">+'QTR Raw'!AH60</f>
        <v>#NAME?</v>
      </c>
      <c r="BO123" s="23" t="e">
        <f t="shared" ca="1" si="1054"/>
        <v>#NAME?</v>
      </c>
      <c r="BP123" s="23" t="e">
        <f ca="1">+'QTR Raw'!AJ60</f>
        <v>#NAME?</v>
      </c>
      <c r="BQ123" s="23" t="e">
        <f t="shared" ca="1" si="1054"/>
        <v>#NAME?</v>
      </c>
      <c r="BR123" s="23" t="e">
        <f ca="1">+'QTR Raw'!AL60</f>
        <v>#NAME?</v>
      </c>
      <c r="BS123" s="23" t="e">
        <f t="shared" ca="1" si="1054"/>
        <v>#NAME?</v>
      </c>
      <c r="BT123" s="23" t="e">
        <f ca="1">+'QTR Raw'!AN60</f>
        <v>#NAME?</v>
      </c>
      <c r="BU123" s="23" t="e">
        <f t="shared" ca="1" si="1054"/>
        <v>#NAME?</v>
      </c>
      <c r="BV123" s="23" t="e">
        <f ca="1">+'QTR Raw'!AP60</f>
        <v>#NAME?</v>
      </c>
      <c r="BW123" s="23" t="e">
        <f t="shared" ca="1" si="1054"/>
        <v>#NAME?</v>
      </c>
      <c r="BX123" s="23" t="e">
        <f ca="1">+'QTR Raw'!AR60</f>
        <v>#NAME?</v>
      </c>
      <c r="BY123" s="23" t="e">
        <f t="shared" ca="1" si="1054"/>
        <v>#NAME?</v>
      </c>
      <c r="BZ123" s="23" t="e">
        <f ca="1">+'QTR Raw'!AT60</f>
        <v>#NAME?</v>
      </c>
      <c r="CA123" s="23" t="e">
        <f t="shared" ca="1" si="1054"/>
        <v>#NAME?</v>
      </c>
      <c r="CB123" s="23" t="e">
        <f ca="1">+'QTR Raw'!AV60</f>
        <v>#NAME?</v>
      </c>
      <c r="CC123" s="23" t="e">
        <f t="shared" ca="1" si="1054"/>
        <v>#NAME?</v>
      </c>
      <c r="CD123" s="23" t="e">
        <f ca="1">+'QTR Raw'!AX60</f>
        <v>#NAME?</v>
      </c>
      <c r="CE123" s="23" t="e">
        <f t="shared" ca="1" si="1054"/>
        <v>#NAME?</v>
      </c>
      <c r="CF123" s="23" t="e">
        <f ca="1">+'QTR Raw'!AZ60</f>
        <v>#NAME?</v>
      </c>
      <c r="CG123" s="23" t="e">
        <f t="shared" ref="CG123:CI123" ca="1" si="1055">+CF123</f>
        <v>#NAME?</v>
      </c>
      <c r="CH123" s="23" t="e">
        <f t="shared" ref="CH123:CH128" ca="1" si="1056">Z123</f>
        <v>#NAME?</v>
      </c>
      <c r="CI123" s="23" t="e">
        <f t="shared" ca="1" si="1055"/>
        <v>#NAME?</v>
      </c>
      <c r="CJ123" s="23" t="e">
        <f ca="1">+'QTR Raw'!BD60</f>
        <v>#NAME?</v>
      </c>
      <c r="CK123" s="24" t="e">
        <f t="shared" ref="CK123" ca="1" si="1057">+CJ123</f>
        <v>#NAME?</v>
      </c>
      <c r="CL123" s="23" t="e">
        <f ca="1">+'QTR Raw'!BF60</f>
        <v>#NAME?</v>
      </c>
      <c r="CM123" s="24" t="e">
        <f t="shared" ref="CM123" ca="1" si="1058">+CL123</f>
        <v>#NAME?</v>
      </c>
      <c r="CN123" s="24" t="e">
        <f t="shared" ref="CN123" ca="1" si="1059">+CM123</f>
        <v>#NAME?</v>
      </c>
      <c r="CO123" s="24" t="e">
        <f t="shared" ref="CO123" ca="1" si="1060">+CN123</f>
        <v>#NAME?</v>
      </c>
      <c r="CP123" s="24" t="e">
        <f t="shared" ref="CP123" ca="1" si="1061">+CO123</f>
        <v>#NAME?</v>
      </c>
      <c r="CQ123" s="24" t="e">
        <f t="shared" ref="CQ123" ca="1" si="1062">+CP123</f>
        <v>#NAME?</v>
      </c>
      <c r="CR123" s="24" t="e">
        <f t="shared" ref="CR123" ca="1" si="1063">+CQ123</f>
        <v>#NAME?</v>
      </c>
      <c r="CS123" s="24" t="e">
        <f t="shared" ref="CS123" ca="1" si="1064">+CR123</f>
        <v>#NAME?</v>
      </c>
      <c r="CT123" s="24" t="e">
        <f t="shared" ref="CT123" ca="1" si="1065">+CS123</f>
        <v>#NAME?</v>
      </c>
      <c r="CU123" s="24" t="e">
        <f t="shared" ref="CU123" ca="1" si="1066">+CT123</f>
        <v>#NAME?</v>
      </c>
      <c r="CV123" s="24" t="e">
        <f t="shared" ref="CV123" ca="1" si="1067">+CU123</f>
        <v>#NAME?</v>
      </c>
      <c r="CW123" s="24" t="e">
        <f t="shared" ref="CW123" ca="1" si="1068">+CV123</f>
        <v>#NAME?</v>
      </c>
      <c r="CX123" s="24" t="e">
        <f t="shared" ref="CX123" ca="1" si="1069">+CW123</f>
        <v>#NAME?</v>
      </c>
      <c r="CY123" s="24" t="e">
        <f t="shared" ref="CY123" ca="1" si="1070">+CX123</f>
        <v>#NAME?</v>
      </c>
      <c r="CZ123" s="24" t="e">
        <f t="shared" ref="CZ123" ca="1" si="1071">+CY123</f>
        <v>#NAME?</v>
      </c>
      <c r="DA123" s="24" t="e">
        <f t="shared" ref="DA123" ca="1" si="1072">+CZ123</f>
        <v>#NAME?</v>
      </c>
      <c r="DB123" s="24" t="e">
        <f t="shared" ref="DB123" ca="1" si="1073">+DA123</f>
        <v>#NAME?</v>
      </c>
      <c r="DE123" s="123"/>
      <c r="DF123" s="23">
        <v>8252.2999999999993</v>
      </c>
    </row>
    <row r="124" spans="1:110" s="23" customFormat="1" x14ac:dyDescent="0.2">
      <c r="AB124" s="24"/>
      <c r="AC124" s="24"/>
      <c r="AD124" s="24"/>
      <c r="AE124" s="24"/>
      <c r="BH124" s="22"/>
      <c r="CK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E124" s="123"/>
    </row>
    <row r="125" spans="1:110" s="23" customFormat="1" outlineLevel="1" x14ac:dyDescent="0.2">
      <c r="A125" s="23" t="s">
        <v>45</v>
      </c>
      <c r="B125" s="23" t="e">
        <f ca="1">'Annual Raw'!C47</f>
        <v>#NAME?</v>
      </c>
      <c r="C125" s="23" t="e">
        <f ca="1">'Annual Raw'!D47</f>
        <v>#NAME?</v>
      </c>
      <c r="D125" s="23" t="e">
        <f ca="1">'Annual Raw'!E47</f>
        <v>#NAME?</v>
      </c>
      <c r="E125" s="23" t="e">
        <f ca="1">'Annual Raw'!F47</f>
        <v>#NAME?</v>
      </c>
      <c r="F125" s="23" t="e">
        <f ca="1">'Annual Raw'!G47</f>
        <v>#NAME?</v>
      </c>
      <c r="G125" s="23" t="e">
        <f ca="1">'Annual Raw'!H47</f>
        <v>#NAME?</v>
      </c>
      <c r="H125" s="23" t="e">
        <f ca="1">'Annual Raw'!I47</f>
        <v>#NAME?</v>
      </c>
      <c r="I125" s="23" t="e">
        <f ca="1">'Annual Raw'!J47</f>
        <v>#NAME?</v>
      </c>
      <c r="J125" s="23" t="e">
        <f ca="1">'Annual Raw'!K47</f>
        <v>#NAME?</v>
      </c>
      <c r="K125" s="23" t="e">
        <f ca="1">'Annual Raw'!L47</f>
        <v>#NAME?</v>
      </c>
      <c r="L125" s="23" t="e">
        <f ca="1">'Annual Raw'!M47</f>
        <v>#NAME?</v>
      </c>
      <c r="M125" s="23" t="e">
        <f ca="1">'Annual Raw'!N47</f>
        <v>#NAME?</v>
      </c>
      <c r="N125" s="23" t="e">
        <f ca="1">'Annual Raw'!O47</f>
        <v>#NAME?</v>
      </c>
      <c r="O125" s="23" t="e">
        <f ca="1">'Annual Raw'!P47</f>
        <v>#NAME?</v>
      </c>
      <c r="P125" s="23" t="e">
        <f ca="1">'Annual Raw'!Q47</f>
        <v>#NAME?</v>
      </c>
      <c r="Q125" s="23" t="e">
        <f ca="1">'Annual Raw'!R47</f>
        <v>#NAME?</v>
      </c>
      <c r="R125" s="23" t="e">
        <f ca="1">'Annual Raw'!S47</f>
        <v>#NAME?</v>
      </c>
      <c r="S125" s="23" t="e">
        <f ca="1">'Annual Raw'!T47</f>
        <v>#NAME?</v>
      </c>
      <c r="T125" s="23" t="e">
        <f ca="1">'Annual Raw'!U47</f>
        <v>#NAME?</v>
      </c>
      <c r="U125" s="23" t="e">
        <f ca="1">'Annual Raw'!V47</f>
        <v>#NAME?</v>
      </c>
      <c r="V125" s="23" t="e">
        <f ca="1">'Annual Raw'!W47</f>
        <v>#NAME?</v>
      </c>
      <c r="W125" s="23" t="e">
        <f ca="1">'Annual Raw'!X47</f>
        <v>#NAME?</v>
      </c>
      <c r="X125" s="23" t="e">
        <f ca="1">'Annual Raw'!Y47</f>
        <v>#NAME?</v>
      </c>
      <c r="Y125" s="23" t="e">
        <f ca="1">'Annual Raw'!Z47</f>
        <v>#NAME?</v>
      </c>
      <c r="Z125" s="23" t="e">
        <f ca="1">'Annual Raw'!AA47</f>
        <v>#NAME?</v>
      </c>
      <c r="AA125" s="23" t="e">
        <f ca="1">'Annual Raw'!AB47</f>
        <v>#NAME?</v>
      </c>
      <c r="AB125" s="24" t="e">
        <f t="shared" ref="AB125:AB128" ca="1" si="1074">+CP125</f>
        <v>#NAME?</v>
      </c>
      <c r="AC125" s="24" t="e">
        <f t="shared" ref="AC125:AC128" ca="1" si="1075">+CT125</f>
        <v>#NAME?</v>
      </c>
      <c r="AD125" s="24" t="e">
        <f t="shared" ref="AD125:AD128" ca="1" si="1076">+CX125</f>
        <v>#NAME?</v>
      </c>
      <c r="AE125" s="24" t="e">
        <f t="shared" ref="AE125:AE128" ca="1" si="1077">+DB125</f>
        <v>#NAME?</v>
      </c>
      <c r="AJ125" s="23" t="e">
        <f ca="1">+'QTR Raw'!D62</f>
        <v>#NAME?</v>
      </c>
      <c r="AK125" s="23" t="e">
        <f t="shared" ref="AK125:CC128" ca="1" si="1078">+AJ125</f>
        <v>#NAME?</v>
      </c>
      <c r="AL125" s="23" t="e">
        <f ca="1">+'QTR Raw'!F62</f>
        <v>#NAME?</v>
      </c>
      <c r="AM125" s="23" t="e">
        <f t="shared" ca="1" si="1078"/>
        <v>#NAME?</v>
      </c>
      <c r="AN125" s="23" t="e">
        <f ca="1">+'QTR Raw'!H62</f>
        <v>#NAME?</v>
      </c>
      <c r="AO125" s="23" t="e">
        <f t="shared" ca="1" si="1078"/>
        <v>#NAME?</v>
      </c>
      <c r="AP125" s="23" t="e">
        <f ca="1">+'QTR Raw'!J62</f>
        <v>#NAME?</v>
      </c>
      <c r="AQ125" s="23" t="e">
        <f t="shared" ca="1" si="1078"/>
        <v>#NAME?</v>
      </c>
      <c r="AR125" s="23" t="e">
        <f ca="1">+'QTR Raw'!L62</f>
        <v>#NAME?</v>
      </c>
      <c r="AS125" s="23" t="e">
        <f t="shared" ca="1" si="1078"/>
        <v>#NAME?</v>
      </c>
      <c r="AT125" s="23" t="e">
        <f ca="1">+'QTR Raw'!N62</f>
        <v>#NAME?</v>
      </c>
      <c r="AU125" s="23" t="e">
        <f t="shared" ca="1" si="1078"/>
        <v>#NAME?</v>
      </c>
      <c r="AV125" s="23" t="e">
        <f ca="1">+'QTR Raw'!P62</f>
        <v>#NAME?</v>
      </c>
      <c r="AW125" s="23" t="e">
        <f t="shared" ca="1" si="1078"/>
        <v>#NAME?</v>
      </c>
      <c r="AX125" s="23" t="e">
        <f ca="1">+'QTR Raw'!R62</f>
        <v>#NAME?</v>
      </c>
      <c r="AY125" s="23" t="e">
        <f t="shared" ca="1" si="1078"/>
        <v>#NAME?</v>
      </c>
      <c r="AZ125" s="23" t="e">
        <f ca="1">+'QTR Raw'!T62</f>
        <v>#NAME?</v>
      </c>
      <c r="BA125" s="23" t="e">
        <f t="shared" ca="1" si="1078"/>
        <v>#NAME?</v>
      </c>
      <c r="BB125" s="23" t="e">
        <f ca="1">+'QTR Raw'!V62</f>
        <v>#NAME?</v>
      </c>
      <c r="BC125" s="23" t="e">
        <f t="shared" ca="1" si="1078"/>
        <v>#NAME?</v>
      </c>
      <c r="BD125" s="23" t="e">
        <f ca="1">+'QTR Raw'!X62</f>
        <v>#NAME?</v>
      </c>
      <c r="BE125" s="23" t="e">
        <f t="shared" ca="1" si="1078"/>
        <v>#NAME?</v>
      </c>
      <c r="BF125" s="23" t="e">
        <f ca="1">+'QTR Raw'!Z62</f>
        <v>#NAME?</v>
      </c>
      <c r="BG125" s="23" t="e">
        <f t="shared" ca="1" si="1078"/>
        <v>#NAME?</v>
      </c>
      <c r="BH125" s="22" t="e">
        <f ca="1">+'QTR Raw'!AB62</f>
        <v>#NAME?</v>
      </c>
      <c r="BI125" s="23" t="e">
        <f t="shared" ca="1" si="1078"/>
        <v>#NAME?</v>
      </c>
      <c r="BJ125" s="23" t="e">
        <f ca="1">+'QTR Raw'!AD62</f>
        <v>#NAME?</v>
      </c>
      <c r="BK125" s="23" t="e">
        <f t="shared" ca="1" si="1078"/>
        <v>#NAME?</v>
      </c>
      <c r="BL125" s="23" t="e">
        <f ca="1">+'QTR Raw'!AF62</f>
        <v>#NAME?</v>
      </c>
      <c r="BM125" s="23" t="e">
        <f t="shared" ca="1" si="1078"/>
        <v>#NAME?</v>
      </c>
      <c r="BN125" s="23" t="e">
        <f ca="1">+'QTR Raw'!AH62</f>
        <v>#NAME?</v>
      </c>
      <c r="BO125" s="23" t="e">
        <f t="shared" ca="1" si="1078"/>
        <v>#NAME?</v>
      </c>
      <c r="BP125" s="23" t="e">
        <f ca="1">+'QTR Raw'!AJ62</f>
        <v>#NAME?</v>
      </c>
      <c r="BQ125" s="23" t="e">
        <f t="shared" ca="1" si="1078"/>
        <v>#NAME?</v>
      </c>
      <c r="BR125" s="23" t="e">
        <f ca="1">+'QTR Raw'!AL62</f>
        <v>#NAME?</v>
      </c>
      <c r="BS125" s="23" t="e">
        <f t="shared" ca="1" si="1078"/>
        <v>#NAME?</v>
      </c>
      <c r="BT125" s="23" t="e">
        <f ca="1">+'QTR Raw'!AN62</f>
        <v>#NAME?</v>
      </c>
      <c r="BU125" s="23" t="e">
        <f t="shared" ca="1" si="1078"/>
        <v>#NAME?</v>
      </c>
      <c r="BV125" s="23" t="e">
        <f ca="1">+'QTR Raw'!AP62</f>
        <v>#NAME?</v>
      </c>
      <c r="BW125" s="23" t="e">
        <f t="shared" ca="1" si="1078"/>
        <v>#NAME?</v>
      </c>
      <c r="BX125" s="23" t="e">
        <f ca="1">+'QTR Raw'!AR62</f>
        <v>#NAME?</v>
      </c>
      <c r="BY125" s="23" t="e">
        <f t="shared" ca="1" si="1078"/>
        <v>#NAME?</v>
      </c>
      <c r="BZ125" s="23" t="e">
        <f ca="1">+'QTR Raw'!AT62</f>
        <v>#NAME?</v>
      </c>
      <c r="CA125" s="23" t="e">
        <f t="shared" ca="1" si="1078"/>
        <v>#NAME?</v>
      </c>
      <c r="CB125" s="23" t="e">
        <f ca="1">+'QTR Raw'!AV62</f>
        <v>#NAME?</v>
      </c>
      <c r="CC125" s="23" t="e">
        <f t="shared" ca="1" si="1078"/>
        <v>#NAME?</v>
      </c>
      <c r="CD125" s="23" t="e">
        <f ca="1">+'QTR Raw'!AX62</f>
        <v>#NAME?</v>
      </c>
      <c r="CE125" s="23" t="e">
        <f t="shared" ref="CE125:CE128" ca="1" si="1079">+CD125</f>
        <v>#NAME?</v>
      </c>
      <c r="CF125" s="23" t="e">
        <f ca="1">+'QTR Raw'!AZ62</f>
        <v>#NAME?</v>
      </c>
      <c r="CG125" s="23" t="e">
        <f t="shared" ref="CG125:CI128" ca="1" si="1080">+CF125</f>
        <v>#NAME?</v>
      </c>
      <c r="CH125" s="23" t="e">
        <f t="shared" ca="1" si="1056"/>
        <v>#NAME?</v>
      </c>
      <c r="CI125" s="23" t="e">
        <f t="shared" ca="1" si="1080"/>
        <v>#NAME?</v>
      </c>
      <c r="CJ125" s="23" t="e">
        <f ca="1">+'QTR Raw'!BD62</f>
        <v>#NAME?</v>
      </c>
      <c r="CK125" s="24" t="e">
        <f t="shared" ref="CK125:CK128" ca="1" si="1081">+CJ125</f>
        <v>#NAME?</v>
      </c>
      <c r="CL125" s="23" t="e">
        <f ca="1">+'QTR Raw'!BF62</f>
        <v>#NAME?</v>
      </c>
      <c r="CM125" s="24" t="e">
        <f t="shared" ref="CM125:CM128" ca="1" si="1082">+CL125</f>
        <v>#NAME?</v>
      </c>
      <c r="CN125" s="24" t="e">
        <f t="shared" ref="CN125:CN128" ca="1" si="1083">+CM125</f>
        <v>#NAME?</v>
      </c>
      <c r="CO125" s="24" t="e">
        <f t="shared" ref="CO125:CO128" ca="1" si="1084">+CN125</f>
        <v>#NAME?</v>
      </c>
      <c r="CP125" s="24" t="e">
        <f t="shared" ref="CP125:CP128" ca="1" si="1085">+CO125</f>
        <v>#NAME?</v>
      </c>
      <c r="CQ125" s="24" t="e">
        <f t="shared" ref="CQ125:CQ128" ca="1" si="1086">+CP125</f>
        <v>#NAME?</v>
      </c>
      <c r="CR125" s="24" t="e">
        <f t="shared" ref="CR125:CR128" ca="1" si="1087">+CQ125</f>
        <v>#NAME?</v>
      </c>
      <c r="CS125" s="24" t="e">
        <f t="shared" ref="CS125:CS128" ca="1" si="1088">+CR125</f>
        <v>#NAME?</v>
      </c>
      <c r="CT125" s="24" t="e">
        <f t="shared" ref="CT125:CT128" ca="1" si="1089">+CS125</f>
        <v>#NAME?</v>
      </c>
      <c r="CU125" s="24" t="e">
        <f t="shared" ref="CU125:CU128" ca="1" si="1090">+CT125</f>
        <v>#NAME?</v>
      </c>
      <c r="CV125" s="24" t="e">
        <f t="shared" ref="CV125:CV128" ca="1" si="1091">+CU125</f>
        <v>#NAME?</v>
      </c>
      <c r="CW125" s="24" t="e">
        <f t="shared" ref="CW125:CW128" ca="1" si="1092">+CV125</f>
        <v>#NAME?</v>
      </c>
      <c r="CX125" s="24" t="e">
        <f t="shared" ref="CX125:CX128" ca="1" si="1093">+CW125</f>
        <v>#NAME?</v>
      </c>
      <c r="CY125" s="24" t="e">
        <f t="shared" ref="CY125:CY128" ca="1" si="1094">+CX125</f>
        <v>#NAME?</v>
      </c>
      <c r="CZ125" s="24" t="e">
        <f t="shared" ref="CZ125:CZ128" ca="1" si="1095">+CY125</f>
        <v>#NAME?</v>
      </c>
      <c r="DA125" s="24" t="e">
        <f t="shared" ref="DA125:DA128" ca="1" si="1096">+CZ125</f>
        <v>#NAME?</v>
      </c>
      <c r="DB125" s="24" t="e">
        <f t="shared" ref="DB125:DB128" ca="1" si="1097">+DA125</f>
        <v>#NAME?</v>
      </c>
      <c r="DE125" s="123"/>
      <c r="DF125" s="23">
        <v>0</v>
      </c>
    </row>
    <row r="126" spans="1:110" s="23" customFormat="1" outlineLevel="1" x14ac:dyDescent="0.2">
      <c r="A126" s="23" t="s">
        <v>46</v>
      </c>
      <c r="B126" s="23" t="e">
        <f ca="1">'Annual Raw'!C48</f>
        <v>#NAME?</v>
      </c>
      <c r="C126" s="23" t="e">
        <f ca="1">'Annual Raw'!D48</f>
        <v>#NAME?</v>
      </c>
      <c r="D126" s="23" t="e">
        <f ca="1">'Annual Raw'!E48</f>
        <v>#NAME?</v>
      </c>
      <c r="E126" s="23" t="e">
        <f ca="1">'Annual Raw'!F48</f>
        <v>#NAME?</v>
      </c>
      <c r="F126" s="23" t="e">
        <f ca="1">'Annual Raw'!G48</f>
        <v>#NAME?</v>
      </c>
      <c r="G126" s="23" t="e">
        <f ca="1">'Annual Raw'!H48</f>
        <v>#NAME?</v>
      </c>
      <c r="H126" s="23" t="e">
        <f ca="1">'Annual Raw'!I48</f>
        <v>#NAME?</v>
      </c>
      <c r="I126" s="23" t="e">
        <f ca="1">'Annual Raw'!J48</f>
        <v>#NAME?</v>
      </c>
      <c r="J126" s="23" t="e">
        <f ca="1">'Annual Raw'!K48</f>
        <v>#NAME?</v>
      </c>
      <c r="K126" s="23" t="e">
        <f ca="1">'Annual Raw'!L48</f>
        <v>#NAME?</v>
      </c>
      <c r="L126" s="23" t="e">
        <f ca="1">'Annual Raw'!M48</f>
        <v>#NAME?</v>
      </c>
      <c r="M126" s="23" t="e">
        <f ca="1">'Annual Raw'!N48</f>
        <v>#NAME?</v>
      </c>
      <c r="N126" s="23" t="e">
        <f ca="1">'Annual Raw'!O48</f>
        <v>#NAME?</v>
      </c>
      <c r="O126" s="23" t="e">
        <f ca="1">'Annual Raw'!P48</f>
        <v>#NAME?</v>
      </c>
      <c r="P126" s="23" t="e">
        <f ca="1">'Annual Raw'!Q48</f>
        <v>#NAME?</v>
      </c>
      <c r="Q126" s="23" t="e">
        <f ca="1">'Annual Raw'!R48</f>
        <v>#NAME?</v>
      </c>
      <c r="R126" s="23" t="e">
        <f ca="1">'Annual Raw'!S48</f>
        <v>#NAME?</v>
      </c>
      <c r="S126" s="23" t="e">
        <f ca="1">'Annual Raw'!T48</f>
        <v>#NAME?</v>
      </c>
      <c r="T126" s="23" t="e">
        <f ca="1">'Annual Raw'!U48</f>
        <v>#NAME?</v>
      </c>
      <c r="U126" s="23" t="e">
        <f ca="1">'Annual Raw'!V48</f>
        <v>#NAME?</v>
      </c>
      <c r="V126" s="23" t="e">
        <f ca="1">'Annual Raw'!W48</f>
        <v>#NAME?</v>
      </c>
      <c r="W126" s="23" t="e">
        <f ca="1">'Annual Raw'!X48</f>
        <v>#NAME?</v>
      </c>
      <c r="X126" s="23" t="e">
        <f ca="1">'Annual Raw'!Y48</f>
        <v>#NAME?</v>
      </c>
      <c r="Y126" s="23" t="e">
        <f ca="1">'Annual Raw'!Z48</f>
        <v>#NAME?</v>
      </c>
      <c r="Z126" s="23" t="e">
        <f ca="1">'Annual Raw'!AA48</f>
        <v>#NAME?</v>
      </c>
      <c r="AA126" s="23" t="e">
        <f ca="1">'Annual Raw'!AB48</f>
        <v>#NAME?</v>
      </c>
      <c r="AB126" s="24" t="e">
        <f t="shared" ca="1" si="1074"/>
        <v>#NAME?</v>
      </c>
      <c r="AC126" s="24" t="e">
        <f t="shared" ca="1" si="1075"/>
        <v>#NAME?</v>
      </c>
      <c r="AD126" s="24" t="e">
        <f t="shared" ca="1" si="1076"/>
        <v>#NAME?</v>
      </c>
      <c r="AE126" s="24" t="e">
        <f t="shared" ca="1" si="1077"/>
        <v>#NAME?</v>
      </c>
      <c r="AJ126" s="23" t="e">
        <f ca="1">+'QTR Raw'!D63</f>
        <v>#NAME?</v>
      </c>
      <c r="AK126" s="23" t="e">
        <f t="shared" ca="1" si="1078"/>
        <v>#NAME?</v>
      </c>
      <c r="AL126" s="23" t="e">
        <f ca="1">+'QTR Raw'!F63</f>
        <v>#NAME?</v>
      </c>
      <c r="AM126" s="23" t="e">
        <f t="shared" ca="1" si="1078"/>
        <v>#NAME?</v>
      </c>
      <c r="AN126" s="23" t="e">
        <f ca="1">+'QTR Raw'!H63</f>
        <v>#NAME?</v>
      </c>
      <c r="AO126" s="23" t="e">
        <f t="shared" ca="1" si="1078"/>
        <v>#NAME?</v>
      </c>
      <c r="AP126" s="23" t="e">
        <f ca="1">+'QTR Raw'!J63</f>
        <v>#NAME?</v>
      </c>
      <c r="AQ126" s="23" t="e">
        <f t="shared" ca="1" si="1078"/>
        <v>#NAME?</v>
      </c>
      <c r="AR126" s="23" t="e">
        <f ca="1">+'QTR Raw'!L63</f>
        <v>#NAME?</v>
      </c>
      <c r="AS126" s="23" t="e">
        <f t="shared" ca="1" si="1078"/>
        <v>#NAME?</v>
      </c>
      <c r="AT126" s="23" t="e">
        <f ca="1">+'QTR Raw'!N63</f>
        <v>#NAME?</v>
      </c>
      <c r="AU126" s="23" t="e">
        <f t="shared" ca="1" si="1078"/>
        <v>#NAME?</v>
      </c>
      <c r="AV126" s="23" t="e">
        <f ca="1">+'QTR Raw'!P63</f>
        <v>#NAME?</v>
      </c>
      <c r="AW126" s="23" t="e">
        <f t="shared" ca="1" si="1078"/>
        <v>#NAME?</v>
      </c>
      <c r="AX126" s="23" t="e">
        <f ca="1">+'QTR Raw'!R63</f>
        <v>#NAME?</v>
      </c>
      <c r="AY126" s="23" t="e">
        <f t="shared" ca="1" si="1078"/>
        <v>#NAME?</v>
      </c>
      <c r="AZ126" s="23" t="e">
        <f ca="1">+'QTR Raw'!T63</f>
        <v>#NAME?</v>
      </c>
      <c r="BA126" s="23" t="e">
        <f t="shared" ca="1" si="1078"/>
        <v>#NAME?</v>
      </c>
      <c r="BB126" s="23" t="e">
        <f ca="1">+'QTR Raw'!V63</f>
        <v>#NAME?</v>
      </c>
      <c r="BC126" s="23" t="e">
        <f t="shared" ca="1" si="1078"/>
        <v>#NAME?</v>
      </c>
      <c r="BD126" s="23" t="e">
        <f ca="1">+'QTR Raw'!X63</f>
        <v>#NAME?</v>
      </c>
      <c r="BE126" s="23" t="e">
        <f t="shared" ca="1" si="1078"/>
        <v>#NAME?</v>
      </c>
      <c r="BF126" s="23" t="e">
        <f ca="1">+'QTR Raw'!Z63</f>
        <v>#NAME?</v>
      </c>
      <c r="BG126" s="23" t="e">
        <f t="shared" ca="1" si="1078"/>
        <v>#NAME?</v>
      </c>
      <c r="BH126" s="23" t="e">
        <f ca="1">+'QTR Raw'!AB63</f>
        <v>#NAME?</v>
      </c>
      <c r="BI126" s="23" t="e">
        <f t="shared" ca="1" si="1078"/>
        <v>#NAME?</v>
      </c>
      <c r="BJ126" s="23" t="e">
        <f ca="1">+'QTR Raw'!AD63</f>
        <v>#NAME?</v>
      </c>
      <c r="BK126" s="23" t="e">
        <f t="shared" ca="1" si="1078"/>
        <v>#NAME?</v>
      </c>
      <c r="BL126" s="23" t="e">
        <f ca="1">+'QTR Raw'!AF63</f>
        <v>#NAME?</v>
      </c>
      <c r="BM126" s="23" t="e">
        <f t="shared" ca="1" si="1078"/>
        <v>#NAME?</v>
      </c>
      <c r="BN126" s="23" t="e">
        <f ca="1">+'QTR Raw'!AH63</f>
        <v>#NAME?</v>
      </c>
      <c r="BO126" s="23" t="e">
        <f t="shared" ca="1" si="1078"/>
        <v>#NAME?</v>
      </c>
      <c r="BP126" s="23" t="e">
        <f ca="1">+'QTR Raw'!AJ63</f>
        <v>#NAME?</v>
      </c>
      <c r="BQ126" s="23" t="e">
        <f t="shared" ca="1" si="1078"/>
        <v>#NAME?</v>
      </c>
      <c r="BR126" s="23" t="e">
        <f ca="1">+'QTR Raw'!AL63</f>
        <v>#NAME?</v>
      </c>
      <c r="BS126" s="23" t="e">
        <f t="shared" ca="1" si="1078"/>
        <v>#NAME?</v>
      </c>
      <c r="BT126" s="23" t="e">
        <f ca="1">+'QTR Raw'!AN63</f>
        <v>#NAME?</v>
      </c>
      <c r="BU126" s="23" t="e">
        <f t="shared" ca="1" si="1078"/>
        <v>#NAME?</v>
      </c>
      <c r="BV126" s="23" t="e">
        <f ca="1">+'QTR Raw'!AP63</f>
        <v>#NAME?</v>
      </c>
      <c r="BW126" s="23" t="e">
        <f t="shared" ca="1" si="1078"/>
        <v>#NAME?</v>
      </c>
      <c r="BX126" s="23" t="e">
        <f ca="1">+'QTR Raw'!AR63</f>
        <v>#NAME?</v>
      </c>
      <c r="BY126" s="23" t="e">
        <f t="shared" ca="1" si="1078"/>
        <v>#NAME?</v>
      </c>
      <c r="BZ126" s="23" t="e">
        <f ca="1">+'QTR Raw'!AT63</f>
        <v>#NAME?</v>
      </c>
      <c r="CA126" s="23" t="e">
        <f t="shared" ca="1" si="1078"/>
        <v>#NAME?</v>
      </c>
      <c r="CB126" s="23" t="e">
        <f ca="1">+'QTR Raw'!AV63</f>
        <v>#NAME?</v>
      </c>
      <c r="CC126" s="23" t="e">
        <f t="shared" ca="1" si="1078"/>
        <v>#NAME?</v>
      </c>
      <c r="CD126" s="23" t="e">
        <f ca="1">+'QTR Raw'!AX63</f>
        <v>#NAME?</v>
      </c>
      <c r="CE126" s="23" t="e">
        <f t="shared" ca="1" si="1079"/>
        <v>#NAME?</v>
      </c>
      <c r="CF126" s="23" t="e">
        <f ca="1">+'QTR Raw'!AZ63</f>
        <v>#NAME?</v>
      </c>
      <c r="CG126" s="23" t="e">
        <f t="shared" ca="1" si="1080"/>
        <v>#NAME?</v>
      </c>
      <c r="CH126" s="23" t="e">
        <f t="shared" ca="1" si="1056"/>
        <v>#NAME?</v>
      </c>
      <c r="CI126" s="23" t="e">
        <f t="shared" ca="1" si="1080"/>
        <v>#NAME?</v>
      </c>
      <c r="CJ126" s="23" t="e">
        <f ca="1">+'QTR Raw'!BD63</f>
        <v>#NAME?</v>
      </c>
      <c r="CK126" s="24" t="e">
        <f t="shared" ca="1" si="1081"/>
        <v>#NAME?</v>
      </c>
      <c r="CL126" s="23" t="e">
        <f ca="1">+'QTR Raw'!BF63</f>
        <v>#NAME?</v>
      </c>
      <c r="CM126" s="24" t="e">
        <f t="shared" ca="1" si="1082"/>
        <v>#NAME?</v>
      </c>
      <c r="CN126" s="24" t="e">
        <f t="shared" ca="1" si="1083"/>
        <v>#NAME?</v>
      </c>
      <c r="CO126" s="24" t="e">
        <f t="shared" ca="1" si="1084"/>
        <v>#NAME?</v>
      </c>
      <c r="CP126" s="24" t="e">
        <f t="shared" ca="1" si="1085"/>
        <v>#NAME?</v>
      </c>
      <c r="CQ126" s="24" t="e">
        <f t="shared" ca="1" si="1086"/>
        <v>#NAME?</v>
      </c>
      <c r="CR126" s="24" t="e">
        <f t="shared" ca="1" si="1087"/>
        <v>#NAME?</v>
      </c>
      <c r="CS126" s="24" t="e">
        <f t="shared" ca="1" si="1088"/>
        <v>#NAME?</v>
      </c>
      <c r="CT126" s="24" t="e">
        <f t="shared" ca="1" si="1089"/>
        <v>#NAME?</v>
      </c>
      <c r="CU126" s="24" t="e">
        <f t="shared" ca="1" si="1090"/>
        <v>#NAME?</v>
      </c>
      <c r="CV126" s="24" t="e">
        <f t="shared" ca="1" si="1091"/>
        <v>#NAME?</v>
      </c>
      <c r="CW126" s="24" t="e">
        <f t="shared" ca="1" si="1092"/>
        <v>#NAME?</v>
      </c>
      <c r="CX126" s="24" t="e">
        <f t="shared" ca="1" si="1093"/>
        <v>#NAME?</v>
      </c>
      <c r="CY126" s="24" t="e">
        <f t="shared" ca="1" si="1094"/>
        <v>#NAME?</v>
      </c>
      <c r="CZ126" s="24" t="e">
        <f t="shared" ca="1" si="1095"/>
        <v>#NAME?</v>
      </c>
      <c r="DA126" s="24" t="e">
        <f t="shared" ca="1" si="1096"/>
        <v>#NAME?</v>
      </c>
      <c r="DB126" s="24" t="e">
        <f t="shared" ca="1" si="1097"/>
        <v>#NAME?</v>
      </c>
      <c r="DE126" s="123"/>
      <c r="DF126" s="23">
        <v>76166.149999999994</v>
      </c>
    </row>
    <row r="127" spans="1:110" s="23" customFormat="1" outlineLevel="1" x14ac:dyDescent="0.2">
      <c r="A127" s="23" t="s">
        <v>47</v>
      </c>
      <c r="B127" s="23" t="e">
        <f ca="1">'Annual Raw'!C87+'Annual Raw'!C88+'Annual Raw'!C89+'Annual Raw'!C90</f>
        <v>#NAME?</v>
      </c>
      <c r="C127" s="23" t="e">
        <f ca="1">'Annual Raw'!D87+'Annual Raw'!D88+'Annual Raw'!D89+'Annual Raw'!D90</f>
        <v>#NAME?</v>
      </c>
      <c r="D127" s="23" t="e">
        <f ca="1">'Annual Raw'!E87+'Annual Raw'!E88+'Annual Raw'!E89+'Annual Raw'!E90</f>
        <v>#NAME?</v>
      </c>
      <c r="E127" s="23" t="e">
        <f ca="1">'Annual Raw'!F87+'Annual Raw'!F88+'Annual Raw'!F89+'Annual Raw'!F90</f>
        <v>#NAME?</v>
      </c>
      <c r="F127" s="23" t="e">
        <f ca="1">'Annual Raw'!G87+'Annual Raw'!G88+'Annual Raw'!G89+'Annual Raw'!G90</f>
        <v>#NAME?</v>
      </c>
      <c r="G127" s="23" t="e">
        <f ca="1">'Annual Raw'!H87+'Annual Raw'!H88+'Annual Raw'!H89+'Annual Raw'!H90</f>
        <v>#NAME?</v>
      </c>
      <c r="H127" s="23" t="e">
        <f ca="1">'Annual Raw'!I87+'Annual Raw'!I88+'Annual Raw'!I89+'Annual Raw'!I90</f>
        <v>#NAME?</v>
      </c>
      <c r="I127" s="23" t="e">
        <f ca="1">'Annual Raw'!J87+'Annual Raw'!J88+'Annual Raw'!J89+'Annual Raw'!J90</f>
        <v>#NAME?</v>
      </c>
      <c r="J127" s="23" t="e">
        <f ca="1">'Annual Raw'!K87+'Annual Raw'!K88+'Annual Raw'!K89+'Annual Raw'!K90</f>
        <v>#NAME?</v>
      </c>
      <c r="K127" s="23" t="e">
        <f ca="1">'Annual Raw'!L87+'Annual Raw'!L88+'Annual Raw'!L89+'Annual Raw'!L90</f>
        <v>#NAME?</v>
      </c>
      <c r="L127" s="23" t="e">
        <f ca="1">'Annual Raw'!M87+'Annual Raw'!M88+'Annual Raw'!M89+'Annual Raw'!M90</f>
        <v>#NAME?</v>
      </c>
      <c r="M127" s="23" t="e">
        <f ca="1">'Annual Raw'!N87+'Annual Raw'!N88+'Annual Raw'!N89+'Annual Raw'!N90</f>
        <v>#NAME?</v>
      </c>
      <c r="N127" s="23" t="e">
        <f ca="1">'Annual Raw'!O87+'Annual Raw'!O88+'Annual Raw'!O89+'Annual Raw'!O90</f>
        <v>#NAME?</v>
      </c>
      <c r="O127" s="23" t="e">
        <f ca="1">'Annual Raw'!P87+'Annual Raw'!P88+'Annual Raw'!P89+'Annual Raw'!P90</f>
        <v>#NAME?</v>
      </c>
      <c r="P127" s="23" t="e">
        <f ca="1">'Annual Raw'!Q87+'Annual Raw'!Q88+'Annual Raw'!Q89+'Annual Raw'!Q90</f>
        <v>#NAME?</v>
      </c>
      <c r="Q127" s="23" t="e">
        <f ca="1">'Annual Raw'!R87+'Annual Raw'!R88+'Annual Raw'!R89+'Annual Raw'!R90</f>
        <v>#NAME?</v>
      </c>
      <c r="R127" s="23" t="e">
        <f ca="1">'Annual Raw'!S87+'Annual Raw'!S88+'Annual Raw'!S89+'Annual Raw'!S90</f>
        <v>#NAME?</v>
      </c>
      <c r="S127" s="23" t="e">
        <f ca="1">'Annual Raw'!T87+'Annual Raw'!T88+'Annual Raw'!T89+'Annual Raw'!T90</f>
        <v>#NAME?</v>
      </c>
      <c r="T127" s="23" t="e">
        <f ca="1">'Annual Raw'!U87+'Annual Raw'!U88+'Annual Raw'!U89+'Annual Raw'!U90</f>
        <v>#NAME?</v>
      </c>
      <c r="U127" s="23" t="e">
        <f ca="1">'Annual Raw'!V87+'Annual Raw'!V88+'Annual Raw'!V89+'Annual Raw'!V90</f>
        <v>#NAME?</v>
      </c>
      <c r="V127" s="23" t="e">
        <f ca="1">'Annual Raw'!W87+'Annual Raw'!W88+'Annual Raw'!W89+'Annual Raw'!W90</f>
        <v>#NAME?</v>
      </c>
      <c r="W127" s="23" t="e">
        <f ca="1">'Annual Raw'!X87+'Annual Raw'!X88+'Annual Raw'!X89+'Annual Raw'!X90</f>
        <v>#NAME?</v>
      </c>
      <c r="X127" s="23" t="e">
        <f ca="1">'Annual Raw'!Y87+'Annual Raw'!Y88+'Annual Raw'!Y89+'Annual Raw'!Y90</f>
        <v>#NAME?</v>
      </c>
      <c r="Y127" s="23" t="e">
        <f ca="1">'Annual Raw'!Z87+'Annual Raw'!Z88+'Annual Raw'!Z89+'Annual Raw'!Z90</f>
        <v>#NAME?</v>
      </c>
      <c r="Z127" s="23" t="e">
        <f ca="1">'Annual Raw'!AA87+'Annual Raw'!AA88+'Annual Raw'!AA89+'Annual Raw'!AA90</f>
        <v>#NAME?</v>
      </c>
      <c r="AA127" s="23" t="e">
        <f ca="1">'Annual Raw'!AB87+'Annual Raw'!AB88+'Annual Raw'!AB89+'Annual Raw'!AB90</f>
        <v>#NAME?</v>
      </c>
      <c r="AB127" s="24" t="e">
        <f t="shared" ca="1" si="1074"/>
        <v>#NAME?</v>
      </c>
      <c r="AC127" s="24" t="e">
        <f t="shared" ca="1" si="1075"/>
        <v>#NAME?</v>
      </c>
      <c r="AD127" s="24" t="e">
        <f t="shared" ca="1" si="1076"/>
        <v>#NAME?</v>
      </c>
      <c r="AE127" s="24" t="e">
        <f t="shared" ca="1" si="1077"/>
        <v>#NAME?</v>
      </c>
      <c r="AJ127" s="23" t="e">
        <f ca="1">+'QTR Raw'!D90</f>
        <v>#NAME?</v>
      </c>
      <c r="AK127" s="23" t="e">
        <f t="shared" ca="1" si="1078"/>
        <v>#NAME?</v>
      </c>
      <c r="AL127" s="23" t="e">
        <f ca="1">+'QTR Raw'!F90</f>
        <v>#NAME?</v>
      </c>
      <c r="AM127" s="23" t="e">
        <f t="shared" ca="1" si="1078"/>
        <v>#NAME?</v>
      </c>
      <c r="AN127" s="23" t="e">
        <f ca="1">+'QTR Raw'!H90</f>
        <v>#NAME?</v>
      </c>
      <c r="AO127" s="23" t="e">
        <f t="shared" ca="1" si="1078"/>
        <v>#NAME?</v>
      </c>
      <c r="AP127" s="23" t="e">
        <f ca="1">+'QTR Raw'!J90</f>
        <v>#NAME?</v>
      </c>
      <c r="AQ127" s="23" t="e">
        <f t="shared" ca="1" si="1078"/>
        <v>#NAME?</v>
      </c>
      <c r="AR127" s="23" t="e">
        <f ca="1">+'QTR Raw'!L90</f>
        <v>#NAME?</v>
      </c>
      <c r="AS127" s="23" t="e">
        <f t="shared" ca="1" si="1078"/>
        <v>#NAME?</v>
      </c>
      <c r="AT127" s="23" t="e">
        <f ca="1">+'QTR Raw'!N90</f>
        <v>#NAME?</v>
      </c>
      <c r="AU127" s="23" t="e">
        <f t="shared" ca="1" si="1078"/>
        <v>#NAME?</v>
      </c>
      <c r="AV127" s="23" t="e">
        <f ca="1">+'QTR Raw'!P90</f>
        <v>#NAME?</v>
      </c>
      <c r="AW127" s="23" t="e">
        <f t="shared" ca="1" si="1078"/>
        <v>#NAME?</v>
      </c>
      <c r="AX127" s="23" t="e">
        <f ca="1">+'QTR Raw'!R90</f>
        <v>#NAME?</v>
      </c>
      <c r="AY127" s="23" t="e">
        <f t="shared" ca="1" si="1078"/>
        <v>#NAME?</v>
      </c>
      <c r="AZ127" s="23" t="e">
        <f ca="1">+'QTR Raw'!T90</f>
        <v>#NAME?</v>
      </c>
      <c r="BA127" s="23" t="e">
        <f t="shared" ca="1" si="1078"/>
        <v>#NAME?</v>
      </c>
      <c r="BB127" s="23" t="e">
        <f ca="1">+'QTR Raw'!V90</f>
        <v>#NAME?</v>
      </c>
      <c r="BC127" s="23" t="e">
        <f t="shared" ca="1" si="1078"/>
        <v>#NAME?</v>
      </c>
      <c r="BD127" s="23" t="e">
        <f ca="1">+'QTR Raw'!X90</f>
        <v>#NAME?</v>
      </c>
      <c r="BE127" s="23" t="e">
        <f t="shared" ca="1" si="1078"/>
        <v>#NAME?</v>
      </c>
      <c r="BF127" s="23" t="e">
        <f ca="1">+'QTR Raw'!Z90</f>
        <v>#NAME?</v>
      </c>
      <c r="BG127" s="23" t="e">
        <f t="shared" ca="1" si="1078"/>
        <v>#NAME?</v>
      </c>
      <c r="BH127" s="22" t="e">
        <f ca="1">+'QTR Raw'!AB90</f>
        <v>#NAME?</v>
      </c>
      <c r="BI127" s="23" t="e">
        <f t="shared" ca="1" si="1078"/>
        <v>#NAME?</v>
      </c>
      <c r="BJ127" s="23" t="e">
        <f ca="1">+'QTR Raw'!AD90</f>
        <v>#NAME?</v>
      </c>
      <c r="BK127" s="23" t="e">
        <f t="shared" ca="1" si="1078"/>
        <v>#NAME?</v>
      </c>
      <c r="BL127" s="23" t="e">
        <f ca="1">+'QTR Raw'!AF90</f>
        <v>#NAME?</v>
      </c>
      <c r="BM127" s="23" t="e">
        <f t="shared" ca="1" si="1078"/>
        <v>#NAME?</v>
      </c>
      <c r="BN127" s="23" t="e">
        <f ca="1">+'QTR Raw'!AH90</f>
        <v>#NAME?</v>
      </c>
      <c r="BO127" s="23" t="e">
        <f t="shared" ca="1" si="1078"/>
        <v>#NAME?</v>
      </c>
      <c r="BP127" s="23" t="e">
        <f ca="1">+'QTR Raw'!AJ90</f>
        <v>#NAME?</v>
      </c>
      <c r="BQ127" s="23" t="e">
        <f t="shared" ca="1" si="1078"/>
        <v>#NAME?</v>
      </c>
      <c r="BR127" s="23" t="e">
        <f ca="1">+'QTR Raw'!AL90</f>
        <v>#NAME?</v>
      </c>
      <c r="BS127" s="23" t="e">
        <f t="shared" ca="1" si="1078"/>
        <v>#NAME?</v>
      </c>
      <c r="BT127" s="23" t="e">
        <f ca="1">+'QTR Raw'!AN90</f>
        <v>#NAME?</v>
      </c>
      <c r="BU127" s="23" t="e">
        <f t="shared" ca="1" si="1078"/>
        <v>#NAME?</v>
      </c>
      <c r="BV127" s="23" t="e">
        <f ca="1">+'QTR Raw'!AP90</f>
        <v>#NAME?</v>
      </c>
      <c r="BW127" s="23" t="e">
        <f t="shared" ca="1" si="1078"/>
        <v>#NAME?</v>
      </c>
      <c r="BX127" s="23" t="e">
        <f ca="1">+'QTR Raw'!AR90</f>
        <v>#NAME?</v>
      </c>
      <c r="BY127" s="23" t="e">
        <f t="shared" ca="1" si="1078"/>
        <v>#NAME?</v>
      </c>
      <c r="BZ127" s="23" t="e">
        <f ca="1">+'QTR Raw'!AT90</f>
        <v>#NAME?</v>
      </c>
      <c r="CA127" s="23" t="e">
        <f t="shared" ca="1" si="1078"/>
        <v>#NAME?</v>
      </c>
      <c r="CB127" s="23" t="e">
        <f ca="1">+'QTR Raw'!AV90</f>
        <v>#NAME?</v>
      </c>
      <c r="CC127" s="23" t="e">
        <f t="shared" ca="1" si="1078"/>
        <v>#NAME?</v>
      </c>
      <c r="CD127" s="23" t="e">
        <f ca="1">+'QTR Raw'!AX90</f>
        <v>#NAME?</v>
      </c>
      <c r="CE127" s="23" t="e">
        <f t="shared" ca="1" si="1079"/>
        <v>#NAME?</v>
      </c>
      <c r="CF127" s="23" t="e">
        <f ca="1">+'QTR Raw'!AZ90</f>
        <v>#NAME?</v>
      </c>
      <c r="CG127" s="23" t="e">
        <f t="shared" ca="1" si="1080"/>
        <v>#NAME?</v>
      </c>
      <c r="CH127" s="23" t="e">
        <f ca="1">+Z127</f>
        <v>#NAME?</v>
      </c>
      <c r="CI127" s="23" t="e">
        <f t="shared" ca="1" si="1080"/>
        <v>#NAME?</v>
      </c>
      <c r="CJ127" s="23" t="e">
        <f ca="1">+'QTR Raw'!BD90</f>
        <v>#NAME?</v>
      </c>
      <c r="CK127" s="24" t="e">
        <f t="shared" ca="1" si="1081"/>
        <v>#NAME?</v>
      </c>
      <c r="CL127" s="23" t="e">
        <f ca="1">+'QTR Raw'!BF90</f>
        <v>#NAME?</v>
      </c>
      <c r="CM127" s="24" t="e">
        <f t="shared" ca="1" si="1082"/>
        <v>#NAME?</v>
      </c>
      <c r="CN127" s="24" t="e">
        <f t="shared" ca="1" si="1083"/>
        <v>#NAME?</v>
      </c>
      <c r="CO127" s="24" t="e">
        <f t="shared" ca="1" si="1084"/>
        <v>#NAME?</v>
      </c>
      <c r="CP127" s="24" t="e">
        <f t="shared" ca="1" si="1085"/>
        <v>#NAME?</v>
      </c>
      <c r="CQ127" s="24" t="e">
        <f t="shared" ca="1" si="1086"/>
        <v>#NAME?</v>
      </c>
      <c r="CR127" s="24" t="e">
        <f t="shared" ca="1" si="1087"/>
        <v>#NAME?</v>
      </c>
      <c r="CS127" s="24" t="e">
        <f t="shared" ca="1" si="1088"/>
        <v>#NAME?</v>
      </c>
      <c r="CT127" s="24" t="e">
        <f t="shared" ca="1" si="1089"/>
        <v>#NAME?</v>
      </c>
      <c r="CU127" s="24" t="e">
        <f t="shared" ca="1" si="1090"/>
        <v>#NAME?</v>
      </c>
      <c r="CV127" s="24" t="e">
        <f t="shared" ca="1" si="1091"/>
        <v>#NAME?</v>
      </c>
      <c r="CW127" s="24" t="e">
        <f t="shared" ca="1" si="1092"/>
        <v>#NAME?</v>
      </c>
      <c r="CX127" s="24" t="e">
        <f t="shared" ca="1" si="1093"/>
        <v>#NAME?</v>
      </c>
      <c r="CY127" s="24" t="e">
        <f t="shared" ca="1" si="1094"/>
        <v>#NAME?</v>
      </c>
      <c r="CZ127" s="24" t="e">
        <f t="shared" ca="1" si="1095"/>
        <v>#NAME?</v>
      </c>
      <c r="DA127" s="24" t="e">
        <f t="shared" ca="1" si="1096"/>
        <v>#NAME?</v>
      </c>
      <c r="DB127" s="24" t="e">
        <f t="shared" ca="1" si="1097"/>
        <v>#NAME?</v>
      </c>
      <c r="DE127" s="123"/>
      <c r="DF127" s="23">
        <v>0</v>
      </c>
    </row>
    <row r="128" spans="1:110" s="23" customFormat="1" outlineLevel="1" x14ac:dyDescent="0.2">
      <c r="A128" s="23" t="s">
        <v>48</v>
      </c>
      <c r="B128" s="23" t="e">
        <f ca="1">'Annual Raw'!C56</f>
        <v>#NAME?</v>
      </c>
      <c r="C128" s="23" t="e">
        <f ca="1">'Annual Raw'!D56</f>
        <v>#NAME?</v>
      </c>
      <c r="D128" s="23" t="e">
        <f ca="1">'Annual Raw'!E56</f>
        <v>#NAME?</v>
      </c>
      <c r="E128" s="23" t="e">
        <f ca="1">'Annual Raw'!F56</f>
        <v>#NAME?</v>
      </c>
      <c r="F128" s="23" t="e">
        <f ca="1">'Annual Raw'!G56</f>
        <v>#NAME?</v>
      </c>
      <c r="G128" s="23" t="e">
        <f ca="1">'Annual Raw'!H56</f>
        <v>#NAME?</v>
      </c>
      <c r="H128" s="23" t="e">
        <f ca="1">'Annual Raw'!I56</f>
        <v>#NAME?</v>
      </c>
      <c r="I128" s="23" t="e">
        <f ca="1">'Annual Raw'!J56</f>
        <v>#NAME?</v>
      </c>
      <c r="J128" s="23" t="e">
        <f ca="1">'Annual Raw'!K56</f>
        <v>#NAME?</v>
      </c>
      <c r="K128" s="23" t="e">
        <f ca="1">'Annual Raw'!L56</f>
        <v>#NAME?</v>
      </c>
      <c r="L128" s="23" t="e">
        <f ca="1">'Annual Raw'!M56</f>
        <v>#NAME?</v>
      </c>
      <c r="M128" s="23" t="e">
        <f ca="1">'Annual Raw'!N56</f>
        <v>#NAME?</v>
      </c>
      <c r="N128" s="23" t="e">
        <f ca="1">'Annual Raw'!O56</f>
        <v>#NAME?</v>
      </c>
      <c r="O128" s="23" t="e">
        <f ca="1">'Annual Raw'!P56</f>
        <v>#NAME?</v>
      </c>
      <c r="P128" s="23" t="e">
        <f ca="1">'Annual Raw'!Q56</f>
        <v>#NAME?</v>
      </c>
      <c r="Q128" s="23" t="e">
        <f ca="1">'Annual Raw'!R56</f>
        <v>#NAME?</v>
      </c>
      <c r="R128" s="23" t="e">
        <f ca="1">'Annual Raw'!S56</f>
        <v>#NAME?</v>
      </c>
      <c r="S128" s="23" t="e">
        <f ca="1">'Annual Raw'!T56</f>
        <v>#NAME?</v>
      </c>
      <c r="T128" s="23" t="e">
        <f ca="1">'Annual Raw'!U56</f>
        <v>#NAME?</v>
      </c>
      <c r="U128" s="23" t="e">
        <f ca="1">'Annual Raw'!V56</f>
        <v>#NAME?</v>
      </c>
      <c r="V128" s="23" t="e">
        <f ca="1">'Annual Raw'!W56</f>
        <v>#NAME?</v>
      </c>
      <c r="W128" s="23" t="e">
        <f ca="1">'Annual Raw'!X56</f>
        <v>#NAME?</v>
      </c>
      <c r="X128" s="23" t="e">
        <f ca="1">'Annual Raw'!Y56</f>
        <v>#NAME?</v>
      </c>
      <c r="Y128" s="23" t="e">
        <f ca="1">'Annual Raw'!Z56</f>
        <v>#NAME?</v>
      </c>
      <c r="Z128" s="23" t="e">
        <f ca="1">'Annual Raw'!AA56</f>
        <v>#NAME?</v>
      </c>
      <c r="AA128" s="23" t="e">
        <f ca="1">'Annual Raw'!AB56</f>
        <v>#NAME?</v>
      </c>
      <c r="AB128" s="24" t="e">
        <f t="shared" ca="1" si="1074"/>
        <v>#NAME?</v>
      </c>
      <c r="AC128" s="24" t="e">
        <f t="shared" ca="1" si="1075"/>
        <v>#NAME?</v>
      </c>
      <c r="AD128" s="24" t="e">
        <f t="shared" ca="1" si="1076"/>
        <v>#NAME?</v>
      </c>
      <c r="AE128" s="24" t="e">
        <f t="shared" ca="1" si="1077"/>
        <v>#NAME?</v>
      </c>
      <c r="AJ128" s="23" t="e">
        <f ca="1">+'QTR Raw'!D88</f>
        <v>#NAME?</v>
      </c>
      <c r="AK128" s="23" t="e">
        <f t="shared" ca="1" si="1078"/>
        <v>#NAME?</v>
      </c>
      <c r="AL128" s="23" t="e">
        <f ca="1">+'QTR Raw'!F88</f>
        <v>#NAME?</v>
      </c>
      <c r="AM128" s="23" t="e">
        <f t="shared" ca="1" si="1078"/>
        <v>#NAME?</v>
      </c>
      <c r="AN128" s="23" t="e">
        <f ca="1">+'QTR Raw'!H88</f>
        <v>#NAME?</v>
      </c>
      <c r="AO128" s="23" t="e">
        <f t="shared" ca="1" si="1078"/>
        <v>#NAME?</v>
      </c>
      <c r="AP128" s="23" t="e">
        <f ca="1">+'QTR Raw'!J88</f>
        <v>#NAME?</v>
      </c>
      <c r="AQ128" s="23" t="e">
        <f t="shared" ca="1" si="1078"/>
        <v>#NAME?</v>
      </c>
      <c r="AR128" s="23" t="e">
        <f ca="1">+'QTR Raw'!L88</f>
        <v>#NAME?</v>
      </c>
      <c r="AS128" s="23" t="e">
        <f t="shared" ca="1" si="1078"/>
        <v>#NAME?</v>
      </c>
      <c r="AT128" s="23" t="e">
        <f ca="1">+'QTR Raw'!N88</f>
        <v>#NAME?</v>
      </c>
      <c r="AU128" s="23" t="e">
        <f t="shared" ca="1" si="1078"/>
        <v>#NAME?</v>
      </c>
      <c r="AV128" s="23" t="e">
        <f ca="1">+'QTR Raw'!P88</f>
        <v>#NAME?</v>
      </c>
      <c r="AW128" s="23" t="e">
        <f t="shared" ca="1" si="1078"/>
        <v>#NAME?</v>
      </c>
      <c r="AX128" s="23" t="e">
        <f ca="1">+'QTR Raw'!R88</f>
        <v>#NAME?</v>
      </c>
      <c r="AY128" s="23" t="e">
        <f t="shared" ca="1" si="1078"/>
        <v>#NAME?</v>
      </c>
      <c r="AZ128" s="23" t="e">
        <f ca="1">+'QTR Raw'!T88</f>
        <v>#NAME?</v>
      </c>
      <c r="BA128" s="23" t="e">
        <f t="shared" ca="1" si="1078"/>
        <v>#NAME?</v>
      </c>
      <c r="BB128" s="23" t="e">
        <f ca="1">+'QTR Raw'!V88</f>
        <v>#NAME?</v>
      </c>
      <c r="BC128" s="23" t="e">
        <f t="shared" ca="1" si="1078"/>
        <v>#NAME?</v>
      </c>
      <c r="BD128" s="23" t="e">
        <f ca="1">+'QTR Raw'!X88</f>
        <v>#NAME?</v>
      </c>
      <c r="BE128" s="23" t="e">
        <f t="shared" ca="1" si="1078"/>
        <v>#NAME?</v>
      </c>
      <c r="BF128" s="23" t="e">
        <f ca="1">+'QTR Raw'!Z88</f>
        <v>#NAME?</v>
      </c>
      <c r="BG128" s="23" t="e">
        <f t="shared" ca="1" si="1078"/>
        <v>#NAME?</v>
      </c>
      <c r="BH128" s="23" t="e">
        <f ca="1">+'QTR Raw'!AB88</f>
        <v>#NAME?</v>
      </c>
      <c r="BI128" s="23" t="e">
        <f t="shared" ca="1" si="1078"/>
        <v>#NAME?</v>
      </c>
      <c r="BJ128" s="23" t="e">
        <f ca="1">+'QTR Raw'!AD88</f>
        <v>#NAME?</v>
      </c>
      <c r="BK128" s="23" t="e">
        <f t="shared" ca="1" si="1078"/>
        <v>#NAME?</v>
      </c>
      <c r="BL128" s="23" t="e">
        <f ca="1">+'QTR Raw'!AF88</f>
        <v>#NAME?</v>
      </c>
      <c r="BM128" s="23" t="e">
        <f t="shared" ca="1" si="1078"/>
        <v>#NAME?</v>
      </c>
      <c r="BN128" s="23" t="e">
        <f ca="1">+'QTR Raw'!AH88</f>
        <v>#NAME?</v>
      </c>
      <c r="BO128" s="23" t="e">
        <f t="shared" ca="1" si="1078"/>
        <v>#NAME?</v>
      </c>
      <c r="BP128" s="23" t="e">
        <f ca="1">+'QTR Raw'!AJ88</f>
        <v>#NAME?</v>
      </c>
      <c r="BQ128" s="23" t="e">
        <f t="shared" ca="1" si="1078"/>
        <v>#NAME?</v>
      </c>
      <c r="BR128" s="23" t="e">
        <f ca="1">+'QTR Raw'!AL88</f>
        <v>#NAME?</v>
      </c>
      <c r="BS128" s="23" t="e">
        <f t="shared" ca="1" si="1078"/>
        <v>#NAME?</v>
      </c>
      <c r="BT128" s="23" t="e">
        <f ca="1">+'QTR Raw'!AN88</f>
        <v>#NAME?</v>
      </c>
      <c r="BU128" s="23" t="e">
        <f t="shared" ca="1" si="1078"/>
        <v>#NAME?</v>
      </c>
      <c r="BV128" s="23" t="e">
        <f ca="1">+'QTR Raw'!AP88</f>
        <v>#NAME?</v>
      </c>
      <c r="BW128" s="23" t="e">
        <f t="shared" ca="1" si="1078"/>
        <v>#NAME?</v>
      </c>
      <c r="BX128" s="23" t="e">
        <f ca="1">+'QTR Raw'!AR88</f>
        <v>#NAME?</v>
      </c>
      <c r="BY128" s="23" t="e">
        <f t="shared" ca="1" si="1078"/>
        <v>#NAME?</v>
      </c>
      <c r="BZ128" s="23" t="e">
        <f ca="1">+'QTR Raw'!AT88</f>
        <v>#NAME?</v>
      </c>
      <c r="CA128" s="23" t="e">
        <f t="shared" ca="1" si="1078"/>
        <v>#NAME?</v>
      </c>
      <c r="CB128" s="23" t="e">
        <f ca="1">+'QTR Raw'!AV88</f>
        <v>#NAME?</v>
      </c>
      <c r="CC128" s="23" t="e">
        <f t="shared" ca="1" si="1078"/>
        <v>#NAME?</v>
      </c>
      <c r="CD128" s="23" t="e">
        <f ca="1">+'QTR Raw'!AX88</f>
        <v>#NAME?</v>
      </c>
      <c r="CE128" s="23" t="e">
        <f t="shared" ca="1" si="1079"/>
        <v>#NAME?</v>
      </c>
      <c r="CF128" s="23" t="e">
        <f ca="1">+'QTR Raw'!AZ88</f>
        <v>#NAME?</v>
      </c>
      <c r="CG128" s="23" t="e">
        <f t="shared" ca="1" si="1080"/>
        <v>#NAME?</v>
      </c>
      <c r="CH128" s="23" t="e">
        <f t="shared" ca="1" si="1056"/>
        <v>#NAME?</v>
      </c>
      <c r="CI128" s="23" t="e">
        <f t="shared" ca="1" si="1080"/>
        <v>#NAME?</v>
      </c>
      <c r="CJ128" s="23" t="e">
        <f ca="1">+'QTR Raw'!BD88</f>
        <v>#NAME?</v>
      </c>
      <c r="CK128" s="24" t="e">
        <f t="shared" ca="1" si="1081"/>
        <v>#NAME?</v>
      </c>
      <c r="CL128" s="23" t="e">
        <f ca="1">+'QTR Raw'!BF88</f>
        <v>#NAME?</v>
      </c>
      <c r="CM128" s="24" t="e">
        <f t="shared" ca="1" si="1082"/>
        <v>#NAME?</v>
      </c>
      <c r="CN128" s="24" t="e">
        <f t="shared" ca="1" si="1083"/>
        <v>#NAME?</v>
      </c>
      <c r="CO128" s="24" t="e">
        <f t="shared" ca="1" si="1084"/>
        <v>#NAME?</v>
      </c>
      <c r="CP128" s="24" t="e">
        <f t="shared" ca="1" si="1085"/>
        <v>#NAME?</v>
      </c>
      <c r="CQ128" s="24" t="e">
        <f t="shared" ca="1" si="1086"/>
        <v>#NAME?</v>
      </c>
      <c r="CR128" s="24" t="e">
        <f t="shared" ca="1" si="1087"/>
        <v>#NAME?</v>
      </c>
      <c r="CS128" s="24" t="e">
        <f t="shared" ca="1" si="1088"/>
        <v>#NAME?</v>
      </c>
      <c r="CT128" s="24" t="e">
        <f t="shared" ca="1" si="1089"/>
        <v>#NAME?</v>
      </c>
      <c r="CU128" s="24" t="e">
        <f t="shared" ca="1" si="1090"/>
        <v>#NAME?</v>
      </c>
      <c r="CV128" s="24" t="e">
        <f t="shared" ca="1" si="1091"/>
        <v>#NAME?</v>
      </c>
      <c r="CW128" s="24" t="e">
        <f t="shared" ca="1" si="1092"/>
        <v>#NAME?</v>
      </c>
      <c r="CX128" s="24" t="e">
        <f t="shared" ca="1" si="1093"/>
        <v>#NAME?</v>
      </c>
      <c r="CY128" s="24" t="e">
        <f t="shared" ca="1" si="1094"/>
        <v>#NAME?</v>
      </c>
      <c r="CZ128" s="24" t="e">
        <f t="shared" ca="1" si="1095"/>
        <v>#NAME?</v>
      </c>
      <c r="DA128" s="24" t="e">
        <f t="shared" ca="1" si="1096"/>
        <v>#NAME?</v>
      </c>
      <c r="DB128" s="24" t="e">
        <f t="shared" ca="1" si="1097"/>
        <v>#NAME?</v>
      </c>
      <c r="DE128" s="123"/>
      <c r="DF128" s="23">
        <v>10536.06</v>
      </c>
    </row>
    <row r="129" spans="1:110" s="22" customFormat="1" x14ac:dyDescent="0.2">
      <c r="A129" s="22" t="s">
        <v>49</v>
      </c>
      <c r="B129" s="22" t="e">
        <f ca="1">SUM(B125:B128)</f>
        <v>#NAME?</v>
      </c>
      <c r="C129" s="22" t="e">
        <f t="shared" ref="C129:V129" ca="1" si="1098">SUM(C125:C128)</f>
        <v>#NAME?</v>
      </c>
      <c r="D129" s="22" t="e">
        <f t="shared" ca="1" si="1098"/>
        <v>#NAME?</v>
      </c>
      <c r="E129" s="22" t="e">
        <f t="shared" ca="1" si="1098"/>
        <v>#NAME?</v>
      </c>
      <c r="F129" s="22" t="e">
        <f t="shared" ca="1" si="1098"/>
        <v>#NAME?</v>
      </c>
      <c r="G129" s="22" t="e">
        <f t="shared" ca="1" si="1098"/>
        <v>#NAME?</v>
      </c>
      <c r="H129" s="22" t="e">
        <f t="shared" ca="1" si="1098"/>
        <v>#NAME?</v>
      </c>
      <c r="I129" s="22" t="e">
        <f t="shared" ca="1" si="1098"/>
        <v>#NAME?</v>
      </c>
      <c r="J129" s="22" t="e">
        <f t="shared" ca="1" si="1098"/>
        <v>#NAME?</v>
      </c>
      <c r="K129" s="22" t="e">
        <f t="shared" ca="1" si="1098"/>
        <v>#NAME?</v>
      </c>
      <c r="L129" s="22" t="e">
        <f t="shared" ca="1" si="1098"/>
        <v>#NAME?</v>
      </c>
      <c r="M129" s="22" t="e">
        <f t="shared" ca="1" si="1098"/>
        <v>#NAME?</v>
      </c>
      <c r="N129" s="22" t="e">
        <f t="shared" ca="1" si="1098"/>
        <v>#NAME?</v>
      </c>
      <c r="O129" s="22" t="e">
        <f t="shared" ca="1" si="1098"/>
        <v>#NAME?</v>
      </c>
      <c r="P129" s="22" t="e">
        <f t="shared" ca="1" si="1098"/>
        <v>#NAME?</v>
      </c>
      <c r="Q129" s="22" t="e">
        <f t="shared" ca="1" si="1098"/>
        <v>#NAME?</v>
      </c>
      <c r="R129" s="22" t="e">
        <f t="shared" ca="1" si="1098"/>
        <v>#NAME?</v>
      </c>
      <c r="S129" s="22" t="e">
        <f t="shared" ca="1" si="1098"/>
        <v>#NAME?</v>
      </c>
      <c r="T129" s="22" t="e">
        <f t="shared" ca="1" si="1098"/>
        <v>#NAME?</v>
      </c>
      <c r="U129" s="22" t="e">
        <f t="shared" ca="1" si="1098"/>
        <v>#NAME?</v>
      </c>
      <c r="V129" s="22" t="e">
        <f t="shared" ca="1" si="1098"/>
        <v>#NAME?</v>
      </c>
      <c r="W129" s="22" t="e">
        <f t="shared" ref="W129" ca="1" si="1099">SUM(W125:W128)</f>
        <v>#NAME?</v>
      </c>
      <c r="X129" s="22" t="e">
        <f t="shared" ref="X129:Y129" ca="1" si="1100">SUM(X125:X128)</f>
        <v>#NAME?</v>
      </c>
      <c r="Y129" s="22" t="e">
        <f t="shared" ca="1" si="1100"/>
        <v>#NAME?</v>
      </c>
      <c r="Z129" s="22" t="e">
        <f t="shared" ref="Z129:AA129" ca="1" si="1101">SUM(Z125:Z128)</f>
        <v>#NAME?</v>
      </c>
      <c r="AA129" s="22" t="e">
        <f t="shared" ca="1" si="1101"/>
        <v>#NAME?</v>
      </c>
      <c r="AB129" s="21" t="e">
        <f t="shared" ref="AA129:AD129" ca="1" si="1102">SUM(AB125:AB128)</f>
        <v>#NAME?</v>
      </c>
      <c r="AC129" s="21" t="e">
        <f t="shared" ca="1" si="1102"/>
        <v>#NAME?</v>
      </c>
      <c r="AD129" s="21" t="e">
        <f t="shared" ca="1" si="1102"/>
        <v>#NAME?</v>
      </c>
      <c r="AE129" s="21" t="e">
        <f t="shared" ref="AE129" ca="1" si="1103">SUM(AE125:AE128)</f>
        <v>#NAME?</v>
      </c>
      <c r="AJ129" s="22" t="e">
        <f t="shared" ref="AJ129" ca="1" si="1104">SUM(AJ125:AJ128)</f>
        <v>#NAME?</v>
      </c>
      <c r="AK129" s="22" t="e">
        <f t="shared" ref="AK129" ca="1" si="1105">SUM(AK125:AK128)</f>
        <v>#NAME?</v>
      </c>
      <c r="AL129" s="22" t="e">
        <f t="shared" ref="AL129:AM129" ca="1" si="1106">SUM(AL125:AL128)</f>
        <v>#NAME?</v>
      </c>
      <c r="AM129" s="22" t="e">
        <f t="shared" ca="1" si="1106"/>
        <v>#NAME?</v>
      </c>
      <c r="AN129" s="22" t="e">
        <f t="shared" ref="AN129:AO129" ca="1" si="1107">SUM(AN125:AN128)</f>
        <v>#NAME?</v>
      </c>
      <c r="AO129" s="22" t="e">
        <f t="shared" ca="1" si="1107"/>
        <v>#NAME?</v>
      </c>
      <c r="AP129" s="22" t="e">
        <f t="shared" ref="AP129:CE129" ca="1" si="1108">SUM(AP125:AP128)</f>
        <v>#NAME?</v>
      </c>
      <c r="AQ129" s="22" t="e">
        <f t="shared" ca="1" si="1108"/>
        <v>#NAME?</v>
      </c>
      <c r="AR129" s="22" t="e">
        <f t="shared" ca="1" si="1108"/>
        <v>#NAME?</v>
      </c>
      <c r="AS129" s="22" t="e">
        <f t="shared" ca="1" si="1108"/>
        <v>#NAME?</v>
      </c>
      <c r="AT129" s="22" t="e">
        <f t="shared" ca="1" si="1108"/>
        <v>#NAME?</v>
      </c>
      <c r="AU129" s="22" t="e">
        <f t="shared" ca="1" si="1108"/>
        <v>#NAME?</v>
      </c>
      <c r="AV129" s="22" t="e">
        <f t="shared" ca="1" si="1108"/>
        <v>#NAME?</v>
      </c>
      <c r="AW129" s="22" t="e">
        <f t="shared" ca="1" si="1108"/>
        <v>#NAME?</v>
      </c>
      <c r="AX129" s="22" t="e">
        <f t="shared" ca="1" si="1108"/>
        <v>#NAME?</v>
      </c>
      <c r="AY129" s="22" t="e">
        <f t="shared" ca="1" si="1108"/>
        <v>#NAME?</v>
      </c>
      <c r="AZ129" s="22" t="e">
        <f t="shared" ca="1" si="1108"/>
        <v>#NAME?</v>
      </c>
      <c r="BA129" s="22" t="e">
        <f t="shared" ca="1" si="1108"/>
        <v>#NAME?</v>
      </c>
      <c r="BB129" s="22" t="e">
        <f t="shared" ca="1" si="1108"/>
        <v>#NAME?</v>
      </c>
      <c r="BC129" s="22" t="e">
        <f t="shared" ca="1" si="1108"/>
        <v>#NAME?</v>
      </c>
      <c r="BD129" s="22" t="e">
        <f t="shared" ca="1" si="1108"/>
        <v>#NAME?</v>
      </c>
      <c r="BE129" s="22" t="e">
        <f t="shared" ca="1" si="1108"/>
        <v>#NAME?</v>
      </c>
      <c r="BF129" s="22" t="e">
        <f t="shared" ca="1" si="1108"/>
        <v>#NAME?</v>
      </c>
      <c r="BG129" s="22" t="e">
        <f t="shared" ca="1" si="1108"/>
        <v>#NAME?</v>
      </c>
      <c r="BH129" s="22" t="e">
        <f t="shared" ref="BH129" ca="1" si="1109">SUM(BH125:BH128)</f>
        <v>#NAME?</v>
      </c>
      <c r="BI129" s="22" t="e">
        <f t="shared" ca="1" si="1108"/>
        <v>#NAME?</v>
      </c>
      <c r="BJ129" s="22" t="e">
        <f t="shared" ca="1" si="1108"/>
        <v>#NAME?</v>
      </c>
      <c r="BK129" s="22" t="e">
        <f t="shared" ca="1" si="1108"/>
        <v>#NAME?</v>
      </c>
      <c r="BL129" s="22" t="e">
        <f t="shared" ca="1" si="1108"/>
        <v>#NAME?</v>
      </c>
      <c r="BM129" s="22" t="e">
        <f t="shared" ca="1" si="1108"/>
        <v>#NAME?</v>
      </c>
      <c r="BN129" s="22" t="e">
        <f t="shared" ca="1" si="1108"/>
        <v>#NAME?</v>
      </c>
      <c r="BO129" s="22" t="e">
        <f t="shared" ca="1" si="1108"/>
        <v>#NAME?</v>
      </c>
      <c r="BP129" s="22" t="e">
        <f t="shared" ca="1" si="1108"/>
        <v>#NAME?</v>
      </c>
      <c r="BQ129" s="22" t="e">
        <f t="shared" ca="1" si="1108"/>
        <v>#NAME?</v>
      </c>
      <c r="BR129" s="22" t="e">
        <f t="shared" ca="1" si="1108"/>
        <v>#NAME?</v>
      </c>
      <c r="BS129" s="22" t="e">
        <f t="shared" ca="1" si="1108"/>
        <v>#NAME?</v>
      </c>
      <c r="BT129" s="22" t="e">
        <f t="shared" ca="1" si="1108"/>
        <v>#NAME?</v>
      </c>
      <c r="BU129" s="22" t="e">
        <f t="shared" ca="1" si="1108"/>
        <v>#NAME?</v>
      </c>
      <c r="BV129" s="22" t="e">
        <f t="shared" ca="1" si="1108"/>
        <v>#NAME?</v>
      </c>
      <c r="BW129" s="22" t="e">
        <f t="shared" ca="1" si="1108"/>
        <v>#NAME?</v>
      </c>
      <c r="BX129" s="22" t="e">
        <f t="shared" ca="1" si="1108"/>
        <v>#NAME?</v>
      </c>
      <c r="BY129" s="22" t="e">
        <f t="shared" ca="1" si="1108"/>
        <v>#NAME?</v>
      </c>
      <c r="BZ129" s="22" t="e">
        <f t="shared" ca="1" si="1108"/>
        <v>#NAME?</v>
      </c>
      <c r="CA129" s="22" t="e">
        <f t="shared" ca="1" si="1108"/>
        <v>#NAME?</v>
      </c>
      <c r="CB129" s="22" t="e">
        <f t="shared" ca="1" si="1108"/>
        <v>#NAME?</v>
      </c>
      <c r="CC129" s="22" t="e">
        <f t="shared" ca="1" si="1108"/>
        <v>#NAME?</v>
      </c>
      <c r="CD129" s="22" t="e">
        <f t="shared" ca="1" si="1108"/>
        <v>#NAME?</v>
      </c>
      <c r="CE129" s="22" t="e">
        <f t="shared" ca="1" si="1108"/>
        <v>#NAME?</v>
      </c>
      <c r="CF129" s="22" t="e">
        <f t="shared" ref="CF129:CG129" ca="1" si="1110">SUM(CF125:CF128)</f>
        <v>#NAME?</v>
      </c>
      <c r="CG129" s="22" t="e">
        <f t="shared" ca="1" si="1110"/>
        <v>#NAME?</v>
      </c>
      <c r="CH129" s="22" t="e">
        <f t="shared" ref="CH129:CI129" ca="1" si="1111">SUM(CH125:CH128)</f>
        <v>#NAME?</v>
      </c>
      <c r="CI129" s="22" t="e">
        <f t="shared" ca="1" si="1111"/>
        <v>#NAME?</v>
      </c>
      <c r="CJ129" s="22" t="e">
        <f t="shared" ref="CJ129:DB129" ca="1" si="1112">SUM(CJ125:CJ128)</f>
        <v>#NAME?</v>
      </c>
      <c r="CK129" s="21" t="e">
        <f t="shared" ca="1" si="1112"/>
        <v>#NAME?</v>
      </c>
      <c r="CL129" s="22" t="e">
        <f t="shared" ref="CL129" ca="1" si="1113">SUM(CL125:CL128)</f>
        <v>#NAME?</v>
      </c>
      <c r="CM129" s="21" t="e">
        <f t="shared" ca="1" si="1112"/>
        <v>#NAME?</v>
      </c>
      <c r="CN129" s="21" t="e">
        <f t="shared" ca="1" si="1112"/>
        <v>#NAME?</v>
      </c>
      <c r="CO129" s="21" t="e">
        <f t="shared" ca="1" si="1112"/>
        <v>#NAME?</v>
      </c>
      <c r="CP129" s="21" t="e">
        <f t="shared" ca="1" si="1112"/>
        <v>#NAME?</v>
      </c>
      <c r="CQ129" s="21" t="e">
        <f t="shared" ca="1" si="1112"/>
        <v>#NAME?</v>
      </c>
      <c r="CR129" s="21" t="e">
        <f t="shared" ca="1" si="1112"/>
        <v>#NAME?</v>
      </c>
      <c r="CS129" s="21" t="e">
        <f t="shared" ca="1" si="1112"/>
        <v>#NAME?</v>
      </c>
      <c r="CT129" s="21" t="e">
        <f t="shared" ca="1" si="1112"/>
        <v>#NAME?</v>
      </c>
      <c r="CU129" s="21" t="e">
        <f t="shared" ca="1" si="1112"/>
        <v>#NAME?</v>
      </c>
      <c r="CV129" s="21" t="e">
        <f t="shared" ca="1" si="1112"/>
        <v>#NAME?</v>
      </c>
      <c r="CW129" s="21" t="e">
        <f t="shared" ca="1" si="1112"/>
        <v>#NAME?</v>
      </c>
      <c r="CX129" s="21" t="e">
        <f t="shared" ca="1" si="1112"/>
        <v>#NAME?</v>
      </c>
      <c r="CY129" s="21" t="e">
        <f t="shared" ca="1" si="1112"/>
        <v>#NAME?</v>
      </c>
      <c r="CZ129" s="21" t="e">
        <f t="shared" ca="1" si="1112"/>
        <v>#NAME?</v>
      </c>
      <c r="DA129" s="21" t="e">
        <f t="shared" ca="1" si="1112"/>
        <v>#NAME?</v>
      </c>
      <c r="DB129" s="21" t="e">
        <f t="shared" ca="1" si="1112"/>
        <v>#NAME?</v>
      </c>
      <c r="DE129" s="126"/>
      <c r="DF129" s="22">
        <v>86702.209999999992</v>
      </c>
    </row>
    <row r="130" spans="1:110" s="26" customFormat="1" x14ac:dyDescent="0.2">
      <c r="A130" s="26" t="s">
        <v>437</v>
      </c>
      <c r="B130" s="26" t="e">
        <f ca="1">B129+B121+B123</f>
        <v>#NAME?</v>
      </c>
      <c r="C130" s="26" t="e">
        <f t="shared" ref="C130:V130" ca="1" si="1114">C129+C121+C123</f>
        <v>#NAME?</v>
      </c>
      <c r="D130" s="26" t="e">
        <f ca="1">D129+D121+D123</f>
        <v>#NAME?</v>
      </c>
      <c r="E130" s="26" t="e">
        <f t="shared" ca="1" si="1114"/>
        <v>#NAME?</v>
      </c>
      <c r="F130" s="26" t="e">
        <f t="shared" ca="1" si="1114"/>
        <v>#NAME?</v>
      </c>
      <c r="G130" s="26" t="e">
        <f t="shared" ca="1" si="1114"/>
        <v>#NAME?</v>
      </c>
      <c r="H130" s="26" t="e">
        <f t="shared" ca="1" si="1114"/>
        <v>#NAME?</v>
      </c>
      <c r="I130" s="26" t="e">
        <f t="shared" ca="1" si="1114"/>
        <v>#NAME?</v>
      </c>
      <c r="J130" s="26" t="e">
        <f t="shared" ca="1" si="1114"/>
        <v>#NAME?</v>
      </c>
      <c r="K130" s="26" t="e">
        <f t="shared" ca="1" si="1114"/>
        <v>#NAME?</v>
      </c>
      <c r="L130" s="26" t="e">
        <f t="shared" ca="1" si="1114"/>
        <v>#NAME?</v>
      </c>
      <c r="M130" s="26" t="e">
        <f t="shared" ca="1" si="1114"/>
        <v>#NAME?</v>
      </c>
      <c r="N130" s="26" t="e">
        <f t="shared" ca="1" si="1114"/>
        <v>#NAME?</v>
      </c>
      <c r="O130" s="26" t="e">
        <f t="shared" ca="1" si="1114"/>
        <v>#NAME?</v>
      </c>
      <c r="P130" s="26" t="e">
        <f t="shared" ca="1" si="1114"/>
        <v>#NAME?</v>
      </c>
      <c r="Q130" s="26" t="e">
        <f t="shared" ca="1" si="1114"/>
        <v>#NAME?</v>
      </c>
      <c r="R130" s="26" t="e">
        <f t="shared" ca="1" si="1114"/>
        <v>#NAME?</v>
      </c>
      <c r="S130" s="26" t="e">
        <f t="shared" ca="1" si="1114"/>
        <v>#NAME?</v>
      </c>
      <c r="T130" s="26" t="e">
        <f t="shared" ca="1" si="1114"/>
        <v>#NAME?</v>
      </c>
      <c r="U130" s="26" t="e">
        <f t="shared" ca="1" si="1114"/>
        <v>#NAME?</v>
      </c>
      <c r="V130" s="26" t="e">
        <f t="shared" ca="1" si="1114"/>
        <v>#NAME?</v>
      </c>
      <c r="W130" s="26" t="e">
        <f t="shared" ref="W130" ca="1" si="1115">W129+W121+W123</f>
        <v>#NAME?</v>
      </c>
      <c r="X130" s="26" t="e">
        <f t="shared" ref="X130:Y130" ca="1" si="1116">X129+X121+X123</f>
        <v>#NAME?</v>
      </c>
      <c r="Y130" s="26" t="e">
        <f t="shared" ca="1" si="1116"/>
        <v>#NAME?</v>
      </c>
      <c r="Z130" s="26" t="e">
        <f t="shared" ref="Z130:AA130" ca="1" si="1117">Z129+Z121+Z123</f>
        <v>#NAME?</v>
      </c>
      <c r="AA130" s="26" t="e">
        <f t="shared" ca="1" si="1117"/>
        <v>#NAME?</v>
      </c>
      <c r="AB130" s="27" t="e">
        <f t="shared" ref="AA130:AD130" ca="1" si="1118">AB129+AB121+AB123</f>
        <v>#NAME?</v>
      </c>
      <c r="AC130" s="27" t="e">
        <f t="shared" ca="1" si="1118"/>
        <v>#NAME?</v>
      </c>
      <c r="AD130" s="27" t="e">
        <f t="shared" ca="1" si="1118"/>
        <v>#NAME?</v>
      </c>
      <c r="AE130" s="27" t="e">
        <f t="shared" ref="AE130" ca="1" si="1119">AE129+AE121+AE123</f>
        <v>#NAME?</v>
      </c>
      <c r="AJ130" s="26" t="e">
        <f t="shared" ref="AJ130" ca="1" si="1120">AJ129+AJ121+AJ123</f>
        <v>#NAME?</v>
      </c>
      <c r="AK130" s="26" t="e">
        <f t="shared" ref="AK130" ca="1" si="1121">AK129+AK121+AK123</f>
        <v>#NAME?</v>
      </c>
      <c r="AL130" s="26" t="e">
        <f t="shared" ref="AL130" ca="1" si="1122">AL129+AL121+AL123</f>
        <v>#NAME?</v>
      </c>
      <c r="AM130" s="26" t="e">
        <f t="shared" ref="AM130:AO130" ca="1" si="1123">AM129+AM121+AM123</f>
        <v>#NAME?</v>
      </c>
      <c r="AN130" s="26" t="e">
        <f t="shared" ca="1" si="1123"/>
        <v>#NAME?</v>
      </c>
      <c r="AO130" s="26" t="e">
        <f t="shared" ca="1" si="1123"/>
        <v>#NAME?</v>
      </c>
      <c r="AP130" s="26" t="e">
        <f t="shared" ref="AP130:CE130" ca="1" si="1124">AP129+AP121+AP123</f>
        <v>#NAME?</v>
      </c>
      <c r="AQ130" s="26" t="e">
        <f t="shared" ca="1" si="1124"/>
        <v>#NAME?</v>
      </c>
      <c r="AR130" s="26" t="e">
        <f t="shared" ca="1" si="1124"/>
        <v>#NAME?</v>
      </c>
      <c r="AS130" s="26" t="e">
        <f t="shared" ca="1" si="1124"/>
        <v>#NAME?</v>
      </c>
      <c r="AT130" s="26" t="e">
        <f t="shared" ca="1" si="1124"/>
        <v>#NAME?</v>
      </c>
      <c r="AU130" s="26" t="e">
        <f t="shared" ca="1" si="1124"/>
        <v>#NAME?</v>
      </c>
      <c r="AV130" s="26" t="e">
        <f t="shared" ca="1" si="1124"/>
        <v>#NAME?</v>
      </c>
      <c r="AW130" s="26" t="e">
        <f t="shared" ca="1" si="1124"/>
        <v>#NAME?</v>
      </c>
      <c r="AX130" s="26" t="e">
        <f t="shared" ca="1" si="1124"/>
        <v>#NAME?</v>
      </c>
      <c r="AY130" s="26" t="e">
        <f t="shared" ca="1" si="1124"/>
        <v>#NAME?</v>
      </c>
      <c r="AZ130" s="26" t="e">
        <f t="shared" ca="1" si="1124"/>
        <v>#NAME?</v>
      </c>
      <c r="BA130" s="26" t="e">
        <f t="shared" ca="1" si="1124"/>
        <v>#NAME?</v>
      </c>
      <c r="BB130" s="26" t="e">
        <f t="shared" ca="1" si="1124"/>
        <v>#NAME?</v>
      </c>
      <c r="BC130" s="26" t="e">
        <f t="shared" ca="1" si="1124"/>
        <v>#NAME?</v>
      </c>
      <c r="BD130" s="26" t="e">
        <f t="shared" ca="1" si="1124"/>
        <v>#NAME?</v>
      </c>
      <c r="BE130" s="26" t="e">
        <f t="shared" ca="1" si="1124"/>
        <v>#NAME?</v>
      </c>
      <c r="BF130" s="26" t="e">
        <f t="shared" ca="1" si="1124"/>
        <v>#NAME?</v>
      </c>
      <c r="BG130" s="26" t="e">
        <f t="shared" ca="1" si="1124"/>
        <v>#NAME?</v>
      </c>
      <c r="BH130" s="26" t="e">
        <f t="shared" ref="BH130" ca="1" si="1125">BH129+BH121+BH123</f>
        <v>#NAME?</v>
      </c>
      <c r="BI130" s="26" t="e">
        <f t="shared" ca="1" si="1124"/>
        <v>#NAME?</v>
      </c>
      <c r="BJ130" s="26" t="e">
        <f t="shared" ca="1" si="1124"/>
        <v>#NAME?</v>
      </c>
      <c r="BK130" s="26" t="e">
        <f t="shared" ca="1" si="1124"/>
        <v>#NAME?</v>
      </c>
      <c r="BL130" s="26" t="e">
        <f t="shared" ca="1" si="1124"/>
        <v>#NAME?</v>
      </c>
      <c r="BM130" s="26" t="e">
        <f t="shared" ca="1" si="1124"/>
        <v>#NAME?</v>
      </c>
      <c r="BN130" s="26" t="e">
        <f t="shared" ca="1" si="1124"/>
        <v>#NAME?</v>
      </c>
      <c r="BO130" s="26" t="e">
        <f t="shared" ca="1" si="1124"/>
        <v>#NAME?</v>
      </c>
      <c r="BP130" s="26" t="e">
        <f t="shared" ca="1" si="1124"/>
        <v>#NAME?</v>
      </c>
      <c r="BQ130" s="26" t="e">
        <f t="shared" ca="1" si="1124"/>
        <v>#NAME?</v>
      </c>
      <c r="BR130" s="26" t="e">
        <f t="shared" ca="1" si="1124"/>
        <v>#NAME?</v>
      </c>
      <c r="BS130" s="26" t="e">
        <f t="shared" ca="1" si="1124"/>
        <v>#NAME?</v>
      </c>
      <c r="BT130" s="26" t="e">
        <f t="shared" ca="1" si="1124"/>
        <v>#NAME?</v>
      </c>
      <c r="BU130" s="26" t="e">
        <f t="shared" ca="1" si="1124"/>
        <v>#NAME?</v>
      </c>
      <c r="BV130" s="26" t="e">
        <f t="shared" ca="1" si="1124"/>
        <v>#NAME?</v>
      </c>
      <c r="BW130" s="26" t="e">
        <f t="shared" ca="1" si="1124"/>
        <v>#NAME?</v>
      </c>
      <c r="BX130" s="26" t="e">
        <f t="shared" ca="1" si="1124"/>
        <v>#NAME?</v>
      </c>
      <c r="BY130" s="26" t="e">
        <f t="shared" ca="1" si="1124"/>
        <v>#NAME?</v>
      </c>
      <c r="BZ130" s="26" t="e">
        <f t="shared" ca="1" si="1124"/>
        <v>#NAME?</v>
      </c>
      <c r="CA130" s="26" t="e">
        <f t="shared" ca="1" si="1124"/>
        <v>#NAME?</v>
      </c>
      <c r="CB130" s="26" t="e">
        <f t="shared" ca="1" si="1124"/>
        <v>#NAME?</v>
      </c>
      <c r="CC130" s="26" t="e">
        <f t="shared" ca="1" si="1124"/>
        <v>#NAME?</v>
      </c>
      <c r="CD130" s="26" t="e">
        <f t="shared" ca="1" si="1124"/>
        <v>#NAME?</v>
      </c>
      <c r="CE130" s="26" t="e">
        <f t="shared" ca="1" si="1124"/>
        <v>#NAME?</v>
      </c>
      <c r="CF130" s="26" t="e">
        <f t="shared" ref="CF130:CG130" ca="1" si="1126">CF129+CF121+CF123</f>
        <v>#NAME?</v>
      </c>
      <c r="CG130" s="26" t="e">
        <f t="shared" ca="1" si="1126"/>
        <v>#NAME?</v>
      </c>
      <c r="CH130" s="26" t="e">
        <f t="shared" ref="CH130:CI130" ca="1" si="1127">CH129+CH121+CH123</f>
        <v>#NAME?</v>
      </c>
      <c r="CI130" s="26" t="e">
        <f t="shared" ca="1" si="1127"/>
        <v>#NAME?</v>
      </c>
      <c r="CJ130" s="26" t="e">
        <f t="shared" ref="CJ130:DB130" ca="1" si="1128">CJ129+CJ121+CJ123</f>
        <v>#NAME?</v>
      </c>
      <c r="CK130" s="27" t="e">
        <f t="shared" ca="1" si="1128"/>
        <v>#NAME?</v>
      </c>
      <c r="CL130" s="26" t="e">
        <f t="shared" ref="CL130" ca="1" si="1129">CL129+CL121+CL123</f>
        <v>#NAME?</v>
      </c>
      <c r="CM130" s="27" t="e">
        <f t="shared" ca="1" si="1128"/>
        <v>#NAME?</v>
      </c>
      <c r="CN130" s="27" t="e">
        <f t="shared" ca="1" si="1128"/>
        <v>#NAME?</v>
      </c>
      <c r="CO130" s="27" t="e">
        <f t="shared" ca="1" si="1128"/>
        <v>#NAME?</v>
      </c>
      <c r="CP130" s="27" t="e">
        <f t="shared" ca="1" si="1128"/>
        <v>#NAME?</v>
      </c>
      <c r="CQ130" s="27" t="e">
        <f t="shared" ca="1" si="1128"/>
        <v>#NAME?</v>
      </c>
      <c r="CR130" s="27" t="e">
        <f t="shared" ca="1" si="1128"/>
        <v>#NAME?</v>
      </c>
      <c r="CS130" s="27" t="e">
        <f t="shared" ca="1" si="1128"/>
        <v>#NAME?</v>
      </c>
      <c r="CT130" s="27" t="e">
        <f t="shared" ca="1" si="1128"/>
        <v>#NAME?</v>
      </c>
      <c r="CU130" s="27" t="e">
        <f t="shared" ca="1" si="1128"/>
        <v>#NAME?</v>
      </c>
      <c r="CV130" s="27" t="e">
        <f t="shared" ca="1" si="1128"/>
        <v>#NAME?</v>
      </c>
      <c r="CW130" s="27" t="e">
        <f t="shared" ca="1" si="1128"/>
        <v>#NAME?</v>
      </c>
      <c r="CX130" s="27" t="e">
        <f t="shared" ca="1" si="1128"/>
        <v>#NAME?</v>
      </c>
      <c r="CY130" s="27" t="e">
        <f t="shared" ca="1" si="1128"/>
        <v>#NAME?</v>
      </c>
      <c r="CZ130" s="27" t="e">
        <f t="shared" ca="1" si="1128"/>
        <v>#NAME?</v>
      </c>
      <c r="DA130" s="27" t="e">
        <f t="shared" ca="1" si="1128"/>
        <v>#NAME?</v>
      </c>
      <c r="DB130" s="27" t="e">
        <f t="shared" ca="1" si="1128"/>
        <v>#NAME?</v>
      </c>
      <c r="DE130" s="121"/>
      <c r="DF130" s="26">
        <v>175880.46</v>
      </c>
    </row>
    <row r="131" spans="1:110" s="23" customFormat="1" x14ac:dyDescent="0.2">
      <c r="AB131" s="24"/>
      <c r="AC131" s="24"/>
      <c r="AD131" s="24"/>
      <c r="AE131" s="24"/>
      <c r="CK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E131" s="123"/>
    </row>
    <row r="132" spans="1:110" s="23" customFormat="1" outlineLevel="1" x14ac:dyDescent="0.2">
      <c r="A132" s="23" t="s">
        <v>50</v>
      </c>
      <c r="B132" s="23" t="e">
        <f ca="1">'Annual Raw'!C62</f>
        <v>#NAME?</v>
      </c>
      <c r="C132" s="23" t="e">
        <f ca="1">'Annual Raw'!D62</f>
        <v>#NAME?</v>
      </c>
      <c r="D132" s="23" t="e">
        <f ca="1">'Annual Raw'!E62</f>
        <v>#NAME?</v>
      </c>
      <c r="E132" s="23" t="e">
        <f ca="1">'Annual Raw'!F62-E136</f>
        <v>#NAME?</v>
      </c>
      <c r="F132" s="23" t="e">
        <f ca="1">'Annual Raw'!G62-F136</f>
        <v>#NAME?</v>
      </c>
      <c r="G132" s="23" t="e">
        <f ca="1">'Annual Raw'!H62-G136</f>
        <v>#NAME?</v>
      </c>
      <c r="H132" s="23" t="e">
        <f ca="1">'Annual Raw'!I62-H136</f>
        <v>#NAME?</v>
      </c>
      <c r="I132" s="23" t="e">
        <f ca="1">'Annual Raw'!J62-I136</f>
        <v>#NAME?</v>
      </c>
      <c r="J132" s="23" t="e">
        <f ca="1">'Annual Raw'!K62-J136</f>
        <v>#NAME?</v>
      </c>
      <c r="K132" s="23" t="e">
        <f ca="1">'Annual Raw'!L62-K136</f>
        <v>#NAME?</v>
      </c>
      <c r="L132" s="23" t="e">
        <f ca="1">'Annual Raw'!M62-L136</f>
        <v>#NAME?</v>
      </c>
      <c r="M132" s="23" t="e">
        <f ca="1">'Annual Raw'!N62-M136</f>
        <v>#NAME?</v>
      </c>
      <c r="N132" s="23" t="e">
        <f ca="1">'Annual Raw'!O62-N136</f>
        <v>#NAME?</v>
      </c>
      <c r="O132" s="23" t="e">
        <f ca="1">'Annual Raw'!P62-O136</f>
        <v>#NAME?</v>
      </c>
      <c r="P132" s="23" t="e">
        <f ca="1">'Annual Raw'!Q62-P136</f>
        <v>#NAME?</v>
      </c>
      <c r="Q132" s="23" t="e">
        <f ca="1">'Annual Raw'!R62-Q136</f>
        <v>#NAME?</v>
      </c>
      <c r="R132" s="23" t="e">
        <f ca="1">'Annual Raw'!S62-R136</f>
        <v>#NAME?</v>
      </c>
      <c r="S132" s="23" t="e">
        <f ca="1">'Annual Raw'!T62-S136</f>
        <v>#NAME?</v>
      </c>
      <c r="T132" s="23" t="e">
        <f ca="1">'Annual Raw'!U62-T136</f>
        <v>#NAME?</v>
      </c>
      <c r="U132" s="23" t="e">
        <f ca="1">'Annual Raw'!V62-U136</f>
        <v>#NAME?</v>
      </c>
      <c r="V132" s="23" t="e">
        <f ca="1">'Annual Raw'!W62-V136</f>
        <v>#NAME?</v>
      </c>
      <c r="W132" s="23" t="e">
        <f ca="1">'Annual Raw'!X62-W136</f>
        <v>#NAME?</v>
      </c>
      <c r="X132" s="23" t="e">
        <f ca="1">'Annual Raw'!Y62-X136</f>
        <v>#NAME?</v>
      </c>
      <c r="Y132" s="23" t="e">
        <f ca="1">'Annual Raw'!Z62-Y136</f>
        <v>#NAME?</v>
      </c>
      <c r="Z132" s="23" t="e">
        <f ca="1">'Annual Raw'!AA62-Z136</f>
        <v>#NAME?</v>
      </c>
      <c r="AA132" s="23" t="e">
        <f ca="1">'Annual Raw'!AB62-AA136</f>
        <v>#NAME?</v>
      </c>
      <c r="AB132" s="24" t="e">
        <f t="shared" ref="AB132:AB138" ca="1" si="1130">+CP132</f>
        <v>#NAME?</v>
      </c>
      <c r="AC132" s="24" t="e">
        <f t="shared" ref="AC132:AC138" ca="1" si="1131">+CT132</f>
        <v>#NAME?</v>
      </c>
      <c r="AD132" s="24" t="e">
        <f t="shared" ref="AD132:AD138" ca="1" si="1132">+CX132</f>
        <v>#NAME?</v>
      </c>
      <c r="AE132" s="24" t="e">
        <f t="shared" ref="AE132:AE138" ca="1" si="1133">+DB132</f>
        <v>#NAME?</v>
      </c>
      <c r="AJ132" s="23" t="e">
        <f ca="1">+'QTR Raw'!D68</f>
        <v>#NAME?</v>
      </c>
      <c r="AL132" s="23" t="e">
        <f ca="1">+'QTR Raw'!F68</f>
        <v>#NAME?</v>
      </c>
      <c r="AN132" s="23" t="e">
        <f ca="1">+'QTR Raw'!H68</f>
        <v>#NAME?</v>
      </c>
      <c r="AP132" s="23" t="e">
        <f ca="1">+'QTR Raw'!J68</f>
        <v>#NAME?</v>
      </c>
      <c r="AR132" s="23" t="e">
        <f ca="1">+'QTR Raw'!L68</f>
        <v>#NAME?</v>
      </c>
      <c r="AT132" s="23" t="e">
        <f ca="1">+'QTR Raw'!N68</f>
        <v>#NAME?</v>
      </c>
      <c r="AV132" s="23" t="e">
        <f ca="1">+'QTR Raw'!P68</f>
        <v>#NAME?</v>
      </c>
      <c r="AX132" s="23" t="e">
        <f ca="1">+'QTR Raw'!R68</f>
        <v>#NAME?</v>
      </c>
      <c r="AZ132" s="23" t="e">
        <f ca="1">+'QTR Raw'!T68</f>
        <v>#NAME?</v>
      </c>
      <c r="BB132" s="23" t="e">
        <f ca="1">+'QTR Raw'!V68</f>
        <v>#NAME?</v>
      </c>
      <c r="BD132" s="23" t="e">
        <f ca="1">+'QTR Raw'!X68</f>
        <v>#NAME?</v>
      </c>
      <c r="BF132" s="23" t="e">
        <f ca="1">+'QTR Raw'!Z68</f>
        <v>#NAME?</v>
      </c>
      <c r="BH132" s="23" t="e">
        <f ca="1">+'QTR Raw'!AB68</f>
        <v>#NAME?</v>
      </c>
      <c r="BJ132" s="23" t="e">
        <f ca="1">+'QTR Raw'!AD68</f>
        <v>#NAME?</v>
      </c>
      <c r="BL132" s="23" t="e">
        <f ca="1">+'QTR Raw'!AF68</f>
        <v>#NAME?</v>
      </c>
      <c r="BN132" s="23" t="e">
        <f ca="1">+'QTR Raw'!AH68</f>
        <v>#NAME?</v>
      </c>
      <c r="BP132" s="23" t="e">
        <f ca="1">+'QTR Raw'!AJ68</f>
        <v>#NAME?</v>
      </c>
      <c r="BR132" s="23" t="e">
        <f ca="1">+'QTR Raw'!AL68</f>
        <v>#NAME?</v>
      </c>
      <c r="BT132" s="23" t="e">
        <f ca="1">+'QTR Raw'!AN68</f>
        <v>#NAME?</v>
      </c>
      <c r="BV132" s="23" t="e">
        <f ca="1">+'QTR Raw'!AP68</f>
        <v>#NAME?</v>
      </c>
      <c r="BX132" s="23" t="e">
        <f ca="1">+'QTR Raw'!AR68</f>
        <v>#NAME?</v>
      </c>
      <c r="BZ132" s="23" t="e">
        <f ca="1">+'QTR Raw'!AT68</f>
        <v>#NAME?</v>
      </c>
      <c r="CB132" s="23" t="e">
        <f ca="1">+'QTR Raw'!AV68</f>
        <v>#NAME?</v>
      </c>
      <c r="CD132" s="23" t="e">
        <f ca="1">+'QTR Raw'!AX68</f>
        <v>#NAME?</v>
      </c>
      <c r="CF132" s="23" t="e">
        <f ca="1">+'QTR Raw'!AZ68</f>
        <v>#NAME?</v>
      </c>
      <c r="CH132" s="23" t="e">
        <f t="shared" ref="CH132:CH138" ca="1" si="1134">Z132</f>
        <v>#NAME?</v>
      </c>
      <c r="CI132" s="23" t="e">
        <f ca="1">CH132</f>
        <v>#NAME?</v>
      </c>
      <c r="CJ132" s="23" t="e">
        <f ca="1">+CJ133+CJ135</f>
        <v>#NAME?</v>
      </c>
      <c r="CK132" s="24" t="e">
        <f ca="1">+CJ132+1500</f>
        <v>#NAME?</v>
      </c>
      <c r="CL132" s="23" t="e">
        <f ca="1">+CL133+CL135</f>
        <v>#NAME?</v>
      </c>
      <c r="CM132" s="24" t="e">
        <f t="shared" ref="CM132:DB132" ca="1" si="1135">+CL132+1500</f>
        <v>#NAME?</v>
      </c>
      <c r="CN132" s="24" t="e">
        <f t="shared" ca="1" si="1135"/>
        <v>#NAME?</v>
      </c>
      <c r="CO132" s="24" t="e">
        <f t="shared" ca="1" si="1135"/>
        <v>#NAME?</v>
      </c>
      <c r="CP132" s="24" t="e">
        <f t="shared" ca="1" si="1135"/>
        <v>#NAME?</v>
      </c>
      <c r="CQ132" s="24" t="e">
        <f t="shared" ca="1" si="1135"/>
        <v>#NAME?</v>
      </c>
      <c r="CR132" s="24" t="e">
        <f t="shared" ca="1" si="1135"/>
        <v>#NAME?</v>
      </c>
      <c r="CS132" s="24" t="e">
        <f t="shared" ca="1" si="1135"/>
        <v>#NAME?</v>
      </c>
      <c r="CT132" s="24" t="e">
        <f t="shared" ca="1" si="1135"/>
        <v>#NAME?</v>
      </c>
      <c r="CU132" s="24" t="e">
        <f t="shared" ca="1" si="1135"/>
        <v>#NAME?</v>
      </c>
      <c r="CV132" s="24" t="e">
        <f t="shared" ca="1" si="1135"/>
        <v>#NAME?</v>
      </c>
      <c r="CW132" s="24" t="e">
        <f t="shared" ca="1" si="1135"/>
        <v>#NAME?</v>
      </c>
      <c r="CX132" s="24" t="e">
        <f t="shared" ca="1" si="1135"/>
        <v>#NAME?</v>
      </c>
      <c r="CY132" s="24" t="e">
        <f t="shared" ca="1" si="1135"/>
        <v>#NAME?</v>
      </c>
      <c r="CZ132" s="24" t="e">
        <f t="shared" ca="1" si="1135"/>
        <v>#NAME?</v>
      </c>
      <c r="DA132" s="24" t="e">
        <f t="shared" ca="1" si="1135"/>
        <v>#NAME?</v>
      </c>
      <c r="DB132" s="24" t="e">
        <f t="shared" ca="1" si="1135"/>
        <v>#NAME?</v>
      </c>
      <c r="DE132" s="123"/>
      <c r="DF132" s="23">
        <v>137057.55000000002</v>
      </c>
    </row>
    <row r="133" spans="1:110" s="23" customFormat="1" outlineLevel="1" x14ac:dyDescent="0.2">
      <c r="A133" s="23" t="s">
        <v>51</v>
      </c>
      <c r="B133" s="23" t="e">
        <f ca="1">'Annual Raw'!C63</f>
        <v>#NAME?</v>
      </c>
      <c r="C133" s="23" t="e">
        <f ca="1">'Annual Raw'!D63</f>
        <v>#NAME?</v>
      </c>
      <c r="D133" s="23" t="e">
        <f ca="1">'Annual Raw'!E63</f>
        <v>#NAME?</v>
      </c>
      <c r="E133" s="23" t="e">
        <f ca="1">'Annual Raw'!F63</f>
        <v>#NAME?</v>
      </c>
      <c r="F133" s="23" t="e">
        <f ca="1">'Annual Raw'!G63</f>
        <v>#NAME?</v>
      </c>
      <c r="G133" s="23" t="e">
        <f ca="1">'Annual Raw'!H63</f>
        <v>#NAME?</v>
      </c>
      <c r="H133" s="23" t="e">
        <f ca="1">'Annual Raw'!I63</f>
        <v>#NAME?</v>
      </c>
      <c r="I133" s="23" t="e">
        <f ca="1">'Annual Raw'!J63</f>
        <v>#NAME?</v>
      </c>
      <c r="J133" s="23" t="e">
        <f ca="1">'Annual Raw'!K63</f>
        <v>#NAME?</v>
      </c>
      <c r="K133" s="23" t="e">
        <f ca="1">'Annual Raw'!L63</f>
        <v>#NAME?</v>
      </c>
      <c r="L133" s="23" t="e">
        <f ca="1">'Annual Raw'!M63</f>
        <v>#NAME?</v>
      </c>
      <c r="M133" s="23" t="e">
        <f ca="1">'Annual Raw'!N63</f>
        <v>#NAME?</v>
      </c>
      <c r="N133" s="23" t="e">
        <f ca="1">'Annual Raw'!O63</f>
        <v>#NAME?</v>
      </c>
      <c r="O133" s="23" t="e">
        <f ca="1">'Annual Raw'!P63</f>
        <v>#NAME?</v>
      </c>
      <c r="P133" s="23" t="e">
        <f ca="1">'Annual Raw'!Q63</f>
        <v>#NAME?</v>
      </c>
      <c r="Q133" s="23" t="e">
        <f ca="1">'Annual Raw'!R63</f>
        <v>#NAME?</v>
      </c>
      <c r="R133" s="23" t="e">
        <f ca="1">'Annual Raw'!S63</f>
        <v>#NAME?</v>
      </c>
      <c r="S133" s="23" t="e">
        <f ca="1">'Annual Raw'!T63</f>
        <v>#NAME?</v>
      </c>
      <c r="T133" s="23" t="e">
        <f ca="1">'Annual Raw'!U63</f>
        <v>#NAME?</v>
      </c>
      <c r="U133" s="23" t="e">
        <f ca="1">'Annual Raw'!V63</f>
        <v>#NAME?</v>
      </c>
      <c r="V133" s="23" t="e">
        <f ca="1">'Annual Raw'!W63</f>
        <v>#NAME?</v>
      </c>
      <c r="W133" s="23" t="e">
        <f ca="1">'Annual Raw'!X63</f>
        <v>#NAME?</v>
      </c>
      <c r="X133" s="23" t="e">
        <f ca="1">'Annual Raw'!Y63</f>
        <v>#NAME?</v>
      </c>
      <c r="Y133" s="23" t="e">
        <f ca="1">'Annual Raw'!Z63</f>
        <v>#NAME?</v>
      </c>
      <c r="Z133" s="23" t="e">
        <f ca="1">'Annual Raw'!AA63</f>
        <v>#NAME?</v>
      </c>
      <c r="AA133" s="23" t="e">
        <f ca="1">'Annual Raw'!AB63</f>
        <v>#NAME?</v>
      </c>
      <c r="AB133" s="24" t="e">
        <f t="shared" ca="1" si="1130"/>
        <v>#NAME?</v>
      </c>
      <c r="AC133" s="24" t="e">
        <f t="shared" ca="1" si="1131"/>
        <v>#NAME?</v>
      </c>
      <c r="AD133" s="24" t="e">
        <f t="shared" ca="1" si="1132"/>
        <v>#NAME?</v>
      </c>
      <c r="AE133" s="24" t="e">
        <f t="shared" ca="1" si="1133"/>
        <v>#NAME?</v>
      </c>
      <c r="AJ133" s="23" t="e">
        <f ca="1">+'QTR Raw'!D69</f>
        <v>#NAME?</v>
      </c>
      <c r="AL133" s="23" t="e">
        <f ca="1">+'QTR Raw'!F69</f>
        <v>#NAME?</v>
      </c>
      <c r="AN133" s="23" t="e">
        <f ca="1">+'QTR Raw'!H69</f>
        <v>#NAME?</v>
      </c>
      <c r="AP133" s="23" t="e">
        <f ca="1">+'QTR Raw'!J69</f>
        <v>#NAME?</v>
      </c>
      <c r="AR133" s="23" t="e">
        <f ca="1">+'QTR Raw'!L69</f>
        <v>#NAME?</v>
      </c>
      <c r="AT133" s="23" t="e">
        <f ca="1">+'QTR Raw'!N69</f>
        <v>#NAME?</v>
      </c>
      <c r="AV133" s="23" t="e">
        <f ca="1">+'QTR Raw'!P69</f>
        <v>#NAME?</v>
      </c>
      <c r="AX133" s="23" t="e">
        <f ca="1">+'QTR Raw'!R69</f>
        <v>#NAME?</v>
      </c>
      <c r="AZ133" s="23" t="e">
        <f ca="1">+'QTR Raw'!T69</f>
        <v>#NAME?</v>
      </c>
      <c r="BB133" s="23" t="e">
        <f ca="1">+'QTR Raw'!V69</f>
        <v>#NAME?</v>
      </c>
      <c r="BD133" s="23" t="e">
        <f ca="1">+'QTR Raw'!X69</f>
        <v>#NAME?</v>
      </c>
      <c r="BF133" s="23" t="e">
        <f ca="1">+'QTR Raw'!Z69</f>
        <v>#NAME?</v>
      </c>
      <c r="BH133" s="23" t="e">
        <f ca="1">+'QTR Raw'!AB69</f>
        <v>#NAME?</v>
      </c>
      <c r="BJ133" s="23" t="e">
        <f ca="1">+'QTR Raw'!AD69</f>
        <v>#NAME?</v>
      </c>
      <c r="BL133" s="23" t="e">
        <f ca="1">+'QTR Raw'!AF69</f>
        <v>#NAME?</v>
      </c>
      <c r="BN133" s="23" t="e">
        <f ca="1">+'QTR Raw'!AH69</f>
        <v>#NAME?</v>
      </c>
      <c r="BP133" s="23" t="e">
        <f ca="1">+'QTR Raw'!AJ69</f>
        <v>#NAME?</v>
      </c>
      <c r="BR133" s="23" t="e">
        <f ca="1">+'QTR Raw'!AL69</f>
        <v>#NAME?</v>
      </c>
      <c r="BT133" s="23" t="e">
        <f ca="1">+'QTR Raw'!AN69</f>
        <v>#NAME?</v>
      </c>
      <c r="BV133" s="23" t="e">
        <f ca="1">+'QTR Raw'!AP69</f>
        <v>#NAME?</v>
      </c>
      <c r="BX133" s="23" t="e">
        <f ca="1">+'QTR Raw'!AR69</f>
        <v>#NAME?</v>
      </c>
      <c r="BZ133" s="23" t="e">
        <f ca="1">+'QTR Raw'!AT69</f>
        <v>#NAME?</v>
      </c>
      <c r="CB133" s="23" t="e">
        <f ca="1">+'QTR Raw'!AV69</f>
        <v>#NAME?</v>
      </c>
      <c r="CD133" s="23" t="e">
        <f ca="1">+'QTR Raw'!AX69</f>
        <v>#NAME?</v>
      </c>
      <c r="CF133" s="23" t="e">
        <f ca="1">+'QTR Raw'!AZ69</f>
        <v>#NAME?</v>
      </c>
      <c r="CH133" s="23" t="e">
        <f t="shared" ca="1" si="1134"/>
        <v>#NAME?</v>
      </c>
      <c r="CI133" s="23" t="e">
        <f t="shared" ref="CI133:DB133" ca="1" si="1136">CH133+CI32</f>
        <v>#NAME?</v>
      </c>
      <c r="CJ133" s="23" t="e">
        <f t="shared" ca="1" si="1136"/>
        <v>#NAME?</v>
      </c>
      <c r="CK133" s="24" t="e">
        <f t="shared" ca="1" si="1136"/>
        <v>#NAME?</v>
      </c>
      <c r="CL133" s="23" t="e">
        <f t="shared" ca="1" si="1136"/>
        <v>#NAME?</v>
      </c>
      <c r="CM133" s="24" t="e">
        <f t="shared" ca="1" si="1136"/>
        <v>#NAME?</v>
      </c>
      <c r="CN133" s="24" t="e">
        <f t="shared" ca="1" si="1136"/>
        <v>#NAME?</v>
      </c>
      <c r="CO133" s="24" t="e">
        <f t="shared" ca="1" si="1136"/>
        <v>#NAME?</v>
      </c>
      <c r="CP133" s="24" t="e">
        <f t="shared" ca="1" si="1136"/>
        <v>#NAME?</v>
      </c>
      <c r="CQ133" s="24" t="e">
        <f t="shared" ca="1" si="1136"/>
        <v>#NAME?</v>
      </c>
      <c r="CR133" s="24" t="e">
        <f t="shared" ca="1" si="1136"/>
        <v>#NAME?</v>
      </c>
      <c r="CS133" s="24" t="e">
        <f t="shared" ca="1" si="1136"/>
        <v>#NAME?</v>
      </c>
      <c r="CT133" s="24" t="e">
        <f t="shared" ca="1" si="1136"/>
        <v>#NAME?</v>
      </c>
      <c r="CU133" s="24" t="e">
        <f t="shared" ca="1" si="1136"/>
        <v>#NAME?</v>
      </c>
      <c r="CV133" s="24" t="e">
        <f t="shared" ca="1" si="1136"/>
        <v>#NAME?</v>
      </c>
      <c r="CW133" s="24" t="e">
        <f t="shared" ca="1" si="1136"/>
        <v>#NAME?</v>
      </c>
      <c r="CX133" s="24" t="e">
        <f t="shared" ca="1" si="1136"/>
        <v>#NAME?</v>
      </c>
      <c r="CY133" s="24" t="e">
        <f t="shared" ca="1" si="1136"/>
        <v>#NAME?</v>
      </c>
      <c r="CZ133" s="24" t="e">
        <f t="shared" ca="1" si="1136"/>
        <v>#NAME?</v>
      </c>
      <c r="DA133" s="24" t="e">
        <f t="shared" ca="1" si="1136"/>
        <v>#NAME?</v>
      </c>
      <c r="DB133" s="24" t="e">
        <f t="shared" ca="1" si="1136"/>
        <v>#NAME?</v>
      </c>
      <c r="DE133" s="123"/>
      <c r="DF133" s="23">
        <v>18816.34</v>
      </c>
    </row>
    <row r="134" spans="1:110" s="23" customFormat="1" outlineLevel="1" x14ac:dyDescent="0.2">
      <c r="A134" s="23" t="s">
        <v>52</v>
      </c>
      <c r="B134" s="23" t="e">
        <f ca="1">'Annual Raw'!C64</f>
        <v>#NAME?</v>
      </c>
      <c r="C134" s="23" t="e">
        <f ca="1">'Annual Raw'!D64</f>
        <v>#NAME?</v>
      </c>
      <c r="D134" s="23" t="e">
        <f ca="1">'Annual Raw'!E64</f>
        <v>#NAME?</v>
      </c>
      <c r="E134" s="23" t="e">
        <f ca="1">'Annual Raw'!F64</f>
        <v>#NAME?</v>
      </c>
      <c r="F134" s="23" t="e">
        <f ca="1">'Annual Raw'!G64</f>
        <v>#NAME?</v>
      </c>
      <c r="G134" s="23" t="e">
        <f ca="1">'Annual Raw'!H64</f>
        <v>#NAME?</v>
      </c>
      <c r="H134" s="23" t="e">
        <f ca="1">'Annual Raw'!I64</f>
        <v>#NAME?</v>
      </c>
      <c r="I134" s="23" t="e">
        <f ca="1">'Annual Raw'!J64</f>
        <v>#NAME?</v>
      </c>
      <c r="J134" s="23" t="e">
        <f ca="1">'Annual Raw'!K64</f>
        <v>#NAME?</v>
      </c>
      <c r="K134" s="23" t="e">
        <f ca="1">'Annual Raw'!L64</f>
        <v>#NAME?</v>
      </c>
      <c r="L134" s="23" t="e">
        <f ca="1">'Annual Raw'!M64</f>
        <v>#NAME?</v>
      </c>
      <c r="M134" s="23" t="e">
        <f ca="1">'Annual Raw'!N64</f>
        <v>#NAME?</v>
      </c>
      <c r="N134" s="23" t="e">
        <f ca="1">'Annual Raw'!O64</f>
        <v>#NAME?</v>
      </c>
      <c r="O134" s="23" t="e">
        <f ca="1">'Annual Raw'!P64</f>
        <v>#NAME?</v>
      </c>
      <c r="P134" s="23" t="e">
        <f ca="1">'Annual Raw'!Q64</f>
        <v>#NAME?</v>
      </c>
      <c r="Q134" s="23" t="e">
        <f ca="1">'Annual Raw'!R64</f>
        <v>#NAME?</v>
      </c>
      <c r="R134" s="23" t="e">
        <f ca="1">'Annual Raw'!S64</f>
        <v>#NAME?</v>
      </c>
      <c r="S134" s="23" t="e">
        <f ca="1">'Annual Raw'!T64</f>
        <v>#NAME?</v>
      </c>
      <c r="T134" s="23" t="e">
        <f ca="1">'Annual Raw'!U64</f>
        <v>#NAME?</v>
      </c>
      <c r="U134" s="23" t="e">
        <f ca="1">'Annual Raw'!V64</f>
        <v>#NAME?</v>
      </c>
      <c r="V134" s="23" t="e">
        <f ca="1">'Annual Raw'!W64</f>
        <v>#NAME?</v>
      </c>
      <c r="W134" s="23" t="e">
        <f ca="1">'Annual Raw'!X64</f>
        <v>#NAME?</v>
      </c>
      <c r="X134" s="23" t="e">
        <f ca="1">'Annual Raw'!Y64</f>
        <v>#NAME?</v>
      </c>
      <c r="Y134" s="23" t="e">
        <f ca="1">'Annual Raw'!Z64</f>
        <v>#NAME?</v>
      </c>
      <c r="Z134" s="23" t="e">
        <f ca="1">'Annual Raw'!AA64</f>
        <v>#NAME?</v>
      </c>
      <c r="AA134" s="23" t="e">
        <f ca="1">'Annual Raw'!AB64</f>
        <v>#NAME?</v>
      </c>
      <c r="AB134" s="24" t="e">
        <f t="shared" ca="1" si="1130"/>
        <v>#NAME?</v>
      </c>
      <c r="AC134" s="24" t="e">
        <f t="shared" ca="1" si="1131"/>
        <v>#NAME?</v>
      </c>
      <c r="AD134" s="24" t="e">
        <f t="shared" ca="1" si="1132"/>
        <v>#NAME?</v>
      </c>
      <c r="AE134" s="24" t="e">
        <f t="shared" ca="1" si="1133"/>
        <v>#NAME?</v>
      </c>
      <c r="AJ134" s="23" t="e">
        <f ca="1">+'QTR Raw'!D70</f>
        <v>#NAME?</v>
      </c>
      <c r="AL134" s="23" t="e">
        <f ca="1">+'QTR Raw'!F70</f>
        <v>#NAME?</v>
      </c>
      <c r="AN134" s="23" t="e">
        <f ca="1">+'QTR Raw'!H70</f>
        <v>#NAME?</v>
      </c>
      <c r="AP134" s="23" t="e">
        <f ca="1">+'QTR Raw'!J70</f>
        <v>#NAME?</v>
      </c>
      <c r="AR134" s="23" t="e">
        <f ca="1">+'QTR Raw'!L70</f>
        <v>#NAME?</v>
      </c>
      <c r="AT134" s="23" t="e">
        <f ca="1">+'QTR Raw'!N70</f>
        <v>#NAME?</v>
      </c>
      <c r="AV134" s="23" t="e">
        <f ca="1">+'QTR Raw'!P70</f>
        <v>#NAME?</v>
      </c>
      <c r="AX134" s="23" t="e">
        <f ca="1">+'QTR Raw'!R70</f>
        <v>#NAME?</v>
      </c>
      <c r="AZ134" s="23" t="e">
        <f ca="1">+'QTR Raw'!T70</f>
        <v>#NAME?</v>
      </c>
      <c r="BB134" s="23" t="e">
        <f ca="1">+'QTR Raw'!V70</f>
        <v>#NAME?</v>
      </c>
      <c r="BD134" s="23" t="e">
        <f ca="1">+'QTR Raw'!X70</f>
        <v>#NAME?</v>
      </c>
      <c r="BF134" s="23" t="e">
        <f ca="1">+'QTR Raw'!Z70</f>
        <v>#NAME?</v>
      </c>
      <c r="BH134" s="23" t="e">
        <f ca="1">+'QTR Raw'!AB70</f>
        <v>#NAME?</v>
      </c>
      <c r="BJ134" s="23" t="e">
        <f ca="1">+'QTR Raw'!AD70</f>
        <v>#NAME?</v>
      </c>
      <c r="BL134" s="23" t="e">
        <f ca="1">+'QTR Raw'!AF70</f>
        <v>#NAME?</v>
      </c>
      <c r="BN134" s="23" t="e">
        <f ca="1">+'QTR Raw'!AH70</f>
        <v>#NAME?</v>
      </c>
      <c r="BP134" s="23" t="e">
        <f ca="1">+'QTR Raw'!AJ70</f>
        <v>#NAME?</v>
      </c>
      <c r="BR134" s="23" t="e">
        <f ca="1">+'QTR Raw'!AL70</f>
        <v>#NAME?</v>
      </c>
      <c r="BT134" s="23" t="e">
        <f ca="1">+'QTR Raw'!AN70</f>
        <v>#NAME?</v>
      </c>
      <c r="BV134" s="23" t="e">
        <f ca="1">+'QTR Raw'!AP70</f>
        <v>#NAME?</v>
      </c>
      <c r="BX134" s="23" t="e">
        <f ca="1">+'QTR Raw'!AR70</f>
        <v>#NAME?</v>
      </c>
      <c r="BZ134" s="23" t="e">
        <f ca="1">+'QTR Raw'!AT70</f>
        <v>#NAME?</v>
      </c>
      <c r="CB134" s="23" t="e">
        <f ca="1">+'QTR Raw'!AV70</f>
        <v>#NAME?</v>
      </c>
      <c r="CD134" s="23" t="e">
        <f ca="1">+'QTR Raw'!AX70</f>
        <v>#NAME?</v>
      </c>
      <c r="CF134" s="23" t="e">
        <f ca="1">+'QTR Raw'!AZ70</f>
        <v>#NAME?</v>
      </c>
      <c r="CH134" s="23" t="e">
        <f t="shared" ca="1" si="1134"/>
        <v>#NAME?</v>
      </c>
      <c r="CI134" s="23" t="e">
        <f ca="1">CH134</f>
        <v>#NAME?</v>
      </c>
      <c r="CJ134" s="23" t="e">
        <f ca="1">+'QTR Raw'!BD70</f>
        <v>#NAME?</v>
      </c>
      <c r="CK134" s="24" t="e">
        <f t="shared" ref="CK134:DB134" ca="1" si="1137">CJ134</f>
        <v>#NAME?</v>
      </c>
      <c r="CL134" s="23" t="e">
        <f ca="1">+'QTR Raw'!BF70</f>
        <v>#NAME?</v>
      </c>
      <c r="CM134" s="24" t="e">
        <f t="shared" ca="1" si="1137"/>
        <v>#NAME?</v>
      </c>
      <c r="CN134" s="24" t="e">
        <f t="shared" ca="1" si="1137"/>
        <v>#NAME?</v>
      </c>
      <c r="CO134" s="24" t="e">
        <f t="shared" ca="1" si="1137"/>
        <v>#NAME?</v>
      </c>
      <c r="CP134" s="24" t="e">
        <f t="shared" ca="1" si="1137"/>
        <v>#NAME?</v>
      </c>
      <c r="CQ134" s="24" t="e">
        <f t="shared" ca="1" si="1137"/>
        <v>#NAME?</v>
      </c>
      <c r="CR134" s="24" t="e">
        <f t="shared" ca="1" si="1137"/>
        <v>#NAME?</v>
      </c>
      <c r="CS134" s="24" t="e">
        <f t="shared" ca="1" si="1137"/>
        <v>#NAME?</v>
      </c>
      <c r="CT134" s="24" t="e">
        <f t="shared" ca="1" si="1137"/>
        <v>#NAME?</v>
      </c>
      <c r="CU134" s="24" t="e">
        <f t="shared" ca="1" si="1137"/>
        <v>#NAME?</v>
      </c>
      <c r="CV134" s="24" t="e">
        <f t="shared" ca="1" si="1137"/>
        <v>#NAME?</v>
      </c>
      <c r="CW134" s="24" t="e">
        <f t="shared" ca="1" si="1137"/>
        <v>#NAME?</v>
      </c>
      <c r="CX134" s="24" t="e">
        <f t="shared" ca="1" si="1137"/>
        <v>#NAME?</v>
      </c>
      <c r="CY134" s="24" t="e">
        <f t="shared" ca="1" si="1137"/>
        <v>#NAME?</v>
      </c>
      <c r="CZ134" s="24" t="e">
        <f t="shared" ca="1" si="1137"/>
        <v>#NAME?</v>
      </c>
      <c r="DA134" s="24" t="e">
        <f t="shared" ca="1" si="1137"/>
        <v>#NAME?</v>
      </c>
      <c r="DB134" s="24" t="e">
        <f t="shared" ca="1" si="1137"/>
        <v>#NAME?</v>
      </c>
      <c r="DE134" s="123"/>
      <c r="DF134" s="23">
        <v>0</v>
      </c>
    </row>
    <row r="135" spans="1:110" s="22" customFormat="1" outlineLevel="1" x14ac:dyDescent="0.2">
      <c r="A135" s="22" t="s">
        <v>53</v>
      </c>
      <c r="B135" s="22" t="e">
        <f ca="1">+B132-B133-B134</f>
        <v>#NAME?</v>
      </c>
      <c r="C135" s="22" t="e">
        <f t="shared" ref="C135:W135" ca="1" si="1138">+C132-C133-C134</f>
        <v>#NAME?</v>
      </c>
      <c r="D135" s="22" t="e">
        <f t="shared" ca="1" si="1138"/>
        <v>#NAME?</v>
      </c>
      <c r="E135" s="22" t="e">
        <f t="shared" ca="1" si="1138"/>
        <v>#NAME?</v>
      </c>
      <c r="F135" s="22" t="e">
        <f t="shared" ca="1" si="1138"/>
        <v>#NAME?</v>
      </c>
      <c r="G135" s="22" t="e">
        <f t="shared" ca="1" si="1138"/>
        <v>#NAME?</v>
      </c>
      <c r="H135" s="22" t="e">
        <f t="shared" ca="1" si="1138"/>
        <v>#NAME?</v>
      </c>
      <c r="I135" s="22" t="e">
        <f t="shared" ca="1" si="1138"/>
        <v>#NAME?</v>
      </c>
      <c r="J135" s="22" t="e">
        <f t="shared" ca="1" si="1138"/>
        <v>#NAME?</v>
      </c>
      <c r="K135" s="22" t="e">
        <f t="shared" ca="1" si="1138"/>
        <v>#NAME?</v>
      </c>
      <c r="L135" s="22" t="e">
        <f t="shared" ca="1" si="1138"/>
        <v>#NAME?</v>
      </c>
      <c r="M135" s="22" t="e">
        <f t="shared" ca="1" si="1138"/>
        <v>#NAME?</v>
      </c>
      <c r="N135" s="22" t="e">
        <f t="shared" ca="1" si="1138"/>
        <v>#NAME?</v>
      </c>
      <c r="O135" s="22" t="e">
        <f t="shared" ca="1" si="1138"/>
        <v>#NAME?</v>
      </c>
      <c r="P135" s="22" t="e">
        <f t="shared" ca="1" si="1138"/>
        <v>#NAME?</v>
      </c>
      <c r="Q135" s="22" t="e">
        <f t="shared" ca="1" si="1138"/>
        <v>#NAME?</v>
      </c>
      <c r="R135" s="22" t="e">
        <f t="shared" ca="1" si="1138"/>
        <v>#NAME?</v>
      </c>
      <c r="S135" s="22" t="e">
        <f t="shared" ca="1" si="1138"/>
        <v>#NAME?</v>
      </c>
      <c r="T135" s="22" t="e">
        <f t="shared" ca="1" si="1138"/>
        <v>#NAME?</v>
      </c>
      <c r="U135" s="22" t="e">
        <f t="shared" ca="1" si="1138"/>
        <v>#NAME?</v>
      </c>
      <c r="V135" s="22" t="e">
        <f t="shared" ca="1" si="1138"/>
        <v>#NAME?</v>
      </c>
      <c r="W135" s="22" t="e">
        <f t="shared" ca="1" si="1138"/>
        <v>#NAME?</v>
      </c>
      <c r="X135" s="22" t="e">
        <f t="shared" ref="X135:Y135" ca="1" si="1139">+X132-X133-X134</f>
        <v>#NAME?</v>
      </c>
      <c r="Y135" s="22" t="e">
        <f t="shared" ca="1" si="1139"/>
        <v>#NAME?</v>
      </c>
      <c r="Z135" s="22" t="e">
        <f t="shared" ref="Z135:AE135" ca="1" si="1140">+Z132-Z133-Z134</f>
        <v>#NAME?</v>
      </c>
      <c r="AA135" s="22" t="e">
        <f t="shared" ref="AA135" ca="1" si="1141">+AA132-AA133-AA134</f>
        <v>#NAME?</v>
      </c>
      <c r="AB135" s="21" t="e">
        <f t="shared" ca="1" si="1140"/>
        <v>#NAME?</v>
      </c>
      <c r="AC135" s="21" t="e">
        <f t="shared" ca="1" si="1140"/>
        <v>#NAME?</v>
      </c>
      <c r="AD135" s="21" t="e">
        <f t="shared" ca="1" si="1140"/>
        <v>#NAME?</v>
      </c>
      <c r="AE135" s="21" t="e">
        <f t="shared" ca="1" si="1140"/>
        <v>#NAME?</v>
      </c>
      <c r="AJ135" s="22" t="e">
        <f t="shared" ref="AJ135:AL135" ca="1" si="1142">+AJ132-AJ133-AJ134</f>
        <v>#NAME?</v>
      </c>
      <c r="AK135" s="22" t="e">
        <f t="shared" ref="AK135:CE135" ca="1" si="1143">+AJ135</f>
        <v>#NAME?</v>
      </c>
      <c r="AL135" s="22" t="e">
        <f t="shared" ca="1" si="1142"/>
        <v>#NAME?</v>
      </c>
      <c r="AM135" s="22" t="e">
        <f t="shared" ca="1" si="1143"/>
        <v>#NAME?</v>
      </c>
      <c r="AN135" s="22" t="e">
        <f t="shared" ref="AN135" ca="1" si="1144">+AN132-AN133-AN134</f>
        <v>#NAME?</v>
      </c>
      <c r="AO135" s="22" t="e">
        <f t="shared" ca="1" si="1143"/>
        <v>#NAME?</v>
      </c>
      <c r="AP135" s="22" t="e">
        <f t="shared" ref="AP135:CD135" ca="1" si="1145">+AP132-AP133-AP134</f>
        <v>#NAME?</v>
      </c>
      <c r="AQ135" s="22" t="e">
        <f t="shared" ca="1" si="1143"/>
        <v>#NAME?</v>
      </c>
      <c r="AR135" s="22" t="e">
        <f t="shared" ca="1" si="1145"/>
        <v>#NAME?</v>
      </c>
      <c r="AS135" s="22" t="e">
        <f t="shared" ca="1" si="1143"/>
        <v>#NAME?</v>
      </c>
      <c r="AT135" s="22" t="e">
        <f t="shared" ca="1" si="1145"/>
        <v>#NAME?</v>
      </c>
      <c r="AU135" s="22" t="e">
        <f t="shared" ca="1" si="1143"/>
        <v>#NAME?</v>
      </c>
      <c r="AV135" s="22" t="e">
        <f t="shared" ca="1" si="1145"/>
        <v>#NAME?</v>
      </c>
      <c r="AW135" s="22" t="e">
        <f t="shared" ca="1" si="1143"/>
        <v>#NAME?</v>
      </c>
      <c r="AX135" s="22" t="e">
        <f t="shared" ca="1" si="1145"/>
        <v>#NAME?</v>
      </c>
      <c r="AY135" s="22" t="e">
        <f t="shared" ca="1" si="1143"/>
        <v>#NAME?</v>
      </c>
      <c r="AZ135" s="22" t="e">
        <f t="shared" ca="1" si="1145"/>
        <v>#NAME?</v>
      </c>
      <c r="BA135" s="22" t="e">
        <f t="shared" ca="1" si="1143"/>
        <v>#NAME?</v>
      </c>
      <c r="BB135" s="22" t="e">
        <f t="shared" ca="1" si="1145"/>
        <v>#NAME?</v>
      </c>
      <c r="BC135" s="22" t="e">
        <f t="shared" ca="1" si="1143"/>
        <v>#NAME?</v>
      </c>
      <c r="BD135" s="22" t="e">
        <f t="shared" ca="1" si="1145"/>
        <v>#NAME?</v>
      </c>
      <c r="BE135" s="22" t="e">
        <f t="shared" ca="1" si="1143"/>
        <v>#NAME?</v>
      </c>
      <c r="BF135" s="22" t="e">
        <f t="shared" ca="1" si="1145"/>
        <v>#NAME?</v>
      </c>
      <c r="BG135" s="22" t="e">
        <f t="shared" ca="1" si="1143"/>
        <v>#NAME?</v>
      </c>
      <c r="BH135" s="22" t="e">
        <f t="shared" ca="1" si="1145"/>
        <v>#NAME?</v>
      </c>
      <c r="BI135" s="22" t="e">
        <f t="shared" ca="1" si="1143"/>
        <v>#NAME?</v>
      </c>
      <c r="BJ135" s="22" t="e">
        <f t="shared" ca="1" si="1145"/>
        <v>#NAME?</v>
      </c>
      <c r="BK135" s="22" t="e">
        <f t="shared" ca="1" si="1143"/>
        <v>#NAME?</v>
      </c>
      <c r="BL135" s="22" t="e">
        <f t="shared" ca="1" si="1145"/>
        <v>#NAME?</v>
      </c>
      <c r="BM135" s="22" t="e">
        <f t="shared" ca="1" si="1143"/>
        <v>#NAME?</v>
      </c>
      <c r="BN135" s="22" t="e">
        <f t="shared" ca="1" si="1145"/>
        <v>#NAME?</v>
      </c>
      <c r="BO135" s="22" t="e">
        <f t="shared" ca="1" si="1143"/>
        <v>#NAME?</v>
      </c>
      <c r="BP135" s="22" t="e">
        <f t="shared" ca="1" si="1145"/>
        <v>#NAME?</v>
      </c>
      <c r="BQ135" s="22" t="e">
        <f t="shared" ca="1" si="1143"/>
        <v>#NAME?</v>
      </c>
      <c r="BR135" s="22" t="e">
        <f t="shared" ca="1" si="1145"/>
        <v>#NAME?</v>
      </c>
      <c r="BS135" s="22" t="e">
        <f t="shared" ca="1" si="1143"/>
        <v>#NAME?</v>
      </c>
      <c r="BT135" s="22" t="e">
        <f t="shared" ca="1" si="1145"/>
        <v>#NAME?</v>
      </c>
      <c r="BU135" s="22" t="e">
        <f t="shared" ca="1" si="1143"/>
        <v>#NAME?</v>
      </c>
      <c r="BV135" s="22" t="e">
        <f t="shared" ca="1" si="1145"/>
        <v>#NAME?</v>
      </c>
      <c r="BW135" s="22" t="e">
        <f t="shared" ca="1" si="1143"/>
        <v>#NAME?</v>
      </c>
      <c r="BX135" s="22" t="e">
        <f t="shared" ca="1" si="1145"/>
        <v>#NAME?</v>
      </c>
      <c r="BY135" s="22" t="e">
        <f t="shared" ca="1" si="1143"/>
        <v>#NAME?</v>
      </c>
      <c r="BZ135" s="22" t="e">
        <f t="shared" ca="1" si="1145"/>
        <v>#NAME?</v>
      </c>
      <c r="CA135" s="22" t="e">
        <f t="shared" ca="1" si="1143"/>
        <v>#NAME?</v>
      </c>
      <c r="CB135" s="22" t="e">
        <f t="shared" ca="1" si="1145"/>
        <v>#NAME?</v>
      </c>
      <c r="CC135" s="22" t="e">
        <f t="shared" ca="1" si="1143"/>
        <v>#NAME?</v>
      </c>
      <c r="CD135" s="22" t="e">
        <f t="shared" ca="1" si="1145"/>
        <v>#NAME?</v>
      </c>
      <c r="CE135" s="22" t="e">
        <f t="shared" ca="1" si="1143"/>
        <v>#NAME?</v>
      </c>
      <c r="CF135" s="22" t="e">
        <f t="shared" ref="CF135:DB135" ca="1" si="1146">+CF132-CF133-CF134</f>
        <v>#NAME?</v>
      </c>
      <c r="CG135" s="22" t="e">
        <f t="shared" ref="CG135:CI138" ca="1" si="1147">+CF135</f>
        <v>#NAME?</v>
      </c>
      <c r="CH135" s="22" t="e">
        <f t="shared" ca="1" si="1146"/>
        <v>#NAME?</v>
      </c>
      <c r="CI135" s="22" t="e">
        <f t="shared" ca="1" si="1146"/>
        <v>#NAME?</v>
      </c>
      <c r="CJ135" s="22" t="e">
        <f ca="1">+'QTR Raw'!BD68</f>
        <v>#NAME?</v>
      </c>
      <c r="CK135" s="21" t="e">
        <f t="shared" ca="1" si="1146"/>
        <v>#NAME?</v>
      </c>
      <c r="CL135" s="22" t="e">
        <f ca="1">+'QTR Raw'!BF68</f>
        <v>#NAME?</v>
      </c>
      <c r="CM135" s="21" t="e">
        <f t="shared" ca="1" si="1146"/>
        <v>#NAME?</v>
      </c>
      <c r="CN135" s="21" t="e">
        <f t="shared" ca="1" si="1146"/>
        <v>#NAME?</v>
      </c>
      <c r="CO135" s="21" t="e">
        <f t="shared" ca="1" si="1146"/>
        <v>#NAME?</v>
      </c>
      <c r="CP135" s="21" t="e">
        <f t="shared" ca="1" si="1146"/>
        <v>#NAME?</v>
      </c>
      <c r="CQ135" s="21" t="e">
        <f t="shared" ca="1" si="1146"/>
        <v>#NAME?</v>
      </c>
      <c r="CR135" s="21" t="e">
        <f t="shared" ca="1" si="1146"/>
        <v>#NAME?</v>
      </c>
      <c r="CS135" s="21" t="e">
        <f t="shared" ca="1" si="1146"/>
        <v>#NAME?</v>
      </c>
      <c r="CT135" s="21" t="e">
        <f t="shared" ca="1" si="1146"/>
        <v>#NAME?</v>
      </c>
      <c r="CU135" s="21" t="e">
        <f t="shared" ca="1" si="1146"/>
        <v>#NAME?</v>
      </c>
      <c r="CV135" s="21" t="e">
        <f t="shared" ca="1" si="1146"/>
        <v>#NAME?</v>
      </c>
      <c r="CW135" s="21" t="e">
        <f t="shared" ca="1" si="1146"/>
        <v>#NAME?</v>
      </c>
      <c r="CX135" s="21" t="e">
        <f t="shared" ca="1" si="1146"/>
        <v>#NAME?</v>
      </c>
      <c r="CY135" s="21" t="e">
        <f t="shared" ca="1" si="1146"/>
        <v>#NAME?</v>
      </c>
      <c r="CZ135" s="21" t="e">
        <f t="shared" ca="1" si="1146"/>
        <v>#NAME?</v>
      </c>
      <c r="DA135" s="21" t="e">
        <f t="shared" ca="1" si="1146"/>
        <v>#NAME?</v>
      </c>
      <c r="DB135" s="21" t="e">
        <f t="shared" ca="1" si="1146"/>
        <v>#NAME?</v>
      </c>
      <c r="DE135" s="126"/>
      <c r="DF135" s="22">
        <v>118241.21000000002</v>
      </c>
    </row>
    <row r="136" spans="1:110" s="23" customFormat="1" outlineLevel="1" x14ac:dyDescent="0.2">
      <c r="A136" s="23" t="s">
        <v>54</v>
      </c>
      <c r="B136" s="23" t="e">
        <f ca="1">'Annual Raw'!C86</f>
        <v>#NAME?</v>
      </c>
      <c r="C136" s="23" t="e">
        <f ca="1">'Annual Raw'!D86</f>
        <v>#NAME?</v>
      </c>
      <c r="D136" s="23" t="e">
        <f ca="1">'Annual Raw'!E86</f>
        <v>#NAME?</v>
      </c>
      <c r="E136" s="23" t="e">
        <f ca="1">'Annual Raw'!F86</f>
        <v>#NAME?</v>
      </c>
      <c r="F136" s="23" t="e">
        <f ca="1">'Annual Raw'!G86</f>
        <v>#NAME?</v>
      </c>
      <c r="G136" s="23" t="e">
        <f ca="1">'Annual Raw'!H86</f>
        <v>#NAME?</v>
      </c>
      <c r="H136" s="23" t="e">
        <f ca="1">'Annual Raw'!I86</f>
        <v>#NAME?</v>
      </c>
      <c r="I136" s="23" t="e">
        <f ca="1">'Annual Raw'!J86</f>
        <v>#NAME?</v>
      </c>
      <c r="J136" s="23" t="e">
        <f ca="1">'Annual Raw'!K86</f>
        <v>#NAME?</v>
      </c>
      <c r="K136" s="23" t="e">
        <f ca="1">'Annual Raw'!L86</f>
        <v>#NAME?</v>
      </c>
      <c r="L136" s="23" t="e">
        <f ca="1">'Annual Raw'!M86</f>
        <v>#NAME?</v>
      </c>
      <c r="M136" s="23" t="e">
        <f ca="1">'Annual Raw'!N86</f>
        <v>#NAME?</v>
      </c>
      <c r="N136" s="23" t="e">
        <f ca="1">'Annual Raw'!O86</f>
        <v>#NAME?</v>
      </c>
      <c r="O136" s="23" t="e">
        <f ca="1">'Annual Raw'!P86</f>
        <v>#NAME?</v>
      </c>
      <c r="P136" s="23" t="e">
        <f ca="1">'Annual Raw'!Q86</f>
        <v>#NAME?</v>
      </c>
      <c r="Q136" s="23" t="e">
        <f ca="1">'Annual Raw'!R86</f>
        <v>#NAME?</v>
      </c>
      <c r="R136" s="23" t="e">
        <f ca="1">'Annual Raw'!S86</f>
        <v>#NAME?</v>
      </c>
      <c r="S136" s="23" t="e">
        <f ca="1">'Annual Raw'!T86</f>
        <v>#NAME?</v>
      </c>
      <c r="T136" s="23" t="e">
        <f ca="1">'Annual Raw'!U86</f>
        <v>#NAME?</v>
      </c>
      <c r="U136" s="23" t="e">
        <f ca="1">'Annual Raw'!V86</f>
        <v>#NAME?</v>
      </c>
      <c r="V136" s="23" t="e">
        <f ca="1">'Annual Raw'!W86</f>
        <v>#NAME?</v>
      </c>
      <c r="W136" s="23" t="e">
        <f ca="1">'Annual Raw'!X86</f>
        <v>#NAME?</v>
      </c>
      <c r="X136" s="23" t="e">
        <f ca="1">'Annual Raw'!Y86</f>
        <v>#NAME?</v>
      </c>
      <c r="Y136" s="23" t="e">
        <f ca="1">'Annual Raw'!Z86</f>
        <v>#NAME?</v>
      </c>
      <c r="Z136" s="23" t="e">
        <f ca="1">'Annual Raw'!AA86</f>
        <v>#NAME?</v>
      </c>
      <c r="AA136" s="23" t="e">
        <f ca="1">'Annual Raw'!AB86</f>
        <v>#NAME?</v>
      </c>
      <c r="AB136" s="24" t="e">
        <f t="shared" ca="1" si="1130"/>
        <v>#NAME?</v>
      </c>
      <c r="AC136" s="24" t="e">
        <f t="shared" ca="1" si="1131"/>
        <v>#NAME?</v>
      </c>
      <c r="AD136" s="24" t="e">
        <f t="shared" ca="1" si="1132"/>
        <v>#NAME?</v>
      </c>
      <c r="AE136" s="24" t="e">
        <f t="shared" ca="1" si="1133"/>
        <v>#NAME?</v>
      </c>
      <c r="AJ136" s="23" t="e">
        <f ca="1">+'QTR Raw'!D72</f>
        <v>#NAME?</v>
      </c>
      <c r="AK136" s="23" t="e">
        <f ca="1">+AJ136</f>
        <v>#NAME?</v>
      </c>
      <c r="AL136" s="23" t="e">
        <f ca="1">+'QTR Raw'!F72</f>
        <v>#NAME?</v>
      </c>
      <c r="AM136" s="23" t="e">
        <f t="shared" ref="AK136:CE138" ca="1" si="1148">+AL136</f>
        <v>#NAME?</v>
      </c>
      <c r="AN136" s="23" t="e">
        <f ca="1">+'QTR Raw'!H72</f>
        <v>#NAME?</v>
      </c>
      <c r="AO136" s="23" t="e">
        <f t="shared" ca="1" si="1148"/>
        <v>#NAME?</v>
      </c>
      <c r="AP136" s="23" t="e">
        <f ca="1">+'QTR Raw'!J72</f>
        <v>#NAME?</v>
      </c>
      <c r="AQ136" s="23" t="e">
        <f t="shared" ca="1" si="1148"/>
        <v>#NAME?</v>
      </c>
      <c r="AR136" s="23" t="e">
        <f ca="1">+'QTR Raw'!L72</f>
        <v>#NAME?</v>
      </c>
      <c r="AS136" s="23" t="e">
        <f t="shared" ca="1" si="1148"/>
        <v>#NAME?</v>
      </c>
      <c r="AT136" s="23" t="e">
        <f ca="1">+'QTR Raw'!N72</f>
        <v>#NAME?</v>
      </c>
      <c r="AU136" s="23" t="e">
        <f t="shared" ca="1" si="1148"/>
        <v>#NAME?</v>
      </c>
      <c r="AV136" s="23" t="e">
        <f ca="1">+'QTR Raw'!P72</f>
        <v>#NAME?</v>
      </c>
      <c r="AW136" s="23" t="e">
        <f t="shared" ca="1" si="1148"/>
        <v>#NAME?</v>
      </c>
      <c r="AX136" s="23" t="e">
        <f ca="1">+'QTR Raw'!R72</f>
        <v>#NAME?</v>
      </c>
      <c r="AY136" s="23" t="e">
        <f t="shared" ca="1" si="1148"/>
        <v>#NAME?</v>
      </c>
      <c r="AZ136" s="23" t="e">
        <f ca="1">+'QTR Raw'!T72</f>
        <v>#NAME?</v>
      </c>
      <c r="BA136" s="23" t="e">
        <f t="shared" ca="1" si="1148"/>
        <v>#NAME?</v>
      </c>
      <c r="BB136" s="23" t="e">
        <f ca="1">+'QTR Raw'!V72</f>
        <v>#NAME?</v>
      </c>
      <c r="BC136" s="23" t="e">
        <f t="shared" ca="1" si="1148"/>
        <v>#NAME?</v>
      </c>
      <c r="BD136" s="23" t="e">
        <f ca="1">+'QTR Raw'!X72</f>
        <v>#NAME?</v>
      </c>
      <c r="BE136" s="23" t="e">
        <f t="shared" ca="1" si="1148"/>
        <v>#NAME?</v>
      </c>
      <c r="BF136" s="23" t="e">
        <f ca="1">+'QTR Raw'!Z72</f>
        <v>#NAME?</v>
      </c>
      <c r="BG136" s="23" t="e">
        <f t="shared" ca="1" si="1148"/>
        <v>#NAME?</v>
      </c>
      <c r="BH136" s="23" t="e">
        <f ca="1">+'QTR Raw'!AB72</f>
        <v>#NAME?</v>
      </c>
      <c r="BI136" s="23" t="e">
        <f t="shared" ca="1" si="1148"/>
        <v>#NAME?</v>
      </c>
      <c r="BJ136" s="23" t="e">
        <f ca="1">+'QTR Raw'!AD72</f>
        <v>#NAME?</v>
      </c>
      <c r="BK136" s="23" t="e">
        <f t="shared" ca="1" si="1148"/>
        <v>#NAME?</v>
      </c>
      <c r="BL136" s="23" t="e">
        <f ca="1">+'QTR Raw'!AF72</f>
        <v>#NAME?</v>
      </c>
      <c r="BM136" s="23" t="e">
        <f t="shared" ca="1" si="1148"/>
        <v>#NAME?</v>
      </c>
      <c r="BN136" s="23" t="e">
        <f ca="1">+'QTR Raw'!AH72</f>
        <v>#NAME?</v>
      </c>
      <c r="BO136" s="23" t="e">
        <f t="shared" ca="1" si="1148"/>
        <v>#NAME?</v>
      </c>
      <c r="BP136" s="23" t="e">
        <f ca="1">+'QTR Raw'!AJ72</f>
        <v>#NAME?</v>
      </c>
      <c r="BQ136" s="23" t="e">
        <f t="shared" ca="1" si="1148"/>
        <v>#NAME?</v>
      </c>
      <c r="BR136" s="23" t="e">
        <f ca="1">+'QTR Raw'!AL72</f>
        <v>#NAME?</v>
      </c>
      <c r="BS136" s="23" t="e">
        <f t="shared" ca="1" si="1148"/>
        <v>#NAME?</v>
      </c>
      <c r="BT136" s="23" t="e">
        <f ca="1">+'QTR Raw'!AN72</f>
        <v>#NAME?</v>
      </c>
      <c r="BU136" s="23" t="e">
        <f t="shared" ca="1" si="1148"/>
        <v>#NAME?</v>
      </c>
      <c r="BV136" s="23" t="e">
        <f ca="1">+'QTR Raw'!AP72</f>
        <v>#NAME?</v>
      </c>
      <c r="BW136" s="23" t="e">
        <f t="shared" ca="1" si="1148"/>
        <v>#NAME?</v>
      </c>
      <c r="BX136" s="23" t="e">
        <f ca="1">+'QTR Raw'!AR72</f>
        <v>#NAME?</v>
      </c>
      <c r="BY136" s="23" t="e">
        <f t="shared" ca="1" si="1148"/>
        <v>#NAME?</v>
      </c>
      <c r="BZ136" s="23" t="e">
        <f ca="1">+'QTR Raw'!AT72</f>
        <v>#NAME?</v>
      </c>
      <c r="CA136" s="23" t="e">
        <f t="shared" ca="1" si="1148"/>
        <v>#NAME?</v>
      </c>
      <c r="CB136" s="23" t="e">
        <f ca="1">+'QTR Raw'!AV72</f>
        <v>#NAME?</v>
      </c>
      <c r="CC136" s="23" t="e">
        <f t="shared" ca="1" si="1148"/>
        <v>#NAME?</v>
      </c>
      <c r="CD136" s="23" t="e">
        <f ca="1">+'QTR Raw'!AX72</f>
        <v>#NAME?</v>
      </c>
      <c r="CE136" s="23" t="e">
        <f t="shared" ca="1" si="1148"/>
        <v>#NAME?</v>
      </c>
      <c r="CF136" s="23" t="e">
        <f ca="1">+'QTR Raw'!AZ72</f>
        <v>#NAME?</v>
      </c>
      <c r="CG136" s="23" t="e">
        <f t="shared" ca="1" si="1147"/>
        <v>#NAME?</v>
      </c>
      <c r="CH136" s="23" t="e">
        <f t="shared" ca="1" si="1134"/>
        <v>#NAME?</v>
      </c>
      <c r="CI136" s="23" t="e">
        <f t="shared" ca="1" si="1147"/>
        <v>#NAME?</v>
      </c>
      <c r="CJ136" s="23" t="e">
        <f ca="1">+'QTR Raw'!BD72</f>
        <v>#NAME?</v>
      </c>
      <c r="CK136" s="24" t="e">
        <f t="shared" ref="CK136:CK138" ca="1" si="1149">+CJ136</f>
        <v>#NAME?</v>
      </c>
      <c r="CL136" s="23" t="e">
        <f ca="1">+'QTR Raw'!BF72</f>
        <v>#NAME?</v>
      </c>
      <c r="CM136" s="24" t="e">
        <f t="shared" ref="CM136:CM138" ca="1" si="1150">+CL136</f>
        <v>#NAME?</v>
      </c>
      <c r="CN136" s="24" t="e">
        <f t="shared" ref="CN136:CN138" ca="1" si="1151">+CM136</f>
        <v>#NAME?</v>
      </c>
      <c r="CO136" s="24" t="e">
        <f t="shared" ref="CO136:CO138" ca="1" si="1152">+CN136</f>
        <v>#NAME?</v>
      </c>
      <c r="CP136" s="24" t="e">
        <f t="shared" ref="CP136:CP138" ca="1" si="1153">+CO136</f>
        <v>#NAME?</v>
      </c>
      <c r="CQ136" s="24" t="e">
        <f t="shared" ref="CQ136:CQ138" ca="1" si="1154">+CP136</f>
        <v>#NAME?</v>
      </c>
      <c r="CR136" s="24" t="e">
        <f t="shared" ref="CR136:CR138" ca="1" si="1155">+CQ136</f>
        <v>#NAME?</v>
      </c>
      <c r="CS136" s="24" t="e">
        <f t="shared" ref="CS136:CS138" ca="1" si="1156">+CR136</f>
        <v>#NAME?</v>
      </c>
      <c r="CT136" s="24" t="e">
        <f t="shared" ref="CT136:CT138" ca="1" si="1157">+CS136</f>
        <v>#NAME?</v>
      </c>
      <c r="CU136" s="24" t="e">
        <f t="shared" ref="CU136:CU138" ca="1" si="1158">+CT136</f>
        <v>#NAME?</v>
      </c>
      <c r="CV136" s="24" t="e">
        <f t="shared" ref="CV136:CV138" ca="1" si="1159">+CU136</f>
        <v>#NAME?</v>
      </c>
      <c r="CW136" s="24" t="e">
        <f t="shared" ref="CW136:CW138" ca="1" si="1160">+CV136</f>
        <v>#NAME?</v>
      </c>
      <c r="CX136" s="24" t="e">
        <f t="shared" ref="CX136:CX138" ca="1" si="1161">+CW136</f>
        <v>#NAME?</v>
      </c>
      <c r="CY136" s="24" t="e">
        <f t="shared" ref="CY136:CY138" ca="1" si="1162">+CX136</f>
        <v>#NAME?</v>
      </c>
      <c r="CZ136" s="24" t="e">
        <f t="shared" ref="CZ136:CZ138" ca="1" si="1163">+CY136</f>
        <v>#NAME?</v>
      </c>
      <c r="DA136" s="24" t="e">
        <f t="shared" ref="DA136:DA138" ca="1" si="1164">+CZ136</f>
        <v>#NAME?</v>
      </c>
      <c r="DB136" s="24" t="e">
        <f t="shared" ref="DB136:DB138" ca="1" si="1165">+DA136</f>
        <v>#NAME?</v>
      </c>
      <c r="DE136" s="123"/>
      <c r="DF136" s="23">
        <v>898.81</v>
      </c>
    </row>
    <row r="137" spans="1:110" s="23" customFormat="1" outlineLevel="1" x14ac:dyDescent="0.2">
      <c r="A137" s="23" t="s">
        <v>55</v>
      </c>
      <c r="B137" s="23" t="e">
        <f ca="1">'Annual Raw'!C68</f>
        <v>#NAME?</v>
      </c>
      <c r="C137" s="23" t="e">
        <f ca="1">'Annual Raw'!D68</f>
        <v>#NAME?</v>
      </c>
      <c r="D137" s="23" t="e">
        <f ca="1">'Annual Raw'!E68</f>
        <v>#NAME?</v>
      </c>
      <c r="E137" s="23" t="e">
        <f ca="1">'Annual Raw'!F68</f>
        <v>#NAME?</v>
      </c>
      <c r="F137" s="23" t="e">
        <f ca="1">'Annual Raw'!G68</f>
        <v>#NAME?</v>
      </c>
      <c r="G137" s="23" t="e">
        <f ca="1">'Annual Raw'!H68</f>
        <v>#NAME?</v>
      </c>
      <c r="H137" s="23" t="e">
        <f ca="1">'Annual Raw'!I68</f>
        <v>#NAME?</v>
      </c>
      <c r="I137" s="23" t="e">
        <f ca="1">'Annual Raw'!J68</f>
        <v>#NAME?</v>
      </c>
      <c r="J137" s="23" t="e">
        <f ca="1">'Annual Raw'!K68</f>
        <v>#NAME?</v>
      </c>
      <c r="K137" s="23" t="e">
        <f ca="1">'Annual Raw'!L68</f>
        <v>#NAME?</v>
      </c>
      <c r="L137" s="23" t="e">
        <f ca="1">'Annual Raw'!M68</f>
        <v>#NAME?</v>
      </c>
      <c r="M137" s="23" t="e">
        <f ca="1">'Annual Raw'!N68</f>
        <v>#NAME?</v>
      </c>
      <c r="N137" s="23" t="e">
        <f ca="1">'Annual Raw'!O68</f>
        <v>#NAME?</v>
      </c>
      <c r="O137" s="23" t="e">
        <f ca="1">'Annual Raw'!P68</f>
        <v>#NAME?</v>
      </c>
      <c r="P137" s="23" t="e">
        <f ca="1">'Annual Raw'!Q68</f>
        <v>#NAME?</v>
      </c>
      <c r="Q137" s="23" t="e">
        <f ca="1">'Annual Raw'!R68</f>
        <v>#NAME?</v>
      </c>
      <c r="R137" s="23" t="e">
        <f ca="1">'Annual Raw'!S68</f>
        <v>#NAME?</v>
      </c>
      <c r="S137" s="23" t="e">
        <f ca="1">'Annual Raw'!T68</f>
        <v>#NAME?</v>
      </c>
      <c r="T137" s="23" t="e">
        <f ca="1">'Annual Raw'!U68</f>
        <v>#NAME?</v>
      </c>
      <c r="U137" s="23" t="e">
        <f ca="1">'Annual Raw'!V68</f>
        <v>#NAME?</v>
      </c>
      <c r="V137" s="23" t="e">
        <f ca="1">'Annual Raw'!W68</f>
        <v>#NAME?</v>
      </c>
      <c r="W137" s="23" t="e">
        <f ca="1">'Annual Raw'!X68</f>
        <v>#NAME?</v>
      </c>
      <c r="X137" s="23" t="e">
        <f ca="1">'Annual Raw'!Y68</f>
        <v>#NAME?</v>
      </c>
      <c r="Y137" s="23" t="e">
        <f ca="1">'Annual Raw'!Z68</f>
        <v>#NAME?</v>
      </c>
      <c r="Z137" s="23" t="e">
        <f ca="1">'Annual Raw'!AA68</f>
        <v>#NAME?</v>
      </c>
      <c r="AA137" s="23" t="e">
        <f ca="1">'Annual Raw'!AB68</f>
        <v>#NAME?</v>
      </c>
      <c r="AB137" s="24">
        <f t="shared" si="1130"/>
        <v>0</v>
      </c>
      <c r="AC137" s="24">
        <f t="shared" si="1131"/>
        <v>0</v>
      </c>
      <c r="AD137" s="24">
        <f t="shared" si="1132"/>
        <v>0</v>
      </c>
      <c r="AE137" s="24">
        <f t="shared" si="1133"/>
        <v>0</v>
      </c>
      <c r="AK137" s="23">
        <f t="shared" si="1148"/>
        <v>0</v>
      </c>
      <c r="AM137" s="23">
        <f t="shared" si="1148"/>
        <v>0</v>
      </c>
      <c r="AO137" s="23">
        <f t="shared" si="1148"/>
        <v>0</v>
      </c>
      <c r="AQ137" s="23">
        <f t="shared" si="1148"/>
        <v>0</v>
      </c>
      <c r="AS137" s="23">
        <f t="shared" si="1148"/>
        <v>0</v>
      </c>
      <c r="AU137" s="23">
        <f t="shared" si="1148"/>
        <v>0</v>
      </c>
      <c r="AW137" s="23">
        <f t="shared" si="1148"/>
        <v>0</v>
      </c>
      <c r="AY137" s="23">
        <f t="shared" si="1148"/>
        <v>0</v>
      </c>
      <c r="BA137" s="23">
        <f t="shared" si="1148"/>
        <v>0</v>
      </c>
      <c r="BC137" s="23">
        <f t="shared" si="1148"/>
        <v>0</v>
      </c>
      <c r="BE137" s="23">
        <f t="shared" si="1148"/>
        <v>0</v>
      </c>
      <c r="BG137" s="23">
        <f t="shared" si="1148"/>
        <v>0</v>
      </c>
      <c r="BI137" s="23">
        <f t="shared" si="1148"/>
        <v>0</v>
      </c>
      <c r="BK137" s="23">
        <f t="shared" si="1148"/>
        <v>0</v>
      </c>
      <c r="BM137" s="23">
        <f t="shared" si="1148"/>
        <v>0</v>
      </c>
      <c r="BO137" s="23">
        <f t="shared" si="1148"/>
        <v>0</v>
      </c>
      <c r="BQ137" s="23">
        <f t="shared" si="1148"/>
        <v>0</v>
      </c>
      <c r="BS137" s="23">
        <f t="shared" si="1148"/>
        <v>0</v>
      </c>
      <c r="BU137" s="23">
        <f t="shared" si="1148"/>
        <v>0</v>
      </c>
      <c r="BW137" s="23">
        <f t="shared" si="1148"/>
        <v>0</v>
      </c>
      <c r="BY137" s="23">
        <f t="shared" si="1148"/>
        <v>0</v>
      </c>
      <c r="CA137" s="23">
        <f t="shared" si="1148"/>
        <v>0</v>
      </c>
      <c r="CC137" s="23">
        <f t="shared" si="1148"/>
        <v>0</v>
      </c>
      <c r="CE137" s="23">
        <f t="shared" si="1148"/>
        <v>0</v>
      </c>
      <c r="CG137" s="23">
        <f t="shared" si="1147"/>
        <v>0</v>
      </c>
      <c r="CH137" s="23" t="e">
        <f t="shared" ca="1" si="1134"/>
        <v>#NAME?</v>
      </c>
      <c r="CI137" s="23" t="e">
        <f t="shared" ca="1" si="1147"/>
        <v>#NAME?</v>
      </c>
      <c r="CK137" s="24">
        <f t="shared" si="1149"/>
        <v>0</v>
      </c>
      <c r="CM137" s="24">
        <f t="shared" si="1150"/>
        <v>0</v>
      </c>
      <c r="CN137" s="24">
        <f t="shared" si="1151"/>
        <v>0</v>
      </c>
      <c r="CO137" s="24">
        <f t="shared" si="1152"/>
        <v>0</v>
      </c>
      <c r="CP137" s="24">
        <f t="shared" si="1153"/>
        <v>0</v>
      </c>
      <c r="CQ137" s="24">
        <f t="shared" si="1154"/>
        <v>0</v>
      </c>
      <c r="CR137" s="24">
        <f t="shared" si="1155"/>
        <v>0</v>
      </c>
      <c r="CS137" s="24">
        <f t="shared" si="1156"/>
        <v>0</v>
      </c>
      <c r="CT137" s="24">
        <f t="shared" si="1157"/>
        <v>0</v>
      </c>
      <c r="CU137" s="24">
        <f t="shared" si="1158"/>
        <v>0</v>
      </c>
      <c r="CV137" s="24">
        <f t="shared" si="1159"/>
        <v>0</v>
      </c>
      <c r="CW137" s="24">
        <f t="shared" si="1160"/>
        <v>0</v>
      </c>
      <c r="CX137" s="24">
        <f t="shared" si="1161"/>
        <v>0</v>
      </c>
      <c r="CY137" s="24">
        <f t="shared" si="1162"/>
        <v>0</v>
      </c>
      <c r="CZ137" s="24">
        <f t="shared" si="1163"/>
        <v>0</v>
      </c>
      <c r="DA137" s="24">
        <f t="shared" si="1164"/>
        <v>0</v>
      </c>
      <c r="DB137" s="24">
        <f t="shared" si="1165"/>
        <v>0</v>
      </c>
      <c r="DE137" s="123"/>
      <c r="DF137" s="23">
        <v>0</v>
      </c>
    </row>
    <row r="138" spans="1:110" s="23" customFormat="1" outlineLevel="1" x14ac:dyDescent="0.2">
      <c r="A138" s="23" t="s">
        <v>56</v>
      </c>
      <c r="B138" s="23" t="e">
        <f ca="1">'Annual Raw'!C67+'Annual Raw'!C66+'Annual Raw'!C69+'Annual Raw'!C70</f>
        <v>#NAME?</v>
      </c>
      <c r="C138" s="23" t="e">
        <f ca="1">'Annual Raw'!D67+'Annual Raw'!D66+'Annual Raw'!D69+'Annual Raw'!D70</f>
        <v>#NAME?</v>
      </c>
      <c r="D138" s="23" t="e">
        <f ca="1">'Annual Raw'!E67+'Annual Raw'!E66+'Annual Raw'!E69+'Annual Raw'!E70</f>
        <v>#NAME?</v>
      </c>
      <c r="E138" s="23" t="e">
        <f ca="1">'Annual Raw'!F67+'Annual Raw'!F66+'Annual Raw'!F69+'Annual Raw'!F70</f>
        <v>#NAME?</v>
      </c>
      <c r="F138" s="23" t="e">
        <f ca="1">'Annual Raw'!G67+'Annual Raw'!G66+'Annual Raw'!G69+'Annual Raw'!G70</f>
        <v>#NAME?</v>
      </c>
      <c r="G138" s="23" t="e">
        <f ca="1">'Annual Raw'!H67+'Annual Raw'!H66+'Annual Raw'!H69+'Annual Raw'!H70</f>
        <v>#NAME?</v>
      </c>
      <c r="H138" s="23" t="e">
        <f ca="1">'Annual Raw'!I67+'Annual Raw'!I66+'Annual Raw'!I69+'Annual Raw'!I70</f>
        <v>#NAME?</v>
      </c>
      <c r="I138" s="23" t="e">
        <f ca="1">'Annual Raw'!J67+'Annual Raw'!J66+'Annual Raw'!J69+'Annual Raw'!J70</f>
        <v>#NAME?</v>
      </c>
      <c r="J138" s="23" t="e">
        <f ca="1">'Annual Raw'!K67+'Annual Raw'!K66+'Annual Raw'!K69+'Annual Raw'!K70</f>
        <v>#NAME?</v>
      </c>
      <c r="K138" s="23" t="e">
        <f ca="1">'Annual Raw'!L67+'Annual Raw'!L66+'Annual Raw'!L69+'Annual Raw'!L70</f>
        <v>#NAME?</v>
      </c>
      <c r="L138" s="23" t="e">
        <f ca="1">'Annual Raw'!M67+'Annual Raw'!M66+'Annual Raw'!M69+'Annual Raw'!M70</f>
        <v>#NAME?</v>
      </c>
      <c r="M138" s="23" t="e">
        <f ca="1">'Annual Raw'!N67+'Annual Raw'!N66+'Annual Raw'!N69+'Annual Raw'!N70</f>
        <v>#NAME?</v>
      </c>
      <c r="N138" s="23" t="e">
        <f ca="1">'Annual Raw'!O67+'Annual Raw'!O66+'Annual Raw'!O69+'Annual Raw'!O70</f>
        <v>#NAME?</v>
      </c>
      <c r="O138" s="23" t="e">
        <f ca="1">'Annual Raw'!P67+'Annual Raw'!P66+'Annual Raw'!P69+'Annual Raw'!P70</f>
        <v>#NAME?</v>
      </c>
      <c r="P138" s="23" t="e">
        <f ca="1">'Annual Raw'!Q67+'Annual Raw'!Q66+'Annual Raw'!Q69+'Annual Raw'!Q70</f>
        <v>#NAME?</v>
      </c>
      <c r="Q138" s="23" t="e">
        <f ca="1">'Annual Raw'!R67+'Annual Raw'!R66+'Annual Raw'!R69+'Annual Raw'!R70</f>
        <v>#NAME?</v>
      </c>
      <c r="R138" s="23" t="e">
        <f ca="1">'Annual Raw'!S67+'Annual Raw'!S66+'Annual Raw'!S69+'Annual Raw'!S70</f>
        <v>#NAME?</v>
      </c>
      <c r="S138" s="23" t="e">
        <f ca="1">'Annual Raw'!T67+'Annual Raw'!T66+'Annual Raw'!T69+'Annual Raw'!T70</f>
        <v>#NAME?</v>
      </c>
      <c r="T138" s="23" t="e">
        <f ca="1">'Annual Raw'!U67+'Annual Raw'!U66+'Annual Raw'!U69+'Annual Raw'!U70</f>
        <v>#NAME?</v>
      </c>
      <c r="U138" s="23" t="e">
        <f ca="1">'Annual Raw'!V67+'Annual Raw'!V66+'Annual Raw'!V69+'Annual Raw'!V70</f>
        <v>#NAME?</v>
      </c>
      <c r="V138" s="23" t="e">
        <f ca="1">'Annual Raw'!W67+'Annual Raw'!W66+'Annual Raw'!W69+'Annual Raw'!W70</f>
        <v>#NAME?</v>
      </c>
      <c r="W138" s="23" t="e">
        <f ca="1">'Annual Raw'!X67+'Annual Raw'!X66+'Annual Raw'!X69+'Annual Raw'!X70</f>
        <v>#NAME?</v>
      </c>
      <c r="X138" s="23" t="e">
        <f ca="1">'Annual Raw'!Y67+'Annual Raw'!Y66+'Annual Raw'!Y69+'Annual Raw'!Y70</f>
        <v>#NAME?</v>
      </c>
      <c r="Y138" s="23" t="e">
        <f ca="1">'Annual Raw'!Z67+'Annual Raw'!Z66+'Annual Raw'!Z69+'Annual Raw'!Z70</f>
        <v>#NAME?</v>
      </c>
      <c r="Z138" s="23" t="e">
        <f ca="1">'Annual Raw'!AA67+'Annual Raw'!AA66+'Annual Raw'!AA69+'Annual Raw'!AA70</f>
        <v>#NAME?</v>
      </c>
      <c r="AA138" s="23" t="e">
        <f ca="1">'Annual Raw'!AB67+'Annual Raw'!AB66+'Annual Raw'!AB69+'Annual Raw'!AB70</f>
        <v>#NAME?</v>
      </c>
      <c r="AB138" s="24" t="e">
        <f t="shared" ca="1" si="1130"/>
        <v>#NAME?</v>
      </c>
      <c r="AC138" s="24" t="e">
        <f t="shared" ca="1" si="1131"/>
        <v>#NAME?</v>
      </c>
      <c r="AD138" s="24" t="e">
        <f t="shared" ca="1" si="1132"/>
        <v>#NAME?</v>
      </c>
      <c r="AE138" s="24" t="e">
        <f t="shared" ca="1" si="1133"/>
        <v>#NAME?</v>
      </c>
      <c r="AJ138" s="23" t="e">
        <f ca="1">+'QTR Raw'!D74+'QTR Raw'!D75</f>
        <v>#NAME?</v>
      </c>
      <c r="AK138" s="23" t="e">
        <f t="shared" ca="1" si="1148"/>
        <v>#NAME?</v>
      </c>
      <c r="AL138" s="23" t="e">
        <f ca="1">+'QTR Raw'!F74+'QTR Raw'!F75</f>
        <v>#NAME?</v>
      </c>
      <c r="AM138" s="23" t="e">
        <f t="shared" ca="1" si="1148"/>
        <v>#NAME?</v>
      </c>
      <c r="AN138" s="23" t="e">
        <f ca="1">+'QTR Raw'!H74+'QTR Raw'!H75</f>
        <v>#NAME?</v>
      </c>
      <c r="AO138" s="23" t="e">
        <f t="shared" ca="1" si="1148"/>
        <v>#NAME?</v>
      </c>
      <c r="AP138" s="23" t="e">
        <f ca="1">+'QTR Raw'!J74+'QTR Raw'!J75</f>
        <v>#NAME?</v>
      </c>
      <c r="AQ138" s="23" t="e">
        <f t="shared" ca="1" si="1148"/>
        <v>#NAME?</v>
      </c>
      <c r="AR138" s="23" t="e">
        <f ca="1">+'QTR Raw'!L74+'QTR Raw'!L75</f>
        <v>#NAME?</v>
      </c>
      <c r="AS138" s="23" t="e">
        <f t="shared" ca="1" si="1148"/>
        <v>#NAME?</v>
      </c>
      <c r="AT138" s="23" t="e">
        <f ca="1">+'QTR Raw'!N74+'QTR Raw'!N75</f>
        <v>#NAME?</v>
      </c>
      <c r="AU138" s="23" t="e">
        <f t="shared" ca="1" si="1148"/>
        <v>#NAME?</v>
      </c>
      <c r="AV138" s="23" t="e">
        <f ca="1">+'QTR Raw'!P74+'QTR Raw'!P75</f>
        <v>#NAME?</v>
      </c>
      <c r="AW138" s="23" t="e">
        <f t="shared" ca="1" si="1148"/>
        <v>#NAME?</v>
      </c>
      <c r="AX138" s="23" t="e">
        <f ca="1">+'QTR Raw'!R74+'QTR Raw'!R75</f>
        <v>#NAME?</v>
      </c>
      <c r="AY138" s="23" t="e">
        <f t="shared" ca="1" si="1148"/>
        <v>#NAME?</v>
      </c>
      <c r="AZ138" s="23" t="e">
        <f ca="1">+'QTR Raw'!T74+'QTR Raw'!T75</f>
        <v>#NAME?</v>
      </c>
      <c r="BA138" s="23" t="e">
        <f t="shared" ca="1" si="1148"/>
        <v>#NAME?</v>
      </c>
      <c r="BB138" s="23" t="e">
        <f ca="1">+'QTR Raw'!V74+'QTR Raw'!V75</f>
        <v>#NAME?</v>
      </c>
      <c r="BC138" s="23" t="e">
        <f t="shared" ca="1" si="1148"/>
        <v>#NAME?</v>
      </c>
      <c r="BD138" s="23" t="e">
        <f ca="1">+'QTR Raw'!X74+'QTR Raw'!X75</f>
        <v>#NAME?</v>
      </c>
      <c r="BE138" s="23" t="e">
        <f t="shared" ca="1" si="1148"/>
        <v>#NAME?</v>
      </c>
      <c r="BF138" s="23" t="e">
        <f ca="1">+'QTR Raw'!Z74+'QTR Raw'!Z75</f>
        <v>#NAME?</v>
      </c>
      <c r="BG138" s="23" t="e">
        <f t="shared" ca="1" si="1148"/>
        <v>#NAME?</v>
      </c>
      <c r="BH138" s="23" t="e">
        <f ca="1">+'QTR Raw'!AB74+'QTR Raw'!AB75</f>
        <v>#NAME?</v>
      </c>
      <c r="BI138" s="23" t="e">
        <f t="shared" ca="1" si="1148"/>
        <v>#NAME?</v>
      </c>
      <c r="BJ138" s="23" t="e">
        <f ca="1">+'QTR Raw'!AD74+'QTR Raw'!AD75</f>
        <v>#NAME?</v>
      </c>
      <c r="BK138" s="23" t="e">
        <f t="shared" ca="1" si="1148"/>
        <v>#NAME?</v>
      </c>
      <c r="BL138" s="23" t="e">
        <f ca="1">+'QTR Raw'!AF74+'QTR Raw'!AF75</f>
        <v>#NAME?</v>
      </c>
      <c r="BM138" s="23" t="e">
        <f t="shared" ca="1" si="1148"/>
        <v>#NAME?</v>
      </c>
      <c r="BN138" s="23" t="e">
        <f ca="1">+'QTR Raw'!AH74+'QTR Raw'!AH75</f>
        <v>#NAME?</v>
      </c>
      <c r="BO138" s="23" t="e">
        <f t="shared" ca="1" si="1148"/>
        <v>#NAME?</v>
      </c>
      <c r="BP138" s="23" t="e">
        <f ca="1">+'QTR Raw'!AJ74+'QTR Raw'!AJ75</f>
        <v>#NAME?</v>
      </c>
      <c r="BQ138" s="23" t="e">
        <f t="shared" ca="1" si="1148"/>
        <v>#NAME?</v>
      </c>
      <c r="BR138" s="23" t="e">
        <f ca="1">+'QTR Raw'!AL74+'QTR Raw'!AL75</f>
        <v>#NAME?</v>
      </c>
      <c r="BS138" s="23" t="e">
        <f t="shared" ca="1" si="1148"/>
        <v>#NAME?</v>
      </c>
      <c r="BT138" s="23" t="e">
        <f ca="1">+'QTR Raw'!AN74+'QTR Raw'!AN75</f>
        <v>#NAME?</v>
      </c>
      <c r="BU138" s="23" t="e">
        <f t="shared" ca="1" si="1148"/>
        <v>#NAME?</v>
      </c>
      <c r="BV138" s="23" t="e">
        <f ca="1">+'QTR Raw'!AP74+'QTR Raw'!AP75</f>
        <v>#NAME?</v>
      </c>
      <c r="BW138" s="23" t="e">
        <f t="shared" ca="1" si="1148"/>
        <v>#NAME?</v>
      </c>
      <c r="BX138" s="23" t="e">
        <f ca="1">+'QTR Raw'!AR74+'QTR Raw'!AR75</f>
        <v>#NAME?</v>
      </c>
      <c r="BY138" s="23" t="e">
        <f t="shared" ca="1" si="1148"/>
        <v>#NAME?</v>
      </c>
      <c r="BZ138" s="23" t="e">
        <f ca="1">+'QTR Raw'!AT74+'QTR Raw'!AT75</f>
        <v>#NAME?</v>
      </c>
      <c r="CA138" s="23" t="e">
        <f t="shared" ca="1" si="1148"/>
        <v>#NAME?</v>
      </c>
      <c r="CB138" s="23" t="e">
        <f ca="1">+'QTR Raw'!AV74+'QTR Raw'!AV75</f>
        <v>#NAME?</v>
      </c>
      <c r="CC138" s="23" t="e">
        <f t="shared" ca="1" si="1148"/>
        <v>#NAME?</v>
      </c>
      <c r="CD138" s="23" t="e">
        <f ca="1">+'QTR Raw'!AX74+'QTR Raw'!AX75</f>
        <v>#NAME?</v>
      </c>
      <c r="CE138" s="23" t="e">
        <f t="shared" ca="1" si="1148"/>
        <v>#NAME?</v>
      </c>
      <c r="CF138" s="23" t="e">
        <f ca="1">+'QTR Raw'!AZ74+'QTR Raw'!AZ75</f>
        <v>#NAME?</v>
      </c>
      <c r="CG138" s="23" t="e">
        <f t="shared" ca="1" si="1147"/>
        <v>#NAME?</v>
      </c>
      <c r="CH138" s="23" t="e">
        <f t="shared" ca="1" si="1134"/>
        <v>#NAME?</v>
      </c>
      <c r="CI138" s="23" t="e">
        <f t="shared" ca="1" si="1147"/>
        <v>#NAME?</v>
      </c>
      <c r="CJ138" s="23" t="e">
        <f ca="1">+'QTR Raw'!BD74+'QTR Raw'!BD75</f>
        <v>#NAME?</v>
      </c>
      <c r="CK138" s="24" t="e">
        <f t="shared" ca="1" si="1149"/>
        <v>#NAME?</v>
      </c>
      <c r="CL138" s="23" t="e">
        <f ca="1">+'QTR Raw'!BF74+'QTR Raw'!BF75</f>
        <v>#NAME?</v>
      </c>
      <c r="CM138" s="24" t="e">
        <f t="shared" ca="1" si="1150"/>
        <v>#NAME?</v>
      </c>
      <c r="CN138" s="24" t="e">
        <f t="shared" ca="1" si="1151"/>
        <v>#NAME?</v>
      </c>
      <c r="CO138" s="24" t="e">
        <f t="shared" ca="1" si="1152"/>
        <v>#NAME?</v>
      </c>
      <c r="CP138" s="24" t="e">
        <f t="shared" ca="1" si="1153"/>
        <v>#NAME?</v>
      </c>
      <c r="CQ138" s="24" t="e">
        <f t="shared" ca="1" si="1154"/>
        <v>#NAME?</v>
      </c>
      <c r="CR138" s="24" t="e">
        <f t="shared" ca="1" si="1155"/>
        <v>#NAME?</v>
      </c>
      <c r="CS138" s="24" t="e">
        <f t="shared" ca="1" si="1156"/>
        <v>#NAME?</v>
      </c>
      <c r="CT138" s="24" t="e">
        <f t="shared" ca="1" si="1157"/>
        <v>#NAME?</v>
      </c>
      <c r="CU138" s="24" t="e">
        <f t="shared" ca="1" si="1158"/>
        <v>#NAME?</v>
      </c>
      <c r="CV138" s="24" t="e">
        <f t="shared" ca="1" si="1159"/>
        <v>#NAME?</v>
      </c>
      <c r="CW138" s="24" t="e">
        <f t="shared" ca="1" si="1160"/>
        <v>#NAME?</v>
      </c>
      <c r="CX138" s="24" t="e">
        <f t="shared" ca="1" si="1161"/>
        <v>#NAME?</v>
      </c>
      <c r="CY138" s="24" t="e">
        <f t="shared" ca="1" si="1162"/>
        <v>#NAME?</v>
      </c>
      <c r="CZ138" s="24" t="e">
        <f t="shared" ca="1" si="1163"/>
        <v>#NAME?</v>
      </c>
      <c r="DA138" s="24" t="e">
        <f t="shared" ca="1" si="1164"/>
        <v>#NAME?</v>
      </c>
      <c r="DB138" s="24" t="e">
        <f t="shared" ca="1" si="1165"/>
        <v>#NAME?</v>
      </c>
      <c r="DE138" s="123"/>
      <c r="DF138" s="23">
        <v>28815.06</v>
      </c>
    </row>
    <row r="139" spans="1:110" s="22" customFormat="1" x14ac:dyDescent="0.2">
      <c r="A139" s="22" t="s">
        <v>57</v>
      </c>
      <c r="B139" s="22" t="e">
        <f ca="1">B135+B138+B137</f>
        <v>#NAME?</v>
      </c>
      <c r="C139" s="22" t="e">
        <f t="shared" ref="C139:D139" ca="1" si="1166">C135+C138+C137</f>
        <v>#NAME?</v>
      </c>
      <c r="D139" s="22" t="e">
        <f t="shared" ca="1" si="1166"/>
        <v>#NAME?</v>
      </c>
      <c r="E139" s="22" t="e">
        <f t="shared" ref="E139:Y139" ca="1" si="1167">E135+E138+E137+E136</f>
        <v>#NAME?</v>
      </c>
      <c r="F139" s="22" t="e">
        <f t="shared" ca="1" si="1167"/>
        <v>#NAME?</v>
      </c>
      <c r="G139" s="22" t="e">
        <f t="shared" ca="1" si="1167"/>
        <v>#NAME?</v>
      </c>
      <c r="H139" s="22" t="e">
        <f t="shared" ca="1" si="1167"/>
        <v>#NAME?</v>
      </c>
      <c r="I139" s="22" t="e">
        <f t="shared" ca="1" si="1167"/>
        <v>#NAME?</v>
      </c>
      <c r="J139" s="22" t="e">
        <f t="shared" ca="1" si="1167"/>
        <v>#NAME?</v>
      </c>
      <c r="K139" s="22" t="e">
        <f t="shared" ca="1" si="1167"/>
        <v>#NAME?</v>
      </c>
      <c r="L139" s="22" t="e">
        <f t="shared" ca="1" si="1167"/>
        <v>#NAME?</v>
      </c>
      <c r="M139" s="22" t="e">
        <f t="shared" ca="1" si="1167"/>
        <v>#NAME?</v>
      </c>
      <c r="N139" s="22" t="e">
        <f t="shared" ca="1" si="1167"/>
        <v>#NAME?</v>
      </c>
      <c r="O139" s="22" t="e">
        <f t="shared" ca="1" si="1167"/>
        <v>#NAME?</v>
      </c>
      <c r="P139" s="22" t="e">
        <f t="shared" ca="1" si="1167"/>
        <v>#NAME?</v>
      </c>
      <c r="Q139" s="22" t="e">
        <f t="shared" ca="1" si="1167"/>
        <v>#NAME?</v>
      </c>
      <c r="R139" s="22" t="e">
        <f t="shared" ca="1" si="1167"/>
        <v>#NAME?</v>
      </c>
      <c r="S139" s="22" t="e">
        <f t="shared" ca="1" si="1167"/>
        <v>#NAME?</v>
      </c>
      <c r="T139" s="22" t="e">
        <f t="shared" ca="1" si="1167"/>
        <v>#NAME?</v>
      </c>
      <c r="U139" s="22" t="e">
        <f t="shared" ca="1" si="1167"/>
        <v>#NAME?</v>
      </c>
      <c r="V139" s="22" t="e">
        <f t="shared" ca="1" si="1167"/>
        <v>#NAME?</v>
      </c>
      <c r="W139" s="22" t="e">
        <f t="shared" ca="1" si="1167"/>
        <v>#NAME?</v>
      </c>
      <c r="X139" s="22" t="e">
        <f t="shared" ca="1" si="1167"/>
        <v>#NAME?</v>
      </c>
      <c r="Y139" s="22" t="e">
        <f t="shared" ca="1" si="1167"/>
        <v>#NAME?</v>
      </c>
      <c r="Z139" s="22" t="e">
        <f ca="1">Z135+Z138+Z137+Z136</f>
        <v>#NAME?</v>
      </c>
      <c r="AA139" s="22" t="e">
        <f ca="1">AA135+AA138+AA137+AA136</f>
        <v>#NAME?</v>
      </c>
      <c r="AB139" s="161" t="e">
        <f t="shared" ref="AB139:AE139" ca="1" si="1168">AB135+AB138+AB137+AB136</f>
        <v>#NAME?</v>
      </c>
      <c r="AC139" s="161" t="e">
        <f t="shared" ca="1" si="1168"/>
        <v>#NAME?</v>
      </c>
      <c r="AD139" s="161" t="e">
        <f t="shared" ca="1" si="1168"/>
        <v>#NAME?</v>
      </c>
      <c r="AE139" s="161" t="e">
        <f t="shared" ca="1" si="1168"/>
        <v>#NAME?</v>
      </c>
      <c r="AJ139" s="22" t="e">
        <f t="shared" ref="AJ139" ca="1" si="1169">AJ135+AJ138+AJ136+AJ137</f>
        <v>#NAME?</v>
      </c>
      <c r="AK139" s="22" t="e">
        <f t="shared" ref="AK139" ca="1" si="1170">AK135+AK138+AK136+AK137</f>
        <v>#NAME?</v>
      </c>
      <c r="AL139" s="22" t="e">
        <f t="shared" ref="AL139:AM139" ca="1" si="1171">AL135+AL138+AL136+AL137</f>
        <v>#NAME?</v>
      </c>
      <c r="AM139" s="22" t="e">
        <f t="shared" ca="1" si="1171"/>
        <v>#NAME?</v>
      </c>
      <c r="AN139" s="22" t="e">
        <f t="shared" ref="AN139:AO139" ca="1" si="1172">AN135+AN138+AN136+AN137</f>
        <v>#NAME?</v>
      </c>
      <c r="AO139" s="22" t="e">
        <f t="shared" ca="1" si="1172"/>
        <v>#NAME?</v>
      </c>
      <c r="AP139" s="22" t="e">
        <f t="shared" ref="AP139:CE139" ca="1" si="1173">AP135+AP138+AP136+AP137</f>
        <v>#NAME?</v>
      </c>
      <c r="AQ139" s="22" t="e">
        <f t="shared" ca="1" si="1173"/>
        <v>#NAME?</v>
      </c>
      <c r="AR139" s="22" t="e">
        <f t="shared" ca="1" si="1173"/>
        <v>#NAME?</v>
      </c>
      <c r="AS139" s="22" t="e">
        <f t="shared" ca="1" si="1173"/>
        <v>#NAME?</v>
      </c>
      <c r="AT139" s="22" t="e">
        <f t="shared" ca="1" si="1173"/>
        <v>#NAME?</v>
      </c>
      <c r="AU139" s="22" t="e">
        <f t="shared" ca="1" si="1173"/>
        <v>#NAME?</v>
      </c>
      <c r="AV139" s="22" t="e">
        <f t="shared" ca="1" si="1173"/>
        <v>#NAME?</v>
      </c>
      <c r="AW139" s="22" t="e">
        <f t="shared" ca="1" si="1173"/>
        <v>#NAME?</v>
      </c>
      <c r="AX139" s="22" t="e">
        <f t="shared" ca="1" si="1173"/>
        <v>#NAME?</v>
      </c>
      <c r="AY139" s="22" t="e">
        <f t="shared" ca="1" si="1173"/>
        <v>#NAME?</v>
      </c>
      <c r="AZ139" s="22" t="e">
        <f t="shared" ca="1" si="1173"/>
        <v>#NAME?</v>
      </c>
      <c r="BA139" s="22" t="e">
        <f t="shared" ca="1" si="1173"/>
        <v>#NAME?</v>
      </c>
      <c r="BB139" s="22" t="e">
        <f t="shared" ca="1" si="1173"/>
        <v>#NAME?</v>
      </c>
      <c r="BC139" s="22" t="e">
        <f t="shared" ca="1" si="1173"/>
        <v>#NAME?</v>
      </c>
      <c r="BD139" s="22" t="e">
        <f t="shared" ca="1" si="1173"/>
        <v>#NAME?</v>
      </c>
      <c r="BE139" s="22" t="e">
        <f t="shared" ca="1" si="1173"/>
        <v>#NAME?</v>
      </c>
      <c r="BF139" s="22" t="e">
        <f t="shared" ca="1" si="1173"/>
        <v>#NAME?</v>
      </c>
      <c r="BG139" s="22" t="e">
        <f t="shared" ca="1" si="1173"/>
        <v>#NAME?</v>
      </c>
      <c r="BH139" s="22" t="e">
        <f t="shared" ca="1" si="1173"/>
        <v>#NAME?</v>
      </c>
      <c r="BI139" s="22" t="e">
        <f t="shared" ca="1" si="1173"/>
        <v>#NAME?</v>
      </c>
      <c r="BJ139" s="22" t="e">
        <f t="shared" ca="1" si="1173"/>
        <v>#NAME?</v>
      </c>
      <c r="BK139" s="22" t="e">
        <f t="shared" ca="1" si="1173"/>
        <v>#NAME?</v>
      </c>
      <c r="BL139" s="22" t="e">
        <f t="shared" ca="1" si="1173"/>
        <v>#NAME?</v>
      </c>
      <c r="BM139" s="22" t="e">
        <f t="shared" ca="1" si="1173"/>
        <v>#NAME?</v>
      </c>
      <c r="BN139" s="22" t="e">
        <f t="shared" ca="1" si="1173"/>
        <v>#NAME?</v>
      </c>
      <c r="BO139" s="22" t="e">
        <f t="shared" ca="1" si="1173"/>
        <v>#NAME?</v>
      </c>
      <c r="BP139" s="22" t="e">
        <f t="shared" ca="1" si="1173"/>
        <v>#NAME?</v>
      </c>
      <c r="BQ139" s="22" t="e">
        <f t="shared" ca="1" si="1173"/>
        <v>#NAME?</v>
      </c>
      <c r="BR139" s="22" t="e">
        <f t="shared" ca="1" si="1173"/>
        <v>#NAME?</v>
      </c>
      <c r="BS139" s="22" t="e">
        <f t="shared" ca="1" si="1173"/>
        <v>#NAME?</v>
      </c>
      <c r="BT139" s="22" t="e">
        <f t="shared" ca="1" si="1173"/>
        <v>#NAME?</v>
      </c>
      <c r="BU139" s="22" t="e">
        <f t="shared" ca="1" si="1173"/>
        <v>#NAME?</v>
      </c>
      <c r="BV139" s="22" t="e">
        <f t="shared" ca="1" si="1173"/>
        <v>#NAME?</v>
      </c>
      <c r="BW139" s="22" t="e">
        <f t="shared" ca="1" si="1173"/>
        <v>#NAME?</v>
      </c>
      <c r="BX139" s="22" t="e">
        <f t="shared" ca="1" si="1173"/>
        <v>#NAME?</v>
      </c>
      <c r="BY139" s="22" t="e">
        <f t="shared" ca="1" si="1173"/>
        <v>#NAME?</v>
      </c>
      <c r="BZ139" s="22" t="e">
        <f t="shared" ca="1" si="1173"/>
        <v>#NAME?</v>
      </c>
      <c r="CA139" s="22" t="e">
        <f t="shared" ca="1" si="1173"/>
        <v>#NAME?</v>
      </c>
      <c r="CB139" s="22" t="e">
        <f t="shared" ca="1" si="1173"/>
        <v>#NAME?</v>
      </c>
      <c r="CC139" s="22" t="e">
        <f t="shared" ca="1" si="1173"/>
        <v>#NAME?</v>
      </c>
      <c r="CD139" s="22" t="e">
        <f t="shared" ca="1" si="1173"/>
        <v>#NAME?</v>
      </c>
      <c r="CE139" s="22" t="e">
        <f t="shared" ca="1" si="1173"/>
        <v>#NAME?</v>
      </c>
      <c r="CF139" s="22" t="e">
        <f t="shared" ref="CF139:CG139" ca="1" si="1174">CF135+CF138+CF136+CF137</f>
        <v>#NAME?</v>
      </c>
      <c r="CG139" s="22" t="e">
        <f t="shared" ca="1" si="1174"/>
        <v>#NAME?</v>
      </c>
      <c r="CH139" s="22" t="e">
        <f t="shared" ref="CH139:CJ139" ca="1" si="1175">CH135+CH138+CH136+CH137</f>
        <v>#NAME?</v>
      </c>
      <c r="CI139" s="22" t="e">
        <f t="shared" ca="1" si="1175"/>
        <v>#NAME?</v>
      </c>
      <c r="CJ139" s="22" t="e">
        <f t="shared" ca="1" si="1175"/>
        <v>#NAME?</v>
      </c>
      <c r="CK139" s="21" t="e">
        <f t="shared" ref="CK139:DB139" ca="1" si="1176">CK135+CK138+CK136+CK137</f>
        <v>#NAME?</v>
      </c>
      <c r="CL139" s="22" t="e">
        <f t="shared" ca="1" si="1176"/>
        <v>#NAME?</v>
      </c>
      <c r="CM139" s="21" t="e">
        <f t="shared" ca="1" si="1176"/>
        <v>#NAME?</v>
      </c>
      <c r="CN139" s="21" t="e">
        <f t="shared" ca="1" si="1176"/>
        <v>#NAME?</v>
      </c>
      <c r="CO139" s="21" t="e">
        <f t="shared" ca="1" si="1176"/>
        <v>#NAME?</v>
      </c>
      <c r="CP139" s="21" t="e">
        <f t="shared" ca="1" si="1176"/>
        <v>#NAME?</v>
      </c>
      <c r="CQ139" s="21" t="e">
        <f t="shared" ca="1" si="1176"/>
        <v>#NAME?</v>
      </c>
      <c r="CR139" s="21" t="e">
        <f t="shared" ca="1" si="1176"/>
        <v>#NAME?</v>
      </c>
      <c r="CS139" s="21" t="e">
        <f t="shared" ca="1" si="1176"/>
        <v>#NAME?</v>
      </c>
      <c r="CT139" s="21" t="e">
        <f t="shared" ca="1" si="1176"/>
        <v>#NAME?</v>
      </c>
      <c r="CU139" s="21" t="e">
        <f t="shared" ca="1" si="1176"/>
        <v>#NAME?</v>
      </c>
      <c r="CV139" s="21" t="e">
        <f t="shared" ca="1" si="1176"/>
        <v>#NAME?</v>
      </c>
      <c r="CW139" s="21" t="e">
        <f t="shared" ca="1" si="1176"/>
        <v>#NAME?</v>
      </c>
      <c r="CX139" s="21" t="e">
        <f t="shared" ca="1" si="1176"/>
        <v>#NAME?</v>
      </c>
      <c r="CY139" s="21" t="e">
        <f t="shared" ca="1" si="1176"/>
        <v>#NAME?</v>
      </c>
      <c r="CZ139" s="21" t="e">
        <f t="shared" ca="1" si="1176"/>
        <v>#NAME?</v>
      </c>
      <c r="DA139" s="21" t="e">
        <f t="shared" ca="1" si="1176"/>
        <v>#NAME?</v>
      </c>
      <c r="DB139" s="21" t="e">
        <f t="shared" ca="1" si="1176"/>
        <v>#NAME?</v>
      </c>
      <c r="DE139" s="126"/>
      <c r="DF139" s="22">
        <v>147955.08000000002</v>
      </c>
    </row>
    <row r="140" spans="1:110" s="23" customFormat="1" x14ac:dyDescent="0.2">
      <c r="AB140" s="24"/>
      <c r="AC140" s="24"/>
      <c r="AD140" s="24"/>
      <c r="AE140" s="24"/>
      <c r="CK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E140" s="123"/>
    </row>
    <row r="141" spans="1:110" s="23" customFormat="1" x14ac:dyDescent="0.2">
      <c r="A141" s="23" t="s">
        <v>58</v>
      </c>
      <c r="B141" s="23" t="e">
        <f ca="1">'Annual Raw'!C71</f>
        <v>#NAME?</v>
      </c>
      <c r="C141" s="23" t="e">
        <f ca="1">'Annual Raw'!D71</f>
        <v>#NAME?</v>
      </c>
      <c r="D141" s="23" t="e">
        <f ca="1">'Annual Raw'!E71</f>
        <v>#NAME?</v>
      </c>
      <c r="E141" s="23" t="e">
        <f ca="1">'Annual Raw'!F71</f>
        <v>#NAME?</v>
      </c>
      <c r="F141" s="23" t="e">
        <f ca="1">'Annual Raw'!G71</f>
        <v>#NAME?</v>
      </c>
      <c r="G141" s="23" t="e">
        <f ca="1">'Annual Raw'!H71</f>
        <v>#NAME?</v>
      </c>
      <c r="H141" s="23" t="e">
        <f ca="1">'Annual Raw'!I71</f>
        <v>#NAME?</v>
      </c>
      <c r="I141" s="23" t="e">
        <f ca="1">'Annual Raw'!J71</f>
        <v>#NAME?</v>
      </c>
      <c r="J141" s="23" t="e">
        <f ca="1">'Annual Raw'!K71</f>
        <v>#NAME?</v>
      </c>
      <c r="K141" s="23" t="e">
        <f ca="1">'Annual Raw'!L71</f>
        <v>#NAME?</v>
      </c>
      <c r="L141" s="23" t="e">
        <f ca="1">'Annual Raw'!M71</f>
        <v>#NAME?</v>
      </c>
      <c r="M141" s="23" t="e">
        <f ca="1">'Annual Raw'!N71</f>
        <v>#NAME?</v>
      </c>
      <c r="N141" s="23" t="e">
        <f ca="1">'Annual Raw'!O71</f>
        <v>#NAME?</v>
      </c>
      <c r="O141" s="23" t="e">
        <f ca="1">'Annual Raw'!P71</f>
        <v>#NAME?</v>
      </c>
      <c r="P141" s="23" t="e">
        <f ca="1">'Annual Raw'!Q71</f>
        <v>#NAME?</v>
      </c>
      <c r="Q141" s="23" t="e">
        <f ca="1">'Annual Raw'!R71</f>
        <v>#NAME?</v>
      </c>
      <c r="R141" s="23" t="e">
        <f ca="1">'Annual Raw'!S71</f>
        <v>#NAME?</v>
      </c>
      <c r="S141" s="23" t="e">
        <f ca="1">'Annual Raw'!T71</f>
        <v>#NAME?</v>
      </c>
      <c r="T141" s="23" t="e">
        <f ca="1">'Annual Raw'!U71</f>
        <v>#NAME?</v>
      </c>
      <c r="U141" s="23" t="e">
        <f ca="1">'Annual Raw'!V71</f>
        <v>#NAME?</v>
      </c>
      <c r="V141" s="23" t="e">
        <f ca="1">'Annual Raw'!W71</f>
        <v>#NAME?</v>
      </c>
      <c r="W141" s="23" t="e">
        <f ca="1">'Annual Raw'!X71</f>
        <v>#NAME?</v>
      </c>
      <c r="X141" s="23" t="e">
        <f ca="1">'Annual Raw'!Y71</f>
        <v>#NAME?</v>
      </c>
      <c r="Y141" s="23" t="e">
        <f ca="1">'Annual Raw'!Z71</f>
        <v>#NAME?</v>
      </c>
      <c r="Z141" s="23" t="e">
        <f ca="1">'Annual Raw'!AA71</f>
        <v>#NAME?</v>
      </c>
      <c r="AA141" s="23" t="e">
        <f ca="1">'Annual Raw'!AB71</f>
        <v>#NAME?</v>
      </c>
      <c r="AB141" s="24" t="e">
        <f ca="1">+CP141</f>
        <v>#NAME?</v>
      </c>
      <c r="AC141" s="24" t="e">
        <f ca="1">+CT141</f>
        <v>#NAME?</v>
      </c>
      <c r="AD141" s="24" t="e">
        <f ca="1">+CX141</f>
        <v>#NAME?</v>
      </c>
      <c r="AE141" s="24" t="e">
        <f ca="1">+DB141</f>
        <v>#NAME?</v>
      </c>
      <c r="AJ141" s="23" t="e">
        <f ca="1">+'QTR Raw'!D77</f>
        <v>#NAME?</v>
      </c>
      <c r="AK141" s="23" t="e">
        <f t="shared" ref="AK141:CE141" ca="1" si="1177">+AJ141</f>
        <v>#NAME?</v>
      </c>
      <c r="AL141" s="23" t="e">
        <f ca="1">+'QTR Raw'!F77</f>
        <v>#NAME?</v>
      </c>
      <c r="AM141" s="23" t="e">
        <f t="shared" ca="1" si="1177"/>
        <v>#NAME?</v>
      </c>
      <c r="AN141" s="23" t="e">
        <f ca="1">+'QTR Raw'!H77</f>
        <v>#NAME?</v>
      </c>
      <c r="AO141" s="23" t="e">
        <f t="shared" ca="1" si="1177"/>
        <v>#NAME?</v>
      </c>
      <c r="AP141" s="23" t="e">
        <f ca="1">+'QTR Raw'!J77</f>
        <v>#NAME?</v>
      </c>
      <c r="AQ141" s="23" t="e">
        <f t="shared" ca="1" si="1177"/>
        <v>#NAME?</v>
      </c>
      <c r="AR141" s="23" t="e">
        <f ca="1">+'QTR Raw'!L77</f>
        <v>#NAME?</v>
      </c>
      <c r="AS141" s="23" t="e">
        <f t="shared" ca="1" si="1177"/>
        <v>#NAME?</v>
      </c>
      <c r="AT141" s="23" t="e">
        <f ca="1">+'QTR Raw'!N77</f>
        <v>#NAME?</v>
      </c>
      <c r="AU141" s="23" t="e">
        <f t="shared" ca="1" si="1177"/>
        <v>#NAME?</v>
      </c>
      <c r="AV141" s="23" t="e">
        <f ca="1">+'QTR Raw'!P77</f>
        <v>#NAME?</v>
      </c>
      <c r="AW141" s="23" t="e">
        <f t="shared" ca="1" si="1177"/>
        <v>#NAME?</v>
      </c>
      <c r="AX141" s="23" t="e">
        <f ca="1">+'QTR Raw'!R77</f>
        <v>#NAME?</v>
      </c>
      <c r="AY141" s="23" t="e">
        <f t="shared" ca="1" si="1177"/>
        <v>#NAME?</v>
      </c>
      <c r="AZ141" s="23" t="e">
        <f ca="1">+'QTR Raw'!T77</f>
        <v>#NAME?</v>
      </c>
      <c r="BA141" s="23" t="e">
        <f t="shared" ca="1" si="1177"/>
        <v>#NAME?</v>
      </c>
      <c r="BB141" s="23" t="e">
        <f ca="1">+'QTR Raw'!V77</f>
        <v>#NAME?</v>
      </c>
      <c r="BC141" s="23" t="e">
        <f t="shared" ca="1" si="1177"/>
        <v>#NAME?</v>
      </c>
      <c r="BD141" s="23" t="e">
        <f ca="1">+'QTR Raw'!X77</f>
        <v>#NAME?</v>
      </c>
      <c r="BE141" s="23" t="e">
        <f t="shared" ca="1" si="1177"/>
        <v>#NAME?</v>
      </c>
      <c r="BF141" s="23" t="e">
        <f ca="1">+'QTR Raw'!Z77</f>
        <v>#NAME?</v>
      </c>
      <c r="BG141" s="23" t="e">
        <f t="shared" ca="1" si="1177"/>
        <v>#NAME?</v>
      </c>
      <c r="BH141" s="23" t="e">
        <f ca="1">+'QTR Raw'!AB77</f>
        <v>#NAME?</v>
      </c>
      <c r="BI141" s="23" t="e">
        <f t="shared" ca="1" si="1177"/>
        <v>#NAME?</v>
      </c>
      <c r="BJ141" s="23" t="e">
        <f ca="1">+'QTR Raw'!AD77</f>
        <v>#NAME?</v>
      </c>
      <c r="BK141" s="23" t="e">
        <f t="shared" ca="1" si="1177"/>
        <v>#NAME?</v>
      </c>
      <c r="BL141" s="23" t="e">
        <f ca="1">+'QTR Raw'!AF77</f>
        <v>#NAME?</v>
      </c>
      <c r="BM141" s="23" t="e">
        <f t="shared" ca="1" si="1177"/>
        <v>#NAME?</v>
      </c>
      <c r="BN141" s="23" t="e">
        <f ca="1">+'QTR Raw'!AH77</f>
        <v>#NAME?</v>
      </c>
      <c r="BO141" s="23" t="e">
        <f t="shared" ca="1" si="1177"/>
        <v>#NAME?</v>
      </c>
      <c r="BP141" s="23" t="e">
        <f ca="1">+'QTR Raw'!AJ77</f>
        <v>#NAME?</v>
      </c>
      <c r="BQ141" s="23" t="e">
        <f t="shared" ca="1" si="1177"/>
        <v>#NAME?</v>
      </c>
      <c r="BR141" s="23" t="e">
        <f ca="1">+'QTR Raw'!AL77</f>
        <v>#NAME?</v>
      </c>
      <c r="BS141" s="23" t="e">
        <f t="shared" ca="1" si="1177"/>
        <v>#NAME?</v>
      </c>
      <c r="BT141" s="23" t="e">
        <f ca="1">+'QTR Raw'!AN77</f>
        <v>#NAME?</v>
      </c>
      <c r="BU141" s="23" t="e">
        <f t="shared" ca="1" si="1177"/>
        <v>#NAME?</v>
      </c>
      <c r="BV141" s="23" t="e">
        <f ca="1">+'QTR Raw'!AP77</f>
        <v>#NAME?</v>
      </c>
      <c r="BW141" s="23" t="e">
        <f t="shared" ca="1" si="1177"/>
        <v>#NAME?</v>
      </c>
      <c r="BX141" s="23" t="e">
        <f ca="1">+'QTR Raw'!AR77</f>
        <v>#NAME?</v>
      </c>
      <c r="BY141" s="23" t="e">
        <f t="shared" ca="1" si="1177"/>
        <v>#NAME?</v>
      </c>
      <c r="BZ141" s="23" t="e">
        <f ca="1">+'QTR Raw'!AT77</f>
        <v>#NAME?</v>
      </c>
      <c r="CA141" s="23" t="e">
        <f t="shared" ca="1" si="1177"/>
        <v>#NAME?</v>
      </c>
      <c r="CB141" s="23" t="e">
        <f ca="1">+'QTR Raw'!AV77</f>
        <v>#NAME?</v>
      </c>
      <c r="CC141" s="23" t="e">
        <f t="shared" ca="1" si="1177"/>
        <v>#NAME?</v>
      </c>
      <c r="CD141" s="23" t="e">
        <f ca="1">+'QTR Raw'!AX77</f>
        <v>#NAME?</v>
      </c>
      <c r="CE141" s="23" t="e">
        <f t="shared" ca="1" si="1177"/>
        <v>#NAME?</v>
      </c>
      <c r="CF141" s="23" t="e">
        <f ca="1">+'QTR Raw'!AZ77</f>
        <v>#NAME?</v>
      </c>
      <c r="CG141" s="23" t="e">
        <f t="shared" ref="CG141:CI144" ca="1" si="1178">+CF141</f>
        <v>#NAME?</v>
      </c>
      <c r="CH141" s="23" t="e">
        <f t="shared" ref="CH141:CH156" ca="1" si="1179">Z141</f>
        <v>#NAME?</v>
      </c>
      <c r="CI141" s="23" t="e">
        <f t="shared" ca="1" si="1178"/>
        <v>#NAME?</v>
      </c>
      <c r="CJ141" s="23" t="e">
        <f ca="1">+'QTR Raw'!BD77</f>
        <v>#NAME?</v>
      </c>
      <c r="CK141" s="24" t="e">
        <f t="shared" ref="CK141" ca="1" si="1180">+CJ141</f>
        <v>#NAME?</v>
      </c>
      <c r="CL141" s="23" t="e">
        <f ca="1">+'QTR Raw'!BF77</f>
        <v>#NAME?</v>
      </c>
      <c r="CM141" s="24" t="e">
        <f t="shared" ref="CM141" ca="1" si="1181">+CL141</f>
        <v>#NAME?</v>
      </c>
      <c r="CN141" s="24" t="e">
        <f t="shared" ref="CN141" ca="1" si="1182">+CM141</f>
        <v>#NAME?</v>
      </c>
      <c r="CO141" s="24" t="e">
        <f t="shared" ref="CO141" ca="1" si="1183">+CN141</f>
        <v>#NAME?</v>
      </c>
      <c r="CP141" s="24" t="e">
        <f t="shared" ref="CP141" ca="1" si="1184">+CO141</f>
        <v>#NAME?</v>
      </c>
      <c r="CQ141" s="24" t="e">
        <f t="shared" ref="CQ141" ca="1" si="1185">+CP141</f>
        <v>#NAME?</v>
      </c>
      <c r="CR141" s="24" t="e">
        <f t="shared" ref="CR141" ca="1" si="1186">+CQ141</f>
        <v>#NAME?</v>
      </c>
      <c r="CS141" s="24" t="e">
        <f t="shared" ref="CS141" ca="1" si="1187">+CR141</f>
        <v>#NAME?</v>
      </c>
      <c r="CT141" s="24" t="e">
        <f t="shared" ref="CT141" ca="1" si="1188">+CS141</f>
        <v>#NAME?</v>
      </c>
      <c r="CU141" s="24" t="e">
        <f t="shared" ref="CU141" ca="1" si="1189">+CT141</f>
        <v>#NAME?</v>
      </c>
      <c r="CV141" s="24" t="e">
        <f t="shared" ref="CV141" ca="1" si="1190">+CU141</f>
        <v>#NAME?</v>
      </c>
      <c r="CW141" s="24" t="e">
        <f t="shared" ref="CW141" ca="1" si="1191">+CV141</f>
        <v>#NAME?</v>
      </c>
      <c r="CX141" s="24" t="e">
        <f t="shared" ref="CX141" ca="1" si="1192">+CW141</f>
        <v>#NAME?</v>
      </c>
      <c r="CY141" s="24" t="e">
        <f t="shared" ref="CY141" ca="1" si="1193">+CX141</f>
        <v>#NAME?</v>
      </c>
      <c r="CZ141" s="24" t="e">
        <f t="shared" ref="CZ141" ca="1" si="1194">+CY141</f>
        <v>#NAME?</v>
      </c>
      <c r="DA141" s="24" t="e">
        <f t="shared" ref="DA141" ca="1" si="1195">+CZ141</f>
        <v>#NAME?</v>
      </c>
      <c r="DB141" s="24" t="e">
        <f t="shared" ref="DB141" ca="1" si="1196">+DA141</f>
        <v>#NAME?</v>
      </c>
      <c r="DE141" s="123"/>
      <c r="DF141" s="23">
        <v>7205.77</v>
      </c>
    </row>
    <row r="142" spans="1:110" s="23" customFormat="1" x14ac:dyDescent="0.2">
      <c r="AB142" s="24"/>
      <c r="AC142" s="24"/>
      <c r="AD142" s="24"/>
      <c r="AE142" s="24"/>
      <c r="CK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59</v>
      </c>
      <c r="B143" s="23" t="e">
        <f ca="1">'Annual Raw'!C72</f>
        <v>#NAME?</v>
      </c>
      <c r="C143" s="23" t="e">
        <f ca="1">'Annual Raw'!D72</f>
        <v>#NAME?</v>
      </c>
      <c r="D143" s="23" t="e">
        <f ca="1">'Annual Raw'!E72</f>
        <v>#NAME?</v>
      </c>
      <c r="E143" s="23" t="e">
        <f ca="1">'Annual Raw'!F72+'Annual Raw'!F61</f>
        <v>#NAME?</v>
      </c>
      <c r="F143" s="23" t="e">
        <f ca="1">'Annual Raw'!G72+'Annual Raw'!G61</f>
        <v>#NAME?</v>
      </c>
      <c r="G143" s="23" t="e">
        <f ca="1">'Annual Raw'!H72+'Annual Raw'!H61</f>
        <v>#NAME?</v>
      </c>
      <c r="H143" s="23" t="e">
        <f ca="1">'Annual Raw'!I72+'Annual Raw'!I61</f>
        <v>#NAME?</v>
      </c>
      <c r="I143" s="23" t="e">
        <f ca="1">'Annual Raw'!J72+'Annual Raw'!J61</f>
        <v>#NAME?</v>
      </c>
      <c r="J143" s="23" t="e">
        <f ca="1">'Annual Raw'!K72+'Annual Raw'!K61</f>
        <v>#NAME?</v>
      </c>
      <c r="K143" s="23" t="e">
        <f ca="1">'Annual Raw'!L72+'Annual Raw'!L61</f>
        <v>#NAME?</v>
      </c>
      <c r="L143" s="23" t="e">
        <f ca="1">'Annual Raw'!M72+'Annual Raw'!M61</f>
        <v>#NAME?</v>
      </c>
      <c r="M143" s="23" t="e">
        <f ca="1">'Annual Raw'!N72+'Annual Raw'!N61</f>
        <v>#NAME?</v>
      </c>
      <c r="N143" s="23" t="e">
        <f ca="1">'Annual Raw'!O72+'Annual Raw'!O61</f>
        <v>#NAME?</v>
      </c>
      <c r="O143" s="23" t="e">
        <f ca="1">'Annual Raw'!P72+'Annual Raw'!P61</f>
        <v>#NAME?</v>
      </c>
      <c r="P143" s="23" t="e">
        <f ca="1">'Annual Raw'!Q72+'Annual Raw'!Q61</f>
        <v>#NAME?</v>
      </c>
      <c r="Q143" s="23" t="e">
        <f ca="1">'Annual Raw'!R72+'Annual Raw'!R61</f>
        <v>#NAME?</v>
      </c>
      <c r="R143" s="23" t="e">
        <f ca="1">'Annual Raw'!S72+'Annual Raw'!S61</f>
        <v>#NAME?</v>
      </c>
      <c r="S143" s="23" t="e">
        <f ca="1">'Annual Raw'!T72+'Annual Raw'!T61</f>
        <v>#NAME?</v>
      </c>
      <c r="T143" s="23" t="e">
        <f ca="1">'Annual Raw'!U72+'Annual Raw'!U61</f>
        <v>#NAME?</v>
      </c>
      <c r="U143" s="23" t="e">
        <f ca="1">'Annual Raw'!V72+'Annual Raw'!V61</f>
        <v>#NAME?</v>
      </c>
      <c r="V143" s="23" t="e">
        <f ca="1">'Annual Raw'!W72+'Annual Raw'!W61</f>
        <v>#NAME?</v>
      </c>
      <c r="W143" s="23" t="e">
        <f ca="1">'Annual Raw'!X72+'Annual Raw'!X61</f>
        <v>#NAME?</v>
      </c>
      <c r="X143" s="23" t="e">
        <f ca="1">'Annual Raw'!Y72+'Annual Raw'!Y61</f>
        <v>#NAME?</v>
      </c>
      <c r="Y143" s="23" t="e">
        <f ca="1">'Annual Raw'!Z72+'Annual Raw'!Z61</f>
        <v>#NAME?</v>
      </c>
      <c r="Z143" s="23" t="e">
        <f ca="1">'Annual Raw'!AA72+'Annual Raw'!AA61</f>
        <v>#NAME?</v>
      </c>
      <c r="AA143" s="23" t="e">
        <f ca="1">'Annual Raw'!AB72+'Annual Raw'!AB61</f>
        <v>#NAME?</v>
      </c>
      <c r="AB143" s="24">
        <f t="shared" ref="AB143:AB148" si="1197">+CP143</f>
        <v>0</v>
      </c>
      <c r="AC143" s="24">
        <f t="shared" ref="AC143:AC148" si="1198">+CT143</f>
        <v>0</v>
      </c>
      <c r="AD143" s="24">
        <f t="shared" ref="AD143:AD148" si="1199">+CX143</f>
        <v>0</v>
      </c>
      <c r="AE143" s="24">
        <f t="shared" ref="AE143:AE148" si="1200">+DB143</f>
        <v>0</v>
      </c>
      <c r="AJ143" s="23" t="e">
        <f ca="1">+'QTR Raw'!D78</f>
        <v>#NAME?</v>
      </c>
      <c r="AK143" s="23" t="e">
        <f t="shared" ref="AK143:CE148" ca="1" si="1201">+AJ143</f>
        <v>#NAME?</v>
      </c>
      <c r="AL143" s="23" t="e">
        <f ca="1">+'QTR Raw'!F78</f>
        <v>#NAME?</v>
      </c>
      <c r="AM143" s="23" t="e">
        <f t="shared" ca="1" si="1201"/>
        <v>#NAME?</v>
      </c>
      <c r="AN143" s="23" t="e">
        <f ca="1">+'QTR Raw'!H78</f>
        <v>#NAME?</v>
      </c>
      <c r="AO143" s="23" t="e">
        <f t="shared" ca="1" si="1201"/>
        <v>#NAME?</v>
      </c>
      <c r="AP143" s="23" t="e">
        <f ca="1">+'QTR Raw'!J78</f>
        <v>#NAME?</v>
      </c>
      <c r="AQ143" s="23" t="e">
        <f t="shared" ca="1" si="1201"/>
        <v>#NAME?</v>
      </c>
      <c r="AR143" s="23" t="e">
        <f ca="1">+'QTR Raw'!L78</f>
        <v>#NAME?</v>
      </c>
      <c r="AS143" s="23" t="e">
        <f t="shared" ca="1" si="1201"/>
        <v>#NAME?</v>
      </c>
      <c r="AT143" s="23" t="e">
        <f ca="1">+'QTR Raw'!N78</f>
        <v>#NAME?</v>
      </c>
      <c r="AU143" s="23" t="e">
        <f t="shared" ca="1" si="1201"/>
        <v>#NAME?</v>
      </c>
      <c r="AV143" s="23" t="e">
        <f ca="1">+'QTR Raw'!P78</f>
        <v>#NAME?</v>
      </c>
      <c r="AW143" s="23" t="e">
        <f t="shared" ca="1" si="1201"/>
        <v>#NAME?</v>
      </c>
      <c r="AX143" s="23" t="e">
        <f ca="1">+'QTR Raw'!R78</f>
        <v>#NAME?</v>
      </c>
      <c r="AY143" s="23" t="e">
        <f t="shared" ca="1" si="1201"/>
        <v>#NAME?</v>
      </c>
      <c r="AZ143" s="23" t="e">
        <f ca="1">+'QTR Raw'!T78</f>
        <v>#NAME?</v>
      </c>
      <c r="BA143" s="23" t="e">
        <f t="shared" ca="1" si="1201"/>
        <v>#NAME?</v>
      </c>
      <c r="BB143" s="23" t="e">
        <f ca="1">+'QTR Raw'!V78</f>
        <v>#NAME?</v>
      </c>
      <c r="BC143" s="23" t="e">
        <f t="shared" ca="1" si="1201"/>
        <v>#NAME?</v>
      </c>
      <c r="BD143" s="23" t="e">
        <f ca="1">+'QTR Raw'!X78</f>
        <v>#NAME?</v>
      </c>
      <c r="BE143" s="23" t="e">
        <f t="shared" ca="1" si="1201"/>
        <v>#NAME?</v>
      </c>
      <c r="BF143" s="23" t="e">
        <f ca="1">+'QTR Raw'!Z78</f>
        <v>#NAME?</v>
      </c>
      <c r="BG143" s="23" t="e">
        <f t="shared" ca="1" si="1201"/>
        <v>#NAME?</v>
      </c>
      <c r="BH143" s="23" t="e">
        <f ca="1">+'QTR Raw'!AB78</f>
        <v>#NAME?</v>
      </c>
      <c r="BI143" s="23" t="e">
        <f t="shared" ca="1" si="1201"/>
        <v>#NAME?</v>
      </c>
      <c r="BJ143" s="23" t="e">
        <f ca="1">+'QTR Raw'!AD78</f>
        <v>#NAME?</v>
      </c>
      <c r="BK143" s="23" t="e">
        <f t="shared" ca="1" si="1201"/>
        <v>#NAME?</v>
      </c>
      <c r="BL143" s="23" t="e">
        <f ca="1">+'QTR Raw'!AF78</f>
        <v>#NAME?</v>
      </c>
      <c r="BM143" s="23" t="e">
        <f t="shared" ca="1" si="1201"/>
        <v>#NAME?</v>
      </c>
      <c r="BN143" s="23" t="e">
        <f ca="1">+'QTR Raw'!AH78</f>
        <v>#NAME?</v>
      </c>
      <c r="BO143" s="23" t="e">
        <f t="shared" ca="1" si="1201"/>
        <v>#NAME?</v>
      </c>
      <c r="BP143" s="23" t="e">
        <f ca="1">+'QTR Raw'!AJ78</f>
        <v>#NAME?</v>
      </c>
      <c r="BQ143" s="23" t="e">
        <f t="shared" ca="1" si="1201"/>
        <v>#NAME?</v>
      </c>
      <c r="BR143" s="23" t="e">
        <f ca="1">+'QTR Raw'!AL78</f>
        <v>#NAME?</v>
      </c>
      <c r="BS143" s="23" t="e">
        <f t="shared" ca="1" si="1201"/>
        <v>#NAME?</v>
      </c>
      <c r="BT143" s="23" t="e">
        <f ca="1">+'QTR Raw'!AN78</f>
        <v>#NAME?</v>
      </c>
      <c r="BU143" s="23" t="e">
        <f t="shared" ca="1" si="1201"/>
        <v>#NAME?</v>
      </c>
      <c r="BV143" s="23" t="e">
        <f ca="1">+'QTR Raw'!AP78</f>
        <v>#NAME?</v>
      </c>
      <c r="BW143" s="23" t="e">
        <f t="shared" ca="1" si="1201"/>
        <v>#NAME?</v>
      </c>
      <c r="BX143" s="23" t="e">
        <f ca="1">+'QTR Raw'!AR78</f>
        <v>#NAME?</v>
      </c>
      <c r="BY143" s="23" t="e">
        <f t="shared" ca="1" si="1201"/>
        <v>#NAME?</v>
      </c>
      <c r="BZ143" s="23" t="e">
        <f ca="1">+'QTR Raw'!AT78</f>
        <v>#NAME?</v>
      </c>
      <c r="CA143" s="23" t="e">
        <f t="shared" ca="1" si="1201"/>
        <v>#NAME?</v>
      </c>
      <c r="CB143" s="23" t="e">
        <f ca="1">+'QTR Raw'!AV78</f>
        <v>#NAME?</v>
      </c>
      <c r="CC143" s="23" t="e">
        <f t="shared" ca="1" si="1201"/>
        <v>#NAME?</v>
      </c>
      <c r="CD143" s="23" t="e">
        <f ca="1">+'QTR Raw'!AX78</f>
        <v>#NAME?</v>
      </c>
      <c r="CE143" s="23" t="e">
        <f t="shared" ca="1" si="1201"/>
        <v>#NAME?</v>
      </c>
      <c r="CF143" s="23" t="e">
        <f ca="1">+'QTR Raw'!AZ78</f>
        <v>#NAME?</v>
      </c>
      <c r="CG143" s="23" t="e">
        <f t="shared" ca="1" si="1178"/>
        <v>#NAME?</v>
      </c>
      <c r="CH143" s="23" t="e">
        <f t="shared" ca="1" si="1179"/>
        <v>#NAME?</v>
      </c>
      <c r="CJ143" s="23" t="e">
        <f ca="1">+'QTR Raw'!BD78</f>
        <v>#NAME?</v>
      </c>
      <c r="CK143" s="24"/>
      <c r="CL143" s="23" t="e">
        <f ca="1">+'QTR Raw'!BF78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5552.68</v>
      </c>
    </row>
    <row r="144" spans="1:110" s="23" customFormat="1" outlineLevel="1" x14ac:dyDescent="0.2">
      <c r="A144" s="23" t="s">
        <v>60</v>
      </c>
      <c r="B144" s="23" t="e">
        <f ca="1">'Annual Raw'!C73+'Annual Raw'!C81</f>
        <v>#NAME?</v>
      </c>
      <c r="C144" s="23" t="e">
        <f ca="1">'Annual Raw'!D73+'Annual Raw'!D81</f>
        <v>#NAME?</v>
      </c>
      <c r="D144" s="23" t="e">
        <f ca="1">'Annual Raw'!E73+'Annual Raw'!E81</f>
        <v>#NAME?</v>
      </c>
      <c r="E144" s="23" t="e">
        <f ca="1">'Annual Raw'!F73+'Annual Raw'!F81</f>
        <v>#NAME?</v>
      </c>
      <c r="F144" s="23" t="e">
        <f ca="1">'Annual Raw'!G73+'Annual Raw'!G81</f>
        <v>#NAME?</v>
      </c>
      <c r="G144" s="23" t="e">
        <f ca="1">'Annual Raw'!H73+'Annual Raw'!H81</f>
        <v>#NAME?</v>
      </c>
      <c r="H144" s="23" t="e">
        <f ca="1">'Annual Raw'!I73+'Annual Raw'!I81</f>
        <v>#NAME?</v>
      </c>
      <c r="I144" s="23" t="e">
        <f ca="1">'Annual Raw'!J73+'Annual Raw'!J81</f>
        <v>#NAME?</v>
      </c>
      <c r="J144" s="23" t="e">
        <f ca="1">'Annual Raw'!K73+'Annual Raw'!K81</f>
        <v>#NAME?</v>
      </c>
      <c r="K144" s="23" t="e">
        <f ca="1">'Annual Raw'!L73+'Annual Raw'!L81</f>
        <v>#NAME?</v>
      </c>
      <c r="L144" s="23" t="e">
        <f ca="1">'Annual Raw'!M73+'Annual Raw'!M81</f>
        <v>#NAME?</v>
      </c>
      <c r="M144" s="23" t="e">
        <f ca="1">'Annual Raw'!N73+'Annual Raw'!N81</f>
        <v>#NAME?</v>
      </c>
      <c r="N144" s="23" t="e">
        <f ca="1">'Annual Raw'!O73+'Annual Raw'!O81</f>
        <v>#NAME?</v>
      </c>
      <c r="O144" s="23" t="e">
        <f ca="1">'Annual Raw'!P73+'Annual Raw'!P81</f>
        <v>#NAME?</v>
      </c>
      <c r="P144" s="23" t="e">
        <f ca="1">'Annual Raw'!Q73+'Annual Raw'!Q81</f>
        <v>#NAME?</v>
      </c>
      <c r="Q144" s="23" t="e">
        <f ca="1">'Annual Raw'!R73+'Annual Raw'!R81</f>
        <v>#NAME?</v>
      </c>
      <c r="R144" s="23" t="e">
        <f ca="1">'Annual Raw'!S73+'Annual Raw'!S81</f>
        <v>#NAME?</v>
      </c>
      <c r="S144" s="23" t="e">
        <f ca="1">'Annual Raw'!T73+'Annual Raw'!T81</f>
        <v>#NAME?</v>
      </c>
      <c r="T144" s="23" t="e">
        <f ca="1">'Annual Raw'!U73+'Annual Raw'!U81</f>
        <v>#NAME?</v>
      </c>
      <c r="U144" s="23" t="e">
        <f ca="1">'Annual Raw'!V73+'Annual Raw'!V81</f>
        <v>#NAME?</v>
      </c>
      <c r="V144" s="23" t="e">
        <f ca="1">'Annual Raw'!W73+'Annual Raw'!W81</f>
        <v>#NAME?</v>
      </c>
      <c r="W144" s="23" t="e">
        <f ca="1">'Annual Raw'!X73+'Annual Raw'!X81</f>
        <v>#NAME?</v>
      </c>
      <c r="X144" s="23" t="e">
        <f ca="1">'Annual Raw'!Y73+'Annual Raw'!Y81</f>
        <v>#NAME?</v>
      </c>
      <c r="Y144" s="23" t="e">
        <f ca="1">'Annual Raw'!Z73+'Annual Raw'!Z81</f>
        <v>#NAME?</v>
      </c>
      <c r="Z144" s="23" t="e">
        <f ca="1">'Annual Raw'!AA73+'Annual Raw'!AA81</f>
        <v>#NAME?</v>
      </c>
      <c r="AA144" s="23" t="e">
        <f ca="1">'Annual Raw'!AB73+'Annual Raw'!AB81</f>
        <v>#NAME?</v>
      </c>
      <c r="AB144" s="24">
        <f t="shared" si="1197"/>
        <v>0</v>
      </c>
      <c r="AC144" s="24">
        <f t="shared" si="1198"/>
        <v>0</v>
      </c>
      <c r="AD144" s="24">
        <f t="shared" si="1199"/>
        <v>0</v>
      </c>
      <c r="AE144" s="24">
        <f t="shared" si="1200"/>
        <v>0</v>
      </c>
      <c r="AJ144" s="23" t="e">
        <f ca="1">+'QTR Raw'!D79+'QTR Raw'!D76</f>
        <v>#NAME?</v>
      </c>
      <c r="AK144" s="23" t="e">
        <f t="shared" ca="1" si="1201"/>
        <v>#NAME?</v>
      </c>
      <c r="AL144" s="23" t="e">
        <f ca="1">+'QTR Raw'!F79+'QTR Raw'!F76</f>
        <v>#NAME?</v>
      </c>
      <c r="AM144" s="23" t="e">
        <f t="shared" ca="1" si="1201"/>
        <v>#NAME?</v>
      </c>
      <c r="AN144" s="23" t="e">
        <f ca="1">+'QTR Raw'!H79+'QTR Raw'!H76</f>
        <v>#NAME?</v>
      </c>
      <c r="AO144" s="23" t="e">
        <f t="shared" ca="1" si="1201"/>
        <v>#NAME?</v>
      </c>
      <c r="AP144" s="23" t="e">
        <f ca="1">+'QTR Raw'!J79+'QTR Raw'!J76</f>
        <v>#NAME?</v>
      </c>
      <c r="AQ144" s="23" t="e">
        <f t="shared" ca="1" si="1201"/>
        <v>#NAME?</v>
      </c>
      <c r="AR144" s="23" t="e">
        <f ca="1">+'QTR Raw'!L79+'QTR Raw'!L76</f>
        <v>#NAME?</v>
      </c>
      <c r="AS144" s="23" t="e">
        <f t="shared" ca="1" si="1201"/>
        <v>#NAME?</v>
      </c>
      <c r="AT144" s="23" t="e">
        <f ca="1">+'QTR Raw'!N79+'QTR Raw'!N76</f>
        <v>#NAME?</v>
      </c>
      <c r="AU144" s="23" t="e">
        <f t="shared" ca="1" si="1201"/>
        <v>#NAME?</v>
      </c>
      <c r="AV144" s="23" t="e">
        <f ca="1">+'QTR Raw'!P79+'QTR Raw'!P76</f>
        <v>#NAME?</v>
      </c>
      <c r="AW144" s="23" t="e">
        <f t="shared" ca="1" si="1201"/>
        <v>#NAME?</v>
      </c>
      <c r="AX144" s="23" t="e">
        <f ca="1">+'QTR Raw'!R79+'QTR Raw'!R76</f>
        <v>#NAME?</v>
      </c>
      <c r="AY144" s="23" t="e">
        <f t="shared" ca="1" si="1201"/>
        <v>#NAME?</v>
      </c>
      <c r="AZ144" s="23" t="e">
        <f ca="1">+'QTR Raw'!T79+'QTR Raw'!T76</f>
        <v>#NAME?</v>
      </c>
      <c r="BA144" s="23" t="e">
        <f t="shared" ca="1" si="1201"/>
        <v>#NAME?</v>
      </c>
      <c r="BB144" s="23" t="e">
        <f ca="1">+'QTR Raw'!V79+'QTR Raw'!V76</f>
        <v>#NAME?</v>
      </c>
      <c r="BC144" s="23" t="e">
        <f t="shared" ca="1" si="1201"/>
        <v>#NAME?</v>
      </c>
      <c r="BD144" s="23" t="e">
        <f ca="1">+'QTR Raw'!X79+'QTR Raw'!X76</f>
        <v>#NAME?</v>
      </c>
      <c r="BE144" s="23" t="e">
        <f t="shared" ca="1" si="1201"/>
        <v>#NAME?</v>
      </c>
      <c r="BF144" s="23" t="e">
        <f ca="1">+'QTR Raw'!Z79+'QTR Raw'!Z76</f>
        <v>#NAME?</v>
      </c>
      <c r="BG144" s="23" t="e">
        <f t="shared" ca="1" si="1201"/>
        <v>#NAME?</v>
      </c>
      <c r="BH144" s="23" t="e">
        <f ca="1">+'QTR Raw'!AB79+'QTR Raw'!AB76</f>
        <v>#NAME?</v>
      </c>
      <c r="BI144" s="23" t="e">
        <f t="shared" ca="1" si="1201"/>
        <v>#NAME?</v>
      </c>
      <c r="BJ144" s="23" t="e">
        <f ca="1">+'QTR Raw'!AD79+'QTR Raw'!AD76</f>
        <v>#NAME?</v>
      </c>
      <c r="BK144" s="23" t="e">
        <f t="shared" ca="1" si="1201"/>
        <v>#NAME?</v>
      </c>
      <c r="BL144" s="23" t="e">
        <f ca="1">+'QTR Raw'!AF79+'QTR Raw'!AF76</f>
        <v>#NAME?</v>
      </c>
      <c r="BM144" s="23" t="e">
        <f t="shared" ca="1" si="1201"/>
        <v>#NAME?</v>
      </c>
      <c r="BN144" s="23" t="e">
        <f ca="1">+'QTR Raw'!AH79+'QTR Raw'!AH76</f>
        <v>#NAME?</v>
      </c>
      <c r="BO144" s="23" t="e">
        <f t="shared" ca="1" si="1201"/>
        <v>#NAME?</v>
      </c>
      <c r="BP144" s="23" t="e">
        <f ca="1">+'QTR Raw'!AJ79+'QTR Raw'!AJ76</f>
        <v>#NAME?</v>
      </c>
      <c r="BQ144" s="23" t="e">
        <f t="shared" ca="1" si="1201"/>
        <v>#NAME?</v>
      </c>
      <c r="BR144" s="23" t="e">
        <f ca="1">+'QTR Raw'!AL79+'QTR Raw'!AL76</f>
        <v>#NAME?</v>
      </c>
      <c r="BS144" s="23" t="e">
        <f t="shared" ca="1" si="1201"/>
        <v>#NAME?</v>
      </c>
      <c r="BT144" s="23" t="e">
        <f ca="1">+'QTR Raw'!AN79+'QTR Raw'!AN76</f>
        <v>#NAME?</v>
      </c>
      <c r="BU144" s="23" t="e">
        <f t="shared" ca="1" si="1201"/>
        <v>#NAME?</v>
      </c>
      <c r="BV144" s="23" t="e">
        <f ca="1">+'QTR Raw'!AP79+'QTR Raw'!AP76</f>
        <v>#NAME?</v>
      </c>
      <c r="BW144" s="23" t="e">
        <f t="shared" ca="1" si="1201"/>
        <v>#NAME?</v>
      </c>
      <c r="BX144" s="23" t="e">
        <f ca="1">+'QTR Raw'!AR79+'QTR Raw'!AR76</f>
        <v>#NAME?</v>
      </c>
      <c r="BY144" s="23" t="e">
        <f t="shared" ca="1" si="1201"/>
        <v>#NAME?</v>
      </c>
      <c r="BZ144" s="23" t="e">
        <f ca="1">+'QTR Raw'!AT79+'QTR Raw'!AT76</f>
        <v>#NAME?</v>
      </c>
      <c r="CA144" s="23" t="e">
        <f t="shared" ca="1" si="1201"/>
        <v>#NAME?</v>
      </c>
      <c r="CB144" s="23" t="e">
        <f ca="1">+'QTR Raw'!AV79+'QTR Raw'!AV76</f>
        <v>#NAME?</v>
      </c>
      <c r="CC144" s="23" t="e">
        <f t="shared" ca="1" si="1201"/>
        <v>#NAME?</v>
      </c>
      <c r="CD144" s="23" t="e">
        <f ca="1">+'QTR Raw'!AX79+'QTR Raw'!AX76</f>
        <v>#NAME?</v>
      </c>
      <c r="CE144" s="23" t="e">
        <f t="shared" ca="1" si="1201"/>
        <v>#NAME?</v>
      </c>
      <c r="CF144" s="23" t="e">
        <f ca="1">+'QTR Raw'!AZ79+'QTR Raw'!AZ76</f>
        <v>#NAME?</v>
      </c>
      <c r="CG144" s="23" t="e">
        <f t="shared" ca="1" si="1178"/>
        <v>#NAME?</v>
      </c>
      <c r="CH144" s="23" t="e">
        <f t="shared" ca="1" si="1179"/>
        <v>#NAME?</v>
      </c>
      <c r="CJ144" s="23" t="e">
        <f ca="1">+'QTR Raw'!BD79+'QTR Raw'!BD76</f>
        <v>#NAME?</v>
      </c>
      <c r="CK144" s="24"/>
      <c r="CL144" s="23" t="e">
        <f ca="1">+'QTR Raw'!BF79+'QTR Raw'!BF76</f>
        <v>#NAME?</v>
      </c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3"/>
      <c r="DF144" s="23">
        <v>39196.160000000003</v>
      </c>
    </row>
    <row r="145" spans="1:110" s="23" customFormat="1" outlineLevel="1" x14ac:dyDescent="0.2">
      <c r="A145" s="23" t="s">
        <v>61</v>
      </c>
      <c r="B145" s="23" t="e">
        <f ca="1">'Annual Raw'!C76</f>
        <v>#NAME?</v>
      </c>
      <c r="C145" s="23" t="e">
        <f ca="1">'Annual Raw'!D76</f>
        <v>#NAME?</v>
      </c>
      <c r="D145" s="23" t="e">
        <f ca="1">'Annual Raw'!E76</f>
        <v>#NAME?</v>
      </c>
      <c r="E145" s="23" t="e">
        <f ca="1">'Annual Raw'!F76</f>
        <v>#NAME?</v>
      </c>
      <c r="F145" s="23" t="e">
        <f ca="1">'Annual Raw'!G76</f>
        <v>#NAME?</v>
      </c>
      <c r="G145" s="23" t="e">
        <f ca="1">'Annual Raw'!H76</f>
        <v>#NAME?</v>
      </c>
      <c r="H145" s="23" t="e">
        <f ca="1">'Annual Raw'!I76</f>
        <v>#NAME?</v>
      </c>
      <c r="I145" s="23" t="e">
        <f ca="1">'Annual Raw'!J76</f>
        <v>#NAME?</v>
      </c>
      <c r="J145" s="23" t="e">
        <f ca="1">'Annual Raw'!K76</f>
        <v>#NAME?</v>
      </c>
      <c r="K145" s="23" t="e">
        <f ca="1">'Annual Raw'!L76</f>
        <v>#NAME?</v>
      </c>
      <c r="L145" s="23" t="e">
        <f ca="1">'Annual Raw'!M76</f>
        <v>#NAME?</v>
      </c>
      <c r="M145" s="23" t="e">
        <f ca="1">'Annual Raw'!N76</f>
        <v>#NAME?</v>
      </c>
      <c r="N145" s="23" t="e">
        <f ca="1">'Annual Raw'!O76</f>
        <v>#NAME?</v>
      </c>
      <c r="O145" s="23" t="e">
        <f ca="1">'Annual Raw'!P76</f>
        <v>#NAME?</v>
      </c>
      <c r="P145" s="23" t="e">
        <f ca="1">'Annual Raw'!Q76</f>
        <v>#NAME?</v>
      </c>
      <c r="Q145" s="23" t="e">
        <f ca="1">'Annual Raw'!R76</f>
        <v>#NAME?</v>
      </c>
      <c r="R145" s="23" t="e">
        <f ca="1">'Annual Raw'!S76</f>
        <v>#NAME?</v>
      </c>
      <c r="S145" s="23" t="e">
        <f ca="1">'Annual Raw'!T76</f>
        <v>#NAME?</v>
      </c>
      <c r="T145" s="23" t="e">
        <f ca="1">'Annual Raw'!U76</f>
        <v>#NAME?</v>
      </c>
      <c r="U145" s="23" t="e">
        <f ca="1">'Annual Raw'!V76</f>
        <v>#NAME?</v>
      </c>
      <c r="V145" s="23" t="e">
        <f ca="1">'Annual Raw'!W76</f>
        <v>#NAME?</v>
      </c>
      <c r="W145" s="23" t="e">
        <f ca="1">'Annual Raw'!X76</f>
        <v>#NAME?</v>
      </c>
      <c r="X145" s="23" t="e">
        <f ca="1">'Annual Raw'!Y76</f>
        <v>#NAME?</v>
      </c>
      <c r="Y145" s="23" t="e">
        <f ca="1">'Annual Raw'!Z76</f>
        <v>#NAME?</v>
      </c>
      <c r="Z145" s="23" t="e">
        <f ca="1">'Annual Raw'!AA76</f>
        <v>#NAME?</v>
      </c>
      <c r="AA145" s="23" t="e">
        <f ca="1">'Annual Raw'!AB76</f>
        <v>#NAME?</v>
      </c>
      <c r="AB145" s="24" t="e">
        <f t="shared" ca="1" si="1197"/>
        <v>#NAME?</v>
      </c>
      <c r="AC145" s="24" t="e">
        <f t="shared" ca="1" si="1198"/>
        <v>#NAME?</v>
      </c>
      <c r="AD145" s="24" t="e">
        <f t="shared" ca="1" si="1199"/>
        <v>#NAME?</v>
      </c>
      <c r="AE145" s="24" t="e">
        <f t="shared" ca="1" si="1200"/>
        <v>#NAME?</v>
      </c>
      <c r="AJ145" s="23" t="e">
        <f ca="1">+'QTR Raw'!D81</f>
        <v>#NAME?</v>
      </c>
      <c r="AK145" s="23" t="e">
        <f ca="1">+AK180*AK10/90</f>
        <v>#NAME?</v>
      </c>
      <c r="AL145" s="23" t="e">
        <f ca="1">+'QTR Raw'!F81</f>
        <v>#NAME?</v>
      </c>
      <c r="AM145" s="23" t="e">
        <f ca="1">+AM180*AM10/90</f>
        <v>#NAME?</v>
      </c>
      <c r="AN145" s="23" t="e">
        <f ca="1">+'QTR Raw'!H81</f>
        <v>#NAME?</v>
      </c>
      <c r="AO145" s="23" t="e">
        <f ca="1">+AO180*AO10/90</f>
        <v>#NAME?</v>
      </c>
      <c r="AP145" s="23" t="e">
        <f ca="1">+'QTR Raw'!J81</f>
        <v>#NAME?</v>
      </c>
      <c r="AQ145" s="23" t="e">
        <f ca="1">+AQ180*AQ10/90</f>
        <v>#NAME?</v>
      </c>
      <c r="AR145" s="23" t="e">
        <f ca="1">+'QTR Raw'!L81</f>
        <v>#NAME?</v>
      </c>
      <c r="AS145" s="23" t="e">
        <f ca="1">+AS180*AS10/90</f>
        <v>#NAME?</v>
      </c>
      <c r="AT145" s="23" t="e">
        <f ca="1">+'QTR Raw'!N81</f>
        <v>#NAME?</v>
      </c>
      <c r="AU145" s="23" t="e">
        <f ca="1">+AU180*AU10/90</f>
        <v>#NAME?</v>
      </c>
      <c r="AV145" s="23" t="e">
        <f ca="1">+'QTR Raw'!P81</f>
        <v>#NAME?</v>
      </c>
      <c r="AW145" s="23" t="e">
        <f ca="1">+AW180*AW10/90</f>
        <v>#NAME?</v>
      </c>
      <c r="AX145" s="23" t="e">
        <f ca="1">+'QTR Raw'!R81</f>
        <v>#NAME?</v>
      </c>
      <c r="AY145" s="23" t="e">
        <f ca="1">+AY180*AY10/90</f>
        <v>#NAME?</v>
      </c>
      <c r="AZ145" s="23" t="e">
        <f ca="1">+'QTR Raw'!T81</f>
        <v>#NAME?</v>
      </c>
      <c r="BA145" s="23" t="e">
        <f ca="1">+BA180*BA10/90</f>
        <v>#NAME?</v>
      </c>
      <c r="BB145" s="23" t="e">
        <f ca="1">+'QTR Raw'!V81</f>
        <v>#NAME?</v>
      </c>
      <c r="BC145" s="23" t="e">
        <f ca="1">+BC180*BC10/90</f>
        <v>#NAME?</v>
      </c>
      <c r="BD145" s="23" t="e">
        <f ca="1">+'QTR Raw'!X81</f>
        <v>#NAME?</v>
      </c>
      <c r="BE145" s="23" t="e">
        <f ca="1">+BE180*BE10/90</f>
        <v>#NAME?</v>
      </c>
      <c r="BF145" s="23" t="e">
        <f ca="1">+'QTR Raw'!Z81</f>
        <v>#NAME?</v>
      </c>
      <c r="BG145" s="23" t="e">
        <f ca="1">+BG180*BG10/90</f>
        <v>#NAME?</v>
      </c>
      <c r="BH145" s="23" t="e">
        <f ca="1">+'QTR Raw'!AB81</f>
        <v>#NAME?</v>
      </c>
      <c r="BI145" s="23" t="e">
        <f ca="1">+BI180*BI10/90</f>
        <v>#NAME?</v>
      </c>
      <c r="BJ145" s="23" t="e">
        <f ca="1">+'QTR Raw'!AD81</f>
        <v>#NAME?</v>
      </c>
      <c r="BK145" s="23" t="e">
        <f ca="1">+BK180*BK10/90</f>
        <v>#NAME?</v>
      </c>
      <c r="BL145" s="23" t="e">
        <f ca="1">+'QTR Raw'!AF81</f>
        <v>#NAME?</v>
      </c>
      <c r="BM145" s="23" t="e">
        <f ca="1">+BM180*BM10/90</f>
        <v>#NAME?</v>
      </c>
      <c r="BN145" s="23" t="e">
        <f ca="1">+'QTR Raw'!AH81</f>
        <v>#NAME?</v>
      </c>
      <c r="BO145" s="23" t="e">
        <f ca="1">+BO180*BO10/90</f>
        <v>#NAME?</v>
      </c>
      <c r="BP145" s="23" t="e">
        <f ca="1">+'QTR Raw'!AJ81</f>
        <v>#NAME?</v>
      </c>
      <c r="BQ145" s="23" t="e">
        <f ca="1">+BQ180*BQ10/90</f>
        <v>#NAME?</v>
      </c>
      <c r="BR145" s="23" t="e">
        <f ca="1">+'QTR Raw'!AL81</f>
        <v>#NAME?</v>
      </c>
      <c r="BS145" s="23" t="e">
        <f ca="1">+BS180*BS10/90</f>
        <v>#NAME?</v>
      </c>
      <c r="BT145" s="23" t="e">
        <f ca="1">+'QTR Raw'!AN81</f>
        <v>#NAME?</v>
      </c>
      <c r="BU145" s="23" t="e">
        <f ca="1">+BU180*BU10/90</f>
        <v>#NAME?</v>
      </c>
      <c r="BV145" s="23" t="e">
        <f ca="1">+'QTR Raw'!AP81</f>
        <v>#NAME?</v>
      </c>
      <c r="BW145" s="23" t="e">
        <f ca="1">+BW180*BW10/90</f>
        <v>#NAME?</v>
      </c>
      <c r="BX145" s="23" t="e">
        <f ca="1">+'QTR Raw'!AR81</f>
        <v>#NAME?</v>
      </c>
      <c r="BY145" s="23" t="e">
        <f ca="1">+BY180*BY10/90</f>
        <v>#NAME?</v>
      </c>
      <c r="BZ145" s="23" t="e">
        <f ca="1">+'QTR Raw'!AT81</f>
        <v>#NAME?</v>
      </c>
      <c r="CA145" s="23" t="e">
        <f ca="1">+CA180*CA10/90</f>
        <v>#NAME?</v>
      </c>
      <c r="CB145" s="23" t="e">
        <f ca="1">+'QTR Raw'!AV81</f>
        <v>#NAME?</v>
      </c>
      <c r="CC145" s="23" t="e">
        <f ca="1">+CC180*CC10/90</f>
        <v>#NAME?</v>
      </c>
      <c r="CD145" s="23" t="e">
        <f ca="1">+'QTR Raw'!AX81</f>
        <v>#NAME?</v>
      </c>
      <c r="CE145" s="23" t="e">
        <f ca="1">+CE180*CE10/90</f>
        <v>#NAME?</v>
      </c>
      <c r="CF145" s="23" t="e">
        <f ca="1">+'QTR Raw'!AZ81</f>
        <v>#NAME?</v>
      </c>
      <c r="CG145" s="23" t="e">
        <f ca="1">+CG180*CG10/90</f>
        <v>#NAME?</v>
      </c>
      <c r="CH145" s="23" t="e">
        <f t="shared" ca="1" si="1179"/>
        <v>#NAME?</v>
      </c>
      <c r="CI145" s="23" t="e">
        <f ca="1">+CI180*CI10/90</f>
        <v>#NAME?</v>
      </c>
      <c r="CJ145" s="23" t="e">
        <f ca="1">+'QTR Raw'!BD81</f>
        <v>#NAME?</v>
      </c>
      <c r="CK145" s="24" t="e">
        <f t="shared" ref="CK145:DB145" ca="1" si="1202">+CK180*CK10/90</f>
        <v>#NAME?</v>
      </c>
      <c r="CL145" s="23" t="e">
        <f ca="1">+'QTR Raw'!BF81</f>
        <v>#NAME?</v>
      </c>
      <c r="CM145" s="24" t="e">
        <f t="shared" ca="1" si="1202"/>
        <v>#NAME?</v>
      </c>
      <c r="CN145" s="24" t="e">
        <f t="shared" ca="1" si="1202"/>
        <v>#NAME?</v>
      </c>
      <c r="CO145" s="24" t="e">
        <f t="shared" ca="1" si="1202"/>
        <v>#NAME?</v>
      </c>
      <c r="CP145" s="24" t="e">
        <f t="shared" ca="1" si="1202"/>
        <v>#NAME?</v>
      </c>
      <c r="CQ145" s="24" t="e">
        <f t="shared" ca="1" si="1202"/>
        <v>#NAME?</v>
      </c>
      <c r="CR145" s="24" t="e">
        <f t="shared" ca="1" si="1202"/>
        <v>#NAME?</v>
      </c>
      <c r="CS145" s="24" t="e">
        <f t="shared" ca="1" si="1202"/>
        <v>#NAME?</v>
      </c>
      <c r="CT145" s="24" t="e">
        <f t="shared" ca="1" si="1202"/>
        <v>#NAME?</v>
      </c>
      <c r="CU145" s="24" t="e">
        <f t="shared" ca="1" si="1202"/>
        <v>#NAME?</v>
      </c>
      <c r="CV145" s="24" t="e">
        <f t="shared" ca="1" si="1202"/>
        <v>#NAME?</v>
      </c>
      <c r="CW145" s="24" t="e">
        <f t="shared" ca="1" si="1202"/>
        <v>#NAME?</v>
      </c>
      <c r="CX145" s="24" t="e">
        <f t="shared" ca="1" si="1202"/>
        <v>#NAME?</v>
      </c>
      <c r="CY145" s="24" t="e">
        <f t="shared" ca="1" si="1202"/>
        <v>#NAME?</v>
      </c>
      <c r="CZ145" s="24" t="e">
        <f t="shared" ca="1" si="1202"/>
        <v>#NAME?</v>
      </c>
      <c r="DA145" s="24" t="e">
        <f t="shared" ca="1" si="1202"/>
        <v>#NAME?</v>
      </c>
      <c r="DB145" s="24" t="e">
        <f t="shared" ca="1" si="1202"/>
        <v>#NAME?</v>
      </c>
      <c r="DE145" s="123"/>
      <c r="DF145" s="23">
        <v>18712.98</v>
      </c>
    </row>
    <row r="146" spans="1:110" s="23" customFormat="1" outlineLevel="1" x14ac:dyDescent="0.2">
      <c r="A146" s="23" t="s">
        <v>62</v>
      </c>
      <c r="B146" s="23" t="e">
        <f ca="1">'Annual Raw'!C77</f>
        <v>#NAME?</v>
      </c>
      <c r="C146" s="23" t="e">
        <f ca="1">'Annual Raw'!D77</f>
        <v>#NAME?</v>
      </c>
      <c r="D146" s="23" t="e">
        <f ca="1">'Annual Raw'!E77</f>
        <v>#NAME?</v>
      </c>
      <c r="E146" s="23" t="e">
        <f ca="1">'Annual Raw'!F77</f>
        <v>#NAME?</v>
      </c>
      <c r="F146" s="23" t="e">
        <f ca="1">'Annual Raw'!G77</f>
        <v>#NAME?</v>
      </c>
      <c r="G146" s="23" t="e">
        <f ca="1">'Annual Raw'!H77</f>
        <v>#NAME?</v>
      </c>
      <c r="H146" s="23" t="e">
        <f ca="1">'Annual Raw'!I77</f>
        <v>#NAME?</v>
      </c>
      <c r="I146" s="23" t="e">
        <f ca="1">'Annual Raw'!J77</f>
        <v>#NAME?</v>
      </c>
      <c r="J146" s="23" t="e">
        <f ca="1">'Annual Raw'!K77</f>
        <v>#NAME?</v>
      </c>
      <c r="K146" s="23" t="e">
        <f ca="1">'Annual Raw'!L77</f>
        <v>#NAME?</v>
      </c>
      <c r="L146" s="23" t="e">
        <f ca="1">'Annual Raw'!M77</f>
        <v>#NAME?</v>
      </c>
      <c r="M146" s="23" t="e">
        <f ca="1">'Annual Raw'!N77</f>
        <v>#NAME?</v>
      </c>
      <c r="N146" s="23" t="e">
        <f ca="1">'Annual Raw'!O77</f>
        <v>#NAME?</v>
      </c>
      <c r="O146" s="23" t="e">
        <f ca="1">'Annual Raw'!P77</f>
        <v>#NAME?</v>
      </c>
      <c r="P146" s="23" t="e">
        <f ca="1">'Annual Raw'!Q77</f>
        <v>#NAME?</v>
      </c>
      <c r="Q146" s="23" t="e">
        <f ca="1">'Annual Raw'!R77</f>
        <v>#NAME?</v>
      </c>
      <c r="R146" s="23" t="e">
        <f ca="1">'Annual Raw'!S77</f>
        <v>#NAME?</v>
      </c>
      <c r="S146" s="23" t="e">
        <f ca="1">'Annual Raw'!T77</f>
        <v>#NAME?</v>
      </c>
      <c r="T146" s="23" t="e">
        <f ca="1">'Annual Raw'!U77</f>
        <v>#NAME?</v>
      </c>
      <c r="U146" s="23" t="e">
        <f ca="1">'Annual Raw'!V77</f>
        <v>#NAME?</v>
      </c>
      <c r="V146" s="23" t="e">
        <f ca="1">'Annual Raw'!W77</f>
        <v>#NAME?</v>
      </c>
      <c r="W146" s="23" t="e">
        <f ca="1">'Annual Raw'!X77</f>
        <v>#NAME?</v>
      </c>
      <c r="X146" s="23" t="e">
        <f ca="1">'Annual Raw'!Y77</f>
        <v>#NAME?</v>
      </c>
      <c r="Y146" s="23" t="e">
        <f ca="1">'Annual Raw'!Z77</f>
        <v>#NAME?</v>
      </c>
      <c r="Z146" s="23" t="e">
        <f ca="1">'Annual Raw'!AA77</f>
        <v>#NAME?</v>
      </c>
      <c r="AA146" s="23" t="e">
        <f ca="1">'Annual Raw'!AB77</f>
        <v>#NAME?</v>
      </c>
      <c r="AB146" s="24" t="e">
        <f t="shared" ca="1" si="1197"/>
        <v>#NAME?</v>
      </c>
      <c r="AC146" s="24" t="e">
        <f t="shared" ca="1" si="1198"/>
        <v>#NAME?</v>
      </c>
      <c r="AD146" s="24" t="e">
        <f t="shared" ca="1" si="1199"/>
        <v>#NAME?</v>
      </c>
      <c r="AE146" s="24" t="e">
        <f t="shared" ca="1" si="1200"/>
        <v>#NAME?</v>
      </c>
      <c r="AJ146" s="23" t="e">
        <f ca="1">+'QTR Raw'!D82</f>
        <v>#NAME?</v>
      </c>
      <c r="AK146" s="23" t="e">
        <f ca="1">+AK181*AK10/90</f>
        <v>#NAME?</v>
      </c>
      <c r="AL146" s="23" t="e">
        <f ca="1">+'QTR Raw'!F82</f>
        <v>#NAME?</v>
      </c>
      <c r="AM146" s="23" t="e">
        <f ca="1">+AM181*AM10/90</f>
        <v>#NAME?</v>
      </c>
      <c r="AN146" s="23" t="e">
        <f ca="1">+'QTR Raw'!H82</f>
        <v>#NAME?</v>
      </c>
      <c r="AO146" s="23" t="e">
        <f ca="1">+AO181*AO10/90</f>
        <v>#NAME?</v>
      </c>
      <c r="AP146" s="23" t="e">
        <f ca="1">+'QTR Raw'!J82</f>
        <v>#NAME?</v>
      </c>
      <c r="AQ146" s="23" t="e">
        <f ca="1">+AQ181*AQ10/90</f>
        <v>#NAME?</v>
      </c>
      <c r="AR146" s="23" t="e">
        <f ca="1">+'QTR Raw'!L82</f>
        <v>#NAME?</v>
      </c>
      <c r="AS146" s="23" t="e">
        <f ca="1">+AS181*AS10/90</f>
        <v>#NAME?</v>
      </c>
      <c r="AT146" s="23" t="e">
        <f ca="1">+'QTR Raw'!N82</f>
        <v>#NAME?</v>
      </c>
      <c r="AU146" s="23" t="e">
        <f ca="1">+AU181*AU10/90</f>
        <v>#NAME?</v>
      </c>
      <c r="AV146" s="23" t="e">
        <f ca="1">+'QTR Raw'!P82</f>
        <v>#NAME?</v>
      </c>
      <c r="AW146" s="23" t="e">
        <f ca="1">+AW181*AW10/90</f>
        <v>#NAME?</v>
      </c>
      <c r="AX146" s="23" t="e">
        <f ca="1">+'QTR Raw'!R82</f>
        <v>#NAME?</v>
      </c>
      <c r="AY146" s="23" t="e">
        <f ca="1">+AY181*AY10/90</f>
        <v>#NAME?</v>
      </c>
      <c r="AZ146" s="23" t="e">
        <f ca="1">+'QTR Raw'!T82</f>
        <v>#NAME?</v>
      </c>
      <c r="BA146" s="23" t="e">
        <f ca="1">+BA181*BA10/90</f>
        <v>#NAME?</v>
      </c>
      <c r="BB146" s="23" t="e">
        <f ca="1">+'QTR Raw'!V82</f>
        <v>#NAME?</v>
      </c>
      <c r="BC146" s="23" t="e">
        <f ca="1">+BC181*BC10/90</f>
        <v>#NAME?</v>
      </c>
      <c r="BD146" s="23" t="e">
        <f ca="1">+'QTR Raw'!X82</f>
        <v>#NAME?</v>
      </c>
      <c r="BE146" s="23" t="e">
        <f ca="1">+BE181*BE10/90</f>
        <v>#NAME?</v>
      </c>
      <c r="BF146" s="23" t="e">
        <f ca="1">+'QTR Raw'!Z82</f>
        <v>#NAME?</v>
      </c>
      <c r="BG146" s="23" t="e">
        <f ca="1">+BG181*BG10/90</f>
        <v>#NAME?</v>
      </c>
      <c r="BH146" s="23" t="e">
        <f ca="1">+'QTR Raw'!AB82</f>
        <v>#NAME?</v>
      </c>
      <c r="BI146" s="23" t="e">
        <f ca="1">+BI181*BI10/90</f>
        <v>#NAME?</v>
      </c>
      <c r="BJ146" s="23" t="e">
        <f ca="1">+'QTR Raw'!AD82</f>
        <v>#NAME?</v>
      </c>
      <c r="BK146" s="23" t="e">
        <f ca="1">+BK181*BK10/90</f>
        <v>#NAME?</v>
      </c>
      <c r="BL146" s="23" t="e">
        <f ca="1">+'QTR Raw'!AF82</f>
        <v>#NAME?</v>
      </c>
      <c r="BM146" s="23" t="e">
        <f ca="1">+BM181*BM10/90</f>
        <v>#NAME?</v>
      </c>
      <c r="BN146" s="23" t="e">
        <f ca="1">+'QTR Raw'!AH82</f>
        <v>#NAME?</v>
      </c>
      <c r="BO146" s="23" t="e">
        <f ca="1">+BO181*BO10/90</f>
        <v>#NAME?</v>
      </c>
      <c r="BP146" s="23" t="e">
        <f ca="1">+'QTR Raw'!AJ82</f>
        <v>#NAME?</v>
      </c>
      <c r="BQ146" s="23" t="e">
        <f ca="1">+BQ181*BQ10/90</f>
        <v>#NAME?</v>
      </c>
      <c r="BR146" s="23" t="e">
        <f ca="1">+'QTR Raw'!AL82</f>
        <v>#NAME?</v>
      </c>
      <c r="BS146" s="23" t="e">
        <f ca="1">+BS181*BS10/90</f>
        <v>#NAME?</v>
      </c>
      <c r="BT146" s="23" t="e">
        <f ca="1">+'QTR Raw'!AN82</f>
        <v>#NAME?</v>
      </c>
      <c r="BU146" s="23" t="e">
        <f ca="1">+BU181*BU10/90</f>
        <v>#NAME?</v>
      </c>
      <c r="BV146" s="23" t="e">
        <f ca="1">+'QTR Raw'!AP82</f>
        <v>#NAME?</v>
      </c>
      <c r="BW146" s="23" t="e">
        <f ca="1">+BW181*BW10/90</f>
        <v>#NAME?</v>
      </c>
      <c r="BX146" s="23" t="e">
        <f ca="1">+'QTR Raw'!AR82</f>
        <v>#NAME?</v>
      </c>
      <c r="BY146" s="23" t="e">
        <f ca="1">+BY181*BY10/90</f>
        <v>#NAME?</v>
      </c>
      <c r="BZ146" s="23" t="e">
        <f ca="1">+'QTR Raw'!AT82</f>
        <v>#NAME?</v>
      </c>
      <c r="CA146" s="23" t="e">
        <f ca="1">+CA181*CA10/90</f>
        <v>#NAME?</v>
      </c>
      <c r="CB146" s="23" t="e">
        <f ca="1">+'QTR Raw'!AV82</f>
        <v>#NAME?</v>
      </c>
      <c r="CC146" s="23" t="e">
        <f ca="1">+CC181*CC10/90</f>
        <v>#NAME?</v>
      </c>
      <c r="CD146" s="23" t="e">
        <f ca="1">+'QTR Raw'!AX82</f>
        <v>#NAME?</v>
      </c>
      <c r="CE146" s="23" t="e">
        <f ca="1">+CE181*CE10/90</f>
        <v>#NAME?</v>
      </c>
      <c r="CF146" s="23" t="e">
        <f ca="1">+'QTR Raw'!AZ82</f>
        <v>#NAME?</v>
      </c>
      <c r="CG146" s="23" t="e">
        <f ca="1">+CG181*CG10/90</f>
        <v>#NAME?</v>
      </c>
      <c r="CH146" s="23" t="e">
        <f t="shared" ca="1" si="1179"/>
        <v>#NAME?</v>
      </c>
      <c r="CI146" s="23" t="e">
        <f ca="1">+CI181*CI10/90</f>
        <v>#NAME?</v>
      </c>
      <c r="CJ146" s="23" t="e">
        <f ca="1">+'QTR Raw'!BD82</f>
        <v>#NAME?</v>
      </c>
      <c r="CK146" s="24" t="e">
        <f t="shared" ref="CK146:DB146" ca="1" si="1203">+CK181*CK10/90</f>
        <v>#NAME?</v>
      </c>
      <c r="CL146" s="23" t="e">
        <f ca="1">+'QTR Raw'!BF82</f>
        <v>#NAME?</v>
      </c>
      <c r="CM146" s="24" t="e">
        <f t="shared" ca="1" si="1203"/>
        <v>#NAME?</v>
      </c>
      <c r="CN146" s="24" t="e">
        <f t="shared" ca="1" si="1203"/>
        <v>#NAME?</v>
      </c>
      <c r="CO146" s="24" t="e">
        <f t="shared" ca="1" si="1203"/>
        <v>#NAME?</v>
      </c>
      <c r="CP146" s="24" t="e">
        <f t="shared" ca="1" si="1203"/>
        <v>#NAME?</v>
      </c>
      <c r="CQ146" s="24" t="e">
        <f t="shared" ca="1" si="1203"/>
        <v>#NAME?</v>
      </c>
      <c r="CR146" s="24" t="e">
        <f t="shared" ca="1" si="1203"/>
        <v>#NAME?</v>
      </c>
      <c r="CS146" s="24" t="e">
        <f t="shared" ca="1" si="1203"/>
        <v>#NAME?</v>
      </c>
      <c r="CT146" s="24" t="e">
        <f t="shared" ca="1" si="1203"/>
        <v>#NAME?</v>
      </c>
      <c r="CU146" s="24" t="e">
        <f t="shared" ca="1" si="1203"/>
        <v>#NAME?</v>
      </c>
      <c r="CV146" s="24" t="e">
        <f t="shared" ca="1" si="1203"/>
        <v>#NAME?</v>
      </c>
      <c r="CW146" s="24" t="e">
        <f t="shared" ca="1" si="1203"/>
        <v>#NAME?</v>
      </c>
      <c r="CX146" s="24" t="e">
        <f t="shared" ca="1" si="1203"/>
        <v>#NAME?</v>
      </c>
      <c r="CY146" s="24" t="e">
        <f t="shared" ca="1" si="1203"/>
        <v>#NAME?</v>
      </c>
      <c r="CZ146" s="24" t="e">
        <f t="shared" ca="1" si="1203"/>
        <v>#NAME?</v>
      </c>
      <c r="DA146" s="24" t="e">
        <f t="shared" ca="1" si="1203"/>
        <v>#NAME?</v>
      </c>
      <c r="DB146" s="24" t="e">
        <f t="shared" ca="1" si="1203"/>
        <v>#NAME?</v>
      </c>
      <c r="DE146" s="123"/>
      <c r="DF146" s="23">
        <v>12542.61</v>
      </c>
    </row>
    <row r="147" spans="1:110" s="23" customFormat="1" outlineLevel="1" x14ac:dyDescent="0.2">
      <c r="A147" s="23" t="s">
        <v>63</v>
      </c>
      <c r="B147" s="23" t="e">
        <f ca="1">'Annual Raw'!C79</f>
        <v>#NAME?</v>
      </c>
      <c r="C147" s="23" t="e">
        <f ca="1">'Annual Raw'!D79</f>
        <v>#NAME?</v>
      </c>
      <c r="D147" s="23" t="e">
        <f ca="1">'Annual Raw'!E79</f>
        <v>#NAME?</v>
      </c>
      <c r="E147" s="23" t="e">
        <f ca="1">'Annual Raw'!F79</f>
        <v>#NAME?</v>
      </c>
      <c r="F147" s="23" t="e">
        <f ca="1">'Annual Raw'!G79</f>
        <v>#NAME?</v>
      </c>
      <c r="G147" s="23" t="e">
        <f ca="1">'Annual Raw'!H79</f>
        <v>#NAME?</v>
      </c>
      <c r="H147" s="23" t="e">
        <f ca="1">'Annual Raw'!I79</f>
        <v>#NAME?</v>
      </c>
      <c r="I147" s="23" t="e">
        <f ca="1">'Annual Raw'!J79</f>
        <v>#NAME?</v>
      </c>
      <c r="J147" s="23" t="e">
        <f ca="1">'Annual Raw'!K79</f>
        <v>#NAME?</v>
      </c>
      <c r="K147" s="23" t="e">
        <f ca="1">'Annual Raw'!L79</f>
        <v>#NAME?</v>
      </c>
      <c r="L147" s="23" t="e">
        <f ca="1">'Annual Raw'!M79</f>
        <v>#NAME?</v>
      </c>
      <c r="M147" s="23" t="e">
        <f ca="1">'Annual Raw'!N79</f>
        <v>#NAME?</v>
      </c>
      <c r="N147" s="23" t="e">
        <f ca="1">'Annual Raw'!O79</f>
        <v>#NAME?</v>
      </c>
      <c r="O147" s="23" t="e">
        <f ca="1">'Annual Raw'!P79</f>
        <v>#NAME?</v>
      </c>
      <c r="P147" s="23" t="e">
        <f ca="1">'Annual Raw'!Q79</f>
        <v>#NAME?</v>
      </c>
      <c r="Q147" s="23" t="e">
        <f ca="1">'Annual Raw'!R79</f>
        <v>#NAME?</v>
      </c>
      <c r="R147" s="23" t="e">
        <f ca="1">'Annual Raw'!S79</f>
        <v>#NAME?</v>
      </c>
      <c r="S147" s="23" t="e">
        <f ca="1">'Annual Raw'!T79</f>
        <v>#NAME?</v>
      </c>
      <c r="T147" s="23" t="e">
        <f ca="1">'Annual Raw'!U79</f>
        <v>#NAME?</v>
      </c>
      <c r="U147" s="23" t="e">
        <f ca="1">'Annual Raw'!V79</f>
        <v>#NAME?</v>
      </c>
      <c r="V147" s="23" t="e">
        <f ca="1">'Annual Raw'!W79</f>
        <v>#NAME?</v>
      </c>
      <c r="W147" s="23" t="e">
        <f ca="1">'Annual Raw'!X79</f>
        <v>#NAME?</v>
      </c>
      <c r="X147" s="23" t="e">
        <f ca="1">'Annual Raw'!Y79</f>
        <v>#NAME?</v>
      </c>
      <c r="Y147" s="23" t="e">
        <f ca="1">'Annual Raw'!Z79</f>
        <v>#NAME?</v>
      </c>
      <c r="Z147" s="23" t="e">
        <f ca="1">'Annual Raw'!AA79</f>
        <v>#NAME?</v>
      </c>
      <c r="AA147" s="23" t="e">
        <f ca="1">'Annual Raw'!AB79</f>
        <v>#NAME?</v>
      </c>
      <c r="AB147" s="24" t="e">
        <f t="shared" ca="1" si="1197"/>
        <v>#NAME?</v>
      </c>
      <c r="AC147" s="24" t="e">
        <f t="shared" ca="1" si="1198"/>
        <v>#NAME?</v>
      </c>
      <c r="AD147" s="24" t="e">
        <f t="shared" ca="1" si="1199"/>
        <v>#NAME?</v>
      </c>
      <c r="AE147" s="24" t="e">
        <f t="shared" ca="1" si="1200"/>
        <v>#NAME?</v>
      </c>
      <c r="AJ147" s="23" t="e">
        <f ca="1">+'QTR Raw'!D84</f>
        <v>#NAME?</v>
      </c>
      <c r="AK147" s="23" t="e">
        <f t="shared" ca="1" si="1201"/>
        <v>#NAME?</v>
      </c>
      <c r="AL147" s="23" t="e">
        <f ca="1">+'QTR Raw'!F84</f>
        <v>#NAME?</v>
      </c>
      <c r="AM147" s="23" t="e">
        <f t="shared" ca="1" si="1201"/>
        <v>#NAME?</v>
      </c>
      <c r="AN147" s="23" t="e">
        <f ca="1">+'QTR Raw'!H84</f>
        <v>#NAME?</v>
      </c>
      <c r="AO147" s="23" t="e">
        <f t="shared" ca="1" si="1201"/>
        <v>#NAME?</v>
      </c>
      <c r="AP147" s="23" t="e">
        <f ca="1">+'QTR Raw'!J84</f>
        <v>#NAME?</v>
      </c>
      <c r="AQ147" s="23" t="e">
        <f t="shared" ca="1" si="1201"/>
        <v>#NAME?</v>
      </c>
      <c r="AR147" s="23" t="e">
        <f ca="1">+'QTR Raw'!L84</f>
        <v>#NAME?</v>
      </c>
      <c r="AS147" s="23" t="e">
        <f t="shared" ca="1" si="1201"/>
        <v>#NAME?</v>
      </c>
      <c r="AT147" s="23" t="e">
        <f ca="1">+'QTR Raw'!N84</f>
        <v>#NAME?</v>
      </c>
      <c r="AU147" s="23" t="e">
        <f t="shared" ca="1" si="1201"/>
        <v>#NAME?</v>
      </c>
      <c r="AV147" s="23" t="e">
        <f ca="1">+'QTR Raw'!P84</f>
        <v>#NAME?</v>
      </c>
      <c r="AW147" s="23" t="e">
        <f t="shared" ca="1" si="1201"/>
        <v>#NAME?</v>
      </c>
      <c r="AX147" s="23" t="e">
        <f ca="1">+'QTR Raw'!R84</f>
        <v>#NAME?</v>
      </c>
      <c r="AY147" s="23" t="e">
        <f t="shared" ca="1" si="1201"/>
        <v>#NAME?</v>
      </c>
      <c r="AZ147" s="23" t="e">
        <f ca="1">+'QTR Raw'!T84</f>
        <v>#NAME?</v>
      </c>
      <c r="BA147" s="23" t="e">
        <f t="shared" ca="1" si="1201"/>
        <v>#NAME?</v>
      </c>
      <c r="BB147" s="23" t="e">
        <f ca="1">+'QTR Raw'!V84</f>
        <v>#NAME?</v>
      </c>
      <c r="BC147" s="23" t="e">
        <f t="shared" ca="1" si="1201"/>
        <v>#NAME?</v>
      </c>
      <c r="BD147" s="23" t="e">
        <f ca="1">+'QTR Raw'!X84</f>
        <v>#NAME?</v>
      </c>
      <c r="BE147" s="23" t="e">
        <f t="shared" ca="1" si="1201"/>
        <v>#NAME?</v>
      </c>
      <c r="BF147" s="23" t="e">
        <f ca="1">+'QTR Raw'!Z84</f>
        <v>#NAME?</v>
      </c>
      <c r="BG147" s="23" t="e">
        <f t="shared" ca="1" si="1201"/>
        <v>#NAME?</v>
      </c>
      <c r="BH147" s="23" t="e">
        <f ca="1">+'QTR Raw'!AB84</f>
        <v>#NAME?</v>
      </c>
      <c r="BI147" s="23" t="e">
        <f t="shared" ca="1" si="1201"/>
        <v>#NAME?</v>
      </c>
      <c r="BJ147" s="23" t="e">
        <f ca="1">+'QTR Raw'!AD84</f>
        <v>#NAME?</v>
      </c>
      <c r="BK147" s="23" t="e">
        <f t="shared" ca="1" si="1201"/>
        <v>#NAME?</v>
      </c>
      <c r="BL147" s="23" t="e">
        <f ca="1">+'QTR Raw'!AF84</f>
        <v>#NAME?</v>
      </c>
      <c r="BM147" s="23" t="e">
        <f t="shared" ca="1" si="1201"/>
        <v>#NAME?</v>
      </c>
      <c r="BN147" s="23" t="e">
        <f ca="1">+'QTR Raw'!AH84</f>
        <v>#NAME?</v>
      </c>
      <c r="BO147" s="23" t="e">
        <f t="shared" ca="1" si="1201"/>
        <v>#NAME?</v>
      </c>
      <c r="BP147" s="23" t="e">
        <f ca="1">+'QTR Raw'!AJ84</f>
        <v>#NAME?</v>
      </c>
      <c r="BQ147" s="23" t="e">
        <f t="shared" ca="1" si="1201"/>
        <v>#NAME?</v>
      </c>
      <c r="BR147" s="23" t="e">
        <f ca="1">+'QTR Raw'!AL84</f>
        <v>#NAME?</v>
      </c>
      <c r="BS147" s="23" t="e">
        <f t="shared" ca="1" si="1201"/>
        <v>#NAME?</v>
      </c>
      <c r="BT147" s="23" t="e">
        <f ca="1">+'QTR Raw'!AN84</f>
        <v>#NAME?</v>
      </c>
      <c r="BU147" s="23" t="e">
        <f t="shared" ca="1" si="1201"/>
        <v>#NAME?</v>
      </c>
      <c r="BV147" s="23" t="e">
        <f ca="1">+'QTR Raw'!AP84</f>
        <v>#NAME?</v>
      </c>
      <c r="BW147" s="23" t="e">
        <f t="shared" ca="1" si="1201"/>
        <v>#NAME?</v>
      </c>
      <c r="BX147" s="23" t="e">
        <f ca="1">+'QTR Raw'!AR84</f>
        <v>#NAME?</v>
      </c>
      <c r="BY147" s="23" t="e">
        <f t="shared" ca="1" si="1201"/>
        <v>#NAME?</v>
      </c>
      <c r="BZ147" s="23" t="e">
        <f ca="1">+'QTR Raw'!AT84</f>
        <v>#NAME?</v>
      </c>
      <c r="CA147" s="23" t="e">
        <f t="shared" ca="1" si="1201"/>
        <v>#NAME?</v>
      </c>
      <c r="CB147" s="23" t="e">
        <f ca="1">+'QTR Raw'!AV84</f>
        <v>#NAME?</v>
      </c>
      <c r="CC147" s="23" t="e">
        <f t="shared" ca="1" si="1201"/>
        <v>#NAME?</v>
      </c>
      <c r="CD147" s="23" t="e">
        <f ca="1">+'QTR Raw'!AX84</f>
        <v>#NAME?</v>
      </c>
      <c r="CE147" s="23" t="e">
        <f t="shared" ca="1" si="1201"/>
        <v>#NAME?</v>
      </c>
      <c r="CF147" s="23" t="e">
        <f ca="1">+'QTR Raw'!AZ84</f>
        <v>#NAME?</v>
      </c>
      <c r="CG147" s="23" t="e">
        <f t="shared" ref="CG147:CG148" ca="1" si="1204">+CF147</f>
        <v>#NAME?</v>
      </c>
      <c r="CH147" s="23" t="e">
        <f t="shared" ca="1" si="1179"/>
        <v>#NAME?</v>
      </c>
      <c r="CI147" s="23" t="e">
        <f ca="1">CI10/90*CI182</f>
        <v>#NAME?</v>
      </c>
      <c r="CJ147" s="23" t="e">
        <f ca="1">+'QTR Raw'!BD84</f>
        <v>#NAME?</v>
      </c>
      <c r="CK147" s="24" t="e">
        <f t="shared" ref="CK147:DB147" ca="1" si="1205">CK10/90*CK182</f>
        <v>#NAME?</v>
      </c>
      <c r="CL147" s="23" t="e">
        <f ca="1">+'QTR Raw'!BF84</f>
        <v>#NAME?</v>
      </c>
      <c r="CM147" s="24" t="e">
        <f t="shared" ca="1" si="1205"/>
        <v>#NAME?</v>
      </c>
      <c r="CN147" s="24" t="e">
        <f t="shared" ca="1" si="1205"/>
        <v>#NAME?</v>
      </c>
      <c r="CO147" s="24" t="e">
        <f t="shared" ca="1" si="1205"/>
        <v>#NAME?</v>
      </c>
      <c r="CP147" s="24" t="e">
        <f t="shared" ca="1" si="1205"/>
        <v>#NAME?</v>
      </c>
      <c r="CQ147" s="24" t="e">
        <f t="shared" ca="1" si="1205"/>
        <v>#NAME?</v>
      </c>
      <c r="CR147" s="24" t="e">
        <f t="shared" ca="1" si="1205"/>
        <v>#NAME?</v>
      </c>
      <c r="CS147" s="24" t="e">
        <f t="shared" ca="1" si="1205"/>
        <v>#NAME?</v>
      </c>
      <c r="CT147" s="24" t="e">
        <f t="shared" ca="1" si="1205"/>
        <v>#NAME?</v>
      </c>
      <c r="CU147" s="24" t="e">
        <f t="shared" ca="1" si="1205"/>
        <v>#NAME?</v>
      </c>
      <c r="CV147" s="24" t="e">
        <f t="shared" ca="1" si="1205"/>
        <v>#NAME?</v>
      </c>
      <c r="CW147" s="24" t="e">
        <f t="shared" ca="1" si="1205"/>
        <v>#NAME?</v>
      </c>
      <c r="CX147" s="24" t="e">
        <f t="shared" ca="1" si="1205"/>
        <v>#NAME?</v>
      </c>
      <c r="CY147" s="24" t="e">
        <f t="shared" ca="1" si="1205"/>
        <v>#NAME?</v>
      </c>
      <c r="CZ147" s="24" t="e">
        <f t="shared" ca="1" si="1205"/>
        <v>#NAME?</v>
      </c>
      <c r="DA147" s="24" t="e">
        <f t="shared" ca="1" si="1205"/>
        <v>#NAME?</v>
      </c>
      <c r="DB147" s="24" t="e">
        <f t="shared" ca="1" si="1205"/>
        <v>#NAME?</v>
      </c>
      <c r="DE147" s="123"/>
      <c r="DF147" s="23">
        <v>13749.87</v>
      </c>
    </row>
    <row r="148" spans="1:110" s="23" customFormat="1" outlineLevel="1" x14ac:dyDescent="0.2">
      <c r="A148" s="23" t="s">
        <v>64</v>
      </c>
      <c r="B148" s="23" t="e">
        <f ca="1">'Annual Raw'!C80</f>
        <v>#NAME?</v>
      </c>
      <c r="C148" s="23" t="e">
        <f ca="1">'Annual Raw'!D80</f>
        <v>#NAME?</v>
      </c>
      <c r="D148" s="23" t="e">
        <f ca="1">'Annual Raw'!E80</f>
        <v>#NAME?</v>
      </c>
      <c r="E148" s="23" t="e">
        <f ca="1">'Annual Raw'!F80</f>
        <v>#NAME?</v>
      </c>
      <c r="F148" s="23" t="e">
        <f ca="1">'Annual Raw'!G80</f>
        <v>#NAME?</v>
      </c>
      <c r="G148" s="23" t="e">
        <f ca="1">'Annual Raw'!H80</f>
        <v>#NAME?</v>
      </c>
      <c r="H148" s="23" t="e">
        <f ca="1">'Annual Raw'!I80</f>
        <v>#NAME?</v>
      </c>
      <c r="I148" s="23" t="e">
        <f ca="1">'Annual Raw'!J80</f>
        <v>#NAME?</v>
      </c>
      <c r="J148" s="23" t="e">
        <f ca="1">'Annual Raw'!K80</f>
        <v>#NAME?</v>
      </c>
      <c r="K148" s="23" t="e">
        <f ca="1">'Annual Raw'!L80</f>
        <v>#NAME?</v>
      </c>
      <c r="L148" s="23" t="e">
        <f ca="1">'Annual Raw'!M80</f>
        <v>#NAME?</v>
      </c>
      <c r="M148" s="23" t="e">
        <f ca="1">'Annual Raw'!N80</f>
        <v>#NAME?</v>
      </c>
      <c r="N148" s="23" t="e">
        <f ca="1">'Annual Raw'!O80</f>
        <v>#NAME?</v>
      </c>
      <c r="O148" s="23" t="e">
        <f ca="1">'Annual Raw'!P80</f>
        <v>#NAME?</v>
      </c>
      <c r="P148" s="23" t="e">
        <f ca="1">'Annual Raw'!Q80</f>
        <v>#NAME?</v>
      </c>
      <c r="Q148" s="23" t="e">
        <f ca="1">'Annual Raw'!R80</f>
        <v>#NAME?</v>
      </c>
      <c r="R148" s="23" t="e">
        <f ca="1">'Annual Raw'!S80</f>
        <v>#NAME?</v>
      </c>
      <c r="S148" s="23" t="e">
        <f ca="1">'Annual Raw'!T80</f>
        <v>#NAME?</v>
      </c>
      <c r="T148" s="23" t="e">
        <f ca="1">'Annual Raw'!U80</f>
        <v>#NAME?</v>
      </c>
      <c r="U148" s="23" t="e">
        <f ca="1">'Annual Raw'!V80</f>
        <v>#NAME?</v>
      </c>
      <c r="V148" s="23" t="e">
        <f ca="1">'Annual Raw'!W80</f>
        <v>#NAME?</v>
      </c>
      <c r="W148" s="23" t="e">
        <f ca="1">'Annual Raw'!X80</f>
        <v>#NAME?</v>
      </c>
      <c r="X148" s="23" t="e">
        <f ca="1">'Annual Raw'!Y80</f>
        <v>#NAME?</v>
      </c>
      <c r="Y148" s="23" t="e">
        <f ca="1">'Annual Raw'!Z80</f>
        <v>#NAME?</v>
      </c>
      <c r="Z148" s="23" t="e">
        <f ca="1">'Annual Raw'!AA80</f>
        <v>#NAME?</v>
      </c>
      <c r="AA148" s="23" t="e">
        <f ca="1">'Annual Raw'!AB80</f>
        <v>#NAME?</v>
      </c>
      <c r="AB148" s="24">
        <f t="shared" si="1197"/>
        <v>0</v>
      </c>
      <c r="AC148" s="24">
        <f t="shared" si="1198"/>
        <v>0</v>
      </c>
      <c r="AD148" s="24">
        <f t="shared" si="1199"/>
        <v>0</v>
      </c>
      <c r="AE148" s="24">
        <f t="shared" si="1200"/>
        <v>0</v>
      </c>
      <c r="AJ148" s="23" t="e">
        <f ca="1">+'QTR Raw'!D85</f>
        <v>#NAME?</v>
      </c>
      <c r="AK148" s="23" t="e">
        <f t="shared" ca="1" si="1201"/>
        <v>#NAME?</v>
      </c>
      <c r="AL148" s="23" t="e">
        <f ca="1">+'QTR Raw'!F85</f>
        <v>#NAME?</v>
      </c>
      <c r="AM148" s="23" t="e">
        <f t="shared" ca="1" si="1201"/>
        <v>#NAME?</v>
      </c>
      <c r="AN148" s="23" t="e">
        <f ca="1">+'QTR Raw'!H85</f>
        <v>#NAME?</v>
      </c>
      <c r="AO148" s="23" t="e">
        <f t="shared" ca="1" si="1201"/>
        <v>#NAME?</v>
      </c>
      <c r="AP148" s="23" t="e">
        <f ca="1">+'QTR Raw'!J85</f>
        <v>#NAME?</v>
      </c>
      <c r="AQ148" s="23" t="e">
        <f t="shared" ca="1" si="1201"/>
        <v>#NAME?</v>
      </c>
      <c r="AR148" s="23" t="e">
        <f ca="1">+'QTR Raw'!L85</f>
        <v>#NAME?</v>
      </c>
      <c r="AS148" s="23" t="e">
        <f t="shared" ca="1" si="1201"/>
        <v>#NAME?</v>
      </c>
      <c r="AT148" s="23" t="e">
        <f ca="1">+'QTR Raw'!N85</f>
        <v>#NAME?</v>
      </c>
      <c r="AU148" s="23" t="e">
        <f t="shared" ca="1" si="1201"/>
        <v>#NAME?</v>
      </c>
      <c r="AV148" s="23" t="e">
        <f ca="1">+'QTR Raw'!P85</f>
        <v>#NAME?</v>
      </c>
      <c r="AW148" s="23" t="e">
        <f t="shared" ca="1" si="1201"/>
        <v>#NAME?</v>
      </c>
      <c r="AX148" s="23" t="e">
        <f ca="1">+'QTR Raw'!R85</f>
        <v>#NAME?</v>
      </c>
      <c r="AY148" s="23" t="e">
        <f t="shared" ca="1" si="1201"/>
        <v>#NAME?</v>
      </c>
      <c r="AZ148" s="23" t="e">
        <f ca="1">+'QTR Raw'!T85</f>
        <v>#NAME?</v>
      </c>
      <c r="BA148" s="23" t="e">
        <f t="shared" ca="1" si="1201"/>
        <v>#NAME?</v>
      </c>
      <c r="BB148" s="23" t="e">
        <f ca="1">+'QTR Raw'!V85</f>
        <v>#NAME?</v>
      </c>
      <c r="BC148" s="23" t="e">
        <f t="shared" ca="1" si="1201"/>
        <v>#NAME?</v>
      </c>
      <c r="BD148" s="23" t="e">
        <f ca="1">+'QTR Raw'!X85</f>
        <v>#NAME?</v>
      </c>
      <c r="BE148" s="23" t="e">
        <f t="shared" ca="1" si="1201"/>
        <v>#NAME?</v>
      </c>
      <c r="BF148" s="23" t="e">
        <f ca="1">+'QTR Raw'!Z85</f>
        <v>#NAME?</v>
      </c>
      <c r="BG148" s="23" t="e">
        <f t="shared" ca="1" si="1201"/>
        <v>#NAME?</v>
      </c>
      <c r="BH148" s="23" t="e">
        <f ca="1">+'QTR Raw'!AB85</f>
        <v>#NAME?</v>
      </c>
      <c r="BI148" s="23" t="e">
        <f t="shared" ca="1" si="1201"/>
        <v>#NAME?</v>
      </c>
      <c r="BJ148" s="23" t="e">
        <f ca="1">+'QTR Raw'!AD85</f>
        <v>#NAME?</v>
      </c>
      <c r="BK148" s="23" t="e">
        <f t="shared" ca="1" si="1201"/>
        <v>#NAME?</v>
      </c>
      <c r="BL148" s="23" t="e">
        <f ca="1">+'QTR Raw'!AF85</f>
        <v>#NAME?</v>
      </c>
      <c r="BM148" s="23" t="e">
        <f t="shared" ca="1" si="1201"/>
        <v>#NAME?</v>
      </c>
      <c r="BN148" s="23" t="e">
        <f ca="1">+'QTR Raw'!AH85</f>
        <v>#NAME?</v>
      </c>
      <c r="BO148" s="23" t="e">
        <f t="shared" ca="1" si="1201"/>
        <v>#NAME?</v>
      </c>
      <c r="BP148" s="23" t="e">
        <f ca="1">+'QTR Raw'!AJ85</f>
        <v>#NAME?</v>
      </c>
      <c r="BQ148" s="23" t="e">
        <f t="shared" ca="1" si="1201"/>
        <v>#NAME?</v>
      </c>
      <c r="BR148" s="23" t="e">
        <f ca="1">+'QTR Raw'!AL85</f>
        <v>#NAME?</v>
      </c>
      <c r="BS148" s="23" t="e">
        <f t="shared" ca="1" si="1201"/>
        <v>#NAME?</v>
      </c>
      <c r="BT148" s="23" t="e">
        <f ca="1">+'QTR Raw'!AN85</f>
        <v>#NAME?</v>
      </c>
      <c r="BU148" s="23" t="e">
        <f t="shared" ca="1" si="1201"/>
        <v>#NAME?</v>
      </c>
      <c r="BV148" s="23" t="e">
        <f ca="1">+'QTR Raw'!AP85</f>
        <v>#NAME?</v>
      </c>
      <c r="BW148" s="23" t="e">
        <f t="shared" ca="1" si="1201"/>
        <v>#NAME?</v>
      </c>
      <c r="BX148" s="23" t="e">
        <f ca="1">+'QTR Raw'!AR85</f>
        <v>#NAME?</v>
      </c>
      <c r="BY148" s="23" t="e">
        <f t="shared" ca="1" si="1201"/>
        <v>#NAME?</v>
      </c>
      <c r="BZ148" s="23" t="e">
        <f ca="1">+'QTR Raw'!AT85</f>
        <v>#NAME?</v>
      </c>
      <c r="CA148" s="23" t="e">
        <f t="shared" ca="1" si="1201"/>
        <v>#NAME?</v>
      </c>
      <c r="CB148" s="23" t="e">
        <f ca="1">+'QTR Raw'!AV85</f>
        <v>#NAME?</v>
      </c>
      <c r="CC148" s="23" t="e">
        <f t="shared" ca="1" si="1201"/>
        <v>#NAME?</v>
      </c>
      <c r="CD148" s="23" t="e">
        <f ca="1">+'QTR Raw'!AX85</f>
        <v>#NAME?</v>
      </c>
      <c r="CE148" s="23" t="e">
        <f t="shared" ca="1" si="1201"/>
        <v>#NAME?</v>
      </c>
      <c r="CF148" s="23" t="e">
        <f ca="1">+'QTR Raw'!AZ85</f>
        <v>#NAME?</v>
      </c>
      <c r="CG148" s="23" t="e">
        <f t="shared" ca="1" si="1204"/>
        <v>#NAME?</v>
      </c>
      <c r="CH148" s="23" t="e">
        <f t="shared" ca="1" si="1179"/>
        <v>#NAME?</v>
      </c>
      <c r="CJ148" s="23" t="e">
        <f ca="1">+'QTR Raw'!BD85</f>
        <v>#NAME?</v>
      </c>
      <c r="CK148" s="24"/>
      <c r="CL148" s="23" t="e">
        <f ca="1">+'QTR Raw'!BF85</f>
        <v>#NAME?</v>
      </c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  <c r="DF148" s="23">
        <v>1637.16</v>
      </c>
    </row>
    <row r="149" spans="1:110" s="22" customFormat="1" x14ac:dyDescent="0.2">
      <c r="A149" s="22" t="s">
        <v>65</v>
      </c>
      <c r="B149" s="22" t="e">
        <f ca="1">SUM(B143:B148)</f>
        <v>#NAME?</v>
      </c>
      <c r="C149" s="22" t="e">
        <f t="shared" ref="C149:V149" ca="1" si="1206">SUM(C143:C148)</f>
        <v>#NAME?</v>
      </c>
      <c r="D149" s="22" t="e">
        <f t="shared" ca="1" si="1206"/>
        <v>#NAME?</v>
      </c>
      <c r="E149" s="22" t="e">
        <f t="shared" ca="1" si="1206"/>
        <v>#NAME?</v>
      </c>
      <c r="F149" s="22" t="e">
        <f t="shared" ca="1" si="1206"/>
        <v>#NAME?</v>
      </c>
      <c r="G149" s="22" t="e">
        <f t="shared" ca="1" si="1206"/>
        <v>#NAME?</v>
      </c>
      <c r="H149" s="22" t="e">
        <f t="shared" ca="1" si="1206"/>
        <v>#NAME?</v>
      </c>
      <c r="I149" s="22" t="e">
        <f t="shared" ca="1" si="1206"/>
        <v>#NAME?</v>
      </c>
      <c r="J149" s="22" t="e">
        <f t="shared" ca="1" si="1206"/>
        <v>#NAME?</v>
      </c>
      <c r="K149" s="22" t="e">
        <f t="shared" ca="1" si="1206"/>
        <v>#NAME?</v>
      </c>
      <c r="L149" s="22" t="e">
        <f ca="1">SUM(L143:L148)</f>
        <v>#NAME?</v>
      </c>
      <c r="M149" s="22" t="e">
        <f ca="1">SUM(M143:M148)</f>
        <v>#NAME?</v>
      </c>
      <c r="N149" s="22" t="e">
        <f t="shared" ca="1" si="1206"/>
        <v>#NAME?</v>
      </c>
      <c r="O149" s="22" t="e">
        <f t="shared" ca="1" si="1206"/>
        <v>#NAME?</v>
      </c>
      <c r="P149" s="22" t="e">
        <f t="shared" ca="1" si="1206"/>
        <v>#NAME?</v>
      </c>
      <c r="Q149" s="22" t="e">
        <f t="shared" ca="1" si="1206"/>
        <v>#NAME?</v>
      </c>
      <c r="R149" s="22" t="e">
        <f t="shared" ca="1" si="1206"/>
        <v>#NAME?</v>
      </c>
      <c r="S149" s="22" t="e">
        <f t="shared" ca="1" si="1206"/>
        <v>#NAME?</v>
      </c>
      <c r="T149" s="22" t="e">
        <f t="shared" ca="1" si="1206"/>
        <v>#NAME?</v>
      </c>
      <c r="U149" s="22" t="e">
        <f t="shared" ca="1" si="1206"/>
        <v>#NAME?</v>
      </c>
      <c r="V149" s="22" t="e">
        <f t="shared" ca="1" si="1206"/>
        <v>#NAME?</v>
      </c>
      <c r="W149" s="22" t="e">
        <f t="shared" ref="W149" ca="1" si="1207">SUM(W143:W148)</f>
        <v>#NAME?</v>
      </c>
      <c r="X149" s="22" t="e">
        <f t="shared" ref="X149:Y149" ca="1" si="1208">SUM(X143:X148)</f>
        <v>#NAME?</v>
      </c>
      <c r="Y149" s="22" t="e">
        <f t="shared" ca="1" si="1208"/>
        <v>#NAME?</v>
      </c>
      <c r="Z149" s="22" t="e">
        <f t="shared" ref="Z149:AA149" ca="1" si="1209">SUM(Z143:Z148)</f>
        <v>#NAME?</v>
      </c>
      <c r="AA149" s="22" t="e">
        <f t="shared" ca="1" si="1209"/>
        <v>#NAME?</v>
      </c>
      <c r="AB149" s="21" t="e">
        <f t="shared" ref="AA149:AD149" ca="1" si="1210">SUM(AB143:AB148)</f>
        <v>#NAME?</v>
      </c>
      <c r="AC149" s="21" t="e">
        <f t="shared" ca="1" si="1210"/>
        <v>#NAME?</v>
      </c>
      <c r="AD149" s="21" t="e">
        <f t="shared" ca="1" si="1210"/>
        <v>#NAME?</v>
      </c>
      <c r="AE149" s="21" t="e">
        <f t="shared" ref="AE149" ca="1" si="1211">SUM(AE143:AE148)</f>
        <v>#NAME?</v>
      </c>
      <c r="AJ149" s="22" t="e">
        <f t="shared" ref="AJ149" ca="1" si="1212">SUM(AJ143:AJ148)</f>
        <v>#NAME?</v>
      </c>
      <c r="AK149" s="22" t="e">
        <f t="shared" ref="AK149" ca="1" si="1213">SUM(AK143:AK148)</f>
        <v>#NAME?</v>
      </c>
      <c r="AL149" s="22" t="e">
        <f t="shared" ref="AL149:AM149" ca="1" si="1214">SUM(AL143:AL148)</f>
        <v>#NAME?</v>
      </c>
      <c r="AM149" s="22" t="e">
        <f t="shared" ca="1" si="1214"/>
        <v>#NAME?</v>
      </c>
      <c r="AN149" s="22" t="e">
        <f t="shared" ref="AN149:AO149" ca="1" si="1215">SUM(AN143:AN148)</f>
        <v>#NAME?</v>
      </c>
      <c r="AO149" s="22" t="e">
        <f t="shared" ca="1" si="1215"/>
        <v>#NAME?</v>
      </c>
      <c r="AP149" s="22" t="e">
        <f t="shared" ref="AP149:CE149" ca="1" si="1216">SUM(AP143:AP148)</f>
        <v>#NAME?</v>
      </c>
      <c r="AQ149" s="22" t="e">
        <f t="shared" ca="1" si="1216"/>
        <v>#NAME?</v>
      </c>
      <c r="AR149" s="22" t="e">
        <f t="shared" ca="1" si="1216"/>
        <v>#NAME?</v>
      </c>
      <c r="AS149" s="22" t="e">
        <f t="shared" ca="1" si="1216"/>
        <v>#NAME?</v>
      </c>
      <c r="AT149" s="22" t="e">
        <f t="shared" ca="1" si="1216"/>
        <v>#NAME?</v>
      </c>
      <c r="AU149" s="22" t="e">
        <f t="shared" ca="1" si="1216"/>
        <v>#NAME?</v>
      </c>
      <c r="AV149" s="22" t="e">
        <f t="shared" ca="1" si="1216"/>
        <v>#NAME?</v>
      </c>
      <c r="AW149" s="22" t="e">
        <f t="shared" ca="1" si="1216"/>
        <v>#NAME?</v>
      </c>
      <c r="AX149" s="22" t="e">
        <f t="shared" ca="1" si="1216"/>
        <v>#NAME?</v>
      </c>
      <c r="AY149" s="22" t="e">
        <f t="shared" ca="1" si="1216"/>
        <v>#NAME?</v>
      </c>
      <c r="AZ149" s="22" t="e">
        <f t="shared" ca="1" si="1216"/>
        <v>#NAME?</v>
      </c>
      <c r="BA149" s="22" t="e">
        <f t="shared" ca="1" si="1216"/>
        <v>#NAME?</v>
      </c>
      <c r="BB149" s="22" t="e">
        <f t="shared" ca="1" si="1216"/>
        <v>#NAME?</v>
      </c>
      <c r="BC149" s="22" t="e">
        <f t="shared" ca="1" si="1216"/>
        <v>#NAME?</v>
      </c>
      <c r="BD149" s="22" t="e">
        <f t="shared" ca="1" si="1216"/>
        <v>#NAME?</v>
      </c>
      <c r="BE149" s="22" t="e">
        <f t="shared" ca="1" si="1216"/>
        <v>#NAME?</v>
      </c>
      <c r="BF149" s="22" t="e">
        <f t="shared" ca="1" si="1216"/>
        <v>#NAME?</v>
      </c>
      <c r="BG149" s="22" t="e">
        <f t="shared" ca="1" si="1216"/>
        <v>#NAME?</v>
      </c>
      <c r="BH149" s="22" t="e">
        <f t="shared" ca="1" si="1216"/>
        <v>#NAME?</v>
      </c>
      <c r="BI149" s="22" t="e">
        <f t="shared" ca="1" si="1216"/>
        <v>#NAME?</v>
      </c>
      <c r="BJ149" s="22" t="e">
        <f t="shared" ca="1" si="1216"/>
        <v>#NAME?</v>
      </c>
      <c r="BK149" s="22" t="e">
        <f t="shared" ca="1" si="1216"/>
        <v>#NAME?</v>
      </c>
      <c r="BL149" s="22" t="e">
        <f t="shared" ca="1" si="1216"/>
        <v>#NAME?</v>
      </c>
      <c r="BM149" s="22" t="e">
        <f t="shared" ca="1" si="1216"/>
        <v>#NAME?</v>
      </c>
      <c r="BN149" s="22" t="e">
        <f t="shared" ca="1" si="1216"/>
        <v>#NAME?</v>
      </c>
      <c r="BO149" s="22" t="e">
        <f t="shared" ca="1" si="1216"/>
        <v>#NAME?</v>
      </c>
      <c r="BP149" s="22" t="e">
        <f t="shared" ca="1" si="1216"/>
        <v>#NAME?</v>
      </c>
      <c r="BQ149" s="22" t="e">
        <f t="shared" ca="1" si="1216"/>
        <v>#NAME?</v>
      </c>
      <c r="BR149" s="22" t="e">
        <f t="shared" ca="1" si="1216"/>
        <v>#NAME?</v>
      </c>
      <c r="BS149" s="22" t="e">
        <f t="shared" ca="1" si="1216"/>
        <v>#NAME?</v>
      </c>
      <c r="BT149" s="22" t="e">
        <f t="shared" ca="1" si="1216"/>
        <v>#NAME?</v>
      </c>
      <c r="BU149" s="22" t="e">
        <f t="shared" ca="1" si="1216"/>
        <v>#NAME?</v>
      </c>
      <c r="BV149" s="22" t="e">
        <f t="shared" ca="1" si="1216"/>
        <v>#NAME?</v>
      </c>
      <c r="BW149" s="22" t="e">
        <f t="shared" ca="1" si="1216"/>
        <v>#NAME?</v>
      </c>
      <c r="BX149" s="22" t="e">
        <f t="shared" ca="1" si="1216"/>
        <v>#NAME?</v>
      </c>
      <c r="BY149" s="22" t="e">
        <f t="shared" ca="1" si="1216"/>
        <v>#NAME?</v>
      </c>
      <c r="BZ149" s="22" t="e">
        <f t="shared" ca="1" si="1216"/>
        <v>#NAME?</v>
      </c>
      <c r="CA149" s="22" t="e">
        <f t="shared" ca="1" si="1216"/>
        <v>#NAME?</v>
      </c>
      <c r="CB149" s="22" t="e">
        <f t="shared" ca="1" si="1216"/>
        <v>#NAME?</v>
      </c>
      <c r="CC149" s="22" t="e">
        <f t="shared" ca="1" si="1216"/>
        <v>#NAME?</v>
      </c>
      <c r="CD149" s="22" t="e">
        <f t="shared" ca="1" si="1216"/>
        <v>#NAME?</v>
      </c>
      <c r="CE149" s="22" t="e">
        <f t="shared" ca="1" si="1216"/>
        <v>#NAME?</v>
      </c>
      <c r="CF149" s="22" t="e">
        <f t="shared" ref="CF149:CG149" ca="1" si="1217">SUM(CF143:CF148)</f>
        <v>#NAME?</v>
      </c>
      <c r="CG149" s="22" t="e">
        <f t="shared" ca="1" si="1217"/>
        <v>#NAME?</v>
      </c>
      <c r="CH149" s="22" t="e">
        <f t="shared" ref="CH149:CI149" ca="1" si="1218">SUM(CH143:CH148)</f>
        <v>#NAME?</v>
      </c>
      <c r="CI149" s="22" t="e">
        <f t="shared" ca="1" si="1218"/>
        <v>#NAME?</v>
      </c>
      <c r="CJ149" s="22" t="e">
        <f t="shared" ref="CJ149:DB149" ca="1" si="1219">SUM(CJ143:CJ148)</f>
        <v>#NAME?</v>
      </c>
      <c r="CK149" s="21" t="e">
        <f t="shared" ca="1" si="1219"/>
        <v>#NAME?</v>
      </c>
      <c r="CL149" s="22" t="e">
        <f t="shared" ref="CL149" ca="1" si="1220">SUM(CL143:CL148)</f>
        <v>#NAME?</v>
      </c>
      <c r="CM149" s="21" t="e">
        <f t="shared" ca="1" si="1219"/>
        <v>#NAME?</v>
      </c>
      <c r="CN149" s="21" t="e">
        <f t="shared" ca="1" si="1219"/>
        <v>#NAME?</v>
      </c>
      <c r="CO149" s="21" t="e">
        <f t="shared" ca="1" si="1219"/>
        <v>#NAME?</v>
      </c>
      <c r="CP149" s="21" t="e">
        <f t="shared" ca="1" si="1219"/>
        <v>#NAME?</v>
      </c>
      <c r="CQ149" s="21" t="e">
        <f t="shared" ca="1" si="1219"/>
        <v>#NAME?</v>
      </c>
      <c r="CR149" s="21" t="e">
        <f t="shared" ca="1" si="1219"/>
        <v>#NAME?</v>
      </c>
      <c r="CS149" s="21" t="e">
        <f t="shared" ca="1" si="1219"/>
        <v>#NAME?</v>
      </c>
      <c r="CT149" s="21" t="e">
        <f t="shared" ca="1" si="1219"/>
        <v>#NAME?</v>
      </c>
      <c r="CU149" s="21" t="e">
        <f t="shared" ca="1" si="1219"/>
        <v>#NAME?</v>
      </c>
      <c r="CV149" s="21" t="e">
        <f t="shared" ca="1" si="1219"/>
        <v>#NAME?</v>
      </c>
      <c r="CW149" s="21" t="e">
        <f t="shared" ca="1" si="1219"/>
        <v>#NAME?</v>
      </c>
      <c r="CX149" s="21" t="e">
        <f t="shared" ca="1" si="1219"/>
        <v>#NAME?</v>
      </c>
      <c r="CY149" s="21" t="e">
        <f t="shared" ca="1" si="1219"/>
        <v>#NAME?</v>
      </c>
      <c r="CZ149" s="21" t="e">
        <f t="shared" ca="1" si="1219"/>
        <v>#NAME?</v>
      </c>
      <c r="DA149" s="21" t="e">
        <f t="shared" ca="1" si="1219"/>
        <v>#NAME?</v>
      </c>
      <c r="DB149" s="21" t="e">
        <f t="shared" ca="1" si="1219"/>
        <v>#NAME?</v>
      </c>
      <c r="DE149" s="126"/>
      <c r="DF149" s="22">
        <v>91391.46</v>
      </c>
    </row>
    <row r="150" spans="1:110" s="23" customFormat="1" outlineLevel="1" x14ac:dyDescent="0.2">
      <c r="A150" s="23" t="s">
        <v>66</v>
      </c>
      <c r="B150" s="23" t="e">
        <f ca="1">'Annual Raw'!C50+'Annual Raw'!C58</f>
        <v>#NAME?</v>
      </c>
      <c r="C150" s="23" t="e">
        <f ca="1">'Annual Raw'!D50+'Annual Raw'!D58</f>
        <v>#NAME?</v>
      </c>
      <c r="D150" s="23" t="e">
        <f ca="1">'Annual Raw'!E50+'Annual Raw'!E58</f>
        <v>#NAME?</v>
      </c>
      <c r="E150" s="23" t="e">
        <f ca="1">'Annual Raw'!F50+'Annual Raw'!F58</f>
        <v>#NAME?</v>
      </c>
      <c r="F150" s="23" t="e">
        <f ca="1">'Annual Raw'!G50+'Annual Raw'!G58</f>
        <v>#NAME?</v>
      </c>
      <c r="G150" s="23" t="e">
        <f ca="1">'Annual Raw'!H50+'Annual Raw'!H58</f>
        <v>#NAME?</v>
      </c>
      <c r="H150" s="23" t="e">
        <f ca="1">'Annual Raw'!I50+'Annual Raw'!I58</f>
        <v>#NAME?</v>
      </c>
      <c r="I150" s="23" t="e">
        <f ca="1">'Annual Raw'!J50+'Annual Raw'!J58</f>
        <v>#NAME?</v>
      </c>
      <c r="J150" s="23" t="e">
        <f ca="1">'Annual Raw'!K50+'Annual Raw'!K58</f>
        <v>#NAME?</v>
      </c>
      <c r="K150" s="23" t="e">
        <f ca="1">'Annual Raw'!L50+'Annual Raw'!L58</f>
        <v>#NAME?</v>
      </c>
      <c r="L150" s="23" t="e">
        <f ca="1">'Annual Raw'!M50+'Annual Raw'!M58</f>
        <v>#NAME?</v>
      </c>
      <c r="M150" s="23" t="e">
        <f ca="1">'Annual Raw'!N50+'Annual Raw'!N58</f>
        <v>#NAME?</v>
      </c>
      <c r="N150" s="23" t="e">
        <f ca="1">'Annual Raw'!O50+'Annual Raw'!O58</f>
        <v>#NAME?</v>
      </c>
      <c r="O150" s="23" t="e">
        <f ca="1">'Annual Raw'!P50+'Annual Raw'!P58</f>
        <v>#NAME?</v>
      </c>
      <c r="P150" s="23" t="e">
        <f ca="1">'Annual Raw'!Q50+'Annual Raw'!Q58</f>
        <v>#NAME?</v>
      </c>
      <c r="Q150" s="23" t="e">
        <f ca="1">'Annual Raw'!R50+'Annual Raw'!R58</f>
        <v>#NAME?</v>
      </c>
      <c r="R150" s="23" t="e">
        <f ca="1">'Annual Raw'!S50+'Annual Raw'!S58</f>
        <v>#NAME?</v>
      </c>
      <c r="S150" s="23" t="e">
        <f ca="1">'Annual Raw'!T50+'Annual Raw'!T58</f>
        <v>#NAME?</v>
      </c>
      <c r="T150" s="23" t="e">
        <f ca="1">'Annual Raw'!U50+'Annual Raw'!U58</f>
        <v>#NAME?</v>
      </c>
      <c r="U150" s="23" t="e">
        <f ca="1">'Annual Raw'!V50+'Annual Raw'!V58</f>
        <v>#NAME?</v>
      </c>
      <c r="V150" s="23" t="e">
        <f ca="1">'Annual Raw'!W50+'Annual Raw'!W58</f>
        <v>#NAME?</v>
      </c>
      <c r="W150" s="23" t="e">
        <f ca="1">'Annual Raw'!X50+'Annual Raw'!X58</f>
        <v>#NAME?</v>
      </c>
      <c r="X150" s="23" t="e">
        <f ca="1">'Annual Raw'!Y50+'Annual Raw'!Y58</f>
        <v>#NAME?</v>
      </c>
      <c r="Y150" s="23" t="e">
        <f ca="1">'Annual Raw'!Z50+'Annual Raw'!Z58</f>
        <v>#NAME?</v>
      </c>
      <c r="Z150" s="23" t="e">
        <f ca="1">'Annual Raw'!AA50+'Annual Raw'!AA58</f>
        <v>#NAME?</v>
      </c>
      <c r="AA150" s="23" t="e">
        <f ca="1">'Annual Raw'!AB50+'Annual Raw'!AB58</f>
        <v>#NAME?</v>
      </c>
      <c r="AB150" s="24">
        <f t="shared" ref="AB150:AB156" si="1221">+CP150</f>
        <v>0</v>
      </c>
      <c r="AC150" s="24">
        <f t="shared" ref="AC150:AC156" si="1222">+CT150</f>
        <v>0</v>
      </c>
      <c r="AD150" s="24">
        <f t="shared" ref="AD150:AD156" si="1223">+CX150</f>
        <v>0</v>
      </c>
      <c r="AE150" s="24">
        <f t="shared" ref="AE150:AE156" si="1224">+DB150</f>
        <v>0</v>
      </c>
      <c r="AJ150" s="23" t="e">
        <f ca="1">+'QTR Raw'!D64</f>
        <v>#NAME?</v>
      </c>
      <c r="AK150" s="23" t="e">
        <f t="shared" ref="AK150:CE156" ca="1" si="1225">+AJ150</f>
        <v>#NAME?</v>
      </c>
      <c r="AL150" s="23" t="e">
        <f ca="1">+'QTR Raw'!F64</f>
        <v>#NAME?</v>
      </c>
      <c r="AM150" s="23" t="e">
        <f t="shared" ca="1" si="1225"/>
        <v>#NAME?</v>
      </c>
      <c r="AN150" s="23" t="e">
        <f ca="1">+'QTR Raw'!H64</f>
        <v>#NAME?</v>
      </c>
      <c r="AO150" s="23" t="e">
        <f t="shared" ca="1" si="1225"/>
        <v>#NAME?</v>
      </c>
      <c r="AP150" s="23" t="e">
        <f ca="1">+'QTR Raw'!J64</f>
        <v>#NAME?</v>
      </c>
      <c r="AQ150" s="23" t="e">
        <f t="shared" ca="1" si="1225"/>
        <v>#NAME?</v>
      </c>
      <c r="AR150" s="23" t="e">
        <f ca="1">+'QTR Raw'!L64</f>
        <v>#NAME?</v>
      </c>
      <c r="AS150" s="23" t="e">
        <f t="shared" ca="1" si="1225"/>
        <v>#NAME?</v>
      </c>
      <c r="AT150" s="23" t="e">
        <f ca="1">+'QTR Raw'!N64</f>
        <v>#NAME?</v>
      </c>
      <c r="AU150" s="23" t="e">
        <f t="shared" ca="1" si="1225"/>
        <v>#NAME?</v>
      </c>
      <c r="AV150" s="23" t="e">
        <f ca="1">+'QTR Raw'!P64</f>
        <v>#NAME?</v>
      </c>
      <c r="AW150" s="23" t="e">
        <f t="shared" ca="1" si="1225"/>
        <v>#NAME?</v>
      </c>
      <c r="AX150" s="23" t="e">
        <f ca="1">+'QTR Raw'!R64</f>
        <v>#NAME?</v>
      </c>
      <c r="AY150" s="23" t="e">
        <f t="shared" ca="1" si="1225"/>
        <v>#NAME?</v>
      </c>
      <c r="AZ150" s="23" t="e">
        <f ca="1">+'QTR Raw'!T64</f>
        <v>#NAME?</v>
      </c>
      <c r="BA150" s="23" t="e">
        <f t="shared" ca="1" si="1225"/>
        <v>#NAME?</v>
      </c>
      <c r="BB150" s="23" t="e">
        <f ca="1">+'QTR Raw'!V64</f>
        <v>#NAME?</v>
      </c>
      <c r="BC150" s="23" t="e">
        <f t="shared" ca="1" si="1225"/>
        <v>#NAME?</v>
      </c>
      <c r="BD150" s="23" t="e">
        <f ca="1">+'QTR Raw'!X64</f>
        <v>#NAME?</v>
      </c>
      <c r="BE150" s="23" t="e">
        <f t="shared" ca="1" si="1225"/>
        <v>#NAME?</v>
      </c>
      <c r="BF150" s="23" t="e">
        <f ca="1">+'QTR Raw'!Z64</f>
        <v>#NAME?</v>
      </c>
      <c r="BG150" s="23" t="e">
        <f t="shared" ca="1" si="1225"/>
        <v>#NAME?</v>
      </c>
      <c r="BH150" s="23" t="e">
        <f ca="1">+'QTR Raw'!AB64</f>
        <v>#NAME?</v>
      </c>
      <c r="BI150" s="23" t="e">
        <f t="shared" ca="1" si="1225"/>
        <v>#NAME?</v>
      </c>
      <c r="BJ150" s="23" t="e">
        <f ca="1">+'QTR Raw'!AD64</f>
        <v>#NAME?</v>
      </c>
      <c r="BK150" s="23" t="e">
        <f t="shared" ca="1" si="1225"/>
        <v>#NAME?</v>
      </c>
      <c r="BL150" s="23" t="e">
        <f ca="1">+'QTR Raw'!AF64</f>
        <v>#NAME?</v>
      </c>
      <c r="BM150" s="23" t="e">
        <f t="shared" ca="1" si="1225"/>
        <v>#NAME?</v>
      </c>
      <c r="BN150" s="23" t="e">
        <f ca="1">+'QTR Raw'!AH64</f>
        <v>#NAME?</v>
      </c>
      <c r="BO150" s="23" t="e">
        <f t="shared" ca="1" si="1225"/>
        <v>#NAME?</v>
      </c>
      <c r="BP150" s="23" t="e">
        <f ca="1">+'QTR Raw'!AJ64</f>
        <v>#NAME?</v>
      </c>
      <c r="BQ150" s="23" t="e">
        <f t="shared" ca="1" si="1225"/>
        <v>#NAME?</v>
      </c>
      <c r="BR150" s="23" t="e">
        <f ca="1">+'QTR Raw'!AL64</f>
        <v>#NAME?</v>
      </c>
      <c r="BS150" s="23" t="e">
        <f t="shared" ca="1" si="1225"/>
        <v>#NAME?</v>
      </c>
      <c r="BT150" s="23" t="e">
        <f ca="1">+'QTR Raw'!AN64</f>
        <v>#NAME?</v>
      </c>
      <c r="BU150" s="23" t="e">
        <f t="shared" ca="1" si="1225"/>
        <v>#NAME?</v>
      </c>
      <c r="BV150" s="23" t="e">
        <f ca="1">+'QTR Raw'!AP64</f>
        <v>#NAME?</v>
      </c>
      <c r="BW150" s="23" t="e">
        <f t="shared" ca="1" si="1225"/>
        <v>#NAME?</v>
      </c>
      <c r="BX150" s="23" t="e">
        <f ca="1">+'QTR Raw'!AR64</f>
        <v>#NAME?</v>
      </c>
      <c r="BY150" s="23" t="e">
        <f t="shared" ca="1" si="1225"/>
        <v>#NAME?</v>
      </c>
      <c r="BZ150" s="23" t="e">
        <f ca="1">+'QTR Raw'!AT64</f>
        <v>#NAME?</v>
      </c>
      <c r="CA150" s="23" t="e">
        <f t="shared" ca="1" si="1225"/>
        <v>#NAME?</v>
      </c>
      <c r="CB150" s="23" t="e">
        <f ca="1">+'QTR Raw'!AV64</f>
        <v>#NAME?</v>
      </c>
      <c r="CC150" s="23" t="e">
        <f t="shared" ca="1" si="1225"/>
        <v>#NAME?</v>
      </c>
      <c r="CD150" s="23" t="e">
        <f ca="1">+'QTR Raw'!AX64</f>
        <v>#NAME?</v>
      </c>
      <c r="CE150" s="23" t="e">
        <f t="shared" ca="1" si="1225"/>
        <v>#NAME?</v>
      </c>
      <c r="CF150" s="23" t="e">
        <f ca="1">+'QTR Raw'!AZ64</f>
        <v>#NAME?</v>
      </c>
      <c r="CG150" s="23" t="e">
        <f t="shared" ref="CG150:CG153" ca="1" si="1226">+CF150</f>
        <v>#NAME?</v>
      </c>
      <c r="CH150" s="23" t="e">
        <f t="shared" ca="1" si="1179"/>
        <v>#NAME?</v>
      </c>
      <c r="CJ150" s="23" t="e">
        <f ca="1">+'QTR Raw'!BD64</f>
        <v>#NAME?</v>
      </c>
      <c r="CK150" s="24"/>
      <c r="CL150" s="23" t="e">
        <f ca="1">+'QTR Raw'!BF64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32755.67</v>
      </c>
    </row>
    <row r="151" spans="1:110" s="23" customFormat="1" outlineLevel="1" x14ac:dyDescent="0.2">
      <c r="A151" s="23" t="s">
        <v>67</v>
      </c>
      <c r="B151" s="23" t="e">
        <f ca="1">'Annual Raw'!C51</f>
        <v>#NAME?</v>
      </c>
      <c r="C151" s="23" t="e">
        <f ca="1">'Annual Raw'!D51</f>
        <v>#NAME?</v>
      </c>
      <c r="D151" s="23" t="e">
        <f ca="1">'Annual Raw'!E51</f>
        <v>#NAME?</v>
      </c>
      <c r="E151" s="23" t="e">
        <f ca="1">'Annual Raw'!F51</f>
        <v>#NAME?</v>
      </c>
      <c r="F151" s="23" t="e">
        <f ca="1">'Annual Raw'!G51</f>
        <v>#NAME?</v>
      </c>
      <c r="G151" s="23" t="e">
        <f ca="1">'Annual Raw'!H51</f>
        <v>#NAME?</v>
      </c>
      <c r="H151" s="23" t="e">
        <f ca="1">'Annual Raw'!I51</f>
        <v>#NAME?</v>
      </c>
      <c r="I151" s="23" t="e">
        <f ca="1">'Annual Raw'!J51</f>
        <v>#NAME?</v>
      </c>
      <c r="J151" s="23" t="e">
        <f ca="1">'Annual Raw'!K51</f>
        <v>#NAME?</v>
      </c>
      <c r="K151" s="23" t="e">
        <f ca="1">'Annual Raw'!L51</f>
        <v>#NAME?</v>
      </c>
      <c r="L151" s="23" t="e">
        <f ca="1">'Annual Raw'!M51</f>
        <v>#NAME?</v>
      </c>
      <c r="M151" s="23" t="e">
        <f ca="1">'Annual Raw'!N51</f>
        <v>#NAME?</v>
      </c>
      <c r="N151" s="23" t="e">
        <f ca="1">'Annual Raw'!O51</f>
        <v>#NAME?</v>
      </c>
      <c r="O151" s="23" t="e">
        <f ca="1">'Annual Raw'!P51</f>
        <v>#NAME?</v>
      </c>
      <c r="P151" s="23" t="e">
        <f ca="1">'Annual Raw'!Q51</f>
        <v>#NAME?</v>
      </c>
      <c r="Q151" s="23" t="e">
        <f ca="1">'Annual Raw'!R51</f>
        <v>#NAME?</v>
      </c>
      <c r="R151" s="23" t="e">
        <f ca="1">'Annual Raw'!S51</f>
        <v>#NAME?</v>
      </c>
      <c r="S151" s="23" t="e">
        <f ca="1">'Annual Raw'!T51</f>
        <v>#NAME?</v>
      </c>
      <c r="T151" s="23" t="e">
        <f ca="1">'Annual Raw'!U51</f>
        <v>#NAME?</v>
      </c>
      <c r="U151" s="23" t="e">
        <f ca="1">'Annual Raw'!V51</f>
        <v>#NAME?</v>
      </c>
      <c r="V151" s="23" t="e">
        <f ca="1">'Annual Raw'!W51</f>
        <v>#NAME?</v>
      </c>
      <c r="W151" s="23" t="e">
        <f ca="1">'Annual Raw'!X51</f>
        <v>#NAME?</v>
      </c>
      <c r="X151" s="23" t="e">
        <f ca="1">'Annual Raw'!Y51</f>
        <v>#NAME?</v>
      </c>
      <c r="Y151" s="23" t="e">
        <f ca="1">'Annual Raw'!Z51</f>
        <v>#NAME?</v>
      </c>
      <c r="Z151" s="23" t="e">
        <f ca="1">'Annual Raw'!AA51</f>
        <v>#NAME?</v>
      </c>
      <c r="AA151" s="23" t="e">
        <f ca="1">'Annual Raw'!AB51</f>
        <v>#NAME?</v>
      </c>
      <c r="AB151" s="24">
        <f t="shared" si="1221"/>
        <v>0</v>
      </c>
      <c r="AC151" s="24">
        <f t="shared" si="1222"/>
        <v>0</v>
      </c>
      <c r="AD151" s="24">
        <f t="shared" si="1223"/>
        <v>0</v>
      </c>
      <c r="AE151" s="24">
        <f t="shared" si="1224"/>
        <v>0</v>
      </c>
      <c r="AJ151" s="23" t="e">
        <f ca="1">+'QTR Raw'!D65</f>
        <v>#NAME?</v>
      </c>
      <c r="AK151" s="23" t="e">
        <f t="shared" ca="1" si="1225"/>
        <v>#NAME?</v>
      </c>
      <c r="AL151" s="23" t="e">
        <f ca="1">+'QTR Raw'!F65</f>
        <v>#NAME?</v>
      </c>
      <c r="AM151" s="23" t="e">
        <f t="shared" ca="1" si="1225"/>
        <v>#NAME?</v>
      </c>
      <c r="AN151" s="23" t="e">
        <f ca="1">+'QTR Raw'!H65</f>
        <v>#NAME?</v>
      </c>
      <c r="AO151" s="23" t="e">
        <f t="shared" ca="1" si="1225"/>
        <v>#NAME?</v>
      </c>
      <c r="AP151" s="23" t="e">
        <f ca="1">+'QTR Raw'!J65</f>
        <v>#NAME?</v>
      </c>
      <c r="AQ151" s="23" t="e">
        <f t="shared" ca="1" si="1225"/>
        <v>#NAME?</v>
      </c>
      <c r="AR151" s="23" t="e">
        <f ca="1">+'QTR Raw'!L65</f>
        <v>#NAME?</v>
      </c>
      <c r="AS151" s="23" t="e">
        <f t="shared" ca="1" si="1225"/>
        <v>#NAME?</v>
      </c>
      <c r="AT151" s="23" t="e">
        <f ca="1">+'QTR Raw'!N65</f>
        <v>#NAME?</v>
      </c>
      <c r="AU151" s="23" t="e">
        <f t="shared" ca="1" si="1225"/>
        <v>#NAME?</v>
      </c>
      <c r="AV151" s="23" t="e">
        <f ca="1">+'QTR Raw'!P65</f>
        <v>#NAME?</v>
      </c>
      <c r="AW151" s="23" t="e">
        <f t="shared" ca="1" si="1225"/>
        <v>#NAME?</v>
      </c>
      <c r="AX151" s="23" t="e">
        <f ca="1">+'QTR Raw'!R65</f>
        <v>#NAME?</v>
      </c>
      <c r="AY151" s="23" t="e">
        <f t="shared" ca="1" si="1225"/>
        <v>#NAME?</v>
      </c>
      <c r="AZ151" s="23" t="e">
        <f ca="1">+'QTR Raw'!T65</f>
        <v>#NAME?</v>
      </c>
      <c r="BA151" s="23" t="e">
        <f t="shared" ca="1" si="1225"/>
        <v>#NAME?</v>
      </c>
      <c r="BB151" s="23" t="e">
        <f ca="1">+'QTR Raw'!V65</f>
        <v>#NAME?</v>
      </c>
      <c r="BC151" s="23" t="e">
        <f t="shared" ca="1" si="1225"/>
        <v>#NAME?</v>
      </c>
      <c r="BD151" s="23" t="e">
        <f ca="1">+'QTR Raw'!X65</f>
        <v>#NAME?</v>
      </c>
      <c r="BE151" s="23" t="e">
        <f t="shared" ca="1" si="1225"/>
        <v>#NAME?</v>
      </c>
      <c r="BF151" s="23" t="e">
        <f ca="1">+'QTR Raw'!Z65</f>
        <v>#NAME?</v>
      </c>
      <c r="BG151" s="23" t="e">
        <f t="shared" ca="1" si="1225"/>
        <v>#NAME?</v>
      </c>
      <c r="BH151" s="23" t="e">
        <f ca="1">+'QTR Raw'!AB65</f>
        <v>#NAME?</v>
      </c>
      <c r="BI151" s="23" t="e">
        <f t="shared" ca="1" si="1225"/>
        <v>#NAME?</v>
      </c>
      <c r="BJ151" s="23" t="e">
        <f ca="1">+'QTR Raw'!AD65</f>
        <v>#NAME?</v>
      </c>
      <c r="BK151" s="23" t="e">
        <f t="shared" ca="1" si="1225"/>
        <v>#NAME?</v>
      </c>
      <c r="BL151" s="23" t="e">
        <f ca="1">+'QTR Raw'!AF65</f>
        <v>#NAME?</v>
      </c>
      <c r="BM151" s="23" t="e">
        <f t="shared" ca="1" si="1225"/>
        <v>#NAME?</v>
      </c>
      <c r="BN151" s="23" t="e">
        <f ca="1">+'QTR Raw'!AH65</f>
        <v>#NAME?</v>
      </c>
      <c r="BO151" s="23" t="e">
        <f t="shared" ca="1" si="1225"/>
        <v>#NAME?</v>
      </c>
      <c r="BP151" s="23" t="e">
        <f ca="1">+'QTR Raw'!AJ65</f>
        <v>#NAME?</v>
      </c>
      <c r="BQ151" s="23" t="e">
        <f t="shared" ca="1" si="1225"/>
        <v>#NAME?</v>
      </c>
      <c r="BR151" s="23" t="e">
        <f ca="1">+'QTR Raw'!AL65</f>
        <v>#NAME?</v>
      </c>
      <c r="BS151" s="23" t="e">
        <f t="shared" ca="1" si="1225"/>
        <v>#NAME?</v>
      </c>
      <c r="BT151" s="23" t="e">
        <f ca="1">+'QTR Raw'!AN65</f>
        <v>#NAME?</v>
      </c>
      <c r="BU151" s="23" t="e">
        <f t="shared" ca="1" si="1225"/>
        <v>#NAME?</v>
      </c>
      <c r="BV151" s="23" t="e">
        <f ca="1">+'QTR Raw'!AP65</f>
        <v>#NAME?</v>
      </c>
      <c r="BW151" s="23" t="e">
        <f t="shared" ca="1" si="1225"/>
        <v>#NAME?</v>
      </c>
      <c r="BX151" s="23" t="e">
        <f ca="1">+'QTR Raw'!AR65</f>
        <v>#NAME?</v>
      </c>
      <c r="BY151" s="23" t="e">
        <f t="shared" ca="1" si="1225"/>
        <v>#NAME?</v>
      </c>
      <c r="BZ151" s="23" t="e">
        <f ca="1">+'QTR Raw'!AT65</f>
        <v>#NAME?</v>
      </c>
      <c r="CA151" s="23" t="e">
        <f t="shared" ca="1" si="1225"/>
        <v>#NAME?</v>
      </c>
      <c r="CB151" s="23" t="e">
        <f ca="1">+'QTR Raw'!AV65</f>
        <v>#NAME?</v>
      </c>
      <c r="CC151" s="23" t="e">
        <f t="shared" ca="1" si="1225"/>
        <v>#NAME?</v>
      </c>
      <c r="CD151" s="23" t="e">
        <f ca="1">+'QTR Raw'!AX65</f>
        <v>#NAME?</v>
      </c>
      <c r="CE151" s="23" t="e">
        <f t="shared" ca="1" si="1225"/>
        <v>#NAME?</v>
      </c>
      <c r="CF151" s="23" t="e">
        <f ca="1">+'QTR Raw'!AZ65</f>
        <v>#NAME?</v>
      </c>
      <c r="CG151" s="23" t="e">
        <f t="shared" ca="1" si="1226"/>
        <v>#NAME?</v>
      </c>
      <c r="CH151" s="23" t="e">
        <f t="shared" ca="1" si="1179"/>
        <v>#NAME?</v>
      </c>
      <c r="CJ151" s="23" t="e">
        <f ca="1">+'QTR Raw'!BD65</f>
        <v>#NAME?</v>
      </c>
      <c r="CK151" s="24"/>
      <c r="CL151" s="23" t="e">
        <f ca="1">+'QTR Raw'!BF65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68</v>
      </c>
      <c r="B152" s="23" t="e">
        <f ca="1">'Annual Raw'!C52</f>
        <v>#NAME?</v>
      </c>
      <c r="C152" s="23" t="e">
        <f ca="1">'Annual Raw'!D52</f>
        <v>#NAME?</v>
      </c>
      <c r="D152" s="23" t="e">
        <f ca="1">'Annual Raw'!E52</f>
        <v>#NAME?</v>
      </c>
      <c r="E152" s="23" t="e">
        <f ca="1">'Annual Raw'!F52</f>
        <v>#NAME?</v>
      </c>
      <c r="F152" s="23" t="e">
        <f ca="1">'Annual Raw'!G52</f>
        <v>#NAME?</v>
      </c>
      <c r="G152" s="23" t="e">
        <f ca="1">'Annual Raw'!H52</f>
        <v>#NAME?</v>
      </c>
      <c r="H152" s="23" t="e">
        <f ca="1">'Annual Raw'!I52</f>
        <v>#NAME?</v>
      </c>
      <c r="I152" s="23" t="e">
        <f ca="1">'Annual Raw'!J52</f>
        <v>#NAME?</v>
      </c>
      <c r="J152" s="23" t="e">
        <f ca="1">'Annual Raw'!K52</f>
        <v>#NAME?</v>
      </c>
      <c r="K152" s="23" t="e">
        <f ca="1">'Annual Raw'!L52</f>
        <v>#NAME?</v>
      </c>
      <c r="L152" s="23" t="e">
        <f ca="1">'Annual Raw'!M52</f>
        <v>#NAME?</v>
      </c>
      <c r="M152" s="23" t="e">
        <f ca="1">'Annual Raw'!N52</f>
        <v>#NAME?</v>
      </c>
      <c r="N152" s="23" t="e">
        <f ca="1">'Annual Raw'!O52</f>
        <v>#NAME?</v>
      </c>
      <c r="O152" s="23" t="e">
        <f ca="1">'Annual Raw'!P52</f>
        <v>#NAME?</v>
      </c>
      <c r="P152" s="23" t="e">
        <f ca="1">'Annual Raw'!Q52</f>
        <v>#NAME?</v>
      </c>
      <c r="Q152" s="23" t="e">
        <f ca="1">'Annual Raw'!R52</f>
        <v>#NAME?</v>
      </c>
      <c r="R152" s="23" t="e">
        <f ca="1">'Annual Raw'!S52</f>
        <v>#NAME?</v>
      </c>
      <c r="S152" s="23" t="e">
        <f ca="1">'Annual Raw'!T52</f>
        <v>#NAME?</v>
      </c>
      <c r="T152" s="23" t="e">
        <f ca="1">'Annual Raw'!U52</f>
        <v>#NAME?</v>
      </c>
      <c r="U152" s="23" t="e">
        <f ca="1">'Annual Raw'!V52</f>
        <v>#NAME?</v>
      </c>
      <c r="V152" s="23" t="e">
        <f ca="1">'Annual Raw'!W52</f>
        <v>#NAME?</v>
      </c>
      <c r="W152" s="23" t="e">
        <f ca="1">'Annual Raw'!X52</f>
        <v>#NAME?</v>
      </c>
      <c r="X152" s="23" t="e">
        <f ca="1">'Annual Raw'!Y52</f>
        <v>#NAME?</v>
      </c>
      <c r="Y152" s="23" t="e">
        <f ca="1">'Annual Raw'!Z52</f>
        <v>#NAME?</v>
      </c>
      <c r="Z152" s="23" t="e">
        <f ca="1">'Annual Raw'!AA52</f>
        <v>#NAME?</v>
      </c>
      <c r="AA152" s="23" t="e">
        <f ca="1">'Annual Raw'!AB52</f>
        <v>#NAME?</v>
      </c>
      <c r="AB152" s="24">
        <f t="shared" si="1221"/>
        <v>0</v>
      </c>
      <c r="AC152" s="24">
        <f t="shared" si="1222"/>
        <v>0</v>
      </c>
      <c r="AD152" s="24">
        <f t="shared" si="1223"/>
        <v>0</v>
      </c>
      <c r="AE152" s="24">
        <f t="shared" si="1224"/>
        <v>0</v>
      </c>
      <c r="AJ152" s="23" t="e">
        <f ca="1">+'QTR Raw'!D66</f>
        <v>#NAME?</v>
      </c>
      <c r="AK152" s="23" t="e">
        <f t="shared" ca="1" si="1225"/>
        <v>#NAME?</v>
      </c>
      <c r="AL152" s="23" t="e">
        <f ca="1">+'QTR Raw'!F66</f>
        <v>#NAME?</v>
      </c>
      <c r="AM152" s="23" t="e">
        <f t="shared" ca="1" si="1225"/>
        <v>#NAME?</v>
      </c>
      <c r="AN152" s="23" t="e">
        <f ca="1">+'QTR Raw'!H66</f>
        <v>#NAME?</v>
      </c>
      <c r="AO152" s="23" t="e">
        <f t="shared" ca="1" si="1225"/>
        <v>#NAME?</v>
      </c>
      <c r="AP152" s="23" t="e">
        <f ca="1">+'QTR Raw'!J66</f>
        <v>#NAME?</v>
      </c>
      <c r="AQ152" s="23" t="e">
        <f t="shared" ca="1" si="1225"/>
        <v>#NAME?</v>
      </c>
      <c r="AR152" s="23" t="e">
        <f ca="1">+'QTR Raw'!L66</f>
        <v>#NAME?</v>
      </c>
      <c r="AS152" s="23" t="e">
        <f t="shared" ca="1" si="1225"/>
        <v>#NAME?</v>
      </c>
      <c r="AT152" s="23" t="e">
        <f ca="1">+'QTR Raw'!N66</f>
        <v>#NAME?</v>
      </c>
      <c r="AU152" s="23" t="e">
        <f t="shared" ca="1" si="1225"/>
        <v>#NAME?</v>
      </c>
      <c r="AV152" s="23" t="e">
        <f ca="1">+'QTR Raw'!P66</f>
        <v>#NAME?</v>
      </c>
      <c r="AW152" s="23" t="e">
        <f t="shared" ca="1" si="1225"/>
        <v>#NAME?</v>
      </c>
      <c r="AX152" s="23" t="e">
        <f ca="1">+'QTR Raw'!R66</f>
        <v>#NAME?</v>
      </c>
      <c r="AY152" s="23" t="e">
        <f t="shared" ca="1" si="1225"/>
        <v>#NAME?</v>
      </c>
      <c r="AZ152" s="23" t="e">
        <f ca="1">+'QTR Raw'!T66</f>
        <v>#NAME?</v>
      </c>
      <c r="BA152" s="23" t="e">
        <f t="shared" ca="1" si="1225"/>
        <v>#NAME?</v>
      </c>
      <c r="BB152" s="23" t="e">
        <f ca="1">+'QTR Raw'!V66</f>
        <v>#NAME?</v>
      </c>
      <c r="BC152" s="23" t="e">
        <f t="shared" ca="1" si="1225"/>
        <v>#NAME?</v>
      </c>
      <c r="BD152" s="23" t="e">
        <f ca="1">+'QTR Raw'!X66</f>
        <v>#NAME?</v>
      </c>
      <c r="BE152" s="23" t="e">
        <f t="shared" ca="1" si="1225"/>
        <v>#NAME?</v>
      </c>
      <c r="BF152" s="23" t="e">
        <f ca="1">+'QTR Raw'!Z66</f>
        <v>#NAME?</v>
      </c>
      <c r="BG152" s="23" t="e">
        <f t="shared" ca="1" si="1225"/>
        <v>#NAME?</v>
      </c>
      <c r="BH152" s="23" t="e">
        <f ca="1">+'QTR Raw'!AB66</f>
        <v>#NAME?</v>
      </c>
      <c r="BI152" s="23" t="e">
        <f t="shared" ca="1" si="1225"/>
        <v>#NAME?</v>
      </c>
      <c r="BJ152" s="23" t="e">
        <f ca="1">+'QTR Raw'!AD66</f>
        <v>#NAME?</v>
      </c>
      <c r="BK152" s="23" t="e">
        <f t="shared" ca="1" si="1225"/>
        <v>#NAME?</v>
      </c>
      <c r="BL152" s="23" t="e">
        <f ca="1">+'QTR Raw'!AF66</f>
        <v>#NAME?</v>
      </c>
      <c r="BM152" s="23" t="e">
        <f t="shared" ca="1" si="1225"/>
        <v>#NAME?</v>
      </c>
      <c r="BN152" s="23" t="e">
        <f ca="1">+'QTR Raw'!AH66</f>
        <v>#NAME?</v>
      </c>
      <c r="BO152" s="23" t="e">
        <f t="shared" ca="1" si="1225"/>
        <v>#NAME?</v>
      </c>
      <c r="BP152" s="23" t="e">
        <f ca="1">+'QTR Raw'!AJ66</f>
        <v>#NAME?</v>
      </c>
      <c r="BQ152" s="23" t="e">
        <f t="shared" ca="1" si="1225"/>
        <v>#NAME?</v>
      </c>
      <c r="BR152" s="23" t="e">
        <f ca="1">+'QTR Raw'!AL66</f>
        <v>#NAME?</v>
      </c>
      <c r="BS152" s="23" t="e">
        <f t="shared" ca="1" si="1225"/>
        <v>#NAME?</v>
      </c>
      <c r="BT152" s="23" t="e">
        <f ca="1">+'QTR Raw'!AN66</f>
        <v>#NAME?</v>
      </c>
      <c r="BU152" s="23" t="e">
        <f t="shared" ca="1" si="1225"/>
        <v>#NAME?</v>
      </c>
      <c r="BV152" s="23" t="e">
        <f ca="1">+'QTR Raw'!AP66</f>
        <v>#NAME?</v>
      </c>
      <c r="BW152" s="23" t="e">
        <f t="shared" ca="1" si="1225"/>
        <v>#NAME?</v>
      </c>
      <c r="BX152" s="23" t="e">
        <f ca="1">+'QTR Raw'!AR66</f>
        <v>#NAME?</v>
      </c>
      <c r="BY152" s="23" t="e">
        <f t="shared" ca="1" si="1225"/>
        <v>#NAME?</v>
      </c>
      <c r="BZ152" s="23" t="e">
        <f ca="1">+'QTR Raw'!AT66</f>
        <v>#NAME?</v>
      </c>
      <c r="CA152" s="23" t="e">
        <f t="shared" ca="1" si="1225"/>
        <v>#NAME?</v>
      </c>
      <c r="CB152" s="23" t="e">
        <f ca="1">+'QTR Raw'!AV66</f>
        <v>#NAME?</v>
      </c>
      <c r="CC152" s="23" t="e">
        <f t="shared" ca="1" si="1225"/>
        <v>#NAME?</v>
      </c>
      <c r="CD152" s="23" t="e">
        <f ca="1">+'QTR Raw'!AX66</f>
        <v>#NAME?</v>
      </c>
      <c r="CE152" s="23" t="e">
        <f t="shared" ca="1" si="1225"/>
        <v>#NAME?</v>
      </c>
      <c r="CF152" s="23" t="e">
        <f ca="1">+'QTR Raw'!AZ66</f>
        <v>#NAME?</v>
      </c>
      <c r="CG152" s="23" t="e">
        <f t="shared" ca="1" si="1226"/>
        <v>#NAME?</v>
      </c>
      <c r="CH152" s="23" t="e">
        <f t="shared" ca="1" si="1179"/>
        <v>#NAME?</v>
      </c>
      <c r="CJ152" s="23" t="e">
        <f ca="1">+'QTR Raw'!BD66</f>
        <v>#NAME?</v>
      </c>
      <c r="CK152" s="24"/>
      <c r="CL152" s="23" t="e">
        <f ca="1">+'QTR Raw'!BF66</f>
        <v>#NAME?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727.14</v>
      </c>
    </row>
    <row r="153" spans="1:110" s="23" customFormat="1" outlineLevel="1" x14ac:dyDescent="0.2">
      <c r="A153" s="23" t="s">
        <v>69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24" t="e">
        <f t="shared" ca="1" si="1221"/>
        <v>#NAME?</v>
      </c>
      <c r="AC153" s="24" t="e">
        <f t="shared" ca="1" si="1222"/>
        <v>#NAME?</v>
      </c>
      <c r="AD153" s="24" t="e">
        <f t="shared" ca="1" si="1223"/>
        <v>#NAME?</v>
      </c>
      <c r="AE153" s="24" t="e">
        <f t="shared" ca="1" si="1224"/>
        <v>#NAME?</v>
      </c>
      <c r="AJ153" s="23" t="e">
        <f ca="1">+'QTR Raw'!D87</f>
        <v>#NAME?</v>
      </c>
      <c r="AK153" s="23" t="e">
        <f t="shared" ca="1" si="1225"/>
        <v>#NAME?</v>
      </c>
      <c r="AL153" s="23" t="e">
        <f ca="1">+'QTR Raw'!F87</f>
        <v>#NAME?</v>
      </c>
      <c r="AM153" s="23" t="e">
        <f t="shared" ca="1" si="1225"/>
        <v>#NAME?</v>
      </c>
      <c r="AN153" s="23" t="e">
        <f ca="1">+'QTR Raw'!H87</f>
        <v>#NAME?</v>
      </c>
      <c r="AO153" s="23" t="e">
        <f t="shared" ca="1" si="1225"/>
        <v>#NAME?</v>
      </c>
      <c r="AP153" s="23" t="e">
        <f ca="1">+'QTR Raw'!J87</f>
        <v>#NAME?</v>
      </c>
      <c r="AQ153" s="23" t="e">
        <f t="shared" ca="1" si="1225"/>
        <v>#NAME?</v>
      </c>
      <c r="AR153" s="23" t="e">
        <f ca="1">+'QTR Raw'!L87</f>
        <v>#NAME?</v>
      </c>
      <c r="AS153" s="23" t="e">
        <f t="shared" ca="1" si="1225"/>
        <v>#NAME?</v>
      </c>
      <c r="AT153" s="23" t="e">
        <f ca="1">+'QTR Raw'!N87</f>
        <v>#NAME?</v>
      </c>
      <c r="AU153" s="23" t="e">
        <f t="shared" ca="1" si="1225"/>
        <v>#NAME?</v>
      </c>
      <c r="AV153" s="23" t="e">
        <f ca="1">+'QTR Raw'!P87</f>
        <v>#NAME?</v>
      </c>
      <c r="AW153" s="23" t="e">
        <f t="shared" ca="1" si="1225"/>
        <v>#NAME?</v>
      </c>
      <c r="AX153" s="23" t="e">
        <f ca="1">+'QTR Raw'!R87</f>
        <v>#NAME?</v>
      </c>
      <c r="AY153" s="23" t="e">
        <f t="shared" ca="1" si="1225"/>
        <v>#NAME?</v>
      </c>
      <c r="AZ153" s="23" t="e">
        <f ca="1">+'QTR Raw'!T87</f>
        <v>#NAME?</v>
      </c>
      <c r="BA153" s="23" t="e">
        <f t="shared" ca="1" si="1225"/>
        <v>#NAME?</v>
      </c>
      <c r="BB153" s="23" t="e">
        <f ca="1">+'QTR Raw'!V87</f>
        <v>#NAME?</v>
      </c>
      <c r="BC153" s="23" t="e">
        <f t="shared" ca="1" si="1225"/>
        <v>#NAME?</v>
      </c>
      <c r="BD153" s="23" t="e">
        <f ca="1">+'QTR Raw'!X87</f>
        <v>#NAME?</v>
      </c>
      <c r="BE153" s="23" t="e">
        <f t="shared" ca="1" si="1225"/>
        <v>#NAME?</v>
      </c>
      <c r="BF153" s="23" t="e">
        <f ca="1">+'QTR Raw'!Z87</f>
        <v>#NAME?</v>
      </c>
      <c r="BG153" s="23" t="e">
        <f t="shared" ca="1" si="1225"/>
        <v>#NAME?</v>
      </c>
      <c r="BH153" s="23" t="e">
        <f ca="1">+'QTR Raw'!AB87</f>
        <v>#NAME?</v>
      </c>
      <c r="BI153" s="23" t="e">
        <f t="shared" ca="1" si="1225"/>
        <v>#NAME?</v>
      </c>
      <c r="BJ153" s="23" t="e">
        <f ca="1">+'QTR Raw'!AD87</f>
        <v>#NAME?</v>
      </c>
      <c r="BK153" s="23" t="e">
        <f t="shared" ca="1" si="1225"/>
        <v>#NAME?</v>
      </c>
      <c r="BL153" s="23" t="e">
        <f ca="1">+'QTR Raw'!AF87</f>
        <v>#NAME?</v>
      </c>
      <c r="BM153" s="23" t="e">
        <f t="shared" ca="1" si="1225"/>
        <v>#NAME?</v>
      </c>
      <c r="BN153" s="23" t="e">
        <f ca="1">+'QTR Raw'!AH87</f>
        <v>#NAME?</v>
      </c>
      <c r="BO153" s="23" t="e">
        <f t="shared" ca="1" si="1225"/>
        <v>#NAME?</v>
      </c>
      <c r="BP153" s="23" t="e">
        <f ca="1">+'QTR Raw'!AJ87</f>
        <v>#NAME?</v>
      </c>
      <c r="BQ153" s="23" t="e">
        <f t="shared" ca="1" si="1225"/>
        <v>#NAME?</v>
      </c>
      <c r="BR153" s="23" t="e">
        <f ca="1">+'QTR Raw'!AL87</f>
        <v>#NAME?</v>
      </c>
      <c r="BS153" s="23" t="e">
        <f t="shared" ca="1" si="1225"/>
        <v>#NAME?</v>
      </c>
      <c r="BT153" s="23" t="e">
        <f ca="1">+'QTR Raw'!AN87</f>
        <v>#NAME?</v>
      </c>
      <c r="BU153" s="23" t="e">
        <f t="shared" ca="1" si="1225"/>
        <v>#NAME?</v>
      </c>
      <c r="BV153" s="23" t="e">
        <f ca="1">+'QTR Raw'!AP87</f>
        <v>#NAME?</v>
      </c>
      <c r="BW153" s="23" t="e">
        <f t="shared" ca="1" si="1225"/>
        <v>#NAME?</v>
      </c>
      <c r="BX153" s="23" t="e">
        <f ca="1">+'QTR Raw'!AR87</f>
        <v>#NAME?</v>
      </c>
      <c r="BY153" s="23" t="e">
        <f t="shared" ca="1" si="1225"/>
        <v>#NAME?</v>
      </c>
      <c r="BZ153" s="23" t="e">
        <f ca="1">+'QTR Raw'!AT87</f>
        <v>#NAME?</v>
      </c>
      <c r="CA153" s="23" t="e">
        <f t="shared" ca="1" si="1225"/>
        <v>#NAME?</v>
      </c>
      <c r="CB153" s="23" t="e">
        <f ca="1">+'QTR Raw'!AV87</f>
        <v>#NAME?</v>
      </c>
      <c r="CC153" s="23" t="e">
        <f t="shared" ca="1" si="1225"/>
        <v>#NAME?</v>
      </c>
      <c r="CD153" s="23" t="e">
        <f ca="1">+'QTR Raw'!AX87</f>
        <v>#NAME?</v>
      </c>
      <c r="CE153" s="23" t="e">
        <f t="shared" ca="1" si="1225"/>
        <v>#NAME?</v>
      </c>
      <c r="CF153" s="23" t="e">
        <f ca="1">+'QTR Raw'!AZ87</f>
        <v>#NAME?</v>
      </c>
      <c r="CG153" s="23" t="e">
        <f t="shared" ca="1" si="1226"/>
        <v>#NAME?</v>
      </c>
      <c r="CH153" s="23">
        <f t="shared" si="1179"/>
        <v>0</v>
      </c>
      <c r="CI153" s="23" t="e">
        <f ca="1">CI10/90*CI185</f>
        <v>#NAME?</v>
      </c>
      <c r="CJ153" s="23" t="e">
        <f ca="1">+'QTR Raw'!BD87</f>
        <v>#NAME?</v>
      </c>
      <c r="CK153" s="24" t="e">
        <f t="shared" ref="CK153:DB153" ca="1" si="1227">CK10/90*CK185</f>
        <v>#NAME?</v>
      </c>
      <c r="CL153" s="23" t="e">
        <f ca="1">+'QTR Raw'!BF87</f>
        <v>#NAME?</v>
      </c>
      <c r="CM153" s="24" t="e">
        <f t="shared" ca="1" si="1227"/>
        <v>#NAME?</v>
      </c>
      <c r="CN153" s="24" t="e">
        <f t="shared" ca="1" si="1227"/>
        <v>#NAME?</v>
      </c>
      <c r="CO153" s="24" t="e">
        <f t="shared" ca="1" si="1227"/>
        <v>#NAME?</v>
      </c>
      <c r="CP153" s="24" t="e">
        <f t="shared" ca="1" si="1227"/>
        <v>#NAME?</v>
      </c>
      <c r="CQ153" s="24" t="e">
        <f t="shared" ca="1" si="1227"/>
        <v>#NAME?</v>
      </c>
      <c r="CR153" s="24" t="e">
        <f t="shared" ca="1" si="1227"/>
        <v>#NAME?</v>
      </c>
      <c r="CS153" s="24" t="e">
        <f t="shared" ca="1" si="1227"/>
        <v>#NAME?</v>
      </c>
      <c r="CT153" s="24" t="e">
        <f t="shared" ca="1" si="1227"/>
        <v>#NAME?</v>
      </c>
      <c r="CU153" s="24" t="e">
        <f t="shared" ca="1" si="1227"/>
        <v>#NAME?</v>
      </c>
      <c r="CV153" s="24" t="e">
        <f t="shared" ca="1" si="1227"/>
        <v>#NAME?</v>
      </c>
      <c r="CW153" s="24" t="e">
        <f t="shared" ca="1" si="1227"/>
        <v>#NAME?</v>
      </c>
      <c r="CX153" s="24" t="e">
        <f t="shared" ca="1" si="1227"/>
        <v>#NAME?</v>
      </c>
      <c r="CY153" s="24" t="e">
        <f t="shared" ca="1" si="1227"/>
        <v>#NAME?</v>
      </c>
      <c r="CZ153" s="24" t="e">
        <f t="shared" ca="1" si="1227"/>
        <v>#NAME?</v>
      </c>
      <c r="DA153" s="24" t="e">
        <f t="shared" ca="1" si="1227"/>
        <v>#NAME?</v>
      </c>
      <c r="DB153" s="24" t="e">
        <f t="shared" ca="1" si="1227"/>
        <v>#NAME?</v>
      </c>
      <c r="DE153" s="123"/>
      <c r="DF153" s="23">
        <v>0</v>
      </c>
    </row>
    <row r="154" spans="1:110" s="23" customFormat="1" outlineLevel="1" x14ac:dyDescent="0.2">
      <c r="A154" s="23" t="s">
        <v>70</v>
      </c>
      <c r="B154" s="23" t="e">
        <f ca="1">'Annual Raw'!C54</f>
        <v>#NAME?</v>
      </c>
      <c r="C154" s="23" t="e">
        <f ca="1">'Annual Raw'!D54</f>
        <v>#NAME?</v>
      </c>
      <c r="D154" s="23" t="e">
        <f ca="1">'Annual Raw'!E54</f>
        <v>#NAME?</v>
      </c>
      <c r="E154" s="23" t="e">
        <f ca="1">'Annual Raw'!F54</f>
        <v>#NAME?</v>
      </c>
      <c r="F154" s="23" t="e">
        <f ca="1">'Annual Raw'!G54</f>
        <v>#NAME?</v>
      </c>
      <c r="G154" s="23" t="e">
        <f ca="1">'Annual Raw'!H54</f>
        <v>#NAME?</v>
      </c>
      <c r="H154" s="23" t="e">
        <f ca="1">'Annual Raw'!I54</f>
        <v>#NAME?</v>
      </c>
      <c r="I154" s="23" t="e">
        <f ca="1">'Annual Raw'!J54</f>
        <v>#NAME?</v>
      </c>
      <c r="J154" s="23" t="e">
        <f ca="1">'Annual Raw'!K54</f>
        <v>#NAME?</v>
      </c>
      <c r="K154" s="23" t="e">
        <f ca="1">'Annual Raw'!L54</f>
        <v>#NAME?</v>
      </c>
      <c r="L154" s="23" t="e">
        <f ca="1">'Annual Raw'!M54</f>
        <v>#NAME?</v>
      </c>
      <c r="M154" s="23" t="e">
        <f ca="1">'Annual Raw'!N54</f>
        <v>#NAME?</v>
      </c>
      <c r="N154" s="23" t="e">
        <f ca="1">'Annual Raw'!O54</f>
        <v>#NAME?</v>
      </c>
      <c r="O154" s="23" t="e">
        <f ca="1">'Annual Raw'!P54</f>
        <v>#NAME?</v>
      </c>
      <c r="P154" s="23" t="e">
        <f ca="1">'Annual Raw'!Q54</f>
        <v>#NAME?</v>
      </c>
      <c r="Q154" s="23" t="e">
        <f ca="1">'Annual Raw'!R54</f>
        <v>#NAME?</v>
      </c>
      <c r="R154" s="23" t="e">
        <f ca="1">'Annual Raw'!S54</f>
        <v>#NAME?</v>
      </c>
      <c r="S154" s="23" t="e">
        <f ca="1">'Annual Raw'!T54</f>
        <v>#NAME?</v>
      </c>
      <c r="T154" s="23" t="e">
        <f ca="1">'Annual Raw'!U54</f>
        <v>#NAME?</v>
      </c>
      <c r="U154" s="23" t="e">
        <f ca="1">'Annual Raw'!V54</f>
        <v>#NAME?</v>
      </c>
      <c r="V154" s="23" t="e">
        <f ca="1">'Annual Raw'!W54</f>
        <v>#NAME?</v>
      </c>
      <c r="W154" s="23" t="e">
        <f ca="1">'Annual Raw'!X54</f>
        <v>#NAME?</v>
      </c>
      <c r="X154" s="23" t="e">
        <f ca="1">'Annual Raw'!Y54</f>
        <v>#NAME?</v>
      </c>
      <c r="Y154" s="23" t="e">
        <f ca="1">'Annual Raw'!Z54</f>
        <v>#NAME?</v>
      </c>
      <c r="Z154" s="23" t="e">
        <f ca="1">'Annual Raw'!AA54</f>
        <v>#NAME?</v>
      </c>
      <c r="AA154" s="23" t="e">
        <f ca="1">'Annual Raw'!AB54</f>
        <v>#NAME?</v>
      </c>
      <c r="AB154" s="24" t="e">
        <f t="shared" ca="1" si="1221"/>
        <v>#NAME?</v>
      </c>
      <c r="AC154" s="24" t="e">
        <f t="shared" ca="1" si="1222"/>
        <v>#NAME?</v>
      </c>
      <c r="AD154" s="24" t="e">
        <f t="shared" ca="1" si="1223"/>
        <v>#NAME?</v>
      </c>
      <c r="AE154" s="24" t="e">
        <f t="shared" ca="1" si="1224"/>
        <v>#NAME?</v>
      </c>
      <c r="AJ154" s="23" t="e">
        <f ca="1">+'QTR Raw'!D89</f>
        <v>#NAME?</v>
      </c>
      <c r="AK154" s="23" t="e">
        <f ca="1">+AK184*AK10/90</f>
        <v>#NAME?</v>
      </c>
      <c r="AL154" s="23" t="e">
        <f ca="1">+'QTR Raw'!F89</f>
        <v>#NAME?</v>
      </c>
      <c r="AM154" s="23" t="e">
        <f ca="1">+AM184*AM10/90</f>
        <v>#NAME?</v>
      </c>
      <c r="AN154" s="23" t="e">
        <f ca="1">+'QTR Raw'!H89</f>
        <v>#NAME?</v>
      </c>
      <c r="AO154" s="23" t="e">
        <f ca="1">+AO184*AO10/90</f>
        <v>#NAME?</v>
      </c>
      <c r="AP154" s="23" t="e">
        <f ca="1">+'QTR Raw'!J89</f>
        <v>#NAME?</v>
      </c>
      <c r="AQ154" s="23" t="e">
        <f ca="1">+AQ184*AQ10/90</f>
        <v>#NAME?</v>
      </c>
      <c r="AR154" s="23" t="e">
        <f ca="1">+'QTR Raw'!L89</f>
        <v>#NAME?</v>
      </c>
      <c r="AS154" s="23" t="e">
        <f ca="1">+AS184*AS10/90</f>
        <v>#NAME?</v>
      </c>
      <c r="AT154" s="23" t="e">
        <f ca="1">+'QTR Raw'!N89</f>
        <v>#NAME?</v>
      </c>
      <c r="AU154" s="23" t="e">
        <f ca="1">+AU184*AU10/90</f>
        <v>#NAME?</v>
      </c>
      <c r="AV154" s="23" t="e">
        <f ca="1">+'QTR Raw'!P89</f>
        <v>#NAME?</v>
      </c>
      <c r="AW154" s="23" t="e">
        <f ca="1">+AW184*AW10/90</f>
        <v>#NAME?</v>
      </c>
      <c r="AX154" s="23" t="e">
        <f ca="1">+'QTR Raw'!R89</f>
        <v>#NAME?</v>
      </c>
      <c r="AY154" s="23" t="e">
        <f ca="1">+AY184*AY10/90</f>
        <v>#NAME?</v>
      </c>
      <c r="AZ154" s="23" t="e">
        <f ca="1">+'QTR Raw'!T89</f>
        <v>#NAME?</v>
      </c>
      <c r="BA154" s="23" t="e">
        <f ca="1">+BA184*BA10/90</f>
        <v>#NAME?</v>
      </c>
      <c r="BB154" s="23" t="e">
        <f ca="1">+'QTR Raw'!V89</f>
        <v>#NAME?</v>
      </c>
      <c r="BC154" s="23" t="e">
        <f ca="1">+BC184*BC10/90</f>
        <v>#NAME?</v>
      </c>
      <c r="BD154" s="23" t="e">
        <f ca="1">+'QTR Raw'!X89</f>
        <v>#NAME?</v>
      </c>
      <c r="BE154" s="23" t="e">
        <f ca="1">+BE184*BE10/90</f>
        <v>#NAME?</v>
      </c>
      <c r="BF154" s="23" t="e">
        <f ca="1">+'QTR Raw'!Z89</f>
        <v>#NAME?</v>
      </c>
      <c r="BG154" s="23" t="e">
        <f ca="1">+BG184*BG10/90</f>
        <v>#NAME?</v>
      </c>
      <c r="BH154" s="23" t="e">
        <f ca="1">+'QTR Raw'!AB89</f>
        <v>#NAME?</v>
      </c>
      <c r="BI154" s="23" t="e">
        <f ca="1">+BI184*BI10/90</f>
        <v>#NAME?</v>
      </c>
      <c r="BJ154" s="23" t="e">
        <f ca="1">+'QTR Raw'!AD89</f>
        <v>#NAME?</v>
      </c>
      <c r="BK154" s="23" t="e">
        <f ca="1">+BK184*BK10/90</f>
        <v>#NAME?</v>
      </c>
      <c r="BL154" s="23" t="e">
        <f ca="1">+'QTR Raw'!AF89</f>
        <v>#NAME?</v>
      </c>
      <c r="BM154" s="23" t="e">
        <f ca="1">+BM184*BM10/90</f>
        <v>#NAME?</v>
      </c>
      <c r="BN154" s="23" t="e">
        <f ca="1">+'QTR Raw'!AH89</f>
        <v>#NAME?</v>
      </c>
      <c r="BO154" s="23" t="e">
        <f ca="1">+BO184*BO10/90</f>
        <v>#NAME?</v>
      </c>
      <c r="BP154" s="23" t="e">
        <f ca="1">+'QTR Raw'!AJ89</f>
        <v>#NAME?</v>
      </c>
      <c r="BQ154" s="23" t="e">
        <f ca="1">+BQ184*BQ10/90</f>
        <v>#NAME?</v>
      </c>
      <c r="BR154" s="23" t="e">
        <f ca="1">+'QTR Raw'!AL89</f>
        <v>#NAME?</v>
      </c>
      <c r="BS154" s="23" t="e">
        <f ca="1">+BS184*BS10/90</f>
        <v>#NAME?</v>
      </c>
      <c r="BT154" s="23" t="e">
        <f ca="1">+'QTR Raw'!AN89</f>
        <v>#NAME?</v>
      </c>
      <c r="BU154" s="23" t="e">
        <f ca="1">+BU184*BU10/90</f>
        <v>#NAME?</v>
      </c>
      <c r="BV154" s="23" t="e">
        <f ca="1">+'QTR Raw'!AP89</f>
        <v>#NAME?</v>
      </c>
      <c r="BW154" s="23" t="e">
        <f ca="1">+BW184*BW10/90</f>
        <v>#NAME?</v>
      </c>
      <c r="BX154" s="23" t="e">
        <f ca="1">+'QTR Raw'!AR89</f>
        <v>#NAME?</v>
      </c>
      <c r="BY154" s="23" t="e">
        <f ca="1">+BY184*BY10/90</f>
        <v>#NAME?</v>
      </c>
      <c r="BZ154" s="23" t="e">
        <f ca="1">+'QTR Raw'!AT89</f>
        <v>#NAME?</v>
      </c>
      <c r="CA154" s="23" t="e">
        <f ca="1">+CA184*CA10/90</f>
        <v>#NAME?</v>
      </c>
      <c r="CB154" s="23" t="e">
        <f ca="1">+'QTR Raw'!AV89</f>
        <v>#NAME?</v>
      </c>
      <c r="CC154" s="23" t="e">
        <f ca="1">+CC184*CC10/90</f>
        <v>#NAME?</v>
      </c>
      <c r="CD154" s="23" t="e">
        <f ca="1">+'QTR Raw'!AX89</f>
        <v>#NAME?</v>
      </c>
      <c r="CE154" s="23" t="e">
        <f ca="1">+CE184*CE10/90</f>
        <v>#NAME?</v>
      </c>
      <c r="CF154" s="23" t="e">
        <f ca="1">+'QTR Raw'!AZ89</f>
        <v>#NAME?</v>
      </c>
      <c r="CG154" s="23" t="e">
        <f ca="1">+CG184*CG10/90</f>
        <v>#NAME?</v>
      </c>
      <c r="CH154" s="23" t="e">
        <f t="shared" ca="1" si="1179"/>
        <v>#NAME?</v>
      </c>
      <c r="CI154" s="23" t="e">
        <f ca="1">+CI184*CI10/90</f>
        <v>#NAME?</v>
      </c>
      <c r="CJ154" s="23" t="e">
        <f ca="1">+'QTR Raw'!BD89</f>
        <v>#NAME?</v>
      </c>
      <c r="CK154" s="24" t="e">
        <f t="shared" ref="CK154:DB154" ca="1" si="1228">+CK184*CK10/90</f>
        <v>#NAME?</v>
      </c>
      <c r="CL154" s="23" t="e">
        <f ca="1">+'QTR Raw'!BF89</f>
        <v>#NAME?</v>
      </c>
      <c r="CM154" s="24" t="e">
        <f t="shared" ca="1" si="1228"/>
        <v>#NAME?</v>
      </c>
      <c r="CN154" s="24" t="e">
        <f t="shared" ca="1" si="1228"/>
        <v>#NAME?</v>
      </c>
      <c r="CO154" s="24" t="e">
        <f t="shared" ca="1" si="1228"/>
        <v>#NAME?</v>
      </c>
      <c r="CP154" s="24" t="e">
        <f t="shared" ca="1" si="1228"/>
        <v>#NAME?</v>
      </c>
      <c r="CQ154" s="24" t="e">
        <f t="shared" ca="1" si="1228"/>
        <v>#NAME?</v>
      </c>
      <c r="CR154" s="24" t="e">
        <f t="shared" ca="1" si="1228"/>
        <v>#NAME?</v>
      </c>
      <c r="CS154" s="24" t="e">
        <f t="shared" ca="1" si="1228"/>
        <v>#NAME?</v>
      </c>
      <c r="CT154" s="24" t="e">
        <f t="shared" ca="1" si="1228"/>
        <v>#NAME?</v>
      </c>
      <c r="CU154" s="24" t="e">
        <f t="shared" ca="1" si="1228"/>
        <v>#NAME?</v>
      </c>
      <c r="CV154" s="24" t="e">
        <f t="shared" ca="1" si="1228"/>
        <v>#NAME?</v>
      </c>
      <c r="CW154" s="24" t="e">
        <f t="shared" ca="1" si="1228"/>
        <v>#NAME?</v>
      </c>
      <c r="CX154" s="24" t="e">
        <f t="shared" ca="1" si="1228"/>
        <v>#NAME?</v>
      </c>
      <c r="CY154" s="24" t="e">
        <f t="shared" ca="1" si="1228"/>
        <v>#NAME?</v>
      </c>
      <c r="CZ154" s="24" t="e">
        <f t="shared" ca="1" si="1228"/>
        <v>#NAME?</v>
      </c>
      <c r="DA154" s="24" t="e">
        <f t="shared" ca="1" si="1228"/>
        <v>#NAME?</v>
      </c>
      <c r="DB154" s="24" t="e">
        <f t="shared" ca="1" si="1228"/>
        <v>#NAME?</v>
      </c>
      <c r="DE154" s="123"/>
      <c r="DF154" s="23">
        <v>20289.87</v>
      </c>
    </row>
    <row r="155" spans="1:110" s="23" customFormat="1" outlineLevel="1" x14ac:dyDescent="0.2">
      <c r="A155" s="23" t="s">
        <v>71</v>
      </c>
      <c r="B155" s="23" t="e">
        <f ca="1">'Annual Raw'!C55-Template!B127</f>
        <v>#NAME?</v>
      </c>
      <c r="C155" s="23" t="e">
        <f ca="1">'Annual Raw'!D55-Template!C127</f>
        <v>#NAME?</v>
      </c>
      <c r="D155" s="23" t="e">
        <f ca="1">'Annual Raw'!E55-Template!D127</f>
        <v>#NAME?</v>
      </c>
      <c r="E155" s="23" t="e">
        <f ca="1">'Annual Raw'!F55-Template!E127</f>
        <v>#NAME?</v>
      </c>
      <c r="F155" s="23" t="e">
        <f ca="1">'Annual Raw'!G55-Template!F127</f>
        <v>#NAME?</v>
      </c>
      <c r="G155" s="23" t="e">
        <f ca="1">'Annual Raw'!H55-Template!G127</f>
        <v>#NAME?</v>
      </c>
      <c r="H155" s="23" t="e">
        <f ca="1">'Annual Raw'!I55-Template!H127</f>
        <v>#NAME?</v>
      </c>
      <c r="I155" s="23" t="e">
        <f ca="1">'Annual Raw'!J55-Template!I127</f>
        <v>#NAME?</v>
      </c>
      <c r="J155" s="23" t="e">
        <f ca="1">'Annual Raw'!K55-Template!J127</f>
        <v>#NAME?</v>
      </c>
      <c r="K155" s="23" t="e">
        <f ca="1">'Annual Raw'!L55-Template!K127</f>
        <v>#NAME?</v>
      </c>
      <c r="L155" s="23" t="e">
        <f ca="1">'Annual Raw'!M55-Template!L127</f>
        <v>#NAME?</v>
      </c>
      <c r="M155" s="23" t="e">
        <f ca="1">'Annual Raw'!N55-Template!M127</f>
        <v>#NAME?</v>
      </c>
      <c r="N155" s="23" t="e">
        <f ca="1">'Annual Raw'!O55-Template!N127</f>
        <v>#NAME?</v>
      </c>
      <c r="O155" s="23" t="e">
        <f ca="1">'Annual Raw'!P55-Template!O127</f>
        <v>#NAME?</v>
      </c>
      <c r="P155" s="23" t="e">
        <f ca="1">'Annual Raw'!Q55-Template!P127</f>
        <v>#NAME?</v>
      </c>
      <c r="Q155" s="23" t="e">
        <f ca="1">'Annual Raw'!R55-Template!Q127</f>
        <v>#NAME?</v>
      </c>
      <c r="R155" s="23" t="e">
        <f ca="1">'Annual Raw'!S55-Template!R127</f>
        <v>#NAME?</v>
      </c>
      <c r="S155" s="23" t="e">
        <f ca="1">'Annual Raw'!T55-Template!S127</f>
        <v>#NAME?</v>
      </c>
      <c r="T155" s="23" t="e">
        <f ca="1">'Annual Raw'!U55-Template!T127</f>
        <v>#NAME?</v>
      </c>
      <c r="U155" s="23" t="e">
        <f ca="1">'Annual Raw'!V55-Template!U127</f>
        <v>#NAME?</v>
      </c>
      <c r="V155" s="23" t="e">
        <f ca="1">'Annual Raw'!W55-Template!V127</f>
        <v>#NAME?</v>
      </c>
      <c r="W155" s="23" t="e">
        <f ca="1">'Annual Raw'!X55-Template!W127</f>
        <v>#NAME?</v>
      </c>
      <c r="X155" s="23" t="e">
        <f ca="1">'Annual Raw'!Y55-Template!X127</f>
        <v>#NAME?</v>
      </c>
      <c r="Y155" s="23" t="e">
        <f ca="1">'Annual Raw'!Z55-Template!Y127</f>
        <v>#NAME?</v>
      </c>
      <c r="Z155" s="23" t="e">
        <f ca="1">'Annual Raw'!AA55-Template!Z127</f>
        <v>#NAME?</v>
      </c>
      <c r="AA155" s="23" t="e">
        <f ca="1">'Annual Raw'!AB55-Template!AA127</f>
        <v>#NAME?</v>
      </c>
      <c r="AB155" s="24">
        <f t="shared" si="1221"/>
        <v>0</v>
      </c>
      <c r="AC155" s="24">
        <f t="shared" si="1222"/>
        <v>0</v>
      </c>
      <c r="AD155" s="24">
        <f t="shared" si="1223"/>
        <v>0</v>
      </c>
      <c r="AE155" s="24">
        <f t="shared" si="1224"/>
        <v>0</v>
      </c>
      <c r="AJ155" s="23" t="e">
        <f ca="1">+'QTR Raw'!D91</f>
        <v>#NAME?</v>
      </c>
      <c r="AK155" s="23" t="e">
        <f t="shared" ca="1" si="1225"/>
        <v>#NAME?</v>
      </c>
      <c r="AL155" s="23" t="e">
        <f ca="1">+'QTR Raw'!F91</f>
        <v>#NAME?</v>
      </c>
      <c r="AM155" s="23" t="e">
        <f t="shared" ca="1" si="1225"/>
        <v>#NAME?</v>
      </c>
      <c r="AN155" s="23" t="e">
        <f ca="1">+'QTR Raw'!H91</f>
        <v>#NAME?</v>
      </c>
      <c r="AO155" s="23" t="e">
        <f t="shared" ca="1" si="1225"/>
        <v>#NAME?</v>
      </c>
      <c r="AP155" s="23" t="e">
        <f ca="1">+'QTR Raw'!J91</f>
        <v>#NAME?</v>
      </c>
      <c r="AQ155" s="23" t="e">
        <f t="shared" ca="1" si="1225"/>
        <v>#NAME?</v>
      </c>
      <c r="AR155" s="23" t="e">
        <f ca="1">+'QTR Raw'!L91</f>
        <v>#NAME?</v>
      </c>
      <c r="AS155" s="23" t="e">
        <f t="shared" ca="1" si="1225"/>
        <v>#NAME?</v>
      </c>
      <c r="AT155" s="23" t="e">
        <f ca="1">+'QTR Raw'!N91</f>
        <v>#NAME?</v>
      </c>
      <c r="AU155" s="23" t="e">
        <f t="shared" ca="1" si="1225"/>
        <v>#NAME?</v>
      </c>
      <c r="AV155" s="23" t="e">
        <f ca="1">+'QTR Raw'!P91</f>
        <v>#NAME?</v>
      </c>
      <c r="AW155" s="23" t="e">
        <f t="shared" ca="1" si="1225"/>
        <v>#NAME?</v>
      </c>
      <c r="AX155" s="23" t="e">
        <f ca="1">+'QTR Raw'!R91</f>
        <v>#NAME?</v>
      </c>
      <c r="AY155" s="23" t="e">
        <f t="shared" ca="1" si="1225"/>
        <v>#NAME?</v>
      </c>
      <c r="AZ155" s="23" t="e">
        <f ca="1">+'QTR Raw'!T91</f>
        <v>#NAME?</v>
      </c>
      <c r="BA155" s="23" t="e">
        <f t="shared" ca="1" si="1225"/>
        <v>#NAME?</v>
      </c>
      <c r="BB155" s="23" t="e">
        <f ca="1">+'QTR Raw'!V91</f>
        <v>#NAME?</v>
      </c>
      <c r="BC155" s="23" t="e">
        <f t="shared" ca="1" si="1225"/>
        <v>#NAME?</v>
      </c>
      <c r="BD155" s="23" t="e">
        <f ca="1">+'QTR Raw'!X91</f>
        <v>#NAME?</v>
      </c>
      <c r="BE155" s="23" t="e">
        <f t="shared" ca="1" si="1225"/>
        <v>#NAME?</v>
      </c>
      <c r="BF155" s="23" t="e">
        <f ca="1">+'QTR Raw'!Z91</f>
        <v>#NAME?</v>
      </c>
      <c r="BG155" s="23" t="e">
        <f t="shared" ca="1" si="1225"/>
        <v>#NAME?</v>
      </c>
      <c r="BH155" s="23" t="e">
        <f ca="1">+'QTR Raw'!AB91</f>
        <v>#NAME?</v>
      </c>
      <c r="BI155" s="23" t="e">
        <f t="shared" ca="1" si="1225"/>
        <v>#NAME?</v>
      </c>
      <c r="BJ155" s="23" t="e">
        <f ca="1">+'QTR Raw'!AD91</f>
        <v>#NAME?</v>
      </c>
      <c r="BK155" s="23" t="e">
        <f t="shared" ca="1" si="1225"/>
        <v>#NAME?</v>
      </c>
      <c r="BL155" s="23" t="e">
        <f ca="1">+'QTR Raw'!AF91</f>
        <v>#NAME?</v>
      </c>
      <c r="BM155" s="23" t="e">
        <f t="shared" ca="1" si="1225"/>
        <v>#NAME?</v>
      </c>
      <c r="BN155" s="23" t="e">
        <f ca="1">+'QTR Raw'!AH91</f>
        <v>#NAME?</v>
      </c>
      <c r="BO155" s="23" t="e">
        <f t="shared" ca="1" si="1225"/>
        <v>#NAME?</v>
      </c>
      <c r="BP155" s="23" t="e">
        <f ca="1">+'QTR Raw'!AJ91</f>
        <v>#NAME?</v>
      </c>
      <c r="BQ155" s="23" t="e">
        <f t="shared" ca="1" si="1225"/>
        <v>#NAME?</v>
      </c>
      <c r="BR155" s="23" t="e">
        <f ca="1">+'QTR Raw'!AL91</f>
        <v>#NAME?</v>
      </c>
      <c r="BS155" s="23" t="e">
        <f t="shared" ca="1" si="1225"/>
        <v>#NAME?</v>
      </c>
      <c r="BT155" s="23" t="e">
        <f ca="1">+'QTR Raw'!AN91</f>
        <v>#NAME?</v>
      </c>
      <c r="BU155" s="23" t="e">
        <f t="shared" ca="1" si="1225"/>
        <v>#NAME?</v>
      </c>
      <c r="BV155" s="23" t="e">
        <f ca="1">+'QTR Raw'!AP91</f>
        <v>#NAME?</v>
      </c>
      <c r="BW155" s="23" t="e">
        <f t="shared" ca="1" si="1225"/>
        <v>#NAME?</v>
      </c>
      <c r="BX155" s="23" t="e">
        <f ca="1">+'QTR Raw'!AR91</f>
        <v>#NAME?</v>
      </c>
      <c r="BY155" s="23" t="e">
        <f t="shared" ca="1" si="1225"/>
        <v>#NAME?</v>
      </c>
      <c r="BZ155" s="23" t="e">
        <f ca="1">+'QTR Raw'!AT91</f>
        <v>#NAME?</v>
      </c>
      <c r="CA155" s="23" t="e">
        <f t="shared" ca="1" si="1225"/>
        <v>#NAME?</v>
      </c>
      <c r="CB155" s="23" t="e">
        <f ca="1">+'QTR Raw'!AV91</f>
        <v>#NAME?</v>
      </c>
      <c r="CC155" s="23" t="e">
        <f t="shared" ca="1" si="1225"/>
        <v>#NAME?</v>
      </c>
      <c r="CD155" s="23" t="e">
        <f ca="1">+'QTR Raw'!AX91</f>
        <v>#NAME?</v>
      </c>
      <c r="CE155" s="23" t="e">
        <f t="shared" ca="1" si="1225"/>
        <v>#NAME?</v>
      </c>
      <c r="CF155" s="23" t="e">
        <f ca="1">+'QTR Raw'!AZ91</f>
        <v>#NAME?</v>
      </c>
      <c r="CG155" s="23" t="e">
        <f t="shared" ref="CG155:CG156" ca="1" si="1229">+CF155</f>
        <v>#NAME?</v>
      </c>
      <c r="CH155" s="23" t="e">
        <f t="shared" ca="1" si="1179"/>
        <v>#NAME?</v>
      </c>
      <c r="CJ155" s="23" t="e">
        <f ca="1">+'QTR Raw'!BD91</f>
        <v>#NAME?</v>
      </c>
      <c r="CK155" s="24"/>
      <c r="CL155" s="23" t="e">
        <f ca="1">+'QTR Raw'!BF91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27798.94</v>
      </c>
    </row>
    <row r="156" spans="1:110" s="23" customFormat="1" outlineLevel="1" x14ac:dyDescent="0.2">
      <c r="A156" s="23" t="s">
        <v>72</v>
      </c>
      <c r="B156" s="23" t="e">
        <f ca="1">'Annual Raw'!C57</f>
        <v>#NAME?</v>
      </c>
      <c r="C156" s="23" t="e">
        <f ca="1">'Annual Raw'!D57</f>
        <v>#NAME?</v>
      </c>
      <c r="D156" s="23" t="e">
        <f ca="1">'Annual Raw'!E57</f>
        <v>#NAME?</v>
      </c>
      <c r="E156" s="23" t="e">
        <f ca="1">'Annual Raw'!F57</f>
        <v>#NAME?</v>
      </c>
      <c r="F156" s="23" t="e">
        <f ca="1">'Annual Raw'!G57</f>
        <v>#NAME?</v>
      </c>
      <c r="G156" s="23" t="e">
        <f ca="1">'Annual Raw'!H57</f>
        <v>#NAME?</v>
      </c>
      <c r="H156" s="23" t="e">
        <f ca="1">'Annual Raw'!I57</f>
        <v>#NAME?</v>
      </c>
      <c r="I156" s="23" t="e">
        <f ca="1">'Annual Raw'!J57</f>
        <v>#NAME?</v>
      </c>
      <c r="J156" s="23" t="e">
        <f ca="1">'Annual Raw'!K57</f>
        <v>#NAME?</v>
      </c>
      <c r="K156" s="23" t="e">
        <f ca="1">'Annual Raw'!L57</f>
        <v>#NAME?</v>
      </c>
      <c r="L156" s="23" t="e">
        <f ca="1">'Annual Raw'!M57</f>
        <v>#NAME?</v>
      </c>
      <c r="M156" s="23" t="e">
        <f ca="1">'Annual Raw'!N57</f>
        <v>#NAME?</v>
      </c>
      <c r="N156" s="23" t="e">
        <f ca="1">'Annual Raw'!O57</f>
        <v>#NAME?</v>
      </c>
      <c r="O156" s="23" t="e">
        <f ca="1">'Annual Raw'!P57</f>
        <v>#NAME?</v>
      </c>
      <c r="P156" s="23" t="e">
        <f ca="1">'Annual Raw'!Q57</f>
        <v>#NAME?</v>
      </c>
      <c r="Q156" s="23" t="e">
        <f ca="1">'Annual Raw'!R57</f>
        <v>#NAME?</v>
      </c>
      <c r="R156" s="23" t="e">
        <f ca="1">'Annual Raw'!S57</f>
        <v>#NAME?</v>
      </c>
      <c r="S156" s="23" t="e">
        <f ca="1">'Annual Raw'!T57</f>
        <v>#NAME?</v>
      </c>
      <c r="T156" s="23" t="e">
        <f ca="1">'Annual Raw'!U57</f>
        <v>#NAME?</v>
      </c>
      <c r="U156" s="23" t="e">
        <f ca="1">'Annual Raw'!V57</f>
        <v>#NAME?</v>
      </c>
      <c r="V156" s="23" t="e">
        <f ca="1">'Annual Raw'!W57</f>
        <v>#NAME?</v>
      </c>
      <c r="W156" s="23" t="e">
        <f ca="1">'Annual Raw'!X57</f>
        <v>#NAME?</v>
      </c>
      <c r="X156" s="23" t="e">
        <f ca="1">'Annual Raw'!Y57</f>
        <v>#NAME?</v>
      </c>
      <c r="Y156" s="23" t="e">
        <f ca="1">'Annual Raw'!Z57</f>
        <v>#NAME?</v>
      </c>
      <c r="Z156" s="23" t="e">
        <f ca="1">'Annual Raw'!AA57</f>
        <v>#NAME?</v>
      </c>
      <c r="AA156" s="23" t="e">
        <f ca="1">'Annual Raw'!AB57</f>
        <v>#NAME?</v>
      </c>
      <c r="AB156" s="24">
        <f t="shared" si="1221"/>
        <v>0</v>
      </c>
      <c r="AC156" s="24">
        <f t="shared" si="1222"/>
        <v>0</v>
      </c>
      <c r="AD156" s="24">
        <f t="shared" si="1223"/>
        <v>0</v>
      </c>
      <c r="AE156" s="24">
        <f t="shared" si="1224"/>
        <v>0</v>
      </c>
      <c r="AJ156" s="23" t="e">
        <f ca="1">+'QTR Raw'!D92</f>
        <v>#NAME?</v>
      </c>
      <c r="AK156" s="23" t="e">
        <f t="shared" ca="1" si="1225"/>
        <v>#NAME?</v>
      </c>
      <c r="AL156" s="23" t="e">
        <f ca="1">+'QTR Raw'!F92</f>
        <v>#NAME?</v>
      </c>
      <c r="AM156" s="23" t="e">
        <f t="shared" ca="1" si="1225"/>
        <v>#NAME?</v>
      </c>
      <c r="AN156" s="23" t="e">
        <f ca="1">+'QTR Raw'!H92</f>
        <v>#NAME?</v>
      </c>
      <c r="AO156" s="23" t="e">
        <f t="shared" ca="1" si="1225"/>
        <v>#NAME?</v>
      </c>
      <c r="AP156" s="23" t="e">
        <f ca="1">+'QTR Raw'!J92</f>
        <v>#NAME?</v>
      </c>
      <c r="AQ156" s="23" t="e">
        <f t="shared" ca="1" si="1225"/>
        <v>#NAME?</v>
      </c>
      <c r="AR156" s="23" t="e">
        <f ca="1">+'QTR Raw'!L92</f>
        <v>#NAME?</v>
      </c>
      <c r="AS156" s="23" t="e">
        <f t="shared" ca="1" si="1225"/>
        <v>#NAME?</v>
      </c>
      <c r="AT156" s="23" t="e">
        <f ca="1">+'QTR Raw'!N92</f>
        <v>#NAME?</v>
      </c>
      <c r="AU156" s="23" t="e">
        <f t="shared" ca="1" si="1225"/>
        <v>#NAME?</v>
      </c>
      <c r="AV156" s="23" t="e">
        <f ca="1">+'QTR Raw'!P92</f>
        <v>#NAME?</v>
      </c>
      <c r="AW156" s="23" t="e">
        <f t="shared" ca="1" si="1225"/>
        <v>#NAME?</v>
      </c>
      <c r="AX156" s="23" t="e">
        <f ca="1">+'QTR Raw'!R92</f>
        <v>#NAME?</v>
      </c>
      <c r="AY156" s="23" t="e">
        <f t="shared" ca="1" si="1225"/>
        <v>#NAME?</v>
      </c>
      <c r="AZ156" s="23" t="e">
        <f ca="1">+'QTR Raw'!T92</f>
        <v>#NAME?</v>
      </c>
      <c r="BA156" s="23" t="e">
        <f t="shared" ca="1" si="1225"/>
        <v>#NAME?</v>
      </c>
      <c r="BB156" s="23" t="e">
        <f ca="1">+'QTR Raw'!V92</f>
        <v>#NAME?</v>
      </c>
      <c r="BC156" s="23" t="e">
        <f t="shared" ca="1" si="1225"/>
        <v>#NAME?</v>
      </c>
      <c r="BD156" s="23" t="e">
        <f ca="1">+'QTR Raw'!X92</f>
        <v>#NAME?</v>
      </c>
      <c r="BE156" s="23" t="e">
        <f t="shared" ca="1" si="1225"/>
        <v>#NAME?</v>
      </c>
      <c r="BF156" s="23" t="e">
        <f ca="1">+'QTR Raw'!Z92</f>
        <v>#NAME?</v>
      </c>
      <c r="BG156" s="23" t="e">
        <f t="shared" ca="1" si="1225"/>
        <v>#NAME?</v>
      </c>
      <c r="BH156" s="23" t="e">
        <f ca="1">+'QTR Raw'!AB92</f>
        <v>#NAME?</v>
      </c>
      <c r="BI156" s="23" t="e">
        <f t="shared" ca="1" si="1225"/>
        <v>#NAME?</v>
      </c>
      <c r="BJ156" s="23" t="e">
        <f ca="1">+'QTR Raw'!AD92</f>
        <v>#NAME?</v>
      </c>
      <c r="BK156" s="23" t="e">
        <f t="shared" ca="1" si="1225"/>
        <v>#NAME?</v>
      </c>
      <c r="BL156" s="23" t="e">
        <f ca="1">+'QTR Raw'!AF92</f>
        <v>#NAME?</v>
      </c>
      <c r="BM156" s="23" t="e">
        <f t="shared" ca="1" si="1225"/>
        <v>#NAME?</v>
      </c>
      <c r="BN156" s="23" t="e">
        <f ca="1">+'QTR Raw'!AH92</f>
        <v>#NAME?</v>
      </c>
      <c r="BO156" s="23" t="e">
        <f t="shared" ca="1" si="1225"/>
        <v>#NAME?</v>
      </c>
      <c r="BP156" s="23" t="e">
        <f ca="1">+'QTR Raw'!AJ92</f>
        <v>#NAME?</v>
      </c>
      <c r="BQ156" s="23" t="e">
        <f t="shared" ca="1" si="1225"/>
        <v>#NAME?</v>
      </c>
      <c r="BR156" s="23" t="e">
        <f ca="1">+'QTR Raw'!AL92</f>
        <v>#NAME?</v>
      </c>
      <c r="BS156" s="23" t="e">
        <f t="shared" ca="1" si="1225"/>
        <v>#NAME?</v>
      </c>
      <c r="BT156" s="23" t="e">
        <f ca="1">+'QTR Raw'!AN92</f>
        <v>#NAME?</v>
      </c>
      <c r="BU156" s="23" t="e">
        <f t="shared" ca="1" si="1225"/>
        <v>#NAME?</v>
      </c>
      <c r="BV156" s="23" t="e">
        <f ca="1">+'QTR Raw'!AP92</f>
        <v>#NAME?</v>
      </c>
      <c r="BW156" s="23" t="e">
        <f t="shared" ca="1" si="1225"/>
        <v>#NAME?</v>
      </c>
      <c r="BX156" s="23" t="e">
        <f ca="1">+'QTR Raw'!AR92</f>
        <v>#NAME?</v>
      </c>
      <c r="BY156" s="23" t="e">
        <f t="shared" ca="1" si="1225"/>
        <v>#NAME?</v>
      </c>
      <c r="BZ156" s="23" t="e">
        <f ca="1">+'QTR Raw'!AT92</f>
        <v>#NAME?</v>
      </c>
      <c r="CA156" s="23" t="e">
        <f t="shared" ca="1" si="1225"/>
        <v>#NAME?</v>
      </c>
      <c r="CB156" s="23" t="e">
        <f ca="1">+'QTR Raw'!AV92</f>
        <v>#NAME?</v>
      </c>
      <c r="CC156" s="23" t="e">
        <f t="shared" ca="1" si="1225"/>
        <v>#NAME?</v>
      </c>
      <c r="CD156" s="23" t="e">
        <f ca="1">+'QTR Raw'!AX92</f>
        <v>#NAME?</v>
      </c>
      <c r="CE156" s="23" t="e">
        <f t="shared" ca="1" si="1225"/>
        <v>#NAME?</v>
      </c>
      <c r="CF156" s="23" t="e">
        <f ca="1">+'QTR Raw'!AZ92</f>
        <v>#NAME?</v>
      </c>
      <c r="CG156" s="23" t="e">
        <f t="shared" ca="1" si="1229"/>
        <v>#NAME?</v>
      </c>
      <c r="CH156" s="23" t="e">
        <f t="shared" ca="1" si="1179"/>
        <v>#NAME?</v>
      </c>
      <c r="CJ156" s="23" t="e">
        <f ca="1">+'QTR Raw'!BD92</f>
        <v>#NAME?</v>
      </c>
      <c r="CK156" s="24"/>
      <c r="CL156" s="23" t="e">
        <f ca="1">+'QTR Raw'!BF92</f>
        <v>#NAME?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287.38</v>
      </c>
    </row>
    <row r="157" spans="1:110" s="22" customFormat="1" x14ac:dyDescent="0.2">
      <c r="A157" s="22" t="s">
        <v>73</v>
      </c>
      <c r="B157" s="22" t="e">
        <f ca="1">SUM(B150:B156)</f>
        <v>#NAME?</v>
      </c>
      <c r="C157" s="22" t="e">
        <f t="shared" ref="C157:V157" ca="1" si="1230">SUM(C150:C156)</f>
        <v>#NAME?</v>
      </c>
      <c r="D157" s="22" t="e">
        <f t="shared" ca="1" si="1230"/>
        <v>#NAME?</v>
      </c>
      <c r="E157" s="22" t="e">
        <f t="shared" ca="1" si="1230"/>
        <v>#NAME?</v>
      </c>
      <c r="F157" s="22" t="e">
        <f t="shared" ca="1" si="1230"/>
        <v>#NAME?</v>
      </c>
      <c r="G157" s="22" t="e">
        <f t="shared" ca="1" si="1230"/>
        <v>#NAME?</v>
      </c>
      <c r="H157" s="22" t="e">
        <f t="shared" ca="1" si="1230"/>
        <v>#NAME?</v>
      </c>
      <c r="I157" s="22" t="e">
        <f t="shared" ca="1" si="1230"/>
        <v>#NAME?</v>
      </c>
      <c r="J157" s="22" t="e">
        <f t="shared" ca="1" si="1230"/>
        <v>#NAME?</v>
      </c>
      <c r="K157" s="22" t="e">
        <f t="shared" ca="1" si="1230"/>
        <v>#NAME?</v>
      </c>
      <c r="L157" s="22" t="e">
        <f t="shared" ca="1" si="1230"/>
        <v>#NAME?</v>
      </c>
      <c r="M157" s="22" t="e">
        <f t="shared" ca="1" si="1230"/>
        <v>#NAME?</v>
      </c>
      <c r="N157" s="22" t="e">
        <f t="shared" ca="1" si="1230"/>
        <v>#NAME?</v>
      </c>
      <c r="O157" s="22" t="e">
        <f t="shared" ca="1" si="1230"/>
        <v>#NAME?</v>
      </c>
      <c r="P157" s="22" t="e">
        <f t="shared" ca="1" si="1230"/>
        <v>#NAME?</v>
      </c>
      <c r="Q157" s="22" t="e">
        <f t="shared" ca="1" si="1230"/>
        <v>#NAME?</v>
      </c>
      <c r="R157" s="22" t="e">
        <f t="shared" ca="1" si="1230"/>
        <v>#NAME?</v>
      </c>
      <c r="S157" s="22" t="e">
        <f t="shared" ca="1" si="1230"/>
        <v>#NAME?</v>
      </c>
      <c r="T157" s="22" t="e">
        <f t="shared" ca="1" si="1230"/>
        <v>#NAME?</v>
      </c>
      <c r="U157" s="22" t="e">
        <f t="shared" ca="1" si="1230"/>
        <v>#NAME?</v>
      </c>
      <c r="V157" s="22" t="e">
        <f t="shared" ca="1" si="1230"/>
        <v>#NAME?</v>
      </c>
      <c r="W157" s="22" t="e">
        <f t="shared" ref="W157" ca="1" si="1231">SUM(W150:W156)</f>
        <v>#NAME?</v>
      </c>
      <c r="X157" s="22" t="e">
        <f t="shared" ref="X157:Y157" ca="1" si="1232">SUM(X150:X156)</f>
        <v>#NAME?</v>
      </c>
      <c r="Y157" s="22" t="e">
        <f t="shared" ca="1" si="1232"/>
        <v>#NAME?</v>
      </c>
      <c r="Z157" s="22" t="e">
        <f t="shared" ref="Z157:AA157" ca="1" si="1233">SUM(Z150:Z156)</f>
        <v>#NAME?</v>
      </c>
      <c r="AA157" s="22" t="e">
        <f t="shared" ca="1" si="1233"/>
        <v>#NAME?</v>
      </c>
      <c r="AB157" s="21" t="e">
        <f t="shared" ref="AA157:AD157" ca="1" si="1234">SUM(AB150:AB156)</f>
        <v>#NAME?</v>
      </c>
      <c r="AC157" s="21" t="e">
        <f t="shared" ca="1" si="1234"/>
        <v>#NAME?</v>
      </c>
      <c r="AD157" s="21" t="e">
        <f t="shared" ca="1" si="1234"/>
        <v>#NAME?</v>
      </c>
      <c r="AE157" s="21" t="e">
        <f t="shared" ref="AE157" ca="1" si="1235">SUM(AE150:AE156)</f>
        <v>#NAME?</v>
      </c>
      <c r="AJ157" s="22" t="e">
        <f t="shared" ref="AJ157" ca="1" si="1236">SUM(AJ150:AJ156)</f>
        <v>#NAME?</v>
      </c>
      <c r="AK157" s="22" t="e">
        <f t="shared" ref="AK157" ca="1" si="1237">SUM(AK150:AK156)</f>
        <v>#NAME?</v>
      </c>
      <c r="AL157" s="22" t="e">
        <f t="shared" ref="AL157:AM157" ca="1" si="1238">SUM(AL150:AL156)</f>
        <v>#NAME?</v>
      </c>
      <c r="AM157" s="22" t="e">
        <f t="shared" ca="1" si="1238"/>
        <v>#NAME?</v>
      </c>
      <c r="AN157" s="22" t="e">
        <f t="shared" ref="AN157:AO157" ca="1" si="1239">SUM(AN150:AN156)</f>
        <v>#NAME?</v>
      </c>
      <c r="AO157" s="22" t="e">
        <f t="shared" ca="1" si="1239"/>
        <v>#NAME?</v>
      </c>
      <c r="AP157" s="22" t="e">
        <f t="shared" ref="AP157:CE157" ca="1" si="1240">SUM(AP150:AP156)</f>
        <v>#NAME?</v>
      </c>
      <c r="AQ157" s="22" t="e">
        <f t="shared" ca="1" si="1240"/>
        <v>#NAME?</v>
      </c>
      <c r="AR157" s="22" t="e">
        <f t="shared" ca="1" si="1240"/>
        <v>#NAME?</v>
      </c>
      <c r="AS157" s="22" t="e">
        <f t="shared" ca="1" si="1240"/>
        <v>#NAME?</v>
      </c>
      <c r="AT157" s="22" t="e">
        <f t="shared" ca="1" si="1240"/>
        <v>#NAME?</v>
      </c>
      <c r="AU157" s="22" t="e">
        <f t="shared" ca="1" si="1240"/>
        <v>#NAME?</v>
      </c>
      <c r="AV157" s="22" t="e">
        <f t="shared" ca="1" si="1240"/>
        <v>#NAME?</v>
      </c>
      <c r="AW157" s="22" t="e">
        <f t="shared" ca="1" si="1240"/>
        <v>#NAME?</v>
      </c>
      <c r="AX157" s="22" t="e">
        <f t="shared" ca="1" si="1240"/>
        <v>#NAME?</v>
      </c>
      <c r="AY157" s="22" t="e">
        <f t="shared" ca="1" si="1240"/>
        <v>#NAME?</v>
      </c>
      <c r="AZ157" s="22" t="e">
        <f t="shared" ca="1" si="1240"/>
        <v>#NAME?</v>
      </c>
      <c r="BA157" s="22" t="e">
        <f t="shared" ca="1" si="1240"/>
        <v>#NAME?</v>
      </c>
      <c r="BB157" s="22" t="e">
        <f t="shared" ca="1" si="1240"/>
        <v>#NAME?</v>
      </c>
      <c r="BC157" s="22" t="e">
        <f t="shared" ca="1" si="1240"/>
        <v>#NAME?</v>
      </c>
      <c r="BD157" s="22" t="e">
        <f t="shared" ca="1" si="1240"/>
        <v>#NAME?</v>
      </c>
      <c r="BE157" s="22" t="e">
        <f t="shared" ca="1" si="1240"/>
        <v>#NAME?</v>
      </c>
      <c r="BF157" s="22" t="e">
        <f t="shared" ca="1" si="1240"/>
        <v>#NAME?</v>
      </c>
      <c r="BG157" s="22" t="e">
        <f t="shared" ca="1" si="1240"/>
        <v>#NAME?</v>
      </c>
      <c r="BH157" s="22" t="e">
        <f t="shared" ref="BH157" ca="1" si="1241">SUM(BH150:BH156)</f>
        <v>#NAME?</v>
      </c>
      <c r="BI157" s="22" t="e">
        <f t="shared" ca="1" si="1240"/>
        <v>#NAME?</v>
      </c>
      <c r="BJ157" s="22" t="e">
        <f t="shared" ca="1" si="1240"/>
        <v>#NAME?</v>
      </c>
      <c r="BK157" s="22" t="e">
        <f t="shared" ca="1" si="1240"/>
        <v>#NAME?</v>
      </c>
      <c r="BL157" s="22" t="e">
        <f t="shared" ca="1" si="1240"/>
        <v>#NAME?</v>
      </c>
      <c r="BM157" s="22" t="e">
        <f t="shared" ca="1" si="1240"/>
        <v>#NAME?</v>
      </c>
      <c r="BN157" s="22" t="e">
        <f t="shared" ca="1" si="1240"/>
        <v>#NAME?</v>
      </c>
      <c r="BO157" s="22" t="e">
        <f t="shared" ca="1" si="1240"/>
        <v>#NAME?</v>
      </c>
      <c r="BP157" s="22" t="e">
        <f t="shared" ca="1" si="1240"/>
        <v>#NAME?</v>
      </c>
      <c r="BQ157" s="22" t="e">
        <f t="shared" ca="1" si="1240"/>
        <v>#NAME?</v>
      </c>
      <c r="BR157" s="22" t="e">
        <f t="shared" ca="1" si="1240"/>
        <v>#NAME?</v>
      </c>
      <c r="BS157" s="22" t="e">
        <f t="shared" ca="1" si="1240"/>
        <v>#NAME?</v>
      </c>
      <c r="BT157" s="22" t="e">
        <f t="shared" ca="1" si="1240"/>
        <v>#NAME?</v>
      </c>
      <c r="BU157" s="22" t="e">
        <f t="shared" ca="1" si="1240"/>
        <v>#NAME?</v>
      </c>
      <c r="BV157" s="22" t="e">
        <f t="shared" ca="1" si="1240"/>
        <v>#NAME?</v>
      </c>
      <c r="BW157" s="22" t="e">
        <f t="shared" ca="1" si="1240"/>
        <v>#NAME?</v>
      </c>
      <c r="BX157" s="22" t="e">
        <f t="shared" ca="1" si="1240"/>
        <v>#NAME?</v>
      </c>
      <c r="BY157" s="22" t="e">
        <f t="shared" ca="1" si="1240"/>
        <v>#NAME?</v>
      </c>
      <c r="BZ157" s="22" t="e">
        <f t="shared" ca="1" si="1240"/>
        <v>#NAME?</v>
      </c>
      <c r="CA157" s="22" t="e">
        <f t="shared" ca="1" si="1240"/>
        <v>#NAME?</v>
      </c>
      <c r="CB157" s="22" t="e">
        <f t="shared" ca="1" si="1240"/>
        <v>#NAME?</v>
      </c>
      <c r="CC157" s="22" t="e">
        <f t="shared" ca="1" si="1240"/>
        <v>#NAME?</v>
      </c>
      <c r="CD157" s="22" t="e">
        <f t="shared" ca="1" si="1240"/>
        <v>#NAME?</v>
      </c>
      <c r="CE157" s="22" t="e">
        <f t="shared" ca="1" si="1240"/>
        <v>#NAME?</v>
      </c>
      <c r="CF157" s="22" t="e">
        <f t="shared" ref="CF157:CG157" ca="1" si="1242">SUM(CF150:CF156)</f>
        <v>#NAME?</v>
      </c>
      <c r="CG157" s="22" t="e">
        <f t="shared" ca="1" si="1242"/>
        <v>#NAME?</v>
      </c>
      <c r="CH157" s="22" t="e">
        <f t="shared" ref="CH157:CI157" ca="1" si="1243">SUM(CH150:CH156)</f>
        <v>#NAME?</v>
      </c>
      <c r="CI157" s="22" t="e">
        <f t="shared" ca="1" si="1243"/>
        <v>#NAME?</v>
      </c>
      <c r="CJ157" s="22" t="e">
        <f t="shared" ref="CJ157:DB157" ca="1" si="1244">SUM(CJ150:CJ156)</f>
        <v>#NAME?</v>
      </c>
      <c r="CK157" s="21" t="e">
        <f t="shared" ca="1" si="1244"/>
        <v>#NAME?</v>
      </c>
      <c r="CL157" s="22" t="e">
        <f t="shared" ref="CL157" ca="1" si="1245">SUM(CL150:CL156)</f>
        <v>#NAME?</v>
      </c>
      <c r="CM157" s="21" t="e">
        <f t="shared" ca="1" si="1244"/>
        <v>#NAME?</v>
      </c>
      <c r="CN157" s="21" t="e">
        <f t="shared" ca="1" si="1244"/>
        <v>#NAME?</v>
      </c>
      <c r="CO157" s="21" t="e">
        <f t="shared" ca="1" si="1244"/>
        <v>#NAME?</v>
      </c>
      <c r="CP157" s="21" t="e">
        <f t="shared" ca="1" si="1244"/>
        <v>#NAME?</v>
      </c>
      <c r="CQ157" s="21" t="e">
        <f t="shared" ca="1" si="1244"/>
        <v>#NAME?</v>
      </c>
      <c r="CR157" s="21" t="e">
        <f t="shared" ca="1" si="1244"/>
        <v>#NAME?</v>
      </c>
      <c r="CS157" s="21" t="e">
        <f t="shared" ca="1" si="1244"/>
        <v>#NAME?</v>
      </c>
      <c r="CT157" s="21" t="e">
        <f t="shared" ca="1" si="1244"/>
        <v>#NAME?</v>
      </c>
      <c r="CU157" s="21" t="e">
        <f t="shared" ca="1" si="1244"/>
        <v>#NAME?</v>
      </c>
      <c r="CV157" s="21" t="e">
        <f t="shared" ca="1" si="1244"/>
        <v>#NAME?</v>
      </c>
      <c r="CW157" s="21" t="e">
        <f t="shared" ca="1" si="1244"/>
        <v>#NAME?</v>
      </c>
      <c r="CX157" s="21" t="e">
        <f t="shared" ca="1" si="1244"/>
        <v>#NAME?</v>
      </c>
      <c r="CY157" s="21" t="e">
        <f t="shared" ca="1" si="1244"/>
        <v>#NAME?</v>
      </c>
      <c r="CZ157" s="21" t="e">
        <f t="shared" ca="1" si="1244"/>
        <v>#NAME?</v>
      </c>
      <c r="DA157" s="21" t="e">
        <f t="shared" ca="1" si="1244"/>
        <v>#NAME?</v>
      </c>
      <c r="DB157" s="21" t="e">
        <f t="shared" ca="1" si="1244"/>
        <v>#NAME?</v>
      </c>
      <c r="DE157" s="126"/>
      <c r="DF157" s="22">
        <v>81859</v>
      </c>
    </row>
    <row r="158" spans="1:110" s="22" customFormat="1" x14ac:dyDescent="0.2">
      <c r="A158" s="22" t="s">
        <v>74</v>
      </c>
      <c r="B158" s="22" t="e">
        <f ca="1">B149-B157</f>
        <v>#NAME?</v>
      </c>
      <c r="C158" s="22" t="e">
        <f t="shared" ref="C158:V158" ca="1" si="1246">C149-C157</f>
        <v>#NAME?</v>
      </c>
      <c r="D158" s="22" t="e">
        <f t="shared" ca="1" si="1246"/>
        <v>#NAME?</v>
      </c>
      <c r="E158" s="22" t="e">
        <f t="shared" ca="1" si="1246"/>
        <v>#NAME?</v>
      </c>
      <c r="F158" s="22" t="e">
        <f t="shared" ca="1" si="1246"/>
        <v>#NAME?</v>
      </c>
      <c r="G158" s="22" t="e">
        <f t="shared" ca="1" si="1246"/>
        <v>#NAME?</v>
      </c>
      <c r="H158" s="22" t="e">
        <f t="shared" ca="1" si="1246"/>
        <v>#NAME?</v>
      </c>
      <c r="I158" s="22" t="e">
        <f t="shared" ca="1" si="1246"/>
        <v>#NAME?</v>
      </c>
      <c r="J158" s="22" t="e">
        <f t="shared" ca="1" si="1246"/>
        <v>#NAME?</v>
      </c>
      <c r="K158" s="22" t="e">
        <f t="shared" ca="1" si="1246"/>
        <v>#NAME?</v>
      </c>
      <c r="L158" s="22" t="e">
        <f t="shared" ca="1" si="1246"/>
        <v>#NAME?</v>
      </c>
      <c r="M158" s="22" t="e">
        <f t="shared" ca="1" si="1246"/>
        <v>#NAME?</v>
      </c>
      <c r="N158" s="22" t="e">
        <f t="shared" ca="1" si="1246"/>
        <v>#NAME?</v>
      </c>
      <c r="O158" s="22" t="e">
        <f t="shared" ca="1" si="1246"/>
        <v>#NAME?</v>
      </c>
      <c r="P158" s="22" t="e">
        <f t="shared" ca="1" si="1246"/>
        <v>#NAME?</v>
      </c>
      <c r="Q158" s="22" t="e">
        <f t="shared" ca="1" si="1246"/>
        <v>#NAME?</v>
      </c>
      <c r="R158" s="22" t="e">
        <f t="shared" ca="1" si="1246"/>
        <v>#NAME?</v>
      </c>
      <c r="S158" s="22" t="e">
        <f t="shared" ca="1" si="1246"/>
        <v>#NAME?</v>
      </c>
      <c r="T158" s="22" t="e">
        <f t="shared" ca="1" si="1246"/>
        <v>#NAME?</v>
      </c>
      <c r="U158" s="22" t="e">
        <f t="shared" ca="1" si="1246"/>
        <v>#NAME?</v>
      </c>
      <c r="V158" s="22" t="e">
        <f t="shared" ca="1" si="1246"/>
        <v>#NAME?</v>
      </c>
      <c r="W158" s="22" t="e">
        <f t="shared" ref="W158" ca="1" si="1247">W149-W157</f>
        <v>#NAME?</v>
      </c>
      <c r="X158" s="22" t="e">
        <f t="shared" ref="X158:Y158" ca="1" si="1248">X149-X157</f>
        <v>#NAME?</v>
      </c>
      <c r="Y158" s="22" t="e">
        <f t="shared" ca="1" si="1248"/>
        <v>#NAME?</v>
      </c>
      <c r="Z158" s="22" t="e">
        <f t="shared" ref="Z158:AA158" ca="1" si="1249">Z149-Z157</f>
        <v>#NAME?</v>
      </c>
      <c r="AA158" s="22" t="e">
        <f t="shared" ca="1" si="1249"/>
        <v>#NAME?</v>
      </c>
      <c r="AB158" s="21" t="e">
        <f t="shared" ref="AA158:AD158" ca="1" si="1250">AB149-AB157</f>
        <v>#NAME?</v>
      </c>
      <c r="AC158" s="21" t="e">
        <f t="shared" ca="1" si="1250"/>
        <v>#NAME?</v>
      </c>
      <c r="AD158" s="21" t="e">
        <f t="shared" ca="1" si="1250"/>
        <v>#NAME?</v>
      </c>
      <c r="AE158" s="21" t="e">
        <f t="shared" ref="AE158" ca="1" si="1251">AE149-AE157</f>
        <v>#NAME?</v>
      </c>
      <c r="AJ158" s="22" t="e">
        <f t="shared" ref="AJ158" ca="1" si="1252">AJ149-AJ157</f>
        <v>#NAME?</v>
      </c>
      <c r="AK158" s="22" t="e">
        <f t="shared" ref="AK158" ca="1" si="1253">AK149-AK157</f>
        <v>#NAME?</v>
      </c>
      <c r="AL158" s="22" t="e">
        <f t="shared" ref="AL158:AM158" ca="1" si="1254">AL149-AL157</f>
        <v>#NAME?</v>
      </c>
      <c r="AM158" s="22" t="e">
        <f t="shared" ca="1" si="1254"/>
        <v>#NAME?</v>
      </c>
      <c r="AN158" s="22" t="e">
        <f t="shared" ref="AN158:AO158" ca="1" si="1255">AN149-AN157</f>
        <v>#NAME?</v>
      </c>
      <c r="AO158" s="22" t="e">
        <f t="shared" ca="1" si="1255"/>
        <v>#NAME?</v>
      </c>
      <c r="AP158" s="22" t="e">
        <f t="shared" ref="AP158:CE158" ca="1" si="1256">AP149-AP157</f>
        <v>#NAME?</v>
      </c>
      <c r="AQ158" s="22" t="e">
        <f t="shared" ca="1" si="1256"/>
        <v>#NAME?</v>
      </c>
      <c r="AR158" s="22" t="e">
        <f t="shared" ca="1" si="1256"/>
        <v>#NAME?</v>
      </c>
      <c r="AS158" s="22" t="e">
        <f t="shared" ca="1" si="1256"/>
        <v>#NAME?</v>
      </c>
      <c r="AT158" s="22" t="e">
        <f t="shared" ca="1" si="1256"/>
        <v>#NAME?</v>
      </c>
      <c r="AU158" s="22" t="e">
        <f t="shared" ca="1" si="1256"/>
        <v>#NAME?</v>
      </c>
      <c r="AV158" s="22" t="e">
        <f t="shared" ca="1" si="1256"/>
        <v>#NAME?</v>
      </c>
      <c r="AW158" s="22" t="e">
        <f t="shared" ca="1" si="1256"/>
        <v>#NAME?</v>
      </c>
      <c r="AX158" s="22" t="e">
        <f t="shared" ca="1" si="1256"/>
        <v>#NAME?</v>
      </c>
      <c r="AY158" s="22" t="e">
        <f t="shared" ca="1" si="1256"/>
        <v>#NAME?</v>
      </c>
      <c r="AZ158" s="22" t="e">
        <f t="shared" ca="1" si="1256"/>
        <v>#NAME?</v>
      </c>
      <c r="BA158" s="22" t="e">
        <f t="shared" ca="1" si="1256"/>
        <v>#NAME?</v>
      </c>
      <c r="BB158" s="22" t="e">
        <f t="shared" ca="1" si="1256"/>
        <v>#NAME?</v>
      </c>
      <c r="BC158" s="22" t="e">
        <f t="shared" ca="1" si="1256"/>
        <v>#NAME?</v>
      </c>
      <c r="BD158" s="22" t="e">
        <f t="shared" ca="1" si="1256"/>
        <v>#NAME?</v>
      </c>
      <c r="BE158" s="22" t="e">
        <f t="shared" ca="1" si="1256"/>
        <v>#NAME?</v>
      </c>
      <c r="BF158" s="22" t="e">
        <f t="shared" ca="1" si="1256"/>
        <v>#NAME?</v>
      </c>
      <c r="BG158" s="22" t="e">
        <f t="shared" ca="1" si="1256"/>
        <v>#NAME?</v>
      </c>
      <c r="BH158" s="22" t="e">
        <f t="shared" ref="BH158" ca="1" si="1257">BH149-BH157</f>
        <v>#NAME?</v>
      </c>
      <c r="BI158" s="22" t="e">
        <f t="shared" ca="1" si="1256"/>
        <v>#NAME?</v>
      </c>
      <c r="BJ158" s="22" t="e">
        <f t="shared" ca="1" si="1256"/>
        <v>#NAME?</v>
      </c>
      <c r="BK158" s="22" t="e">
        <f t="shared" ca="1" si="1256"/>
        <v>#NAME?</v>
      </c>
      <c r="BL158" s="22" t="e">
        <f t="shared" ca="1" si="1256"/>
        <v>#NAME?</v>
      </c>
      <c r="BM158" s="22" t="e">
        <f t="shared" ca="1" si="1256"/>
        <v>#NAME?</v>
      </c>
      <c r="BN158" s="22" t="e">
        <f t="shared" ca="1" si="1256"/>
        <v>#NAME?</v>
      </c>
      <c r="BO158" s="22" t="e">
        <f t="shared" ca="1" si="1256"/>
        <v>#NAME?</v>
      </c>
      <c r="BP158" s="22" t="e">
        <f t="shared" ca="1" si="1256"/>
        <v>#NAME?</v>
      </c>
      <c r="BQ158" s="22" t="e">
        <f t="shared" ca="1" si="1256"/>
        <v>#NAME?</v>
      </c>
      <c r="BR158" s="22" t="e">
        <f t="shared" ca="1" si="1256"/>
        <v>#NAME?</v>
      </c>
      <c r="BS158" s="22" t="e">
        <f t="shared" ca="1" si="1256"/>
        <v>#NAME?</v>
      </c>
      <c r="BT158" s="22" t="e">
        <f t="shared" ca="1" si="1256"/>
        <v>#NAME?</v>
      </c>
      <c r="BU158" s="22" t="e">
        <f t="shared" ca="1" si="1256"/>
        <v>#NAME?</v>
      </c>
      <c r="BV158" s="22" t="e">
        <f t="shared" ca="1" si="1256"/>
        <v>#NAME?</v>
      </c>
      <c r="BW158" s="22" t="e">
        <f t="shared" ca="1" si="1256"/>
        <v>#NAME?</v>
      </c>
      <c r="BX158" s="22" t="e">
        <f t="shared" ca="1" si="1256"/>
        <v>#NAME?</v>
      </c>
      <c r="BY158" s="22" t="e">
        <f t="shared" ca="1" si="1256"/>
        <v>#NAME?</v>
      </c>
      <c r="BZ158" s="22" t="e">
        <f t="shared" ca="1" si="1256"/>
        <v>#NAME?</v>
      </c>
      <c r="CA158" s="22" t="e">
        <f t="shared" ca="1" si="1256"/>
        <v>#NAME?</v>
      </c>
      <c r="CB158" s="22" t="e">
        <f t="shared" ca="1" si="1256"/>
        <v>#NAME?</v>
      </c>
      <c r="CC158" s="22" t="e">
        <f t="shared" ca="1" si="1256"/>
        <v>#NAME?</v>
      </c>
      <c r="CD158" s="22" t="e">
        <f t="shared" ca="1" si="1256"/>
        <v>#NAME?</v>
      </c>
      <c r="CE158" s="22" t="e">
        <f t="shared" ca="1" si="1256"/>
        <v>#NAME?</v>
      </c>
      <c r="CF158" s="22" t="e">
        <f t="shared" ref="CF158:CG158" ca="1" si="1258">CF149-CF157</f>
        <v>#NAME?</v>
      </c>
      <c r="CG158" s="22" t="e">
        <f t="shared" ca="1" si="1258"/>
        <v>#NAME?</v>
      </c>
      <c r="CH158" s="22" t="e">
        <f t="shared" ref="CH158:CI158" ca="1" si="1259">CH149-CH157</f>
        <v>#NAME?</v>
      </c>
      <c r="CI158" s="22" t="e">
        <f t="shared" ca="1" si="1259"/>
        <v>#NAME?</v>
      </c>
      <c r="CJ158" s="22" t="e">
        <f t="shared" ref="CJ158:DB158" ca="1" si="1260">CJ149-CJ157</f>
        <v>#NAME?</v>
      </c>
      <c r="CK158" s="21" t="e">
        <f t="shared" ca="1" si="1260"/>
        <v>#NAME?</v>
      </c>
      <c r="CL158" s="22" t="e">
        <f t="shared" ref="CL158" ca="1" si="1261">CL149-CL157</f>
        <v>#NAME?</v>
      </c>
      <c r="CM158" s="21" t="e">
        <f t="shared" ca="1" si="1260"/>
        <v>#NAME?</v>
      </c>
      <c r="CN158" s="21" t="e">
        <f t="shared" ca="1" si="1260"/>
        <v>#NAME?</v>
      </c>
      <c r="CO158" s="21" t="e">
        <f t="shared" ca="1" si="1260"/>
        <v>#NAME?</v>
      </c>
      <c r="CP158" s="21" t="e">
        <f t="shared" ca="1" si="1260"/>
        <v>#NAME?</v>
      </c>
      <c r="CQ158" s="21" t="e">
        <f t="shared" ca="1" si="1260"/>
        <v>#NAME?</v>
      </c>
      <c r="CR158" s="21" t="e">
        <f t="shared" ca="1" si="1260"/>
        <v>#NAME?</v>
      </c>
      <c r="CS158" s="21" t="e">
        <f t="shared" ca="1" si="1260"/>
        <v>#NAME?</v>
      </c>
      <c r="CT158" s="21" t="e">
        <f t="shared" ca="1" si="1260"/>
        <v>#NAME?</v>
      </c>
      <c r="CU158" s="21" t="e">
        <f t="shared" ca="1" si="1260"/>
        <v>#NAME?</v>
      </c>
      <c r="CV158" s="21" t="e">
        <f t="shared" ca="1" si="1260"/>
        <v>#NAME?</v>
      </c>
      <c r="CW158" s="21" t="e">
        <f t="shared" ca="1" si="1260"/>
        <v>#NAME?</v>
      </c>
      <c r="CX158" s="21" t="e">
        <f t="shared" ca="1" si="1260"/>
        <v>#NAME?</v>
      </c>
      <c r="CY158" s="21" t="e">
        <f t="shared" ca="1" si="1260"/>
        <v>#NAME?</v>
      </c>
      <c r="CZ158" s="21" t="e">
        <f t="shared" ca="1" si="1260"/>
        <v>#NAME?</v>
      </c>
      <c r="DA158" s="21" t="e">
        <f t="shared" ca="1" si="1260"/>
        <v>#NAME?</v>
      </c>
      <c r="DB158" s="21" t="e">
        <f t="shared" ca="1" si="1260"/>
        <v>#NAME?</v>
      </c>
      <c r="DE158" s="126"/>
      <c r="DF158" s="22">
        <v>9532.4600000000064</v>
      </c>
    </row>
    <row r="159" spans="1:110" s="23" customFormat="1" x14ac:dyDescent="0.2">
      <c r="AB159" s="24"/>
      <c r="AC159" s="24"/>
      <c r="AD159" s="24"/>
      <c r="AE159" s="24"/>
      <c r="CK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outlineLevel="1" x14ac:dyDescent="0.2">
      <c r="A160" s="23" t="s">
        <v>75</v>
      </c>
      <c r="B160" s="23" t="e">
        <f ca="1">'Annual Raw'!C75</f>
        <v>#NAME?</v>
      </c>
      <c r="C160" s="23" t="e">
        <f ca="1">'Annual Raw'!D75</f>
        <v>#NAME?</v>
      </c>
      <c r="D160" s="23" t="e">
        <f ca="1">'Annual Raw'!E75</f>
        <v>#NAME?</v>
      </c>
      <c r="E160" s="23" t="e">
        <f ca="1">'Annual Raw'!F75</f>
        <v>#NAME?</v>
      </c>
      <c r="F160" s="23" t="e">
        <f ca="1">'Annual Raw'!G75</f>
        <v>#NAME?</v>
      </c>
      <c r="G160" s="23" t="e">
        <f ca="1">'Annual Raw'!H75</f>
        <v>#NAME?</v>
      </c>
      <c r="H160" s="23" t="e">
        <f ca="1">'Annual Raw'!I75</f>
        <v>#NAME?</v>
      </c>
      <c r="I160" s="23" t="e">
        <f ca="1">'Annual Raw'!J75</f>
        <v>#NAME?</v>
      </c>
      <c r="J160" s="23" t="e">
        <f ca="1">'Annual Raw'!K75</f>
        <v>#NAME?</v>
      </c>
      <c r="K160" s="23" t="e">
        <f ca="1">'Annual Raw'!L75</f>
        <v>#NAME?</v>
      </c>
      <c r="L160" s="23" t="e">
        <f ca="1">'Annual Raw'!M75</f>
        <v>#NAME?</v>
      </c>
      <c r="M160" s="23" t="e">
        <f ca="1">'Annual Raw'!N75</f>
        <v>#NAME?</v>
      </c>
      <c r="N160" s="23" t="e">
        <f ca="1">'Annual Raw'!O75</f>
        <v>#NAME?</v>
      </c>
      <c r="O160" s="23" t="e">
        <f ca="1">'Annual Raw'!P75</f>
        <v>#NAME?</v>
      </c>
      <c r="P160" s="23" t="e">
        <f ca="1">'Annual Raw'!Q75</f>
        <v>#NAME?</v>
      </c>
      <c r="Q160" s="23" t="e">
        <f ca="1">'Annual Raw'!R75</f>
        <v>#NAME?</v>
      </c>
      <c r="R160" s="23" t="e">
        <f ca="1">'Annual Raw'!S75</f>
        <v>#NAME?</v>
      </c>
      <c r="S160" s="23" t="e">
        <f ca="1">'Annual Raw'!T75</f>
        <v>#NAME?</v>
      </c>
      <c r="T160" s="23" t="e">
        <f ca="1">'Annual Raw'!U75</f>
        <v>#NAME?</v>
      </c>
      <c r="U160" s="23" t="e">
        <f ca="1">'Annual Raw'!V75</f>
        <v>#NAME?</v>
      </c>
      <c r="V160" s="23" t="e">
        <f ca="1">'Annual Raw'!W75</f>
        <v>#NAME?</v>
      </c>
      <c r="W160" s="23" t="e">
        <f ca="1">'Annual Raw'!X75</f>
        <v>#NAME?</v>
      </c>
      <c r="X160" s="23" t="e">
        <f ca="1">'Annual Raw'!Y75</f>
        <v>#NAME?</v>
      </c>
      <c r="Y160" s="23" t="e">
        <f ca="1">'Annual Raw'!Z75</f>
        <v>#NAME?</v>
      </c>
      <c r="Z160" s="23" t="e">
        <f ca="1">'Annual Raw'!AA75</f>
        <v>#NAME?</v>
      </c>
      <c r="AA160" s="23" t="e">
        <f ca="1">'Annual Raw'!AB75</f>
        <v>#NAME?</v>
      </c>
      <c r="AB160" s="24">
        <f t="shared" ref="AB160:AB161" si="1262">+CP160</f>
        <v>0</v>
      </c>
      <c r="AC160" s="24">
        <f t="shared" ref="AC160:AC161" si="1263">+CT160</f>
        <v>0</v>
      </c>
      <c r="AD160" s="24">
        <f t="shared" ref="AD160:AD161" si="1264">+CX160</f>
        <v>0</v>
      </c>
      <c r="AE160" s="24">
        <f t="shared" ref="AE160:AE161" si="1265">+DB160</f>
        <v>0</v>
      </c>
      <c r="AJ160" s="23" t="e">
        <f ca="1">+'QTR Raw'!D80</f>
        <v>#NAME?</v>
      </c>
      <c r="AL160" s="23" t="e">
        <f ca="1">+'QTR Raw'!F80</f>
        <v>#NAME?</v>
      </c>
      <c r="AN160" s="23" t="e">
        <f ca="1">+'QTR Raw'!H80</f>
        <v>#NAME?</v>
      </c>
      <c r="AP160" s="23" t="e">
        <f ca="1">+'QTR Raw'!J80</f>
        <v>#NAME?</v>
      </c>
      <c r="AR160" s="23" t="e">
        <f ca="1">+'QTR Raw'!L80</f>
        <v>#NAME?</v>
      </c>
      <c r="AT160" s="23" t="e">
        <f ca="1">+'QTR Raw'!N80</f>
        <v>#NAME?</v>
      </c>
      <c r="AV160" s="23" t="e">
        <f ca="1">+'QTR Raw'!P80</f>
        <v>#NAME?</v>
      </c>
      <c r="AX160" s="23" t="e">
        <f ca="1">+'QTR Raw'!R80</f>
        <v>#NAME?</v>
      </c>
      <c r="AZ160" s="23" t="e">
        <f ca="1">+'QTR Raw'!T80</f>
        <v>#NAME?</v>
      </c>
      <c r="BB160" s="23" t="e">
        <f ca="1">+'QTR Raw'!V80</f>
        <v>#NAME?</v>
      </c>
      <c r="BD160" s="23" t="e">
        <f ca="1">+'QTR Raw'!X80</f>
        <v>#NAME?</v>
      </c>
      <c r="BF160" s="23" t="e">
        <f ca="1">+'QTR Raw'!Z80</f>
        <v>#NAME?</v>
      </c>
      <c r="BH160" s="23" t="e">
        <f ca="1">+'QTR Raw'!AB80</f>
        <v>#NAME?</v>
      </c>
      <c r="BJ160" s="23" t="e">
        <f ca="1">+'QTR Raw'!AD80</f>
        <v>#NAME?</v>
      </c>
      <c r="BL160" s="23" t="e">
        <f ca="1">+'QTR Raw'!AF80</f>
        <v>#NAME?</v>
      </c>
      <c r="BN160" s="23" t="e">
        <f ca="1">+'QTR Raw'!AH80</f>
        <v>#NAME?</v>
      </c>
      <c r="BP160" s="23" t="e">
        <f ca="1">+'QTR Raw'!AJ80</f>
        <v>#NAME?</v>
      </c>
      <c r="BR160" s="23" t="e">
        <f ca="1">+'QTR Raw'!AL80</f>
        <v>#NAME?</v>
      </c>
      <c r="BT160" s="23" t="e">
        <f ca="1">+'QTR Raw'!AN80</f>
        <v>#NAME?</v>
      </c>
      <c r="BV160" s="23" t="e">
        <f ca="1">+'QTR Raw'!AP80</f>
        <v>#NAME?</v>
      </c>
      <c r="BX160" s="23" t="e">
        <f ca="1">+'QTR Raw'!AR80</f>
        <v>#NAME?</v>
      </c>
      <c r="BZ160" s="23" t="e">
        <f ca="1">+'QTR Raw'!AT80</f>
        <v>#NAME?</v>
      </c>
      <c r="CB160" s="23" t="e">
        <f ca="1">+'QTR Raw'!AV80</f>
        <v>#NAME?</v>
      </c>
      <c r="CD160" s="23" t="e">
        <f ca="1">+'QTR Raw'!AX80</f>
        <v>#NAME?</v>
      </c>
      <c r="CF160" s="23" t="e">
        <f ca="1">+'QTR Raw'!AZ80</f>
        <v>#NAME?</v>
      </c>
      <c r="CH160" s="23" t="e">
        <f t="shared" ref="CH160:CH161" ca="1" si="1266">Z160</f>
        <v>#NAME?</v>
      </c>
      <c r="CJ160" s="23" t="e">
        <f ca="1">+'QTR Raw'!BD80</f>
        <v>#NAME?</v>
      </c>
      <c r="CK160" s="24"/>
      <c r="CL160" s="23" t="e">
        <f ca="1">+'QTR Raw'!BF80</f>
        <v>#NAME?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2506.65</v>
      </c>
    </row>
    <row r="161" spans="1:110" s="23" customFormat="1" outlineLevel="1" x14ac:dyDescent="0.2">
      <c r="A161" s="23" t="s">
        <v>76</v>
      </c>
      <c r="B161" s="23" t="e">
        <f ca="1">'Annual Raw'!C78</f>
        <v>#NAME?</v>
      </c>
      <c r="C161" s="23" t="e">
        <f ca="1">'Annual Raw'!D78</f>
        <v>#NAME?</v>
      </c>
      <c r="D161" s="23" t="e">
        <f ca="1">'Annual Raw'!E78</f>
        <v>#NAME?</v>
      </c>
      <c r="E161" s="23" t="e">
        <f ca="1">'Annual Raw'!F78</f>
        <v>#NAME?</v>
      </c>
      <c r="F161" s="23" t="e">
        <f ca="1">'Annual Raw'!G78</f>
        <v>#NAME?</v>
      </c>
      <c r="G161" s="23" t="e">
        <f ca="1">'Annual Raw'!H78</f>
        <v>#NAME?</v>
      </c>
      <c r="H161" s="23" t="e">
        <f ca="1">'Annual Raw'!I78</f>
        <v>#NAME?</v>
      </c>
      <c r="I161" s="23" t="e">
        <f ca="1">'Annual Raw'!J78</f>
        <v>#NAME?</v>
      </c>
      <c r="J161" s="23" t="e">
        <f ca="1">'Annual Raw'!K78</f>
        <v>#NAME?</v>
      </c>
      <c r="K161" s="23" t="e">
        <f ca="1">'Annual Raw'!L78</f>
        <v>#NAME?</v>
      </c>
      <c r="L161" s="23" t="e">
        <f ca="1">'Annual Raw'!M78</f>
        <v>#NAME?</v>
      </c>
      <c r="M161" s="23" t="e">
        <f ca="1">'Annual Raw'!N78</f>
        <v>#NAME?</v>
      </c>
      <c r="N161" s="23" t="e">
        <f ca="1">'Annual Raw'!O78</f>
        <v>#NAME?</v>
      </c>
      <c r="O161" s="23" t="e">
        <f ca="1">'Annual Raw'!P78</f>
        <v>#NAME?</v>
      </c>
      <c r="P161" s="23" t="e">
        <f ca="1">'Annual Raw'!Q78</f>
        <v>#NAME?</v>
      </c>
      <c r="Q161" s="23" t="e">
        <f ca="1">'Annual Raw'!R78</f>
        <v>#NAME?</v>
      </c>
      <c r="R161" s="23" t="e">
        <f ca="1">'Annual Raw'!S78</f>
        <v>#NAME?</v>
      </c>
      <c r="S161" s="23" t="e">
        <f ca="1">'Annual Raw'!T78</f>
        <v>#NAME?</v>
      </c>
      <c r="T161" s="23" t="e">
        <f ca="1">'Annual Raw'!U78</f>
        <v>#NAME?</v>
      </c>
      <c r="U161" s="23" t="e">
        <f ca="1">'Annual Raw'!V78</f>
        <v>#NAME?</v>
      </c>
      <c r="V161" s="23" t="e">
        <f ca="1">'Annual Raw'!W78</f>
        <v>#NAME?</v>
      </c>
      <c r="W161" s="23" t="e">
        <f ca="1">'Annual Raw'!X78</f>
        <v>#NAME?</v>
      </c>
      <c r="X161" s="23" t="e">
        <f ca="1">'Annual Raw'!Y78</f>
        <v>#NAME?</v>
      </c>
      <c r="Y161" s="23" t="e">
        <f ca="1">'Annual Raw'!Z78</f>
        <v>#NAME?</v>
      </c>
      <c r="Z161" s="23" t="e">
        <f ca="1">'Annual Raw'!AA78</f>
        <v>#NAME?</v>
      </c>
      <c r="AA161" s="23" t="e">
        <f ca="1">'Annual Raw'!AB78</f>
        <v>#NAME?</v>
      </c>
      <c r="AB161" s="24" t="e">
        <f t="shared" ca="1" si="1262"/>
        <v>#NAME?</v>
      </c>
      <c r="AC161" s="24" t="e">
        <f t="shared" ca="1" si="1263"/>
        <v>#NAME?</v>
      </c>
      <c r="AD161" s="24" t="e">
        <f t="shared" ca="1" si="1264"/>
        <v>#NAME?</v>
      </c>
      <c r="AE161" s="24" t="e">
        <f t="shared" ca="1" si="1265"/>
        <v>#NAME?</v>
      </c>
      <c r="AJ161" s="23" t="e">
        <f ca="1">+'QTR Raw'!D83</f>
        <v>#NAME?</v>
      </c>
      <c r="AK161" s="23" t="e">
        <f t="shared" ref="AK161:AM161" ca="1" si="1267">+AK211</f>
        <v>#NAME?</v>
      </c>
      <c r="AL161" s="23" t="e">
        <f ca="1">+'QTR Raw'!F83</f>
        <v>#NAME?</v>
      </c>
      <c r="AM161" s="23" t="e">
        <f t="shared" ca="1" si="1267"/>
        <v>#NAME?</v>
      </c>
      <c r="AN161" s="23" t="e">
        <f ca="1">+'QTR Raw'!H83</f>
        <v>#NAME?</v>
      </c>
      <c r="AO161" s="23" t="e">
        <f t="shared" ref="AO161" ca="1" si="1268">+AO211</f>
        <v>#NAME?</v>
      </c>
      <c r="AP161" s="23" t="e">
        <f ca="1">+'QTR Raw'!J83</f>
        <v>#NAME?</v>
      </c>
      <c r="AQ161" s="23" t="e">
        <f t="shared" ref="AQ161" ca="1" si="1269">+AQ211</f>
        <v>#NAME?</v>
      </c>
      <c r="AR161" s="23" t="e">
        <f ca="1">+'QTR Raw'!L83</f>
        <v>#NAME?</v>
      </c>
      <c r="AS161" s="23" t="e">
        <f t="shared" ref="AS161" ca="1" si="1270">+AS211</f>
        <v>#NAME?</v>
      </c>
      <c r="AT161" s="23" t="e">
        <f ca="1">+'QTR Raw'!N83</f>
        <v>#NAME?</v>
      </c>
      <c r="AU161" s="23" t="e">
        <f t="shared" ref="AU161" ca="1" si="1271">+AU211</f>
        <v>#NAME?</v>
      </c>
      <c r="AV161" s="23" t="e">
        <f ca="1">+'QTR Raw'!P83</f>
        <v>#NAME?</v>
      </c>
      <c r="AW161" s="23" t="e">
        <f t="shared" ref="AW161" ca="1" si="1272">+AW211</f>
        <v>#NAME?</v>
      </c>
      <c r="AX161" s="23" t="e">
        <f ca="1">+'QTR Raw'!R83</f>
        <v>#NAME?</v>
      </c>
      <c r="AY161" s="23" t="e">
        <f t="shared" ref="AY161" ca="1" si="1273">+AY211</f>
        <v>#NAME?</v>
      </c>
      <c r="AZ161" s="23" t="e">
        <f ca="1">+'QTR Raw'!T83</f>
        <v>#NAME?</v>
      </c>
      <c r="BA161" s="23" t="e">
        <f t="shared" ref="BA161" ca="1" si="1274">+BA211</f>
        <v>#NAME?</v>
      </c>
      <c r="BB161" s="23" t="e">
        <f ca="1">+'QTR Raw'!V83</f>
        <v>#NAME?</v>
      </c>
      <c r="BC161" s="23" t="e">
        <f t="shared" ref="BC161" ca="1" si="1275">+BC211</f>
        <v>#NAME?</v>
      </c>
      <c r="BD161" s="23" t="e">
        <f ca="1">+'QTR Raw'!X83</f>
        <v>#NAME?</v>
      </c>
      <c r="BE161" s="23" t="e">
        <f t="shared" ref="BE161" ca="1" si="1276">+BE211</f>
        <v>#NAME?</v>
      </c>
      <c r="BF161" s="23" t="e">
        <f ca="1">+'QTR Raw'!Z83</f>
        <v>#NAME?</v>
      </c>
      <c r="BG161" s="23" t="e">
        <f t="shared" ref="BG161" ca="1" si="1277">+BG211</f>
        <v>#NAME?</v>
      </c>
      <c r="BH161" s="23" t="e">
        <f ca="1">+'QTR Raw'!AB83</f>
        <v>#NAME?</v>
      </c>
      <c r="BI161" s="23" t="e">
        <f t="shared" ref="BI161" ca="1" si="1278">+BI211</f>
        <v>#NAME?</v>
      </c>
      <c r="BJ161" s="23" t="e">
        <f ca="1">+'QTR Raw'!AD83</f>
        <v>#NAME?</v>
      </c>
      <c r="BK161" s="23" t="e">
        <f t="shared" ref="BK161" ca="1" si="1279">+BK211</f>
        <v>#NAME?</v>
      </c>
      <c r="BL161" s="23" t="e">
        <f ca="1">+'QTR Raw'!AF83</f>
        <v>#NAME?</v>
      </c>
      <c r="BM161" s="23" t="e">
        <f t="shared" ref="BM161" ca="1" si="1280">+BM211</f>
        <v>#NAME?</v>
      </c>
      <c r="BN161" s="23" t="e">
        <f ca="1">+'QTR Raw'!AH83</f>
        <v>#NAME?</v>
      </c>
      <c r="BO161" s="23" t="e">
        <f t="shared" ref="BO161" ca="1" si="1281">+BO211</f>
        <v>#NAME?</v>
      </c>
      <c r="BP161" s="23" t="e">
        <f ca="1">+'QTR Raw'!AJ83</f>
        <v>#NAME?</v>
      </c>
      <c r="BQ161" s="23" t="e">
        <f t="shared" ref="BQ161" ca="1" si="1282">+BQ211</f>
        <v>#NAME?</v>
      </c>
      <c r="BR161" s="23" t="e">
        <f ca="1">+'QTR Raw'!AL83</f>
        <v>#NAME?</v>
      </c>
      <c r="BS161" s="23" t="e">
        <f t="shared" ref="BS161" ca="1" si="1283">+BS211</f>
        <v>#NAME?</v>
      </c>
      <c r="BT161" s="23" t="e">
        <f ca="1">+'QTR Raw'!AN83</f>
        <v>#NAME?</v>
      </c>
      <c r="BU161" s="23" t="e">
        <f t="shared" ref="BU161" ca="1" si="1284">+BU211</f>
        <v>#NAME?</v>
      </c>
      <c r="BV161" s="23" t="e">
        <f ca="1">+'QTR Raw'!AP83</f>
        <v>#NAME?</v>
      </c>
      <c r="BW161" s="23" t="e">
        <f t="shared" ref="BW161" ca="1" si="1285">+BW211</f>
        <v>#NAME?</v>
      </c>
      <c r="BX161" s="23" t="e">
        <f ca="1">+'QTR Raw'!AR83</f>
        <v>#NAME?</v>
      </c>
      <c r="BY161" s="23" t="e">
        <f t="shared" ref="BY161" ca="1" si="1286">+BY211</f>
        <v>#NAME?</v>
      </c>
      <c r="BZ161" s="23" t="e">
        <f ca="1">+'QTR Raw'!AT83</f>
        <v>#NAME?</v>
      </c>
      <c r="CA161" s="23" t="e">
        <f t="shared" ref="CA161" ca="1" si="1287">+CA211</f>
        <v>#NAME?</v>
      </c>
      <c r="CB161" s="23" t="e">
        <f ca="1">+'QTR Raw'!AV83</f>
        <v>#NAME?</v>
      </c>
      <c r="CC161" s="23" t="e">
        <f t="shared" ref="CC161" ca="1" si="1288">+CC211</f>
        <v>#NAME?</v>
      </c>
      <c r="CD161" s="23" t="e">
        <f ca="1">+'QTR Raw'!AX83</f>
        <v>#NAME?</v>
      </c>
      <c r="CE161" s="23" t="e">
        <f t="shared" ref="CE161" ca="1" si="1289">+CE211</f>
        <v>#NAME?</v>
      </c>
      <c r="CF161" s="23" t="e">
        <f ca="1">+'QTR Raw'!AZ83</f>
        <v>#NAME?</v>
      </c>
      <c r="CG161" s="23" t="e">
        <f t="shared" ref="CG161:CI161" ca="1" si="1290">+CG211</f>
        <v>#NAME?</v>
      </c>
      <c r="CH161" s="23" t="e">
        <f t="shared" ca="1" si="1266"/>
        <v>#NAME?</v>
      </c>
      <c r="CI161" s="23" t="e">
        <f t="shared" ca="1" si="1290"/>
        <v>#NAME?</v>
      </c>
      <c r="CJ161" s="23" t="e">
        <f ca="1">+'QTR Raw'!BD83</f>
        <v>#NAME?</v>
      </c>
      <c r="CK161" s="24" t="e">
        <f t="shared" ref="CK161:DB161" ca="1" si="1291">+CK211</f>
        <v>#NAME?</v>
      </c>
      <c r="CL161" s="23" t="e">
        <f ca="1">+'QTR Raw'!BF83</f>
        <v>#NAME?</v>
      </c>
      <c r="CM161" s="24" t="e">
        <f t="shared" ca="1" si="1291"/>
        <v>#NAME?</v>
      </c>
      <c r="CN161" s="24" t="e">
        <f t="shared" ca="1" si="1291"/>
        <v>#NAME?</v>
      </c>
      <c r="CO161" s="24" t="e">
        <f t="shared" ca="1" si="1291"/>
        <v>#NAME?</v>
      </c>
      <c r="CP161" s="24" t="e">
        <f t="shared" ca="1" si="1291"/>
        <v>#NAME?</v>
      </c>
      <c r="CQ161" s="24" t="e">
        <f t="shared" ca="1" si="1291"/>
        <v>#NAME?</v>
      </c>
      <c r="CR161" s="24" t="e">
        <f t="shared" ca="1" si="1291"/>
        <v>#NAME?</v>
      </c>
      <c r="CS161" s="24" t="e">
        <f t="shared" ca="1" si="1291"/>
        <v>#NAME?</v>
      </c>
      <c r="CT161" s="24" t="e">
        <f t="shared" ca="1" si="1291"/>
        <v>#NAME?</v>
      </c>
      <c r="CU161" s="24" t="e">
        <f t="shared" ca="1" si="1291"/>
        <v>#NAME?</v>
      </c>
      <c r="CV161" s="24" t="e">
        <f t="shared" ca="1" si="1291"/>
        <v>#NAME?</v>
      </c>
      <c r="CW161" s="24" t="e">
        <f t="shared" ca="1" si="1291"/>
        <v>#NAME?</v>
      </c>
      <c r="CX161" s="24" t="e">
        <f t="shared" ca="1" si="1291"/>
        <v>#NAME?</v>
      </c>
      <c r="CY161" s="24" t="e">
        <f t="shared" ca="1" si="1291"/>
        <v>#NAME?</v>
      </c>
      <c r="CZ161" s="24" t="e">
        <f t="shared" ca="1" si="1291"/>
        <v>#NAME?</v>
      </c>
      <c r="DA161" s="24" t="e">
        <f t="shared" ca="1" si="1291"/>
        <v>#NAME?</v>
      </c>
      <c r="DB161" s="24" t="e">
        <f t="shared" ca="1" si="1291"/>
        <v>#NAME?</v>
      </c>
      <c r="DE161" s="123"/>
      <c r="DF161" s="23">
        <v>11809.42</v>
      </c>
    </row>
    <row r="162" spans="1:110" s="22" customFormat="1" x14ac:dyDescent="0.2">
      <c r="A162" s="22" t="s">
        <v>77</v>
      </c>
      <c r="B162" s="22" t="e">
        <f ca="1">B160+B161</f>
        <v>#NAME?</v>
      </c>
      <c r="C162" s="22" t="e">
        <f t="shared" ref="C162:V162" ca="1" si="1292">C160+C161</f>
        <v>#NAME?</v>
      </c>
      <c r="D162" s="22" t="e">
        <f t="shared" ca="1" si="1292"/>
        <v>#NAME?</v>
      </c>
      <c r="E162" s="22" t="e">
        <f t="shared" ca="1" si="1292"/>
        <v>#NAME?</v>
      </c>
      <c r="F162" s="22" t="e">
        <f t="shared" ca="1" si="1292"/>
        <v>#NAME?</v>
      </c>
      <c r="G162" s="22" t="e">
        <f t="shared" ca="1" si="1292"/>
        <v>#NAME?</v>
      </c>
      <c r="H162" s="22" t="e">
        <f t="shared" ca="1" si="1292"/>
        <v>#NAME?</v>
      </c>
      <c r="I162" s="22" t="e">
        <f t="shared" ca="1" si="1292"/>
        <v>#NAME?</v>
      </c>
      <c r="J162" s="22" t="e">
        <f t="shared" ca="1" si="1292"/>
        <v>#NAME?</v>
      </c>
      <c r="K162" s="22" t="e">
        <f t="shared" ca="1" si="1292"/>
        <v>#NAME?</v>
      </c>
      <c r="L162" s="22" t="e">
        <f t="shared" ca="1" si="1292"/>
        <v>#NAME?</v>
      </c>
      <c r="M162" s="22" t="e">
        <f t="shared" ca="1" si="1292"/>
        <v>#NAME?</v>
      </c>
      <c r="N162" s="22" t="e">
        <f t="shared" ca="1" si="1292"/>
        <v>#NAME?</v>
      </c>
      <c r="O162" s="22" t="e">
        <f t="shared" ca="1" si="1292"/>
        <v>#NAME?</v>
      </c>
      <c r="P162" s="22" t="e">
        <f t="shared" ca="1" si="1292"/>
        <v>#NAME?</v>
      </c>
      <c r="Q162" s="22" t="e">
        <f t="shared" ca="1" si="1292"/>
        <v>#NAME?</v>
      </c>
      <c r="R162" s="22" t="e">
        <f t="shared" ca="1" si="1292"/>
        <v>#NAME?</v>
      </c>
      <c r="S162" s="22" t="e">
        <f t="shared" ca="1" si="1292"/>
        <v>#NAME?</v>
      </c>
      <c r="T162" s="22" t="e">
        <f t="shared" ca="1" si="1292"/>
        <v>#NAME?</v>
      </c>
      <c r="U162" s="22" t="e">
        <f t="shared" ca="1" si="1292"/>
        <v>#NAME?</v>
      </c>
      <c r="V162" s="22" t="e">
        <f t="shared" ca="1" si="1292"/>
        <v>#NAME?</v>
      </c>
      <c r="W162" s="22" t="e">
        <f t="shared" ref="W162" ca="1" si="1293">W160+W161</f>
        <v>#NAME?</v>
      </c>
      <c r="X162" s="22" t="e">
        <f t="shared" ref="X162:Y162" ca="1" si="1294">X160+X161</f>
        <v>#NAME?</v>
      </c>
      <c r="Y162" s="22" t="e">
        <f t="shared" ca="1" si="1294"/>
        <v>#NAME?</v>
      </c>
      <c r="Z162" s="22" t="e">
        <f t="shared" ref="Z162:AA162" ca="1" si="1295">Z160+Z161</f>
        <v>#NAME?</v>
      </c>
      <c r="AA162" s="22" t="e">
        <f t="shared" ca="1" si="1295"/>
        <v>#NAME?</v>
      </c>
      <c r="AB162" s="21" t="e">
        <f t="shared" ref="AA162:AD162" ca="1" si="1296">AB160+AB161</f>
        <v>#NAME?</v>
      </c>
      <c r="AC162" s="21" t="e">
        <f t="shared" ca="1" si="1296"/>
        <v>#NAME?</v>
      </c>
      <c r="AD162" s="21" t="e">
        <f t="shared" ca="1" si="1296"/>
        <v>#NAME?</v>
      </c>
      <c r="AE162" s="21" t="e">
        <f t="shared" ref="AE162" ca="1" si="1297">AE160+AE161</f>
        <v>#NAME?</v>
      </c>
      <c r="AJ162" s="22" t="e">
        <f t="shared" ref="AJ162" ca="1" si="1298">AJ160+AJ161</f>
        <v>#NAME?</v>
      </c>
      <c r="AK162" s="22" t="e">
        <f t="shared" ref="AK162" ca="1" si="1299">AK160+AK161</f>
        <v>#NAME?</v>
      </c>
      <c r="AL162" s="22" t="e">
        <f t="shared" ref="AL162:AM162" ca="1" si="1300">AL160+AL161</f>
        <v>#NAME?</v>
      </c>
      <c r="AM162" s="22" t="e">
        <f t="shared" ca="1" si="1300"/>
        <v>#NAME?</v>
      </c>
      <c r="AN162" s="22" t="e">
        <f t="shared" ref="AN162:AO162" ca="1" si="1301">AN160+AN161</f>
        <v>#NAME?</v>
      </c>
      <c r="AO162" s="22" t="e">
        <f t="shared" ca="1" si="1301"/>
        <v>#NAME?</v>
      </c>
      <c r="AP162" s="22" t="e">
        <f t="shared" ref="AP162:CE162" ca="1" si="1302">AP160+AP161</f>
        <v>#NAME?</v>
      </c>
      <c r="AQ162" s="22" t="e">
        <f t="shared" ca="1" si="1302"/>
        <v>#NAME?</v>
      </c>
      <c r="AR162" s="22" t="e">
        <f t="shared" ca="1" si="1302"/>
        <v>#NAME?</v>
      </c>
      <c r="AS162" s="22" t="e">
        <f t="shared" ca="1" si="1302"/>
        <v>#NAME?</v>
      </c>
      <c r="AT162" s="22" t="e">
        <f t="shared" ca="1" si="1302"/>
        <v>#NAME?</v>
      </c>
      <c r="AU162" s="22" t="e">
        <f t="shared" ca="1" si="1302"/>
        <v>#NAME?</v>
      </c>
      <c r="AV162" s="22" t="e">
        <f t="shared" ca="1" si="1302"/>
        <v>#NAME?</v>
      </c>
      <c r="AW162" s="22" t="e">
        <f t="shared" ca="1" si="1302"/>
        <v>#NAME?</v>
      </c>
      <c r="AX162" s="22" t="e">
        <f t="shared" ca="1" si="1302"/>
        <v>#NAME?</v>
      </c>
      <c r="AY162" s="22" t="e">
        <f t="shared" ca="1" si="1302"/>
        <v>#NAME?</v>
      </c>
      <c r="AZ162" s="22" t="e">
        <f t="shared" ca="1" si="1302"/>
        <v>#NAME?</v>
      </c>
      <c r="BA162" s="22" t="e">
        <f t="shared" ca="1" si="1302"/>
        <v>#NAME?</v>
      </c>
      <c r="BB162" s="22" t="e">
        <f t="shared" ca="1" si="1302"/>
        <v>#NAME?</v>
      </c>
      <c r="BC162" s="22" t="e">
        <f t="shared" ca="1" si="1302"/>
        <v>#NAME?</v>
      </c>
      <c r="BD162" s="22" t="e">
        <f t="shared" ca="1" si="1302"/>
        <v>#NAME?</v>
      </c>
      <c r="BE162" s="22" t="e">
        <f t="shared" ca="1" si="1302"/>
        <v>#NAME?</v>
      </c>
      <c r="BF162" s="22" t="e">
        <f t="shared" ca="1" si="1302"/>
        <v>#NAME?</v>
      </c>
      <c r="BG162" s="22" t="e">
        <f t="shared" ca="1" si="1302"/>
        <v>#NAME?</v>
      </c>
      <c r="BH162" s="22" t="e">
        <f t="shared" ca="1" si="1302"/>
        <v>#NAME?</v>
      </c>
      <c r="BI162" s="22" t="e">
        <f t="shared" ca="1" si="1302"/>
        <v>#NAME?</v>
      </c>
      <c r="BJ162" s="22" t="e">
        <f t="shared" ca="1" si="1302"/>
        <v>#NAME?</v>
      </c>
      <c r="BK162" s="22" t="e">
        <f t="shared" ca="1" si="1302"/>
        <v>#NAME?</v>
      </c>
      <c r="BL162" s="22" t="e">
        <f t="shared" ca="1" si="1302"/>
        <v>#NAME?</v>
      </c>
      <c r="BM162" s="22" t="e">
        <f t="shared" ca="1" si="1302"/>
        <v>#NAME?</v>
      </c>
      <c r="BN162" s="22" t="e">
        <f t="shared" ca="1" si="1302"/>
        <v>#NAME?</v>
      </c>
      <c r="BO162" s="22" t="e">
        <f t="shared" ca="1" si="1302"/>
        <v>#NAME?</v>
      </c>
      <c r="BP162" s="22" t="e">
        <f t="shared" ca="1" si="1302"/>
        <v>#NAME?</v>
      </c>
      <c r="BQ162" s="22" t="e">
        <f t="shared" ca="1" si="1302"/>
        <v>#NAME?</v>
      </c>
      <c r="BR162" s="22" t="e">
        <f t="shared" ca="1" si="1302"/>
        <v>#NAME?</v>
      </c>
      <c r="BS162" s="22" t="e">
        <f t="shared" ca="1" si="1302"/>
        <v>#NAME?</v>
      </c>
      <c r="BT162" s="22" t="e">
        <f t="shared" ca="1" si="1302"/>
        <v>#NAME?</v>
      </c>
      <c r="BU162" s="22" t="e">
        <f t="shared" ca="1" si="1302"/>
        <v>#NAME?</v>
      </c>
      <c r="BV162" s="22" t="e">
        <f t="shared" ca="1" si="1302"/>
        <v>#NAME?</v>
      </c>
      <c r="BW162" s="22" t="e">
        <f t="shared" ca="1" si="1302"/>
        <v>#NAME?</v>
      </c>
      <c r="BX162" s="22" t="e">
        <f t="shared" ca="1" si="1302"/>
        <v>#NAME?</v>
      </c>
      <c r="BY162" s="22" t="e">
        <f t="shared" ca="1" si="1302"/>
        <v>#NAME?</v>
      </c>
      <c r="BZ162" s="22" t="e">
        <f t="shared" ca="1" si="1302"/>
        <v>#NAME?</v>
      </c>
      <c r="CA162" s="22" t="e">
        <f t="shared" ca="1" si="1302"/>
        <v>#NAME?</v>
      </c>
      <c r="CB162" s="22" t="e">
        <f t="shared" ca="1" si="1302"/>
        <v>#NAME?</v>
      </c>
      <c r="CC162" s="22" t="e">
        <f t="shared" ca="1" si="1302"/>
        <v>#NAME?</v>
      </c>
      <c r="CD162" s="22" t="e">
        <f t="shared" ca="1" si="1302"/>
        <v>#NAME?</v>
      </c>
      <c r="CE162" s="22" t="e">
        <f t="shared" ca="1" si="1302"/>
        <v>#NAME?</v>
      </c>
      <c r="CF162" s="22" t="e">
        <f t="shared" ref="CF162:CG162" ca="1" si="1303">CF160+CF161</f>
        <v>#NAME?</v>
      </c>
      <c r="CG162" s="22" t="e">
        <f t="shared" ca="1" si="1303"/>
        <v>#NAME?</v>
      </c>
      <c r="CH162" s="22" t="e">
        <f t="shared" ref="CH162:CI162" ca="1" si="1304">CH160+CH161</f>
        <v>#NAME?</v>
      </c>
      <c r="CI162" s="22" t="e">
        <f t="shared" ca="1" si="1304"/>
        <v>#NAME?</v>
      </c>
      <c r="CJ162" s="22" t="e">
        <f t="shared" ref="CJ162:DB162" ca="1" si="1305">CJ160+CJ161</f>
        <v>#NAME?</v>
      </c>
      <c r="CK162" s="21" t="e">
        <f t="shared" ca="1" si="1305"/>
        <v>#NAME?</v>
      </c>
      <c r="CL162" s="22" t="e">
        <f t="shared" ref="CL162" ca="1" si="1306">CL160+CL161</f>
        <v>#NAME?</v>
      </c>
      <c r="CM162" s="21" t="e">
        <f t="shared" ca="1" si="1305"/>
        <v>#NAME?</v>
      </c>
      <c r="CN162" s="21" t="e">
        <f t="shared" ca="1" si="1305"/>
        <v>#NAME?</v>
      </c>
      <c r="CO162" s="21" t="e">
        <f t="shared" ca="1" si="1305"/>
        <v>#NAME?</v>
      </c>
      <c r="CP162" s="21" t="e">
        <f t="shared" ca="1" si="1305"/>
        <v>#NAME?</v>
      </c>
      <c r="CQ162" s="21" t="e">
        <f t="shared" ca="1" si="1305"/>
        <v>#NAME?</v>
      </c>
      <c r="CR162" s="21" t="e">
        <f t="shared" ca="1" si="1305"/>
        <v>#NAME?</v>
      </c>
      <c r="CS162" s="21" t="e">
        <f t="shared" ca="1" si="1305"/>
        <v>#NAME?</v>
      </c>
      <c r="CT162" s="21" t="e">
        <f t="shared" ca="1" si="1305"/>
        <v>#NAME?</v>
      </c>
      <c r="CU162" s="21" t="e">
        <f t="shared" ca="1" si="1305"/>
        <v>#NAME?</v>
      </c>
      <c r="CV162" s="21" t="e">
        <f t="shared" ca="1" si="1305"/>
        <v>#NAME?</v>
      </c>
      <c r="CW162" s="21" t="e">
        <f t="shared" ca="1" si="1305"/>
        <v>#NAME?</v>
      </c>
      <c r="CX162" s="21" t="e">
        <f t="shared" ca="1" si="1305"/>
        <v>#NAME?</v>
      </c>
      <c r="CY162" s="21" t="e">
        <f t="shared" ca="1" si="1305"/>
        <v>#NAME?</v>
      </c>
      <c r="CZ162" s="21" t="e">
        <f t="shared" ca="1" si="1305"/>
        <v>#NAME?</v>
      </c>
      <c r="DA162" s="21" t="e">
        <f t="shared" ca="1" si="1305"/>
        <v>#NAME?</v>
      </c>
      <c r="DB162" s="21" t="e">
        <f t="shared" ca="1" si="1305"/>
        <v>#NAME?</v>
      </c>
      <c r="DE162" s="126"/>
      <c r="DF162" s="22">
        <v>14316.07</v>
      </c>
    </row>
    <row r="163" spans="1:110" s="23" customFormat="1" x14ac:dyDescent="0.2">
      <c r="AB163" s="24"/>
      <c r="AC163" s="24"/>
      <c r="AD163" s="24"/>
      <c r="AE163" s="24"/>
      <c r="CK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</row>
    <row r="164" spans="1:110" s="23" customFormat="1" x14ac:dyDescent="0.2">
      <c r="A164" s="23" t="s">
        <v>78</v>
      </c>
      <c r="B164" s="23" t="e">
        <f ca="1">-'Annual Raw'!C49</f>
        <v>#NAME?</v>
      </c>
      <c r="C164" s="23" t="e">
        <f ca="1">-'Annual Raw'!D49</f>
        <v>#NAME?</v>
      </c>
      <c r="D164" s="23" t="e">
        <f ca="1">-'Annual Raw'!E49</f>
        <v>#NAME?</v>
      </c>
      <c r="E164" s="23" t="e">
        <f ca="1">-'Annual Raw'!F49</f>
        <v>#NAME?</v>
      </c>
      <c r="F164" s="23" t="e">
        <f ca="1">-'Annual Raw'!G49</f>
        <v>#NAME?</v>
      </c>
      <c r="G164" s="23" t="e">
        <f ca="1">-'Annual Raw'!H49</f>
        <v>#NAME?</v>
      </c>
      <c r="H164" s="23" t="e">
        <f ca="1">-'Annual Raw'!I49</f>
        <v>#NAME?</v>
      </c>
      <c r="I164" s="23" t="e">
        <f ca="1">-'Annual Raw'!J49</f>
        <v>#NAME?</v>
      </c>
      <c r="J164" s="23" t="e">
        <f ca="1">-'Annual Raw'!K49</f>
        <v>#NAME?</v>
      </c>
      <c r="K164" s="23" t="e">
        <f ca="1">-'Annual Raw'!L49</f>
        <v>#NAME?</v>
      </c>
      <c r="L164" s="23" t="e">
        <f ca="1">-'Annual Raw'!M49</f>
        <v>#NAME?</v>
      </c>
      <c r="M164" s="23" t="e">
        <f ca="1">-'Annual Raw'!N49</f>
        <v>#NAME?</v>
      </c>
      <c r="N164" s="23" t="e">
        <f ca="1">-'Annual Raw'!O49</f>
        <v>#NAME?</v>
      </c>
      <c r="O164" s="23" t="e">
        <f ca="1">-'Annual Raw'!P49</f>
        <v>#NAME?</v>
      </c>
      <c r="P164" s="23" t="e">
        <f ca="1">-'Annual Raw'!Q49</f>
        <v>#NAME?</v>
      </c>
      <c r="Q164" s="23" t="e">
        <f ca="1">-'Annual Raw'!R49</f>
        <v>#NAME?</v>
      </c>
      <c r="R164" s="23" t="e">
        <f ca="1">-'Annual Raw'!S49</f>
        <v>#NAME?</v>
      </c>
      <c r="S164" s="23" t="e">
        <f ca="1">-'Annual Raw'!T49</f>
        <v>#NAME?</v>
      </c>
      <c r="T164" s="23" t="e">
        <f ca="1">-'Annual Raw'!U49</f>
        <v>#NAME?</v>
      </c>
      <c r="U164" s="23" t="e">
        <f ca="1">-'Annual Raw'!V49</f>
        <v>#NAME?</v>
      </c>
      <c r="V164" s="23" t="e">
        <f ca="1">-'Annual Raw'!W49</f>
        <v>#NAME?</v>
      </c>
      <c r="W164" s="23" t="e">
        <f ca="1">-'Annual Raw'!X49</f>
        <v>#NAME?</v>
      </c>
      <c r="X164" s="23" t="e">
        <f ca="1">-'Annual Raw'!Y49</f>
        <v>#NAME?</v>
      </c>
      <c r="Y164" s="23" t="e">
        <f ca="1">-'Annual Raw'!Z49</f>
        <v>#NAME?</v>
      </c>
      <c r="Z164" s="23" t="e">
        <f ca="1">-'Annual Raw'!AA49</f>
        <v>#NAME?</v>
      </c>
      <c r="AA164" s="23" t="e">
        <f ca="1">-'Annual Raw'!AB49</f>
        <v>#NAME?</v>
      </c>
      <c r="AB164" s="24" t="e">
        <f t="shared" ref="AB164:AB165" ca="1" si="1307">+CP164</f>
        <v>#NAME?</v>
      </c>
      <c r="AC164" s="24" t="e">
        <f t="shared" ref="AC164:AC165" ca="1" si="1308">+CT164</f>
        <v>#NAME?</v>
      </c>
      <c r="AD164" s="24" t="e">
        <f t="shared" ref="AD164:AD165" ca="1" si="1309">+CX164</f>
        <v>#NAME?</v>
      </c>
      <c r="AE164" s="24" t="e">
        <f t="shared" ref="AE164:AE165" ca="1" si="1310">+DB164</f>
        <v>#NAME?</v>
      </c>
      <c r="AJ164" s="23" t="e">
        <f ca="1">+'QTR Raw'!D96</f>
        <v>#NAME?</v>
      </c>
      <c r="AK164" s="23" t="e">
        <f t="shared" ref="AK164:CE164" ca="1" si="1311">+AJ164</f>
        <v>#NAME?</v>
      </c>
      <c r="AL164" s="23" t="e">
        <f ca="1">+'QTR Raw'!F96</f>
        <v>#NAME?</v>
      </c>
      <c r="AM164" s="23" t="e">
        <f t="shared" ca="1" si="1311"/>
        <v>#NAME?</v>
      </c>
      <c r="AN164" s="23" t="e">
        <f ca="1">+'QTR Raw'!H96</f>
        <v>#NAME?</v>
      </c>
      <c r="AO164" s="23" t="e">
        <f t="shared" ca="1" si="1311"/>
        <v>#NAME?</v>
      </c>
      <c r="AP164" s="23" t="e">
        <f ca="1">+'QTR Raw'!J96</f>
        <v>#NAME?</v>
      </c>
      <c r="AQ164" s="23" t="e">
        <f t="shared" ca="1" si="1311"/>
        <v>#NAME?</v>
      </c>
      <c r="AR164" s="23" t="e">
        <f ca="1">+'QTR Raw'!L96</f>
        <v>#NAME?</v>
      </c>
      <c r="AS164" s="23" t="e">
        <f t="shared" ca="1" si="1311"/>
        <v>#NAME?</v>
      </c>
      <c r="AT164" s="23" t="e">
        <f ca="1">+'QTR Raw'!N96</f>
        <v>#NAME?</v>
      </c>
      <c r="AU164" s="23" t="e">
        <f t="shared" ca="1" si="1311"/>
        <v>#NAME?</v>
      </c>
      <c r="AV164" s="23" t="e">
        <f ca="1">+'QTR Raw'!P96</f>
        <v>#NAME?</v>
      </c>
      <c r="AW164" s="23" t="e">
        <f t="shared" ca="1" si="1311"/>
        <v>#NAME?</v>
      </c>
      <c r="AX164" s="23" t="e">
        <f ca="1">+'QTR Raw'!R96</f>
        <v>#NAME?</v>
      </c>
      <c r="AY164" s="23" t="e">
        <f t="shared" ca="1" si="1311"/>
        <v>#NAME?</v>
      </c>
      <c r="AZ164" s="23" t="e">
        <f ca="1">+'QTR Raw'!T96</f>
        <v>#NAME?</v>
      </c>
      <c r="BA164" s="23" t="e">
        <f t="shared" ca="1" si="1311"/>
        <v>#NAME?</v>
      </c>
      <c r="BB164" s="23" t="e">
        <f ca="1">+'QTR Raw'!V96</f>
        <v>#NAME?</v>
      </c>
      <c r="BC164" s="23" t="e">
        <f t="shared" ca="1" si="1311"/>
        <v>#NAME?</v>
      </c>
      <c r="BD164" s="23" t="e">
        <f ca="1">+'QTR Raw'!X96</f>
        <v>#NAME?</v>
      </c>
      <c r="BE164" s="23" t="e">
        <f t="shared" ca="1" si="1311"/>
        <v>#NAME?</v>
      </c>
      <c r="BF164" s="23" t="e">
        <f ca="1">+'QTR Raw'!Z96</f>
        <v>#NAME?</v>
      </c>
      <c r="BG164" s="23" t="e">
        <f t="shared" ca="1" si="1311"/>
        <v>#NAME?</v>
      </c>
      <c r="BH164" s="23" t="e">
        <f ca="1">+'QTR Raw'!AB96</f>
        <v>#NAME?</v>
      </c>
      <c r="BI164" s="23" t="e">
        <f t="shared" ca="1" si="1311"/>
        <v>#NAME?</v>
      </c>
      <c r="BJ164" s="23" t="e">
        <f ca="1">+'QTR Raw'!AD96</f>
        <v>#NAME?</v>
      </c>
      <c r="BK164" s="23" t="e">
        <f t="shared" ca="1" si="1311"/>
        <v>#NAME?</v>
      </c>
      <c r="BL164" s="23" t="e">
        <f ca="1">+'QTR Raw'!AF96</f>
        <v>#NAME?</v>
      </c>
      <c r="BM164" s="23" t="e">
        <f t="shared" ca="1" si="1311"/>
        <v>#NAME?</v>
      </c>
      <c r="BN164" s="23" t="e">
        <f ca="1">+'QTR Raw'!AH96</f>
        <v>#NAME?</v>
      </c>
      <c r="BO164" s="23" t="e">
        <f t="shared" ca="1" si="1311"/>
        <v>#NAME?</v>
      </c>
      <c r="BP164" s="23" t="e">
        <f ca="1">+'QTR Raw'!AJ96</f>
        <v>#NAME?</v>
      </c>
      <c r="BQ164" s="23" t="e">
        <f t="shared" ca="1" si="1311"/>
        <v>#NAME?</v>
      </c>
      <c r="BR164" s="23" t="e">
        <f ca="1">+'QTR Raw'!AL96</f>
        <v>#NAME?</v>
      </c>
      <c r="BS164" s="23" t="e">
        <f t="shared" ca="1" si="1311"/>
        <v>#NAME?</v>
      </c>
      <c r="BT164" s="23" t="e">
        <f ca="1">+'QTR Raw'!AN96</f>
        <v>#NAME?</v>
      </c>
      <c r="BU164" s="23" t="e">
        <f t="shared" ca="1" si="1311"/>
        <v>#NAME?</v>
      </c>
      <c r="BV164" s="23" t="e">
        <f ca="1">+'QTR Raw'!AP96</f>
        <v>#NAME?</v>
      </c>
      <c r="BW164" s="23" t="e">
        <f t="shared" ca="1" si="1311"/>
        <v>#NAME?</v>
      </c>
      <c r="BX164" s="23" t="e">
        <f ca="1">+'QTR Raw'!AR96</f>
        <v>#NAME?</v>
      </c>
      <c r="BY164" s="23" t="e">
        <f t="shared" ca="1" si="1311"/>
        <v>#NAME?</v>
      </c>
      <c r="BZ164" s="23" t="e">
        <f ca="1">+'QTR Raw'!AT96</f>
        <v>#NAME?</v>
      </c>
      <c r="CA164" s="23" t="e">
        <f t="shared" ca="1" si="1311"/>
        <v>#NAME?</v>
      </c>
      <c r="CB164" s="23" t="e">
        <f ca="1">+'QTR Raw'!AV96</f>
        <v>#NAME?</v>
      </c>
      <c r="CC164" s="23" t="e">
        <f t="shared" ca="1" si="1311"/>
        <v>#NAME?</v>
      </c>
      <c r="CD164" s="23" t="e">
        <f ca="1">+'QTR Raw'!AX96</f>
        <v>#NAME?</v>
      </c>
      <c r="CE164" s="23" t="e">
        <f t="shared" ca="1" si="1311"/>
        <v>#NAME?</v>
      </c>
      <c r="CF164" s="23" t="e">
        <f ca="1">+'QTR Raw'!AZ96</f>
        <v>#NAME?</v>
      </c>
      <c r="CG164" s="23" t="e">
        <f t="shared" ref="CG164:CI165" ca="1" si="1312">+CF164</f>
        <v>#NAME?</v>
      </c>
      <c r="CH164" s="23" t="e">
        <f t="shared" ref="CH164:CH165" ca="1" si="1313">Z164</f>
        <v>#NAME?</v>
      </c>
      <c r="CI164" s="23" t="e">
        <f t="shared" ca="1" si="1312"/>
        <v>#NAME?</v>
      </c>
      <c r="CJ164" s="23" t="e">
        <f ca="1">+'QTR Raw'!BD96</f>
        <v>#NAME?</v>
      </c>
      <c r="CK164" s="24" t="e">
        <f t="shared" ref="CK164:CK165" ca="1" si="1314">+CJ164</f>
        <v>#NAME?</v>
      </c>
      <c r="CL164" s="23" t="e">
        <f ca="1">+'QTR Raw'!BF96</f>
        <v>#NAME?</v>
      </c>
      <c r="CM164" s="24" t="e">
        <f t="shared" ref="CM164:CM165" ca="1" si="1315">+CL164</f>
        <v>#NAME?</v>
      </c>
      <c r="CN164" s="24" t="e">
        <f t="shared" ref="CN164:CN165" ca="1" si="1316">+CM164</f>
        <v>#NAME?</v>
      </c>
      <c r="CO164" s="24" t="e">
        <f t="shared" ref="CO164:CO165" ca="1" si="1317">+CN164</f>
        <v>#NAME?</v>
      </c>
      <c r="CP164" s="24" t="e">
        <f t="shared" ref="CP164:CP165" ca="1" si="1318">+CO164</f>
        <v>#NAME?</v>
      </c>
      <c r="CQ164" s="24" t="e">
        <f t="shared" ref="CQ164:CQ165" ca="1" si="1319">+CP164</f>
        <v>#NAME?</v>
      </c>
      <c r="CR164" s="24" t="e">
        <f t="shared" ref="CR164:CR165" ca="1" si="1320">+CQ164</f>
        <v>#NAME?</v>
      </c>
      <c r="CS164" s="24" t="e">
        <f t="shared" ref="CS164:CS165" ca="1" si="1321">+CR164</f>
        <v>#NAME?</v>
      </c>
      <c r="CT164" s="24" t="e">
        <f t="shared" ref="CT164:CT165" ca="1" si="1322">+CS164</f>
        <v>#NAME?</v>
      </c>
      <c r="CU164" s="24" t="e">
        <f t="shared" ref="CU164:CU165" ca="1" si="1323">+CT164</f>
        <v>#NAME?</v>
      </c>
      <c r="CV164" s="24" t="e">
        <f t="shared" ref="CV164:CV165" ca="1" si="1324">+CU164</f>
        <v>#NAME?</v>
      </c>
      <c r="CW164" s="24" t="e">
        <f t="shared" ref="CW164:CW165" ca="1" si="1325">+CV164</f>
        <v>#NAME?</v>
      </c>
      <c r="CX164" s="24" t="e">
        <f t="shared" ref="CX164:CX165" ca="1" si="1326">+CW164</f>
        <v>#NAME?</v>
      </c>
      <c r="CY164" s="24" t="e">
        <f t="shared" ref="CY164:CY165" ca="1" si="1327">+CX164</f>
        <v>#NAME?</v>
      </c>
      <c r="CZ164" s="24" t="e">
        <f t="shared" ref="CZ164:CZ165" ca="1" si="1328">+CY164</f>
        <v>#NAME?</v>
      </c>
      <c r="DA164" s="24" t="e">
        <f t="shared" ref="DA164:DA165" ca="1" si="1329">+CZ164</f>
        <v>#NAME?</v>
      </c>
      <c r="DB164" s="24" t="e">
        <f t="shared" ref="DB164:DB165" ca="1" si="1330">+DA164</f>
        <v>#NAME?</v>
      </c>
      <c r="DE164" s="123"/>
      <c r="DF164" s="23">
        <v>-3128.92</v>
      </c>
    </row>
    <row r="165" spans="1:110" s="23" customFormat="1" x14ac:dyDescent="0.2">
      <c r="A165" s="23" t="s">
        <v>79</v>
      </c>
      <c r="B165" s="23" t="e">
        <f ca="1">'Annual Raw'!C83</f>
        <v>#NAME?</v>
      </c>
      <c r="C165" s="23" t="e">
        <f ca="1">'Annual Raw'!D83</f>
        <v>#NAME?</v>
      </c>
      <c r="D165" s="23" t="e">
        <f ca="1">'Annual Raw'!E83</f>
        <v>#NAME?</v>
      </c>
      <c r="E165" s="23" t="e">
        <f ca="1">'Annual Raw'!F83</f>
        <v>#NAME?</v>
      </c>
      <c r="F165" s="23" t="e">
        <f ca="1">'Annual Raw'!G83</f>
        <v>#NAME?</v>
      </c>
      <c r="G165" s="23" t="e">
        <f ca="1">'Annual Raw'!H83</f>
        <v>#NAME?</v>
      </c>
      <c r="H165" s="23" t="e">
        <f ca="1">'Annual Raw'!I83</f>
        <v>#NAME?</v>
      </c>
      <c r="I165" s="23" t="e">
        <f ca="1">'Annual Raw'!J83</f>
        <v>#NAME?</v>
      </c>
      <c r="J165" s="23" t="e">
        <f ca="1">'Annual Raw'!K83</f>
        <v>#NAME?</v>
      </c>
      <c r="K165" s="23" t="e">
        <f ca="1">'Annual Raw'!L83</f>
        <v>#NAME?</v>
      </c>
      <c r="L165" s="23" t="e">
        <f ca="1">'Annual Raw'!M83</f>
        <v>#NAME?</v>
      </c>
      <c r="M165" s="23" t="e">
        <f ca="1">'Annual Raw'!N83</f>
        <v>#NAME?</v>
      </c>
      <c r="N165" s="23" t="e">
        <f ca="1">'Annual Raw'!O83</f>
        <v>#NAME?</v>
      </c>
      <c r="O165" s="23" t="e">
        <f ca="1">'Annual Raw'!P83</f>
        <v>#NAME?</v>
      </c>
      <c r="P165" s="23" t="e">
        <f ca="1">'Annual Raw'!Q83</f>
        <v>#NAME?</v>
      </c>
      <c r="Q165" s="23" t="e">
        <f ca="1">'Annual Raw'!R83</f>
        <v>#NAME?</v>
      </c>
      <c r="R165" s="23" t="e">
        <f ca="1">'Annual Raw'!S83</f>
        <v>#NAME?</v>
      </c>
      <c r="S165" s="23" t="e">
        <f ca="1">'Annual Raw'!T83</f>
        <v>#NAME?</v>
      </c>
      <c r="T165" s="23" t="e">
        <f ca="1">'Annual Raw'!U83</f>
        <v>#NAME?</v>
      </c>
      <c r="U165" s="23" t="e">
        <f ca="1">'Annual Raw'!V83</f>
        <v>#NAME?</v>
      </c>
      <c r="V165" s="23" t="e">
        <f ca="1">'Annual Raw'!W83</f>
        <v>#NAME?</v>
      </c>
      <c r="W165" s="23" t="e">
        <f ca="1">'Annual Raw'!X83</f>
        <v>#NAME?</v>
      </c>
      <c r="X165" s="23" t="e">
        <f ca="1">'Annual Raw'!Y83</f>
        <v>#NAME?</v>
      </c>
      <c r="Y165" s="23" t="e">
        <f ca="1">'Annual Raw'!Z83</f>
        <v>#NAME?</v>
      </c>
      <c r="Z165" s="23" t="e">
        <f ca="1">'Annual Raw'!AA83</f>
        <v>#NAME?</v>
      </c>
      <c r="AA165" s="23" t="e">
        <f ca="1">'Annual Raw'!AB83</f>
        <v>#NAME?</v>
      </c>
      <c r="AB165" s="24" t="e">
        <f t="shared" ca="1" si="1307"/>
        <v>#NAME?</v>
      </c>
      <c r="AC165" s="24" t="e">
        <f t="shared" ca="1" si="1308"/>
        <v>#NAME?</v>
      </c>
      <c r="AD165" s="24" t="e">
        <f t="shared" ca="1" si="1309"/>
        <v>#NAME?</v>
      </c>
      <c r="AE165" s="24" t="e">
        <f t="shared" ca="1" si="1310"/>
        <v>#NAME?</v>
      </c>
      <c r="AJ165" s="23" t="e">
        <f ca="1">+'QTR Raw'!D95</f>
        <v>#NAME?</v>
      </c>
      <c r="AK165" s="23" t="e">
        <f t="shared" ref="AK165:CE165" ca="1" si="1331">+AJ165</f>
        <v>#NAME?</v>
      </c>
      <c r="AL165" s="23" t="e">
        <f ca="1">+'QTR Raw'!F95</f>
        <v>#NAME?</v>
      </c>
      <c r="AM165" s="23" t="e">
        <f t="shared" ca="1" si="1331"/>
        <v>#NAME?</v>
      </c>
      <c r="AN165" s="23" t="e">
        <f ca="1">+'QTR Raw'!H95</f>
        <v>#NAME?</v>
      </c>
      <c r="AO165" s="23" t="e">
        <f t="shared" ca="1" si="1331"/>
        <v>#NAME?</v>
      </c>
      <c r="AP165" s="23" t="e">
        <f ca="1">+'QTR Raw'!J95</f>
        <v>#NAME?</v>
      </c>
      <c r="AQ165" s="23" t="e">
        <f t="shared" ca="1" si="1331"/>
        <v>#NAME?</v>
      </c>
      <c r="AR165" s="23" t="e">
        <f ca="1">+'QTR Raw'!L95</f>
        <v>#NAME?</v>
      </c>
      <c r="AS165" s="23" t="e">
        <f t="shared" ca="1" si="1331"/>
        <v>#NAME?</v>
      </c>
      <c r="AT165" s="23" t="e">
        <f ca="1">+'QTR Raw'!N95</f>
        <v>#NAME?</v>
      </c>
      <c r="AU165" s="23" t="e">
        <f t="shared" ca="1" si="1331"/>
        <v>#NAME?</v>
      </c>
      <c r="AV165" s="23" t="e">
        <f ca="1">+'QTR Raw'!P95</f>
        <v>#NAME?</v>
      </c>
      <c r="AW165" s="23" t="e">
        <f t="shared" ca="1" si="1331"/>
        <v>#NAME?</v>
      </c>
      <c r="AX165" s="23" t="e">
        <f ca="1">+'QTR Raw'!R95</f>
        <v>#NAME?</v>
      </c>
      <c r="AY165" s="23" t="e">
        <f t="shared" ca="1" si="1331"/>
        <v>#NAME?</v>
      </c>
      <c r="AZ165" s="23" t="e">
        <f ca="1">+'QTR Raw'!T95</f>
        <v>#NAME?</v>
      </c>
      <c r="BA165" s="23" t="e">
        <f t="shared" ca="1" si="1331"/>
        <v>#NAME?</v>
      </c>
      <c r="BB165" s="23" t="e">
        <f ca="1">+'QTR Raw'!V95</f>
        <v>#NAME?</v>
      </c>
      <c r="BC165" s="23" t="e">
        <f t="shared" ca="1" si="1331"/>
        <v>#NAME?</v>
      </c>
      <c r="BD165" s="23" t="e">
        <f ca="1">+'QTR Raw'!X95</f>
        <v>#NAME?</v>
      </c>
      <c r="BE165" s="23" t="e">
        <f t="shared" ca="1" si="1331"/>
        <v>#NAME?</v>
      </c>
      <c r="BF165" s="23" t="e">
        <f ca="1">+'QTR Raw'!Z95</f>
        <v>#NAME?</v>
      </c>
      <c r="BG165" s="23" t="e">
        <f t="shared" ca="1" si="1331"/>
        <v>#NAME?</v>
      </c>
      <c r="BH165" s="23" t="e">
        <f ca="1">+'QTR Raw'!AB95</f>
        <v>#NAME?</v>
      </c>
      <c r="BI165" s="23" t="e">
        <f t="shared" ca="1" si="1331"/>
        <v>#NAME?</v>
      </c>
      <c r="BJ165" s="23" t="e">
        <f ca="1">+'QTR Raw'!AD95</f>
        <v>#NAME?</v>
      </c>
      <c r="BK165" s="23" t="e">
        <f t="shared" ca="1" si="1331"/>
        <v>#NAME?</v>
      </c>
      <c r="BL165" s="23" t="e">
        <f ca="1">+'QTR Raw'!AF95</f>
        <v>#NAME?</v>
      </c>
      <c r="BM165" s="23" t="e">
        <f t="shared" ca="1" si="1331"/>
        <v>#NAME?</v>
      </c>
      <c r="BN165" s="23" t="e">
        <f ca="1">+'QTR Raw'!AH95</f>
        <v>#NAME?</v>
      </c>
      <c r="BO165" s="23" t="e">
        <f t="shared" ca="1" si="1331"/>
        <v>#NAME?</v>
      </c>
      <c r="BP165" s="23" t="e">
        <f ca="1">+'QTR Raw'!AJ95</f>
        <v>#NAME?</v>
      </c>
      <c r="BQ165" s="23" t="e">
        <f t="shared" ca="1" si="1331"/>
        <v>#NAME?</v>
      </c>
      <c r="BR165" s="23" t="e">
        <f ca="1">+'QTR Raw'!AL95</f>
        <v>#NAME?</v>
      </c>
      <c r="BS165" s="23" t="e">
        <f t="shared" ca="1" si="1331"/>
        <v>#NAME?</v>
      </c>
      <c r="BT165" s="23" t="e">
        <f ca="1">+'QTR Raw'!AN95</f>
        <v>#NAME?</v>
      </c>
      <c r="BU165" s="23" t="e">
        <f t="shared" ca="1" si="1331"/>
        <v>#NAME?</v>
      </c>
      <c r="BV165" s="23" t="e">
        <f ca="1">+'QTR Raw'!AP95</f>
        <v>#NAME?</v>
      </c>
      <c r="BW165" s="23" t="e">
        <f t="shared" ca="1" si="1331"/>
        <v>#NAME?</v>
      </c>
      <c r="BX165" s="23" t="e">
        <f ca="1">+'QTR Raw'!AR95</f>
        <v>#NAME?</v>
      </c>
      <c r="BY165" s="23" t="e">
        <f t="shared" ca="1" si="1331"/>
        <v>#NAME?</v>
      </c>
      <c r="BZ165" s="23" t="e">
        <f ca="1">+'QTR Raw'!AT95</f>
        <v>#NAME?</v>
      </c>
      <c r="CA165" s="23" t="e">
        <f t="shared" ca="1" si="1331"/>
        <v>#NAME?</v>
      </c>
      <c r="CB165" s="23" t="e">
        <f ca="1">+'QTR Raw'!AV95</f>
        <v>#NAME?</v>
      </c>
      <c r="CC165" s="23" t="e">
        <f t="shared" ca="1" si="1331"/>
        <v>#NAME?</v>
      </c>
      <c r="CD165" s="23" t="e">
        <f ca="1">+'QTR Raw'!AX95</f>
        <v>#NAME?</v>
      </c>
      <c r="CE165" s="23" t="e">
        <f t="shared" ca="1" si="1331"/>
        <v>#NAME?</v>
      </c>
      <c r="CF165" s="23" t="e">
        <f ca="1">+'QTR Raw'!AZ95</f>
        <v>#NAME?</v>
      </c>
      <c r="CG165" s="23" t="e">
        <f t="shared" ca="1" si="1312"/>
        <v>#NAME?</v>
      </c>
      <c r="CH165" s="23" t="e">
        <f t="shared" ca="1" si="1313"/>
        <v>#NAME?</v>
      </c>
      <c r="CI165" s="23" t="e">
        <f t="shared" ca="1" si="1312"/>
        <v>#NAME?</v>
      </c>
      <c r="CJ165" s="23" t="e">
        <f ca="1">+'QTR Raw'!BD95</f>
        <v>#NAME?</v>
      </c>
      <c r="CK165" s="24" t="e">
        <f t="shared" ca="1" si="1314"/>
        <v>#NAME?</v>
      </c>
      <c r="CL165" s="23" t="e">
        <f ca="1">+'QTR Raw'!BF95</f>
        <v>#NAME?</v>
      </c>
      <c r="CM165" s="24" t="e">
        <f t="shared" ca="1" si="1315"/>
        <v>#NAME?</v>
      </c>
      <c r="CN165" s="24" t="e">
        <f t="shared" ca="1" si="1316"/>
        <v>#NAME?</v>
      </c>
      <c r="CO165" s="24" t="e">
        <f t="shared" ca="1" si="1317"/>
        <v>#NAME?</v>
      </c>
      <c r="CP165" s="24" t="e">
        <f t="shared" ca="1" si="1318"/>
        <v>#NAME?</v>
      </c>
      <c r="CQ165" s="24" t="e">
        <f t="shared" ca="1" si="1319"/>
        <v>#NAME?</v>
      </c>
      <c r="CR165" s="24" t="e">
        <f t="shared" ca="1" si="1320"/>
        <v>#NAME?</v>
      </c>
      <c r="CS165" s="24" t="e">
        <f t="shared" ca="1" si="1321"/>
        <v>#NAME?</v>
      </c>
      <c r="CT165" s="24" t="e">
        <f t="shared" ca="1" si="1322"/>
        <v>#NAME?</v>
      </c>
      <c r="CU165" s="24" t="e">
        <f t="shared" ca="1" si="1323"/>
        <v>#NAME?</v>
      </c>
      <c r="CV165" s="24" t="e">
        <f t="shared" ca="1" si="1324"/>
        <v>#NAME?</v>
      </c>
      <c r="CW165" s="24" t="e">
        <f t="shared" ca="1" si="1325"/>
        <v>#NAME?</v>
      </c>
      <c r="CX165" s="24" t="e">
        <f t="shared" ca="1" si="1326"/>
        <v>#NAME?</v>
      </c>
      <c r="CY165" s="24" t="e">
        <f t="shared" ca="1" si="1327"/>
        <v>#NAME?</v>
      </c>
      <c r="CZ165" s="24" t="e">
        <f t="shared" ca="1" si="1328"/>
        <v>#NAME?</v>
      </c>
      <c r="DA165" s="24" t="e">
        <f t="shared" ca="1" si="1329"/>
        <v>#NAME?</v>
      </c>
      <c r="DB165" s="24" t="e">
        <f t="shared" ca="1" si="1330"/>
        <v>#NAME?</v>
      </c>
      <c r="DE165" s="123"/>
      <c r="DF165" s="23">
        <v>0</v>
      </c>
    </row>
    <row r="166" spans="1:110" s="26" customFormat="1" x14ac:dyDescent="0.2">
      <c r="A166" s="26" t="s">
        <v>438</v>
      </c>
      <c r="B166" s="26" t="e">
        <f t="shared" ref="B166:W166" ca="1" si="1332">B164+B162+B158+B141+B139+B165</f>
        <v>#NAME?</v>
      </c>
      <c r="C166" s="26" t="e">
        <f t="shared" ca="1" si="1332"/>
        <v>#NAME?</v>
      </c>
      <c r="D166" s="26" t="e">
        <f t="shared" ca="1" si="1332"/>
        <v>#NAME?</v>
      </c>
      <c r="E166" s="26" t="e">
        <f t="shared" ca="1" si="1332"/>
        <v>#NAME?</v>
      </c>
      <c r="F166" s="26" t="e">
        <f t="shared" ca="1" si="1332"/>
        <v>#NAME?</v>
      </c>
      <c r="G166" s="26" t="e">
        <f t="shared" ca="1" si="1332"/>
        <v>#NAME?</v>
      </c>
      <c r="H166" s="26" t="e">
        <f t="shared" ca="1" si="1332"/>
        <v>#NAME?</v>
      </c>
      <c r="I166" s="26" t="e">
        <f t="shared" ca="1" si="1332"/>
        <v>#NAME?</v>
      </c>
      <c r="J166" s="26" t="e">
        <f t="shared" ca="1" si="1332"/>
        <v>#NAME?</v>
      </c>
      <c r="K166" s="26" t="e">
        <f t="shared" ca="1" si="1332"/>
        <v>#NAME?</v>
      </c>
      <c r="L166" s="26" t="e">
        <f t="shared" ca="1" si="1332"/>
        <v>#NAME?</v>
      </c>
      <c r="M166" s="26" t="e">
        <f t="shared" ca="1" si="1332"/>
        <v>#NAME?</v>
      </c>
      <c r="N166" s="26" t="e">
        <f t="shared" ca="1" si="1332"/>
        <v>#NAME?</v>
      </c>
      <c r="O166" s="26" t="e">
        <f t="shared" ca="1" si="1332"/>
        <v>#NAME?</v>
      </c>
      <c r="P166" s="26" t="e">
        <f t="shared" ca="1" si="1332"/>
        <v>#NAME?</v>
      </c>
      <c r="Q166" s="26" t="e">
        <f t="shared" ca="1" si="1332"/>
        <v>#NAME?</v>
      </c>
      <c r="R166" s="26" t="e">
        <f t="shared" ca="1" si="1332"/>
        <v>#NAME?</v>
      </c>
      <c r="S166" s="26" t="e">
        <f t="shared" ca="1" si="1332"/>
        <v>#NAME?</v>
      </c>
      <c r="T166" s="26" t="e">
        <f t="shared" ca="1" si="1332"/>
        <v>#NAME?</v>
      </c>
      <c r="U166" s="26" t="e">
        <f t="shared" ca="1" si="1332"/>
        <v>#NAME?</v>
      </c>
      <c r="V166" s="26" t="e">
        <f t="shared" ca="1" si="1332"/>
        <v>#NAME?</v>
      </c>
      <c r="W166" s="26" t="e">
        <f t="shared" ca="1" si="1332"/>
        <v>#NAME?</v>
      </c>
      <c r="X166" s="26" t="e">
        <f t="shared" ref="X166:Y166" ca="1" si="1333">X164+X162+X158+X141+X139+X165</f>
        <v>#NAME?</v>
      </c>
      <c r="Y166" s="26" t="e">
        <f t="shared" ca="1" si="1333"/>
        <v>#NAME?</v>
      </c>
      <c r="Z166" s="26" t="e">
        <f t="shared" ref="Z166:AA166" ca="1" si="1334">Z164+Z162+Z158+Z141+Z139+Z165</f>
        <v>#NAME?</v>
      </c>
      <c r="AA166" s="26" t="e">
        <f t="shared" ca="1" si="1334"/>
        <v>#NAME?</v>
      </c>
      <c r="AB166" s="27" t="e">
        <f t="shared" ref="AA166:AD166" ca="1" si="1335">AB164+AB162+AB158+AB141+AB139+AB165</f>
        <v>#NAME?</v>
      </c>
      <c r="AC166" s="27" t="e">
        <f t="shared" ca="1" si="1335"/>
        <v>#NAME?</v>
      </c>
      <c r="AD166" s="27" t="e">
        <f t="shared" ca="1" si="1335"/>
        <v>#NAME?</v>
      </c>
      <c r="AE166" s="27" t="e">
        <f t="shared" ref="AE166" ca="1" si="1336">AE164+AE162+AE158+AE141+AE139+AE165</f>
        <v>#NAME?</v>
      </c>
      <c r="AJ166" s="26" t="e">
        <f t="shared" ref="AJ166" ca="1" si="1337">AJ164+AJ162+AJ158+AJ141+AJ139+AJ165</f>
        <v>#NAME?</v>
      </c>
      <c r="AK166" s="26" t="e">
        <f t="shared" ref="AK166:AL166" ca="1" si="1338">AK164+AK162+AK158+AK141+AK139+AK165</f>
        <v>#NAME?</v>
      </c>
      <c r="AL166" s="26" t="e">
        <f t="shared" ca="1" si="1338"/>
        <v>#NAME?</v>
      </c>
      <c r="AM166" s="26" t="e">
        <f t="shared" ref="AM166:AO166" ca="1" si="1339">AM164+AM162+AM158+AM141+AM139+AM165</f>
        <v>#NAME?</v>
      </c>
      <c r="AN166" s="26" t="e">
        <f t="shared" ca="1" si="1339"/>
        <v>#NAME?</v>
      </c>
      <c r="AO166" s="26" t="e">
        <f t="shared" ca="1" si="1339"/>
        <v>#NAME?</v>
      </c>
      <c r="AP166" s="26" t="e">
        <f t="shared" ref="AP166:CE166" ca="1" si="1340">AP164+AP162+AP158+AP141+AP139+AP165</f>
        <v>#NAME?</v>
      </c>
      <c r="AQ166" s="26" t="e">
        <f t="shared" ca="1" si="1340"/>
        <v>#NAME?</v>
      </c>
      <c r="AR166" s="26" t="e">
        <f t="shared" ca="1" si="1340"/>
        <v>#NAME?</v>
      </c>
      <c r="AS166" s="26" t="e">
        <f t="shared" ca="1" si="1340"/>
        <v>#NAME?</v>
      </c>
      <c r="AT166" s="26" t="e">
        <f t="shared" ca="1" si="1340"/>
        <v>#NAME?</v>
      </c>
      <c r="AU166" s="26" t="e">
        <f t="shared" ca="1" si="1340"/>
        <v>#NAME?</v>
      </c>
      <c r="AV166" s="26" t="e">
        <f t="shared" ca="1" si="1340"/>
        <v>#NAME?</v>
      </c>
      <c r="AW166" s="26" t="e">
        <f t="shared" ca="1" si="1340"/>
        <v>#NAME?</v>
      </c>
      <c r="AX166" s="26" t="e">
        <f t="shared" ca="1" si="1340"/>
        <v>#NAME?</v>
      </c>
      <c r="AY166" s="26" t="e">
        <f t="shared" ca="1" si="1340"/>
        <v>#NAME?</v>
      </c>
      <c r="AZ166" s="26" t="e">
        <f t="shared" ca="1" si="1340"/>
        <v>#NAME?</v>
      </c>
      <c r="BA166" s="26" t="e">
        <f t="shared" ca="1" si="1340"/>
        <v>#NAME?</v>
      </c>
      <c r="BB166" s="26" t="e">
        <f t="shared" ca="1" si="1340"/>
        <v>#NAME?</v>
      </c>
      <c r="BC166" s="26" t="e">
        <f t="shared" ca="1" si="1340"/>
        <v>#NAME?</v>
      </c>
      <c r="BD166" s="26" t="e">
        <f t="shared" ca="1" si="1340"/>
        <v>#NAME?</v>
      </c>
      <c r="BE166" s="26" t="e">
        <f t="shared" ca="1" si="1340"/>
        <v>#NAME?</v>
      </c>
      <c r="BF166" s="26" t="e">
        <f t="shared" ca="1" si="1340"/>
        <v>#NAME?</v>
      </c>
      <c r="BG166" s="26" t="e">
        <f t="shared" ca="1" si="1340"/>
        <v>#NAME?</v>
      </c>
      <c r="BH166" s="26" t="e">
        <f t="shared" ref="BH166" ca="1" si="1341">BH164+BH162+BH158+BH141+BH139+BH165</f>
        <v>#NAME?</v>
      </c>
      <c r="BI166" s="26" t="e">
        <f t="shared" ca="1" si="1340"/>
        <v>#NAME?</v>
      </c>
      <c r="BJ166" s="26" t="e">
        <f t="shared" ca="1" si="1340"/>
        <v>#NAME?</v>
      </c>
      <c r="BK166" s="26" t="e">
        <f t="shared" ca="1" si="1340"/>
        <v>#NAME?</v>
      </c>
      <c r="BL166" s="26" t="e">
        <f t="shared" ca="1" si="1340"/>
        <v>#NAME?</v>
      </c>
      <c r="BM166" s="26" t="e">
        <f t="shared" ca="1" si="1340"/>
        <v>#NAME?</v>
      </c>
      <c r="BN166" s="26" t="e">
        <f t="shared" ca="1" si="1340"/>
        <v>#NAME?</v>
      </c>
      <c r="BO166" s="26" t="e">
        <f t="shared" ca="1" si="1340"/>
        <v>#NAME?</v>
      </c>
      <c r="BP166" s="26" t="e">
        <f t="shared" ca="1" si="1340"/>
        <v>#NAME?</v>
      </c>
      <c r="BQ166" s="26" t="e">
        <f t="shared" ca="1" si="1340"/>
        <v>#NAME?</v>
      </c>
      <c r="BR166" s="26" t="e">
        <f t="shared" ca="1" si="1340"/>
        <v>#NAME?</v>
      </c>
      <c r="BS166" s="26" t="e">
        <f t="shared" ca="1" si="1340"/>
        <v>#NAME?</v>
      </c>
      <c r="BT166" s="26" t="e">
        <f t="shared" ca="1" si="1340"/>
        <v>#NAME?</v>
      </c>
      <c r="BU166" s="26" t="e">
        <f t="shared" ca="1" si="1340"/>
        <v>#NAME?</v>
      </c>
      <c r="BV166" s="26" t="e">
        <f t="shared" ca="1" si="1340"/>
        <v>#NAME?</v>
      </c>
      <c r="BW166" s="26" t="e">
        <f t="shared" ca="1" si="1340"/>
        <v>#NAME?</v>
      </c>
      <c r="BX166" s="26" t="e">
        <f t="shared" ca="1" si="1340"/>
        <v>#NAME?</v>
      </c>
      <c r="BY166" s="26" t="e">
        <f t="shared" ca="1" si="1340"/>
        <v>#NAME?</v>
      </c>
      <c r="BZ166" s="26" t="e">
        <f t="shared" ca="1" si="1340"/>
        <v>#NAME?</v>
      </c>
      <c r="CA166" s="26" t="e">
        <f t="shared" ca="1" si="1340"/>
        <v>#NAME?</v>
      </c>
      <c r="CB166" s="26" t="e">
        <f t="shared" ca="1" si="1340"/>
        <v>#NAME?</v>
      </c>
      <c r="CC166" s="26" t="e">
        <f t="shared" ca="1" si="1340"/>
        <v>#NAME?</v>
      </c>
      <c r="CD166" s="26" t="e">
        <f t="shared" ca="1" si="1340"/>
        <v>#NAME?</v>
      </c>
      <c r="CE166" s="26" t="e">
        <f t="shared" ca="1" si="1340"/>
        <v>#NAME?</v>
      </c>
      <c r="CF166" s="26" t="e">
        <f t="shared" ref="CF166:CG166" ca="1" si="1342">CF164+CF162+CF158+CF141+CF139+CF165</f>
        <v>#NAME?</v>
      </c>
      <c r="CG166" s="26" t="e">
        <f t="shared" ca="1" si="1342"/>
        <v>#NAME?</v>
      </c>
      <c r="CH166" s="26" t="e">
        <f t="shared" ref="CH166:CI166" ca="1" si="1343">CH164+CH162+CH158+CH141+CH139+CH165</f>
        <v>#NAME?</v>
      </c>
      <c r="CI166" s="26" t="e">
        <f t="shared" ca="1" si="1343"/>
        <v>#NAME?</v>
      </c>
      <c r="CJ166" s="26" t="e">
        <f t="shared" ref="CJ166:DB166" ca="1" si="1344">CJ164+CJ162+CJ158+CJ141+CJ139+CJ165</f>
        <v>#NAME?</v>
      </c>
      <c r="CK166" s="27" t="e">
        <f t="shared" ca="1" si="1344"/>
        <v>#NAME?</v>
      </c>
      <c r="CL166" s="26" t="e">
        <f t="shared" ref="CL166" ca="1" si="1345">CL164+CL162+CL158+CL141+CL139+CL165</f>
        <v>#NAME?</v>
      </c>
      <c r="CM166" s="27" t="e">
        <f t="shared" ca="1" si="1344"/>
        <v>#NAME?</v>
      </c>
      <c r="CN166" s="27" t="e">
        <f t="shared" ca="1" si="1344"/>
        <v>#NAME?</v>
      </c>
      <c r="CO166" s="27" t="e">
        <f t="shared" ca="1" si="1344"/>
        <v>#NAME?</v>
      </c>
      <c r="CP166" s="27" t="e">
        <f t="shared" ca="1" si="1344"/>
        <v>#NAME?</v>
      </c>
      <c r="CQ166" s="27" t="e">
        <f t="shared" ca="1" si="1344"/>
        <v>#NAME?</v>
      </c>
      <c r="CR166" s="27" t="e">
        <f t="shared" ca="1" si="1344"/>
        <v>#NAME?</v>
      </c>
      <c r="CS166" s="27" t="e">
        <f t="shared" ca="1" si="1344"/>
        <v>#NAME?</v>
      </c>
      <c r="CT166" s="27" t="e">
        <f t="shared" ca="1" si="1344"/>
        <v>#NAME?</v>
      </c>
      <c r="CU166" s="27" t="e">
        <f t="shared" ca="1" si="1344"/>
        <v>#NAME?</v>
      </c>
      <c r="CV166" s="27" t="e">
        <f t="shared" ca="1" si="1344"/>
        <v>#NAME?</v>
      </c>
      <c r="CW166" s="27" t="e">
        <f t="shared" ca="1" si="1344"/>
        <v>#NAME?</v>
      </c>
      <c r="CX166" s="27" t="e">
        <f t="shared" ca="1" si="1344"/>
        <v>#NAME?</v>
      </c>
      <c r="CY166" s="27" t="e">
        <f t="shared" ca="1" si="1344"/>
        <v>#NAME?</v>
      </c>
      <c r="CZ166" s="27" t="e">
        <f t="shared" ca="1" si="1344"/>
        <v>#NAME?</v>
      </c>
      <c r="DA166" s="27" t="e">
        <f t="shared" ca="1" si="1344"/>
        <v>#NAME?</v>
      </c>
      <c r="DB166" s="27" t="e">
        <f t="shared" ca="1" si="1344"/>
        <v>#NAME?</v>
      </c>
      <c r="DE166" s="121"/>
      <c r="DF166" s="26">
        <v>175880.46000000002</v>
      </c>
    </row>
    <row r="167" spans="1:110" s="23" customFormat="1" x14ac:dyDescent="0.2">
      <c r="A167" s="28" t="s">
        <v>439</v>
      </c>
      <c r="B167" s="23" t="e">
        <f t="shared" ref="B167:W167" ca="1" si="1346">B166-B130</f>
        <v>#NAME?</v>
      </c>
      <c r="C167" s="23" t="e">
        <f t="shared" ca="1" si="1346"/>
        <v>#NAME?</v>
      </c>
      <c r="D167" s="23" t="e">
        <f t="shared" ca="1" si="1346"/>
        <v>#NAME?</v>
      </c>
      <c r="E167" s="23" t="e">
        <f t="shared" ca="1" si="1346"/>
        <v>#NAME?</v>
      </c>
      <c r="F167" s="23" t="e">
        <f t="shared" ca="1" si="1346"/>
        <v>#NAME?</v>
      </c>
      <c r="G167" s="23" t="e">
        <f t="shared" ca="1" si="1346"/>
        <v>#NAME?</v>
      </c>
      <c r="H167" s="23" t="e">
        <f t="shared" ca="1" si="1346"/>
        <v>#NAME?</v>
      </c>
      <c r="I167" s="23" t="e">
        <f t="shared" ca="1" si="1346"/>
        <v>#NAME?</v>
      </c>
      <c r="J167" s="23" t="e">
        <f t="shared" ca="1" si="1346"/>
        <v>#NAME?</v>
      </c>
      <c r="K167" s="23" t="e">
        <f t="shared" ca="1" si="1346"/>
        <v>#NAME?</v>
      </c>
      <c r="L167" s="23" t="e">
        <f t="shared" ca="1" si="1346"/>
        <v>#NAME?</v>
      </c>
      <c r="M167" s="23" t="e">
        <f t="shared" ca="1" si="1346"/>
        <v>#NAME?</v>
      </c>
      <c r="N167" s="23" t="e">
        <f t="shared" ca="1" si="1346"/>
        <v>#NAME?</v>
      </c>
      <c r="O167" s="23" t="e">
        <f t="shared" ca="1" si="1346"/>
        <v>#NAME?</v>
      </c>
      <c r="P167" s="23" t="e">
        <f t="shared" ca="1" si="1346"/>
        <v>#NAME?</v>
      </c>
      <c r="Q167" s="23" t="e">
        <f t="shared" ca="1" si="1346"/>
        <v>#NAME?</v>
      </c>
      <c r="R167" s="23" t="e">
        <f t="shared" ca="1" si="1346"/>
        <v>#NAME?</v>
      </c>
      <c r="S167" s="23" t="e">
        <f t="shared" ca="1" si="1346"/>
        <v>#NAME?</v>
      </c>
      <c r="T167" s="23" t="e">
        <f t="shared" ca="1" si="1346"/>
        <v>#NAME?</v>
      </c>
      <c r="U167" s="23" t="e">
        <f t="shared" ca="1" si="1346"/>
        <v>#NAME?</v>
      </c>
      <c r="V167" s="23" t="e">
        <f t="shared" ca="1" si="1346"/>
        <v>#NAME?</v>
      </c>
      <c r="W167" s="23" t="e">
        <f t="shared" ca="1" si="1346"/>
        <v>#NAME?</v>
      </c>
      <c r="X167" s="23" t="e">
        <f t="shared" ref="X167:Y167" ca="1" si="1347">X166-X130</f>
        <v>#NAME?</v>
      </c>
      <c r="Y167" s="23" t="e">
        <f t="shared" ca="1" si="1347"/>
        <v>#NAME?</v>
      </c>
      <c r="Z167" s="23" t="e">
        <f t="shared" ref="Z167:AA167" ca="1" si="1348">Z166-Z130</f>
        <v>#NAME?</v>
      </c>
      <c r="AA167" s="23" t="e">
        <f t="shared" ca="1" si="1348"/>
        <v>#NAME?</v>
      </c>
      <c r="AB167" s="24" t="e">
        <f t="shared" ref="AA167:AD167" ca="1" si="1349">AB166-AB130</f>
        <v>#NAME?</v>
      </c>
      <c r="AC167" s="24" t="e">
        <f t="shared" ca="1" si="1349"/>
        <v>#NAME?</v>
      </c>
      <c r="AD167" s="24" t="e">
        <f t="shared" ca="1" si="1349"/>
        <v>#NAME?</v>
      </c>
      <c r="AE167" s="24" t="e">
        <f t="shared" ref="AE167" ca="1" si="1350">AE166-AE130</f>
        <v>#NAME?</v>
      </c>
      <c r="AJ167" s="23" t="e">
        <f t="shared" ref="AJ167" ca="1" si="1351">AJ166-AJ130</f>
        <v>#NAME?</v>
      </c>
      <c r="AK167" s="23" t="e">
        <f t="shared" ref="AK167" ca="1" si="1352">AK166-AK130</f>
        <v>#NAME?</v>
      </c>
      <c r="AL167" s="23" t="e">
        <f t="shared" ref="AL167:AM167" ca="1" si="1353">AL166-AL130</f>
        <v>#NAME?</v>
      </c>
      <c r="AM167" s="23" t="e">
        <f t="shared" ca="1" si="1353"/>
        <v>#NAME?</v>
      </c>
      <c r="AN167" s="23" t="e">
        <f t="shared" ref="AN167:AO167" ca="1" si="1354">AN166-AN130</f>
        <v>#NAME?</v>
      </c>
      <c r="AO167" s="23" t="e">
        <f t="shared" ca="1" si="1354"/>
        <v>#NAME?</v>
      </c>
      <c r="AP167" s="23" t="e">
        <f t="shared" ref="AP167:CE167" ca="1" si="1355">AP166-AP130</f>
        <v>#NAME?</v>
      </c>
      <c r="AQ167" s="23" t="e">
        <f t="shared" ca="1" si="1355"/>
        <v>#NAME?</v>
      </c>
      <c r="AR167" s="23" t="e">
        <f t="shared" ca="1" si="1355"/>
        <v>#NAME?</v>
      </c>
      <c r="AS167" s="23" t="e">
        <f t="shared" ca="1" si="1355"/>
        <v>#NAME?</v>
      </c>
      <c r="AT167" s="23" t="e">
        <f t="shared" ca="1" si="1355"/>
        <v>#NAME?</v>
      </c>
      <c r="AU167" s="23" t="e">
        <f t="shared" ca="1" si="1355"/>
        <v>#NAME?</v>
      </c>
      <c r="AV167" s="23" t="e">
        <f t="shared" ca="1" si="1355"/>
        <v>#NAME?</v>
      </c>
      <c r="AW167" s="23" t="e">
        <f t="shared" ca="1" si="1355"/>
        <v>#NAME?</v>
      </c>
      <c r="AX167" s="23" t="e">
        <f t="shared" ca="1" si="1355"/>
        <v>#NAME?</v>
      </c>
      <c r="AY167" s="23" t="e">
        <f t="shared" ca="1" si="1355"/>
        <v>#NAME?</v>
      </c>
      <c r="AZ167" s="23" t="e">
        <f t="shared" ca="1" si="1355"/>
        <v>#NAME?</v>
      </c>
      <c r="BA167" s="23" t="e">
        <f t="shared" ca="1" si="1355"/>
        <v>#NAME?</v>
      </c>
      <c r="BB167" s="23" t="e">
        <f t="shared" ca="1" si="1355"/>
        <v>#NAME?</v>
      </c>
      <c r="BC167" s="23" t="e">
        <f t="shared" ca="1" si="1355"/>
        <v>#NAME?</v>
      </c>
      <c r="BD167" s="23" t="e">
        <f t="shared" ca="1" si="1355"/>
        <v>#NAME?</v>
      </c>
      <c r="BE167" s="23" t="e">
        <f t="shared" ca="1" si="1355"/>
        <v>#NAME?</v>
      </c>
      <c r="BF167" s="23" t="e">
        <f t="shared" ca="1" si="1355"/>
        <v>#NAME?</v>
      </c>
      <c r="BG167" s="23" t="e">
        <f t="shared" ca="1" si="1355"/>
        <v>#NAME?</v>
      </c>
      <c r="BH167" s="23" t="e">
        <f t="shared" ref="BH167" ca="1" si="1356">BH166-BH130</f>
        <v>#NAME?</v>
      </c>
      <c r="BI167" s="23" t="e">
        <f t="shared" ca="1" si="1355"/>
        <v>#NAME?</v>
      </c>
      <c r="BJ167" s="23" t="e">
        <f t="shared" ca="1" si="1355"/>
        <v>#NAME?</v>
      </c>
      <c r="BK167" s="23" t="e">
        <f t="shared" ca="1" si="1355"/>
        <v>#NAME?</v>
      </c>
      <c r="BL167" s="23" t="e">
        <f t="shared" ca="1" si="1355"/>
        <v>#NAME?</v>
      </c>
      <c r="BM167" s="23" t="e">
        <f t="shared" ca="1" si="1355"/>
        <v>#NAME?</v>
      </c>
      <c r="BN167" s="23" t="e">
        <f t="shared" ca="1" si="1355"/>
        <v>#NAME?</v>
      </c>
      <c r="BO167" s="23" t="e">
        <f t="shared" ca="1" si="1355"/>
        <v>#NAME?</v>
      </c>
      <c r="BP167" s="23" t="e">
        <f t="shared" ca="1" si="1355"/>
        <v>#NAME?</v>
      </c>
      <c r="BQ167" s="23" t="e">
        <f t="shared" ca="1" si="1355"/>
        <v>#NAME?</v>
      </c>
      <c r="BR167" s="23" t="e">
        <f t="shared" ca="1" si="1355"/>
        <v>#NAME?</v>
      </c>
      <c r="BS167" s="23" t="e">
        <f t="shared" ca="1" si="1355"/>
        <v>#NAME?</v>
      </c>
      <c r="BT167" s="23" t="e">
        <f t="shared" ca="1" si="1355"/>
        <v>#NAME?</v>
      </c>
      <c r="BU167" s="23" t="e">
        <f t="shared" ca="1" si="1355"/>
        <v>#NAME?</v>
      </c>
      <c r="BV167" s="23" t="e">
        <f t="shared" ca="1" si="1355"/>
        <v>#NAME?</v>
      </c>
      <c r="BW167" s="23" t="e">
        <f t="shared" ca="1" si="1355"/>
        <v>#NAME?</v>
      </c>
      <c r="BX167" s="23" t="e">
        <f t="shared" ca="1" si="1355"/>
        <v>#NAME?</v>
      </c>
      <c r="BY167" s="23" t="e">
        <f t="shared" ca="1" si="1355"/>
        <v>#NAME?</v>
      </c>
      <c r="BZ167" s="23" t="e">
        <f t="shared" ca="1" si="1355"/>
        <v>#NAME?</v>
      </c>
      <c r="CA167" s="23" t="e">
        <f t="shared" ca="1" si="1355"/>
        <v>#NAME?</v>
      </c>
      <c r="CB167" s="23" t="e">
        <f t="shared" ca="1" si="1355"/>
        <v>#NAME?</v>
      </c>
      <c r="CC167" s="23" t="e">
        <f t="shared" ca="1" si="1355"/>
        <v>#NAME?</v>
      </c>
      <c r="CD167" s="23" t="e">
        <f t="shared" ca="1" si="1355"/>
        <v>#NAME?</v>
      </c>
      <c r="CE167" s="23" t="e">
        <f t="shared" ca="1" si="1355"/>
        <v>#NAME?</v>
      </c>
      <c r="CF167" s="23" t="e">
        <f t="shared" ref="CF167:CG167" ca="1" si="1357">CF166-CF130</f>
        <v>#NAME?</v>
      </c>
      <c r="CG167" s="23" t="e">
        <f t="shared" ca="1" si="1357"/>
        <v>#NAME?</v>
      </c>
      <c r="CH167" s="23" t="e">
        <f t="shared" ref="CH167:CI167" ca="1" si="1358">CH166-CH130</f>
        <v>#NAME?</v>
      </c>
      <c r="CI167" s="23" t="e">
        <f t="shared" ca="1" si="1358"/>
        <v>#NAME?</v>
      </c>
      <c r="CJ167" s="23" t="e">
        <f t="shared" ref="CJ167:DB167" ca="1" si="1359">CJ166-CJ130</f>
        <v>#NAME?</v>
      </c>
      <c r="CK167" s="24" t="e">
        <f t="shared" ca="1" si="1359"/>
        <v>#NAME?</v>
      </c>
      <c r="CL167" s="23" t="e">
        <f t="shared" ref="CL167" ca="1" si="1360">CL166-CL130</f>
        <v>#NAME?</v>
      </c>
      <c r="CM167" s="24" t="e">
        <f t="shared" ca="1" si="1359"/>
        <v>#NAME?</v>
      </c>
      <c r="CN167" s="24" t="e">
        <f t="shared" ca="1" si="1359"/>
        <v>#NAME?</v>
      </c>
      <c r="CO167" s="24" t="e">
        <f t="shared" ca="1" si="1359"/>
        <v>#NAME?</v>
      </c>
      <c r="CP167" s="24" t="e">
        <f t="shared" ca="1" si="1359"/>
        <v>#NAME?</v>
      </c>
      <c r="CQ167" s="24" t="e">
        <f t="shared" ca="1" si="1359"/>
        <v>#NAME?</v>
      </c>
      <c r="CR167" s="24" t="e">
        <f t="shared" ca="1" si="1359"/>
        <v>#NAME?</v>
      </c>
      <c r="CS167" s="24" t="e">
        <f t="shared" ca="1" si="1359"/>
        <v>#NAME?</v>
      </c>
      <c r="CT167" s="24" t="e">
        <f t="shared" ca="1" si="1359"/>
        <v>#NAME?</v>
      </c>
      <c r="CU167" s="24" t="e">
        <f t="shared" ca="1" si="1359"/>
        <v>#NAME?</v>
      </c>
      <c r="CV167" s="24" t="e">
        <f t="shared" ca="1" si="1359"/>
        <v>#NAME?</v>
      </c>
      <c r="CW167" s="24" t="e">
        <f t="shared" ca="1" si="1359"/>
        <v>#NAME?</v>
      </c>
      <c r="CX167" s="24" t="e">
        <f t="shared" ca="1" si="1359"/>
        <v>#NAME?</v>
      </c>
      <c r="CY167" s="24" t="e">
        <f t="shared" ca="1" si="1359"/>
        <v>#NAME?</v>
      </c>
      <c r="CZ167" s="24" t="e">
        <f t="shared" ca="1" si="1359"/>
        <v>#NAME?</v>
      </c>
      <c r="DA167" s="24" t="e">
        <f t="shared" ca="1" si="1359"/>
        <v>#NAME?</v>
      </c>
      <c r="DB167" s="24" t="e">
        <f t="shared" ca="1" si="1359"/>
        <v>#NAME?</v>
      </c>
      <c r="DE167" s="123"/>
      <c r="DF167" s="23">
        <v>0</v>
      </c>
    </row>
    <row r="168" spans="1:110" s="23" customFormat="1" x14ac:dyDescent="0.2">
      <c r="A168" s="28"/>
      <c r="AB168" s="24"/>
      <c r="AC168" s="24"/>
      <c r="AD168" s="24"/>
      <c r="AE168" s="24"/>
      <c r="CK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2" customFormat="1" x14ac:dyDescent="0.2">
      <c r="A169" s="22" t="s">
        <v>80</v>
      </c>
      <c r="B169" s="22" t="e">
        <f t="shared" ref="B169:W169" ca="1" si="1361">B129-B162</f>
        <v>#NAME?</v>
      </c>
      <c r="C169" s="22" t="e">
        <f t="shared" ca="1" si="1361"/>
        <v>#NAME?</v>
      </c>
      <c r="D169" s="22" t="e">
        <f t="shared" ca="1" si="1361"/>
        <v>#NAME?</v>
      </c>
      <c r="E169" s="22" t="e">
        <f t="shared" ca="1" si="1361"/>
        <v>#NAME?</v>
      </c>
      <c r="F169" s="22" t="e">
        <f t="shared" ca="1" si="1361"/>
        <v>#NAME?</v>
      </c>
      <c r="G169" s="22" t="e">
        <f t="shared" ca="1" si="1361"/>
        <v>#NAME?</v>
      </c>
      <c r="H169" s="22" t="e">
        <f t="shared" ca="1" si="1361"/>
        <v>#NAME?</v>
      </c>
      <c r="I169" s="22" t="e">
        <f t="shared" ca="1" si="1361"/>
        <v>#NAME?</v>
      </c>
      <c r="J169" s="22" t="e">
        <f t="shared" ca="1" si="1361"/>
        <v>#NAME?</v>
      </c>
      <c r="K169" s="22" t="e">
        <f t="shared" ca="1" si="1361"/>
        <v>#NAME?</v>
      </c>
      <c r="L169" s="22" t="e">
        <f t="shared" ca="1" si="1361"/>
        <v>#NAME?</v>
      </c>
      <c r="M169" s="22" t="e">
        <f t="shared" ca="1" si="1361"/>
        <v>#NAME?</v>
      </c>
      <c r="N169" s="22" t="e">
        <f t="shared" ca="1" si="1361"/>
        <v>#NAME?</v>
      </c>
      <c r="O169" s="22" t="e">
        <f t="shared" ca="1" si="1361"/>
        <v>#NAME?</v>
      </c>
      <c r="P169" s="22" t="e">
        <f t="shared" ca="1" si="1361"/>
        <v>#NAME?</v>
      </c>
      <c r="Q169" s="22" t="e">
        <f t="shared" ca="1" si="1361"/>
        <v>#NAME?</v>
      </c>
      <c r="R169" s="22" t="e">
        <f t="shared" ca="1" si="1361"/>
        <v>#NAME?</v>
      </c>
      <c r="S169" s="22" t="e">
        <f t="shared" ca="1" si="1361"/>
        <v>#NAME?</v>
      </c>
      <c r="T169" s="22" t="e">
        <f t="shared" ca="1" si="1361"/>
        <v>#NAME?</v>
      </c>
      <c r="U169" s="22" t="e">
        <f t="shared" ca="1" si="1361"/>
        <v>#NAME?</v>
      </c>
      <c r="V169" s="22" t="e">
        <f t="shared" ca="1" si="1361"/>
        <v>#NAME?</v>
      </c>
      <c r="W169" s="22" t="e">
        <f t="shared" ca="1" si="1361"/>
        <v>#NAME?</v>
      </c>
      <c r="X169" s="22" t="e">
        <f t="shared" ref="X169:Y169" ca="1" si="1362">X129-X162</f>
        <v>#NAME?</v>
      </c>
      <c r="Y169" s="22" t="e">
        <f t="shared" ca="1" si="1362"/>
        <v>#NAME?</v>
      </c>
      <c r="Z169" s="22" t="e">
        <f t="shared" ref="Z169:AA169" ca="1" si="1363">Z129-Z162</f>
        <v>#NAME?</v>
      </c>
      <c r="AA169" s="22" t="e">
        <f t="shared" ca="1" si="1363"/>
        <v>#NAME?</v>
      </c>
      <c r="AB169" s="21" t="e">
        <f t="shared" ref="AA169:AD169" ca="1" si="1364">AB129-AB162</f>
        <v>#NAME?</v>
      </c>
      <c r="AC169" s="21" t="e">
        <f t="shared" ca="1" si="1364"/>
        <v>#NAME?</v>
      </c>
      <c r="AD169" s="21" t="e">
        <f t="shared" ca="1" si="1364"/>
        <v>#NAME?</v>
      </c>
      <c r="AE169" s="21" t="e">
        <f t="shared" ref="AE169" ca="1" si="1365">AE129-AE162</f>
        <v>#NAME?</v>
      </c>
      <c r="AJ169" s="22" t="e">
        <f t="shared" ref="AJ169:AM169" ca="1" si="1366">AJ129-AJ162</f>
        <v>#NAME?</v>
      </c>
      <c r="AK169" s="22" t="e">
        <f t="shared" ca="1" si="1366"/>
        <v>#NAME?</v>
      </c>
      <c r="AL169" s="22" t="e">
        <f t="shared" ca="1" si="1366"/>
        <v>#NAME?</v>
      </c>
      <c r="AM169" s="22" t="e">
        <f t="shared" ca="1" si="1366"/>
        <v>#NAME?</v>
      </c>
      <c r="AN169" s="22" t="e">
        <f t="shared" ref="AN169:AO169" ca="1" si="1367">AN129-AN162</f>
        <v>#NAME?</v>
      </c>
      <c r="AO169" s="22" t="e">
        <f t="shared" ca="1" si="1367"/>
        <v>#NAME?</v>
      </c>
      <c r="AP169" s="22" t="e">
        <f t="shared" ref="AP169:CE169" ca="1" si="1368">AP129-AP162</f>
        <v>#NAME?</v>
      </c>
      <c r="AQ169" s="22" t="e">
        <f t="shared" ca="1" si="1368"/>
        <v>#NAME?</v>
      </c>
      <c r="AR169" s="22" t="e">
        <f t="shared" ca="1" si="1368"/>
        <v>#NAME?</v>
      </c>
      <c r="AS169" s="22" t="e">
        <f t="shared" ca="1" si="1368"/>
        <v>#NAME?</v>
      </c>
      <c r="AT169" s="22" t="e">
        <f t="shared" ca="1" si="1368"/>
        <v>#NAME?</v>
      </c>
      <c r="AU169" s="22" t="e">
        <f t="shared" ca="1" si="1368"/>
        <v>#NAME?</v>
      </c>
      <c r="AV169" s="22" t="e">
        <f t="shared" ca="1" si="1368"/>
        <v>#NAME?</v>
      </c>
      <c r="AW169" s="22" t="e">
        <f t="shared" ca="1" si="1368"/>
        <v>#NAME?</v>
      </c>
      <c r="AX169" s="22" t="e">
        <f t="shared" ca="1" si="1368"/>
        <v>#NAME?</v>
      </c>
      <c r="AY169" s="22" t="e">
        <f t="shared" ca="1" si="1368"/>
        <v>#NAME?</v>
      </c>
      <c r="AZ169" s="22" t="e">
        <f t="shared" ca="1" si="1368"/>
        <v>#NAME?</v>
      </c>
      <c r="BA169" s="22" t="e">
        <f t="shared" ca="1" si="1368"/>
        <v>#NAME?</v>
      </c>
      <c r="BB169" s="22" t="e">
        <f t="shared" ca="1" si="1368"/>
        <v>#NAME?</v>
      </c>
      <c r="BC169" s="22" t="e">
        <f t="shared" ca="1" si="1368"/>
        <v>#NAME?</v>
      </c>
      <c r="BD169" s="22" t="e">
        <f t="shared" ca="1" si="1368"/>
        <v>#NAME?</v>
      </c>
      <c r="BE169" s="22" t="e">
        <f t="shared" ca="1" si="1368"/>
        <v>#NAME?</v>
      </c>
      <c r="BF169" s="22" t="e">
        <f t="shared" ca="1" si="1368"/>
        <v>#NAME?</v>
      </c>
      <c r="BG169" s="22" t="e">
        <f t="shared" ca="1" si="1368"/>
        <v>#NAME?</v>
      </c>
      <c r="BH169" s="22" t="e">
        <f t="shared" ca="1" si="1368"/>
        <v>#NAME?</v>
      </c>
      <c r="BI169" s="22" t="e">
        <f t="shared" ca="1" si="1368"/>
        <v>#NAME?</v>
      </c>
      <c r="BJ169" s="22" t="e">
        <f t="shared" ca="1" si="1368"/>
        <v>#NAME?</v>
      </c>
      <c r="BK169" s="22" t="e">
        <f t="shared" ca="1" si="1368"/>
        <v>#NAME?</v>
      </c>
      <c r="BL169" s="22" t="e">
        <f t="shared" ca="1" si="1368"/>
        <v>#NAME?</v>
      </c>
      <c r="BM169" s="22" t="e">
        <f t="shared" ca="1" si="1368"/>
        <v>#NAME?</v>
      </c>
      <c r="BN169" s="22" t="e">
        <f t="shared" ca="1" si="1368"/>
        <v>#NAME?</v>
      </c>
      <c r="BO169" s="22" t="e">
        <f t="shared" ca="1" si="1368"/>
        <v>#NAME?</v>
      </c>
      <c r="BP169" s="22" t="e">
        <f t="shared" ca="1" si="1368"/>
        <v>#NAME?</v>
      </c>
      <c r="BQ169" s="22" t="e">
        <f t="shared" ca="1" si="1368"/>
        <v>#NAME?</v>
      </c>
      <c r="BR169" s="22" t="e">
        <f t="shared" ca="1" si="1368"/>
        <v>#NAME?</v>
      </c>
      <c r="BS169" s="22" t="e">
        <f t="shared" ca="1" si="1368"/>
        <v>#NAME?</v>
      </c>
      <c r="BT169" s="22" t="e">
        <f t="shared" ca="1" si="1368"/>
        <v>#NAME?</v>
      </c>
      <c r="BU169" s="22" t="e">
        <f t="shared" ca="1" si="1368"/>
        <v>#NAME?</v>
      </c>
      <c r="BV169" s="22" t="e">
        <f t="shared" ca="1" si="1368"/>
        <v>#NAME?</v>
      </c>
      <c r="BW169" s="22" t="e">
        <f t="shared" ca="1" si="1368"/>
        <v>#NAME?</v>
      </c>
      <c r="BX169" s="22" t="e">
        <f t="shared" ca="1" si="1368"/>
        <v>#NAME?</v>
      </c>
      <c r="BY169" s="22" t="e">
        <f t="shared" ca="1" si="1368"/>
        <v>#NAME?</v>
      </c>
      <c r="BZ169" s="22" t="e">
        <f t="shared" ca="1" si="1368"/>
        <v>#NAME?</v>
      </c>
      <c r="CA169" s="22" t="e">
        <f t="shared" ca="1" si="1368"/>
        <v>#NAME?</v>
      </c>
      <c r="CB169" s="22" t="e">
        <f t="shared" ca="1" si="1368"/>
        <v>#NAME?</v>
      </c>
      <c r="CC169" s="22" t="e">
        <f t="shared" ca="1" si="1368"/>
        <v>#NAME?</v>
      </c>
      <c r="CD169" s="22" t="e">
        <f t="shared" ca="1" si="1368"/>
        <v>#NAME?</v>
      </c>
      <c r="CE169" s="22" t="e">
        <f t="shared" ca="1" si="1368"/>
        <v>#NAME?</v>
      </c>
      <c r="CF169" s="22" t="e">
        <f t="shared" ref="CF169:CG169" ca="1" si="1369">CF129-CF162</f>
        <v>#NAME?</v>
      </c>
      <c r="CG169" s="22" t="e">
        <f t="shared" ca="1" si="1369"/>
        <v>#NAME?</v>
      </c>
      <c r="CH169" s="22" t="e">
        <f t="shared" ref="CH169:CI169" ca="1" si="1370">CH129-CH162</f>
        <v>#NAME?</v>
      </c>
      <c r="CI169" s="22" t="e">
        <f t="shared" ca="1" si="1370"/>
        <v>#NAME?</v>
      </c>
      <c r="CJ169" s="22" t="e">
        <f t="shared" ref="CJ169:DB169" ca="1" si="1371">CJ129-CJ162</f>
        <v>#NAME?</v>
      </c>
      <c r="CK169" s="21" t="e">
        <f t="shared" ca="1" si="1371"/>
        <v>#NAME?</v>
      </c>
      <c r="CL169" s="22" t="e">
        <f t="shared" ref="CL169" ca="1" si="1372">CL129-CL162</f>
        <v>#NAME?</v>
      </c>
      <c r="CM169" s="21" t="e">
        <f t="shared" ca="1" si="1371"/>
        <v>#NAME?</v>
      </c>
      <c r="CN169" s="21" t="e">
        <f t="shared" ca="1" si="1371"/>
        <v>#NAME?</v>
      </c>
      <c r="CO169" s="21" t="e">
        <f t="shared" ca="1" si="1371"/>
        <v>#NAME?</v>
      </c>
      <c r="CP169" s="21" t="e">
        <f t="shared" ca="1" si="1371"/>
        <v>#NAME?</v>
      </c>
      <c r="CQ169" s="21" t="e">
        <f t="shared" ca="1" si="1371"/>
        <v>#NAME?</v>
      </c>
      <c r="CR169" s="21" t="e">
        <f t="shared" ca="1" si="1371"/>
        <v>#NAME?</v>
      </c>
      <c r="CS169" s="21" t="e">
        <f t="shared" ca="1" si="1371"/>
        <v>#NAME?</v>
      </c>
      <c r="CT169" s="21" t="e">
        <f t="shared" ca="1" si="1371"/>
        <v>#NAME?</v>
      </c>
      <c r="CU169" s="21" t="e">
        <f t="shared" ca="1" si="1371"/>
        <v>#NAME?</v>
      </c>
      <c r="CV169" s="21" t="e">
        <f t="shared" ca="1" si="1371"/>
        <v>#NAME?</v>
      </c>
      <c r="CW169" s="21" t="e">
        <f t="shared" ca="1" si="1371"/>
        <v>#NAME?</v>
      </c>
      <c r="CX169" s="21" t="e">
        <f t="shared" ca="1" si="1371"/>
        <v>#NAME?</v>
      </c>
      <c r="CY169" s="21" t="e">
        <f t="shared" ca="1" si="1371"/>
        <v>#NAME?</v>
      </c>
      <c r="CZ169" s="21" t="e">
        <f t="shared" ca="1" si="1371"/>
        <v>#NAME?</v>
      </c>
      <c r="DA169" s="21" t="e">
        <f t="shared" ca="1" si="1371"/>
        <v>#NAME?</v>
      </c>
      <c r="DB169" s="21" t="e">
        <f t="shared" ca="1" si="1371"/>
        <v>#NAME?</v>
      </c>
      <c r="DE169" s="126"/>
      <c r="DF169" s="22">
        <v>72386.139999999985</v>
      </c>
    </row>
    <row r="170" spans="1:110" x14ac:dyDescent="0.2">
      <c r="AA170" s="2"/>
      <c r="CE170" s="111"/>
      <c r="CG170" s="111"/>
      <c r="CL170" s="2"/>
    </row>
    <row r="171" spans="1:110" s="49" customFormat="1" x14ac:dyDescent="0.2">
      <c r="A171" s="49" t="s">
        <v>81</v>
      </c>
      <c r="B171" s="49" t="e">
        <f ca="1">'Annual Raw'!C85</f>
        <v>#NAME?</v>
      </c>
      <c r="C171" s="49" t="e">
        <f ca="1">'Annual Raw'!D85</f>
        <v>#NAME?</v>
      </c>
      <c r="D171" s="49" t="e">
        <f ca="1">'Annual Raw'!E85</f>
        <v>#NAME?</v>
      </c>
      <c r="E171" s="49" t="e">
        <f ca="1">'Annual Raw'!F85</f>
        <v>#NAME?</v>
      </c>
      <c r="F171" s="49" t="e">
        <f ca="1">'Annual Raw'!G85</f>
        <v>#NAME?</v>
      </c>
      <c r="G171" s="49" t="e">
        <f ca="1">'Annual Raw'!H85</f>
        <v>#NAME?</v>
      </c>
      <c r="H171" s="49" t="e">
        <f ca="1">'Annual Raw'!I85</f>
        <v>#NAME?</v>
      </c>
      <c r="I171" s="49" t="e">
        <f ca="1">'Annual Raw'!J85</f>
        <v>#NAME?</v>
      </c>
      <c r="J171" s="49" t="e">
        <f ca="1">'Annual Raw'!K85</f>
        <v>#NAME?</v>
      </c>
      <c r="K171" s="49" t="e">
        <f ca="1">'Annual Raw'!L85</f>
        <v>#NAME?</v>
      </c>
      <c r="L171" s="49" t="e">
        <f ca="1">'Annual Raw'!M85</f>
        <v>#NAME?</v>
      </c>
      <c r="M171" s="49" t="e">
        <f ca="1">'Annual Raw'!N85</f>
        <v>#NAME?</v>
      </c>
      <c r="N171" s="49" t="e">
        <f ca="1">'Annual Raw'!O85</f>
        <v>#NAME?</v>
      </c>
      <c r="O171" s="49" t="e">
        <f ca="1">'Annual Raw'!P85</f>
        <v>#NAME?</v>
      </c>
      <c r="P171" s="49" t="e">
        <f ca="1">'Annual Raw'!Q85</f>
        <v>#NAME?</v>
      </c>
      <c r="Q171" s="49" t="e">
        <f ca="1">'Annual Raw'!R85</f>
        <v>#NAME?</v>
      </c>
      <c r="R171" s="49" t="e">
        <f ca="1">'Annual Raw'!S85</f>
        <v>#NAME?</v>
      </c>
      <c r="S171" s="49" t="e">
        <f ca="1">'Annual Raw'!T85</f>
        <v>#NAME?</v>
      </c>
      <c r="T171" s="49" t="e">
        <f ca="1">'Annual Raw'!U85</f>
        <v>#NAME?</v>
      </c>
      <c r="U171" s="49" t="e">
        <f ca="1">'Annual Raw'!V85</f>
        <v>#NAME?</v>
      </c>
      <c r="V171" s="49" t="e">
        <f ca="1">'Annual Raw'!W85</f>
        <v>#NAME?</v>
      </c>
      <c r="W171" s="49" t="e">
        <f ca="1">'Annual Raw'!X85</f>
        <v>#NAME?</v>
      </c>
      <c r="X171" s="49" t="e">
        <f ca="1">'Annual Raw'!Y85</f>
        <v>#NAME?</v>
      </c>
      <c r="Y171" s="49" t="e">
        <f ca="1">'Annual Raw'!Z85</f>
        <v>#NAME?</v>
      </c>
      <c r="Z171" s="49" t="e">
        <f ca="1">'Annual Raw'!AA85</f>
        <v>#NAME?</v>
      </c>
      <c r="AA171" s="49" t="e">
        <f ca="1">'Annual Raw'!AB85</f>
        <v>#NAME?</v>
      </c>
      <c r="AB171" s="50"/>
      <c r="AC171" s="50"/>
      <c r="AD171" s="50"/>
      <c r="AE171" s="50"/>
      <c r="CK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E171" s="138"/>
    </row>
    <row r="172" spans="1:110" s="29" customFormat="1" x14ac:dyDescent="0.2">
      <c r="A172" s="29" t="s">
        <v>82</v>
      </c>
      <c r="B172" s="29" t="e">
        <f ca="1">'Annual Raw'!C95</f>
        <v>#NAME?</v>
      </c>
      <c r="C172" s="29" t="e">
        <f ca="1">'Annual Raw'!D95</f>
        <v>#NAME?</v>
      </c>
      <c r="D172" s="29" t="e">
        <f ca="1">'Annual Raw'!E95</f>
        <v>#NAME?</v>
      </c>
      <c r="E172" s="29" t="e">
        <f ca="1">'Annual Raw'!F95</f>
        <v>#NAME?</v>
      </c>
      <c r="F172" s="29" t="e">
        <f ca="1">'Annual Raw'!G95</f>
        <v>#NAME?</v>
      </c>
      <c r="G172" s="29" t="e">
        <f ca="1">'Annual Raw'!H95</f>
        <v>#NAME?</v>
      </c>
      <c r="H172" s="29" t="e">
        <f ca="1">'Annual Raw'!I95</f>
        <v>#NAME?</v>
      </c>
      <c r="I172" s="29" t="e">
        <f ca="1">'Annual Raw'!J95</f>
        <v>#NAME?</v>
      </c>
      <c r="J172" s="29" t="e">
        <f ca="1">'Annual Raw'!K95</f>
        <v>#NAME?</v>
      </c>
      <c r="K172" s="29" t="e">
        <f ca="1">'Annual Raw'!L95</f>
        <v>#NAME?</v>
      </c>
      <c r="L172" s="29" t="e">
        <f ca="1">'Annual Raw'!M95</f>
        <v>#NAME?</v>
      </c>
      <c r="M172" s="29" t="e">
        <f ca="1">'Annual Raw'!N95</f>
        <v>#NAME?</v>
      </c>
      <c r="N172" s="29" t="e">
        <f ca="1">'Annual Raw'!O95</f>
        <v>#NAME?</v>
      </c>
      <c r="O172" s="29" t="e">
        <f ca="1">'Annual Raw'!P95</f>
        <v>#NAME?</v>
      </c>
      <c r="P172" s="29" t="e">
        <f ca="1">'Annual Raw'!Q95</f>
        <v>#NAME?</v>
      </c>
      <c r="Q172" s="29" t="e">
        <f ca="1">'Annual Raw'!R95</f>
        <v>#NAME?</v>
      </c>
      <c r="R172" s="29" t="e">
        <f ca="1">'Annual Raw'!S95</f>
        <v>#NAME?</v>
      </c>
      <c r="S172" s="29" t="e">
        <f ca="1">'Annual Raw'!T95</f>
        <v>#NAME?</v>
      </c>
      <c r="T172" s="29" t="e">
        <f ca="1">'Annual Raw'!U95</f>
        <v>#NAME?</v>
      </c>
      <c r="U172" s="29" t="e">
        <f ca="1">'Annual Raw'!V95</f>
        <v>#NAME?</v>
      </c>
      <c r="V172" s="29" t="e">
        <f ca="1">'Annual Raw'!W95</f>
        <v>#NAME?</v>
      </c>
      <c r="W172" s="29" t="e">
        <f ca="1">'Annual Raw'!X95</f>
        <v>#NAME?</v>
      </c>
      <c r="X172" s="29" t="e">
        <f ca="1">'Annual Raw'!Y95</f>
        <v>#NAME?</v>
      </c>
      <c r="Y172" s="29" t="e">
        <f ca="1">'Annual Raw'!Z95</f>
        <v>#NAME?</v>
      </c>
      <c r="Z172" s="29" t="e">
        <f ca="1">'Annual Raw'!AA95</f>
        <v>#NAME?</v>
      </c>
      <c r="AA172" s="29" t="e">
        <f ca="1">'Annual Raw'!AB95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83</v>
      </c>
      <c r="B173" s="29" t="e">
        <f ca="1">'Annual Raw'!C93</f>
        <v>#NAME?</v>
      </c>
      <c r="C173" s="29" t="e">
        <f ca="1">'Annual Raw'!D93</f>
        <v>#NAME?</v>
      </c>
      <c r="D173" s="29" t="e">
        <f ca="1">'Annual Raw'!E93</f>
        <v>#NAME?</v>
      </c>
      <c r="E173" s="29" t="e">
        <f ca="1">'Annual Raw'!F93</f>
        <v>#NAME?</v>
      </c>
      <c r="F173" s="29" t="e">
        <f ca="1">'Annual Raw'!G93</f>
        <v>#NAME?</v>
      </c>
      <c r="G173" s="29" t="e">
        <f ca="1">'Annual Raw'!H93</f>
        <v>#NAME?</v>
      </c>
      <c r="H173" s="29" t="e">
        <f ca="1">'Annual Raw'!I93</f>
        <v>#NAME?</v>
      </c>
      <c r="I173" s="29" t="e">
        <f ca="1">'Annual Raw'!J93</f>
        <v>#NAME?</v>
      </c>
      <c r="J173" s="29" t="e">
        <f ca="1">'Annual Raw'!K93</f>
        <v>#NAME?</v>
      </c>
      <c r="K173" s="29" t="e">
        <f ca="1">'Annual Raw'!L93</f>
        <v>#NAME?</v>
      </c>
      <c r="L173" s="29" t="e">
        <f ca="1">'Annual Raw'!M93</f>
        <v>#NAME?</v>
      </c>
      <c r="M173" s="29" t="e">
        <f ca="1">'Annual Raw'!N93</f>
        <v>#NAME?</v>
      </c>
      <c r="N173" s="29" t="e">
        <f ca="1">'Annual Raw'!O93</f>
        <v>#NAME?</v>
      </c>
      <c r="O173" s="29" t="e">
        <f ca="1">'Annual Raw'!P93</f>
        <v>#NAME?</v>
      </c>
      <c r="P173" s="29" t="e">
        <f ca="1">'Annual Raw'!Q93</f>
        <v>#NAME?</v>
      </c>
      <c r="Q173" s="29" t="e">
        <f ca="1">'Annual Raw'!R93</f>
        <v>#NAME?</v>
      </c>
      <c r="R173" s="29" t="e">
        <f ca="1">'Annual Raw'!S93</f>
        <v>#NAME?</v>
      </c>
      <c r="S173" s="29" t="e">
        <f ca="1">'Annual Raw'!T93</f>
        <v>#NAME?</v>
      </c>
      <c r="T173" s="29" t="e">
        <f ca="1">'Annual Raw'!U93</f>
        <v>#NAME?</v>
      </c>
      <c r="U173" s="29" t="e">
        <f ca="1">'Annual Raw'!V93</f>
        <v>#NAME?</v>
      </c>
      <c r="V173" s="29" t="e">
        <f ca="1">'Annual Raw'!W93</f>
        <v>#NAME?</v>
      </c>
      <c r="W173" s="29" t="e">
        <f ca="1">'Annual Raw'!X93</f>
        <v>#NAME?</v>
      </c>
      <c r="X173" s="29" t="e">
        <f ca="1">'Annual Raw'!Y93</f>
        <v>#NAME?</v>
      </c>
      <c r="Y173" s="29" t="e">
        <f ca="1">'Annual Raw'!Z93</f>
        <v>#NAME?</v>
      </c>
      <c r="Z173" s="29" t="e">
        <f ca="1">'Annual Raw'!AA93</f>
        <v>#NAME?</v>
      </c>
      <c r="AA173" s="29" t="e">
        <f ca="1">'Annual Raw'!AB93</f>
        <v>#NAME?</v>
      </c>
      <c r="AB173" s="30"/>
      <c r="AC173" s="30"/>
      <c r="AD173" s="30"/>
      <c r="AE173" s="30"/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</row>
    <row r="174" spans="1:110" s="29" customFormat="1" x14ac:dyDescent="0.2">
      <c r="A174" s="29" t="s">
        <v>84</v>
      </c>
      <c r="B174" s="29" t="e">
        <f t="shared" ref="B174:V174" ca="1" si="1373">B171-B172-B173</f>
        <v>#NAME?</v>
      </c>
      <c r="C174" s="29" t="e">
        <f t="shared" ca="1" si="1373"/>
        <v>#NAME?</v>
      </c>
      <c r="D174" s="29" t="e">
        <f t="shared" ca="1" si="1373"/>
        <v>#NAME?</v>
      </c>
      <c r="E174" s="29" t="e">
        <f t="shared" ca="1" si="1373"/>
        <v>#NAME?</v>
      </c>
      <c r="F174" s="29" t="e">
        <f t="shared" ca="1" si="1373"/>
        <v>#NAME?</v>
      </c>
      <c r="G174" s="29" t="e">
        <f t="shared" ca="1" si="1373"/>
        <v>#NAME?</v>
      </c>
      <c r="H174" s="29" t="e">
        <f t="shared" ca="1" si="1373"/>
        <v>#NAME?</v>
      </c>
      <c r="I174" s="29" t="e">
        <f t="shared" ca="1" si="1373"/>
        <v>#NAME?</v>
      </c>
      <c r="J174" s="29" t="e">
        <f t="shared" ca="1" si="1373"/>
        <v>#NAME?</v>
      </c>
      <c r="K174" s="29" t="e">
        <f t="shared" ca="1" si="1373"/>
        <v>#NAME?</v>
      </c>
      <c r="L174" s="29" t="e">
        <f t="shared" ca="1" si="1373"/>
        <v>#NAME?</v>
      </c>
      <c r="M174" s="29" t="e">
        <f t="shared" ca="1" si="1373"/>
        <v>#NAME?</v>
      </c>
      <c r="N174" s="29" t="e">
        <f t="shared" ca="1" si="1373"/>
        <v>#NAME?</v>
      </c>
      <c r="O174" s="29" t="e">
        <f t="shared" ca="1" si="1373"/>
        <v>#NAME?</v>
      </c>
      <c r="P174" s="29" t="e">
        <f t="shared" ca="1" si="1373"/>
        <v>#NAME?</v>
      </c>
      <c r="Q174" s="29" t="e">
        <f t="shared" ca="1" si="1373"/>
        <v>#NAME?</v>
      </c>
      <c r="R174" s="29" t="e">
        <f t="shared" ca="1" si="1373"/>
        <v>#NAME?</v>
      </c>
      <c r="S174" s="29" t="e">
        <f t="shared" ca="1" si="1373"/>
        <v>#NAME?</v>
      </c>
      <c r="T174" s="29" t="e">
        <f t="shared" ca="1" si="1373"/>
        <v>#NAME?</v>
      </c>
      <c r="U174" s="29" t="e">
        <f t="shared" ca="1" si="1373"/>
        <v>#NAME?</v>
      </c>
      <c r="V174" s="29" t="e">
        <f t="shared" ca="1" si="1373"/>
        <v>#NAME?</v>
      </c>
      <c r="W174" s="29" t="e">
        <f t="shared" ref="W174" ca="1" si="1374">W171-W172-W173</f>
        <v>#NAME?</v>
      </c>
      <c r="X174" s="29" t="e">
        <f t="shared" ref="X174:Y174" ca="1" si="1375">X171-X172-X173</f>
        <v>#NAME?</v>
      </c>
      <c r="Y174" s="29" t="e">
        <f t="shared" ca="1" si="1375"/>
        <v>#NAME?</v>
      </c>
      <c r="Z174" s="29" t="e">
        <f t="shared" ref="Z174:AA174" ca="1" si="1376">Z171-Z172-Z173</f>
        <v>#NAME?</v>
      </c>
      <c r="AA174" s="29" t="e">
        <f t="shared" ca="1" si="1376"/>
        <v>#NAME?</v>
      </c>
      <c r="AB174" s="30">
        <f t="shared" ref="AA174:AD174" si="1377">AB171-AB172-AB173</f>
        <v>0</v>
      </c>
      <c r="AC174" s="30">
        <f t="shared" si="1377"/>
        <v>0</v>
      </c>
      <c r="AD174" s="30">
        <f t="shared" si="1377"/>
        <v>0</v>
      </c>
      <c r="AE174" s="30">
        <f t="shared" ref="AE174" si="1378">AE171-AE172-AE173</f>
        <v>0</v>
      </c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  <c r="DF174" s="29">
        <v>0</v>
      </c>
    </row>
    <row r="175" spans="1:110" s="5" customFormat="1" x14ac:dyDescent="0.2">
      <c r="AB175" s="63"/>
      <c r="AC175" s="63"/>
      <c r="AD175" s="63"/>
      <c r="AE175" s="63"/>
      <c r="CE175" s="112"/>
      <c r="CG175" s="112"/>
      <c r="CK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E175" s="139"/>
    </row>
    <row r="176" spans="1:110" s="95" customFormat="1" x14ac:dyDescent="0.2">
      <c r="A176" s="95" t="s">
        <v>85</v>
      </c>
      <c r="B176" s="95" t="e">
        <f t="shared" ref="B176:W176" ca="1" si="1379">B171/B121</f>
        <v>#NAME?</v>
      </c>
      <c r="C176" s="95" t="e">
        <f t="shared" ca="1" si="1379"/>
        <v>#NAME?</v>
      </c>
      <c r="D176" s="95" t="e">
        <f t="shared" ca="1" si="1379"/>
        <v>#NAME?</v>
      </c>
      <c r="E176" s="95" t="e">
        <f t="shared" ca="1" si="1379"/>
        <v>#NAME?</v>
      </c>
      <c r="F176" s="95" t="e">
        <f t="shared" ca="1" si="1379"/>
        <v>#NAME?</v>
      </c>
      <c r="G176" s="95" t="e">
        <f t="shared" ca="1" si="1379"/>
        <v>#NAME?</v>
      </c>
      <c r="H176" s="95" t="e">
        <f t="shared" ca="1" si="1379"/>
        <v>#NAME?</v>
      </c>
      <c r="I176" s="95" t="e">
        <f t="shared" ca="1" si="1379"/>
        <v>#NAME?</v>
      </c>
      <c r="J176" s="95" t="e">
        <f t="shared" ca="1" si="1379"/>
        <v>#NAME?</v>
      </c>
      <c r="K176" s="95" t="e">
        <f t="shared" ca="1" si="1379"/>
        <v>#NAME?</v>
      </c>
      <c r="L176" s="95" t="e">
        <f t="shared" ca="1" si="1379"/>
        <v>#NAME?</v>
      </c>
      <c r="M176" s="95" t="e">
        <f t="shared" ca="1" si="1379"/>
        <v>#NAME?</v>
      </c>
      <c r="N176" s="95" t="e">
        <f t="shared" ca="1" si="1379"/>
        <v>#NAME?</v>
      </c>
      <c r="O176" s="95" t="e">
        <f t="shared" ca="1" si="1379"/>
        <v>#NAME?</v>
      </c>
      <c r="P176" s="95" t="e">
        <f t="shared" ca="1" si="1379"/>
        <v>#NAME?</v>
      </c>
      <c r="Q176" s="95" t="e">
        <f t="shared" ca="1" si="1379"/>
        <v>#NAME?</v>
      </c>
      <c r="R176" s="95" t="e">
        <f t="shared" ca="1" si="1379"/>
        <v>#NAME?</v>
      </c>
      <c r="S176" s="95" t="e">
        <f t="shared" ca="1" si="1379"/>
        <v>#NAME?</v>
      </c>
      <c r="T176" s="95" t="e">
        <f t="shared" ca="1" si="1379"/>
        <v>#NAME?</v>
      </c>
      <c r="U176" s="95" t="e">
        <f t="shared" ca="1" si="1379"/>
        <v>#NAME?</v>
      </c>
      <c r="V176" s="95" t="e">
        <f t="shared" ca="1" si="1379"/>
        <v>#NAME?</v>
      </c>
      <c r="W176" s="95" t="e">
        <f t="shared" ca="1" si="1379"/>
        <v>#NAME?</v>
      </c>
      <c r="X176" s="95" t="e">
        <f t="shared" ref="X176:Y176" ca="1" si="1380">X171/X121</f>
        <v>#NAME?</v>
      </c>
      <c r="Y176" s="95" t="e">
        <f t="shared" ca="1" si="1380"/>
        <v>#NAME?</v>
      </c>
      <c r="Z176" s="95" t="e">
        <f t="shared" ref="Z176:AA176" ca="1" si="1381">Z171/Z121</f>
        <v>#NAME?</v>
      </c>
      <c r="AA176" s="95" t="e">
        <f t="shared" ca="1" si="1381"/>
        <v>#NAME?</v>
      </c>
      <c r="AB176" s="87" t="e">
        <f t="shared" ref="AA176:AD176" ca="1" si="1382">AB171/AB121</f>
        <v>#NAME?</v>
      </c>
      <c r="AC176" s="87" t="e">
        <f t="shared" ca="1" si="1382"/>
        <v>#NAME?</v>
      </c>
      <c r="AD176" s="87" t="e">
        <f t="shared" ca="1" si="1382"/>
        <v>#NAME?</v>
      </c>
      <c r="AE176" s="87" t="e">
        <f t="shared" ref="AE176" ca="1" si="1383">AE171/AE121</f>
        <v>#NAME?</v>
      </c>
      <c r="CK176" s="96"/>
      <c r="CM176" s="96"/>
      <c r="CN176" s="96"/>
      <c r="CO176" s="96"/>
      <c r="CP176" s="96"/>
      <c r="CQ176" s="96"/>
      <c r="CR176" s="96"/>
      <c r="CS176" s="96"/>
      <c r="CT176" s="96"/>
      <c r="CU176" s="96"/>
      <c r="CV176" s="96"/>
      <c r="CW176" s="96"/>
      <c r="CX176" s="96"/>
      <c r="CY176" s="96"/>
      <c r="CZ176" s="96"/>
      <c r="DA176" s="96"/>
      <c r="DB176" s="96"/>
      <c r="DE176" s="140"/>
      <c r="DF176" s="95">
        <v>0</v>
      </c>
    </row>
    <row r="177" spans="1:110" x14ac:dyDescent="0.2">
      <c r="A177" s="152" t="s">
        <v>492</v>
      </c>
      <c r="AA177" s="2"/>
      <c r="CE177" s="111"/>
      <c r="CG177" s="111"/>
      <c r="CL177" s="2"/>
    </row>
    <row r="178" spans="1:110" s="6" customFormat="1" x14ac:dyDescent="0.2">
      <c r="AB178" s="19"/>
      <c r="AC178" s="19"/>
      <c r="AD178" s="19"/>
      <c r="AE178" s="19"/>
      <c r="CE178" s="113"/>
      <c r="CG178" s="113"/>
      <c r="CK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62" customFormat="1" x14ac:dyDescent="0.2">
      <c r="A179" s="153" t="s">
        <v>493</v>
      </c>
      <c r="AB179" s="63"/>
      <c r="AC179" s="63"/>
      <c r="AD179" s="63"/>
      <c r="AE179" s="63"/>
      <c r="CE179" s="114"/>
      <c r="CG179" s="114"/>
      <c r="CK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E179" s="139"/>
    </row>
    <row r="180" spans="1:110" s="62" customFormat="1" outlineLevel="1" x14ac:dyDescent="0.2">
      <c r="A180" s="68" t="s">
        <v>464</v>
      </c>
      <c r="B180" s="67" t="e">
        <f t="shared" ref="B180:AE180" ca="1" si="1384">B145/B8*365</f>
        <v>#NAME?</v>
      </c>
      <c r="C180" s="67" t="e">
        <f t="shared" ca="1" si="1384"/>
        <v>#NAME?</v>
      </c>
      <c r="D180" s="67" t="e">
        <f t="shared" ca="1" si="1384"/>
        <v>#NAME?</v>
      </c>
      <c r="E180" s="67" t="e">
        <f t="shared" ca="1" si="1384"/>
        <v>#NAME?</v>
      </c>
      <c r="F180" s="67" t="e">
        <f t="shared" ca="1" si="1384"/>
        <v>#NAME?</v>
      </c>
      <c r="G180" s="67" t="e">
        <f t="shared" ca="1" si="1384"/>
        <v>#NAME?</v>
      </c>
      <c r="H180" s="67" t="e">
        <f t="shared" ca="1" si="1384"/>
        <v>#NAME?</v>
      </c>
      <c r="I180" s="67" t="e">
        <f t="shared" ca="1" si="1384"/>
        <v>#NAME?</v>
      </c>
      <c r="J180" s="67" t="e">
        <f t="shared" ca="1" si="1384"/>
        <v>#NAME?</v>
      </c>
      <c r="K180" s="67" t="e">
        <f t="shared" ca="1" si="1384"/>
        <v>#NAME?</v>
      </c>
      <c r="L180" s="67" t="e">
        <f t="shared" ca="1" si="1384"/>
        <v>#NAME?</v>
      </c>
      <c r="M180" s="67" t="e">
        <f t="shared" ca="1" si="1384"/>
        <v>#NAME?</v>
      </c>
      <c r="N180" s="67" t="e">
        <f t="shared" ca="1" si="1384"/>
        <v>#NAME?</v>
      </c>
      <c r="O180" s="67" t="e">
        <f t="shared" ca="1" si="1384"/>
        <v>#NAME?</v>
      </c>
      <c r="P180" s="67" t="e">
        <f t="shared" ca="1" si="1384"/>
        <v>#NAME?</v>
      </c>
      <c r="Q180" s="67" t="e">
        <f t="shared" ca="1" si="1384"/>
        <v>#NAME?</v>
      </c>
      <c r="R180" s="67" t="e">
        <f t="shared" ca="1" si="1384"/>
        <v>#NAME?</v>
      </c>
      <c r="S180" s="67" t="e">
        <f t="shared" ca="1" si="1384"/>
        <v>#NAME?</v>
      </c>
      <c r="T180" s="67" t="e">
        <f t="shared" ca="1" si="1384"/>
        <v>#NAME?</v>
      </c>
      <c r="U180" s="67" t="e">
        <f t="shared" ca="1" si="1384"/>
        <v>#NAME?</v>
      </c>
      <c r="V180" s="67" t="e">
        <f t="shared" ca="1" si="1384"/>
        <v>#NAME?</v>
      </c>
      <c r="W180" s="67" t="e">
        <f t="shared" ca="1" si="1384"/>
        <v>#NAME?</v>
      </c>
      <c r="X180" s="67" t="e">
        <f t="shared" ca="1" si="1384"/>
        <v>#NAME?</v>
      </c>
      <c r="Y180" s="67" t="e">
        <f t="shared" ca="1" si="1384"/>
        <v>#NAME?</v>
      </c>
      <c r="Z180" s="67" t="e">
        <f t="shared" ca="1" si="1384"/>
        <v>#NAME?</v>
      </c>
      <c r="AA180" s="67" t="e">
        <f t="shared" ref="AA180" ca="1" si="1385">AA145/AA8*365</f>
        <v>#NAME?</v>
      </c>
      <c r="AB180" s="18" t="e">
        <f t="shared" ca="1" si="1384"/>
        <v>#NAME?</v>
      </c>
      <c r="AC180" s="18" t="e">
        <f t="shared" ca="1" si="1384"/>
        <v>#NAME?</v>
      </c>
      <c r="AD180" s="18" t="e">
        <f t="shared" ca="1" si="1384"/>
        <v>#NAME?</v>
      </c>
      <c r="AE180" s="18" t="e">
        <f t="shared" ca="1" si="1384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t="shared" ref="AK180:CE180" ca="1" si="1386">+AJ180</f>
        <v>#NAME?</v>
      </c>
      <c r="AL180" s="67" t="e">
        <f ca="1">AL145/AL8*90</f>
        <v>#NAME?</v>
      </c>
      <c r="AM180" s="67" t="e">
        <f t="shared" ref="AM180:AM181" ca="1" si="1387">+AL180</f>
        <v>#NAME?</v>
      </c>
      <c r="AN180" s="67" t="e">
        <f ca="1">AN145/AN8*90</f>
        <v>#NAME?</v>
      </c>
      <c r="AO180" s="67" t="e">
        <f t="shared" ref="AO180:AO181" ca="1" si="1388">+AN180</f>
        <v>#NAME?</v>
      </c>
      <c r="AP180" s="67" t="e">
        <f ca="1">AP145/AP8*90</f>
        <v>#NAME?</v>
      </c>
      <c r="AQ180" s="67" t="e">
        <f t="shared" ref="AQ180:AQ181" ca="1" si="1389">+AP180</f>
        <v>#NAME?</v>
      </c>
      <c r="AR180" s="67" t="e">
        <f ca="1">AR145/AR8*90</f>
        <v>#NAME?</v>
      </c>
      <c r="AS180" s="67" t="e">
        <f t="shared" ref="AS180:AS181" ca="1" si="1390">+AR180</f>
        <v>#NAME?</v>
      </c>
      <c r="AT180" s="67" t="e">
        <f ca="1">AT145/AT8*90</f>
        <v>#NAME?</v>
      </c>
      <c r="AU180" s="67" t="e">
        <f t="shared" ref="AU180:AU181" ca="1" si="1391">+AT180</f>
        <v>#NAME?</v>
      </c>
      <c r="AV180" s="67" t="e">
        <f ca="1">AV145/AV8*90</f>
        <v>#NAME?</v>
      </c>
      <c r="AW180" s="67" t="e">
        <f t="shared" ref="AW180:AW181" ca="1" si="1392">+AV180</f>
        <v>#NAME?</v>
      </c>
      <c r="AX180" s="67" t="e">
        <f ca="1">AX145/AX8*90</f>
        <v>#NAME?</v>
      </c>
      <c r="AY180" s="67" t="e">
        <f t="shared" ref="AY180:AY181" ca="1" si="1393">+AX180</f>
        <v>#NAME?</v>
      </c>
      <c r="AZ180" s="67" t="e">
        <f ca="1">AZ145/AZ8*90</f>
        <v>#NAME?</v>
      </c>
      <c r="BA180" s="67" t="e">
        <f t="shared" ref="BA180:BA181" ca="1" si="1394">+AZ180</f>
        <v>#NAME?</v>
      </c>
      <c r="BB180" s="67" t="e">
        <f ca="1">BB145/BB8*90</f>
        <v>#NAME?</v>
      </c>
      <c r="BC180" s="67" t="e">
        <f t="shared" ref="BC180:BC181" ca="1" si="1395">+BB180</f>
        <v>#NAME?</v>
      </c>
      <c r="BD180" s="67" t="e">
        <f ca="1">BD145/BD8*90</f>
        <v>#NAME?</v>
      </c>
      <c r="BE180" s="67" t="e">
        <f t="shared" ref="BE180:BE181" ca="1" si="1396">+BD180</f>
        <v>#NAME?</v>
      </c>
      <c r="BF180" s="67" t="e">
        <f ca="1">BF145/BF8*90</f>
        <v>#NAME?</v>
      </c>
      <c r="BG180" s="67" t="e">
        <f t="shared" ref="BG180:BG181" ca="1" si="1397">+BF180</f>
        <v>#NAME?</v>
      </c>
      <c r="BH180" s="67" t="e">
        <f ca="1">BH145/BH8*90</f>
        <v>#NAME?</v>
      </c>
      <c r="BI180" s="67" t="e">
        <f t="shared" ref="BI180:BI181" ca="1" si="1398">+BH180</f>
        <v>#NAME?</v>
      </c>
      <c r="BJ180" s="67" t="e">
        <f ca="1">BJ145/BJ8*90</f>
        <v>#NAME?</v>
      </c>
      <c r="BK180" s="67" t="e">
        <f t="shared" ref="BK180:BK181" ca="1" si="1399">+BJ180</f>
        <v>#NAME?</v>
      </c>
      <c r="BL180" s="67" t="e">
        <f ca="1">BL145/BL8*90</f>
        <v>#NAME?</v>
      </c>
      <c r="BM180" s="67" t="e">
        <f t="shared" ref="BM180:BM181" ca="1" si="1400">+BL180</f>
        <v>#NAME?</v>
      </c>
      <c r="BN180" s="67" t="e">
        <f ca="1">BN145/BN8*90</f>
        <v>#NAME?</v>
      </c>
      <c r="BO180" s="67" t="e">
        <f t="shared" ref="BO180:BO181" ca="1" si="1401">+BN180</f>
        <v>#NAME?</v>
      </c>
      <c r="BP180" s="67" t="e">
        <f ca="1">BP145/BP8*90</f>
        <v>#NAME?</v>
      </c>
      <c r="BQ180" s="67" t="e">
        <f t="shared" ref="BQ180:BQ181" ca="1" si="1402">+BP180</f>
        <v>#NAME?</v>
      </c>
      <c r="BR180" s="67" t="e">
        <f ca="1">BR145/BR8*90</f>
        <v>#NAME?</v>
      </c>
      <c r="BS180" s="67" t="e">
        <f t="shared" ref="BS180:BS181" ca="1" si="1403">+BR180</f>
        <v>#NAME?</v>
      </c>
      <c r="BT180" s="67" t="e">
        <f ca="1">BT145/BT8*90</f>
        <v>#NAME?</v>
      </c>
      <c r="BU180" s="67" t="e">
        <f t="shared" ref="BU180:BU181" ca="1" si="1404">+BT180</f>
        <v>#NAME?</v>
      </c>
      <c r="BV180" s="67" t="e">
        <f ca="1">BV145/BV8*90</f>
        <v>#NAME?</v>
      </c>
      <c r="BW180" s="67" t="e">
        <f t="shared" ref="BW180:BW181" ca="1" si="1405">+BV180</f>
        <v>#NAME?</v>
      </c>
      <c r="BX180" s="67" t="e">
        <f ca="1">BX145/BX8*90</f>
        <v>#NAME?</v>
      </c>
      <c r="BY180" s="67" t="e">
        <f t="shared" ref="BY180:BY181" ca="1" si="1406">+BX180</f>
        <v>#NAME?</v>
      </c>
      <c r="BZ180" s="67" t="e">
        <f ca="1">BZ145/BZ8*90</f>
        <v>#NAME?</v>
      </c>
      <c r="CA180" s="67" t="e">
        <f t="shared" ref="CA180:CA181" ca="1" si="1407">+BZ180</f>
        <v>#NAME?</v>
      </c>
      <c r="CB180" s="67" t="e">
        <f ca="1">CB145/CB8*90</f>
        <v>#NAME?</v>
      </c>
      <c r="CC180" s="67" t="e">
        <f t="shared" ref="CC180:CC181" ca="1" si="1408">+CB180</f>
        <v>#NAME?</v>
      </c>
      <c r="CD180" s="67" t="e">
        <f ca="1">CD145/CD8*90</f>
        <v>#NAME?</v>
      </c>
      <c r="CE180" s="67" t="e">
        <f t="shared" ca="1" si="1386"/>
        <v>#NAME?</v>
      </c>
      <c r="CF180" s="67" t="e">
        <f ca="1">CF145/CF8*90</f>
        <v>#NAME?</v>
      </c>
      <c r="CG180" s="67" t="e">
        <f t="shared" ref="CG180:CI181" ca="1" si="1409">+CF180</f>
        <v>#NAME?</v>
      </c>
      <c r="CH180" s="67" t="e">
        <f ca="1">CH145/CH8*90</f>
        <v>#NAME?</v>
      </c>
      <c r="CI180" s="67" t="e">
        <f t="shared" ca="1" si="1409"/>
        <v>#NAME?</v>
      </c>
      <c r="CJ180" s="67" t="e">
        <f ca="1">CJ145/CJ8*90</f>
        <v>#NAME?</v>
      </c>
      <c r="CK180" s="30" t="e">
        <f t="shared" ref="CK180:CK181" ca="1" si="1410">+CJ180</f>
        <v>#NAME?</v>
      </c>
      <c r="CL180" s="67" t="e">
        <f ca="1">CL145/CL8*90</f>
        <v>#NAME?</v>
      </c>
      <c r="CM180" s="30" t="e">
        <f t="shared" ref="CM180:CM181" ca="1" si="1411">+CL180</f>
        <v>#NAME?</v>
      </c>
      <c r="CN180" s="30" t="e">
        <f t="shared" ref="CN180:CN181" ca="1" si="1412">+CM180</f>
        <v>#NAME?</v>
      </c>
      <c r="CO180" s="30" t="e">
        <f t="shared" ref="CO180:CO181" ca="1" si="1413">+CN180</f>
        <v>#NAME?</v>
      </c>
      <c r="CP180" s="30" t="e">
        <f t="shared" ref="CP180:CP181" ca="1" si="1414">+CO180</f>
        <v>#NAME?</v>
      </c>
      <c r="CQ180" s="30" t="e">
        <f t="shared" ref="CQ180:CQ181" ca="1" si="1415">+CP180</f>
        <v>#NAME?</v>
      </c>
      <c r="CR180" s="30" t="e">
        <f t="shared" ref="CR180:CR181" ca="1" si="1416">+CQ180</f>
        <v>#NAME?</v>
      </c>
      <c r="CS180" s="30" t="e">
        <f t="shared" ref="CS180:CS181" ca="1" si="1417">+CR180</f>
        <v>#NAME?</v>
      </c>
      <c r="CT180" s="30" t="e">
        <f t="shared" ref="CT180:CT181" ca="1" si="1418">+CS180</f>
        <v>#NAME?</v>
      </c>
      <c r="CU180" s="30" t="e">
        <f t="shared" ref="CU180:CU181" ca="1" si="1419">+CT180</f>
        <v>#NAME?</v>
      </c>
      <c r="CV180" s="30" t="e">
        <f t="shared" ref="CV180:CV181" ca="1" si="1420">+CU180</f>
        <v>#NAME?</v>
      </c>
      <c r="CW180" s="30" t="e">
        <f t="shared" ref="CW180:CW181" ca="1" si="1421">+CV180</f>
        <v>#NAME?</v>
      </c>
      <c r="CX180" s="30" t="e">
        <f t="shared" ref="CX180:CX181" ca="1" si="1422">+CW180</f>
        <v>#NAME?</v>
      </c>
      <c r="CY180" s="30" t="e">
        <f t="shared" ref="CY180:CY181" ca="1" si="1423">+CX180</f>
        <v>#NAME?</v>
      </c>
      <c r="CZ180" s="30" t="e">
        <f t="shared" ref="CZ180:CZ181" ca="1" si="1424">+CY180</f>
        <v>#NAME?</v>
      </c>
      <c r="DA180" s="30" t="e">
        <f t="shared" ref="DA180:DA181" ca="1" si="1425">+CZ180</f>
        <v>#NAME?</v>
      </c>
      <c r="DB180" s="30" t="e">
        <f t="shared" ref="DB180:DB181" ca="1" si="1426">+DA180</f>
        <v>#NAME?</v>
      </c>
      <c r="DE180" s="139"/>
      <c r="DF180" s="62">
        <v>67.983798123612942</v>
      </c>
    </row>
    <row r="181" spans="1:110" s="62" customFormat="1" outlineLevel="1" x14ac:dyDescent="0.2">
      <c r="A181" s="68" t="s">
        <v>465</v>
      </c>
      <c r="B181" s="67" t="e">
        <f t="shared" ref="B181:AE181" ca="1" si="1427">B146/B8*365</f>
        <v>#NAME?</v>
      </c>
      <c r="C181" s="67" t="e">
        <f t="shared" ca="1" si="1427"/>
        <v>#NAME?</v>
      </c>
      <c r="D181" s="67" t="e">
        <f t="shared" ca="1" si="1427"/>
        <v>#NAME?</v>
      </c>
      <c r="E181" s="67" t="e">
        <f t="shared" ca="1" si="1427"/>
        <v>#NAME?</v>
      </c>
      <c r="F181" s="67" t="e">
        <f t="shared" ca="1" si="1427"/>
        <v>#NAME?</v>
      </c>
      <c r="G181" s="67" t="e">
        <f t="shared" ca="1" si="1427"/>
        <v>#NAME?</v>
      </c>
      <c r="H181" s="67" t="e">
        <f t="shared" ca="1" si="1427"/>
        <v>#NAME?</v>
      </c>
      <c r="I181" s="67" t="e">
        <f t="shared" ca="1" si="1427"/>
        <v>#NAME?</v>
      </c>
      <c r="J181" s="67" t="e">
        <f t="shared" ca="1" si="1427"/>
        <v>#NAME?</v>
      </c>
      <c r="K181" s="67" t="e">
        <f t="shared" ca="1" si="1427"/>
        <v>#NAME?</v>
      </c>
      <c r="L181" s="67" t="e">
        <f t="shared" ca="1" si="1427"/>
        <v>#NAME?</v>
      </c>
      <c r="M181" s="67" t="e">
        <f t="shared" ca="1" si="1427"/>
        <v>#NAME?</v>
      </c>
      <c r="N181" s="67" t="e">
        <f t="shared" ca="1" si="1427"/>
        <v>#NAME?</v>
      </c>
      <c r="O181" s="67" t="e">
        <f t="shared" ca="1" si="1427"/>
        <v>#NAME?</v>
      </c>
      <c r="P181" s="67" t="e">
        <f t="shared" ca="1" si="1427"/>
        <v>#NAME?</v>
      </c>
      <c r="Q181" s="67" t="e">
        <f t="shared" ca="1" si="1427"/>
        <v>#NAME?</v>
      </c>
      <c r="R181" s="67" t="e">
        <f t="shared" ca="1" si="1427"/>
        <v>#NAME?</v>
      </c>
      <c r="S181" s="67" t="e">
        <f t="shared" ca="1" si="1427"/>
        <v>#NAME?</v>
      </c>
      <c r="T181" s="67" t="e">
        <f t="shared" ca="1" si="1427"/>
        <v>#NAME?</v>
      </c>
      <c r="U181" s="67" t="e">
        <f t="shared" ca="1" si="1427"/>
        <v>#NAME?</v>
      </c>
      <c r="V181" s="67" t="e">
        <f t="shared" ca="1" si="1427"/>
        <v>#NAME?</v>
      </c>
      <c r="W181" s="67" t="e">
        <f t="shared" ca="1" si="1427"/>
        <v>#NAME?</v>
      </c>
      <c r="X181" s="67" t="e">
        <f t="shared" ca="1" si="1427"/>
        <v>#NAME?</v>
      </c>
      <c r="Y181" s="67" t="e">
        <f t="shared" ca="1" si="1427"/>
        <v>#NAME?</v>
      </c>
      <c r="Z181" s="67" t="e">
        <f t="shared" ca="1" si="1427"/>
        <v>#NAME?</v>
      </c>
      <c r="AA181" s="67" t="e">
        <f t="shared" ref="AA181" ca="1" si="1428">AA146/AA8*365</f>
        <v>#NAME?</v>
      </c>
      <c r="AB181" s="18" t="e">
        <f t="shared" ca="1" si="1427"/>
        <v>#NAME?</v>
      </c>
      <c r="AC181" s="18" t="e">
        <f t="shared" ca="1" si="1427"/>
        <v>#NAME?</v>
      </c>
      <c r="AD181" s="18" t="e">
        <f t="shared" ca="1" si="1427"/>
        <v>#NAME?</v>
      </c>
      <c r="AE181" s="18" t="e">
        <f t="shared" ca="1" si="1427"/>
        <v>#NAME?</v>
      </c>
      <c r="AI181" s="67" t="e">
        <f ca="1">AJ146/AI8*90</f>
        <v>#NAME?</v>
      </c>
      <c r="AJ181" s="67" t="e">
        <f ca="1">AJ146/AJ8*90</f>
        <v>#NAME?</v>
      </c>
      <c r="AK181" s="67" t="e">
        <f ca="1">+AJ181</f>
        <v>#NAME?</v>
      </c>
      <c r="AL181" s="67" t="e">
        <f ca="1">AL146/AL8*90</f>
        <v>#NAME?</v>
      </c>
      <c r="AM181" s="67" t="e">
        <f t="shared" ca="1" si="1387"/>
        <v>#NAME?</v>
      </c>
      <c r="AN181" s="67" t="e">
        <f ca="1">AN146/AN8*90</f>
        <v>#NAME?</v>
      </c>
      <c r="AO181" s="67" t="e">
        <f t="shared" ca="1" si="1388"/>
        <v>#NAME?</v>
      </c>
      <c r="AP181" s="67" t="e">
        <f ca="1">AP146/AP8*90</f>
        <v>#NAME?</v>
      </c>
      <c r="AQ181" s="67" t="e">
        <f t="shared" ca="1" si="1389"/>
        <v>#NAME?</v>
      </c>
      <c r="AR181" s="67" t="e">
        <f ca="1">AR146/AR8*90</f>
        <v>#NAME?</v>
      </c>
      <c r="AS181" s="67" t="e">
        <f t="shared" ca="1" si="1390"/>
        <v>#NAME?</v>
      </c>
      <c r="AT181" s="67" t="e">
        <f ca="1">AT146/AT8*90</f>
        <v>#NAME?</v>
      </c>
      <c r="AU181" s="67" t="e">
        <f t="shared" ca="1" si="1391"/>
        <v>#NAME?</v>
      </c>
      <c r="AV181" s="67" t="e">
        <f ca="1">AV146/AV8*90</f>
        <v>#NAME?</v>
      </c>
      <c r="AW181" s="67" t="e">
        <f t="shared" ca="1" si="1392"/>
        <v>#NAME?</v>
      </c>
      <c r="AX181" s="67" t="e">
        <f ca="1">AX146/AX8*90</f>
        <v>#NAME?</v>
      </c>
      <c r="AY181" s="67" t="e">
        <f t="shared" ca="1" si="1393"/>
        <v>#NAME?</v>
      </c>
      <c r="AZ181" s="67" t="e">
        <f ca="1">AZ146/AZ8*90</f>
        <v>#NAME?</v>
      </c>
      <c r="BA181" s="67" t="e">
        <f t="shared" ca="1" si="1394"/>
        <v>#NAME?</v>
      </c>
      <c r="BB181" s="67" t="e">
        <f ca="1">BB146/BB8*90</f>
        <v>#NAME?</v>
      </c>
      <c r="BC181" s="67" t="e">
        <f t="shared" ca="1" si="1395"/>
        <v>#NAME?</v>
      </c>
      <c r="BD181" s="67" t="e">
        <f ca="1">BD146/BD8*90</f>
        <v>#NAME?</v>
      </c>
      <c r="BE181" s="67" t="e">
        <f t="shared" ca="1" si="1396"/>
        <v>#NAME?</v>
      </c>
      <c r="BF181" s="67" t="e">
        <f ca="1">BF146/BF8*90</f>
        <v>#NAME?</v>
      </c>
      <c r="BG181" s="67" t="e">
        <f t="shared" ca="1" si="1397"/>
        <v>#NAME?</v>
      </c>
      <c r="BH181" s="67" t="e">
        <f ca="1">BH146/BH8*90</f>
        <v>#NAME?</v>
      </c>
      <c r="BI181" s="67" t="e">
        <f t="shared" ca="1" si="1398"/>
        <v>#NAME?</v>
      </c>
      <c r="BJ181" s="67" t="e">
        <f ca="1">BJ146/BJ8*90</f>
        <v>#NAME?</v>
      </c>
      <c r="BK181" s="67" t="e">
        <f t="shared" ca="1" si="1399"/>
        <v>#NAME?</v>
      </c>
      <c r="BL181" s="67" t="e">
        <f ca="1">BL146/BL8*90</f>
        <v>#NAME?</v>
      </c>
      <c r="BM181" s="67" t="e">
        <f t="shared" ca="1" si="1400"/>
        <v>#NAME?</v>
      </c>
      <c r="BN181" s="67" t="e">
        <f ca="1">BN146/BN8*90</f>
        <v>#NAME?</v>
      </c>
      <c r="BO181" s="67" t="e">
        <f t="shared" ca="1" si="1401"/>
        <v>#NAME?</v>
      </c>
      <c r="BP181" s="67" t="e">
        <f ca="1">BP146/BP8*90</f>
        <v>#NAME?</v>
      </c>
      <c r="BQ181" s="67" t="e">
        <f t="shared" ca="1" si="1402"/>
        <v>#NAME?</v>
      </c>
      <c r="BR181" s="67" t="e">
        <f ca="1">BR146/BR8*90</f>
        <v>#NAME?</v>
      </c>
      <c r="BS181" s="67" t="e">
        <f t="shared" ca="1" si="1403"/>
        <v>#NAME?</v>
      </c>
      <c r="BT181" s="67" t="e">
        <f ca="1">BT146/BT8*90</f>
        <v>#NAME?</v>
      </c>
      <c r="BU181" s="67" t="e">
        <f t="shared" ca="1" si="1404"/>
        <v>#NAME?</v>
      </c>
      <c r="BV181" s="67" t="e">
        <f ca="1">BV146/BV8*90</f>
        <v>#NAME?</v>
      </c>
      <c r="BW181" s="67" t="e">
        <f t="shared" ca="1" si="1405"/>
        <v>#NAME?</v>
      </c>
      <c r="BX181" s="67" t="e">
        <f ca="1">BX146/BX8*90</f>
        <v>#NAME?</v>
      </c>
      <c r="BY181" s="67" t="e">
        <f t="shared" ca="1" si="1406"/>
        <v>#NAME?</v>
      </c>
      <c r="BZ181" s="67" t="e">
        <f ca="1">BZ146/BZ8*90</f>
        <v>#NAME?</v>
      </c>
      <c r="CA181" s="67" t="e">
        <f t="shared" ca="1" si="1407"/>
        <v>#NAME?</v>
      </c>
      <c r="CB181" s="67" t="e">
        <f ca="1">CB146/CB8*90</f>
        <v>#NAME?</v>
      </c>
      <c r="CC181" s="67" t="e">
        <f t="shared" ca="1" si="1408"/>
        <v>#NAME?</v>
      </c>
      <c r="CD181" s="67" t="e">
        <f ca="1">CD146/CD8*90</f>
        <v>#NAME?</v>
      </c>
      <c r="CE181" s="114" t="e">
        <f t="shared" ref="CE181" ca="1" si="1429">+CD181</f>
        <v>#NAME?</v>
      </c>
      <c r="CF181" s="67" t="e">
        <f ca="1">CF146/CF8*90</f>
        <v>#NAME?</v>
      </c>
      <c r="CG181" s="67" t="e">
        <f t="shared" ca="1" si="1409"/>
        <v>#NAME?</v>
      </c>
      <c r="CH181" s="67" t="e">
        <f ca="1">CH146/CH8*90</f>
        <v>#NAME?</v>
      </c>
      <c r="CI181" s="67" t="e">
        <f t="shared" ca="1" si="1409"/>
        <v>#NAME?</v>
      </c>
      <c r="CJ181" s="67" t="e">
        <f ca="1">CJ146/CJ8*90</f>
        <v>#NAME?</v>
      </c>
      <c r="CK181" s="30" t="e">
        <f t="shared" ca="1" si="1410"/>
        <v>#NAME?</v>
      </c>
      <c r="CL181" s="67" t="e">
        <f ca="1">CL146/CL8*90</f>
        <v>#NAME?</v>
      </c>
      <c r="CM181" s="30" t="e">
        <f t="shared" ca="1" si="1411"/>
        <v>#NAME?</v>
      </c>
      <c r="CN181" s="30" t="e">
        <f t="shared" ca="1" si="1412"/>
        <v>#NAME?</v>
      </c>
      <c r="CO181" s="30" t="e">
        <f t="shared" ca="1" si="1413"/>
        <v>#NAME?</v>
      </c>
      <c r="CP181" s="30" t="e">
        <f t="shared" ca="1" si="1414"/>
        <v>#NAME?</v>
      </c>
      <c r="CQ181" s="30" t="e">
        <f t="shared" ca="1" si="1415"/>
        <v>#NAME?</v>
      </c>
      <c r="CR181" s="30" t="e">
        <f t="shared" ca="1" si="1416"/>
        <v>#NAME?</v>
      </c>
      <c r="CS181" s="30" t="e">
        <f t="shared" ca="1" si="1417"/>
        <v>#NAME?</v>
      </c>
      <c r="CT181" s="30" t="e">
        <f t="shared" ca="1" si="1418"/>
        <v>#NAME?</v>
      </c>
      <c r="CU181" s="30" t="e">
        <f t="shared" ca="1" si="1419"/>
        <v>#NAME?</v>
      </c>
      <c r="CV181" s="30" t="e">
        <f t="shared" ca="1" si="1420"/>
        <v>#NAME?</v>
      </c>
      <c r="CW181" s="30" t="e">
        <f t="shared" ca="1" si="1421"/>
        <v>#NAME?</v>
      </c>
      <c r="CX181" s="30" t="e">
        <f t="shared" ca="1" si="1422"/>
        <v>#NAME?</v>
      </c>
      <c r="CY181" s="30" t="e">
        <f t="shared" ca="1" si="1423"/>
        <v>#NAME?</v>
      </c>
      <c r="CZ181" s="30" t="e">
        <f t="shared" ca="1" si="1424"/>
        <v>#NAME?</v>
      </c>
      <c r="DA181" s="30" t="e">
        <f t="shared" ca="1" si="1425"/>
        <v>#NAME?</v>
      </c>
      <c r="DB181" s="30" t="e">
        <f t="shared" ca="1" si="1426"/>
        <v>#NAME?</v>
      </c>
      <c r="DE181" s="139"/>
      <c r="DF181" s="62">
        <v>45.566995004708438</v>
      </c>
    </row>
    <row r="182" spans="1:110" s="62" customFormat="1" outlineLevel="1" x14ac:dyDescent="0.2">
      <c r="A182" s="68" t="s">
        <v>466</v>
      </c>
      <c r="B182" s="67" t="e">
        <f ca="1">B183-B181-B180</f>
        <v>#NAME?</v>
      </c>
      <c r="C182" s="67" t="e">
        <f t="shared" ref="C182:U182" ca="1" si="1430">C183-C181-C180</f>
        <v>#NAME?</v>
      </c>
      <c r="D182" s="67" t="e">
        <f t="shared" ca="1" si="1430"/>
        <v>#NAME?</v>
      </c>
      <c r="E182" s="67" t="e">
        <f t="shared" ca="1" si="1430"/>
        <v>#NAME?</v>
      </c>
      <c r="F182" s="67" t="e">
        <f t="shared" ca="1" si="1430"/>
        <v>#NAME?</v>
      </c>
      <c r="G182" s="67" t="e">
        <f t="shared" ca="1" si="1430"/>
        <v>#NAME?</v>
      </c>
      <c r="H182" s="67" t="e">
        <f t="shared" ca="1" si="1430"/>
        <v>#NAME?</v>
      </c>
      <c r="I182" s="67" t="e">
        <f t="shared" ca="1" si="1430"/>
        <v>#NAME?</v>
      </c>
      <c r="J182" s="67" t="e">
        <f t="shared" ca="1" si="1430"/>
        <v>#NAME?</v>
      </c>
      <c r="K182" s="67" t="e">
        <f t="shared" ca="1" si="1430"/>
        <v>#NAME?</v>
      </c>
      <c r="L182" s="67" t="e">
        <f t="shared" ca="1" si="1430"/>
        <v>#NAME?</v>
      </c>
      <c r="M182" s="67" t="e">
        <f t="shared" ca="1" si="1430"/>
        <v>#NAME?</v>
      </c>
      <c r="N182" s="67" t="e">
        <f t="shared" ca="1" si="1430"/>
        <v>#NAME?</v>
      </c>
      <c r="O182" s="67" t="e">
        <f t="shared" ca="1" si="1430"/>
        <v>#NAME?</v>
      </c>
      <c r="P182" s="67" t="e">
        <f t="shared" ca="1" si="1430"/>
        <v>#NAME?</v>
      </c>
      <c r="Q182" s="67" t="e">
        <f t="shared" ca="1" si="1430"/>
        <v>#NAME?</v>
      </c>
      <c r="R182" s="67" t="e">
        <f t="shared" ca="1" si="1430"/>
        <v>#NAME?</v>
      </c>
      <c r="S182" s="67" t="e">
        <f t="shared" ca="1" si="1430"/>
        <v>#NAME?</v>
      </c>
      <c r="T182" s="67" t="e">
        <f t="shared" ca="1" si="1430"/>
        <v>#NAME?</v>
      </c>
      <c r="U182" s="67" t="e">
        <f t="shared" ca="1" si="1430"/>
        <v>#NAME?</v>
      </c>
      <c r="V182" s="67" t="e">
        <f ca="1">V183-V181-V180</f>
        <v>#NAME?</v>
      </c>
      <c r="W182" s="67" t="e">
        <f t="shared" ref="W182" ca="1" si="1431">W183-W181-W180</f>
        <v>#NAME?</v>
      </c>
      <c r="X182" s="67" t="e">
        <f t="shared" ref="X182:Y182" ca="1" si="1432">X183-X181-X180</f>
        <v>#NAME?</v>
      </c>
      <c r="Y182" s="67" t="e">
        <f t="shared" ca="1" si="1432"/>
        <v>#NAME?</v>
      </c>
      <c r="Z182" s="67" t="e">
        <f t="shared" ref="Z182:AA182" ca="1" si="1433">Z183-Z181-Z180</f>
        <v>#NAME?</v>
      </c>
      <c r="AA182" s="67" t="e">
        <f t="shared" ca="1" si="1433"/>
        <v>#NAME?</v>
      </c>
      <c r="AB182" s="18" t="e">
        <f t="shared" ref="AA182:AD182" ca="1" si="1434">AB183-AB181-AB180</f>
        <v>#NAME?</v>
      </c>
      <c r="AC182" s="18" t="e">
        <f t="shared" ca="1" si="1434"/>
        <v>#NAME?</v>
      </c>
      <c r="AD182" s="18" t="e">
        <f t="shared" ca="1" si="1434"/>
        <v>#NAME?</v>
      </c>
      <c r="AE182" s="18" t="e">
        <f t="shared" ref="AE182" ca="1" si="1435">AE183-AE181-AE180</f>
        <v>#NAME?</v>
      </c>
      <c r="AI182" s="67" t="e">
        <f t="shared" ref="AI182:AK182" ca="1" si="1436">AI183-AI181-AI180</f>
        <v>#NAME?</v>
      </c>
      <c r="AJ182" s="67" t="e">
        <f t="shared" ref="AJ182:AM182" ca="1" si="1437">AJ183-AJ181-AJ180</f>
        <v>#NAME?</v>
      </c>
      <c r="AK182" s="67" t="e">
        <f t="shared" ca="1" si="1436"/>
        <v>#NAME?</v>
      </c>
      <c r="AL182" s="67" t="e">
        <f t="shared" ca="1" si="1437"/>
        <v>#NAME?</v>
      </c>
      <c r="AM182" s="67" t="e">
        <f t="shared" ca="1" si="1437"/>
        <v>#NAME?</v>
      </c>
      <c r="AN182" s="67" t="e">
        <f t="shared" ref="AN182:AY182" ca="1" si="1438">AN183-AN181-AN180</f>
        <v>#NAME?</v>
      </c>
      <c r="AO182" s="67" t="e">
        <f t="shared" ca="1" si="1438"/>
        <v>#NAME?</v>
      </c>
      <c r="AP182" s="67" t="e">
        <f t="shared" ca="1" si="1438"/>
        <v>#NAME?</v>
      </c>
      <c r="AQ182" s="67" t="e">
        <f t="shared" ca="1" si="1438"/>
        <v>#NAME?</v>
      </c>
      <c r="AR182" s="67" t="e">
        <f t="shared" ca="1" si="1438"/>
        <v>#NAME?</v>
      </c>
      <c r="AS182" s="67" t="e">
        <f t="shared" ca="1" si="1438"/>
        <v>#NAME?</v>
      </c>
      <c r="AT182" s="67" t="e">
        <f t="shared" ca="1" si="1438"/>
        <v>#NAME?</v>
      </c>
      <c r="AU182" s="67" t="e">
        <f t="shared" ca="1" si="1438"/>
        <v>#NAME?</v>
      </c>
      <c r="AV182" s="67" t="e">
        <f t="shared" ca="1" si="1438"/>
        <v>#NAME?</v>
      </c>
      <c r="AW182" s="67" t="e">
        <f t="shared" ca="1" si="1438"/>
        <v>#NAME?</v>
      </c>
      <c r="AX182" s="67" t="e">
        <f t="shared" ca="1" si="1438"/>
        <v>#NAME?</v>
      </c>
      <c r="AY182" s="67" t="e">
        <f t="shared" ca="1" si="1438"/>
        <v>#NAME?</v>
      </c>
      <c r="AZ182" s="67" t="e">
        <f t="shared" ref="AZ182:BC182" ca="1" si="1439">AZ183-AZ181-AZ180</f>
        <v>#NAME?</v>
      </c>
      <c r="BA182" s="67" t="e">
        <f t="shared" ca="1" si="1439"/>
        <v>#NAME?</v>
      </c>
      <c r="BB182" s="67" t="e">
        <f t="shared" ca="1" si="1439"/>
        <v>#NAME?</v>
      </c>
      <c r="BC182" s="67" t="e">
        <f t="shared" ca="1" si="1439"/>
        <v>#NAME?</v>
      </c>
      <c r="BD182" s="67" t="e">
        <f t="shared" ref="BD182:CE182" ca="1" si="1440">BD183-BD181-BD180</f>
        <v>#NAME?</v>
      </c>
      <c r="BE182" s="67" t="e">
        <f t="shared" ca="1" si="1440"/>
        <v>#NAME?</v>
      </c>
      <c r="BF182" s="67" t="e">
        <f t="shared" ca="1" si="1440"/>
        <v>#NAME?</v>
      </c>
      <c r="BG182" s="67" t="e">
        <f t="shared" ca="1" si="1440"/>
        <v>#NAME?</v>
      </c>
      <c r="BH182" s="67" t="e">
        <f t="shared" ca="1" si="1440"/>
        <v>#NAME?</v>
      </c>
      <c r="BI182" s="67" t="e">
        <f t="shared" ca="1" si="1440"/>
        <v>#NAME?</v>
      </c>
      <c r="BJ182" s="67" t="e">
        <f t="shared" ca="1" si="1440"/>
        <v>#NAME?</v>
      </c>
      <c r="BK182" s="67" t="e">
        <f t="shared" ca="1" si="1440"/>
        <v>#NAME?</v>
      </c>
      <c r="BL182" s="67" t="e">
        <f t="shared" ca="1" si="1440"/>
        <v>#NAME?</v>
      </c>
      <c r="BM182" s="67" t="e">
        <f t="shared" ca="1" si="1440"/>
        <v>#NAME?</v>
      </c>
      <c r="BN182" s="67" t="e">
        <f t="shared" ca="1" si="1440"/>
        <v>#NAME?</v>
      </c>
      <c r="BO182" s="67" t="e">
        <f t="shared" ca="1" si="1440"/>
        <v>#NAME?</v>
      </c>
      <c r="BP182" s="67" t="e">
        <f t="shared" ca="1" si="1440"/>
        <v>#NAME?</v>
      </c>
      <c r="BQ182" s="67" t="e">
        <f t="shared" ca="1" si="1440"/>
        <v>#NAME?</v>
      </c>
      <c r="BR182" s="67" t="e">
        <f t="shared" ca="1" si="1440"/>
        <v>#NAME?</v>
      </c>
      <c r="BS182" s="67" t="e">
        <f t="shared" ca="1" si="1440"/>
        <v>#NAME?</v>
      </c>
      <c r="BT182" s="67" t="e">
        <f t="shared" ca="1" si="1440"/>
        <v>#NAME?</v>
      </c>
      <c r="BU182" s="67" t="e">
        <f t="shared" ca="1" si="1440"/>
        <v>#NAME?</v>
      </c>
      <c r="BV182" s="67" t="e">
        <f t="shared" ca="1" si="1440"/>
        <v>#NAME?</v>
      </c>
      <c r="BW182" s="67" t="e">
        <f t="shared" ca="1" si="1440"/>
        <v>#NAME?</v>
      </c>
      <c r="BX182" s="67" t="e">
        <f t="shared" ca="1" si="1440"/>
        <v>#NAME?</v>
      </c>
      <c r="BY182" s="67" t="e">
        <f t="shared" ca="1" si="1440"/>
        <v>#NAME?</v>
      </c>
      <c r="BZ182" s="67" t="e">
        <f t="shared" ca="1" si="1440"/>
        <v>#NAME?</v>
      </c>
      <c r="CA182" s="67" t="e">
        <f t="shared" ca="1" si="1440"/>
        <v>#NAME?</v>
      </c>
      <c r="CB182" s="67" t="e">
        <f t="shared" ca="1" si="1440"/>
        <v>#NAME?</v>
      </c>
      <c r="CC182" s="67" t="e">
        <f t="shared" ca="1" si="1440"/>
        <v>#NAME?</v>
      </c>
      <c r="CD182" s="67" t="e">
        <f t="shared" ca="1" si="1440"/>
        <v>#NAME?</v>
      </c>
      <c r="CE182" s="114" t="e">
        <f t="shared" ca="1" si="1440"/>
        <v>#NAME?</v>
      </c>
      <c r="CF182" s="67" t="e">
        <f t="shared" ref="CF182:CG182" ca="1" si="1441">CF183-CF181-CF180</f>
        <v>#NAME?</v>
      </c>
      <c r="CG182" s="67" t="e">
        <f t="shared" ca="1" si="1441"/>
        <v>#NAME?</v>
      </c>
      <c r="CH182" s="67" t="e">
        <f t="shared" ref="CH182" ca="1" si="1442">CH183-CH181-CH180</f>
        <v>#NAME?</v>
      </c>
      <c r="CI182" s="67" t="e">
        <f ca="1">CH182</f>
        <v>#NAME?</v>
      </c>
      <c r="CJ182" s="67" t="e">
        <f t="shared" ref="CJ182:CL182" ca="1" si="1443">CJ183-CJ181-CJ180</f>
        <v>#NAME?</v>
      </c>
      <c r="CK182" s="30" t="e">
        <f t="shared" ref="CK182:DB182" ca="1" si="1444">CJ182</f>
        <v>#NAME?</v>
      </c>
      <c r="CL182" s="67" t="e">
        <f t="shared" ca="1" si="1443"/>
        <v>#NAME?</v>
      </c>
      <c r="CM182" s="30" t="e">
        <f t="shared" ca="1" si="1444"/>
        <v>#NAME?</v>
      </c>
      <c r="CN182" s="30" t="e">
        <f t="shared" ca="1" si="1444"/>
        <v>#NAME?</v>
      </c>
      <c r="CO182" s="30" t="e">
        <f t="shared" ca="1" si="1444"/>
        <v>#NAME?</v>
      </c>
      <c r="CP182" s="30" t="e">
        <f t="shared" ca="1" si="1444"/>
        <v>#NAME?</v>
      </c>
      <c r="CQ182" s="30" t="e">
        <f t="shared" ca="1" si="1444"/>
        <v>#NAME?</v>
      </c>
      <c r="CR182" s="30" t="e">
        <f t="shared" ca="1" si="1444"/>
        <v>#NAME?</v>
      </c>
      <c r="CS182" s="30" t="e">
        <f t="shared" ca="1" si="1444"/>
        <v>#NAME?</v>
      </c>
      <c r="CT182" s="30" t="e">
        <f t="shared" ca="1" si="1444"/>
        <v>#NAME?</v>
      </c>
      <c r="CU182" s="30" t="e">
        <f t="shared" ca="1" si="1444"/>
        <v>#NAME?</v>
      </c>
      <c r="CV182" s="30" t="e">
        <f t="shared" ca="1" si="1444"/>
        <v>#NAME?</v>
      </c>
      <c r="CW182" s="30" t="e">
        <f t="shared" ca="1" si="1444"/>
        <v>#NAME?</v>
      </c>
      <c r="CX182" s="30" t="e">
        <f t="shared" ca="1" si="1444"/>
        <v>#NAME?</v>
      </c>
      <c r="CY182" s="30" t="e">
        <f t="shared" ca="1" si="1444"/>
        <v>#NAME?</v>
      </c>
      <c r="CZ182" s="30" t="e">
        <f t="shared" ca="1" si="1444"/>
        <v>#NAME?</v>
      </c>
      <c r="DA182" s="30" t="e">
        <f t="shared" ca="1" si="1444"/>
        <v>#NAME?</v>
      </c>
      <c r="DB182" s="30" t="e">
        <f t="shared" ca="1" si="1444"/>
        <v>#NAME?</v>
      </c>
      <c r="DE182" s="139"/>
      <c r="DF182" s="62">
        <v>218.47214318979832</v>
      </c>
    </row>
    <row r="183" spans="1:110" s="7" customFormat="1" outlineLevel="1" x14ac:dyDescent="0.2">
      <c r="A183" s="69" t="s">
        <v>467</v>
      </c>
      <c r="B183" s="70" t="e">
        <f t="shared" ref="B183:AE183" ca="1" si="1445">B149/B8*365</f>
        <v>#NAME?</v>
      </c>
      <c r="C183" s="70" t="e">
        <f t="shared" ca="1" si="1445"/>
        <v>#NAME?</v>
      </c>
      <c r="D183" s="70" t="e">
        <f t="shared" ca="1" si="1445"/>
        <v>#NAME?</v>
      </c>
      <c r="E183" s="70" t="e">
        <f t="shared" ca="1" si="1445"/>
        <v>#NAME?</v>
      </c>
      <c r="F183" s="70" t="e">
        <f t="shared" ca="1" si="1445"/>
        <v>#NAME?</v>
      </c>
      <c r="G183" s="70" t="e">
        <f t="shared" ca="1" si="1445"/>
        <v>#NAME?</v>
      </c>
      <c r="H183" s="70" t="e">
        <f t="shared" ca="1" si="1445"/>
        <v>#NAME?</v>
      </c>
      <c r="I183" s="70" t="e">
        <f t="shared" ca="1" si="1445"/>
        <v>#NAME?</v>
      </c>
      <c r="J183" s="70" t="e">
        <f t="shared" ca="1" si="1445"/>
        <v>#NAME?</v>
      </c>
      <c r="K183" s="70" t="e">
        <f t="shared" ca="1" si="1445"/>
        <v>#NAME?</v>
      </c>
      <c r="L183" s="70" t="e">
        <f t="shared" ca="1" si="1445"/>
        <v>#NAME?</v>
      </c>
      <c r="M183" s="70" t="e">
        <f t="shared" ca="1" si="1445"/>
        <v>#NAME?</v>
      </c>
      <c r="N183" s="70" t="e">
        <f t="shared" ca="1" si="1445"/>
        <v>#NAME?</v>
      </c>
      <c r="O183" s="70" t="e">
        <f t="shared" ca="1" si="1445"/>
        <v>#NAME?</v>
      </c>
      <c r="P183" s="70" t="e">
        <f t="shared" ca="1" si="1445"/>
        <v>#NAME?</v>
      </c>
      <c r="Q183" s="70" t="e">
        <f t="shared" ca="1" si="1445"/>
        <v>#NAME?</v>
      </c>
      <c r="R183" s="70" t="e">
        <f t="shared" ca="1" si="1445"/>
        <v>#NAME?</v>
      </c>
      <c r="S183" s="70" t="e">
        <f t="shared" ca="1" si="1445"/>
        <v>#NAME?</v>
      </c>
      <c r="T183" s="70" t="e">
        <f t="shared" ca="1" si="1445"/>
        <v>#NAME?</v>
      </c>
      <c r="U183" s="70" t="e">
        <f t="shared" ca="1" si="1445"/>
        <v>#NAME?</v>
      </c>
      <c r="V183" s="70" t="e">
        <f t="shared" ca="1" si="1445"/>
        <v>#NAME?</v>
      </c>
      <c r="W183" s="70" t="e">
        <f t="shared" ca="1" si="1445"/>
        <v>#NAME?</v>
      </c>
      <c r="X183" s="70" t="e">
        <f t="shared" ca="1" si="1445"/>
        <v>#NAME?</v>
      </c>
      <c r="Y183" s="70" t="e">
        <f t="shared" ca="1" si="1445"/>
        <v>#NAME?</v>
      </c>
      <c r="Z183" s="70" t="e">
        <f t="shared" ca="1" si="1445"/>
        <v>#NAME?</v>
      </c>
      <c r="AA183" s="70" t="e">
        <f t="shared" ref="AA183" ca="1" si="1446">AA149/AA8*365</f>
        <v>#NAME?</v>
      </c>
      <c r="AB183" s="71" t="e">
        <f t="shared" ca="1" si="1445"/>
        <v>#NAME?</v>
      </c>
      <c r="AC183" s="71" t="e">
        <f t="shared" ca="1" si="1445"/>
        <v>#NAME?</v>
      </c>
      <c r="AD183" s="71" t="e">
        <f t="shared" ca="1" si="1445"/>
        <v>#NAME?</v>
      </c>
      <c r="AE183" s="71" t="e">
        <f t="shared" ca="1" si="1445"/>
        <v>#NAME?</v>
      </c>
      <c r="AI183" s="70" t="e">
        <f t="shared" ref="AI183:CD183" ca="1" si="1447">AI149/AI8*90</f>
        <v>#NAME?</v>
      </c>
      <c r="AJ183" s="70" t="e">
        <f t="shared" ca="1" si="1447"/>
        <v>#NAME?</v>
      </c>
      <c r="AK183" s="70" t="e">
        <f t="shared" ca="1" si="1447"/>
        <v>#NAME?</v>
      </c>
      <c r="AL183" s="70" t="e">
        <f t="shared" ca="1" si="1447"/>
        <v>#NAME?</v>
      </c>
      <c r="AM183" s="70" t="e">
        <f t="shared" ca="1" si="1447"/>
        <v>#NAME?</v>
      </c>
      <c r="AN183" s="70" t="e">
        <f t="shared" ca="1" si="1447"/>
        <v>#NAME?</v>
      </c>
      <c r="AO183" s="70" t="e">
        <f t="shared" ca="1" si="1447"/>
        <v>#NAME?</v>
      </c>
      <c r="AP183" s="70" t="e">
        <f t="shared" ca="1" si="1447"/>
        <v>#NAME?</v>
      </c>
      <c r="AQ183" s="70" t="e">
        <f t="shared" ca="1" si="1447"/>
        <v>#NAME?</v>
      </c>
      <c r="AR183" s="70" t="e">
        <f t="shared" ca="1" si="1447"/>
        <v>#NAME?</v>
      </c>
      <c r="AS183" s="70" t="e">
        <f t="shared" ca="1" si="1447"/>
        <v>#NAME?</v>
      </c>
      <c r="AT183" s="70" t="e">
        <f t="shared" ca="1" si="1447"/>
        <v>#NAME?</v>
      </c>
      <c r="AU183" s="70" t="e">
        <f t="shared" ca="1" si="1447"/>
        <v>#NAME?</v>
      </c>
      <c r="AV183" s="70" t="e">
        <f t="shared" ca="1" si="1447"/>
        <v>#NAME?</v>
      </c>
      <c r="AW183" s="70" t="e">
        <f t="shared" ca="1" si="1447"/>
        <v>#NAME?</v>
      </c>
      <c r="AX183" s="70" t="e">
        <f t="shared" ca="1" si="1447"/>
        <v>#NAME?</v>
      </c>
      <c r="AY183" s="70" t="e">
        <f t="shared" ca="1" si="1447"/>
        <v>#NAME?</v>
      </c>
      <c r="AZ183" s="70" t="e">
        <f t="shared" ca="1" si="1447"/>
        <v>#NAME?</v>
      </c>
      <c r="BA183" s="70" t="e">
        <f t="shared" ca="1" si="1447"/>
        <v>#NAME?</v>
      </c>
      <c r="BB183" s="70" t="e">
        <f t="shared" ca="1" si="1447"/>
        <v>#NAME?</v>
      </c>
      <c r="BC183" s="70" t="e">
        <f t="shared" ca="1" si="1447"/>
        <v>#NAME?</v>
      </c>
      <c r="BD183" s="70" t="e">
        <f t="shared" ca="1" si="1447"/>
        <v>#NAME?</v>
      </c>
      <c r="BE183" s="70" t="e">
        <f t="shared" ca="1" si="1447"/>
        <v>#NAME?</v>
      </c>
      <c r="BF183" s="70" t="e">
        <f t="shared" ca="1" si="1447"/>
        <v>#NAME?</v>
      </c>
      <c r="BG183" s="70" t="e">
        <f t="shared" ca="1" si="1447"/>
        <v>#NAME?</v>
      </c>
      <c r="BH183" s="70" t="e">
        <f t="shared" ca="1" si="1447"/>
        <v>#NAME?</v>
      </c>
      <c r="BI183" s="70" t="e">
        <f t="shared" ca="1" si="1447"/>
        <v>#NAME?</v>
      </c>
      <c r="BJ183" s="70" t="e">
        <f t="shared" ca="1" si="1447"/>
        <v>#NAME?</v>
      </c>
      <c r="BK183" s="70" t="e">
        <f t="shared" ca="1" si="1447"/>
        <v>#NAME?</v>
      </c>
      <c r="BL183" s="70" t="e">
        <f t="shared" ca="1" si="1447"/>
        <v>#NAME?</v>
      </c>
      <c r="BM183" s="70" t="e">
        <f t="shared" ca="1" si="1447"/>
        <v>#NAME?</v>
      </c>
      <c r="BN183" s="70" t="e">
        <f t="shared" ca="1" si="1447"/>
        <v>#NAME?</v>
      </c>
      <c r="BO183" s="70" t="e">
        <f t="shared" ca="1" si="1447"/>
        <v>#NAME?</v>
      </c>
      <c r="BP183" s="70" t="e">
        <f t="shared" ca="1" si="1447"/>
        <v>#NAME?</v>
      </c>
      <c r="BQ183" s="70" t="e">
        <f t="shared" ca="1" si="1447"/>
        <v>#NAME?</v>
      </c>
      <c r="BR183" s="70" t="e">
        <f t="shared" ca="1" si="1447"/>
        <v>#NAME?</v>
      </c>
      <c r="BS183" s="70" t="e">
        <f t="shared" ca="1" si="1447"/>
        <v>#NAME?</v>
      </c>
      <c r="BT183" s="70" t="e">
        <f t="shared" ca="1" si="1447"/>
        <v>#NAME?</v>
      </c>
      <c r="BU183" s="70" t="e">
        <f t="shared" ca="1" si="1447"/>
        <v>#NAME?</v>
      </c>
      <c r="BV183" s="70" t="e">
        <f t="shared" ca="1" si="1447"/>
        <v>#NAME?</v>
      </c>
      <c r="BW183" s="70" t="e">
        <f t="shared" ca="1" si="1447"/>
        <v>#NAME?</v>
      </c>
      <c r="BX183" s="70" t="e">
        <f t="shared" ca="1" si="1447"/>
        <v>#NAME?</v>
      </c>
      <c r="BY183" s="70" t="e">
        <f t="shared" ca="1" si="1447"/>
        <v>#NAME?</v>
      </c>
      <c r="BZ183" s="70" t="e">
        <f t="shared" ca="1" si="1447"/>
        <v>#NAME?</v>
      </c>
      <c r="CA183" s="70" t="e">
        <f t="shared" ca="1" si="1447"/>
        <v>#NAME?</v>
      </c>
      <c r="CB183" s="70" t="e">
        <f t="shared" ca="1" si="1447"/>
        <v>#NAME?</v>
      </c>
      <c r="CC183" s="70" t="e">
        <f t="shared" ca="1" si="1447"/>
        <v>#NAME?</v>
      </c>
      <c r="CD183" s="70" t="e">
        <f t="shared" ca="1" si="1447"/>
        <v>#NAME?</v>
      </c>
      <c r="CE183" s="115" t="e">
        <f ca="1">CE149/CE10*90</f>
        <v>#NAME?</v>
      </c>
      <c r="CF183" s="70" t="e">
        <f ca="1">CF149/CF8*90</f>
        <v>#NAME?</v>
      </c>
      <c r="CG183" s="70" t="e">
        <f ca="1">CG149/CG10*90</f>
        <v>#NAME?</v>
      </c>
      <c r="CH183" s="70" t="e">
        <f ca="1">CH149/CH8*90</f>
        <v>#NAME?</v>
      </c>
      <c r="CI183" s="70" t="e">
        <f ca="1">CI180+CI181+CI182</f>
        <v>#NAME?</v>
      </c>
      <c r="CJ183" s="70" t="e">
        <f ca="1">CJ149/CJ8*90</f>
        <v>#NAME?</v>
      </c>
      <c r="CK183" s="50" t="e">
        <f t="shared" ref="CK183:DB183" ca="1" si="1448">CK180+CK181+CK182</f>
        <v>#NAME?</v>
      </c>
      <c r="CL183" s="70" t="e">
        <f ca="1">CL149/CL8*90</f>
        <v>#NAME?</v>
      </c>
      <c r="CM183" s="50" t="e">
        <f t="shared" ca="1" si="1448"/>
        <v>#NAME?</v>
      </c>
      <c r="CN183" s="50" t="e">
        <f t="shared" ca="1" si="1448"/>
        <v>#NAME?</v>
      </c>
      <c r="CO183" s="50" t="e">
        <f t="shared" ca="1" si="1448"/>
        <v>#NAME?</v>
      </c>
      <c r="CP183" s="50" t="e">
        <f t="shared" ca="1" si="1448"/>
        <v>#NAME?</v>
      </c>
      <c r="CQ183" s="50" t="e">
        <f t="shared" ca="1" si="1448"/>
        <v>#NAME?</v>
      </c>
      <c r="CR183" s="50" t="e">
        <f t="shared" ca="1" si="1448"/>
        <v>#NAME?</v>
      </c>
      <c r="CS183" s="50" t="e">
        <f t="shared" ca="1" si="1448"/>
        <v>#NAME?</v>
      </c>
      <c r="CT183" s="50" t="e">
        <f t="shared" ca="1" si="1448"/>
        <v>#NAME?</v>
      </c>
      <c r="CU183" s="50" t="e">
        <f t="shared" ca="1" si="1448"/>
        <v>#NAME?</v>
      </c>
      <c r="CV183" s="50" t="e">
        <f t="shared" ca="1" si="1448"/>
        <v>#NAME?</v>
      </c>
      <c r="CW183" s="50" t="e">
        <f t="shared" ca="1" si="1448"/>
        <v>#NAME?</v>
      </c>
      <c r="CX183" s="50" t="e">
        <f t="shared" ca="1" si="1448"/>
        <v>#NAME?</v>
      </c>
      <c r="CY183" s="50" t="e">
        <f t="shared" ca="1" si="1448"/>
        <v>#NAME?</v>
      </c>
      <c r="CZ183" s="50" t="e">
        <f t="shared" ca="1" si="1448"/>
        <v>#NAME?</v>
      </c>
      <c r="DA183" s="50" t="e">
        <f t="shared" ca="1" si="1448"/>
        <v>#NAME?</v>
      </c>
      <c r="DB183" s="50" t="e">
        <f t="shared" ca="1" si="1448"/>
        <v>#NAME?</v>
      </c>
      <c r="DE183" s="138"/>
      <c r="DF183" s="7">
        <v>332.02293631811966</v>
      </c>
    </row>
    <row r="184" spans="1:110" s="62" customFormat="1" outlineLevel="1" x14ac:dyDescent="0.2">
      <c r="A184" s="68" t="s">
        <v>468</v>
      </c>
      <c r="B184" s="67" t="e">
        <f t="shared" ref="B184:AE184" ca="1" si="1449">B154/B8*365</f>
        <v>#NAME?</v>
      </c>
      <c r="C184" s="67" t="e">
        <f t="shared" ca="1" si="1449"/>
        <v>#NAME?</v>
      </c>
      <c r="D184" s="67" t="e">
        <f t="shared" ca="1" si="1449"/>
        <v>#NAME?</v>
      </c>
      <c r="E184" s="67" t="e">
        <f t="shared" ca="1" si="1449"/>
        <v>#NAME?</v>
      </c>
      <c r="F184" s="67" t="e">
        <f t="shared" ca="1" si="1449"/>
        <v>#NAME?</v>
      </c>
      <c r="G184" s="67" t="e">
        <f t="shared" ca="1" si="1449"/>
        <v>#NAME?</v>
      </c>
      <c r="H184" s="67" t="e">
        <f t="shared" ca="1" si="1449"/>
        <v>#NAME?</v>
      </c>
      <c r="I184" s="67" t="e">
        <f t="shared" ca="1" si="1449"/>
        <v>#NAME?</v>
      </c>
      <c r="J184" s="67" t="e">
        <f t="shared" ca="1" si="1449"/>
        <v>#NAME?</v>
      </c>
      <c r="K184" s="67" t="e">
        <f t="shared" ca="1" si="1449"/>
        <v>#NAME?</v>
      </c>
      <c r="L184" s="67" t="e">
        <f t="shared" ca="1" si="1449"/>
        <v>#NAME?</v>
      </c>
      <c r="M184" s="67" t="e">
        <f t="shared" ca="1" si="1449"/>
        <v>#NAME?</v>
      </c>
      <c r="N184" s="67" t="e">
        <f t="shared" ca="1" si="1449"/>
        <v>#NAME?</v>
      </c>
      <c r="O184" s="67" t="e">
        <f t="shared" ca="1" si="1449"/>
        <v>#NAME?</v>
      </c>
      <c r="P184" s="67" t="e">
        <f t="shared" ca="1" si="1449"/>
        <v>#NAME?</v>
      </c>
      <c r="Q184" s="67" t="e">
        <f t="shared" ca="1" si="1449"/>
        <v>#NAME?</v>
      </c>
      <c r="R184" s="67" t="e">
        <f t="shared" ca="1" si="1449"/>
        <v>#NAME?</v>
      </c>
      <c r="S184" s="67" t="e">
        <f t="shared" ca="1" si="1449"/>
        <v>#NAME?</v>
      </c>
      <c r="T184" s="67" t="e">
        <f t="shared" ca="1" si="1449"/>
        <v>#NAME?</v>
      </c>
      <c r="U184" s="67" t="e">
        <f t="shared" ca="1" si="1449"/>
        <v>#NAME?</v>
      </c>
      <c r="V184" s="67" t="e">
        <f t="shared" ca="1" si="1449"/>
        <v>#NAME?</v>
      </c>
      <c r="W184" s="67" t="e">
        <f t="shared" ca="1" si="1449"/>
        <v>#NAME?</v>
      </c>
      <c r="X184" s="67" t="e">
        <f t="shared" ca="1" si="1449"/>
        <v>#NAME?</v>
      </c>
      <c r="Y184" s="67" t="e">
        <f t="shared" ca="1" si="1449"/>
        <v>#NAME?</v>
      </c>
      <c r="Z184" s="67" t="e">
        <f t="shared" ca="1" si="1449"/>
        <v>#NAME?</v>
      </c>
      <c r="AA184" s="67" t="e">
        <f t="shared" ref="AA184" ca="1" si="1450">AA154/AA8*365</f>
        <v>#NAME?</v>
      </c>
      <c r="AB184" s="18" t="e">
        <f t="shared" ca="1" si="1449"/>
        <v>#NAME?</v>
      </c>
      <c r="AC184" s="18" t="e">
        <f t="shared" ca="1" si="1449"/>
        <v>#NAME?</v>
      </c>
      <c r="AD184" s="18" t="e">
        <f t="shared" ca="1" si="1449"/>
        <v>#NAME?</v>
      </c>
      <c r="AE184" s="18" t="e">
        <f t="shared" ca="1" si="1449"/>
        <v>#NAME?</v>
      </c>
      <c r="AI184" s="67" t="e">
        <f ca="1">AJ154/AI8*90</f>
        <v>#NAME?</v>
      </c>
      <c r="AJ184" s="67" t="e">
        <f ca="1">AJ154/AJ8*90</f>
        <v>#NAME?</v>
      </c>
      <c r="AK184" s="67" t="e">
        <f t="shared" ref="AK184:CE184" ca="1" si="1451">+AJ184</f>
        <v>#NAME?</v>
      </c>
      <c r="AL184" s="67" t="e">
        <f ca="1">AL154/AL8*90</f>
        <v>#NAME?</v>
      </c>
      <c r="AM184" s="67" t="e">
        <f t="shared" ref="AM184" ca="1" si="1452">+AL184</f>
        <v>#NAME?</v>
      </c>
      <c r="AN184" s="67" t="e">
        <f ca="1">AN154/AN8*90</f>
        <v>#NAME?</v>
      </c>
      <c r="AO184" s="67" t="e">
        <f t="shared" ref="AO184" ca="1" si="1453">+AN184</f>
        <v>#NAME?</v>
      </c>
      <c r="AP184" s="67" t="e">
        <f ca="1">AP154/AP8*90</f>
        <v>#NAME?</v>
      </c>
      <c r="AQ184" s="67" t="e">
        <f t="shared" ref="AQ184" ca="1" si="1454">+AP184</f>
        <v>#NAME?</v>
      </c>
      <c r="AR184" s="67" t="e">
        <f ca="1">AR154/AR8*90</f>
        <v>#NAME?</v>
      </c>
      <c r="AS184" s="67" t="e">
        <f t="shared" ref="AS184" ca="1" si="1455">+AR184</f>
        <v>#NAME?</v>
      </c>
      <c r="AT184" s="67" t="e">
        <f ca="1">AT154/AT8*90</f>
        <v>#NAME?</v>
      </c>
      <c r="AU184" s="67" t="e">
        <f t="shared" ref="AU184" ca="1" si="1456">+AT184</f>
        <v>#NAME?</v>
      </c>
      <c r="AV184" s="67" t="e">
        <f ca="1">AV154/AV8*90</f>
        <v>#NAME?</v>
      </c>
      <c r="AW184" s="67" t="e">
        <f t="shared" ref="AW184" ca="1" si="1457">+AV184</f>
        <v>#NAME?</v>
      </c>
      <c r="AX184" s="67" t="e">
        <f ca="1">AX154/AX8*90</f>
        <v>#NAME?</v>
      </c>
      <c r="AY184" s="67" t="e">
        <f t="shared" ref="AY184" ca="1" si="1458">+AX184</f>
        <v>#NAME?</v>
      </c>
      <c r="AZ184" s="67" t="e">
        <f ca="1">AZ154/AZ8*90</f>
        <v>#NAME?</v>
      </c>
      <c r="BA184" s="67" t="e">
        <f t="shared" ref="BA184" ca="1" si="1459">+AZ184</f>
        <v>#NAME?</v>
      </c>
      <c r="BB184" s="67" t="e">
        <f ca="1">BB154/BB8*90</f>
        <v>#NAME?</v>
      </c>
      <c r="BC184" s="67" t="e">
        <f t="shared" ref="BC184" ca="1" si="1460">+BB184</f>
        <v>#NAME?</v>
      </c>
      <c r="BD184" s="67" t="e">
        <f ca="1">BD154/BD8*90</f>
        <v>#NAME?</v>
      </c>
      <c r="BE184" s="67" t="e">
        <f t="shared" ref="BE184" ca="1" si="1461">+BD184</f>
        <v>#NAME?</v>
      </c>
      <c r="BF184" s="67" t="e">
        <f ca="1">BF154/BF8*90</f>
        <v>#NAME?</v>
      </c>
      <c r="BG184" s="67" t="e">
        <f t="shared" ref="BG184" ca="1" si="1462">+BF184</f>
        <v>#NAME?</v>
      </c>
      <c r="BH184" s="67" t="e">
        <f ca="1">BH154/BH8*90</f>
        <v>#NAME?</v>
      </c>
      <c r="BI184" s="67" t="e">
        <f t="shared" ref="BI184" ca="1" si="1463">+BH184</f>
        <v>#NAME?</v>
      </c>
      <c r="BJ184" s="67" t="e">
        <f ca="1">BJ154/BJ8*90</f>
        <v>#NAME?</v>
      </c>
      <c r="BK184" s="67" t="e">
        <f t="shared" ref="BK184" ca="1" si="1464">+BJ184</f>
        <v>#NAME?</v>
      </c>
      <c r="BL184" s="67" t="e">
        <f ca="1">BL154/BL8*90</f>
        <v>#NAME?</v>
      </c>
      <c r="BM184" s="67" t="e">
        <f t="shared" ref="BM184" ca="1" si="1465">+BL184</f>
        <v>#NAME?</v>
      </c>
      <c r="BN184" s="67" t="e">
        <f ca="1">BN154/BN8*90</f>
        <v>#NAME?</v>
      </c>
      <c r="BO184" s="67" t="e">
        <f t="shared" ref="BO184" ca="1" si="1466">+BN184</f>
        <v>#NAME?</v>
      </c>
      <c r="BP184" s="67" t="e">
        <f ca="1">BP154/BP8*90</f>
        <v>#NAME?</v>
      </c>
      <c r="BQ184" s="67" t="e">
        <f t="shared" ref="BQ184" ca="1" si="1467">+BP184</f>
        <v>#NAME?</v>
      </c>
      <c r="BR184" s="67" t="e">
        <f ca="1">BR154/BR8*90</f>
        <v>#NAME?</v>
      </c>
      <c r="BS184" s="67" t="e">
        <f t="shared" ref="BS184" ca="1" si="1468">+BR184</f>
        <v>#NAME?</v>
      </c>
      <c r="BT184" s="67" t="e">
        <f ca="1">BT154/BT8*90</f>
        <v>#NAME?</v>
      </c>
      <c r="BU184" s="67" t="e">
        <f t="shared" ref="BU184" ca="1" si="1469">+BT184</f>
        <v>#NAME?</v>
      </c>
      <c r="BV184" s="67" t="e">
        <f ca="1">BV154/BV8*90</f>
        <v>#NAME?</v>
      </c>
      <c r="BW184" s="67" t="e">
        <f t="shared" ref="BW184" ca="1" si="1470">+BV184</f>
        <v>#NAME?</v>
      </c>
      <c r="BX184" s="67" t="e">
        <f ca="1">BX154/BX8*90</f>
        <v>#NAME?</v>
      </c>
      <c r="BY184" s="67" t="e">
        <f t="shared" ref="BY184" ca="1" si="1471">+BX184</f>
        <v>#NAME?</v>
      </c>
      <c r="BZ184" s="67" t="e">
        <f ca="1">BZ154/BZ8*90</f>
        <v>#NAME?</v>
      </c>
      <c r="CA184" s="67" t="e">
        <f t="shared" ref="CA184" ca="1" si="1472">+BZ184</f>
        <v>#NAME?</v>
      </c>
      <c r="CB184" s="67" t="e">
        <f ca="1">CB154/CB8*90</f>
        <v>#NAME?</v>
      </c>
      <c r="CC184" s="67" t="e">
        <f t="shared" ref="CC184" ca="1" si="1473">+CB184</f>
        <v>#NAME?</v>
      </c>
      <c r="CD184" s="67" t="e">
        <f ca="1">CD154/CD8*90</f>
        <v>#NAME?</v>
      </c>
      <c r="CE184" s="114" t="e">
        <f t="shared" ca="1" si="1451"/>
        <v>#NAME?</v>
      </c>
      <c r="CF184" s="67" t="e">
        <f ca="1">CF154/CF8*90</f>
        <v>#NAME?</v>
      </c>
      <c r="CG184" s="67" t="e">
        <f t="shared" ref="CG184:CI184" ca="1" si="1474">+CF184</f>
        <v>#NAME?</v>
      </c>
      <c r="CH184" s="67" t="e">
        <f ca="1">CH154/CH8*90</f>
        <v>#NAME?</v>
      </c>
      <c r="CI184" s="67" t="e">
        <f t="shared" ca="1" si="1474"/>
        <v>#NAME?</v>
      </c>
      <c r="CJ184" s="67" t="e">
        <f ca="1">CJ154/CJ8*90</f>
        <v>#NAME?</v>
      </c>
      <c r="CK184" s="30" t="e">
        <f t="shared" ref="CK184" ca="1" si="1475">+CJ184</f>
        <v>#NAME?</v>
      </c>
      <c r="CL184" s="67" t="e">
        <f ca="1">CL154/CL8*90</f>
        <v>#NAME?</v>
      </c>
      <c r="CM184" s="30" t="e">
        <f t="shared" ref="CM184" ca="1" si="1476">+CL184</f>
        <v>#NAME?</v>
      </c>
      <c r="CN184" s="30" t="e">
        <f t="shared" ref="CN184" ca="1" si="1477">+CM184</f>
        <v>#NAME?</v>
      </c>
      <c r="CO184" s="30" t="e">
        <f t="shared" ref="CO184" ca="1" si="1478">+CN184</f>
        <v>#NAME?</v>
      </c>
      <c r="CP184" s="30" t="e">
        <f t="shared" ref="CP184" ca="1" si="1479">+CO184</f>
        <v>#NAME?</v>
      </c>
      <c r="CQ184" s="30" t="e">
        <f t="shared" ref="CQ184" ca="1" si="1480">+CP184</f>
        <v>#NAME?</v>
      </c>
      <c r="CR184" s="30" t="e">
        <f t="shared" ref="CR184" ca="1" si="1481">+CQ184</f>
        <v>#NAME?</v>
      </c>
      <c r="CS184" s="30" t="e">
        <f t="shared" ref="CS184" ca="1" si="1482">+CR184</f>
        <v>#NAME?</v>
      </c>
      <c r="CT184" s="30" t="e">
        <f t="shared" ref="CT184" ca="1" si="1483">+CS184</f>
        <v>#NAME?</v>
      </c>
      <c r="CU184" s="30" t="e">
        <f t="shared" ref="CU184" ca="1" si="1484">+CT184</f>
        <v>#NAME?</v>
      </c>
      <c r="CV184" s="30" t="e">
        <f t="shared" ref="CV184" ca="1" si="1485">+CU184</f>
        <v>#NAME?</v>
      </c>
      <c r="CW184" s="30" t="e">
        <f t="shared" ref="CW184" ca="1" si="1486">+CV184</f>
        <v>#NAME?</v>
      </c>
      <c r="CX184" s="30" t="e">
        <f t="shared" ref="CX184" ca="1" si="1487">+CW184</f>
        <v>#NAME?</v>
      </c>
      <c r="CY184" s="30" t="e">
        <f t="shared" ref="CY184" ca="1" si="1488">+CX184</f>
        <v>#NAME?</v>
      </c>
      <c r="CZ184" s="30" t="e">
        <f t="shared" ref="CZ184" ca="1" si="1489">+CY184</f>
        <v>#NAME?</v>
      </c>
      <c r="DA184" s="30" t="e">
        <f t="shared" ref="DA184" ca="1" si="1490">+CZ184</f>
        <v>#NAME?</v>
      </c>
      <c r="DB184" s="30" t="e">
        <f t="shared" ref="DB184" ca="1" si="1491">+DA184</f>
        <v>#NAME?</v>
      </c>
      <c r="DE184" s="139"/>
      <c r="DF184" s="62">
        <v>73.712600881011497</v>
      </c>
    </row>
    <row r="185" spans="1:110" s="62" customFormat="1" outlineLevel="1" x14ac:dyDescent="0.2">
      <c r="A185" s="68" t="s">
        <v>466</v>
      </c>
      <c r="B185" s="67" t="e">
        <f ca="1">B186-B184</f>
        <v>#NAME?</v>
      </c>
      <c r="C185" s="67" t="e">
        <f t="shared" ref="C185:V185" ca="1" si="1492">C186-C184</f>
        <v>#NAME?</v>
      </c>
      <c r="D185" s="67" t="e">
        <f t="shared" ca="1" si="1492"/>
        <v>#NAME?</v>
      </c>
      <c r="E185" s="67" t="e">
        <f t="shared" ca="1" si="1492"/>
        <v>#NAME?</v>
      </c>
      <c r="F185" s="67" t="e">
        <f t="shared" ca="1" si="1492"/>
        <v>#NAME?</v>
      </c>
      <c r="G185" s="67" t="e">
        <f t="shared" ca="1" si="1492"/>
        <v>#NAME?</v>
      </c>
      <c r="H185" s="67" t="e">
        <f t="shared" ca="1" si="1492"/>
        <v>#NAME?</v>
      </c>
      <c r="I185" s="67" t="e">
        <f t="shared" ca="1" si="1492"/>
        <v>#NAME?</v>
      </c>
      <c r="J185" s="67" t="e">
        <f t="shared" ca="1" si="1492"/>
        <v>#NAME?</v>
      </c>
      <c r="K185" s="67" t="e">
        <f t="shared" ca="1" si="1492"/>
        <v>#NAME?</v>
      </c>
      <c r="L185" s="67" t="e">
        <f t="shared" ca="1" si="1492"/>
        <v>#NAME?</v>
      </c>
      <c r="M185" s="67" t="e">
        <f t="shared" ca="1" si="1492"/>
        <v>#NAME?</v>
      </c>
      <c r="N185" s="67" t="e">
        <f t="shared" ca="1" si="1492"/>
        <v>#NAME?</v>
      </c>
      <c r="O185" s="67" t="e">
        <f t="shared" ca="1" si="1492"/>
        <v>#NAME?</v>
      </c>
      <c r="P185" s="67" t="e">
        <f t="shared" ca="1" si="1492"/>
        <v>#NAME?</v>
      </c>
      <c r="Q185" s="67" t="e">
        <f t="shared" ca="1" si="1492"/>
        <v>#NAME?</v>
      </c>
      <c r="R185" s="67" t="e">
        <f t="shared" ca="1" si="1492"/>
        <v>#NAME?</v>
      </c>
      <c r="S185" s="67" t="e">
        <f t="shared" ca="1" si="1492"/>
        <v>#NAME?</v>
      </c>
      <c r="T185" s="67" t="e">
        <f t="shared" ca="1" si="1492"/>
        <v>#NAME?</v>
      </c>
      <c r="U185" s="67" t="e">
        <f t="shared" ca="1" si="1492"/>
        <v>#NAME?</v>
      </c>
      <c r="V185" s="67" t="e">
        <f t="shared" ca="1" si="1492"/>
        <v>#NAME?</v>
      </c>
      <c r="W185" s="67" t="e">
        <f t="shared" ref="W185" ca="1" si="1493">W186-W184</f>
        <v>#NAME?</v>
      </c>
      <c r="X185" s="67" t="e">
        <f t="shared" ref="X185:Y185" ca="1" si="1494">X186-X184</f>
        <v>#NAME?</v>
      </c>
      <c r="Y185" s="67" t="e">
        <f t="shared" ca="1" si="1494"/>
        <v>#NAME?</v>
      </c>
      <c r="Z185" s="67" t="e">
        <f t="shared" ref="Z185:AA185" ca="1" si="1495">Z186-Z184</f>
        <v>#NAME?</v>
      </c>
      <c r="AA185" s="67" t="e">
        <f t="shared" ca="1" si="1495"/>
        <v>#NAME?</v>
      </c>
      <c r="AB185" s="18" t="e">
        <f t="shared" ref="AA185:AD185" ca="1" si="1496">AB186-AB184</f>
        <v>#NAME?</v>
      </c>
      <c r="AC185" s="18" t="e">
        <f t="shared" ca="1" si="1496"/>
        <v>#NAME?</v>
      </c>
      <c r="AD185" s="18" t="e">
        <f t="shared" ca="1" si="1496"/>
        <v>#NAME?</v>
      </c>
      <c r="AE185" s="18" t="e">
        <f t="shared" ref="AE185" ca="1" si="1497">AE186-AE184</f>
        <v>#NAME?</v>
      </c>
      <c r="AI185" s="67" t="e">
        <f t="shared" ref="AI185:AK185" ca="1" si="1498">AI186-AI184</f>
        <v>#NAME?</v>
      </c>
      <c r="AJ185" s="67" t="e">
        <f t="shared" ref="AJ185:AM185" ca="1" si="1499">AJ186-AJ184</f>
        <v>#NAME?</v>
      </c>
      <c r="AK185" s="67" t="e">
        <f t="shared" ca="1" si="1498"/>
        <v>#NAME?</v>
      </c>
      <c r="AL185" s="67" t="e">
        <f t="shared" ca="1" si="1499"/>
        <v>#NAME?</v>
      </c>
      <c r="AM185" s="67" t="e">
        <f t="shared" ca="1" si="1499"/>
        <v>#NAME?</v>
      </c>
      <c r="AN185" s="67" t="e">
        <f t="shared" ref="AN185:AY185" ca="1" si="1500">AN186-AN184</f>
        <v>#NAME?</v>
      </c>
      <c r="AO185" s="67" t="e">
        <f t="shared" ca="1" si="1500"/>
        <v>#NAME?</v>
      </c>
      <c r="AP185" s="67" t="e">
        <f t="shared" ca="1" si="1500"/>
        <v>#NAME?</v>
      </c>
      <c r="AQ185" s="67" t="e">
        <f t="shared" ca="1" si="1500"/>
        <v>#NAME?</v>
      </c>
      <c r="AR185" s="67" t="e">
        <f t="shared" ca="1" si="1500"/>
        <v>#NAME?</v>
      </c>
      <c r="AS185" s="67" t="e">
        <f t="shared" ca="1" si="1500"/>
        <v>#NAME?</v>
      </c>
      <c r="AT185" s="67" t="e">
        <f t="shared" ca="1" si="1500"/>
        <v>#NAME?</v>
      </c>
      <c r="AU185" s="67" t="e">
        <f t="shared" ca="1" si="1500"/>
        <v>#NAME?</v>
      </c>
      <c r="AV185" s="67" t="e">
        <f t="shared" ca="1" si="1500"/>
        <v>#NAME?</v>
      </c>
      <c r="AW185" s="67" t="e">
        <f t="shared" ca="1" si="1500"/>
        <v>#NAME?</v>
      </c>
      <c r="AX185" s="67" t="e">
        <f t="shared" ca="1" si="1500"/>
        <v>#NAME?</v>
      </c>
      <c r="AY185" s="67" t="e">
        <f t="shared" ca="1" si="1500"/>
        <v>#NAME?</v>
      </c>
      <c r="AZ185" s="67" t="e">
        <f t="shared" ref="AZ185:BC185" ca="1" si="1501">AZ186-AZ184</f>
        <v>#NAME?</v>
      </c>
      <c r="BA185" s="67" t="e">
        <f t="shared" ca="1" si="1501"/>
        <v>#NAME?</v>
      </c>
      <c r="BB185" s="67" t="e">
        <f t="shared" ca="1" si="1501"/>
        <v>#NAME?</v>
      </c>
      <c r="BC185" s="67" t="e">
        <f t="shared" ca="1" si="1501"/>
        <v>#NAME?</v>
      </c>
      <c r="BD185" s="67" t="e">
        <f t="shared" ref="BD185:CE185" ca="1" si="1502">BD186-BD184</f>
        <v>#NAME?</v>
      </c>
      <c r="BE185" s="67" t="e">
        <f t="shared" ca="1" si="1502"/>
        <v>#NAME?</v>
      </c>
      <c r="BF185" s="67" t="e">
        <f t="shared" ca="1" si="1502"/>
        <v>#NAME?</v>
      </c>
      <c r="BG185" s="67" t="e">
        <f t="shared" ca="1" si="1502"/>
        <v>#NAME?</v>
      </c>
      <c r="BH185" s="67" t="e">
        <f t="shared" ca="1" si="1502"/>
        <v>#NAME?</v>
      </c>
      <c r="BI185" s="67" t="e">
        <f t="shared" ca="1" si="1502"/>
        <v>#NAME?</v>
      </c>
      <c r="BJ185" s="67" t="e">
        <f t="shared" ca="1" si="1502"/>
        <v>#NAME?</v>
      </c>
      <c r="BK185" s="67" t="e">
        <f t="shared" ca="1" si="1502"/>
        <v>#NAME?</v>
      </c>
      <c r="BL185" s="67" t="e">
        <f t="shared" ca="1" si="1502"/>
        <v>#NAME?</v>
      </c>
      <c r="BM185" s="67" t="e">
        <f t="shared" ca="1" si="1502"/>
        <v>#NAME?</v>
      </c>
      <c r="BN185" s="67" t="e">
        <f t="shared" ca="1" si="1502"/>
        <v>#NAME?</v>
      </c>
      <c r="BO185" s="67" t="e">
        <f t="shared" ca="1" si="1502"/>
        <v>#NAME?</v>
      </c>
      <c r="BP185" s="67" t="e">
        <f t="shared" ca="1" si="1502"/>
        <v>#NAME?</v>
      </c>
      <c r="BQ185" s="67" t="e">
        <f t="shared" ca="1" si="1502"/>
        <v>#NAME?</v>
      </c>
      <c r="BR185" s="67" t="e">
        <f t="shared" ca="1" si="1502"/>
        <v>#NAME?</v>
      </c>
      <c r="BS185" s="67" t="e">
        <f t="shared" ca="1" si="1502"/>
        <v>#NAME?</v>
      </c>
      <c r="BT185" s="67" t="e">
        <f t="shared" ca="1" si="1502"/>
        <v>#NAME?</v>
      </c>
      <c r="BU185" s="67" t="e">
        <f t="shared" ca="1" si="1502"/>
        <v>#NAME?</v>
      </c>
      <c r="BV185" s="67" t="e">
        <f t="shared" ca="1" si="1502"/>
        <v>#NAME?</v>
      </c>
      <c r="BW185" s="67" t="e">
        <f t="shared" ca="1" si="1502"/>
        <v>#NAME?</v>
      </c>
      <c r="BX185" s="67" t="e">
        <f t="shared" ca="1" si="1502"/>
        <v>#NAME?</v>
      </c>
      <c r="BY185" s="67" t="e">
        <f t="shared" ca="1" si="1502"/>
        <v>#NAME?</v>
      </c>
      <c r="BZ185" s="67" t="e">
        <f t="shared" ca="1" si="1502"/>
        <v>#NAME?</v>
      </c>
      <c r="CA185" s="67" t="e">
        <f t="shared" ca="1" si="1502"/>
        <v>#NAME?</v>
      </c>
      <c r="CB185" s="67" t="e">
        <f t="shared" ca="1" si="1502"/>
        <v>#NAME?</v>
      </c>
      <c r="CC185" s="67" t="e">
        <f t="shared" ca="1" si="1502"/>
        <v>#NAME?</v>
      </c>
      <c r="CD185" s="67" t="e">
        <f t="shared" ca="1" si="1502"/>
        <v>#NAME?</v>
      </c>
      <c r="CE185" s="114" t="e">
        <f t="shared" ca="1" si="1502"/>
        <v>#NAME?</v>
      </c>
      <c r="CF185" s="67" t="e">
        <f t="shared" ref="CF185:CG185" ca="1" si="1503">CF186-CF184</f>
        <v>#NAME?</v>
      </c>
      <c r="CG185" s="67" t="e">
        <f t="shared" ca="1" si="1503"/>
        <v>#NAME?</v>
      </c>
      <c r="CH185" s="67" t="e">
        <f t="shared" ref="CH185" ca="1" si="1504">CH186-CH184</f>
        <v>#NAME?</v>
      </c>
      <c r="CI185" s="67" t="e">
        <f ca="1">CH185</f>
        <v>#NAME?</v>
      </c>
      <c r="CJ185" s="67" t="e">
        <f t="shared" ref="CJ185:CL185" ca="1" si="1505">CJ186-CJ184</f>
        <v>#NAME?</v>
      </c>
      <c r="CK185" s="30" t="e">
        <f t="shared" ref="CK185:DB185" ca="1" si="1506">CJ185</f>
        <v>#NAME?</v>
      </c>
      <c r="CL185" s="67" t="e">
        <f t="shared" ca="1" si="1505"/>
        <v>#NAME?</v>
      </c>
      <c r="CM185" s="30" t="e">
        <f t="shared" ca="1" si="1506"/>
        <v>#NAME?</v>
      </c>
      <c r="CN185" s="30" t="e">
        <f t="shared" ca="1" si="1506"/>
        <v>#NAME?</v>
      </c>
      <c r="CO185" s="30" t="e">
        <f t="shared" ca="1" si="1506"/>
        <v>#NAME?</v>
      </c>
      <c r="CP185" s="30" t="e">
        <f t="shared" ca="1" si="1506"/>
        <v>#NAME?</v>
      </c>
      <c r="CQ185" s="30" t="e">
        <f t="shared" ca="1" si="1506"/>
        <v>#NAME?</v>
      </c>
      <c r="CR185" s="30" t="e">
        <f t="shared" ca="1" si="1506"/>
        <v>#NAME?</v>
      </c>
      <c r="CS185" s="30" t="e">
        <f t="shared" ca="1" si="1506"/>
        <v>#NAME?</v>
      </c>
      <c r="CT185" s="30" t="e">
        <f t="shared" ca="1" si="1506"/>
        <v>#NAME?</v>
      </c>
      <c r="CU185" s="30" t="e">
        <f t="shared" ca="1" si="1506"/>
        <v>#NAME?</v>
      </c>
      <c r="CV185" s="30" t="e">
        <f t="shared" ca="1" si="1506"/>
        <v>#NAME?</v>
      </c>
      <c r="CW185" s="30" t="e">
        <f t="shared" ca="1" si="1506"/>
        <v>#NAME?</v>
      </c>
      <c r="CX185" s="30" t="e">
        <f t="shared" ca="1" si="1506"/>
        <v>#NAME?</v>
      </c>
      <c r="CY185" s="30" t="e">
        <f t="shared" ca="1" si="1506"/>
        <v>#NAME?</v>
      </c>
      <c r="CZ185" s="30" t="e">
        <f t="shared" ca="1" si="1506"/>
        <v>#NAME?</v>
      </c>
      <c r="DA185" s="30" t="e">
        <f t="shared" ca="1" si="1506"/>
        <v>#NAME?</v>
      </c>
      <c r="DB185" s="30" t="e">
        <f t="shared" ca="1" si="1506"/>
        <v>#NAME?</v>
      </c>
      <c r="DE185" s="139"/>
      <c r="DF185" s="62">
        <v>223.67914167420054</v>
      </c>
    </row>
    <row r="186" spans="1:110" s="7" customFormat="1" outlineLevel="1" x14ac:dyDescent="0.2">
      <c r="A186" s="69" t="s">
        <v>469</v>
      </c>
      <c r="B186" s="70" t="e">
        <f t="shared" ref="B186:AE186" ca="1" si="1507">B157/B8*365</f>
        <v>#NAME?</v>
      </c>
      <c r="C186" s="70" t="e">
        <f t="shared" ca="1" si="1507"/>
        <v>#NAME?</v>
      </c>
      <c r="D186" s="70" t="e">
        <f t="shared" ca="1" si="1507"/>
        <v>#NAME?</v>
      </c>
      <c r="E186" s="70" t="e">
        <f t="shared" ca="1" si="1507"/>
        <v>#NAME?</v>
      </c>
      <c r="F186" s="70" t="e">
        <f t="shared" ca="1" si="1507"/>
        <v>#NAME?</v>
      </c>
      <c r="G186" s="70" t="e">
        <f t="shared" ca="1" si="1507"/>
        <v>#NAME?</v>
      </c>
      <c r="H186" s="70" t="e">
        <f t="shared" ca="1" si="1507"/>
        <v>#NAME?</v>
      </c>
      <c r="I186" s="70" t="e">
        <f t="shared" ca="1" si="1507"/>
        <v>#NAME?</v>
      </c>
      <c r="J186" s="70" t="e">
        <f t="shared" ca="1" si="1507"/>
        <v>#NAME?</v>
      </c>
      <c r="K186" s="70" t="e">
        <f t="shared" ca="1" si="1507"/>
        <v>#NAME?</v>
      </c>
      <c r="L186" s="70" t="e">
        <f t="shared" ca="1" si="1507"/>
        <v>#NAME?</v>
      </c>
      <c r="M186" s="70" t="e">
        <f t="shared" ca="1" si="1507"/>
        <v>#NAME?</v>
      </c>
      <c r="N186" s="70" t="e">
        <f t="shared" ca="1" si="1507"/>
        <v>#NAME?</v>
      </c>
      <c r="O186" s="70" t="e">
        <f t="shared" ca="1" si="1507"/>
        <v>#NAME?</v>
      </c>
      <c r="P186" s="70" t="e">
        <f t="shared" ca="1" si="1507"/>
        <v>#NAME?</v>
      </c>
      <c r="Q186" s="70" t="e">
        <f t="shared" ca="1" si="1507"/>
        <v>#NAME?</v>
      </c>
      <c r="R186" s="70" t="e">
        <f t="shared" ca="1" si="1507"/>
        <v>#NAME?</v>
      </c>
      <c r="S186" s="70" t="e">
        <f t="shared" ca="1" si="1507"/>
        <v>#NAME?</v>
      </c>
      <c r="T186" s="70" t="e">
        <f t="shared" ca="1" si="1507"/>
        <v>#NAME?</v>
      </c>
      <c r="U186" s="70" t="e">
        <f t="shared" ca="1" si="1507"/>
        <v>#NAME?</v>
      </c>
      <c r="V186" s="70" t="e">
        <f t="shared" ca="1" si="1507"/>
        <v>#NAME?</v>
      </c>
      <c r="W186" s="70" t="e">
        <f t="shared" ca="1" si="1507"/>
        <v>#NAME?</v>
      </c>
      <c r="X186" s="70" t="e">
        <f t="shared" ca="1" si="1507"/>
        <v>#NAME?</v>
      </c>
      <c r="Y186" s="70" t="e">
        <f t="shared" ca="1" si="1507"/>
        <v>#NAME?</v>
      </c>
      <c r="Z186" s="70" t="e">
        <f t="shared" ca="1" si="1507"/>
        <v>#NAME?</v>
      </c>
      <c r="AA186" s="70" t="e">
        <f t="shared" ref="AA186" ca="1" si="1508">AA157/AA8*365</f>
        <v>#NAME?</v>
      </c>
      <c r="AB186" s="71" t="e">
        <f t="shared" ca="1" si="1507"/>
        <v>#NAME?</v>
      </c>
      <c r="AC186" s="71" t="e">
        <f t="shared" ca="1" si="1507"/>
        <v>#NAME?</v>
      </c>
      <c r="AD186" s="71" t="e">
        <f t="shared" ca="1" si="1507"/>
        <v>#NAME?</v>
      </c>
      <c r="AE186" s="71" t="e">
        <f t="shared" ca="1" si="1507"/>
        <v>#NAME?</v>
      </c>
      <c r="AI186" s="70" t="e">
        <f t="shared" ref="AI186:CD186" ca="1" si="1509">AI157/AI8*90</f>
        <v>#NAME?</v>
      </c>
      <c r="AJ186" s="70" t="e">
        <f t="shared" ca="1" si="1509"/>
        <v>#NAME?</v>
      </c>
      <c r="AK186" s="70" t="e">
        <f ca="1">AK157/AK8*90</f>
        <v>#NAME?</v>
      </c>
      <c r="AL186" s="70" t="e">
        <f t="shared" ca="1" si="1509"/>
        <v>#NAME?</v>
      </c>
      <c r="AM186" s="70" t="e">
        <f t="shared" ca="1" si="1509"/>
        <v>#NAME?</v>
      </c>
      <c r="AN186" s="70" t="e">
        <f t="shared" ca="1" si="1509"/>
        <v>#NAME?</v>
      </c>
      <c r="AO186" s="70" t="e">
        <f t="shared" ca="1" si="1509"/>
        <v>#NAME?</v>
      </c>
      <c r="AP186" s="70" t="e">
        <f t="shared" ca="1" si="1509"/>
        <v>#NAME?</v>
      </c>
      <c r="AQ186" s="70" t="e">
        <f t="shared" ca="1" si="1509"/>
        <v>#NAME?</v>
      </c>
      <c r="AR186" s="70" t="e">
        <f t="shared" ca="1" si="1509"/>
        <v>#NAME?</v>
      </c>
      <c r="AS186" s="70" t="e">
        <f t="shared" ca="1" si="1509"/>
        <v>#NAME?</v>
      </c>
      <c r="AT186" s="70" t="e">
        <f t="shared" ca="1" si="1509"/>
        <v>#NAME?</v>
      </c>
      <c r="AU186" s="70" t="e">
        <f t="shared" ca="1" si="1509"/>
        <v>#NAME?</v>
      </c>
      <c r="AV186" s="70" t="e">
        <f t="shared" ca="1" si="1509"/>
        <v>#NAME?</v>
      </c>
      <c r="AW186" s="70" t="e">
        <f t="shared" ca="1" si="1509"/>
        <v>#NAME?</v>
      </c>
      <c r="AX186" s="70" t="e">
        <f t="shared" ca="1" si="1509"/>
        <v>#NAME?</v>
      </c>
      <c r="AY186" s="70" t="e">
        <f t="shared" ca="1" si="1509"/>
        <v>#NAME?</v>
      </c>
      <c r="AZ186" s="70" t="e">
        <f t="shared" ca="1" si="1509"/>
        <v>#NAME?</v>
      </c>
      <c r="BA186" s="70" t="e">
        <f t="shared" ca="1" si="1509"/>
        <v>#NAME?</v>
      </c>
      <c r="BB186" s="70" t="e">
        <f t="shared" ca="1" si="1509"/>
        <v>#NAME?</v>
      </c>
      <c r="BC186" s="70" t="e">
        <f t="shared" ca="1" si="1509"/>
        <v>#NAME?</v>
      </c>
      <c r="BD186" s="70" t="e">
        <f t="shared" ca="1" si="1509"/>
        <v>#NAME?</v>
      </c>
      <c r="BE186" s="70" t="e">
        <f t="shared" ca="1" si="1509"/>
        <v>#NAME?</v>
      </c>
      <c r="BF186" s="70" t="e">
        <f t="shared" ca="1" si="1509"/>
        <v>#NAME?</v>
      </c>
      <c r="BG186" s="70" t="e">
        <f t="shared" ca="1" si="1509"/>
        <v>#NAME?</v>
      </c>
      <c r="BH186" s="70" t="e">
        <f t="shared" ca="1" si="1509"/>
        <v>#NAME?</v>
      </c>
      <c r="BI186" s="70" t="e">
        <f t="shared" ca="1" si="1509"/>
        <v>#NAME?</v>
      </c>
      <c r="BJ186" s="70" t="e">
        <f t="shared" ca="1" si="1509"/>
        <v>#NAME?</v>
      </c>
      <c r="BK186" s="70" t="e">
        <f t="shared" ca="1" si="1509"/>
        <v>#NAME?</v>
      </c>
      <c r="BL186" s="70" t="e">
        <f t="shared" ca="1" si="1509"/>
        <v>#NAME?</v>
      </c>
      <c r="BM186" s="70" t="e">
        <f t="shared" ca="1" si="1509"/>
        <v>#NAME?</v>
      </c>
      <c r="BN186" s="70" t="e">
        <f t="shared" ca="1" si="1509"/>
        <v>#NAME?</v>
      </c>
      <c r="BO186" s="70" t="e">
        <f t="shared" ca="1" si="1509"/>
        <v>#NAME?</v>
      </c>
      <c r="BP186" s="70" t="e">
        <f t="shared" ca="1" si="1509"/>
        <v>#NAME?</v>
      </c>
      <c r="BQ186" s="70" t="e">
        <f t="shared" ca="1" si="1509"/>
        <v>#NAME?</v>
      </c>
      <c r="BR186" s="70" t="e">
        <f t="shared" ca="1" si="1509"/>
        <v>#NAME?</v>
      </c>
      <c r="BS186" s="70" t="e">
        <f t="shared" ca="1" si="1509"/>
        <v>#NAME?</v>
      </c>
      <c r="BT186" s="70" t="e">
        <f t="shared" ca="1" si="1509"/>
        <v>#NAME?</v>
      </c>
      <c r="BU186" s="70" t="e">
        <f t="shared" ca="1" si="1509"/>
        <v>#NAME?</v>
      </c>
      <c r="BV186" s="70" t="e">
        <f t="shared" ca="1" si="1509"/>
        <v>#NAME?</v>
      </c>
      <c r="BW186" s="70" t="e">
        <f t="shared" ca="1" si="1509"/>
        <v>#NAME?</v>
      </c>
      <c r="BX186" s="70" t="e">
        <f t="shared" ca="1" si="1509"/>
        <v>#NAME?</v>
      </c>
      <c r="BY186" s="70" t="e">
        <f t="shared" ca="1" si="1509"/>
        <v>#NAME?</v>
      </c>
      <c r="BZ186" s="70" t="e">
        <f t="shared" ca="1" si="1509"/>
        <v>#NAME?</v>
      </c>
      <c r="CA186" s="70" t="e">
        <f t="shared" ca="1" si="1509"/>
        <v>#NAME?</v>
      </c>
      <c r="CB186" s="70" t="e">
        <f t="shared" ca="1" si="1509"/>
        <v>#NAME?</v>
      </c>
      <c r="CC186" s="70" t="e">
        <f t="shared" ca="1" si="1509"/>
        <v>#NAME?</v>
      </c>
      <c r="CD186" s="70" t="e">
        <f t="shared" ca="1" si="1509"/>
        <v>#NAME?</v>
      </c>
      <c r="CE186" s="115" t="e">
        <f ca="1">CE157/CE10*90</f>
        <v>#NAME?</v>
      </c>
      <c r="CF186" s="70" t="e">
        <f ca="1">CF157/CF8*90</f>
        <v>#NAME?</v>
      </c>
      <c r="CG186" s="70" t="e">
        <f ca="1">CG157/CG10*90</f>
        <v>#NAME?</v>
      </c>
      <c r="CH186" s="70" t="e">
        <f ca="1">CH157/CH8*90</f>
        <v>#NAME?</v>
      </c>
      <c r="CI186" s="70" t="e">
        <f ca="1">CI184+CI185</f>
        <v>#NAME?</v>
      </c>
      <c r="CJ186" s="70" t="e">
        <f ca="1">CJ157/CJ8*90</f>
        <v>#NAME?</v>
      </c>
      <c r="CK186" s="50" t="e">
        <f t="shared" ref="CK186:DB186" ca="1" si="1510">CK184+CK185</f>
        <v>#NAME?</v>
      </c>
      <c r="CL186" s="70" t="e">
        <f ca="1">CL157/CL8*90</f>
        <v>#NAME?</v>
      </c>
      <c r="CM186" s="50" t="e">
        <f t="shared" ca="1" si="1510"/>
        <v>#NAME?</v>
      </c>
      <c r="CN186" s="50" t="e">
        <f t="shared" ca="1" si="1510"/>
        <v>#NAME?</v>
      </c>
      <c r="CO186" s="50" t="e">
        <f t="shared" ca="1" si="1510"/>
        <v>#NAME?</v>
      </c>
      <c r="CP186" s="50" t="e">
        <f t="shared" ca="1" si="1510"/>
        <v>#NAME?</v>
      </c>
      <c r="CQ186" s="50" t="e">
        <f t="shared" ca="1" si="1510"/>
        <v>#NAME?</v>
      </c>
      <c r="CR186" s="50" t="e">
        <f t="shared" ca="1" si="1510"/>
        <v>#NAME?</v>
      </c>
      <c r="CS186" s="50" t="e">
        <f t="shared" ca="1" si="1510"/>
        <v>#NAME?</v>
      </c>
      <c r="CT186" s="50" t="e">
        <f t="shared" ca="1" si="1510"/>
        <v>#NAME?</v>
      </c>
      <c r="CU186" s="50" t="e">
        <f t="shared" ca="1" si="1510"/>
        <v>#NAME?</v>
      </c>
      <c r="CV186" s="50" t="e">
        <f t="shared" ca="1" si="1510"/>
        <v>#NAME?</v>
      </c>
      <c r="CW186" s="50" t="e">
        <f t="shared" ca="1" si="1510"/>
        <v>#NAME?</v>
      </c>
      <c r="CX186" s="50" t="e">
        <f t="shared" ca="1" si="1510"/>
        <v>#NAME?</v>
      </c>
      <c r="CY186" s="50" t="e">
        <f t="shared" ca="1" si="1510"/>
        <v>#NAME?</v>
      </c>
      <c r="CZ186" s="50" t="e">
        <f t="shared" ca="1" si="1510"/>
        <v>#NAME?</v>
      </c>
      <c r="DA186" s="50" t="e">
        <f t="shared" ca="1" si="1510"/>
        <v>#NAME?</v>
      </c>
      <c r="DB186" s="50" t="e">
        <f t="shared" ca="1" si="1510"/>
        <v>#NAME?</v>
      </c>
      <c r="DE186" s="138"/>
      <c r="DF186" s="7">
        <v>297.39174255521203</v>
      </c>
    </row>
    <row r="187" spans="1:110" s="7" customFormat="1" x14ac:dyDescent="0.2">
      <c r="A187" s="69" t="s">
        <v>470</v>
      </c>
      <c r="B187" s="70" t="e">
        <f ca="1">B183-B186</f>
        <v>#NAME?</v>
      </c>
      <c r="C187" s="70" t="e">
        <f t="shared" ref="C187:V187" ca="1" si="1511">C183-C186</f>
        <v>#NAME?</v>
      </c>
      <c r="D187" s="70" t="e">
        <f t="shared" ca="1" si="1511"/>
        <v>#NAME?</v>
      </c>
      <c r="E187" s="70" t="e">
        <f t="shared" ca="1" si="1511"/>
        <v>#NAME?</v>
      </c>
      <c r="F187" s="70" t="e">
        <f t="shared" ca="1" si="1511"/>
        <v>#NAME?</v>
      </c>
      <c r="G187" s="70" t="e">
        <f t="shared" ca="1" si="1511"/>
        <v>#NAME?</v>
      </c>
      <c r="H187" s="70" t="e">
        <f t="shared" ca="1" si="1511"/>
        <v>#NAME?</v>
      </c>
      <c r="I187" s="70" t="e">
        <f t="shared" ca="1" si="1511"/>
        <v>#NAME?</v>
      </c>
      <c r="J187" s="70" t="e">
        <f t="shared" ca="1" si="1511"/>
        <v>#NAME?</v>
      </c>
      <c r="K187" s="70" t="e">
        <f t="shared" ca="1" si="1511"/>
        <v>#NAME?</v>
      </c>
      <c r="L187" s="70" t="e">
        <f t="shared" ca="1" si="1511"/>
        <v>#NAME?</v>
      </c>
      <c r="M187" s="70" t="e">
        <f t="shared" ca="1" si="1511"/>
        <v>#NAME?</v>
      </c>
      <c r="N187" s="70" t="e">
        <f t="shared" ca="1" si="1511"/>
        <v>#NAME?</v>
      </c>
      <c r="O187" s="70" t="e">
        <f t="shared" ca="1" si="1511"/>
        <v>#NAME?</v>
      </c>
      <c r="P187" s="70" t="e">
        <f t="shared" ca="1" si="1511"/>
        <v>#NAME?</v>
      </c>
      <c r="Q187" s="70" t="e">
        <f t="shared" ca="1" si="1511"/>
        <v>#NAME?</v>
      </c>
      <c r="R187" s="70" t="e">
        <f t="shared" ca="1" si="1511"/>
        <v>#NAME?</v>
      </c>
      <c r="S187" s="70" t="e">
        <f t="shared" ca="1" si="1511"/>
        <v>#NAME?</v>
      </c>
      <c r="T187" s="70" t="e">
        <f t="shared" ca="1" si="1511"/>
        <v>#NAME?</v>
      </c>
      <c r="U187" s="70" t="e">
        <f t="shared" ca="1" si="1511"/>
        <v>#NAME?</v>
      </c>
      <c r="V187" s="70" t="e">
        <f t="shared" ca="1" si="1511"/>
        <v>#NAME?</v>
      </c>
      <c r="W187" s="70" t="e">
        <f t="shared" ref="W187" ca="1" si="1512">W183-W186</f>
        <v>#NAME?</v>
      </c>
      <c r="X187" s="70" t="e">
        <f t="shared" ref="X187:Y187" ca="1" si="1513">X183-X186</f>
        <v>#NAME?</v>
      </c>
      <c r="Y187" s="70" t="e">
        <f t="shared" ca="1" si="1513"/>
        <v>#NAME?</v>
      </c>
      <c r="Z187" s="70" t="e">
        <f t="shared" ref="Z187:AA187" ca="1" si="1514">Z183-Z186</f>
        <v>#NAME?</v>
      </c>
      <c r="AA187" s="70" t="e">
        <f t="shared" ca="1" si="1514"/>
        <v>#NAME?</v>
      </c>
      <c r="AB187" s="71" t="e">
        <f t="shared" ref="AA187:AD187" ca="1" si="1515">AB183-AB186</f>
        <v>#NAME?</v>
      </c>
      <c r="AC187" s="71" t="e">
        <f t="shared" ca="1" si="1515"/>
        <v>#NAME?</v>
      </c>
      <c r="AD187" s="71" t="e">
        <f t="shared" ca="1" si="1515"/>
        <v>#NAME?</v>
      </c>
      <c r="AE187" s="71" t="e">
        <f t="shared" ref="AE187" ca="1" si="1516">AE183-AE186</f>
        <v>#NAME?</v>
      </c>
      <c r="AI187" s="70" t="e">
        <f t="shared" ref="AI187:AK187" ca="1" si="1517">AI183-AI186</f>
        <v>#NAME?</v>
      </c>
      <c r="AJ187" s="70" t="e">
        <f t="shared" ref="AJ187:AM187" ca="1" si="1518">AJ183-AJ186</f>
        <v>#NAME?</v>
      </c>
      <c r="AK187" s="70" t="e">
        <f t="shared" ca="1" si="1517"/>
        <v>#NAME?</v>
      </c>
      <c r="AL187" s="70" t="e">
        <f t="shared" ca="1" si="1518"/>
        <v>#NAME?</v>
      </c>
      <c r="AM187" s="70" t="e">
        <f t="shared" ca="1" si="1518"/>
        <v>#NAME?</v>
      </c>
      <c r="AN187" s="70" t="e">
        <f t="shared" ref="AN187:AY187" ca="1" si="1519">AN183-AN186</f>
        <v>#NAME?</v>
      </c>
      <c r="AO187" s="70" t="e">
        <f t="shared" ca="1" si="1519"/>
        <v>#NAME?</v>
      </c>
      <c r="AP187" s="70" t="e">
        <f t="shared" ca="1" si="1519"/>
        <v>#NAME?</v>
      </c>
      <c r="AQ187" s="70" t="e">
        <f t="shared" ca="1" si="1519"/>
        <v>#NAME?</v>
      </c>
      <c r="AR187" s="70" t="e">
        <f t="shared" ca="1" si="1519"/>
        <v>#NAME?</v>
      </c>
      <c r="AS187" s="70" t="e">
        <f t="shared" ca="1" si="1519"/>
        <v>#NAME?</v>
      </c>
      <c r="AT187" s="70" t="e">
        <f t="shared" ca="1" si="1519"/>
        <v>#NAME?</v>
      </c>
      <c r="AU187" s="70" t="e">
        <f t="shared" ca="1" si="1519"/>
        <v>#NAME?</v>
      </c>
      <c r="AV187" s="70" t="e">
        <f t="shared" ca="1" si="1519"/>
        <v>#NAME?</v>
      </c>
      <c r="AW187" s="70" t="e">
        <f t="shared" ca="1" si="1519"/>
        <v>#NAME?</v>
      </c>
      <c r="AX187" s="70" t="e">
        <f t="shared" ca="1" si="1519"/>
        <v>#NAME?</v>
      </c>
      <c r="AY187" s="70" t="e">
        <f t="shared" ca="1" si="1519"/>
        <v>#NAME?</v>
      </c>
      <c r="AZ187" s="70" t="e">
        <f t="shared" ref="AZ187:BC187" ca="1" si="1520">AZ183-AZ186</f>
        <v>#NAME?</v>
      </c>
      <c r="BA187" s="70" t="e">
        <f t="shared" ca="1" si="1520"/>
        <v>#NAME?</v>
      </c>
      <c r="BB187" s="70" t="e">
        <f t="shared" ca="1" si="1520"/>
        <v>#NAME?</v>
      </c>
      <c r="BC187" s="70" t="e">
        <f t="shared" ca="1" si="1520"/>
        <v>#NAME?</v>
      </c>
      <c r="BD187" s="70" t="e">
        <f t="shared" ref="BD187:CE187" ca="1" si="1521">BD183-BD186</f>
        <v>#NAME?</v>
      </c>
      <c r="BE187" s="70" t="e">
        <f t="shared" ca="1" si="1521"/>
        <v>#NAME?</v>
      </c>
      <c r="BF187" s="70" t="e">
        <f t="shared" ca="1" si="1521"/>
        <v>#NAME?</v>
      </c>
      <c r="BG187" s="70" t="e">
        <f t="shared" ca="1" si="1521"/>
        <v>#NAME?</v>
      </c>
      <c r="BH187" s="70" t="e">
        <f t="shared" ca="1" si="1521"/>
        <v>#NAME?</v>
      </c>
      <c r="BI187" s="70" t="e">
        <f t="shared" ca="1" si="1521"/>
        <v>#NAME?</v>
      </c>
      <c r="BJ187" s="70" t="e">
        <f t="shared" ca="1" si="1521"/>
        <v>#NAME?</v>
      </c>
      <c r="BK187" s="70" t="e">
        <f t="shared" ca="1" si="1521"/>
        <v>#NAME?</v>
      </c>
      <c r="BL187" s="70" t="e">
        <f t="shared" ca="1" si="1521"/>
        <v>#NAME?</v>
      </c>
      <c r="BM187" s="70" t="e">
        <f t="shared" ca="1" si="1521"/>
        <v>#NAME?</v>
      </c>
      <c r="BN187" s="70" t="e">
        <f t="shared" ca="1" si="1521"/>
        <v>#NAME?</v>
      </c>
      <c r="BO187" s="70" t="e">
        <f t="shared" ca="1" si="1521"/>
        <v>#NAME?</v>
      </c>
      <c r="BP187" s="70" t="e">
        <f t="shared" ca="1" si="1521"/>
        <v>#NAME?</v>
      </c>
      <c r="BQ187" s="70" t="e">
        <f t="shared" ca="1" si="1521"/>
        <v>#NAME?</v>
      </c>
      <c r="BR187" s="70" t="e">
        <f t="shared" ca="1" si="1521"/>
        <v>#NAME?</v>
      </c>
      <c r="BS187" s="70" t="e">
        <f t="shared" ca="1" si="1521"/>
        <v>#NAME?</v>
      </c>
      <c r="BT187" s="70" t="e">
        <f t="shared" ca="1" si="1521"/>
        <v>#NAME?</v>
      </c>
      <c r="BU187" s="70" t="e">
        <f t="shared" ca="1" si="1521"/>
        <v>#NAME?</v>
      </c>
      <c r="BV187" s="70" t="e">
        <f t="shared" ca="1" si="1521"/>
        <v>#NAME?</v>
      </c>
      <c r="BW187" s="70" t="e">
        <f t="shared" ca="1" si="1521"/>
        <v>#NAME?</v>
      </c>
      <c r="BX187" s="70" t="e">
        <f t="shared" ca="1" si="1521"/>
        <v>#NAME?</v>
      </c>
      <c r="BY187" s="70" t="e">
        <f t="shared" ca="1" si="1521"/>
        <v>#NAME?</v>
      </c>
      <c r="BZ187" s="70" t="e">
        <f t="shared" ca="1" si="1521"/>
        <v>#NAME?</v>
      </c>
      <c r="CA187" s="70" t="e">
        <f t="shared" ca="1" si="1521"/>
        <v>#NAME?</v>
      </c>
      <c r="CB187" s="70" t="e">
        <f t="shared" ca="1" si="1521"/>
        <v>#NAME?</v>
      </c>
      <c r="CC187" s="70" t="e">
        <f t="shared" ca="1" si="1521"/>
        <v>#NAME?</v>
      </c>
      <c r="CD187" s="70" t="e">
        <f t="shared" ca="1" si="1521"/>
        <v>#NAME?</v>
      </c>
      <c r="CE187" s="115" t="e">
        <f t="shared" ca="1" si="1521"/>
        <v>#NAME?</v>
      </c>
      <c r="CF187" s="70" t="e">
        <f t="shared" ref="CF187:CG187" ca="1" si="1522">CF183-CF186</f>
        <v>#NAME?</v>
      </c>
      <c r="CG187" s="70" t="e">
        <f t="shared" ca="1" si="1522"/>
        <v>#NAME?</v>
      </c>
      <c r="CH187" s="70" t="e">
        <f t="shared" ref="CH187:CI187" ca="1" si="1523">CH183-CH186</f>
        <v>#NAME?</v>
      </c>
      <c r="CI187" s="70" t="e">
        <f t="shared" ca="1" si="1523"/>
        <v>#NAME?</v>
      </c>
      <c r="CJ187" s="70" t="e">
        <f t="shared" ref="CJ187:DB187" ca="1" si="1524">CJ183-CJ186</f>
        <v>#NAME?</v>
      </c>
      <c r="CK187" s="50" t="e">
        <f t="shared" ca="1" si="1524"/>
        <v>#NAME?</v>
      </c>
      <c r="CL187" s="70" t="e">
        <f t="shared" ref="CL187" ca="1" si="1525">CL183-CL186</f>
        <v>#NAME?</v>
      </c>
      <c r="CM187" s="50" t="e">
        <f t="shared" ca="1" si="1524"/>
        <v>#NAME?</v>
      </c>
      <c r="CN187" s="50" t="e">
        <f t="shared" ca="1" si="1524"/>
        <v>#NAME?</v>
      </c>
      <c r="CO187" s="50" t="e">
        <f t="shared" ca="1" si="1524"/>
        <v>#NAME?</v>
      </c>
      <c r="CP187" s="50" t="e">
        <f t="shared" ca="1" si="1524"/>
        <v>#NAME?</v>
      </c>
      <c r="CQ187" s="50" t="e">
        <f t="shared" ca="1" si="1524"/>
        <v>#NAME?</v>
      </c>
      <c r="CR187" s="50" t="e">
        <f t="shared" ca="1" si="1524"/>
        <v>#NAME?</v>
      </c>
      <c r="CS187" s="50" t="e">
        <f t="shared" ca="1" si="1524"/>
        <v>#NAME?</v>
      </c>
      <c r="CT187" s="50" t="e">
        <f t="shared" ca="1" si="1524"/>
        <v>#NAME?</v>
      </c>
      <c r="CU187" s="50" t="e">
        <f t="shared" ca="1" si="1524"/>
        <v>#NAME?</v>
      </c>
      <c r="CV187" s="50" t="e">
        <f t="shared" ca="1" si="1524"/>
        <v>#NAME?</v>
      </c>
      <c r="CW187" s="50" t="e">
        <f t="shared" ca="1" si="1524"/>
        <v>#NAME?</v>
      </c>
      <c r="CX187" s="50" t="e">
        <f t="shared" ca="1" si="1524"/>
        <v>#NAME?</v>
      </c>
      <c r="CY187" s="50" t="e">
        <f t="shared" ca="1" si="1524"/>
        <v>#NAME?</v>
      </c>
      <c r="CZ187" s="50" t="e">
        <f t="shared" ca="1" si="1524"/>
        <v>#NAME?</v>
      </c>
      <c r="DA187" s="50" t="e">
        <f t="shared" ca="1" si="1524"/>
        <v>#NAME?</v>
      </c>
      <c r="DB187" s="50" t="e">
        <f t="shared" ca="1" si="1524"/>
        <v>#NAME?</v>
      </c>
      <c r="DE187" s="138"/>
      <c r="DF187" s="7">
        <v>34.631193762907628</v>
      </c>
    </row>
    <row r="188" spans="1:110" s="7" customFormat="1" x14ac:dyDescent="0.2">
      <c r="A188" s="69" t="s">
        <v>86</v>
      </c>
      <c r="AB188" s="77"/>
      <c r="AC188" s="77"/>
      <c r="AD188" s="77"/>
      <c r="AE188" s="77"/>
      <c r="CE188" s="115"/>
      <c r="CG188" s="115"/>
      <c r="CK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E188" s="138"/>
    </row>
    <row r="189" spans="1:110" s="86" customFormat="1" x14ac:dyDescent="0.2">
      <c r="A189" s="86" t="s">
        <v>440</v>
      </c>
      <c r="C189" s="86" t="e">
        <f t="shared" ref="C189:Y189" ca="1" si="1526">C10/B10-1</f>
        <v>#NAME?</v>
      </c>
      <c r="D189" s="86" t="e">
        <f t="shared" ca="1" si="1526"/>
        <v>#NAME?</v>
      </c>
      <c r="E189" s="86" t="e">
        <f t="shared" ca="1" si="1526"/>
        <v>#NAME?</v>
      </c>
      <c r="F189" s="86" t="e">
        <f t="shared" ca="1" si="1526"/>
        <v>#NAME?</v>
      </c>
      <c r="G189" s="86" t="e">
        <f t="shared" ca="1" si="1526"/>
        <v>#NAME?</v>
      </c>
      <c r="H189" s="86" t="e">
        <f t="shared" ca="1" si="1526"/>
        <v>#NAME?</v>
      </c>
      <c r="I189" s="86" t="e">
        <f t="shared" ca="1" si="1526"/>
        <v>#NAME?</v>
      </c>
      <c r="J189" s="86" t="e">
        <f t="shared" ca="1" si="1526"/>
        <v>#NAME?</v>
      </c>
      <c r="K189" s="86" t="e">
        <f t="shared" ca="1" si="1526"/>
        <v>#NAME?</v>
      </c>
      <c r="L189" s="86" t="e">
        <f t="shared" ca="1" si="1526"/>
        <v>#NAME?</v>
      </c>
      <c r="M189" s="86" t="e">
        <f t="shared" ca="1" si="1526"/>
        <v>#NAME?</v>
      </c>
      <c r="N189" s="86" t="e">
        <f t="shared" ca="1" si="1526"/>
        <v>#NAME?</v>
      </c>
      <c r="O189" s="86" t="e">
        <f t="shared" ca="1" si="1526"/>
        <v>#NAME?</v>
      </c>
      <c r="P189" s="86" t="e">
        <f t="shared" ca="1" si="1526"/>
        <v>#NAME?</v>
      </c>
      <c r="Q189" s="86" t="e">
        <f t="shared" ca="1" si="1526"/>
        <v>#NAME?</v>
      </c>
      <c r="R189" s="86" t="e">
        <f t="shared" ca="1" si="1526"/>
        <v>#NAME?</v>
      </c>
      <c r="S189" s="86" t="e">
        <f t="shared" ca="1" si="1526"/>
        <v>#NAME?</v>
      </c>
      <c r="T189" s="86" t="e">
        <f t="shared" ca="1" si="1526"/>
        <v>#NAME?</v>
      </c>
      <c r="U189" s="86" t="e">
        <f t="shared" ca="1" si="1526"/>
        <v>#NAME?</v>
      </c>
      <c r="V189" s="86" t="e">
        <f t="shared" ca="1" si="1526"/>
        <v>#NAME?</v>
      </c>
      <c r="W189" s="86" t="e">
        <f t="shared" ca="1" si="1526"/>
        <v>#NAME?</v>
      </c>
      <c r="X189" s="86" t="e">
        <f t="shared" ca="1" si="1526"/>
        <v>#NAME?</v>
      </c>
      <c r="Y189" s="86" t="e">
        <f t="shared" ca="1" si="1526"/>
        <v>#NAME?</v>
      </c>
      <c r="Z189" s="86" t="e">
        <f ca="1">Z10/Y10-1</f>
        <v>#NAME?</v>
      </c>
      <c r="AA189" s="86" t="e">
        <f ca="1">AA10/Z10-1</f>
        <v>#NAME?</v>
      </c>
      <c r="AB189" s="87" t="e">
        <f t="shared" ref="AA189:AE189" ca="1" si="1527">AB10/AA10-1</f>
        <v>#NAME?</v>
      </c>
      <c r="AC189" s="87" t="e">
        <f t="shared" ca="1" si="1527"/>
        <v>#NAME?</v>
      </c>
      <c r="AD189" s="87" t="e">
        <f t="shared" ca="1" si="1527"/>
        <v>#NAME?</v>
      </c>
      <c r="AE189" s="87" t="e">
        <f t="shared" ca="1" si="1527"/>
        <v>#NAME?</v>
      </c>
      <c r="AN189" s="86" t="e">
        <f t="shared" ref="AN189:CI189" ca="1" si="1528">+(AN10+AM10)/(AJ10+AI10)-1</f>
        <v>#NAME?</v>
      </c>
      <c r="AO189" s="86" t="e">
        <f t="shared" ca="1" si="1528"/>
        <v>#NAME?</v>
      </c>
      <c r="AP189" s="86" t="e">
        <f t="shared" ca="1" si="1528"/>
        <v>#NAME?</v>
      </c>
      <c r="AQ189" s="86" t="e">
        <f t="shared" ca="1" si="1528"/>
        <v>#NAME?</v>
      </c>
      <c r="AR189" s="86" t="e">
        <f t="shared" ca="1" si="1528"/>
        <v>#NAME?</v>
      </c>
      <c r="AS189" s="86" t="e">
        <f t="shared" ca="1" si="1528"/>
        <v>#NAME?</v>
      </c>
      <c r="AT189" s="86" t="e">
        <f t="shared" ca="1" si="1528"/>
        <v>#NAME?</v>
      </c>
      <c r="AU189" s="86" t="e">
        <f t="shared" ca="1" si="1528"/>
        <v>#NAME?</v>
      </c>
      <c r="AV189" s="86" t="e">
        <f t="shared" ca="1" si="1528"/>
        <v>#NAME?</v>
      </c>
      <c r="AW189" s="86" t="e">
        <f t="shared" ca="1" si="1528"/>
        <v>#NAME?</v>
      </c>
      <c r="AX189" s="86" t="e">
        <f t="shared" ca="1" si="1528"/>
        <v>#NAME?</v>
      </c>
      <c r="AY189" s="86" t="e">
        <f t="shared" ca="1" si="1528"/>
        <v>#NAME?</v>
      </c>
      <c r="AZ189" s="86" t="e">
        <f t="shared" ca="1" si="1528"/>
        <v>#NAME?</v>
      </c>
      <c r="BA189" s="86" t="e">
        <f t="shared" ca="1" si="1528"/>
        <v>#NAME?</v>
      </c>
      <c r="BB189" s="86" t="e">
        <f t="shared" ca="1" si="1528"/>
        <v>#NAME?</v>
      </c>
      <c r="BC189" s="86" t="e">
        <f t="shared" ca="1" si="1528"/>
        <v>#NAME?</v>
      </c>
      <c r="BD189" s="86" t="e">
        <f t="shared" ca="1" si="1528"/>
        <v>#NAME?</v>
      </c>
      <c r="BE189" s="86" t="e">
        <f t="shared" ca="1" si="1528"/>
        <v>#NAME?</v>
      </c>
      <c r="BF189" s="86" t="e">
        <f t="shared" ca="1" si="1528"/>
        <v>#NAME?</v>
      </c>
      <c r="BG189" s="86" t="e">
        <f t="shared" ca="1" si="1528"/>
        <v>#NAME?</v>
      </c>
      <c r="BH189" s="86" t="e">
        <f t="shared" ca="1" si="1528"/>
        <v>#NAME?</v>
      </c>
      <c r="BI189" s="86" t="e">
        <f t="shared" ca="1" si="1528"/>
        <v>#NAME?</v>
      </c>
      <c r="BJ189" s="86" t="e">
        <f t="shared" ca="1" si="1528"/>
        <v>#NAME?</v>
      </c>
      <c r="BK189" s="86" t="e">
        <f t="shared" ca="1" si="1528"/>
        <v>#NAME?</v>
      </c>
      <c r="BL189" s="86" t="e">
        <f t="shared" ca="1" si="1528"/>
        <v>#NAME?</v>
      </c>
      <c r="BM189" s="86" t="e">
        <f t="shared" ca="1" si="1528"/>
        <v>#NAME?</v>
      </c>
      <c r="BN189" s="86" t="e">
        <f t="shared" ca="1" si="1528"/>
        <v>#NAME?</v>
      </c>
      <c r="BO189" s="86" t="e">
        <f t="shared" ca="1" si="1528"/>
        <v>#NAME?</v>
      </c>
      <c r="BP189" s="86" t="e">
        <f t="shared" ca="1" si="1528"/>
        <v>#NAME?</v>
      </c>
      <c r="BQ189" s="86" t="e">
        <f t="shared" ca="1" si="1528"/>
        <v>#NAME?</v>
      </c>
      <c r="BR189" s="86" t="e">
        <f t="shared" ca="1" si="1528"/>
        <v>#NAME?</v>
      </c>
      <c r="BS189" s="86" t="e">
        <f t="shared" ca="1" si="1528"/>
        <v>#NAME?</v>
      </c>
      <c r="BT189" s="86" t="e">
        <f t="shared" ca="1" si="1528"/>
        <v>#NAME?</v>
      </c>
      <c r="BU189" s="86" t="e">
        <f t="shared" ca="1" si="1528"/>
        <v>#NAME?</v>
      </c>
      <c r="BV189" s="86" t="e">
        <f t="shared" ca="1" si="1528"/>
        <v>#NAME?</v>
      </c>
      <c r="BW189" s="86" t="e">
        <f t="shared" ca="1" si="1528"/>
        <v>#NAME?</v>
      </c>
      <c r="BX189" s="86" t="e">
        <f t="shared" ca="1" si="1528"/>
        <v>#NAME?</v>
      </c>
      <c r="BY189" s="86" t="e">
        <f t="shared" ca="1" si="1528"/>
        <v>#NAME?</v>
      </c>
      <c r="BZ189" s="86" t="e">
        <f t="shared" ca="1" si="1528"/>
        <v>#NAME?</v>
      </c>
      <c r="CA189" s="86" t="e">
        <f t="shared" ca="1" si="1528"/>
        <v>#NAME?</v>
      </c>
      <c r="CB189" s="86" t="e">
        <f t="shared" ca="1" si="1528"/>
        <v>#NAME?</v>
      </c>
      <c r="CC189" s="86" t="e">
        <f t="shared" ca="1" si="1528"/>
        <v>#NAME?</v>
      </c>
      <c r="CD189" s="86" t="e">
        <f t="shared" ca="1" si="1528"/>
        <v>#NAME?</v>
      </c>
      <c r="CE189" s="86" t="e">
        <f t="shared" ca="1" si="1528"/>
        <v>#NAME?</v>
      </c>
      <c r="CF189" s="86" t="e">
        <f t="shared" ca="1" si="1528"/>
        <v>#NAME?</v>
      </c>
      <c r="CG189" s="86" t="e">
        <f t="shared" ca="1" si="1528"/>
        <v>#NAME?</v>
      </c>
      <c r="CH189" s="86" t="e">
        <f t="shared" ca="1" si="1528"/>
        <v>#NAME?</v>
      </c>
      <c r="CI189" s="86" t="e">
        <f t="shared" ca="1" si="1528"/>
        <v>#NAME?</v>
      </c>
      <c r="CJ189" s="86" t="e">
        <f ca="1">+(CJ10+CI10)/(CF10+CE10)-1</f>
        <v>#NAME?</v>
      </c>
      <c r="CK189" s="87"/>
      <c r="CL189" s="86" t="e">
        <f ca="1">+(CL10+CK10)/(CH10+CG10)-1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2.6292114745683604E-2</v>
      </c>
    </row>
    <row r="190" spans="1:110" s="86" customFormat="1" x14ac:dyDescent="0.2">
      <c r="A190" s="86" t="s">
        <v>441</v>
      </c>
      <c r="C190" s="86" t="e">
        <f t="shared" ref="C190" ca="1" si="1529">C187/B187-1</f>
        <v>#NAME?</v>
      </c>
      <c r="D190" s="86" t="e">
        <f t="shared" ref="D190" ca="1" si="1530">D187/C187-1</f>
        <v>#NAME?</v>
      </c>
      <c r="E190" s="86" t="e">
        <f ca="1">E187/D187-1</f>
        <v>#NAME?</v>
      </c>
      <c r="F190" s="86" t="e">
        <f t="shared" ref="F190" ca="1" si="1531">F187/E187-1</f>
        <v>#NAME?</v>
      </c>
      <c r="G190" s="86" t="e">
        <f t="shared" ref="G190" ca="1" si="1532">G187/F187-1</f>
        <v>#NAME?</v>
      </c>
      <c r="H190" s="86" t="e">
        <f t="shared" ref="H190" ca="1" si="1533">H187/G187-1</f>
        <v>#NAME?</v>
      </c>
      <c r="I190" s="86" t="e">
        <f t="shared" ref="I190" ca="1" si="1534">I187/H187-1</f>
        <v>#NAME?</v>
      </c>
      <c r="J190" s="86" t="e">
        <f t="shared" ref="J190" ca="1" si="1535">J187/I187-1</f>
        <v>#NAME?</v>
      </c>
      <c r="K190" s="86" t="e">
        <f ca="1">K187/J187-1</f>
        <v>#NAME?</v>
      </c>
      <c r="L190" s="86" t="e">
        <f t="shared" ref="L190" ca="1" si="1536">L187/K187-1</f>
        <v>#NAME?</v>
      </c>
      <c r="M190" s="86" t="e">
        <f t="shared" ref="M190" ca="1" si="1537">M187/L187-1</f>
        <v>#NAME?</v>
      </c>
      <c r="N190" s="86" t="e">
        <f t="shared" ref="N190" ca="1" si="1538">N187/M187-1</f>
        <v>#NAME?</v>
      </c>
      <c r="O190" s="86" t="e">
        <f t="shared" ref="O190" ca="1" si="1539">O187/N187-1</f>
        <v>#NAME?</v>
      </c>
      <c r="P190" s="86" t="e">
        <f t="shared" ref="P190" ca="1" si="1540">P187/O187-1</f>
        <v>#NAME?</v>
      </c>
      <c r="Q190" s="86" t="e">
        <f t="shared" ref="Q190" ca="1" si="1541">Q187/P187-1</f>
        <v>#NAME?</v>
      </c>
      <c r="R190" s="86" t="e">
        <f t="shared" ref="R190" ca="1" si="1542">R187/Q187-1</f>
        <v>#NAME?</v>
      </c>
      <c r="S190" s="86" t="e">
        <f t="shared" ref="S190" ca="1" si="1543">S187/R187-1</f>
        <v>#NAME?</v>
      </c>
      <c r="T190" s="86" t="e">
        <f t="shared" ref="T190" ca="1" si="1544">T187/S187-1</f>
        <v>#NAME?</v>
      </c>
      <c r="U190" s="86" t="e">
        <f t="shared" ref="U190" ca="1" si="1545">U187/T187-1</f>
        <v>#NAME?</v>
      </c>
      <c r="V190" s="86" t="e">
        <f t="shared" ref="V190" ca="1" si="1546">V187/U187-1</f>
        <v>#NAME?</v>
      </c>
      <c r="W190" s="86" t="e">
        <f t="shared" ref="W190:AA190" ca="1" si="1547">W187/V187-1</f>
        <v>#NAME?</v>
      </c>
      <c r="X190" s="86" t="e">
        <f t="shared" ca="1" si="1547"/>
        <v>#NAME?</v>
      </c>
      <c r="Y190" s="86" t="e">
        <f t="shared" ca="1" si="1547"/>
        <v>#NAME?</v>
      </c>
      <c r="Z190" s="86" t="e">
        <f t="shared" ca="1" si="1547"/>
        <v>#NAME?</v>
      </c>
      <c r="AA190" s="86" t="e">
        <f t="shared" ca="1" si="1547"/>
        <v>#NAME?</v>
      </c>
      <c r="AB190" s="87" t="e">
        <f t="shared" ref="AB190" ca="1" si="1548">AB187/AA187-1</f>
        <v>#NAME?</v>
      </c>
      <c r="AC190" s="87" t="e">
        <f t="shared" ref="AC190" ca="1" si="1549">AC187/AB187-1</f>
        <v>#NAME?</v>
      </c>
      <c r="AD190" s="87" t="e">
        <f t="shared" ref="AD190" ca="1" si="1550">AD187/AC187-1</f>
        <v>#NAME?</v>
      </c>
      <c r="AE190" s="87" t="e">
        <f t="shared" ref="AE190" ca="1" si="1551">AE187/AD187-1</f>
        <v>#NAME?</v>
      </c>
      <c r="AN190" s="86" t="e">
        <f t="shared" ref="AN190:CI190" ca="1" si="1552">+AN187/AJ187-1</f>
        <v>#NAME?</v>
      </c>
      <c r="AO190" s="86" t="e">
        <f t="shared" ca="1" si="1552"/>
        <v>#NAME?</v>
      </c>
      <c r="AP190" s="86" t="e">
        <f t="shared" ca="1" si="1552"/>
        <v>#NAME?</v>
      </c>
      <c r="AQ190" s="86" t="e">
        <f t="shared" ca="1" si="1552"/>
        <v>#NAME?</v>
      </c>
      <c r="AR190" s="86" t="e">
        <f t="shared" ca="1" si="1552"/>
        <v>#NAME?</v>
      </c>
      <c r="AS190" s="86" t="e">
        <f t="shared" ca="1" si="1552"/>
        <v>#NAME?</v>
      </c>
      <c r="AT190" s="86" t="e">
        <f t="shared" ca="1" si="1552"/>
        <v>#NAME?</v>
      </c>
      <c r="AU190" s="86" t="e">
        <f t="shared" ca="1" si="1552"/>
        <v>#NAME?</v>
      </c>
      <c r="AV190" s="86" t="e">
        <f t="shared" ca="1" si="1552"/>
        <v>#NAME?</v>
      </c>
      <c r="AW190" s="86" t="e">
        <f t="shared" ca="1" si="1552"/>
        <v>#NAME?</v>
      </c>
      <c r="AX190" s="86" t="e">
        <f t="shared" ca="1" si="1552"/>
        <v>#NAME?</v>
      </c>
      <c r="AY190" s="86" t="e">
        <f t="shared" ca="1" si="1552"/>
        <v>#NAME?</v>
      </c>
      <c r="AZ190" s="86" t="e">
        <f t="shared" ca="1" si="1552"/>
        <v>#NAME?</v>
      </c>
      <c r="BA190" s="86" t="e">
        <f t="shared" ca="1" si="1552"/>
        <v>#NAME?</v>
      </c>
      <c r="BB190" s="86" t="e">
        <f t="shared" ca="1" si="1552"/>
        <v>#NAME?</v>
      </c>
      <c r="BC190" s="86" t="e">
        <f t="shared" ca="1" si="1552"/>
        <v>#NAME?</v>
      </c>
      <c r="BD190" s="86" t="e">
        <f t="shared" ca="1" si="1552"/>
        <v>#NAME?</v>
      </c>
      <c r="BE190" s="86" t="e">
        <f t="shared" ca="1" si="1552"/>
        <v>#NAME?</v>
      </c>
      <c r="BF190" s="86" t="e">
        <f t="shared" ca="1" si="1552"/>
        <v>#NAME?</v>
      </c>
      <c r="BG190" s="86" t="e">
        <f t="shared" ca="1" si="1552"/>
        <v>#NAME?</v>
      </c>
      <c r="BH190" s="86" t="e">
        <f t="shared" ca="1" si="1552"/>
        <v>#NAME?</v>
      </c>
      <c r="BI190" s="86" t="e">
        <f t="shared" ca="1" si="1552"/>
        <v>#NAME?</v>
      </c>
      <c r="BJ190" s="86" t="e">
        <f t="shared" ca="1" si="1552"/>
        <v>#NAME?</v>
      </c>
      <c r="BK190" s="86" t="e">
        <f t="shared" ca="1" si="1552"/>
        <v>#NAME?</v>
      </c>
      <c r="BL190" s="86" t="e">
        <f t="shared" ca="1" si="1552"/>
        <v>#NAME?</v>
      </c>
      <c r="BM190" s="86" t="e">
        <f t="shared" ca="1" si="1552"/>
        <v>#NAME?</v>
      </c>
      <c r="BN190" s="86" t="e">
        <f t="shared" ca="1" si="1552"/>
        <v>#NAME?</v>
      </c>
      <c r="BO190" s="86" t="e">
        <f t="shared" ca="1" si="1552"/>
        <v>#NAME?</v>
      </c>
      <c r="BP190" s="86" t="e">
        <f t="shared" ca="1" si="1552"/>
        <v>#NAME?</v>
      </c>
      <c r="BQ190" s="86" t="e">
        <f t="shared" ca="1" si="1552"/>
        <v>#NAME?</v>
      </c>
      <c r="BR190" s="86" t="e">
        <f t="shared" ca="1" si="1552"/>
        <v>#NAME?</v>
      </c>
      <c r="BS190" s="86" t="e">
        <f t="shared" ca="1" si="1552"/>
        <v>#NAME?</v>
      </c>
      <c r="BT190" s="86" t="e">
        <f t="shared" ca="1" si="1552"/>
        <v>#NAME?</v>
      </c>
      <c r="BU190" s="86" t="e">
        <f t="shared" ca="1" si="1552"/>
        <v>#NAME?</v>
      </c>
      <c r="BV190" s="86" t="e">
        <f t="shared" ca="1" si="1552"/>
        <v>#NAME?</v>
      </c>
      <c r="BW190" s="86" t="e">
        <f t="shared" ca="1" si="1552"/>
        <v>#NAME?</v>
      </c>
      <c r="BX190" s="86" t="e">
        <f t="shared" ca="1" si="1552"/>
        <v>#NAME?</v>
      </c>
      <c r="BY190" s="86" t="e">
        <f t="shared" ca="1" si="1552"/>
        <v>#NAME?</v>
      </c>
      <c r="BZ190" s="86" t="e">
        <f t="shared" ca="1" si="1552"/>
        <v>#NAME?</v>
      </c>
      <c r="CA190" s="86" t="e">
        <f t="shared" ca="1" si="1552"/>
        <v>#NAME?</v>
      </c>
      <c r="CB190" s="86" t="e">
        <f t="shared" ca="1" si="1552"/>
        <v>#NAME?</v>
      </c>
      <c r="CC190" s="86" t="e">
        <f t="shared" ca="1" si="1552"/>
        <v>#NAME?</v>
      </c>
      <c r="CD190" s="86" t="e">
        <f t="shared" ca="1" si="1552"/>
        <v>#NAME?</v>
      </c>
      <c r="CE190" s="86" t="e">
        <f t="shared" ca="1" si="1552"/>
        <v>#NAME?</v>
      </c>
      <c r="CF190" s="86" t="e">
        <f t="shared" ca="1" si="1552"/>
        <v>#NAME?</v>
      </c>
      <c r="CG190" s="86" t="e">
        <f t="shared" ca="1" si="1552"/>
        <v>#NAME?</v>
      </c>
      <c r="CH190" s="86" t="e">
        <f t="shared" ca="1" si="1552"/>
        <v>#NAME?</v>
      </c>
      <c r="CI190" s="86" t="e">
        <f t="shared" ca="1" si="1552"/>
        <v>#NAME?</v>
      </c>
      <c r="CJ190" s="86" t="e">
        <f ca="1">+CJ187/CF187-1</f>
        <v>#NAME?</v>
      </c>
      <c r="CK190" s="87"/>
      <c r="CL190" s="86" t="e">
        <f ca="1">+CL187/CH187-1</f>
        <v>#NAME?</v>
      </c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E190" s="141"/>
      <c r="DF190" s="86">
        <v>-1.9431162614276036</v>
      </c>
    </row>
    <row r="191" spans="1:110" s="103" customFormat="1" x14ac:dyDescent="0.2">
      <c r="A191" s="147" t="s">
        <v>87</v>
      </c>
      <c r="C191" s="103" t="e">
        <f ca="1">IF(C190&gt;C189,"RF",0)</f>
        <v>#NAME?</v>
      </c>
      <c r="D191" s="103" t="e">
        <f ca="1">IF(D190&gt;D189,"RF",0)</f>
        <v>#NAME?</v>
      </c>
      <c r="E191" s="103" t="e">
        <f t="shared" ref="E191:U191" ca="1" si="1553">IF(E190&gt;E189,"RF",0)</f>
        <v>#NAME?</v>
      </c>
      <c r="F191" s="103" t="e">
        <f t="shared" ca="1" si="1553"/>
        <v>#NAME?</v>
      </c>
      <c r="G191" s="103" t="e">
        <f t="shared" ca="1" si="1553"/>
        <v>#NAME?</v>
      </c>
      <c r="H191" s="103" t="e">
        <f t="shared" ca="1" si="1553"/>
        <v>#NAME?</v>
      </c>
      <c r="I191" s="103" t="e">
        <f t="shared" ca="1" si="1553"/>
        <v>#NAME?</v>
      </c>
      <c r="J191" s="103" t="e">
        <f t="shared" ca="1" si="1553"/>
        <v>#NAME?</v>
      </c>
      <c r="K191" s="103" t="e">
        <f t="shared" ca="1" si="1553"/>
        <v>#NAME?</v>
      </c>
      <c r="L191" s="103" t="e">
        <f t="shared" ca="1" si="1553"/>
        <v>#NAME?</v>
      </c>
      <c r="M191" s="103" t="e">
        <f t="shared" ca="1" si="1553"/>
        <v>#NAME?</v>
      </c>
      <c r="N191" s="103" t="e">
        <f t="shared" ca="1" si="1553"/>
        <v>#NAME?</v>
      </c>
      <c r="O191" s="103" t="e">
        <f t="shared" ca="1" si="1553"/>
        <v>#NAME?</v>
      </c>
      <c r="P191" s="103" t="e">
        <f t="shared" ca="1" si="1553"/>
        <v>#NAME?</v>
      </c>
      <c r="Q191" s="103" t="e">
        <f t="shared" ca="1" si="1553"/>
        <v>#NAME?</v>
      </c>
      <c r="R191" s="103" t="e">
        <f t="shared" ca="1" si="1553"/>
        <v>#NAME?</v>
      </c>
      <c r="S191" s="103" t="e">
        <f t="shared" ca="1" si="1553"/>
        <v>#NAME?</v>
      </c>
      <c r="T191" s="103" t="e">
        <f t="shared" ca="1" si="1553"/>
        <v>#NAME?</v>
      </c>
      <c r="U191" s="103" t="e">
        <f t="shared" ca="1" si="1553"/>
        <v>#NAME?</v>
      </c>
      <c r="V191" s="103" t="e">
        <f ca="1">IF(V190&gt;V189,"RF",0)</f>
        <v>#NAME?</v>
      </c>
      <c r="W191" s="103" t="e">
        <f t="shared" ref="W191" ca="1" si="1554">IF(W190&gt;W189,"RF",0)</f>
        <v>#NAME?</v>
      </c>
      <c r="X191" s="103" t="e">
        <f t="shared" ref="X191:Y191" ca="1" si="1555">IF(X190&gt;X189,"RF",0)</f>
        <v>#NAME?</v>
      </c>
      <c r="Y191" s="103" t="e">
        <f t="shared" ca="1" si="1555"/>
        <v>#NAME?</v>
      </c>
      <c r="Z191" s="103" t="e">
        <f t="shared" ref="Z191:AA191" ca="1" si="1556">IF(Z190&gt;Z189,"RF",0)</f>
        <v>#NAME?</v>
      </c>
      <c r="AA191" s="103" t="e">
        <f t="shared" ca="1" si="1556"/>
        <v>#NAME?</v>
      </c>
      <c r="AB191" s="73" t="e">
        <f t="shared" ref="AA191:AD191" ca="1" si="1557">IF(AB190&gt;AB189,"RF",0)</f>
        <v>#NAME?</v>
      </c>
      <c r="AC191" s="73" t="e">
        <f t="shared" ca="1" si="1557"/>
        <v>#NAME?</v>
      </c>
      <c r="AD191" s="73" t="e">
        <f t="shared" ca="1" si="1557"/>
        <v>#NAME?</v>
      </c>
      <c r="AE191" s="73" t="e">
        <f t="shared" ref="AE191" ca="1" si="1558">IF(AE190&gt;AE189,"RF",0)</f>
        <v>#NAME?</v>
      </c>
      <c r="CK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E191" s="142"/>
      <c r="DF191" s="103">
        <v>0</v>
      </c>
    </row>
    <row r="192" spans="1:110" x14ac:dyDescent="0.2">
      <c r="A192" s="153" t="s">
        <v>494</v>
      </c>
      <c r="AA192" s="2"/>
      <c r="CL192" s="2"/>
    </row>
    <row r="193" spans="1:110" x14ac:dyDescent="0.2">
      <c r="A193" s="152" t="s">
        <v>495</v>
      </c>
      <c r="AA193" s="2"/>
      <c r="CL193" s="2"/>
    </row>
    <row r="194" spans="1:110" s="23" customFormat="1" x14ac:dyDescent="0.2">
      <c r="A194" s="23" t="s">
        <v>22</v>
      </c>
      <c r="C194" s="23" t="e">
        <f t="shared" ref="C194:AE194" ca="1" si="1559">C48</f>
        <v>#NAME?</v>
      </c>
      <c r="D194" s="23" t="e">
        <f t="shared" ca="1" si="1559"/>
        <v>#NAME?</v>
      </c>
      <c r="E194" s="23" t="e">
        <f t="shared" ca="1" si="1559"/>
        <v>#NAME?</v>
      </c>
      <c r="F194" s="23" t="e">
        <f t="shared" ca="1" si="1559"/>
        <v>#NAME?</v>
      </c>
      <c r="G194" s="23" t="e">
        <f t="shared" ca="1" si="1559"/>
        <v>#NAME?</v>
      </c>
      <c r="H194" s="23" t="e">
        <f t="shared" ca="1" si="1559"/>
        <v>#NAME?</v>
      </c>
      <c r="I194" s="23" t="e">
        <f t="shared" ca="1" si="1559"/>
        <v>#NAME?</v>
      </c>
      <c r="J194" s="23" t="e">
        <f t="shared" ca="1" si="1559"/>
        <v>#NAME?</v>
      </c>
      <c r="K194" s="23" t="e">
        <f t="shared" ca="1" si="1559"/>
        <v>#NAME?</v>
      </c>
      <c r="L194" s="23" t="e">
        <f t="shared" ca="1" si="1559"/>
        <v>#NAME?</v>
      </c>
      <c r="M194" s="23" t="e">
        <f t="shared" ca="1" si="1559"/>
        <v>#NAME?</v>
      </c>
      <c r="N194" s="23" t="e">
        <f t="shared" ca="1" si="1559"/>
        <v>#NAME?</v>
      </c>
      <c r="O194" s="23" t="e">
        <f t="shared" ca="1" si="1559"/>
        <v>#NAME?</v>
      </c>
      <c r="P194" s="23" t="e">
        <f t="shared" ca="1" si="1559"/>
        <v>#NAME?</v>
      </c>
      <c r="Q194" s="23" t="e">
        <f t="shared" ca="1" si="1559"/>
        <v>#NAME?</v>
      </c>
      <c r="R194" s="23" t="e">
        <f t="shared" ca="1" si="1559"/>
        <v>#NAME?</v>
      </c>
      <c r="S194" s="23" t="e">
        <f t="shared" ca="1" si="1559"/>
        <v>#NAME?</v>
      </c>
      <c r="T194" s="23" t="e">
        <f t="shared" ca="1" si="1559"/>
        <v>#NAME?</v>
      </c>
      <c r="U194" s="23" t="e">
        <f t="shared" ca="1" si="1559"/>
        <v>#NAME?</v>
      </c>
      <c r="V194" s="23" t="e">
        <f t="shared" ca="1" si="1559"/>
        <v>#NAME?</v>
      </c>
      <c r="W194" s="23" t="e">
        <f t="shared" ca="1" si="1559"/>
        <v>#NAME?</v>
      </c>
      <c r="X194" s="23" t="e">
        <f t="shared" ca="1" si="1559"/>
        <v>#NAME?</v>
      </c>
      <c r="Y194" s="23" t="e">
        <f t="shared" ca="1" si="1559"/>
        <v>#NAME?</v>
      </c>
      <c r="Z194" s="23" t="e">
        <f t="shared" ca="1" si="1559"/>
        <v>#NAME?</v>
      </c>
      <c r="AA194" s="23" t="e">
        <f t="shared" ref="AA194" ca="1" si="1560">AA48</f>
        <v>#NAME?</v>
      </c>
      <c r="AB194" s="24" t="e">
        <f t="shared" ca="1" si="1559"/>
        <v>#NAME?</v>
      </c>
      <c r="AC194" s="24" t="e">
        <f t="shared" ca="1" si="1559"/>
        <v>#NAME?</v>
      </c>
      <c r="AD194" s="24" t="e">
        <f t="shared" ca="1" si="1559"/>
        <v>#NAME?</v>
      </c>
      <c r="AE194" s="24" t="e">
        <f t="shared" ca="1" si="1559"/>
        <v>#NAME?</v>
      </c>
      <c r="AI194" s="23" t="e">
        <f t="shared" ref="AI194:BN194" ca="1" si="1561">AI48</f>
        <v>#NAME?</v>
      </c>
      <c r="AJ194" s="23" t="e">
        <f t="shared" ca="1" si="1561"/>
        <v>#NAME?</v>
      </c>
      <c r="AK194" s="23" t="e">
        <f t="shared" ca="1" si="1561"/>
        <v>#NAME?</v>
      </c>
      <c r="AL194" s="23" t="e">
        <f t="shared" ca="1" si="1561"/>
        <v>#NAME?</v>
      </c>
      <c r="AM194" s="23" t="e">
        <f t="shared" ca="1" si="1561"/>
        <v>#NAME?</v>
      </c>
      <c r="AN194" s="23" t="e">
        <f t="shared" ca="1" si="1561"/>
        <v>#NAME?</v>
      </c>
      <c r="AO194" s="23" t="e">
        <f t="shared" ca="1" si="1561"/>
        <v>#NAME?</v>
      </c>
      <c r="AP194" s="23" t="e">
        <f t="shared" ca="1" si="1561"/>
        <v>#NAME?</v>
      </c>
      <c r="AQ194" s="23" t="e">
        <f t="shared" ca="1" si="1561"/>
        <v>#NAME?</v>
      </c>
      <c r="AR194" s="23" t="e">
        <f t="shared" ca="1" si="1561"/>
        <v>#NAME?</v>
      </c>
      <c r="AS194" s="23" t="e">
        <f t="shared" ca="1" si="1561"/>
        <v>#NAME?</v>
      </c>
      <c r="AT194" s="23" t="e">
        <f t="shared" ca="1" si="1561"/>
        <v>#NAME?</v>
      </c>
      <c r="AU194" s="23" t="e">
        <f t="shared" ca="1" si="1561"/>
        <v>#NAME?</v>
      </c>
      <c r="AV194" s="23" t="e">
        <f t="shared" ca="1" si="1561"/>
        <v>#NAME?</v>
      </c>
      <c r="AW194" s="23" t="e">
        <f t="shared" ca="1" si="1561"/>
        <v>#NAME?</v>
      </c>
      <c r="AX194" s="23" t="e">
        <f t="shared" ca="1" si="1561"/>
        <v>#NAME?</v>
      </c>
      <c r="AY194" s="23" t="e">
        <f t="shared" ca="1" si="1561"/>
        <v>#NAME?</v>
      </c>
      <c r="AZ194" s="23" t="e">
        <f t="shared" ca="1" si="1561"/>
        <v>#NAME?</v>
      </c>
      <c r="BA194" s="23" t="e">
        <f t="shared" ca="1" si="1561"/>
        <v>#NAME?</v>
      </c>
      <c r="BB194" s="23" t="e">
        <f t="shared" ca="1" si="1561"/>
        <v>#NAME?</v>
      </c>
      <c r="BC194" s="23" t="e">
        <f t="shared" ca="1" si="1561"/>
        <v>#NAME?</v>
      </c>
      <c r="BD194" s="23" t="e">
        <f t="shared" ca="1" si="1561"/>
        <v>#NAME?</v>
      </c>
      <c r="BE194" s="23" t="e">
        <f t="shared" ca="1" si="1561"/>
        <v>#NAME?</v>
      </c>
      <c r="BF194" s="23" t="e">
        <f t="shared" ca="1" si="1561"/>
        <v>#NAME?</v>
      </c>
      <c r="BG194" s="23" t="e">
        <f t="shared" ca="1" si="1561"/>
        <v>#NAME?</v>
      </c>
      <c r="BH194" s="23" t="e">
        <f t="shared" ca="1" si="1561"/>
        <v>#NAME?</v>
      </c>
      <c r="BI194" s="23" t="e">
        <f t="shared" ca="1" si="1561"/>
        <v>#NAME?</v>
      </c>
      <c r="BJ194" s="23" t="e">
        <f t="shared" ca="1" si="1561"/>
        <v>#NAME?</v>
      </c>
      <c r="BK194" s="23" t="e">
        <f t="shared" ca="1" si="1561"/>
        <v>#NAME?</v>
      </c>
      <c r="BL194" s="23" t="e">
        <f t="shared" ca="1" si="1561"/>
        <v>#NAME?</v>
      </c>
      <c r="BM194" s="23" t="e">
        <f t="shared" ca="1" si="1561"/>
        <v>#NAME?</v>
      </c>
      <c r="BN194" s="23" t="e">
        <f t="shared" ca="1" si="1561"/>
        <v>#NAME?</v>
      </c>
      <c r="BO194" s="23" t="e">
        <f t="shared" ref="BO194:CT194" ca="1" si="1562">BO48</f>
        <v>#NAME?</v>
      </c>
      <c r="BP194" s="23" t="e">
        <f t="shared" ca="1" si="1562"/>
        <v>#NAME?</v>
      </c>
      <c r="BQ194" s="23" t="e">
        <f t="shared" ca="1" si="1562"/>
        <v>#NAME?</v>
      </c>
      <c r="BR194" s="23" t="e">
        <f t="shared" ca="1" si="1562"/>
        <v>#NAME?</v>
      </c>
      <c r="BS194" s="23" t="e">
        <f t="shared" ca="1" si="1562"/>
        <v>#NAME?</v>
      </c>
      <c r="BT194" s="23" t="e">
        <f t="shared" ca="1" si="1562"/>
        <v>#NAME?</v>
      </c>
      <c r="BU194" s="23" t="e">
        <f t="shared" ca="1" si="1562"/>
        <v>#NAME?</v>
      </c>
      <c r="BV194" s="23" t="e">
        <f t="shared" ca="1" si="1562"/>
        <v>#NAME?</v>
      </c>
      <c r="BW194" s="23" t="e">
        <f t="shared" ca="1" si="1562"/>
        <v>#NAME?</v>
      </c>
      <c r="BX194" s="23" t="e">
        <f t="shared" ca="1" si="1562"/>
        <v>#NAME?</v>
      </c>
      <c r="BY194" s="23" t="e">
        <f t="shared" ca="1" si="1562"/>
        <v>#NAME?</v>
      </c>
      <c r="BZ194" s="23" t="e">
        <f t="shared" ca="1" si="1562"/>
        <v>#NAME?</v>
      </c>
      <c r="CA194" s="23" t="e">
        <f t="shared" ca="1" si="1562"/>
        <v>#NAME?</v>
      </c>
      <c r="CB194" s="23" t="e">
        <f t="shared" ca="1" si="1562"/>
        <v>#NAME?</v>
      </c>
      <c r="CC194" s="23" t="e">
        <f t="shared" ca="1" si="1562"/>
        <v>#NAME?</v>
      </c>
      <c r="CD194" s="23" t="e">
        <f t="shared" ca="1" si="1562"/>
        <v>#NAME?</v>
      </c>
      <c r="CE194" s="23" t="e">
        <f t="shared" ca="1" si="1562"/>
        <v>#NAME?</v>
      </c>
      <c r="CF194" s="23" t="e">
        <f t="shared" ca="1" si="1562"/>
        <v>#NAME?</v>
      </c>
      <c r="CG194" s="23" t="e">
        <f t="shared" ca="1" si="1562"/>
        <v>#NAME?</v>
      </c>
      <c r="CH194" s="23" t="e">
        <f t="shared" ca="1" si="1562"/>
        <v>#NAME?</v>
      </c>
      <c r="CI194" s="23" t="e">
        <f t="shared" ca="1" si="1562"/>
        <v>#NAME?</v>
      </c>
      <c r="CJ194" s="23" t="e">
        <f t="shared" ca="1" si="1562"/>
        <v>#NAME?</v>
      </c>
      <c r="CK194" s="24" t="e">
        <f t="shared" ca="1" si="1562"/>
        <v>#NAME?</v>
      </c>
      <c r="CL194" s="23" t="e">
        <f t="shared" ref="CL194" ca="1" si="1563">CL48</f>
        <v>#NAME?</v>
      </c>
      <c r="CM194" s="24" t="e">
        <f t="shared" ca="1" si="1562"/>
        <v>#NAME?</v>
      </c>
      <c r="CN194" s="24" t="e">
        <f t="shared" ca="1" si="1562"/>
        <v>#NAME?</v>
      </c>
      <c r="CO194" s="24" t="e">
        <f t="shared" ca="1" si="1562"/>
        <v>#NAME?</v>
      </c>
      <c r="CP194" s="24" t="e">
        <f t="shared" ca="1" si="1562"/>
        <v>#NAME?</v>
      </c>
      <c r="CQ194" s="24" t="e">
        <f t="shared" ca="1" si="1562"/>
        <v>#NAME?</v>
      </c>
      <c r="CR194" s="24" t="e">
        <f t="shared" ca="1" si="1562"/>
        <v>#NAME?</v>
      </c>
      <c r="CS194" s="24" t="e">
        <f t="shared" ca="1" si="1562"/>
        <v>#NAME?</v>
      </c>
      <c r="CT194" s="24" t="e">
        <f t="shared" ca="1" si="1562"/>
        <v>#NAME?</v>
      </c>
      <c r="CU194" s="24" t="e">
        <f t="shared" ref="CU194:DB194" ca="1" si="1564">CU48</f>
        <v>#NAME?</v>
      </c>
      <c r="CV194" s="24" t="e">
        <f t="shared" ca="1" si="1564"/>
        <v>#NAME?</v>
      </c>
      <c r="CW194" s="24" t="e">
        <f t="shared" ca="1" si="1564"/>
        <v>#NAME?</v>
      </c>
      <c r="CX194" s="24" t="e">
        <f t="shared" ca="1" si="1564"/>
        <v>#NAME?</v>
      </c>
      <c r="CY194" s="24" t="e">
        <f t="shared" ca="1" si="1564"/>
        <v>#NAME?</v>
      </c>
      <c r="CZ194" s="24" t="e">
        <f t="shared" ca="1" si="1564"/>
        <v>#NAME?</v>
      </c>
      <c r="DA194" s="24" t="e">
        <f t="shared" ca="1" si="1564"/>
        <v>#NAME?</v>
      </c>
      <c r="DB194" s="24" t="e">
        <f t="shared" ca="1" si="1564"/>
        <v>#NAME?</v>
      </c>
      <c r="DE194" s="123"/>
      <c r="DF194" s="23">
        <v>9339.4699999999921</v>
      </c>
    </row>
    <row r="195" spans="1:110" s="23" customFormat="1" x14ac:dyDescent="0.2">
      <c r="A195" s="23" t="s">
        <v>88</v>
      </c>
      <c r="C195" s="23" t="e">
        <f t="shared" ref="C195:AE195" ca="1" si="1565">C32</f>
        <v>#NAME?</v>
      </c>
      <c r="D195" s="23" t="e">
        <f t="shared" ca="1" si="1565"/>
        <v>#NAME?</v>
      </c>
      <c r="E195" s="23" t="e">
        <f t="shared" ca="1" si="1565"/>
        <v>#NAME?</v>
      </c>
      <c r="F195" s="23" t="e">
        <f t="shared" ca="1" si="1565"/>
        <v>#NAME?</v>
      </c>
      <c r="G195" s="23" t="e">
        <f t="shared" ca="1" si="1565"/>
        <v>#NAME?</v>
      </c>
      <c r="H195" s="23" t="e">
        <f t="shared" ca="1" si="1565"/>
        <v>#NAME?</v>
      </c>
      <c r="I195" s="23" t="e">
        <f t="shared" ca="1" si="1565"/>
        <v>#NAME?</v>
      </c>
      <c r="J195" s="23" t="e">
        <f t="shared" ca="1" si="1565"/>
        <v>#NAME?</v>
      </c>
      <c r="K195" s="23" t="e">
        <f t="shared" ca="1" si="1565"/>
        <v>#NAME?</v>
      </c>
      <c r="L195" s="23" t="e">
        <f t="shared" ca="1" si="1565"/>
        <v>#NAME?</v>
      </c>
      <c r="M195" s="23" t="e">
        <f t="shared" ca="1" si="1565"/>
        <v>#NAME?</v>
      </c>
      <c r="N195" s="23" t="e">
        <f t="shared" ca="1" si="1565"/>
        <v>#NAME?</v>
      </c>
      <c r="O195" s="23" t="e">
        <f t="shared" ca="1" si="1565"/>
        <v>#NAME?</v>
      </c>
      <c r="P195" s="23" t="e">
        <f t="shared" ca="1" si="1565"/>
        <v>#NAME?</v>
      </c>
      <c r="Q195" s="23" t="e">
        <f t="shared" ca="1" si="1565"/>
        <v>#NAME?</v>
      </c>
      <c r="R195" s="23" t="e">
        <f t="shared" ca="1" si="1565"/>
        <v>#NAME?</v>
      </c>
      <c r="S195" s="23" t="e">
        <f t="shared" ca="1" si="1565"/>
        <v>#NAME?</v>
      </c>
      <c r="T195" s="23" t="e">
        <f t="shared" ca="1" si="1565"/>
        <v>#NAME?</v>
      </c>
      <c r="U195" s="23" t="e">
        <f t="shared" ca="1" si="1565"/>
        <v>#NAME?</v>
      </c>
      <c r="V195" s="23" t="e">
        <f t="shared" ca="1" si="1565"/>
        <v>#NAME?</v>
      </c>
      <c r="W195" s="23" t="e">
        <f t="shared" ca="1" si="1565"/>
        <v>#NAME?</v>
      </c>
      <c r="X195" s="23" t="e">
        <f t="shared" ca="1" si="1565"/>
        <v>#NAME?</v>
      </c>
      <c r="Y195" s="23" t="e">
        <f t="shared" ca="1" si="1565"/>
        <v>#NAME?</v>
      </c>
      <c r="Z195" s="23" t="e">
        <f t="shared" ca="1" si="1565"/>
        <v>#NAME?</v>
      </c>
      <c r="AA195" s="23" t="e">
        <f t="shared" ref="AA195" ca="1" si="1566">AA32</f>
        <v>#NAME?</v>
      </c>
      <c r="AB195" s="24" t="e">
        <f t="shared" ca="1" si="1565"/>
        <v>#NAME?</v>
      </c>
      <c r="AC195" s="24" t="e">
        <f t="shared" ca="1" si="1565"/>
        <v>#NAME?</v>
      </c>
      <c r="AD195" s="24" t="e">
        <f t="shared" ca="1" si="1565"/>
        <v>#NAME?</v>
      </c>
      <c r="AE195" s="24" t="e">
        <f t="shared" ca="1" si="1565"/>
        <v>#NAME?</v>
      </c>
      <c r="AI195" s="23" t="e">
        <f t="shared" ref="AI195:BN195" ca="1" si="1567">AI32</f>
        <v>#NAME?</v>
      </c>
      <c r="AJ195" s="23" t="e">
        <f t="shared" ca="1" si="1567"/>
        <v>#NAME?</v>
      </c>
      <c r="AK195" s="23" t="e">
        <f t="shared" ca="1" si="1567"/>
        <v>#NAME?</v>
      </c>
      <c r="AL195" s="23" t="e">
        <f t="shared" ca="1" si="1567"/>
        <v>#NAME?</v>
      </c>
      <c r="AM195" s="23" t="e">
        <f t="shared" ca="1" si="1567"/>
        <v>#NAME?</v>
      </c>
      <c r="AN195" s="23" t="e">
        <f t="shared" ca="1" si="1567"/>
        <v>#NAME?</v>
      </c>
      <c r="AO195" s="23" t="e">
        <f t="shared" ca="1" si="1567"/>
        <v>#NAME?</v>
      </c>
      <c r="AP195" s="23" t="e">
        <f t="shared" ca="1" si="1567"/>
        <v>#NAME?</v>
      </c>
      <c r="AQ195" s="23" t="e">
        <f t="shared" ca="1" si="1567"/>
        <v>#NAME?</v>
      </c>
      <c r="AR195" s="23" t="e">
        <f t="shared" ca="1" si="1567"/>
        <v>#NAME?</v>
      </c>
      <c r="AS195" s="23" t="e">
        <f t="shared" ca="1" si="1567"/>
        <v>#NAME?</v>
      </c>
      <c r="AT195" s="23" t="e">
        <f t="shared" ca="1" si="1567"/>
        <v>#NAME?</v>
      </c>
      <c r="AU195" s="23" t="e">
        <f t="shared" ca="1" si="1567"/>
        <v>#NAME?</v>
      </c>
      <c r="AV195" s="23" t="e">
        <f t="shared" ca="1" si="1567"/>
        <v>#NAME?</v>
      </c>
      <c r="AW195" s="23" t="e">
        <f t="shared" ca="1" si="1567"/>
        <v>#NAME?</v>
      </c>
      <c r="AX195" s="23" t="e">
        <f t="shared" ca="1" si="1567"/>
        <v>#NAME?</v>
      </c>
      <c r="AY195" s="23" t="e">
        <f t="shared" ca="1" si="1567"/>
        <v>#NAME?</v>
      </c>
      <c r="AZ195" s="23" t="e">
        <f t="shared" ca="1" si="1567"/>
        <v>#NAME?</v>
      </c>
      <c r="BA195" s="23" t="e">
        <f t="shared" ca="1" si="1567"/>
        <v>#NAME?</v>
      </c>
      <c r="BB195" s="23" t="e">
        <f t="shared" ca="1" si="1567"/>
        <v>#NAME?</v>
      </c>
      <c r="BC195" s="23" t="e">
        <f t="shared" ca="1" si="1567"/>
        <v>#NAME?</v>
      </c>
      <c r="BD195" s="23" t="e">
        <f t="shared" ca="1" si="1567"/>
        <v>#NAME?</v>
      </c>
      <c r="BE195" s="23" t="e">
        <f t="shared" ca="1" si="1567"/>
        <v>#NAME?</v>
      </c>
      <c r="BF195" s="23" t="e">
        <f t="shared" ca="1" si="1567"/>
        <v>#NAME?</v>
      </c>
      <c r="BG195" s="23" t="e">
        <f t="shared" ca="1" si="1567"/>
        <v>#NAME?</v>
      </c>
      <c r="BH195" s="23" t="e">
        <f t="shared" ca="1" si="1567"/>
        <v>#NAME?</v>
      </c>
      <c r="BI195" s="23" t="e">
        <f t="shared" ca="1" si="1567"/>
        <v>#NAME?</v>
      </c>
      <c r="BJ195" s="23" t="e">
        <f t="shared" ca="1" si="1567"/>
        <v>#NAME?</v>
      </c>
      <c r="BK195" s="23" t="e">
        <f t="shared" ca="1" si="1567"/>
        <v>#NAME?</v>
      </c>
      <c r="BL195" s="23" t="e">
        <f t="shared" ca="1" si="1567"/>
        <v>#NAME?</v>
      </c>
      <c r="BM195" s="23" t="e">
        <f t="shared" ca="1" si="1567"/>
        <v>#NAME?</v>
      </c>
      <c r="BN195" s="23" t="e">
        <f t="shared" ca="1" si="1567"/>
        <v>#NAME?</v>
      </c>
      <c r="BO195" s="23" t="e">
        <f t="shared" ref="BO195:CT195" ca="1" si="1568">BO32</f>
        <v>#NAME?</v>
      </c>
      <c r="BP195" s="23" t="e">
        <f t="shared" ca="1" si="1568"/>
        <v>#NAME?</v>
      </c>
      <c r="BQ195" s="23" t="e">
        <f t="shared" ca="1" si="1568"/>
        <v>#NAME?</v>
      </c>
      <c r="BR195" s="23" t="e">
        <f t="shared" ca="1" si="1568"/>
        <v>#NAME?</v>
      </c>
      <c r="BS195" s="23" t="e">
        <f t="shared" ca="1" si="1568"/>
        <v>#NAME?</v>
      </c>
      <c r="BT195" s="23" t="e">
        <f t="shared" ca="1" si="1568"/>
        <v>#NAME?</v>
      </c>
      <c r="BU195" s="23" t="e">
        <f t="shared" ca="1" si="1568"/>
        <v>#NAME?</v>
      </c>
      <c r="BV195" s="23" t="e">
        <f t="shared" ca="1" si="1568"/>
        <v>#NAME?</v>
      </c>
      <c r="BW195" s="23" t="e">
        <f t="shared" ca="1" si="1568"/>
        <v>#NAME?</v>
      </c>
      <c r="BX195" s="23" t="e">
        <f t="shared" ca="1" si="1568"/>
        <v>#NAME?</v>
      </c>
      <c r="BY195" s="23" t="e">
        <f t="shared" ca="1" si="1568"/>
        <v>#NAME?</v>
      </c>
      <c r="BZ195" s="23" t="e">
        <f t="shared" ca="1" si="1568"/>
        <v>#NAME?</v>
      </c>
      <c r="CA195" s="23" t="e">
        <f t="shared" ca="1" si="1568"/>
        <v>#NAME?</v>
      </c>
      <c r="CB195" s="23" t="e">
        <f t="shared" ca="1" si="1568"/>
        <v>#NAME?</v>
      </c>
      <c r="CC195" s="23" t="e">
        <f t="shared" ca="1" si="1568"/>
        <v>#NAME?</v>
      </c>
      <c r="CD195" s="23" t="e">
        <f t="shared" ca="1" si="1568"/>
        <v>#NAME?</v>
      </c>
      <c r="CE195" s="23" t="e">
        <f t="shared" ca="1" si="1568"/>
        <v>#NAME?</v>
      </c>
      <c r="CF195" s="23" t="e">
        <f t="shared" ca="1" si="1568"/>
        <v>#NAME?</v>
      </c>
      <c r="CG195" s="23" t="e">
        <f t="shared" ca="1" si="1568"/>
        <v>#NAME?</v>
      </c>
      <c r="CH195" s="23" t="e">
        <f t="shared" ca="1" si="1568"/>
        <v>#NAME?</v>
      </c>
      <c r="CI195" s="23" t="e">
        <f t="shared" ca="1" si="1568"/>
        <v>#NAME?</v>
      </c>
      <c r="CJ195" s="23" t="e">
        <f t="shared" ca="1" si="1568"/>
        <v>#NAME?</v>
      </c>
      <c r="CK195" s="24" t="e">
        <f t="shared" ca="1" si="1568"/>
        <v>#NAME?</v>
      </c>
      <c r="CL195" s="23" t="e">
        <f t="shared" ref="CL195" ca="1" si="1569">CL32</f>
        <v>#NAME?</v>
      </c>
      <c r="CM195" s="24" t="e">
        <f t="shared" ca="1" si="1568"/>
        <v>#NAME?</v>
      </c>
      <c r="CN195" s="24" t="e">
        <f t="shared" ca="1" si="1568"/>
        <v>#NAME?</v>
      </c>
      <c r="CO195" s="24" t="e">
        <f t="shared" ca="1" si="1568"/>
        <v>#NAME?</v>
      </c>
      <c r="CP195" s="24" t="e">
        <f t="shared" ca="1" si="1568"/>
        <v>#NAME?</v>
      </c>
      <c r="CQ195" s="24" t="e">
        <f t="shared" ca="1" si="1568"/>
        <v>#NAME?</v>
      </c>
      <c r="CR195" s="24" t="e">
        <f t="shared" ca="1" si="1568"/>
        <v>#NAME?</v>
      </c>
      <c r="CS195" s="24" t="e">
        <f t="shared" ca="1" si="1568"/>
        <v>#NAME?</v>
      </c>
      <c r="CT195" s="24" t="e">
        <f t="shared" ca="1" si="1568"/>
        <v>#NAME?</v>
      </c>
      <c r="CU195" s="24" t="e">
        <f t="shared" ref="CU195:DB195" ca="1" si="1570">CU32</f>
        <v>#NAME?</v>
      </c>
      <c r="CV195" s="24" t="e">
        <f t="shared" ca="1" si="1570"/>
        <v>#NAME?</v>
      </c>
      <c r="CW195" s="24" t="e">
        <f t="shared" ca="1" si="1570"/>
        <v>#NAME?</v>
      </c>
      <c r="CX195" s="24" t="e">
        <f t="shared" ca="1" si="1570"/>
        <v>#NAME?</v>
      </c>
      <c r="CY195" s="24" t="e">
        <f t="shared" ca="1" si="1570"/>
        <v>#NAME?</v>
      </c>
      <c r="CZ195" s="24" t="e">
        <f t="shared" ca="1" si="1570"/>
        <v>#NAME?</v>
      </c>
      <c r="DA195" s="24" t="e">
        <f t="shared" ca="1" si="1570"/>
        <v>#NAME?</v>
      </c>
      <c r="DB195" s="24" t="e">
        <f t="shared" ca="1" si="1570"/>
        <v>#NAME?</v>
      </c>
      <c r="DE195" s="123"/>
      <c r="DF195" s="23">
        <v>6135.34</v>
      </c>
    </row>
    <row r="196" spans="1:110" s="22" customFormat="1" x14ac:dyDescent="0.2">
      <c r="A196" s="22" t="s">
        <v>89</v>
      </c>
      <c r="C196" s="22" t="e">
        <f t="shared" ref="C196:W196" ca="1" si="1571">C194+C195</f>
        <v>#NAME?</v>
      </c>
      <c r="D196" s="22" t="e">
        <f t="shared" ca="1" si="1571"/>
        <v>#NAME?</v>
      </c>
      <c r="E196" s="22" t="e">
        <f t="shared" ca="1" si="1571"/>
        <v>#NAME?</v>
      </c>
      <c r="F196" s="22" t="e">
        <f t="shared" ca="1" si="1571"/>
        <v>#NAME?</v>
      </c>
      <c r="G196" s="22" t="e">
        <f t="shared" ca="1" si="1571"/>
        <v>#NAME?</v>
      </c>
      <c r="H196" s="22" t="e">
        <f t="shared" ca="1" si="1571"/>
        <v>#NAME?</v>
      </c>
      <c r="I196" s="22" t="e">
        <f t="shared" ca="1" si="1571"/>
        <v>#NAME?</v>
      </c>
      <c r="J196" s="22" t="e">
        <f t="shared" ca="1" si="1571"/>
        <v>#NAME?</v>
      </c>
      <c r="K196" s="22" t="e">
        <f t="shared" ca="1" si="1571"/>
        <v>#NAME?</v>
      </c>
      <c r="L196" s="22" t="e">
        <f t="shared" ca="1" si="1571"/>
        <v>#NAME?</v>
      </c>
      <c r="M196" s="22" t="e">
        <f t="shared" ca="1" si="1571"/>
        <v>#NAME?</v>
      </c>
      <c r="N196" s="22" t="e">
        <f t="shared" ca="1" si="1571"/>
        <v>#NAME?</v>
      </c>
      <c r="O196" s="22" t="e">
        <f t="shared" ca="1" si="1571"/>
        <v>#NAME?</v>
      </c>
      <c r="P196" s="22" t="e">
        <f t="shared" ca="1" si="1571"/>
        <v>#NAME?</v>
      </c>
      <c r="Q196" s="22" t="e">
        <f t="shared" ca="1" si="1571"/>
        <v>#NAME?</v>
      </c>
      <c r="R196" s="22" t="e">
        <f t="shared" ca="1" si="1571"/>
        <v>#NAME?</v>
      </c>
      <c r="S196" s="22" t="e">
        <f t="shared" ca="1" si="1571"/>
        <v>#NAME?</v>
      </c>
      <c r="T196" s="22" t="e">
        <f t="shared" ca="1" si="1571"/>
        <v>#NAME?</v>
      </c>
      <c r="U196" s="22" t="e">
        <f t="shared" ca="1" si="1571"/>
        <v>#NAME?</v>
      </c>
      <c r="V196" s="22" t="e">
        <f t="shared" ca="1" si="1571"/>
        <v>#NAME?</v>
      </c>
      <c r="W196" s="22" t="e">
        <f t="shared" ca="1" si="1571"/>
        <v>#NAME?</v>
      </c>
      <c r="X196" s="22" t="e">
        <f t="shared" ref="X196:Y196" ca="1" si="1572">X194+X195</f>
        <v>#NAME?</v>
      </c>
      <c r="Y196" s="22" t="e">
        <f t="shared" ca="1" si="1572"/>
        <v>#NAME?</v>
      </c>
      <c r="Z196" s="22" t="e">
        <f t="shared" ref="Z196:AA196" ca="1" si="1573">Z194+Z195</f>
        <v>#NAME?</v>
      </c>
      <c r="AA196" s="22" t="e">
        <f t="shared" ca="1" si="1573"/>
        <v>#NAME?</v>
      </c>
      <c r="AB196" s="21" t="e">
        <f t="shared" ref="AA196:AD196" ca="1" si="1574">AB194+AB195</f>
        <v>#NAME?</v>
      </c>
      <c r="AC196" s="21" t="e">
        <f t="shared" ca="1" si="1574"/>
        <v>#NAME?</v>
      </c>
      <c r="AD196" s="21" t="e">
        <f t="shared" ca="1" si="1574"/>
        <v>#NAME?</v>
      </c>
      <c r="AE196" s="21" t="e">
        <f t="shared" ref="AE196" ca="1" si="1575">AE194+AE195</f>
        <v>#NAME?</v>
      </c>
      <c r="AI196" s="22" t="e">
        <f t="shared" ref="AI196" ca="1" si="1576">AI194+AI195</f>
        <v>#NAME?</v>
      </c>
      <c r="AJ196" s="22" t="e">
        <f t="shared" ref="AJ196:AL196" ca="1" si="1577">AJ194+AJ195</f>
        <v>#NAME?</v>
      </c>
      <c r="AK196" s="22" t="e">
        <f t="shared" ca="1" si="1577"/>
        <v>#NAME?</v>
      </c>
      <c r="AL196" s="22" t="e">
        <f t="shared" ca="1" si="1577"/>
        <v>#NAME?</v>
      </c>
      <c r="AM196" s="22" t="e">
        <f t="shared" ref="AM196" ca="1" si="1578">AM194+AM195</f>
        <v>#NAME?</v>
      </c>
      <c r="AN196" s="22" t="e">
        <f t="shared" ref="AN196:CD196" ca="1" si="1579">AN194+AN195</f>
        <v>#NAME?</v>
      </c>
      <c r="AO196" s="22" t="e">
        <f t="shared" ca="1" si="1579"/>
        <v>#NAME?</v>
      </c>
      <c r="AP196" s="22" t="e">
        <f t="shared" ca="1" si="1579"/>
        <v>#NAME?</v>
      </c>
      <c r="AQ196" s="22" t="e">
        <f t="shared" ca="1" si="1579"/>
        <v>#NAME?</v>
      </c>
      <c r="AR196" s="22" t="e">
        <f t="shared" ca="1" si="1579"/>
        <v>#NAME?</v>
      </c>
      <c r="AS196" s="22" t="e">
        <f t="shared" ca="1" si="1579"/>
        <v>#NAME?</v>
      </c>
      <c r="AT196" s="22" t="e">
        <f t="shared" ca="1" si="1579"/>
        <v>#NAME?</v>
      </c>
      <c r="AU196" s="22" t="e">
        <f t="shared" ca="1" si="1579"/>
        <v>#NAME?</v>
      </c>
      <c r="AV196" s="22" t="e">
        <f t="shared" ca="1" si="1579"/>
        <v>#NAME?</v>
      </c>
      <c r="AW196" s="22" t="e">
        <f t="shared" ca="1" si="1579"/>
        <v>#NAME?</v>
      </c>
      <c r="AX196" s="22" t="e">
        <f t="shared" ca="1" si="1579"/>
        <v>#NAME?</v>
      </c>
      <c r="AY196" s="22" t="e">
        <f t="shared" ca="1" si="1579"/>
        <v>#NAME?</v>
      </c>
      <c r="AZ196" s="22" t="e">
        <f t="shared" ca="1" si="1579"/>
        <v>#NAME?</v>
      </c>
      <c r="BA196" s="22" t="e">
        <f t="shared" ca="1" si="1579"/>
        <v>#NAME?</v>
      </c>
      <c r="BB196" s="22" t="e">
        <f t="shared" ca="1" si="1579"/>
        <v>#NAME?</v>
      </c>
      <c r="BC196" s="22" t="e">
        <f t="shared" ca="1" si="1579"/>
        <v>#NAME?</v>
      </c>
      <c r="BD196" s="22" t="e">
        <f t="shared" ca="1" si="1579"/>
        <v>#NAME?</v>
      </c>
      <c r="BE196" s="22" t="e">
        <f t="shared" ca="1" si="1579"/>
        <v>#NAME?</v>
      </c>
      <c r="BF196" s="22" t="e">
        <f t="shared" ca="1" si="1579"/>
        <v>#NAME?</v>
      </c>
      <c r="BG196" s="22" t="e">
        <f t="shared" ca="1" si="1579"/>
        <v>#NAME?</v>
      </c>
      <c r="BH196" s="22" t="e">
        <f t="shared" ca="1" si="1579"/>
        <v>#NAME?</v>
      </c>
      <c r="BI196" s="22" t="e">
        <f t="shared" ca="1" si="1579"/>
        <v>#NAME?</v>
      </c>
      <c r="BJ196" s="22" t="e">
        <f t="shared" ca="1" si="1579"/>
        <v>#NAME?</v>
      </c>
      <c r="BK196" s="22" t="e">
        <f t="shared" ca="1" si="1579"/>
        <v>#NAME?</v>
      </c>
      <c r="BL196" s="22" t="e">
        <f t="shared" ca="1" si="1579"/>
        <v>#NAME?</v>
      </c>
      <c r="BM196" s="22" t="e">
        <f t="shared" ca="1" si="1579"/>
        <v>#NAME?</v>
      </c>
      <c r="BN196" s="22" t="e">
        <f t="shared" ca="1" si="1579"/>
        <v>#NAME?</v>
      </c>
      <c r="BO196" s="22" t="e">
        <f t="shared" ca="1" si="1579"/>
        <v>#NAME?</v>
      </c>
      <c r="BP196" s="22" t="e">
        <f t="shared" ca="1" si="1579"/>
        <v>#NAME?</v>
      </c>
      <c r="BQ196" s="22" t="e">
        <f t="shared" ca="1" si="1579"/>
        <v>#NAME?</v>
      </c>
      <c r="BR196" s="22" t="e">
        <f t="shared" ca="1" si="1579"/>
        <v>#NAME?</v>
      </c>
      <c r="BS196" s="22" t="e">
        <f t="shared" ca="1" si="1579"/>
        <v>#NAME?</v>
      </c>
      <c r="BT196" s="22" t="e">
        <f t="shared" ca="1" si="1579"/>
        <v>#NAME?</v>
      </c>
      <c r="BU196" s="22" t="e">
        <f t="shared" ca="1" si="1579"/>
        <v>#NAME?</v>
      </c>
      <c r="BV196" s="22" t="e">
        <f t="shared" ca="1" si="1579"/>
        <v>#NAME?</v>
      </c>
      <c r="BW196" s="22" t="e">
        <f t="shared" ca="1" si="1579"/>
        <v>#NAME?</v>
      </c>
      <c r="BX196" s="22" t="e">
        <f t="shared" ca="1" si="1579"/>
        <v>#NAME?</v>
      </c>
      <c r="BY196" s="22" t="e">
        <f t="shared" ca="1" si="1579"/>
        <v>#NAME?</v>
      </c>
      <c r="BZ196" s="22" t="e">
        <f t="shared" ca="1" si="1579"/>
        <v>#NAME?</v>
      </c>
      <c r="CA196" s="22" t="e">
        <f t="shared" ca="1" si="1579"/>
        <v>#NAME?</v>
      </c>
      <c r="CB196" s="22" t="e">
        <f t="shared" ca="1" si="1579"/>
        <v>#NAME?</v>
      </c>
      <c r="CC196" s="22" t="e">
        <f t="shared" ca="1" si="1579"/>
        <v>#NAME?</v>
      </c>
      <c r="CD196" s="22" t="e">
        <f t="shared" ca="1" si="1579"/>
        <v>#NAME?</v>
      </c>
      <c r="CE196" s="22" t="e">
        <f t="shared" ref="CE196:CF196" ca="1" si="1580">CE194+CE195</f>
        <v>#NAME?</v>
      </c>
      <c r="CF196" s="22" t="e">
        <f t="shared" ca="1" si="1580"/>
        <v>#NAME?</v>
      </c>
      <c r="CG196" s="22" t="e">
        <f t="shared" ref="CG196:CH196" ca="1" si="1581">CG194+CG195</f>
        <v>#NAME?</v>
      </c>
      <c r="CH196" s="22" t="e">
        <f t="shared" ca="1" si="1581"/>
        <v>#NAME?</v>
      </c>
      <c r="CI196" s="22" t="e">
        <f t="shared" ref="CI196:CJ196" ca="1" si="1582">CI194+CI195</f>
        <v>#NAME?</v>
      </c>
      <c r="CJ196" s="22" t="e">
        <f t="shared" ca="1" si="1582"/>
        <v>#NAME?</v>
      </c>
      <c r="CK196" s="21" t="e">
        <f t="shared" ref="CK196:DB196" ca="1" si="1583">CK194+CK195</f>
        <v>#NAME?</v>
      </c>
      <c r="CL196" s="22" t="e">
        <f t="shared" ca="1" si="1583"/>
        <v>#NAME?</v>
      </c>
      <c r="CM196" s="21" t="e">
        <f t="shared" ca="1" si="1583"/>
        <v>#NAME?</v>
      </c>
      <c r="CN196" s="21" t="e">
        <f t="shared" ca="1" si="1583"/>
        <v>#NAME?</v>
      </c>
      <c r="CO196" s="21" t="e">
        <f t="shared" ca="1" si="1583"/>
        <v>#NAME?</v>
      </c>
      <c r="CP196" s="21" t="e">
        <f t="shared" ca="1" si="1583"/>
        <v>#NAME?</v>
      </c>
      <c r="CQ196" s="21" t="e">
        <f t="shared" ca="1" si="1583"/>
        <v>#NAME?</v>
      </c>
      <c r="CR196" s="21" t="e">
        <f t="shared" ca="1" si="1583"/>
        <v>#NAME?</v>
      </c>
      <c r="CS196" s="21" t="e">
        <f t="shared" ca="1" si="1583"/>
        <v>#NAME?</v>
      </c>
      <c r="CT196" s="21" t="e">
        <f t="shared" ca="1" si="1583"/>
        <v>#NAME?</v>
      </c>
      <c r="CU196" s="21" t="e">
        <f t="shared" ca="1" si="1583"/>
        <v>#NAME?</v>
      </c>
      <c r="CV196" s="21" t="e">
        <f t="shared" ca="1" si="1583"/>
        <v>#NAME?</v>
      </c>
      <c r="CW196" s="21" t="e">
        <f t="shared" ca="1" si="1583"/>
        <v>#NAME?</v>
      </c>
      <c r="CX196" s="21" t="e">
        <f t="shared" ca="1" si="1583"/>
        <v>#NAME?</v>
      </c>
      <c r="CY196" s="21" t="e">
        <f t="shared" ca="1" si="1583"/>
        <v>#NAME?</v>
      </c>
      <c r="CZ196" s="21" t="e">
        <f t="shared" ca="1" si="1583"/>
        <v>#NAME?</v>
      </c>
      <c r="DA196" s="21" t="e">
        <f t="shared" ca="1" si="1583"/>
        <v>#NAME?</v>
      </c>
      <c r="DB196" s="21" t="e">
        <f t="shared" ca="1" si="1583"/>
        <v>#NAME?</v>
      </c>
      <c r="DE196" s="126"/>
      <c r="DF196" s="22">
        <v>15474.809999999992</v>
      </c>
    </row>
    <row r="197" spans="1:110" s="23" customFormat="1" x14ac:dyDescent="0.2">
      <c r="A197" s="23" t="s">
        <v>65</v>
      </c>
      <c r="C197" s="23" t="e">
        <f t="shared" ref="C197:AA197" ca="1" si="1584">B149-C149+B164+B165-C164-C165</f>
        <v>#NAME?</v>
      </c>
      <c r="D197" s="23" t="e">
        <f t="shared" ca="1" si="1584"/>
        <v>#NAME?</v>
      </c>
      <c r="E197" s="23" t="e">
        <f ca="1">D149-E149+D164+D165-E164-E165</f>
        <v>#NAME?</v>
      </c>
      <c r="F197" s="23" t="e">
        <f t="shared" ca="1" si="1584"/>
        <v>#NAME?</v>
      </c>
      <c r="G197" s="23" t="e">
        <f t="shared" ca="1" si="1584"/>
        <v>#NAME?</v>
      </c>
      <c r="H197" s="23" t="e">
        <f t="shared" ca="1" si="1584"/>
        <v>#NAME?</v>
      </c>
      <c r="I197" s="23" t="e">
        <f t="shared" ca="1" si="1584"/>
        <v>#NAME?</v>
      </c>
      <c r="J197" s="23" t="e">
        <f ca="1">I149-J149+I164+I165-J164-J165</f>
        <v>#NAME?</v>
      </c>
      <c r="K197" s="23" t="e">
        <f ca="1">J149-K149+J164+J165-K164-K165</f>
        <v>#NAME?</v>
      </c>
      <c r="L197" s="23" t="e">
        <f t="shared" ca="1" si="1584"/>
        <v>#NAME?</v>
      </c>
      <c r="M197" s="23" t="e">
        <f t="shared" ca="1" si="1584"/>
        <v>#NAME?</v>
      </c>
      <c r="N197" s="23" t="e">
        <f t="shared" ca="1" si="1584"/>
        <v>#NAME?</v>
      </c>
      <c r="O197" s="23" t="e">
        <f t="shared" ca="1" si="1584"/>
        <v>#NAME?</v>
      </c>
      <c r="P197" s="23" t="e">
        <f t="shared" ca="1" si="1584"/>
        <v>#NAME?</v>
      </c>
      <c r="Q197" s="23" t="e">
        <f t="shared" ca="1" si="1584"/>
        <v>#NAME?</v>
      </c>
      <c r="R197" s="23" t="e">
        <f t="shared" ca="1" si="1584"/>
        <v>#NAME?</v>
      </c>
      <c r="S197" s="23" t="e">
        <f t="shared" ca="1" si="1584"/>
        <v>#NAME?</v>
      </c>
      <c r="T197" s="23" t="e">
        <f t="shared" ca="1" si="1584"/>
        <v>#NAME?</v>
      </c>
      <c r="U197" s="23" t="e">
        <f t="shared" ca="1" si="1584"/>
        <v>#NAME?</v>
      </c>
      <c r="V197" s="23" t="e">
        <f t="shared" ca="1" si="1584"/>
        <v>#NAME?</v>
      </c>
      <c r="W197" s="23" t="e">
        <f t="shared" ca="1" si="1584"/>
        <v>#NAME?</v>
      </c>
      <c r="X197" s="23" t="e">
        <f t="shared" ca="1" si="1584"/>
        <v>#NAME?</v>
      </c>
      <c r="Y197" s="23" t="e">
        <f t="shared" ca="1" si="1584"/>
        <v>#NAME?</v>
      </c>
      <c r="Z197" s="23" t="e">
        <f t="shared" ca="1" si="1584"/>
        <v>#NAME?</v>
      </c>
      <c r="AA197" s="23" t="e">
        <f t="shared" ca="1" si="1584"/>
        <v>#NAME?</v>
      </c>
      <c r="AB197" s="24" t="e">
        <f t="shared" ref="AB197" ca="1" si="1585">AA149-AB149+AA164+AA165-AB164-AB165</f>
        <v>#NAME?</v>
      </c>
      <c r="AC197" s="24" t="e">
        <f t="shared" ref="AC197" ca="1" si="1586">AB149-AC149+AB164+AB165-AC164-AC165</f>
        <v>#NAME?</v>
      </c>
      <c r="AD197" s="24" t="e">
        <f t="shared" ref="AD197" ca="1" si="1587">AC149-AD149+AC164+AC165-AD164-AD165</f>
        <v>#NAME?</v>
      </c>
      <c r="AE197" s="24" t="e">
        <f t="shared" ref="AE197" ca="1" si="1588">AD149-AE149+AD164+AD165-AE164-AE165</f>
        <v>#NAME?</v>
      </c>
      <c r="AI197" s="23" t="e">
        <f ca="1">AH149-AI149+AH164+AH165-AI164-AJ165</f>
        <v>#NAME?</v>
      </c>
      <c r="AJ197" s="23" t="e">
        <f t="shared" ref="AJ197:AL197" ca="1" si="1589">AI149-AJ149+AI164+AI165-AJ164-AK165</f>
        <v>#NAME?</v>
      </c>
      <c r="AK197" s="23" t="e">
        <f t="shared" ca="1" si="1589"/>
        <v>#NAME?</v>
      </c>
      <c r="AL197" s="23" t="e">
        <f t="shared" ca="1" si="1589"/>
        <v>#NAME?</v>
      </c>
      <c r="AM197" s="23" t="e">
        <f t="shared" ref="AM197" ca="1" si="1590">AL149-AM149+AL164+AL165-AM164-AM165</f>
        <v>#NAME?</v>
      </c>
      <c r="AN197" s="23" t="e">
        <f t="shared" ref="AN197" ca="1" si="1591">AM149-AN149+AM164+AM165-AN164-AN165</f>
        <v>#NAME?</v>
      </c>
      <c r="AO197" s="23" t="e">
        <f t="shared" ref="AO197" ca="1" si="1592">AN149-AO149+AN164+AN165-AO164-AO165</f>
        <v>#NAME?</v>
      </c>
      <c r="AP197" s="23" t="e">
        <f t="shared" ref="AP197" ca="1" si="1593">AO149-AP149+AO164+AO165-AP164-AP165</f>
        <v>#NAME?</v>
      </c>
      <c r="AQ197" s="23" t="e">
        <f t="shared" ref="AQ197" ca="1" si="1594">AP149-AQ149+AP164+AP165-AQ164-AQ165</f>
        <v>#NAME?</v>
      </c>
      <c r="AR197" s="23" t="e">
        <f t="shared" ref="AR197" ca="1" si="1595">AQ149-AR149+AQ164+AQ165-AR164-AR165</f>
        <v>#NAME?</v>
      </c>
      <c r="AS197" s="23" t="e">
        <f t="shared" ref="AS197" ca="1" si="1596">AR149-AS149+AR164+AR165-AS164-AS165</f>
        <v>#NAME?</v>
      </c>
      <c r="AT197" s="23" t="e">
        <f t="shared" ref="AT197" ca="1" si="1597">AS149-AT149+AS164+AS165-AT164-AT165</f>
        <v>#NAME?</v>
      </c>
      <c r="AU197" s="23" t="e">
        <f t="shared" ref="AU197" ca="1" si="1598">AT149-AU149+AT164+AT165-AU164-AU165</f>
        <v>#NAME?</v>
      </c>
      <c r="AV197" s="23" t="e">
        <f t="shared" ref="AV197" ca="1" si="1599">AU149-AV149+AU164+AU165-AV164-AV165</f>
        <v>#NAME?</v>
      </c>
      <c r="AW197" s="23" t="e">
        <f t="shared" ref="AW197" ca="1" si="1600">AV149-AW149+AV164+AV165-AW164-AW165</f>
        <v>#NAME?</v>
      </c>
      <c r="AX197" s="23" t="e">
        <f t="shared" ref="AX197" ca="1" si="1601">AW149-AX149+AW164+AW165-AX164-AX165</f>
        <v>#NAME?</v>
      </c>
      <c r="AY197" s="23" t="e">
        <f t="shared" ref="AY197" ca="1" si="1602">AX149-AY149+AX164+AX165-AY164-AY165</f>
        <v>#NAME?</v>
      </c>
      <c r="AZ197" s="23" t="e">
        <f t="shared" ref="AZ197" ca="1" si="1603">AY149-AZ149+AY164+AY165-AZ164-AZ165</f>
        <v>#NAME?</v>
      </c>
      <c r="BA197" s="23" t="e">
        <f t="shared" ref="BA197" ca="1" si="1604">AZ149-BA149+AZ164+AZ165-BA164-BA165</f>
        <v>#NAME?</v>
      </c>
      <c r="BB197" s="23" t="e">
        <f t="shared" ref="BB197" ca="1" si="1605">BA149-BB149+BA164+BA165-BB164-BB165</f>
        <v>#NAME?</v>
      </c>
      <c r="BC197" s="23" t="e">
        <f t="shared" ref="BC197" ca="1" si="1606">BB149-BC149+BB164+BB165-BC164-BC165</f>
        <v>#NAME?</v>
      </c>
      <c r="BD197" s="23" t="e">
        <f t="shared" ref="BD197" ca="1" si="1607">BC149-BD149+BC164+BC165-BD164-BD165</f>
        <v>#NAME?</v>
      </c>
      <c r="BE197" s="23" t="e">
        <f t="shared" ref="BE197" ca="1" si="1608">BD149-BE149+BD164+BD165-BE164-BE165</f>
        <v>#NAME?</v>
      </c>
      <c r="BF197" s="23" t="e">
        <f t="shared" ref="BF197" ca="1" si="1609">BE149-BF149+BE164+BE165-BF164-BF165</f>
        <v>#NAME?</v>
      </c>
      <c r="BG197" s="23" t="e">
        <f t="shared" ref="BG197" ca="1" si="1610">BF149-BG149+BF164+BF165-BG164-BG165</f>
        <v>#NAME?</v>
      </c>
      <c r="BH197" s="23" t="e">
        <f t="shared" ref="BH197" ca="1" si="1611">BG149-BH149+BG164+BG165-BH164-BH165</f>
        <v>#NAME?</v>
      </c>
      <c r="BI197" s="23" t="e">
        <f t="shared" ref="BI197" ca="1" si="1612">BH149-BI149+BH164+BH165-BI164-BI165</f>
        <v>#NAME?</v>
      </c>
      <c r="BJ197" s="23" t="e">
        <f t="shared" ref="BJ197" ca="1" si="1613">BI149-BJ149+BI164+BI165-BJ164-BJ165</f>
        <v>#NAME?</v>
      </c>
      <c r="BK197" s="23" t="e">
        <f t="shared" ref="BK197" ca="1" si="1614">BJ149-BK149+BJ164+BJ165-BK164-BK165</f>
        <v>#NAME?</v>
      </c>
      <c r="BL197" s="23" t="e">
        <f t="shared" ref="BL197" ca="1" si="1615">BK149-BL149+BK164+BK165-BL164-BL165</f>
        <v>#NAME?</v>
      </c>
      <c r="BM197" s="23" t="e">
        <f t="shared" ref="BM197" ca="1" si="1616">BL149-BM149+BL164+BL165-BM164-BM165</f>
        <v>#NAME?</v>
      </c>
      <c r="BN197" s="23" t="e">
        <f t="shared" ref="BN197" ca="1" si="1617">BM149-BN149+BM164+BM165-BN164-BN165</f>
        <v>#NAME?</v>
      </c>
      <c r="BO197" s="23" t="e">
        <f t="shared" ref="BO197" ca="1" si="1618">BN149-BO149+BN164+BN165-BO164-BO165</f>
        <v>#NAME?</v>
      </c>
      <c r="BP197" s="23" t="e">
        <f t="shared" ref="BP197" ca="1" si="1619">BO149-BP149+BO164+BO165-BP164-BP165</f>
        <v>#NAME?</v>
      </c>
      <c r="BQ197" s="23" t="e">
        <f t="shared" ref="BQ197" ca="1" si="1620">BP149-BQ149+BP164+BP165-BQ164-BQ165</f>
        <v>#NAME?</v>
      </c>
      <c r="BR197" s="23" t="e">
        <f t="shared" ref="BR197" ca="1" si="1621">BQ149-BR149+BQ164+BQ165-BR164-BR165</f>
        <v>#NAME?</v>
      </c>
      <c r="BS197" s="23" t="e">
        <f t="shared" ref="BS197" ca="1" si="1622">BR149-BS149+BR164+BR165-BS164-BS165</f>
        <v>#NAME?</v>
      </c>
      <c r="BT197" s="23" t="e">
        <f t="shared" ref="BT197" ca="1" si="1623">BS149-BT149+BS164+BS165-BT164-BT165</f>
        <v>#NAME?</v>
      </c>
      <c r="BU197" s="23" t="e">
        <f t="shared" ref="BU197" ca="1" si="1624">BT149-BU149+BT164+BT165-BU164-BU165</f>
        <v>#NAME?</v>
      </c>
      <c r="BV197" s="23" t="e">
        <f t="shared" ref="BV197" ca="1" si="1625">BU149-BV149+BU164+BU165-BV164-BV165</f>
        <v>#NAME?</v>
      </c>
      <c r="BW197" s="23" t="e">
        <f t="shared" ref="BW197" ca="1" si="1626">BV149-BW149+BV164+BV165-BW164-BW165</f>
        <v>#NAME?</v>
      </c>
      <c r="BX197" s="23" t="e">
        <f t="shared" ref="BX197" ca="1" si="1627">BW149-BX149+BW164+BW165-BX164-BX165</f>
        <v>#NAME?</v>
      </c>
      <c r="BY197" s="23" t="e">
        <f t="shared" ref="BY197" ca="1" si="1628">BX149-BY149+BX164+BX165-BY164-BY165</f>
        <v>#NAME?</v>
      </c>
      <c r="BZ197" s="23" t="e">
        <f t="shared" ref="BZ197" ca="1" si="1629">BY149-BZ149+BY164+BY165-BZ164-BZ165</f>
        <v>#NAME?</v>
      </c>
      <c r="CA197" s="23" t="e">
        <f t="shared" ref="CA197" ca="1" si="1630">BZ149-CA149+BZ164+BZ165-CA164-CA165</f>
        <v>#NAME?</v>
      </c>
      <c r="CB197" s="23" t="e">
        <f t="shared" ref="CB197" ca="1" si="1631">CA149-CB149+CA164+CA165-CB164-CB165</f>
        <v>#NAME?</v>
      </c>
      <c r="CC197" s="23" t="e">
        <f t="shared" ref="CC197" ca="1" si="1632">CB149-CC149+CB164+CB165-CC164-CC165</f>
        <v>#NAME?</v>
      </c>
      <c r="CD197" s="23" t="e">
        <f t="shared" ref="CD197" ca="1" si="1633">CC149-CD149+CC164+CC165-CD164-CD165</f>
        <v>#NAME?</v>
      </c>
      <c r="CE197" s="23" t="e">
        <f t="shared" ref="CE197" ca="1" si="1634">CD149-CE149+CD164+CD165-CE164-CE165</f>
        <v>#NAME?</v>
      </c>
      <c r="CF197" s="23" t="e">
        <f t="shared" ref="CF197" ca="1" si="1635">CE149-CF149+CE164+CE165-CF164-CF165</f>
        <v>#NAME?</v>
      </c>
      <c r="CG197" s="23" t="e">
        <f t="shared" ref="CG197" ca="1" si="1636">CF149-CG149+CF164+CF165-CG164-CG165</f>
        <v>#NAME?</v>
      </c>
      <c r="CH197" s="23" t="e">
        <f t="shared" ref="CH197:CL197" ca="1" si="1637">CG149-CH149+CG164+CG165-CH164-CH165</f>
        <v>#NAME?</v>
      </c>
      <c r="CI197" s="23" t="e">
        <f t="shared" ca="1" si="1637"/>
        <v>#NAME?</v>
      </c>
      <c r="CJ197" s="23" t="e">
        <f t="shared" ca="1" si="1637"/>
        <v>#NAME?</v>
      </c>
      <c r="CK197" s="24" t="e">
        <f t="shared" ref="CK197" ca="1" si="1638">CJ149-CK149+CJ164+CJ165-CK164-CK165</f>
        <v>#NAME?</v>
      </c>
      <c r="CL197" s="23" t="e">
        <f t="shared" ca="1" si="1637"/>
        <v>#NAME?</v>
      </c>
      <c r="CM197" s="24" t="e">
        <f t="shared" ref="CM197" ca="1" si="1639">CL149-CM149+CL164+CL165-CM164-CM165</f>
        <v>#NAME?</v>
      </c>
      <c r="CN197" s="24" t="e">
        <f t="shared" ref="CN197" ca="1" si="1640">CM149-CN149+CM164+CM165-CN164-CN165</f>
        <v>#NAME?</v>
      </c>
      <c r="CO197" s="24" t="e">
        <f t="shared" ref="CO197" ca="1" si="1641">CN149-CO149+CN164+CN165-CO164-CO165</f>
        <v>#NAME?</v>
      </c>
      <c r="CP197" s="24" t="e">
        <f t="shared" ref="CP197" ca="1" si="1642">CO149-CP149+CO164+CO165-CP164-CP165</f>
        <v>#NAME?</v>
      </c>
      <c r="CQ197" s="24" t="e">
        <f t="shared" ref="CQ197" ca="1" si="1643">CP149-CQ149+CP164+CP165-CQ164-CQ165</f>
        <v>#NAME?</v>
      </c>
      <c r="CR197" s="24" t="e">
        <f t="shared" ref="CR197" ca="1" si="1644">CQ149-CR149+CQ164+CQ165-CR164-CR165</f>
        <v>#NAME?</v>
      </c>
      <c r="CS197" s="24" t="e">
        <f t="shared" ref="CS197" ca="1" si="1645">CR149-CS149+CR164+CR165-CS164-CS165</f>
        <v>#NAME?</v>
      </c>
      <c r="CT197" s="24" t="e">
        <f t="shared" ref="CT197" ca="1" si="1646">CS149-CT149+CS164+CS165-CT164-CT165</f>
        <v>#NAME?</v>
      </c>
      <c r="CU197" s="24" t="e">
        <f t="shared" ref="CU197" ca="1" si="1647">CT149-CU149+CT164+CT165-CU164-CU165</f>
        <v>#NAME?</v>
      </c>
      <c r="CV197" s="24" t="e">
        <f t="shared" ref="CV197" ca="1" si="1648">CU149-CV149+CU164+CU165-CV164-CV165</f>
        <v>#NAME?</v>
      </c>
      <c r="CW197" s="24" t="e">
        <f t="shared" ref="CW197" ca="1" si="1649">CV149-CW149+CV164+CV165-CW164-CW165</f>
        <v>#NAME?</v>
      </c>
      <c r="CX197" s="24" t="e">
        <f t="shared" ref="CX197" ca="1" si="1650">CW149-CX149+CW164+CW165-CX164-CX165</f>
        <v>#NAME?</v>
      </c>
      <c r="CY197" s="24" t="e">
        <f t="shared" ref="CY197" ca="1" si="1651">CX149-CY149+CX164+CX165-CY164-CY165</f>
        <v>#NAME?</v>
      </c>
      <c r="CZ197" s="24" t="e">
        <f t="shared" ref="CZ197" ca="1" si="1652">CY149-CZ149+CY164+CY165-CZ164-CZ165</f>
        <v>#NAME?</v>
      </c>
      <c r="DA197" s="24" t="e">
        <f t="shared" ref="DA197" ca="1" si="1653">CZ149-DA149+CZ164+CZ165-DA164-DA165</f>
        <v>#NAME?</v>
      </c>
      <c r="DB197" s="24" t="e">
        <f t="shared" ref="DB197" ca="1" si="1654">DA149-DB149+DA164+DA165-DB164-DB165</f>
        <v>#NAME?</v>
      </c>
      <c r="DE197" s="123"/>
      <c r="DF197" s="23">
        <v>-39114.37000000001</v>
      </c>
    </row>
    <row r="198" spans="1:110" s="23" customFormat="1" x14ac:dyDescent="0.2">
      <c r="A198" s="23" t="s">
        <v>73</v>
      </c>
      <c r="C198" s="23" t="e">
        <f t="shared" ref="C198:AA198" ca="1" si="1655">B157-C157</f>
        <v>#NAME?</v>
      </c>
      <c r="D198" s="23" t="e">
        <f t="shared" ca="1" si="1655"/>
        <v>#NAME?</v>
      </c>
      <c r="E198" s="23" t="e">
        <f ca="1">D157-E157</f>
        <v>#NAME?</v>
      </c>
      <c r="F198" s="23" t="e">
        <f t="shared" ca="1" si="1655"/>
        <v>#NAME?</v>
      </c>
      <c r="G198" s="23" t="e">
        <f t="shared" ca="1" si="1655"/>
        <v>#NAME?</v>
      </c>
      <c r="H198" s="23" t="e">
        <f t="shared" ca="1" si="1655"/>
        <v>#NAME?</v>
      </c>
      <c r="I198" s="23" t="e">
        <f t="shared" ca="1" si="1655"/>
        <v>#NAME?</v>
      </c>
      <c r="J198" s="23" t="e">
        <f ca="1">I157-J157</f>
        <v>#NAME?</v>
      </c>
      <c r="K198" s="23" t="e">
        <f ca="1">J157-K157</f>
        <v>#NAME?</v>
      </c>
      <c r="L198" s="23" t="e">
        <f t="shared" ca="1" si="1655"/>
        <v>#NAME?</v>
      </c>
      <c r="M198" s="23" t="e">
        <f t="shared" ca="1" si="1655"/>
        <v>#NAME?</v>
      </c>
      <c r="N198" s="23" t="e">
        <f t="shared" ca="1" si="1655"/>
        <v>#NAME?</v>
      </c>
      <c r="O198" s="23" t="e">
        <f t="shared" ca="1" si="1655"/>
        <v>#NAME?</v>
      </c>
      <c r="P198" s="23" t="e">
        <f t="shared" ca="1" si="1655"/>
        <v>#NAME?</v>
      </c>
      <c r="Q198" s="23" t="e">
        <f t="shared" ca="1" si="1655"/>
        <v>#NAME?</v>
      </c>
      <c r="R198" s="23" t="e">
        <f t="shared" ca="1" si="1655"/>
        <v>#NAME?</v>
      </c>
      <c r="S198" s="23" t="e">
        <f t="shared" ca="1" si="1655"/>
        <v>#NAME?</v>
      </c>
      <c r="T198" s="23" t="e">
        <f t="shared" ca="1" si="1655"/>
        <v>#NAME?</v>
      </c>
      <c r="U198" s="23" t="e">
        <f t="shared" ca="1" si="1655"/>
        <v>#NAME?</v>
      </c>
      <c r="V198" s="23" t="e">
        <f t="shared" ca="1" si="1655"/>
        <v>#NAME?</v>
      </c>
      <c r="W198" s="23" t="e">
        <f t="shared" ca="1" si="1655"/>
        <v>#NAME?</v>
      </c>
      <c r="X198" s="23" t="e">
        <f t="shared" ca="1" si="1655"/>
        <v>#NAME?</v>
      </c>
      <c r="Y198" s="23" t="e">
        <f t="shared" ca="1" si="1655"/>
        <v>#NAME?</v>
      </c>
      <c r="Z198" s="23" t="e">
        <f t="shared" ca="1" si="1655"/>
        <v>#NAME?</v>
      </c>
      <c r="AA198" s="23" t="e">
        <f t="shared" ca="1" si="1655"/>
        <v>#NAME?</v>
      </c>
      <c r="AB198" s="24" t="e">
        <f t="shared" ref="AB198" ca="1" si="1656">AA157-AB157</f>
        <v>#NAME?</v>
      </c>
      <c r="AC198" s="24" t="e">
        <f t="shared" ref="AC198" ca="1" si="1657">AB157-AC157</f>
        <v>#NAME?</v>
      </c>
      <c r="AD198" s="24" t="e">
        <f t="shared" ref="AD198" ca="1" si="1658">AC157-AD157</f>
        <v>#NAME?</v>
      </c>
      <c r="AE198" s="24" t="e">
        <f t="shared" ref="AE198" ca="1" si="1659">AD157-AE157</f>
        <v>#NAME?</v>
      </c>
      <c r="AI198" s="23">
        <f t="shared" ref="AI198" si="1660">AH157-AI157</f>
        <v>0</v>
      </c>
      <c r="AJ198" s="23" t="e">
        <f t="shared" ref="AJ198" ca="1" si="1661">AI157-AJ157</f>
        <v>#NAME?</v>
      </c>
      <c r="AK198" s="23" t="e">
        <f t="shared" ref="AK198" ca="1" si="1662">AJ157-AK157</f>
        <v>#NAME?</v>
      </c>
      <c r="AL198" s="23" t="e">
        <f t="shared" ref="AL198" ca="1" si="1663">AK157-AL157</f>
        <v>#NAME?</v>
      </c>
      <c r="AM198" s="23" t="e">
        <f t="shared" ref="AM198" ca="1" si="1664">AL157-AM157</f>
        <v>#NAME?</v>
      </c>
      <c r="AN198" s="23" t="e">
        <f t="shared" ref="AN198" ca="1" si="1665">AM157-AN157</f>
        <v>#NAME?</v>
      </c>
      <c r="AO198" s="23" t="e">
        <f t="shared" ref="AO198" ca="1" si="1666">AN157-AO157</f>
        <v>#NAME?</v>
      </c>
      <c r="AP198" s="23" t="e">
        <f t="shared" ref="AP198" ca="1" si="1667">AO157-AP157</f>
        <v>#NAME?</v>
      </c>
      <c r="AQ198" s="23" t="e">
        <f t="shared" ref="AQ198" ca="1" si="1668">AP157-AQ157</f>
        <v>#NAME?</v>
      </c>
      <c r="AR198" s="23" t="e">
        <f t="shared" ref="AR198" ca="1" si="1669">AQ157-AR157</f>
        <v>#NAME?</v>
      </c>
      <c r="AS198" s="23" t="e">
        <f t="shared" ref="AS198" ca="1" si="1670">AR157-AS157</f>
        <v>#NAME?</v>
      </c>
      <c r="AT198" s="23" t="e">
        <f t="shared" ref="AT198" ca="1" si="1671">AS157-AT157</f>
        <v>#NAME?</v>
      </c>
      <c r="AU198" s="23" t="e">
        <f t="shared" ref="AU198" ca="1" si="1672">AT157-AU157</f>
        <v>#NAME?</v>
      </c>
      <c r="AV198" s="23" t="e">
        <f t="shared" ref="AV198" ca="1" si="1673">AU157-AV157</f>
        <v>#NAME?</v>
      </c>
      <c r="AW198" s="23" t="e">
        <f t="shared" ref="AW198" ca="1" si="1674">AV157-AW157</f>
        <v>#NAME?</v>
      </c>
      <c r="AX198" s="23" t="e">
        <f t="shared" ref="AX198" ca="1" si="1675">AW157-AX157</f>
        <v>#NAME?</v>
      </c>
      <c r="AY198" s="23" t="e">
        <f t="shared" ref="AY198" ca="1" si="1676">AX157-AY157</f>
        <v>#NAME?</v>
      </c>
      <c r="AZ198" s="23" t="e">
        <f t="shared" ref="AZ198" ca="1" si="1677">AY157-AZ157</f>
        <v>#NAME?</v>
      </c>
      <c r="BA198" s="23" t="e">
        <f t="shared" ref="BA198" ca="1" si="1678">AZ157-BA157</f>
        <v>#NAME?</v>
      </c>
      <c r="BB198" s="23" t="e">
        <f t="shared" ref="BB198" ca="1" si="1679">BA157-BB157</f>
        <v>#NAME?</v>
      </c>
      <c r="BC198" s="23" t="e">
        <f t="shared" ref="BC198" ca="1" si="1680">BB157-BC157</f>
        <v>#NAME?</v>
      </c>
      <c r="BD198" s="23" t="e">
        <f t="shared" ref="BD198" ca="1" si="1681">BC157-BD157</f>
        <v>#NAME?</v>
      </c>
      <c r="BE198" s="23" t="e">
        <f t="shared" ref="BE198" ca="1" si="1682">BD157-BE157</f>
        <v>#NAME?</v>
      </c>
      <c r="BF198" s="23" t="e">
        <f t="shared" ref="BF198" ca="1" si="1683">BE157-BF157</f>
        <v>#NAME?</v>
      </c>
      <c r="BG198" s="23" t="e">
        <f t="shared" ref="BG198" ca="1" si="1684">BF157-BG157</f>
        <v>#NAME?</v>
      </c>
      <c r="BH198" s="23" t="e">
        <f t="shared" ref="BH198" ca="1" si="1685">BG157-BH157</f>
        <v>#NAME?</v>
      </c>
      <c r="BI198" s="23" t="e">
        <f t="shared" ref="BI198" ca="1" si="1686">BH157-BI157</f>
        <v>#NAME?</v>
      </c>
      <c r="BJ198" s="23" t="e">
        <f t="shared" ref="BJ198" ca="1" si="1687">BI157-BJ157</f>
        <v>#NAME?</v>
      </c>
      <c r="BK198" s="23" t="e">
        <f t="shared" ref="BK198" ca="1" si="1688">BJ157-BK157</f>
        <v>#NAME?</v>
      </c>
      <c r="BL198" s="23" t="e">
        <f t="shared" ref="BL198" ca="1" si="1689">BK157-BL157</f>
        <v>#NAME?</v>
      </c>
      <c r="BM198" s="23" t="e">
        <f t="shared" ref="BM198" ca="1" si="1690">BL157-BM157</f>
        <v>#NAME?</v>
      </c>
      <c r="BN198" s="23" t="e">
        <f t="shared" ref="BN198" ca="1" si="1691">BM157-BN157</f>
        <v>#NAME?</v>
      </c>
      <c r="BO198" s="23" t="e">
        <f t="shared" ref="BO198" ca="1" si="1692">BN157-BO157</f>
        <v>#NAME?</v>
      </c>
      <c r="BP198" s="23" t="e">
        <f t="shared" ref="BP198" ca="1" si="1693">BO157-BP157</f>
        <v>#NAME?</v>
      </c>
      <c r="BQ198" s="23" t="e">
        <f t="shared" ref="BQ198" ca="1" si="1694">BP157-BQ157</f>
        <v>#NAME?</v>
      </c>
      <c r="BR198" s="23" t="e">
        <f t="shared" ref="BR198" ca="1" si="1695">BQ157-BR157</f>
        <v>#NAME?</v>
      </c>
      <c r="BS198" s="23" t="e">
        <f t="shared" ref="BS198" ca="1" si="1696">BR157-BS157</f>
        <v>#NAME?</v>
      </c>
      <c r="BT198" s="23" t="e">
        <f t="shared" ref="BT198" ca="1" si="1697">BS157-BT157</f>
        <v>#NAME?</v>
      </c>
      <c r="BU198" s="23" t="e">
        <f t="shared" ref="BU198" ca="1" si="1698">BT157-BU157</f>
        <v>#NAME?</v>
      </c>
      <c r="BV198" s="23" t="e">
        <f t="shared" ref="BV198" ca="1" si="1699">BU157-BV157</f>
        <v>#NAME?</v>
      </c>
      <c r="BW198" s="23" t="e">
        <f t="shared" ref="BW198" ca="1" si="1700">BV157-BW157</f>
        <v>#NAME?</v>
      </c>
      <c r="BX198" s="23" t="e">
        <f t="shared" ref="BX198" ca="1" si="1701">BW157-BX157</f>
        <v>#NAME?</v>
      </c>
      <c r="BY198" s="23" t="e">
        <f t="shared" ref="BY198" ca="1" si="1702">BX157-BY157</f>
        <v>#NAME?</v>
      </c>
      <c r="BZ198" s="23" t="e">
        <f t="shared" ref="BZ198" ca="1" si="1703">BY157-BZ157</f>
        <v>#NAME?</v>
      </c>
      <c r="CA198" s="23" t="e">
        <f t="shared" ref="CA198" ca="1" si="1704">BZ157-CA157</f>
        <v>#NAME?</v>
      </c>
      <c r="CB198" s="23" t="e">
        <f t="shared" ref="CB198" ca="1" si="1705">CA157-CB157</f>
        <v>#NAME?</v>
      </c>
      <c r="CC198" s="23" t="e">
        <f t="shared" ref="CC198" ca="1" si="1706">CB157-CC157</f>
        <v>#NAME?</v>
      </c>
      <c r="CD198" s="23" t="e">
        <f t="shared" ref="CD198" ca="1" si="1707">CC157-CD157</f>
        <v>#NAME?</v>
      </c>
      <c r="CE198" s="23" t="e">
        <f t="shared" ref="CE198" ca="1" si="1708">CD157-CE157</f>
        <v>#NAME?</v>
      </c>
      <c r="CF198" s="23" t="e">
        <f t="shared" ref="CF198" ca="1" si="1709">CE157-CF157</f>
        <v>#NAME?</v>
      </c>
      <c r="CG198" s="23" t="e">
        <f t="shared" ref="CG198" ca="1" si="1710">CF157-CG157</f>
        <v>#NAME?</v>
      </c>
      <c r="CH198" s="23" t="e">
        <f t="shared" ref="CH198:CL198" ca="1" si="1711">CG157-CH157</f>
        <v>#NAME?</v>
      </c>
      <c r="CI198" s="23" t="e">
        <f t="shared" ca="1" si="1711"/>
        <v>#NAME?</v>
      </c>
      <c r="CJ198" s="23" t="e">
        <f t="shared" ca="1" si="1711"/>
        <v>#NAME?</v>
      </c>
      <c r="CK198" s="24" t="e">
        <f t="shared" ref="CK198" ca="1" si="1712">CJ157-CK157</f>
        <v>#NAME?</v>
      </c>
      <c r="CL198" s="23" t="e">
        <f t="shared" ca="1" si="1711"/>
        <v>#NAME?</v>
      </c>
      <c r="CM198" s="24" t="e">
        <f t="shared" ref="CM198" ca="1" si="1713">CL157-CM157</f>
        <v>#NAME?</v>
      </c>
      <c r="CN198" s="24" t="e">
        <f t="shared" ref="CN198" ca="1" si="1714">CM157-CN157</f>
        <v>#NAME?</v>
      </c>
      <c r="CO198" s="24" t="e">
        <f t="shared" ref="CO198" ca="1" si="1715">CN157-CO157</f>
        <v>#NAME?</v>
      </c>
      <c r="CP198" s="24" t="e">
        <f t="shared" ref="CP198" ca="1" si="1716">CO157-CP157</f>
        <v>#NAME?</v>
      </c>
      <c r="CQ198" s="24" t="e">
        <f t="shared" ref="CQ198" ca="1" si="1717">CP157-CQ157</f>
        <v>#NAME?</v>
      </c>
      <c r="CR198" s="24" t="e">
        <f t="shared" ref="CR198" ca="1" si="1718">CQ157-CR157</f>
        <v>#NAME?</v>
      </c>
      <c r="CS198" s="24" t="e">
        <f t="shared" ref="CS198" ca="1" si="1719">CR157-CS157</f>
        <v>#NAME?</v>
      </c>
      <c r="CT198" s="24" t="e">
        <f t="shared" ref="CT198" ca="1" si="1720">CS157-CT157</f>
        <v>#NAME?</v>
      </c>
      <c r="CU198" s="24" t="e">
        <f t="shared" ref="CU198" ca="1" si="1721">CT157-CU157</f>
        <v>#NAME?</v>
      </c>
      <c r="CV198" s="24" t="e">
        <f t="shared" ref="CV198" ca="1" si="1722">CU157-CV157</f>
        <v>#NAME?</v>
      </c>
      <c r="CW198" s="24" t="e">
        <f t="shared" ref="CW198" ca="1" si="1723">CV157-CW157</f>
        <v>#NAME?</v>
      </c>
      <c r="CX198" s="24" t="e">
        <f t="shared" ref="CX198" ca="1" si="1724">CW157-CX157</f>
        <v>#NAME?</v>
      </c>
      <c r="CY198" s="24" t="e">
        <f t="shared" ref="CY198" ca="1" si="1725">CX157-CY157</f>
        <v>#NAME?</v>
      </c>
      <c r="CZ198" s="24" t="e">
        <f t="shared" ref="CZ198" ca="1" si="1726">CY157-CZ157</f>
        <v>#NAME?</v>
      </c>
      <c r="DA198" s="24" t="e">
        <f t="shared" ref="DA198" ca="1" si="1727">CZ157-DA157</f>
        <v>#NAME?</v>
      </c>
      <c r="DB198" s="24" t="e">
        <f t="shared" ref="DB198" ca="1" si="1728">DA157-DB157</f>
        <v>#NAME?</v>
      </c>
      <c r="DE198" s="123"/>
      <c r="DF198" s="23">
        <v>-19792.669999999998</v>
      </c>
    </row>
    <row r="199" spans="1:110" s="22" customFormat="1" x14ac:dyDescent="0.2">
      <c r="A199" s="22" t="s">
        <v>90</v>
      </c>
      <c r="C199" s="22" t="e">
        <f t="shared" ref="C199:W199" ca="1" si="1729">C197-C198</f>
        <v>#NAME?</v>
      </c>
      <c r="D199" s="22" t="e">
        <f t="shared" ca="1" si="1729"/>
        <v>#NAME?</v>
      </c>
      <c r="E199" s="22" t="e">
        <f t="shared" ca="1" si="1729"/>
        <v>#NAME?</v>
      </c>
      <c r="F199" s="22" t="e">
        <f t="shared" ca="1" si="1729"/>
        <v>#NAME?</v>
      </c>
      <c r="G199" s="22" t="e">
        <f t="shared" ca="1" si="1729"/>
        <v>#NAME?</v>
      </c>
      <c r="H199" s="22" t="e">
        <f t="shared" ca="1" si="1729"/>
        <v>#NAME?</v>
      </c>
      <c r="I199" s="22" t="e">
        <f t="shared" ca="1" si="1729"/>
        <v>#NAME?</v>
      </c>
      <c r="J199" s="22" t="e">
        <f ca="1">J197-J198</f>
        <v>#NAME?</v>
      </c>
      <c r="K199" s="22" t="e">
        <f t="shared" ca="1" si="1729"/>
        <v>#NAME?</v>
      </c>
      <c r="L199" s="22" t="e">
        <f t="shared" ca="1" si="1729"/>
        <v>#NAME?</v>
      </c>
      <c r="M199" s="22" t="e">
        <f t="shared" ca="1" si="1729"/>
        <v>#NAME?</v>
      </c>
      <c r="N199" s="22" t="e">
        <f t="shared" ca="1" si="1729"/>
        <v>#NAME?</v>
      </c>
      <c r="O199" s="22" t="e">
        <f t="shared" ca="1" si="1729"/>
        <v>#NAME?</v>
      </c>
      <c r="P199" s="22" t="e">
        <f t="shared" ca="1" si="1729"/>
        <v>#NAME?</v>
      </c>
      <c r="Q199" s="22" t="e">
        <f t="shared" ca="1" si="1729"/>
        <v>#NAME?</v>
      </c>
      <c r="R199" s="22" t="e">
        <f t="shared" ca="1" si="1729"/>
        <v>#NAME?</v>
      </c>
      <c r="S199" s="22" t="e">
        <f t="shared" ca="1" si="1729"/>
        <v>#NAME?</v>
      </c>
      <c r="T199" s="22" t="e">
        <f t="shared" ca="1" si="1729"/>
        <v>#NAME?</v>
      </c>
      <c r="U199" s="22" t="e">
        <f t="shared" ca="1" si="1729"/>
        <v>#NAME?</v>
      </c>
      <c r="V199" s="22" t="e">
        <f t="shared" ca="1" si="1729"/>
        <v>#NAME?</v>
      </c>
      <c r="W199" s="22" t="e">
        <f t="shared" ca="1" si="1729"/>
        <v>#NAME?</v>
      </c>
      <c r="X199" s="22" t="e">
        <f t="shared" ref="X199:Y199" ca="1" si="1730">X197-X198</f>
        <v>#NAME?</v>
      </c>
      <c r="Y199" s="22" t="e">
        <f t="shared" ca="1" si="1730"/>
        <v>#NAME?</v>
      </c>
      <c r="Z199" s="22" t="e">
        <f t="shared" ref="Z199:AA199" ca="1" si="1731">Z197-Z198</f>
        <v>#NAME?</v>
      </c>
      <c r="AA199" s="22" t="e">
        <f t="shared" ca="1" si="1731"/>
        <v>#NAME?</v>
      </c>
      <c r="AB199" s="21" t="e">
        <f t="shared" ref="AA199:AD199" ca="1" si="1732">AB197-AB198</f>
        <v>#NAME?</v>
      </c>
      <c r="AC199" s="21" t="e">
        <f t="shared" ca="1" si="1732"/>
        <v>#NAME?</v>
      </c>
      <c r="AD199" s="21" t="e">
        <f t="shared" ca="1" si="1732"/>
        <v>#NAME?</v>
      </c>
      <c r="AE199" s="21" t="e">
        <f t="shared" ref="AE199" ca="1" si="1733">AE197-AE198</f>
        <v>#NAME?</v>
      </c>
      <c r="AI199" s="22" t="e">
        <f t="shared" ref="AI199" ca="1" si="1734">AI197-AI198</f>
        <v>#NAME?</v>
      </c>
      <c r="AJ199" s="22" t="e">
        <f t="shared" ref="AJ199:AL199" ca="1" si="1735">AJ197-AJ198</f>
        <v>#NAME?</v>
      </c>
      <c r="AK199" s="22" t="e">
        <f t="shared" ca="1" si="1735"/>
        <v>#NAME?</v>
      </c>
      <c r="AL199" s="22" t="e">
        <f t="shared" ca="1" si="1735"/>
        <v>#NAME?</v>
      </c>
      <c r="AM199" s="22" t="e">
        <f t="shared" ref="AM199" ca="1" si="1736">AM197-AM198</f>
        <v>#NAME?</v>
      </c>
      <c r="AN199" s="22" t="e">
        <f t="shared" ref="AN199:CD199" ca="1" si="1737">AN197-AN198</f>
        <v>#NAME?</v>
      </c>
      <c r="AO199" s="22" t="e">
        <f t="shared" ca="1" si="1737"/>
        <v>#NAME?</v>
      </c>
      <c r="AP199" s="22" t="e">
        <f t="shared" ca="1" si="1737"/>
        <v>#NAME?</v>
      </c>
      <c r="AQ199" s="22" t="e">
        <f t="shared" ca="1" si="1737"/>
        <v>#NAME?</v>
      </c>
      <c r="AR199" s="22" t="e">
        <f t="shared" ca="1" si="1737"/>
        <v>#NAME?</v>
      </c>
      <c r="AS199" s="22" t="e">
        <f t="shared" ca="1" si="1737"/>
        <v>#NAME?</v>
      </c>
      <c r="AT199" s="22" t="e">
        <f t="shared" ca="1" si="1737"/>
        <v>#NAME?</v>
      </c>
      <c r="AU199" s="22" t="e">
        <f t="shared" ca="1" si="1737"/>
        <v>#NAME?</v>
      </c>
      <c r="AV199" s="22" t="e">
        <f t="shared" ca="1" si="1737"/>
        <v>#NAME?</v>
      </c>
      <c r="AW199" s="22" t="e">
        <f t="shared" ca="1" si="1737"/>
        <v>#NAME?</v>
      </c>
      <c r="AX199" s="22" t="e">
        <f t="shared" ca="1" si="1737"/>
        <v>#NAME?</v>
      </c>
      <c r="AY199" s="22" t="e">
        <f t="shared" ca="1" si="1737"/>
        <v>#NAME?</v>
      </c>
      <c r="AZ199" s="22" t="e">
        <f t="shared" ca="1" si="1737"/>
        <v>#NAME?</v>
      </c>
      <c r="BA199" s="22" t="e">
        <f t="shared" ca="1" si="1737"/>
        <v>#NAME?</v>
      </c>
      <c r="BB199" s="22" t="e">
        <f t="shared" ca="1" si="1737"/>
        <v>#NAME?</v>
      </c>
      <c r="BC199" s="22" t="e">
        <f t="shared" ca="1" si="1737"/>
        <v>#NAME?</v>
      </c>
      <c r="BD199" s="22" t="e">
        <f t="shared" ca="1" si="1737"/>
        <v>#NAME?</v>
      </c>
      <c r="BE199" s="22" t="e">
        <f t="shared" ca="1" si="1737"/>
        <v>#NAME?</v>
      </c>
      <c r="BF199" s="22" t="e">
        <f t="shared" ca="1" si="1737"/>
        <v>#NAME?</v>
      </c>
      <c r="BG199" s="22" t="e">
        <f t="shared" ca="1" si="1737"/>
        <v>#NAME?</v>
      </c>
      <c r="BH199" s="22" t="e">
        <f t="shared" ca="1" si="1737"/>
        <v>#NAME?</v>
      </c>
      <c r="BI199" s="22" t="e">
        <f t="shared" ca="1" si="1737"/>
        <v>#NAME?</v>
      </c>
      <c r="BJ199" s="22" t="e">
        <f t="shared" ca="1" si="1737"/>
        <v>#NAME?</v>
      </c>
      <c r="BK199" s="22" t="e">
        <f t="shared" ca="1" si="1737"/>
        <v>#NAME?</v>
      </c>
      <c r="BL199" s="22" t="e">
        <f t="shared" ca="1" si="1737"/>
        <v>#NAME?</v>
      </c>
      <c r="BM199" s="22" t="e">
        <f t="shared" ca="1" si="1737"/>
        <v>#NAME?</v>
      </c>
      <c r="BN199" s="22" t="e">
        <f t="shared" ca="1" si="1737"/>
        <v>#NAME?</v>
      </c>
      <c r="BO199" s="22" t="e">
        <f t="shared" ca="1" si="1737"/>
        <v>#NAME?</v>
      </c>
      <c r="BP199" s="22" t="e">
        <f t="shared" ca="1" si="1737"/>
        <v>#NAME?</v>
      </c>
      <c r="BQ199" s="22" t="e">
        <f t="shared" ca="1" si="1737"/>
        <v>#NAME?</v>
      </c>
      <c r="BR199" s="22" t="e">
        <f t="shared" ca="1" si="1737"/>
        <v>#NAME?</v>
      </c>
      <c r="BS199" s="22" t="e">
        <f t="shared" ca="1" si="1737"/>
        <v>#NAME?</v>
      </c>
      <c r="BT199" s="22" t="e">
        <f t="shared" ca="1" si="1737"/>
        <v>#NAME?</v>
      </c>
      <c r="BU199" s="22" t="e">
        <f t="shared" ca="1" si="1737"/>
        <v>#NAME?</v>
      </c>
      <c r="BV199" s="22" t="e">
        <f t="shared" ca="1" si="1737"/>
        <v>#NAME?</v>
      </c>
      <c r="BW199" s="22" t="e">
        <f t="shared" ca="1" si="1737"/>
        <v>#NAME?</v>
      </c>
      <c r="BX199" s="22" t="e">
        <f t="shared" ca="1" si="1737"/>
        <v>#NAME?</v>
      </c>
      <c r="BY199" s="22" t="e">
        <f t="shared" ca="1" si="1737"/>
        <v>#NAME?</v>
      </c>
      <c r="BZ199" s="22" t="e">
        <f t="shared" ca="1" si="1737"/>
        <v>#NAME?</v>
      </c>
      <c r="CA199" s="22" t="e">
        <f t="shared" ca="1" si="1737"/>
        <v>#NAME?</v>
      </c>
      <c r="CB199" s="22" t="e">
        <f t="shared" ca="1" si="1737"/>
        <v>#NAME?</v>
      </c>
      <c r="CC199" s="22" t="e">
        <f t="shared" ca="1" si="1737"/>
        <v>#NAME?</v>
      </c>
      <c r="CD199" s="22" t="e">
        <f t="shared" ca="1" si="1737"/>
        <v>#NAME?</v>
      </c>
      <c r="CE199" s="22" t="e">
        <f t="shared" ref="CE199:CF199" ca="1" si="1738">CE197-CE198</f>
        <v>#NAME?</v>
      </c>
      <c r="CF199" s="22" t="e">
        <f t="shared" ca="1" si="1738"/>
        <v>#NAME?</v>
      </c>
      <c r="CG199" s="22" t="e">
        <f t="shared" ref="CG199:CH199" ca="1" si="1739">CG197-CG198</f>
        <v>#NAME?</v>
      </c>
      <c r="CH199" s="22" t="e">
        <f t="shared" ca="1" si="1739"/>
        <v>#NAME?</v>
      </c>
      <c r="CI199" s="22" t="e">
        <f t="shared" ref="CI199:CJ199" ca="1" si="1740">CI197-CI198</f>
        <v>#NAME?</v>
      </c>
      <c r="CJ199" s="22" t="e">
        <f t="shared" ca="1" si="1740"/>
        <v>#NAME?</v>
      </c>
      <c r="CK199" s="21" t="e">
        <f t="shared" ref="CK199:DB199" ca="1" si="1741">CK197-CK198</f>
        <v>#NAME?</v>
      </c>
      <c r="CL199" s="22" t="e">
        <f t="shared" ca="1" si="1741"/>
        <v>#NAME?</v>
      </c>
      <c r="CM199" s="21" t="e">
        <f t="shared" ca="1" si="1741"/>
        <v>#NAME?</v>
      </c>
      <c r="CN199" s="21" t="e">
        <f t="shared" ca="1" si="1741"/>
        <v>#NAME?</v>
      </c>
      <c r="CO199" s="21" t="e">
        <f t="shared" ca="1" si="1741"/>
        <v>#NAME?</v>
      </c>
      <c r="CP199" s="21" t="e">
        <f t="shared" ca="1" si="1741"/>
        <v>#NAME?</v>
      </c>
      <c r="CQ199" s="21" t="e">
        <f t="shared" ca="1" si="1741"/>
        <v>#NAME?</v>
      </c>
      <c r="CR199" s="21" t="e">
        <f t="shared" ca="1" si="1741"/>
        <v>#NAME?</v>
      </c>
      <c r="CS199" s="21" t="e">
        <f t="shared" ca="1" si="1741"/>
        <v>#NAME?</v>
      </c>
      <c r="CT199" s="21" t="e">
        <f t="shared" ca="1" si="1741"/>
        <v>#NAME?</v>
      </c>
      <c r="CU199" s="21" t="e">
        <f t="shared" ca="1" si="1741"/>
        <v>#NAME?</v>
      </c>
      <c r="CV199" s="21" t="e">
        <f t="shared" ca="1" si="1741"/>
        <v>#NAME?</v>
      </c>
      <c r="CW199" s="21" t="e">
        <f t="shared" ca="1" si="1741"/>
        <v>#NAME?</v>
      </c>
      <c r="CX199" s="21" t="e">
        <f t="shared" ca="1" si="1741"/>
        <v>#NAME?</v>
      </c>
      <c r="CY199" s="21" t="e">
        <f t="shared" ca="1" si="1741"/>
        <v>#NAME?</v>
      </c>
      <c r="CZ199" s="21" t="e">
        <f t="shared" ca="1" si="1741"/>
        <v>#NAME?</v>
      </c>
      <c r="DA199" s="21" t="e">
        <f t="shared" ca="1" si="1741"/>
        <v>#NAME?</v>
      </c>
      <c r="DB199" s="21" t="e">
        <f t="shared" ca="1" si="1741"/>
        <v>#NAME?</v>
      </c>
      <c r="DE199" s="126"/>
      <c r="DF199" s="22">
        <v>-19321.700000000012</v>
      </c>
    </row>
    <row r="200" spans="1:110" s="22" customFormat="1" x14ac:dyDescent="0.2">
      <c r="A200" s="22" t="s">
        <v>91</v>
      </c>
      <c r="C200" s="22" t="e">
        <f t="shared" ref="C200:W200" ca="1" si="1742">C196+C199</f>
        <v>#NAME?</v>
      </c>
      <c r="D200" s="22" t="e">
        <f ca="1">D196+D199</f>
        <v>#NAME?</v>
      </c>
      <c r="E200" s="22" t="e">
        <f t="shared" ca="1" si="1742"/>
        <v>#NAME?</v>
      </c>
      <c r="F200" s="22" t="e">
        <f t="shared" ca="1" si="1742"/>
        <v>#NAME?</v>
      </c>
      <c r="G200" s="22" t="e">
        <f t="shared" ca="1" si="1742"/>
        <v>#NAME?</v>
      </c>
      <c r="H200" s="22" t="e">
        <f t="shared" ca="1" si="1742"/>
        <v>#NAME?</v>
      </c>
      <c r="I200" s="22" t="e">
        <f t="shared" ca="1" si="1742"/>
        <v>#NAME?</v>
      </c>
      <c r="J200" s="22" t="e">
        <f ca="1">J196+J199</f>
        <v>#NAME?</v>
      </c>
      <c r="K200" s="22" t="e">
        <f t="shared" ca="1" si="1742"/>
        <v>#NAME?</v>
      </c>
      <c r="L200" s="22" t="e">
        <f t="shared" ca="1" si="1742"/>
        <v>#NAME?</v>
      </c>
      <c r="M200" s="22" t="e">
        <f t="shared" ca="1" si="1742"/>
        <v>#NAME?</v>
      </c>
      <c r="N200" s="22" t="e">
        <f t="shared" ca="1" si="1742"/>
        <v>#NAME?</v>
      </c>
      <c r="O200" s="22" t="e">
        <f t="shared" ca="1" si="1742"/>
        <v>#NAME?</v>
      </c>
      <c r="P200" s="22" t="e">
        <f t="shared" ca="1" si="1742"/>
        <v>#NAME?</v>
      </c>
      <c r="Q200" s="22" t="e">
        <f t="shared" ca="1" si="1742"/>
        <v>#NAME?</v>
      </c>
      <c r="R200" s="22" t="e">
        <f t="shared" ca="1" si="1742"/>
        <v>#NAME?</v>
      </c>
      <c r="S200" s="22" t="e">
        <f t="shared" ca="1" si="1742"/>
        <v>#NAME?</v>
      </c>
      <c r="T200" s="22" t="e">
        <f t="shared" ca="1" si="1742"/>
        <v>#NAME?</v>
      </c>
      <c r="U200" s="22" t="e">
        <f t="shared" ca="1" si="1742"/>
        <v>#NAME?</v>
      </c>
      <c r="V200" s="22" t="e">
        <f t="shared" ca="1" si="1742"/>
        <v>#NAME?</v>
      </c>
      <c r="W200" s="22" t="e">
        <f t="shared" ca="1" si="1742"/>
        <v>#NAME?</v>
      </c>
      <c r="X200" s="22" t="e">
        <f t="shared" ref="X200:Y200" ca="1" si="1743">X196+X199</f>
        <v>#NAME?</v>
      </c>
      <c r="Y200" s="22" t="e">
        <f t="shared" ca="1" si="1743"/>
        <v>#NAME?</v>
      </c>
      <c r="Z200" s="22" t="e">
        <f t="shared" ref="Z200:AA200" ca="1" si="1744">Z196+Z199</f>
        <v>#NAME?</v>
      </c>
      <c r="AA200" s="22" t="e">
        <f t="shared" ca="1" si="1744"/>
        <v>#NAME?</v>
      </c>
      <c r="AB200" s="21" t="e">
        <f t="shared" ref="AA200:AD200" ca="1" si="1745">AB196+AB199</f>
        <v>#NAME?</v>
      </c>
      <c r="AC200" s="21" t="e">
        <f t="shared" ca="1" si="1745"/>
        <v>#NAME?</v>
      </c>
      <c r="AD200" s="21" t="e">
        <f t="shared" ca="1" si="1745"/>
        <v>#NAME?</v>
      </c>
      <c r="AE200" s="21" t="e">
        <f t="shared" ref="AE200" ca="1" si="1746">AE196+AE199</f>
        <v>#NAME?</v>
      </c>
      <c r="AI200" s="22" t="e">
        <f t="shared" ref="AI200" ca="1" si="1747">AI196+AI199</f>
        <v>#NAME?</v>
      </c>
      <c r="AJ200" s="22" t="e">
        <f t="shared" ref="AJ200:AL200" ca="1" si="1748">AJ196+AJ199</f>
        <v>#NAME?</v>
      </c>
      <c r="AK200" s="22" t="e">
        <f t="shared" ca="1" si="1748"/>
        <v>#NAME?</v>
      </c>
      <c r="AL200" s="22" t="e">
        <f t="shared" ca="1" si="1748"/>
        <v>#NAME?</v>
      </c>
      <c r="AM200" s="22" t="e">
        <f t="shared" ref="AM200" ca="1" si="1749">AM196+AM199</f>
        <v>#NAME?</v>
      </c>
      <c r="AN200" s="22" t="e">
        <f t="shared" ref="AN200:CD200" ca="1" si="1750">AN196+AN199</f>
        <v>#NAME?</v>
      </c>
      <c r="AO200" s="22" t="e">
        <f t="shared" ca="1" si="1750"/>
        <v>#NAME?</v>
      </c>
      <c r="AP200" s="22" t="e">
        <f t="shared" ca="1" si="1750"/>
        <v>#NAME?</v>
      </c>
      <c r="AQ200" s="22" t="e">
        <f t="shared" ca="1" si="1750"/>
        <v>#NAME?</v>
      </c>
      <c r="AR200" s="22" t="e">
        <f t="shared" ca="1" si="1750"/>
        <v>#NAME?</v>
      </c>
      <c r="AS200" s="22" t="e">
        <f t="shared" ca="1" si="1750"/>
        <v>#NAME?</v>
      </c>
      <c r="AT200" s="22" t="e">
        <f t="shared" ca="1" si="1750"/>
        <v>#NAME?</v>
      </c>
      <c r="AU200" s="22" t="e">
        <f t="shared" ca="1" si="1750"/>
        <v>#NAME?</v>
      </c>
      <c r="AV200" s="22" t="e">
        <f t="shared" ca="1" si="1750"/>
        <v>#NAME?</v>
      </c>
      <c r="AW200" s="22" t="e">
        <f t="shared" ca="1" si="1750"/>
        <v>#NAME?</v>
      </c>
      <c r="AX200" s="22" t="e">
        <f t="shared" ca="1" si="1750"/>
        <v>#NAME?</v>
      </c>
      <c r="AY200" s="22" t="e">
        <f t="shared" ca="1" si="1750"/>
        <v>#NAME?</v>
      </c>
      <c r="AZ200" s="22" t="e">
        <f t="shared" ca="1" si="1750"/>
        <v>#NAME?</v>
      </c>
      <c r="BA200" s="22" t="e">
        <f t="shared" ca="1" si="1750"/>
        <v>#NAME?</v>
      </c>
      <c r="BB200" s="22" t="e">
        <f t="shared" ca="1" si="1750"/>
        <v>#NAME?</v>
      </c>
      <c r="BC200" s="22" t="e">
        <f t="shared" ca="1" si="1750"/>
        <v>#NAME?</v>
      </c>
      <c r="BD200" s="22" t="e">
        <f t="shared" ca="1" si="1750"/>
        <v>#NAME?</v>
      </c>
      <c r="BE200" s="22" t="e">
        <f t="shared" ca="1" si="1750"/>
        <v>#NAME?</v>
      </c>
      <c r="BF200" s="22" t="e">
        <f t="shared" ca="1" si="1750"/>
        <v>#NAME?</v>
      </c>
      <c r="BG200" s="22" t="e">
        <f t="shared" ca="1" si="1750"/>
        <v>#NAME?</v>
      </c>
      <c r="BH200" s="22" t="e">
        <f t="shared" ca="1" si="1750"/>
        <v>#NAME?</v>
      </c>
      <c r="BI200" s="22" t="e">
        <f t="shared" ca="1" si="1750"/>
        <v>#NAME?</v>
      </c>
      <c r="BJ200" s="22" t="e">
        <f t="shared" ca="1" si="1750"/>
        <v>#NAME?</v>
      </c>
      <c r="BK200" s="22" t="e">
        <f t="shared" ca="1" si="1750"/>
        <v>#NAME?</v>
      </c>
      <c r="BL200" s="22" t="e">
        <f t="shared" ca="1" si="1750"/>
        <v>#NAME?</v>
      </c>
      <c r="BM200" s="22" t="e">
        <f t="shared" ca="1" si="1750"/>
        <v>#NAME?</v>
      </c>
      <c r="BN200" s="22" t="e">
        <f t="shared" ca="1" si="1750"/>
        <v>#NAME?</v>
      </c>
      <c r="BO200" s="22" t="e">
        <f t="shared" ca="1" si="1750"/>
        <v>#NAME?</v>
      </c>
      <c r="BP200" s="22" t="e">
        <f t="shared" ca="1" si="1750"/>
        <v>#NAME?</v>
      </c>
      <c r="BQ200" s="22" t="e">
        <f t="shared" ca="1" si="1750"/>
        <v>#NAME?</v>
      </c>
      <c r="BR200" s="22" t="e">
        <f t="shared" ca="1" si="1750"/>
        <v>#NAME?</v>
      </c>
      <c r="BS200" s="22" t="e">
        <f t="shared" ca="1" si="1750"/>
        <v>#NAME?</v>
      </c>
      <c r="BT200" s="22" t="e">
        <f t="shared" ca="1" si="1750"/>
        <v>#NAME?</v>
      </c>
      <c r="BU200" s="22" t="e">
        <f t="shared" ca="1" si="1750"/>
        <v>#NAME?</v>
      </c>
      <c r="BV200" s="22" t="e">
        <f t="shared" ca="1" si="1750"/>
        <v>#NAME?</v>
      </c>
      <c r="BW200" s="22" t="e">
        <f t="shared" ca="1" si="1750"/>
        <v>#NAME?</v>
      </c>
      <c r="BX200" s="22" t="e">
        <f t="shared" ca="1" si="1750"/>
        <v>#NAME?</v>
      </c>
      <c r="BY200" s="22" t="e">
        <f t="shared" ca="1" si="1750"/>
        <v>#NAME?</v>
      </c>
      <c r="BZ200" s="22" t="e">
        <f t="shared" ca="1" si="1750"/>
        <v>#NAME?</v>
      </c>
      <c r="CA200" s="22" t="e">
        <f t="shared" ca="1" si="1750"/>
        <v>#NAME?</v>
      </c>
      <c r="CB200" s="22" t="e">
        <f t="shared" ca="1" si="1750"/>
        <v>#NAME?</v>
      </c>
      <c r="CC200" s="22" t="e">
        <f t="shared" ca="1" si="1750"/>
        <v>#NAME?</v>
      </c>
      <c r="CD200" s="22" t="e">
        <f t="shared" ca="1" si="1750"/>
        <v>#NAME?</v>
      </c>
      <c r="CE200" s="22" t="e">
        <f t="shared" ref="CE200:CF200" ca="1" si="1751">CE196+CE199</f>
        <v>#NAME?</v>
      </c>
      <c r="CF200" s="22" t="e">
        <f t="shared" ca="1" si="1751"/>
        <v>#NAME?</v>
      </c>
      <c r="CG200" s="22" t="e">
        <f t="shared" ref="CG200:CH200" ca="1" si="1752">CG196+CG199</f>
        <v>#NAME?</v>
      </c>
      <c r="CH200" s="22" t="e">
        <f t="shared" ca="1" si="1752"/>
        <v>#NAME?</v>
      </c>
      <c r="CI200" s="22" t="e">
        <f t="shared" ref="CI200:CJ200" ca="1" si="1753">CI196+CI199</f>
        <v>#NAME?</v>
      </c>
      <c r="CJ200" s="22" t="e">
        <f t="shared" ca="1" si="1753"/>
        <v>#NAME?</v>
      </c>
      <c r="CK200" s="21" t="e">
        <f t="shared" ref="CK200:DB200" ca="1" si="1754">CK196+CK199</f>
        <v>#NAME?</v>
      </c>
      <c r="CL200" s="22" t="e">
        <f t="shared" ca="1" si="1754"/>
        <v>#NAME?</v>
      </c>
      <c r="CM200" s="21" t="e">
        <f t="shared" ca="1" si="1754"/>
        <v>#NAME?</v>
      </c>
      <c r="CN200" s="21" t="e">
        <f t="shared" ca="1" si="1754"/>
        <v>#NAME?</v>
      </c>
      <c r="CO200" s="21" t="e">
        <f t="shared" ca="1" si="1754"/>
        <v>#NAME?</v>
      </c>
      <c r="CP200" s="21" t="e">
        <f t="shared" ca="1" si="1754"/>
        <v>#NAME?</v>
      </c>
      <c r="CQ200" s="21" t="e">
        <f t="shared" ca="1" si="1754"/>
        <v>#NAME?</v>
      </c>
      <c r="CR200" s="21" t="e">
        <f t="shared" ca="1" si="1754"/>
        <v>#NAME?</v>
      </c>
      <c r="CS200" s="21" t="e">
        <f t="shared" ca="1" si="1754"/>
        <v>#NAME?</v>
      </c>
      <c r="CT200" s="21" t="e">
        <f t="shared" ca="1" si="1754"/>
        <v>#NAME?</v>
      </c>
      <c r="CU200" s="21" t="e">
        <f t="shared" ca="1" si="1754"/>
        <v>#NAME?</v>
      </c>
      <c r="CV200" s="21" t="e">
        <f t="shared" ca="1" si="1754"/>
        <v>#NAME?</v>
      </c>
      <c r="CW200" s="21" t="e">
        <f t="shared" ca="1" si="1754"/>
        <v>#NAME?</v>
      </c>
      <c r="CX200" s="21" t="e">
        <f t="shared" ca="1" si="1754"/>
        <v>#NAME?</v>
      </c>
      <c r="CY200" s="21" t="e">
        <f t="shared" ca="1" si="1754"/>
        <v>#NAME?</v>
      </c>
      <c r="CZ200" s="21" t="e">
        <f t="shared" ca="1" si="1754"/>
        <v>#NAME?</v>
      </c>
      <c r="DA200" s="21" t="e">
        <f t="shared" ca="1" si="1754"/>
        <v>#NAME?</v>
      </c>
      <c r="DB200" s="21" t="e">
        <f t="shared" ca="1" si="1754"/>
        <v>#NAME?</v>
      </c>
      <c r="DE200" s="126"/>
      <c r="DF200" s="22">
        <v>-3846.8900000000194</v>
      </c>
    </row>
    <row r="201" spans="1:110" s="23" customFormat="1" x14ac:dyDescent="0.2">
      <c r="AB201" s="24"/>
      <c r="AC201" s="24"/>
      <c r="AD201" s="24"/>
      <c r="AE201" s="24"/>
      <c r="CK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</row>
    <row r="202" spans="1:110" s="22" customFormat="1" x14ac:dyDescent="0.2">
      <c r="A202" s="22" t="s">
        <v>92</v>
      </c>
      <c r="C202" s="22" t="e">
        <f t="shared" ref="C202:W202" ca="1" si="1755">C203+C204</f>
        <v>#NAME?</v>
      </c>
      <c r="D202" s="22" t="e">
        <f ca="1">D203+D204</f>
        <v>#NAME?</v>
      </c>
      <c r="E202" s="22" t="e">
        <f t="shared" ca="1" si="1755"/>
        <v>#NAME?</v>
      </c>
      <c r="F202" s="22" t="e">
        <f t="shared" ca="1" si="1755"/>
        <v>#NAME?</v>
      </c>
      <c r="G202" s="22" t="e">
        <f t="shared" ca="1" si="1755"/>
        <v>#NAME?</v>
      </c>
      <c r="H202" s="22" t="e">
        <f t="shared" ca="1" si="1755"/>
        <v>#NAME?</v>
      </c>
      <c r="I202" s="22" t="e">
        <f t="shared" ca="1" si="1755"/>
        <v>#NAME?</v>
      </c>
      <c r="J202" s="22" t="e">
        <f t="shared" ca="1" si="1755"/>
        <v>#NAME?</v>
      </c>
      <c r="K202" s="22" t="e">
        <f t="shared" ca="1" si="1755"/>
        <v>#NAME?</v>
      </c>
      <c r="L202" s="22" t="e">
        <f t="shared" ca="1" si="1755"/>
        <v>#NAME?</v>
      </c>
      <c r="M202" s="22" t="e">
        <f t="shared" ca="1" si="1755"/>
        <v>#NAME?</v>
      </c>
      <c r="N202" s="22" t="e">
        <f t="shared" ca="1" si="1755"/>
        <v>#NAME?</v>
      </c>
      <c r="O202" s="22" t="e">
        <f t="shared" ca="1" si="1755"/>
        <v>#NAME?</v>
      </c>
      <c r="P202" s="22" t="e">
        <f t="shared" ca="1" si="1755"/>
        <v>#NAME?</v>
      </c>
      <c r="Q202" s="22" t="e">
        <f t="shared" ca="1" si="1755"/>
        <v>#NAME?</v>
      </c>
      <c r="R202" s="22" t="e">
        <f t="shared" ca="1" si="1755"/>
        <v>#NAME?</v>
      </c>
      <c r="S202" s="22" t="e">
        <f t="shared" ca="1" si="1755"/>
        <v>#NAME?</v>
      </c>
      <c r="T202" s="22" t="e">
        <f t="shared" ca="1" si="1755"/>
        <v>#NAME?</v>
      </c>
      <c r="U202" s="22" t="e">
        <f t="shared" ca="1" si="1755"/>
        <v>#NAME?</v>
      </c>
      <c r="V202" s="22" t="e">
        <f t="shared" ca="1" si="1755"/>
        <v>#NAME?</v>
      </c>
      <c r="W202" s="22" t="e">
        <f t="shared" ca="1" si="1755"/>
        <v>#NAME?</v>
      </c>
      <c r="X202" s="22" t="e">
        <f t="shared" ref="X202:Y202" ca="1" si="1756">X203+X204</f>
        <v>#NAME?</v>
      </c>
      <c r="Y202" s="22" t="e">
        <f t="shared" ca="1" si="1756"/>
        <v>#NAME?</v>
      </c>
      <c r="Z202" s="22" t="e">
        <f t="shared" ref="Z202:AA202" ca="1" si="1757">Z203+Z204</f>
        <v>#NAME?</v>
      </c>
      <c r="AA202" s="22" t="e">
        <f t="shared" ca="1" si="1757"/>
        <v>#NAME?</v>
      </c>
      <c r="AB202" s="21" t="e">
        <f t="shared" ref="AA202:AD202" ca="1" si="1758">AB203+AB204</f>
        <v>#NAME?</v>
      </c>
      <c r="AC202" s="21" t="e">
        <f t="shared" ca="1" si="1758"/>
        <v>#NAME?</v>
      </c>
      <c r="AD202" s="21" t="e">
        <f t="shared" ca="1" si="1758"/>
        <v>#NAME?</v>
      </c>
      <c r="AE202" s="21" t="e">
        <f t="shared" ref="AE202" ca="1" si="1759">AE203+AE204</f>
        <v>#NAME?</v>
      </c>
      <c r="AI202" s="22" t="e">
        <f t="shared" ref="AI202" ca="1" si="1760">AI203+AI204</f>
        <v>#NAME?</v>
      </c>
      <c r="AJ202" s="22" t="e">
        <f t="shared" ref="AJ202:AL202" ca="1" si="1761">AJ203+AJ204</f>
        <v>#NAME?</v>
      </c>
      <c r="AK202" s="22" t="e">
        <f t="shared" ca="1" si="1761"/>
        <v>#NAME?</v>
      </c>
      <c r="AL202" s="22" t="e">
        <f t="shared" ca="1" si="1761"/>
        <v>#NAME?</v>
      </c>
      <c r="AM202" s="22" t="e">
        <f t="shared" ref="AM202" ca="1" si="1762">AM203+AM204</f>
        <v>#NAME?</v>
      </c>
      <c r="AN202" s="22" t="e">
        <f t="shared" ref="AN202:CD202" ca="1" si="1763">AN203+AN204</f>
        <v>#NAME?</v>
      </c>
      <c r="AO202" s="22" t="e">
        <f t="shared" ca="1" si="1763"/>
        <v>#NAME?</v>
      </c>
      <c r="AP202" s="22" t="e">
        <f t="shared" ca="1" si="1763"/>
        <v>#NAME?</v>
      </c>
      <c r="AQ202" s="22" t="e">
        <f t="shared" ca="1" si="1763"/>
        <v>#NAME?</v>
      </c>
      <c r="AR202" s="22" t="e">
        <f t="shared" ca="1" si="1763"/>
        <v>#NAME?</v>
      </c>
      <c r="AS202" s="22" t="e">
        <f t="shared" ca="1" si="1763"/>
        <v>#NAME?</v>
      </c>
      <c r="AT202" s="22" t="e">
        <f t="shared" ca="1" si="1763"/>
        <v>#NAME?</v>
      </c>
      <c r="AU202" s="22" t="e">
        <f t="shared" ca="1" si="1763"/>
        <v>#NAME?</v>
      </c>
      <c r="AV202" s="22" t="e">
        <f t="shared" ca="1" si="1763"/>
        <v>#NAME?</v>
      </c>
      <c r="AW202" s="22" t="e">
        <f t="shared" ca="1" si="1763"/>
        <v>#NAME?</v>
      </c>
      <c r="AX202" s="22" t="e">
        <f t="shared" ca="1" si="1763"/>
        <v>#NAME?</v>
      </c>
      <c r="AY202" s="22" t="e">
        <f t="shared" ca="1" si="1763"/>
        <v>#NAME?</v>
      </c>
      <c r="AZ202" s="22" t="e">
        <f t="shared" ca="1" si="1763"/>
        <v>#NAME?</v>
      </c>
      <c r="BA202" s="22" t="e">
        <f t="shared" ca="1" si="1763"/>
        <v>#NAME?</v>
      </c>
      <c r="BB202" s="22" t="e">
        <f t="shared" ca="1" si="1763"/>
        <v>#NAME?</v>
      </c>
      <c r="BC202" s="22" t="e">
        <f t="shared" ca="1" si="1763"/>
        <v>#NAME?</v>
      </c>
      <c r="BD202" s="22" t="e">
        <f t="shared" ca="1" si="1763"/>
        <v>#NAME?</v>
      </c>
      <c r="BE202" s="22" t="e">
        <f t="shared" ca="1" si="1763"/>
        <v>#NAME?</v>
      </c>
      <c r="BF202" s="22" t="e">
        <f t="shared" ca="1" si="1763"/>
        <v>#NAME?</v>
      </c>
      <c r="BG202" s="22" t="e">
        <f t="shared" ca="1" si="1763"/>
        <v>#NAME?</v>
      </c>
      <c r="BH202" s="22" t="e">
        <f t="shared" ca="1" si="1763"/>
        <v>#NAME?</v>
      </c>
      <c r="BI202" s="22" t="e">
        <f t="shared" ca="1" si="1763"/>
        <v>#NAME?</v>
      </c>
      <c r="BJ202" s="22" t="e">
        <f t="shared" ca="1" si="1763"/>
        <v>#NAME?</v>
      </c>
      <c r="BK202" s="22" t="e">
        <f t="shared" ca="1" si="1763"/>
        <v>#NAME?</v>
      </c>
      <c r="BL202" s="22" t="e">
        <f t="shared" ca="1" si="1763"/>
        <v>#NAME?</v>
      </c>
      <c r="BM202" s="22" t="e">
        <f t="shared" ca="1" si="1763"/>
        <v>#NAME?</v>
      </c>
      <c r="BN202" s="22" t="e">
        <f t="shared" ca="1" si="1763"/>
        <v>#NAME?</v>
      </c>
      <c r="BO202" s="22" t="e">
        <f t="shared" ca="1" si="1763"/>
        <v>#NAME?</v>
      </c>
      <c r="BP202" s="22" t="e">
        <f t="shared" ca="1" si="1763"/>
        <v>#NAME?</v>
      </c>
      <c r="BQ202" s="22" t="e">
        <f t="shared" ca="1" si="1763"/>
        <v>#NAME?</v>
      </c>
      <c r="BR202" s="22" t="e">
        <f t="shared" ca="1" si="1763"/>
        <v>#NAME?</v>
      </c>
      <c r="BS202" s="22" t="e">
        <f t="shared" ca="1" si="1763"/>
        <v>#NAME?</v>
      </c>
      <c r="BT202" s="22" t="e">
        <f t="shared" ca="1" si="1763"/>
        <v>#NAME?</v>
      </c>
      <c r="BU202" s="22" t="e">
        <f t="shared" ca="1" si="1763"/>
        <v>#NAME?</v>
      </c>
      <c r="BV202" s="22" t="e">
        <f t="shared" ca="1" si="1763"/>
        <v>#NAME?</v>
      </c>
      <c r="BW202" s="22" t="e">
        <f t="shared" ca="1" si="1763"/>
        <v>#NAME?</v>
      </c>
      <c r="BX202" s="22" t="e">
        <f t="shared" ca="1" si="1763"/>
        <v>#NAME?</v>
      </c>
      <c r="BY202" s="22" t="e">
        <f t="shared" ca="1" si="1763"/>
        <v>#NAME?</v>
      </c>
      <c r="BZ202" s="22" t="e">
        <f t="shared" ca="1" si="1763"/>
        <v>#NAME?</v>
      </c>
      <c r="CA202" s="22" t="e">
        <f t="shared" ca="1" si="1763"/>
        <v>#NAME?</v>
      </c>
      <c r="CB202" s="22" t="e">
        <f t="shared" ca="1" si="1763"/>
        <v>#NAME?</v>
      </c>
      <c r="CC202" s="22" t="e">
        <f t="shared" ca="1" si="1763"/>
        <v>#NAME?</v>
      </c>
      <c r="CD202" s="22" t="e">
        <f t="shared" ca="1" si="1763"/>
        <v>#NAME?</v>
      </c>
      <c r="CE202" s="22" t="e">
        <f t="shared" ref="CE202:CF202" ca="1" si="1764">CE203+CE204</f>
        <v>#NAME?</v>
      </c>
      <c r="CF202" s="22" t="e">
        <f t="shared" ca="1" si="1764"/>
        <v>#NAME?</v>
      </c>
      <c r="CG202" s="22" t="e">
        <f t="shared" ref="CG202:CH202" ca="1" si="1765">CG203+CG204</f>
        <v>#NAME?</v>
      </c>
      <c r="CH202" s="22" t="e">
        <f t="shared" ca="1" si="1765"/>
        <v>#NAME?</v>
      </c>
      <c r="CI202" s="22" t="e">
        <f t="shared" ref="CI202:CJ202" ca="1" si="1766">CI203+CI204</f>
        <v>#NAME?</v>
      </c>
      <c r="CJ202" s="22" t="e">
        <f t="shared" ca="1" si="1766"/>
        <v>#NAME?</v>
      </c>
      <c r="CK202" s="21" t="e">
        <f t="shared" ref="CK202:DB202" ca="1" si="1767">CK203+CK204</f>
        <v>#NAME?</v>
      </c>
      <c r="CL202" s="22" t="e">
        <f t="shared" ca="1" si="1767"/>
        <v>#NAME?</v>
      </c>
      <c r="CM202" s="21" t="e">
        <f t="shared" ca="1" si="1767"/>
        <v>#NAME?</v>
      </c>
      <c r="CN202" s="21" t="e">
        <f t="shared" ca="1" si="1767"/>
        <v>#NAME?</v>
      </c>
      <c r="CO202" s="21" t="e">
        <f t="shared" ca="1" si="1767"/>
        <v>#NAME?</v>
      </c>
      <c r="CP202" s="21" t="e">
        <f t="shared" ca="1" si="1767"/>
        <v>#NAME?</v>
      </c>
      <c r="CQ202" s="21" t="e">
        <f t="shared" ca="1" si="1767"/>
        <v>#NAME?</v>
      </c>
      <c r="CR202" s="21" t="e">
        <f t="shared" ca="1" si="1767"/>
        <v>#NAME?</v>
      </c>
      <c r="CS202" s="21" t="e">
        <f t="shared" ca="1" si="1767"/>
        <v>#NAME?</v>
      </c>
      <c r="CT202" s="21" t="e">
        <f t="shared" ca="1" si="1767"/>
        <v>#NAME?</v>
      </c>
      <c r="CU202" s="21" t="e">
        <f t="shared" ca="1" si="1767"/>
        <v>#NAME?</v>
      </c>
      <c r="CV202" s="21" t="e">
        <f t="shared" ca="1" si="1767"/>
        <v>#NAME?</v>
      </c>
      <c r="CW202" s="21" t="e">
        <f t="shared" ca="1" si="1767"/>
        <v>#NAME?</v>
      </c>
      <c r="CX202" s="21" t="e">
        <f t="shared" ca="1" si="1767"/>
        <v>#NAME?</v>
      </c>
      <c r="CY202" s="21" t="e">
        <f t="shared" ca="1" si="1767"/>
        <v>#NAME?</v>
      </c>
      <c r="CZ202" s="21" t="e">
        <f t="shared" ca="1" si="1767"/>
        <v>#NAME?</v>
      </c>
      <c r="DA202" s="21" t="e">
        <f t="shared" ca="1" si="1767"/>
        <v>#NAME?</v>
      </c>
      <c r="DB202" s="21" t="e">
        <f t="shared" ca="1" si="1767"/>
        <v>#NAME?</v>
      </c>
      <c r="DE202" s="126"/>
      <c r="DF202" s="22">
        <v>-24889.220000000016</v>
      </c>
    </row>
    <row r="203" spans="1:110" s="23" customFormat="1" x14ac:dyDescent="0.2">
      <c r="A203" s="23" t="s">
        <v>93</v>
      </c>
      <c r="C203" s="23" t="e">
        <f t="shared" ref="C203:AA203" ca="1" si="1768">B141-C141</f>
        <v>#NAME?</v>
      </c>
      <c r="D203" s="23" t="e">
        <f t="shared" ca="1" si="1768"/>
        <v>#NAME?</v>
      </c>
      <c r="E203" s="23" t="e">
        <f ca="1">D141-E141</f>
        <v>#NAME?</v>
      </c>
      <c r="F203" s="23" t="e">
        <f t="shared" ca="1" si="1768"/>
        <v>#NAME?</v>
      </c>
      <c r="G203" s="23" t="e">
        <f t="shared" ca="1" si="1768"/>
        <v>#NAME?</v>
      </c>
      <c r="H203" s="23" t="e">
        <f t="shared" ca="1" si="1768"/>
        <v>#NAME?</v>
      </c>
      <c r="I203" s="23" t="e">
        <f t="shared" ca="1" si="1768"/>
        <v>#NAME?</v>
      </c>
      <c r="J203" s="23" t="e">
        <f ca="1">I141-J141</f>
        <v>#NAME?</v>
      </c>
      <c r="K203" s="23" t="e">
        <f ca="1">J141-K141</f>
        <v>#NAME?</v>
      </c>
      <c r="L203" s="23" t="e">
        <f t="shared" ca="1" si="1768"/>
        <v>#NAME?</v>
      </c>
      <c r="M203" s="23" t="e">
        <f t="shared" ca="1" si="1768"/>
        <v>#NAME?</v>
      </c>
      <c r="N203" s="23" t="e">
        <f t="shared" ca="1" si="1768"/>
        <v>#NAME?</v>
      </c>
      <c r="O203" s="23" t="e">
        <f t="shared" ca="1" si="1768"/>
        <v>#NAME?</v>
      </c>
      <c r="P203" s="23" t="e">
        <f t="shared" ca="1" si="1768"/>
        <v>#NAME?</v>
      </c>
      <c r="Q203" s="23" t="e">
        <f t="shared" ca="1" si="1768"/>
        <v>#NAME?</v>
      </c>
      <c r="R203" s="23" t="e">
        <f t="shared" ca="1" si="1768"/>
        <v>#NAME?</v>
      </c>
      <c r="S203" s="23" t="e">
        <f t="shared" ca="1" si="1768"/>
        <v>#NAME?</v>
      </c>
      <c r="T203" s="23" t="e">
        <f t="shared" ca="1" si="1768"/>
        <v>#NAME?</v>
      </c>
      <c r="U203" s="23" t="e">
        <f t="shared" ca="1" si="1768"/>
        <v>#NAME?</v>
      </c>
      <c r="V203" s="23" t="e">
        <f t="shared" ca="1" si="1768"/>
        <v>#NAME?</v>
      </c>
      <c r="W203" s="23" t="e">
        <f t="shared" ca="1" si="1768"/>
        <v>#NAME?</v>
      </c>
      <c r="X203" s="23" t="e">
        <f t="shared" ca="1" si="1768"/>
        <v>#NAME?</v>
      </c>
      <c r="Y203" s="23" t="e">
        <f t="shared" ca="1" si="1768"/>
        <v>#NAME?</v>
      </c>
      <c r="Z203" s="23" t="e">
        <f t="shared" ca="1" si="1768"/>
        <v>#NAME?</v>
      </c>
      <c r="AA203" s="23" t="e">
        <f t="shared" ca="1" si="1768"/>
        <v>#NAME?</v>
      </c>
      <c r="AB203" s="24" t="e">
        <f t="shared" ref="AB203" ca="1" si="1769">AA141-AB141</f>
        <v>#NAME?</v>
      </c>
      <c r="AC203" s="24" t="e">
        <f t="shared" ref="AC203" ca="1" si="1770">AB141-AC141</f>
        <v>#NAME?</v>
      </c>
      <c r="AD203" s="24" t="e">
        <f t="shared" ref="AD203" ca="1" si="1771">AC141-AD141</f>
        <v>#NAME?</v>
      </c>
      <c r="AE203" s="24" t="e">
        <f t="shared" ref="AE203" ca="1" si="1772">AD141-AE141</f>
        <v>#NAME?</v>
      </c>
      <c r="AI203" s="23">
        <f t="shared" ref="AI203" si="1773">AH141-AI141</f>
        <v>0</v>
      </c>
      <c r="AJ203" s="23" t="e">
        <f t="shared" ref="AJ203" ca="1" si="1774">AI141-AJ141</f>
        <v>#NAME?</v>
      </c>
      <c r="AK203" s="23" t="e">
        <f t="shared" ref="AK203" ca="1" si="1775">AJ141-AK141</f>
        <v>#NAME?</v>
      </c>
      <c r="AL203" s="23" t="e">
        <f t="shared" ref="AL203" ca="1" si="1776">AK141-AL141</f>
        <v>#NAME?</v>
      </c>
      <c r="AM203" s="23" t="e">
        <f t="shared" ref="AM203" ca="1" si="1777">AL141-AM141</f>
        <v>#NAME?</v>
      </c>
      <c r="AN203" s="23" t="e">
        <f t="shared" ref="AN203" ca="1" si="1778">AM141-AN141</f>
        <v>#NAME?</v>
      </c>
      <c r="AO203" s="23" t="e">
        <f t="shared" ref="AO203" ca="1" si="1779">AN141-AO141</f>
        <v>#NAME?</v>
      </c>
      <c r="AP203" s="23" t="e">
        <f t="shared" ref="AP203" ca="1" si="1780">AO141-AP141</f>
        <v>#NAME?</v>
      </c>
      <c r="AQ203" s="23" t="e">
        <f t="shared" ref="AQ203" ca="1" si="1781">AP141-AQ141</f>
        <v>#NAME?</v>
      </c>
      <c r="AR203" s="23" t="e">
        <f t="shared" ref="AR203" ca="1" si="1782">AQ141-AR141</f>
        <v>#NAME?</v>
      </c>
      <c r="AS203" s="23" t="e">
        <f t="shared" ref="AS203" ca="1" si="1783">AR141-AS141</f>
        <v>#NAME?</v>
      </c>
      <c r="AT203" s="23" t="e">
        <f t="shared" ref="AT203" ca="1" si="1784">AS141-AT141</f>
        <v>#NAME?</v>
      </c>
      <c r="AU203" s="23" t="e">
        <f t="shared" ref="AU203" ca="1" si="1785">AT141-AU141</f>
        <v>#NAME?</v>
      </c>
      <c r="AV203" s="23" t="e">
        <f t="shared" ref="AV203" ca="1" si="1786">AU141-AV141</f>
        <v>#NAME?</v>
      </c>
      <c r="AW203" s="23" t="e">
        <f t="shared" ref="AW203" ca="1" si="1787">AV141-AW141</f>
        <v>#NAME?</v>
      </c>
      <c r="AX203" s="23" t="e">
        <f t="shared" ref="AX203" ca="1" si="1788">AW141-AX141</f>
        <v>#NAME?</v>
      </c>
      <c r="AY203" s="23" t="e">
        <f t="shared" ref="AY203" ca="1" si="1789">AX141-AY141</f>
        <v>#NAME?</v>
      </c>
      <c r="AZ203" s="23" t="e">
        <f t="shared" ref="AZ203" ca="1" si="1790">AY141-AZ141</f>
        <v>#NAME?</v>
      </c>
      <c r="BA203" s="23" t="e">
        <f t="shared" ref="BA203" ca="1" si="1791">AZ141-BA141</f>
        <v>#NAME?</v>
      </c>
      <c r="BB203" s="23" t="e">
        <f t="shared" ref="BB203" ca="1" si="1792">BA141-BB141</f>
        <v>#NAME?</v>
      </c>
      <c r="BC203" s="23" t="e">
        <f t="shared" ref="BC203" ca="1" si="1793">BB141-BC141</f>
        <v>#NAME?</v>
      </c>
      <c r="BD203" s="23" t="e">
        <f t="shared" ref="BD203" ca="1" si="1794">BC141-BD141</f>
        <v>#NAME?</v>
      </c>
      <c r="BE203" s="23" t="e">
        <f t="shared" ref="BE203" ca="1" si="1795">BD141-BE141</f>
        <v>#NAME?</v>
      </c>
      <c r="BF203" s="23" t="e">
        <f t="shared" ref="BF203" ca="1" si="1796">BE141-BF141</f>
        <v>#NAME?</v>
      </c>
      <c r="BG203" s="23" t="e">
        <f t="shared" ref="BG203" ca="1" si="1797">BF141-BG141</f>
        <v>#NAME?</v>
      </c>
      <c r="BH203" s="23" t="e">
        <f t="shared" ref="BH203" ca="1" si="1798">BG141-BH141</f>
        <v>#NAME?</v>
      </c>
      <c r="BI203" s="23" t="e">
        <f t="shared" ref="BI203" ca="1" si="1799">BH141-BI141</f>
        <v>#NAME?</v>
      </c>
      <c r="BJ203" s="23" t="e">
        <f t="shared" ref="BJ203" ca="1" si="1800">BI141-BJ141</f>
        <v>#NAME?</v>
      </c>
      <c r="BK203" s="23" t="e">
        <f t="shared" ref="BK203" ca="1" si="1801">BJ141-BK141</f>
        <v>#NAME?</v>
      </c>
      <c r="BL203" s="23" t="e">
        <f t="shared" ref="BL203" ca="1" si="1802">BK141-BL141</f>
        <v>#NAME?</v>
      </c>
      <c r="BM203" s="23" t="e">
        <f t="shared" ref="BM203" ca="1" si="1803">BL141-BM141</f>
        <v>#NAME?</v>
      </c>
      <c r="BN203" s="23" t="e">
        <f t="shared" ref="BN203" ca="1" si="1804">BM141-BN141</f>
        <v>#NAME?</v>
      </c>
      <c r="BO203" s="23" t="e">
        <f t="shared" ref="BO203" ca="1" si="1805">BN141-BO141</f>
        <v>#NAME?</v>
      </c>
      <c r="BP203" s="23" t="e">
        <f t="shared" ref="BP203" ca="1" si="1806">BO141-BP141</f>
        <v>#NAME?</v>
      </c>
      <c r="BQ203" s="23" t="e">
        <f t="shared" ref="BQ203" ca="1" si="1807">BP141-BQ141</f>
        <v>#NAME?</v>
      </c>
      <c r="BR203" s="23" t="e">
        <f t="shared" ref="BR203" ca="1" si="1808">BQ141-BR141</f>
        <v>#NAME?</v>
      </c>
      <c r="BS203" s="23" t="e">
        <f t="shared" ref="BS203" ca="1" si="1809">BR141-BS141</f>
        <v>#NAME?</v>
      </c>
      <c r="BT203" s="23" t="e">
        <f t="shared" ref="BT203" ca="1" si="1810">BS141-BT141</f>
        <v>#NAME?</v>
      </c>
      <c r="BU203" s="23" t="e">
        <f t="shared" ref="BU203" ca="1" si="1811">BT141-BU141</f>
        <v>#NAME?</v>
      </c>
      <c r="BV203" s="23" t="e">
        <f t="shared" ref="BV203" ca="1" si="1812">BU141-BV141</f>
        <v>#NAME?</v>
      </c>
      <c r="BW203" s="23" t="e">
        <f t="shared" ref="BW203" ca="1" si="1813">BV141-BW141</f>
        <v>#NAME?</v>
      </c>
      <c r="BX203" s="23" t="e">
        <f t="shared" ref="BX203" ca="1" si="1814">BW141-BX141</f>
        <v>#NAME?</v>
      </c>
      <c r="BY203" s="23" t="e">
        <f t="shared" ref="BY203" ca="1" si="1815">BX141-BY141</f>
        <v>#NAME?</v>
      </c>
      <c r="BZ203" s="23" t="e">
        <f t="shared" ref="BZ203" ca="1" si="1816">BY141-BZ141</f>
        <v>#NAME?</v>
      </c>
      <c r="CA203" s="23" t="e">
        <f t="shared" ref="CA203" ca="1" si="1817">BZ141-CA141</f>
        <v>#NAME?</v>
      </c>
      <c r="CB203" s="23" t="e">
        <f t="shared" ref="CB203" ca="1" si="1818">CA141-CB141</f>
        <v>#NAME?</v>
      </c>
      <c r="CC203" s="23" t="e">
        <f t="shared" ref="CC203" ca="1" si="1819">CB141-CC141</f>
        <v>#NAME?</v>
      </c>
      <c r="CD203" s="23" t="e">
        <f t="shared" ref="CD203" ca="1" si="1820">CC141-CD141</f>
        <v>#NAME?</v>
      </c>
      <c r="CE203" s="23" t="e">
        <f t="shared" ref="CE203" ca="1" si="1821">CD141-CE141</f>
        <v>#NAME?</v>
      </c>
      <c r="CF203" s="23" t="e">
        <f t="shared" ref="CF203" ca="1" si="1822">CE141-CF141</f>
        <v>#NAME?</v>
      </c>
      <c r="CG203" s="23" t="e">
        <f t="shared" ref="CG203" ca="1" si="1823">CF141-CG141</f>
        <v>#NAME?</v>
      </c>
      <c r="CH203" s="23" t="e">
        <f t="shared" ref="CH203:CL203" ca="1" si="1824">CG141-CH141</f>
        <v>#NAME?</v>
      </c>
      <c r="CI203" s="23" t="e">
        <f t="shared" ca="1" si="1824"/>
        <v>#NAME?</v>
      </c>
      <c r="CJ203" s="23" t="e">
        <f t="shared" ca="1" si="1824"/>
        <v>#NAME?</v>
      </c>
      <c r="CK203" s="24" t="e">
        <f t="shared" ref="CK203" ca="1" si="1825">CJ141-CK141</f>
        <v>#NAME?</v>
      </c>
      <c r="CL203" s="23" t="e">
        <f t="shared" ca="1" si="1824"/>
        <v>#NAME?</v>
      </c>
      <c r="CM203" s="24" t="e">
        <f t="shared" ref="CM203" ca="1" si="1826">CL141-CM141</f>
        <v>#NAME?</v>
      </c>
      <c r="CN203" s="24" t="e">
        <f t="shared" ref="CN203" ca="1" si="1827">CM141-CN141</f>
        <v>#NAME?</v>
      </c>
      <c r="CO203" s="24" t="e">
        <f t="shared" ref="CO203" ca="1" si="1828">CN141-CO141</f>
        <v>#NAME?</v>
      </c>
      <c r="CP203" s="24" t="e">
        <f t="shared" ref="CP203" ca="1" si="1829">CO141-CP141</f>
        <v>#NAME?</v>
      </c>
      <c r="CQ203" s="24" t="e">
        <f t="shared" ref="CQ203" ca="1" si="1830">CP141-CQ141</f>
        <v>#NAME?</v>
      </c>
      <c r="CR203" s="24" t="e">
        <f t="shared" ref="CR203" ca="1" si="1831">CQ141-CR141</f>
        <v>#NAME?</v>
      </c>
      <c r="CS203" s="24" t="e">
        <f t="shared" ref="CS203" ca="1" si="1832">CR141-CS141</f>
        <v>#NAME?</v>
      </c>
      <c r="CT203" s="24" t="e">
        <f t="shared" ref="CT203" ca="1" si="1833">CS141-CT141</f>
        <v>#NAME?</v>
      </c>
      <c r="CU203" s="24" t="e">
        <f t="shared" ref="CU203" ca="1" si="1834">CT141-CU141</f>
        <v>#NAME?</v>
      </c>
      <c r="CV203" s="24" t="e">
        <f t="shared" ref="CV203" ca="1" si="1835">CU141-CV141</f>
        <v>#NAME?</v>
      </c>
      <c r="CW203" s="24" t="e">
        <f t="shared" ref="CW203" ca="1" si="1836">CV141-CW141</f>
        <v>#NAME?</v>
      </c>
      <c r="CX203" s="24" t="e">
        <f t="shared" ref="CX203" ca="1" si="1837">CW141-CX141</f>
        <v>#NAME?</v>
      </c>
      <c r="CY203" s="24" t="e">
        <f t="shared" ref="CY203" ca="1" si="1838">CX141-CY141</f>
        <v>#NAME?</v>
      </c>
      <c r="CZ203" s="24" t="e">
        <f t="shared" ref="CZ203" ca="1" si="1839">CY141-CZ141</f>
        <v>#NAME?</v>
      </c>
      <c r="DA203" s="24" t="e">
        <f t="shared" ref="DA203" ca="1" si="1840">CZ141-DA141</f>
        <v>#NAME?</v>
      </c>
      <c r="DB203" s="24" t="e">
        <f t="shared" ref="DB203" ca="1" si="1841">DA141-DB141</f>
        <v>#NAME?</v>
      </c>
      <c r="DE203" s="123"/>
      <c r="DF203" s="23">
        <v>425.25</v>
      </c>
    </row>
    <row r="204" spans="1:110" s="23" customFormat="1" x14ac:dyDescent="0.2">
      <c r="A204" s="23" t="s">
        <v>94</v>
      </c>
      <c r="C204" s="23" t="e">
        <f t="shared" ref="C204:AE204" ca="1" si="1842">B139-C32-C139</f>
        <v>#NAME?</v>
      </c>
      <c r="D204" s="23" t="e">
        <f t="shared" ca="1" si="1842"/>
        <v>#NAME?</v>
      </c>
      <c r="E204" s="23" t="e">
        <f t="shared" ca="1" si="1842"/>
        <v>#NAME?</v>
      </c>
      <c r="F204" s="23" t="e">
        <f t="shared" ca="1" si="1842"/>
        <v>#NAME?</v>
      </c>
      <c r="G204" s="23" t="e">
        <f t="shared" ca="1" si="1842"/>
        <v>#NAME?</v>
      </c>
      <c r="H204" s="23" t="e">
        <f t="shared" ca="1" si="1842"/>
        <v>#NAME?</v>
      </c>
      <c r="I204" s="23" t="e">
        <f t="shared" ca="1" si="1842"/>
        <v>#NAME?</v>
      </c>
      <c r="J204" s="23" t="e">
        <f t="shared" ca="1" si="1842"/>
        <v>#NAME?</v>
      </c>
      <c r="K204" s="23" t="e">
        <f t="shared" ca="1" si="1842"/>
        <v>#NAME?</v>
      </c>
      <c r="L204" s="23" t="e">
        <f t="shared" ca="1" si="1842"/>
        <v>#NAME?</v>
      </c>
      <c r="M204" s="23" t="e">
        <f t="shared" ca="1" si="1842"/>
        <v>#NAME?</v>
      </c>
      <c r="N204" s="23" t="e">
        <f t="shared" ca="1" si="1842"/>
        <v>#NAME?</v>
      </c>
      <c r="O204" s="23" t="e">
        <f t="shared" ca="1" si="1842"/>
        <v>#NAME?</v>
      </c>
      <c r="P204" s="23" t="e">
        <f t="shared" ca="1" si="1842"/>
        <v>#NAME?</v>
      </c>
      <c r="Q204" s="23" t="e">
        <f t="shared" ca="1" si="1842"/>
        <v>#NAME?</v>
      </c>
      <c r="R204" s="23" t="e">
        <f t="shared" ca="1" si="1842"/>
        <v>#NAME?</v>
      </c>
      <c r="S204" s="23" t="e">
        <f t="shared" ca="1" si="1842"/>
        <v>#NAME?</v>
      </c>
      <c r="T204" s="23" t="e">
        <f t="shared" ca="1" si="1842"/>
        <v>#NAME?</v>
      </c>
      <c r="U204" s="23" t="e">
        <f t="shared" ca="1" si="1842"/>
        <v>#NAME?</v>
      </c>
      <c r="V204" s="23" t="e">
        <f t="shared" ca="1" si="1842"/>
        <v>#NAME?</v>
      </c>
      <c r="W204" s="23" t="e">
        <f t="shared" ca="1" si="1842"/>
        <v>#NAME?</v>
      </c>
      <c r="X204" s="23" t="e">
        <f t="shared" ca="1" si="1842"/>
        <v>#NAME?</v>
      </c>
      <c r="Y204" s="23" t="e">
        <f t="shared" ca="1" si="1842"/>
        <v>#NAME?</v>
      </c>
      <c r="Z204" s="23" t="e">
        <f t="shared" ca="1" si="1842"/>
        <v>#NAME?</v>
      </c>
      <c r="AA204" s="23" t="e">
        <f t="shared" ca="1" si="1842"/>
        <v>#NAME?</v>
      </c>
      <c r="AB204" s="24" t="e">
        <f t="shared" ca="1" si="1842"/>
        <v>#NAME?</v>
      </c>
      <c r="AC204" s="24" t="e">
        <f t="shared" ca="1" si="1842"/>
        <v>#NAME?</v>
      </c>
      <c r="AD204" s="24" t="e">
        <f t="shared" ca="1" si="1842"/>
        <v>#NAME?</v>
      </c>
      <c r="AE204" s="24" t="e">
        <f t="shared" ca="1" si="1842"/>
        <v>#NAME?</v>
      </c>
      <c r="AI204" s="23" t="e">
        <f t="shared" ref="AI204:BN204" ca="1" si="1843">AH139-AI32-AI139</f>
        <v>#NAME?</v>
      </c>
      <c r="AJ204" s="23" t="e">
        <f t="shared" ca="1" si="1843"/>
        <v>#NAME?</v>
      </c>
      <c r="AK204" s="23" t="e">
        <f t="shared" ca="1" si="1843"/>
        <v>#NAME?</v>
      </c>
      <c r="AL204" s="23" t="e">
        <f t="shared" ca="1" si="1843"/>
        <v>#NAME?</v>
      </c>
      <c r="AM204" s="23" t="e">
        <f t="shared" ca="1" si="1843"/>
        <v>#NAME?</v>
      </c>
      <c r="AN204" s="23" t="e">
        <f t="shared" ca="1" si="1843"/>
        <v>#NAME?</v>
      </c>
      <c r="AO204" s="23" t="e">
        <f t="shared" ca="1" si="1843"/>
        <v>#NAME?</v>
      </c>
      <c r="AP204" s="23" t="e">
        <f t="shared" ca="1" si="1843"/>
        <v>#NAME?</v>
      </c>
      <c r="AQ204" s="23" t="e">
        <f t="shared" ca="1" si="1843"/>
        <v>#NAME?</v>
      </c>
      <c r="AR204" s="23" t="e">
        <f t="shared" ca="1" si="1843"/>
        <v>#NAME?</v>
      </c>
      <c r="AS204" s="23" t="e">
        <f t="shared" ca="1" si="1843"/>
        <v>#NAME?</v>
      </c>
      <c r="AT204" s="23" t="e">
        <f t="shared" ca="1" si="1843"/>
        <v>#NAME?</v>
      </c>
      <c r="AU204" s="23" t="e">
        <f t="shared" ca="1" si="1843"/>
        <v>#NAME?</v>
      </c>
      <c r="AV204" s="23" t="e">
        <f t="shared" ca="1" si="1843"/>
        <v>#NAME?</v>
      </c>
      <c r="AW204" s="23" t="e">
        <f t="shared" ca="1" si="1843"/>
        <v>#NAME?</v>
      </c>
      <c r="AX204" s="23" t="e">
        <f t="shared" ca="1" si="1843"/>
        <v>#NAME?</v>
      </c>
      <c r="AY204" s="23" t="e">
        <f t="shared" ca="1" si="1843"/>
        <v>#NAME?</v>
      </c>
      <c r="AZ204" s="23" t="e">
        <f t="shared" ca="1" si="1843"/>
        <v>#NAME?</v>
      </c>
      <c r="BA204" s="23" t="e">
        <f t="shared" ca="1" si="1843"/>
        <v>#NAME?</v>
      </c>
      <c r="BB204" s="23" t="e">
        <f t="shared" ca="1" si="1843"/>
        <v>#NAME?</v>
      </c>
      <c r="BC204" s="23" t="e">
        <f t="shared" ca="1" si="1843"/>
        <v>#NAME?</v>
      </c>
      <c r="BD204" s="23" t="e">
        <f t="shared" ca="1" si="1843"/>
        <v>#NAME?</v>
      </c>
      <c r="BE204" s="23" t="e">
        <f t="shared" ca="1" si="1843"/>
        <v>#NAME?</v>
      </c>
      <c r="BF204" s="23" t="e">
        <f t="shared" ca="1" si="1843"/>
        <v>#NAME?</v>
      </c>
      <c r="BG204" s="23" t="e">
        <f t="shared" ca="1" si="1843"/>
        <v>#NAME?</v>
      </c>
      <c r="BH204" s="23" t="e">
        <f t="shared" ca="1" si="1843"/>
        <v>#NAME?</v>
      </c>
      <c r="BI204" s="23" t="e">
        <f t="shared" ca="1" si="1843"/>
        <v>#NAME?</v>
      </c>
      <c r="BJ204" s="23" t="e">
        <f t="shared" ca="1" si="1843"/>
        <v>#NAME?</v>
      </c>
      <c r="BK204" s="23" t="e">
        <f t="shared" ca="1" si="1843"/>
        <v>#NAME?</v>
      </c>
      <c r="BL204" s="23" t="e">
        <f t="shared" ca="1" si="1843"/>
        <v>#NAME?</v>
      </c>
      <c r="BM204" s="23" t="e">
        <f t="shared" ca="1" si="1843"/>
        <v>#NAME?</v>
      </c>
      <c r="BN204" s="23" t="e">
        <f t="shared" ca="1" si="1843"/>
        <v>#NAME?</v>
      </c>
      <c r="BO204" s="23" t="e">
        <f t="shared" ref="BO204:CT204" ca="1" si="1844">BN139-BO32-BO139</f>
        <v>#NAME?</v>
      </c>
      <c r="BP204" s="23" t="e">
        <f t="shared" ca="1" si="1844"/>
        <v>#NAME?</v>
      </c>
      <c r="BQ204" s="23" t="e">
        <f t="shared" ca="1" si="1844"/>
        <v>#NAME?</v>
      </c>
      <c r="BR204" s="23" t="e">
        <f t="shared" ca="1" si="1844"/>
        <v>#NAME?</v>
      </c>
      <c r="BS204" s="23" t="e">
        <f t="shared" ca="1" si="1844"/>
        <v>#NAME?</v>
      </c>
      <c r="BT204" s="23" t="e">
        <f t="shared" ca="1" si="1844"/>
        <v>#NAME?</v>
      </c>
      <c r="BU204" s="23" t="e">
        <f t="shared" ca="1" si="1844"/>
        <v>#NAME?</v>
      </c>
      <c r="BV204" s="23" t="e">
        <f t="shared" ca="1" si="1844"/>
        <v>#NAME?</v>
      </c>
      <c r="BW204" s="23" t="e">
        <f t="shared" ca="1" si="1844"/>
        <v>#NAME?</v>
      </c>
      <c r="BX204" s="23" t="e">
        <f t="shared" ca="1" si="1844"/>
        <v>#NAME?</v>
      </c>
      <c r="BY204" s="23" t="e">
        <f t="shared" ca="1" si="1844"/>
        <v>#NAME?</v>
      </c>
      <c r="BZ204" s="23" t="e">
        <f t="shared" ca="1" si="1844"/>
        <v>#NAME?</v>
      </c>
      <c r="CA204" s="23" t="e">
        <f t="shared" ca="1" si="1844"/>
        <v>#NAME?</v>
      </c>
      <c r="CB204" s="23" t="e">
        <f t="shared" ca="1" si="1844"/>
        <v>#NAME?</v>
      </c>
      <c r="CC204" s="23" t="e">
        <f t="shared" ca="1" si="1844"/>
        <v>#NAME?</v>
      </c>
      <c r="CD204" s="23" t="e">
        <f t="shared" ca="1" si="1844"/>
        <v>#NAME?</v>
      </c>
      <c r="CE204" s="23" t="e">
        <f t="shared" ca="1" si="1844"/>
        <v>#NAME?</v>
      </c>
      <c r="CF204" s="23" t="e">
        <f t="shared" ca="1" si="1844"/>
        <v>#NAME?</v>
      </c>
      <c r="CG204" s="23" t="e">
        <f t="shared" ca="1" si="1844"/>
        <v>#NAME?</v>
      </c>
      <c r="CH204" s="23" t="e">
        <f t="shared" ca="1" si="1844"/>
        <v>#NAME?</v>
      </c>
      <c r="CI204" s="23" t="e">
        <f t="shared" ca="1" si="1844"/>
        <v>#NAME?</v>
      </c>
      <c r="CJ204" s="23" t="e">
        <f t="shared" ca="1" si="1844"/>
        <v>#NAME?</v>
      </c>
      <c r="CK204" s="24" t="e">
        <f t="shared" ca="1" si="1844"/>
        <v>#NAME?</v>
      </c>
      <c r="CL204" s="23" t="e">
        <f t="shared" ca="1" si="1844"/>
        <v>#NAME?</v>
      </c>
      <c r="CM204" s="24" t="e">
        <f t="shared" ca="1" si="1844"/>
        <v>#NAME?</v>
      </c>
      <c r="CN204" s="24" t="e">
        <f t="shared" ca="1" si="1844"/>
        <v>#NAME?</v>
      </c>
      <c r="CO204" s="24" t="e">
        <f t="shared" ca="1" si="1844"/>
        <v>#NAME?</v>
      </c>
      <c r="CP204" s="24" t="e">
        <f t="shared" ca="1" si="1844"/>
        <v>#NAME?</v>
      </c>
      <c r="CQ204" s="24" t="e">
        <f t="shared" ca="1" si="1844"/>
        <v>#NAME?</v>
      </c>
      <c r="CR204" s="24" t="e">
        <f t="shared" ca="1" si="1844"/>
        <v>#NAME?</v>
      </c>
      <c r="CS204" s="24" t="e">
        <f t="shared" ca="1" si="1844"/>
        <v>#NAME?</v>
      </c>
      <c r="CT204" s="24" t="e">
        <f t="shared" ca="1" si="1844"/>
        <v>#NAME?</v>
      </c>
      <c r="CU204" s="24" t="e">
        <f t="shared" ref="CU204:DB204" ca="1" si="1845">CT139-CU32-CU139</f>
        <v>#NAME?</v>
      </c>
      <c r="CV204" s="24" t="e">
        <f t="shared" ca="1" si="1845"/>
        <v>#NAME?</v>
      </c>
      <c r="CW204" s="24" t="e">
        <f t="shared" ca="1" si="1845"/>
        <v>#NAME?</v>
      </c>
      <c r="CX204" s="24" t="e">
        <f t="shared" ca="1" si="1845"/>
        <v>#NAME?</v>
      </c>
      <c r="CY204" s="24" t="e">
        <f t="shared" ca="1" si="1845"/>
        <v>#NAME?</v>
      </c>
      <c r="CZ204" s="24" t="e">
        <f t="shared" ca="1" si="1845"/>
        <v>#NAME?</v>
      </c>
      <c r="DA204" s="24" t="e">
        <f t="shared" ca="1" si="1845"/>
        <v>#NAME?</v>
      </c>
      <c r="DB204" s="24" t="e">
        <f t="shared" ca="1" si="1845"/>
        <v>#NAME?</v>
      </c>
      <c r="DE204" s="123"/>
      <c r="DF204" s="23">
        <v>-25314.470000000016</v>
      </c>
    </row>
    <row r="205" spans="1:110" s="23" customFormat="1" x14ac:dyDescent="0.2">
      <c r="AB205" s="24"/>
      <c r="AC205" s="24"/>
      <c r="AD205" s="24"/>
      <c r="AE205" s="24"/>
      <c r="CK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</row>
    <row r="206" spans="1:110" s="22" customFormat="1" x14ac:dyDescent="0.2">
      <c r="A206" s="22" t="s">
        <v>95</v>
      </c>
      <c r="C206" s="22" t="e">
        <f t="shared" ref="C206:W206" ca="1" si="1846">C207+C208</f>
        <v>#NAME?</v>
      </c>
      <c r="D206" s="22" t="e">
        <f t="shared" ca="1" si="1846"/>
        <v>#NAME?</v>
      </c>
      <c r="E206" s="22" t="e">
        <f t="shared" ca="1" si="1846"/>
        <v>#NAME?</v>
      </c>
      <c r="F206" s="22" t="e">
        <f t="shared" ca="1" si="1846"/>
        <v>#NAME?</v>
      </c>
      <c r="G206" s="22" t="e">
        <f t="shared" ca="1" si="1846"/>
        <v>#NAME?</v>
      </c>
      <c r="H206" s="22" t="e">
        <f t="shared" ca="1" si="1846"/>
        <v>#NAME?</v>
      </c>
      <c r="I206" s="22" t="e">
        <f t="shared" ca="1" si="1846"/>
        <v>#NAME?</v>
      </c>
      <c r="J206" s="22" t="e">
        <f t="shared" ca="1" si="1846"/>
        <v>#NAME?</v>
      </c>
      <c r="K206" s="22" t="e">
        <f t="shared" ca="1" si="1846"/>
        <v>#NAME?</v>
      </c>
      <c r="L206" s="22" t="e">
        <f t="shared" ca="1" si="1846"/>
        <v>#NAME?</v>
      </c>
      <c r="M206" s="22" t="e">
        <f t="shared" ca="1" si="1846"/>
        <v>#NAME?</v>
      </c>
      <c r="N206" s="22" t="e">
        <f t="shared" ca="1" si="1846"/>
        <v>#NAME?</v>
      </c>
      <c r="O206" s="22" t="e">
        <f t="shared" ca="1" si="1846"/>
        <v>#NAME?</v>
      </c>
      <c r="P206" s="22" t="e">
        <f t="shared" ca="1" si="1846"/>
        <v>#NAME?</v>
      </c>
      <c r="Q206" s="22" t="e">
        <f t="shared" ca="1" si="1846"/>
        <v>#NAME?</v>
      </c>
      <c r="R206" s="22" t="e">
        <f t="shared" ca="1" si="1846"/>
        <v>#NAME?</v>
      </c>
      <c r="S206" s="22" t="e">
        <f t="shared" ca="1" si="1846"/>
        <v>#NAME?</v>
      </c>
      <c r="T206" s="22" t="e">
        <f t="shared" ca="1" si="1846"/>
        <v>#NAME?</v>
      </c>
      <c r="U206" s="22" t="e">
        <f t="shared" ca="1" si="1846"/>
        <v>#NAME?</v>
      </c>
      <c r="V206" s="22" t="e">
        <f t="shared" ca="1" si="1846"/>
        <v>#NAME?</v>
      </c>
      <c r="W206" s="22" t="e">
        <f t="shared" ca="1" si="1846"/>
        <v>#NAME?</v>
      </c>
      <c r="X206" s="22" t="e">
        <f t="shared" ref="X206:Y206" ca="1" si="1847">X207+X208</f>
        <v>#NAME?</v>
      </c>
      <c r="Y206" s="22" t="e">
        <f t="shared" ca="1" si="1847"/>
        <v>#NAME?</v>
      </c>
      <c r="Z206" s="22" t="e">
        <f t="shared" ref="Z206:AA206" ca="1" si="1848">Z207+Z208</f>
        <v>#NAME?</v>
      </c>
      <c r="AA206" s="22" t="e">
        <f t="shared" ca="1" si="1848"/>
        <v>#NAME?</v>
      </c>
      <c r="AB206" s="21" t="e">
        <f t="shared" ref="AA206:AD206" ca="1" si="1849">AB207+AB208</f>
        <v>#NAME?</v>
      </c>
      <c r="AC206" s="21" t="e">
        <f t="shared" ca="1" si="1849"/>
        <v>#NAME?</v>
      </c>
      <c r="AD206" s="21" t="e">
        <f t="shared" ca="1" si="1849"/>
        <v>#NAME?</v>
      </c>
      <c r="AE206" s="21" t="e">
        <f t="shared" ref="AE206" ca="1" si="1850">AE207+AE208</f>
        <v>#NAME?</v>
      </c>
      <c r="AI206" s="22" t="e">
        <f t="shared" ref="AI206" ca="1" si="1851">AI207+AI208</f>
        <v>#NAME?</v>
      </c>
      <c r="AJ206" s="22" t="e">
        <f t="shared" ref="AJ206:AL206" ca="1" si="1852">AJ207+AJ208</f>
        <v>#NAME?</v>
      </c>
      <c r="AK206" s="22" t="e">
        <f t="shared" ca="1" si="1852"/>
        <v>#NAME?</v>
      </c>
      <c r="AL206" s="22" t="e">
        <f t="shared" ca="1" si="1852"/>
        <v>#NAME?</v>
      </c>
      <c r="AM206" s="22" t="e">
        <f t="shared" ref="AM206" ca="1" si="1853">AM207+AM208</f>
        <v>#NAME?</v>
      </c>
      <c r="AN206" s="22" t="e">
        <f t="shared" ref="AN206:CD206" ca="1" si="1854">AN207+AN208</f>
        <v>#NAME?</v>
      </c>
      <c r="AO206" s="22" t="e">
        <f t="shared" ca="1" si="1854"/>
        <v>#NAME?</v>
      </c>
      <c r="AP206" s="22" t="e">
        <f t="shared" ca="1" si="1854"/>
        <v>#NAME?</v>
      </c>
      <c r="AQ206" s="22" t="e">
        <f t="shared" ca="1" si="1854"/>
        <v>#NAME?</v>
      </c>
      <c r="AR206" s="22" t="e">
        <f t="shared" ca="1" si="1854"/>
        <v>#NAME?</v>
      </c>
      <c r="AS206" s="22" t="e">
        <f t="shared" ca="1" si="1854"/>
        <v>#NAME?</v>
      </c>
      <c r="AT206" s="22" t="e">
        <f t="shared" ca="1" si="1854"/>
        <v>#NAME?</v>
      </c>
      <c r="AU206" s="22" t="e">
        <f t="shared" ca="1" si="1854"/>
        <v>#NAME?</v>
      </c>
      <c r="AV206" s="22" t="e">
        <f t="shared" ca="1" si="1854"/>
        <v>#NAME?</v>
      </c>
      <c r="AW206" s="22" t="e">
        <f t="shared" ca="1" si="1854"/>
        <v>#NAME?</v>
      </c>
      <c r="AX206" s="22" t="e">
        <f t="shared" ca="1" si="1854"/>
        <v>#NAME?</v>
      </c>
      <c r="AY206" s="22" t="e">
        <f t="shared" ca="1" si="1854"/>
        <v>#NAME?</v>
      </c>
      <c r="AZ206" s="22" t="e">
        <f t="shared" ca="1" si="1854"/>
        <v>#NAME?</v>
      </c>
      <c r="BA206" s="22" t="e">
        <f t="shared" ca="1" si="1854"/>
        <v>#NAME?</v>
      </c>
      <c r="BB206" s="22" t="e">
        <f t="shared" ca="1" si="1854"/>
        <v>#NAME?</v>
      </c>
      <c r="BC206" s="22" t="e">
        <f t="shared" ca="1" si="1854"/>
        <v>#NAME?</v>
      </c>
      <c r="BD206" s="22" t="e">
        <f t="shared" ca="1" si="1854"/>
        <v>#NAME?</v>
      </c>
      <c r="BE206" s="22" t="e">
        <f t="shared" ca="1" si="1854"/>
        <v>#NAME?</v>
      </c>
      <c r="BF206" s="22" t="e">
        <f t="shared" ca="1" si="1854"/>
        <v>#NAME?</v>
      </c>
      <c r="BG206" s="22" t="e">
        <f t="shared" ca="1" si="1854"/>
        <v>#NAME?</v>
      </c>
      <c r="BH206" s="22" t="e">
        <f t="shared" ca="1" si="1854"/>
        <v>#NAME?</v>
      </c>
      <c r="BI206" s="22" t="e">
        <f t="shared" ca="1" si="1854"/>
        <v>#NAME?</v>
      </c>
      <c r="BJ206" s="22" t="e">
        <f t="shared" ca="1" si="1854"/>
        <v>#NAME?</v>
      </c>
      <c r="BK206" s="22" t="e">
        <f t="shared" ca="1" si="1854"/>
        <v>#NAME?</v>
      </c>
      <c r="BL206" s="22" t="e">
        <f t="shared" ca="1" si="1854"/>
        <v>#NAME?</v>
      </c>
      <c r="BM206" s="22" t="e">
        <f t="shared" ca="1" si="1854"/>
        <v>#NAME?</v>
      </c>
      <c r="BN206" s="22" t="e">
        <f t="shared" ca="1" si="1854"/>
        <v>#NAME?</v>
      </c>
      <c r="BO206" s="22" t="e">
        <f t="shared" ca="1" si="1854"/>
        <v>#NAME?</v>
      </c>
      <c r="BP206" s="22" t="e">
        <f t="shared" ca="1" si="1854"/>
        <v>#NAME?</v>
      </c>
      <c r="BQ206" s="22" t="e">
        <f t="shared" ca="1" si="1854"/>
        <v>#NAME?</v>
      </c>
      <c r="BR206" s="22" t="e">
        <f t="shared" ca="1" si="1854"/>
        <v>#NAME?</v>
      </c>
      <c r="BS206" s="22" t="e">
        <f t="shared" ca="1" si="1854"/>
        <v>#NAME?</v>
      </c>
      <c r="BT206" s="22" t="e">
        <f t="shared" ca="1" si="1854"/>
        <v>#NAME?</v>
      </c>
      <c r="BU206" s="22" t="e">
        <f t="shared" ca="1" si="1854"/>
        <v>#NAME?</v>
      </c>
      <c r="BV206" s="22" t="e">
        <f t="shared" ca="1" si="1854"/>
        <v>#NAME?</v>
      </c>
      <c r="BW206" s="22" t="e">
        <f t="shared" ca="1" si="1854"/>
        <v>#NAME?</v>
      </c>
      <c r="BX206" s="22" t="e">
        <f t="shared" ca="1" si="1854"/>
        <v>#NAME?</v>
      </c>
      <c r="BY206" s="22" t="e">
        <f t="shared" ca="1" si="1854"/>
        <v>#NAME?</v>
      </c>
      <c r="BZ206" s="22" t="e">
        <f t="shared" ca="1" si="1854"/>
        <v>#NAME?</v>
      </c>
      <c r="CA206" s="22" t="e">
        <f t="shared" ca="1" si="1854"/>
        <v>#NAME?</v>
      </c>
      <c r="CB206" s="22" t="e">
        <f t="shared" ca="1" si="1854"/>
        <v>#NAME?</v>
      </c>
      <c r="CC206" s="22" t="e">
        <f t="shared" ca="1" si="1854"/>
        <v>#NAME?</v>
      </c>
      <c r="CD206" s="22" t="e">
        <f t="shared" ca="1" si="1854"/>
        <v>#NAME?</v>
      </c>
      <c r="CE206" s="22" t="e">
        <f t="shared" ref="CE206:CF206" ca="1" si="1855">CE207+CE208</f>
        <v>#NAME?</v>
      </c>
      <c r="CF206" s="22" t="e">
        <f t="shared" ca="1" si="1855"/>
        <v>#NAME?</v>
      </c>
      <c r="CG206" s="22" t="e">
        <f t="shared" ref="CG206:CH206" ca="1" si="1856">CG207+CG208</f>
        <v>#NAME?</v>
      </c>
      <c r="CH206" s="22" t="e">
        <f t="shared" ca="1" si="1856"/>
        <v>#NAME?</v>
      </c>
      <c r="CI206" s="22" t="e">
        <f t="shared" ref="CI206:CJ206" ca="1" si="1857">CI207+CI208</f>
        <v>#NAME?</v>
      </c>
      <c r="CJ206" s="22" t="e">
        <f t="shared" ca="1" si="1857"/>
        <v>#NAME?</v>
      </c>
      <c r="CK206" s="21" t="e">
        <f t="shared" ref="CK206:DB206" ca="1" si="1858">CK207+CK208</f>
        <v>#NAME?</v>
      </c>
      <c r="CL206" s="22" t="e">
        <f t="shared" ca="1" si="1858"/>
        <v>#NAME?</v>
      </c>
      <c r="CM206" s="21" t="e">
        <f t="shared" ca="1" si="1858"/>
        <v>#NAME?</v>
      </c>
      <c r="CN206" s="21" t="e">
        <f t="shared" ca="1" si="1858"/>
        <v>#NAME?</v>
      </c>
      <c r="CO206" s="21" t="e">
        <f t="shared" ca="1" si="1858"/>
        <v>#NAME?</v>
      </c>
      <c r="CP206" s="21" t="e">
        <f t="shared" ca="1" si="1858"/>
        <v>#NAME?</v>
      </c>
      <c r="CQ206" s="21" t="e">
        <f t="shared" ca="1" si="1858"/>
        <v>#NAME?</v>
      </c>
      <c r="CR206" s="21" t="e">
        <f t="shared" ca="1" si="1858"/>
        <v>#NAME?</v>
      </c>
      <c r="CS206" s="21" t="e">
        <f t="shared" ca="1" si="1858"/>
        <v>#NAME?</v>
      </c>
      <c r="CT206" s="21" t="e">
        <f t="shared" ca="1" si="1858"/>
        <v>#NAME?</v>
      </c>
      <c r="CU206" s="21" t="e">
        <f t="shared" ca="1" si="1858"/>
        <v>#NAME?</v>
      </c>
      <c r="CV206" s="21" t="e">
        <f t="shared" ca="1" si="1858"/>
        <v>#NAME?</v>
      </c>
      <c r="CW206" s="21" t="e">
        <f t="shared" ca="1" si="1858"/>
        <v>#NAME?</v>
      </c>
      <c r="CX206" s="21" t="e">
        <f t="shared" ca="1" si="1858"/>
        <v>#NAME?</v>
      </c>
      <c r="CY206" s="21" t="e">
        <f t="shared" ca="1" si="1858"/>
        <v>#NAME?</v>
      </c>
      <c r="CZ206" s="21" t="e">
        <f t="shared" ca="1" si="1858"/>
        <v>#NAME?</v>
      </c>
      <c r="DA206" s="21" t="e">
        <f t="shared" ca="1" si="1858"/>
        <v>#NAME?</v>
      </c>
      <c r="DB206" s="21" t="e">
        <f t="shared" ca="1" si="1858"/>
        <v>#NAME?</v>
      </c>
      <c r="DE206" s="126"/>
      <c r="DF206" s="22">
        <v>33834.130000000026</v>
      </c>
    </row>
    <row r="207" spans="1:110" s="23" customFormat="1" x14ac:dyDescent="0.2">
      <c r="A207" s="23" t="s">
        <v>49</v>
      </c>
      <c r="C207" s="23" t="e">
        <f t="shared" ref="C207:AA207" ca="1" si="1859">C129-B129</f>
        <v>#NAME?</v>
      </c>
      <c r="D207" s="23" t="e">
        <f t="shared" ca="1" si="1859"/>
        <v>#NAME?</v>
      </c>
      <c r="E207" s="23" t="e">
        <f ca="1">E129-D129</f>
        <v>#NAME?</v>
      </c>
      <c r="F207" s="23" t="e">
        <f t="shared" ca="1" si="1859"/>
        <v>#NAME?</v>
      </c>
      <c r="G207" s="23" t="e">
        <f t="shared" ca="1" si="1859"/>
        <v>#NAME?</v>
      </c>
      <c r="H207" s="23" t="e">
        <f t="shared" ca="1" si="1859"/>
        <v>#NAME?</v>
      </c>
      <c r="I207" s="23" t="e">
        <f t="shared" ca="1" si="1859"/>
        <v>#NAME?</v>
      </c>
      <c r="J207" s="23" t="e">
        <f ca="1">J129-I129</f>
        <v>#NAME?</v>
      </c>
      <c r="K207" s="23" t="e">
        <f ca="1">K129-J129</f>
        <v>#NAME?</v>
      </c>
      <c r="L207" s="23" t="e">
        <f t="shared" ca="1" si="1859"/>
        <v>#NAME?</v>
      </c>
      <c r="M207" s="23" t="e">
        <f t="shared" ca="1" si="1859"/>
        <v>#NAME?</v>
      </c>
      <c r="N207" s="23" t="e">
        <f t="shared" ca="1" si="1859"/>
        <v>#NAME?</v>
      </c>
      <c r="O207" s="23" t="e">
        <f t="shared" ca="1" si="1859"/>
        <v>#NAME?</v>
      </c>
      <c r="P207" s="23" t="e">
        <f t="shared" ca="1" si="1859"/>
        <v>#NAME?</v>
      </c>
      <c r="Q207" s="23" t="e">
        <f t="shared" ca="1" si="1859"/>
        <v>#NAME?</v>
      </c>
      <c r="R207" s="23" t="e">
        <f t="shared" ca="1" si="1859"/>
        <v>#NAME?</v>
      </c>
      <c r="S207" s="23" t="e">
        <f t="shared" ca="1" si="1859"/>
        <v>#NAME?</v>
      </c>
      <c r="T207" s="23" t="e">
        <f t="shared" ca="1" si="1859"/>
        <v>#NAME?</v>
      </c>
      <c r="U207" s="23" t="e">
        <f t="shared" ca="1" si="1859"/>
        <v>#NAME?</v>
      </c>
      <c r="V207" s="23" t="e">
        <f t="shared" ca="1" si="1859"/>
        <v>#NAME?</v>
      </c>
      <c r="W207" s="23" t="e">
        <f t="shared" ca="1" si="1859"/>
        <v>#NAME?</v>
      </c>
      <c r="X207" s="23" t="e">
        <f t="shared" ca="1" si="1859"/>
        <v>#NAME?</v>
      </c>
      <c r="Y207" s="23" t="e">
        <f t="shared" ca="1" si="1859"/>
        <v>#NAME?</v>
      </c>
      <c r="Z207" s="23" t="e">
        <f t="shared" ca="1" si="1859"/>
        <v>#NAME?</v>
      </c>
      <c r="AA207" s="23" t="e">
        <f t="shared" ca="1" si="1859"/>
        <v>#NAME?</v>
      </c>
      <c r="AB207" s="24" t="e">
        <f t="shared" ref="AB207" ca="1" si="1860">AB129-AA129</f>
        <v>#NAME?</v>
      </c>
      <c r="AC207" s="24" t="e">
        <f t="shared" ref="AC207" ca="1" si="1861">AC129-AB129</f>
        <v>#NAME?</v>
      </c>
      <c r="AD207" s="24" t="e">
        <f t="shared" ref="AD207" ca="1" si="1862">AD129-AC129</f>
        <v>#NAME?</v>
      </c>
      <c r="AE207" s="24" t="e">
        <f t="shared" ref="AE207" ca="1" si="1863">AE129-AD129</f>
        <v>#NAME?</v>
      </c>
      <c r="AI207" s="23">
        <f t="shared" ref="AI207" si="1864">AI129-AH129</f>
        <v>0</v>
      </c>
      <c r="AJ207" s="23" t="e">
        <f t="shared" ref="AJ207" ca="1" si="1865">AJ129-AI129</f>
        <v>#NAME?</v>
      </c>
      <c r="AK207" s="23" t="e">
        <f t="shared" ref="AK207" ca="1" si="1866">AK129-AJ129</f>
        <v>#NAME?</v>
      </c>
      <c r="AL207" s="23" t="e">
        <f t="shared" ref="AL207" ca="1" si="1867">AL129-AK129</f>
        <v>#NAME?</v>
      </c>
      <c r="AM207" s="23" t="e">
        <f t="shared" ref="AM207" ca="1" si="1868">AM129-AL129</f>
        <v>#NAME?</v>
      </c>
      <c r="AN207" s="23" t="e">
        <f t="shared" ref="AN207" ca="1" si="1869">AN129-AM129</f>
        <v>#NAME?</v>
      </c>
      <c r="AO207" s="23" t="e">
        <f t="shared" ref="AO207" ca="1" si="1870">AO129-AN129</f>
        <v>#NAME?</v>
      </c>
      <c r="AP207" s="23" t="e">
        <f t="shared" ref="AP207" ca="1" si="1871">AP129-AO129</f>
        <v>#NAME?</v>
      </c>
      <c r="AQ207" s="23" t="e">
        <f t="shared" ref="AQ207" ca="1" si="1872">AQ129-AP129</f>
        <v>#NAME?</v>
      </c>
      <c r="AR207" s="23" t="e">
        <f t="shared" ref="AR207" ca="1" si="1873">AR129-AQ129</f>
        <v>#NAME?</v>
      </c>
      <c r="AS207" s="23" t="e">
        <f t="shared" ref="AS207" ca="1" si="1874">AS129-AR129</f>
        <v>#NAME?</v>
      </c>
      <c r="AT207" s="23" t="e">
        <f t="shared" ref="AT207" ca="1" si="1875">AT129-AS129</f>
        <v>#NAME?</v>
      </c>
      <c r="AU207" s="23" t="e">
        <f t="shared" ref="AU207" ca="1" si="1876">AU129-AT129</f>
        <v>#NAME?</v>
      </c>
      <c r="AV207" s="23" t="e">
        <f t="shared" ref="AV207" ca="1" si="1877">AV129-AU129</f>
        <v>#NAME?</v>
      </c>
      <c r="AW207" s="23" t="e">
        <f t="shared" ref="AW207" ca="1" si="1878">AW129-AV129</f>
        <v>#NAME?</v>
      </c>
      <c r="AX207" s="23" t="e">
        <f t="shared" ref="AX207" ca="1" si="1879">AX129-AW129</f>
        <v>#NAME?</v>
      </c>
      <c r="AY207" s="23" t="e">
        <f t="shared" ref="AY207" ca="1" si="1880">AY129-AX129</f>
        <v>#NAME?</v>
      </c>
      <c r="AZ207" s="23" t="e">
        <f t="shared" ref="AZ207" ca="1" si="1881">AZ129-AY129</f>
        <v>#NAME?</v>
      </c>
      <c r="BA207" s="23" t="e">
        <f t="shared" ref="BA207" ca="1" si="1882">BA129-AZ129</f>
        <v>#NAME?</v>
      </c>
      <c r="BB207" s="23" t="e">
        <f t="shared" ref="BB207" ca="1" si="1883">BB129-BA129</f>
        <v>#NAME?</v>
      </c>
      <c r="BC207" s="23" t="e">
        <f t="shared" ref="BC207" ca="1" si="1884">BC129-BB129</f>
        <v>#NAME?</v>
      </c>
      <c r="BD207" s="23" t="e">
        <f t="shared" ref="BD207" ca="1" si="1885">BD129-BC129</f>
        <v>#NAME?</v>
      </c>
      <c r="BE207" s="23" t="e">
        <f t="shared" ref="BE207" ca="1" si="1886">BE129-BD129</f>
        <v>#NAME?</v>
      </c>
      <c r="BF207" s="23" t="e">
        <f t="shared" ref="BF207" ca="1" si="1887">BF129-BE129</f>
        <v>#NAME?</v>
      </c>
      <c r="BG207" s="23" t="e">
        <f t="shared" ref="BG207" ca="1" si="1888">BG129-BF129</f>
        <v>#NAME?</v>
      </c>
      <c r="BH207" s="23" t="e">
        <f t="shared" ref="BH207" ca="1" si="1889">BH129-BG129</f>
        <v>#NAME?</v>
      </c>
      <c r="BI207" s="23" t="e">
        <f t="shared" ref="BI207" ca="1" si="1890">BI129-BH129</f>
        <v>#NAME?</v>
      </c>
      <c r="BJ207" s="23" t="e">
        <f t="shared" ref="BJ207" ca="1" si="1891">BJ129-BI129</f>
        <v>#NAME?</v>
      </c>
      <c r="BK207" s="23" t="e">
        <f t="shared" ref="BK207" ca="1" si="1892">BK129-BJ129</f>
        <v>#NAME?</v>
      </c>
      <c r="BL207" s="23" t="e">
        <f t="shared" ref="BL207" ca="1" si="1893">BL129-BK129</f>
        <v>#NAME?</v>
      </c>
      <c r="BM207" s="23" t="e">
        <f t="shared" ref="BM207" ca="1" si="1894">BM129-BL129</f>
        <v>#NAME?</v>
      </c>
      <c r="BN207" s="23" t="e">
        <f t="shared" ref="BN207" ca="1" si="1895">BN129-BM129</f>
        <v>#NAME?</v>
      </c>
      <c r="BO207" s="23" t="e">
        <f t="shared" ref="BO207" ca="1" si="1896">BO129-BN129</f>
        <v>#NAME?</v>
      </c>
      <c r="BP207" s="23" t="e">
        <f t="shared" ref="BP207" ca="1" si="1897">BP129-BO129</f>
        <v>#NAME?</v>
      </c>
      <c r="BQ207" s="23" t="e">
        <f t="shared" ref="BQ207" ca="1" si="1898">BQ129-BP129</f>
        <v>#NAME?</v>
      </c>
      <c r="BR207" s="23" t="e">
        <f t="shared" ref="BR207" ca="1" si="1899">BR129-BQ129</f>
        <v>#NAME?</v>
      </c>
      <c r="BS207" s="23" t="e">
        <f t="shared" ref="BS207" ca="1" si="1900">BS129-BR129</f>
        <v>#NAME?</v>
      </c>
      <c r="BT207" s="23" t="e">
        <f t="shared" ref="BT207" ca="1" si="1901">BT129-BS129</f>
        <v>#NAME?</v>
      </c>
      <c r="BU207" s="23" t="e">
        <f t="shared" ref="BU207" ca="1" si="1902">BU129-BT129</f>
        <v>#NAME?</v>
      </c>
      <c r="BV207" s="23" t="e">
        <f t="shared" ref="BV207" ca="1" si="1903">BV129-BU129</f>
        <v>#NAME?</v>
      </c>
      <c r="BW207" s="23" t="e">
        <f t="shared" ref="BW207" ca="1" si="1904">BW129-BV129</f>
        <v>#NAME?</v>
      </c>
      <c r="BX207" s="23" t="e">
        <f t="shared" ref="BX207" ca="1" si="1905">BX129-BW129</f>
        <v>#NAME?</v>
      </c>
      <c r="BY207" s="23" t="e">
        <f t="shared" ref="BY207" ca="1" si="1906">BY129-BX129</f>
        <v>#NAME?</v>
      </c>
      <c r="BZ207" s="23" t="e">
        <f t="shared" ref="BZ207" ca="1" si="1907">BZ129-BY129</f>
        <v>#NAME?</v>
      </c>
      <c r="CA207" s="23" t="e">
        <f t="shared" ref="CA207" ca="1" si="1908">CA129-BZ129</f>
        <v>#NAME?</v>
      </c>
      <c r="CB207" s="23" t="e">
        <f t="shared" ref="CB207" ca="1" si="1909">CB129-CA129</f>
        <v>#NAME?</v>
      </c>
      <c r="CC207" s="23" t="e">
        <f t="shared" ref="CC207" ca="1" si="1910">CC129-CB129</f>
        <v>#NAME?</v>
      </c>
      <c r="CD207" s="23" t="e">
        <f t="shared" ref="CD207" ca="1" si="1911">CD129-CC129</f>
        <v>#NAME?</v>
      </c>
      <c r="CE207" s="23" t="e">
        <f t="shared" ref="CE207" ca="1" si="1912">CE129-CD129</f>
        <v>#NAME?</v>
      </c>
      <c r="CF207" s="23" t="e">
        <f t="shared" ref="CF207" ca="1" si="1913">CF129-CE129</f>
        <v>#NAME?</v>
      </c>
      <c r="CG207" s="23" t="e">
        <f t="shared" ref="CG207" ca="1" si="1914">CG129-CF129</f>
        <v>#NAME?</v>
      </c>
      <c r="CH207" s="23" t="e">
        <f t="shared" ref="CH207:CL207" ca="1" si="1915">CH129-CG129</f>
        <v>#NAME?</v>
      </c>
      <c r="CI207" s="23" t="e">
        <f t="shared" ca="1" si="1915"/>
        <v>#NAME?</v>
      </c>
      <c r="CJ207" s="23" t="e">
        <f t="shared" ca="1" si="1915"/>
        <v>#NAME?</v>
      </c>
      <c r="CK207" s="24" t="e">
        <f t="shared" ref="CK207" ca="1" si="1916">CK129-CJ129</f>
        <v>#NAME?</v>
      </c>
      <c r="CL207" s="23" t="e">
        <f t="shared" ca="1" si="1915"/>
        <v>#NAME?</v>
      </c>
      <c r="CM207" s="24" t="e">
        <f t="shared" ref="CM207" ca="1" si="1917">CM129-CL129</f>
        <v>#NAME?</v>
      </c>
      <c r="CN207" s="24" t="e">
        <f t="shared" ref="CN207" ca="1" si="1918">CN129-CM129</f>
        <v>#NAME?</v>
      </c>
      <c r="CO207" s="24" t="e">
        <f t="shared" ref="CO207" ca="1" si="1919">CO129-CN129</f>
        <v>#NAME?</v>
      </c>
      <c r="CP207" s="24" t="e">
        <f t="shared" ref="CP207" ca="1" si="1920">CP129-CO129</f>
        <v>#NAME?</v>
      </c>
      <c r="CQ207" s="24" t="e">
        <f t="shared" ref="CQ207" ca="1" si="1921">CQ129-CP129</f>
        <v>#NAME?</v>
      </c>
      <c r="CR207" s="24" t="e">
        <f t="shared" ref="CR207" ca="1" si="1922">CR129-CQ129</f>
        <v>#NAME?</v>
      </c>
      <c r="CS207" s="24" t="e">
        <f t="shared" ref="CS207" ca="1" si="1923">CS129-CR129</f>
        <v>#NAME?</v>
      </c>
      <c r="CT207" s="24" t="e">
        <f t="shared" ref="CT207" ca="1" si="1924">CT129-CS129</f>
        <v>#NAME?</v>
      </c>
      <c r="CU207" s="24" t="e">
        <f t="shared" ref="CU207" ca="1" si="1925">CU129-CT129</f>
        <v>#NAME?</v>
      </c>
      <c r="CV207" s="24" t="e">
        <f t="shared" ref="CV207" ca="1" si="1926">CV129-CU129</f>
        <v>#NAME?</v>
      </c>
      <c r="CW207" s="24" t="e">
        <f t="shared" ref="CW207" ca="1" si="1927">CW129-CV129</f>
        <v>#NAME?</v>
      </c>
      <c r="CX207" s="24" t="e">
        <f t="shared" ref="CX207" ca="1" si="1928">CX129-CW129</f>
        <v>#NAME?</v>
      </c>
      <c r="CY207" s="24" t="e">
        <f t="shared" ref="CY207" ca="1" si="1929">CY129-CX129</f>
        <v>#NAME?</v>
      </c>
      <c r="CZ207" s="24" t="e">
        <f t="shared" ref="CZ207" ca="1" si="1930">CZ129-CY129</f>
        <v>#NAME?</v>
      </c>
      <c r="DA207" s="24" t="e">
        <f t="shared" ref="DA207" ca="1" si="1931">DA129-CZ129</f>
        <v>#NAME?</v>
      </c>
      <c r="DB207" s="24" t="e">
        <f t="shared" ref="DB207" ca="1" si="1932">DB129-DA129</f>
        <v>#NAME?</v>
      </c>
      <c r="DE207" s="123"/>
      <c r="DF207" s="23">
        <v>7841.8000000000029</v>
      </c>
    </row>
    <row r="208" spans="1:110" s="23" customFormat="1" x14ac:dyDescent="0.2">
      <c r="A208" s="23" t="s">
        <v>27</v>
      </c>
      <c r="C208" s="23" t="e">
        <f t="shared" ref="C208:AE208" ca="1" si="1933">C121-C48-B121+C123-B123</f>
        <v>#NAME?</v>
      </c>
      <c r="D208" s="23" t="e">
        <f t="shared" ca="1" si="1933"/>
        <v>#NAME?</v>
      </c>
      <c r="E208" s="23" t="e">
        <f t="shared" ca="1" si="1933"/>
        <v>#NAME?</v>
      </c>
      <c r="F208" s="23" t="e">
        <f t="shared" ca="1" si="1933"/>
        <v>#NAME?</v>
      </c>
      <c r="G208" s="23" t="e">
        <f t="shared" ca="1" si="1933"/>
        <v>#NAME?</v>
      </c>
      <c r="H208" s="23" t="e">
        <f t="shared" ca="1" si="1933"/>
        <v>#NAME?</v>
      </c>
      <c r="I208" s="23" t="e">
        <f t="shared" ca="1" si="1933"/>
        <v>#NAME?</v>
      </c>
      <c r="J208" s="23" t="e">
        <f t="shared" ca="1" si="1933"/>
        <v>#NAME?</v>
      </c>
      <c r="K208" s="23" t="e">
        <f t="shared" ca="1" si="1933"/>
        <v>#NAME?</v>
      </c>
      <c r="L208" s="23" t="e">
        <f t="shared" ca="1" si="1933"/>
        <v>#NAME?</v>
      </c>
      <c r="M208" s="23" t="e">
        <f t="shared" ca="1" si="1933"/>
        <v>#NAME?</v>
      </c>
      <c r="N208" s="23" t="e">
        <f t="shared" ca="1" si="1933"/>
        <v>#NAME?</v>
      </c>
      <c r="O208" s="23" t="e">
        <f t="shared" ca="1" si="1933"/>
        <v>#NAME?</v>
      </c>
      <c r="P208" s="23" t="e">
        <f t="shared" ca="1" si="1933"/>
        <v>#NAME?</v>
      </c>
      <c r="Q208" s="23" t="e">
        <f t="shared" ca="1" si="1933"/>
        <v>#NAME?</v>
      </c>
      <c r="R208" s="23" t="e">
        <f t="shared" ca="1" si="1933"/>
        <v>#NAME?</v>
      </c>
      <c r="S208" s="23" t="e">
        <f t="shared" ca="1" si="1933"/>
        <v>#NAME?</v>
      </c>
      <c r="T208" s="23" t="e">
        <f t="shared" ca="1" si="1933"/>
        <v>#NAME?</v>
      </c>
      <c r="U208" s="23" t="e">
        <f t="shared" ca="1" si="1933"/>
        <v>#NAME?</v>
      </c>
      <c r="V208" s="23" t="e">
        <f t="shared" ca="1" si="1933"/>
        <v>#NAME?</v>
      </c>
      <c r="W208" s="23" t="e">
        <f t="shared" ca="1" si="1933"/>
        <v>#NAME?</v>
      </c>
      <c r="X208" s="23" t="e">
        <f t="shared" ca="1" si="1933"/>
        <v>#NAME?</v>
      </c>
      <c r="Y208" s="23" t="e">
        <f t="shared" ca="1" si="1933"/>
        <v>#NAME?</v>
      </c>
      <c r="Z208" s="23" t="e">
        <f t="shared" ca="1" si="1933"/>
        <v>#NAME?</v>
      </c>
      <c r="AA208" s="23" t="e">
        <f t="shared" ca="1" si="1933"/>
        <v>#NAME?</v>
      </c>
      <c r="AB208" s="24" t="e">
        <f t="shared" ca="1" si="1933"/>
        <v>#NAME?</v>
      </c>
      <c r="AC208" s="24" t="e">
        <f t="shared" ca="1" si="1933"/>
        <v>#NAME?</v>
      </c>
      <c r="AD208" s="24" t="e">
        <f t="shared" ca="1" si="1933"/>
        <v>#NAME?</v>
      </c>
      <c r="AE208" s="24" t="e">
        <f t="shared" ca="1" si="1933"/>
        <v>#NAME?</v>
      </c>
      <c r="AI208" s="23" t="e">
        <f t="shared" ref="AI208:BN208" ca="1" si="1934">AI121-AI48-AH121+AI123-AH123</f>
        <v>#NAME?</v>
      </c>
      <c r="AJ208" s="23" t="e">
        <f t="shared" ca="1" si="1934"/>
        <v>#NAME?</v>
      </c>
      <c r="AK208" s="23" t="e">
        <f t="shared" ca="1" si="1934"/>
        <v>#NAME?</v>
      </c>
      <c r="AL208" s="23" t="e">
        <f t="shared" ca="1" si="1934"/>
        <v>#NAME?</v>
      </c>
      <c r="AM208" s="23" t="e">
        <f t="shared" ca="1" si="1934"/>
        <v>#NAME?</v>
      </c>
      <c r="AN208" s="23" t="e">
        <f t="shared" ca="1" si="1934"/>
        <v>#NAME?</v>
      </c>
      <c r="AO208" s="23" t="e">
        <f t="shared" ca="1" si="1934"/>
        <v>#NAME?</v>
      </c>
      <c r="AP208" s="23" t="e">
        <f t="shared" ca="1" si="1934"/>
        <v>#NAME?</v>
      </c>
      <c r="AQ208" s="23" t="e">
        <f t="shared" ca="1" si="1934"/>
        <v>#NAME?</v>
      </c>
      <c r="AR208" s="23" t="e">
        <f t="shared" ca="1" si="1934"/>
        <v>#NAME?</v>
      </c>
      <c r="AS208" s="23" t="e">
        <f t="shared" ca="1" si="1934"/>
        <v>#NAME?</v>
      </c>
      <c r="AT208" s="23" t="e">
        <f t="shared" ca="1" si="1934"/>
        <v>#NAME?</v>
      </c>
      <c r="AU208" s="23" t="e">
        <f t="shared" ca="1" si="1934"/>
        <v>#NAME?</v>
      </c>
      <c r="AV208" s="23" t="e">
        <f t="shared" ca="1" si="1934"/>
        <v>#NAME?</v>
      </c>
      <c r="AW208" s="23" t="e">
        <f t="shared" ca="1" si="1934"/>
        <v>#NAME?</v>
      </c>
      <c r="AX208" s="23" t="e">
        <f t="shared" ca="1" si="1934"/>
        <v>#NAME?</v>
      </c>
      <c r="AY208" s="23" t="e">
        <f t="shared" ca="1" si="1934"/>
        <v>#NAME?</v>
      </c>
      <c r="AZ208" s="23" t="e">
        <f t="shared" ca="1" si="1934"/>
        <v>#NAME?</v>
      </c>
      <c r="BA208" s="23" t="e">
        <f t="shared" ca="1" si="1934"/>
        <v>#NAME?</v>
      </c>
      <c r="BB208" s="23" t="e">
        <f t="shared" ca="1" si="1934"/>
        <v>#NAME?</v>
      </c>
      <c r="BC208" s="23" t="e">
        <f t="shared" ca="1" si="1934"/>
        <v>#NAME?</v>
      </c>
      <c r="BD208" s="23" t="e">
        <f t="shared" ca="1" si="1934"/>
        <v>#NAME?</v>
      </c>
      <c r="BE208" s="23" t="e">
        <f t="shared" ca="1" si="1934"/>
        <v>#NAME?</v>
      </c>
      <c r="BF208" s="23" t="e">
        <f t="shared" ca="1" si="1934"/>
        <v>#NAME?</v>
      </c>
      <c r="BG208" s="23" t="e">
        <f t="shared" ca="1" si="1934"/>
        <v>#NAME?</v>
      </c>
      <c r="BH208" s="23" t="e">
        <f t="shared" ca="1" si="1934"/>
        <v>#NAME?</v>
      </c>
      <c r="BI208" s="23" t="e">
        <f t="shared" ca="1" si="1934"/>
        <v>#NAME?</v>
      </c>
      <c r="BJ208" s="23" t="e">
        <f t="shared" ca="1" si="1934"/>
        <v>#NAME?</v>
      </c>
      <c r="BK208" s="23" t="e">
        <f t="shared" ca="1" si="1934"/>
        <v>#NAME?</v>
      </c>
      <c r="BL208" s="23" t="e">
        <f t="shared" ca="1" si="1934"/>
        <v>#NAME?</v>
      </c>
      <c r="BM208" s="23" t="e">
        <f t="shared" ca="1" si="1934"/>
        <v>#NAME?</v>
      </c>
      <c r="BN208" s="23" t="e">
        <f t="shared" ca="1" si="1934"/>
        <v>#NAME?</v>
      </c>
      <c r="BO208" s="23" t="e">
        <f t="shared" ref="BO208:CT208" ca="1" si="1935">BO121-BO48-BN121+BO123-BN123</f>
        <v>#NAME?</v>
      </c>
      <c r="BP208" s="23" t="e">
        <f t="shared" ca="1" si="1935"/>
        <v>#NAME?</v>
      </c>
      <c r="BQ208" s="23" t="e">
        <f t="shared" ca="1" si="1935"/>
        <v>#NAME?</v>
      </c>
      <c r="BR208" s="23" t="e">
        <f t="shared" ca="1" si="1935"/>
        <v>#NAME?</v>
      </c>
      <c r="BS208" s="23" t="e">
        <f t="shared" ca="1" si="1935"/>
        <v>#NAME?</v>
      </c>
      <c r="BT208" s="23" t="e">
        <f t="shared" ca="1" si="1935"/>
        <v>#NAME?</v>
      </c>
      <c r="BU208" s="23" t="e">
        <f t="shared" ca="1" si="1935"/>
        <v>#NAME?</v>
      </c>
      <c r="BV208" s="23" t="e">
        <f t="shared" ca="1" si="1935"/>
        <v>#NAME?</v>
      </c>
      <c r="BW208" s="23" t="e">
        <f t="shared" ca="1" si="1935"/>
        <v>#NAME?</v>
      </c>
      <c r="BX208" s="23" t="e">
        <f t="shared" ca="1" si="1935"/>
        <v>#NAME?</v>
      </c>
      <c r="BY208" s="23" t="e">
        <f t="shared" ca="1" si="1935"/>
        <v>#NAME?</v>
      </c>
      <c r="BZ208" s="23" t="e">
        <f t="shared" ca="1" si="1935"/>
        <v>#NAME?</v>
      </c>
      <c r="CA208" s="23" t="e">
        <f t="shared" ca="1" si="1935"/>
        <v>#NAME?</v>
      </c>
      <c r="CB208" s="23" t="e">
        <f t="shared" ca="1" si="1935"/>
        <v>#NAME?</v>
      </c>
      <c r="CC208" s="23" t="e">
        <f t="shared" ca="1" si="1935"/>
        <v>#NAME?</v>
      </c>
      <c r="CD208" s="23" t="e">
        <f t="shared" ca="1" si="1935"/>
        <v>#NAME?</v>
      </c>
      <c r="CE208" s="23" t="e">
        <f t="shared" ca="1" si="1935"/>
        <v>#NAME?</v>
      </c>
      <c r="CF208" s="23" t="e">
        <f t="shared" ca="1" si="1935"/>
        <v>#NAME?</v>
      </c>
      <c r="CG208" s="23" t="e">
        <f t="shared" ca="1" si="1935"/>
        <v>#NAME?</v>
      </c>
      <c r="CH208" s="23" t="e">
        <f t="shared" ca="1" si="1935"/>
        <v>#NAME?</v>
      </c>
      <c r="CI208" s="23" t="e">
        <f t="shared" ca="1" si="1935"/>
        <v>#NAME?</v>
      </c>
      <c r="CJ208" s="23" t="e">
        <f t="shared" ca="1" si="1935"/>
        <v>#NAME?</v>
      </c>
      <c r="CK208" s="24" t="e">
        <f t="shared" ca="1" si="1935"/>
        <v>#NAME?</v>
      </c>
      <c r="CL208" s="23" t="e">
        <f t="shared" ca="1" si="1935"/>
        <v>#NAME?</v>
      </c>
      <c r="CM208" s="24" t="e">
        <f t="shared" ca="1" si="1935"/>
        <v>#NAME?</v>
      </c>
      <c r="CN208" s="24" t="e">
        <f t="shared" ca="1" si="1935"/>
        <v>#NAME?</v>
      </c>
      <c r="CO208" s="24" t="e">
        <f t="shared" ca="1" si="1935"/>
        <v>#NAME?</v>
      </c>
      <c r="CP208" s="24" t="e">
        <f t="shared" ca="1" si="1935"/>
        <v>#NAME?</v>
      </c>
      <c r="CQ208" s="24" t="e">
        <f t="shared" ca="1" si="1935"/>
        <v>#NAME?</v>
      </c>
      <c r="CR208" s="24" t="e">
        <f t="shared" ca="1" si="1935"/>
        <v>#NAME?</v>
      </c>
      <c r="CS208" s="24" t="e">
        <f t="shared" ca="1" si="1935"/>
        <v>#NAME?</v>
      </c>
      <c r="CT208" s="24" t="e">
        <f t="shared" ca="1" si="1935"/>
        <v>#NAME?</v>
      </c>
      <c r="CU208" s="24" t="e">
        <f t="shared" ref="CU208:DB208" ca="1" si="1936">CU121-CU48-CT121+CU123-CT123</f>
        <v>#NAME?</v>
      </c>
      <c r="CV208" s="24" t="e">
        <f t="shared" ca="1" si="1936"/>
        <v>#NAME?</v>
      </c>
      <c r="CW208" s="24" t="e">
        <f t="shared" ca="1" si="1936"/>
        <v>#NAME?</v>
      </c>
      <c r="CX208" s="24" t="e">
        <f t="shared" ca="1" si="1936"/>
        <v>#NAME?</v>
      </c>
      <c r="CY208" s="24" t="e">
        <f t="shared" ca="1" si="1936"/>
        <v>#NAME?</v>
      </c>
      <c r="CZ208" s="24" t="e">
        <f t="shared" ca="1" si="1936"/>
        <v>#NAME?</v>
      </c>
      <c r="DA208" s="24" t="e">
        <f t="shared" ca="1" si="1936"/>
        <v>#NAME?</v>
      </c>
      <c r="DB208" s="24" t="e">
        <f t="shared" ca="1" si="1936"/>
        <v>#NAME?</v>
      </c>
      <c r="DE208" s="123"/>
      <c r="DF208" s="23">
        <v>25992.330000000024</v>
      </c>
    </row>
    <row r="209" spans="1:110" s="23" customFormat="1" x14ac:dyDescent="0.2">
      <c r="AB209" s="24"/>
      <c r="AC209" s="24"/>
      <c r="AD209" s="24"/>
      <c r="AE209" s="24"/>
      <c r="CK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0" s="23" customFormat="1" x14ac:dyDescent="0.2">
      <c r="A210" s="23" t="s">
        <v>442</v>
      </c>
      <c r="C210" s="23" t="e">
        <f t="shared" ref="C210" ca="1" si="1937">B162</f>
        <v>#NAME?</v>
      </c>
      <c r="D210" s="23" t="e">
        <f t="shared" ref="D210" ca="1" si="1938">C162</f>
        <v>#NAME?</v>
      </c>
      <c r="E210" s="23" t="e">
        <f ca="1">D162</f>
        <v>#NAME?</v>
      </c>
      <c r="F210" s="23" t="e">
        <f t="shared" ref="F210" ca="1" si="1939">E162</f>
        <v>#NAME?</v>
      </c>
      <c r="G210" s="23" t="e">
        <f t="shared" ref="G210" ca="1" si="1940">F162</f>
        <v>#NAME?</v>
      </c>
      <c r="H210" s="23" t="e">
        <f t="shared" ref="H210" ca="1" si="1941">G162</f>
        <v>#NAME?</v>
      </c>
      <c r="I210" s="23" t="e">
        <f t="shared" ref="I210" ca="1" si="1942">H162</f>
        <v>#NAME?</v>
      </c>
      <c r="J210" s="23" t="e">
        <f ca="1">I162</f>
        <v>#NAME?</v>
      </c>
      <c r="K210" s="23" t="e">
        <f ca="1">J162</f>
        <v>#NAME?</v>
      </c>
      <c r="L210" s="23" t="e">
        <f t="shared" ref="L210" ca="1" si="1943">K162</f>
        <v>#NAME?</v>
      </c>
      <c r="M210" s="23" t="e">
        <f t="shared" ref="M210" ca="1" si="1944">L162</f>
        <v>#NAME?</v>
      </c>
      <c r="N210" s="23" t="e">
        <f t="shared" ref="N210" ca="1" si="1945">M162</f>
        <v>#NAME?</v>
      </c>
      <c r="O210" s="23" t="e">
        <f t="shared" ref="O210" ca="1" si="1946">N162</f>
        <v>#NAME?</v>
      </c>
      <c r="P210" s="23" t="e">
        <f t="shared" ref="P210" ca="1" si="1947">O162</f>
        <v>#NAME?</v>
      </c>
      <c r="Q210" s="23" t="e">
        <f t="shared" ref="Q210" ca="1" si="1948">P162</f>
        <v>#NAME?</v>
      </c>
      <c r="R210" s="23" t="e">
        <f t="shared" ref="R210" ca="1" si="1949">Q162</f>
        <v>#NAME?</v>
      </c>
      <c r="S210" s="23" t="e">
        <f t="shared" ref="S210" ca="1" si="1950">R162</f>
        <v>#NAME?</v>
      </c>
      <c r="T210" s="23" t="e">
        <f t="shared" ref="T210" ca="1" si="1951">S162</f>
        <v>#NAME?</v>
      </c>
      <c r="U210" s="23" t="e">
        <f t="shared" ref="U210" ca="1" si="1952">T162</f>
        <v>#NAME?</v>
      </c>
      <c r="V210" s="23" t="e">
        <f t="shared" ref="V210" ca="1" si="1953">U162</f>
        <v>#NAME?</v>
      </c>
      <c r="W210" s="23" t="e">
        <f t="shared" ref="W210:AA210" ca="1" si="1954">V162</f>
        <v>#NAME?</v>
      </c>
      <c r="X210" s="23" t="e">
        <f t="shared" ca="1" si="1954"/>
        <v>#NAME?</v>
      </c>
      <c r="Y210" s="23" t="e">
        <f t="shared" ca="1" si="1954"/>
        <v>#NAME?</v>
      </c>
      <c r="Z210" s="23" t="e">
        <f t="shared" ca="1" si="1954"/>
        <v>#NAME?</v>
      </c>
      <c r="AA210" s="23" t="e">
        <f t="shared" ca="1" si="1954"/>
        <v>#NAME?</v>
      </c>
      <c r="AB210" s="24" t="e">
        <f t="shared" ref="AB210" ca="1" si="1955">AA162</f>
        <v>#NAME?</v>
      </c>
      <c r="AC210" s="24" t="e">
        <f t="shared" ref="AC210" ca="1" si="1956">AB162</f>
        <v>#NAME?</v>
      </c>
      <c r="AD210" s="24" t="e">
        <f t="shared" ref="AD210" ca="1" si="1957">AC162</f>
        <v>#NAME?</v>
      </c>
      <c r="AE210" s="24" t="e">
        <f t="shared" ref="AE210" ca="1" si="1958">AD162</f>
        <v>#NAME?</v>
      </c>
      <c r="AI210" s="23">
        <f t="shared" ref="AI210" si="1959">AH162</f>
        <v>0</v>
      </c>
      <c r="AJ210" s="23">
        <f t="shared" ref="AJ210" si="1960">AI162</f>
        <v>0</v>
      </c>
      <c r="AK210" s="23" t="e">
        <f t="shared" ref="AK210" ca="1" si="1961">AJ162</f>
        <v>#NAME?</v>
      </c>
      <c r="AL210" s="23" t="e">
        <f t="shared" ref="AL210" ca="1" si="1962">AK162</f>
        <v>#NAME?</v>
      </c>
      <c r="AM210" s="23" t="e">
        <f t="shared" ref="AM210" ca="1" si="1963">AL162</f>
        <v>#NAME?</v>
      </c>
      <c r="AN210" s="23" t="e">
        <f t="shared" ref="AN210" ca="1" si="1964">AM162</f>
        <v>#NAME?</v>
      </c>
      <c r="AO210" s="23" t="e">
        <f t="shared" ref="AO210" ca="1" si="1965">AN162</f>
        <v>#NAME?</v>
      </c>
      <c r="AP210" s="23" t="e">
        <f t="shared" ref="AP210" ca="1" si="1966">AO162</f>
        <v>#NAME?</v>
      </c>
      <c r="AQ210" s="23" t="e">
        <f t="shared" ref="AQ210" ca="1" si="1967">AP162</f>
        <v>#NAME?</v>
      </c>
      <c r="AR210" s="23" t="e">
        <f t="shared" ref="AR210" ca="1" si="1968">AQ162</f>
        <v>#NAME?</v>
      </c>
      <c r="AS210" s="23" t="e">
        <f t="shared" ref="AS210" ca="1" si="1969">AR162</f>
        <v>#NAME?</v>
      </c>
      <c r="AT210" s="23" t="e">
        <f t="shared" ref="AT210" ca="1" si="1970">AS162</f>
        <v>#NAME?</v>
      </c>
      <c r="AU210" s="23" t="e">
        <f t="shared" ref="AU210" ca="1" si="1971">AT162</f>
        <v>#NAME?</v>
      </c>
      <c r="AV210" s="23" t="e">
        <f t="shared" ref="AV210" ca="1" si="1972">AU162</f>
        <v>#NAME?</v>
      </c>
      <c r="AW210" s="23" t="e">
        <f t="shared" ref="AW210" ca="1" si="1973">AV162</f>
        <v>#NAME?</v>
      </c>
      <c r="AX210" s="23" t="e">
        <f t="shared" ref="AX210" ca="1" si="1974">AW162</f>
        <v>#NAME?</v>
      </c>
      <c r="AY210" s="23" t="e">
        <f t="shared" ref="AY210" ca="1" si="1975">AX162</f>
        <v>#NAME?</v>
      </c>
      <c r="AZ210" s="23" t="e">
        <f t="shared" ref="AZ210" ca="1" si="1976">AY162</f>
        <v>#NAME?</v>
      </c>
      <c r="BA210" s="23" t="e">
        <f t="shared" ref="BA210" ca="1" si="1977">AZ162</f>
        <v>#NAME?</v>
      </c>
      <c r="BB210" s="23" t="e">
        <f t="shared" ref="BB210" ca="1" si="1978">BA162</f>
        <v>#NAME?</v>
      </c>
      <c r="BC210" s="23" t="e">
        <f t="shared" ref="BC210" ca="1" si="1979">BB162</f>
        <v>#NAME?</v>
      </c>
      <c r="BD210" s="23" t="e">
        <f t="shared" ref="BD210" ca="1" si="1980">BC162</f>
        <v>#NAME?</v>
      </c>
      <c r="BE210" s="23" t="e">
        <f t="shared" ref="BE210" ca="1" si="1981">BD162</f>
        <v>#NAME?</v>
      </c>
      <c r="BF210" s="23" t="e">
        <f t="shared" ref="BF210" ca="1" si="1982">BE162</f>
        <v>#NAME?</v>
      </c>
      <c r="BG210" s="23" t="e">
        <f t="shared" ref="BG210" ca="1" si="1983">BF162</f>
        <v>#NAME?</v>
      </c>
      <c r="BH210" s="23" t="e">
        <f t="shared" ref="BH210" ca="1" si="1984">BG162</f>
        <v>#NAME?</v>
      </c>
      <c r="BI210" s="23" t="e">
        <f t="shared" ref="BI210" ca="1" si="1985">BH162</f>
        <v>#NAME?</v>
      </c>
      <c r="BJ210" s="23" t="e">
        <f t="shared" ref="BJ210" ca="1" si="1986">BI162</f>
        <v>#NAME?</v>
      </c>
      <c r="BK210" s="23" t="e">
        <f t="shared" ref="BK210" ca="1" si="1987">BJ162</f>
        <v>#NAME?</v>
      </c>
      <c r="BL210" s="23" t="e">
        <f t="shared" ref="BL210" ca="1" si="1988">BK162</f>
        <v>#NAME?</v>
      </c>
      <c r="BM210" s="23" t="e">
        <f t="shared" ref="BM210" ca="1" si="1989">BL162</f>
        <v>#NAME?</v>
      </c>
      <c r="BN210" s="23" t="e">
        <f t="shared" ref="BN210" ca="1" si="1990">BM162</f>
        <v>#NAME?</v>
      </c>
      <c r="BO210" s="23" t="e">
        <f t="shared" ref="BO210" ca="1" si="1991">BN162</f>
        <v>#NAME?</v>
      </c>
      <c r="BP210" s="23" t="e">
        <f t="shared" ref="BP210" ca="1" si="1992">BO162</f>
        <v>#NAME?</v>
      </c>
      <c r="BQ210" s="23" t="e">
        <f t="shared" ref="BQ210" ca="1" si="1993">BP162</f>
        <v>#NAME?</v>
      </c>
      <c r="BR210" s="23" t="e">
        <f t="shared" ref="BR210" ca="1" si="1994">BQ162</f>
        <v>#NAME?</v>
      </c>
      <c r="BS210" s="23" t="e">
        <f t="shared" ref="BS210" ca="1" si="1995">BR162</f>
        <v>#NAME?</v>
      </c>
      <c r="BT210" s="23" t="e">
        <f t="shared" ref="BT210" ca="1" si="1996">BS162</f>
        <v>#NAME?</v>
      </c>
      <c r="BU210" s="23" t="e">
        <f t="shared" ref="BU210" ca="1" si="1997">BT162</f>
        <v>#NAME?</v>
      </c>
      <c r="BV210" s="23" t="e">
        <f t="shared" ref="BV210" ca="1" si="1998">BU162</f>
        <v>#NAME?</v>
      </c>
      <c r="BW210" s="23" t="e">
        <f t="shared" ref="BW210" ca="1" si="1999">BV162</f>
        <v>#NAME?</v>
      </c>
      <c r="BX210" s="23" t="e">
        <f t="shared" ref="BX210" ca="1" si="2000">BW162</f>
        <v>#NAME?</v>
      </c>
      <c r="BY210" s="23" t="e">
        <f t="shared" ref="BY210" ca="1" si="2001">BX162</f>
        <v>#NAME?</v>
      </c>
      <c r="BZ210" s="23" t="e">
        <f t="shared" ref="BZ210" ca="1" si="2002">BY162</f>
        <v>#NAME?</v>
      </c>
      <c r="CA210" s="23" t="e">
        <f t="shared" ref="CA210" ca="1" si="2003">BZ162</f>
        <v>#NAME?</v>
      </c>
      <c r="CB210" s="23" t="e">
        <f t="shared" ref="CB210" ca="1" si="2004">CA162</f>
        <v>#NAME?</v>
      </c>
      <c r="CC210" s="23" t="e">
        <f t="shared" ref="CC210" ca="1" si="2005">CB162</f>
        <v>#NAME?</v>
      </c>
      <c r="CD210" s="23" t="e">
        <f t="shared" ref="CD210" ca="1" si="2006">CC162</f>
        <v>#NAME?</v>
      </c>
      <c r="CE210" s="23" t="e">
        <f t="shared" ref="CE210" ca="1" si="2007">CD162</f>
        <v>#NAME?</v>
      </c>
      <c r="CF210" s="23" t="e">
        <f t="shared" ref="CF210" ca="1" si="2008">CE162</f>
        <v>#NAME?</v>
      </c>
      <c r="CG210" s="23" t="e">
        <f t="shared" ref="CG210" ca="1" si="2009">CF162</f>
        <v>#NAME?</v>
      </c>
      <c r="CH210" s="23" t="e">
        <f t="shared" ref="CH210:CL210" ca="1" si="2010">CG162</f>
        <v>#NAME?</v>
      </c>
      <c r="CI210" s="23" t="e">
        <f t="shared" ca="1" si="2010"/>
        <v>#NAME?</v>
      </c>
      <c r="CJ210" s="23" t="e">
        <f t="shared" ca="1" si="2010"/>
        <v>#NAME?</v>
      </c>
      <c r="CK210" s="24" t="e">
        <f t="shared" ref="CK210" ca="1" si="2011">CJ162</f>
        <v>#NAME?</v>
      </c>
      <c r="CL210" s="23" t="e">
        <f t="shared" ca="1" si="2010"/>
        <v>#NAME?</v>
      </c>
      <c r="CM210" s="24" t="e">
        <f t="shared" ref="CM210" ca="1" si="2012">CL162</f>
        <v>#NAME?</v>
      </c>
      <c r="CN210" s="24" t="e">
        <f t="shared" ref="CN210" ca="1" si="2013">CM162</f>
        <v>#NAME?</v>
      </c>
      <c r="CO210" s="24" t="e">
        <f t="shared" ref="CO210" ca="1" si="2014">CN162</f>
        <v>#NAME?</v>
      </c>
      <c r="CP210" s="24" t="e">
        <f t="shared" ref="CP210" ca="1" si="2015">CO162</f>
        <v>#NAME?</v>
      </c>
      <c r="CQ210" s="24" t="e">
        <f t="shared" ref="CQ210" ca="1" si="2016">CP162</f>
        <v>#NAME?</v>
      </c>
      <c r="CR210" s="24" t="e">
        <f t="shared" ref="CR210" ca="1" si="2017">CQ162</f>
        <v>#NAME?</v>
      </c>
      <c r="CS210" s="24" t="e">
        <f t="shared" ref="CS210" ca="1" si="2018">CR162</f>
        <v>#NAME?</v>
      </c>
      <c r="CT210" s="24" t="e">
        <f t="shared" ref="CT210" ca="1" si="2019">CS162</f>
        <v>#NAME?</v>
      </c>
      <c r="CU210" s="24" t="e">
        <f t="shared" ref="CU210" ca="1" si="2020">CT162</f>
        <v>#NAME?</v>
      </c>
      <c r="CV210" s="24" t="e">
        <f t="shared" ref="CV210" ca="1" si="2021">CU162</f>
        <v>#NAME?</v>
      </c>
      <c r="CW210" s="24" t="e">
        <f t="shared" ref="CW210" ca="1" si="2022">CV162</f>
        <v>#NAME?</v>
      </c>
      <c r="CX210" s="24" t="e">
        <f t="shared" ref="CX210" ca="1" si="2023">CW162</f>
        <v>#NAME?</v>
      </c>
      <c r="CY210" s="24" t="e">
        <f t="shared" ref="CY210" ca="1" si="2024">CX162</f>
        <v>#NAME?</v>
      </c>
      <c r="CZ210" s="24" t="e">
        <f t="shared" ref="CZ210" ca="1" si="2025">CY162</f>
        <v>#NAME?</v>
      </c>
      <c r="DA210" s="24" t="e">
        <f t="shared" ref="DA210" ca="1" si="2026">CZ162</f>
        <v>#NAME?</v>
      </c>
      <c r="DB210" s="24" t="e">
        <f t="shared" ref="DB210" ca="1" si="2027">DA162</f>
        <v>#NAME?</v>
      </c>
      <c r="DE210" s="123"/>
      <c r="DF210" s="23">
        <v>9218.0499999999993</v>
      </c>
    </row>
    <row r="211" spans="1:110" s="23" customFormat="1" x14ac:dyDescent="0.2">
      <c r="A211" s="23" t="s">
        <v>443</v>
      </c>
      <c r="C211" s="23" t="e">
        <f t="shared" ref="C211:W211" ca="1" si="2028">C210+C206+C202+C200</f>
        <v>#NAME?</v>
      </c>
      <c r="D211" s="23" t="e">
        <f t="shared" ca="1" si="2028"/>
        <v>#NAME?</v>
      </c>
      <c r="E211" s="23" t="e">
        <f t="shared" ca="1" si="2028"/>
        <v>#NAME?</v>
      </c>
      <c r="F211" s="23" t="e">
        <f t="shared" ca="1" si="2028"/>
        <v>#NAME?</v>
      </c>
      <c r="G211" s="23" t="e">
        <f t="shared" ca="1" si="2028"/>
        <v>#NAME?</v>
      </c>
      <c r="H211" s="23" t="e">
        <f t="shared" ca="1" si="2028"/>
        <v>#NAME?</v>
      </c>
      <c r="I211" s="23" t="e">
        <f t="shared" ca="1" si="2028"/>
        <v>#NAME?</v>
      </c>
      <c r="J211" s="23" t="e">
        <f ca="1">J210+J206+J202+J200</f>
        <v>#NAME?</v>
      </c>
      <c r="K211" s="23" t="e">
        <f ca="1">K210+K206+K202+K200</f>
        <v>#NAME?</v>
      </c>
      <c r="L211" s="23" t="e">
        <f ca="1">L210+L206+L202+L200</f>
        <v>#NAME?</v>
      </c>
      <c r="M211" s="23" t="e">
        <f ca="1">M210+M206+M202+M200</f>
        <v>#NAME?</v>
      </c>
      <c r="N211" s="23" t="e">
        <f t="shared" ca="1" si="2028"/>
        <v>#NAME?</v>
      </c>
      <c r="O211" s="23" t="e">
        <f t="shared" ca="1" si="2028"/>
        <v>#NAME?</v>
      </c>
      <c r="P211" s="23" t="e">
        <f t="shared" ca="1" si="2028"/>
        <v>#NAME?</v>
      </c>
      <c r="Q211" s="23" t="e">
        <f t="shared" ca="1" si="2028"/>
        <v>#NAME?</v>
      </c>
      <c r="R211" s="23" t="e">
        <f t="shared" ca="1" si="2028"/>
        <v>#NAME?</v>
      </c>
      <c r="S211" s="23" t="e">
        <f t="shared" ca="1" si="2028"/>
        <v>#NAME?</v>
      </c>
      <c r="T211" s="23" t="e">
        <f t="shared" ca="1" si="2028"/>
        <v>#NAME?</v>
      </c>
      <c r="U211" s="23" t="e">
        <f t="shared" ca="1" si="2028"/>
        <v>#NAME?</v>
      </c>
      <c r="V211" s="23" t="e">
        <f t="shared" ca="1" si="2028"/>
        <v>#NAME?</v>
      </c>
      <c r="W211" s="23" t="e">
        <f t="shared" ca="1" si="2028"/>
        <v>#NAME?</v>
      </c>
      <c r="X211" s="23" t="e">
        <f t="shared" ref="X211:Y211" ca="1" si="2029">X210+X206+X202+X200</f>
        <v>#NAME?</v>
      </c>
      <c r="Y211" s="23" t="e">
        <f t="shared" ca="1" si="2029"/>
        <v>#NAME?</v>
      </c>
      <c r="Z211" s="23" t="e">
        <f t="shared" ref="Z211:AA211" ca="1" si="2030">Z210+Z206+Z202+Z200</f>
        <v>#NAME?</v>
      </c>
      <c r="AA211" s="23" t="e">
        <f t="shared" ca="1" si="2030"/>
        <v>#NAME?</v>
      </c>
      <c r="AB211" s="24" t="e">
        <f t="shared" ref="AA211:AD211" ca="1" si="2031">AB210+AB206+AB202+AB200</f>
        <v>#NAME?</v>
      </c>
      <c r="AC211" s="24" t="e">
        <f t="shared" ca="1" si="2031"/>
        <v>#NAME?</v>
      </c>
      <c r="AD211" s="24" t="e">
        <f t="shared" ca="1" si="2031"/>
        <v>#NAME?</v>
      </c>
      <c r="AE211" s="24" t="e">
        <f t="shared" ref="AE211" ca="1" si="2032">AE210+AE206+AE202+AE200</f>
        <v>#NAME?</v>
      </c>
      <c r="AI211" s="23" t="e">
        <f t="shared" ref="AI211" ca="1" si="2033">AI210+AI206+AI202+AI200</f>
        <v>#NAME?</v>
      </c>
      <c r="AJ211" s="23" t="e">
        <f t="shared" ref="AJ211:AL211" ca="1" si="2034">AJ210+AJ206+AJ202+AJ200</f>
        <v>#NAME?</v>
      </c>
      <c r="AK211" s="23" t="e">
        <f t="shared" ca="1" si="2034"/>
        <v>#NAME?</v>
      </c>
      <c r="AL211" s="23" t="e">
        <f t="shared" ca="1" si="2034"/>
        <v>#NAME?</v>
      </c>
      <c r="AM211" s="23" t="e">
        <f t="shared" ref="AM211" ca="1" si="2035">AM210+AM206+AM202+AM200</f>
        <v>#NAME?</v>
      </c>
      <c r="AN211" s="23" t="e">
        <f t="shared" ref="AN211:CD211" ca="1" si="2036">AN210+AN206+AN202+AN200</f>
        <v>#NAME?</v>
      </c>
      <c r="AO211" s="23" t="e">
        <f t="shared" ca="1" si="2036"/>
        <v>#NAME?</v>
      </c>
      <c r="AP211" s="23" t="e">
        <f t="shared" ca="1" si="2036"/>
        <v>#NAME?</v>
      </c>
      <c r="AQ211" s="23" t="e">
        <f t="shared" ca="1" si="2036"/>
        <v>#NAME?</v>
      </c>
      <c r="AR211" s="23" t="e">
        <f t="shared" ca="1" si="2036"/>
        <v>#NAME?</v>
      </c>
      <c r="AS211" s="23" t="e">
        <f t="shared" ca="1" si="2036"/>
        <v>#NAME?</v>
      </c>
      <c r="AT211" s="23" t="e">
        <f t="shared" ca="1" si="2036"/>
        <v>#NAME?</v>
      </c>
      <c r="AU211" s="23" t="e">
        <f t="shared" ca="1" si="2036"/>
        <v>#NAME?</v>
      </c>
      <c r="AV211" s="23" t="e">
        <f t="shared" ca="1" si="2036"/>
        <v>#NAME?</v>
      </c>
      <c r="AW211" s="23" t="e">
        <f t="shared" ca="1" si="2036"/>
        <v>#NAME?</v>
      </c>
      <c r="AX211" s="23" t="e">
        <f t="shared" ca="1" si="2036"/>
        <v>#NAME?</v>
      </c>
      <c r="AY211" s="23" t="e">
        <f t="shared" ca="1" si="2036"/>
        <v>#NAME?</v>
      </c>
      <c r="AZ211" s="23" t="e">
        <f t="shared" ca="1" si="2036"/>
        <v>#NAME?</v>
      </c>
      <c r="BA211" s="23" t="e">
        <f t="shared" ca="1" si="2036"/>
        <v>#NAME?</v>
      </c>
      <c r="BB211" s="23" t="e">
        <f t="shared" ca="1" si="2036"/>
        <v>#NAME?</v>
      </c>
      <c r="BC211" s="23" t="e">
        <f t="shared" ca="1" si="2036"/>
        <v>#NAME?</v>
      </c>
      <c r="BD211" s="23" t="e">
        <f t="shared" ca="1" si="2036"/>
        <v>#NAME?</v>
      </c>
      <c r="BE211" s="23" t="e">
        <f t="shared" ca="1" si="2036"/>
        <v>#NAME?</v>
      </c>
      <c r="BF211" s="23" t="e">
        <f t="shared" ca="1" si="2036"/>
        <v>#NAME?</v>
      </c>
      <c r="BG211" s="23" t="e">
        <f t="shared" ca="1" si="2036"/>
        <v>#NAME?</v>
      </c>
      <c r="BH211" s="23" t="e">
        <f t="shared" ca="1" si="2036"/>
        <v>#NAME?</v>
      </c>
      <c r="BI211" s="23" t="e">
        <f t="shared" ca="1" si="2036"/>
        <v>#NAME?</v>
      </c>
      <c r="BJ211" s="23" t="e">
        <f t="shared" ca="1" si="2036"/>
        <v>#NAME?</v>
      </c>
      <c r="BK211" s="23" t="e">
        <f t="shared" ca="1" si="2036"/>
        <v>#NAME?</v>
      </c>
      <c r="BL211" s="23" t="e">
        <f t="shared" ca="1" si="2036"/>
        <v>#NAME?</v>
      </c>
      <c r="BM211" s="23" t="e">
        <f t="shared" ca="1" si="2036"/>
        <v>#NAME?</v>
      </c>
      <c r="BN211" s="23" t="e">
        <f t="shared" ca="1" si="2036"/>
        <v>#NAME?</v>
      </c>
      <c r="BO211" s="23" t="e">
        <f t="shared" ca="1" si="2036"/>
        <v>#NAME?</v>
      </c>
      <c r="BP211" s="23" t="e">
        <f t="shared" ca="1" si="2036"/>
        <v>#NAME?</v>
      </c>
      <c r="BQ211" s="23" t="e">
        <f t="shared" ca="1" si="2036"/>
        <v>#NAME?</v>
      </c>
      <c r="BR211" s="23" t="e">
        <f t="shared" ca="1" si="2036"/>
        <v>#NAME?</v>
      </c>
      <c r="BS211" s="23" t="e">
        <f t="shared" ca="1" si="2036"/>
        <v>#NAME?</v>
      </c>
      <c r="BT211" s="23" t="e">
        <f t="shared" ca="1" si="2036"/>
        <v>#NAME?</v>
      </c>
      <c r="BU211" s="23" t="e">
        <f t="shared" ca="1" si="2036"/>
        <v>#NAME?</v>
      </c>
      <c r="BV211" s="23" t="e">
        <f t="shared" ca="1" si="2036"/>
        <v>#NAME?</v>
      </c>
      <c r="BW211" s="23" t="e">
        <f t="shared" ca="1" si="2036"/>
        <v>#NAME?</v>
      </c>
      <c r="BX211" s="23" t="e">
        <f t="shared" ca="1" si="2036"/>
        <v>#NAME?</v>
      </c>
      <c r="BY211" s="23" t="e">
        <f t="shared" ca="1" si="2036"/>
        <v>#NAME?</v>
      </c>
      <c r="BZ211" s="23" t="e">
        <f t="shared" ca="1" si="2036"/>
        <v>#NAME?</v>
      </c>
      <c r="CA211" s="23" t="e">
        <f t="shared" ca="1" si="2036"/>
        <v>#NAME?</v>
      </c>
      <c r="CB211" s="23" t="e">
        <f t="shared" ca="1" si="2036"/>
        <v>#NAME?</v>
      </c>
      <c r="CC211" s="23" t="e">
        <f t="shared" ca="1" si="2036"/>
        <v>#NAME?</v>
      </c>
      <c r="CD211" s="23" t="e">
        <f t="shared" ca="1" si="2036"/>
        <v>#NAME?</v>
      </c>
      <c r="CE211" s="23" t="e">
        <f t="shared" ref="CE211:CF211" ca="1" si="2037">CE210+CE206+CE202+CE200</f>
        <v>#NAME?</v>
      </c>
      <c r="CF211" s="23" t="e">
        <f t="shared" ca="1" si="2037"/>
        <v>#NAME?</v>
      </c>
      <c r="CG211" s="23" t="e">
        <f t="shared" ref="CG211:CH211" ca="1" si="2038">CG210+CG206+CG202+CG200</f>
        <v>#NAME?</v>
      </c>
      <c r="CH211" s="23" t="e">
        <f t="shared" ca="1" si="2038"/>
        <v>#NAME?</v>
      </c>
      <c r="CI211" s="23" t="e">
        <f t="shared" ref="CI211:CJ211" ca="1" si="2039">CI210+CI206+CI202+CI200</f>
        <v>#NAME?</v>
      </c>
      <c r="CJ211" s="23" t="e">
        <f t="shared" ca="1" si="2039"/>
        <v>#NAME?</v>
      </c>
      <c r="CK211" s="24" t="e">
        <f t="shared" ref="CK211:DB211" ca="1" si="2040">CK210+CK206+CK202+CK200</f>
        <v>#NAME?</v>
      </c>
      <c r="CL211" s="23" t="e">
        <f t="shared" ca="1" si="2040"/>
        <v>#NAME?</v>
      </c>
      <c r="CM211" s="24" t="e">
        <f t="shared" ca="1" si="2040"/>
        <v>#NAME?</v>
      </c>
      <c r="CN211" s="24" t="e">
        <f t="shared" ca="1" si="2040"/>
        <v>#NAME?</v>
      </c>
      <c r="CO211" s="24" t="e">
        <f t="shared" ca="1" si="2040"/>
        <v>#NAME?</v>
      </c>
      <c r="CP211" s="24" t="e">
        <f t="shared" ca="1" si="2040"/>
        <v>#NAME?</v>
      </c>
      <c r="CQ211" s="24" t="e">
        <f t="shared" ca="1" si="2040"/>
        <v>#NAME?</v>
      </c>
      <c r="CR211" s="24" t="e">
        <f t="shared" ca="1" si="2040"/>
        <v>#NAME?</v>
      </c>
      <c r="CS211" s="24" t="e">
        <f t="shared" ca="1" si="2040"/>
        <v>#NAME?</v>
      </c>
      <c r="CT211" s="24" t="e">
        <f t="shared" ca="1" si="2040"/>
        <v>#NAME?</v>
      </c>
      <c r="CU211" s="24" t="e">
        <f t="shared" ca="1" si="2040"/>
        <v>#NAME?</v>
      </c>
      <c r="CV211" s="24" t="e">
        <f t="shared" ca="1" si="2040"/>
        <v>#NAME?</v>
      </c>
      <c r="CW211" s="24" t="e">
        <f t="shared" ca="1" si="2040"/>
        <v>#NAME?</v>
      </c>
      <c r="CX211" s="24" t="e">
        <f t="shared" ca="1" si="2040"/>
        <v>#NAME?</v>
      </c>
      <c r="CY211" s="24" t="e">
        <f t="shared" ca="1" si="2040"/>
        <v>#NAME?</v>
      </c>
      <c r="CZ211" s="24" t="e">
        <f t="shared" ca="1" si="2040"/>
        <v>#NAME?</v>
      </c>
      <c r="DA211" s="24" t="e">
        <f t="shared" ca="1" si="2040"/>
        <v>#NAME?</v>
      </c>
      <c r="DB211" s="24" t="e">
        <f t="shared" ca="1" si="2040"/>
        <v>#NAME?</v>
      </c>
      <c r="DE211" s="123"/>
      <c r="DF211" s="23">
        <v>14316.069999999987</v>
      </c>
    </row>
    <row r="212" spans="1:110" s="28" customFormat="1" x14ac:dyDescent="0.2">
      <c r="A212" s="28" t="s">
        <v>444</v>
      </c>
      <c r="C212" s="28" t="e">
        <f t="shared" ref="C212:W212" ca="1" si="2041">C211-C162</f>
        <v>#NAME?</v>
      </c>
      <c r="D212" s="28" t="e">
        <f t="shared" ca="1" si="2041"/>
        <v>#NAME?</v>
      </c>
      <c r="E212" s="28" t="e">
        <f t="shared" ca="1" si="2041"/>
        <v>#NAME?</v>
      </c>
      <c r="F212" s="28" t="e">
        <f t="shared" ca="1" si="2041"/>
        <v>#NAME?</v>
      </c>
      <c r="G212" s="28" t="e">
        <f t="shared" ca="1" si="2041"/>
        <v>#NAME?</v>
      </c>
      <c r="H212" s="28" t="e">
        <f t="shared" ca="1" si="2041"/>
        <v>#NAME?</v>
      </c>
      <c r="I212" s="28" t="e">
        <f t="shared" ca="1" si="2041"/>
        <v>#NAME?</v>
      </c>
      <c r="J212" s="28" t="e">
        <f ca="1">J211-J162</f>
        <v>#NAME?</v>
      </c>
      <c r="K212" s="28" t="e">
        <f t="shared" ca="1" si="2041"/>
        <v>#NAME?</v>
      </c>
      <c r="L212" s="28" t="e">
        <f t="shared" ca="1" si="2041"/>
        <v>#NAME?</v>
      </c>
      <c r="M212" s="28" t="e">
        <f t="shared" ca="1" si="2041"/>
        <v>#NAME?</v>
      </c>
      <c r="N212" s="28" t="e">
        <f t="shared" ca="1" si="2041"/>
        <v>#NAME?</v>
      </c>
      <c r="O212" s="28" t="e">
        <f t="shared" ca="1" si="2041"/>
        <v>#NAME?</v>
      </c>
      <c r="P212" s="28" t="e">
        <f t="shared" ca="1" si="2041"/>
        <v>#NAME?</v>
      </c>
      <c r="Q212" s="28" t="e">
        <f t="shared" ca="1" si="2041"/>
        <v>#NAME?</v>
      </c>
      <c r="R212" s="28" t="e">
        <f t="shared" ca="1" si="2041"/>
        <v>#NAME?</v>
      </c>
      <c r="S212" s="28" t="e">
        <f t="shared" ca="1" si="2041"/>
        <v>#NAME?</v>
      </c>
      <c r="T212" s="28" t="e">
        <f t="shared" ca="1" si="2041"/>
        <v>#NAME?</v>
      </c>
      <c r="U212" s="28" t="e">
        <f t="shared" ca="1" si="2041"/>
        <v>#NAME?</v>
      </c>
      <c r="V212" s="28" t="e">
        <f t="shared" ca="1" si="2041"/>
        <v>#NAME?</v>
      </c>
      <c r="W212" s="28" t="e">
        <f t="shared" ca="1" si="2041"/>
        <v>#NAME?</v>
      </c>
      <c r="X212" s="28" t="e">
        <f t="shared" ref="X212:Y212" ca="1" si="2042">X211-X162</f>
        <v>#NAME?</v>
      </c>
      <c r="Y212" s="28" t="e">
        <f t="shared" ca="1" si="2042"/>
        <v>#NAME?</v>
      </c>
      <c r="Z212" s="28" t="e">
        <f t="shared" ref="Z212:AA212" ca="1" si="2043">Z211-Z162</f>
        <v>#NAME?</v>
      </c>
      <c r="AA212" s="28" t="e">
        <f t="shared" ca="1" si="2043"/>
        <v>#NAME?</v>
      </c>
      <c r="AB212" s="30" t="e">
        <f t="shared" ref="AA212:AD212" ca="1" si="2044">AB211-AB162</f>
        <v>#NAME?</v>
      </c>
      <c r="AC212" s="30" t="e">
        <f t="shared" ca="1" si="2044"/>
        <v>#NAME?</v>
      </c>
      <c r="AD212" s="30" t="e">
        <f t="shared" ca="1" si="2044"/>
        <v>#NAME?</v>
      </c>
      <c r="AE212" s="30" t="e">
        <f t="shared" ref="AE212" ca="1" si="2045">AE211-AE162</f>
        <v>#NAME?</v>
      </c>
      <c r="AI212" s="28" t="e">
        <f t="shared" ref="AI212" ca="1" si="2046">AI211-AI162</f>
        <v>#NAME?</v>
      </c>
      <c r="AJ212" s="28" t="e">
        <f t="shared" ref="AJ212:AL212" ca="1" si="2047">AJ211-AJ162</f>
        <v>#NAME?</v>
      </c>
      <c r="AK212" s="28" t="e">
        <f t="shared" ca="1" si="2047"/>
        <v>#NAME?</v>
      </c>
      <c r="AL212" s="28" t="e">
        <f t="shared" ca="1" si="2047"/>
        <v>#NAME?</v>
      </c>
      <c r="AM212" s="28" t="e">
        <f t="shared" ref="AM212" ca="1" si="2048">AM211-AM162</f>
        <v>#NAME?</v>
      </c>
      <c r="AN212" s="28" t="e">
        <f t="shared" ref="AN212:CD212" ca="1" si="2049">AN211-AN162</f>
        <v>#NAME?</v>
      </c>
      <c r="AO212" s="28" t="e">
        <f t="shared" ca="1" si="2049"/>
        <v>#NAME?</v>
      </c>
      <c r="AP212" s="28" t="e">
        <f t="shared" ca="1" si="2049"/>
        <v>#NAME?</v>
      </c>
      <c r="AQ212" s="28" t="e">
        <f t="shared" ca="1" si="2049"/>
        <v>#NAME?</v>
      </c>
      <c r="AR212" s="28" t="e">
        <f t="shared" ca="1" si="2049"/>
        <v>#NAME?</v>
      </c>
      <c r="AS212" s="28" t="e">
        <f t="shared" ca="1" si="2049"/>
        <v>#NAME?</v>
      </c>
      <c r="AT212" s="28" t="e">
        <f t="shared" ca="1" si="2049"/>
        <v>#NAME?</v>
      </c>
      <c r="AU212" s="28" t="e">
        <f t="shared" ca="1" si="2049"/>
        <v>#NAME?</v>
      </c>
      <c r="AV212" s="28" t="e">
        <f t="shared" ca="1" si="2049"/>
        <v>#NAME?</v>
      </c>
      <c r="AW212" s="28" t="e">
        <f t="shared" ca="1" si="2049"/>
        <v>#NAME?</v>
      </c>
      <c r="AX212" s="28" t="e">
        <f t="shared" ca="1" si="2049"/>
        <v>#NAME?</v>
      </c>
      <c r="AY212" s="28" t="e">
        <f t="shared" ca="1" si="2049"/>
        <v>#NAME?</v>
      </c>
      <c r="AZ212" s="28" t="e">
        <f t="shared" ca="1" si="2049"/>
        <v>#NAME?</v>
      </c>
      <c r="BA212" s="28" t="e">
        <f t="shared" ca="1" si="2049"/>
        <v>#NAME?</v>
      </c>
      <c r="BB212" s="28" t="e">
        <f t="shared" ca="1" si="2049"/>
        <v>#NAME?</v>
      </c>
      <c r="BC212" s="28" t="e">
        <f t="shared" ca="1" si="2049"/>
        <v>#NAME?</v>
      </c>
      <c r="BD212" s="28" t="e">
        <f t="shared" ca="1" si="2049"/>
        <v>#NAME?</v>
      </c>
      <c r="BE212" s="28" t="e">
        <f t="shared" ca="1" si="2049"/>
        <v>#NAME?</v>
      </c>
      <c r="BF212" s="28" t="e">
        <f t="shared" ca="1" si="2049"/>
        <v>#NAME?</v>
      </c>
      <c r="BG212" s="28" t="e">
        <f t="shared" ca="1" si="2049"/>
        <v>#NAME?</v>
      </c>
      <c r="BH212" s="28" t="e">
        <f t="shared" ca="1" si="2049"/>
        <v>#NAME?</v>
      </c>
      <c r="BI212" s="28" t="e">
        <f t="shared" ca="1" si="2049"/>
        <v>#NAME?</v>
      </c>
      <c r="BJ212" s="28" t="e">
        <f t="shared" ca="1" si="2049"/>
        <v>#NAME?</v>
      </c>
      <c r="BK212" s="28" t="e">
        <f t="shared" ca="1" si="2049"/>
        <v>#NAME?</v>
      </c>
      <c r="BL212" s="28" t="e">
        <f t="shared" ca="1" si="2049"/>
        <v>#NAME?</v>
      </c>
      <c r="BM212" s="28" t="e">
        <f t="shared" ca="1" si="2049"/>
        <v>#NAME?</v>
      </c>
      <c r="BN212" s="28" t="e">
        <f t="shared" ca="1" si="2049"/>
        <v>#NAME?</v>
      </c>
      <c r="BO212" s="28" t="e">
        <f t="shared" ca="1" si="2049"/>
        <v>#NAME?</v>
      </c>
      <c r="BP212" s="28" t="e">
        <f t="shared" ca="1" si="2049"/>
        <v>#NAME?</v>
      </c>
      <c r="BQ212" s="28" t="e">
        <f t="shared" ca="1" si="2049"/>
        <v>#NAME?</v>
      </c>
      <c r="BR212" s="28" t="e">
        <f t="shared" ca="1" si="2049"/>
        <v>#NAME?</v>
      </c>
      <c r="BS212" s="28" t="e">
        <f t="shared" ca="1" si="2049"/>
        <v>#NAME?</v>
      </c>
      <c r="BT212" s="28" t="e">
        <f t="shared" ca="1" si="2049"/>
        <v>#NAME?</v>
      </c>
      <c r="BU212" s="28" t="e">
        <f t="shared" ca="1" si="2049"/>
        <v>#NAME?</v>
      </c>
      <c r="BV212" s="28" t="e">
        <f t="shared" ca="1" si="2049"/>
        <v>#NAME?</v>
      </c>
      <c r="BW212" s="28" t="e">
        <f t="shared" ca="1" si="2049"/>
        <v>#NAME?</v>
      </c>
      <c r="BX212" s="28" t="e">
        <f t="shared" ca="1" si="2049"/>
        <v>#NAME?</v>
      </c>
      <c r="BY212" s="28" t="e">
        <f t="shared" ca="1" si="2049"/>
        <v>#NAME?</v>
      </c>
      <c r="BZ212" s="28" t="e">
        <f t="shared" ca="1" si="2049"/>
        <v>#NAME?</v>
      </c>
      <c r="CA212" s="28" t="e">
        <f t="shared" ca="1" si="2049"/>
        <v>#NAME?</v>
      </c>
      <c r="CB212" s="28" t="e">
        <f t="shared" ca="1" si="2049"/>
        <v>#NAME?</v>
      </c>
      <c r="CC212" s="28" t="e">
        <f t="shared" ca="1" si="2049"/>
        <v>#NAME?</v>
      </c>
      <c r="CD212" s="28" t="e">
        <f t="shared" ca="1" si="2049"/>
        <v>#NAME?</v>
      </c>
      <c r="CE212" s="28" t="e">
        <f t="shared" ref="CE212:CF212" ca="1" si="2050">CE211-CE162</f>
        <v>#NAME?</v>
      </c>
      <c r="CF212" s="28" t="e">
        <f t="shared" ca="1" si="2050"/>
        <v>#NAME?</v>
      </c>
      <c r="CG212" s="28" t="e">
        <f t="shared" ref="CG212:CH212" ca="1" si="2051">CG211-CG162</f>
        <v>#NAME?</v>
      </c>
      <c r="CH212" s="28" t="e">
        <f t="shared" ca="1" si="2051"/>
        <v>#NAME?</v>
      </c>
      <c r="CI212" s="28" t="e">
        <f t="shared" ref="CI212:CJ212" ca="1" si="2052">CI211-CI162</f>
        <v>#NAME?</v>
      </c>
      <c r="CJ212" s="28" t="e">
        <f t="shared" ca="1" si="2052"/>
        <v>#NAME?</v>
      </c>
      <c r="CK212" s="30" t="e">
        <f t="shared" ref="CK212:DB212" ca="1" si="2053">CK211-CK162</f>
        <v>#NAME?</v>
      </c>
      <c r="CL212" s="28" t="e">
        <f t="shared" ca="1" si="2053"/>
        <v>#NAME?</v>
      </c>
      <c r="CM212" s="30" t="e">
        <f t="shared" ca="1" si="2053"/>
        <v>#NAME?</v>
      </c>
      <c r="CN212" s="30" t="e">
        <f t="shared" ca="1" si="2053"/>
        <v>#NAME?</v>
      </c>
      <c r="CO212" s="30" t="e">
        <f t="shared" ca="1" si="2053"/>
        <v>#NAME?</v>
      </c>
      <c r="CP212" s="30" t="e">
        <f t="shared" ca="1" si="2053"/>
        <v>#NAME?</v>
      </c>
      <c r="CQ212" s="30" t="e">
        <f t="shared" ca="1" si="2053"/>
        <v>#NAME?</v>
      </c>
      <c r="CR212" s="30" t="e">
        <f t="shared" ca="1" si="2053"/>
        <v>#NAME?</v>
      </c>
      <c r="CS212" s="30" t="e">
        <f t="shared" ca="1" si="2053"/>
        <v>#NAME?</v>
      </c>
      <c r="CT212" s="30" t="e">
        <f t="shared" ca="1" si="2053"/>
        <v>#NAME?</v>
      </c>
      <c r="CU212" s="30" t="e">
        <f t="shared" ca="1" si="2053"/>
        <v>#NAME?</v>
      </c>
      <c r="CV212" s="30" t="e">
        <f t="shared" ca="1" si="2053"/>
        <v>#NAME?</v>
      </c>
      <c r="CW212" s="30" t="e">
        <f t="shared" ca="1" si="2053"/>
        <v>#NAME?</v>
      </c>
      <c r="CX212" s="30" t="e">
        <f t="shared" ca="1" si="2053"/>
        <v>#NAME?</v>
      </c>
      <c r="CY212" s="30" t="e">
        <f t="shared" ca="1" si="2053"/>
        <v>#NAME?</v>
      </c>
      <c r="CZ212" s="30" t="e">
        <f t="shared" ca="1" si="2053"/>
        <v>#NAME?</v>
      </c>
      <c r="DA212" s="30" t="e">
        <f t="shared" ca="1" si="2053"/>
        <v>#NAME?</v>
      </c>
      <c r="DB212" s="30" t="e">
        <f t="shared" ca="1" si="2053"/>
        <v>#NAME?</v>
      </c>
      <c r="DE212" s="139"/>
      <c r="DF212" s="28">
        <v>0</v>
      </c>
    </row>
    <row r="213" spans="1:110" s="23" customFormat="1" x14ac:dyDescent="0.2">
      <c r="AB213" s="24"/>
      <c r="AC213" s="24"/>
      <c r="AD213" s="24"/>
      <c r="AE213" s="24"/>
      <c r="CK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96</v>
      </c>
      <c r="C214" s="22" t="e">
        <f t="shared" ref="C214:W214" ca="1" si="2054">C200+C202</f>
        <v>#NAME?</v>
      </c>
      <c r="D214" s="22" t="e">
        <f t="shared" ca="1" si="2054"/>
        <v>#NAME?</v>
      </c>
      <c r="E214" s="22" t="e">
        <f t="shared" ca="1" si="2054"/>
        <v>#NAME?</v>
      </c>
      <c r="F214" s="22" t="e">
        <f t="shared" ca="1" si="2054"/>
        <v>#NAME?</v>
      </c>
      <c r="G214" s="22" t="e">
        <f t="shared" ca="1" si="2054"/>
        <v>#NAME?</v>
      </c>
      <c r="H214" s="22" t="e">
        <f t="shared" ca="1" si="2054"/>
        <v>#NAME?</v>
      </c>
      <c r="I214" s="22" t="e">
        <f t="shared" ca="1" si="2054"/>
        <v>#NAME?</v>
      </c>
      <c r="J214" s="22" t="e">
        <f ca="1">J200+J202</f>
        <v>#NAME?</v>
      </c>
      <c r="K214" s="22" t="e">
        <f t="shared" ca="1" si="2054"/>
        <v>#NAME?</v>
      </c>
      <c r="L214" s="22" t="e">
        <f t="shared" ca="1" si="2054"/>
        <v>#NAME?</v>
      </c>
      <c r="M214" s="22" t="e">
        <f t="shared" ca="1" si="2054"/>
        <v>#NAME?</v>
      </c>
      <c r="N214" s="22" t="e">
        <f t="shared" ca="1" si="2054"/>
        <v>#NAME?</v>
      </c>
      <c r="O214" s="22" t="e">
        <f t="shared" ca="1" si="2054"/>
        <v>#NAME?</v>
      </c>
      <c r="P214" s="22" t="e">
        <f t="shared" ca="1" si="2054"/>
        <v>#NAME?</v>
      </c>
      <c r="Q214" s="22" t="e">
        <f t="shared" ca="1" si="2054"/>
        <v>#NAME?</v>
      </c>
      <c r="R214" s="22" t="e">
        <f t="shared" ca="1" si="2054"/>
        <v>#NAME?</v>
      </c>
      <c r="S214" s="22" t="e">
        <f t="shared" ca="1" si="2054"/>
        <v>#NAME?</v>
      </c>
      <c r="T214" s="22" t="e">
        <f t="shared" ca="1" si="2054"/>
        <v>#NAME?</v>
      </c>
      <c r="U214" s="22" t="e">
        <f t="shared" ca="1" si="2054"/>
        <v>#NAME?</v>
      </c>
      <c r="V214" s="22" t="e">
        <f t="shared" ca="1" si="2054"/>
        <v>#NAME?</v>
      </c>
      <c r="W214" s="22" t="e">
        <f t="shared" ca="1" si="2054"/>
        <v>#NAME?</v>
      </c>
      <c r="X214" s="22" t="e">
        <f t="shared" ref="X214:Y214" ca="1" si="2055">X200+X202</f>
        <v>#NAME?</v>
      </c>
      <c r="Y214" s="22" t="e">
        <f t="shared" ca="1" si="2055"/>
        <v>#NAME?</v>
      </c>
      <c r="Z214" s="22" t="e">
        <f t="shared" ref="Z214:AA214" ca="1" si="2056">Z200+Z202</f>
        <v>#NAME?</v>
      </c>
      <c r="AA214" s="22" t="e">
        <f t="shared" ca="1" si="2056"/>
        <v>#NAME?</v>
      </c>
      <c r="AB214" s="21" t="e">
        <f t="shared" ref="AA214:AD214" ca="1" si="2057">AB200+AB202</f>
        <v>#NAME?</v>
      </c>
      <c r="AC214" s="21" t="e">
        <f t="shared" ca="1" si="2057"/>
        <v>#NAME?</v>
      </c>
      <c r="AD214" s="21" t="e">
        <f t="shared" ca="1" si="2057"/>
        <v>#NAME?</v>
      </c>
      <c r="AE214" s="21" t="e">
        <f t="shared" ref="AE214" ca="1" si="2058">AE200+AE202</f>
        <v>#NAME?</v>
      </c>
      <c r="AI214" s="22" t="e">
        <f t="shared" ref="AI214" ca="1" si="2059">AI200+AI202</f>
        <v>#NAME?</v>
      </c>
      <c r="AJ214" s="22" t="e">
        <f t="shared" ref="AJ214:AL214" ca="1" si="2060">AJ200+AJ202</f>
        <v>#NAME?</v>
      </c>
      <c r="AK214" s="22" t="e">
        <f t="shared" ca="1" si="2060"/>
        <v>#NAME?</v>
      </c>
      <c r="AL214" s="22" t="e">
        <f t="shared" ca="1" si="2060"/>
        <v>#NAME?</v>
      </c>
      <c r="AM214" s="22" t="e">
        <f t="shared" ref="AM214" ca="1" si="2061">AM200+AM202</f>
        <v>#NAME?</v>
      </c>
      <c r="AN214" s="22" t="e">
        <f t="shared" ref="AN214:CD214" ca="1" si="2062">AN200+AN202</f>
        <v>#NAME?</v>
      </c>
      <c r="AO214" s="22" t="e">
        <f t="shared" ca="1" si="2062"/>
        <v>#NAME?</v>
      </c>
      <c r="AP214" s="22" t="e">
        <f t="shared" ca="1" si="2062"/>
        <v>#NAME?</v>
      </c>
      <c r="AQ214" s="22" t="e">
        <f t="shared" ca="1" si="2062"/>
        <v>#NAME?</v>
      </c>
      <c r="AR214" s="22" t="e">
        <f t="shared" ca="1" si="2062"/>
        <v>#NAME?</v>
      </c>
      <c r="AS214" s="22" t="e">
        <f t="shared" ca="1" si="2062"/>
        <v>#NAME?</v>
      </c>
      <c r="AT214" s="22" t="e">
        <f t="shared" ca="1" si="2062"/>
        <v>#NAME?</v>
      </c>
      <c r="AU214" s="22" t="e">
        <f t="shared" ca="1" si="2062"/>
        <v>#NAME?</v>
      </c>
      <c r="AV214" s="22" t="e">
        <f t="shared" ca="1" si="2062"/>
        <v>#NAME?</v>
      </c>
      <c r="AW214" s="22" t="e">
        <f t="shared" ca="1" si="2062"/>
        <v>#NAME?</v>
      </c>
      <c r="AX214" s="22" t="e">
        <f t="shared" ca="1" si="2062"/>
        <v>#NAME?</v>
      </c>
      <c r="AY214" s="22" t="e">
        <f t="shared" ca="1" si="2062"/>
        <v>#NAME?</v>
      </c>
      <c r="AZ214" s="22" t="e">
        <f t="shared" ca="1" si="2062"/>
        <v>#NAME?</v>
      </c>
      <c r="BA214" s="22" t="e">
        <f t="shared" ca="1" si="2062"/>
        <v>#NAME?</v>
      </c>
      <c r="BB214" s="22" t="e">
        <f t="shared" ca="1" si="2062"/>
        <v>#NAME?</v>
      </c>
      <c r="BC214" s="22" t="e">
        <f t="shared" ca="1" si="2062"/>
        <v>#NAME?</v>
      </c>
      <c r="BD214" s="22" t="e">
        <f t="shared" ca="1" si="2062"/>
        <v>#NAME?</v>
      </c>
      <c r="BE214" s="22" t="e">
        <f t="shared" ca="1" si="2062"/>
        <v>#NAME?</v>
      </c>
      <c r="BF214" s="22" t="e">
        <f t="shared" ca="1" si="2062"/>
        <v>#NAME?</v>
      </c>
      <c r="BG214" s="22" t="e">
        <f t="shared" ca="1" si="2062"/>
        <v>#NAME?</v>
      </c>
      <c r="BH214" s="22" t="e">
        <f t="shared" ca="1" si="2062"/>
        <v>#NAME?</v>
      </c>
      <c r="BI214" s="22" t="e">
        <f t="shared" ca="1" si="2062"/>
        <v>#NAME?</v>
      </c>
      <c r="BJ214" s="22" t="e">
        <f t="shared" ca="1" si="2062"/>
        <v>#NAME?</v>
      </c>
      <c r="BK214" s="22" t="e">
        <f t="shared" ca="1" si="2062"/>
        <v>#NAME?</v>
      </c>
      <c r="BL214" s="22" t="e">
        <f t="shared" ca="1" si="2062"/>
        <v>#NAME?</v>
      </c>
      <c r="BM214" s="22" t="e">
        <f t="shared" ca="1" si="2062"/>
        <v>#NAME?</v>
      </c>
      <c r="BN214" s="22" t="e">
        <f t="shared" ca="1" si="2062"/>
        <v>#NAME?</v>
      </c>
      <c r="BO214" s="22" t="e">
        <f t="shared" ca="1" si="2062"/>
        <v>#NAME?</v>
      </c>
      <c r="BP214" s="22" t="e">
        <f t="shared" ca="1" si="2062"/>
        <v>#NAME?</v>
      </c>
      <c r="BQ214" s="22" t="e">
        <f t="shared" ca="1" si="2062"/>
        <v>#NAME?</v>
      </c>
      <c r="BR214" s="22" t="e">
        <f t="shared" ca="1" si="2062"/>
        <v>#NAME?</v>
      </c>
      <c r="BS214" s="22" t="e">
        <f t="shared" ca="1" si="2062"/>
        <v>#NAME?</v>
      </c>
      <c r="BT214" s="22" t="e">
        <f t="shared" ca="1" si="2062"/>
        <v>#NAME?</v>
      </c>
      <c r="BU214" s="22" t="e">
        <f t="shared" ca="1" si="2062"/>
        <v>#NAME?</v>
      </c>
      <c r="BV214" s="22" t="e">
        <f t="shared" ca="1" si="2062"/>
        <v>#NAME?</v>
      </c>
      <c r="BW214" s="22" t="e">
        <f t="shared" ca="1" si="2062"/>
        <v>#NAME?</v>
      </c>
      <c r="BX214" s="22" t="e">
        <f t="shared" ca="1" si="2062"/>
        <v>#NAME?</v>
      </c>
      <c r="BY214" s="22" t="e">
        <f t="shared" ca="1" si="2062"/>
        <v>#NAME?</v>
      </c>
      <c r="BZ214" s="22" t="e">
        <f t="shared" ca="1" si="2062"/>
        <v>#NAME?</v>
      </c>
      <c r="CA214" s="22" t="e">
        <f t="shared" ca="1" si="2062"/>
        <v>#NAME?</v>
      </c>
      <c r="CB214" s="22" t="e">
        <f t="shared" ca="1" si="2062"/>
        <v>#NAME?</v>
      </c>
      <c r="CC214" s="22" t="e">
        <f t="shared" ca="1" si="2062"/>
        <v>#NAME?</v>
      </c>
      <c r="CD214" s="22" t="e">
        <f t="shared" ca="1" si="2062"/>
        <v>#NAME?</v>
      </c>
      <c r="CE214" s="22" t="e">
        <f t="shared" ref="CE214:CF214" ca="1" si="2063">CE200+CE202</f>
        <v>#NAME?</v>
      </c>
      <c r="CF214" s="22" t="e">
        <f t="shared" ca="1" si="2063"/>
        <v>#NAME?</v>
      </c>
      <c r="CG214" s="22" t="e">
        <f t="shared" ref="CG214:CH214" ca="1" si="2064">CG200+CG202</f>
        <v>#NAME?</v>
      </c>
      <c r="CH214" s="22" t="e">
        <f t="shared" ca="1" si="2064"/>
        <v>#NAME?</v>
      </c>
      <c r="CI214" s="22" t="e">
        <f t="shared" ref="CI214:CJ214" ca="1" si="2065">CI200+CI202</f>
        <v>#NAME?</v>
      </c>
      <c r="CJ214" s="22" t="e">
        <f t="shared" ca="1" si="2065"/>
        <v>#NAME?</v>
      </c>
      <c r="CK214" s="21" t="e">
        <f t="shared" ref="CK214:DB214" ca="1" si="2066">CK200+CK202</f>
        <v>#NAME?</v>
      </c>
      <c r="CL214" s="22" t="e">
        <f t="shared" ca="1" si="2066"/>
        <v>#NAME?</v>
      </c>
      <c r="CM214" s="21" t="e">
        <f t="shared" ca="1" si="2066"/>
        <v>#NAME?</v>
      </c>
      <c r="CN214" s="21" t="e">
        <f t="shared" ca="1" si="2066"/>
        <v>#NAME?</v>
      </c>
      <c r="CO214" s="21" t="e">
        <f t="shared" ca="1" si="2066"/>
        <v>#NAME?</v>
      </c>
      <c r="CP214" s="21" t="e">
        <f t="shared" ca="1" si="2066"/>
        <v>#NAME?</v>
      </c>
      <c r="CQ214" s="21" t="e">
        <f t="shared" ca="1" si="2066"/>
        <v>#NAME?</v>
      </c>
      <c r="CR214" s="21" t="e">
        <f t="shared" ca="1" si="2066"/>
        <v>#NAME?</v>
      </c>
      <c r="CS214" s="21" t="e">
        <f t="shared" ca="1" si="2066"/>
        <v>#NAME?</v>
      </c>
      <c r="CT214" s="21" t="e">
        <f t="shared" ca="1" si="2066"/>
        <v>#NAME?</v>
      </c>
      <c r="CU214" s="21" t="e">
        <f t="shared" ca="1" si="2066"/>
        <v>#NAME?</v>
      </c>
      <c r="CV214" s="21" t="e">
        <f t="shared" ca="1" si="2066"/>
        <v>#NAME?</v>
      </c>
      <c r="CW214" s="21" t="e">
        <f t="shared" ca="1" si="2066"/>
        <v>#NAME?</v>
      </c>
      <c r="CX214" s="21" t="e">
        <f t="shared" ca="1" si="2066"/>
        <v>#NAME?</v>
      </c>
      <c r="CY214" s="21" t="e">
        <f t="shared" ca="1" si="2066"/>
        <v>#NAME?</v>
      </c>
      <c r="CZ214" s="21" t="e">
        <f t="shared" ca="1" si="2066"/>
        <v>#NAME?</v>
      </c>
      <c r="DA214" s="21" t="e">
        <f t="shared" ca="1" si="2066"/>
        <v>#NAME?</v>
      </c>
      <c r="DB214" s="21" t="e">
        <f t="shared" ca="1" si="2066"/>
        <v>#NAME?</v>
      </c>
      <c r="DE214" s="126"/>
      <c r="DF214" s="22">
        <v>-28736.110000000037</v>
      </c>
    </row>
    <row r="215" spans="1:110" x14ac:dyDescent="0.2">
      <c r="A215" s="152" t="s">
        <v>496</v>
      </c>
      <c r="AA215" s="2"/>
      <c r="CL215" s="2"/>
    </row>
    <row r="216" spans="1:110" x14ac:dyDescent="0.2">
      <c r="AA216" s="2"/>
      <c r="CL216" s="2"/>
    </row>
    <row r="217" spans="1:110" s="7" customFormat="1" hidden="1" outlineLevel="1" x14ac:dyDescent="0.2">
      <c r="A217" s="61" t="s">
        <v>97</v>
      </c>
      <c r="AB217" s="77"/>
      <c r="AC217" s="77"/>
      <c r="AD217" s="77"/>
      <c r="AE217" s="77"/>
      <c r="CK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E217" s="138"/>
    </row>
    <row r="218" spans="1:110" s="62" customFormat="1" hidden="1" outlineLevel="1" x14ac:dyDescent="0.2">
      <c r="A218" s="62" t="s">
        <v>98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99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220" s="62" t="s">
        <v>100</v>
      </c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62" customFormat="1" hidden="1" outlineLevel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11" customFormat="1" collapsed="1" x14ac:dyDescent="0.2">
      <c r="AB224" s="63"/>
      <c r="AC224" s="63"/>
      <c r="AD224" s="63"/>
      <c r="AE224" s="63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83" customFormat="1" x14ac:dyDescent="0.2">
      <c r="A225" s="82" t="s">
        <v>101</v>
      </c>
      <c r="AB225" s="72"/>
      <c r="AC225" s="72"/>
      <c r="AD225" s="72"/>
      <c r="AE225" s="72"/>
      <c r="CK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09" s="66" customFormat="1" x14ac:dyDescent="0.2">
      <c r="A226" s="66" t="s">
        <v>471</v>
      </c>
      <c r="AB226" s="50"/>
      <c r="AC226" s="50"/>
      <c r="AD226" s="50"/>
      <c r="AE226" s="50"/>
      <c r="AL226" s="66" t="e">
        <f t="shared" ref="AL226:BQ226" ca="1" si="2067">SUM(AI10:AL10)</f>
        <v>#NAME?</v>
      </c>
      <c r="AM226" s="66" t="e">
        <f t="shared" ca="1" si="2067"/>
        <v>#NAME?</v>
      </c>
      <c r="AN226" s="66" t="e">
        <f t="shared" ca="1" si="2067"/>
        <v>#NAME?</v>
      </c>
      <c r="AO226" s="66" t="e">
        <f t="shared" ca="1" si="2067"/>
        <v>#NAME?</v>
      </c>
      <c r="AP226" s="66" t="e">
        <f t="shared" ca="1" si="2067"/>
        <v>#NAME?</v>
      </c>
      <c r="AQ226" s="66" t="e">
        <f t="shared" ca="1" si="2067"/>
        <v>#NAME?</v>
      </c>
      <c r="AR226" s="66" t="e">
        <f t="shared" ca="1" si="2067"/>
        <v>#NAME?</v>
      </c>
      <c r="AS226" s="66" t="e">
        <f t="shared" ca="1" si="2067"/>
        <v>#NAME?</v>
      </c>
      <c r="AT226" s="66" t="e">
        <f t="shared" ca="1" si="2067"/>
        <v>#NAME?</v>
      </c>
      <c r="AU226" s="66" t="e">
        <f t="shared" ca="1" si="2067"/>
        <v>#NAME?</v>
      </c>
      <c r="AV226" s="66" t="e">
        <f t="shared" ca="1" si="2067"/>
        <v>#NAME?</v>
      </c>
      <c r="AW226" s="66" t="e">
        <f t="shared" ca="1" si="2067"/>
        <v>#NAME?</v>
      </c>
      <c r="AX226" s="66" t="e">
        <f t="shared" ca="1" si="2067"/>
        <v>#NAME?</v>
      </c>
      <c r="AY226" s="66" t="e">
        <f t="shared" ca="1" si="2067"/>
        <v>#NAME?</v>
      </c>
      <c r="AZ226" s="66" t="e">
        <f t="shared" ca="1" si="2067"/>
        <v>#NAME?</v>
      </c>
      <c r="BA226" s="66" t="e">
        <f t="shared" ca="1" si="2067"/>
        <v>#NAME?</v>
      </c>
      <c r="BB226" s="66" t="e">
        <f t="shared" ca="1" si="2067"/>
        <v>#NAME?</v>
      </c>
      <c r="BC226" s="66" t="e">
        <f t="shared" ca="1" si="2067"/>
        <v>#NAME?</v>
      </c>
      <c r="BD226" s="66" t="e">
        <f t="shared" ca="1" si="2067"/>
        <v>#NAME?</v>
      </c>
      <c r="BE226" s="66" t="e">
        <f t="shared" ca="1" si="2067"/>
        <v>#NAME?</v>
      </c>
      <c r="BF226" s="66" t="e">
        <f t="shared" ca="1" si="2067"/>
        <v>#NAME?</v>
      </c>
      <c r="BG226" s="66" t="e">
        <f t="shared" ca="1" si="2067"/>
        <v>#NAME?</v>
      </c>
      <c r="BH226" s="66" t="e">
        <f t="shared" ca="1" si="2067"/>
        <v>#NAME?</v>
      </c>
      <c r="BI226" s="66" t="e">
        <f t="shared" ca="1" si="2067"/>
        <v>#NAME?</v>
      </c>
      <c r="BJ226" s="66" t="e">
        <f t="shared" ca="1" si="2067"/>
        <v>#NAME?</v>
      </c>
      <c r="BK226" s="66" t="e">
        <f t="shared" ca="1" si="2067"/>
        <v>#NAME?</v>
      </c>
      <c r="BL226" s="66" t="e">
        <f t="shared" ca="1" si="2067"/>
        <v>#NAME?</v>
      </c>
      <c r="BM226" s="66" t="e">
        <f t="shared" ca="1" si="2067"/>
        <v>#NAME?</v>
      </c>
      <c r="BN226" s="66" t="e">
        <f t="shared" ca="1" si="2067"/>
        <v>#NAME?</v>
      </c>
      <c r="BO226" s="66" t="e">
        <f t="shared" ca="1" si="2067"/>
        <v>#NAME?</v>
      </c>
      <c r="BP226" s="66" t="e">
        <f t="shared" ca="1" si="2067"/>
        <v>#NAME?</v>
      </c>
      <c r="BQ226" s="66" t="e">
        <f t="shared" ca="1" si="2067"/>
        <v>#NAME?</v>
      </c>
      <c r="BR226" s="66" t="e">
        <f t="shared" ref="BR226:CW226" ca="1" si="2068">SUM(BO10:BR10)</f>
        <v>#NAME?</v>
      </c>
      <c r="BS226" s="66" t="e">
        <f t="shared" ca="1" si="2068"/>
        <v>#NAME?</v>
      </c>
      <c r="BT226" s="66" t="e">
        <f t="shared" ca="1" si="2068"/>
        <v>#NAME?</v>
      </c>
      <c r="BU226" s="66" t="e">
        <f t="shared" ca="1" si="2068"/>
        <v>#NAME?</v>
      </c>
      <c r="BV226" s="66" t="e">
        <f t="shared" ca="1" si="2068"/>
        <v>#NAME?</v>
      </c>
      <c r="BW226" s="66" t="e">
        <f t="shared" ca="1" si="2068"/>
        <v>#NAME?</v>
      </c>
      <c r="BX226" s="66" t="e">
        <f t="shared" ca="1" si="2068"/>
        <v>#NAME?</v>
      </c>
      <c r="BY226" s="66" t="e">
        <f t="shared" ca="1" si="2068"/>
        <v>#NAME?</v>
      </c>
      <c r="BZ226" s="66" t="e">
        <f t="shared" ca="1" si="2068"/>
        <v>#NAME?</v>
      </c>
      <c r="CA226" s="66" t="e">
        <f t="shared" ca="1" si="2068"/>
        <v>#NAME?</v>
      </c>
      <c r="CB226" s="66" t="e">
        <f t="shared" ca="1" si="2068"/>
        <v>#NAME?</v>
      </c>
      <c r="CC226" s="66" t="e">
        <f t="shared" ca="1" si="2068"/>
        <v>#NAME?</v>
      </c>
      <c r="CD226" s="66" t="e">
        <f t="shared" ca="1" si="2068"/>
        <v>#NAME?</v>
      </c>
      <c r="CE226" s="66" t="e">
        <f t="shared" ca="1" si="2068"/>
        <v>#NAME?</v>
      </c>
      <c r="CF226" s="66" t="e">
        <f t="shared" ca="1" si="2068"/>
        <v>#NAME?</v>
      </c>
      <c r="CG226" s="66" t="e">
        <f t="shared" ca="1" si="2068"/>
        <v>#NAME?</v>
      </c>
      <c r="CH226" s="66" t="e">
        <f t="shared" ca="1" si="2068"/>
        <v>#NAME?</v>
      </c>
      <c r="CI226" s="66" t="e">
        <f t="shared" ca="1" si="2068"/>
        <v>#NAME?</v>
      </c>
      <c r="CJ226" s="66" t="e">
        <f t="shared" ca="1" si="2068"/>
        <v>#NAME?</v>
      </c>
      <c r="CK226" s="50" t="e">
        <f t="shared" ca="1" si="2068"/>
        <v>#NAME?</v>
      </c>
      <c r="CL226" s="66" t="e">
        <f t="shared" ca="1" si="2068"/>
        <v>#NAME?</v>
      </c>
      <c r="CM226" s="50" t="e">
        <f t="shared" ca="1" si="2068"/>
        <v>#NAME?</v>
      </c>
      <c r="CN226" s="50" t="e">
        <f t="shared" ca="1" si="2068"/>
        <v>#NAME?</v>
      </c>
      <c r="CO226" s="50" t="e">
        <f t="shared" ca="1" si="2068"/>
        <v>#NAME?</v>
      </c>
      <c r="CP226" s="50" t="e">
        <f t="shared" ca="1" si="2068"/>
        <v>#NAME?</v>
      </c>
      <c r="CQ226" s="50" t="e">
        <f t="shared" ca="1" si="2068"/>
        <v>#NAME?</v>
      </c>
      <c r="CR226" s="50" t="e">
        <f t="shared" ca="1" si="2068"/>
        <v>#NAME?</v>
      </c>
      <c r="CS226" s="50" t="e">
        <f t="shared" ca="1" si="2068"/>
        <v>#NAME?</v>
      </c>
      <c r="CT226" s="50" t="e">
        <f t="shared" ca="1" si="2068"/>
        <v>#NAME?</v>
      </c>
      <c r="CU226" s="50" t="e">
        <f t="shared" ca="1" si="2068"/>
        <v>#NAME?</v>
      </c>
      <c r="CV226" s="50" t="e">
        <f t="shared" ca="1" si="2068"/>
        <v>#NAME?</v>
      </c>
      <c r="CW226" s="50" t="e">
        <f t="shared" ca="1" si="2068"/>
        <v>#NAME?</v>
      </c>
      <c r="CX226" s="50" t="e">
        <f t="shared" ref="CX226:DB226" ca="1" si="2069">SUM(CU10:CX10)</f>
        <v>#NAME?</v>
      </c>
      <c r="CY226" s="50" t="e">
        <f t="shared" ca="1" si="2069"/>
        <v>#NAME?</v>
      </c>
      <c r="CZ226" s="50" t="e">
        <f t="shared" ca="1" si="2069"/>
        <v>#NAME?</v>
      </c>
      <c r="DA226" s="50" t="e">
        <f t="shared" ca="1" si="2069"/>
        <v>#NAME?</v>
      </c>
      <c r="DB226" s="50" t="e">
        <f t="shared" ca="1" si="2069"/>
        <v>#NAME?</v>
      </c>
      <c r="DE226" s="138"/>
    </row>
    <row r="227" spans="1:109" s="66" customFormat="1" x14ac:dyDescent="0.2">
      <c r="A227" s="66" t="s">
        <v>472</v>
      </c>
      <c r="AB227" s="50"/>
      <c r="AC227" s="50"/>
      <c r="AD227" s="50"/>
      <c r="AE227" s="50"/>
      <c r="AL227" s="66" t="e">
        <f t="shared" ref="AL227:BQ227" ca="1" si="2070">SUM(AI28:AL28)</f>
        <v>#NAME?</v>
      </c>
      <c r="AM227" s="66" t="e">
        <f t="shared" ca="1" si="2070"/>
        <v>#NAME?</v>
      </c>
      <c r="AN227" s="66" t="e">
        <f t="shared" ca="1" si="2070"/>
        <v>#NAME?</v>
      </c>
      <c r="AO227" s="66" t="e">
        <f t="shared" ca="1" si="2070"/>
        <v>#NAME?</v>
      </c>
      <c r="AP227" s="66" t="e">
        <f t="shared" ca="1" si="2070"/>
        <v>#NAME?</v>
      </c>
      <c r="AQ227" s="66" t="e">
        <f t="shared" ca="1" si="2070"/>
        <v>#NAME?</v>
      </c>
      <c r="AR227" s="66" t="e">
        <f t="shared" ca="1" si="2070"/>
        <v>#NAME?</v>
      </c>
      <c r="AS227" s="66" t="e">
        <f t="shared" ca="1" si="2070"/>
        <v>#NAME?</v>
      </c>
      <c r="AT227" s="66" t="e">
        <f t="shared" ca="1" si="2070"/>
        <v>#NAME?</v>
      </c>
      <c r="AU227" s="66" t="e">
        <f t="shared" ca="1" si="2070"/>
        <v>#NAME?</v>
      </c>
      <c r="AV227" s="66" t="e">
        <f t="shared" ca="1" si="2070"/>
        <v>#NAME?</v>
      </c>
      <c r="AW227" s="66" t="e">
        <f t="shared" ca="1" si="2070"/>
        <v>#NAME?</v>
      </c>
      <c r="AX227" s="66" t="e">
        <f t="shared" ca="1" si="2070"/>
        <v>#NAME?</v>
      </c>
      <c r="AY227" s="66" t="e">
        <f t="shared" ca="1" si="2070"/>
        <v>#NAME?</v>
      </c>
      <c r="AZ227" s="66" t="e">
        <f t="shared" ca="1" si="2070"/>
        <v>#NAME?</v>
      </c>
      <c r="BA227" s="66" t="e">
        <f t="shared" ca="1" si="2070"/>
        <v>#NAME?</v>
      </c>
      <c r="BB227" s="66" t="e">
        <f t="shared" ca="1" si="2070"/>
        <v>#NAME?</v>
      </c>
      <c r="BC227" s="66" t="e">
        <f t="shared" ca="1" si="2070"/>
        <v>#NAME?</v>
      </c>
      <c r="BD227" s="66" t="e">
        <f t="shared" ca="1" si="2070"/>
        <v>#NAME?</v>
      </c>
      <c r="BE227" s="66" t="e">
        <f t="shared" ca="1" si="2070"/>
        <v>#NAME?</v>
      </c>
      <c r="BF227" s="66" t="e">
        <f t="shared" ca="1" si="2070"/>
        <v>#NAME?</v>
      </c>
      <c r="BG227" s="66" t="e">
        <f t="shared" ca="1" si="2070"/>
        <v>#NAME?</v>
      </c>
      <c r="BH227" s="66" t="e">
        <f t="shared" ca="1" si="2070"/>
        <v>#NAME?</v>
      </c>
      <c r="BI227" s="66" t="e">
        <f t="shared" ca="1" si="2070"/>
        <v>#NAME?</v>
      </c>
      <c r="BJ227" s="66" t="e">
        <f t="shared" ca="1" si="2070"/>
        <v>#NAME?</v>
      </c>
      <c r="BK227" s="66" t="e">
        <f t="shared" ca="1" si="2070"/>
        <v>#NAME?</v>
      </c>
      <c r="BL227" s="66" t="e">
        <f t="shared" ca="1" si="2070"/>
        <v>#NAME?</v>
      </c>
      <c r="BM227" s="66" t="e">
        <f t="shared" ca="1" si="2070"/>
        <v>#NAME?</v>
      </c>
      <c r="BN227" s="66" t="e">
        <f t="shared" ca="1" si="2070"/>
        <v>#NAME?</v>
      </c>
      <c r="BO227" s="66" t="e">
        <f t="shared" ca="1" si="2070"/>
        <v>#NAME?</v>
      </c>
      <c r="BP227" s="66" t="e">
        <f t="shared" ca="1" si="2070"/>
        <v>#NAME?</v>
      </c>
      <c r="BQ227" s="66" t="e">
        <f t="shared" ca="1" si="2070"/>
        <v>#NAME?</v>
      </c>
      <c r="BR227" s="66" t="e">
        <f t="shared" ref="BR227:CW227" ca="1" si="2071">SUM(BO28:BR28)</f>
        <v>#NAME?</v>
      </c>
      <c r="BS227" s="66" t="e">
        <f t="shared" ca="1" si="2071"/>
        <v>#NAME?</v>
      </c>
      <c r="BT227" s="66" t="e">
        <f t="shared" ca="1" si="2071"/>
        <v>#NAME?</v>
      </c>
      <c r="BU227" s="66" t="e">
        <f t="shared" ca="1" si="2071"/>
        <v>#NAME?</v>
      </c>
      <c r="BV227" s="66" t="e">
        <f t="shared" ca="1" si="2071"/>
        <v>#NAME?</v>
      </c>
      <c r="BW227" s="66" t="e">
        <f t="shared" ca="1" si="2071"/>
        <v>#NAME?</v>
      </c>
      <c r="BX227" s="66" t="e">
        <f t="shared" ca="1" si="2071"/>
        <v>#NAME?</v>
      </c>
      <c r="BY227" s="66" t="e">
        <f t="shared" ca="1" si="2071"/>
        <v>#NAME?</v>
      </c>
      <c r="BZ227" s="66" t="e">
        <f t="shared" ca="1" si="2071"/>
        <v>#NAME?</v>
      </c>
      <c r="CA227" s="66" t="e">
        <f t="shared" ca="1" si="2071"/>
        <v>#NAME?</v>
      </c>
      <c r="CB227" s="66" t="e">
        <f t="shared" ca="1" si="2071"/>
        <v>#NAME?</v>
      </c>
      <c r="CC227" s="66" t="e">
        <f t="shared" ca="1" si="2071"/>
        <v>#NAME?</v>
      </c>
      <c r="CD227" s="66" t="e">
        <f t="shared" ca="1" si="2071"/>
        <v>#NAME?</v>
      </c>
      <c r="CE227" s="66" t="e">
        <f t="shared" ca="1" si="2071"/>
        <v>#NAME?</v>
      </c>
      <c r="CF227" s="66" t="e">
        <f t="shared" ca="1" si="2071"/>
        <v>#NAME?</v>
      </c>
      <c r="CG227" s="66" t="e">
        <f t="shared" ca="1" si="2071"/>
        <v>#NAME?</v>
      </c>
      <c r="CH227" s="66" t="e">
        <f t="shared" ca="1" si="2071"/>
        <v>#NAME?</v>
      </c>
      <c r="CI227" s="66" t="e">
        <f t="shared" ca="1" si="2071"/>
        <v>#NAME?</v>
      </c>
      <c r="CJ227" s="66" t="e">
        <f t="shared" ca="1" si="2071"/>
        <v>#NAME?</v>
      </c>
      <c r="CK227" s="50" t="e">
        <f t="shared" ca="1" si="2071"/>
        <v>#NAME?</v>
      </c>
      <c r="CL227" s="66" t="e">
        <f t="shared" ca="1" si="2071"/>
        <v>#NAME?</v>
      </c>
      <c r="CM227" s="50" t="e">
        <f t="shared" ca="1" si="2071"/>
        <v>#NAME?</v>
      </c>
      <c r="CN227" s="50" t="e">
        <f t="shared" ca="1" si="2071"/>
        <v>#NAME?</v>
      </c>
      <c r="CO227" s="50" t="e">
        <f t="shared" ca="1" si="2071"/>
        <v>#NAME?</v>
      </c>
      <c r="CP227" s="50" t="e">
        <f t="shared" ca="1" si="2071"/>
        <v>#NAME?</v>
      </c>
      <c r="CQ227" s="50" t="e">
        <f t="shared" ca="1" si="2071"/>
        <v>#NAME?</v>
      </c>
      <c r="CR227" s="50" t="e">
        <f t="shared" ca="1" si="2071"/>
        <v>#NAME?</v>
      </c>
      <c r="CS227" s="50" t="e">
        <f t="shared" ca="1" si="2071"/>
        <v>#NAME?</v>
      </c>
      <c r="CT227" s="50" t="e">
        <f t="shared" ca="1" si="2071"/>
        <v>#NAME?</v>
      </c>
      <c r="CU227" s="50" t="e">
        <f t="shared" ca="1" si="2071"/>
        <v>#NAME?</v>
      </c>
      <c r="CV227" s="50" t="e">
        <f t="shared" ca="1" si="2071"/>
        <v>#NAME?</v>
      </c>
      <c r="CW227" s="50" t="e">
        <f t="shared" ca="1" si="2071"/>
        <v>#NAME?</v>
      </c>
      <c r="CX227" s="50" t="e">
        <f t="shared" ref="CX227:DB227" ca="1" si="2072">SUM(CU28:CX28)</f>
        <v>#NAME?</v>
      </c>
      <c r="CY227" s="50" t="e">
        <f t="shared" ca="1" si="2072"/>
        <v>#NAME?</v>
      </c>
      <c r="CZ227" s="50" t="e">
        <f t="shared" ca="1" si="2072"/>
        <v>#NAME?</v>
      </c>
      <c r="DA227" s="50" t="e">
        <f t="shared" ca="1" si="2072"/>
        <v>#NAME?</v>
      </c>
      <c r="DB227" s="50" t="e">
        <f t="shared" ca="1" si="2072"/>
        <v>#NAME?</v>
      </c>
      <c r="DE227" s="138"/>
    </row>
    <row r="228" spans="1:109" s="66" customFormat="1" x14ac:dyDescent="0.2">
      <c r="A228" s="66" t="s">
        <v>473</v>
      </c>
      <c r="AB228" s="50"/>
      <c r="AC228" s="50"/>
      <c r="AD228" s="50"/>
      <c r="AE228" s="50"/>
      <c r="AL228" s="66" t="e">
        <f t="shared" ref="AL228:BQ228" ca="1" si="2073">SUM(AI41:AL41)</f>
        <v>#NAME?</v>
      </c>
      <c r="AM228" s="66" t="e">
        <f t="shared" ca="1" si="2073"/>
        <v>#NAME?</v>
      </c>
      <c r="AN228" s="66" t="e">
        <f t="shared" ca="1" si="2073"/>
        <v>#NAME?</v>
      </c>
      <c r="AO228" s="66" t="e">
        <f t="shared" ca="1" si="2073"/>
        <v>#NAME?</v>
      </c>
      <c r="AP228" s="66" t="e">
        <f t="shared" ca="1" si="2073"/>
        <v>#NAME?</v>
      </c>
      <c r="AQ228" s="66" t="e">
        <f t="shared" ca="1" si="2073"/>
        <v>#NAME?</v>
      </c>
      <c r="AR228" s="66" t="e">
        <f t="shared" ca="1" si="2073"/>
        <v>#NAME?</v>
      </c>
      <c r="AS228" s="66" t="e">
        <f t="shared" ca="1" si="2073"/>
        <v>#NAME?</v>
      </c>
      <c r="AT228" s="66" t="e">
        <f t="shared" ca="1" si="2073"/>
        <v>#NAME?</v>
      </c>
      <c r="AU228" s="66" t="e">
        <f t="shared" ca="1" si="2073"/>
        <v>#NAME?</v>
      </c>
      <c r="AV228" s="66" t="e">
        <f t="shared" ca="1" si="2073"/>
        <v>#NAME?</v>
      </c>
      <c r="AW228" s="66" t="e">
        <f t="shared" ca="1" si="2073"/>
        <v>#NAME?</v>
      </c>
      <c r="AX228" s="66" t="e">
        <f t="shared" ca="1" si="2073"/>
        <v>#NAME?</v>
      </c>
      <c r="AY228" s="66" t="e">
        <f t="shared" ca="1" si="2073"/>
        <v>#NAME?</v>
      </c>
      <c r="AZ228" s="66" t="e">
        <f t="shared" ca="1" si="2073"/>
        <v>#NAME?</v>
      </c>
      <c r="BA228" s="66" t="e">
        <f t="shared" ca="1" si="2073"/>
        <v>#NAME?</v>
      </c>
      <c r="BB228" s="66" t="e">
        <f t="shared" ca="1" si="2073"/>
        <v>#NAME?</v>
      </c>
      <c r="BC228" s="66" t="e">
        <f t="shared" ca="1" si="2073"/>
        <v>#NAME?</v>
      </c>
      <c r="BD228" s="66" t="e">
        <f t="shared" ca="1" si="2073"/>
        <v>#NAME?</v>
      </c>
      <c r="BE228" s="66" t="e">
        <f t="shared" ca="1" si="2073"/>
        <v>#NAME?</v>
      </c>
      <c r="BF228" s="66" t="e">
        <f t="shared" ca="1" si="2073"/>
        <v>#NAME?</v>
      </c>
      <c r="BG228" s="66" t="e">
        <f t="shared" ca="1" si="2073"/>
        <v>#NAME?</v>
      </c>
      <c r="BH228" s="66" t="e">
        <f t="shared" ca="1" si="2073"/>
        <v>#NAME?</v>
      </c>
      <c r="BI228" s="66" t="e">
        <f t="shared" ca="1" si="2073"/>
        <v>#NAME?</v>
      </c>
      <c r="BJ228" s="66" t="e">
        <f t="shared" ca="1" si="2073"/>
        <v>#NAME?</v>
      </c>
      <c r="BK228" s="66" t="e">
        <f t="shared" ca="1" si="2073"/>
        <v>#NAME?</v>
      </c>
      <c r="BL228" s="66" t="e">
        <f t="shared" ca="1" si="2073"/>
        <v>#NAME?</v>
      </c>
      <c r="BM228" s="66" t="e">
        <f t="shared" ca="1" si="2073"/>
        <v>#NAME?</v>
      </c>
      <c r="BN228" s="66" t="e">
        <f t="shared" ca="1" si="2073"/>
        <v>#NAME?</v>
      </c>
      <c r="BO228" s="66" t="e">
        <f t="shared" ca="1" si="2073"/>
        <v>#NAME?</v>
      </c>
      <c r="BP228" s="66" t="e">
        <f t="shared" ca="1" si="2073"/>
        <v>#NAME?</v>
      </c>
      <c r="BQ228" s="66" t="e">
        <f t="shared" ca="1" si="2073"/>
        <v>#NAME?</v>
      </c>
      <c r="BR228" s="66" t="e">
        <f t="shared" ref="BR228:CW228" ca="1" si="2074">SUM(BO41:BR41)</f>
        <v>#NAME?</v>
      </c>
      <c r="BS228" s="66" t="e">
        <f t="shared" ca="1" si="2074"/>
        <v>#NAME?</v>
      </c>
      <c r="BT228" s="66" t="e">
        <f t="shared" ca="1" si="2074"/>
        <v>#NAME?</v>
      </c>
      <c r="BU228" s="66" t="e">
        <f t="shared" ca="1" si="2074"/>
        <v>#NAME?</v>
      </c>
      <c r="BV228" s="66" t="e">
        <f t="shared" ca="1" si="2074"/>
        <v>#NAME?</v>
      </c>
      <c r="BW228" s="66" t="e">
        <f t="shared" ca="1" si="2074"/>
        <v>#NAME?</v>
      </c>
      <c r="BX228" s="66" t="e">
        <f t="shared" ca="1" si="2074"/>
        <v>#NAME?</v>
      </c>
      <c r="BY228" s="66" t="e">
        <f t="shared" ca="1" si="2074"/>
        <v>#NAME?</v>
      </c>
      <c r="BZ228" s="66" t="e">
        <f t="shared" ca="1" si="2074"/>
        <v>#NAME?</v>
      </c>
      <c r="CA228" s="66" t="e">
        <f t="shared" ca="1" si="2074"/>
        <v>#NAME?</v>
      </c>
      <c r="CB228" s="66" t="e">
        <f t="shared" ca="1" si="2074"/>
        <v>#NAME?</v>
      </c>
      <c r="CC228" s="66" t="e">
        <f t="shared" ca="1" si="2074"/>
        <v>#NAME?</v>
      </c>
      <c r="CD228" s="66" t="e">
        <f t="shared" ca="1" si="2074"/>
        <v>#NAME?</v>
      </c>
      <c r="CE228" s="66" t="e">
        <f t="shared" ca="1" si="2074"/>
        <v>#NAME?</v>
      </c>
      <c r="CF228" s="66" t="e">
        <f t="shared" ca="1" si="2074"/>
        <v>#NAME?</v>
      </c>
      <c r="CG228" s="66" t="e">
        <f t="shared" ca="1" si="2074"/>
        <v>#NAME?</v>
      </c>
      <c r="CH228" s="66" t="e">
        <f t="shared" ca="1" si="2074"/>
        <v>#NAME?</v>
      </c>
      <c r="CI228" s="66" t="e">
        <f t="shared" ca="1" si="2074"/>
        <v>#NAME?</v>
      </c>
      <c r="CJ228" s="66" t="e">
        <f t="shared" ca="1" si="2074"/>
        <v>#NAME?</v>
      </c>
      <c r="CK228" s="50" t="e">
        <f t="shared" ca="1" si="2074"/>
        <v>#NAME?</v>
      </c>
      <c r="CL228" s="66" t="e">
        <f t="shared" ca="1" si="2074"/>
        <v>#NAME?</v>
      </c>
      <c r="CM228" s="50" t="e">
        <f t="shared" ca="1" si="2074"/>
        <v>#NAME?</v>
      </c>
      <c r="CN228" s="50" t="e">
        <f t="shared" ca="1" si="2074"/>
        <v>#NAME?</v>
      </c>
      <c r="CO228" s="50" t="e">
        <f t="shared" ca="1" si="2074"/>
        <v>#NAME?</v>
      </c>
      <c r="CP228" s="50" t="e">
        <f t="shared" ca="1" si="2074"/>
        <v>#NAME?</v>
      </c>
      <c r="CQ228" s="50" t="e">
        <f t="shared" ca="1" si="2074"/>
        <v>#NAME?</v>
      </c>
      <c r="CR228" s="50" t="e">
        <f t="shared" ca="1" si="2074"/>
        <v>#NAME?</v>
      </c>
      <c r="CS228" s="50" t="e">
        <f t="shared" ca="1" si="2074"/>
        <v>#NAME?</v>
      </c>
      <c r="CT228" s="50" t="e">
        <f t="shared" ca="1" si="2074"/>
        <v>#NAME?</v>
      </c>
      <c r="CU228" s="50" t="e">
        <f t="shared" ca="1" si="2074"/>
        <v>#NAME?</v>
      </c>
      <c r="CV228" s="50" t="e">
        <f t="shared" ca="1" si="2074"/>
        <v>#NAME?</v>
      </c>
      <c r="CW228" s="50" t="e">
        <f t="shared" ca="1" si="2074"/>
        <v>#NAME?</v>
      </c>
      <c r="CX228" s="50" t="e">
        <f t="shared" ref="CX228:DB228" ca="1" si="2075">SUM(CU41:CX41)</f>
        <v>#NAME?</v>
      </c>
      <c r="CY228" s="50" t="e">
        <f t="shared" ca="1" si="2075"/>
        <v>#NAME?</v>
      </c>
      <c r="CZ228" s="50" t="e">
        <f t="shared" ca="1" si="2075"/>
        <v>#NAME?</v>
      </c>
      <c r="DA228" s="50" t="e">
        <f t="shared" ca="1" si="2075"/>
        <v>#NAME?</v>
      </c>
      <c r="DB228" s="50" t="e">
        <f t="shared" ca="1" si="2075"/>
        <v>#NAME?</v>
      </c>
      <c r="DE228" s="138"/>
    </row>
    <row r="229" spans="1:109" s="93" customFormat="1" x14ac:dyDescent="0.2">
      <c r="AB229" s="30"/>
      <c r="AC229" s="30"/>
      <c r="AD229" s="30"/>
      <c r="AE229" s="30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11" customFormat="1" x14ac:dyDescent="0.2"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2" customFormat="1" hidden="1" outlineLevel="1" x14ac:dyDescent="0.2">
      <c r="A231" s="61" t="s">
        <v>339</v>
      </c>
      <c r="AB231" s="63"/>
      <c r="AC231" s="63"/>
      <c r="AD231" s="63"/>
      <c r="AE231" s="63"/>
      <c r="CK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09" s="64" customFormat="1" hidden="1" outlineLevel="1" x14ac:dyDescent="0.2">
      <c r="A232" s="64" t="s">
        <v>474</v>
      </c>
      <c r="B232" s="64" t="e">
        <f t="shared" ref="B232:Z232" ca="1" si="2076">B8-B238</f>
        <v>#NAME?</v>
      </c>
      <c r="C232" s="64" t="e">
        <f t="shared" ca="1" si="2076"/>
        <v>#NAME?</v>
      </c>
      <c r="D232" s="64" t="e">
        <f t="shared" ca="1" si="2076"/>
        <v>#NAME?</v>
      </c>
      <c r="E232" s="64" t="e">
        <f t="shared" ca="1" si="2076"/>
        <v>#NAME?</v>
      </c>
      <c r="F232" s="64" t="e">
        <f t="shared" ca="1" si="2076"/>
        <v>#NAME?</v>
      </c>
      <c r="G232" s="64" t="e">
        <f t="shared" ca="1" si="2076"/>
        <v>#NAME?</v>
      </c>
      <c r="H232" s="64" t="e">
        <f t="shared" ca="1" si="2076"/>
        <v>#NAME?</v>
      </c>
      <c r="I232" s="64" t="e">
        <f t="shared" ca="1" si="2076"/>
        <v>#NAME?</v>
      </c>
      <c r="J232" s="64" t="e">
        <f t="shared" ca="1" si="2076"/>
        <v>#NAME?</v>
      </c>
      <c r="K232" s="64" t="e">
        <f t="shared" ca="1" si="2076"/>
        <v>#NAME?</v>
      </c>
      <c r="L232" s="64" t="e">
        <f t="shared" ca="1" si="2076"/>
        <v>#NAME?</v>
      </c>
      <c r="M232" s="64" t="e">
        <f t="shared" ca="1" si="2076"/>
        <v>#NAME?</v>
      </c>
      <c r="N232" s="64" t="e">
        <f t="shared" ca="1" si="2076"/>
        <v>#NAME?</v>
      </c>
      <c r="O232" s="64" t="e">
        <f t="shared" ca="1" si="2076"/>
        <v>#NAME?</v>
      </c>
      <c r="P232" s="64" t="e">
        <f t="shared" ca="1" si="2076"/>
        <v>#NAME?</v>
      </c>
      <c r="Q232" s="64" t="e">
        <f t="shared" ca="1" si="2076"/>
        <v>#NAME?</v>
      </c>
      <c r="R232" s="64" t="e">
        <f t="shared" ca="1" si="2076"/>
        <v>#NAME?</v>
      </c>
      <c r="S232" s="64" t="e">
        <f t="shared" ca="1" si="2076"/>
        <v>#NAME?</v>
      </c>
      <c r="T232" s="64" t="e">
        <f t="shared" ca="1" si="2076"/>
        <v>#NAME?</v>
      </c>
      <c r="U232" s="64" t="e">
        <f t="shared" ca="1" si="2076"/>
        <v>#NAME?</v>
      </c>
      <c r="V232" s="64" t="e">
        <f t="shared" ca="1" si="2076"/>
        <v>#NAME?</v>
      </c>
      <c r="W232" s="64" t="e">
        <f t="shared" ca="1" si="2076"/>
        <v>#NAME?</v>
      </c>
      <c r="X232" s="64" t="e">
        <f t="shared" ca="1" si="2076"/>
        <v>#NAME?</v>
      </c>
      <c r="Y232" s="64" t="e">
        <f t="shared" ca="1" si="2076"/>
        <v>#NAME?</v>
      </c>
      <c r="Z232" s="64" t="e">
        <f t="shared" ca="1" si="2076"/>
        <v>#NAME?</v>
      </c>
      <c r="AA232" s="64" t="e">
        <f t="shared" ref="AA232" ca="1" si="2077">AA8-AA238</f>
        <v>#NAME?</v>
      </c>
      <c r="AB232" s="30"/>
      <c r="AC232" s="30"/>
      <c r="AD232" s="30"/>
      <c r="AE232" s="30"/>
      <c r="AI232" s="64" t="e">
        <f t="shared" ref="AI232:BN232" ca="1" si="2078">AI8-AI238</f>
        <v>#NAME?</v>
      </c>
      <c r="AJ232" s="64" t="e">
        <f t="shared" ca="1" si="2078"/>
        <v>#NAME?</v>
      </c>
      <c r="AK232" s="64" t="e">
        <f t="shared" ca="1" si="2078"/>
        <v>#NAME?</v>
      </c>
      <c r="AL232" s="64" t="e">
        <f t="shared" ca="1" si="2078"/>
        <v>#NAME?</v>
      </c>
      <c r="AM232" s="64" t="e">
        <f t="shared" ca="1" si="2078"/>
        <v>#NAME?</v>
      </c>
      <c r="AN232" s="64" t="e">
        <f t="shared" ca="1" si="2078"/>
        <v>#NAME?</v>
      </c>
      <c r="AO232" s="64" t="e">
        <f t="shared" ca="1" si="2078"/>
        <v>#NAME?</v>
      </c>
      <c r="AP232" s="64" t="e">
        <f t="shared" ca="1" si="2078"/>
        <v>#NAME?</v>
      </c>
      <c r="AQ232" s="64" t="e">
        <f t="shared" ca="1" si="2078"/>
        <v>#NAME?</v>
      </c>
      <c r="AR232" s="64" t="e">
        <f t="shared" ca="1" si="2078"/>
        <v>#NAME?</v>
      </c>
      <c r="AS232" s="64" t="e">
        <f t="shared" ca="1" si="2078"/>
        <v>#NAME?</v>
      </c>
      <c r="AT232" s="64" t="e">
        <f t="shared" ca="1" si="2078"/>
        <v>#NAME?</v>
      </c>
      <c r="AU232" s="64" t="e">
        <f t="shared" ca="1" si="2078"/>
        <v>#NAME?</v>
      </c>
      <c r="AV232" s="64" t="e">
        <f t="shared" ca="1" si="2078"/>
        <v>#NAME?</v>
      </c>
      <c r="AW232" s="64" t="e">
        <f t="shared" ca="1" si="2078"/>
        <v>#NAME?</v>
      </c>
      <c r="AX232" s="64" t="e">
        <f t="shared" ca="1" si="2078"/>
        <v>#NAME?</v>
      </c>
      <c r="AY232" s="64" t="e">
        <f t="shared" ca="1" si="2078"/>
        <v>#NAME?</v>
      </c>
      <c r="AZ232" s="64" t="e">
        <f t="shared" ca="1" si="2078"/>
        <v>#NAME?</v>
      </c>
      <c r="BA232" s="64" t="e">
        <f t="shared" ca="1" si="2078"/>
        <v>#NAME?</v>
      </c>
      <c r="BB232" s="64" t="e">
        <f t="shared" ca="1" si="2078"/>
        <v>#NAME?</v>
      </c>
      <c r="BC232" s="64" t="e">
        <f t="shared" ca="1" si="2078"/>
        <v>#NAME?</v>
      </c>
      <c r="BD232" s="64" t="e">
        <f t="shared" ca="1" si="2078"/>
        <v>#NAME?</v>
      </c>
      <c r="BE232" s="64" t="e">
        <f t="shared" ca="1" si="2078"/>
        <v>#NAME?</v>
      </c>
      <c r="BF232" s="64" t="e">
        <f t="shared" ca="1" si="2078"/>
        <v>#NAME?</v>
      </c>
      <c r="BG232" s="64" t="e">
        <f t="shared" ca="1" si="2078"/>
        <v>#NAME?</v>
      </c>
      <c r="BH232" s="64" t="e">
        <f t="shared" ca="1" si="2078"/>
        <v>#NAME?</v>
      </c>
      <c r="BI232" s="64" t="e">
        <f t="shared" ca="1" si="2078"/>
        <v>#NAME?</v>
      </c>
      <c r="BJ232" s="64" t="e">
        <f t="shared" ca="1" si="2078"/>
        <v>#NAME?</v>
      </c>
      <c r="BK232" s="64" t="e">
        <f t="shared" ca="1" si="2078"/>
        <v>#NAME?</v>
      </c>
      <c r="BL232" s="64" t="e">
        <f t="shared" ca="1" si="2078"/>
        <v>#NAME?</v>
      </c>
      <c r="BM232" s="64" t="e">
        <f t="shared" ca="1" si="2078"/>
        <v>#NAME?</v>
      </c>
      <c r="BN232" s="64" t="e">
        <f t="shared" ca="1" si="2078"/>
        <v>#NAME?</v>
      </c>
      <c r="BO232" s="64" t="e">
        <f t="shared" ref="BO232:CT232" ca="1" si="2079">BO8-BO238</f>
        <v>#NAME?</v>
      </c>
      <c r="BP232" s="64" t="e">
        <f t="shared" ca="1" si="2079"/>
        <v>#NAME?</v>
      </c>
      <c r="BQ232" s="64" t="e">
        <f t="shared" ca="1" si="2079"/>
        <v>#NAME?</v>
      </c>
      <c r="BR232" s="64" t="e">
        <f t="shared" ca="1" si="2079"/>
        <v>#NAME?</v>
      </c>
      <c r="BS232" s="64" t="e">
        <f t="shared" ca="1" si="2079"/>
        <v>#NAME?</v>
      </c>
      <c r="BT232" s="64" t="e">
        <f t="shared" ca="1" si="2079"/>
        <v>#NAME?</v>
      </c>
      <c r="BU232" s="64" t="e">
        <f t="shared" ca="1" si="2079"/>
        <v>#NAME?</v>
      </c>
      <c r="BV232" s="64" t="e">
        <f t="shared" ca="1" si="2079"/>
        <v>#NAME?</v>
      </c>
      <c r="BW232" s="64" t="e">
        <f t="shared" ca="1" si="2079"/>
        <v>#NAME?</v>
      </c>
      <c r="BX232" s="64" t="e">
        <f t="shared" ca="1" si="2079"/>
        <v>#NAME?</v>
      </c>
      <c r="BY232" s="64" t="e">
        <f t="shared" ca="1" si="2079"/>
        <v>#NAME?</v>
      </c>
      <c r="BZ232" s="64" t="e">
        <f t="shared" ca="1" si="2079"/>
        <v>#NAME?</v>
      </c>
      <c r="CA232" s="64" t="e">
        <f t="shared" ca="1" si="2079"/>
        <v>#NAME?</v>
      </c>
      <c r="CB232" s="64" t="e">
        <f t="shared" ca="1" si="2079"/>
        <v>#NAME?</v>
      </c>
      <c r="CC232" s="64" t="e">
        <f t="shared" ca="1" si="2079"/>
        <v>#NAME?</v>
      </c>
      <c r="CD232" s="64" t="e">
        <f t="shared" ca="1" si="2079"/>
        <v>#NAME?</v>
      </c>
      <c r="CE232" s="64" t="e">
        <f t="shared" ca="1" si="2079"/>
        <v>#NAME?</v>
      </c>
      <c r="CF232" s="64" t="e">
        <f t="shared" ca="1" si="2079"/>
        <v>#NAME?</v>
      </c>
      <c r="CG232" s="64" t="e">
        <f t="shared" ca="1" si="2079"/>
        <v>#NAME?</v>
      </c>
      <c r="CH232" s="64" t="e">
        <f t="shared" ca="1" si="2079"/>
        <v>#NAME?</v>
      </c>
      <c r="CI232" s="64" t="e">
        <f t="shared" ca="1" si="2079"/>
        <v>#NAME?</v>
      </c>
      <c r="CJ232" s="64" t="e">
        <f t="shared" ca="1" si="2079"/>
        <v>#NAME?</v>
      </c>
      <c r="CK232" s="30" t="e">
        <f t="shared" ca="1" si="2079"/>
        <v>#NAME?</v>
      </c>
      <c r="CL232" s="64" t="e">
        <f t="shared" ref="CL232" ca="1" si="2080">CL8-CL238</f>
        <v>#NAME?</v>
      </c>
      <c r="CM232" s="30" t="e">
        <f t="shared" ca="1" si="2079"/>
        <v>#NAME?</v>
      </c>
      <c r="CN232" s="30" t="e">
        <f t="shared" ca="1" si="2079"/>
        <v>#NAME?</v>
      </c>
      <c r="CO232" s="30" t="e">
        <f t="shared" ca="1" si="2079"/>
        <v>#NAME?</v>
      </c>
      <c r="CP232" s="30" t="e">
        <f t="shared" ca="1" si="2079"/>
        <v>#NAME?</v>
      </c>
      <c r="CQ232" s="30" t="e">
        <f t="shared" ca="1" si="2079"/>
        <v>#NAME?</v>
      </c>
      <c r="CR232" s="30" t="e">
        <f t="shared" ca="1" si="2079"/>
        <v>#NAME?</v>
      </c>
      <c r="CS232" s="30" t="e">
        <f t="shared" ca="1" si="2079"/>
        <v>#NAME?</v>
      </c>
      <c r="CT232" s="30" t="e">
        <f t="shared" ca="1" si="2079"/>
        <v>#NAME?</v>
      </c>
      <c r="CU232" s="30" t="e">
        <f t="shared" ref="CU232:DB232" ca="1" si="2081">CU8-CU238</f>
        <v>#NAME?</v>
      </c>
      <c r="CV232" s="30" t="e">
        <f t="shared" ca="1" si="2081"/>
        <v>#NAME?</v>
      </c>
      <c r="CW232" s="30" t="e">
        <f t="shared" ca="1" si="2081"/>
        <v>#NAME?</v>
      </c>
      <c r="CX232" s="30" t="e">
        <f t="shared" ca="1" si="2081"/>
        <v>#NAME?</v>
      </c>
      <c r="CY232" s="30" t="e">
        <f t="shared" ca="1" si="2081"/>
        <v>#NAME?</v>
      </c>
      <c r="CZ232" s="30" t="e">
        <f t="shared" ca="1" si="2081"/>
        <v>#NAME?</v>
      </c>
      <c r="DA232" s="30" t="e">
        <f t="shared" ca="1" si="2081"/>
        <v>#NAME?</v>
      </c>
      <c r="DB232" s="30" t="e">
        <f t="shared" ca="1" si="2081"/>
        <v>#NAME?</v>
      </c>
      <c r="DE232" s="139"/>
    </row>
    <row r="233" spans="1:109" s="64" customFormat="1" hidden="1" outlineLevel="1" x14ac:dyDescent="0.2">
      <c r="A233" s="64" t="s">
        <v>475</v>
      </c>
      <c r="B233" s="64" t="e">
        <f t="shared" ref="B233:Z233" ca="1" si="2082">B28-B239</f>
        <v>#NAME?</v>
      </c>
      <c r="C233" s="64" t="e">
        <f t="shared" ca="1" si="2082"/>
        <v>#NAME?</v>
      </c>
      <c r="D233" s="64" t="e">
        <f t="shared" ca="1" si="2082"/>
        <v>#NAME?</v>
      </c>
      <c r="E233" s="64" t="e">
        <f t="shared" ca="1" si="2082"/>
        <v>#NAME?</v>
      </c>
      <c r="F233" s="64" t="e">
        <f t="shared" ca="1" si="2082"/>
        <v>#NAME?</v>
      </c>
      <c r="G233" s="64" t="e">
        <f t="shared" ca="1" si="2082"/>
        <v>#NAME?</v>
      </c>
      <c r="H233" s="64" t="e">
        <f t="shared" ca="1" si="2082"/>
        <v>#NAME?</v>
      </c>
      <c r="I233" s="64" t="e">
        <f t="shared" ca="1" si="2082"/>
        <v>#NAME?</v>
      </c>
      <c r="J233" s="64" t="e">
        <f t="shared" ca="1" si="2082"/>
        <v>#NAME?</v>
      </c>
      <c r="K233" s="64" t="e">
        <f t="shared" ca="1" si="2082"/>
        <v>#NAME?</v>
      </c>
      <c r="L233" s="64" t="e">
        <f t="shared" ca="1" si="2082"/>
        <v>#NAME?</v>
      </c>
      <c r="M233" s="64" t="e">
        <f t="shared" ca="1" si="2082"/>
        <v>#NAME?</v>
      </c>
      <c r="N233" s="64" t="e">
        <f t="shared" ca="1" si="2082"/>
        <v>#NAME?</v>
      </c>
      <c r="O233" s="64" t="e">
        <f t="shared" ca="1" si="2082"/>
        <v>#NAME?</v>
      </c>
      <c r="P233" s="64" t="e">
        <f t="shared" ca="1" si="2082"/>
        <v>#NAME?</v>
      </c>
      <c r="Q233" s="64" t="e">
        <f t="shared" ca="1" si="2082"/>
        <v>#NAME?</v>
      </c>
      <c r="R233" s="64" t="e">
        <f t="shared" ca="1" si="2082"/>
        <v>#NAME?</v>
      </c>
      <c r="S233" s="64" t="e">
        <f t="shared" ca="1" si="2082"/>
        <v>#NAME?</v>
      </c>
      <c r="T233" s="64" t="e">
        <f t="shared" ca="1" si="2082"/>
        <v>#NAME?</v>
      </c>
      <c r="U233" s="64" t="e">
        <f t="shared" ca="1" si="2082"/>
        <v>#NAME?</v>
      </c>
      <c r="V233" s="64" t="e">
        <f t="shared" ca="1" si="2082"/>
        <v>#NAME?</v>
      </c>
      <c r="W233" s="64" t="e">
        <f t="shared" ca="1" si="2082"/>
        <v>#NAME?</v>
      </c>
      <c r="X233" s="64" t="e">
        <f t="shared" ca="1" si="2082"/>
        <v>#NAME?</v>
      </c>
      <c r="Y233" s="64" t="e">
        <f t="shared" ca="1" si="2082"/>
        <v>#NAME?</v>
      </c>
      <c r="Z233" s="64" t="e">
        <f t="shared" ca="1" si="2082"/>
        <v>#NAME?</v>
      </c>
      <c r="AA233" s="64" t="e">
        <f t="shared" ref="AA233" ca="1" si="2083">AA28-AA239</f>
        <v>#NAME?</v>
      </c>
      <c r="AB233" s="30"/>
      <c r="AC233" s="30"/>
      <c r="AD233" s="30"/>
      <c r="AE233" s="30"/>
      <c r="AI233" s="64" t="e">
        <f t="shared" ref="AI233:BN233" ca="1" si="2084">AI28-AI239</f>
        <v>#NAME?</v>
      </c>
      <c r="AJ233" s="64" t="e">
        <f t="shared" ca="1" si="2084"/>
        <v>#NAME?</v>
      </c>
      <c r="AK233" s="64" t="e">
        <f t="shared" ca="1" si="2084"/>
        <v>#NAME?</v>
      </c>
      <c r="AL233" s="64" t="e">
        <f t="shared" ca="1" si="2084"/>
        <v>#NAME?</v>
      </c>
      <c r="AM233" s="64" t="e">
        <f t="shared" ca="1" si="2084"/>
        <v>#NAME?</v>
      </c>
      <c r="AN233" s="64" t="e">
        <f t="shared" ca="1" si="2084"/>
        <v>#NAME?</v>
      </c>
      <c r="AO233" s="64" t="e">
        <f t="shared" ca="1" si="2084"/>
        <v>#NAME?</v>
      </c>
      <c r="AP233" s="64" t="e">
        <f t="shared" ca="1" si="2084"/>
        <v>#NAME?</v>
      </c>
      <c r="AQ233" s="64" t="e">
        <f t="shared" ca="1" si="2084"/>
        <v>#NAME?</v>
      </c>
      <c r="AR233" s="64" t="e">
        <f t="shared" ca="1" si="2084"/>
        <v>#NAME?</v>
      </c>
      <c r="AS233" s="64" t="e">
        <f t="shared" ca="1" si="2084"/>
        <v>#NAME?</v>
      </c>
      <c r="AT233" s="64" t="e">
        <f t="shared" ca="1" si="2084"/>
        <v>#NAME?</v>
      </c>
      <c r="AU233" s="64" t="e">
        <f t="shared" ca="1" si="2084"/>
        <v>#NAME?</v>
      </c>
      <c r="AV233" s="64" t="e">
        <f t="shared" ca="1" si="2084"/>
        <v>#NAME?</v>
      </c>
      <c r="AW233" s="64" t="e">
        <f t="shared" ca="1" si="2084"/>
        <v>#NAME?</v>
      </c>
      <c r="AX233" s="64" t="e">
        <f t="shared" ca="1" si="2084"/>
        <v>#NAME?</v>
      </c>
      <c r="AY233" s="64" t="e">
        <f t="shared" ca="1" si="2084"/>
        <v>#NAME?</v>
      </c>
      <c r="AZ233" s="64" t="e">
        <f t="shared" ca="1" si="2084"/>
        <v>#NAME?</v>
      </c>
      <c r="BA233" s="64" t="e">
        <f t="shared" ca="1" si="2084"/>
        <v>#NAME?</v>
      </c>
      <c r="BB233" s="64" t="e">
        <f t="shared" ca="1" si="2084"/>
        <v>#NAME?</v>
      </c>
      <c r="BC233" s="64" t="e">
        <f t="shared" ca="1" si="2084"/>
        <v>#NAME?</v>
      </c>
      <c r="BD233" s="64" t="e">
        <f t="shared" ca="1" si="2084"/>
        <v>#NAME?</v>
      </c>
      <c r="BE233" s="64" t="e">
        <f t="shared" ca="1" si="2084"/>
        <v>#NAME?</v>
      </c>
      <c r="BF233" s="64" t="e">
        <f t="shared" ca="1" si="2084"/>
        <v>#NAME?</v>
      </c>
      <c r="BG233" s="64" t="e">
        <f t="shared" ca="1" si="2084"/>
        <v>#NAME?</v>
      </c>
      <c r="BH233" s="64" t="e">
        <f t="shared" ca="1" si="2084"/>
        <v>#NAME?</v>
      </c>
      <c r="BI233" s="64" t="e">
        <f t="shared" ca="1" si="2084"/>
        <v>#NAME?</v>
      </c>
      <c r="BJ233" s="64" t="e">
        <f t="shared" ca="1" si="2084"/>
        <v>#NAME?</v>
      </c>
      <c r="BK233" s="64" t="e">
        <f t="shared" ca="1" si="2084"/>
        <v>#NAME?</v>
      </c>
      <c r="BL233" s="64" t="e">
        <f t="shared" ca="1" si="2084"/>
        <v>#NAME?</v>
      </c>
      <c r="BM233" s="64" t="e">
        <f t="shared" ca="1" si="2084"/>
        <v>#NAME?</v>
      </c>
      <c r="BN233" s="64" t="e">
        <f t="shared" ca="1" si="2084"/>
        <v>#NAME?</v>
      </c>
      <c r="BO233" s="64" t="e">
        <f t="shared" ref="BO233:CT233" ca="1" si="2085">BO28-BO239</f>
        <v>#NAME?</v>
      </c>
      <c r="BP233" s="64" t="e">
        <f t="shared" ca="1" si="2085"/>
        <v>#NAME?</v>
      </c>
      <c r="BQ233" s="64" t="e">
        <f t="shared" ca="1" si="2085"/>
        <v>#NAME?</v>
      </c>
      <c r="BR233" s="64" t="e">
        <f t="shared" ca="1" si="2085"/>
        <v>#NAME?</v>
      </c>
      <c r="BS233" s="64" t="e">
        <f t="shared" ca="1" si="2085"/>
        <v>#NAME?</v>
      </c>
      <c r="BT233" s="64" t="e">
        <f t="shared" ca="1" si="2085"/>
        <v>#NAME?</v>
      </c>
      <c r="BU233" s="64" t="e">
        <f t="shared" ca="1" si="2085"/>
        <v>#NAME?</v>
      </c>
      <c r="BV233" s="64" t="e">
        <f t="shared" ca="1" si="2085"/>
        <v>#NAME?</v>
      </c>
      <c r="BW233" s="64" t="e">
        <f t="shared" ca="1" si="2085"/>
        <v>#NAME?</v>
      </c>
      <c r="BX233" s="64" t="e">
        <f t="shared" ca="1" si="2085"/>
        <v>#NAME?</v>
      </c>
      <c r="BY233" s="64" t="e">
        <f t="shared" ca="1" si="2085"/>
        <v>#NAME?</v>
      </c>
      <c r="BZ233" s="64" t="e">
        <f t="shared" ca="1" si="2085"/>
        <v>#NAME?</v>
      </c>
      <c r="CA233" s="64" t="e">
        <f t="shared" ca="1" si="2085"/>
        <v>#NAME?</v>
      </c>
      <c r="CB233" s="64" t="e">
        <f t="shared" ca="1" si="2085"/>
        <v>#NAME?</v>
      </c>
      <c r="CC233" s="64" t="e">
        <f t="shared" ca="1" si="2085"/>
        <v>#NAME?</v>
      </c>
      <c r="CD233" s="64" t="e">
        <f t="shared" ca="1" si="2085"/>
        <v>#NAME?</v>
      </c>
      <c r="CE233" s="64" t="e">
        <f t="shared" ca="1" si="2085"/>
        <v>#NAME?</v>
      </c>
      <c r="CF233" s="64" t="e">
        <f t="shared" ca="1" si="2085"/>
        <v>#NAME?</v>
      </c>
      <c r="CG233" s="64" t="e">
        <f t="shared" ca="1" si="2085"/>
        <v>#NAME?</v>
      </c>
      <c r="CH233" s="64" t="e">
        <f t="shared" ca="1" si="2085"/>
        <v>#NAME?</v>
      </c>
      <c r="CI233" s="64" t="e">
        <f t="shared" ca="1" si="2085"/>
        <v>#NAME?</v>
      </c>
      <c r="CJ233" s="64" t="e">
        <f t="shared" ca="1" si="2085"/>
        <v>#NAME?</v>
      </c>
      <c r="CK233" s="30" t="e">
        <f t="shared" ca="1" si="2085"/>
        <v>#NAME?</v>
      </c>
      <c r="CL233" s="64" t="e">
        <f t="shared" ref="CL233" ca="1" si="2086">CL28-CL239</f>
        <v>#NAME?</v>
      </c>
      <c r="CM233" s="30" t="e">
        <f t="shared" ca="1" si="2085"/>
        <v>#NAME?</v>
      </c>
      <c r="CN233" s="30" t="e">
        <f t="shared" ca="1" si="2085"/>
        <v>#NAME?</v>
      </c>
      <c r="CO233" s="30" t="e">
        <f t="shared" ca="1" si="2085"/>
        <v>#NAME?</v>
      </c>
      <c r="CP233" s="30" t="e">
        <f t="shared" ca="1" si="2085"/>
        <v>#NAME?</v>
      </c>
      <c r="CQ233" s="30" t="e">
        <f t="shared" ca="1" si="2085"/>
        <v>#NAME?</v>
      </c>
      <c r="CR233" s="30" t="e">
        <f t="shared" ca="1" si="2085"/>
        <v>#NAME?</v>
      </c>
      <c r="CS233" s="30" t="e">
        <f t="shared" ca="1" si="2085"/>
        <v>#NAME?</v>
      </c>
      <c r="CT233" s="30" t="e">
        <f t="shared" ca="1" si="2085"/>
        <v>#NAME?</v>
      </c>
      <c r="CU233" s="30" t="e">
        <f t="shared" ref="CU233:DB233" ca="1" si="2087">CU28-CU239</f>
        <v>#NAME?</v>
      </c>
      <c r="CV233" s="30" t="e">
        <f t="shared" ca="1" si="2087"/>
        <v>#NAME?</v>
      </c>
      <c r="CW233" s="30" t="e">
        <f t="shared" ca="1" si="2087"/>
        <v>#NAME?</v>
      </c>
      <c r="CX233" s="30" t="e">
        <f t="shared" ca="1" si="2087"/>
        <v>#NAME?</v>
      </c>
      <c r="CY233" s="30" t="e">
        <f t="shared" ca="1" si="2087"/>
        <v>#NAME?</v>
      </c>
      <c r="CZ233" s="30" t="e">
        <f t="shared" ca="1" si="2087"/>
        <v>#NAME?</v>
      </c>
      <c r="DA233" s="30" t="e">
        <f t="shared" ca="1" si="2087"/>
        <v>#NAME?</v>
      </c>
      <c r="DB233" s="30" t="e">
        <f t="shared" ca="1" si="2087"/>
        <v>#NAME?</v>
      </c>
      <c r="DE233" s="139"/>
    </row>
    <row r="234" spans="1:109" s="89" customFormat="1" hidden="1" outlineLevel="1" x14ac:dyDescent="0.2">
      <c r="A234" s="86" t="s">
        <v>476</v>
      </c>
      <c r="B234" s="86" t="e">
        <f ca="1">+B233/B232</f>
        <v>#NAME?</v>
      </c>
      <c r="C234" s="86" t="e">
        <f t="shared" ref="C234" ca="1" si="2088">+C233/C232</f>
        <v>#NAME?</v>
      </c>
      <c r="D234" s="86" t="e">
        <f t="shared" ref="D234" ca="1" si="2089">+D233/D232</f>
        <v>#NAME?</v>
      </c>
      <c r="E234" s="86" t="e">
        <f t="shared" ref="E234" ca="1" si="2090">+E233/E232</f>
        <v>#NAME?</v>
      </c>
      <c r="F234" s="86" t="e">
        <f t="shared" ref="F234" ca="1" si="2091">+F233/F232</f>
        <v>#NAME?</v>
      </c>
      <c r="G234" s="86" t="e">
        <f t="shared" ref="G234" ca="1" si="2092">+G233/G232</f>
        <v>#NAME?</v>
      </c>
      <c r="H234" s="86" t="e">
        <f t="shared" ref="H234" ca="1" si="2093">+H233/H232</f>
        <v>#NAME?</v>
      </c>
      <c r="I234" s="86" t="e">
        <f t="shared" ref="I234" ca="1" si="2094">+I233/I232</f>
        <v>#NAME?</v>
      </c>
      <c r="J234" s="86" t="e">
        <f t="shared" ref="J234" ca="1" si="2095">+J233/J232</f>
        <v>#NAME?</v>
      </c>
      <c r="K234" s="86" t="e">
        <f t="shared" ref="K234" ca="1" si="2096">+K233/K232</f>
        <v>#NAME?</v>
      </c>
      <c r="L234" s="86" t="e">
        <f t="shared" ref="L234" ca="1" si="2097">+L233/L232</f>
        <v>#NAME?</v>
      </c>
      <c r="M234" s="86" t="e">
        <f t="shared" ref="M234" ca="1" si="2098">+M233/M232</f>
        <v>#NAME?</v>
      </c>
      <c r="N234" s="86" t="e">
        <f t="shared" ref="N234" ca="1" si="2099">+N233/N232</f>
        <v>#NAME?</v>
      </c>
      <c r="O234" s="86" t="e">
        <f t="shared" ref="O234" ca="1" si="2100">+O233/O232</f>
        <v>#NAME?</v>
      </c>
      <c r="P234" s="86" t="e">
        <f t="shared" ref="P234" ca="1" si="2101">+P233/P232</f>
        <v>#NAME?</v>
      </c>
      <c r="Q234" s="86" t="e">
        <f t="shared" ref="Q234" ca="1" si="2102">+Q233/Q232</f>
        <v>#NAME?</v>
      </c>
      <c r="R234" s="86" t="e">
        <f t="shared" ref="R234" ca="1" si="2103">+R233/R232</f>
        <v>#NAME?</v>
      </c>
      <c r="S234" s="86" t="e">
        <f t="shared" ref="S234" ca="1" si="2104">+S233/S232</f>
        <v>#NAME?</v>
      </c>
      <c r="T234" s="86" t="e">
        <f t="shared" ref="T234" ca="1" si="2105">+T233/T232</f>
        <v>#NAME?</v>
      </c>
      <c r="U234" s="86" t="e">
        <f t="shared" ref="U234" ca="1" si="2106">+U233/U232</f>
        <v>#NAME?</v>
      </c>
      <c r="V234" s="86" t="e">
        <f t="shared" ref="V234" ca="1" si="2107">+V233/V232</f>
        <v>#NAME?</v>
      </c>
      <c r="W234" s="86" t="e">
        <f t="shared" ref="W234" ca="1" si="2108">+W233/W232</f>
        <v>#NAME?</v>
      </c>
      <c r="X234" s="86" t="e">
        <f t="shared" ref="X234:Y234" ca="1" si="2109">+X233/X232</f>
        <v>#NAME?</v>
      </c>
      <c r="Y234" s="86" t="e">
        <f t="shared" ca="1" si="2109"/>
        <v>#NAME?</v>
      </c>
      <c r="Z234" s="86" t="e">
        <f t="shared" ref="Z234:AA234" ca="1" si="2110">+Z233/Z232</f>
        <v>#NAME?</v>
      </c>
      <c r="AA234" s="86" t="e">
        <f t="shared" ca="1" si="2110"/>
        <v>#NAME?</v>
      </c>
      <c r="AB234" s="87"/>
      <c r="AC234" s="87"/>
      <c r="AD234" s="87"/>
      <c r="AE234" s="87"/>
      <c r="AF234" s="86"/>
      <c r="AG234" s="86"/>
      <c r="AH234" s="86"/>
      <c r="AI234" s="86" t="e">
        <f t="shared" ref="AI234" ca="1" si="2111">+AI233/AI232</f>
        <v>#NAME?</v>
      </c>
      <c r="AJ234" s="86" t="e">
        <f t="shared" ref="AJ234" ca="1" si="2112">+AJ233/AJ232</f>
        <v>#NAME?</v>
      </c>
      <c r="AK234" s="86" t="e">
        <f t="shared" ref="AK234" ca="1" si="2113">+AK233/AK232</f>
        <v>#NAME?</v>
      </c>
      <c r="AL234" s="86" t="e">
        <f t="shared" ref="AL234" ca="1" si="2114">+AL233/AL232</f>
        <v>#NAME?</v>
      </c>
      <c r="AM234" s="86" t="e">
        <f t="shared" ref="AM234" ca="1" si="2115">+AM233/AM232</f>
        <v>#NAME?</v>
      </c>
      <c r="AN234" s="86" t="e">
        <f t="shared" ref="AN234" ca="1" si="2116">+AN233/AN232</f>
        <v>#NAME?</v>
      </c>
      <c r="AO234" s="86" t="e">
        <f t="shared" ref="AO234" ca="1" si="2117">+AO233/AO232</f>
        <v>#NAME?</v>
      </c>
      <c r="AP234" s="86" t="e">
        <f t="shared" ref="AP234" ca="1" si="2118">+AP233/AP232</f>
        <v>#NAME?</v>
      </c>
      <c r="AQ234" s="86" t="e">
        <f t="shared" ref="AQ234" ca="1" si="2119">+AQ233/AQ232</f>
        <v>#NAME?</v>
      </c>
      <c r="AR234" s="86" t="e">
        <f t="shared" ref="AR234" ca="1" si="2120">+AR233/AR232</f>
        <v>#NAME?</v>
      </c>
      <c r="AS234" s="86" t="e">
        <f t="shared" ref="AS234" ca="1" si="2121">+AS233/AS232</f>
        <v>#NAME?</v>
      </c>
      <c r="AT234" s="86" t="e">
        <f t="shared" ref="AT234" ca="1" si="2122">+AT233/AT232</f>
        <v>#NAME?</v>
      </c>
      <c r="AU234" s="86" t="e">
        <f t="shared" ref="AU234" ca="1" si="2123">+AU233/AU232</f>
        <v>#NAME?</v>
      </c>
      <c r="AV234" s="86" t="e">
        <f t="shared" ref="AV234" ca="1" si="2124">+AV233/AV232</f>
        <v>#NAME?</v>
      </c>
      <c r="AW234" s="86" t="e">
        <f t="shared" ref="AW234" ca="1" si="2125">+AW233/AW232</f>
        <v>#NAME?</v>
      </c>
      <c r="AX234" s="86" t="e">
        <f t="shared" ref="AX234" ca="1" si="2126">+AX233/AX232</f>
        <v>#NAME?</v>
      </c>
      <c r="AY234" s="86" t="e">
        <f t="shared" ref="AY234" ca="1" si="2127">+AY233/AY232</f>
        <v>#NAME?</v>
      </c>
      <c r="AZ234" s="86" t="e">
        <f t="shared" ref="AZ234" ca="1" si="2128">+AZ233/AZ232</f>
        <v>#NAME?</v>
      </c>
      <c r="BA234" s="86" t="e">
        <f t="shared" ref="BA234" ca="1" si="2129">+BA233/BA232</f>
        <v>#NAME?</v>
      </c>
      <c r="BB234" s="86" t="e">
        <f t="shared" ref="BB234" ca="1" si="2130">+BB233/BB232</f>
        <v>#NAME?</v>
      </c>
      <c r="BC234" s="86" t="e">
        <f t="shared" ref="BC234" ca="1" si="2131">+BC233/BC232</f>
        <v>#NAME?</v>
      </c>
      <c r="BD234" s="86" t="e">
        <f t="shared" ref="BD234" ca="1" si="2132">+BD233/BD232</f>
        <v>#NAME?</v>
      </c>
      <c r="BE234" s="86" t="e">
        <f t="shared" ref="BE234" ca="1" si="2133">+BE233/BE232</f>
        <v>#NAME?</v>
      </c>
      <c r="BF234" s="86" t="e">
        <f t="shared" ref="BF234" ca="1" si="2134">+BF233/BF232</f>
        <v>#NAME?</v>
      </c>
      <c r="BG234" s="86" t="e">
        <f t="shared" ref="BG234" ca="1" si="2135">+BG233/BG232</f>
        <v>#NAME?</v>
      </c>
      <c r="BH234" s="86" t="e">
        <f t="shared" ref="BH234" ca="1" si="2136">+BH233/BH232</f>
        <v>#NAME?</v>
      </c>
      <c r="BI234" s="86" t="e">
        <f t="shared" ref="BI234" ca="1" si="2137">+BI233/BI232</f>
        <v>#NAME?</v>
      </c>
      <c r="BJ234" s="86" t="e">
        <f t="shared" ref="BJ234" ca="1" si="2138">+BJ233/BJ232</f>
        <v>#NAME?</v>
      </c>
      <c r="BK234" s="86" t="e">
        <f t="shared" ref="BK234" ca="1" si="2139">+BK233/BK232</f>
        <v>#NAME?</v>
      </c>
      <c r="BL234" s="86" t="e">
        <f t="shared" ref="BL234" ca="1" si="2140">+BL233/BL232</f>
        <v>#NAME?</v>
      </c>
      <c r="BM234" s="86" t="e">
        <f t="shared" ref="BM234" ca="1" si="2141">+BM233/BM232</f>
        <v>#NAME?</v>
      </c>
      <c r="BN234" s="86" t="e">
        <f t="shared" ref="BN234" ca="1" si="2142">+BN233/BN232</f>
        <v>#NAME?</v>
      </c>
      <c r="BO234" s="86" t="e">
        <f t="shared" ref="BO234" ca="1" si="2143">+BO233/BO232</f>
        <v>#NAME?</v>
      </c>
      <c r="BP234" s="86" t="e">
        <f t="shared" ref="BP234" ca="1" si="2144">+BP233/BP232</f>
        <v>#NAME?</v>
      </c>
      <c r="BQ234" s="86" t="e">
        <f t="shared" ref="BQ234" ca="1" si="2145">+BQ233/BQ232</f>
        <v>#NAME?</v>
      </c>
      <c r="BR234" s="86" t="e">
        <f t="shared" ref="BR234" ca="1" si="2146">+BR233/BR232</f>
        <v>#NAME?</v>
      </c>
      <c r="BS234" s="86" t="e">
        <f t="shared" ref="BS234" ca="1" si="2147">+BS233/BS232</f>
        <v>#NAME?</v>
      </c>
      <c r="BT234" s="86" t="e">
        <f t="shared" ref="BT234" ca="1" si="2148">+BT233/BT232</f>
        <v>#NAME?</v>
      </c>
      <c r="BU234" s="86" t="e">
        <f t="shared" ref="BU234" ca="1" si="2149">+BU233/BU232</f>
        <v>#NAME?</v>
      </c>
      <c r="BV234" s="86" t="e">
        <f t="shared" ref="BV234" ca="1" si="2150">+BV233/BV232</f>
        <v>#NAME?</v>
      </c>
      <c r="BW234" s="86" t="e">
        <f t="shared" ref="BW234" ca="1" si="2151">+BW233/BW232</f>
        <v>#NAME?</v>
      </c>
      <c r="BX234" s="86" t="e">
        <f t="shared" ref="BX234" ca="1" si="2152">+BX233/BX232</f>
        <v>#NAME?</v>
      </c>
      <c r="BY234" s="86" t="e">
        <f t="shared" ref="BY234" ca="1" si="2153">+BY233/BY232</f>
        <v>#NAME?</v>
      </c>
      <c r="BZ234" s="86" t="e">
        <f t="shared" ref="BZ234" ca="1" si="2154">+BZ233/BZ232</f>
        <v>#NAME?</v>
      </c>
      <c r="CA234" s="86" t="e">
        <f t="shared" ref="CA234" ca="1" si="2155">+CA233/CA232</f>
        <v>#NAME?</v>
      </c>
      <c r="CB234" s="86" t="e">
        <f t="shared" ref="CB234:CC234" ca="1" si="2156">+CB233/CB232</f>
        <v>#NAME?</v>
      </c>
      <c r="CC234" s="86" t="e">
        <f t="shared" ca="1" si="2156"/>
        <v>#NAME?</v>
      </c>
      <c r="CD234" s="86" t="e">
        <f t="shared" ref="CD234" ca="1" si="2157">+CD233/CD232</f>
        <v>#NAME?</v>
      </c>
      <c r="CE234" s="86" t="e">
        <f t="shared" ref="CE234:CF234" ca="1" si="2158">+CE233/CE232</f>
        <v>#NAME?</v>
      </c>
      <c r="CF234" s="86" t="e">
        <f t="shared" ca="1" si="2158"/>
        <v>#NAME?</v>
      </c>
      <c r="CG234" s="86" t="e">
        <f t="shared" ref="CG234:CH234" ca="1" si="2159">+CG233/CG232</f>
        <v>#NAME?</v>
      </c>
      <c r="CH234" s="86" t="e">
        <f t="shared" ca="1" si="2159"/>
        <v>#NAME?</v>
      </c>
      <c r="CI234" s="86" t="e">
        <f t="shared" ref="CI234:CJ234" ca="1" si="2160">+CI233/CI232</f>
        <v>#NAME?</v>
      </c>
      <c r="CJ234" s="86" t="e">
        <f t="shared" ca="1" si="2160"/>
        <v>#NAME?</v>
      </c>
      <c r="CK234" s="47" t="e">
        <f t="shared" ref="CK234:DB234" ca="1" si="2161">+CK233/CK232</f>
        <v>#NAME?</v>
      </c>
      <c r="CL234" s="86" t="e">
        <f t="shared" ca="1" si="2161"/>
        <v>#NAME?</v>
      </c>
      <c r="CM234" s="47" t="e">
        <f t="shared" ca="1" si="2161"/>
        <v>#NAME?</v>
      </c>
      <c r="CN234" s="47" t="e">
        <f t="shared" ca="1" si="2161"/>
        <v>#NAME?</v>
      </c>
      <c r="CO234" s="47" t="e">
        <f t="shared" ca="1" si="2161"/>
        <v>#NAME?</v>
      </c>
      <c r="CP234" s="47" t="e">
        <f t="shared" ca="1" si="2161"/>
        <v>#NAME?</v>
      </c>
      <c r="CQ234" s="47" t="e">
        <f t="shared" ca="1" si="2161"/>
        <v>#NAME?</v>
      </c>
      <c r="CR234" s="47" t="e">
        <f t="shared" ca="1" si="2161"/>
        <v>#NAME?</v>
      </c>
      <c r="CS234" s="47" t="e">
        <f t="shared" ca="1" si="2161"/>
        <v>#NAME?</v>
      </c>
      <c r="CT234" s="47" t="e">
        <f t="shared" ca="1" si="2161"/>
        <v>#NAME?</v>
      </c>
      <c r="CU234" s="47" t="e">
        <f t="shared" ca="1" si="2161"/>
        <v>#NAME?</v>
      </c>
      <c r="CV234" s="47" t="e">
        <f t="shared" ca="1" si="2161"/>
        <v>#NAME?</v>
      </c>
      <c r="CW234" s="47" t="e">
        <f t="shared" ca="1" si="2161"/>
        <v>#NAME?</v>
      </c>
      <c r="CX234" s="47" t="e">
        <f t="shared" ca="1" si="2161"/>
        <v>#NAME?</v>
      </c>
      <c r="CY234" s="47" t="e">
        <f t="shared" ca="1" si="2161"/>
        <v>#NAME?</v>
      </c>
      <c r="CZ234" s="47" t="e">
        <f t="shared" ca="1" si="2161"/>
        <v>#NAME?</v>
      </c>
      <c r="DA234" s="47" t="e">
        <f t="shared" ca="1" si="2161"/>
        <v>#NAME?</v>
      </c>
      <c r="DB234" s="47" t="e">
        <f t="shared" ca="1" si="2161"/>
        <v>#NAME?</v>
      </c>
      <c r="DE234" s="130"/>
    </row>
    <row r="235" spans="1:109" s="64" customFormat="1" hidden="1" outlineLevel="1" x14ac:dyDescent="0.2">
      <c r="A235" s="64" t="s">
        <v>477</v>
      </c>
      <c r="B235" s="64" t="e">
        <f t="shared" ref="B235:Z235" ca="1" si="2162">B41-B241</f>
        <v>#NAME?</v>
      </c>
      <c r="C235" s="64" t="e">
        <f t="shared" ca="1" si="2162"/>
        <v>#NAME?</v>
      </c>
      <c r="D235" s="64" t="e">
        <f t="shared" ca="1" si="2162"/>
        <v>#NAME?</v>
      </c>
      <c r="E235" s="64" t="e">
        <f t="shared" ca="1" si="2162"/>
        <v>#NAME?</v>
      </c>
      <c r="F235" s="64" t="e">
        <f t="shared" ca="1" si="2162"/>
        <v>#NAME?</v>
      </c>
      <c r="G235" s="64" t="e">
        <f t="shared" ca="1" si="2162"/>
        <v>#NAME?</v>
      </c>
      <c r="H235" s="64" t="e">
        <f t="shared" ca="1" si="2162"/>
        <v>#NAME?</v>
      </c>
      <c r="I235" s="64" t="e">
        <f t="shared" ca="1" si="2162"/>
        <v>#NAME?</v>
      </c>
      <c r="J235" s="64" t="e">
        <f t="shared" ca="1" si="2162"/>
        <v>#NAME?</v>
      </c>
      <c r="K235" s="64" t="e">
        <f t="shared" ca="1" si="2162"/>
        <v>#NAME?</v>
      </c>
      <c r="L235" s="64" t="e">
        <f t="shared" ca="1" si="2162"/>
        <v>#NAME?</v>
      </c>
      <c r="M235" s="64" t="e">
        <f t="shared" ca="1" si="2162"/>
        <v>#NAME?</v>
      </c>
      <c r="N235" s="64" t="e">
        <f t="shared" ca="1" si="2162"/>
        <v>#NAME?</v>
      </c>
      <c r="O235" s="64" t="e">
        <f t="shared" ca="1" si="2162"/>
        <v>#NAME?</v>
      </c>
      <c r="P235" s="64" t="e">
        <f t="shared" ca="1" si="2162"/>
        <v>#NAME?</v>
      </c>
      <c r="Q235" s="64" t="e">
        <f t="shared" ca="1" si="2162"/>
        <v>#NAME?</v>
      </c>
      <c r="R235" s="64" t="e">
        <f t="shared" ca="1" si="2162"/>
        <v>#NAME?</v>
      </c>
      <c r="S235" s="64" t="e">
        <f t="shared" ca="1" si="2162"/>
        <v>#NAME?</v>
      </c>
      <c r="T235" s="64" t="e">
        <f t="shared" ca="1" si="2162"/>
        <v>#NAME?</v>
      </c>
      <c r="U235" s="64" t="e">
        <f t="shared" ca="1" si="2162"/>
        <v>#NAME?</v>
      </c>
      <c r="V235" s="64" t="e">
        <f t="shared" ca="1" si="2162"/>
        <v>#NAME?</v>
      </c>
      <c r="W235" s="64" t="e">
        <f t="shared" ca="1" si="2162"/>
        <v>#NAME?</v>
      </c>
      <c r="X235" s="64" t="e">
        <f t="shared" ca="1" si="2162"/>
        <v>#NAME?</v>
      </c>
      <c r="Y235" s="64" t="e">
        <f t="shared" ca="1" si="2162"/>
        <v>#NAME?</v>
      </c>
      <c r="Z235" s="64" t="e">
        <f t="shared" ca="1" si="2162"/>
        <v>#NAME?</v>
      </c>
      <c r="AA235" s="64" t="e">
        <f t="shared" ref="AA235" ca="1" si="2163">AA41-AA241</f>
        <v>#NAME?</v>
      </c>
      <c r="AB235" s="30"/>
      <c r="AC235" s="30"/>
      <c r="AD235" s="30"/>
      <c r="AE235" s="30"/>
      <c r="AI235" s="64" t="e">
        <f t="shared" ref="AI235:BN235" ca="1" si="2164">AI41-AI241</f>
        <v>#NAME?</v>
      </c>
      <c r="AJ235" s="64" t="e">
        <f t="shared" ca="1" si="2164"/>
        <v>#NAME?</v>
      </c>
      <c r="AK235" s="64" t="e">
        <f t="shared" ca="1" si="2164"/>
        <v>#NAME?</v>
      </c>
      <c r="AL235" s="64" t="e">
        <f t="shared" ca="1" si="2164"/>
        <v>#NAME?</v>
      </c>
      <c r="AM235" s="64" t="e">
        <f t="shared" ca="1" si="2164"/>
        <v>#NAME?</v>
      </c>
      <c r="AN235" s="64" t="e">
        <f t="shared" ca="1" si="2164"/>
        <v>#NAME?</v>
      </c>
      <c r="AO235" s="64" t="e">
        <f t="shared" ca="1" si="2164"/>
        <v>#NAME?</v>
      </c>
      <c r="AP235" s="64" t="e">
        <f t="shared" ca="1" si="2164"/>
        <v>#NAME?</v>
      </c>
      <c r="AQ235" s="64" t="e">
        <f t="shared" ca="1" si="2164"/>
        <v>#NAME?</v>
      </c>
      <c r="AR235" s="64" t="e">
        <f t="shared" ca="1" si="2164"/>
        <v>#NAME?</v>
      </c>
      <c r="AS235" s="64" t="e">
        <f t="shared" ca="1" si="2164"/>
        <v>#NAME?</v>
      </c>
      <c r="AT235" s="64" t="e">
        <f t="shared" ca="1" si="2164"/>
        <v>#NAME?</v>
      </c>
      <c r="AU235" s="64" t="e">
        <f t="shared" ca="1" si="2164"/>
        <v>#NAME?</v>
      </c>
      <c r="AV235" s="64" t="e">
        <f t="shared" ca="1" si="2164"/>
        <v>#NAME?</v>
      </c>
      <c r="AW235" s="64" t="e">
        <f t="shared" ca="1" si="2164"/>
        <v>#NAME?</v>
      </c>
      <c r="AX235" s="64" t="e">
        <f t="shared" ca="1" si="2164"/>
        <v>#NAME?</v>
      </c>
      <c r="AY235" s="64" t="e">
        <f t="shared" ca="1" si="2164"/>
        <v>#NAME?</v>
      </c>
      <c r="AZ235" s="64" t="e">
        <f t="shared" ca="1" si="2164"/>
        <v>#NAME?</v>
      </c>
      <c r="BA235" s="64" t="e">
        <f t="shared" ca="1" si="2164"/>
        <v>#NAME?</v>
      </c>
      <c r="BB235" s="64" t="e">
        <f t="shared" ca="1" si="2164"/>
        <v>#NAME?</v>
      </c>
      <c r="BC235" s="64" t="e">
        <f t="shared" ca="1" si="2164"/>
        <v>#NAME?</v>
      </c>
      <c r="BD235" s="64" t="e">
        <f t="shared" ca="1" si="2164"/>
        <v>#NAME?</v>
      </c>
      <c r="BE235" s="64" t="e">
        <f t="shared" ca="1" si="2164"/>
        <v>#NAME?</v>
      </c>
      <c r="BF235" s="64" t="e">
        <f t="shared" ca="1" si="2164"/>
        <v>#NAME?</v>
      </c>
      <c r="BG235" s="64" t="e">
        <f t="shared" ca="1" si="2164"/>
        <v>#NAME?</v>
      </c>
      <c r="BH235" s="64" t="e">
        <f t="shared" ca="1" si="2164"/>
        <v>#NAME?</v>
      </c>
      <c r="BI235" s="64" t="e">
        <f t="shared" ca="1" si="2164"/>
        <v>#NAME?</v>
      </c>
      <c r="BJ235" s="64" t="e">
        <f t="shared" ca="1" si="2164"/>
        <v>#NAME?</v>
      </c>
      <c r="BK235" s="64" t="e">
        <f t="shared" ca="1" si="2164"/>
        <v>#NAME?</v>
      </c>
      <c r="BL235" s="64" t="e">
        <f t="shared" ca="1" si="2164"/>
        <v>#NAME?</v>
      </c>
      <c r="BM235" s="64" t="e">
        <f t="shared" ca="1" si="2164"/>
        <v>#NAME?</v>
      </c>
      <c r="BN235" s="64" t="e">
        <f t="shared" ca="1" si="2164"/>
        <v>#NAME?</v>
      </c>
      <c r="BO235" s="64" t="e">
        <f t="shared" ref="BO235:CT235" ca="1" si="2165">BO41-BO241</f>
        <v>#NAME?</v>
      </c>
      <c r="BP235" s="64" t="e">
        <f t="shared" ca="1" si="2165"/>
        <v>#NAME?</v>
      </c>
      <c r="BQ235" s="64" t="e">
        <f t="shared" ca="1" si="2165"/>
        <v>#NAME?</v>
      </c>
      <c r="BR235" s="64" t="e">
        <f t="shared" ca="1" si="2165"/>
        <v>#NAME?</v>
      </c>
      <c r="BS235" s="64" t="e">
        <f t="shared" ca="1" si="2165"/>
        <v>#NAME?</v>
      </c>
      <c r="BT235" s="64" t="e">
        <f t="shared" ca="1" si="2165"/>
        <v>#NAME?</v>
      </c>
      <c r="BU235" s="64" t="e">
        <f t="shared" ca="1" si="2165"/>
        <v>#NAME?</v>
      </c>
      <c r="BV235" s="64" t="e">
        <f t="shared" ca="1" si="2165"/>
        <v>#NAME?</v>
      </c>
      <c r="BW235" s="64" t="e">
        <f t="shared" ca="1" si="2165"/>
        <v>#NAME?</v>
      </c>
      <c r="BX235" s="64" t="e">
        <f t="shared" ca="1" si="2165"/>
        <v>#NAME?</v>
      </c>
      <c r="BY235" s="64" t="e">
        <f t="shared" ca="1" si="2165"/>
        <v>#NAME?</v>
      </c>
      <c r="BZ235" s="64" t="e">
        <f t="shared" ca="1" si="2165"/>
        <v>#NAME?</v>
      </c>
      <c r="CA235" s="64" t="e">
        <f t="shared" ca="1" si="2165"/>
        <v>#NAME?</v>
      </c>
      <c r="CB235" s="64" t="e">
        <f t="shared" ca="1" si="2165"/>
        <v>#NAME?</v>
      </c>
      <c r="CC235" s="64" t="e">
        <f t="shared" ca="1" si="2165"/>
        <v>#NAME?</v>
      </c>
      <c r="CD235" s="64" t="e">
        <f t="shared" ca="1" si="2165"/>
        <v>#NAME?</v>
      </c>
      <c r="CE235" s="64" t="e">
        <f t="shared" ca="1" si="2165"/>
        <v>#NAME?</v>
      </c>
      <c r="CF235" s="64" t="e">
        <f t="shared" ca="1" si="2165"/>
        <v>#NAME?</v>
      </c>
      <c r="CG235" s="64" t="e">
        <f t="shared" ca="1" si="2165"/>
        <v>#NAME?</v>
      </c>
      <c r="CH235" s="64" t="e">
        <f t="shared" ca="1" si="2165"/>
        <v>#NAME?</v>
      </c>
      <c r="CI235" s="64" t="e">
        <f t="shared" ca="1" si="2165"/>
        <v>#NAME?</v>
      </c>
      <c r="CJ235" s="64" t="e">
        <f t="shared" ca="1" si="2165"/>
        <v>#NAME?</v>
      </c>
      <c r="CK235" s="30" t="e">
        <f t="shared" ca="1" si="2165"/>
        <v>#NAME?</v>
      </c>
      <c r="CL235" s="64" t="e">
        <f t="shared" ref="CL235" ca="1" si="2166">CL41-CL241</f>
        <v>#NAME?</v>
      </c>
      <c r="CM235" s="30" t="e">
        <f t="shared" ca="1" si="2165"/>
        <v>#NAME?</v>
      </c>
      <c r="CN235" s="30" t="e">
        <f t="shared" ca="1" si="2165"/>
        <v>#NAME?</v>
      </c>
      <c r="CO235" s="30" t="e">
        <f t="shared" ca="1" si="2165"/>
        <v>#NAME?</v>
      </c>
      <c r="CP235" s="30" t="e">
        <f t="shared" ca="1" si="2165"/>
        <v>#NAME?</v>
      </c>
      <c r="CQ235" s="30" t="e">
        <f t="shared" ca="1" si="2165"/>
        <v>#NAME?</v>
      </c>
      <c r="CR235" s="30" t="e">
        <f t="shared" ca="1" si="2165"/>
        <v>#NAME?</v>
      </c>
      <c r="CS235" s="30" t="e">
        <f t="shared" ca="1" si="2165"/>
        <v>#NAME?</v>
      </c>
      <c r="CT235" s="30" t="e">
        <f t="shared" ca="1" si="2165"/>
        <v>#NAME?</v>
      </c>
      <c r="CU235" s="30" t="e">
        <f t="shared" ref="CU235:DB235" ca="1" si="2167">CU41-CU241</f>
        <v>#NAME?</v>
      </c>
      <c r="CV235" s="30" t="e">
        <f t="shared" ca="1" si="2167"/>
        <v>#NAME?</v>
      </c>
      <c r="CW235" s="30" t="e">
        <f t="shared" ca="1" si="2167"/>
        <v>#NAME?</v>
      </c>
      <c r="CX235" s="30" t="e">
        <f t="shared" ca="1" si="2167"/>
        <v>#NAME?</v>
      </c>
      <c r="CY235" s="30" t="e">
        <f t="shared" ca="1" si="2167"/>
        <v>#NAME?</v>
      </c>
      <c r="CZ235" s="30" t="e">
        <f t="shared" ca="1" si="2167"/>
        <v>#NAME?</v>
      </c>
      <c r="DA235" s="30" t="e">
        <f t="shared" ca="1" si="2167"/>
        <v>#NAME?</v>
      </c>
      <c r="DB235" s="30" t="e">
        <f t="shared" ca="1" si="2167"/>
        <v>#NAME?</v>
      </c>
      <c r="DE235" s="139"/>
    </row>
    <row r="236" spans="1:109" s="64" customFormat="1" hidden="1" outlineLevel="1" x14ac:dyDescent="0.2"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5" t="s">
        <v>352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478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64" customFormat="1" hidden="1" outlineLevel="1" x14ac:dyDescent="0.2">
      <c r="A239" s="64" t="s">
        <v>479</v>
      </c>
      <c r="AB239" s="30"/>
      <c r="AC239" s="30"/>
      <c r="AD239" s="30"/>
      <c r="AE239" s="30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09" s="89" customFormat="1" hidden="1" outlineLevel="1" x14ac:dyDescent="0.2">
      <c r="A240" s="86" t="s">
        <v>480</v>
      </c>
      <c r="B240" s="86" t="e">
        <f>+B239/B238</f>
        <v>#DIV/0!</v>
      </c>
      <c r="C240" s="86" t="e">
        <f t="shared" ref="C240:X240" si="2168">+C239/C238</f>
        <v>#DIV/0!</v>
      </c>
      <c r="D240" s="86" t="e">
        <f t="shared" si="2168"/>
        <v>#DIV/0!</v>
      </c>
      <c r="E240" s="86" t="e">
        <f t="shared" si="2168"/>
        <v>#DIV/0!</v>
      </c>
      <c r="F240" s="86" t="e">
        <f t="shared" si="2168"/>
        <v>#DIV/0!</v>
      </c>
      <c r="G240" s="86" t="e">
        <f t="shared" si="2168"/>
        <v>#DIV/0!</v>
      </c>
      <c r="H240" s="86" t="e">
        <f t="shared" si="2168"/>
        <v>#DIV/0!</v>
      </c>
      <c r="I240" s="86" t="e">
        <f t="shared" si="2168"/>
        <v>#DIV/0!</v>
      </c>
      <c r="J240" s="86" t="e">
        <f t="shared" si="2168"/>
        <v>#DIV/0!</v>
      </c>
      <c r="K240" s="86" t="e">
        <f t="shared" si="2168"/>
        <v>#DIV/0!</v>
      </c>
      <c r="L240" s="86" t="e">
        <f t="shared" si="2168"/>
        <v>#DIV/0!</v>
      </c>
      <c r="M240" s="86" t="e">
        <f t="shared" si="2168"/>
        <v>#DIV/0!</v>
      </c>
      <c r="N240" s="86" t="e">
        <f t="shared" si="2168"/>
        <v>#DIV/0!</v>
      </c>
      <c r="O240" s="86" t="e">
        <f t="shared" si="2168"/>
        <v>#DIV/0!</v>
      </c>
      <c r="P240" s="86" t="e">
        <f t="shared" si="2168"/>
        <v>#DIV/0!</v>
      </c>
      <c r="Q240" s="86" t="e">
        <f t="shared" si="2168"/>
        <v>#DIV/0!</v>
      </c>
      <c r="R240" s="86" t="e">
        <f t="shared" si="2168"/>
        <v>#DIV/0!</v>
      </c>
      <c r="S240" s="86" t="e">
        <f t="shared" si="2168"/>
        <v>#DIV/0!</v>
      </c>
      <c r="T240" s="86" t="e">
        <f t="shared" si="2168"/>
        <v>#DIV/0!</v>
      </c>
      <c r="U240" s="86" t="e">
        <f t="shared" si="2168"/>
        <v>#DIV/0!</v>
      </c>
      <c r="V240" s="86" t="e">
        <f t="shared" si="2168"/>
        <v>#DIV/0!</v>
      </c>
      <c r="W240" s="86" t="e">
        <f t="shared" si="2168"/>
        <v>#DIV/0!</v>
      </c>
      <c r="X240" s="86" t="e">
        <f t="shared" si="2168"/>
        <v>#DIV/0!</v>
      </c>
      <c r="Y240" s="86" t="e">
        <f t="shared" ref="Y240:Z240" si="2169">+Y239/Y238</f>
        <v>#DIV/0!</v>
      </c>
      <c r="Z240" s="86" t="e">
        <f t="shared" si="2169"/>
        <v>#DIV/0!</v>
      </c>
      <c r="AA240" s="86" t="e">
        <f t="shared" ref="AA240" si="2170">+AA239/AA238</f>
        <v>#DIV/0!</v>
      </c>
      <c r="AB240" s="87"/>
      <c r="AC240" s="87"/>
      <c r="AD240" s="87"/>
      <c r="AE240" s="87"/>
      <c r="AF240" s="86"/>
      <c r="AG240" s="86"/>
      <c r="AH240" s="86"/>
      <c r="AI240" s="86" t="e">
        <f t="shared" ref="AI240" si="2171">+AI239/AI238</f>
        <v>#DIV/0!</v>
      </c>
      <c r="AJ240" s="86" t="e">
        <f t="shared" ref="AJ240" si="2172">+AJ239/AJ238</f>
        <v>#DIV/0!</v>
      </c>
      <c r="AK240" s="86" t="e">
        <f t="shared" ref="AK240" si="2173">+AK239/AK238</f>
        <v>#DIV/0!</v>
      </c>
      <c r="AL240" s="86" t="e">
        <f t="shared" ref="AL240" si="2174">+AL239/AL238</f>
        <v>#DIV/0!</v>
      </c>
      <c r="AM240" s="86" t="e">
        <f t="shared" ref="AM240" si="2175">+AM239/AM238</f>
        <v>#DIV/0!</v>
      </c>
      <c r="AN240" s="86" t="e">
        <f t="shared" ref="AN240" si="2176">+AN239/AN238</f>
        <v>#DIV/0!</v>
      </c>
      <c r="AO240" s="86" t="e">
        <f t="shared" ref="AO240" si="2177">+AO239/AO238</f>
        <v>#DIV/0!</v>
      </c>
      <c r="AP240" s="86" t="e">
        <f t="shared" ref="AP240" si="2178">+AP239/AP238</f>
        <v>#DIV/0!</v>
      </c>
      <c r="AQ240" s="86" t="e">
        <f t="shared" ref="AQ240" si="2179">+AQ239/AQ238</f>
        <v>#DIV/0!</v>
      </c>
      <c r="AR240" s="86" t="e">
        <f t="shared" ref="AR240" si="2180">+AR239/AR238</f>
        <v>#DIV/0!</v>
      </c>
      <c r="AS240" s="86" t="e">
        <f t="shared" ref="AS240" si="2181">+AS239/AS238</f>
        <v>#DIV/0!</v>
      </c>
      <c r="AT240" s="86" t="e">
        <f t="shared" ref="AT240" si="2182">+AT239/AT238</f>
        <v>#DIV/0!</v>
      </c>
      <c r="AU240" s="86" t="e">
        <f t="shared" ref="AU240" si="2183">+AU239/AU238</f>
        <v>#DIV/0!</v>
      </c>
      <c r="AV240" s="86" t="e">
        <f t="shared" ref="AV240" si="2184">+AV239/AV238</f>
        <v>#DIV/0!</v>
      </c>
      <c r="AW240" s="86" t="e">
        <f t="shared" ref="AW240" si="2185">+AW239/AW238</f>
        <v>#DIV/0!</v>
      </c>
      <c r="AX240" s="86" t="e">
        <f t="shared" ref="AX240" si="2186">+AX239/AX238</f>
        <v>#DIV/0!</v>
      </c>
      <c r="AY240" s="86" t="e">
        <f t="shared" ref="AY240" si="2187">+AY239/AY238</f>
        <v>#DIV/0!</v>
      </c>
      <c r="AZ240" s="86" t="e">
        <f t="shared" ref="AZ240" si="2188">+AZ239/AZ238</f>
        <v>#DIV/0!</v>
      </c>
      <c r="BA240" s="86" t="e">
        <f t="shared" ref="BA240" si="2189">+BA239/BA238</f>
        <v>#DIV/0!</v>
      </c>
      <c r="BB240" s="86" t="e">
        <f t="shared" ref="BB240" si="2190">+BB239/BB238</f>
        <v>#DIV/0!</v>
      </c>
      <c r="BC240" s="86" t="e">
        <f t="shared" ref="BC240" si="2191">+BC239/BC238</f>
        <v>#DIV/0!</v>
      </c>
      <c r="BD240" s="86" t="e">
        <f t="shared" ref="BD240" si="2192">+BD239/BD238</f>
        <v>#DIV/0!</v>
      </c>
      <c r="BE240" s="86" t="e">
        <f t="shared" ref="BE240" si="2193">+BE239/BE238</f>
        <v>#DIV/0!</v>
      </c>
      <c r="BF240" s="86" t="e">
        <f t="shared" ref="BF240" si="2194">+BF239/BF238</f>
        <v>#DIV/0!</v>
      </c>
      <c r="BG240" s="86" t="e">
        <f t="shared" ref="BG240" si="2195">+BG239/BG238</f>
        <v>#DIV/0!</v>
      </c>
      <c r="BH240" s="86" t="e">
        <f t="shared" ref="BH240" si="2196">+BH239/BH238</f>
        <v>#DIV/0!</v>
      </c>
      <c r="BI240" s="86" t="e">
        <f t="shared" ref="BI240" si="2197">+BI239/BI238</f>
        <v>#DIV/0!</v>
      </c>
      <c r="BJ240" s="86" t="e">
        <f t="shared" ref="BJ240" si="2198">+BJ239/BJ238</f>
        <v>#DIV/0!</v>
      </c>
      <c r="BK240" s="86" t="e">
        <f t="shared" ref="BK240" si="2199">+BK239/BK238</f>
        <v>#DIV/0!</v>
      </c>
      <c r="BL240" s="86" t="e">
        <f t="shared" ref="BL240" si="2200">+BL239/BL238</f>
        <v>#DIV/0!</v>
      </c>
      <c r="BM240" s="86" t="e">
        <f t="shared" ref="BM240" si="2201">+BM239/BM238</f>
        <v>#DIV/0!</v>
      </c>
      <c r="BN240" s="86" t="e">
        <f t="shared" ref="BN240" si="2202">+BN239/BN238</f>
        <v>#DIV/0!</v>
      </c>
      <c r="BO240" s="86" t="e">
        <f t="shared" ref="BO240" si="2203">+BO239/BO238</f>
        <v>#DIV/0!</v>
      </c>
      <c r="BP240" s="86" t="e">
        <f t="shared" ref="BP240" si="2204">+BP239/BP238</f>
        <v>#DIV/0!</v>
      </c>
      <c r="BQ240" s="86" t="e">
        <f t="shared" ref="BQ240" si="2205">+BQ239/BQ238</f>
        <v>#DIV/0!</v>
      </c>
      <c r="BR240" s="86" t="e">
        <f t="shared" ref="BR240" si="2206">+BR239/BR238</f>
        <v>#DIV/0!</v>
      </c>
      <c r="BS240" s="86" t="e">
        <f t="shared" ref="BS240" si="2207">+BS239/BS238</f>
        <v>#DIV/0!</v>
      </c>
      <c r="BT240" s="86" t="e">
        <f t="shared" ref="BT240" si="2208">+BT239/BT238</f>
        <v>#DIV/0!</v>
      </c>
      <c r="BU240" s="86" t="e">
        <f t="shared" ref="BU240" si="2209">+BU239/BU238</f>
        <v>#DIV/0!</v>
      </c>
      <c r="BV240" s="86" t="e">
        <f t="shared" ref="BV240" si="2210">+BV239/BV238</f>
        <v>#DIV/0!</v>
      </c>
      <c r="BW240" s="86" t="e">
        <f t="shared" ref="BW240" si="2211">+BW239/BW238</f>
        <v>#DIV/0!</v>
      </c>
      <c r="BX240" s="86" t="e">
        <f t="shared" ref="BX240" si="2212">+BX239/BX238</f>
        <v>#DIV/0!</v>
      </c>
      <c r="BY240" s="86" t="e">
        <f t="shared" ref="BY240" si="2213">+BY239/BY238</f>
        <v>#DIV/0!</v>
      </c>
      <c r="BZ240" s="86" t="e">
        <f t="shared" ref="BZ240" si="2214">+BZ239/BZ238</f>
        <v>#DIV/0!</v>
      </c>
      <c r="CA240" s="86" t="e">
        <f t="shared" ref="CA240" si="2215">+CA239/CA238</f>
        <v>#DIV/0!</v>
      </c>
      <c r="CB240" s="86" t="e">
        <f t="shared" ref="CB240:CC240" si="2216">+CB239/CB238</f>
        <v>#DIV/0!</v>
      </c>
      <c r="CC240" s="86" t="e">
        <f t="shared" si="2216"/>
        <v>#DIV/0!</v>
      </c>
      <c r="CD240" s="86" t="e">
        <f t="shared" ref="CD240" si="2217">+CD239/CD238</f>
        <v>#DIV/0!</v>
      </c>
      <c r="CE240" s="86" t="e">
        <f t="shared" ref="CE240:CF240" si="2218">+CE239/CE238</f>
        <v>#DIV/0!</v>
      </c>
      <c r="CF240" s="86" t="e">
        <f t="shared" si="2218"/>
        <v>#DIV/0!</v>
      </c>
      <c r="CG240" s="86" t="e">
        <f t="shared" ref="CG240:CH240" si="2219">+CG239/CG238</f>
        <v>#DIV/0!</v>
      </c>
      <c r="CH240" s="86" t="e">
        <f t="shared" si="2219"/>
        <v>#DIV/0!</v>
      </c>
      <c r="CI240" s="86" t="e">
        <f t="shared" ref="CI240:CJ240" si="2220">+CI239/CI238</f>
        <v>#DIV/0!</v>
      </c>
      <c r="CJ240" s="86" t="e">
        <f t="shared" si="2220"/>
        <v>#DIV/0!</v>
      </c>
      <c r="CK240" s="47" t="e">
        <f t="shared" ref="CK240:DB240" si="2221">+CK239/CK238</f>
        <v>#DIV/0!</v>
      </c>
      <c r="CL240" s="86" t="e">
        <f t="shared" si="2221"/>
        <v>#DIV/0!</v>
      </c>
      <c r="CM240" s="47" t="e">
        <f t="shared" si="2221"/>
        <v>#DIV/0!</v>
      </c>
      <c r="CN240" s="47" t="e">
        <f t="shared" si="2221"/>
        <v>#DIV/0!</v>
      </c>
      <c r="CO240" s="47" t="e">
        <f t="shared" si="2221"/>
        <v>#DIV/0!</v>
      </c>
      <c r="CP240" s="47" t="e">
        <f t="shared" si="2221"/>
        <v>#DIV/0!</v>
      </c>
      <c r="CQ240" s="47" t="e">
        <f t="shared" si="2221"/>
        <v>#DIV/0!</v>
      </c>
      <c r="CR240" s="47" t="e">
        <f t="shared" si="2221"/>
        <v>#DIV/0!</v>
      </c>
      <c r="CS240" s="47" t="e">
        <f t="shared" si="2221"/>
        <v>#DIV/0!</v>
      </c>
      <c r="CT240" s="47" t="e">
        <f t="shared" si="2221"/>
        <v>#DIV/0!</v>
      </c>
      <c r="CU240" s="47" t="e">
        <f t="shared" si="2221"/>
        <v>#DIV/0!</v>
      </c>
      <c r="CV240" s="47" t="e">
        <f t="shared" si="2221"/>
        <v>#DIV/0!</v>
      </c>
      <c r="CW240" s="47" t="e">
        <f t="shared" si="2221"/>
        <v>#DIV/0!</v>
      </c>
      <c r="CX240" s="47" t="e">
        <f t="shared" si="2221"/>
        <v>#DIV/0!</v>
      </c>
      <c r="CY240" s="47" t="e">
        <f t="shared" si="2221"/>
        <v>#DIV/0!</v>
      </c>
      <c r="CZ240" s="47" t="e">
        <f t="shared" si="2221"/>
        <v>#DIV/0!</v>
      </c>
      <c r="DA240" s="47" t="e">
        <f t="shared" si="2221"/>
        <v>#DIV/0!</v>
      </c>
      <c r="DB240" s="47" t="e">
        <f t="shared" si="2221"/>
        <v>#DIV/0!</v>
      </c>
      <c r="DE240" s="130"/>
    </row>
    <row r="241" spans="1:110" s="64" customFormat="1" hidden="1" outlineLevel="1" x14ac:dyDescent="0.2">
      <c r="A241" s="64" t="s">
        <v>481</v>
      </c>
      <c r="AB241" s="30"/>
      <c r="AC241" s="30"/>
      <c r="AD241" s="30"/>
      <c r="AE241" s="30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collapsed="1" x14ac:dyDescent="0.2">
      <c r="AB243" s="63"/>
      <c r="AC243" s="63"/>
      <c r="AD243" s="63"/>
      <c r="AE243" s="63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x14ac:dyDescent="0.2">
      <c r="A244" s="154" t="s">
        <v>497</v>
      </c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63"/>
      <c r="AC244" s="63"/>
      <c r="AD244" s="63"/>
      <c r="AE244" s="63"/>
      <c r="AL244" s="180"/>
      <c r="CF244" s="180"/>
      <c r="CG244" s="180"/>
      <c r="CH244" s="180"/>
      <c r="CI244" s="180"/>
      <c r="CJ244" s="180"/>
      <c r="CK244" s="30"/>
      <c r="CL244" s="18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84" customFormat="1" x14ac:dyDescent="0.2">
      <c r="A245" s="84" t="s">
        <v>512</v>
      </c>
      <c r="B245" s="84" t="e">
        <f ca="1">B8/B166</f>
        <v>#NAME?</v>
      </c>
      <c r="C245" s="84" t="e">
        <f ca="1">C8/C166</f>
        <v>#NAME?</v>
      </c>
      <c r="D245" s="84" t="e">
        <f ca="1">D8/D166</f>
        <v>#NAME?</v>
      </c>
      <c r="E245" s="84" t="e">
        <f t="shared" ref="E245:Y245" ca="1" si="2222">E10/(E162+E149+E139)</f>
        <v>#NAME?</v>
      </c>
      <c r="F245" s="84" t="e">
        <f t="shared" ca="1" si="2222"/>
        <v>#NAME?</v>
      </c>
      <c r="G245" s="84" t="e">
        <f t="shared" ca="1" si="2222"/>
        <v>#NAME?</v>
      </c>
      <c r="H245" s="84" t="e">
        <f t="shared" ca="1" si="2222"/>
        <v>#NAME?</v>
      </c>
      <c r="I245" s="84" t="e">
        <f t="shared" ca="1" si="2222"/>
        <v>#NAME?</v>
      </c>
      <c r="J245" s="84" t="e">
        <f t="shared" ca="1" si="2222"/>
        <v>#NAME?</v>
      </c>
      <c r="K245" s="84" t="e">
        <f t="shared" ca="1" si="2222"/>
        <v>#NAME?</v>
      </c>
      <c r="L245" s="84" t="e">
        <f t="shared" ca="1" si="2222"/>
        <v>#NAME?</v>
      </c>
      <c r="M245" s="84" t="e">
        <f t="shared" ca="1" si="2222"/>
        <v>#NAME?</v>
      </c>
      <c r="N245" s="84" t="e">
        <f t="shared" ca="1" si="2222"/>
        <v>#NAME?</v>
      </c>
      <c r="O245" s="84" t="e">
        <f t="shared" ca="1" si="2222"/>
        <v>#NAME?</v>
      </c>
      <c r="P245" s="84" t="e">
        <f t="shared" ca="1" si="2222"/>
        <v>#NAME?</v>
      </c>
      <c r="Q245" s="84" t="e">
        <f t="shared" ca="1" si="2222"/>
        <v>#NAME?</v>
      </c>
      <c r="R245" s="84" t="e">
        <f t="shared" ca="1" si="2222"/>
        <v>#NAME?</v>
      </c>
      <c r="S245" s="84" t="e">
        <f t="shared" ca="1" si="2222"/>
        <v>#NAME?</v>
      </c>
      <c r="T245" s="84" t="e">
        <f t="shared" ca="1" si="2222"/>
        <v>#NAME?</v>
      </c>
      <c r="U245" s="84" t="e">
        <f t="shared" ca="1" si="2222"/>
        <v>#NAME?</v>
      </c>
      <c r="V245" s="84" t="e">
        <f t="shared" ca="1" si="2222"/>
        <v>#NAME?</v>
      </c>
      <c r="W245" s="84" t="e">
        <f t="shared" ca="1" si="2222"/>
        <v>#NAME?</v>
      </c>
      <c r="X245" s="84" t="e">
        <f t="shared" ca="1" si="2222"/>
        <v>#NAME?</v>
      </c>
      <c r="Y245" s="84" t="e">
        <f t="shared" ca="1" si="2222"/>
        <v>#NAME?</v>
      </c>
      <c r="Z245" s="84" t="e">
        <f ca="1">Z10/(Z162+Z149+Z139)</f>
        <v>#NAME?</v>
      </c>
      <c r="AA245" s="84" t="e">
        <f ca="1">AA10/(AA162+AA149+AA139)</f>
        <v>#NAME?</v>
      </c>
      <c r="AB245" s="50" t="e">
        <f t="shared" ref="AA245:AE245" ca="1" si="2223">AB10/(AB162+AB149+AB139)</f>
        <v>#NAME?</v>
      </c>
      <c r="AC245" s="50" t="e">
        <f t="shared" ca="1" si="2223"/>
        <v>#NAME?</v>
      </c>
      <c r="AD245" s="50" t="e">
        <f t="shared" ca="1" si="2223"/>
        <v>#NAME?</v>
      </c>
      <c r="AE245" s="50" t="e">
        <f t="shared" ca="1" si="2223"/>
        <v>#NAME?</v>
      </c>
      <c r="AL245" s="84" t="e">
        <f ca="1">SUM(AI10:AL10)/(AL162+AL149+AL139)</f>
        <v>#NAME?</v>
      </c>
      <c r="AM245" s="84" t="e">
        <f t="shared" ref="AM245:CL245" ca="1" si="2224">SUM(AJ10:AM10)/(AM162+AM149+AM139)</f>
        <v>#NAME?</v>
      </c>
      <c r="AN245" s="84" t="e">
        <f t="shared" ca="1" si="2224"/>
        <v>#NAME?</v>
      </c>
      <c r="AO245" s="84" t="e">
        <f t="shared" ca="1" si="2224"/>
        <v>#NAME?</v>
      </c>
      <c r="AP245" s="84" t="e">
        <f t="shared" ca="1" si="2224"/>
        <v>#NAME?</v>
      </c>
      <c r="AQ245" s="84" t="e">
        <f t="shared" ca="1" si="2224"/>
        <v>#NAME?</v>
      </c>
      <c r="AR245" s="84" t="e">
        <f t="shared" ca="1" si="2224"/>
        <v>#NAME?</v>
      </c>
      <c r="AS245" s="84" t="e">
        <f t="shared" ca="1" si="2224"/>
        <v>#NAME?</v>
      </c>
      <c r="AT245" s="84" t="e">
        <f t="shared" ca="1" si="2224"/>
        <v>#NAME?</v>
      </c>
      <c r="AU245" s="84" t="e">
        <f t="shared" ca="1" si="2224"/>
        <v>#NAME?</v>
      </c>
      <c r="AV245" s="84" t="e">
        <f t="shared" ca="1" si="2224"/>
        <v>#NAME?</v>
      </c>
      <c r="AW245" s="84" t="e">
        <f t="shared" ca="1" si="2224"/>
        <v>#NAME?</v>
      </c>
      <c r="AX245" s="84" t="e">
        <f t="shared" ca="1" si="2224"/>
        <v>#NAME?</v>
      </c>
      <c r="AY245" s="84" t="e">
        <f t="shared" ca="1" si="2224"/>
        <v>#NAME?</v>
      </c>
      <c r="AZ245" s="84" t="e">
        <f t="shared" ca="1" si="2224"/>
        <v>#NAME?</v>
      </c>
      <c r="BA245" s="84" t="e">
        <f t="shared" ca="1" si="2224"/>
        <v>#NAME?</v>
      </c>
      <c r="BB245" s="84" t="e">
        <f t="shared" ca="1" si="2224"/>
        <v>#NAME?</v>
      </c>
      <c r="BC245" s="84" t="e">
        <f t="shared" ca="1" si="2224"/>
        <v>#NAME?</v>
      </c>
      <c r="BD245" s="84" t="e">
        <f t="shared" ca="1" si="2224"/>
        <v>#NAME?</v>
      </c>
      <c r="BE245" s="84" t="e">
        <f t="shared" ca="1" si="2224"/>
        <v>#NAME?</v>
      </c>
      <c r="BF245" s="84" t="e">
        <f t="shared" ca="1" si="2224"/>
        <v>#NAME?</v>
      </c>
      <c r="BG245" s="84" t="e">
        <f t="shared" ca="1" si="2224"/>
        <v>#NAME?</v>
      </c>
      <c r="BH245" s="84" t="e">
        <f t="shared" ca="1" si="2224"/>
        <v>#NAME?</v>
      </c>
      <c r="BI245" s="84" t="e">
        <f t="shared" ca="1" si="2224"/>
        <v>#NAME?</v>
      </c>
      <c r="BJ245" s="84" t="e">
        <f t="shared" ca="1" si="2224"/>
        <v>#NAME?</v>
      </c>
      <c r="BK245" s="84" t="e">
        <f t="shared" ca="1" si="2224"/>
        <v>#NAME?</v>
      </c>
      <c r="BL245" s="84" t="e">
        <f t="shared" ca="1" si="2224"/>
        <v>#NAME?</v>
      </c>
      <c r="BM245" s="84" t="e">
        <f t="shared" ca="1" si="2224"/>
        <v>#NAME?</v>
      </c>
      <c r="BN245" s="84" t="e">
        <f t="shared" ca="1" si="2224"/>
        <v>#NAME?</v>
      </c>
      <c r="BO245" s="84" t="e">
        <f t="shared" ca="1" si="2224"/>
        <v>#NAME?</v>
      </c>
      <c r="BP245" s="84" t="e">
        <f t="shared" ca="1" si="2224"/>
        <v>#NAME?</v>
      </c>
      <c r="BQ245" s="84" t="e">
        <f t="shared" ca="1" si="2224"/>
        <v>#NAME?</v>
      </c>
      <c r="BR245" s="84" t="e">
        <f t="shared" ca="1" si="2224"/>
        <v>#NAME?</v>
      </c>
      <c r="BS245" s="84" t="e">
        <f t="shared" ca="1" si="2224"/>
        <v>#NAME?</v>
      </c>
      <c r="BT245" s="84" t="e">
        <f t="shared" ca="1" si="2224"/>
        <v>#NAME?</v>
      </c>
      <c r="BU245" s="84" t="e">
        <f t="shared" ca="1" si="2224"/>
        <v>#NAME?</v>
      </c>
      <c r="BV245" s="84" t="e">
        <f t="shared" ca="1" si="2224"/>
        <v>#NAME?</v>
      </c>
      <c r="BW245" s="84" t="e">
        <f t="shared" ca="1" si="2224"/>
        <v>#NAME?</v>
      </c>
      <c r="BX245" s="84" t="e">
        <f t="shared" ca="1" si="2224"/>
        <v>#NAME?</v>
      </c>
      <c r="BY245" s="84" t="e">
        <f t="shared" ca="1" si="2224"/>
        <v>#NAME?</v>
      </c>
      <c r="BZ245" s="84" t="e">
        <f t="shared" ca="1" si="2224"/>
        <v>#NAME?</v>
      </c>
      <c r="CA245" s="84" t="e">
        <f t="shared" ca="1" si="2224"/>
        <v>#NAME?</v>
      </c>
      <c r="CB245" s="84" t="e">
        <f t="shared" ca="1" si="2224"/>
        <v>#NAME?</v>
      </c>
      <c r="CC245" s="84" t="e">
        <f t="shared" ca="1" si="2224"/>
        <v>#NAME?</v>
      </c>
      <c r="CD245" s="84" t="e">
        <f t="shared" ca="1" si="2224"/>
        <v>#NAME?</v>
      </c>
      <c r="CE245" s="84" t="e">
        <f t="shared" ca="1" si="2224"/>
        <v>#NAME?</v>
      </c>
      <c r="CF245" s="84" t="e">
        <f t="shared" ca="1" si="2224"/>
        <v>#NAME?</v>
      </c>
      <c r="CG245" s="84" t="e">
        <f t="shared" ca="1" si="2224"/>
        <v>#NAME?</v>
      </c>
      <c r="CH245" s="84" t="e">
        <f t="shared" ca="1" si="2224"/>
        <v>#NAME?</v>
      </c>
      <c r="CI245" s="84" t="e">
        <f t="shared" ca="1" si="2224"/>
        <v>#NAME?</v>
      </c>
      <c r="CJ245" s="84" t="e">
        <f t="shared" ca="1" si="2224"/>
        <v>#NAME?</v>
      </c>
      <c r="CK245" s="50" t="e">
        <f t="shared" ref="CK245" ca="1" si="2225">SUM(CH10:CK10)/(CK162+CK149+CK139)</f>
        <v>#NAME?</v>
      </c>
      <c r="CL245" s="84" t="e">
        <f t="shared" ca="1" si="2224"/>
        <v>#NAME?</v>
      </c>
      <c r="CM245" s="50" t="e">
        <f t="shared" ref="CM245:DB245" ca="1" si="2226">SUM(CJ10:CM10)/(CM162+CM149+CM139)</f>
        <v>#NAME?</v>
      </c>
      <c r="CN245" s="50" t="e">
        <f t="shared" ca="1" si="2226"/>
        <v>#NAME?</v>
      </c>
      <c r="CO245" s="50" t="e">
        <f t="shared" ca="1" si="2226"/>
        <v>#NAME?</v>
      </c>
      <c r="CP245" s="50" t="e">
        <f t="shared" ca="1" si="2226"/>
        <v>#NAME?</v>
      </c>
      <c r="CQ245" s="50" t="e">
        <f t="shared" ca="1" si="2226"/>
        <v>#NAME?</v>
      </c>
      <c r="CR245" s="50" t="e">
        <f t="shared" ca="1" si="2226"/>
        <v>#NAME?</v>
      </c>
      <c r="CS245" s="50" t="e">
        <f t="shared" ca="1" si="2226"/>
        <v>#NAME?</v>
      </c>
      <c r="CT245" s="50" t="e">
        <f t="shared" ca="1" si="2226"/>
        <v>#NAME?</v>
      </c>
      <c r="CU245" s="50" t="e">
        <f t="shared" ca="1" si="2226"/>
        <v>#NAME?</v>
      </c>
      <c r="CV245" s="50" t="e">
        <f t="shared" ca="1" si="2226"/>
        <v>#NAME?</v>
      </c>
      <c r="CW245" s="50" t="e">
        <f t="shared" ca="1" si="2226"/>
        <v>#NAME?</v>
      </c>
      <c r="CX245" s="50" t="e">
        <f t="shared" ca="1" si="2226"/>
        <v>#NAME?</v>
      </c>
      <c r="CY245" s="50" t="e">
        <f t="shared" ca="1" si="2226"/>
        <v>#NAME?</v>
      </c>
      <c r="CZ245" s="50" t="e">
        <f t="shared" ca="1" si="2226"/>
        <v>#NAME?</v>
      </c>
      <c r="DA245" s="50" t="e">
        <f t="shared" ca="1" si="2226"/>
        <v>#NAME?</v>
      </c>
      <c r="DB245" s="50" t="e">
        <f t="shared" ca="1" si="2226"/>
        <v>#NAME?</v>
      </c>
      <c r="DE245" s="138"/>
      <c r="DF245" s="84">
        <v>0.39607181365830774</v>
      </c>
    </row>
    <row r="246" spans="1:110" s="84" customFormat="1" x14ac:dyDescent="0.2">
      <c r="A246" s="84" t="s">
        <v>513</v>
      </c>
      <c r="E246" s="181" t="e">
        <f ca="1">+E42</f>
        <v>#NAME?</v>
      </c>
      <c r="F246" s="181" t="e">
        <f t="shared" ref="F246:AE246" ca="1" si="2227">+F42</f>
        <v>#NAME?</v>
      </c>
      <c r="G246" s="181" t="e">
        <f t="shared" ca="1" si="2227"/>
        <v>#NAME?</v>
      </c>
      <c r="H246" s="181" t="e">
        <f t="shared" ca="1" si="2227"/>
        <v>#NAME?</v>
      </c>
      <c r="I246" s="181" t="e">
        <f t="shared" ca="1" si="2227"/>
        <v>#NAME?</v>
      </c>
      <c r="J246" s="181" t="e">
        <f t="shared" ca="1" si="2227"/>
        <v>#NAME?</v>
      </c>
      <c r="K246" s="181" t="e">
        <f t="shared" ca="1" si="2227"/>
        <v>#NAME?</v>
      </c>
      <c r="L246" s="181" t="e">
        <f t="shared" ca="1" si="2227"/>
        <v>#NAME?</v>
      </c>
      <c r="M246" s="181" t="e">
        <f t="shared" ca="1" si="2227"/>
        <v>#NAME?</v>
      </c>
      <c r="N246" s="181" t="e">
        <f t="shared" ca="1" si="2227"/>
        <v>#NAME?</v>
      </c>
      <c r="O246" s="181" t="e">
        <f t="shared" ca="1" si="2227"/>
        <v>#NAME?</v>
      </c>
      <c r="P246" s="181" t="e">
        <f t="shared" ca="1" si="2227"/>
        <v>#NAME?</v>
      </c>
      <c r="Q246" s="181" t="e">
        <f t="shared" ca="1" si="2227"/>
        <v>#NAME?</v>
      </c>
      <c r="R246" s="181" t="e">
        <f t="shared" ca="1" si="2227"/>
        <v>#NAME?</v>
      </c>
      <c r="S246" s="181" t="e">
        <f t="shared" ca="1" si="2227"/>
        <v>#NAME?</v>
      </c>
      <c r="T246" s="181" t="e">
        <f t="shared" ca="1" si="2227"/>
        <v>#NAME?</v>
      </c>
      <c r="U246" s="181" t="e">
        <f t="shared" ca="1" si="2227"/>
        <v>#NAME?</v>
      </c>
      <c r="V246" s="181" t="e">
        <f t="shared" ca="1" si="2227"/>
        <v>#NAME?</v>
      </c>
      <c r="W246" s="181" t="e">
        <f t="shared" ca="1" si="2227"/>
        <v>#NAME?</v>
      </c>
      <c r="X246" s="181" t="e">
        <f t="shared" ca="1" si="2227"/>
        <v>#NAME?</v>
      </c>
      <c r="Y246" s="181" t="e">
        <f t="shared" ca="1" si="2227"/>
        <v>#NAME?</v>
      </c>
      <c r="Z246" s="181" t="e">
        <f t="shared" ca="1" si="2227"/>
        <v>#NAME?</v>
      </c>
      <c r="AA246" s="181" t="e">
        <f t="shared" ref="AA246" ca="1" si="2228">+AA42</f>
        <v>#NAME?</v>
      </c>
      <c r="AB246" s="182" t="e">
        <f t="shared" ca="1" si="2227"/>
        <v>#NAME?</v>
      </c>
      <c r="AC246" s="182" t="e">
        <f t="shared" ca="1" si="2227"/>
        <v>#NAME?</v>
      </c>
      <c r="AD246" s="182" t="e">
        <f t="shared" ca="1" si="2227"/>
        <v>#NAME?</v>
      </c>
      <c r="AE246" s="182" t="e">
        <f t="shared" ca="1" si="2227"/>
        <v>#NAME?</v>
      </c>
      <c r="AL246" s="181" t="e">
        <f t="shared" ref="AL246:CW246" ca="1" si="2229">+AL42</f>
        <v>#NAME?</v>
      </c>
      <c r="AM246" s="181" t="e">
        <f t="shared" ca="1" si="2229"/>
        <v>#NAME?</v>
      </c>
      <c r="AN246" s="181" t="e">
        <f t="shared" ca="1" si="2229"/>
        <v>#NAME?</v>
      </c>
      <c r="AO246" s="181" t="e">
        <f t="shared" ca="1" si="2229"/>
        <v>#NAME?</v>
      </c>
      <c r="AP246" s="181" t="e">
        <f t="shared" ca="1" si="2229"/>
        <v>#NAME?</v>
      </c>
      <c r="AQ246" s="181" t="e">
        <f t="shared" ca="1" si="2229"/>
        <v>#NAME?</v>
      </c>
      <c r="AR246" s="181" t="e">
        <f t="shared" ca="1" si="2229"/>
        <v>#NAME?</v>
      </c>
      <c r="AS246" s="181" t="e">
        <f t="shared" ca="1" si="2229"/>
        <v>#NAME?</v>
      </c>
      <c r="AT246" s="181" t="e">
        <f t="shared" ca="1" si="2229"/>
        <v>#NAME?</v>
      </c>
      <c r="AU246" s="181" t="e">
        <f t="shared" ca="1" si="2229"/>
        <v>#NAME?</v>
      </c>
      <c r="AV246" s="181" t="e">
        <f t="shared" ca="1" si="2229"/>
        <v>#NAME?</v>
      </c>
      <c r="AW246" s="181" t="e">
        <f t="shared" ca="1" si="2229"/>
        <v>#NAME?</v>
      </c>
      <c r="AX246" s="181" t="e">
        <f t="shared" ca="1" si="2229"/>
        <v>#NAME?</v>
      </c>
      <c r="AY246" s="181" t="e">
        <f t="shared" ca="1" si="2229"/>
        <v>#NAME?</v>
      </c>
      <c r="AZ246" s="181" t="e">
        <f t="shared" ca="1" si="2229"/>
        <v>#NAME?</v>
      </c>
      <c r="BA246" s="181" t="e">
        <f t="shared" ca="1" si="2229"/>
        <v>#NAME?</v>
      </c>
      <c r="BB246" s="181" t="e">
        <f t="shared" ca="1" si="2229"/>
        <v>#NAME?</v>
      </c>
      <c r="BC246" s="181" t="e">
        <f t="shared" ca="1" si="2229"/>
        <v>#NAME?</v>
      </c>
      <c r="BD246" s="181" t="e">
        <f t="shared" ca="1" si="2229"/>
        <v>#NAME?</v>
      </c>
      <c r="BE246" s="181" t="e">
        <f t="shared" ca="1" si="2229"/>
        <v>#NAME?</v>
      </c>
      <c r="BF246" s="181" t="e">
        <f t="shared" ca="1" si="2229"/>
        <v>#NAME?</v>
      </c>
      <c r="BG246" s="181" t="e">
        <f t="shared" ca="1" si="2229"/>
        <v>#NAME?</v>
      </c>
      <c r="BH246" s="181" t="e">
        <f t="shared" ca="1" si="2229"/>
        <v>#NAME?</v>
      </c>
      <c r="BI246" s="181" t="e">
        <f t="shared" ca="1" si="2229"/>
        <v>#NAME?</v>
      </c>
      <c r="BJ246" s="181" t="e">
        <f t="shared" ca="1" si="2229"/>
        <v>#NAME?</v>
      </c>
      <c r="BK246" s="181" t="e">
        <f t="shared" ca="1" si="2229"/>
        <v>#NAME?</v>
      </c>
      <c r="BL246" s="181" t="e">
        <f t="shared" ca="1" si="2229"/>
        <v>#NAME?</v>
      </c>
      <c r="BM246" s="181" t="e">
        <f t="shared" ca="1" si="2229"/>
        <v>#NAME?</v>
      </c>
      <c r="BN246" s="181" t="e">
        <f t="shared" ca="1" si="2229"/>
        <v>#NAME?</v>
      </c>
      <c r="BO246" s="181" t="e">
        <f t="shared" ca="1" si="2229"/>
        <v>#NAME?</v>
      </c>
      <c r="BP246" s="181" t="e">
        <f t="shared" ca="1" si="2229"/>
        <v>#NAME?</v>
      </c>
      <c r="BQ246" s="181" t="e">
        <f t="shared" ca="1" si="2229"/>
        <v>#NAME?</v>
      </c>
      <c r="BR246" s="181" t="e">
        <f t="shared" ca="1" si="2229"/>
        <v>#NAME?</v>
      </c>
      <c r="BS246" s="181" t="e">
        <f t="shared" ca="1" si="2229"/>
        <v>#NAME?</v>
      </c>
      <c r="BT246" s="181" t="e">
        <f t="shared" ca="1" si="2229"/>
        <v>#NAME?</v>
      </c>
      <c r="BU246" s="181" t="e">
        <f t="shared" ca="1" si="2229"/>
        <v>#NAME?</v>
      </c>
      <c r="BV246" s="181" t="e">
        <f t="shared" ca="1" si="2229"/>
        <v>#NAME?</v>
      </c>
      <c r="BW246" s="181" t="e">
        <f t="shared" ca="1" si="2229"/>
        <v>#NAME?</v>
      </c>
      <c r="BX246" s="181" t="e">
        <f t="shared" ca="1" si="2229"/>
        <v>#NAME?</v>
      </c>
      <c r="BY246" s="181" t="e">
        <f t="shared" ca="1" si="2229"/>
        <v>#NAME?</v>
      </c>
      <c r="BZ246" s="181" t="e">
        <f t="shared" ca="1" si="2229"/>
        <v>#NAME?</v>
      </c>
      <c r="CA246" s="181" t="e">
        <f t="shared" ca="1" si="2229"/>
        <v>#NAME?</v>
      </c>
      <c r="CB246" s="181" t="e">
        <f t="shared" ca="1" si="2229"/>
        <v>#NAME?</v>
      </c>
      <c r="CC246" s="181" t="e">
        <f t="shared" ca="1" si="2229"/>
        <v>#NAME?</v>
      </c>
      <c r="CD246" s="181" t="e">
        <f t="shared" ca="1" si="2229"/>
        <v>#NAME?</v>
      </c>
      <c r="CE246" s="181" t="e">
        <f t="shared" ca="1" si="2229"/>
        <v>#NAME?</v>
      </c>
      <c r="CF246" s="181" t="e">
        <f t="shared" ca="1" si="2229"/>
        <v>#NAME?</v>
      </c>
      <c r="CG246" s="181" t="e">
        <f t="shared" ca="1" si="2229"/>
        <v>#NAME?</v>
      </c>
      <c r="CH246" s="181" t="e">
        <f t="shared" ca="1" si="2229"/>
        <v>#NAME?</v>
      </c>
      <c r="CI246" s="181" t="e">
        <f t="shared" ca="1" si="2229"/>
        <v>#NAME?</v>
      </c>
      <c r="CJ246" s="181" t="e">
        <f t="shared" ca="1" si="2229"/>
        <v>#NAME?</v>
      </c>
      <c r="CK246" s="182" t="e">
        <f t="shared" ca="1" si="2229"/>
        <v>#NAME?</v>
      </c>
      <c r="CL246" s="181" t="e">
        <f t="shared" ref="CL246" ca="1" si="2230">+CL42</f>
        <v>#NAME?</v>
      </c>
      <c r="CM246" s="182" t="e">
        <f t="shared" ca="1" si="2229"/>
        <v>#NAME?</v>
      </c>
      <c r="CN246" s="182" t="e">
        <f t="shared" ca="1" si="2229"/>
        <v>#NAME?</v>
      </c>
      <c r="CO246" s="182" t="e">
        <f t="shared" ca="1" si="2229"/>
        <v>#NAME?</v>
      </c>
      <c r="CP246" s="182" t="e">
        <f t="shared" ca="1" si="2229"/>
        <v>#NAME?</v>
      </c>
      <c r="CQ246" s="182" t="e">
        <f t="shared" ca="1" si="2229"/>
        <v>#NAME?</v>
      </c>
      <c r="CR246" s="182" t="e">
        <f t="shared" ca="1" si="2229"/>
        <v>#NAME?</v>
      </c>
      <c r="CS246" s="182" t="e">
        <f t="shared" ca="1" si="2229"/>
        <v>#NAME?</v>
      </c>
      <c r="CT246" s="182" t="e">
        <f t="shared" ca="1" si="2229"/>
        <v>#NAME?</v>
      </c>
      <c r="CU246" s="182" t="e">
        <f t="shared" ca="1" si="2229"/>
        <v>#NAME?</v>
      </c>
      <c r="CV246" s="182" t="e">
        <f t="shared" ca="1" si="2229"/>
        <v>#NAME?</v>
      </c>
      <c r="CW246" s="182" t="e">
        <f t="shared" ca="1" si="2229"/>
        <v>#NAME?</v>
      </c>
      <c r="CX246" s="182" t="e">
        <f t="shared" ref="CX246:DB246" ca="1" si="2231">+CX42</f>
        <v>#NAME?</v>
      </c>
      <c r="CY246" s="182" t="e">
        <f t="shared" ca="1" si="2231"/>
        <v>#NAME?</v>
      </c>
      <c r="CZ246" s="182" t="e">
        <f t="shared" ca="1" si="2231"/>
        <v>#NAME?</v>
      </c>
      <c r="DA246" s="182" t="e">
        <f t="shared" ca="1" si="2231"/>
        <v>#NAME?</v>
      </c>
      <c r="DB246" s="182" t="e">
        <f t="shared" ca="1" si="2231"/>
        <v>#NAME?</v>
      </c>
      <c r="DE246" s="138"/>
      <c r="DF246" s="84">
        <v>4.7590983890390369E-3</v>
      </c>
    </row>
    <row r="247" spans="1:110" s="84" customFormat="1" x14ac:dyDescent="0.2">
      <c r="A247" s="84" t="s">
        <v>514</v>
      </c>
      <c r="E247" s="84" t="e">
        <f ca="1">(E162+E149+E139+E141)/E121</f>
        <v>#NAME?</v>
      </c>
      <c r="F247" s="84" t="e">
        <f t="shared" ref="F247:AE247" ca="1" si="2232">(F162+F149+F139+F141)/F121</f>
        <v>#NAME?</v>
      </c>
      <c r="G247" s="84" t="e">
        <f t="shared" ca="1" si="2232"/>
        <v>#NAME?</v>
      </c>
      <c r="H247" s="84" t="e">
        <f t="shared" ca="1" si="2232"/>
        <v>#NAME?</v>
      </c>
      <c r="I247" s="84" t="e">
        <f t="shared" ca="1" si="2232"/>
        <v>#NAME?</v>
      </c>
      <c r="J247" s="84" t="e">
        <f t="shared" ca="1" si="2232"/>
        <v>#NAME?</v>
      </c>
      <c r="K247" s="84" t="e">
        <f t="shared" ca="1" si="2232"/>
        <v>#NAME?</v>
      </c>
      <c r="L247" s="84" t="e">
        <f t="shared" ca="1" si="2232"/>
        <v>#NAME?</v>
      </c>
      <c r="M247" s="84" t="e">
        <f t="shared" ca="1" si="2232"/>
        <v>#NAME?</v>
      </c>
      <c r="N247" s="84" t="e">
        <f t="shared" ca="1" si="2232"/>
        <v>#NAME?</v>
      </c>
      <c r="O247" s="84" t="e">
        <f t="shared" ca="1" si="2232"/>
        <v>#NAME?</v>
      </c>
      <c r="P247" s="84" t="e">
        <f t="shared" ca="1" si="2232"/>
        <v>#NAME?</v>
      </c>
      <c r="Q247" s="84" t="e">
        <f t="shared" ca="1" si="2232"/>
        <v>#NAME?</v>
      </c>
      <c r="R247" s="84" t="e">
        <f t="shared" ca="1" si="2232"/>
        <v>#NAME?</v>
      </c>
      <c r="S247" s="84" t="e">
        <f t="shared" ca="1" si="2232"/>
        <v>#NAME?</v>
      </c>
      <c r="T247" s="84" t="e">
        <f t="shared" ca="1" si="2232"/>
        <v>#NAME?</v>
      </c>
      <c r="U247" s="84" t="e">
        <f t="shared" ca="1" si="2232"/>
        <v>#NAME?</v>
      </c>
      <c r="V247" s="84" t="e">
        <f t="shared" ca="1" si="2232"/>
        <v>#NAME?</v>
      </c>
      <c r="W247" s="84" t="e">
        <f t="shared" ca="1" si="2232"/>
        <v>#NAME?</v>
      </c>
      <c r="X247" s="84" t="e">
        <f t="shared" ca="1" si="2232"/>
        <v>#NAME?</v>
      </c>
      <c r="Y247" s="84" t="e">
        <f t="shared" ca="1" si="2232"/>
        <v>#NAME?</v>
      </c>
      <c r="Z247" s="84" t="e">
        <f t="shared" ca="1" si="2232"/>
        <v>#NAME?</v>
      </c>
      <c r="AA247" s="84" t="e">
        <f t="shared" ref="AA247" ca="1" si="2233">(AA162+AA149+AA139+AA141)/AA121</f>
        <v>#NAME?</v>
      </c>
      <c r="AB247" s="50" t="e">
        <f t="shared" ca="1" si="2232"/>
        <v>#NAME?</v>
      </c>
      <c r="AC247" s="50" t="e">
        <f t="shared" ca="1" si="2232"/>
        <v>#NAME?</v>
      </c>
      <c r="AD247" s="50" t="e">
        <f t="shared" ca="1" si="2232"/>
        <v>#NAME?</v>
      </c>
      <c r="AE247" s="50" t="e">
        <f t="shared" ca="1" si="2232"/>
        <v>#NAME?</v>
      </c>
      <c r="AL247" s="84" t="e">
        <f t="shared" ref="AL247:CW247" ca="1" si="2234">(AL162+AL149+AL139+AL141)/AL121</f>
        <v>#NAME?</v>
      </c>
      <c r="AM247" s="84" t="e">
        <f t="shared" ca="1" si="2234"/>
        <v>#NAME?</v>
      </c>
      <c r="AN247" s="84" t="e">
        <f t="shared" ca="1" si="2234"/>
        <v>#NAME?</v>
      </c>
      <c r="AO247" s="84" t="e">
        <f t="shared" ca="1" si="2234"/>
        <v>#NAME?</v>
      </c>
      <c r="AP247" s="84" t="e">
        <f t="shared" ca="1" si="2234"/>
        <v>#NAME?</v>
      </c>
      <c r="AQ247" s="84" t="e">
        <f t="shared" ca="1" si="2234"/>
        <v>#NAME?</v>
      </c>
      <c r="AR247" s="84" t="e">
        <f t="shared" ca="1" si="2234"/>
        <v>#NAME?</v>
      </c>
      <c r="AS247" s="84" t="e">
        <f t="shared" ca="1" si="2234"/>
        <v>#NAME?</v>
      </c>
      <c r="AT247" s="84" t="e">
        <f t="shared" ca="1" si="2234"/>
        <v>#NAME?</v>
      </c>
      <c r="AU247" s="84" t="e">
        <f t="shared" ca="1" si="2234"/>
        <v>#NAME?</v>
      </c>
      <c r="AV247" s="84" t="e">
        <f t="shared" ca="1" si="2234"/>
        <v>#NAME?</v>
      </c>
      <c r="AW247" s="84" t="e">
        <f t="shared" ca="1" si="2234"/>
        <v>#NAME?</v>
      </c>
      <c r="AX247" s="84" t="e">
        <f t="shared" ca="1" si="2234"/>
        <v>#NAME?</v>
      </c>
      <c r="AY247" s="84" t="e">
        <f t="shared" ca="1" si="2234"/>
        <v>#NAME?</v>
      </c>
      <c r="AZ247" s="84" t="e">
        <f t="shared" ca="1" si="2234"/>
        <v>#NAME?</v>
      </c>
      <c r="BA247" s="84" t="e">
        <f t="shared" ca="1" si="2234"/>
        <v>#NAME?</v>
      </c>
      <c r="BB247" s="84" t="e">
        <f t="shared" ca="1" si="2234"/>
        <v>#NAME?</v>
      </c>
      <c r="BC247" s="84" t="e">
        <f t="shared" ca="1" si="2234"/>
        <v>#NAME?</v>
      </c>
      <c r="BD247" s="84" t="e">
        <f t="shared" ca="1" si="2234"/>
        <v>#NAME?</v>
      </c>
      <c r="BE247" s="84" t="e">
        <f t="shared" ca="1" si="2234"/>
        <v>#NAME?</v>
      </c>
      <c r="BF247" s="84" t="e">
        <f t="shared" ca="1" si="2234"/>
        <v>#NAME?</v>
      </c>
      <c r="BG247" s="84" t="e">
        <f t="shared" ca="1" si="2234"/>
        <v>#NAME?</v>
      </c>
      <c r="BH247" s="84" t="e">
        <f t="shared" ca="1" si="2234"/>
        <v>#NAME?</v>
      </c>
      <c r="BI247" s="84" t="e">
        <f t="shared" ca="1" si="2234"/>
        <v>#NAME?</v>
      </c>
      <c r="BJ247" s="84" t="e">
        <f t="shared" ca="1" si="2234"/>
        <v>#NAME?</v>
      </c>
      <c r="BK247" s="84" t="e">
        <f t="shared" ca="1" si="2234"/>
        <v>#NAME?</v>
      </c>
      <c r="BL247" s="84" t="e">
        <f t="shared" ca="1" si="2234"/>
        <v>#NAME?</v>
      </c>
      <c r="BM247" s="84" t="e">
        <f t="shared" ca="1" si="2234"/>
        <v>#NAME?</v>
      </c>
      <c r="BN247" s="84" t="e">
        <f t="shared" ca="1" si="2234"/>
        <v>#NAME?</v>
      </c>
      <c r="BO247" s="84" t="e">
        <f t="shared" ca="1" si="2234"/>
        <v>#NAME?</v>
      </c>
      <c r="BP247" s="84" t="e">
        <f t="shared" ca="1" si="2234"/>
        <v>#NAME?</v>
      </c>
      <c r="BQ247" s="84" t="e">
        <f t="shared" ca="1" si="2234"/>
        <v>#NAME?</v>
      </c>
      <c r="BR247" s="84" t="e">
        <f t="shared" ca="1" si="2234"/>
        <v>#NAME?</v>
      </c>
      <c r="BS247" s="84" t="e">
        <f t="shared" ca="1" si="2234"/>
        <v>#NAME?</v>
      </c>
      <c r="BT247" s="84" t="e">
        <f t="shared" ca="1" si="2234"/>
        <v>#NAME?</v>
      </c>
      <c r="BU247" s="84" t="e">
        <f t="shared" ca="1" si="2234"/>
        <v>#NAME?</v>
      </c>
      <c r="BV247" s="84" t="e">
        <f t="shared" ca="1" si="2234"/>
        <v>#NAME?</v>
      </c>
      <c r="BW247" s="84" t="e">
        <f t="shared" ca="1" si="2234"/>
        <v>#NAME?</v>
      </c>
      <c r="BX247" s="84" t="e">
        <f t="shared" ca="1" si="2234"/>
        <v>#NAME?</v>
      </c>
      <c r="BY247" s="84" t="e">
        <f t="shared" ca="1" si="2234"/>
        <v>#NAME?</v>
      </c>
      <c r="BZ247" s="84" t="e">
        <f t="shared" ca="1" si="2234"/>
        <v>#NAME?</v>
      </c>
      <c r="CA247" s="84" t="e">
        <f t="shared" ca="1" si="2234"/>
        <v>#NAME?</v>
      </c>
      <c r="CB247" s="84" t="e">
        <f t="shared" ca="1" si="2234"/>
        <v>#NAME?</v>
      </c>
      <c r="CC247" s="84" t="e">
        <f t="shared" ca="1" si="2234"/>
        <v>#NAME?</v>
      </c>
      <c r="CD247" s="84" t="e">
        <f t="shared" ca="1" si="2234"/>
        <v>#NAME?</v>
      </c>
      <c r="CE247" s="84" t="e">
        <f t="shared" ca="1" si="2234"/>
        <v>#NAME?</v>
      </c>
      <c r="CF247" s="84" t="e">
        <f t="shared" ca="1" si="2234"/>
        <v>#NAME?</v>
      </c>
      <c r="CG247" s="84" t="e">
        <f t="shared" ca="1" si="2234"/>
        <v>#NAME?</v>
      </c>
      <c r="CH247" s="84" t="e">
        <f t="shared" ca="1" si="2234"/>
        <v>#NAME?</v>
      </c>
      <c r="CI247" s="84" t="e">
        <f t="shared" ca="1" si="2234"/>
        <v>#NAME?</v>
      </c>
      <c r="CJ247" s="84" t="e">
        <f t="shared" ca="1" si="2234"/>
        <v>#NAME?</v>
      </c>
      <c r="CK247" s="50" t="e">
        <f t="shared" ca="1" si="2234"/>
        <v>#NAME?</v>
      </c>
      <c r="CL247" s="84" t="e">
        <f t="shared" ref="CL247" ca="1" si="2235">(CL162+CL149+CL139+CL141)/CL121</f>
        <v>#NAME?</v>
      </c>
      <c r="CM247" s="50" t="e">
        <f t="shared" ca="1" si="2234"/>
        <v>#NAME?</v>
      </c>
      <c r="CN247" s="50" t="e">
        <f t="shared" ca="1" si="2234"/>
        <v>#NAME?</v>
      </c>
      <c r="CO247" s="50" t="e">
        <f t="shared" ca="1" si="2234"/>
        <v>#NAME?</v>
      </c>
      <c r="CP247" s="50" t="e">
        <f t="shared" ca="1" si="2234"/>
        <v>#NAME?</v>
      </c>
      <c r="CQ247" s="50" t="e">
        <f t="shared" ca="1" si="2234"/>
        <v>#NAME?</v>
      </c>
      <c r="CR247" s="50" t="e">
        <f t="shared" ca="1" si="2234"/>
        <v>#NAME?</v>
      </c>
      <c r="CS247" s="50" t="e">
        <f t="shared" ca="1" si="2234"/>
        <v>#NAME?</v>
      </c>
      <c r="CT247" s="50" t="e">
        <f t="shared" ca="1" si="2234"/>
        <v>#NAME?</v>
      </c>
      <c r="CU247" s="50" t="e">
        <f t="shared" ca="1" si="2234"/>
        <v>#NAME?</v>
      </c>
      <c r="CV247" s="50" t="e">
        <f t="shared" ca="1" si="2234"/>
        <v>#NAME?</v>
      </c>
      <c r="CW247" s="50" t="e">
        <f t="shared" ca="1" si="2234"/>
        <v>#NAME?</v>
      </c>
      <c r="CX247" s="50" t="e">
        <f t="shared" ref="CX247:DB247" ca="1" si="2236">(CX162+CX149+CX139+CX141)/CX121</f>
        <v>#NAME?</v>
      </c>
      <c r="CY247" s="50" t="e">
        <f t="shared" ca="1" si="2236"/>
        <v>#NAME?</v>
      </c>
      <c r="CZ247" s="50" t="e">
        <f t="shared" ca="1" si="2236"/>
        <v>#NAME?</v>
      </c>
      <c r="DA247" s="50" t="e">
        <f t="shared" ca="1" si="2236"/>
        <v>#NAME?</v>
      </c>
      <c r="DB247" s="50" t="e">
        <f t="shared" ca="1" si="2236"/>
        <v>#NAME?</v>
      </c>
      <c r="DE247" s="138"/>
      <c r="DF247" s="84">
        <v>3.2235442401355803</v>
      </c>
    </row>
    <row r="248" spans="1:110" s="84" customFormat="1" x14ac:dyDescent="0.2">
      <c r="A248" s="154" t="s">
        <v>498</v>
      </c>
      <c r="AB248" s="50"/>
      <c r="AC248" s="50"/>
      <c r="AD248" s="50"/>
      <c r="AE248" s="50"/>
      <c r="CK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E248" s="138"/>
    </row>
    <row r="249" spans="1:110" s="88" customFormat="1" x14ac:dyDescent="0.2">
      <c r="A249" s="88" t="s">
        <v>102</v>
      </c>
      <c r="B249" s="88" t="e">
        <f t="shared" ref="B249:AE249" ca="1" si="2237">B162/B121</f>
        <v>#NAME?</v>
      </c>
      <c r="C249" s="88" t="e">
        <f t="shared" ca="1" si="2237"/>
        <v>#NAME?</v>
      </c>
      <c r="D249" s="88" t="e">
        <f t="shared" ca="1" si="2237"/>
        <v>#NAME?</v>
      </c>
      <c r="F249" s="88" t="e">
        <f t="shared" ca="1" si="2237"/>
        <v>#NAME?</v>
      </c>
      <c r="G249" s="88" t="e">
        <f t="shared" ca="1" si="2237"/>
        <v>#NAME?</v>
      </c>
      <c r="H249" s="88" t="e">
        <f t="shared" ca="1" si="2237"/>
        <v>#NAME?</v>
      </c>
      <c r="I249" s="88" t="e">
        <f t="shared" ca="1" si="2237"/>
        <v>#NAME?</v>
      </c>
      <c r="J249" s="88" t="e">
        <f t="shared" ca="1" si="2237"/>
        <v>#NAME?</v>
      </c>
      <c r="K249" s="88" t="e">
        <f t="shared" ca="1" si="2237"/>
        <v>#NAME?</v>
      </c>
      <c r="L249" s="88" t="e">
        <f t="shared" ca="1" si="2237"/>
        <v>#NAME?</v>
      </c>
      <c r="M249" s="88" t="e">
        <f t="shared" ca="1" si="2237"/>
        <v>#NAME?</v>
      </c>
      <c r="N249" s="88" t="e">
        <f t="shared" ca="1" si="2237"/>
        <v>#NAME?</v>
      </c>
      <c r="O249" s="88" t="e">
        <f t="shared" ca="1" si="2237"/>
        <v>#NAME?</v>
      </c>
      <c r="P249" s="88" t="e">
        <f t="shared" ca="1" si="2237"/>
        <v>#NAME?</v>
      </c>
      <c r="Q249" s="88" t="e">
        <f t="shared" ca="1" si="2237"/>
        <v>#NAME?</v>
      </c>
      <c r="R249" s="88" t="e">
        <f t="shared" ca="1" si="2237"/>
        <v>#NAME?</v>
      </c>
      <c r="S249" s="88" t="e">
        <f t="shared" ca="1" si="2237"/>
        <v>#NAME?</v>
      </c>
      <c r="T249" s="88" t="e">
        <f t="shared" ca="1" si="2237"/>
        <v>#NAME?</v>
      </c>
      <c r="U249" s="88" t="e">
        <f t="shared" ca="1" si="2237"/>
        <v>#NAME?</v>
      </c>
      <c r="V249" s="88" t="e">
        <f t="shared" ca="1" si="2237"/>
        <v>#NAME?</v>
      </c>
      <c r="W249" s="88" t="e">
        <f t="shared" ca="1" si="2237"/>
        <v>#NAME?</v>
      </c>
      <c r="X249" s="88" t="e">
        <f t="shared" ca="1" si="2237"/>
        <v>#NAME?</v>
      </c>
      <c r="Y249" s="88" t="e">
        <f t="shared" ca="1" si="2237"/>
        <v>#NAME?</v>
      </c>
      <c r="Z249" s="88" t="e">
        <f t="shared" ca="1" si="2237"/>
        <v>#NAME?</v>
      </c>
      <c r="AA249" s="88" t="e">
        <f t="shared" ref="AA249" ca="1" si="2238">AA162/AA121</f>
        <v>#NAME?</v>
      </c>
      <c r="AB249" s="42" t="e">
        <f t="shared" ca="1" si="2237"/>
        <v>#NAME?</v>
      </c>
      <c r="AC249" s="42" t="e">
        <f t="shared" ca="1" si="2237"/>
        <v>#NAME?</v>
      </c>
      <c r="AD249" s="42" t="e">
        <f t="shared" ca="1" si="2237"/>
        <v>#NAME?</v>
      </c>
      <c r="AE249" s="42" t="e">
        <f t="shared" ca="1" si="2237"/>
        <v>#NAME?</v>
      </c>
      <c r="AL249" s="88" t="e">
        <f t="shared" ref="AL249:CW249" ca="1" si="2239">AL162/AL121</f>
        <v>#NAME?</v>
      </c>
      <c r="AM249" s="88" t="e">
        <f t="shared" ca="1" si="2239"/>
        <v>#NAME?</v>
      </c>
      <c r="AN249" s="88" t="e">
        <f t="shared" ca="1" si="2239"/>
        <v>#NAME?</v>
      </c>
      <c r="AO249" s="88" t="e">
        <f t="shared" ca="1" si="2239"/>
        <v>#NAME?</v>
      </c>
      <c r="AP249" s="88" t="e">
        <f t="shared" ca="1" si="2239"/>
        <v>#NAME?</v>
      </c>
      <c r="AQ249" s="88" t="e">
        <f t="shared" ca="1" si="2239"/>
        <v>#NAME?</v>
      </c>
      <c r="AR249" s="88" t="e">
        <f t="shared" ca="1" si="2239"/>
        <v>#NAME?</v>
      </c>
      <c r="AS249" s="88" t="e">
        <f t="shared" ca="1" si="2239"/>
        <v>#NAME?</v>
      </c>
      <c r="AT249" s="88" t="e">
        <f t="shared" ca="1" si="2239"/>
        <v>#NAME?</v>
      </c>
      <c r="AU249" s="88" t="e">
        <f t="shared" ca="1" si="2239"/>
        <v>#NAME?</v>
      </c>
      <c r="AV249" s="88" t="e">
        <f t="shared" ca="1" si="2239"/>
        <v>#NAME?</v>
      </c>
      <c r="AW249" s="88" t="e">
        <f t="shared" ca="1" si="2239"/>
        <v>#NAME?</v>
      </c>
      <c r="AX249" s="88" t="e">
        <f t="shared" ca="1" si="2239"/>
        <v>#NAME?</v>
      </c>
      <c r="AY249" s="88" t="e">
        <f t="shared" ca="1" si="2239"/>
        <v>#NAME?</v>
      </c>
      <c r="AZ249" s="88" t="e">
        <f t="shared" ca="1" si="2239"/>
        <v>#NAME?</v>
      </c>
      <c r="BA249" s="88" t="e">
        <f t="shared" ca="1" si="2239"/>
        <v>#NAME?</v>
      </c>
      <c r="BB249" s="88" t="e">
        <f t="shared" ca="1" si="2239"/>
        <v>#NAME?</v>
      </c>
      <c r="BC249" s="88" t="e">
        <f t="shared" ca="1" si="2239"/>
        <v>#NAME?</v>
      </c>
      <c r="BD249" s="88" t="e">
        <f t="shared" ca="1" si="2239"/>
        <v>#NAME?</v>
      </c>
      <c r="BE249" s="88" t="e">
        <f t="shared" ca="1" si="2239"/>
        <v>#NAME?</v>
      </c>
      <c r="BF249" s="88" t="e">
        <f t="shared" ca="1" si="2239"/>
        <v>#NAME?</v>
      </c>
      <c r="BG249" s="88" t="e">
        <f t="shared" ca="1" si="2239"/>
        <v>#NAME?</v>
      </c>
      <c r="BH249" s="88" t="e">
        <f t="shared" ca="1" si="2239"/>
        <v>#NAME?</v>
      </c>
      <c r="BI249" s="88" t="e">
        <f t="shared" ca="1" si="2239"/>
        <v>#NAME?</v>
      </c>
      <c r="BJ249" s="88" t="e">
        <f t="shared" ca="1" si="2239"/>
        <v>#NAME?</v>
      </c>
      <c r="BK249" s="88" t="e">
        <f t="shared" ca="1" si="2239"/>
        <v>#NAME?</v>
      </c>
      <c r="BL249" s="88" t="e">
        <f t="shared" ca="1" si="2239"/>
        <v>#NAME?</v>
      </c>
      <c r="BM249" s="88" t="e">
        <f t="shared" ca="1" si="2239"/>
        <v>#NAME?</v>
      </c>
      <c r="BN249" s="88" t="e">
        <f t="shared" ca="1" si="2239"/>
        <v>#NAME?</v>
      </c>
      <c r="BO249" s="88" t="e">
        <f t="shared" ca="1" si="2239"/>
        <v>#NAME?</v>
      </c>
      <c r="BP249" s="88" t="e">
        <f t="shared" ca="1" si="2239"/>
        <v>#NAME?</v>
      </c>
      <c r="BQ249" s="88" t="e">
        <f t="shared" ca="1" si="2239"/>
        <v>#NAME?</v>
      </c>
      <c r="BR249" s="88" t="e">
        <f t="shared" ca="1" si="2239"/>
        <v>#NAME?</v>
      </c>
      <c r="BS249" s="88" t="e">
        <f t="shared" ca="1" si="2239"/>
        <v>#NAME?</v>
      </c>
      <c r="BT249" s="88" t="e">
        <f t="shared" ca="1" si="2239"/>
        <v>#NAME?</v>
      </c>
      <c r="BU249" s="88" t="e">
        <f t="shared" ca="1" si="2239"/>
        <v>#NAME?</v>
      </c>
      <c r="BV249" s="88" t="e">
        <f t="shared" ca="1" si="2239"/>
        <v>#NAME?</v>
      </c>
      <c r="BW249" s="88" t="e">
        <f t="shared" ca="1" si="2239"/>
        <v>#NAME?</v>
      </c>
      <c r="BX249" s="88" t="e">
        <f t="shared" ca="1" si="2239"/>
        <v>#NAME?</v>
      </c>
      <c r="BY249" s="88" t="e">
        <f t="shared" ca="1" si="2239"/>
        <v>#NAME?</v>
      </c>
      <c r="BZ249" s="88" t="e">
        <f t="shared" ca="1" si="2239"/>
        <v>#NAME?</v>
      </c>
      <c r="CA249" s="88" t="e">
        <f t="shared" ca="1" si="2239"/>
        <v>#NAME?</v>
      </c>
      <c r="CB249" s="88" t="e">
        <f t="shared" ca="1" si="2239"/>
        <v>#NAME?</v>
      </c>
      <c r="CC249" s="88" t="e">
        <f t="shared" ca="1" si="2239"/>
        <v>#NAME?</v>
      </c>
      <c r="CD249" s="88" t="e">
        <f t="shared" ca="1" si="2239"/>
        <v>#NAME?</v>
      </c>
      <c r="CE249" s="88" t="e">
        <f t="shared" ca="1" si="2239"/>
        <v>#NAME?</v>
      </c>
      <c r="CF249" s="88" t="e">
        <f t="shared" ca="1" si="2239"/>
        <v>#NAME?</v>
      </c>
      <c r="CG249" s="88" t="e">
        <f t="shared" ca="1" si="2239"/>
        <v>#NAME?</v>
      </c>
      <c r="CH249" s="88" t="e">
        <f t="shared" ca="1" si="2239"/>
        <v>#NAME?</v>
      </c>
      <c r="CI249" s="88" t="e">
        <f t="shared" ca="1" si="2239"/>
        <v>#NAME?</v>
      </c>
      <c r="CJ249" s="88" t="e">
        <f t="shared" ca="1" si="2239"/>
        <v>#NAME?</v>
      </c>
      <c r="CK249" s="42" t="e">
        <f t="shared" ca="1" si="2239"/>
        <v>#NAME?</v>
      </c>
      <c r="CL249" s="88" t="e">
        <f t="shared" ref="CL249" ca="1" si="2240">CL162/CL121</f>
        <v>#NAME?</v>
      </c>
      <c r="CM249" s="42" t="e">
        <f t="shared" ca="1" si="2239"/>
        <v>#NAME?</v>
      </c>
      <c r="CN249" s="42" t="e">
        <f t="shared" ca="1" si="2239"/>
        <v>#NAME?</v>
      </c>
      <c r="CO249" s="42" t="e">
        <f t="shared" ca="1" si="2239"/>
        <v>#NAME?</v>
      </c>
      <c r="CP249" s="42" t="e">
        <f t="shared" ca="1" si="2239"/>
        <v>#NAME?</v>
      </c>
      <c r="CQ249" s="42" t="e">
        <f t="shared" ca="1" si="2239"/>
        <v>#NAME?</v>
      </c>
      <c r="CR249" s="42" t="e">
        <f t="shared" ca="1" si="2239"/>
        <v>#NAME?</v>
      </c>
      <c r="CS249" s="42" t="e">
        <f t="shared" ca="1" si="2239"/>
        <v>#NAME?</v>
      </c>
      <c r="CT249" s="42" t="e">
        <f t="shared" ca="1" si="2239"/>
        <v>#NAME?</v>
      </c>
      <c r="CU249" s="42" t="e">
        <f t="shared" ca="1" si="2239"/>
        <v>#NAME?</v>
      </c>
      <c r="CV249" s="42" t="e">
        <f t="shared" ca="1" si="2239"/>
        <v>#NAME?</v>
      </c>
      <c r="CW249" s="42" t="e">
        <f t="shared" ca="1" si="2239"/>
        <v>#NAME?</v>
      </c>
      <c r="CX249" s="42" t="e">
        <f t="shared" ref="CX249:DB249" ca="1" si="2241">CX162/CX121</f>
        <v>#NAME?</v>
      </c>
      <c r="CY249" s="42" t="e">
        <f t="shared" ca="1" si="2241"/>
        <v>#NAME?</v>
      </c>
      <c r="CZ249" s="42" t="e">
        <f t="shared" ca="1" si="2241"/>
        <v>#NAME?</v>
      </c>
      <c r="DA249" s="42" t="e">
        <f t="shared" ca="1" si="2241"/>
        <v>#NAME?</v>
      </c>
      <c r="DB249" s="42" t="e">
        <f t="shared" ca="1" si="2241"/>
        <v>#NAME?</v>
      </c>
      <c r="DE249" s="125"/>
      <c r="DF249" s="88">
        <v>0.17690332952532528</v>
      </c>
    </row>
    <row r="250" spans="1:110" s="89" customFormat="1" x14ac:dyDescent="0.2">
      <c r="A250" s="89" t="s">
        <v>103</v>
      </c>
      <c r="C250" s="89" t="e">
        <f t="shared" ref="C250:AE250" ca="1" si="2242">C129/B129-1</f>
        <v>#NAME?</v>
      </c>
      <c r="D250" s="89" t="e">
        <f t="shared" ca="1" si="2242"/>
        <v>#NAME?</v>
      </c>
      <c r="F250" s="89" t="e">
        <f t="shared" ca="1" si="2242"/>
        <v>#NAME?</v>
      </c>
      <c r="G250" s="89" t="e">
        <f t="shared" ca="1" si="2242"/>
        <v>#NAME?</v>
      </c>
      <c r="H250" s="89" t="e">
        <f t="shared" ca="1" si="2242"/>
        <v>#NAME?</v>
      </c>
      <c r="I250" s="89" t="e">
        <f t="shared" ca="1" si="2242"/>
        <v>#NAME?</v>
      </c>
      <c r="J250" s="89" t="e">
        <f t="shared" ca="1" si="2242"/>
        <v>#NAME?</v>
      </c>
      <c r="K250" s="89" t="e">
        <f ca="1">K129/J129-1</f>
        <v>#NAME?</v>
      </c>
      <c r="L250" s="89" t="e">
        <f t="shared" ca="1" si="2242"/>
        <v>#NAME?</v>
      </c>
      <c r="M250" s="89" t="e">
        <f t="shared" ca="1" si="2242"/>
        <v>#NAME?</v>
      </c>
      <c r="N250" s="89" t="e">
        <f t="shared" ca="1" si="2242"/>
        <v>#NAME?</v>
      </c>
      <c r="O250" s="89" t="e">
        <f t="shared" ca="1" si="2242"/>
        <v>#NAME?</v>
      </c>
      <c r="P250" s="89" t="e">
        <f t="shared" ca="1" si="2242"/>
        <v>#NAME?</v>
      </c>
      <c r="Q250" s="89" t="e">
        <f t="shared" ca="1" si="2242"/>
        <v>#NAME?</v>
      </c>
      <c r="R250" s="89" t="e">
        <f t="shared" ca="1" si="2242"/>
        <v>#NAME?</v>
      </c>
      <c r="S250" s="89" t="e">
        <f t="shared" ca="1" si="2242"/>
        <v>#NAME?</v>
      </c>
      <c r="T250" s="89" t="e">
        <f t="shared" ca="1" si="2242"/>
        <v>#NAME?</v>
      </c>
      <c r="U250" s="89" t="e">
        <f t="shared" ca="1" si="2242"/>
        <v>#NAME?</v>
      </c>
      <c r="V250" s="89" t="e">
        <f t="shared" ca="1" si="2242"/>
        <v>#NAME?</v>
      </c>
      <c r="W250" s="89" t="e">
        <f t="shared" ca="1" si="2242"/>
        <v>#NAME?</v>
      </c>
      <c r="X250" s="89" t="e">
        <f t="shared" ca="1" si="2242"/>
        <v>#NAME?</v>
      </c>
      <c r="Y250" s="89" t="e">
        <f t="shared" ca="1" si="2242"/>
        <v>#NAME?</v>
      </c>
      <c r="Z250" s="89" t="e">
        <f t="shared" ca="1" si="2242"/>
        <v>#NAME?</v>
      </c>
      <c r="AA250" s="89" t="e">
        <f t="shared" ca="1" si="2242"/>
        <v>#NAME?</v>
      </c>
      <c r="AB250" s="47" t="e">
        <f t="shared" ca="1" si="2242"/>
        <v>#NAME?</v>
      </c>
      <c r="AC250" s="47" t="e">
        <f t="shared" ca="1" si="2242"/>
        <v>#NAME?</v>
      </c>
      <c r="AD250" s="47" t="e">
        <f t="shared" ca="1" si="2242"/>
        <v>#NAME?</v>
      </c>
      <c r="AE250" s="47" t="e">
        <f t="shared" ca="1" si="2242"/>
        <v>#NAME?</v>
      </c>
      <c r="AL250" s="89" t="e">
        <f t="shared" ref="AL250:CW250" ca="1" si="2243">AL129/AK129-1</f>
        <v>#NAME?</v>
      </c>
      <c r="AM250" s="89" t="e">
        <f t="shared" ca="1" si="2243"/>
        <v>#NAME?</v>
      </c>
      <c r="AN250" s="89" t="e">
        <f t="shared" ca="1" si="2243"/>
        <v>#NAME?</v>
      </c>
      <c r="AO250" s="89" t="e">
        <f t="shared" ca="1" si="2243"/>
        <v>#NAME?</v>
      </c>
      <c r="AP250" s="89" t="e">
        <f t="shared" ca="1" si="2243"/>
        <v>#NAME?</v>
      </c>
      <c r="AQ250" s="89" t="e">
        <f t="shared" ca="1" si="2243"/>
        <v>#NAME?</v>
      </c>
      <c r="AR250" s="89" t="e">
        <f t="shared" ca="1" si="2243"/>
        <v>#NAME?</v>
      </c>
      <c r="AS250" s="89" t="e">
        <f t="shared" ca="1" si="2243"/>
        <v>#NAME?</v>
      </c>
      <c r="AT250" s="89" t="e">
        <f t="shared" ca="1" si="2243"/>
        <v>#NAME?</v>
      </c>
      <c r="AU250" s="89" t="e">
        <f t="shared" ca="1" si="2243"/>
        <v>#NAME?</v>
      </c>
      <c r="AV250" s="89" t="e">
        <f t="shared" ca="1" si="2243"/>
        <v>#NAME?</v>
      </c>
      <c r="AW250" s="89" t="e">
        <f t="shared" ca="1" si="2243"/>
        <v>#NAME?</v>
      </c>
      <c r="AX250" s="89" t="e">
        <f t="shared" ca="1" si="2243"/>
        <v>#NAME?</v>
      </c>
      <c r="AY250" s="89" t="e">
        <f t="shared" ca="1" si="2243"/>
        <v>#NAME?</v>
      </c>
      <c r="AZ250" s="89" t="e">
        <f t="shared" ca="1" si="2243"/>
        <v>#NAME?</v>
      </c>
      <c r="BA250" s="89" t="e">
        <f t="shared" ca="1" si="2243"/>
        <v>#NAME?</v>
      </c>
      <c r="BB250" s="89" t="e">
        <f t="shared" ca="1" si="2243"/>
        <v>#NAME?</v>
      </c>
      <c r="BC250" s="89" t="e">
        <f t="shared" ca="1" si="2243"/>
        <v>#NAME?</v>
      </c>
      <c r="BD250" s="89" t="e">
        <f t="shared" ca="1" si="2243"/>
        <v>#NAME?</v>
      </c>
      <c r="BE250" s="89" t="e">
        <f t="shared" ca="1" si="2243"/>
        <v>#NAME?</v>
      </c>
      <c r="BF250" s="89" t="e">
        <f t="shared" ca="1" si="2243"/>
        <v>#NAME?</v>
      </c>
      <c r="BG250" s="89" t="e">
        <f t="shared" ca="1" si="2243"/>
        <v>#NAME?</v>
      </c>
      <c r="BH250" s="89" t="e">
        <f t="shared" ca="1" si="2243"/>
        <v>#NAME?</v>
      </c>
      <c r="BI250" s="89" t="e">
        <f t="shared" ca="1" si="2243"/>
        <v>#NAME?</v>
      </c>
      <c r="BJ250" s="89" t="e">
        <f t="shared" ca="1" si="2243"/>
        <v>#NAME?</v>
      </c>
      <c r="BK250" s="89" t="e">
        <f t="shared" ca="1" si="2243"/>
        <v>#NAME?</v>
      </c>
      <c r="BL250" s="89" t="e">
        <f t="shared" ca="1" si="2243"/>
        <v>#NAME?</v>
      </c>
      <c r="BM250" s="89" t="e">
        <f t="shared" ca="1" si="2243"/>
        <v>#NAME?</v>
      </c>
      <c r="BN250" s="89" t="e">
        <f t="shared" ca="1" si="2243"/>
        <v>#NAME?</v>
      </c>
      <c r="BO250" s="89" t="e">
        <f t="shared" ca="1" si="2243"/>
        <v>#NAME?</v>
      </c>
      <c r="BP250" s="89" t="e">
        <f t="shared" ca="1" si="2243"/>
        <v>#NAME?</v>
      </c>
      <c r="BQ250" s="89" t="e">
        <f t="shared" ca="1" si="2243"/>
        <v>#NAME?</v>
      </c>
      <c r="BR250" s="89" t="e">
        <f t="shared" ca="1" si="2243"/>
        <v>#NAME?</v>
      </c>
      <c r="BS250" s="89" t="e">
        <f t="shared" ca="1" si="2243"/>
        <v>#NAME?</v>
      </c>
      <c r="BT250" s="89" t="e">
        <f t="shared" ca="1" si="2243"/>
        <v>#NAME?</v>
      </c>
      <c r="BU250" s="89" t="e">
        <f t="shared" ca="1" si="2243"/>
        <v>#NAME?</v>
      </c>
      <c r="BV250" s="89" t="e">
        <f t="shared" ca="1" si="2243"/>
        <v>#NAME?</v>
      </c>
      <c r="BW250" s="89" t="e">
        <f t="shared" ca="1" si="2243"/>
        <v>#NAME?</v>
      </c>
      <c r="BX250" s="89" t="e">
        <f t="shared" ca="1" si="2243"/>
        <v>#NAME?</v>
      </c>
      <c r="BY250" s="89" t="e">
        <f t="shared" ca="1" si="2243"/>
        <v>#NAME?</v>
      </c>
      <c r="BZ250" s="89" t="e">
        <f t="shared" ca="1" si="2243"/>
        <v>#NAME?</v>
      </c>
      <c r="CA250" s="89" t="e">
        <f t="shared" ca="1" si="2243"/>
        <v>#NAME?</v>
      </c>
      <c r="CB250" s="89" t="e">
        <f t="shared" ca="1" si="2243"/>
        <v>#NAME?</v>
      </c>
      <c r="CC250" s="89" t="e">
        <f t="shared" ca="1" si="2243"/>
        <v>#NAME?</v>
      </c>
      <c r="CD250" s="89" t="e">
        <f t="shared" ca="1" si="2243"/>
        <v>#NAME?</v>
      </c>
      <c r="CE250" s="89" t="e">
        <f t="shared" ca="1" si="2243"/>
        <v>#NAME?</v>
      </c>
      <c r="CF250" s="89" t="e">
        <f t="shared" ca="1" si="2243"/>
        <v>#NAME?</v>
      </c>
      <c r="CG250" s="89" t="e">
        <f t="shared" ca="1" si="2243"/>
        <v>#NAME?</v>
      </c>
      <c r="CH250" s="89" t="e">
        <f t="shared" ca="1" si="2243"/>
        <v>#NAME?</v>
      </c>
      <c r="CI250" s="89" t="e">
        <f t="shared" ca="1" si="2243"/>
        <v>#NAME?</v>
      </c>
      <c r="CJ250" s="89" t="e">
        <f t="shared" ca="1" si="2243"/>
        <v>#NAME?</v>
      </c>
      <c r="CK250" s="47" t="e">
        <f t="shared" ca="1" si="2243"/>
        <v>#NAME?</v>
      </c>
      <c r="CL250" s="89" t="e">
        <f t="shared" ca="1" si="2243"/>
        <v>#NAME?</v>
      </c>
      <c r="CM250" s="47" t="e">
        <f t="shared" ca="1" si="2243"/>
        <v>#NAME?</v>
      </c>
      <c r="CN250" s="47" t="e">
        <f t="shared" ca="1" si="2243"/>
        <v>#NAME?</v>
      </c>
      <c r="CO250" s="47" t="e">
        <f t="shared" ca="1" si="2243"/>
        <v>#NAME?</v>
      </c>
      <c r="CP250" s="47" t="e">
        <f t="shared" ca="1" si="2243"/>
        <v>#NAME?</v>
      </c>
      <c r="CQ250" s="47" t="e">
        <f t="shared" ca="1" si="2243"/>
        <v>#NAME?</v>
      </c>
      <c r="CR250" s="47" t="e">
        <f t="shared" ca="1" si="2243"/>
        <v>#NAME?</v>
      </c>
      <c r="CS250" s="47" t="e">
        <f t="shared" ca="1" si="2243"/>
        <v>#NAME?</v>
      </c>
      <c r="CT250" s="47" t="e">
        <f t="shared" ca="1" si="2243"/>
        <v>#NAME?</v>
      </c>
      <c r="CU250" s="47" t="e">
        <f t="shared" ca="1" si="2243"/>
        <v>#NAME?</v>
      </c>
      <c r="CV250" s="47" t="e">
        <f t="shared" ca="1" si="2243"/>
        <v>#NAME?</v>
      </c>
      <c r="CW250" s="47" t="e">
        <f t="shared" ca="1" si="2243"/>
        <v>#NAME?</v>
      </c>
      <c r="CX250" s="47" t="e">
        <f t="shared" ref="CX250:DB250" ca="1" si="2244">CX129/CW129-1</f>
        <v>#NAME?</v>
      </c>
      <c r="CY250" s="47" t="e">
        <f t="shared" ca="1" si="2244"/>
        <v>#NAME?</v>
      </c>
      <c r="CZ250" s="47" t="e">
        <f t="shared" ca="1" si="2244"/>
        <v>#NAME?</v>
      </c>
      <c r="DA250" s="47" t="e">
        <f t="shared" ca="1" si="2244"/>
        <v>#NAME?</v>
      </c>
      <c r="DB250" s="47" t="e">
        <f t="shared" ca="1" si="2244"/>
        <v>#NAME?</v>
      </c>
      <c r="DE250" s="130"/>
      <c r="DF250" s="89">
        <v>9.9438996069130203E-2</v>
      </c>
    </row>
    <row r="251" spans="1:110" s="89" customFormat="1" x14ac:dyDescent="0.2">
      <c r="A251" s="89" t="s">
        <v>104</v>
      </c>
      <c r="C251" s="89" t="e">
        <f ca="1">C28/B28-1</f>
        <v>#NAME?</v>
      </c>
      <c r="D251" s="89" t="e">
        <f ca="1">D28/C28-1</f>
        <v>#NAME?</v>
      </c>
      <c r="F251" s="89" t="e">
        <f t="shared" ref="F251:AE251" ca="1" si="2245">F28/E28-1</f>
        <v>#NAME?</v>
      </c>
      <c r="G251" s="89" t="e">
        <f t="shared" ca="1" si="2245"/>
        <v>#NAME?</v>
      </c>
      <c r="H251" s="89" t="e">
        <f t="shared" ca="1" si="2245"/>
        <v>#NAME?</v>
      </c>
      <c r="I251" s="89" t="e">
        <f t="shared" ca="1" si="2245"/>
        <v>#NAME?</v>
      </c>
      <c r="J251" s="89" t="e">
        <f t="shared" ca="1" si="2245"/>
        <v>#NAME?</v>
      </c>
      <c r="K251" s="89" t="e">
        <f t="shared" ca="1" si="2245"/>
        <v>#NAME?</v>
      </c>
      <c r="L251" s="89" t="e">
        <f t="shared" ca="1" si="2245"/>
        <v>#NAME?</v>
      </c>
      <c r="M251" s="89" t="e">
        <f t="shared" ca="1" si="2245"/>
        <v>#NAME?</v>
      </c>
      <c r="N251" s="89" t="e">
        <f t="shared" ca="1" si="2245"/>
        <v>#NAME?</v>
      </c>
      <c r="O251" s="89" t="e">
        <f t="shared" ca="1" si="2245"/>
        <v>#NAME?</v>
      </c>
      <c r="P251" s="89" t="e">
        <f t="shared" ca="1" si="2245"/>
        <v>#NAME?</v>
      </c>
      <c r="Q251" s="89" t="e">
        <f t="shared" ca="1" si="2245"/>
        <v>#NAME?</v>
      </c>
      <c r="R251" s="89" t="e">
        <f t="shared" ca="1" si="2245"/>
        <v>#NAME?</v>
      </c>
      <c r="S251" s="89" t="e">
        <f t="shared" ca="1" si="2245"/>
        <v>#NAME?</v>
      </c>
      <c r="T251" s="89" t="e">
        <f t="shared" ca="1" si="2245"/>
        <v>#NAME?</v>
      </c>
      <c r="U251" s="89" t="e">
        <f t="shared" ca="1" si="2245"/>
        <v>#NAME?</v>
      </c>
      <c r="V251" s="89" t="e">
        <f t="shared" ca="1" si="2245"/>
        <v>#NAME?</v>
      </c>
      <c r="W251" s="89" t="e">
        <f t="shared" ca="1" si="2245"/>
        <v>#NAME?</v>
      </c>
      <c r="X251" s="89" t="e">
        <f t="shared" ca="1" si="2245"/>
        <v>#NAME?</v>
      </c>
      <c r="Y251" s="89" t="e">
        <f t="shared" ca="1" si="2245"/>
        <v>#NAME?</v>
      </c>
      <c r="Z251" s="89" t="e">
        <f t="shared" ca="1" si="2245"/>
        <v>#NAME?</v>
      </c>
      <c r="AA251" s="89" t="e">
        <f t="shared" ca="1" si="2245"/>
        <v>#NAME?</v>
      </c>
      <c r="AB251" s="47" t="e">
        <f t="shared" ca="1" si="2245"/>
        <v>#NAME?</v>
      </c>
      <c r="AC251" s="47" t="e">
        <f t="shared" ca="1" si="2245"/>
        <v>#NAME?</v>
      </c>
      <c r="AD251" s="47" t="e">
        <f t="shared" ca="1" si="2245"/>
        <v>#NAME?</v>
      </c>
      <c r="AE251" s="47" t="e">
        <f t="shared" ca="1" si="2245"/>
        <v>#NAME?</v>
      </c>
      <c r="AL251" s="89" t="e">
        <f t="shared" ref="AL251:CW251" ca="1" si="2246">AL28/AK28-1</f>
        <v>#NAME?</v>
      </c>
      <c r="AM251" s="89" t="e">
        <f t="shared" ca="1" si="2246"/>
        <v>#NAME?</v>
      </c>
      <c r="AN251" s="89" t="e">
        <f t="shared" ca="1" si="2246"/>
        <v>#NAME?</v>
      </c>
      <c r="AO251" s="89" t="e">
        <f t="shared" ca="1" si="2246"/>
        <v>#NAME?</v>
      </c>
      <c r="AP251" s="89" t="e">
        <f t="shared" ca="1" si="2246"/>
        <v>#NAME?</v>
      </c>
      <c r="AQ251" s="89" t="e">
        <f t="shared" ca="1" si="2246"/>
        <v>#NAME?</v>
      </c>
      <c r="AR251" s="89" t="e">
        <f t="shared" ca="1" si="2246"/>
        <v>#NAME?</v>
      </c>
      <c r="AS251" s="89" t="e">
        <f t="shared" ca="1" si="2246"/>
        <v>#NAME?</v>
      </c>
      <c r="AT251" s="89" t="e">
        <f t="shared" ca="1" si="2246"/>
        <v>#NAME?</v>
      </c>
      <c r="AU251" s="89" t="e">
        <f t="shared" ca="1" si="2246"/>
        <v>#NAME?</v>
      </c>
      <c r="AV251" s="89" t="e">
        <f t="shared" ca="1" si="2246"/>
        <v>#NAME?</v>
      </c>
      <c r="AW251" s="89" t="e">
        <f t="shared" ca="1" si="2246"/>
        <v>#NAME?</v>
      </c>
      <c r="AX251" s="89" t="e">
        <f t="shared" ca="1" si="2246"/>
        <v>#NAME?</v>
      </c>
      <c r="AY251" s="89" t="e">
        <f t="shared" ca="1" si="2246"/>
        <v>#NAME?</v>
      </c>
      <c r="AZ251" s="89" t="e">
        <f t="shared" ca="1" si="2246"/>
        <v>#NAME?</v>
      </c>
      <c r="BA251" s="89" t="e">
        <f t="shared" ca="1" si="2246"/>
        <v>#NAME?</v>
      </c>
      <c r="BB251" s="89" t="e">
        <f t="shared" ca="1" si="2246"/>
        <v>#NAME?</v>
      </c>
      <c r="BC251" s="89" t="e">
        <f t="shared" ca="1" si="2246"/>
        <v>#NAME?</v>
      </c>
      <c r="BD251" s="89" t="e">
        <f t="shared" ca="1" si="2246"/>
        <v>#NAME?</v>
      </c>
      <c r="BE251" s="89" t="e">
        <f t="shared" ca="1" si="2246"/>
        <v>#NAME?</v>
      </c>
      <c r="BF251" s="89" t="e">
        <f t="shared" ca="1" si="2246"/>
        <v>#NAME?</v>
      </c>
      <c r="BG251" s="89" t="e">
        <f t="shared" ca="1" si="2246"/>
        <v>#NAME?</v>
      </c>
      <c r="BH251" s="89" t="e">
        <f t="shared" ca="1" si="2246"/>
        <v>#NAME?</v>
      </c>
      <c r="BI251" s="89" t="e">
        <f t="shared" ca="1" si="2246"/>
        <v>#NAME?</v>
      </c>
      <c r="BJ251" s="89" t="e">
        <f t="shared" ca="1" si="2246"/>
        <v>#NAME?</v>
      </c>
      <c r="BK251" s="89" t="e">
        <f t="shared" ca="1" si="2246"/>
        <v>#NAME?</v>
      </c>
      <c r="BL251" s="89" t="e">
        <f t="shared" ca="1" si="2246"/>
        <v>#NAME?</v>
      </c>
      <c r="BM251" s="89" t="e">
        <f t="shared" ca="1" si="2246"/>
        <v>#NAME?</v>
      </c>
      <c r="BN251" s="89" t="e">
        <f t="shared" ca="1" si="2246"/>
        <v>#NAME?</v>
      </c>
      <c r="BO251" s="89" t="e">
        <f t="shared" ca="1" si="2246"/>
        <v>#NAME?</v>
      </c>
      <c r="BP251" s="89" t="e">
        <f t="shared" ca="1" si="2246"/>
        <v>#NAME?</v>
      </c>
      <c r="BQ251" s="89" t="e">
        <f t="shared" ca="1" si="2246"/>
        <v>#NAME?</v>
      </c>
      <c r="BR251" s="89" t="e">
        <f t="shared" ca="1" si="2246"/>
        <v>#NAME?</v>
      </c>
      <c r="BS251" s="89" t="e">
        <f t="shared" ca="1" si="2246"/>
        <v>#NAME?</v>
      </c>
      <c r="BT251" s="89" t="e">
        <f t="shared" ca="1" si="2246"/>
        <v>#NAME?</v>
      </c>
      <c r="BU251" s="89" t="e">
        <f t="shared" ca="1" si="2246"/>
        <v>#NAME?</v>
      </c>
      <c r="BV251" s="89" t="e">
        <f t="shared" ca="1" si="2246"/>
        <v>#NAME?</v>
      </c>
      <c r="BW251" s="89" t="e">
        <f t="shared" ca="1" si="2246"/>
        <v>#NAME?</v>
      </c>
      <c r="BX251" s="89" t="e">
        <f t="shared" ca="1" si="2246"/>
        <v>#NAME?</v>
      </c>
      <c r="BY251" s="89" t="e">
        <f t="shared" ca="1" si="2246"/>
        <v>#NAME?</v>
      </c>
      <c r="BZ251" s="89" t="e">
        <f t="shared" ca="1" si="2246"/>
        <v>#NAME?</v>
      </c>
      <c r="CA251" s="89" t="e">
        <f t="shared" ca="1" si="2246"/>
        <v>#NAME?</v>
      </c>
      <c r="CB251" s="89" t="e">
        <f t="shared" ca="1" si="2246"/>
        <v>#NAME?</v>
      </c>
      <c r="CC251" s="89" t="e">
        <f t="shared" ca="1" si="2246"/>
        <v>#NAME?</v>
      </c>
      <c r="CD251" s="89" t="e">
        <f t="shared" ca="1" si="2246"/>
        <v>#NAME?</v>
      </c>
      <c r="CE251" s="89" t="e">
        <f t="shared" ca="1" si="2246"/>
        <v>#NAME?</v>
      </c>
      <c r="CF251" s="89" t="e">
        <f t="shared" ca="1" si="2246"/>
        <v>#NAME?</v>
      </c>
      <c r="CG251" s="89" t="e">
        <f t="shared" ca="1" si="2246"/>
        <v>#NAME?</v>
      </c>
      <c r="CH251" s="89" t="e">
        <f t="shared" ca="1" si="2246"/>
        <v>#NAME?</v>
      </c>
      <c r="CI251" s="89" t="e">
        <f t="shared" ca="1" si="2246"/>
        <v>#NAME?</v>
      </c>
      <c r="CJ251" s="89" t="e">
        <f t="shared" ca="1" si="2246"/>
        <v>#NAME?</v>
      </c>
      <c r="CK251" s="47" t="e">
        <f t="shared" ca="1" si="2246"/>
        <v>#NAME?</v>
      </c>
      <c r="CL251" s="89" t="e">
        <f t="shared" ca="1" si="2246"/>
        <v>#NAME?</v>
      </c>
      <c r="CM251" s="47" t="e">
        <f t="shared" ca="1" si="2246"/>
        <v>#NAME?</v>
      </c>
      <c r="CN251" s="47" t="e">
        <f t="shared" ca="1" si="2246"/>
        <v>#NAME?</v>
      </c>
      <c r="CO251" s="47" t="e">
        <f t="shared" ca="1" si="2246"/>
        <v>#NAME?</v>
      </c>
      <c r="CP251" s="47" t="e">
        <f t="shared" ca="1" si="2246"/>
        <v>#NAME?</v>
      </c>
      <c r="CQ251" s="47" t="e">
        <f t="shared" ca="1" si="2246"/>
        <v>#NAME?</v>
      </c>
      <c r="CR251" s="47" t="e">
        <f t="shared" ca="1" si="2246"/>
        <v>#NAME?</v>
      </c>
      <c r="CS251" s="47" t="e">
        <f t="shared" ca="1" si="2246"/>
        <v>#NAME?</v>
      </c>
      <c r="CT251" s="47" t="e">
        <f t="shared" ca="1" si="2246"/>
        <v>#NAME?</v>
      </c>
      <c r="CU251" s="47" t="e">
        <f t="shared" ca="1" si="2246"/>
        <v>#NAME?</v>
      </c>
      <c r="CV251" s="47" t="e">
        <f t="shared" ca="1" si="2246"/>
        <v>#NAME?</v>
      </c>
      <c r="CW251" s="47" t="e">
        <f t="shared" ca="1" si="2246"/>
        <v>#NAME?</v>
      </c>
      <c r="CX251" s="47" t="e">
        <f t="shared" ref="CX251:DB251" ca="1" si="2247">CX28/CW28-1</f>
        <v>#NAME?</v>
      </c>
      <c r="CY251" s="47" t="e">
        <f t="shared" ca="1" si="2247"/>
        <v>#NAME?</v>
      </c>
      <c r="CZ251" s="47" t="e">
        <f t="shared" ca="1" si="2247"/>
        <v>#NAME?</v>
      </c>
      <c r="DA251" s="47" t="e">
        <f t="shared" ca="1" si="2247"/>
        <v>#NAME?</v>
      </c>
      <c r="DB251" s="47" t="e">
        <f t="shared" ca="1" si="2247"/>
        <v>#NAME?</v>
      </c>
      <c r="DE251" s="130"/>
      <c r="DF251" s="89">
        <v>-1.8397606956834789E-2</v>
      </c>
    </row>
    <row r="252" spans="1:110" s="103" customFormat="1" x14ac:dyDescent="0.2">
      <c r="A252" s="147" t="s">
        <v>105</v>
      </c>
      <c r="C252" s="103" t="e">
        <f ca="1">IF(C250&gt;C251,"RF",0)</f>
        <v>#NAME?</v>
      </c>
      <c r="D252" s="103" t="e">
        <f t="shared" ref="D252:U252" ca="1" si="2248">IF(D250&gt;D251,"RF",0)</f>
        <v>#NAME?</v>
      </c>
      <c r="F252" s="103" t="e">
        <f t="shared" ca="1" si="2248"/>
        <v>#NAME?</v>
      </c>
      <c r="G252" s="103" t="e">
        <f t="shared" ca="1" si="2248"/>
        <v>#NAME?</v>
      </c>
      <c r="H252" s="103" t="e">
        <f t="shared" ca="1" si="2248"/>
        <v>#NAME?</v>
      </c>
      <c r="I252" s="103" t="e">
        <f t="shared" ca="1" si="2248"/>
        <v>#NAME?</v>
      </c>
      <c r="J252" s="103" t="e">
        <f t="shared" ca="1" si="2248"/>
        <v>#NAME?</v>
      </c>
      <c r="K252" s="103" t="e">
        <f t="shared" ca="1" si="2248"/>
        <v>#NAME?</v>
      </c>
      <c r="L252" s="103" t="e">
        <f t="shared" ca="1" si="2248"/>
        <v>#NAME?</v>
      </c>
      <c r="M252" s="103" t="e">
        <f t="shared" ca="1" si="2248"/>
        <v>#NAME?</v>
      </c>
      <c r="N252" s="103" t="e">
        <f t="shared" ca="1" si="2248"/>
        <v>#NAME?</v>
      </c>
      <c r="O252" s="103" t="e">
        <f t="shared" ca="1" si="2248"/>
        <v>#NAME?</v>
      </c>
      <c r="P252" s="103" t="e">
        <f t="shared" ca="1" si="2248"/>
        <v>#NAME?</v>
      </c>
      <c r="Q252" s="103" t="e">
        <f t="shared" ca="1" si="2248"/>
        <v>#NAME?</v>
      </c>
      <c r="R252" s="103" t="e">
        <f t="shared" ca="1" si="2248"/>
        <v>#NAME?</v>
      </c>
      <c r="S252" s="103" t="e">
        <f t="shared" ca="1" si="2248"/>
        <v>#NAME?</v>
      </c>
      <c r="T252" s="103" t="e">
        <f t="shared" ca="1" si="2248"/>
        <v>#NAME?</v>
      </c>
      <c r="U252" s="103" t="e">
        <f t="shared" ca="1" si="2248"/>
        <v>#NAME?</v>
      </c>
      <c r="V252" s="103" t="e">
        <f ca="1">IF(V250&gt;V251,"RF",0)</f>
        <v>#NAME?</v>
      </c>
      <c r="W252" s="103" t="e">
        <f t="shared" ref="W252:AE252" ca="1" si="2249">IF(W250&gt;W251,"RF",0)</f>
        <v>#NAME?</v>
      </c>
      <c r="X252" s="103" t="e">
        <f t="shared" ca="1" si="2249"/>
        <v>#NAME?</v>
      </c>
      <c r="Y252" s="103" t="e">
        <f t="shared" ca="1" si="2249"/>
        <v>#NAME?</v>
      </c>
      <c r="Z252" s="103" t="e">
        <f t="shared" ca="1" si="2249"/>
        <v>#NAME?</v>
      </c>
      <c r="AA252" s="103" t="e">
        <f t="shared" ref="AA252" ca="1" si="2250">IF(AA250&gt;AA251,"RF",0)</f>
        <v>#NAME?</v>
      </c>
      <c r="AB252" s="73" t="e">
        <f t="shared" ca="1" si="2249"/>
        <v>#NAME?</v>
      </c>
      <c r="AC252" s="73" t="e">
        <f t="shared" ca="1" si="2249"/>
        <v>#NAME?</v>
      </c>
      <c r="AD252" s="73" t="e">
        <f t="shared" ca="1" si="2249"/>
        <v>#NAME?</v>
      </c>
      <c r="AE252" s="73" t="e">
        <f t="shared" ca="1" si="2249"/>
        <v>#NAME?</v>
      </c>
      <c r="AL252" s="103" t="e">
        <f t="shared" ref="AL252:CW252" ca="1" si="2251">IF(AL250&gt;AL251,"RF",0)</f>
        <v>#NAME?</v>
      </c>
      <c r="AM252" s="103" t="e">
        <f t="shared" ca="1" si="2251"/>
        <v>#NAME?</v>
      </c>
      <c r="AN252" s="103" t="e">
        <f t="shared" ca="1" si="2251"/>
        <v>#NAME?</v>
      </c>
      <c r="AO252" s="103" t="e">
        <f t="shared" ca="1" si="2251"/>
        <v>#NAME?</v>
      </c>
      <c r="AP252" s="103" t="e">
        <f t="shared" ca="1" si="2251"/>
        <v>#NAME?</v>
      </c>
      <c r="AQ252" s="103" t="e">
        <f t="shared" ca="1" si="2251"/>
        <v>#NAME?</v>
      </c>
      <c r="AR252" s="103" t="e">
        <f t="shared" ca="1" si="2251"/>
        <v>#NAME?</v>
      </c>
      <c r="AS252" s="103" t="e">
        <f t="shared" ca="1" si="2251"/>
        <v>#NAME?</v>
      </c>
      <c r="AT252" s="103" t="e">
        <f t="shared" ca="1" si="2251"/>
        <v>#NAME?</v>
      </c>
      <c r="AU252" s="103" t="e">
        <f t="shared" ca="1" si="2251"/>
        <v>#NAME?</v>
      </c>
      <c r="AV252" s="103" t="e">
        <f t="shared" ca="1" si="2251"/>
        <v>#NAME?</v>
      </c>
      <c r="AW252" s="103" t="e">
        <f t="shared" ca="1" si="2251"/>
        <v>#NAME?</v>
      </c>
      <c r="AX252" s="103" t="e">
        <f t="shared" ca="1" si="2251"/>
        <v>#NAME?</v>
      </c>
      <c r="AY252" s="103" t="e">
        <f t="shared" ca="1" si="2251"/>
        <v>#NAME?</v>
      </c>
      <c r="AZ252" s="103" t="e">
        <f t="shared" ca="1" si="2251"/>
        <v>#NAME?</v>
      </c>
      <c r="BA252" s="103" t="e">
        <f t="shared" ca="1" si="2251"/>
        <v>#NAME?</v>
      </c>
      <c r="BB252" s="103" t="e">
        <f t="shared" ca="1" si="2251"/>
        <v>#NAME?</v>
      </c>
      <c r="BC252" s="103" t="e">
        <f t="shared" ca="1" si="2251"/>
        <v>#NAME?</v>
      </c>
      <c r="BD252" s="103" t="e">
        <f t="shared" ca="1" si="2251"/>
        <v>#NAME?</v>
      </c>
      <c r="BE252" s="103" t="e">
        <f t="shared" ca="1" si="2251"/>
        <v>#NAME?</v>
      </c>
      <c r="BF252" s="103" t="e">
        <f t="shared" ca="1" si="2251"/>
        <v>#NAME?</v>
      </c>
      <c r="BG252" s="103" t="e">
        <f t="shared" ca="1" si="2251"/>
        <v>#NAME?</v>
      </c>
      <c r="BH252" s="103" t="e">
        <f t="shared" ca="1" si="2251"/>
        <v>#NAME?</v>
      </c>
      <c r="BI252" s="103" t="e">
        <f t="shared" ca="1" si="2251"/>
        <v>#NAME?</v>
      </c>
      <c r="BJ252" s="103" t="e">
        <f t="shared" ca="1" si="2251"/>
        <v>#NAME?</v>
      </c>
      <c r="BK252" s="103" t="e">
        <f t="shared" ca="1" si="2251"/>
        <v>#NAME?</v>
      </c>
      <c r="BL252" s="103" t="e">
        <f t="shared" ca="1" si="2251"/>
        <v>#NAME?</v>
      </c>
      <c r="BM252" s="103" t="e">
        <f t="shared" ca="1" si="2251"/>
        <v>#NAME?</v>
      </c>
      <c r="BN252" s="103" t="e">
        <f t="shared" ca="1" si="2251"/>
        <v>#NAME?</v>
      </c>
      <c r="BO252" s="103" t="e">
        <f t="shared" ca="1" si="2251"/>
        <v>#NAME?</v>
      </c>
      <c r="BP252" s="103" t="e">
        <f t="shared" ca="1" si="2251"/>
        <v>#NAME?</v>
      </c>
      <c r="BQ252" s="103" t="e">
        <f t="shared" ca="1" si="2251"/>
        <v>#NAME?</v>
      </c>
      <c r="BR252" s="103" t="e">
        <f t="shared" ca="1" si="2251"/>
        <v>#NAME?</v>
      </c>
      <c r="BS252" s="103" t="e">
        <f t="shared" ca="1" si="2251"/>
        <v>#NAME?</v>
      </c>
      <c r="BT252" s="103" t="e">
        <f t="shared" ca="1" si="2251"/>
        <v>#NAME?</v>
      </c>
      <c r="BU252" s="103" t="e">
        <f t="shared" ca="1" si="2251"/>
        <v>#NAME?</v>
      </c>
      <c r="BV252" s="103" t="e">
        <f t="shared" ca="1" si="2251"/>
        <v>#NAME?</v>
      </c>
      <c r="BW252" s="103" t="e">
        <f t="shared" ca="1" si="2251"/>
        <v>#NAME?</v>
      </c>
      <c r="BX252" s="103" t="e">
        <f t="shared" ca="1" si="2251"/>
        <v>#NAME?</v>
      </c>
      <c r="BY252" s="103" t="e">
        <f t="shared" ca="1" si="2251"/>
        <v>#NAME?</v>
      </c>
      <c r="BZ252" s="103" t="e">
        <f t="shared" ca="1" si="2251"/>
        <v>#NAME?</v>
      </c>
      <c r="CA252" s="103" t="e">
        <f t="shared" ca="1" si="2251"/>
        <v>#NAME?</v>
      </c>
      <c r="CB252" s="103" t="e">
        <f t="shared" ca="1" si="2251"/>
        <v>#NAME?</v>
      </c>
      <c r="CC252" s="103" t="e">
        <f t="shared" ca="1" si="2251"/>
        <v>#NAME?</v>
      </c>
      <c r="CD252" s="103" t="e">
        <f t="shared" ca="1" si="2251"/>
        <v>#NAME?</v>
      </c>
      <c r="CE252" s="103" t="e">
        <f t="shared" ca="1" si="2251"/>
        <v>#NAME?</v>
      </c>
      <c r="CF252" s="103" t="e">
        <f t="shared" ca="1" si="2251"/>
        <v>#NAME?</v>
      </c>
      <c r="CG252" s="103" t="e">
        <f t="shared" ca="1" si="2251"/>
        <v>#NAME?</v>
      </c>
      <c r="CH252" s="103" t="e">
        <f t="shared" ca="1" si="2251"/>
        <v>#NAME?</v>
      </c>
      <c r="CI252" s="103" t="e">
        <f t="shared" ca="1" si="2251"/>
        <v>#NAME?</v>
      </c>
      <c r="CJ252" s="103" t="e">
        <f t="shared" ca="1" si="2251"/>
        <v>#NAME?</v>
      </c>
      <c r="CK252" s="73" t="e">
        <f t="shared" ca="1" si="2251"/>
        <v>#NAME?</v>
      </c>
      <c r="CL252" s="103" t="e">
        <f t="shared" ref="CL252" ca="1" si="2252">IF(CL250&gt;CL251,"RF",0)</f>
        <v>#NAME?</v>
      </c>
      <c r="CM252" s="73" t="e">
        <f t="shared" ca="1" si="2251"/>
        <v>#NAME?</v>
      </c>
      <c r="CN252" s="73" t="e">
        <f t="shared" ca="1" si="2251"/>
        <v>#NAME?</v>
      </c>
      <c r="CO252" s="73" t="e">
        <f t="shared" ca="1" si="2251"/>
        <v>#NAME?</v>
      </c>
      <c r="CP252" s="73" t="e">
        <f t="shared" ca="1" si="2251"/>
        <v>#NAME?</v>
      </c>
      <c r="CQ252" s="73" t="e">
        <f t="shared" ca="1" si="2251"/>
        <v>#NAME?</v>
      </c>
      <c r="CR252" s="73" t="e">
        <f t="shared" ca="1" si="2251"/>
        <v>#NAME?</v>
      </c>
      <c r="CS252" s="73" t="e">
        <f t="shared" ca="1" si="2251"/>
        <v>#NAME?</v>
      </c>
      <c r="CT252" s="73" t="e">
        <f t="shared" ca="1" si="2251"/>
        <v>#NAME?</v>
      </c>
      <c r="CU252" s="73" t="e">
        <f t="shared" ca="1" si="2251"/>
        <v>#NAME?</v>
      </c>
      <c r="CV252" s="73" t="e">
        <f t="shared" ca="1" si="2251"/>
        <v>#NAME?</v>
      </c>
      <c r="CW252" s="73" t="e">
        <f t="shared" ca="1" si="2251"/>
        <v>#NAME?</v>
      </c>
      <c r="CX252" s="73" t="e">
        <f t="shared" ref="CX252:DB252" ca="1" si="2253">IF(CX250&gt;CX251,"RF",0)</f>
        <v>#NAME?</v>
      </c>
      <c r="CY252" s="73" t="e">
        <f t="shared" ca="1" si="2253"/>
        <v>#NAME?</v>
      </c>
      <c r="CZ252" s="73" t="e">
        <f t="shared" ca="1" si="2253"/>
        <v>#NAME?</v>
      </c>
      <c r="DA252" s="73" t="e">
        <f t="shared" ca="1" si="2253"/>
        <v>#NAME?</v>
      </c>
      <c r="DB252" s="73" t="e">
        <f t="shared" ca="1" si="2253"/>
        <v>#NAME?</v>
      </c>
      <c r="DE252" s="142"/>
      <c r="DF252" s="103" t="s">
        <v>523</v>
      </c>
    </row>
    <row r="253" spans="1:110" s="86" customFormat="1" x14ac:dyDescent="0.2">
      <c r="A253" s="86" t="s">
        <v>432</v>
      </c>
      <c r="B253" s="86" t="e">
        <f ca="1">B36/B8</f>
        <v>#NAME?</v>
      </c>
      <c r="C253" s="86" t="e">
        <f ca="1">C36/C8</f>
        <v>#NAME?</v>
      </c>
      <c r="D253" s="86" t="e">
        <f ca="1">D36/D8</f>
        <v>#NAME?</v>
      </c>
      <c r="F253" s="86" t="e">
        <f t="shared" ref="F253:AE253" ca="1" si="2254">F36/F8</f>
        <v>#NAME?</v>
      </c>
      <c r="G253" s="86" t="e">
        <f t="shared" ca="1" si="2254"/>
        <v>#NAME?</v>
      </c>
      <c r="H253" s="86" t="e">
        <f t="shared" ca="1" si="2254"/>
        <v>#NAME?</v>
      </c>
      <c r="I253" s="86" t="e">
        <f t="shared" ca="1" si="2254"/>
        <v>#NAME?</v>
      </c>
      <c r="J253" s="86" t="e">
        <f t="shared" ca="1" si="2254"/>
        <v>#NAME?</v>
      </c>
      <c r="K253" s="86" t="e">
        <f t="shared" ca="1" si="2254"/>
        <v>#NAME?</v>
      </c>
      <c r="L253" s="86" t="e">
        <f t="shared" ca="1" si="2254"/>
        <v>#NAME?</v>
      </c>
      <c r="M253" s="86" t="e">
        <f t="shared" ca="1" si="2254"/>
        <v>#NAME?</v>
      </c>
      <c r="N253" s="86" t="e">
        <f t="shared" ca="1" si="2254"/>
        <v>#NAME?</v>
      </c>
      <c r="O253" s="86" t="e">
        <f t="shared" ca="1" si="2254"/>
        <v>#NAME?</v>
      </c>
      <c r="P253" s="86" t="e">
        <f t="shared" ca="1" si="2254"/>
        <v>#NAME?</v>
      </c>
      <c r="Q253" s="86" t="e">
        <f t="shared" ca="1" si="2254"/>
        <v>#NAME?</v>
      </c>
      <c r="R253" s="86" t="e">
        <f t="shared" ca="1" si="2254"/>
        <v>#NAME?</v>
      </c>
      <c r="S253" s="86" t="e">
        <f t="shared" ca="1" si="2254"/>
        <v>#NAME?</v>
      </c>
      <c r="T253" s="86" t="e">
        <f t="shared" ca="1" si="2254"/>
        <v>#NAME?</v>
      </c>
      <c r="U253" s="86" t="e">
        <f t="shared" ca="1" si="2254"/>
        <v>#NAME?</v>
      </c>
      <c r="V253" s="86" t="e">
        <f t="shared" ca="1" si="2254"/>
        <v>#NAME?</v>
      </c>
      <c r="W253" s="86" t="e">
        <f t="shared" ca="1" si="2254"/>
        <v>#NAME?</v>
      </c>
      <c r="X253" s="86" t="e">
        <f t="shared" ca="1" si="2254"/>
        <v>#NAME?</v>
      </c>
      <c r="Y253" s="86" t="e">
        <f t="shared" ca="1" si="2254"/>
        <v>#NAME?</v>
      </c>
      <c r="Z253" s="86" t="e">
        <f t="shared" ca="1" si="2254"/>
        <v>#NAME?</v>
      </c>
      <c r="AA253" s="86" t="e">
        <f t="shared" ref="AA253" ca="1" si="2255">AA36/AA8</f>
        <v>#NAME?</v>
      </c>
      <c r="AB253" s="87" t="e">
        <f t="shared" ca="1" si="2254"/>
        <v>#NAME?</v>
      </c>
      <c r="AC253" s="87" t="e">
        <f t="shared" ca="1" si="2254"/>
        <v>#NAME?</v>
      </c>
      <c r="AD253" s="87" t="e">
        <f t="shared" ca="1" si="2254"/>
        <v>#NAME?</v>
      </c>
      <c r="AE253" s="87" t="e">
        <f t="shared" ca="1" si="2254"/>
        <v>#NAME?</v>
      </c>
      <c r="AL253" s="86" t="e">
        <f t="shared" ref="AL253:CW253" ca="1" si="2256">AL36/AL8</f>
        <v>#NAME?</v>
      </c>
      <c r="AM253" s="86" t="e">
        <f t="shared" ca="1" si="2256"/>
        <v>#NAME?</v>
      </c>
      <c r="AN253" s="86" t="e">
        <f t="shared" ca="1" si="2256"/>
        <v>#NAME?</v>
      </c>
      <c r="AO253" s="86" t="e">
        <f t="shared" ca="1" si="2256"/>
        <v>#NAME?</v>
      </c>
      <c r="AP253" s="86" t="e">
        <f t="shared" ca="1" si="2256"/>
        <v>#NAME?</v>
      </c>
      <c r="AQ253" s="86" t="e">
        <f t="shared" ca="1" si="2256"/>
        <v>#NAME?</v>
      </c>
      <c r="AR253" s="86" t="e">
        <f t="shared" ca="1" si="2256"/>
        <v>#NAME?</v>
      </c>
      <c r="AS253" s="86" t="e">
        <f t="shared" ca="1" si="2256"/>
        <v>#NAME?</v>
      </c>
      <c r="AT253" s="86" t="e">
        <f t="shared" ca="1" si="2256"/>
        <v>#NAME?</v>
      </c>
      <c r="AU253" s="86" t="e">
        <f t="shared" ca="1" si="2256"/>
        <v>#NAME?</v>
      </c>
      <c r="AV253" s="86" t="e">
        <f t="shared" ca="1" si="2256"/>
        <v>#NAME?</v>
      </c>
      <c r="AW253" s="86" t="e">
        <f t="shared" ca="1" si="2256"/>
        <v>#NAME?</v>
      </c>
      <c r="AX253" s="86" t="e">
        <f t="shared" ca="1" si="2256"/>
        <v>#NAME?</v>
      </c>
      <c r="AY253" s="86" t="e">
        <f t="shared" ca="1" si="2256"/>
        <v>#NAME?</v>
      </c>
      <c r="AZ253" s="86" t="e">
        <f t="shared" ca="1" si="2256"/>
        <v>#NAME?</v>
      </c>
      <c r="BA253" s="86" t="e">
        <f t="shared" ca="1" si="2256"/>
        <v>#NAME?</v>
      </c>
      <c r="BB253" s="86" t="e">
        <f t="shared" ca="1" si="2256"/>
        <v>#NAME?</v>
      </c>
      <c r="BC253" s="86" t="e">
        <f t="shared" ca="1" si="2256"/>
        <v>#NAME?</v>
      </c>
      <c r="BD253" s="86" t="e">
        <f t="shared" ca="1" si="2256"/>
        <v>#NAME?</v>
      </c>
      <c r="BE253" s="86" t="e">
        <f t="shared" ca="1" si="2256"/>
        <v>#NAME?</v>
      </c>
      <c r="BF253" s="86" t="e">
        <f t="shared" ca="1" si="2256"/>
        <v>#NAME?</v>
      </c>
      <c r="BG253" s="86" t="e">
        <f t="shared" ca="1" si="2256"/>
        <v>#NAME?</v>
      </c>
      <c r="BH253" s="86" t="e">
        <f t="shared" ca="1" si="2256"/>
        <v>#NAME?</v>
      </c>
      <c r="BI253" s="86" t="e">
        <f t="shared" ca="1" si="2256"/>
        <v>#NAME?</v>
      </c>
      <c r="BJ253" s="86" t="e">
        <f t="shared" ca="1" si="2256"/>
        <v>#NAME?</v>
      </c>
      <c r="BK253" s="86" t="e">
        <f t="shared" ca="1" si="2256"/>
        <v>#NAME?</v>
      </c>
      <c r="BL253" s="86" t="e">
        <f t="shared" ca="1" si="2256"/>
        <v>#NAME?</v>
      </c>
      <c r="BM253" s="86" t="e">
        <f t="shared" ca="1" si="2256"/>
        <v>#NAME?</v>
      </c>
      <c r="BN253" s="86" t="e">
        <f t="shared" ca="1" si="2256"/>
        <v>#NAME?</v>
      </c>
      <c r="BO253" s="86" t="e">
        <f t="shared" ca="1" si="2256"/>
        <v>#NAME?</v>
      </c>
      <c r="BP253" s="86" t="e">
        <f t="shared" ca="1" si="2256"/>
        <v>#NAME?</v>
      </c>
      <c r="BQ253" s="86" t="e">
        <f t="shared" ca="1" si="2256"/>
        <v>#NAME?</v>
      </c>
      <c r="BR253" s="86" t="e">
        <f t="shared" ca="1" si="2256"/>
        <v>#NAME?</v>
      </c>
      <c r="BS253" s="86" t="e">
        <f t="shared" ca="1" si="2256"/>
        <v>#NAME?</v>
      </c>
      <c r="BT253" s="86" t="e">
        <f t="shared" ca="1" si="2256"/>
        <v>#NAME?</v>
      </c>
      <c r="BU253" s="86" t="e">
        <f t="shared" ca="1" si="2256"/>
        <v>#NAME?</v>
      </c>
      <c r="BV253" s="86" t="e">
        <f t="shared" ca="1" si="2256"/>
        <v>#NAME?</v>
      </c>
      <c r="BW253" s="86" t="e">
        <f t="shared" ca="1" si="2256"/>
        <v>#NAME?</v>
      </c>
      <c r="BX253" s="86" t="e">
        <f t="shared" ca="1" si="2256"/>
        <v>#NAME?</v>
      </c>
      <c r="BY253" s="86" t="e">
        <f t="shared" ca="1" si="2256"/>
        <v>#NAME?</v>
      </c>
      <c r="BZ253" s="86" t="e">
        <f t="shared" ca="1" si="2256"/>
        <v>#NAME?</v>
      </c>
      <c r="CA253" s="86" t="e">
        <f t="shared" ca="1" si="2256"/>
        <v>#NAME?</v>
      </c>
      <c r="CB253" s="86" t="e">
        <f t="shared" ca="1" si="2256"/>
        <v>#NAME?</v>
      </c>
      <c r="CC253" s="86" t="e">
        <f t="shared" ca="1" si="2256"/>
        <v>#NAME?</v>
      </c>
      <c r="CD253" s="86" t="e">
        <f t="shared" ca="1" si="2256"/>
        <v>#NAME?</v>
      </c>
      <c r="CE253" s="86" t="e">
        <f t="shared" ca="1" si="2256"/>
        <v>#NAME?</v>
      </c>
      <c r="CF253" s="86" t="e">
        <f t="shared" ca="1" si="2256"/>
        <v>#NAME?</v>
      </c>
      <c r="CG253" s="86" t="e">
        <f t="shared" ca="1" si="2256"/>
        <v>#NAME?</v>
      </c>
      <c r="CH253" s="86" t="e">
        <f t="shared" ca="1" si="2256"/>
        <v>#NAME?</v>
      </c>
      <c r="CI253" s="86" t="e">
        <f t="shared" ca="1" si="2256"/>
        <v>#NAME?</v>
      </c>
      <c r="CJ253" s="86" t="e">
        <f t="shared" ca="1" si="2256"/>
        <v>#NAME?</v>
      </c>
      <c r="CK253" s="87" t="e">
        <f t="shared" ca="1" si="2256"/>
        <v>#NAME?</v>
      </c>
      <c r="CL253" s="86" t="e">
        <f t="shared" ref="CL253" ca="1" si="2257">CL36/CL8</f>
        <v>#NAME?</v>
      </c>
      <c r="CM253" s="87" t="e">
        <f t="shared" ca="1" si="2256"/>
        <v>#NAME?</v>
      </c>
      <c r="CN253" s="87" t="e">
        <f t="shared" ca="1" si="2256"/>
        <v>#NAME?</v>
      </c>
      <c r="CO253" s="87" t="e">
        <f t="shared" ca="1" si="2256"/>
        <v>#NAME?</v>
      </c>
      <c r="CP253" s="87" t="e">
        <f t="shared" ca="1" si="2256"/>
        <v>#NAME?</v>
      </c>
      <c r="CQ253" s="87" t="e">
        <f t="shared" ca="1" si="2256"/>
        <v>#NAME?</v>
      </c>
      <c r="CR253" s="87" t="e">
        <f t="shared" ca="1" si="2256"/>
        <v>#NAME?</v>
      </c>
      <c r="CS253" s="87" t="e">
        <f t="shared" ca="1" si="2256"/>
        <v>#NAME?</v>
      </c>
      <c r="CT253" s="87" t="e">
        <f t="shared" ca="1" si="2256"/>
        <v>#NAME?</v>
      </c>
      <c r="CU253" s="87" t="e">
        <f t="shared" ca="1" si="2256"/>
        <v>#NAME?</v>
      </c>
      <c r="CV253" s="87" t="e">
        <f t="shared" ca="1" si="2256"/>
        <v>#NAME?</v>
      </c>
      <c r="CW253" s="87" t="e">
        <f t="shared" ca="1" si="2256"/>
        <v>#NAME?</v>
      </c>
      <c r="CX253" s="87" t="e">
        <f t="shared" ref="CX253:DB253" ca="1" si="2258">CX36/CX8</f>
        <v>#NAME?</v>
      </c>
      <c r="CY253" s="87" t="e">
        <f t="shared" ca="1" si="2258"/>
        <v>#NAME?</v>
      </c>
      <c r="CZ253" s="87" t="e">
        <f t="shared" ca="1" si="2258"/>
        <v>#NAME?</v>
      </c>
      <c r="DA253" s="87" t="e">
        <f t="shared" ca="1" si="2258"/>
        <v>#NAME?</v>
      </c>
      <c r="DB253" s="87" t="e">
        <f t="shared" ca="1" si="2258"/>
        <v>#NAME?</v>
      </c>
      <c r="DE253" s="141"/>
      <c r="DF253" s="86">
        <v>6.2489269036368665E-2</v>
      </c>
    </row>
    <row r="254" spans="1:110" s="86" customFormat="1" x14ac:dyDescent="0.2">
      <c r="A254" s="86" t="s">
        <v>433</v>
      </c>
      <c r="B254" s="86" t="e">
        <f ca="1">B32/B8</f>
        <v>#NAME?</v>
      </c>
      <c r="C254" s="86" t="e">
        <f ca="1">C32/C8</f>
        <v>#NAME?</v>
      </c>
      <c r="D254" s="86" t="e">
        <f ca="1">D32/D8</f>
        <v>#NAME?</v>
      </c>
      <c r="F254" s="86" t="e">
        <f t="shared" ref="F254:AE254" ca="1" si="2259">F32/F8</f>
        <v>#NAME?</v>
      </c>
      <c r="G254" s="86" t="e">
        <f t="shared" ca="1" si="2259"/>
        <v>#NAME?</v>
      </c>
      <c r="H254" s="86" t="e">
        <f t="shared" ca="1" si="2259"/>
        <v>#NAME?</v>
      </c>
      <c r="I254" s="86" t="e">
        <f t="shared" ca="1" si="2259"/>
        <v>#NAME?</v>
      </c>
      <c r="J254" s="86" t="e">
        <f t="shared" ca="1" si="2259"/>
        <v>#NAME?</v>
      </c>
      <c r="K254" s="86" t="e">
        <f t="shared" ca="1" si="2259"/>
        <v>#NAME?</v>
      </c>
      <c r="L254" s="86" t="e">
        <f t="shared" ca="1" si="2259"/>
        <v>#NAME?</v>
      </c>
      <c r="M254" s="86" t="e">
        <f t="shared" ca="1" si="2259"/>
        <v>#NAME?</v>
      </c>
      <c r="N254" s="86" t="e">
        <f t="shared" ca="1" si="2259"/>
        <v>#NAME?</v>
      </c>
      <c r="O254" s="86" t="e">
        <f t="shared" ca="1" si="2259"/>
        <v>#NAME?</v>
      </c>
      <c r="P254" s="86" t="e">
        <f t="shared" ca="1" si="2259"/>
        <v>#NAME?</v>
      </c>
      <c r="Q254" s="86" t="e">
        <f t="shared" ca="1" si="2259"/>
        <v>#NAME?</v>
      </c>
      <c r="R254" s="86" t="e">
        <f t="shared" ca="1" si="2259"/>
        <v>#NAME?</v>
      </c>
      <c r="S254" s="86" t="e">
        <f t="shared" ca="1" si="2259"/>
        <v>#NAME?</v>
      </c>
      <c r="T254" s="86" t="e">
        <f t="shared" ca="1" si="2259"/>
        <v>#NAME?</v>
      </c>
      <c r="U254" s="86" t="e">
        <f t="shared" ca="1" si="2259"/>
        <v>#NAME?</v>
      </c>
      <c r="V254" s="86" t="e">
        <f t="shared" ca="1" si="2259"/>
        <v>#NAME?</v>
      </c>
      <c r="W254" s="86" t="e">
        <f t="shared" ca="1" si="2259"/>
        <v>#NAME?</v>
      </c>
      <c r="X254" s="86" t="e">
        <f t="shared" ca="1" si="2259"/>
        <v>#NAME?</v>
      </c>
      <c r="Y254" s="86" t="e">
        <f t="shared" ca="1" si="2259"/>
        <v>#NAME?</v>
      </c>
      <c r="Z254" s="86" t="e">
        <f t="shared" ca="1" si="2259"/>
        <v>#NAME?</v>
      </c>
      <c r="AA254" s="86" t="e">
        <f t="shared" ref="AA254" ca="1" si="2260">AA32/AA8</f>
        <v>#NAME?</v>
      </c>
      <c r="AB254" s="87" t="e">
        <f t="shared" ca="1" si="2259"/>
        <v>#NAME?</v>
      </c>
      <c r="AC254" s="87" t="e">
        <f t="shared" ca="1" si="2259"/>
        <v>#NAME?</v>
      </c>
      <c r="AD254" s="87" t="e">
        <f t="shared" ca="1" si="2259"/>
        <v>#NAME?</v>
      </c>
      <c r="AE254" s="87" t="e">
        <f t="shared" ca="1" si="2259"/>
        <v>#NAME?</v>
      </c>
      <c r="AL254" s="86" t="e">
        <f t="shared" ref="AL254:CW254" ca="1" si="2261">AL32/AL8</f>
        <v>#NAME?</v>
      </c>
      <c r="AM254" s="86" t="e">
        <f t="shared" ca="1" si="2261"/>
        <v>#NAME?</v>
      </c>
      <c r="AN254" s="86" t="e">
        <f t="shared" ca="1" si="2261"/>
        <v>#NAME?</v>
      </c>
      <c r="AO254" s="86" t="e">
        <f t="shared" ca="1" si="2261"/>
        <v>#NAME?</v>
      </c>
      <c r="AP254" s="86" t="e">
        <f t="shared" ca="1" si="2261"/>
        <v>#NAME?</v>
      </c>
      <c r="AQ254" s="86" t="e">
        <f t="shared" ca="1" si="2261"/>
        <v>#NAME?</v>
      </c>
      <c r="AR254" s="86" t="e">
        <f t="shared" ca="1" si="2261"/>
        <v>#NAME?</v>
      </c>
      <c r="AS254" s="86" t="e">
        <f t="shared" ca="1" si="2261"/>
        <v>#NAME?</v>
      </c>
      <c r="AT254" s="86" t="e">
        <f t="shared" ca="1" si="2261"/>
        <v>#NAME?</v>
      </c>
      <c r="AU254" s="86" t="e">
        <f t="shared" ca="1" si="2261"/>
        <v>#NAME?</v>
      </c>
      <c r="AV254" s="86" t="e">
        <f t="shared" ca="1" si="2261"/>
        <v>#NAME?</v>
      </c>
      <c r="AW254" s="86" t="e">
        <f t="shared" ca="1" si="2261"/>
        <v>#NAME?</v>
      </c>
      <c r="AX254" s="86" t="e">
        <f t="shared" ca="1" si="2261"/>
        <v>#NAME?</v>
      </c>
      <c r="AY254" s="86" t="e">
        <f t="shared" ca="1" si="2261"/>
        <v>#NAME?</v>
      </c>
      <c r="AZ254" s="86" t="e">
        <f t="shared" ca="1" si="2261"/>
        <v>#NAME?</v>
      </c>
      <c r="BA254" s="86" t="e">
        <f t="shared" ca="1" si="2261"/>
        <v>#NAME?</v>
      </c>
      <c r="BB254" s="86" t="e">
        <f t="shared" ca="1" si="2261"/>
        <v>#NAME?</v>
      </c>
      <c r="BC254" s="86" t="e">
        <f t="shared" ca="1" si="2261"/>
        <v>#NAME?</v>
      </c>
      <c r="BD254" s="86" t="e">
        <f t="shared" ca="1" si="2261"/>
        <v>#NAME?</v>
      </c>
      <c r="BE254" s="86" t="e">
        <f t="shared" ca="1" si="2261"/>
        <v>#NAME?</v>
      </c>
      <c r="BF254" s="86" t="e">
        <f t="shared" ca="1" si="2261"/>
        <v>#NAME?</v>
      </c>
      <c r="BG254" s="86" t="e">
        <f t="shared" ca="1" si="2261"/>
        <v>#NAME?</v>
      </c>
      <c r="BH254" s="86" t="e">
        <f t="shared" ca="1" si="2261"/>
        <v>#NAME?</v>
      </c>
      <c r="BI254" s="86" t="e">
        <f t="shared" ca="1" si="2261"/>
        <v>#NAME?</v>
      </c>
      <c r="BJ254" s="86" t="e">
        <f t="shared" ca="1" si="2261"/>
        <v>#NAME?</v>
      </c>
      <c r="BK254" s="86" t="e">
        <f t="shared" ca="1" si="2261"/>
        <v>#NAME?</v>
      </c>
      <c r="BL254" s="86" t="e">
        <f t="shared" ca="1" si="2261"/>
        <v>#NAME?</v>
      </c>
      <c r="BM254" s="86" t="e">
        <f t="shared" ca="1" si="2261"/>
        <v>#NAME?</v>
      </c>
      <c r="BN254" s="86" t="e">
        <f t="shared" ca="1" si="2261"/>
        <v>#NAME?</v>
      </c>
      <c r="BO254" s="86" t="e">
        <f t="shared" ca="1" si="2261"/>
        <v>#NAME?</v>
      </c>
      <c r="BP254" s="86" t="e">
        <f t="shared" ca="1" si="2261"/>
        <v>#NAME?</v>
      </c>
      <c r="BQ254" s="86" t="e">
        <f t="shared" ca="1" si="2261"/>
        <v>#NAME?</v>
      </c>
      <c r="BR254" s="86" t="e">
        <f t="shared" ca="1" si="2261"/>
        <v>#NAME?</v>
      </c>
      <c r="BS254" s="86" t="e">
        <f t="shared" ca="1" si="2261"/>
        <v>#NAME?</v>
      </c>
      <c r="BT254" s="86" t="e">
        <f t="shared" ca="1" si="2261"/>
        <v>#NAME?</v>
      </c>
      <c r="BU254" s="86" t="e">
        <f t="shared" ca="1" si="2261"/>
        <v>#NAME?</v>
      </c>
      <c r="BV254" s="86" t="e">
        <f t="shared" ca="1" si="2261"/>
        <v>#NAME?</v>
      </c>
      <c r="BW254" s="86" t="e">
        <f t="shared" ca="1" si="2261"/>
        <v>#NAME?</v>
      </c>
      <c r="BX254" s="86" t="e">
        <f t="shared" ca="1" si="2261"/>
        <v>#NAME?</v>
      </c>
      <c r="BY254" s="86" t="e">
        <f t="shared" ca="1" si="2261"/>
        <v>#NAME?</v>
      </c>
      <c r="BZ254" s="86" t="e">
        <f t="shared" ca="1" si="2261"/>
        <v>#NAME?</v>
      </c>
      <c r="CA254" s="86" t="e">
        <f t="shared" ca="1" si="2261"/>
        <v>#NAME?</v>
      </c>
      <c r="CB254" s="86" t="e">
        <f t="shared" ca="1" si="2261"/>
        <v>#NAME?</v>
      </c>
      <c r="CC254" s="86" t="e">
        <f t="shared" ca="1" si="2261"/>
        <v>#NAME?</v>
      </c>
      <c r="CD254" s="86" t="e">
        <f t="shared" ca="1" si="2261"/>
        <v>#NAME?</v>
      </c>
      <c r="CE254" s="86" t="e">
        <f t="shared" ca="1" si="2261"/>
        <v>#NAME?</v>
      </c>
      <c r="CF254" s="86" t="e">
        <f t="shared" ca="1" si="2261"/>
        <v>#NAME?</v>
      </c>
      <c r="CG254" s="86" t="e">
        <f t="shared" ca="1" si="2261"/>
        <v>#NAME?</v>
      </c>
      <c r="CH254" s="86" t="e">
        <f t="shared" ca="1" si="2261"/>
        <v>#NAME?</v>
      </c>
      <c r="CI254" s="86" t="e">
        <f t="shared" ca="1" si="2261"/>
        <v>#NAME?</v>
      </c>
      <c r="CJ254" s="86" t="e">
        <f t="shared" ca="1" si="2261"/>
        <v>#NAME?</v>
      </c>
      <c r="CK254" s="87" t="e">
        <f t="shared" ca="1" si="2261"/>
        <v>#NAME?</v>
      </c>
      <c r="CL254" s="86" t="e">
        <f t="shared" ref="CL254" ca="1" si="2262">CL32/CL8</f>
        <v>#NAME?</v>
      </c>
      <c r="CM254" s="87" t="e">
        <f t="shared" ca="1" si="2261"/>
        <v>#NAME?</v>
      </c>
      <c r="CN254" s="87" t="e">
        <f t="shared" ca="1" si="2261"/>
        <v>#NAME?</v>
      </c>
      <c r="CO254" s="87" t="e">
        <f t="shared" ca="1" si="2261"/>
        <v>#NAME?</v>
      </c>
      <c r="CP254" s="87" t="e">
        <f t="shared" ca="1" si="2261"/>
        <v>#NAME?</v>
      </c>
      <c r="CQ254" s="87" t="e">
        <f t="shared" ca="1" si="2261"/>
        <v>#NAME?</v>
      </c>
      <c r="CR254" s="87" t="e">
        <f t="shared" ca="1" si="2261"/>
        <v>#NAME?</v>
      </c>
      <c r="CS254" s="87" t="e">
        <f t="shared" ca="1" si="2261"/>
        <v>#NAME?</v>
      </c>
      <c r="CT254" s="87" t="e">
        <f t="shared" ca="1" si="2261"/>
        <v>#NAME?</v>
      </c>
      <c r="CU254" s="87" t="e">
        <f t="shared" ca="1" si="2261"/>
        <v>#NAME?</v>
      </c>
      <c r="CV254" s="87" t="e">
        <f t="shared" ca="1" si="2261"/>
        <v>#NAME?</v>
      </c>
      <c r="CW254" s="87" t="e">
        <f t="shared" ca="1" si="2261"/>
        <v>#NAME?</v>
      </c>
      <c r="CX254" s="87" t="e">
        <f t="shared" ref="CX254:DB254" ca="1" si="2263">CX32/CX8</f>
        <v>#NAME?</v>
      </c>
      <c r="CY254" s="87" t="e">
        <f t="shared" ca="1" si="2263"/>
        <v>#NAME?</v>
      </c>
      <c r="CZ254" s="87" t="e">
        <f t="shared" ca="1" si="2263"/>
        <v>#NAME?</v>
      </c>
      <c r="DA254" s="87" t="e">
        <f t="shared" ca="1" si="2263"/>
        <v>#NAME?</v>
      </c>
      <c r="DB254" s="87" t="e">
        <f t="shared" ca="1" si="2263"/>
        <v>#NAME?</v>
      </c>
      <c r="DE254" s="141"/>
      <c r="DF254" s="86">
        <v>6.1067232840187599E-2</v>
      </c>
    </row>
    <row r="255" spans="1:110" s="85" customFormat="1" x14ac:dyDescent="0.2">
      <c r="AB255" s="58"/>
      <c r="AC255" s="58"/>
      <c r="AD255" s="58"/>
      <c r="AE255" s="58"/>
      <c r="CK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E255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112599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112599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112599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112599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112599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476.98590074327598</v>
      </c>
      <c r="C4" s="116">
        <v>474.27134683660699</v>
      </c>
      <c r="D4" s="116">
        <v>466.224633470409</v>
      </c>
      <c r="E4" s="116">
        <v>469.90867091517498</v>
      </c>
      <c r="F4" s="116">
        <v>489.2</v>
      </c>
      <c r="G4">
        <v>96953</v>
      </c>
      <c r="H4" s="116"/>
      <c r="I4" s="116"/>
      <c r="L4" s="170">
        <v>42005</v>
      </c>
      <c r="M4" s="116">
        <v>475.04767959313398</v>
      </c>
      <c r="N4" s="116">
        <v>477.51986649713899</v>
      </c>
      <c r="O4" s="116">
        <v>465.93452002542898</v>
      </c>
      <c r="P4" s="116">
        <v>470.58804831532098</v>
      </c>
      <c r="Q4" s="116">
        <v>490</v>
      </c>
      <c r="R4">
        <v>604947</v>
      </c>
    </row>
    <row r="5" spans="1:18" x14ac:dyDescent="0.25">
      <c r="A5" s="170">
        <v>42006</v>
      </c>
      <c r="B5" s="116">
        <v>481.73637007994699</v>
      </c>
      <c r="C5" s="116">
        <v>476.452684797323</v>
      </c>
      <c r="D5" s="116">
        <v>474.65914025184497</v>
      </c>
      <c r="E5" s="116">
        <v>476.98590074327598</v>
      </c>
      <c r="F5" s="116">
        <v>491.45</v>
      </c>
      <c r="G5">
        <v>140346</v>
      </c>
      <c r="H5" s="116"/>
      <c r="I5" s="116"/>
      <c r="L5" s="170">
        <v>42006</v>
      </c>
      <c r="M5" s="116">
        <v>477.37444373808</v>
      </c>
      <c r="N5" s="116">
        <v>481.83407501589301</v>
      </c>
      <c r="O5" s="116">
        <v>475.04767959313398</v>
      </c>
      <c r="P5" s="116">
        <v>476.30801017164703</v>
      </c>
      <c r="Q5" s="116">
        <v>492.4</v>
      </c>
      <c r="R5">
        <v>1006286</v>
      </c>
    </row>
    <row r="6" spans="1:18" x14ac:dyDescent="0.25">
      <c r="A6" s="170">
        <v>42009</v>
      </c>
      <c r="B6" s="116">
        <v>490.99493786876502</v>
      </c>
      <c r="C6" s="116">
        <v>484.741769048045</v>
      </c>
      <c r="D6" s="116">
        <v>475.48320125922697</v>
      </c>
      <c r="E6" s="116">
        <v>479.60350629613498</v>
      </c>
      <c r="F6" s="116">
        <v>500</v>
      </c>
      <c r="G6">
        <v>175241</v>
      </c>
      <c r="H6" s="116"/>
      <c r="I6" s="116"/>
      <c r="L6" s="170">
        <v>42009</v>
      </c>
      <c r="M6" s="116">
        <v>485.27574698029201</v>
      </c>
      <c r="N6" s="116">
        <v>491.09265734265699</v>
      </c>
      <c r="O6" s="116">
        <v>475.72631913540999</v>
      </c>
      <c r="P6" s="116">
        <v>476.11411315956798</v>
      </c>
      <c r="Q6" s="116">
        <v>500.55</v>
      </c>
      <c r="R6">
        <v>1441527</v>
      </c>
    </row>
    <row r="7" spans="1:18" x14ac:dyDescent="0.25">
      <c r="A7" s="170">
        <v>42010</v>
      </c>
      <c r="B7" s="116">
        <v>501.75620514163103</v>
      </c>
      <c r="C7" s="116">
        <v>481.20315413399402</v>
      </c>
      <c r="D7" s="116">
        <v>470.29646433041302</v>
      </c>
      <c r="E7" s="116">
        <v>480.42756730351698</v>
      </c>
      <c r="F7" s="116">
        <v>496.35</v>
      </c>
      <c r="G7">
        <v>387132</v>
      </c>
      <c r="H7" s="116"/>
      <c r="I7" s="116"/>
      <c r="L7" s="170">
        <v>42010</v>
      </c>
      <c r="M7" s="116">
        <v>481.59170375079498</v>
      </c>
      <c r="N7" s="116">
        <v>502.09631277813099</v>
      </c>
      <c r="O7" s="116">
        <v>469.42466624284799</v>
      </c>
      <c r="P7" s="116">
        <v>480.47679593134097</v>
      </c>
      <c r="Q7" s="116">
        <v>496.75</v>
      </c>
      <c r="R7">
        <v>2822168</v>
      </c>
    </row>
    <row r="8" spans="1:18" x14ac:dyDescent="0.25">
      <c r="A8" s="170">
        <v>42011</v>
      </c>
      <c r="B8" s="116">
        <v>492.206792291385</v>
      </c>
      <c r="C8" s="116">
        <v>477.17979745089502</v>
      </c>
      <c r="D8" s="116">
        <v>467.92122966207802</v>
      </c>
      <c r="E8" s="116">
        <v>482.802801971853</v>
      </c>
      <c r="F8" s="116">
        <v>492.2</v>
      </c>
      <c r="G8">
        <v>256080</v>
      </c>
      <c r="H8" s="116"/>
      <c r="I8" s="116"/>
      <c r="L8" s="170">
        <v>42011</v>
      </c>
      <c r="M8" s="116">
        <v>477.32596948506</v>
      </c>
      <c r="N8" s="116">
        <v>492.06214240305098</v>
      </c>
      <c r="O8" s="116">
        <v>467.29179910998101</v>
      </c>
      <c r="P8" s="116">
        <v>484.74253019707601</v>
      </c>
      <c r="Q8" s="116">
        <v>492.35</v>
      </c>
      <c r="R8">
        <v>1665081</v>
      </c>
    </row>
    <row r="9" spans="1:18" x14ac:dyDescent="0.25">
      <c r="A9" s="170">
        <v>42012</v>
      </c>
      <c r="B9" s="116">
        <v>498.99317705805697</v>
      </c>
      <c r="C9" s="116">
        <v>495.89082973615001</v>
      </c>
      <c r="D9" s="116">
        <v>482.07568931828098</v>
      </c>
      <c r="E9" s="116">
        <v>482.07568931828098</v>
      </c>
      <c r="F9" s="116">
        <v>511.5</v>
      </c>
      <c r="G9">
        <v>186708</v>
      </c>
      <c r="H9" s="116"/>
      <c r="I9" s="116"/>
      <c r="L9" s="170">
        <v>42012</v>
      </c>
      <c r="M9" s="116">
        <v>496.13397965670703</v>
      </c>
      <c r="N9" s="116">
        <v>498.31532104259401</v>
      </c>
      <c r="O9" s="116">
        <v>483.57914812460302</v>
      </c>
      <c r="P9" s="116">
        <v>484.06389065479999</v>
      </c>
      <c r="Q9" s="116">
        <v>511.75</v>
      </c>
      <c r="R9">
        <v>1217449</v>
      </c>
    </row>
    <row r="10" spans="1:18" x14ac:dyDescent="0.25">
      <c r="A10" s="170">
        <v>42013</v>
      </c>
      <c r="B10" s="116">
        <v>504.810078286634</v>
      </c>
      <c r="C10" s="116">
        <v>490.65561863043098</v>
      </c>
      <c r="D10" s="116">
        <v>483.093647033281</v>
      </c>
      <c r="E10" s="116">
        <v>499.284022119486</v>
      </c>
      <c r="F10" s="116">
        <v>506.1</v>
      </c>
      <c r="G10">
        <v>191245</v>
      </c>
      <c r="H10" s="116"/>
      <c r="I10" s="116"/>
      <c r="L10" s="170">
        <v>42013</v>
      </c>
      <c r="M10" s="116">
        <v>491.189605848697</v>
      </c>
      <c r="N10" s="116">
        <v>504.85934520025398</v>
      </c>
      <c r="O10" s="116">
        <v>482.803560076287</v>
      </c>
      <c r="P10" s="116">
        <v>500.25429116338199</v>
      </c>
      <c r="Q10" s="116">
        <v>506.65</v>
      </c>
      <c r="R10">
        <v>1852057</v>
      </c>
    </row>
    <row r="11" spans="1:18" x14ac:dyDescent="0.25">
      <c r="A11" s="170">
        <v>42016</v>
      </c>
      <c r="B11" s="116">
        <v>506.84599371663597</v>
      </c>
      <c r="C11" s="116">
        <v>499.76876388853401</v>
      </c>
      <c r="D11" s="116">
        <v>494.92134619805398</v>
      </c>
      <c r="E11" s="116">
        <v>495.406087967102</v>
      </c>
      <c r="F11" s="116">
        <v>515.5</v>
      </c>
      <c r="G11">
        <v>275436</v>
      </c>
      <c r="H11" s="116"/>
      <c r="I11" s="116"/>
      <c r="L11" s="170">
        <v>42016</v>
      </c>
      <c r="M11" s="116">
        <v>498.84853782581001</v>
      </c>
      <c r="N11" s="116">
        <v>506.45899554990501</v>
      </c>
      <c r="O11" s="116">
        <v>494.43738080101701</v>
      </c>
      <c r="P11" s="116">
        <v>495.06754609027303</v>
      </c>
      <c r="Q11" s="116">
        <v>514.54999999999995</v>
      </c>
      <c r="R11">
        <v>1885648</v>
      </c>
    </row>
    <row r="12" spans="1:18" x14ac:dyDescent="0.25">
      <c r="A12" s="170">
        <v>42017</v>
      </c>
      <c r="B12" s="116">
        <v>502.58026614901303</v>
      </c>
      <c r="C12" s="116">
        <v>481.590947549232</v>
      </c>
      <c r="D12" s="116">
        <v>479.65198047304</v>
      </c>
      <c r="E12" s="116">
        <v>501.222989195678</v>
      </c>
      <c r="F12" s="116">
        <v>496.75</v>
      </c>
      <c r="G12">
        <v>167246</v>
      </c>
      <c r="H12" s="116"/>
      <c r="I12" s="116"/>
      <c r="L12" s="170">
        <v>42017</v>
      </c>
      <c r="M12" s="116">
        <v>481.54322949777497</v>
      </c>
      <c r="N12" s="116">
        <v>502.968849332486</v>
      </c>
      <c r="O12" s="116">
        <v>479.84663064208502</v>
      </c>
      <c r="P12" s="116">
        <v>502.144787031151</v>
      </c>
      <c r="Q12" s="116">
        <v>496.7</v>
      </c>
      <c r="R12">
        <v>1181967</v>
      </c>
    </row>
    <row r="13" spans="1:18" x14ac:dyDescent="0.25">
      <c r="A13" s="170">
        <v>42018</v>
      </c>
      <c r="B13" s="116">
        <v>483.239069563996</v>
      </c>
      <c r="C13" s="116">
        <v>476.11336555898998</v>
      </c>
      <c r="D13" s="116">
        <v>472.138483052796</v>
      </c>
      <c r="E13" s="116">
        <v>479.89435135756401</v>
      </c>
      <c r="F13" s="116">
        <v>491.1</v>
      </c>
      <c r="G13">
        <v>130347</v>
      </c>
      <c r="H13" s="116"/>
      <c r="I13" s="116"/>
      <c r="L13" s="170">
        <v>42018</v>
      </c>
      <c r="M13" s="116">
        <v>476.35648442466601</v>
      </c>
      <c r="N13" s="116">
        <v>483.48219961856302</v>
      </c>
      <c r="O13" s="116">
        <v>471.16973935155801</v>
      </c>
      <c r="P13" s="116">
        <v>483.28830260648402</v>
      </c>
      <c r="Q13" s="116">
        <v>491.35</v>
      </c>
      <c r="R13">
        <v>933231</v>
      </c>
    </row>
    <row r="14" spans="1:18" x14ac:dyDescent="0.25">
      <c r="A14" s="170">
        <v>42019</v>
      </c>
      <c r="B14" s="116">
        <v>489.54071256162001</v>
      </c>
      <c r="C14" s="116">
        <v>485.22651081709301</v>
      </c>
      <c r="D14" s="116">
        <v>470.78120609946097</v>
      </c>
      <c r="E14" s="116">
        <v>480.86383489565998</v>
      </c>
      <c r="F14" s="116">
        <v>500.5</v>
      </c>
      <c r="G14">
        <v>152258</v>
      </c>
      <c r="H14" s="116"/>
      <c r="I14" s="116"/>
      <c r="L14" s="170">
        <v>42019</v>
      </c>
      <c r="M14" s="116">
        <v>485.61506675142999</v>
      </c>
      <c r="N14" s="116">
        <v>489.44453273998698</v>
      </c>
      <c r="O14" s="116">
        <v>471.16973935155801</v>
      </c>
      <c r="P14" s="116">
        <v>484.74253019707601</v>
      </c>
      <c r="Q14" s="116">
        <v>500.9</v>
      </c>
      <c r="R14">
        <v>1301413</v>
      </c>
    </row>
    <row r="15" spans="1:18" x14ac:dyDescent="0.25">
      <c r="A15" s="170">
        <v>42020</v>
      </c>
      <c r="B15" s="116">
        <v>490.94646369186</v>
      </c>
      <c r="C15" s="116">
        <v>484.79024322495002</v>
      </c>
      <c r="D15" s="116">
        <v>478.05233263518198</v>
      </c>
      <c r="E15" s="116">
        <v>486.244468532094</v>
      </c>
      <c r="F15" s="116">
        <v>500.05</v>
      </c>
      <c r="G15">
        <v>180521</v>
      </c>
      <c r="H15" s="116"/>
      <c r="I15" s="116"/>
      <c r="L15" s="170">
        <v>42020</v>
      </c>
      <c r="M15" s="116">
        <v>485.03337571519398</v>
      </c>
      <c r="N15" s="116">
        <v>491.04418308963801</v>
      </c>
      <c r="O15" s="116">
        <v>477.37444373808</v>
      </c>
      <c r="P15" s="116">
        <v>483.28830260648402</v>
      </c>
      <c r="Q15" s="116">
        <v>500.3</v>
      </c>
      <c r="R15">
        <v>1153856</v>
      </c>
    </row>
    <row r="16" spans="1:18" x14ac:dyDescent="0.25">
      <c r="A16" s="170">
        <v>42023</v>
      </c>
      <c r="B16" s="116">
        <v>496.18167479757898</v>
      </c>
      <c r="C16" s="116">
        <v>490.41324774590697</v>
      </c>
      <c r="D16" s="116">
        <v>485.22651081709301</v>
      </c>
      <c r="E16" s="116">
        <v>485.80820093995101</v>
      </c>
      <c r="F16" s="116">
        <v>505.85</v>
      </c>
      <c r="G16">
        <v>139291</v>
      </c>
      <c r="H16" s="116"/>
      <c r="I16" s="116"/>
      <c r="L16" s="170">
        <v>42023</v>
      </c>
      <c r="M16" s="116">
        <v>490.85028607755902</v>
      </c>
      <c r="N16" s="116">
        <v>496.376350921805</v>
      </c>
      <c r="O16" s="116">
        <v>484.887952956135</v>
      </c>
      <c r="P16" s="116">
        <v>486.68150031786399</v>
      </c>
      <c r="Q16" s="116">
        <v>506.3</v>
      </c>
      <c r="R16">
        <v>1218109</v>
      </c>
    </row>
    <row r="17" spans="1:18" x14ac:dyDescent="0.25">
      <c r="A17" s="170">
        <v>42024</v>
      </c>
      <c r="B17" s="116">
        <v>494.33965607519599</v>
      </c>
      <c r="C17" s="116">
        <v>491.04341204566902</v>
      </c>
      <c r="D17" s="116">
        <v>486.82615865495097</v>
      </c>
      <c r="E17" s="116">
        <v>486.82615865495097</v>
      </c>
      <c r="F17" s="116">
        <v>506.5</v>
      </c>
      <c r="G17">
        <v>91200</v>
      </c>
      <c r="H17" s="116"/>
      <c r="I17" s="116"/>
      <c r="L17" s="170">
        <v>42024</v>
      </c>
      <c r="M17" s="116">
        <v>491.04418308963801</v>
      </c>
      <c r="N17" s="116">
        <v>494.43738080101701</v>
      </c>
      <c r="O17" s="116">
        <v>487.31166560712001</v>
      </c>
      <c r="P17" s="116">
        <v>493.17705022250499</v>
      </c>
      <c r="Q17" s="116">
        <v>506.5</v>
      </c>
      <c r="R17">
        <v>1010208</v>
      </c>
    </row>
    <row r="18" spans="1:18" x14ac:dyDescent="0.25">
      <c r="A18" s="170">
        <v>42025</v>
      </c>
      <c r="B18" s="116">
        <v>493.95186265995801</v>
      </c>
      <c r="C18" s="116">
        <v>490.89798951495499</v>
      </c>
      <c r="D18" s="116">
        <v>484.54787234042601</v>
      </c>
      <c r="E18" s="116">
        <v>490.99493786876502</v>
      </c>
      <c r="F18" s="116">
        <v>506.35</v>
      </c>
      <c r="G18">
        <v>124088</v>
      </c>
      <c r="H18" s="116"/>
      <c r="I18" s="116"/>
      <c r="L18" s="170">
        <v>42025</v>
      </c>
      <c r="M18" s="116">
        <v>490.70486331849997</v>
      </c>
      <c r="N18" s="116">
        <v>493.37094723458398</v>
      </c>
      <c r="O18" s="116">
        <v>484.50015893197701</v>
      </c>
      <c r="P18" s="116">
        <v>491.52892561983498</v>
      </c>
      <c r="Q18" s="116">
        <v>506.15</v>
      </c>
      <c r="R18">
        <v>983547</v>
      </c>
    </row>
    <row r="19" spans="1:18" x14ac:dyDescent="0.25">
      <c r="A19" s="170">
        <v>42026</v>
      </c>
      <c r="B19" s="116">
        <v>508.00937396235099</v>
      </c>
      <c r="C19" s="116">
        <v>504.13143980996699</v>
      </c>
      <c r="D19" s="116">
        <v>490.558670276621</v>
      </c>
      <c r="E19" s="116">
        <v>490.558670276621</v>
      </c>
      <c r="F19" s="116">
        <v>520</v>
      </c>
      <c r="G19">
        <v>288630</v>
      </c>
      <c r="H19" s="116"/>
      <c r="I19" s="116"/>
      <c r="L19" s="170">
        <v>42026</v>
      </c>
      <c r="M19" s="116">
        <v>502.77495232040701</v>
      </c>
      <c r="N19" s="116">
        <v>506.07120152574697</v>
      </c>
      <c r="O19" s="116">
        <v>491.04418308963801</v>
      </c>
      <c r="P19" s="116">
        <v>491.52892561983498</v>
      </c>
      <c r="Q19" s="116">
        <v>518.6</v>
      </c>
      <c r="R19">
        <v>1246821</v>
      </c>
    </row>
    <row r="20" spans="1:18" x14ac:dyDescent="0.25">
      <c r="A20" s="170">
        <v>42027</v>
      </c>
      <c r="B20" s="116">
        <v>556.96829263620305</v>
      </c>
      <c r="C20" s="116">
        <v>545.52838688666998</v>
      </c>
      <c r="D20" s="116">
        <v>508.00937396235099</v>
      </c>
      <c r="E20" s="116">
        <v>508.00937396235099</v>
      </c>
      <c r="F20" s="116">
        <v>562.70000000000005</v>
      </c>
      <c r="G20">
        <v>1214226</v>
      </c>
      <c r="H20" s="116"/>
      <c r="I20" s="116"/>
      <c r="L20" s="170">
        <v>42027</v>
      </c>
      <c r="M20" s="116">
        <v>546.64415130324198</v>
      </c>
      <c r="N20" s="116">
        <v>556.87221869040002</v>
      </c>
      <c r="O20" s="116">
        <v>508.30101716465299</v>
      </c>
      <c r="P20" s="116">
        <v>508.97965670692901</v>
      </c>
      <c r="Q20" s="116">
        <v>563.85</v>
      </c>
      <c r="R20">
        <v>6971858</v>
      </c>
    </row>
    <row r="21" spans="1:18" x14ac:dyDescent="0.25">
      <c r="A21" s="170">
        <v>42031</v>
      </c>
      <c r="B21" s="116">
        <v>555.514067329059</v>
      </c>
      <c r="C21" s="116">
        <v>543.83179069500102</v>
      </c>
      <c r="D21" s="116">
        <v>538.20878617404401</v>
      </c>
      <c r="E21" s="116">
        <v>546.30397371714605</v>
      </c>
      <c r="F21" s="116">
        <v>560.95000000000005</v>
      </c>
      <c r="G21">
        <v>354206</v>
      </c>
      <c r="H21" s="116"/>
      <c r="I21" s="116"/>
      <c r="L21" s="170">
        <v>42031</v>
      </c>
      <c r="M21" s="116">
        <v>544.17196439923703</v>
      </c>
      <c r="N21" s="116">
        <v>555.22409408773001</v>
      </c>
      <c r="O21" s="116">
        <v>537.385568976478</v>
      </c>
      <c r="P21" s="116">
        <v>546.74109980928199</v>
      </c>
      <c r="Q21" s="116">
        <v>561.29999999999995</v>
      </c>
      <c r="R21">
        <v>1856900</v>
      </c>
    </row>
    <row r="22" spans="1:18" x14ac:dyDescent="0.25">
      <c r="A22" s="170">
        <v>42032</v>
      </c>
      <c r="B22" s="116">
        <v>562.300452095732</v>
      </c>
      <c r="C22" s="116">
        <v>540.09927907333099</v>
      </c>
      <c r="D22" s="116">
        <v>534.23390366784997</v>
      </c>
      <c r="E22" s="116">
        <v>542.91078133380995</v>
      </c>
      <c r="F22" s="116">
        <v>557.1</v>
      </c>
      <c r="G22">
        <v>333271</v>
      </c>
      <c r="H22" s="116"/>
      <c r="I22" s="116"/>
      <c r="L22" s="170">
        <v>42032</v>
      </c>
      <c r="M22" s="116">
        <v>540.19707565162105</v>
      </c>
      <c r="N22" s="116">
        <v>562.64065479974602</v>
      </c>
      <c r="O22" s="116">
        <v>534.18626827717696</v>
      </c>
      <c r="P22" s="116">
        <v>537.09472345836002</v>
      </c>
      <c r="Q22" s="116">
        <v>557.20000000000005</v>
      </c>
      <c r="R22">
        <v>2131036</v>
      </c>
    </row>
    <row r="23" spans="1:18" x14ac:dyDescent="0.25">
      <c r="A23" s="170">
        <v>42033</v>
      </c>
      <c r="B23" s="116">
        <v>577.52134364384096</v>
      </c>
      <c r="C23" s="116">
        <v>566.178386248116</v>
      </c>
      <c r="D23" s="116">
        <v>540.09927907333099</v>
      </c>
      <c r="E23" s="116">
        <v>540.09927907333099</v>
      </c>
      <c r="F23" s="116">
        <v>584</v>
      </c>
      <c r="G23">
        <v>750575</v>
      </c>
      <c r="H23" s="116"/>
      <c r="I23" s="116"/>
      <c r="L23" s="170">
        <v>42033</v>
      </c>
      <c r="M23" s="116">
        <v>565.59758423394806</v>
      </c>
      <c r="N23" s="116">
        <v>577.57072472981599</v>
      </c>
      <c r="O23" s="116">
        <v>540.19707565162105</v>
      </c>
      <c r="P23" s="116">
        <v>540.97266369993599</v>
      </c>
      <c r="Q23" s="116">
        <v>583.4</v>
      </c>
      <c r="R23">
        <v>5797584</v>
      </c>
    </row>
    <row r="24" spans="1:18" x14ac:dyDescent="0.25">
      <c r="A24" s="170">
        <v>42034</v>
      </c>
      <c r="B24" s="116">
        <v>626.28636561007397</v>
      </c>
      <c r="C24" s="116">
        <v>610.28988723148802</v>
      </c>
      <c r="D24" s="116">
        <v>548.630734208577</v>
      </c>
      <c r="E24" s="116">
        <v>574.12815126050396</v>
      </c>
      <c r="F24" s="116">
        <v>629.5</v>
      </c>
      <c r="G24">
        <v>1952466</v>
      </c>
      <c r="H24" s="116"/>
      <c r="I24" s="116"/>
      <c r="L24" s="170">
        <v>42034</v>
      </c>
      <c r="M24" s="116">
        <v>608.157978385251</v>
      </c>
      <c r="N24" s="116">
        <v>626.28734901462201</v>
      </c>
      <c r="O24" s="116">
        <v>546.88652256834098</v>
      </c>
      <c r="P24" s="116">
        <v>575.292434837889</v>
      </c>
      <c r="Q24" s="116">
        <v>627.29999999999995</v>
      </c>
      <c r="R24">
        <v>10006572</v>
      </c>
    </row>
    <row r="25" spans="1:18" x14ac:dyDescent="0.25">
      <c r="A25" s="170">
        <v>42037</v>
      </c>
      <c r="B25" s="116">
        <v>643.25232752675504</v>
      </c>
      <c r="C25" s="116">
        <v>634.62392403770002</v>
      </c>
      <c r="D25" s="116">
        <v>619.59692919721101</v>
      </c>
      <c r="E25" s="116">
        <v>630.16429976245797</v>
      </c>
      <c r="F25" s="116">
        <v>654.6</v>
      </c>
      <c r="G25">
        <v>1201362</v>
      </c>
      <c r="H25" s="116"/>
      <c r="I25" s="116"/>
      <c r="L25" s="170">
        <v>42037</v>
      </c>
      <c r="M25" s="116">
        <v>634.81881754609003</v>
      </c>
      <c r="N25" s="116">
        <v>642.38080101716503</v>
      </c>
      <c r="O25" s="116">
        <v>619.59790209790197</v>
      </c>
      <c r="P25" s="116">
        <v>631.13477431659203</v>
      </c>
      <c r="Q25" s="116">
        <v>654.79999999999995</v>
      </c>
      <c r="R25">
        <v>6391851</v>
      </c>
    </row>
    <row r="26" spans="1:18" x14ac:dyDescent="0.25">
      <c r="A26" s="170">
        <v>42038</v>
      </c>
      <c r="B26" s="116">
        <v>636.95068452913097</v>
      </c>
      <c r="C26" s="116">
        <v>621.729792981022</v>
      </c>
      <c r="D26" s="116">
        <v>615.52509833720706</v>
      </c>
      <c r="E26" s="116">
        <v>636.56289111389196</v>
      </c>
      <c r="F26" s="116">
        <v>641.29999999999995</v>
      </c>
      <c r="G26">
        <v>358424</v>
      </c>
      <c r="H26" s="116"/>
      <c r="I26" s="116"/>
      <c r="L26" s="170">
        <v>42038</v>
      </c>
      <c r="M26" s="116">
        <v>622.02161474888703</v>
      </c>
      <c r="N26" s="116">
        <v>635.44898283534599</v>
      </c>
      <c r="O26" s="116">
        <v>614.75047679593104</v>
      </c>
      <c r="P26" s="116">
        <v>635.303560076287</v>
      </c>
      <c r="Q26" s="116">
        <v>641.6</v>
      </c>
      <c r="R26">
        <v>1829676</v>
      </c>
    </row>
    <row r="27" spans="1:18" x14ac:dyDescent="0.25">
      <c r="A27" s="170">
        <v>42039</v>
      </c>
      <c r="B27" s="116">
        <v>644.36723359556595</v>
      </c>
      <c r="C27" s="116">
        <v>628.758548632219</v>
      </c>
      <c r="D27" s="116">
        <v>614.11934720696797</v>
      </c>
      <c r="E27" s="116">
        <v>623.377914995786</v>
      </c>
      <c r="F27" s="116">
        <v>648.54999999999995</v>
      </c>
      <c r="G27">
        <v>651231</v>
      </c>
      <c r="H27" s="116"/>
      <c r="I27" s="116"/>
      <c r="L27" s="170">
        <v>42039</v>
      </c>
      <c r="M27" s="116">
        <v>628.51716465352797</v>
      </c>
      <c r="N27" s="116">
        <v>644.12587412587402</v>
      </c>
      <c r="O27" s="116">
        <v>613.53862047043901</v>
      </c>
      <c r="P27" s="116">
        <v>622.36093452002501</v>
      </c>
      <c r="Q27" s="116">
        <v>648.29999999999995</v>
      </c>
      <c r="R27">
        <v>3147420</v>
      </c>
    </row>
    <row r="28" spans="1:18" x14ac:dyDescent="0.25">
      <c r="A28" s="170">
        <v>42040</v>
      </c>
      <c r="B28" s="116">
        <v>632.20021519245995</v>
      </c>
      <c r="C28" s="116">
        <v>604.52146017981704</v>
      </c>
      <c r="D28" s="116">
        <v>601.07979361957598</v>
      </c>
      <c r="E28" s="116">
        <v>630.16429976245797</v>
      </c>
      <c r="F28" s="116">
        <v>623.54999999999995</v>
      </c>
      <c r="G28">
        <v>386382</v>
      </c>
      <c r="H28" s="116"/>
      <c r="I28" s="116"/>
      <c r="L28" s="170">
        <v>42040</v>
      </c>
      <c r="M28" s="116">
        <v>603.84376986649704</v>
      </c>
      <c r="N28" s="116">
        <v>632.58900190718396</v>
      </c>
      <c r="O28" s="116">
        <v>600.49904640813702</v>
      </c>
      <c r="P28" s="116">
        <v>632.10425937698699</v>
      </c>
      <c r="Q28" s="116">
        <v>622.85</v>
      </c>
      <c r="R28">
        <v>2379061</v>
      </c>
    </row>
    <row r="29" spans="1:18" x14ac:dyDescent="0.25">
      <c r="A29" s="170">
        <v>42041</v>
      </c>
      <c r="B29" s="116">
        <v>624.15350182626196</v>
      </c>
      <c r="C29" s="116">
        <v>608.15702344767703</v>
      </c>
      <c r="D29" s="116">
        <v>603.74587334933994</v>
      </c>
      <c r="E29" s="116">
        <v>608.39939433220104</v>
      </c>
      <c r="F29" s="116">
        <v>627.29999999999995</v>
      </c>
      <c r="G29">
        <v>338602</v>
      </c>
      <c r="H29" s="116"/>
      <c r="I29" s="116"/>
      <c r="L29" s="170">
        <v>42041</v>
      </c>
      <c r="M29" s="116">
        <v>608.206452638271</v>
      </c>
      <c r="N29" s="116">
        <v>624.25143038779402</v>
      </c>
      <c r="O29" s="116">
        <v>604.03766687857603</v>
      </c>
      <c r="P29" s="116">
        <v>605.92816274634401</v>
      </c>
      <c r="Q29" s="116">
        <v>627.35</v>
      </c>
      <c r="R29">
        <v>2006883</v>
      </c>
    </row>
    <row r="30" spans="1:18" x14ac:dyDescent="0.25">
      <c r="A30" s="170">
        <v>42044</v>
      </c>
      <c r="B30" s="116">
        <v>615.13730492196896</v>
      </c>
      <c r="C30" s="116">
        <v>591.14258735409101</v>
      </c>
      <c r="D30" s="116">
        <v>587.16770484789697</v>
      </c>
      <c r="E30" s="116">
        <v>598.07439465147797</v>
      </c>
      <c r="F30" s="116">
        <v>609.75</v>
      </c>
      <c r="G30">
        <v>280841</v>
      </c>
      <c r="H30" s="116"/>
      <c r="I30" s="116"/>
      <c r="L30" s="170">
        <v>42044</v>
      </c>
      <c r="M30" s="116">
        <v>590.61029879211696</v>
      </c>
      <c r="N30" s="116">
        <v>615.13827082008902</v>
      </c>
      <c r="O30" s="116">
        <v>586.53846153846098</v>
      </c>
      <c r="P30" s="116">
        <v>591.38588684043202</v>
      </c>
      <c r="Q30" s="116">
        <v>609.20000000000005</v>
      </c>
      <c r="R30">
        <v>1530644</v>
      </c>
    </row>
    <row r="31" spans="1:18" x14ac:dyDescent="0.25">
      <c r="A31" s="170">
        <v>42045</v>
      </c>
      <c r="B31" s="116">
        <v>619.40303248959196</v>
      </c>
      <c r="C31" s="116">
        <v>615.37967580649297</v>
      </c>
      <c r="D31" s="116">
        <v>581.69012285765405</v>
      </c>
      <c r="E31" s="116">
        <v>589.44599116242205</v>
      </c>
      <c r="F31" s="116">
        <v>634.75</v>
      </c>
      <c r="G31">
        <v>389652</v>
      </c>
      <c r="H31" s="116"/>
      <c r="I31" s="116"/>
      <c r="L31" s="170">
        <v>42045</v>
      </c>
      <c r="M31" s="116">
        <v>615.57453909726598</v>
      </c>
      <c r="N31" s="116">
        <v>619.88874761602005</v>
      </c>
      <c r="O31" s="116">
        <v>581.73951048951005</v>
      </c>
      <c r="P31" s="116">
        <v>587.50794659885605</v>
      </c>
      <c r="Q31" s="116">
        <v>634.95000000000005</v>
      </c>
      <c r="R31">
        <v>2525908</v>
      </c>
    </row>
    <row r="32" spans="1:18" x14ac:dyDescent="0.25">
      <c r="A32" s="170">
        <v>42046</v>
      </c>
      <c r="B32" s="116">
        <v>646.11230396413896</v>
      </c>
      <c r="C32" s="116">
        <v>641.21641209675397</v>
      </c>
      <c r="D32" s="116">
        <v>617.56101376720903</v>
      </c>
      <c r="E32" s="116">
        <v>619.20913578197201</v>
      </c>
      <c r="F32" s="116">
        <v>661.4</v>
      </c>
      <c r="G32">
        <v>592899</v>
      </c>
      <c r="H32" s="116"/>
      <c r="I32" s="116"/>
      <c r="L32" s="170">
        <v>42046</v>
      </c>
      <c r="M32" s="116">
        <v>641.31436745073097</v>
      </c>
      <c r="N32" s="116">
        <v>646.45263827081999</v>
      </c>
      <c r="O32" s="116">
        <v>617.56198347107397</v>
      </c>
      <c r="P32" s="116">
        <v>620.47043865225703</v>
      </c>
      <c r="Q32" s="116">
        <v>661.5</v>
      </c>
      <c r="R32">
        <v>2937300</v>
      </c>
    </row>
    <row r="33" spans="1:18" x14ac:dyDescent="0.25">
      <c r="A33" s="170">
        <v>42047</v>
      </c>
      <c r="B33" s="116">
        <v>664.96875878010803</v>
      </c>
      <c r="C33" s="116">
        <v>662.01183398891499</v>
      </c>
      <c r="D33" s="116">
        <v>643.49469841127905</v>
      </c>
      <c r="E33" s="116">
        <v>644.70655283389999</v>
      </c>
      <c r="F33" s="116">
        <v>682.85</v>
      </c>
      <c r="G33">
        <v>518958</v>
      </c>
      <c r="H33" s="116"/>
      <c r="I33" s="116"/>
      <c r="L33" s="170">
        <v>42047</v>
      </c>
      <c r="M33" s="116">
        <v>663.46710108073705</v>
      </c>
      <c r="N33" s="116">
        <v>666.03623649078202</v>
      </c>
      <c r="O33" s="116">
        <v>643.73808010171604</v>
      </c>
      <c r="P33" s="116">
        <v>644.56214240305098</v>
      </c>
      <c r="Q33" s="116">
        <v>684.35</v>
      </c>
      <c r="R33">
        <v>2995135</v>
      </c>
    </row>
    <row r="34" spans="1:18" x14ac:dyDescent="0.25">
      <c r="A34" s="170">
        <v>42048</v>
      </c>
      <c r="B34" s="116">
        <v>668.84669293249203</v>
      </c>
      <c r="C34" s="116">
        <v>651.444463423667</v>
      </c>
      <c r="D34" s="116">
        <v>647.71195180199697</v>
      </c>
      <c r="E34" s="116">
        <v>666.90772585629998</v>
      </c>
      <c r="F34" s="116">
        <v>671.95</v>
      </c>
      <c r="G34">
        <v>272207</v>
      </c>
      <c r="H34" s="116"/>
      <c r="I34" s="116"/>
      <c r="L34" s="170">
        <v>42048</v>
      </c>
      <c r="M34" s="116">
        <v>651.39701207883002</v>
      </c>
      <c r="N34" s="116">
        <v>668.65384615384596</v>
      </c>
      <c r="O34" s="116">
        <v>647.42212333121404</v>
      </c>
      <c r="P34" s="116">
        <v>666.42403051494</v>
      </c>
      <c r="Q34" s="116">
        <v>671.9</v>
      </c>
      <c r="R34">
        <v>1719339</v>
      </c>
    </row>
    <row r="35" spans="1:18" x14ac:dyDescent="0.25">
      <c r="A35" s="170">
        <v>42051</v>
      </c>
      <c r="B35" s="116">
        <v>664.19317194963105</v>
      </c>
      <c r="C35" s="116">
        <v>642.81605993461199</v>
      </c>
      <c r="D35" s="116">
        <v>637.87169389032204</v>
      </c>
      <c r="E35" s="116">
        <v>654.11054315343199</v>
      </c>
      <c r="F35" s="116">
        <v>663.05</v>
      </c>
      <c r="G35">
        <v>230760</v>
      </c>
      <c r="H35" s="116"/>
      <c r="I35" s="116"/>
      <c r="L35" s="170">
        <v>42051</v>
      </c>
      <c r="M35" s="116">
        <v>642.76859504132199</v>
      </c>
      <c r="N35" s="116">
        <v>664.19421487603302</v>
      </c>
      <c r="O35" s="116">
        <v>637.43642720915398</v>
      </c>
      <c r="P35" s="116">
        <v>653.626827717737</v>
      </c>
      <c r="Q35" s="116">
        <v>663</v>
      </c>
      <c r="R35">
        <v>1766248</v>
      </c>
    </row>
    <row r="36" spans="1:18" x14ac:dyDescent="0.25">
      <c r="A36" s="170">
        <v>42053</v>
      </c>
      <c r="B36" s="116">
        <v>654.352914037956</v>
      </c>
      <c r="C36" s="116">
        <v>645.67603637199602</v>
      </c>
      <c r="D36" s="116">
        <v>641.94352475032599</v>
      </c>
      <c r="E36" s="116">
        <v>644.803501187709</v>
      </c>
      <c r="F36" s="116">
        <v>666</v>
      </c>
      <c r="G36">
        <v>122759</v>
      </c>
      <c r="H36" s="116"/>
      <c r="I36" s="116"/>
      <c r="L36" s="170">
        <v>42053</v>
      </c>
      <c r="M36" s="116">
        <v>645.43467895740605</v>
      </c>
      <c r="N36" s="116">
        <v>654.40241576605194</v>
      </c>
      <c r="O36" s="116">
        <v>641.31436745073097</v>
      </c>
      <c r="P36" s="116">
        <v>645.09535918626796</v>
      </c>
      <c r="Q36" s="116">
        <v>665.75</v>
      </c>
      <c r="R36">
        <v>1042726</v>
      </c>
    </row>
    <row r="37" spans="1:18" x14ac:dyDescent="0.25">
      <c r="A37" s="170">
        <v>42054</v>
      </c>
      <c r="B37" s="116">
        <v>679.60796020535895</v>
      </c>
      <c r="C37" s="116">
        <v>671.41582430844699</v>
      </c>
      <c r="D37" s="116">
        <v>645.19129460294801</v>
      </c>
      <c r="E37" s="116">
        <v>651.88073101581097</v>
      </c>
      <c r="F37" s="116">
        <v>692.55</v>
      </c>
      <c r="G37">
        <v>475418</v>
      </c>
      <c r="H37" s="116"/>
      <c r="I37" s="116"/>
      <c r="L37" s="170">
        <v>42054</v>
      </c>
      <c r="M37" s="116">
        <v>671.12603305785103</v>
      </c>
      <c r="N37" s="116">
        <v>679.94834710743805</v>
      </c>
      <c r="O37" s="116">
        <v>644.90146217418896</v>
      </c>
      <c r="P37" s="116">
        <v>650.47600127145597</v>
      </c>
      <c r="Q37" s="116">
        <v>692.25</v>
      </c>
      <c r="R37">
        <v>2536010</v>
      </c>
    </row>
    <row r="38" spans="1:18" x14ac:dyDescent="0.25">
      <c r="A38" s="170">
        <v>42055</v>
      </c>
      <c r="B38" s="116">
        <v>685.81265484917401</v>
      </c>
      <c r="C38" s="116">
        <v>666.18061320272795</v>
      </c>
      <c r="D38" s="116">
        <v>659.34575425915</v>
      </c>
      <c r="E38" s="116">
        <v>675.73002605297404</v>
      </c>
      <c r="F38" s="116">
        <v>687.15</v>
      </c>
      <c r="G38">
        <v>338198</v>
      </c>
      <c r="H38" s="116"/>
      <c r="I38" s="116"/>
      <c r="L38" s="170">
        <v>42055</v>
      </c>
      <c r="M38" s="116">
        <v>666.42403051494</v>
      </c>
      <c r="N38" s="116">
        <v>686.10457724094101</v>
      </c>
      <c r="O38" s="116">
        <v>659.24984106802299</v>
      </c>
      <c r="P38" s="116">
        <v>677.67005721551197</v>
      </c>
      <c r="Q38" s="116">
        <v>687.4</v>
      </c>
      <c r="R38">
        <v>2108022</v>
      </c>
    </row>
    <row r="39" spans="1:18" x14ac:dyDescent="0.25">
      <c r="A39" s="170">
        <v>42058</v>
      </c>
      <c r="B39" s="116">
        <v>671.85209190059004</v>
      </c>
      <c r="C39" s="116">
        <v>659.10338337462599</v>
      </c>
      <c r="D39" s="116">
        <v>653.72274973819299</v>
      </c>
      <c r="E39" s="116">
        <v>670.30091823963596</v>
      </c>
      <c r="F39" s="116">
        <v>679.85</v>
      </c>
      <c r="G39">
        <v>187795</v>
      </c>
      <c r="H39" s="116"/>
      <c r="I39" s="116"/>
      <c r="L39" s="170">
        <v>42058</v>
      </c>
      <c r="M39" s="116">
        <v>659.104418308964</v>
      </c>
      <c r="N39" s="116">
        <v>671.853146853147</v>
      </c>
      <c r="O39" s="116">
        <v>653.52987921169699</v>
      </c>
      <c r="P39" s="116">
        <v>668.94469167196405</v>
      </c>
      <c r="Q39" s="116">
        <v>679.85</v>
      </c>
      <c r="R39">
        <v>1064381</v>
      </c>
    </row>
    <row r="40" spans="1:18" x14ac:dyDescent="0.25">
      <c r="A40" s="170">
        <v>42059</v>
      </c>
      <c r="B40" s="116">
        <v>692.59903961584598</v>
      </c>
      <c r="C40" s="116">
        <v>689.98143406298698</v>
      </c>
      <c r="D40" s="116">
        <v>659.24880590534099</v>
      </c>
      <c r="E40" s="116">
        <v>660.12134108962698</v>
      </c>
      <c r="F40" s="116">
        <v>711.7</v>
      </c>
      <c r="G40">
        <v>524266</v>
      </c>
      <c r="H40" s="116"/>
      <c r="I40" s="116"/>
      <c r="L40" s="170">
        <v>42059</v>
      </c>
      <c r="M40" s="116">
        <v>690.46726001271497</v>
      </c>
      <c r="N40" s="116">
        <v>692.89097266370004</v>
      </c>
      <c r="O40" s="116">
        <v>658.813572790845</v>
      </c>
      <c r="P40" s="116">
        <v>658.813572790845</v>
      </c>
      <c r="Q40" s="116">
        <v>712.2</v>
      </c>
      <c r="R40">
        <v>2902695</v>
      </c>
    </row>
    <row r="41" spans="1:18" x14ac:dyDescent="0.25">
      <c r="A41" s="170">
        <v>42060</v>
      </c>
      <c r="B41" s="116">
        <v>696.96171553727902</v>
      </c>
      <c r="C41" s="116">
        <v>676.166293645118</v>
      </c>
      <c r="D41" s="116">
        <v>673.83953315368694</v>
      </c>
      <c r="E41" s="116">
        <v>694.00479074608597</v>
      </c>
      <c r="F41" s="116">
        <v>697.45</v>
      </c>
      <c r="G41">
        <v>310960</v>
      </c>
      <c r="H41" s="116"/>
      <c r="I41" s="116"/>
      <c r="L41" s="170">
        <v>42060</v>
      </c>
      <c r="M41" s="116">
        <v>674.66465352829005</v>
      </c>
      <c r="N41" s="116">
        <v>697.49602670057197</v>
      </c>
      <c r="O41" s="116">
        <v>672.82263191354104</v>
      </c>
      <c r="P41" s="116">
        <v>695.120788302606</v>
      </c>
      <c r="Q41" s="116">
        <v>695.9</v>
      </c>
      <c r="R41">
        <v>2077426</v>
      </c>
    </row>
    <row r="42" spans="1:18" x14ac:dyDescent="0.25">
      <c r="A42" s="170">
        <v>42061</v>
      </c>
      <c r="B42" s="116">
        <v>682.27403993512303</v>
      </c>
      <c r="C42" s="116">
        <v>667.78026104058597</v>
      </c>
      <c r="D42" s="116">
        <v>661.43014386605705</v>
      </c>
      <c r="E42" s="116">
        <v>676.69950959107098</v>
      </c>
      <c r="F42" s="116">
        <v>688.8</v>
      </c>
      <c r="G42">
        <v>277234</v>
      </c>
      <c r="H42" s="116"/>
      <c r="I42" s="116"/>
      <c r="L42" s="170">
        <v>42061</v>
      </c>
      <c r="M42" s="116">
        <v>667.05419580419596</v>
      </c>
      <c r="N42" s="116">
        <v>682.51748251748199</v>
      </c>
      <c r="O42" s="116">
        <v>660.21932612841704</v>
      </c>
      <c r="P42" s="116">
        <v>674.85855054036904</v>
      </c>
      <c r="Q42" s="116">
        <v>688.05</v>
      </c>
      <c r="R42">
        <v>2372115</v>
      </c>
    </row>
    <row r="43" spans="1:18" x14ac:dyDescent="0.25">
      <c r="A43" s="170">
        <v>42062</v>
      </c>
      <c r="B43" s="116">
        <v>691.24176266251197</v>
      </c>
      <c r="C43" s="116">
        <v>688.62415710965195</v>
      </c>
      <c r="D43" s="116">
        <v>666.519932441062</v>
      </c>
      <c r="E43" s="116">
        <v>672.23988531582802</v>
      </c>
      <c r="F43" s="116">
        <v>710.3</v>
      </c>
      <c r="G43">
        <v>260167</v>
      </c>
      <c r="H43" s="116"/>
      <c r="I43" s="116"/>
      <c r="L43" s="170">
        <v>42062</v>
      </c>
      <c r="M43" s="116">
        <v>689.643197711379</v>
      </c>
      <c r="N43" s="116">
        <v>691.53369357914801</v>
      </c>
      <c r="O43" s="116">
        <v>666.90877304513697</v>
      </c>
      <c r="P43" s="116">
        <v>671.07755880483103</v>
      </c>
      <c r="Q43" s="116">
        <v>711.35</v>
      </c>
      <c r="R43">
        <v>1968517</v>
      </c>
    </row>
    <row r="44" spans="1:18" x14ac:dyDescent="0.25">
      <c r="A44" s="170">
        <v>42063</v>
      </c>
      <c r="B44" s="116">
        <v>697.64035401394597</v>
      </c>
      <c r="C44" s="116">
        <v>675.34223263773595</v>
      </c>
      <c r="D44" s="116">
        <v>666.61688079487101</v>
      </c>
      <c r="E44" s="116">
        <v>693.18072973870403</v>
      </c>
      <c r="F44" s="116">
        <v>696.6</v>
      </c>
      <c r="G44">
        <v>293002</v>
      </c>
      <c r="H44" s="116"/>
      <c r="I44" s="116"/>
      <c r="L44" s="170">
        <v>42063</v>
      </c>
      <c r="M44" s="116">
        <v>676.21582962492096</v>
      </c>
      <c r="N44" s="116">
        <v>697.83534647170995</v>
      </c>
      <c r="O44" s="116">
        <v>666.52097902097898</v>
      </c>
      <c r="P44" s="116">
        <v>694.82994278448803</v>
      </c>
      <c r="Q44" s="116">
        <v>697.5</v>
      </c>
      <c r="R44">
        <v>1881758</v>
      </c>
    </row>
    <row r="45" spans="1:18" x14ac:dyDescent="0.25">
      <c r="A45" s="170">
        <v>42065</v>
      </c>
      <c r="B45" s="116">
        <v>694.63495504584796</v>
      </c>
      <c r="C45" s="116">
        <v>688.72110546346198</v>
      </c>
      <c r="D45" s="116">
        <v>669.91312482439798</v>
      </c>
      <c r="E45" s="116">
        <v>679.31711514392998</v>
      </c>
      <c r="F45" s="116">
        <v>710.4</v>
      </c>
      <c r="G45">
        <v>290153</v>
      </c>
      <c r="H45" s="116"/>
      <c r="I45" s="116"/>
      <c r="L45" s="170">
        <v>42065</v>
      </c>
      <c r="M45" s="116">
        <v>688.23744437380799</v>
      </c>
      <c r="N45" s="116">
        <v>694.15130324221195</v>
      </c>
      <c r="O45" s="116">
        <v>668.94469167196405</v>
      </c>
      <c r="P45" s="116">
        <v>680.57851239669401</v>
      </c>
      <c r="Q45" s="116">
        <v>709.9</v>
      </c>
      <c r="R45">
        <v>1345964</v>
      </c>
    </row>
    <row r="46" spans="1:18" x14ac:dyDescent="0.25">
      <c r="A46" s="170">
        <v>42066</v>
      </c>
      <c r="B46" s="116">
        <v>705.59011902633404</v>
      </c>
      <c r="C46" s="116">
        <v>698.02814742918395</v>
      </c>
      <c r="D46" s="116">
        <v>687.60619939465198</v>
      </c>
      <c r="E46" s="116">
        <v>691.24176266251197</v>
      </c>
      <c r="F46" s="116">
        <v>720</v>
      </c>
      <c r="G46">
        <v>243916</v>
      </c>
      <c r="H46" s="116"/>
      <c r="I46" s="116"/>
      <c r="L46" s="170">
        <v>42066</v>
      </c>
      <c r="M46" s="116">
        <v>699.77431659249805</v>
      </c>
      <c r="N46" s="116">
        <v>705.30038143674506</v>
      </c>
      <c r="O46" s="116">
        <v>685.52288620470404</v>
      </c>
      <c r="P46" s="116">
        <v>691.727590591227</v>
      </c>
      <c r="Q46" s="116">
        <v>721.8</v>
      </c>
      <c r="R46">
        <v>1672000</v>
      </c>
    </row>
    <row r="47" spans="1:18" x14ac:dyDescent="0.25">
      <c r="A47" s="170">
        <v>42067</v>
      </c>
      <c r="B47" s="116">
        <v>706.753499272049</v>
      </c>
      <c r="C47" s="116">
        <v>682.61335917345696</v>
      </c>
      <c r="D47" s="116">
        <v>678.63847666726303</v>
      </c>
      <c r="E47" s="116">
        <v>702.875565119665</v>
      </c>
      <c r="F47" s="116">
        <v>704.1</v>
      </c>
      <c r="G47">
        <v>248173</v>
      </c>
      <c r="H47" s="116"/>
      <c r="I47" s="116"/>
      <c r="L47" s="170">
        <v>42067</v>
      </c>
      <c r="M47" s="116">
        <v>682.80832803560099</v>
      </c>
      <c r="N47" s="116">
        <v>706.41528925619798</v>
      </c>
      <c r="O47" s="116">
        <v>678.63954227590602</v>
      </c>
      <c r="P47" s="116">
        <v>705.73664971392202</v>
      </c>
      <c r="Q47" s="116">
        <v>704.3</v>
      </c>
      <c r="R47">
        <v>1480166</v>
      </c>
    </row>
    <row r="48" spans="1:18" x14ac:dyDescent="0.25">
      <c r="A48" s="170">
        <v>42068</v>
      </c>
      <c r="B48" s="116">
        <v>685.08554219560199</v>
      </c>
      <c r="C48" s="116">
        <v>678.34763160583395</v>
      </c>
      <c r="D48" s="116">
        <v>670.252444062731</v>
      </c>
      <c r="E48" s="116">
        <v>683.58284271155298</v>
      </c>
      <c r="F48" s="116">
        <v>699.7</v>
      </c>
      <c r="G48">
        <v>177058</v>
      </c>
      <c r="H48" s="116"/>
      <c r="I48" s="116"/>
      <c r="L48" s="170">
        <v>42068</v>
      </c>
      <c r="M48" s="116">
        <v>678.10632549268905</v>
      </c>
      <c r="N48" s="116">
        <v>685.37746344564505</v>
      </c>
      <c r="O48" s="116">
        <v>668.94469167196405</v>
      </c>
      <c r="P48" s="116">
        <v>683.72933884297504</v>
      </c>
      <c r="Q48" s="116">
        <v>699.45</v>
      </c>
      <c r="R48">
        <v>1924899</v>
      </c>
    </row>
    <row r="49" spans="1:18" x14ac:dyDescent="0.25">
      <c r="A49" s="170">
        <v>42072</v>
      </c>
      <c r="B49" s="116">
        <v>676.40866452964201</v>
      </c>
      <c r="C49" s="116">
        <v>646.50009737937705</v>
      </c>
      <c r="D49" s="116">
        <v>643.73706929580305</v>
      </c>
      <c r="E49" s="116">
        <v>676.40866452964201</v>
      </c>
      <c r="F49" s="116">
        <v>666.85</v>
      </c>
      <c r="G49">
        <v>188883</v>
      </c>
      <c r="H49" s="116"/>
      <c r="I49" s="116"/>
      <c r="L49" s="170">
        <v>42072</v>
      </c>
      <c r="M49" s="116">
        <v>645.43467895740605</v>
      </c>
      <c r="N49" s="116">
        <v>673.695168467896</v>
      </c>
      <c r="O49" s="116">
        <v>643.15638906547997</v>
      </c>
      <c r="P49" s="116">
        <v>673.695168467896</v>
      </c>
      <c r="Q49" s="116">
        <v>665.75</v>
      </c>
      <c r="R49">
        <v>1222416</v>
      </c>
    </row>
    <row r="50" spans="1:18" x14ac:dyDescent="0.25">
      <c r="A50" s="170">
        <v>42073</v>
      </c>
      <c r="B50" s="116">
        <v>659.05490919772205</v>
      </c>
      <c r="C50" s="116">
        <v>629.72803217031503</v>
      </c>
      <c r="D50" s="116">
        <v>621.63284462721299</v>
      </c>
      <c r="E50" s="116">
        <v>649.26312546295105</v>
      </c>
      <c r="F50" s="116">
        <v>649.54999999999995</v>
      </c>
      <c r="G50">
        <v>220330</v>
      </c>
      <c r="H50" s="116"/>
      <c r="I50" s="116"/>
      <c r="L50" s="170">
        <v>42073</v>
      </c>
      <c r="M50" s="116">
        <v>628.66258741258696</v>
      </c>
      <c r="N50" s="116">
        <v>658.76509853782602</v>
      </c>
      <c r="O50" s="116">
        <v>620.22806738715803</v>
      </c>
      <c r="P50" s="116">
        <v>645.67705022250504</v>
      </c>
      <c r="Q50" s="116">
        <v>648.45000000000005</v>
      </c>
      <c r="R50">
        <v>1530525</v>
      </c>
    </row>
    <row r="51" spans="1:18" x14ac:dyDescent="0.25">
      <c r="A51" s="170">
        <v>42074</v>
      </c>
      <c r="B51" s="116">
        <v>640.82861868151497</v>
      </c>
      <c r="C51" s="116">
        <v>629.97040305483904</v>
      </c>
      <c r="D51" s="116">
        <v>619.54845502030605</v>
      </c>
      <c r="E51" s="116">
        <v>630.26124811626801</v>
      </c>
      <c r="F51" s="116">
        <v>649.79999999999995</v>
      </c>
      <c r="G51">
        <v>254660</v>
      </c>
      <c r="H51" s="116"/>
      <c r="I51" s="116"/>
      <c r="L51" s="170">
        <v>42074</v>
      </c>
      <c r="M51" s="116">
        <v>628.90495867768595</v>
      </c>
      <c r="N51" s="116">
        <v>641.31436745073097</v>
      </c>
      <c r="O51" s="116">
        <v>618.24062301335005</v>
      </c>
      <c r="P51" s="116">
        <v>629.48664971392202</v>
      </c>
      <c r="Q51" s="116">
        <v>648.70000000000005</v>
      </c>
      <c r="R51">
        <v>1772811</v>
      </c>
    </row>
    <row r="52" spans="1:18" x14ac:dyDescent="0.25">
      <c r="A52" s="170">
        <v>42075</v>
      </c>
      <c r="B52" s="116">
        <v>639.85913514341905</v>
      </c>
      <c r="C52" s="116">
        <v>635.30256251436697</v>
      </c>
      <c r="D52" s="116">
        <v>630.40667064698198</v>
      </c>
      <c r="E52" s="116">
        <v>634.042233914843</v>
      </c>
      <c r="F52" s="116">
        <v>655.29999999999995</v>
      </c>
      <c r="G52">
        <v>125382</v>
      </c>
      <c r="H52" s="116"/>
      <c r="I52" s="116"/>
      <c r="L52" s="170">
        <v>42075</v>
      </c>
      <c r="M52" s="116">
        <v>635.69135410044498</v>
      </c>
      <c r="N52" s="116">
        <v>639.56929434202198</v>
      </c>
      <c r="O52" s="116">
        <v>629.77749523204102</v>
      </c>
      <c r="P52" s="116">
        <v>634.04322949777497</v>
      </c>
      <c r="Q52" s="116">
        <v>655.7</v>
      </c>
      <c r="R52">
        <v>1030655</v>
      </c>
    </row>
    <row r="53" spans="1:18" x14ac:dyDescent="0.25">
      <c r="A53" s="170">
        <v>42076</v>
      </c>
      <c r="B53" s="116">
        <v>644.70655283389999</v>
      </c>
      <c r="C53" s="116">
        <v>614.84645986053999</v>
      </c>
      <c r="D53" s="116">
        <v>609.61124875482096</v>
      </c>
      <c r="E53" s="116">
        <v>641.21641209675397</v>
      </c>
      <c r="F53" s="116">
        <v>634.20000000000005</v>
      </c>
      <c r="G53">
        <v>239638</v>
      </c>
      <c r="H53" s="116"/>
      <c r="I53" s="116"/>
      <c r="L53" s="170">
        <v>42076</v>
      </c>
      <c r="M53" s="116">
        <v>614.75047679593104</v>
      </c>
      <c r="N53" s="116">
        <v>644.707565162111</v>
      </c>
      <c r="O53" s="116">
        <v>608.83661792752696</v>
      </c>
      <c r="P53" s="116">
        <v>639.61776859504096</v>
      </c>
      <c r="Q53" s="116">
        <v>634.1</v>
      </c>
      <c r="R53">
        <v>1402916</v>
      </c>
    </row>
    <row r="54" spans="1:18" x14ac:dyDescent="0.25">
      <c r="A54" s="170">
        <v>42079</v>
      </c>
      <c r="B54" s="116">
        <v>624.63824359530997</v>
      </c>
      <c r="C54" s="116">
        <v>620.56641273530704</v>
      </c>
      <c r="D54" s="116">
        <v>602.921812341958</v>
      </c>
      <c r="E54" s="116">
        <v>616.591530229113</v>
      </c>
      <c r="F54" s="116">
        <v>640.1</v>
      </c>
      <c r="G54">
        <v>250813</v>
      </c>
      <c r="H54" s="116"/>
      <c r="I54" s="116"/>
      <c r="L54" s="170">
        <v>42079</v>
      </c>
      <c r="M54" s="116">
        <v>620.47043865225703</v>
      </c>
      <c r="N54" s="116">
        <v>625.17244119516795</v>
      </c>
      <c r="O54" s="116">
        <v>602.53496503496501</v>
      </c>
      <c r="P54" s="116">
        <v>615.62301335028599</v>
      </c>
      <c r="Q54" s="116">
        <v>640</v>
      </c>
      <c r="R54">
        <v>1556627</v>
      </c>
    </row>
    <row r="55" spans="1:18" x14ac:dyDescent="0.25">
      <c r="A55" s="170">
        <v>42080</v>
      </c>
      <c r="B55" s="116">
        <v>629.58260963960004</v>
      </c>
      <c r="C55" s="116">
        <v>624.97756283364401</v>
      </c>
      <c r="D55" s="116">
        <v>615.62204669101698</v>
      </c>
      <c r="E55" s="116">
        <v>625.02603701054898</v>
      </c>
      <c r="F55" s="116">
        <v>644.65</v>
      </c>
      <c r="G55">
        <v>151233</v>
      </c>
      <c r="H55" s="116"/>
      <c r="I55" s="116"/>
      <c r="L55" s="170">
        <v>42080</v>
      </c>
      <c r="M55" s="116">
        <v>625.17244119516795</v>
      </c>
      <c r="N55" s="116">
        <v>629.68054672600101</v>
      </c>
      <c r="O55" s="116">
        <v>614.79895104895104</v>
      </c>
      <c r="P55" s="116">
        <v>623.62126509853795</v>
      </c>
      <c r="Q55" s="116">
        <v>644.85</v>
      </c>
      <c r="R55">
        <v>1019284</v>
      </c>
    </row>
    <row r="56" spans="1:18" x14ac:dyDescent="0.25">
      <c r="A56" s="170">
        <v>42081</v>
      </c>
      <c r="B56" s="116">
        <v>630.74598988531602</v>
      </c>
      <c r="C56" s="116">
        <v>625.607727133406</v>
      </c>
      <c r="D56" s="116">
        <v>619.79082590482994</v>
      </c>
      <c r="E56" s="116">
        <v>626.868055732931</v>
      </c>
      <c r="F56" s="116">
        <v>645.29999999999995</v>
      </c>
      <c r="G56">
        <v>88499</v>
      </c>
      <c r="H56" s="116"/>
      <c r="I56" s="116"/>
      <c r="L56" s="170">
        <v>42081</v>
      </c>
      <c r="M56" s="116">
        <v>624.44532739987301</v>
      </c>
      <c r="N56" s="116">
        <v>631.13477431659203</v>
      </c>
      <c r="O56" s="116">
        <v>619.98569612205995</v>
      </c>
      <c r="P56" s="116">
        <v>625.41481246026694</v>
      </c>
      <c r="Q56" s="116">
        <v>644.1</v>
      </c>
      <c r="R56">
        <v>700128</v>
      </c>
    </row>
    <row r="57" spans="1:18" x14ac:dyDescent="0.25">
      <c r="A57" s="170">
        <v>42082</v>
      </c>
      <c r="B57" s="116">
        <v>630.64904153150599</v>
      </c>
      <c r="C57" s="116">
        <v>599.43167160481198</v>
      </c>
      <c r="D57" s="116">
        <v>594.09951214528405</v>
      </c>
      <c r="E57" s="116">
        <v>630.06735140864896</v>
      </c>
      <c r="F57" s="116">
        <v>618.29999999999995</v>
      </c>
      <c r="G57">
        <v>185209</v>
      </c>
      <c r="H57" s="116"/>
      <c r="I57" s="116"/>
      <c r="L57" s="170">
        <v>42082</v>
      </c>
      <c r="M57" s="116">
        <v>599.86888111888095</v>
      </c>
      <c r="N57" s="116">
        <v>631.13477431659203</v>
      </c>
      <c r="O57" s="116">
        <v>594.63366179275295</v>
      </c>
      <c r="P57" s="116">
        <v>630.21376350921798</v>
      </c>
      <c r="Q57" s="116">
        <v>618.75</v>
      </c>
      <c r="R57">
        <v>1303932</v>
      </c>
    </row>
    <row r="58" spans="1:18" x14ac:dyDescent="0.25">
      <c r="A58" s="170">
        <v>42083</v>
      </c>
      <c r="B58" s="116">
        <v>602.04927715767201</v>
      </c>
      <c r="C58" s="116">
        <v>590.754793938852</v>
      </c>
      <c r="D58" s="116">
        <v>586.14974713289598</v>
      </c>
      <c r="E58" s="116">
        <v>599.043878189574</v>
      </c>
      <c r="F58" s="116">
        <v>609.35</v>
      </c>
      <c r="G58">
        <v>204603</v>
      </c>
      <c r="H58" s="116"/>
      <c r="I58" s="116"/>
      <c r="L58" s="170">
        <v>42083</v>
      </c>
      <c r="M58" s="116">
        <v>591.24046408137303</v>
      </c>
      <c r="N58" s="116">
        <v>602.34106802288602</v>
      </c>
      <c r="O58" s="116">
        <v>585.56897647806704</v>
      </c>
      <c r="P58" s="116">
        <v>598.17228226319105</v>
      </c>
      <c r="Q58" s="116">
        <v>609.85</v>
      </c>
      <c r="R58">
        <v>1880283</v>
      </c>
    </row>
    <row r="59" spans="1:18" x14ac:dyDescent="0.25">
      <c r="A59" s="170">
        <v>42086</v>
      </c>
      <c r="B59" s="116">
        <v>598.89845565885901</v>
      </c>
      <c r="C59" s="116">
        <v>579.16946565860405</v>
      </c>
      <c r="D59" s="116">
        <v>576.35796339812498</v>
      </c>
      <c r="E59" s="116">
        <v>591.38495823861501</v>
      </c>
      <c r="F59" s="116">
        <v>597.4</v>
      </c>
      <c r="G59">
        <v>170650</v>
      </c>
      <c r="H59" s="116"/>
      <c r="I59" s="116"/>
      <c r="L59" s="170">
        <v>42086</v>
      </c>
      <c r="M59" s="116">
        <v>578.05546726001296</v>
      </c>
      <c r="N59" s="116">
        <v>598.996344564526</v>
      </c>
      <c r="O59" s="116">
        <v>574.95311506675102</v>
      </c>
      <c r="P59" s="116">
        <v>593.567228226319</v>
      </c>
      <c r="Q59" s="116">
        <v>596.25</v>
      </c>
      <c r="R59">
        <v>1507910</v>
      </c>
    </row>
    <row r="60" spans="1:18" x14ac:dyDescent="0.25">
      <c r="A60" s="170">
        <v>42087</v>
      </c>
      <c r="B60" s="116">
        <v>579.50878489693798</v>
      </c>
      <c r="C60" s="116">
        <v>572.72240013026499</v>
      </c>
      <c r="D60" s="116">
        <v>563.51230651835203</v>
      </c>
      <c r="E60" s="116">
        <v>576.84270516717299</v>
      </c>
      <c r="F60" s="116">
        <v>590.75</v>
      </c>
      <c r="G60">
        <v>206696</v>
      </c>
      <c r="H60" s="116"/>
      <c r="I60" s="116"/>
      <c r="L60" s="170">
        <v>42087</v>
      </c>
      <c r="M60" s="116">
        <v>573.40193897012102</v>
      </c>
      <c r="N60" s="116">
        <v>579.99443738080095</v>
      </c>
      <c r="O60" s="116">
        <v>563.75556261919905</v>
      </c>
      <c r="P60" s="116">
        <v>575.43785759694799</v>
      </c>
      <c r="Q60" s="116">
        <v>591.45000000000005</v>
      </c>
      <c r="R60">
        <v>1381527</v>
      </c>
    </row>
    <row r="61" spans="1:18" x14ac:dyDescent="0.25">
      <c r="A61" s="170">
        <v>42088</v>
      </c>
      <c r="B61" s="116">
        <v>593.66324455313998</v>
      </c>
      <c r="C61" s="116">
        <v>589.49446533932701</v>
      </c>
      <c r="D61" s="116">
        <v>575.14610897550494</v>
      </c>
      <c r="E61" s="116">
        <v>575.87322162907697</v>
      </c>
      <c r="F61" s="116">
        <v>608.04999999999995</v>
      </c>
      <c r="G61">
        <v>178521</v>
      </c>
      <c r="H61" s="116"/>
      <c r="I61" s="116"/>
      <c r="L61" s="170">
        <v>42088</v>
      </c>
      <c r="M61" s="116">
        <v>590.22250476795898</v>
      </c>
      <c r="N61" s="116">
        <v>593.71265098537799</v>
      </c>
      <c r="O61" s="116">
        <v>574.95311506675102</v>
      </c>
      <c r="P61" s="116">
        <v>577.13445645263801</v>
      </c>
      <c r="Q61" s="116">
        <v>608.79999999999995</v>
      </c>
      <c r="R61">
        <v>1342173</v>
      </c>
    </row>
    <row r="62" spans="1:18" x14ac:dyDescent="0.25">
      <c r="A62" s="170">
        <v>42089</v>
      </c>
      <c r="B62" s="116">
        <v>595.50526327552302</v>
      </c>
      <c r="C62" s="116">
        <v>582.70808057265504</v>
      </c>
      <c r="D62" s="116">
        <v>578.15150794360295</v>
      </c>
      <c r="E62" s="116">
        <v>587.02228231718198</v>
      </c>
      <c r="F62" s="116">
        <v>601.04999999999995</v>
      </c>
      <c r="G62">
        <v>146662</v>
      </c>
      <c r="H62" s="116"/>
      <c r="I62" s="116"/>
      <c r="L62" s="170">
        <v>42089</v>
      </c>
      <c r="M62" s="116">
        <v>583.14526382708198</v>
      </c>
      <c r="N62" s="116">
        <v>595.70009535918598</v>
      </c>
      <c r="O62" s="116">
        <v>577.86157024793397</v>
      </c>
      <c r="P62" s="116">
        <v>586.34456452638301</v>
      </c>
      <c r="Q62" s="116">
        <v>601.5</v>
      </c>
      <c r="R62">
        <v>2238936</v>
      </c>
    </row>
    <row r="63" spans="1:18" x14ac:dyDescent="0.25">
      <c r="A63" s="170">
        <v>42090</v>
      </c>
      <c r="B63" s="116">
        <v>582.85350310336901</v>
      </c>
      <c r="C63" s="116">
        <v>576.40643757503005</v>
      </c>
      <c r="D63" s="116">
        <v>566.178386248116</v>
      </c>
      <c r="E63" s="116">
        <v>582.75655474955897</v>
      </c>
      <c r="F63" s="116">
        <v>594.54999999999995</v>
      </c>
      <c r="G63">
        <v>176216</v>
      </c>
      <c r="H63" s="116"/>
      <c r="I63" s="116"/>
      <c r="L63" s="170">
        <v>42090</v>
      </c>
      <c r="M63" s="116">
        <v>577.085982199618</v>
      </c>
      <c r="N63" s="116">
        <v>581.69103623649096</v>
      </c>
      <c r="O63" s="116">
        <v>565.59758423394806</v>
      </c>
      <c r="P63" s="116">
        <v>581.69103623649096</v>
      </c>
      <c r="Q63" s="116">
        <v>595.25</v>
      </c>
      <c r="R63">
        <v>1079853</v>
      </c>
    </row>
    <row r="64" spans="1:18" x14ac:dyDescent="0.25">
      <c r="A64" s="170">
        <v>42093</v>
      </c>
      <c r="B64" s="116">
        <v>605.92721131005601</v>
      </c>
      <c r="C64" s="116">
        <v>599.77099084314602</v>
      </c>
      <c r="D64" s="116">
        <v>583.67756411075095</v>
      </c>
      <c r="E64" s="116">
        <v>601.07979361957598</v>
      </c>
      <c r="F64" s="116">
        <v>618.65</v>
      </c>
      <c r="G64">
        <v>126814</v>
      </c>
      <c r="H64" s="116"/>
      <c r="I64" s="116"/>
      <c r="L64" s="170">
        <v>42093</v>
      </c>
      <c r="M64" s="116">
        <v>599.86888111888095</v>
      </c>
      <c r="N64" s="116">
        <v>601.08073744437399</v>
      </c>
      <c r="O64" s="116">
        <v>583.14526382708198</v>
      </c>
      <c r="P64" s="116">
        <v>584.59949141767299</v>
      </c>
      <c r="Q64" s="116">
        <v>618.75</v>
      </c>
      <c r="R64">
        <v>860685</v>
      </c>
    </row>
    <row r="65" spans="1:18" x14ac:dyDescent="0.25">
      <c r="A65" s="170">
        <v>42094</v>
      </c>
      <c r="B65" s="116">
        <v>613.68307961482503</v>
      </c>
      <c r="C65" s="116">
        <v>596.62016934433302</v>
      </c>
      <c r="D65" s="116">
        <v>592.35444177671104</v>
      </c>
      <c r="E65" s="116">
        <v>604.76383106434105</v>
      </c>
      <c r="F65" s="116">
        <v>615.4</v>
      </c>
      <c r="G65">
        <v>162765</v>
      </c>
      <c r="H65" s="116"/>
      <c r="I65" s="116"/>
      <c r="L65" s="170">
        <v>42094</v>
      </c>
      <c r="M65" s="116">
        <v>596.57263191354104</v>
      </c>
      <c r="N65" s="116">
        <v>613.684043229498</v>
      </c>
      <c r="O65" s="116">
        <v>592.98553719008305</v>
      </c>
      <c r="P65" s="116">
        <v>603.11665607120199</v>
      </c>
      <c r="Q65" s="116">
        <v>615.35</v>
      </c>
      <c r="R65">
        <v>1254981</v>
      </c>
    </row>
    <row r="66" spans="1:18" x14ac:dyDescent="0.25">
      <c r="A66" s="170">
        <v>42095</v>
      </c>
      <c r="B66" s="116">
        <v>599.043878189574</v>
      </c>
      <c r="C66" s="116">
        <v>594.29340885290299</v>
      </c>
      <c r="D66" s="116">
        <v>585.56805701003805</v>
      </c>
      <c r="E66" s="116">
        <v>592.16054506909097</v>
      </c>
      <c r="F66" s="116">
        <v>613</v>
      </c>
      <c r="G66">
        <v>134060</v>
      </c>
      <c r="H66" s="116"/>
      <c r="I66" s="116"/>
      <c r="L66" s="170">
        <v>42095</v>
      </c>
      <c r="M66" s="116">
        <v>593.71265098537799</v>
      </c>
      <c r="N66" s="116">
        <v>597.00890019071801</v>
      </c>
      <c r="O66" s="116">
        <v>584.59949141767299</v>
      </c>
      <c r="P66" s="116">
        <v>590.22250476795898</v>
      </c>
      <c r="Q66" s="116">
        <v>612.4</v>
      </c>
      <c r="R66">
        <v>868006</v>
      </c>
    </row>
    <row r="67" spans="1:18" x14ac:dyDescent="0.25">
      <c r="A67" s="170">
        <v>42100</v>
      </c>
      <c r="B67" s="116">
        <v>614.36171809149198</v>
      </c>
      <c r="C67" s="116">
        <v>608.93261027815402</v>
      </c>
      <c r="D67" s="116">
        <v>595.16594403718898</v>
      </c>
      <c r="E67" s="116">
        <v>596.23237592909504</v>
      </c>
      <c r="F67" s="116">
        <v>628.1</v>
      </c>
      <c r="G67">
        <v>118673</v>
      </c>
      <c r="H67" s="116"/>
      <c r="I67" s="116"/>
      <c r="L67" s="170">
        <v>42100</v>
      </c>
      <c r="M67" s="116">
        <v>609.80610298792101</v>
      </c>
      <c r="N67" s="116">
        <v>615.62301335028599</v>
      </c>
      <c r="O67" s="116">
        <v>593.95502225047699</v>
      </c>
      <c r="P67" s="116">
        <v>596.23331214240295</v>
      </c>
      <c r="Q67" s="116">
        <v>629</v>
      </c>
      <c r="R67">
        <v>820494</v>
      </c>
    </row>
    <row r="68" spans="1:18" x14ac:dyDescent="0.25">
      <c r="A68" s="170">
        <v>42101</v>
      </c>
      <c r="B68" s="116">
        <v>623.66876005721394</v>
      </c>
      <c r="C68" s="116">
        <v>620.76030944292597</v>
      </c>
      <c r="D68" s="116">
        <v>606.70279814053299</v>
      </c>
      <c r="E68" s="116">
        <v>616.68847858292304</v>
      </c>
      <c r="F68" s="116">
        <v>640.29999999999995</v>
      </c>
      <c r="G68">
        <v>172764</v>
      </c>
      <c r="H68" s="116"/>
      <c r="I68" s="116"/>
      <c r="L68" s="170">
        <v>42101</v>
      </c>
      <c r="M68" s="116">
        <v>621.39144945963096</v>
      </c>
      <c r="N68" s="116">
        <v>625.22091544818795</v>
      </c>
      <c r="O68" s="116">
        <v>606.46137952956099</v>
      </c>
      <c r="P68" s="116">
        <v>615.62301335028599</v>
      </c>
      <c r="Q68" s="116">
        <v>640.95000000000005</v>
      </c>
      <c r="R68">
        <v>1257131</v>
      </c>
    </row>
    <row r="69" spans="1:18" x14ac:dyDescent="0.25">
      <c r="A69" s="170">
        <v>42102</v>
      </c>
      <c r="B69" s="116">
        <v>629.97040305483904</v>
      </c>
      <c r="C69" s="116">
        <v>625.07451118745405</v>
      </c>
      <c r="D69" s="116">
        <v>615.04035656815904</v>
      </c>
      <c r="E69" s="116">
        <v>621.53589627340295</v>
      </c>
      <c r="F69" s="116">
        <v>644.75</v>
      </c>
      <c r="G69">
        <v>158905</v>
      </c>
      <c r="H69" s="116"/>
      <c r="I69" s="116"/>
      <c r="L69" s="170">
        <v>42102</v>
      </c>
      <c r="M69" s="116">
        <v>625.17244119516795</v>
      </c>
      <c r="N69" s="116">
        <v>629.09885568976495</v>
      </c>
      <c r="O69" s="116">
        <v>614.65352828989205</v>
      </c>
      <c r="P69" s="116">
        <v>624.25143038779402</v>
      </c>
      <c r="Q69" s="116">
        <v>644.85</v>
      </c>
      <c r="R69">
        <v>1526304</v>
      </c>
    </row>
    <row r="70" spans="1:18" x14ac:dyDescent="0.25">
      <c r="A70" s="170">
        <v>42103</v>
      </c>
      <c r="B70" s="116">
        <v>629.19481622436194</v>
      </c>
      <c r="C70" s="116">
        <v>619.98472261244899</v>
      </c>
      <c r="D70" s="116">
        <v>613.97392467625298</v>
      </c>
      <c r="E70" s="116">
        <v>629.19481622436194</v>
      </c>
      <c r="F70" s="116">
        <v>639.5</v>
      </c>
      <c r="G70">
        <v>76148</v>
      </c>
      <c r="H70" s="116"/>
      <c r="I70" s="116"/>
      <c r="L70" s="170">
        <v>42103</v>
      </c>
      <c r="M70" s="116">
        <v>620.47043865225703</v>
      </c>
      <c r="N70" s="116">
        <v>627.15988556897605</v>
      </c>
      <c r="O70" s="116">
        <v>613.24777495232001</v>
      </c>
      <c r="P70" s="116">
        <v>627.15988556897605</v>
      </c>
      <c r="Q70" s="116">
        <v>640</v>
      </c>
      <c r="R70">
        <v>630391</v>
      </c>
    </row>
    <row r="71" spans="1:18" x14ac:dyDescent="0.25">
      <c r="A71" s="170">
        <v>42104</v>
      </c>
      <c r="B71" s="116">
        <v>622.79622487292795</v>
      </c>
      <c r="C71" s="116">
        <v>617.94880718244701</v>
      </c>
      <c r="D71" s="116">
        <v>606.65432396362803</v>
      </c>
      <c r="E71" s="116">
        <v>610.77462900053604</v>
      </c>
      <c r="F71" s="116">
        <v>637.4</v>
      </c>
      <c r="G71">
        <v>99720</v>
      </c>
      <c r="H71" s="116"/>
      <c r="I71" s="116"/>
      <c r="L71" s="170">
        <v>42104</v>
      </c>
      <c r="M71" s="116">
        <v>618.57994278448803</v>
      </c>
      <c r="N71" s="116">
        <v>622.99109980928199</v>
      </c>
      <c r="O71" s="116">
        <v>606.21900826446301</v>
      </c>
      <c r="P71" s="116">
        <v>610.82406230133495</v>
      </c>
      <c r="Q71" s="116">
        <v>638.04999999999995</v>
      </c>
      <c r="R71">
        <v>1007562</v>
      </c>
    </row>
    <row r="72" spans="1:18" x14ac:dyDescent="0.25">
      <c r="A72" s="170">
        <v>42107</v>
      </c>
      <c r="B72" s="116">
        <v>643.25232752675504</v>
      </c>
      <c r="C72" s="116">
        <v>641.70115386580198</v>
      </c>
      <c r="D72" s="116">
        <v>615.62204669101698</v>
      </c>
      <c r="E72" s="116">
        <v>617.56101376720903</v>
      </c>
      <c r="F72" s="116">
        <v>661.9</v>
      </c>
      <c r="G72">
        <v>174268</v>
      </c>
      <c r="H72" s="116"/>
      <c r="I72" s="116"/>
      <c r="L72" s="170">
        <v>42107</v>
      </c>
      <c r="M72" s="116">
        <v>641.60521296884895</v>
      </c>
      <c r="N72" s="116">
        <v>643.73808010171604</v>
      </c>
      <c r="O72" s="116">
        <v>615.62301335028599</v>
      </c>
      <c r="P72" s="116">
        <v>618.04672600127105</v>
      </c>
      <c r="Q72" s="116">
        <v>661.8</v>
      </c>
      <c r="R72">
        <v>1597149</v>
      </c>
    </row>
    <row r="73" spans="1:18" x14ac:dyDescent="0.25">
      <c r="A73" s="170">
        <v>42109</v>
      </c>
      <c r="B73" s="116">
        <v>648.97228040152197</v>
      </c>
      <c r="C73" s="116">
        <v>626.77110737912199</v>
      </c>
      <c r="D73" s="116">
        <v>621.729792981022</v>
      </c>
      <c r="E73" s="116">
        <v>644.51265612628004</v>
      </c>
      <c r="F73" s="116">
        <v>646.5</v>
      </c>
      <c r="G73">
        <v>116986</v>
      </c>
      <c r="H73" s="116"/>
      <c r="I73" s="116"/>
      <c r="L73" s="170">
        <v>42109</v>
      </c>
      <c r="M73" s="116">
        <v>625.70565797838503</v>
      </c>
      <c r="N73" s="116">
        <v>648.68245390972697</v>
      </c>
      <c r="O73" s="116">
        <v>620.66433566433602</v>
      </c>
      <c r="P73" s="116">
        <v>643.54418308963795</v>
      </c>
      <c r="Q73" s="116">
        <v>645.4</v>
      </c>
      <c r="R73">
        <v>1197566</v>
      </c>
    </row>
    <row r="74" spans="1:18" x14ac:dyDescent="0.25">
      <c r="A74" s="170">
        <v>42110</v>
      </c>
      <c r="B74" s="116">
        <v>635.01171745293902</v>
      </c>
      <c r="C74" s="116">
        <v>621.09962868126001</v>
      </c>
      <c r="D74" s="116">
        <v>613.68307961482503</v>
      </c>
      <c r="E74" s="116">
        <v>628.22533268626603</v>
      </c>
      <c r="F74" s="116">
        <v>640.65</v>
      </c>
      <c r="G74">
        <v>122899</v>
      </c>
      <c r="H74" s="116"/>
      <c r="I74" s="116"/>
      <c r="L74" s="170">
        <v>42110</v>
      </c>
      <c r="M74" s="116">
        <v>621.19755244755197</v>
      </c>
      <c r="N74" s="116">
        <v>635.06118881118903</v>
      </c>
      <c r="O74" s="116">
        <v>613.684043229498</v>
      </c>
      <c r="P74" s="116">
        <v>625.51176096630604</v>
      </c>
      <c r="Q74" s="116">
        <v>640.75</v>
      </c>
      <c r="R74">
        <v>1074559</v>
      </c>
    </row>
    <row r="75" spans="1:18" x14ac:dyDescent="0.25">
      <c r="A75" s="170">
        <v>42111</v>
      </c>
      <c r="B75" s="116">
        <v>629.72803217031503</v>
      </c>
      <c r="C75" s="116">
        <v>623.232492465071</v>
      </c>
      <c r="D75" s="116">
        <v>616.68847858292304</v>
      </c>
      <c r="E75" s="116">
        <v>621.09962868126001</v>
      </c>
      <c r="F75" s="116">
        <v>642.85</v>
      </c>
      <c r="G75">
        <v>752159</v>
      </c>
      <c r="H75" s="116"/>
      <c r="I75" s="116"/>
      <c r="L75" s="170">
        <v>42111</v>
      </c>
      <c r="M75" s="116">
        <v>622.89415130324198</v>
      </c>
      <c r="N75" s="116">
        <v>629.77749523204102</v>
      </c>
      <c r="O75" s="116">
        <v>616.73792116973902</v>
      </c>
      <c r="P75" s="116">
        <v>620.47043865225703</v>
      </c>
      <c r="Q75" s="116">
        <v>642.5</v>
      </c>
      <c r="R75">
        <v>936853</v>
      </c>
    </row>
    <row r="76" spans="1:18" x14ac:dyDescent="0.25">
      <c r="A76" s="170">
        <v>42114</v>
      </c>
      <c r="B76" s="116">
        <v>627.49822003269401</v>
      </c>
      <c r="C76" s="116">
        <v>622.45690563459402</v>
      </c>
      <c r="D76" s="116">
        <v>612.713596076729</v>
      </c>
      <c r="E76" s="116">
        <v>622.84469904983303</v>
      </c>
      <c r="F76" s="116">
        <v>642.04999999999995</v>
      </c>
      <c r="G76">
        <v>179196</v>
      </c>
      <c r="H76" s="116"/>
      <c r="I76" s="116"/>
      <c r="L76" s="170">
        <v>42114</v>
      </c>
      <c r="M76" s="116">
        <v>622.16703750794704</v>
      </c>
      <c r="N76" s="116">
        <v>628.032422123331</v>
      </c>
      <c r="O76" s="116">
        <v>612.71455816910395</v>
      </c>
      <c r="P76" s="116">
        <v>622.89415130324198</v>
      </c>
      <c r="Q76" s="116">
        <v>641.75</v>
      </c>
      <c r="R76">
        <v>1270180</v>
      </c>
    </row>
    <row r="77" spans="1:18" x14ac:dyDescent="0.25">
      <c r="A77" s="170">
        <v>42115</v>
      </c>
      <c r="B77" s="116">
        <v>641.07098956603897</v>
      </c>
      <c r="C77" s="116">
        <v>632.636482784603</v>
      </c>
      <c r="D77" s="116">
        <v>616.15526263696995</v>
      </c>
      <c r="E77" s="116">
        <v>621.43894791959303</v>
      </c>
      <c r="F77" s="116">
        <v>652.54999999999995</v>
      </c>
      <c r="G77">
        <v>188086</v>
      </c>
      <c r="H77" s="116"/>
      <c r="I77" s="116"/>
      <c r="L77" s="170">
        <v>42115</v>
      </c>
      <c r="M77" s="116">
        <v>631.32867132867102</v>
      </c>
      <c r="N77" s="116">
        <v>640.68420216147501</v>
      </c>
      <c r="O77" s="116">
        <v>615.62301335028599</v>
      </c>
      <c r="P77" s="116">
        <v>620.47043865225703</v>
      </c>
      <c r="Q77" s="116">
        <v>651.20000000000005</v>
      </c>
      <c r="R77">
        <v>1713729</v>
      </c>
    </row>
    <row r="78" spans="1:18" x14ac:dyDescent="0.25">
      <c r="A78" s="170">
        <v>42116</v>
      </c>
      <c r="B78" s="116">
        <v>644.60960448008996</v>
      </c>
      <c r="C78" s="116">
        <v>639.81066096651398</v>
      </c>
      <c r="D78" s="116">
        <v>625.85009801793103</v>
      </c>
      <c r="E78" s="116">
        <v>633.12122455365102</v>
      </c>
      <c r="F78" s="116">
        <v>659.95</v>
      </c>
      <c r="G78">
        <v>158734</v>
      </c>
      <c r="H78" s="116"/>
      <c r="I78" s="116"/>
      <c r="L78" s="170">
        <v>42116</v>
      </c>
      <c r="M78" s="116">
        <v>640.05403687221894</v>
      </c>
      <c r="N78" s="116">
        <v>644.416719643992</v>
      </c>
      <c r="O78" s="116">
        <v>625.85108073744402</v>
      </c>
      <c r="P78" s="116">
        <v>635.83677685950397</v>
      </c>
      <c r="Q78" s="116">
        <v>660.2</v>
      </c>
      <c r="R78">
        <v>1406253</v>
      </c>
    </row>
    <row r="79" spans="1:18" x14ac:dyDescent="0.25">
      <c r="A79" s="170">
        <v>42117</v>
      </c>
      <c r="B79" s="116">
        <v>657.21289047533901</v>
      </c>
      <c r="C79" s="116">
        <v>651.444463423667</v>
      </c>
      <c r="D79" s="116">
        <v>640.73167032770596</v>
      </c>
      <c r="E79" s="116">
        <v>641.99199892723095</v>
      </c>
      <c r="F79" s="116">
        <v>671.95</v>
      </c>
      <c r="G79">
        <v>166468</v>
      </c>
      <c r="H79" s="116"/>
      <c r="I79" s="116"/>
      <c r="L79" s="170">
        <v>42117</v>
      </c>
      <c r="M79" s="116">
        <v>652.17260012714598</v>
      </c>
      <c r="N79" s="116">
        <v>657.79561347743197</v>
      </c>
      <c r="O79" s="116">
        <v>639.95708836617905</v>
      </c>
      <c r="P79" s="116">
        <v>644.85298792116998</v>
      </c>
      <c r="Q79" s="116">
        <v>672.7</v>
      </c>
      <c r="R79">
        <v>1454115</v>
      </c>
    </row>
    <row r="80" spans="1:18" x14ac:dyDescent="0.25">
      <c r="A80" s="170">
        <v>42118</v>
      </c>
      <c r="B80" s="116">
        <v>650.52345406247605</v>
      </c>
      <c r="C80" s="116">
        <v>639.277445020561</v>
      </c>
      <c r="D80" s="116">
        <v>633.65444049960399</v>
      </c>
      <c r="E80" s="116">
        <v>645.19129460294801</v>
      </c>
      <c r="F80" s="116">
        <v>659.4</v>
      </c>
      <c r="G80">
        <v>97276</v>
      </c>
      <c r="H80" s="116"/>
      <c r="I80" s="116"/>
      <c r="L80" s="170">
        <v>42118</v>
      </c>
      <c r="M80" s="116">
        <v>640.10251112523804</v>
      </c>
      <c r="N80" s="116">
        <v>651.44548633185002</v>
      </c>
      <c r="O80" s="116">
        <v>633.07374443738104</v>
      </c>
      <c r="P80" s="116">
        <v>651.44548633185002</v>
      </c>
      <c r="Q80" s="116">
        <v>660.25</v>
      </c>
      <c r="R80">
        <v>1203432</v>
      </c>
    </row>
    <row r="81" spans="1:18" x14ac:dyDescent="0.25">
      <c r="A81" s="170">
        <v>42121</v>
      </c>
      <c r="B81" s="116">
        <v>646.30620067175801</v>
      </c>
      <c r="C81" s="116">
        <v>632.636482784603</v>
      </c>
      <c r="D81" s="116">
        <v>618.82134236673403</v>
      </c>
      <c r="E81" s="116">
        <v>639.277445020561</v>
      </c>
      <c r="F81" s="116">
        <v>652.54999999999995</v>
      </c>
      <c r="G81">
        <v>131959</v>
      </c>
      <c r="H81" s="116"/>
      <c r="I81" s="116"/>
      <c r="L81" s="170">
        <v>42121</v>
      </c>
      <c r="M81" s="116">
        <v>634.04322949777497</v>
      </c>
      <c r="N81" s="116">
        <v>647.13127781309595</v>
      </c>
      <c r="O81" s="116">
        <v>620.66433566433602</v>
      </c>
      <c r="P81" s="116">
        <v>641.75063572790805</v>
      </c>
      <c r="Q81" s="116">
        <v>654</v>
      </c>
      <c r="R81">
        <v>1019119</v>
      </c>
    </row>
    <row r="82" spans="1:18" x14ac:dyDescent="0.25">
      <c r="A82" s="170">
        <v>42122</v>
      </c>
      <c r="B82" s="116">
        <v>635.73883010651105</v>
      </c>
      <c r="C82" s="116">
        <v>632.97580202293705</v>
      </c>
      <c r="D82" s="116">
        <v>621.43894791959303</v>
      </c>
      <c r="E82" s="116">
        <v>627.93448762483695</v>
      </c>
      <c r="F82" s="116">
        <v>652.9</v>
      </c>
      <c r="G82">
        <v>96558</v>
      </c>
      <c r="H82" s="116"/>
      <c r="I82" s="116"/>
      <c r="L82" s="170">
        <v>42122</v>
      </c>
      <c r="M82" s="116">
        <v>633.99475524475497</v>
      </c>
      <c r="N82" s="116">
        <v>636.66083916083903</v>
      </c>
      <c r="O82" s="116">
        <v>620.51891290527601</v>
      </c>
      <c r="P82" s="116">
        <v>625.56023521932605</v>
      </c>
      <c r="Q82" s="116">
        <v>653.95000000000005</v>
      </c>
      <c r="R82">
        <v>893670</v>
      </c>
    </row>
    <row r="83" spans="1:18" x14ac:dyDescent="0.25">
      <c r="A83" s="170">
        <v>42123</v>
      </c>
      <c r="B83" s="116">
        <v>659.92744438200805</v>
      </c>
      <c r="C83" s="116">
        <v>655.37087175295699</v>
      </c>
      <c r="D83" s="116">
        <v>634.72087239151006</v>
      </c>
      <c r="E83" s="116">
        <v>638.01711642103601</v>
      </c>
      <c r="F83" s="116">
        <v>676</v>
      </c>
      <c r="G83">
        <v>143463</v>
      </c>
      <c r="H83" s="116"/>
      <c r="I83" s="116"/>
      <c r="L83" s="170">
        <v>42123</v>
      </c>
      <c r="M83" s="116">
        <v>656.82612841703701</v>
      </c>
      <c r="N83" s="116">
        <v>662.15829624920502</v>
      </c>
      <c r="O83" s="116">
        <v>633.94628099173497</v>
      </c>
      <c r="P83" s="116">
        <v>635.93372536554398</v>
      </c>
      <c r="Q83" s="116">
        <v>677.5</v>
      </c>
      <c r="R83">
        <v>1183606</v>
      </c>
    </row>
    <row r="84" spans="1:18" x14ac:dyDescent="0.25">
      <c r="A84" s="170">
        <v>42124</v>
      </c>
      <c r="B84" s="116">
        <v>667.39246762534799</v>
      </c>
      <c r="C84" s="116">
        <v>653.62580138438398</v>
      </c>
      <c r="D84" s="116">
        <v>650.76582494700006</v>
      </c>
      <c r="E84" s="116">
        <v>656.34035529105302</v>
      </c>
      <c r="F84" s="116">
        <v>674.2</v>
      </c>
      <c r="G84">
        <v>169565</v>
      </c>
      <c r="H84" s="116"/>
      <c r="I84" s="116"/>
      <c r="L84" s="170">
        <v>42124</v>
      </c>
      <c r="M84" s="116">
        <v>653.626827717737</v>
      </c>
      <c r="N84" s="116">
        <v>667.97520661157</v>
      </c>
      <c r="O84" s="116">
        <v>650.23363000635698</v>
      </c>
      <c r="P84" s="116">
        <v>657.310870947235</v>
      </c>
      <c r="Q84" s="116">
        <v>674.2</v>
      </c>
      <c r="R84">
        <v>2009750</v>
      </c>
    </row>
    <row r="85" spans="1:18" x14ac:dyDescent="0.25">
      <c r="A85" s="170">
        <v>42128</v>
      </c>
      <c r="B85" s="116">
        <v>690.17533077060602</v>
      </c>
      <c r="C85" s="116">
        <v>684.60080042655397</v>
      </c>
      <c r="D85" s="116">
        <v>650.76582494700006</v>
      </c>
      <c r="E85" s="116">
        <v>658.86101249010198</v>
      </c>
      <c r="F85" s="116">
        <v>706.15</v>
      </c>
      <c r="G85">
        <v>240666</v>
      </c>
      <c r="H85" s="116"/>
      <c r="I85" s="116"/>
      <c r="L85" s="170">
        <v>42128</v>
      </c>
      <c r="M85" s="116">
        <v>686.007628734901</v>
      </c>
      <c r="N85" s="116">
        <v>691.04895104895104</v>
      </c>
      <c r="O85" s="116">
        <v>650.52447552447597</v>
      </c>
      <c r="P85" s="116">
        <v>657.310870947235</v>
      </c>
      <c r="Q85" s="116">
        <v>707.6</v>
      </c>
      <c r="R85">
        <v>1780976</v>
      </c>
    </row>
    <row r="86" spans="1:18" x14ac:dyDescent="0.25">
      <c r="A86" s="170">
        <v>42129</v>
      </c>
      <c r="B86" s="116">
        <v>702.82709094276004</v>
      </c>
      <c r="C86" s="116">
        <v>693.52004897703796</v>
      </c>
      <c r="D86" s="116">
        <v>681.06218551250299</v>
      </c>
      <c r="E86" s="116">
        <v>688.333312048224</v>
      </c>
      <c r="F86" s="116">
        <v>715.35</v>
      </c>
      <c r="G86">
        <v>226960</v>
      </c>
      <c r="H86" s="116"/>
      <c r="I86" s="116"/>
      <c r="L86" s="170">
        <v>42129</v>
      </c>
      <c r="M86" s="116">
        <v>693.618086458996</v>
      </c>
      <c r="N86" s="116">
        <v>702.87666878575999</v>
      </c>
      <c r="O86" s="116">
        <v>680.820883661793</v>
      </c>
      <c r="P86" s="116">
        <v>688.33439287984697</v>
      </c>
      <c r="Q86" s="116">
        <v>715.45</v>
      </c>
      <c r="R86">
        <v>1521327</v>
      </c>
    </row>
    <row r="87" spans="1:18" x14ac:dyDescent="0.25">
      <c r="A87" s="170">
        <v>42130</v>
      </c>
      <c r="B87" s="116">
        <v>688.38178622512805</v>
      </c>
      <c r="C87" s="116">
        <v>656.82509706010103</v>
      </c>
      <c r="D87" s="116">
        <v>652.07462772343001</v>
      </c>
      <c r="E87" s="116">
        <v>683.48589435774295</v>
      </c>
      <c r="F87" s="116">
        <v>677.5</v>
      </c>
      <c r="G87">
        <v>154020</v>
      </c>
      <c r="H87" s="116"/>
      <c r="I87" s="116"/>
      <c r="L87" s="170">
        <v>42130</v>
      </c>
      <c r="M87" s="116">
        <v>657.94103623649096</v>
      </c>
      <c r="N87" s="116">
        <v>688.33439287984697</v>
      </c>
      <c r="O87" s="116">
        <v>652.46344564526396</v>
      </c>
      <c r="P87" s="116">
        <v>687.51033057851203</v>
      </c>
      <c r="Q87" s="116">
        <v>678.65</v>
      </c>
      <c r="R87">
        <v>1425160</v>
      </c>
    </row>
    <row r="88" spans="1:18" x14ac:dyDescent="0.25">
      <c r="A88" s="170">
        <v>42131</v>
      </c>
      <c r="B88" s="116">
        <v>653.48037885366898</v>
      </c>
      <c r="C88" s="116">
        <v>629.43718710888595</v>
      </c>
      <c r="D88" s="116">
        <v>614.41019226839705</v>
      </c>
      <c r="E88" s="116">
        <v>653.48037885366898</v>
      </c>
      <c r="F88" s="116">
        <v>649.25</v>
      </c>
      <c r="G88">
        <v>151630</v>
      </c>
      <c r="H88" s="116"/>
      <c r="I88" s="116"/>
      <c r="L88" s="170">
        <v>42131</v>
      </c>
      <c r="M88" s="116">
        <v>629.82596948506</v>
      </c>
      <c r="N88" s="116">
        <v>654.40241576605194</v>
      </c>
      <c r="O88" s="116">
        <v>614.16878575969497</v>
      </c>
      <c r="P88" s="116">
        <v>652.51191989828305</v>
      </c>
      <c r="Q88" s="116">
        <v>649.65</v>
      </c>
      <c r="R88">
        <v>1032457</v>
      </c>
    </row>
    <row r="89" spans="1:18" x14ac:dyDescent="0.25">
      <c r="A89" s="170">
        <v>42132</v>
      </c>
      <c r="B89" s="116">
        <v>666.85925167939502</v>
      </c>
      <c r="C89" s="116">
        <v>662.35115322724801</v>
      </c>
      <c r="D89" s="116">
        <v>635.73883010651105</v>
      </c>
      <c r="E89" s="116">
        <v>638.45338401317997</v>
      </c>
      <c r="F89" s="116">
        <v>683.2</v>
      </c>
      <c r="G89">
        <v>151329</v>
      </c>
      <c r="H89" s="116"/>
      <c r="I89" s="116"/>
      <c r="L89" s="170">
        <v>42132</v>
      </c>
      <c r="M89" s="116">
        <v>663.27320406865897</v>
      </c>
      <c r="N89" s="116">
        <v>667.97520661157</v>
      </c>
      <c r="O89" s="116">
        <v>636.95168467895701</v>
      </c>
      <c r="P89" s="116">
        <v>640.10251112523804</v>
      </c>
      <c r="Q89" s="116">
        <v>684.15</v>
      </c>
      <c r="R89">
        <v>1002075</v>
      </c>
    </row>
    <row r="90" spans="1:18" x14ac:dyDescent="0.25">
      <c r="A90" s="170">
        <v>42135</v>
      </c>
      <c r="B90" s="116">
        <v>687.80009610227103</v>
      </c>
      <c r="C90" s="116">
        <v>684.69774878036299</v>
      </c>
      <c r="D90" s="116">
        <v>668.94364128630195</v>
      </c>
      <c r="E90" s="116">
        <v>673.50021391535302</v>
      </c>
      <c r="F90" s="116">
        <v>706.25</v>
      </c>
      <c r="G90">
        <v>121386</v>
      </c>
      <c r="H90" s="116"/>
      <c r="I90" s="116"/>
      <c r="L90" s="170">
        <v>42135</v>
      </c>
      <c r="M90" s="116">
        <v>685.57136045772404</v>
      </c>
      <c r="N90" s="116">
        <v>688.33439287984697</v>
      </c>
      <c r="O90" s="116">
        <v>667.58741258741304</v>
      </c>
      <c r="P90" s="116">
        <v>670.88366179275295</v>
      </c>
      <c r="Q90" s="116">
        <v>707.15</v>
      </c>
      <c r="R90">
        <v>957999</v>
      </c>
    </row>
    <row r="91" spans="1:18" x14ac:dyDescent="0.25">
      <c r="A91" s="170">
        <v>42136</v>
      </c>
      <c r="B91" s="116">
        <v>686.39434497203104</v>
      </c>
      <c r="C91" s="116">
        <v>653.04411126152604</v>
      </c>
      <c r="D91" s="116">
        <v>649.55397052438002</v>
      </c>
      <c r="E91" s="116">
        <v>685.57028396465</v>
      </c>
      <c r="F91" s="116">
        <v>673.6</v>
      </c>
      <c r="G91">
        <v>180850</v>
      </c>
      <c r="H91" s="116"/>
      <c r="I91" s="116"/>
      <c r="L91" s="170">
        <v>42136</v>
      </c>
      <c r="M91" s="116">
        <v>653.09361093452003</v>
      </c>
      <c r="N91" s="116">
        <v>685.66830896376302</v>
      </c>
      <c r="O91" s="116">
        <v>649.55499046408102</v>
      </c>
      <c r="P91" s="116">
        <v>685.42593769866505</v>
      </c>
      <c r="Q91" s="116">
        <v>673.65</v>
      </c>
      <c r="R91">
        <v>1050621</v>
      </c>
    </row>
    <row r="92" spans="1:18" x14ac:dyDescent="0.25">
      <c r="A92" s="170">
        <v>42137</v>
      </c>
      <c r="B92" s="116">
        <v>705.78401573395297</v>
      </c>
      <c r="C92" s="116">
        <v>698.56136337513703</v>
      </c>
      <c r="D92" s="116">
        <v>654.88612998390795</v>
      </c>
      <c r="E92" s="116">
        <v>654.88612998390795</v>
      </c>
      <c r="F92" s="116">
        <v>720.55</v>
      </c>
      <c r="G92">
        <v>812832</v>
      </c>
      <c r="H92" s="116"/>
      <c r="I92" s="116"/>
      <c r="L92" s="170">
        <v>42137</v>
      </c>
      <c r="M92" s="116">
        <v>700.16211061665604</v>
      </c>
      <c r="N92" s="116">
        <v>707.67561983471103</v>
      </c>
      <c r="O92" s="116">
        <v>660.21932612841704</v>
      </c>
      <c r="P92" s="116">
        <v>660.21932612841704</v>
      </c>
      <c r="Q92" s="116">
        <v>722.2</v>
      </c>
      <c r="R92">
        <v>5898308</v>
      </c>
    </row>
    <row r="93" spans="1:18" x14ac:dyDescent="0.25">
      <c r="A93" s="170">
        <v>42138</v>
      </c>
      <c r="B93" s="116">
        <v>716.98155059896305</v>
      </c>
      <c r="C93" s="116">
        <v>713.29751315419799</v>
      </c>
      <c r="D93" s="116">
        <v>684.45537789583898</v>
      </c>
      <c r="E93" s="116">
        <v>693.471574800133</v>
      </c>
      <c r="F93" s="116">
        <v>735.75</v>
      </c>
      <c r="G93">
        <v>523435</v>
      </c>
      <c r="H93" s="116"/>
      <c r="I93" s="116"/>
      <c r="L93" s="170">
        <v>42138</v>
      </c>
      <c r="M93" s="116">
        <v>714.94675778766702</v>
      </c>
      <c r="N93" s="116">
        <v>718.24300699300704</v>
      </c>
      <c r="O93" s="116">
        <v>683.87476160203403</v>
      </c>
      <c r="P93" s="116">
        <v>691.24284806103003</v>
      </c>
      <c r="Q93" s="116">
        <v>737.45</v>
      </c>
      <c r="R93">
        <v>4028198</v>
      </c>
    </row>
    <row r="94" spans="1:18" x14ac:dyDescent="0.25">
      <c r="A94" s="170">
        <v>42139</v>
      </c>
      <c r="B94" s="116">
        <v>722.26523588158705</v>
      </c>
      <c r="C94" s="116">
        <v>715.62427364562802</v>
      </c>
      <c r="D94" s="116">
        <v>706.55960256442995</v>
      </c>
      <c r="E94" s="116">
        <v>709.66194988633799</v>
      </c>
      <c r="F94" s="116">
        <v>738.15</v>
      </c>
      <c r="G94">
        <v>298838</v>
      </c>
      <c r="H94" s="116"/>
      <c r="I94" s="116"/>
      <c r="L94" s="170">
        <v>42139</v>
      </c>
      <c r="M94" s="116">
        <v>716.15861411315996</v>
      </c>
      <c r="N94" s="116">
        <v>721.58773045136695</v>
      </c>
      <c r="O94" s="116">
        <v>705.78512396694202</v>
      </c>
      <c r="P94" s="116">
        <v>715.479974570884</v>
      </c>
      <c r="Q94" s="116">
        <v>738.7</v>
      </c>
      <c r="R94">
        <v>2376103</v>
      </c>
    </row>
    <row r="95" spans="1:18" x14ac:dyDescent="0.25">
      <c r="A95" s="170">
        <v>42142</v>
      </c>
      <c r="B95" s="116">
        <v>755.42157288447299</v>
      </c>
      <c r="C95" s="116">
        <v>750.23483595565904</v>
      </c>
      <c r="D95" s="116">
        <v>710.63143342443402</v>
      </c>
      <c r="E95" s="116">
        <v>712.57040050062596</v>
      </c>
      <c r="F95" s="116">
        <v>773.85</v>
      </c>
      <c r="G95">
        <v>423760</v>
      </c>
      <c r="H95" s="116"/>
      <c r="I95" s="116"/>
      <c r="L95" s="170">
        <v>42142</v>
      </c>
      <c r="M95" s="116">
        <v>750.72075651621105</v>
      </c>
      <c r="N95" s="116">
        <v>755.228862047044</v>
      </c>
      <c r="O95" s="116">
        <v>712.66846789574095</v>
      </c>
      <c r="P95" s="116">
        <v>712.66846789574095</v>
      </c>
      <c r="Q95" s="116">
        <v>774.35</v>
      </c>
      <c r="R95">
        <v>2648789</v>
      </c>
    </row>
    <row r="96" spans="1:18" x14ac:dyDescent="0.25">
      <c r="A96" s="170">
        <v>42143</v>
      </c>
      <c r="B96" s="116">
        <v>758.37849767566604</v>
      </c>
      <c r="C96" s="116">
        <v>746.45385015708405</v>
      </c>
      <c r="D96" s="116">
        <v>740.68542310541204</v>
      </c>
      <c r="E96" s="116">
        <v>747.47180787208504</v>
      </c>
      <c r="F96" s="116">
        <v>769.95</v>
      </c>
      <c r="G96">
        <v>275973</v>
      </c>
      <c r="H96" s="116"/>
      <c r="I96" s="116"/>
      <c r="L96" s="170">
        <v>42143</v>
      </c>
      <c r="M96" s="116">
        <v>746.55197075651597</v>
      </c>
      <c r="N96" s="116">
        <v>758.62205975842301</v>
      </c>
      <c r="O96" s="116">
        <v>740.20184361093402</v>
      </c>
      <c r="P96" s="116">
        <v>745.53401144310203</v>
      </c>
      <c r="Q96" s="116">
        <v>770.05</v>
      </c>
      <c r="R96">
        <v>2068178</v>
      </c>
    </row>
    <row r="97" spans="1:18" x14ac:dyDescent="0.25">
      <c r="A97" s="170">
        <v>42144</v>
      </c>
      <c r="B97" s="116">
        <v>761.04457740543</v>
      </c>
      <c r="C97" s="116">
        <v>754.74293440780605</v>
      </c>
      <c r="D97" s="116">
        <v>746.59927268779904</v>
      </c>
      <c r="E97" s="116">
        <v>746.59927268779904</v>
      </c>
      <c r="F97" s="116">
        <v>778.5</v>
      </c>
      <c r="G97">
        <v>258501</v>
      </c>
      <c r="H97" s="116"/>
      <c r="I97" s="116"/>
      <c r="L97" s="170">
        <v>42144</v>
      </c>
      <c r="M97" s="116">
        <v>756.63461538461502</v>
      </c>
      <c r="N97" s="116">
        <v>761.53051493960595</v>
      </c>
      <c r="O97" s="116">
        <v>748.44246662428498</v>
      </c>
      <c r="P97" s="116">
        <v>751.35092180546701</v>
      </c>
      <c r="Q97" s="116">
        <v>780.45</v>
      </c>
      <c r="R97">
        <v>2212376</v>
      </c>
    </row>
    <row r="98" spans="1:18" x14ac:dyDescent="0.25">
      <c r="A98" s="170">
        <v>42145</v>
      </c>
      <c r="B98" s="116">
        <v>760.75373234400104</v>
      </c>
      <c r="C98" s="116">
        <v>755.51852123828201</v>
      </c>
      <c r="D98" s="116">
        <v>747.71417875660904</v>
      </c>
      <c r="E98" s="116">
        <v>752.51312227018502</v>
      </c>
      <c r="F98" s="116">
        <v>779.3</v>
      </c>
      <c r="G98">
        <v>162801</v>
      </c>
      <c r="H98" s="116"/>
      <c r="I98" s="116"/>
      <c r="L98" s="170">
        <v>42145</v>
      </c>
      <c r="M98" s="116">
        <v>756.63461538461502</v>
      </c>
      <c r="N98" s="116">
        <v>761.04577240940898</v>
      </c>
      <c r="O98" s="116">
        <v>747.47298156389104</v>
      </c>
      <c r="P98" s="116">
        <v>758.76748251748199</v>
      </c>
      <c r="Q98" s="116">
        <v>780.45</v>
      </c>
      <c r="R98">
        <v>1510005</v>
      </c>
    </row>
    <row r="99" spans="1:18" x14ac:dyDescent="0.25">
      <c r="A99" s="170">
        <v>42146</v>
      </c>
      <c r="B99" s="116">
        <v>774.617346938776</v>
      </c>
      <c r="C99" s="116">
        <v>770.64246443258196</v>
      </c>
      <c r="D99" s="116">
        <v>756.00326300733104</v>
      </c>
      <c r="E99" s="116">
        <v>758.13612679114203</v>
      </c>
      <c r="F99" s="116">
        <v>794.9</v>
      </c>
      <c r="G99">
        <v>254506</v>
      </c>
      <c r="H99" s="116"/>
      <c r="I99" s="116"/>
      <c r="L99" s="170">
        <v>42146</v>
      </c>
      <c r="M99" s="116">
        <v>770.49825174825196</v>
      </c>
      <c r="N99" s="116">
        <v>775.10330578512401</v>
      </c>
      <c r="O99" s="116">
        <v>756.19834710743805</v>
      </c>
      <c r="P99" s="116">
        <v>761.91830896376302</v>
      </c>
      <c r="Q99" s="116">
        <v>794.75</v>
      </c>
      <c r="R99">
        <v>2051023</v>
      </c>
    </row>
    <row r="100" spans="1:18" x14ac:dyDescent="0.25">
      <c r="A100" s="170">
        <v>42149</v>
      </c>
      <c r="B100" s="116">
        <v>773.64786340067894</v>
      </c>
      <c r="C100" s="116">
        <v>762.40185435876504</v>
      </c>
      <c r="D100" s="116">
        <v>758.18460096804699</v>
      </c>
      <c r="E100" s="116">
        <v>767.10384951853098</v>
      </c>
      <c r="F100" s="116">
        <v>786.4</v>
      </c>
      <c r="G100">
        <v>169233</v>
      </c>
      <c r="H100" s="116"/>
      <c r="I100" s="116"/>
      <c r="L100" s="170">
        <v>42149</v>
      </c>
      <c r="M100" s="116">
        <v>762.30610298792101</v>
      </c>
      <c r="N100" s="116">
        <v>774.13382072472996</v>
      </c>
      <c r="O100" s="116">
        <v>757.65257469802896</v>
      </c>
      <c r="P100" s="116">
        <v>765.893197711379</v>
      </c>
      <c r="Q100" s="116">
        <v>786.3</v>
      </c>
      <c r="R100">
        <v>1833756</v>
      </c>
    </row>
    <row r="101" spans="1:18" x14ac:dyDescent="0.25">
      <c r="A101" s="170">
        <v>42150</v>
      </c>
      <c r="B101" s="116">
        <v>779.36781627544599</v>
      </c>
      <c r="C101" s="116">
        <v>768.65502317948506</v>
      </c>
      <c r="D101" s="116">
        <v>762.98354448162195</v>
      </c>
      <c r="E101" s="116">
        <v>763.56523460448</v>
      </c>
      <c r="F101" s="116">
        <v>792.85</v>
      </c>
      <c r="G101">
        <v>199270</v>
      </c>
      <c r="H101" s="116"/>
      <c r="I101" s="116"/>
      <c r="L101" s="170">
        <v>42150</v>
      </c>
      <c r="M101" s="116">
        <v>769.28639542275903</v>
      </c>
      <c r="N101" s="116">
        <v>779.41751430387797</v>
      </c>
      <c r="O101" s="116">
        <v>761.04577240940898</v>
      </c>
      <c r="P101" s="116">
        <v>765.69930069930103</v>
      </c>
      <c r="Q101" s="116">
        <v>793.5</v>
      </c>
      <c r="R101">
        <v>2732288</v>
      </c>
    </row>
    <row r="102" spans="1:18" x14ac:dyDescent="0.25">
      <c r="A102" s="170">
        <v>42151</v>
      </c>
      <c r="B102" s="116">
        <v>769.67298089448502</v>
      </c>
      <c r="C102" s="116">
        <v>766.328262688054</v>
      </c>
      <c r="D102" s="116">
        <v>757.166643253046</v>
      </c>
      <c r="E102" s="116">
        <v>760.802206520906</v>
      </c>
      <c r="F102" s="116">
        <v>790.45</v>
      </c>
      <c r="G102">
        <v>114814</v>
      </c>
      <c r="H102" s="116"/>
      <c r="I102" s="116"/>
      <c r="L102" s="170">
        <v>42151</v>
      </c>
      <c r="M102" s="116">
        <v>766.37794024157699</v>
      </c>
      <c r="N102" s="116">
        <v>769.771137952956</v>
      </c>
      <c r="O102" s="116">
        <v>757.264780673872</v>
      </c>
      <c r="P102" s="116">
        <v>757.36172917991098</v>
      </c>
      <c r="Q102" s="116">
        <v>790.5</v>
      </c>
      <c r="R102">
        <v>1704642</v>
      </c>
    </row>
    <row r="103" spans="1:18" x14ac:dyDescent="0.25">
      <c r="A103" s="170">
        <v>42152</v>
      </c>
      <c r="B103" s="116">
        <v>765.89199509591106</v>
      </c>
      <c r="C103" s="116">
        <v>709.66194988633799</v>
      </c>
      <c r="D103" s="116">
        <v>695.36206769941998</v>
      </c>
      <c r="E103" s="116">
        <v>765.79504674210102</v>
      </c>
      <c r="F103" s="116">
        <v>732</v>
      </c>
      <c r="G103">
        <v>587134</v>
      </c>
      <c r="H103" s="116"/>
      <c r="I103" s="116"/>
      <c r="L103" s="170">
        <v>42152</v>
      </c>
      <c r="M103" s="116">
        <v>712.08677685950397</v>
      </c>
      <c r="N103" s="116">
        <v>766.86268277177396</v>
      </c>
      <c r="O103" s="116">
        <v>693.569612205976</v>
      </c>
      <c r="P103" s="116">
        <v>764.92371265098495</v>
      </c>
      <c r="Q103" s="116">
        <v>734.5</v>
      </c>
      <c r="R103">
        <v>5874505</v>
      </c>
    </row>
    <row r="104" spans="1:18" x14ac:dyDescent="0.25">
      <c r="A104" s="170">
        <v>42153</v>
      </c>
      <c r="B104" s="116">
        <v>712.57040050062596</v>
      </c>
      <c r="C104" s="116">
        <v>684.64927460345803</v>
      </c>
      <c r="D104" s="116">
        <v>658.47321907486401</v>
      </c>
      <c r="E104" s="116">
        <v>710.63143342443402</v>
      </c>
      <c r="F104" s="116">
        <v>706.2</v>
      </c>
      <c r="G104">
        <v>1082875</v>
      </c>
      <c r="H104" s="116"/>
      <c r="I104" s="116"/>
      <c r="L104" s="170">
        <v>42153</v>
      </c>
      <c r="M104" s="116">
        <v>684.74729815638898</v>
      </c>
      <c r="N104" s="116">
        <v>711.602034329307</v>
      </c>
      <c r="O104" s="116">
        <v>657.94103623649096</v>
      </c>
      <c r="P104" s="116">
        <v>711.602034329307</v>
      </c>
      <c r="Q104" s="116">
        <v>706.3</v>
      </c>
      <c r="R104">
        <v>8061945</v>
      </c>
    </row>
    <row r="105" spans="1:18" x14ac:dyDescent="0.25">
      <c r="A105" s="170">
        <v>42156</v>
      </c>
      <c r="B105" s="116">
        <v>699.57932109013802</v>
      </c>
      <c r="C105" s="116">
        <v>613.39223455339595</v>
      </c>
      <c r="D105" s="116">
        <v>597.25033364409603</v>
      </c>
      <c r="E105" s="116">
        <v>686.10349991060298</v>
      </c>
      <c r="F105" s="116">
        <v>632.70000000000005</v>
      </c>
      <c r="G105">
        <v>1323799</v>
      </c>
      <c r="H105" s="116"/>
      <c r="I105" s="116"/>
      <c r="L105" s="170">
        <v>42156</v>
      </c>
      <c r="M105" s="116">
        <v>613.73251748251698</v>
      </c>
      <c r="N105" s="116">
        <v>699.67736808645896</v>
      </c>
      <c r="O105" s="116">
        <v>608.157978385251</v>
      </c>
      <c r="P105" s="116">
        <v>687.36490781945304</v>
      </c>
      <c r="Q105" s="116">
        <v>633.04999999999995</v>
      </c>
      <c r="R105">
        <v>10966199</v>
      </c>
    </row>
    <row r="106" spans="1:18" x14ac:dyDescent="0.25">
      <c r="A106" s="170">
        <v>42157</v>
      </c>
      <c r="B106" s="116">
        <v>633.79986303031899</v>
      </c>
      <c r="C106" s="116">
        <v>618.57897148221002</v>
      </c>
      <c r="D106" s="116">
        <v>603.01876069576804</v>
      </c>
      <c r="E106" s="116">
        <v>619.88777425863998</v>
      </c>
      <c r="F106" s="116">
        <v>638.04999999999995</v>
      </c>
      <c r="G106">
        <v>1931300</v>
      </c>
      <c r="H106" s="116"/>
      <c r="I106" s="116"/>
      <c r="L106" s="170">
        <v>42157</v>
      </c>
      <c r="M106" s="116">
        <v>617.56198347107397</v>
      </c>
      <c r="N106" s="116">
        <v>633.510012714558</v>
      </c>
      <c r="O106" s="116">
        <v>602.53496503496501</v>
      </c>
      <c r="P106" s="116">
        <v>618.53146853146802</v>
      </c>
      <c r="Q106" s="116">
        <v>637</v>
      </c>
      <c r="R106">
        <v>17253576</v>
      </c>
    </row>
    <row r="107" spans="1:18" x14ac:dyDescent="0.25">
      <c r="A107" s="170">
        <v>42158</v>
      </c>
      <c r="B107" s="116">
        <v>556.72592175167904</v>
      </c>
      <c r="C107" s="116">
        <v>106.40081830604601</v>
      </c>
      <c r="D107" s="116">
        <v>103.734738576282</v>
      </c>
      <c r="E107" s="116">
        <v>556.72592175167904</v>
      </c>
      <c r="F107" s="116">
        <v>109.75</v>
      </c>
      <c r="G107">
        <v>7576783</v>
      </c>
      <c r="H107" s="116"/>
      <c r="I107" s="116"/>
      <c r="L107" s="170">
        <v>42158</v>
      </c>
      <c r="M107" s="116">
        <v>106.400985378258</v>
      </c>
      <c r="N107" s="116">
        <v>555.80578512396698</v>
      </c>
      <c r="O107" s="116">
        <v>103.104736172918</v>
      </c>
      <c r="P107" s="116">
        <v>555.80578512396698</v>
      </c>
      <c r="Q107" s="116">
        <v>109.75</v>
      </c>
      <c r="R107">
        <v>48863342</v>
      </c>
    </row>
    <row r="108" spans="1:18" x14ac:dyDescent="0.25">
      <c r="A108" s="170">
        <v>42159</v>
      </c>
      <c r="B108" s="116">
        <v>115.610911917959</v>
      </c>
      <c r="C108" s="116">
        <v>112.944832188194</v>
      </c>
      <c r="D108" s="116">
        <v>105.91607653699801</v>
      </c>
      <c r="E108" s="116">
        <v>109.30926892033401</v>
      </c>
      <c r="F108" s="116">
        <v>116.5</v>
      </c>
      <c r="G108">
        <v>3081921</v>
      </c>
      <c r="H108" s="116"/>
      <c r="I108" s="116"/>
      <c r="L108" s="170">
        <v>42159</v>
      </c>
      <c r="M108" s="116">
        <v>112.99348378893799</v>
      </c>
      <c r="N108" s="116">
        <v>115.708041958042</v>
      </c>
      <c r="O108" s="116">
        <v>105.96471710108101</v>
      </c>
      <c r="P108" s="116">
        <v>108.58232676414499</v>
      </c>
      <c r="Q108" s="116">
        <v>116.55</v>
      </c>
      <c r="R108">
        <v>14787561</v>
      </c>
    </row>
    <row r="109" spans="1:18" x14ac:dyDescent="0.25">
      <c r="A109" s="170">
        <v>42160</v>
      </c>
      <c r="B109" s="116">
        <v>117.30750810962699</v>
      </c>
      <c r="C109" s="116">
        <v>111.73297776557401</v>
      </c>
      <c r="D109" s="116">
        <v>108.82452715128601</v>
      </c>
      <c r="E109" s="116">
        <v>113.429573957242</v>
      </c>
      <c r="F109" s="116">
        <v>115.25</v>
      </c>
      <c r="G109">
        <v>1893749</v>
      </c>
      <c r="H109" s="116"/>
      <c r="I109" s="116"/>
      <c r="L109" s="170">
        <v>42160</v>
      </c>
      <c r="M109" s="116">
        <v>111.733153210426</v>
      </c>
      <c r="N109" s="116">
        <v>117.356166560712</v>
      </c>
      <c r="O109" s="116">
        <v>108.921646535283</v>
      </c>
      <c r="P109" s="116">
        <v>113.429752066116</v>
      </c>
      <c r="Q109" s="116">
        <v>115.25</v>
      </c>
      <c r="R109">
        <v>9867790</v>
      </c>
    </row>
    <row r="110" spans="1:18" x14ac:dyDescent="0.25">
      <c r="A110" s="170">
        <v>42163</v>
      </c>
      <c r="B110" s="116">
        <v>113.67194484176601</v>
      </c>
      <c r="C110" s="116">
        <v>96.705982925084896</v>
      </c>
      <c r="D110" s="116">
        <v>95.494128502464804</v>
      </c>
      <c r="E110" s="116">
        <v>112.460090419146</v>
      </c>
      <c r="F110" s="116">
        <v>99.75</v>
      </c>
      <c r="G110">
        <v>2534483</v>
      </c>
      <c r="H110" s="116"/>
      <c r="I110" s="116"/>
      <c r="L110" s="170">
        <v>42163</v>
      </c>
      <c r="M110" s="116">
        <v>96.706134774316595</v>
      </c>
      <c r="N110" s="116">
        <v>113.817546090273</v>
      </c>
      <c r="O110" s="116">
        <v>95.542752701843597</v>
      </c>
      <c r="P110" s="116">
        <v>113.090432294978</v>
      </c>
      <c r="Q110" s="116">
        <v>99.75</v>
      </c>
      <c r="R110">
        <v>15246698</v>
      </c>
    </row>
    <row r="111" spans="1:18" x14ac:dyDescent="0.25">
      <c r="A111" s="170">
        <v>42164</v>
      </c>
      <c r="B111" s="116">
        <v>100.826287961993</v>
      </c>
      <c r="C111" s="116">
        <v>97.433095578657003</v>
      </c>
      <c r="D111" s="116">
        <v>95.009386733416804</v>
      </c>
      <c r="E111" s="116">
        <v>97.675466463180996</v>
      </c>
      <c r="F111" s="116">
        <v>100.5</v>
      </c>
      <c r="G111">
        <v>2016553</v>
      </c>
      <c r="H111" s="116"/>
      <c r="I111" s="116"/>
      <c r="L111" s="170">
        <v>42164</v>
      </c>
      <c r="M111" s="116">
        <v>97.190877304513705</v>
      </c>
      <c r="N111" s="116">
        <v>100.72949777495199</v>
      </c>
      <c r="O111" s="116">
        <v>94.815638906548003</v>
      </c>
      <c r="P111" s="116">
        <v>97.578671328671305</v>
      </c>
      <c r="Q111" s="116">
        <v>100.25</v>
      </c>
      <c r="R111">
        <v>13551071</v>
      </c>
    </row>
    <row r="112" spans="1:18" x14ac:dyDescent="0.25">
      <c r="A112" s="170">
        <v>42165</v>
      </c>
      <c r="B112" s="116">
        <v>100.099175308421</v>
      </c>
      <c r="C112" s="116">
        <v>97.433095578657003</v>
      </c>
      <c r="D112" s="116">
        <v>96.948353809608903</v>
      </c>
      <c r="E112" s="116">
        <v>97.433095578657003</v>
      </c>
      <c r="F112" s="116">
        <v>100.5</v>
      </c>
      <c r="G112">
        <v>982956</v>
      </c>
      <c r="H112" s="116"/>
      <c r="I112" s="116"/>
      <c r="L112" s="170">
        <v>42165</v>
      </c>
      <c r="M112" s="116">
        <v>97.5301970756516</v>
      </c>
      <c r="N112" s="116">
        <v>100.244755244755</v>
      </c>
      <c r="O112" s="116">
        <v>96.948506039415093</v>
      </c>
      <c r="P112" s="116">
        <v>97.433248569612203</v>
      </c>
      <c r="Q112" s="116">
        <v>100.6</v>
      </c>
      <c r="R112">
        <v>5064313</v>
      </c>
    </row>
    <row r="113" spans="1:18" x14ac:dyDescent="0.25">
      <c r="A113" s="170">
        <v>42166</v>
      </c>
      <c r="B113" s="116">
        <v>99.129691770325195</v>
      </c>
      <c r="C113" s="116">
        <v>94.767015848892797</v>
      </c>
      <c r="D113" s="116">
        <v>93.555161426272605</v>
      </c>
      <c r="E113" s="116">
        <v>98.644950001277095</v>
      </c>
      <c r="F113" s="116">
        <v>97.75</v>
      </c>
      <c r="G113">
        <v>1155553</v>
      </c>
      <c r="H113" s="116"/>
      <c r="I113" s="116"/>
      <c r="L113" s="170">
        <v>42166</v>
      </c>
      <c r="M113" s="116">
        <v>94.912587412587399</v>
      </c>
      <c r="N113" s="116">
        <v>99.081373172282298</v>
      </c>
      <c r="O113" s="116">
        <v>93.555308328035593</v>
      </c>
      <c r="P113" s="116">
        <v>98.596630642085202</v>
      </c>
      <c r="Q113" s="116">
        <v>97.9</v>
      </c>
      <c r="R113">
        <v>5715588</v>
      </c>
    </row>
    <row r="114" spans="1:18" x14ac:dyDescent="0.25">
      <c r="A114" s="170">
        <v>42167</v>
      </c>
      <c r="B114" s="116">
        <v>94.039903195320704</v>
      </c>
      <c r="C114" s="116">
        <v>91.131452581032406</v>
      </c>
      <c r="D114" s="116">
        <v>90.161969042936306</v>
      </c>
      <c r="E114" s="116">
        <v>94.039903195320704</v>
      </c>
      <c r="F114" s="116">
        <v>94</v>
      </c>
      <c r="G114">
        <v>1320893</v>
      </c>
      <c r="H114" s="116"/>
      <c r="I114" s="116"/>
      <c r="L114" s="170">
        <v>42167</v>
      </c>
      <c r="M114" s="116">
        <v>91.083121424030494</v>
      </c>
      <c r="N114" s="116">
        <v>94.088525111252395</v>
      </c>
      <c r="O114" s="116">
        <v>90.259059122695504</v>
      </c>
      <c r="P114" s="116">
        <v>94.040050858232703</v>
      </c>
      <c r="Q114" s="116">
        <v>93.95</v>
      </c>
      <c r="R114">
        <v>5172752</v>
      </c>
    </row>
    <row r="115" spans="1:18" x14ac:dyDescent="0.25">
      <c r="A115" s="170">
        <v>42170</v>
      </c>
      <c r="B115" s="116">
        <v>100.583917077469</v>
      </c>
      <c r="C115" s="116">
        <v>97.433095578657003</v>
      </c>
      <c r="D115" s="116">
        <v>89.192485504840207</v>
      </c>
      <c r="E115" s="116">
        <v>91.131452581032406</v>
      </c>
      <c r="F115" s="116">
        <v>100.5</v>
      </c>
      <c r="G115">
        <v>3180161</v>
      </c>
      <c r="H115" s="116"/>
      <c r="I115" s="116"/>
      <c r="L115" s="170">
        <v>42170</v>
      </c>
      <c r="M115" s="116">
        <v>97.384774316592498</v>
      </c>
      <c r="N115" s="116">
        <v>101.359663064209</v>
      </c>
      <c r="O115" s="116">
        <v>89.192625556261902</v>
      </c>
      <c r="P115" s="116">
        <v>91.083121424030494</v>
      </c>
      <c r="Q115" s="116">
        <v>100.45</v>
      </c>
      <c r="R115">
        <v>12949211</v>
      </c>
    </row>
    <row r="116" spans="1:18" x14ac:dyDescent="0.25">
      <c r="A116" s="170">
        <v>42171</v>
      </c>
      <c r="B116" s="116">
        <v>98.160208232229095</v>
      </c>
      <c r="C116" s="116">
        <v>94.039903195320704</v>
      </c>
      <c r="D116" s="116">
        <v>91.131452581032406</v>
      </c>
      <c r="E116" s="116">
        <v>98.160208232229095</v>
      </c>
      <c r="F116" s="116">
        <v>97</v>
      </c>
      <c r="G116">
        <v>1379998</v>
      </c>
      <c r="H116" s="116"/>
      <c r="I116" s="116"/>
      <c r="L116" s="170">
        <v>42171</v>
      </c>
      <c r="M116" s="116">
        <v>93.846153846153797</v>
      </c>
      <c r="N116" s="116">
        <v>97.675619834710702</v>
      </c>
      <c r="O116" s="116">
        <v>90.937698664971407</v>
      </c>
      <c r="P116" s="116">
        <v>97.384774316592498</v>
      </c>
      <c r="Q116" s="116">
        <v>96.8</v>
      </c>
      <c r="R116">
        <v>6137780</v>
      </c>
    </row>
    <row r="117" spans="1:18" x14ac:dyDescent="0.25">
      <c r="A117" s="170">
        <v>42172</v>
      </c>
      <c r="B117" s="116">
        <v>98.402579116753103</v>
      </c>
      <c r="C117" s="116">
        <v>96.221241156036896</v>
      </c>
      <c r="D117" s="116">
        <v>93.312790541748598</v>
      </c>
      <c r="E117" s="116">
        <v>95.009386733416804</v>
      </c>
      <c r="F117" s="116">
        <v>99.25</v>
      </c>
      <c r="G117">
        <v>1272745</v>
      </c>
      <c r="H117" s="116"/>
      <c r="I117" s="116"/>
      <c r="L117" s="170">
        <v>42172</v>
      </c>
      <c r="M117" s="116">
        <v>96.2213922441195</v>
      </c>
      <c r="N117" s="116">
        <v>98.257310870947194</v>
      </c>
      <c r="O117" s="116">
        <v>93.264462809917305</v>
      </c>
      <c r="P117" s="116">
        <v>94.912587412587399</v>
      </c>
      <c r="Q117" s="116">
        <v>99.25</v>
      </c>
      <c r="R117">
        <v>7204398</v>
      </c>
    </row>
    <row r="118" spans="1:18" x14ac:dyDescent="0.25">
      <c r="A118" s="170">
        <v>42173</v>
      </c>
      <c r="B118" s="116">
        <v>97.917837347705003</v>
      </c>
      <c r="C118" s="116">
        <v>96.463612040560903</v>
      </c>
      <c r="D118" s="116">
        <v>95.009386733416804</v>
      </c>
      <c r="E118" s="116">
        <v>96.948353809608903</v>
      </c>
      <c r="F118" s="116">
        <v>99.5</v>
      </c>
      <c r="G118">
        <v>774942</v>
      </c>
      <c r="H118" s="116"/>
      <c r="I118" s="116"/>
      <c r="L118" s="170">
        <v>42173</v>
      </c>
      <c r="M118" s="116">
        <v>96.609186268277199</v>
      </c>
      <c r="N118" s="116">
        <v>98.208836617927503</v>
      </c>
      <c r="O118" s="116">
        <v>95.106484424666206</v>
      </c>
      <c r="P118" s="116">
        <v>97.093928798474295</v>
      </c>
      <c r="Q118" s="116">
        <v>99.65</v>
      </c>
      <c r="R118">
        <v>4264660</v>
      </c>
    </row>
    <row r="119" spans="1:18" x14ac:dyDescent="0.25">
      <c r="A119" s="170">
        <v>42174</v>
      </c>
      <c r="B119" s="116">
        <v>97.675466463180996</v>
      </c>
      <c r="C119" s="116">
        <v>94.039903195320704</v>
      </c>
      <c r="D119" s="116">
        <v>93.312790541748598</v>
      </c>
      <c r="E119" s="116">
        <v>96.463612040560903</v>
      </c>
      <c r="F119" s="116">
        <v>97</v>
      </c>
      <c r="G119">
        <v>574739</v>
      </c>
      <c r="H119" s="116"/>
      <c r="I119" s="116"/>
      <c r="L119" s="170">
        <v>42174</v>
      </c>
      <c r="M119" s="116">
        <v>93.943102352193307</v>
      </c>
      <c r="N119" s="116">
        <v>97.772568340750098</v>
      </c>
      <c r="O119" s="116">
        <v>93.312937062937095</v>
      </c>
      <c r="P119" s="116">
        <v>96.609186268277199</v>
      </c>
      <c r="Q119" s="116">
        <v>96.9</v>
      </c>
      <c r="R119">
        <v>3503801</v>
      </c>
    </row>
    <row r="120" spans="1:18" x14ac:dyDescent="0.25">
      <c r="A120" s="170">
        <v>42177</v>
      </c>
      <c r="B120" s="116">
        <v>96.463612040560903</v>
      </c>
      <c r="C120" s="116">
        <v>94.767015848892797</v>
      </c>
      <c r="D120" s="116">
        <v>93.555161426272605</v>
      </c>
      <c r="E120" s="116">
        <v>95.009386733416804</v>
      </c>
      <c r="F120" s="116">
        <v>97.75</v>
      </c>
      <c r="G120">
        <v>713698</v>
      </c>
      <c r="H120" s="116"/>
      <c r="I120" s="116"/>
      <c r="L120" s="170">
        <v>42177</v>
      </c>
      <c r="M120" s="116">
        <v>94.864113159567694</v>
      </c>
      <c r="N120" s="116">
        <v>96.318340750158896</v>
      </c>
      <c r="O120" s="116">
        <v>93.555308328035593</v>
      </c>
      <c r="P120" s="116">
        <v>94.476319135409994</v>
      </c>
      <c r="Q120" s="116">
        <v>97.85</v>
      </c>
      <c r="R120">
        <v>2940262</v>
      </c>
    </row>
    <row r="121" spans="1:18" x14ac:dyDescent="0.25">
      <c r="A121" s="170">
        <v>42178</v>
      </c>
      <c r="B121" s="116">
        <v>98.402579116753103</v>
      </c>
      <c r="C121" s="116">
        <v>97.190724694132996</v>
      </c>
      <c r="D121" s="116">
        <v>94.039903195320704</v>
      </c>
      <c r="E121" s="116">
        <v>95.009386733416804</v>
      </c>
      <c r="F121" s="116">
        <v>100.25</v>
      </c>
      <c r="G121">
        <v>990704</v>
      </c>
      <c r="H121" s="116"/>
      <c r="I121" s="116"/>
      <c r="L121" s="170">
        <v>42178</v>
      </c>
      <c r="M121" s="116">
        <v>97.287825810553102</v>
      </c>
      <c r="N121" s="116">
        <v>98.305785123966899</v>
      </c>
      <c r="O121" s="116">
        <v>94.476319135409994</v>
      </c>
      <c r="P121" s="116">
        <v>95.009535918626796</v>
      </c>
      <c r="Q121" s="116">
        <v>100.35</v>
      </c>
      <c r="R121">
        <v>4439038</v>
      </c>
    </row>
    <row r="122" spans="1:18" x14ac:dyDescent="0.25">
      <c r="A122" s="170">
        <v>42179</v>
      </c>
      <c r="B122" s="116">
        <v>97.917837347705003</v>
      </c>
      <c r="C122" s="116">
        <v>94.039903195320704</v>
      </c>
      <c r="D122" s="116">
        <v>93.555161426272605</v>
      </c>
      <c r="E122" s="116">
        <v>97.433095578657003</v>
      </c>
      <c r="F122" s="116">
        <v>97</v>
      </c>
      <c r="G122">
        <v>533826</v>
      </c>
      <c r="H122" s="116"/>
      <c r="I122" s="116"/>
      <c r="L122" s="170">
        <v>42179</v>
      </c>
      <c r="M122" s="116">
        <v>94.185473617291805</v>
      </c>
      <c r="N122" s="116">
        <v>97.772568340750098</v>
      </c>
      <c r="O122" s="116">
        <v>93.652256834075004</v>
      </c>
      <c r="P122" s="116">
        <v>96.996980292434799</v>
      </c>
      <c r="Q122" s="116">
        <v>97.15</v>
      </c>
      <c r="R122">
        <v>3060431</v>
      </c>
    </row>
    <row r="123" spans="1:18" x14ac:dyDescent="0.25">
      <c r="A123" s="170">
        <v>42180</v>
      </c>
      <c r="B123" s="116">
        <v>92.343307003652498</v>
      </c>
      <c r="C123" s="116">
        <v>91.616194350080505</v>
      </c>
      <c r="D123" s="116">
        <v>89.434856389364299</v>
      </c>
      <c r="E123" s="116">
        <v>92.100936119128505</v>
      </c>
      <c r="F123" s="116">
        <v>94.5</v>
      </c>
      <c r="G123">
        <v>1027682</v>
      </c>
      <c r="H123" s="116"/>
      <c r="I123" s="116"/>
      <c r="L123" s="170">
        <v>42180</v>
      </c>
      <c r="M123" s="116">
        <v>91.616338207247296</v>
      </c>
      <c r="N123" s="116">
        <v>92.585823267641402</v>
      </c>
      <c r="O123" s="116">
        <v>89.241099809281593</v>
      </c>
      <c r="P123" s="116">
        <v>91.616338207247296</v>
      </c>
      <c r="Q123" s="116">
        <v>94.5</v>
      </c>
      <c r="R123">
        <v>8058202</v>
      </c>
    </row>
    <row r="124" spans="1:18" x14ac:dyDescent="0.25">
      <c r="A124" s="170">
        <v>42181</v>
      </c>
      <c r="B124" s="116">
        <v>94.282274079844697</v>
      </c>
      <c r="C124" s="116">
        <v>91.616194350080505</v>
      </c>
      <c r="D124" s="116">
        <v>90.889081696508399</v>
      </c>
      <c r="E124" s="116">
        <v>91.616194350080505</v>
      </c>
      <c r="F124" s="116">
        <v>94.5</v>
      </c>
      <c r="G124">
        <v>836093</v>
      </c>
      <c r="H124" s="116"/>
      <c r="I124" s="116"/>
      <c r="L124" s="170">
        <v>42181</v>
      </c>
      <c r="M124" s="116">
        <v>91.470915448188194</v>
      </c>
      <c r="N124" s="116">
        <v>94.233947870311496</v>
      </c>
      <c r="O124" s="116">
        <v>90.889224411951702</v>
      </c>
      <c r="P124" s="116">
        <v>91.810235219326103</v>
      </c>
      <c r="Q124" s="116">
        <v>94.35</v>
      </c>
      <c r="R124">
        <v>4740716</v>
      </c>
    </row>
    <row r="125" spans="1:18" x14ac:dyDescent="0.25">
      <c r="A125" s="170">
        <v>42184</v>
      </c>
      <c r="B125" s="116">
        <v>90.161969042936306</v>
      </c>
      <c r="C125" s="116">
        <v>88.465372851268199</v>
      </c>
      <c r="D125" s="116">
        <v>87.4958893131721</v>
      </c>
      <c r="E125" s="116">
        <v>90.161969042936306</v>
      </c>
      <c r="F125" s="116">
        <v>91.25</v>
      </c>
      <c r="G125">
        <v>999028</v>
      </c>
      <c r="H125" s="116"/>
      <c r="I125" s="116"/>
      <c r="L125" s="170">
        <v>42184</v>
      </c>
      <c r="M125" s="116">
        <v>88.562460267005704</v>
      </c>
      <c r="N125" s="116">
        <v>90.065162110616697</v>
      </c>
      <c r="O125" s="116">
        <v>87.447552447552397</v>
      </c>
      <c r="P125" s="116">
        <v>90.065162110616697</v>
      </c>
      <c r="Q125" s="116">
        <v>91.35</v>
      </c>
      <c r="R125">
        <v>2861284</v>
      </c>
    </row>
    <row r="126" spans="1:18" x14ac:dyDescent="0.25">
      <c r="A126" s="170">
        <v>42185</v>
      </c>
      <c r="B126" s="116">
        <v>91.131452581032406</v>
      </c>
      <c r="C126" s="116">
        <v>88.223001966744206</v>
      </c>
      <c r="D126" s="116">
        <v>87.011147544124</v>
      </c>
      <c r="E126" s="116">
        <v>87.9806310822201</v>
      </c>
      <c r="F126" s="116">
        <v>91</v>
      </c>
      <c r="G126">
        <v>845982</v>
      </c>
      <c r="H126" s="116"/>
      <c r="I126" s="116"/>
      <c r="L126" s="170">
        <v>42185</v>
      </c>
      <c r="M126" s="116">
        <v>88.077717736808594</v>
      </c>
      <c r="N126" s="116">
        <v>91.034647171010803</v>
      </c>
      <c r="O126" s="116">
        <v>87.011284170375106</v>
      </c>
      <c r="P126" s="116">
        <v>87.980769230769198</v>
      </c>
      <c r="Q126" s="116">
        <v>90.85</v>
      </c>
      <c r="R126">
        <v>5846432</v>
      </c>
    </row>
    <row r="127" spans="1:18" x14ac:dyDescent="0.25">
      <c r="A127" s="170">
        <v>42186</v>
      </c>
      <c r="B127" s="116">
        <v>90.646710811984406</v>
      </c>
      <c r="C127" s="116">
        <v>88.998588797221004</v>
      </c>
      <c r="D127" s="116">
        <v>88.416898674363395</v>
      </c>
      <c r="E127" s="116">
        <v>88.465372851268199</v>
      </c>
      <c r="F127" s="116">
        <v>91.8</v>
      </c>
      <c r="G127">
        <v>803703</v>
      </c>
      <c r="H127" s="116"/>
      <c r="I127" s="116"/>
      <c r="L127" s="170">
        <v>42186</v>
      </c>
      <c r="M127" s="116">
        <v>88.853305785123993</v>
      </c>
      <c r="N127" s="116">
        <v>90.162110616656093</v>
      </c>
      <c r="O127" s="116">
        <v>88.271614748887501</v>
      </c>
      <c r="P127" s="116">
        <v>88.513986013985999</v>
      </c>
      <c r="Q127" s="116">
        <v>91.65</v>
      </c>
      <c r="R127">
        <v>4465812</v>
      </c>
    </row>
    <row r="128" spans="1:18" x14ac:dyDescent="0.25">
      <c r="A128" s="170">
        <v>42187</v>
      </c>
      <c r="B128" s="116">
        <v>90.161969042936306</v>
      </c>
      <c r="C128" s="116">
        <v>88.562321205077794</v>
      </c>
      <c r="D128" s="116">
        <v>87.835208551505701</v>
      </c>
      <c r="E128" s="116">
        <v>89.677227273888306</v>
      </c>
      <c r="F128" s="116">
        <v>91.35</v>
      </c>
      <c r="G128">
        <v>1107141</v>
      </c>
      <c r="H128" s="116"/>
      <c r="I128" s="116"/>
      <c r="L128" s="170">
        <v>42187</v>
      </c>
      <c r="M128" s="116">
        <v>88.513986013985999</v>
      </c>
      <c r="N128" s="116">
        <v>90.162110616656093</v>
      </c>
      <c r="O128" s="116">
        <v>87.641449459631303</v>
      </c>
      <c r="P128" s="116">
        <v>89.677368086458998</v>
      </c>
      <c r="Q128" s="116">
        <v>91.3</v>
      </c>
      <c r="R128">
        <v>5113326</v>
      </c>
    </row>
    <row r="129" spans="1:18" x14ac:dyDescent="0.25">
      <c r="A129" s="170">
        <v>42188</v>
      </c>
      <c r="B129" s="116">
        <v>90.549762458174797</v>
      </c>
      <c r="C129" s="116">
        <v>88.271476143648897</v>
      </c>
      <c r="D129" s="116">
        <v>87.738260197696107</v>
      </c>
      <c r="E129" s="116">
        <v>88.562321205077794</v>
      </c>
      <c r="F129" s="116">
        <v>91.05</v>
      </c>
      <c r="G129">
        <v>985851</v>
      </c>
      <c r="H129" s="116"/>
      <c r="I129" s="116"/>
      <c r="L129" s="170">
        <v>42188</v>
      </c>
      <c r="M129" s="116">
        <v>88.223140495867796</v>
      </c>
      <c r="N129" s="116">
        <v>90.501430387794002</v>
      </c>
      <c r="O129" s="116">
        <v>87.7383979656707</v>
      </c>
      <c r="P129" s="116">
        <v>88.804831532104203</v>
      </c>
      <c r="Q129" s="116">
        <v>91</v>
      </c>
      <c r="R129">
        <v>4700964</v>
      </c>
    </row>
    <row r="130" spans="1:18" x14ac:dyDescent="0.25">
      <c r="A130" s="170">
        <v>42191</v>
      </c>
      <c r="B130" s="116">
        <v>88.853166266506605</v>
      </c>
      <c r="C130" s="116">
        <v>88.174527789839303</v>
      </c>
      <c r="D130" s="116">
        <v>86.623354128885595</v>
      </c>
      <c r="E130" s="116">
        <v>87.689786020791303</v>
      </c>
      <c r="F130" s="116">
        <v>90.95</v>
      </c>
      <c r="G130">
        <v>740542</v>
      </c>
      <c r="H130" s="116"/>
      <c r="I130" s="116"/>
      <c r="L130" s="170">
        <v>42191</v>
      </c>
      <c r="M130" s="116">
        <v>87.980769230769198</v>
      </c>
      <c r="N130" s="116">
        <v>88.804831532104203</v>
      </c>
      <c r="O130" s="116">
        <v>86.914335664335695</v>
      </c>
      <c r="P130" s="116">
        <v>87.253655435473604</v>
      </c>
      <c r="Q130" s="116">
        <v>90.75</v>
      </c>
      <c r="R130">
        <v>4367651</v>
      </c>
    </row>
    <row r="131" spans="1:18" x14ac:dyDescent="0.25">
      <c r="A131" s="170">
        <v>42192</v>
      </c>
      <c r="B131" s="116">
        <v>89.531804743173893</v>
      </c>
      <c r="C131" s="116">
        <v>88.901640443411395</v>
      </c>
      <c r="D131" s="116">
        <v>87.447415136267296</v>
      </c>
      <c r="E131" s="116">
        <v>88.853166266506605</v>
      </c>
      <c r="F131" s="116">
        <v>91.7</v>
      </c>
      <c r="G131">
        <v>811110</v>
      </c>
      <c r="H131" s="116"/>
      <c r="I131" s="116"/>
      <c r="L131" s="170">
        <v>42192</v>
      </c>
      <c r="M131" s="116">
        <v>89.241099809281593</v>
      </c>
      <c r="N131" s="116">
        <v>90.646853146853104</v>
      </c>
      <c r="O131" s="116">
        <v>87.302129688493295</v>
      </c>
      <c r="P131" s="116">
        <v>88.610934520025395</v>
      </c>
      <c r="Q131" s="116">
        <v>92.05</v>
      </c>
      <c r="R131">
        <v>4748948</v>
      </c>
    </row>
    <row r="132" spans="1:18" x14ac:dyDescent="0.25">
      <c r="A132" s="170">
        <v>42193</v>
      </c>
      <c r="B132" s="116">
        <v>89.192485504840207</v>
      </c>
      <c r="C132" s="116">
        <v>86.817250836504797</v>
      </c>
      <c r="D132" s="116">
        <v>86.380983244361602</v>
      </c>
      <c r="E132" s="116">
        <v>88.707743735792207</v>
      </c>
      <c r="F132" s="116">
        <v>89.55</v>
      </c>
      <c r="G132">
        <v>817225</v>
      </c>
      <c r="H132" s="116"/>
      <c r="I132" s="116"/>
      <c r="L132" s="170">
        <v>42193</v>
      </c>
      <c r="M132" s="116">
        <v>86.720438652256803</v>
      </c>
      <c r="N132" s="116">
        <v>88.659408773045101</v>
      </c>
      <c r="O132" s="116">
        <v>86.478067387158305</v>
      </c>
      <c r="P132" s="116">
        <v>88.513986013985999</v>
      </c>
      <c r="Q132" s="116">
        <v>89.45</v>
      </c>
      <c r="R132">
        <v>4708766</v>
      </c>
    </row>
    <row r="133" spans="1:18" x14ac:dyDescent="0.25">
      <c r="A133" s="170">
        <v>42194</v>
      </c>
      <c r="B133" s="116">
        <v>88.126053612934498</v>
      </c>
      <c r="C133" s="116">
        <v>86.090138182932705</v>
      </c>
      <c r="D133" s="116">
        <v>85.556922236979901</v>
      </c>
      <c r="E133" s="116">
        <v>87.253518428648107</v>
      </c>
      <c r="F133" s="116">
        <v>88.8</v>
      </c>
      <c r="G133">
        <v>910855</v>
      </c>
      <c r="H133" s="116"/>
      <c r="I133" s="116"/>
      <c r="L133" s="170">
        <v>42194</v>
      </c>
      <c r="M133" s="116">
        <v>86.235696122059807</v>
      </c>
      <c r="N133" s="116">
        <v>88.029243483788903</v>
      </c>
      <c r="O133" s="116">
        <v>85.702479338843006</v>
      </c>
      <c r="P133" s="116">
        <v>87.253655435473604</v>
      </c>
      <c r="Q133" s="116">
        <v>88.95</v>
      </c>
      <c r="R133">
        <v>3791758</v>
      </c>
    </row>
    <row r="134" spans="1:18" x14ac:dyDescent="0.25">
      <c r="A134" s="170">
        <v>42195</v>
      </c>
      <c r="B134" s="116">
        <v>87.641311843886498</v>
      </c>
      <c r="C134" s="116">
        <v>86.817250836504797</v>
      </c>
      <c r="D134" s="116">
        <v>85.702344767694299</v>
      </c>
      <c r="E134" s="116">
        <v>87.108095897933595</v>
      </c>
      <c r="F134" s="116">
        <v>89.55</v>
      </c>
      <c r="G134">
        <v>950850</v>
      </c>
      <c r="H134" s="116"/>
      <c r="I134" s="116"/>
      <c r="L134" s="170">
        <v>42195</v>
      </c>
      <c r="M134" s="116">
        <v>86.865861411315905</v>
      </c>
      <c r="N134" s="116">
        <v>87.641449459631303</v>
      </c>
      <c r="O134" s="116">
        <v>85.605530832803595</v>
      </c>
      <c r="P134" s="116">
        <v>86.671964399237098</v>
      </c>
      <c r="Q134" s="116">
        <v>89.6</v>
      </c>
      <c r="R134">
        <v>5118260</v>
      </c>
    </row>
    <row r="135" spans="1:18" x14ac:dyDescent="0.25">
      <c r="A135" s="170">
        <v>42198</v>
      </c>
      <c r="B135" s="116">
        <v>88.513847028173004</v>
      </c>
      <c r="C135" s="116">
        <v>87.9806310822201</v>
      </c>
      <c r="D135" s="116">
        <v>86.332509067456797</v>
      </c>
      <c r="E135" s="116">
        <v>87.641311843886498</v>
      </c>
      <c r="F135" s="116">
        <v>90.75</v>
      </c>
      <c r="G135">
        <v>676939</v>
      </c>
      <c r="H135" s="116"/>
      <c r="I135" s="116"/>
      <c r="L135" s="170">
        <v>42198</v>
      </c>
      <c r="M135" s="116">
        <v>87.883820724729802</v>
      </c>
      <c r="N135" s="116">
        <v>88.417037507946603</v>
      </c>
      <c r="O135" s="116">
        <v>86.284170375079498</v>
      </c>
      <c r="P135" s="116">
        <v>87.253655435473604</v>
      </c>
      <c r="Q135" s="116">
        <v>90.65</v>
      </c>
      <c r="R135">
        <v>4081409</v>
      </c>
    </row>
    <row r="136" spans="1:18" x14ac:dyDescent="0.25">
      <c r="A136" s="170">
        <v>42199</v>
      </c>
      <c r="B136" s="116">
        <v>89.386382212459495</v>
      </c>
      <c r="C136" s="116">
        <v>86.574879951980805</v>
      </c>
      <c r="D136" s="116">
        <v>86.041664006027901</v>
      </c>
      <c r="E136" s="116">
        <v>87.544363490076904</v>
      </c>
      <c r="F136" s="116">
        <v>89.3</v>
      </c>
      <c r="G136">
        <v>729627</v>
      </c>
      <c r="H136" s="116"/>
      <c r="I136" s="116"/>
      <c r="L136" s="170">
        <v>42199</v>
      </c>
      <c r="M136" s="116">
        <v>86.671964399237098</v>
      </c>
      <c r="N136" s="116">
        <v>89.338048315321004</v>
      </c>
      <c r="O136" s="116">
        <v>86.0417991099809</v>
      </c>
      <c r="P136" s="116">
        <v>88.320089001907206</v>
      </c>
      <c r="Q136" s="116">
        <v>89.4</v>
      </c>
      <c r="R136">
        <v>4344710</v>
      </c>
    </row>
    <row r="137" spans="1:18" x14ac:dyDescent="0.25">
      <c r="A137" s="170">
        <v>42200</v>
      </c>
      <c r="B137" s="116">
        <v>87.253518428648107</v>
      </c>
      <c r="C137" s="116">
        <v>86.380983244361602</v>
      </c>
      <c r="D137" s="116">
        <v>85.944715652218306</v>
      </c>
      <c r="E137" s="116">
        <v>86.914199190314406</v>
      </c>
      <c r="F137" s="116">
        <v>89.1</v>
      </c>
      <c r="G137">
        <v>586853</v>
      </c>
      <c r="H137" s="116"/>
      <c r="I137" s="116"/>
      <c r="L137" s="170">
        <v>42200</v>
      </c>
      <c r="M137" s="116">
        <v>86.381118881118894</v>
      </c>
      <c r="N137" s="116">
        <v>87.447552447552397</v>
      </c>
      <c r="O137" s="116">
        <v>85.896376350921798</v>
      </c>
      <c r="P137" s="116">
        <v>86.768912905276494</v>
      </c>
      <c r="Q137" s="116">
        <v>89.1</v>
      </c>
      <c r="R137">
        <v>3380001</v>
      </c>
    </row>
    <row r="138" spans="1:18" x14ac:dyDescent="0.25">
      <c r="A138" s="170">
        <v>42201</v>
      </c>
      <c r="B138" s="116">
        <v>87.932156905315296</v>
      </c>
      <c r="C138" s="116">
        <v>86.187086536742399</v>
      </c>
      <c r="D138" s="116">
        <v>85.120654644836605</v>
      </c>
      <c r="E138" s="116">
        <v>86.962673367219196</v>
      </c>
      <c r="F138" s="116">
        <v>88.9</v>
      </c>
      <c r="G138">
        <v>886153</v>
      </c>
      <c r="H138" s="116"/>
      <c r="I138" s="116"/>
      <c r="L138" s="170">
        <v>42201</v>
      </c>
      <c r="M138" s="116">
        <v>86.284170375079498</v>
      </c>
      <c r="N138" s="116">
        <v>87.932294977749507</v>
      </c>
      <c r="O138" s="116">
        <v>85.169262555626204</v>
      </c>
      <c r="P138" s="116">
        <v>87.011284170375106</v>
      </c>
      <c r="Q138" s="116">
        <v>89</v>
      </c>
      <c r="R138">
        <v>3709641</v>
      </c>
    </row>
    <row r="139" spans="1:18" x14ac:dyDescent="0.25">
      <c r="A139" s="170">
        <v>42202</v>
      </c>
      <c r="B139" s="116">
        <v>86.962673367219196</v>
      </c>
      <c r="C139" s="116">
        <v>85.847767298408698</v>
      </c>
      <c r="D139" s="116">
        <v>85.556922236979901</v>
      </c>
      <c r="E139" s="116">
        <v>86.768776659599993</v>
      </c>
      <c r="F139" s="116">
        <v>88.55</v>
      </c>
      <c r="G139">
        <v>451044</v>
      </c>
      <c r="H139" s="116"/>
      <c r="I139" s="116"/>
      <c r="L139" s="170">
        <v>42202</v>
      </c>
      <c r="M139" s="116">
        <v>85.896376350921798</v>
      </c>
      <c r="N139" s="116">
        <v>87.011284170375106</v>
      </c>
      <c r="O139" s="116">
        <v>85.508582326764099</v>
      </c>
      <c r="P139" s="116">
        <v>86.768912905276494</v>
      </c>
      <c r="Q139" s="116">
        <v>88.6</v>
      </c>
      <c r="R139">
        <v>1652076</v>
      </c>
    </row>
    <row r="140" spans="1:18" x14ac:dyDescent="0.25">
      <c r="A140" s="170">
        <v>42205</v>
      </c>
      <c r="B140" s="116">
        <v>87.205044251743203</v>
      </c>
      <c r="C140" s="116">
        <v>85.266077175551104</v>
      </c>
      <c r="D140" s="116">
        <v>84.781335406503004</v>
      </c>
      <c r="E140" s="116">
        <v>85.896241475313502</v>
      </c>
      <c r="F140" s="116">
        <v>87.95</v>
      </c>
      <c r="G140">
        <v>441670</v>
      </c>
      <c r="H140" s="116"/>
      <c r="I140" s="116"/>
      <c r="L140" s="170">
        <v>42205</v>
      </c>
      <c r="M140" s="116">
        <v>85.266211061665601</v>
      </c>
      <c r="N140" s="116">
        <v>86.381118881118894</v>
      </c>
      <c r="O140" s="116">
        <v>84.7329942784488</v>
      </c>
      <c r="P140" s="116">
        <v>86.235696122059807</v>
      </c>
      <c r="Q140" s="116">
        <v>87.95</v>
      </c>
      <c r="R140">
        <v>1778558</v>
      </c>
    </row>
    <row r="141" spans="1:18" x14ac:dyDescent="0.25">
      <c r="A141" s="170">
        <v>42206</v>
      </c>
      <c r="B141" s="116">
        <v>85.750818944599104</v>
      </c>
      <c r="C141" s="116">
        <v>82.163729853643602</v>
      </c>
      <c r="D141" s="116">
        <v>81.727462261500307</v>
      </c>
      <c r="E141" s="116">
        <v>85.750818944599104</v>
      </c>
      <c r="F141" s="116">
        <v>84.75</v>
      </c>
      <c r="G141">
        <v>650461</v>
      </c>
      <c r="H141" s="116"/>
      <c r="I141" s="116"/>
      <c r="L141" s="170">
        <v>42206</v>
      </c>
      <c r="M141" s="116">
        <v>82.115384615384599</v>
      </c>
      <c r="N141" s="116">
        <v>85.460108073744394</v>
      </c>
      <c r="O141" s="116">
        <v>81.582167832167798</v>
      </c>
      <c r="P141" s="116">
        <v>85.314685314685306</v>
      </c>
      <c r="Q141" s="116">
        <v>84.7</v>
      </c>
      <c r="R141">
        <v>3112254</v>
      </c>
    </row>
    <row r="142" spans="1:18" x14ac:dyDescent="0.25">
      <c r="A142" s="170">
        <v>42207</v>
      </c>
      <c r="B142" s="116">
        <v>82.890842507215694</v>
      </c>
      <c r="C142" s="116">
        <v>82.260678207453196</v>
      </c>
      <c r="D142" s="116">
        <v>81.242720492452307</v>
      </c>
      <c r="E142" s="116">
        <v>82.018307322929203</v>
      </c>
      <c r="F142" s="116">
        <v>84.85</v>
      </c>
      <c r="G142">
        <v>293547</v>
      </c>
      <c r="H142" s="116"/>
      <c r="I142" s="116"/>
      <c r="L142" s="170">
        <v>42207</v>
      </c>
      <c r="M142" s="116">
        <v>82.260807374443701</v>
      </c>
      <c r="N142" s="116">
        <v>82.745549904640797</v>
      </c>
      <c r="O142" s="116">
        <v>81.242848061029903</v>
      </c>
      <c r="P142" s="116">
        <v>81.776064844246605</v>
      </c>
      <c r="Q142" s="116">
        <v>84.85</v>
      </c>
      <c r="R142">
        <v>2153857</v>
      </c>
    </row>
    <row r="143" spans="1:18" x14ac:dyDescent="0.25">
      <c r="A143" s="170">
        <v>42208</v>
      </c>
      <c r="B143" s="116">
        <v>82.939316684120499</v>
      </c>
      <c r="C143" s="116">
        <v>82.018307322929203</v>
      </c>
      <c r="D143" s="116">
        <v>80.854927077213901</v>
      </c>
      <c r="E143" s="116">
        <v>82.890842507215694</v>
      </c>
      <c r="F143" s="116">
        <v>84.6</v>
      </c>
      <c r="G143">
        <v>465748</v>
      </c>
      <c r="H143" s="116"/>
      <c r="I143" s="116"/>
      <c r="L143" s="170">
        <v>42208</v>
      </c>
      <c r="M143" s="116">
        <v>81.969961856325497</v>
      </c>
      <c r="N143" s="116">
        <v>82.842498410680193</v>
      </c>
      <c r="O143" s="116">
        <v>80.758105530832793</v>
      </c>
      <c r="P143" s="116">
        <v>82.842498410680193</v>
      </c>
      <c r="Q143" s="116">
        <v>84.55</v>
      </c>
      <c r="R143">
        <v>1672117</v>
      </c>
    </row>
    <row r="144" spans="1:18" x14ac:dyDescent="0.25">
      <c r="A144" s="170">
        <v>42209</v>
      </c>
      <c r="B144" s="116">
        <v>84.635912875788605</v>
      </c>
      <c r="C144" s="116">
        <v>82.745419976501196</v>
      </c>
      <c r="D144" s="116">
        <v>81.727462261500307</v>
      </c>
      <c r="E144" s="116">
        <v>82.599997445786798</v>
      </c>
      <c r="F144" s="116">
        <v>85.35</v>
      </c>
      <c r="G144">
        <v>759751</v>
      </c>
      <c r="H144" s="116"/>
      <c r="I144" s="116"/>
      <c r="L144" s="170">
        <v>42209</v>
      </c>
      <c r="M144" s="116">
        <v>82.745549904640797</v>
      </c>
      <c r="N144" s="116">
        <v>84.587571519389698</v>
      </c>
      <c r="O144" s="116">
        <v>81.776064844246605</v>
      </c>
      <c r="P144" s="116">
        <v>81.921487603305806</v>
      </c>
      <c r="Q144" s="116">
        <v>85.35</v>
      </c>
      <c r="R144">
        <v>2874595</v>
      </c>
    </row>
    <row r="145" spans="1:18" x14ac:dyDescent="0.25">
      <c r="A145" s="170">
        <v>42212</v>
      </c>
      <c r="B145" s="116">
        <v>83.181687568644506</v>
      </c>
      <c r="C145" s="116">
        <v>78.625114939592805</v>
      </c>
      <c r="D145" s="116">
        <v>78.285795701259204</v>
      </c>
      <c r="E145" s="116">
        <v>83.181687568644506</v>
      </c>
      <c r="F145" s="116">
        <v>81.099999999999994</v>
      </c>
      <c r="G145">
        <v>705072</v>
      </c>
      <c r="H145" s="116"/>
      <c r="I145" s="116"/>
      <c r="L145" s="170">
        <v>42212</v>
      </c>
      <c r="M145" s="116">
        <v>78.576764144945997</v>
      </c>
      <c r="N145" s="116">
        <v>82.454704386522593</v>
      </c>
      <c r="O145" s="116">
        <v>78.237444373808003</v>
      </c>
      <c r="P145" s="116">
        <v>82.406230133502902</v>
      </c>
      <c r="Q145" s="116">
        <v>81.05</v>
      </c>
      <c r="R145">
        <v>3445054</v>
      </c>
    </row>
    <row r="146" spans="1:18" x14ac:dyDescent="0.25">
      <c r="A146" s="170">
        <v>42213</v>
      </c>
      <c r="B146" s="116">
        <v>79.594598477688905</v>
      </c>
      <c r="C146" s="116">
        <v>77.994950639830407</v>
      </c>
      <c r="D146" s="116">
        <v>77.413260516972699</v>
      </c>
      <c r="E146" s="116">
        <v>79.594598477688905</v>
      </c>
      <c r="F146" s="116">
        <v>80.45</v>
      </c>
      <c r="G146">
        <v>598171</v>
      </c>
      <c r="H146" s="116"/>
      <c r="I146" s="116"/>
      <c r="L146" s="170">
        <v>42213</v>
      </c>
      <c r="M146" s="116">
        <v>77.898124602669995</v>
      </c>
      <c r="N146" s="116">
        <v>79.2554036872219</v>
      </c>
      <c r="O146" s="116">
        <v>77.364907819453293</v>
      </c>
      <c r="P146" s="116">
        <v>79.109980928162699</v>
      </c>
      <c r="Q146" s="116">
        <v>80.349999999999994</v>
      </c>
      <c r="R146">
        <v>2518067</v>
      </c>
    </row>
    <row r="147" spans="1:18" x14ac:dyDescent="0.25">
      <c r="A147" s="170">
        <v>42214</v>
      </c>
      <c r="B147" s="116">
        <v>79.400701770069702</v>
      </c>
      <c r="C147" s="116">
        <v>79.061382531736101</v>
      </c>
      <c r="D147" s="116">
        <v>77.704105578401595</v>
      </c>
      <c r="E147" s="116">
        <v>78.479692408878407</v>
      </c>
      <c r="F147" s="116">
        <v>81.55</v>
      </c>
      <c r="G147">
        <v>606866</v>
      </c>
      <c r="H147" s="116"/>
      <c r="I147" s="116"/>
      <c r="L147" s="170">
        <v>42214</v>
      </c>
      <c r="M147" s="116">
        <v>79.2554036872219</v>
      </c>
      <c r="N147" s="116">
        <v>79.788620470438602</v>
      </c>
      <c r="O147" s="116">
        <v>77.655753337571497</v>
      </c>
      <c r="P147" s="116">
        <v>78.3343928798474</v>
      </c>
      <c r="Q147" s="116">
        <v>81.75</v>
      </c>
      <c r="R147">
        <v>1982851</v>
      </c>
    </row>
    <row r="148" spans="1:18" x14ac:dyDescent="0.25">
      <c r="A148" s="170">
        <v>42215</v>
      </c>
      <c r="B148" s="116">
        <v>87.641311843886498</v>
      </c>
      <c r="C148" s="116">
        <v>85.702344767694299</v>
      </c>
      <c r="D148" s="116">
        <v>78.770537470307303</v>
      </c>
      <c r="E148" s="116">
        <v>79.788495185308193</v>
      </c>
      <c r="F148" s="116">
        <v>88.4</v>
      </c>
      <c r="G148">
        <v>2406385</v>
      </c>
      <c r="H148" s="116"/>
      <c r="I148" s="116"/>
      <c r="L148" s="170">
        <v>42215</v>
      </c>
      <c r="M148" s="116">
        <v>85.944850603941504</v>
      </c>
      <c r="N148" s="116">
        <v>87.641449459631303</v>
      </c>
      <c r="O148" s="116">
        <v>78.916083916083906</v>
      </c>
      <c r="P148" s="116">
        <v>79.546249205340104</v>
      </c>
      <c r="Q148" s="116">
        <v>88.65</v>
      </c>
      <c r="R148">
        <v>7068951</v>
      </c>
    </row>
    <row r="149" spans="1:18" x14ac:dyDescent="0.25">
      <c r="A149" s="170">
        <v>42216</v>
      </c>
      <c r="B149" s="116">
        <v>86.235560713647203</v>
      </c>
      <c r="C149" s="116">
        <v>84.393541991264598</v>
      </c>
      <c r="D149" s="116">
        <v>83.714903514597296</v>
      </c>
      <c r="E149" s="116">
        <v>85.944715652218306</v>
      </c>
      <c r="F149" s="116">
        <v>87.05</v>
      </c>
      <c r="G149">
        <v>1129160</v>
      </c>
      <c r="H149" s="116"/>
      <c r="I149" s="116"/>
      <c r="L149" s="170">
        <v>42216</v>
      </c>
      <c r="M149" s="116">
        <v>84.490623013350302</v>
      </c>
      <c r="N149" s="116">
        <v>86.0417991099809</v>
      </c>
      <c r="O149" s="116">
        <v>83.763509218054693</v>
      </c>
      <c r="P149" s="116">
        <v>85.314685314685306</v>
      </c>
      <c r="Q149" s="116">
        <v>87.15</v>
      </c>
      <c r="R149">
        <v>3530494</v>
      </c>
    </row>
    <row r="150" spans="1:18" x14ac:dyDescent="0.25">
      <c r="A150" s="170">
        <v>42219</v>
      </c>
      <c r="B150" s="116">
        <v>84.975232114122306</v>
      </c>
      <c r="C150" s="116">
        <v>82.212204030548406</v>
      </c>
      <c r="D150" s="116">
        <v>81.582039730785894</v>
      </c>
      <c r="E150" s="116">
        <v>84.975232114122306</v>
      </c>
      <c r="F150" s="116">
        <v>84.8</v>
      </c>
      <c r="G150">
        <v>844018</v>
      </c>
      <c r="H150" s="116"/>
      <c r="I150" s="116"/>
      <c r="L150" s="170">
        <v>42219</v>
      </c>
      <c r="M150" s="116">
        <v>82.212333121423995</v>
      </c>
      <c r="N150" s="116">
        <v>85.120788302606499</v>
      </c>
      <c r="O150" s="116">
        <v>81.533693579148107</v>
      </c>
      <c r="P150" s="116">
        <v>85.120788302606499</v>
      </c>
      <c r="Q150" s="116">
        <v>84.8</v>
      </c>
      <c r="R150">
        <v>2264675</v>
      </c>
    </row>
    <row r="151" spans="1:18" x14ac:dyDescent="0.25">
      <c r="A151" s="170">
        <v>42220</v>
      </c>
      <c r="B151" s="116">
        <v>92.876522949605402</v>
      </c>
      <c r="C151" s="116">
        <v>91.519245996270897</v>
      </c>
      <c r="D151" s="116">
        <v>81.872884792214805</v>
      </c>
      <c r="E151" s="116">
        <v>82.793894153406001</v>
      </c>
      <c r="F151" s="116">
        <v>94.4</v>
      </c>
      <c r="G151">
        <v>2469125</v>
      </c>
      <c r="H151" s="116"/>
      <c r="I151" s="116"/>
      <c r="L151" s="170">
        <v>42220</v>
      </c>
      <c r="M151" s="116">
        <v>91.567863954227604</v>
      </c>
      <c r="N151" s="116">
        <v>92.876668785759705</v>
      </c>
      <c r="O151" s="116">
        <v>81.921487603305806</v>
      </c>
      <c r="P151" s="116">
        <v>82.794024157660502</v>
      </c>
      <c r="Q151" s="116">
        <v>94.45</v>
      </c>
      <c r="R151">
        <v>10508274</v>
      </c>
    </row>
    <row r="152" spans="1:18" x14ac:dyDescent="0.25">
      <c r="A152" s="170">
        <v>42221</v>
      </c>
      <c r="B152" s="116">
        <v>99.856804423897202</v>
      </c>
      <c r="C152" s="116">
        <v>95.736499386988797</v>
      </c>
      <c r="D152" s="116">
        <v>92.585677888176505</v>
      </c>
      <c r="E152" s="116">
        <v>93.264316364843793</v>
      </c>
      <c r="F152" s="116">
        <v>98.75</v>
      </c>
      <c r="G152">
        <v>4038308</v>
      </c>
      <c r="H152" s="116"/>
      <c r="I152" s="116"/>
      <c r="L152" s="170">
        <v>42221</v>
      </c>
      <c r="M152" s="116">
        <v>95.882072472981605</v>
      </c>
      <c r="N152" s="116">
        <v>99.905435473617302</v>
      </c>
      <c r="O152" s="116">
        <v>92.101080737444406</v>
      </c>
      <c r="P152" s="116">
        <v>93.167514303877894</v>
      </c>
      <c r="Q152" s="116">
        <v>98.9</v>
      </c>
      <c r="R152">
        <v>18013193</v>
      </c>
    </row>
    <row r="153" spans="1:18" x14ac:dyDescent="0.25">
      <c r="A153" s="170">
        <v>42222</v>
      </c>
      <c r="B153" s="116">
        <v>95.009386733416804</v>
      </c>
      <c r="C153" s="116">
        <v>92.343307003652498</v>
      </c>
      <c r="D153" s="116">
        <v>90.792133342698804</v>
      </c>
      <c r="E153" s="116">
        <v>95.009386733416804</v>
      </c>
      <c r="F153" s="116">
        <v>95.25</v>
      </c>
      <c r="G153">
        <v>1596087</v>
      </c>
      <c r="H153" s="116"/>
      <c r="I153" s="116"/>
      <c r="L153" s="170">
        <v>42222</v>
      </c>
      <c r="M153" s="116">
        <v>92.246503496503493</v>
      </c>
      <c r="N153" s="116">
        <v>94.912587412587399</v>
      </c>
      <c r="O153" s="116">
        <v>90.7438016528925</v>
      </c>
      <c r="P153" s="116">
        <v>94.5247933884297</v>
      </c>
      <c r="Q153" s="116">
        <v>95.15</v>
      </c>
      <c r="R153">
        <v>5930159</v>
      </c>
    </row>
    <row r="154" spans="1:18" x14ac:dyDescent="0.25">
      <c r="A154" s="170">
        <v>42223</v>
      </c>
      <c r="B154" s="116">
        <v>91.519245996270897</v>
      </c>
      <c r="C154" s="116">
        <v>87.592837666981694</v>
      </c>
      <c r="D154" s="116">
        <v>87.011147544124</v>
      </c>
      <c r="E154" s="116">
        <v>91.325349288651594</v>
      </c>
      <c r="F154" s="116">
        <v>90.35</v>
      </c>
      <c r="G154">
        <v>1292132</v>
      </c>
      <c r="H154" s="116"/>
      <c r="I154" s="116"/>
      <c r="L154" s="170">
        <v>42223</v>
      </c>
      <c r="M154" s="116">
        <v>87.544500953591907</v>
      </c>
      <c r="N154" s="116">
        <v>91.470915448188194</v>
      </c>
      <c r="O154" s="116">
        <v>86.962809917355401</v>
      </c>
      <c r="P154" s="116">
        <v>91.470915448188194</v>
      </c>
      <c r="Q154" s="116">
        <v>90.3</v>
      </c>
      <c r="R154">
        <v>5844687</v>
      </c>
    </row>
    <row r="155" spans="1:18" x14ac:dyDescent="0.25">
      <c r="A155" s="170">
        <v>42226</v>
      </c>
      <c r="B155" s="116">
        <v>92.731100418891003</v>
      </c>
      <c r="C155" s="116">
        <v>88.513847028173004</v>
      </c>
      <c r="D155" s="116">
        <v>87.689786020791303</v>
      </c>
      <c r="E155" s="116">
        <v>88.707743735792207</v>
      </c>
      <c r="F155" s="116">
        <v>91.3</v>
      </c>
      <c r="G155">
        <v>1699078</v>
      </c>
      <c r="H155" s="116"/>
      <c r="I155" s="116"/>
      <c r="L155" s="170">
        <v>42226</v>
      </c>
      <c r="M155" s="116">
        <v>88.465511760966294</v>
      </c>
      <c r="N155" s="116">
        <v>92.731246026700603</v>
      </c>
      <c r="O155" s="116">
        <v>87.544500953591907</v>
      </c>
      <c r="P155" s="116">
        <v>88.707883026064806</v>
      </c>
      <c r="Q155" s="116">
        <v>91.25</v>
      </c>
      <c r="R155">
        <v>6136388</v>
      </c>
    </row>
    <row r="156" spans="1:18" x14ac:dyDescent="0.25">
      <c r="A156" s="170">
        <v>42227</v>
      </c>
      <c r="B156" s="116">
        <v>92.973471303414996</v>
      </c>
      <c r="C156" s="116">
        <v>89.7741756276979</v>
      </c>
      <c r="D156" s="116">
        <v>87.786734374600897</v>
      </c>
      <c r="E156" s="116">
        <v>89.192485504840207</v>
      </c>
      <c r="F156" s="116">
        <v>92.6</v>
      </c>
      <c r="G156">
        <v>2553000</v>
      </c>
      <c r="H156" s="116"/>
      <c r="I156" s="116"/>
      <c r="L156" s="170">
        <v>42227</v>
      </c>
      <c r="M156" s="116">
        <v>89.628893833439307</v>
      </c>
      <c r="N156" s="116">
        <v>92.973617291799101</v>
      </c>
      <c r="O156" s="116">
        <v>87.641449459631303</v>
      </c>
      <c r="P156" s="116">
        <v>89.822790845518099</v>
      </c>
      <c r="Q156" s="116">
        <v>92.45</v>
      </c>
      <c r="R156">
        <v>9266414</v>
      </c>
    </row>
    <row r="157" spans="1:18" x14ac:dyDescent="0.25">
      <c r="A157" s="170">
        <v>42228</v>
      </c>
      <c r="B157" s="116">
        <v>91.131452581032406</v>
      </c>
      <c r="C157" s="116">
        <v>85.556922236979901</v>
      </c>
      <c r="D157" s="116">
        <v>84.878283760312598</v>
      </c>
      <c r="E157" s="116">
        <v>90.161969042936306</v>
      </c>
      <c r="F157" s="116">
        <v>88.25</v>
      </c>
      <c r="G157">
        <v>1406384</v>
      </c>
      <c r="H157" s="116"/>
      <c r="I157" s="116"/>
      <c r="L157" s="170">
        <v>42228</v>
      </c>
      <c r="M157" s="116">
        <v>85.557056579783804</v>
      </c>
      <c r="N157" s="116">
        <v>90.501430387794002</v>
      </c>
      <c r="O157" s="116">
        <v>84.829942784488196</v>
      </c>
      <c r="P157" s="116">
        <v>90.162110616656093</v>
      </c>
      <c r="Q157" s="116">
        <v>88.25</v>
      </c>
      <c r="R157">
        <v>4512973</v>
      </c>
    </row>
    <row r="158" spans="1:18" x14ac:dyDescent="0.25">
      <c r="A158" s="170">
        <v>42229</v>
      </c>
      <c r="B158" s="116">
        <v>88.465372851268199</v>
      </c>
      <c r="C158" s="116">
        <v>83.472532630073303</v>
      </c>
      <c r="D158" s="116">
        <v>82.309152384358001</v>
      </c>
      <c r="E158" s="116">
        <v>86.284034890551993</v>
      </c>
      <c r="F158" s="116">
        <v>86.1</v>
      </c>
      <c r="G158">
        <v>1603539</v>
      </c>
      <c r="H158" s="116"/>
      <c r="I158" s="116"/>
      <c r="L158" s="170">
        <v>42229</v>
      </c>
      <c r="M158" s="116">
        <v>83.375715193896994</v>
      </c>
      <c r="N158" s="116">
        <v>88.465511760966294</v>
      </c>
      <c r="O158" s="116">
        <v>82.212333121423995</v>
      </c>
      <c r="P158" s="116">
        <v>86.914335664335695</v>
      </c>
      <c r="Q158" s="116">
        <v>86</v>
      </c>
      <c r="R158">
        <v>6285304</v>
      </c>
    </row>
    <row r="159" spans="1:18" x14ac:dyDescent="0.25">
      <c r="A159" s="170">
        <v>42230</v>
      </c>
      <c r="B159" s="116">
        <v>87.447415136267296</v>
      </c>
      <c r="C159" s="116">
        <v>85.944715652218306</v>
      </c>
      <c r="D159" s="116">
        <v>82.890842507215694</v>
      </c>
      <c r="E159" s="116">
        <v>84.587438698883801</v>
      </c>
      <c r="F159" s="116">
        <v>88.65</v>
      </c>
      <c r="G159">
        <v>1387800</v>
      </c>
      <c r="H159" s="116"/>
      <c r="I159" s="116"/>
      <c r="L159" s="170">
        <v>42230</v>
      </c>
      <c r="M159" s="116">
        <v>85.944850603941504</v>
      </c>
      <c r="N159" s="116">
        <v>87.447552447552397</v>
      </c>
      <c r="O159" s="116">
        <v>82.987921169739295</v>
      </c>
      <c r="P159" s="116">
        <v>84.151303242212293</v>
      </c>
      <c r="Q159" s="116">
        <v>88.65</v>
      </c>
      <c r="R159">
        <v>4678444</v>
      </c>
    </row>
    <row r="160" spans="1:18" x14ac:dyDescent="0.25">
      <c r="A160" s="170">
        <v>42233</v>
      </c>
      <c r="B160" s="116">
        <v>87.738260197696107</v>
      </c>
      <c r="C160" s="116">
        <v>85.944715652218306</v>
      </c>
      <c r="D160" s="116">
        <v>85.411499706265502</v>
      </c>
      <c r="E160" s="116">
        <v>87.205044251743203</v>
      </c>
      <c r="F160" s="116">
        <v>88.65</v>
      </c>
      <c r="G160">
        <v>1071689</v>
      </c>
      <c r="H160" s="116"/>
      <c r="I160" s="116"/>
      <c r="L160" s="170">
        <v>42233</v>
      </c>
      <c r="M160" s="116">
        <v>85.847902097902093</v>
      </c>
      <c r="N160" s="116">
        <v>87.835346471710096</v>
      </c>
      <c r="O160" s="116">
        <v>85.314685314685306</v>
      </c>
      <c r="P160" s="116">
        <v>86.575015893197701</v>
      </c>
      <c r="Q160" s="116">
        <v>88.55</v>
      </c>
      <c r="R160">
        <v>4602781</v>
      </c>
    </row>
    <row r="161" spans="1:18" x14ac:dyDescent="0.25">
      <c r="A161" s="170">
        <v>42234</v>
      </c>
      <c r="B161" s="116">
        <v>87.592837666981694</v>
      </c>
      <c r="C161" s="116">
        <v>84.054222752930997</v>
      </c>
      <c r="D161" s="116">
        <v>83.569480983882897</v>
      </c>
      <c r="E161" s="116">
        <v>86.477931598171196</v>
      </c>
      <c r="F161" s="116">
        <v>86.7</v>
      </c>
      <c r="G161">
        <v>1030325</v>
      </c>
      <c r="H161" s="116"/>
      <c r="I161" s="116"/>
      <c r="L161" s="170">
        <v>42234</v>
      </c>
      <c r="M161" s="116">
        <v>83.763509218054693</v>
      </c>
      <c r="N161" s="116">
        <v>87.641449459631303</v>
      </c>
      <c r="O161" s="116">
        <v>83.375715193896994</v>
      </c>
      <c r="P161" s="116">
        <v>86.332644628099203</v>
      </c>
      <c r="Q161" s="116">
        <v>86.4</v>
      </c>
      <c r="R161">
        <v>4427061</v>
      </c>
    </row>
    <row r="162" spans="1:18" x14ac:dyDescent="0.25">
      <c r="A162" s="170">
        <v>42235</v>
      </c>
      <c r="B162" s="116">
        <v>84.926757937217403</v>
      </c>
      <c r="C162" s="116">
        <v>83.084739214834897</v>
      </c>
      <c r="D162" s="116">
        <v>82.745419976501196</v>
      </c>
      <c r="E162" s="116">
        <v>84.345067814359794</v>
      </c>
      <c r="F162" s="116">
        <v>85.7</v>
      </c>
      <c r="G162">
        <v>828465</v>
      </c>
      <c r="H162" s="116"/>
      <c r="I162" s="116"/>
      <c r="L162" s="170">
        <v>42235</v>
      </c>
      <c r="M162" s="116">
        <v>83.181818181818201</v>
      </c>
      <c r="N162" s="116">
        <v>84.829942784488196</v>
      </c>
      <c r="O162" s="116">
        <v>82.6486013986014</v>
      </c>
      <c r="P162" s="116">
        <v>83.763509218054693</v>
      </c>
      <c r="Q162" s="116">
        <v>85.8</v>
      </c>
      <c r="R162">
        <v>3382100</v>
      </c>
    </row>
    <row r="163" spans="1:18" x14ac:dyDescent="0.25">
      <c r="A163" s="170">
        <v>42236</v>
      </c>
      <c r="B163" s="116">
        <v>86.138612359837595</v>
      </c>
      <c r="C163" s="116">
        <v>80.709504546499403</v>
      </c>
      <c r="D163" s="116">
        <v>79.788495185308193</v>
      </c>
      <c r="E163" s="116">
        <v>84.345067814359794</v>
      </c>
      <c r="F163" s="116">
        <v>83.25</v>
      </c>
      <c r="G163">
        <v>1674563</v>
      </c>
      <c r="H163" s="116"/>
      <c r="I163" s="116"/>
      <c r="L163" s="170">
        <v>42236</v>
      </c>
      <c r="M163" s="116">
        <v>80.661157024793397</v>
      </c>
      <c r="N163" s="116">
        <v>86.090273363000605</v>
      </c>
      <c r="O163" s="116">
        <v>79.691671964399205</v>
      </c>
      <c r="P163" s="116">
        <v>83.9574062301335</v>
      </c>
      <c r="Q163" s="116">
        <v>83.2</v>
      </c>
      <c r="R163">
        <v>6974713</v>
      </c>
    </row>
    <row r="164" spans="1:18" x14ac:dyDescent="0.25">
      <c r="A164" s="170">
        <v>42237</v>
      </c>
      <c r="B164" s="116">
        <v>80.661030369594698</v>
      </c>
      <c r="C164" s="116">
        <v>79.497650123879296</v>
      </c>
      <c r="D164" s="116">
        <v>78.285795701259204</v>
      </c>
      <c r="E164" s="116">
        <v>80.273236954356193</v>
      </c>
      <c r="F164" s="116">
        <v>82</v>
      </c>
      <c r="G164">
        <v>1090817</v>
      </c>
      <c r="H164" s="116"/>
      <c r="I164" s="116"/>
      <c r="L164" s="170">
        <v>42237</v>
      </c>
      <c r="M164" s="116">
        <v>79.594723458359795</v>
      </c>
      <c r="N164" s="116">
        <v>80.661157024793397</v>
      </c>
      <c r="O164" s="116">
        <v>78.140495867768607</v>
      </c>
      <c r="P164" s="116">
        <v>80.079465988556905</v>
      </c>
      <c r="Q164" s="116">
        <v>82.1</v>
      </c>
      <c r="R164">
        <v>3421899</v>
      </c>
    </row>
    <row r="165" spans="1:18" x14ac:dyDescent="0.25">
      <c r="A165" s="170">
        <v>42240</v>
      </c>
      <c r="B165" s="116">
        <v>77.558683047687197</v>
      </c>
      <c r="C165" s="116">
        <v>69.075702089346393</v>
      </c>
      <c r="D165" s="116">
        <v>67.863847666726301</v>
      </c>
      <c r="E165" s="116">
        <v>77.558683047687197</v>
      </c>
      <c r="F165" s="116">
        <v>71.25</v>
      </c>
      <c r="G165">
        <v>1502582</v>
      </c>
      <c r="H165" s="116"/>
      <c r="I165" s="116"/>
      <c r="L165" s="170">
        <v>42240</v>
      </c>
      <c r="M165" s="116">
        <v>69.172759059122697</v>
      </c>
      <c r="N165" s="116">
        <v>77.704227590591202</v>
      </c>
      <c r="O165" s="116">
        <v>67.912428480610302</v>
      </c>
      <c r="P165" s="116">
        <v>77.5588048315321</v>
      </c>
      <c r="Q165" s="116">
        <v>71.349999999999994</v>
      </c>
      <c r="R165">
        <v>5584604</v>
      </c>
    </row>
    <row r="166" spans="1:18" x14ac:dyDescent="0.25">
      <c r="A166" s="170">
        <v>42241</v>
      </c>
      <c r="B166" s="116">
        <v>73.680748895302798</v>
      </c>
      <c r="C166" s="116">
        <v>70.239082335061696</v>
      </c>
      <c r="D166" s="116">
        <v>65.391664644581198</v>
      </c>
      <c r="E166" s="116">
        <v>72.614317003397105</v>
      </c>
      <c r="F166" s="116">
        <v>72.45</v>
      </c>
      <c r="G166">
        <v>1776345</v>
      </c>
      <c r="H166" s="116"/>
      <c r="I166" s="116"/>
      <c r="L166" s="170">
        <v>42241</v>
      </c>
      <c r="M166" s="116">
        <v>70.336141131595696</v>
      </c>
      <c r="N166" s="116">
        <v>73.777813095994901</v>
      </c>
      <c r="O166" s="116">
        <v>65.246344564526396</v>
      </c>
      <c r="P166" s="116">
        <v>73.680864589955505</v>
      </c>
      <c r="Q166" s="116">
        <v>72.55</v>
      </c>
      <c r="R166">
        <v>7214312</v>
      </c>
    </row>
    <row r="167" spans="1:18" x14ac:dyDescent="0.25">
      <c r="A167" s="170">
        <v>42242</v>
      </c>
      <c r="B167" s="116">
        <v>71.644833465301005</v>
      </c>
      <c r="C167" s="116">
        <v>69.705866389108806</v>
      </c>
      <c r="D167" s="116">
        <v>67.863847666726301</v>
      </c>
      <c r="E167" s="116">
        <v>70.7722982810145</v>
      </c>
      <c r="F167" s="116">
        <v>71.900000000000006</v>
      </c>
      <c r="G167">
        <v>851512</v>
      </c>
      <c r="H167" s="116"/>
      <c r="I167" s="116"/>
      <c r="L167" s="170">
        <v>42242</v>
      </c>
      <c r="M167" s="116">
        <v>69.802924348378895</v>
      </c>
      <c r="N167" s="116">
        <v>71.644945963127796</v>
      </c>
      <c r="O167" s="116">
        <v>67.573108709472294</v>
      </c>
      <c r="P167" s="116">
        <v>70.530038143674503</v>
      </c>
      <c r="Q167" s="116">
        <v>72</v>
      </c>
      <c r="R167">
        <v>4224850</v>
      </c>
    </row>
    <row r="168" spans="1:18" x14ac:dyDescent="0.25">
      <c r="A168" s="170">
        <v>42243</v>
      </c>
      <c r="B168" s="116">
        <v>79.206805062450499</v>
      </c>
      <c r="C168" s="116">
        <v>77.170889632448706</v>
      </c>
      <c r="D168" s="116">
        <v>70.7722982810145</v>
      </c>
      <c r="E168" s="116">
        <v>71.741781819110599</v>
      </c>
      <c r="F168" s="116">
        <v>79.599999999999994</v>
      </c>
      <c r="G168">
        <v>2011850</v>
      </c>
      <c r="H168" s="116"/>
      <c r="I168" s="116"/>
      <c r="L168" s="170">
        <v>42243</v>
      </c>
      <c r="M168" s="116">
        <v>77.364907819453293</v>
      </c>
      <c r="N168" s="116">
        <v>79.2554036872219</v>
      </c>
      <c r="O168" s="116">
        <v>70.772409408773001</v>
      </c>
      <c r="P168" s="116">
        <v>70.772409408773001</v>
      </c>
      <c r="Q168" s="116">
        <v>79.8</v>
      </c>
      <c r="R168">
        <v>10890594</v>
      </c>
    </row>
    <row r="169" spans="1:18" x14ac:dyDescent="0.25">
      <c r="A169" s="170">
        <v>42244</v>
      </c>
      <c r="B169" s="116">
        <v>80.273236954356193</v>
      </c>
      <c r="C169" s="116">
        <v>74.698706610303702</v>
      </c>
      <c r="D169" s="116">
        <v>73.0505845955403</v>
      </c>
      <c r="E169" s="116">
        <v>78.528166585783296</v>
      </c>
      <c r="F169" s="116">
        <v>77.05</v>
      </c>
      <c r="G169">
        <v>1430728</v>
      </c>
      <c r="H169" s="116"/>
      <c r="I169" s="116"/>
      <c r="L169" s="170">
        <v>42244</v>
      </c>
      <c r="M169" s="116">
        <v>74.747298156389107</v>
      </c>
      <c r="N169" s="116">
        <v>80.224888747616006</v>
      </c>
      <c r="O169" s="116">
        <v>73.050699300699307</v>
      </c>
      <c r="P169" s="116">
        <v>78.722186904005099</v>
      </c>
      <c r="Q169" s="116">
        <v>77.099999999999994</v>
      </c>
      <c r="R169">
        <v>5744742</v>
      </c>
    </row>
    <row r="170" spans="1:18" x14ac:dyDescent="0.25">
      <c r="A170" s="170">
        <v>42247</v>
      </c>
      <c r="B170" s="116">
        <v>75.765138502209396</v>
      </c>
      <c r="C170" s="116">
        <v>72.953636241730706</v>
      </c>
      <c r="D170" s="116">
        <v>72.711265357206699</v>
      </c>
      <c r="E170" s="116">
        <v>75.3288709100662</v>
      </c>
      <c r="F170" s="116">
        <v>75.25</v>
      </c>
      <c r="G170">
        <v>695179</v>
      </c>
      <c r="H170" s="116"/>
      <c r="I170" s="116"/>
      <c r="L170" s="170">
        <v>42247</v>
      </c>
      <c r="M170" s="116">
        <v>72.8568022886205</v>
      </c>
      <c r="N170" s="116">
        <v>75.813731722822595</v>
      </c>
      <c r="O170" s="116">
        <v>72.614431023521902</v>
      </c>
      <c r="P170" s="116">
        <v>75.038143674507296</v>
      </c>
      <c r="Q170" s="116">
        <v>75.150000000000006</v>
      </c>
      <c r="R170">
        <v>3313017</v>
      </c>
    </row>
    <row r="171" spans="1:18" x14ac:dyDescent="0.25">
      <c r="A171" s="170">
        <v>42248</v>
      </c>
      <c r="B171" s="116">
        <v>72.711265357206699</v>
      </c>
      <c r="C171" s="116">
        <v>69.851288919823205</v>
      </c>
      <c r="D171" s="116">
        <v>68.203166905059902</v>
      </c>
      <c r="E171" s="116">
        <v>72.711265357206699</v>
      </c>
      <c r="F171" s="116">
        <v>72.05</v>
      </c>
      <c r="G171">
        <v>953349</v>
      </c>
      <c r="H171" s="116"/>
      <c r="I171" s="116"/>
      <c r="L171" s="170">
        <v>42248</v>
      </c>
      <c r="M171" s="116">
        <v>69.802924348378895</v>
      </c>
      <c r="N171" s="116">
        <v>72.323585505403699</v>
      </c>
      <c r="O171" s="116">
        <v>68.203273998728505</v>
      </c>
      <c r="P171" s="116">
        <v>71.741894469167207</v>
      </c>
      <c r="Q171" s="116">
        <v>72</v>
      </c>
      <c r="R171">
        <v>3474548</v>
      </c>
    </row>
    <row r="172" spans="1:18" x14ac:dyDescent="0.25">
      <c r="A172" s="170">
        <v>42249</v>
      </c>
      <c r="B172" s="116">
        <v>71.644833465301005</v>
      </c>
      <c r="C172" s="116">
        <v>69.075702089346393</v>
      </c>
      <c r="D172" s="116">
        <v>68.397063612679105</v>
      </c>
      <c r="E172" s="116">
        <v>70.7722982810145</v>
      </c>
      <c r="F172" s="116">
        <v>71.25</v>
      </c>
      <c r="G172">
        <v>872480</v>
      </c>
      <c r="H172" s="116"/>
      <c r="I172" s="116"/>
      <c r="L172" s="170">
        <v>42249</v>
      </c>
      <c r="M172" s="116">
        <v>69.075810553083301</v>
      </c>
      <c r="N172" s="116">
        <v>71.5479974570884</v>
      </c>
      <c r="O172" s="116">
        <v>68.397171010807398</v>
      </c>
      <c r="P172" s="116">
        <v>70.966306420851893</v>
      </c>
      <c r="Q172" s="116">
        <v>71.25</v>
      </c>
      <c r="R172">
        <v>3217607</v>
      </c>
    </row>
    <row r="173" spans="1:18" x14ac:dyDescent="0.25">
      <c r="A173" s="170">
        <v>42250</v>
      </c>
      <c r="B173" s="116">
        <v>73.0505845955403</v>
      </c>
      <c r="C173" s="116">
        <v>70.7722982810145</v>
      </c>
      <c r="D173" s="116">
        <v>69.705866389108806</v>
      </c>
      <c r="E173" s="116">
        <v>69.705866389108806</v>
      </c>
      <c r="F173" s="116">
        <v>73</v>
      </c>
      <c r="G173">
        <v>842178</v>
      </c>
      <c r="H173" s="116"/>
      <c r="I173" s="116"/>
      <c r="L173" s="170">
        <v>42250</v>
      </c>
      <c r="M173" s="116">
        <v>70.772409408773001</v>
      </c>
      <c r="N173" s="116">
        <v>73.099173553718998</v>
      </c>
      <c r="O173" s="116">
        <v>69.802924348378895</v>
      </c>
      <c r="P173" s="116">
        <v>69.802924348378895</v>
      </c>
      <c r="Q173" s="116">
        <v>73</v>
      </c>
      <c r="R173">
        <v>3392960</v>
      </c>
    </row>
    <row r="174" spans="1:18" x14ac:dyDescent="0.25">
      <c r="A174" s="170">
        <v>42251</v>
      </c>
      <c r="B174" s="116">
        <v>70.7722982810145</v>
      </c>
      <c r="C174" s="116">
        <v>67.330631720773397</v>
      </c>
      <c r="D174" s="116">
        <v>65.973354767438906</v>
      </c>
      <c r="E174" s="116">
        <v>70.7722982810145</v>
      </c>
      <c r="F174" s="116">
        <v>69.45</v>
      </c>
      <c r="G174">
        <v>886921</v>
      </c>
      <c r="H174" s="116"/>
      <c r="I174" s="116"/>
      <c r="L174" s="170">
        <v>42251</v>
      </c>
      <c r="M174" s="116">
        <v>67.282263191354104</v>
      </c>
      <c r="N174" s="116">
        <v>70.530038143674503</v>
      </c>
      <c r="O174" s="116">
        <v>65.924984106802299</v>
      </c>
      <c r="P174" s="116">
        <v>70.530038143674503</v>
      </c>
      <c r="Q174" s="116">
        <v>69.400000000000006</v>
      </c>
      <c r="R174">
        <v>3436053</v>
      </c>
    </row>
    <row r="175" spans="1:18" x14ac:dyDescent="0.25">
      <c r="A175" s="170">
        <v>42254</v>
      </c>
      <c r="B175" s="116">
        <v>68.494011966488699</v>
      </c>
      <c r="C175" s="116">
        <v>65.440138821486002</v>
      </c>
      <c r="D175" s="116">
        <v>65.100819583152401</v>
      </c>
      <c r="E175" s="116">
        <v>67.766899312916706</v>
      </c>
      <c r="F175" s="116">
        <v>67.5</v>
      </c>
      <c r="G175">
        <v>883517</v>
      </c>
      <c r="H175" s="116"/>
      <c r="I175" s="116"/>
      <c r="L175" s="170">
        <v>42254</v>
      </c>
      <c r="M175" s="116">
        <v>65.246344564526396</v>
      </c>
      <c r="N175" s="116">
        <v>68.445645263827103</v>
      </c>
      <c r="O175" s="116">
        <v>64.955499046408093</v>
      </c>
      <c r="P175" s="116">
        <v>67.621582962491999</v>
      </c>
      <c r="Q175" s="116">
        <v>67.3</v>
      </c>
      <c r="R175">
        <v>3586067</v>
      </c>
    </row>
    <row r="176" spans="1:18" x14ac:dyDescent="0.25">
      <c r="A176" s="170">
        <v>42255</v>
      </c>
      <c r="B176" s="116">
        <v>66.894364128630201</v>
      </c>
      <c r="C176" s="116">
        <v>66.361148182677297</v>
      </c>
      <c r="D176" s="116">
        <v>63.840490983627497</v>
      </c>
      <c r="E176" s="116">
        <v>66.603519067201304</v>
      </c>
      <c r="F176" s="116">
        <v>68.45</v>
      </c>
      <c r="G176">
        <v>710568</v>
      </c>
      <c r="H176" s="116"/>
      <c r="I176" s="116"/>
      <c r="L176" s="170">
        <v>42255</v>
      </c>
      <c r="M176" s="116">
        <v>66.312778130959899</v>
      </c>
      <c r="N176" s="116">
        <v>66.894469167196405</v>
      </c>
      <c r="O176" s="116">
        <v>63.8405912269548</v>
      </c>
      <c r="P176" s="116">
        <v>65.924984106802299</v>
      </c>
      <c r="Q176" s="116">
        <v>68.400000000000006</v>
      </c>
      <c r="R176">
        <v>2882489</v>
      </c>
    </row>
    <row r="177" spans="1:18" x14ac:dyDescent="0.25">
      <c r="A177" s="170">
        <v>42256</v>
      </c>
      <c r="B177" s="116">
        <v>70.384504865776094</v>
      </c>
      <c r="C177" s="116">
        <v>68.300115258869496</v>
      </c>
      <c r="D177" s="116">
        <v>67.379105897678201</v>
      </c>
      <c r="E177" s="116">
        <v>67.863847666726301</v>
      </c>
      <c r="F177" s="116">
        <v>70.45</v>
      </c>
      <c r="G177">
        <v>799224</v>
      </c>
      <c r="H177" s="116"/>
      <c r="I177" s="116"/>
      <c r="L177" s="170">
        <v>42256</v>
      </c>
      <c r="M177" s="116">
        <v>68.300222504768001</v>
      </c>
      <c r="N177" s="116">
        <v>70.530038143674503</v>
      </c>
      <c r="O177" s="116">
        <v>66.894469167196405</v>
      </c>
      <c r="P177" s="116">
        <v>67.621582962491999</v>
      </c>
      <c r="Q177" s="116">
        <v>70.45</v>
      </c>
      <c r="R177">
        <v>3413559</v>
      </c>
    </row>
    <row r="178" spans="1:18" x14ac:dyDescent="0.25">
      <c r="A178" s="170">
        <v>42257</v>
      </c>
      <c r="B178" s="116">
        <v>68.057744374345504</v>
      </c>
      <c r="C178" s="116">
        <v>67.379105897678201</v>
      </c>
      <c r="D178" s="116">
        <v>65.343190467676393</v>
      </c>
      <c r="E178" s="116">
        <v>66.894364128630201</v>
      </c>
      <c r="F178" s="116">
        <v>69.5</v>
      </c>
      <c r="G178">
        <v>919656</v>
      </c>
      <c r="H178" s="116"/>
      <c r="I178" s="116"/>
      <c r="L178" s="170">
        <v>42257</v>
      </c>
      <c r="M178" s="116">
        <v>67.379211697393501</v>
      </c>
      <c r="N178" s="116">
        <v>68.1547997457088</v>
      </c>
      <c r="O178" s="116">
        <v>65.246344564526396</v>
      </c>
      <c r="P178" s="116">
        <v>67.621582962491999</v>
      </c>
      <c r="Q178" s="116">
        <v>69.5</v>
      </c>
      <c r="R178">
        <v>2805589</v>
      </c>
    </row>
    <row r="179" spans="1:18" x14ac:dyDescent="0.25">
      <c r="A179" s="170">
        <v>42258</v>
      </c>
      <c r="B179" s="116">
        <v>69.366547150775204</v>
      </c>
      <c r="C179" s="116">
        <v>67.282157543868607</v>
      </c>
      <c r="D179" s="116">
        <v>66.894364128630201</v>
      </c>
      <c r="E179" s="116">
        <v>68.348589435774301</v>
      </c>
      <c r="F179" s="116">
        <v>69.400000000000006</v>
      </c>
      <c r="G179">
        <v>921854</v>
      </c>
      <c r="H179" s="116"/>
      <c r="I179" s="116"/>
      <c r="L179" s="170">
        <v>42258</v>
      </c>
      <c r="M179" s="116">
        <v>67.282263191354104</v>
      </c>
      <c r="N179" s="116">
        <v>69.463604577240901</v>
      </c>
      <c r="O179" s="116">
        <v>66.749046408137303</v>
      </c>
      <c r="P179" s="116">
        <v>68.106325492689095</v>
      </c>
      <c r="Q179" s="116">
        <v>69.400000000000006</v>
      </c>
      <c r="R179">
        <v>2989235</v>
      </c>
    </row>
    <row r="180" spans="1:18" x14ac:dyDescent="0.25">
      <c r="A180" s="170">
        <v>42261</v>
      </c>
      <c r="B180" s="116">
        <v>76.589199509591097</v>
      </c>
      <c r="C180" s="116">
        <v>74.747180787208507</v>
      </c>
      <c r="D180" s="116">
        <v>67.863847666726301</v>
      </c>
      <c r="E180" s="116">
        <v>68.8333312048224</v>
      </c>
      <c r="F180" s="116">
        <v>77.099999999999994</v>
      </c>
      <c r="G180">
        <v>2550967</v>
      </c>
      <c r="H180" s="116"/>
      <c r="I180" s="116"/>
      <c r="L180" s="170">
        <v>42261</v>
      </c>
      <c r="M180" s="116">
        <v>74.747298156389107</v>
      </c>
      <c r="N180" s="116">
        <v>76.977113795295594</v>
      </c>
      <c r="O180" s="116">
        <v>67.863954227590597</v>
      </c>
      <c r="P180" s="116">
        <v>68.736490781945307</v>
      </c>
      <c r="Q180" s="116">
        <v>77.099999999999994</v>
      </c>
      <c r="R180">
        <v>8769092</v>
      </c>
    </row>
    <row r="181" spans="1:18" x14ac:dyDescent="0.25">
      <c r="A181" s="170">
        <v>42262</v>
      </c>
      <c r="B181" s="116">
        <v>74.650232433398898</v>
      </c>
      <c r="C181" s="116">
        <v>71.257040050062599</v>
      </c>
      <c r="D181" s="116">
        <v>70.529927396490507</v>
      </c>
      <c r="E181" s="116">
        <v>74.262439018160507</v>
      </c>
      <c r="F181" s="116">
        <v>73.5</v>
      </c>
      <c r="G181">
        <v>1137974</v>
      </c>
      <c r="H181" s="116"/>
      <c r="I181" s="116"/>
      <c r="L181" s="170">
        <v>42262</v>
      </c>
      <c r="M181" s="116">
        <v>71.208677685950406</v>
      </c>
      <c r="N181" s="116">
        <v>74.698823903369302</v>
      </c>
      <c r="O181" s="116">
        <v>70.384615384615401</v>
      </c>
      <c r="P181" s="116">
        <v>73.002225047679602</v>
      </c>
      <c r="Q181" s="116">
        <v>73.45</v>
      </c>
      <c r="R181">
        <v>4334109</v>
      </c>
    </row>
    <row r="182" spans="1:18" x14ac:dyDescent="0.25">
      <c r="A182" s="170">
        <v>42263</v>
      </c>
      <c r="B182" s="116">
        <v>75.038025848637304</v>
      </c>
      <c r="C182" s="116">
        <v>72.420420295777902</v>
      </c>
      <c r="D182" s="116">
        <v>70.239082335061696</v>
      </c>
      <c r="E182" s="116">
        <v>71.935678526729802</v>
      </c>
      <c r="F182" s="116">
        <v>74.7</v>
      </c>
      <c r="G182">
        <v>1293616</v>
      </c>
      <c r="H182" s="116"/>
      <c r="I182" s="116"/>
      <c r="L182" s="170">
        <v>42263</v>
      </c>
      <c r="M182" s="116">
        <v>72.372059758423404</v>
      </c>
      <c r="N182" s="116">
        <v>75.086617927527001</v>
      </c>
      <c r="O182" s="116">
        <v>70.093769866497098</v>
      </c>
      <c r="P182" s="116">
        <v>72.323585505403699</v>
      </c>
      <c r="Q182" s="116">
        <v>74.650000000000006</v>
      </c>
      <c r="R182">
        <v>5464283</v>
      </c>
    </row>
    <row r="183" spans="1:18" x14ac:dyDescent="0.25">
      <c r="A183" s="170">
        <v>42265</v>
      </c>
      <c r="B183" s="116">
        <v>76.686147863400706</v>
      </c>
      <c r="C183" s="116">
        <v>75.231922556256507</v>
      </c>
      <c r="D183" s="116">
        <v>73.196007126254798</v>
      </c>
      <c r="E183" s="116">
        <v>73.196007126254798</v>
      </c>
      <c r="F183" s="116">
        <v>77.599999999999994</v>
      </c>
      <c r="G183">
        <v>1312685</v>
      </c>
      <c r="H183" s="116"/>
      <c r="I183" s="116"/>
      <c r="L183" s="170">
        <v>42265</v>
      </c>
      <c r="M183" s="116">
        <v>75.571360457724097</v>
      </c>
      <c r="N183" s="116">
        <v>76.686268277177405</v>
      </c>
      <c r="O183" s="116">
        <v>73.050699300699307</v>
      </c>
      <c r="P183" s="116">
        <v>73.050699300699307</v>
      </c>
      <c r="Q183" s="116">
        <v>77.95</v>
      </c>
      <c r="R183">
        <v>9068661</v>
      </c>
    </row>
    <row r="184" spans="1:18" x14ac:dyDescent="0.25">
      <c r="A184" s="170">
        <v>42268</v>
      </c>
      <c r="B184" s="116">
        <v>80.370185308165802</v>
      </c>
      <c r="C184" s="116">
        <v>78.431218231973602</v>
      </c>
      <c r="D184" s="116">
        <v>73.729223072207603</v>
      </c>
      <c r="E184" s="116">
        <v>75.231922556256507</v>
      </c>
      <c r="F184" s="116">
        <v>80.900000000000006</v>
      </c>
      <c r="G184">
        <v>1654851</v>
      </c>
      <c r="H184" s="116"/>
      <c r="I184" s="116"/>
      <c r="L184" s="170">
        <v>42268</v>
      </c>
      <c r="M184" s="116">
        <v>78.673712650985394</v>
      </c>
      <c r="N184" s="116">
        <v>80.418785759694799</v>
      </c>
      <c r="O184" s="116">
        <v>73.777813095994901</v>
      </c>
      <c r="P184" s="116">
        <v>74.456452638270804</v>
      </c>
      <c r="Q184" s="116">
        <v>81.150000000000006</v>
      </c>
      <c r="R184">
        <v>5561209</v>
      </c>
    </row>
    <row r="185" spans="1:18" x14ac:dyDescent="0.25">
      <c r="A185" s="170">
        <v>42269</v>
      </c>
      <c r="B185" s="116">
        <v>81.436617200071495</v>
      </c>
      <c r="C185" s="116">
        <v>75.910561032923795</v>
      </c>
      <c r="D185" s="116">
        <v>75.134974202446898</v>
      </c>
      <c r="E185" s="116">
        <v>78.915960001021702</v>
      </c>
      <c r="F185" s="116">
        <v>78.3</v>
      </c>
      <c r="G185">
        <v>1068966</v>
      </c>
      <c r="H185" s="116"/>
      <c r="I185" s="116"/>
      <c r="L185" s="170">
        <v>42269</v>
      </c>
      <c r="M185" s="116">
        <v>76.007628734901502</v>
      </c>
      <c r="N185" s="116">
        <v>81.436745073108696</v>
      </c>
      <c r="O185" s="116">
        <v>75.183566433566398</v>
      </c>
      <c r="P185" s="116">
        <v>79.206929434202195</v>
      </c>
      <c r="Q185" s="116">
        <v>78.400000000000006</v>
      </c>
      <c r="R185">
        <v>4061225</v>
      </c>
    </row>
    <row r="186" spans="1:18" x14ac:dyDescent="0.25">
      <c r="A186" s="170">
        <v>42270</v>
      </c>
      <c r="B186" s="116">
        <v>78.528166585783296</v>
      </c>
      <c r="C186" s="116">
        <v>77.558683047687197</v>
      </c>
      <c r="D186" s="116">
        <v>73.341429656969197</v>
      </c>
      <c r="E186" s="116">
        <v>73.971593956731596</v>
      </c>
      <c r="F186" s="116">
        <v>80</v>
      </c>
      <c r="G186">
        <v>1210810</v>
      </c>
      <c r="H186" s="116"/>
      <c r="I186" s="116"/>
      <c r="L186" s="170">
        <v>42270</v>
      </c>
      <c r="M186" s="116">
        <v>77.5588048315321</v>
      </c>
      <c r="N186" s="116">
        <v>78.528289891926207</v>
      </c>
      <c r="O186" s="116">
        <v>73.680864589955505</v>
      </c>
      <c r="P186" s="116">
        <v>73.729338842975196</v>
      </c>
      <c r="Q186" s="116">
        <v>80</v>
      </c>
      <c r="R186">
        <v>3982170</v>
      </c>
    </row>
    <row r="187" spans="1:18" x14ac:dyDescent="0.25">
      <c r="A187" s="170">
        <v>42271</v>
      </c>
      <c r="B187" s="116">
        <v>78.722063293402499</v>
      </c>
      <c r="C187" s="116">
        <v>77.704105578401595</v>
      </c>
      <c r="D187" s="116">
        <v>76.104457740542998</v>
      </c>
      <c r="E187" s="116">
        <v>78.431218231973602</v>
      </c>
      <c r="F187" s="116">
        <v>80.150000000000006</v>
      </c>
      <c r="G187">
        <v>838243</v>
      </c>
      <c r="H187" s="116"/>
      <c r="I187" s="116"/>
      <c r="L187" s="170">
        <v>42271</v>
      </c>
      <c r="M187" s="116">
        <v>77.849650349650304</v>
      </c>
      <c r="N187" s="116">
        <v>78.770661157024804</v>
      </c>
      <c r="O187" s="116">
        <v>76.104577240940898</v>
      </c>
      <c r="P187" s="116">
        <v>77.5588048315321</v>
      </c>
      <c r="Q187" s="116">
        <v>80.3</v>
      </c>
      <c r="R187">
        <v>3343737</v>
      </c>
    </row>
    <row r="188" spans="1:18" x14ac:dyDescent="0.25">
      <c r="A188" s="170">
        <v>42275</v>
      </c>
      <c r="B188" s="116">
        <v>80.321711131260997</v>
      </c>
      <c r="C188" s="116">
        <v>77.898002286020798</v>
      </c>
      <c r="D188" s="116">
        <v>77.073941278639097</v>
      </c>
      <c r="E188" s="116">
        <v>78.2373215243544</v>
      </c>
      <c r="F188" s="116">
        <v>80.349999999999994</v>
      </c>
      <c r="G188">
        <v>1045440</v>
      </c>
      <c r="H188" s="116"/>
      <c r="I188" s="116"/>
      <c r="L188" s="170">
        <v>42275</v>
      </c>
      <c r="M188" s="116">
        <v>77.898124602669995</v>
      </c>
      <c r="N188" s="116">
        <v>80.273363000635698</v>
      </c>
      <c r="O188" s="116">
        <v>77.219485060394106</v>
      </c>
      <c r="P188" s="116">
        <v>78.528289891926207</v>
      </c>
      <c r="Q188" s="116">
        <v>80.349999999999994</v>
      </c>
      <c r="R188">
        <v>2747839</v>
      </c>
    </row>
    <row r="189" spans="1:18" x14ac:dyDescent="0.25">
      <c r="A189" s="170">
        <v>42276</v>
      </c>
      <c r="B189" s="116">
        <v>79.352227593164898</v>
      </c>
      <c r="C189" s="116">
        <v>76.734622040305496</v>
      </c>
      <c r="D189" s="116">
        <v>74.456335725779695</v>
      </c>
      <c r="E189" s="116">
        <v>77.073941278639097</v>
      </c>
      <c r="F189" s="116">
        <v>79.150000000000006</v>
      </c>
      <c r="G189">
        <v>1316183</v>
      </c>
      <c r="H189" s="116"/>
      <c r="I189" s="116"/>
      <c r="L189" s="170">
        <v>42276</v>
      </c>
      <c r="M189" s="116">
        <v>76.637794024157699</v>
      </c>
      <c r="N189" s="116">
        <v>79.497774952320398</v>
      </c>
      <c r="O189" s="116">
        <v>74.456452638270804</v>
      </c>
      <c r="P189" s="116">
        <v>76.153051493960604</v>
      </c>
      <c r="Q189" s="116">
        <v>79.05</v>
      </c>
      <c r="R189">
        <v>3876587</v>
      </c>
    </row>
    <row r="190" spans="1:18" x14ac:dyDescent="0.25">
      <c r="A190" s="170">
        <v>42277</v>
      </c>
      <c r="B190" s="116">
        <v>78.770537470307303</v>
      </c>
      <c r="C190" s="116">
        <v>78.285795701259204</v>
      </c>
      <c r="D190" s="116">
        <v>76.346828625067005</v>
      </c>
      <c r="E190" s="116">
        <v>78.043424816735197</v>
      </c>
      <c r="F190" s="116">
        <v>80.75</v>
      </c>
      <c r="G190">
        <v>1195558</v>
      </c>
      <c r="H190" s="116"/>
      <c r="I190" s="116"/>
      <c r="L190" s="170">
        <v>42277</v>
      </c>
      <c r="M190" s="116">
        <v>78.382867132867105</v>
      </c>
      <c r="N190" s="116">
        <v>78.916083916083906</v>
      </c>
      <c r="O190" s="116">
        <v>76.25</v>
      </c>
      <c r="P190" s="116">
        <v>77.5588048315321</v>
      </c>
      <c r="Q190" s="116">
        <v>80.849999999999994</v>
      </c>
      <c r="R190">
        <v>2706881</v>
      </c>
    </row>
    <row r="191" spans="1:18" x14ac:dyDescent="0.25">
      <c r="A191" s="170">
        <v>42278</v>
      </c>
      <c r="B191" s="116">
        <v>80.127814423641794</v>
      </c>
      <c r="C191" s="116">
        <v>78.091898993640001</v>
      </c>
      <c r="D191" s="116">
        <v>77.073941278639097</v>
      </c>
      <c r="E191" s="116">
        <v>78.964434177926506</v>
      </c>
      <c r="F191" s="116">
        <v>80.55</v>
      </c>
      <c r="G191">
        <v>1233306</v>
      </c>
      <c r="H191" s="116"/>
      <c r="I191" s="116"/>
      <c r="L191" s="170">
        <v>42278</v>
      </c>
      <c r="M191" s="116">
        <v>78.092021614748901</v>
      </c>
      <c r="N191" s="116">
        <v>80.176414494596301</v>
      </c>
      <c r="O191" s="116">
        <v>77.025588048315299</v>
      </c>
      <c r="P191" s="116">
        <v>79.206929434202195</v>
      </c>
      <c r="Q191" s="116">
        <v>80.55</v>
      </c>
      <c r="R191">
        <v>2974598</v>
      </c>
    </row>
    <row r="192" spans="1:18" x14ac:dyDescent="0.25">
      <c r="A192" s="170">
        <v>42282</v>
      </c>
      <c r="B192" s="116">
        <v>80.418659485070606</v>
      </c>
      <c r="C192" s="116">
        <v>79.836969362212997</v>
      </c>
      <c r="D192" s="116">
        <v>78.5766407626881</v>
      </c>
      <c r="E192" s="116">
        <v>79.012908354831296</v>
      </c>
      <c r="F192" s="116">
        <v>82.35</v>
      </c>
      <c r="G192">
        <v>1129849</v>
      </c>
      <c r="H192" s="116"/>
      <c r="I192" s="116"/>
      <c r="L192" s="170">
        <v>42282</v>
      </c>
      <c r="M192" s="116">
        <v>79.740146217418896</v>
      </c>
      <c r="N192" s="116">
        <v>80.467260012714505</v>
      </c>
      <c r="O192" s="116">
        <v>78.576764144945997</v>
      </c>
      <c r="P192" s="116">
        <v>78.819135410044495</v>
      </c>
      <c r="Q192" s="116">
        <v>82.25</v>
      </c>
      <c r="R192">
        <v>2955606</v>
      </c>
    </row>
    <row r="193" spans="1:18" x14ac:dyDescent="0.25">
      <c r="A193" s="170">
        <v>42283</v>
      </c>
      <c r="B193" s="116">
        <v>83.860326045311695</v>
      </c>
      <c r="C193" s="116">
        <v>81.630513907690698</v>
      </c>
      <c r="D193" s="116">
        <v>80.127814423641794</v>
      </c>
      <c r="E193" s="116">
        <v>80.127814423641794</v>
      </c>
      <c r="F193" s="116">
        <v>84.2</v>
      </c>
      <c r="G193">
        <v>1623273</v>
      </c>
      <c r="H193" s="116"/>
      <c r="I193" s="116"/>
      <c r="L193" s="170">
        <v>42283</v>
      </c>
      <c r="M193" s="116">
        <v>81.582167832167798</v>
      </c>
      <c r="N193" s="116">
        <v>83.908931977113795</v>
      </c>
      <c r="O193" s="116">
        <v>80.127940241576596</v>
      </c>
      <c r="P193" s="116">
        <v>80.467260012714505</v>
      </c>
      <c r="Q193" s="116">
        <v>84.15</v>
      </c>
      <c r="R193">
        <v>4511923</v>
      </c>
    </row>
    <row r="194" spans="1:18" x14ac:dyDescent="0.25">
      <c r="A194" s="170">
        <v>42284</v>
      </c>
      <c r="B194" s="116">
        <v>83.7633776915021</v>
      </c>
      <c r="C194" s="116">
        <v>82.260678207453196</v>
      </c>
      <c r="D194" s="116">
        <v>81.630513907690698</v>
      </c>
      <c r="E194" s="116">
        <v>82.309152384358001</v>
      </c>
      <c r="F194" s="116">
        <v>84.85</v>
      </c>
      <c r="G194">
        <v>1237535</v>
      </c>
      <c r="H194" s="116"/>
      <c r="I194" s="116"/>
      <c r="L194" s="170">
        <v>42284</v>
      </c>
      <c r="M194" s="116">
        <v>82.260807374443701</v>
      </c>
      <c r="N194" s="116">
        <v>83.763509218054693</v>
      </c>
      <c r="O194" s="116">
        <v>81.630642085187503</v>
      </c>
      <c r="P194" s="116">
        <v>81.969961856325497</v>
      </c>
      <c r="Q194" s="116">
        <v>84.85</v>
      </c>
      <c r="R194">
        <v>2831684</v>
      </c>
    </row>
    <row r="195" spans="1:18" x14ac:dyDescent="0.25">
      <c r="A195" s="170">
        <v>42285</v>
      </c>
      <c r="B195" s="116">
        <v>82.599997445786798</v>
      </c>
      <c r="C195" s="116">
        <v>81.630513907690698</v>
      </c>
      <c r="D195" s="116">
        <v>79.788495185308193</v>
      </c>
      <c r="E195" s="116">
        <v>82.599997445786798</v>
      </c>
      <c r="F195" s="116">
        <v>84.2</v>
      </c>
      <c r="G195">
        <v>752035</v>
      </c>
      <c r="H195" s="116"/>
      <c r="I195" s="116"/>
      <c r="L195" s="170">
        <v>42285</v>
      </c>
      <c r="M195" s="116">
        <v>81.582167832167798</v>
      </c>
      <c r="N195" s="116">
        <v>82.794024157660502</v>
      </c>
      <c r="O195" s="116">
        <v>79.691671964399205</v>
      </c>
      <c r="P195" s="116">
        <v>82.697075651621105</v>
      </c>
      <c r="Q195" s="116">
        <v>84.15</v>
      </c>
      <c r="R195">
        <v>2003678</v>
      </c>
    </row>
    <row r="196" spans="1:18" x14ac:dyDescent="0.25">
      <c r="A196" s="170">
        <v>42286</v>
      </c>
      <c r="B196" s="116">
        <v>83.714903514597296</v>
      </c>
      <c r="C196" s="116">
        <v>81.291194669357097</v>
      </c>
      <c r="D196" s="116">
        <v>79.885443539117801</v>
      </c>
      <c r="E196" s="116">
        <v>81.533565553881104</v>
      </c>
      <c r="F196" s="116">
        <v>83.85</v>
      </c>
      <c r="G196">
        <v>750629</v>
      </c>
      <c r="H196" s="116"/>
      <c r="I196" s="116"/>
      <c r="L196" s="170">
        <v>42286</v>
      </c>
      <c r="M196" s="116">
        <v>81.388270820089005</v>
      </c>
      <c r="N196" s="116">
        <v>83.618086458995506</v>
      </c>
      <c r="O196" s="116">
        <v>79.885568976478098</v>
      </c>
      <c r="P196" s="116">
        <v>82.406230133502902</v>
      </c>
      <c r="Q196" s="116">
        <v>83.95</v>
      </c>
      <c r="R196">
        <v>2714686</v>
      </c>
    </row>
    <row r="197" spans="1:18" x14ac:dyDescent="0.25">
      <c r="A197" s="170">
        <v>42289</v>
      </c>
      <c r="B197" s="116">
        <v>85.169128821741495</v>
      </c>
      <c r="C197" s="116">
        <v>83.375584276263695</v>
      </c>
      <c r="D197" s="116">
        <v>81.242720492452307</v>
      </c>
      <c r="E197" s="116">
        <v>81.242720492452307</v>
      </c>
      <c r="F197" s="116">
        <v>86</v>
      </c>
      <c r="G197">
        <v>1255694</v>
      </c>
      <c r="H197" s="116"/>
      <c r="I197" s="116"/>
      <c r="L197" s="170">
        <v>42289</v>
      </c>
      <c r="M197" s="116">
        <v>83.472663699936405</v>
      </c>
      <c r="N197" s="116">
        <v>85.120788302606499</v>
      </c>
      <c r="O197" s="116">
        <v>81.194373808010198</v>
      </c>
      <c r="P197" s="116">
        <v>81.873013350286101</v>
      </c>
      <c r="Q197" s="116">
        <v>86.1</v>
      </c>
      <c r="R197">
        <v>3089281</v>
      </c>
    </row>
    <row r="198" spans="1:18" x14ac:dyDescent="0.25">
      <c r="A198" s="170">
        <v>42290</v>
      </c>
      <c r="B198" s="116">
        <v>83.860326045311695</v>
      </c>
      <c r="C198" s="116">
        <v>82.454574915072399</v>
      </c>
      <c r="D198" s="116">
        <v>81.533565553881104</v>
      </c>
      <c r="E198" s="116">
        <v>83.472532630073303</v>
      </c>
      <c r="F198" s="116">
        <v>85.05</v>
      </c>
      <c r="G198">
        <v>598069</v>
      </c>
      <c r="H198" s="116"/>
      <c r="I198" s="116"/>
      <c r="L198" s="170">
        <v>42290</v>
      </c>
      <c r="M198" s="116">
        <v>82.454704386522593</v>
      </c>
      <c r="N198" s="116">
        <v>83.763509218054693</v>
      </c>
      <c r="O198" s="116">
        <v>81.630642085187503</v>
      </c>
      <c r="P198" s="116">
        <v>83.375715193896994</v>
      </c>
      <c r="Q198" s="116">
        <v>85.05</v>
      </c>
      <c r="R198">
        <v>1748944</v>
      </c>
    </row>
    <row r="199" spans="1:18" x14ac:dyDescent="0.25">
      <c r="A199" s="170">
        <v>42291</v>
      </c>
      <c r="B199" s="116">
        <v>84.684387052693396</v>
      </c>
      <c r="C199" s="116">
        <v>82.260678207453196</v>
      </c>
      <c r="D199" s="116">
        <v>81.533565553881104</v>
      </c>
      <c r="E199" s="116">
        <v>82.406100738167595</v>
      </c>
      <c r="F199" s="116">
        <v>84.85</v>
      </c>
      <c r="G199">
        <v>872133</v>
      </c>
      <c r="H199" s="116"/>
      <c r="I199" s="116"/>
      <c r="L199" s="170">
        <v>42291</v>
      </c>
      <c r="M199" s="116">
        <v>82.212333121423995</v>
      </c>
      <c r="N199" s="116">
        <v>84.7329942784488</v>
      </c>
      <c r="O199" s="116">
        <v>81.485219326128401</v>
      </c>
      <c r="P199" s="116">
        <v>82.357755880483197</v>
      </c>
      <c r="Q199" s="116">
        <v>84.8</v>
      </c>
      <c r="R199">
        <v>1891862</v>
      </c>
    </row>
    <row r="200" spans="1:18" x14ac:dyDescent="0.25">
      <c r="A200" s="170">
        <v>42292</v>
      </c>
      <c r="B200" s="116">
        <v>95.300231794845601</v>
      </c>
      <c r="C200" s="116">
        <v>93.797532310796697</v>
      </c>
      <c r="D200" s="116">
        <v>82.018307322929203</v>
      </c>
      <c r="E200" s="116">
        <v>82.018307322929203</v>
      </c>
      <c r="F200" s="116">
        <v>96.75</v>
      </c>
      <c r="G200">
        <v>6312699</v>
      </c>
      <c r="H200" s="116"/>
      <c r="I200" s="116"/>
      <c r="L200" s="170">
        <v>42292</v>
      </c>
      <c r="M200" s="116">
        <v>93.797679593134106</v>
      </c>
      <c r="N200" s="116">
        <v>95.591226954863302</v>
      </c>
      <c r="O200" s="116">
        <v>82.842498410680193</v>
      </c>
      <c r="P200" s="116">
        <v>82.842498410680193</v>
      </c>
      <c r="Q200" s="116">
        <v>96.75</v>
      </c>
      <c r="R200">
        <v>25277896</v>
      </c>
    </row>
    <row r="201" spans="1:18" x14ac:dyDescent="0.25">
      <c r="A201" s="170">
        <v>42293</v>
      </c>
      <c r="B201" s="116">
        <v>98.790372531991494</v>
      </c>
      <c r="C201" s="116">
        <v>93.070419657224605</v>
      </c>
      <c r="D201" s="116">
        <v>92.003987765318897</v>
      </c>
      <c r="E201" s="116">
        <v>95.348705971750405</v>
      </c>
      <c r="F201" s="116">
        <v>96</v>
      </c>
      <c r="G201">
        <v>3606622</v>
      </c>
      <c r="H201" s="116"/>
      <c r="I201" s="116"/>
      <c r="L201" s="170">
        <v>42293</v>
      </c>
      <c r="M201" s="116">
        <v>93.167514303877894</v>
      </c>
      <c r="N201" s="116">
        <v>98.887476160203406</v>
      </c>
      <c r="O201" s="116">
        <v>91.907183725365499</v>
      </c>
      <c r="P201" s="116">
        <v>95.009535918626796</v>
      </c>
      <c r="Q201" s="116">
        <v>96.1</v>
      </c>
      <c r="R201">
        <v>16094236</v>
      </c>
    </row>
    <row r="202" spans="1:18" x14ac:dyDescent="0.25">
      <c r="A202" s="170">
        <v>42296</v>
      </c>
      <c r="B202" s="116">
        <v>92.876522949605402</v>
      </c>
      <c r="C202" s="116">
        <v>90.840607519603594</v>
      </c>
      <c r="D202" s="116">
        <v>90.210443219841096</v>
      </c>
      <c r="E202" s="116">
        <v>92.779574595795793</v>
      </c>
      <c r="F202" s="116">
        <v>93.7</v>
      </c>
      <c r="G202">
        <v>1288240</v>
      </c>
      <c r="H202" s="116"/>
      <c r="I202" s="116"/>
      <c r="L202" s="170">
        <v>42296</v>
      </c>
      <c r="M202" s="116">
        <v>90.889224411951702</v>
      </c>
      <c r="N202" s="116">
        <v>93.022091544818807</v>
      </c>
      <c r="O202" s="116">
        <v>90.162110616656093</v>
      </c>
      <c r="P202" s="116">
        <v>92.585823267641402</v>
      </c>
      <c r="Q202" s="116">
        <v>93.75</v>
      </c>
      <c r="R202">
        <v>3798212</v>
      </c>
    </row>
    <row r="203" spans="1:18" x14ac:dyDescent="0.25">
      <c r="A203" s="170">
        <v>42297</v>
      </c>
      <c r="B203" s="116">
        <v>95.154809264131202</v>
      </c>
      <c r="C203" s="116">
        <v>93.070419657224605</v>
      </c>
      <c r="D203" s="116">
        <v>91.082978404127601</v>
      </c>
      <c r="E203" s="116">
        <v>91.228400934842</v>
      </c>
      <c r="F203" s="116">
        <v>96</v>
      </c>
      <c r="G203">
        <v>1433200</v>
      </c>
      <c r="H203" s="116"/>
      <c r="I203" s="116"/>
      <c r="L203" s="170">
        <v>42297</v>
      </c>
      <c r="M203" s="116">
        <v>93.070565797838498</v>
      </c>
      <c r="N203" s="116">
        <v>95.203432930705603</v>
      </c>
      <c r="O203" s="116">
        <v>90.986172917991098</v>
      </c>
      <c r="P203" s="116">
        <v>91.1315956770502</v>
      </c>
      <c r="Q203" s="116">
        <v>96</v>
      </c>
      <c r="R203">
        <v>4752006</v>
      </c>
    </row>
    <row r="204" spans="1:18" x14ac:dyDescent="0.25">
      <c r="A204" s="170">
        <v>42298</v>
      </c>
      <c r="B204" s="116">
        <v>93.797532310796697</v>
      </c>
      <c r="C204" s="116">
        <v>90.840607519603594</v>
      </c>
      <c r="D204" s="116">
        <v>88.659269558887402</v>
      </c>
      <c r="E204" s="116">
        <v>93.458213072462996</v>
      </c>
      <c r="F204" s="116">
        <v>93.7</v>
      </c>
      <c r="G204">
        <v>845504</v>
      </c>
      <c r="H204" s="116"/>
      <c r="I204" s="116"/>
      <c r="L204" s="170">
        <v>42298</v>
      </c>
      <c r="M204" s="116">
        <v>90.840750158931996</v>
      </c>
      <c r="N204" s="116">
        <v>93.846153846153797</v>
      </c>
      <c r="O204" s="116">
        <v>88.513986013985999</v>
      </c>
      <c r="P204" s="116">
        <v>93.070565797838498</v>
      </c>
      <c r="Q204" s="116">
        <v>93.7</v>
      </c>
      <c r="R204">
        <v>3011971</v>
      </c>
    </row>
    <row r="205" spans="1:18" x14ac:dyDescent="0.25">
      <c r="A205" s="170">
        <v>42300</v>
      </c>
      <c r="B205" s="116">
        <v>93.555161426272605</v>
      </c>
      <c r="C205" s="116">
        <v>91.325349288651594</v>
      </c>
      <c r="D205" s="116">
        <v>90.937555873413203</v>
      </c>
      <c r="E205" s="116">
        <v>91.664668526985295</v>
      </c>
      <c r="F205" s="116">
        <v>94.2</v>
      </c>
      <c r="G205">
        <v>1016942</v>
      </c>
      <c r="H205" s="116"/>
      <c r="I205" s="116"/>
      <c r="L205" s="170">
        <v>42300</v>
      </c>
      <c r="M205" s="116">
        <v>91.180069930069905</v>
      </c>
      <c r="N205" s="116">
        <v>93.506834075015902</v>
      </c>
      <c r="O205" s="116">
        <v>90.840750158931996</v>
      </c>
      <c r="P205" s="116">
        <v>91.616338207247296</v>
      </c>
      <c r="Q205" s="116">
        <v>94.05</v>
      </c>
      <c r="R205">
        <v>2855488</v>
      </c>
    </row>
    <row r="206" spans="1:18" x14ac:dyDescent="0.25">
      <c r="A206" s="170">
        <v>42303</v>
      </c>
      <c r="B206" s="116">
        <v>91.907039411509302</v>
      </c>
      <c r="C206" s="116">
        <v>89.047062974125794</v>
      </c>
      <c r="D206" s="116">
        <v>88.562321205077794</v>
      </c>
      <c r="E206" s="116">
        <v>91.131452581032406</v>
      </c>
      <c r="F206" s="116">
        <v>91.85</v>
      </c>
      <c r="G206">
        <v>975993</v>
      </c>
      <c r="H206" s="116"/>
      <c r="I206" s="116"/>
      <c r="L206" s="170">
        <v>42303</v>
      </c>
      <c r="M206" s="116">
        <v>88.853305785123993</v>
      </c>
      <c r="N206" s="116">
        <v>91.907183725365499</v>
      </c>
      <c r="O206" s="116">
        <v>88.320089001907206</v>
      </c>
      <c r="P206" s="116">
        <v>91.325492689129007</v>
      </c>
      <c r="Q206" s="116">
        <v>91.65</v>
      </c>
      <c r="R206">
        <v>2063707</v>
      </c>
    </row>
    <row r="207" spans="1:18" x14ac:dyDescent="0.25">
      <c r="A207" s="170">
        <v>42304</v>
      </c>
      <c r="B207" s="116">
        <v>89.580278920078698</v>
      </c>
      <c r="C207" s="116">
        <v>88.950114620316199</v>
      </c>
      <c r="D207" s="116">
        <v>88.077579436029694</v>
      </c>
      <c r="E207" s="116">
        <v>88.223001966744206</v>
      </c>
      <c r="F207" s="116">
        <v>91.75</v>
      </c>
      <c r="G207">
        <v>953262</v>
      </c>
      <c r="H207" s="116"/>
      <c r="I207" s="116"/>
      <c r="L207" s="170">
        <v>42304</v>
      </c>
      <c r="M207" s="116">
        <v>88.998728544183095</v>
      </c>
      <c r="N207" s="116">
        <v>89.725842339478703</v>
      </c>
      <c r="O207" s="116">
        <v>87.980769230769198</v>
      </c>
      <c r="P207" s="116">
        <v>88.417037507946603</v>
      </c>
      <c r="Q207" s="116">
        <v>91.8</v>
      </c>
      <c r="R207">
        <v>2874968</v>
      </c>
    </row>
    <row r="208" spans="1:18" x14ac:dyDescent="0.25">
      <c r="A208" s="170">
        <v>42305</v>
      </c>
      <c r="B208" s="116">
        <v>89.968072335317103</v>
      </c>
      <c r="C208" s="116">
        <v>88.319950320553701</v>
      </c>
      <c r="D208" s="116">
        <v>87.156570074838498</v>
      </c>
      <c r="E208" s="116">
        <v>88.901640443411395</v>
      </c>
      <c r="F208" s="116">
        <v>91.1</v>
      </c>
      <c r="G208">
        <v>1169964</v>
      </c>
      <c r="H208" s="116"/>
      <c r="I208" s="116"/>
      <c r="L208" s="170">
        <v>42305</v>
      </c>
      <c r="M208" s="116">
        <v>88.320089001907206</v>
      </c>
      <c r="N208" s="116">
        <v>90.162110616656093</v>
      </c>
      <c r="O208" s="116">
        <v>87.253655435473604</v>
      </c>
      <c r="P208" s="116">
        <v>88.610934520025395</v>
      </c>
      <c r="Q208" s="116">
        <v>91.1</v>
      </c>
      <c r="R208">
        <v>3510522</v>
      </c>
    </row>
    <row r="209" spans="1:18" x14ac:dyDescent="0.25">
      <c r="A209" s="170">
        <v>42306</v>
      </c>
      <c r="B209" s="116">
        <v>89.580278920078698</v>
      </c>
      <c r="C209" s="116">
        <v>88.465372851268199</v>
      </c>
      <c r="D209" s="116">
        <v>87.786734374600897</v>
      </c>
      <c r="E209" s="116">
        <v>88.901640443411395</v>
      </c>
      <c r="F209" s="116">
        <v>91.25</v>
      </c>
      <c r="G209">
        <v>709062</v>
      </c>
      <c r="H209" s="116"/>
      <c r="I209" s="116"/>
      <c r="L209" s="170">
        <v>42306</v>
      </c>
      <c r="M209" s="116">
        <v>88.368563254926897</v>
      </c>
      <c r="N209" s="116">
        <v>89.580419580419601</v>
      </c>
      <c r="O209" s="116">
        <v>87.689923712650995</v>
      </c>
      <c r="P209" s="116">
        <v>88.513986013985999</v>
      </c>
      <c r="Q209" s="116">
        <v>91.15</v>
      </c>
      <c r="R209">
        <v>2923488</v>
      </c>
    </row>
    <row r="210" spans="1:18" x14ac:dyDescent="0.25">
      <c r="A210" s="170">
        <v>42307</v>
      </c>
      <c r="B210" s="116">
        <v>91.519245996270897</v>
      </c>
      <c r="C210" s="116">
        <v>89.434856389364299</v>
      </c>
      <c r="D210" s="116">
        <v>87.9806310822201</v>
      </c>
      <c r="E210" s="116">
        <v>88.513847028173004</v>
      </c>
      <c r="F210" s="116">
        <v>92.25</v>
      </c>
      <c r="G210">
        <v>1493982</v>
      </c>
      <c r="H210" s="116"/>
      <c r="I210" s="116"/>
      <c r="L210" s="170">
        <v>42307</v>
      </c>
      <c r="M210" s="116">
        <v>89.580419580419601</v>
      </c>
      <c r="N210" s="116">
        <v>91.519389701207899</v>
      </c>
      <c r="O210" s="116">
        <v>88.223140495867796</v>
      </c>
      <c r="P210" s="116">
        <v>88.513986013985999</v>
      </c>
      <c r="Q210" s="116">
        <v>92.4</v>
      </c>
      <c r="R210">
        <v>4393195</v>
      </c>
    </row>
    <row r="211" spans="1:18" x14ac:dyDescent="0.25">
      <c r="A211" s="170">
        <v>42310</v>
      </c>
      <c r="B211" s="116">
        <v>89.871123981507495</v>
      </c>
      <c r="C211" s="116">
        <v>85.750818944599104</v>
      </c>
      <c r="D211" s="116">
        <v>84.829809583407794</v>
      </c>
      <c r="E211" s="116">
        <v>89.871123981507495</v>
      </c>
      <c r="F211" s="116">
        <v>88.45</v>
      </c>
      <c r="G211">
        <v>1681535</v>
      </c>
      <c r="H211" s="116"/>
      <c r="I211" s="116"/>
      <c r="L211" s="170">
        <v>42310</v>
      </c>
      <c r="M211" s="116">
        <v>85.702479338843006</v>
      </c>
      <c r="N211" s="116">
        <v>89.919739351557496</v>
      </c>
      <c r="O211" s="116">
        <v>84.926891290527607</v>
      </c>
      <c r="P211" s="116">
        <v>89.677368086458998</v>
      </c>
      <c r="Q211" s="116">
        <v>88.4</v>
      </c>
      <c r="R211">
        <v>5245268</v>
      </c>
    </row>
    <row r="212" spans="1:18" x14ac:dyDescent="0.25">
      <c r="A212" s="170">
        <v>42311</v>
      </c>
      <c r="B212" s="116">
        <v>87.398940959362506</v>
      </c>
      <c r="C212" s="116">
        <v>85.653870590789495</v>
      </c>
      <c r="D212" s="116">
        <v>84.781335406503004</v>
      </c>
      <c r="E212" s="116">
        <v>86.284034890551993</v>
      </c>
      <c r="F212" s="116">
        <v>88.35</v>
      </c>
      <c r="G212">
        <v>1103669</v>
      </c>
      <c r="H212" s="116"/>
      <c r="I212" s="116"/>
      <c r="L212" s="170">
        <v>42311</v>
      </c>
      <c r="M212" s="116">
        <v>85.702479338843006</v>
      </c>
      <c r="N212" s="116">
        <v>87.302129688493295</v>
      </c>
      <c r="O212" s="116">
        <v>84.539097266370007</v>
      </c>
      <c r="P212" s="116">
        <v>86.478067387158305</v>
      </c>
      <c r="Q212" s="116">
        <v>88.4</v>
      </c>
      <c r="R212">
        <v>3580084</v>
      </c>
    </row>
    <row r="213" spans="1:18" x14ac:dyDescent="0.25">
      <c r="A213" s="170">
        <v>42312</v>
      </c>
      <c r="B213" s="116">
        <v>86.768776659599993</v>
      </c>
      <c r="C213" s="116">
        <v>82.648471622691602</v>
      </c>
      <c r="D213" s="116">
        <v>82.212204030548406</v>
      </c>
      <c r="E213" s="116">
        <v>85.896241475313502</v>
      </c>
      <c r="F213" s="116">
        <v>85.25</v>
      </c>
      <c r="G213">
        <v>960497</v>
      </c>
      <c r="H213" s="116"/>
      <c r="I213" s="116"/>
      <c r="L213" s="170">
        <v>42312</v>
      </c>
      <c r="M213" s="116">
        <v>82.600127145581695</v>
      </c>
      <c r="N213" s="116">
        <v>86.865861411315905</v>
      </c>
      <c r="O213" s="116">
        <v>82.260807374443701</v>
      </c>
      <c r="P213" s="116">
        <v>86.284170375079498</v>
      </c>
      <c r="Q213" s="116">
        <v>85.2</v>
      </c>
      <c r="R213">
        <v>2815021</v>
      </c>
    </row>
    <row r="214" spans="1:18" x14ac:dyDescent="0.25">
      <c r="A214" s="170">
        <v>42313</v>
      </c>
      <c r="B214" s="116">
        <v>82.503049091977203</v>
      </c>
      <c r="C214" s="116">
        <v>79.109856708640905</v>
      </c>
      <c r="D214" s="116">
        <v>78.625114939592805</v>
      </c>
      <c r="E214" s="116">
        <v>82.309152384358001</v>
      </c>
      <c r="F214" s="116">
        <v>81.599999999999994</v>
      </c>
      <c r="G214">
        <v>1286197</v>
      </c>
      <c r="H214" s="116"/>
      <c r="I214" s="116"/>
      <c r="L214" s="170">
        <v>42313</v>
      </c>
      <c r="M214" s="116">
        <v>79.061506675142994</v>
      </c>
      <c r="N214" s="116">
        <v>82.600127145581695</v>
      </c>
      <c r="O214" s="116">
        <v>78.528289891926207</v>
      </c>
      <c r="P214" s="116">
        <v>82.454704386522593</v>
      </c>
      <c r="Q214" s="116">
        <v>81.55</v>
      </c>
      <c r="R214">
        <v>2625816</v>
      </c>
    </row>
    <row r="215" spans="1:18" x14ac:dyDescent="0.25">
      <c r="A215" s="170">
        <v>42314</v>
      </c>
      <c r="B215" s="116">
        <v>79.740021008403403</v>
      </c>
      <c r="C215" s="116">
        <v>76.637673686495901</v>
      </c>
      <c r="D215" s="116">
        <v>75.668190148399802</v>
      </c>
      <c r="E215" s="116">
        <v>79.497650123879296</v>
      </c>
      <c r="F215" s="116">
        <v>79.05</v>
      </c>
      <c r="G215">
        <v>1677799</v>
      </c>
      <c r="H215" s="116"/>
      <c r="I215" s="116"/>
      <c r="L215" s="170">
        <v>42314</v>
      </c>
      <c r="M215" s="116">
        <v>76.637794024157699</v>
      </c>
      <c r="N215" s="116">
        <v>79.885568976478098</v>
      </c>
      <c r="O215" s="116">
        <v>75.619834710743802</v>
      </c>
      <c r="P215" s="116">
        <v>79.400826446281002</v>
      </c>
      <c r="Q215" s="116">
        <v>79.05</v>
      </c>
      <c r="R215">
        <v>3374873</v>
      </c>
    </row>
    <row r="216" spans="1:18" x14ac:dyDescent="0.25">
      <c r="A216" s="170">
        <v>42317</v>
      </c>
      <c r="B216" s="116">
        <v>77.849528109115994</v>
      </c>
      <c r="C216" s="116">
        <v>77.025467101734293</v>
      </c>
      <c r="D216" s="116">
        <v>72.808213711016293</v>
      </c>
      <c r="E216" s="116">
        <v>74.456335725779695</v>
      </c>
      <c r="F216" s="116">
        <v>79.45</v>
      </c>
      <c r="G216">
        <v>1273764</v>
      </c>
      <c r="H216" s="116"/>
      <c r="I216" s="116"/>
      <c r="L216" s="170">
        <v>42317</v>
      </c>
      <c r="M216" s="116">
        <v>77.025588048315299</v>
      </c>
      <c r="N216" s="116">
        <v>77.849650349650304</v>
      </c>
      <c r="O216" s="116">
        <v>72.808328035600795</v>
      </c>
      <c r="P216" s="116">
        <v>73.390019071837202</v>
      </c>
      <c r="Q216" s="116">
        <v>79.45</v>
      </c>
      <c r="R216">
        <v>4257169</v>
      </c>
    </row>
    <row r="217" spans="1:18" x14ac:dyDescent="0.25">
      <c r="A217" s="170">
        <v>42318</v>
      </c>
      <c r="B217" s="116">
        <v>77.025467101734293</v>
      </c>
      <c r="C217" s="116">
        <v>74.068542310541204</v>
      </c>
      <c r="D217" s="116">
        <v>73.729223072207603</v>
      </c>
      <c r="E217" s="116">
        <v>76.395302801971894</v>
      </c>
      <c r="F217" s="116">
        <v>76.400000000000006</v>
      </c>
      <c r="G217">
        <v>1011586</v>
      </c>
      <c r="H217" s="116"/>
      <c r="I217" s="116"/>
      <c r="L217" s="170">
        <v>42318</v>
      </c>
      <c r="M217" s="116">
        <v>73.971710108073694</v>
      </c>
      <c r="N217" s="116">
        <v>77.219485060394106</v>
      </c>
      <c r="O217" s="116">
        <v>73.680864589955505</v>
      </c>
      <c r="P217" s="116">
        <v>76.880165289256198</v>
      </c>
      <c r="Q217" s="116">
        <v>76.3</v>
      </c>
      <c r="R217">
        <v>2560600</v>
      </c>
    </row>
    <row r="218" spans="1:18" x14ac:dyDescent="0.25">
      <c r="A218" s="170">
        <v>42319</v>
      </c>
      <c r="B218" s="116">
        <v>75.522767617685403</v>
      </c>
      <c r="C218" s="116">
        <v>75.134974202446898</v>
      </c>
      <c r="D218" s="116">
        <v>74.601758256494094</v>
      </c>
      <c r="E218" s="116">
        <v>75.522767617685403</v>
      </c>
      <c r="F218" s="116">
        <v>77.5</v>
      </c>
      <c r="G218">
        <v>81174</v>
      </c>
      <c r="H218" s="116"/>
      <c r="I218" s="116"/>
      <c r="L218" s="170">
        <v>42319</v>
      </c>
      <c r="M218" s="116">
        <v>75.232040686586103</v>
      </c>
      <c r="N218" s="116">
        <v>75.619834710743802</v>
      </c>
      <c r="O218" s="116">
        <v>74.456452638270804</v>
      </c>
      <c r="P218" s="116">
        <v>74.601875397329906</v>
      </c>
      <c r="Q218" s="116">
        <v>77.599999999999994</v>
      </c>
      <c r="R218">
        <v>332686</v>
      </c>
    </row>
    <row r="219" spans="1:18" x14ac:dyDescent="0.25">
      <c r="A219" s="170">
        <v>42321</v>
      </c>
      <c r="B219" s="116">
        <v>74.747180787208507</v>
      </c>
      <c r="C219" s="116">
        <v>73.147532949349994</v>
      </c>
      <c r="D219" s="116">
        <v>72.178049411253895</v>
      </c>
      <c r="E219" s="116">
        <v>74.650232433398898</v>
      </c>
      <c r="F219" s="116">
        <v>75.45</v>
      </c>
      <c r="G219">
        <v>791833</v>
      </c>
      <c r="H219" s="116"/>
      <c r="I219" s="116"/>
      <c r="L219" s="170">
        <v>42321</v>
      </c>
      <c r="M219" s="116">
        <v>73.147647806738703</v>
      </c>
      <c r="N219" s="116">
        <v>75.038143674507296</v>
      </c>
      <c r="O219" s="116">
        <v>72.032739987285396</v>
      </c>
      <c r="P219" s="116">
        <v>75.038143674507296</v>
      </c>
      <c r="Q219" s="116">
        <v>75.45</v>
      </c>
      <c r="R219">
        <v>2386058</v>
      </c>
    </row>
    <row r="220" spans="1:18" x14ac:dyDescent="0.25">
      <c r="A220" s="170">
        <v>42324</v>
      </c>
      <c r="B220" s="116">
        <v>75.910561032923795</v>
      </c>
      <c r="C220" s="116">
        <v>74.795654964113297</v>
      </c>
      <c r="D220" s="116">
        <v>72.517368649587496</v>
      </c>
      <c r="E220" s="116">
        <v>72.953636241730706</v>
      </c>
      <c r="F220" s="116">
        <v>77.150000000000006</v>
      </c>
      <c r="G220">
        <v>998275</v>
      </c>
      <c r="H220" s="116"/>
      <c r="I220" s="116"/>
      <c r="L220" s="170">
        <v>42324</v>
      </c>
      <c r="M220" s="116">
        <v>74.747298156389107</v>
      </c>
      <c r="N220" s="116">
        <v>75.862205975842301</v>
      </c>
      <c r="O220" s="116">
        <v>72.469008264462801</v>
      </c>
      <c r="P220" s="116">
        <v>73.002225047679602</v>
      </c>
      <c r="Q220" s="116">
        <v>77.099999999999994</v>
      </c>
      <c r="R220">
        <v>2632700</v>
      </c>
    </row>
    <row r="221" spans="1:18" x14ac:dyDescent="0.25">
      <c r="A221" s="170">
        <v>42325</v>
      </c>
      <c r="B221" s="116">
        <v>79.400701770069702</v>
      </c>
      <c r="C221" s="116">
        <v>77.704105578401595</v>
      </c>
      <c r="D221" s="116">
        <v>74.989551671732499</v>
      </c>
      <c r="E221" s="116">
        <v>75.522767617685403</v>
      </c>
      <c r="F221" s="116">
        <v>80.150000000000006</v>
      </c>
      <c r="G221">
        <v>1734434</v>
      </c>
      <c r="H221" s="116"/>
      <c r="I221" s="116"/>
      <c r="L221" s="170">
        <v>42325</v>
      </c>
      <c r="M221" s="116">
        <v>77.704227590591202</v>
      </c>
      <c r="N221" s="116">
        <v>79.400826446281002</v>
      </c>
      <c r="O221" s="116">
        <v>75.038143674507296</v>
      </c>
      <c r="P221" s="116">
        <v>75.232040686586103</v>
      </c>
      <c r="Q221" s="116">
        <v>80.150000000000006</v>
      </c>
      <c r="R221">
        <v>5074688</v>
      </c>
    </row>
    <row r="222" spans="1:18" x14ac:dyDescent="0.25">
      <c r="A222" s="170">
        <v>42326</v>
      </c>
      <c r="B222" s="116">
        <v>78.479692408878407</v>
      </c>
      <c r="C222" s="116">
        <v>75.668190148399802</v>
      </c>
      <c r="D222" s="116">
        <v>75.134974202446898</v>
      </c>
      <c r="E222" s="116">
        <v>78.479692408878407</v>
      </c>
      <c r="F222" s="116">
        <v>78.05</v>
      </c>
      <c r="G222">
        <v>788658</v>
      </c>
      <c r="H222" s="116"/>
      <c r="I222" s="116"/>
      <c r="L222" s="170">
        <v>42326</v>
      </c>
      <c r="M222" s="116">
        <v>75.571360457724097</v>
      </c>
      <c r="N222" s="116">
        <v>77.898124602669995</v>
      </c>
      <c r="O222" s="116">
        <v>75.086617927527001</v>
      </c>
      <c r="P222" s="116">
        <v>77.704227590591202</v>
      </c>
      <c r="Q222" s="116">
        <v>77.95</v>
      </c>
      <c r="R222">
        <v>2109870</v>
      </c>
    </row>
    <row r="223" spans="1:18" x14ac:dyDescent="0.25">
      <c r="A223" s="170">
        <v>42327</v>
      </c>
      <c r="B223" s="116">
        <v>76.734622040305496</v>
      </c>
      <c r="C223" s="116">
        <v>75.571241794590193</v>
      </c>
      <c r="D223" s="116">
        <v>74.359387371970101</v>
      </c>
      <c r="E223" s="116">
        <v>76.395302801971894</v>
      </c>
      <c r="F223" s="116">
        <v>77.95</v>
      </c>
      <c r="G223">
        <v>623150</v>
      </c>
      <c r="H223" s="116"/>
      <c r="I223" s="116"/>
      <c r="L223" s="170">
        <v>42327</v>
      </c>
      <c r="M223" s="116">
        <v>75.571360457724097</v>
      </c>
      <c r="N223" s="116">
        <v>76.831691036236506</v>
      </c>
      <c r="O223" s="116">
        <v>74.214081373172306</v>
      </c>
      <c r="P223" s="116">
        <v>76.007628734901502</v>
      </c>
      <c r="Q223" s="116">
        <v>77.95</v>
      </c>
      <c r="R223">
        <v>2116927</v>
      </c>
    </row>
    <row r="224" spans="1:18" x14ac:dyDescent="0.25">
      <c r="A224" s="170">
        <v>42328</v>
      </c>
      <c r="B224" s="116">
        <v>77.558683047687197</v>
      </c>
      <c r="C224" s="116">
        <v>75.910561032923795</v>
      </c>
      <c r="D224" s="116">
        <v>74.989551671732499</v>
      </c>
      <c r="E224" s="116">
        <v>76.492251155781503</v>
      </c>
      <c r="F224" s="116">
        <v>78.3</v>
      </c>
      <c r="G224">
        <v>771475</v>
      </c>
      <c r="H224" s="116"/>
      <c r="I224" s="116"/>
      <c r="L224" s="170">
        <v>42328</v>
      </c>
      <c r="M224" s="116">
        <v>75.813731722822595</v>
      </c>
      <c r="N224" s="116">
        <v>77.364907819453293</v>
      </c>
      <c r="O224" s="116">
        <v>74.844246662428503</v>
      </c>
      <c r="P224" s="116">
        <v>75.910680228862006</v>
      </c>
      <c r="Q224" s="116">
        <v>78.2</v>
      </c>
      <c r="R224">
        <v>2664657</v>
      </c>
    </row>
    <row r="225" spans="1:18" x14ac:dyDescent="0.25">
      <c r="A225" s="170">
        <v>42331</v>
      </c>
      <c r="B225" s="116">
        <v>78.479692408878407</v>
      </c>
      <c r="C225" s="116">
        <v>76.880044571019894</v>
      </c>
      <c r="D225" s="116">
        <v>76.055983563638193</v>
      </c>
      <c r="E225" s="116">
        <v>76.201406094352606</v>
      </c>
      <c r="F225" s="116">
        <v>79.3</v>
      </c>
      <c r="G225">
        <v>1058363</v>
      </c>
      <c r="H225" s="116"/>
      <c r="I225" s="116"/>
      <c r="L225" s="170">
        <v>42331</v>
      </c>
      <c r="M225" s="116">
        <v>76.831691036236506</v>
      </c>
      <c r="N225" s="116">
        <v>78.528289891926207</v>
      </c>
      <c r="O225" s="116">
        <v>76.104577240940898</v>
      </c>
      <c r="P225" s="116">
        <v>76.104577240940898</v>
      </c>
      <c r="Q225" s="116">
        <v>79.25</v>
      </c>
      <c r="R225">
        <v>2886638</v>
      </c>
    </row>
    <row r="226" spans="1:18" x14ac:dyDescent="0.25">
      <c r="A226" s="170">
        <v>42332</v>
      </c>
      <c r="B226" s="116">
        <v>78.770537470307303</v>
      </c>
      <c r="C226" s="116">
        <v>77.122415455543901</v>
      </c>
      <c r="D226" s="116">
        <v>76.589199509591097</v>
      </c>
      <c r="E226" s="116">
        <v>77.558683047687197</v>
      </c>
      <c r="F226" s="116">
        <v>79.55</v>
      </c>
      <c r="G226">
        <v>966350</v>
      </c>
      <c r="H226" s="116"/>
      <c r="I226" s="116"/>
      <c r="L226" s="170">
        <v>42332</v>
      </c>
      <c r="M226" s="116">
        <v>77.171010807374401</v>
      </c>
      <c r="N226" s="116">
        <v>78.770661157024804</v>
      </c>
      <c r="O226" s="116">
        <v>76.492371265098498</v>
      </c>
      <c r="P226" s="116">
        <v>77.267959313413897</v>
      </c>
      <c r="Q226" s="116">
        <v>79.599999999999994</v>
      </c>
      <c r="R226">
        <v>3913611</v>
      </c>
    </row>
    <row r="227" spans="1:18" x14ac:dyDescent="0.25">
      <c r="A227" s="170">
        <v>42334</v>
      </c>
      <c r="B227" s="116">
        <v>81.291194669357097</v>
      </c>
      <c r="C227" s="116">
        <v>80.0308660698322</v>
      </c>
      <c r="D227" s="116">
        <v>77.170889632448706</v>
      </c>
      <c r="E227" s="116">
        <v>78.382744055068798</v>
      </c>
      <c r="F227" s="116">
        <v>82.55</v>
      </c>
      <c r="G227">
        <v>1106014</v>
      </c>
      <c r="H227" s="116"/>
      <c r="I227" s="116"/>
      <c r="L227" s="170">
        <v>42334</v>
      </c>
      <c r="M227" s="116">
        <v>80.079465988556905</v>
      </c>
      <c r="N227" s="116">
        <v>81.194373808010198</v>
      </c>
      <c r="O227" s="116">
        <v>77.074062301335005</v>
      </c>
      <c r="P227" s="116">
        <v>77.5588048315321</v>
      </c>
      <c r="Q227" s="116">
        <v>82.6</v>
      </c>
      <c r="R227">
        <v>4083203</v>
      </c>
    </row>
    <row r="228" spans="1:18" x14ac:dyDescent="0.25">
      <c r="A228" s="170">
        <v>42335</v>
      </c>
      <c r="B228" s="116">
        <v>81.339668846261901</v>
      </c>
      <c r="C228" s="116">
        <v>79.740021008403403</v>
      </c>
      <c r="D228" s="116">
        <v>79.255279239355303</v>
      </c>
      <c r="E228" s="116">
        <v>80.467133661975396</v>
      </c>
      <c r="F228" s="116">
        <v>82.25</v>
      </c>
      <c r="G228">
        <v>540428</v>
      </c>
      <c r="H228" s="116"/>
      <c r="I228" s="116"/>
      <c r="L228" s="170">
        <v>42335</v>
      </c>
      <c r="M228" s="116">
        <v>79.740146217418896</v>
      </c>
      <c r="N228" s="116">
        <v>81.3397965670693</v>
      </c>
      <c r="O228" s="116">
        <v>79.206929434202195</v>
      </c>
      <c r="P228" s="116">
        <v>80.467260012714505</v>
      </c>
      <c r="Q228" s="116">
        <v>82.25</v>
      </c>
      <c r="R228">
        <v>2055704</v>
      </c>
    </row>
    <row r="229" spans="1:18" x14ac:dyDescent="0.25">
      <c r="A229" s="170">
        <v>42338</v>
      </c>
      <c r="B229" s="116">
        <v>80.854927077213901</v>
      </c>
      <c r="C229" s="116">
        <v>79.788495185308193</v>
      </c>
      <c r="D229" s="116">
        <v>79.061382531736101</v>
      </c>
      <c r="E229" s="116">
        <v>79.740021008403403</v>
      </c>
      <c r="F229" s="116">
        <v>82.3</v>
      </c>
      <c r="G229">
        <v>367513</v>
      </c>
      <c r="H229" s="116"/>
      <c r="I229" s="116"/>
      <c r="L229" s="170">
        <v>42338</v>
      </c>
      <c r="M229" s="116">
        <v>79.885568976478098</v>
      </c>
      <c r="N229" s="116">
        <v>80.903528289891895</v>
      </c>
      <c r="O229" s="116">
        <v>79.109980928162699</v>
      </c>
      <c r="P229" s="116">
        <v>79.740146217418896</v>
      </c>
      <c r="Q229" s="116">
        <v>82.4</v>
      </c>
      <c r="R229">
        <v>1511509</v>
      </c>
    </row>
    <row r="230" spans="1:18" x14ac:dyDescent="0.25">
      <c r="A230" s="170">
        <v>42339</v>
      </c>
      <c r="B230" s="116">
        <v>80.321711131260997</v>
      </c>
      <c r="C230" s="116">
        <v>78.964434177926506</v>
      </c>
      <c r="D230" s="116">
        <v>78.382744055068798</v>
      </c>
      <c r="E230" s="116">
        <v>80.273236954356193</v>
      </c>
      <c r="F230" s="116">
        <v>81.45</v>
      </c>
      <c r="G230">
        <v>409342</v>
      </c>
      <c r="H230" s="116"/>
      <c r="I230" s="116"/>
      <c r="L230" s="170">
        <v>42339</v>
      </c>
      <c r="M230" s="116">
        <v>79.013032422123302</v>
      </c>
      <c r="N230" s="116">
        <v>80.273363000635698</v>
      </c>
      <c r="O230" s="116">
        <v>78.382867132867105</v>
      </c>
      <c r="P230" s="116">
        <v>80.224888747616006</v>
      </c>
      <c r="Q230" s="116">
        <v>81.5</v>
      </c>
      <c r="R230">
        <v>1284825</v>
      </c>
    </row>
    <row r="231" spans="1:18" x14ac:dyDescent="0.25">
      <c r="A231" s="170">
        <v>42340</v>
      </c>
      <c r="B231" s="116">
        <v>82.018307322929203</v>
      </c>
      <c r="C231" s="116">
        <v>80.661030369594698</v>
      </c>
      <c r="D231" s="116">
        <v>78.091898993640001</v>
      </c>
      <c r="E231" s="116">
        <v>79.206805062450499</v>
      </c>
      <c r="F231" s="116">
        <v>83.2</v>
      </c>
      <c r="G231">
        <v>943043</v>
      </c>
      <c r="H231" s="116"/>
      <c r="I231" s="116"/>
      <c r="L231" s="170">
        <v>42340</v>
      </c>
      <c r="M231" s="116">
        <v>80.758105530832793</v>
      </c>
      <c r="N231" s="116">
        <v>82.066910362364894</v>
      </c>
      <c r="O231" s="116">
        <v>78.188970120788298</v>
      </c>
      <c r="P231" s="116">
        <v>79.303877940241605</v>
      </c>
      <c r="Q231" s="116">
        <v>83.3</v>
      </c>
      <c r="R231">
        <v>3380397</v>
      </c>
    </row>
    <row r="232" spans="1:18" x14ac:dyDescent="0.25">
      <c r="A232" s="170">
        <v>42341</v>
      </c>
      <c r="B232" s="116">
        <v>80.661030369594698</v>
      </c>
      <c r="C232" s="116">
        <v>78.528166585783296</v>
      </c>
      <c r="D232" s="116">
        <v>78.043424816735197</v>
      </c>
      <c r="E232" s="116">
        <v>80.661030369594698</v>
      </c>
      <c r="F232" s="116">
        <v>81</v>
      </c>
      <c r="G232">
        <v>603600</v>
      </c>
      <c r="H232" s="116"/>
      <c r="I232" s="116"/>
      <c r="L232" s="170">
        <v>42341</v>
      </c>
      <c r="M232" s="116">
        <v>78.479815638906501</v>
      </c>
      <c r="N232" s="116">
        <v>80.515734265734295</v>
      </c>
      <c r="O232" s="116">
        <v>78.092021614748901</v>
      </c>
      <c r="P232" s="116">
        <v>80.467260012714505</v>
      </c>
      <c r="Q232" s="116">
        <v>80.95</v>
      </c>
      <c r="R232">
        <v>2300212</v>
      </c>
    </row>
    <row r="233" spans="1:18" x14ac:dyDescent="0.25">
      <c r="A233" s="170">
        <v>42342</v>
      </c>
      <c r="B233" s="116">
        <v>80.127814423641794</v>
      </c>
      <c r="C233" s="116">
        <v>76.637673686495901</v>
      </c>
      <c r="D233" s="116">
        <v>75.959035209828599</v>
      </c>
      <c r="E233" s="116">
        <v>78.140373170544805</v>
      </c>
      <c r="F233" s="116">
        <v>79.05</v>
      </c>
      <c r="G233">
        <v>785068</v>
      </c>
      <c r="H233" s="116"/>
      <c r="I233" s="116"/>
      <c r="L233" s="170">
        <v>42342</v>
      </c>
      <c r="M233" s="116">
        <v>76.589319771137994</v>
      </c>
      <c r="N233" s="116">
        <v>80.176414494596301</v>
      </c>
      <c r="O233" s="116">
        <v>76.007628734901502</v>
      </c>
      <c r="P233" s="116">
        <v>77.752701843610893</v>
      </c>
      <c r="Q233" s="116">
        <v>79</v>
      </c>
      <c r="R233">
        <v>2526335</v>
      </c>
    </row>
    <row r="234" spans="1:18" x14ac:dyDescent="0.25">
      <c r="A234" s="170">
        <v>42345</v>
      </c>
      <c r="B234" s="116">
        <v>78.285795701259204</v>
      </c>
      <c r="C234" s="116">
        <v>76.976992924829503</v>
      </c>
      <c r="D234" s="116">
        <v>76.637673686495901</v>
      </c>
      <c r="E234" s="116">
        <v>76.637673686495901</v>
      </c>
      <c r="F234" s="116">
        <v>79.400000000000006</v>
      </c>
      <c r="G234">
        <v>396666</v>
      </c>
      <c r="H234" s="116"/>
      <c r="I234" s="116"/>
      <c r="L234" s="170">
        <v>42345</v>
      </c>
      <c r="M234" s="116">
        <v>76.880165289256198</v>
      </c>
      <c r="N234" s="116">
        <v>78.285918626827694</v>
      </c>
      <c r="O234" s="116">
        <v>76.589319771137994</v>
      </c>
      <c r="P234" s="116">
        <v>77.025588048315299</v>
      </c>
      <c r="Q234" s="116">
        <v>79.3</v>
      </c>
      <c r="R234">
        <v>1289510</v>
      </c>
    </row>
    <row r="235" spans="1:18" x14ac:dyDescent="0.25">
      <c r="A235" s="170">
        <v>42346</v>
      </c>
      <c r="B235" s="116">
        <v>77.2678379862583</v>
      </c>
      <c r="C235" s="116">
        <v>74.068542310541204</v>
      </c>
      <c r="D235" s="116">
        <v>73.583800541493204</v>
      </c>
      <c r="E235" s="116">
        <v>76.540725332686307</v>
      </c>
      <c r="F235" s="116">
        <v>76.400000000000006</v>
      </c>
      <c r="G235">
        <v>544510</v>
      </c>
      <c r="H235" s="116"/>
      <c r="I235" s="116"/>
      <c r="L235" s="170">
        <v>42346</v>
      </c>
      <c r="M235" s="116">
        <v>73.923235855054003</v>
      </c>
      <c r="N235" s="116">
        <v>77.267959313413897</v>
      </c>
      <c r="O235" s="116">
        <v>73.486967577876698</v>
      </c>
      <c r="P235" s="116">
        <v>76.492371265098498</v>
      </c>
      <c r="Q235" s="116">
        <v>76.25</v>
      </c>
      <c r="R235">
        <v>2104213</v>
      </c>
    </row>
    <row r="236" spans="1:18" x14ac:dyDescent="0.25">
      <c r="A236" s="170">
        <v>42347</v>
      </c>
      <c r="B236" s="116">
        <v>74.795654964113297</v>
      </c>
      <c r="C236" s="116">
        <v>73.002110418635496</v>
      </c>
      <c r="D236" s="116">
        <v>71.693307642205795</v>
      </c>
      <c r="E236" s="116">
        <v>74.0200681336364</v>
      </c>
      <c r="F236" s="116">
        <v>75.3</v>
      </c>
      <c r="G236">
        <v>950456</v>
      </c>
      <c r="H236" s="116"/>
      <c r="I236" s="116"/>
      <c r="L236" s="170">
        <v>42347</v>
      </c>
      <c r="M236" s="116">
        <v>73.002225047679602</v>
      </c>
      <c r="N236" s="116">
        <v>74.747298156389107</v>
      </c>
      <c r="O236" s="116">
        <v>71.693420216147501</v>
      </c>
      <c r="P236" s="116">
        <v>73.390019071837202</v>
      </c>
      <c r="Q236" s="116">
        <v>75.3</v>
      </c>
      <c r="R236">
        <v>3218816</v>
      </c>
    </row>
    <row r="237" spans="1:18" x14ac:dyDescent="0.25">
      <c r="A237" s="170">
        <v>42348</v>
      </c>
      <c r="B237" s="116">
        <v>74.165490664350799</v>
      </c>
      <c r="C237" s="116">
        <v>73.244481303159603</v>
      </c>
      <c r="D237" s="116">
        <v>72.808213711016293</v>
      </c>
      <c r="E237" s="116">
        <v>73.292955480064407</v>
      </c>
      <c r="F237" s="116">
        <v>75.55</v>
      </c>
      <c r="G237">
        <v>556790</v>
      </c>
      <c r="H237" s="116"/>
      <c r="I237" s="116"/>
      <c r="L237" s="170">
        <v>42348</v>
      </c>
      <c r="M237" s="116">
        <v>73.147647806738703</v>
      </c>
      <c r="N237" s="116">
        <v>74.1656071201526</v>
      </c>
      <c r="O237" s="116">
        <v>72.711379529561299</v>
      </c>
      <c r="P237" s="116">
        <v>73.390019071837202</v>
      </c>
      <c r="Q237" s="116">
        <v>75.45</v>
      </c>
      <c r="R237">
        <v>1831958</v>
      </c>
    </row>
    <row r="238" spans="1:18" x14ac:dyDescent="0.25">
      <c r="A238" s="170">
        <v>42349</v>
      </c>
      <c r="B238" s="116">
        <v>74.165490664350799</v>
      </c>
      <c r="C238" s="116">
        <v>70.675349927204905</v>
      </c>
      <c r="D238" s="116">
        <v>69.8028147429184</v>
      </c>
      <c r="E238" s="116">
        <v>73.680748895302798</v>
      </c>
      <c r="F238" s="116">
        <v>72.900000000000006</v>
      </c>
      <c r="G238">
        <v>915647</v>
      </c>
      <c r="H238" s="116"/>
      <c r="I238" s="116"/>
      <c r="L238" s="170">
        <v>42349</v>
      </c>
      <c r="M238" s="116">
        <v>70.626986649713899</v>
      </c>
      <c r="N238" s="116">
        <v>74.1656071201526</v>
      </c>
      <c r="O238" s="116">
        <v>69.802924348378895</v>
      </c>
      <c r="P238" s="116">
        <v>73.632390336935799</v>
      </c>
      <c r="Q238" s="116">
        <v>72.849999999999994</v>
      </c>
      <c r="R238">
        <v>2788627</v>
      </c>
    </row>
    <row r="239" spans="1:18" x14ac:dyDescent="0.25">
      <c r="A239" s="170">
        <v>42352</v>
      </c>
      <c r="B239" s="116">
        <v>74.068542310541204</v>
      </c>
      <c r="C239" s="116">
        <v>72.808213711016293</v>
      </c>
      <c r="D239" s="116">
        <v>70.2875565119665</v>
      </c>
      <c r="E239" s="116">
        <v>70.869246634824094</v>
      </c>
      <c r="F239" s="116">
        <v>75.099999999999994</v>
      </c>
      <c r="G239">
        <v>765097</v>
      </c>
      <c r="H239" s="116"/>
      <c r="I239" s="116"/>
      <c r="L239" s="170">
        <v>42352</v>
      </c>
      <c r="M239" s="116">
        <v>72.759853782581004</v>
      </c>
      <c r="N239" s="116">
        <v>74.068658614113204</v>
      </c>
      <c r="O239" s="116">
        <v>70.287666878576005</v>
      </c>
      <c r="P239" s="116">
        <v>70.578512396694194</v>
      </c>
      <c r="Q239" s="116">
        <v>75.05</v>
      </c>
      <c r="R239">
        <v>2803444</v>
      </c>
    </row>
    <row r="240" spans="1:18" x14ac:dyDescent="0.25">
      <c r="A240" s="170">
        <v>42353</v>
      </c>
      <c r="B240" s="116">
        <v>77.898002286020798</v>
      </c>
      <c r="C240" s="116">
        <v>76.104457740542998</v>
      </c>
      <c r="D240" s="116">
        <v>75.183448379351702</v>
      </c>
      <c r="E240" s="116">
        <v>76.589199509591097</v>
      </c>
      <c r="F240" s="116">
        <v>78.5</v>
      </c>
      <c r="G240">
        <v>1404683</v>
      </c>
      <c r="H240" s="116"/>
      <c r="I240" s="116"/>
      <c r="L240" s="170">
        <v>42353</v>
      </c>
      <c r="M240" s="116">
        <v>76.153051493960604</v>
      </c>
      <c r="N240" s="116">
        <v>78.043547361729196</v>
      </c>
      <c r="O240" s="116">
        <v>75.038143674507296</v>
      </c>
      <c r="P240" s="116">
        <v>76.977113795295594</v>
      </c>
      <c r="Q240" s="116">
        <v>78.55</v>
      </c>
      <c r="R240">
        <v>7308221</v>
      </c>
    </row>
    <row r="241" spans="1:18" x14ac:dyDescent="0.25">
      <c r="A241" s="170">
        <v>42354</v>
      </c>
      <c r="B241" s="116">
        <v>77.073941278639097</v>
      </c>
      <c r="C241" s="116">
        <v>75.280396733161396</v>
      </c>
      <c r="D241" s="116">
        <v>74.892603317922905</v>
      </c>
      <c r="E241" s="116">
        <v>77.073941278639097</v>
      </c>
      <c r="F241" s="116">
        <v>77.650000000000006</v>
      </c>
      <c r="G241">
        <v>551763</v>
      </c>
      <c r="H241" s="116"/>
      <c r="I241" s="116"/>
      <c r="L241" s="170">
        <v>42354</v>
      </c>
      <c r="M241" s="116">
        <v>75.280514939605894</v>
      </c>
      <c r="N241" s="116">
        <v>76.928639542275903</v>
      </c>
      <c r="O241" s="116">
        <v>74.844246662428503</v>
      </c>
      <c r="P241" s="116">
        <v>76.540845518118203</v>
      </c>
      <c r="Q241" s="116">
        <v>77.650000000000006</v>
      </c>
      <c r="R241">
        <v>2288833</v>
      </c>
    </row>
    <row r="242" spans="1:18" x14ac:dyDescent="0.25">
      <c r="A242" s="170">
        <v>42355</v>
      </c>
      <c r="B242" s="116">
        <v>78.043424816735197</v>
      </c>
      <c r="C242" s="116">
        <v>77.558683047687197</v>
      </c>
      <c r="D242" s="116">
        <v>74.456335725779695</v>
      </c>
      <c r="E242" s="116">
        <v>75.619715971494998</v>
      </c>
      <c r="F242" s="116">
        <v>80</v>
      </c>
      <c r="G242">
        <v>641325</v>
      </c>
      <c r="H242" s="116"/>
      <c r="I242" s="116"/>
      <c r="L242" s="170">
        <v>42355</v>
      </c>
      <c r="M242" s="116">
        <v>77.607279084551806</v>
      </c>
      <c r="N242" s="116">
        <v>78.431341385886796</v>
      </c>
      <c r="O242" s="116">
        <v>74.311029879211702</v>
      </c>
      <c r="P242" s="116">
        <v>75.959154481881697</v>
      </c>
      <c r="Q242" s="116">
        <v>80.05</v>
      </c>
      <c r="R242">
        <v>3217283</v>
      </c>
    </row>
    <row r="243" spans="1:18" x14ac:dyDescent="0.25">
      <c r="A243" s="170">
        <v>42356</v>
      </c>
      <c r="B243" s="116">
        <v>79.352227593164898</v>
      </c>
      <c r="C243" s="116">
        <v>77.655631401496805</v>
      </c>
      <c r="D243" s="116">
        <v>76.201406094352606</v>
      </c>
      <c r="E243" s="116">
        <v>77.510208870782407</v>
      </c>
      <c r="F243" s="116">
        <v>80.099999999999994</v>
      </c>
      <c r="G243">
        <v>588467</v>
      </c>
      <c r="H243" s="116"/>
      <c r="I243" s="116"/>
      <c r="L243" s="170">
        <v>42356</v>
      </c>
      <c r="M243" s="116">
        <v>77.655753337571497</v>
      </c>
      <c r="N243" s="116">
        <v>79.303877940241605</v>
      </c>
      <c r="O243" s="116">
        <v>76.201525746980295</v>
      </c>
      <c r="P243" s="116">
        <v>76.734742530197096</v>
      </c>
      <c r="Q243" s="116">
        <v>80.099999999999994</v>
      </c>
      <c r="R243">
        <v>3068253</v>
      </c>
    </row>
    <row r="244" spans="1:18" x14ac:dyDescent="0.25">
      <c r="A244" s="170">
        <v>42359</v>
      </c>
      <c r="B244" s="116">
        <v>79.933917716022606</v>
      </c>
      <c r="C244" s="116">
        <v>78.867485824116898</v>
      </c>
      <c r="D244" s="116">
        <v>77.2678379862583</v>
      </c>
      <c r="E244" s="116">
        <v>77.558683047687197</v>
      </c>
      <c r="F244" s="116">
        <v>81.349999999999994</v>
      </c>
      <c r="G244">
        <v>452032</v>
      </c>
      <c r="H244" s="116"/>
      <c r="I244" s="116"/>
      <c r="L244" s="170">
        <v>42359</v>
      </c>
      <c r="M244" s="116">
        <v>78.964558169103597</v>
      </c>
      <c r="N244" s="116">
        <v>79.982517482517494</v>
      </c>
      <c r="O244" s="116">
        <v>77.171010807374401</v>
      </c>
      <c r="P244" s="116">
        <v>77.995073108709505</v>
      </c>
      <c r="Q244" s="116">
        <v>81.45</v>
      </c>
      <c r="R244">
        <v>2337562</v>
      </c>
    </row>
    <row r="245" spans="1:18" x14ac:dyDescent="0.25">
      <c r="A245" s="170">
        <v>42360</v>
      </c>
      <c r="B245" s="116">
        <v>80.903401254118705</v>
      </c>
      <c r="C245" s="116">
        <v>78.819011647212093</v>
      </c>
      <c r="D245" s="116">
        <v>78.431218231973602</v>
      </c>
      <c r="E245" s="116">
        <v>79.497650123879296</v>
      </c>
      <c r="F245" s="116">
        <v>81.3</v>
      </c>
      <c r="G245">
        <v>577230</v>
      </c>
      <c r="H245" s="116"/>
      <c r="I245" s="116"/>
      <c r="L245" s="170">
        <v>42360</v>
      </c>
      <c r="M245" s="116">
        <v>78.819135410044495</v>
      </c>
      <c r="N245" s="116">
        <v>80.903528289891895</v>
      </c>
      <c r="O245" s="116">
        <v>78.382867132867105</v>
      </c>
      <c r="P245" s="116">
        <v>78.819135410044495</v>
      </c>
      <c r="Q245" s="116">
        <v>81.3</v>
      </c>
      <c r="R245">
        <v>3157315</v>
      </c>
    </row>
    <row r="246" spans="1:18" x14ac:dyDescent="0.25">
      <c r="A246" s="170">
        <v>42361</v>
      </c>
      <c r="B246" s="116">
        <v>80.612556192689894</v>
      </c>
      <c r="C246" s="116">
        <v>79.740021008403403</v>
      </c>
      <c r="D246" s="116">
        <v>79.061382531736101</v>
      </c>
      <c r="E246" s="116">
        <v>79.497650123879296</v>
      </c>
      <c r="F246" s="116">
        <v>82.25</v>
      </c>
      <c r="G246">
        <v>422858</v>
      </c>
      <c r="H246" s="116"/>
      <c r="I246" s="116"/>
      <c r="L246" s="170">
        <v>42361</v>
      </c>
      <c r="M246" s="116">
        <v>79.837094723458407</v>
      </c>
      <c r="N246" s="116">
        <v>80.758105530832793</v>
      </c>
      <c r="O246" s="116">
        <v>78.964558169103597</v>
      </c>
      <c r="P246" s="116">
        <v>79.497774952320398</v>
      </c>
      <c r="Q246" s="116">
        <v>82.35</v>
      </c>
      <c r="R246">
        <v>2708546</v>
      </c>
    </row>
    <row r="247" spans="1:18" x14ac:dyDescent="0.25">
      <c r="A247" s="170">
        <v>42362</v>
      </c>
      <c r="B247" s="116">
        <v>82.357626561262805</v>
      </c>
      <c r="C247" s="116">
        <v>81.678988084595503</v>
      </c>
      <c r="D247" s="116">
        <v>79.109856708640905</v>
      </c>
      <c r="E247" s="116">
        <v>80.418659485070606</v>
      </c>
      <c r="F247" s="116">
        <v>84.25</v>
      </c>
      <c r="G247">
        <v>599331</v>
      </c>
      <c r="H247" s="116"/>
      <c r="I247" s="116"/>
      <c r="L247" s="170">
        <v>42362</v>
      </c>
      <c r="M247" s="116">
        <v>81.679116338207194</v>
      </c>
      <c r="N247" s="116">
        <v>82.309281627463406</v>
      </c>
      <c r="O247" s="116">
        <v>79.109980928162699</v>
      </c>
      <c r="P247" s="116">
        <v>79.982517482517494</v>
      </c>
      <c r="Q247" s="116">
        <v>84.25</v>
      </c>
      <c r="R247">
        <v>3181312</v>
      </c>
    </row>
    <row r="248" spans="1:18" x14ac:dyDescent="0.25">
      <c r="A248" s="170">
        <v>42366</v>
      </c>
      <c r="B248" s="116">
        <v>82.599997445786798</v>
      </c>
      <c r="C248" s="116">
        <v>81.436617200071495</v>
      </c>
      <c r="D248" s="116">
        <v>80.321711131260997</v>
      </c>
      <c r="E248" s="116">
        <v>81.678988084595503</v>
      </c>
      <c r="F248" s="116">
        <v>84</v>
      </c>
      <c r="G248">
        <v>331408</v>
      </c>
      <c r="H248" s="116"/>
      <c r="I248" s="116"/>
      <c r="L248" s="170">
        <v>42366</v>
      </c>
      <c r="M248" s="116">
        <v>81.436745073108696</v>
      </c>
      <c r="N248" s="116">
        <v>82.745549904640797</v>
      </c>
      <c r="O248" s="116">
        <v>80.224888747616006</v>
      </c>
      <c r="P248" s="116">
        <v>81.436745073108696</v>
      </c>
      <c r="Q248" s="116">
        <v>84</v>
      </c>
      <c r="R248">
        <v>2132077</v>
      </c>
    </row>
    <row r="249" spans="1:18" x14ac:dyDescent="0.25">
      <c r="A249" s="170">
        <v>42367</v>
      </c>
      <c r="B249" s="116">
        <v>82.212204030548406</v>
      </c>
      <c r="C249" s="116">
        <v>81.242720492452307</v>
      </c>
      <c r="D249" s="116">
        <v>80.661030369594698</v>
      </c>
      <c r="E249" s="116">
        <v>81.727462261500307</v>
      </c>
      <c r="F249" s="116">
        <v>83.8</v>
      </c>
      <c r="G249">
        <v>340842</v>
      </c>
      <c r="H249" s="116"/>
      <c r="I249" s="116"/>
      <c r="L249" s="170">
        <v>42367</v>
      </c>
      <c r="M249" s="116">
        <v>81.242848061029903</v>
      </c>
      <c r="N249" s="116">
        <v>82.163858868404304</v>
      </c>
      <c r="O249" s="116">
        <v>80.564208518754</v>
      </c>
      <c r="P249" s="116">
        <v>81.679116338207194</v>
      </c>
      <c r="Q249" s="116">
        <v>83.8</v>
      </c>
      <c r="R249">
        <v>2338544</v>
      </c>
    </row>
    <row r="250" spans="1:18" x14ac:dyDescent="0.25">
      <c r="A250" s="170">
        <v>42368</v>
      </c>
      <c r="B250" s="116">
        <v>82.503049091977203</v>
      </c>
      <c r="C250" s="116">
        <v>80.806452900309097</v>
      </c>
      <c r="D250" s="116">
        <v>80.467133661975396</v>
      </c>
      <c r="E250" s="116">
        <v>81.436617200071495</v>
      </c>
      <c r="F250" s="116">
        <v>83.35</v>
      </c>
      <c r="G250">
        <v>532416</v>
      </c>
      <c r="H250" s="116"/>
      <c r="I250" s="116"/>
      <c r="L250" s="170">
        <v>42368</v>
      </c>
      <c r="M250" s="116">
        <v>80.855054036872204</v>
      </c>
      <c r="N250" s="116">
        <v>82.600127145581695</v>
      </c>
      <c r="O250" s="116">
        <v>80.467260012714505</v>
      </c>
      <c r="P250" s="116">
        <v>81.242848061029903</v>
      </c>
      <c r="Q250" s="116">
        <v>83.4</v>
      </c>
      <c r="R250">
        <v>3088149</v>
      </c>
    </row>
    <row r="251" spans="1:18" x14ac:dyDescent="0.25">
      <c r="A251" s="170">
        <v>42369</v>
      </c>
      <c r="B251" s="116">
        <v>81.4850913769763</v>
      </c>
      <c r="C251" s="116">
        <v>80.854927077213901</v>
      </c>
      <c r="D251" s="116">
        <v>79.836969362212997</v>
      </c>
      <c r="E251" s="116">
        <v>81.097297961737894</v>
      </c>
      <c r="F251" s="116">
        <v>83.4</v>
      </c>
      <c r="G251">
        <v>355234</v>
      </c>
      <c r="H251" s="116"/>
      <c r="I251" s="116"/>
      <c r="L251" s="170">
        <v>42369</v>
      </c>
      <c r="M251" s="116">
        <v>80.855054036872204</v>
      </c>
      <c r="N251" s="116">
        <v>81.485219326128401</v>
      </c>
      <c r="O251" s="116">
        <v>79.740146217418896</v>
      </c>
      <c r="P251" s="116">
        <v>81.048951048950997</v>
      </c>
      <c r="Q251" s="116">
        <v>83.4</v>
      </c>
      <c r="R251">
        <v>2335838</v>
      </c>
    </row>
    <row r="252" spans="1:18" x14ac:dyDescent="0.25">
      <c r="A252" s="170">
        <v>42370</v>
      </c>
      <c r="B252" s="116">
        <v>87.835208551505701</v>
      </c>
      <c r="C252" s="116">
        <v>87.350466782457701</v>
      </c>
      <c r="D252" s="116">
        <v>79.885443539117801</v>
      </c>
      <c r="E252" s="116">
        <v>80.903401254118705</v>
      </c>
      <c r="F252" s="116">
        <v>90.1</v>
      </c>
      <c r="G252">
        <v>909762</v>
      </c>
      <c r="H252" s="116"/>
      <c r="I252" s="116"/>
      <c r="L252" s="170">
        <v>42370</v>
      </c>
      <c r="M252" s="116">
        <v>87.350603941513</v>
      </c>
      <c r="N252" s="116">
        <v>87.932294977749507</v>
      </c>
      <c r="O252" s="116">
        <v>79.837094723458407</v>
      </c>
      <c r="P252" s="116">
        <v>81.048951048950997</v>
      </c>
      <c r="Q252" s="116">
        <v>90.1</v>
      </c>
      <c r="R252">
        <v>5974246</v>
      </c>
    </row>
    <row r="253" spans="1:18" x14ac:dyDescent="0.25">
      <c r="A253" s="170">
        <v>42373</v>
      </c>
      <c r="B253" s="116">
        <v>89.192485504840207</v>
      </c>
      <c r="C253" s="116">
        <v>82.357626561262805</v>
      </c>
      <c r="D253" s="116">
        <v>81.533565553881104</v>
      </c>
      <c r="E253" s="116">
        <v>87.108095897933595</v>
      </c>
      <c r="F253" s="116">
        <v>84.95</v>
      </c>
      <c r="G253">
        <v>910733</v>
      </c>
      <c r="H253" s="116"/>
      <c r="I253" s="116"/>
      <c r="L253" s="170">
        <v>42373</v>
      </c>
      <c r="M253" s="116">
        <v>82.503178639542298</v>
      </c>
      <c r="N253" s="116">
        <v>89.241099809281593</v>
      </c>
      <c r="O253" s="116">
        <v>81.679116338207194</v>
      </c>
      <c r="P253" s="116">
        <v>86.768912905276494</v>
      </c>
      <c r="Q253" s="116">
        <v>85.1</v>
      </c>
      <c r="R253">
        <v>5126957</v>
      </c>
    </row>
    <row r="254" spans="1:18" x14ac:dyDescent="0.25">
      <c r="A254" s="170">
        <v>42374</v>
      </c>
      <c r="B254" s="116">
        <v>86.768776659599993</v>
      </c>
      <c r="C254" s="116">
        <v>85.896241475313502</v>
      </c>
      <c r="D254" s="116">
        <v>81.727462261500307</v>
      </c>
      <c r="E254" s="116">
        <v>82.406100738167595</v>
      </c>
      <c r="F254" s="116">
        <v>88.6</v>
      </c>
      <c r="G254">
        <v>717996</v>
      </c>
      <c r="H254" s="116"/>
      <c r="I254" s="116"/>
      <c r="L254" s="170">
        <v>42374</v>
      </c>
      <c r="M254" s="116">
        <v>85.896376350921798</v>
      </c>
      <c r="N254" s="116">
        <v>86.865861411315905</v>
      </c>
      <c r="O254" s="116">
        <v>81.630642085187503</v>
      </c>
      <c r="P254" s="116">
        <v>83.036395422759099</v>
      </c>
      <c r="Q254" s="116">
        <v>88.6</v>
      </c>
      <c r="R254">
        <v>5341021</v>
      </c>
    </row>
    <row r="255" spans="1:18" x14ac:dyDescent="0.25">
      <c r="A255" s="170">
        <v>42375</v>
      </c>
      <c r="B255" s="116">
        <v>86.187086536742399</v>
      </c>
      <c r="C255" s="116">
        <v>83.617955160787702</v>
      </c>
      <c r="D255" s="116">
        <v>82.890842507215694</v>
      </c>
      <c r="E255" s="116">
        <v>85.896241475313502</v>
      </c>
      <c r="F255" s="116">
        <v>86.25</v>
      </c>
      <c r="G255">
        <v>446061</v>
      </c>
      <c r="H255" s="116"/>
      <c r="I255" s="116"/>
      <c r="L255" s="170">
        <v>42375</v>
      </c>
      <c r="M255" s="116">
        <v>83.618086458995506</v>
      </c>
      <c r="N255" s="116">
        <v>86.235696122059807</v>
      </c>
      <c r="O255" s="116">
        <v>82.697075651621105</v>
      </c>
      <c r="P255" s="116">
        <v>85.314685314685306</v>
      </c>
      <c r="Q255" s="116">
        <v>86.25</v>
      </c>
      <c r="R255">
        <v>3865229</v>
      </c>
    </row>
    <row r="256" spans="1:18" x14ac:dyDescent="0.25">
      <c r="A256" s="170">
        <v>42376</v>
      </c>
      <c r="B256" s="116">
        <v>82.406100738167595</v>
      </c>
      <c r="C256" s="116">
        <v>77.704105578401595</v>
      </c>
      <c r="D256" s="116">
        <v>77.170889632448706</v>
      </c>
      <c r="E256" s="116">
        <v>82.406100738167595</v>
      </c>
      <c r="F256" s="116">
        <v>80.150000000000006</v>
      </c>
      <c r="G256">
        <v>701931</v>
      </c>
      <c r="H256" s="116"/>
      <c r="I256" s="116"/>
      <c r="L256" s="170">
        <v>42376</v>
      </c>
      <c r="M256" s="116">
        <v>77.510330578512395</v>
      </c>
      <c r="N256" s="116">
        <v>82.309281627463406</v>
      </c>
      <c r="O256" s="116">
        <v>75.619834710743802</v>
      </c>
      <c r="P256" s="116">
        <v>82.309281627463406</v>
      </c>
      <c r="Q256" s="116">
        <v>79.95</v>
      </c>
      <c r="R256">
        <v>4859987</v>
      </c>
    </row>
    <row r="257" spans="1:18" x14ac:dyDescent="0.25">
      <c r="A257" s="170">
        <v>42377</v>
      </c>
      <c r="B257" s="116">
        <v>80.5156078388802</v>
      </c>
      <c r="C257" s="116">
        <v>79.400701770069702</v>
      </c>
      <c r="D257" s="116">
        <v>78.382744055068798</v>
      </c>
      <c r="E257" s="116">
        <v>78.479692408878407</v>
      </c>
      <c r="F257" s="116">
        <v>81.900000000000006</v>
      </c>
      <c r="G257">
        <v>467589</v>
      </c>
      <c r="H257" s="116"/>
      <c r="I257" s="116"/>
      <c r="L257" s="170">
        <v>42377</v>
      </c>
      <c r="M257" s="116">
        <v>79.497774952320398</v>
      </c>
      <c r="N257" s="116">
        <v>80.467260012714505</v>
      </c>
      <c r="O257" s="116">
        <v>78.188970120788298</v>
      </c>
      <c r="P257" s="116">
        <v>79.497774952320398</v>
      </c>
      <c r="Q257" s="116">
        <v>82</v>
      </c>
      <c r="R257">
        <v>3492476</v>
      </c>
    </row>
    <row r="258" spans="1:18" x14ac:dyDescent="0.25">
      <c r="A258" s="170">
        <v>42380</v>
      </c>
      <c r="B258" s="116">
        <v>81.242720492452307</v>
      </c>
      <c r="C258" s="116">
        <v>79.836969362212997</v>
      </c>
      <c r="D258" s="116">
        <v>76.589199509591097</v>
      </c>
      <c r="E258" s="116">
        <v>79.206805062450499</v>
      </c>
      <c r="F258" s="116">
        <v>82.35</v>
      </c>
      <c r="G258">
        <v>629308</v>
      </c>
      <c r="H258" s="116"/>
      <c r="I258" s="116"/>
      <c r="L258" s="170">
        <v>42380</v>
      </c>
      <c r="M258" s="116">
        <v>79.837094723458407</v>
      </c>
      <c r="N258" s="116">
        <v>81.3397965670693</v>
      </c>
      <c r="O258" s="116">
        <v>76.492371265098498</v>
      </c>
      <c r="P258" s="116">
        <v>78.528289891926207</v>
      </c>
      <c r="Q258" s="116">
        <v>82.35</v>
      </c>
      <c r="R258">
        <v>4147205</v>
      </c>
    </row>
    <row r="259" spans="1:18" x14ac:dyDescent="0.25">
      <c r="A259" s="170">
        <v>42381</v>
      </c>
      <c r="B259" s="116">
        <v>81.145772138642698</v>
      </c>
      <c r="C259" s="116">
        <v>78.188847347449595</v>
      </c>
      <c r="D259" s="116">
        <v>77.122415455543901</v>
      </c>
      <c r="E259" s="116">
        <v>79.788495185308193</v>
      </c>
      <c r="F259" s="116">
        <v>80.650000000000006</v>
      </c>
      <c r="G259">
        <v>518833</v>
      </c>
      <c r="H259" s="116"/>
      <c r="I259" s="116"/>
      <c r="L259" s="170">
        <v>42381</v>
      </c>
      <c r="M259" s="116">
        <v>78.3343928798474</v>
      </c>
      <c r="N259" s="116">
        <v>81.194373808010198</v>
      </c>
      <c r="O259" s="116">
        <v>77.074062301335005</v>
      </c>
      <c r="P259" s="116">
        <v>79.837094723458407</v>
      </c>
      <c r="Q259" s="116">
        <v>80.8</v>
      </c>
      <c r="R259">
        <v>3916491</v>
      </c>
    </row>
    <row r="260" spans="1:18" x14ac:dyDescent="0.25">
      <c r="A260" s="170">
        <v>42382</v>
      </c>
      <c r="B260" s="116">
        <v>82.890842507215694</v>
      </c>
      <c r="C260" s="116">
        <v>78.285795701259204</v>
      </c>
      <c r="D260" s="116">
        <v>74.747180787208507</v>
      </c>
      <c r="E260" s="116">
        <v>78.528166585783296</v>
      </c>
      <c r="F260" s="116">
        <v>80.75</v>
      </c>
      <c r="G260">
        <v>1306284</v>
      </c>
      <c r="H260" s="116"/>
      <c r="I260" s="116"/>
      <c r="L260" s="170">
        <v>42382</v>
      </c>
      <c r="M260" s="116">
        <v>78.382867132867105</v>
      </c>
      <c r="N260" s="116">
        <v>82.987921169739295</v>
      </c>
      <c r="O260" s="116">
        <v>74.844246662428503</v>
      </c>
      <c r="P260" s="116">
        <v>79.303877940241605</v>
      </c>
      <c r="Q260" s="116">
        <v>80.849999999999994</v>
      </c>
      <c r="R260">
        <v>8071984</v>
      </c>
    </row>
    <row r="261" spans="1:18" x14ac:dyDescent="0.25">
      <c r="A261" s="170">
        <v>42383</v>
      </c>
      <c r="B261" s="116">
        <v>78.382744055068798</v>
      </c>
      <c r="C261" s="116">
        <v>75.425819263875795</v>
      </c>
      <c r="D261" s="116">
        <v>75.038025848637304</v>
      </c>
      <c r="E261" s="116">
        <v>77.364786340067894</v>
      </c>
      <c r="F261" s="116">
        <v>77.8</v>
      </c>
      <c r="G261">
        <v>741714</v>
      </c>
      <c r="H261" s="116"/>
      <c r="I261" s="116"/>
      <c r="L261" s="170">
        <v>42383</v>
      </c>
      <c r="M261" s="116">
        <v>75.425937698664995</v>
      </c>
      <c r="N261" s="116">
        <v>78.528289891926207</v>
      </c>
      <c r="O261" s="116">
        <v>74.989669421487605</v>
      </c>
      <c r="P261" s="116">
        <v>76.540845518118203</v>
      </c>
      <c r="Q261" s="116">
        <v>77.8</v>
      </c>
      <c r="R261">
        <v>4641059</v>
      </c>
    </row>
    <row r="262" spans="1:18" x14ac:dyDescent="0.25">
      <c r="A262" s="170">
        <v>42384</v>
      </c>
      <c r="B262" s="116">
        <v>77.2678379862583</v>
      </c>
      <c r="C262" s="116">
        <v>71.984152703634606</v>
      </c>
      <c r="D262" s="116">
        <v>71.063143342443396</v>
      </c>
      <c r="E262" s="116">
        <v>75.8136126791142</v>
      </c>
      <c r="F262" s="116">
        <v>74.25</v>
      </c>
      <c r="G262">
        <v>556993</v>
      </c>
      <c r="H262" s="116"/>
      <c r="I262" s="116"/>
      <c r="L262" s="170">
        <v>42384</v>
      </c>
      <c r="M262" s="116">
        <v>72.129688493324807</v>
      </c>
      <c r="N262" s="116">
        <v>77.364907819453293</v>
      </c>
      <c r="O262" s="116">
        <v>71.644945963127796</v>
      </c>
      <c r="P262" s="116">
        <v>76.007628734901502</v>
      </c>
      <c r="Q262" s="116">
        <v>74.400000000000006</v>
      </c>
      <c r="R262">
        <v>3358140</v>
      </c>
    </row>
    <row r="263" spans="1:18" x14ac:dyDescent="0.25">
      <c r="A263" s="170">
        <v>42387</v>
      </c>
      <c r="B263" s="116">
        <v>71.984152703634606</v>
      </c>
      <c r="C263" s="116">
        <v>68.057744374345504</v>
      </c>
      <c r="D263" s="116">
        <v>66.215725651962899</v>
      </c>
      <c r="E263" s="116">
        <v>71.547885111491397</v>
      </c>
      <c r="F263" s="116">
        <v>70.2</v>
      </c>
      <c r="G263">
        <v>720802</v>
      </c>
      <c r="H263" s="116"/>
      <c r="I263" s="116"/>
      <c r="L263" s="170">
        <v>42387</v>
      </c>
      <c r="M263" s="116">
        <v>67.960902733629993</v>
      </c>
      <c r="N263" s="116">
        <v>72.032739987285396</v>
      </c>
      <c r="O263" s="116">
        <v>66.118881118881106</v>
      </c>
      <c r="P263" s="116">
        <v>71.5479974570884</v>
      </c>
      <c r="Q263" s="116">
        <v>70.099999999999994</v>
      </c>
      <c r="R263">
        <v>3808252</v>
      </c>
    </row>
    <row r="264" spans="1:18" x14ac:dyDescent="0.25">
      <c r="A264" s="170">
        <v>42388</v>
      </c>
      <c r="B264" s="116">
        <v>71.499410934586606</v>
      </c>
      <c r="C264" s="116">
        <v>70.481453219585703</v>
      </c>
      <c r="D264" s="116">
        <v>67.863847666726301</v>
      </c>
      <c r="E264" s="116">
        <v>68.8333312048224</v>
      </c>
      <c r="F264" s="116">
        <v>72.7</v>
      </c>
      <c r="G264">
        <v>473247</v>
      </c>
      <c r="H264" s="116"/>
      <c r="I264" s="116"/>
      <c r="L264" s="170">
        <v>42388</v>
      </c>
      <c r="M264" s="116">
        <v>70.287666878576005</v>
      </c>
      <c r="N264" s="116">
        <v>71.354100445009493</v>
      </c>
      <c r="O264" s="116">
        <v>67.7670057215512</v>
      </c>
      <c r="P264" s="116">
        <v>69.366656071201504</v>
      </c>
      <c r="Q264" s="116">
        <v>72.5</v>
      </c>
      <c r="R264">
        <v>3234862</v>
      </c>
    </row>
    <row r="265" spans="1:18" x14ac:dyDescent="0.25">
      <c r="A265" s="170">
        <v>42389</v>
      </c>
      <c r="B265" s="116">
        <v>69.463495504584799</v>
      </c>
      <c r="C265" s="116">
        <v>66.748941597915803</v>
      </c>
      <c r="D265" s="116">
        <v>65.488612998390806</v>
      </c>
      <c r="E265" s="116">
        <v>67.863847666726301</v>
      </c>
      <c r="F265" s="116">
        <v>68.849999999999994</v>
      </c>
      <c r="G265">
        <v>560095</v>
      </c>
      <c r="H265" s="116"/>
      <c r="I265" s="116"/>
      <c r="L265" s="170">
        <v>42389</v>
      </c>
      <c r="M265" s="116">
        <v>66.700572155117598</v>
      </c>
      <c r="N265" s="116">
        <v>69.415130324221195</v>
      </c>
      <c r="O265" s="116">
        <v>65.391767323585498</v>
      </c>
      <c r="P265" s="116">
        <v>68.397171010807398</v>
      </c>
      <c r="Q265" s="116">
        <v>68.8</v>
      </c>
      <c r="R265">
        <v>2889158</v>
      </c>
    </row>
    <row r="266" spans="1:18" x14ac:dyDescent="0.25">
      <c r="A266" s="170">
        <v>42390</v>
      </c>
      <c r="B266" s="116">
        <v>69.657392212204002</v>
      </c>
      <c r="C266" s="116">
        <v>67.379105897678201</v>
      </c>
      <c r="D266" s="116">
        <v>65.973354767438906</v>
      </c>
      <c r="E266" s="116">
        <v>67.863847666726301</v>
      </c>
      <c r="F266" s="116">
        <v>69.5</v>
      </c>
      <c r="G266">
        <v>639176</v>
      </c>
      <c r="H266" s="116"/>
      <c r="I266" s="116"/>
      <c r="L266" s="170">
        <v>42390</v>
      </c>
      <c r="M266" s="116">
        <v>67.476160203432897</v>
      </c>
      <c r="N266" s="116">
        <v>69.754450095359203</v>
      </c>
      <c r="O266" s="116">
        <v>65.924984106802299</v>
      </c>
      <c r="P266" s="116">
        <v>68.251748251748296</v>
      </c>
      <c r="Q266" s="116">
        <v>69.599999999999994</v>
      </c>
      <c r="R266">
        <v>3433478</v>
      </c>
    </row>
    <row r="267" spans="1:18" x14ac:dyDescent="0.25">
      <c r="A267" s="170">
        <v>42391</v>
      </c>
      <c r="B267" s="116">
        <v>72.226523588158699</v>
      </c>
      <c r="C267" s="116">
        <v>71.644833465301005</v>
      </c>
      <c r="D267" s="116">
        <v>68.881805381727204</v>
      </c>
      <c r="E267" s="116">
        <v>68.881805381727204</v>
      </c>
      <c r="F267" s="116">
        <v>73.900000000000006</v>
      </c>
      <c r="G267">
        <v>628694</v>
      </c>
      <c r="H267" s="116"/>
      <c r="I267" s="116"/>
      <c r="L267" s="170">
        <v>42391</v>
      </c>
      <c r="M267" s="116">
        <v>71.499523204068694</v>
      </c>
      <c r="N267" s="116">
        <v>72.226636999364302</v>
      </c>
      <c r="O267" s="116">
        <v>68.494119516846794</v>
      </c>
      <c r="P267" s="116">
        <v>68.494119516846794</v>
      </c>
      <c r="Q267" s="116">
        <v>73.75</v>
      </c>
      <c r="R267">
        <v>3494205</v>
      </c>
    </row>
    <row r="268" spans="1:18" x14ac:dyDescent="0.25">
      <c r="A268" s="170">
        <v>42394</v>
      </c>
      <c r="B268" s="116">
        <v>72.905162064825902</v>
      </c>
      <c r="C268" s="116">
        <v>71.644833465301005</v>
      </c>
      <c r="D268" s="116">
        <v>70.432979042680898</v>
      </c>
      <c r="E268" s="116">
        <v>72.420420295777902</v>
      </c>
      <c r="F268" s="116">
        <v>73.900000000000006</v>
      </c>
      <c r="G268">
        <v>307773</v>
      </c>
      <c r="H268" s="116"/>
      <c r="I268" s="116"/>
      <c r="L268" s="170">
        <v>42394</v>
      </c>
      <c r="M268" s="116">
        <v>71.838842975206603</v>
      </c>
      <c r="N268" s="116">
        <v>73.099173553718998</v>
      </c>
      <c r="O268" s="116">
        <v>70.481563890654797</v>
      </c>
      <c r="P268" s="116">
        <v>72.178162746344597</v>
      </c>
      <c r="Q268" s="116">
        <v>74.099999999999994</v>
      </c>
      <c r="R268">
        <v>2017645</v>
      </c>
    </row>
    <row r="269" spans="1:18" x14ac:dyDescent="0.25">
      <c r="A269" s="170">
        <v>42396</v>
      </c>
      <c r="B269" s="116">
        <v>72.711265357206699</v>
      </c>
      <c r="C269" s="116">
        <v>70.966194988633802</v>
      </c>
      <c r="D269" s="116">
        <v>70.626875750300101</v>
      </c>
      <c r="E269" s="116">
        <v>71.741781819110599</v>
      </c>
      <c r="F269" s="116">
        <v>73.2</v>
      </c>
      <c r="G269">
        <v>236960</v>
      </c>
      <c r="H269" s="116"/>
      <c r="I269" s="116"/>
      <c r="L269" s="170">
        <v>42396</v>
      </c>
      <c r="M269" s="116">
        <v>71.014780673871599</v>
      </c>
      <c r="N269" s="116">
        <v>72.905276541640205</v>
      </c>
      <c r="O269" s="116">
        <v>70.578512396694194</v>
      </c>
      <c r="P269" s="116">
        <v>72.517482517482506</v>
      </c>
      <c r="Q269" s="116">
        <v>73.25</v>
      </c>
      <c r="R269">
        <v>1883604</v>
      </c>
    </row>
    <row r="270" spans="1:18" x14ac:dyDescent="0.25">
      <c r="A270" s="170">
        <v>42397</v>
      </c>
      <c r="B270" s="116">
        <v>71.596359288396201</v>
      </c>
      <c r="C270" s="116">
        <v>69.754340566013596</v>
      </c>
      <c r="D270" s="116">
        <v>69.3180729738704</v>
      </c>
      <c r="E270" s="116">
        <v>71.014669165538606</v>
      </c>
      <c r="F270" s="116">
        <v>71.95</v>
      </c>
      <c r="G270">
        <v>277932</v>
      </c>
      <c r="H270" s="116"/>
      <c r="I270" s="116"/>
      <c r="L270" s="170">
        <v>42397</v>
      </c>
      <c r="M270" s="116">
        <v>69.8513986013986</v>
      </c>
      <c r="N270" s="116">
        <v>71.693420216147501</v>
      </c>
      <c r="O270" s="116">
        <v>69.366656071201504</v>
      </c>
      <c r="P270" s="116">
        <v>71.402574698029198</v>
      </c>
      <c r="Q270" s="116">
        <v>72.05</v>
      </c>
      <c r="R270">
        <v>2040065</v>
      </c>
    </row>
    <row r="271" spans="1:18" x14ac:dyDescent="0.25">
      <c r="A271" s="170">
        <v>42398</v>
      </c>
      <c r="B271" s="116">
        <v>71.063143342443396</v>
      </c>
      <c r="C271" s="116">
        <v>70.820772457919304</v>
      </c>
      <c r="D271" s="116">
        <v>68.251641081964706</v>
      </c>
      <c r="E271" s="116">
        <v>69.8028147429184</v>
      </c>
      <c r="F271" s="116">
        <v>73.05</v>
      </c>
      <c r="G271">
        <v>374182</v>
      </c>
      <c r="H271" s="116"/>
      <c r="I271" s="116"/>
      <c r="L271" s="170">
        <v>42398</v>
      </c>
      <c r="M271" s="116">
        <v>70.626986649713899</v>
      </c>
      <c r="N271" s="116">
        <v>71.111729179910995</v>
      </c>
      <c r="O271" s="116">
        <v>68.057851239669404</v>
      </c>
      <c r="P271" s="116">
        <v>69.8513986013986</v>
      </c>
      <c r="Q271" s="116">
        <v>72.849999999999994</v>
      </c>
      <c r="R271">
        <v>2498348</v>
      </c>
    </row>
    <row r="272" spans="1:18" x14ac:dyDescent="0.25">
      <c r="A272" s="170">
        <v>42401</v>
      </c>
      <c r="B272" s="116">
        <v>75.910561032923795</v>
      </c>
      <c r="C272" s="116">
        <v>72.371946118873097</v>
      </c>
      <c r="D272" s="116">
        <v>71.257040050062599</v>
      </c>
      <c r="E272" s="116">
        <v>71.305514226967404</v>
      </c>
      <c r="F272" s="116">
        <v>74.650000000000006</v>
      </c>
      <c r="G272">
        <v>1231432</v>
      </c>
      <c r="H272" s="116"/>
      <c r="I272" s="116"/>
      <c r="L272" s="170">
        <v>42401</v>
      </c>
      <c r="M272" s="116">
        <v>72.275111252383994</v>
      </c>
      <c r="N272" s="116">
        <v>75.910680228862006</v>
      </c>
      <c r="O272" s="116">
        <v>71.1602034329307</v>
      </c>
      <c r="P272" s="116">
        <v>71.305626191989802</v>
      </c>
      <c r="Q272" s="116">
        <v>74.55</v>
      </c>
      <c r="R272">
        <v>7792744</v>
      </c>
    </row>
    <row r="273" spans="1:18" x14ac:dyDescent="0.25">
      <c r="A273" s="170">
        <v>42402</v>
      </c>
      <c r="B273" s="116">
        <v>72.371946118873097</v>
      </c>
      <c r="C273" s="116">
        <v>69.899763096728094</v>
      </c>
      <c r="D273" s="116">
        <v>69.463495504584799</v>
      </c>
      <c r="E273" s="116">
        <v>71.741781819110599</v>
      </c>
      <c r="F273" s="116">
        <v>72.099999999999994</v>
      </c>
      <c r="G273">
        <v>314361</v>
      </c>
      <c r="H273" s="116"/>
      <c r="I273" s="116"/>
      <c r="L273" s="170">
        <v>42402</v>
      </c>
      <c r="M273" s="116">
        <v>69.8513986013986</v>
      </c>
      <c r="N273" s="116">
        <v>72.469008264462801</v>
      </c>
      <c r="O273" s="116">
        <v>69.027336300063595</v>
      </c>
      <c r="P273" s="116">
        <v>71.935791481246</v>
      </c>
      <c r="Q273" s="116">
        <v>72.05</v>
      </c>
      <c r="R273">
        <v>2332755</v>
      </c>
    </row>
    <row r="274" spans="1:18" x14ac:dyDescent="0.25">
      <c r="A274" s="170">
        <v>42403</v>
      </c>
      <c r="B274" s="116">
        <v>72.226523588158699</v>
      </c>
      <c r="C274" s="116">
        <v>69.608918035299197</v>
      </c>
      <c r="D274" s="116">
        <v>69.124176266251197</v>
      </c>
      <c r="E274" s="116">
        <v>71.353988403872194</v>
      </c>
      <c r="F274" s="116">
        <v>71.8</v>
      </c>
      <c r="G274">
        <v>832140</v>
      </c>
      <c r="H274" s="116"/>
      <c r="I274" s="116"/>
      <c r="L274" s="170">
        <v>42403</v>
      </c>
      <c r="M274" s="116">
        <v>69.754450095359203</v>
      </c>
      <c r="N274" s="116">
        <v>72.226636999364302</v>
      </c>
      <c r="O274" s="116">
        <v>69.027336300063595</v>
      </c>
      <c r="P274" s="116">
        <v>71.887317228226294</v>
      </c>
      <c r="Q274" s="116">
        <v>71.95</v>
      </c>
      <c r="R274">
        <v>4952349</v>
      </c>
    </row>
    <row r="275" spans="1:18" x14ac:dyDescent="0.25">
      <c r="A275" s="170">
        <v>42404</v>
      </c>
      <c r="B275" s="116">
        <v>71.353988403872194</v>
      </c>
      <c r="C275" s="116">
        <v>70.045185627442507</v>
      </c>
      <c r="D275" s="116">
        <v>68.8333312048224</v>
      </c>
      <c r="E275" s="116">
        <v>70.336030688871304</v>
      </c>
      <c r="F275" s="116">
        <v>72.25</v>
      </c>
      <c r="G275">
        <v>414831</v>
      </c>
      <c r="H275" s="116"/>
      <c r="I275" s="116"/>
      <c r="L275" s="170">
        <v>42404</v>
      </c>
      <c r="M275" s="116">
        <v>70.045295613477407</v>
      </c>
      <c r="N275" s="116">
        <v>71.354100445009493</v>
      </c>
      <c r="O275" s="116">
        <v>68.978862047043904</v>
      </c>
      <c r="P275" s="116">
        <v>70.481563890654797</v>
      </c>
      <c r="Q275" s="116">
        <v>72.25</v>
      </c>
      <c r="R275">
        <v>2395128</v>
      </c>
    </row>
    <row r="276" spans="1:18" x14ac:dyDescent="0.25">
      <c r="A276" s="170">
        <v>42405</v>
      </c>
      <c r="B276" s="116">
        <v>72.032626880539496</v>
      </c>
      <c r="C276" s="116">
        <v>71.402462580776998</v>
      </c>
      <c r="D276" s="116">
        <v>69.754340566013596</v>
      </c>
      <c r="E276" s="116">
        <v>70.2875565119665</v>
      </c>
      <c r="F276" s="116">
        <v>73.650000000000006</v>
      </c>
      <c r="G276">
        <v>335548</v>
      </c>
      <c r="H276" s="116"/>
      <c r="I276" s="116"/>
      <c r="L276" s="170">
        <v>42405</v>
      </c>
      <c r="M276" s="116">
        <v>71.451048951048904</v>
      </c>
      <c r="N276" s="116">
        <v>72.420534011443095</v>
      </c>
      <c r="O276" s="116">
        <v>69.609027336300102</v>
      </c>
      <c r="P276" s="116">
        <v>70.093769866497098</v>
      </c>
      <c r="Q276" s="116">
        <v>73.7</v>
      </c>
      <c r="R276">
        <v>2486680</v>
      </c>
    </row>
    <row r="277" spans="1:18" x14ac:dyDescent="0.25">
      <c r="A277" s="170">
        <v>42408</v>
      </c>
      <c r="B277" s="116">
        <v>77.170889632448706</v>
      </c>
      <c r="C277" s="116">
        <v>73.099058772445105</v>
      </c>
      <c r="D277" s="116">
        <v>71.160091696253005</v>
      </c>
      <c r="E277" s="116">
        <v>71.790255996015404</v>
      </c>
      <c r="F277" s="116">
        <v>75.400000000000006</v>
      </c>
      <c r="G277">
        <v>1175713</v>
      </c>
      <c r="H277" s="116"/>
      <c r="I277" s="116"/>
      <c r="L277" s="170">
        <v>42408</v>
      </c>
      <c r="M277" s="116">
        <v>73.196122059758395</v>
      </c>
      <c r="N277" s="116">
        <v>77.267959313413897</v>
      </c>
      <c r="O277" s="116">
        <v>71.063254926891304</v>
      </c>
      <c r="P277" s="116">
        <v>72.178162746344597</v>
      </c>
      <c r="Q277" s="116">
        <v>75.5</v>
      </c>
      <c r="R277">
        <v>6989577</v>
      </c>
    </row>
    <row r="278" spans="1:18" x14ac:dyDescent="0.25">
      <c r="A278" s="170">
        <v>42409</v>
      </c>
      <c r="B278" s="116">
        <v>73.486852187683596</v>
      </c>
      <c r="C278" s="116">
        <v>72.468894472682706</v>
      </c>
      <c r="D278" s="116">
        <v>70.093659804347297</v>
      </c>
      <c r="E278" s="116">
        <v>70.093659804347297</v>
      </c>
      <c r="F278" s="116">
        <v>74.75</v>
      </c>
      <c r="G278">
        <v>561956</v>
      </c>
      <c r="H278" s="116"/>
      <c r="I278" s="116"/>
      <c r="L278" s="170">
        <v>42409</v>
      </c>
      <c r="M278" s="116">
        <v>72.711379529561299</v>
      </c>
      <c r="N278" s="116">
        <v>73.680864589955505</v>
      </c>
      <c r="O278" s="116">
        <v>70.287666878576005</v>
      </c>
      <c r="P278" s="116">
        <v>72.178162746344597</v>
      </c>
      <c r="Q278" s="116">
        <v>75</v>
      </c>
      <c r="R278">
        <v>3893431</v>
      </c>
    </row>
    <row r="279" spans="1:18" x14ac:dyDescent="0.25">
      <c r="A279" s="170">
        <v>42410</v>
      </c>
      <c r="B279" s="116">
        <v>72.323471941968293</v>
      </c>
      <c r="C279" s="116">
        <v>70.432979042680898</v>
      </c>
      <c r="D279" s="116">
        <v>69.705866389108806</v>
      </c>
      <c r="E279" s="116">
        <v>71.741781819110599</v>
      </c>
      <c r="F279" s="116">
        <v>72.650000000000006</v>
      </c>
      <c r="G279">
        <v>391689</v>
      </c>
      <c r="H279" s="116"/>
      <c r="I279" s="116"/>
      <c r="L279" s="170">
        <v>42410</v>
      </c>
      <c r="M279" s="116">
        <v>70.142244119516803</v>
      </c>
      <c r="N279" s="116">
        <v>72.226636999364302</v>
      </c>
      <c r="O279" s="116">
        <v>69.609027336300102</v>
      </c>
      <c r="P279" s="116">
        <v>71.741894469167207</v>
      </c>
      <c r="Q279" s="116">
        <v>72.349999999999994</v>
      </c>
      <c r="R279">
        <v>2966979</v>
      </c>
    </row>
    <row r="280" spans="1:18" x14ac:dyDescent="0.25">
      <c r="A280" s="170">
        <v>42411</v>
      </c>
      <c r="B280" s="116">
        <v>70.529927396490507</v>
      </c>
      <c r="C280" s="116">
        <v>65.827932236724493</v>
      </c>
      <c r="D280" s="116">
        <v>65.149293760057205</v>
      </c>
      <c r="E280" s="116">
        <v>69.996711450537703</v>
      </c>
      <c r="F280" s="116">
        <v>67.900000000000006</v>
      </c>
      <c r="G280">
        <v>522488</v>
      </c>
      <c r="H280" s="116"/>
      <c r="I280" s="116"/>
      <c r="L280" s="170">
        <v>42411</v>
      </c>
      <c r="M280" s="116">
        <v>65.828035600762902</v>
      </c>
      <c r="N280" s="116">
        <v>70.481563890654797</v>
      </c>
      <c r="O280" s="116">
        <v>64.519230769230802</v>
      </c>
      <c r="P280" s="116">
        <v>70.287666878576005</v>
      </c>
      <c r="Q280" s="116">
        <v>67.900000000000006</v>
      </c>
      <c r="R280">
        <v>3358153</v>
      </c>
    </row>
    <row r="281" spans="1:18" x14ac:dyDescent="0.25">
      <c r="A281" s="170">
        <v>42412</v>
      </c>
      <c r="B281" s="116">
        <v>66.797415774820607</v>
      </c>
      <c r="C281" s="116">
        <v>62.434739853388201</v>
      </c>
      <c r="D281" s="116">
        <v>59.8171343005287</v>
      </c>
      <c r="E281" s="116">
        <v>66.458096536486906</v>
      </c>
      <c r="F281" s="116">
        <v>64.400000000000006</v>
      </c>
      <c r="G281">
        <v>1027470</v>
      </c>
      <c r="H281" s="116"/>
      <c r="I281" s="116"/>
      <c r="L281" s="170">
        <v>42412</v>
      </c>
      <c r="M281" s="116">
        <v>62.240940877304503</v>
      </c>
      <c r="N281" s="116">
        <v>66.797520661156994</v>
      </c>
      <c r="O281" s="116">
        <v>59.623331214240302</v>
      </c>
      <c r="P281" s="116">
        <v>66.797520661156994</v>
      </c>
      <c r="Q281" s="116">
        <v>64.2</v>
      </c>
      <c r="R281">
        <v>4493848</v>
      </c>
    </row>
    <row r="282" spans="1:18" x14ac:dyDescent="0.25">
      <c r="A282" s="170">
        <v>42415</v>
      </c>
      <c r="B282" s="116">
        <v>66.409622359582102</v>
      </c>
      <c r="C282" s="116">
        <v>63.598120099103497</v>
      </c>
      <c r="D282" s="116">
        <v>62.677110737912201</v>
      </c>
      <c r="E282" s="116">
        <v>63.210326683864999</v>
      </c>
      <c r="F282" s="116">
        <v>65.599999999999994</v>
      </c>
      <c r="G282">
        <v>648629</v>
      </c>
      <c r="H282" s="116"/>
      <c r="I282" s="116"/>
      <c r="L282" s="170">
        <v>42415</v>
      </c>
      <c r="M282" s="116">
        <v>63.355848696757803</v>
      </c>
      <c r="N282" s="116">
        <v>66.312778130959899</v>
      </c>
      <c r="O282" s="116">
        <v>62.531786395422799</v>
      </c>
      <c r="P282" s="116">
        <v>63.792116973935101</v>
      </c>
      <c r="Q282" s="116">
        <v>65.349999999999994</v>
      </c>
      <c r="R282">
        <v>4700525</v>
      </c>
    </row>
    <row r="283" spans="1:18" x14ac:dyDescent="0.25">
      <c r="A283" s="170">
        <v>42416</v>
      </c>
      <c r="B283" s="116">
        <v>64.809974521723603</v>
      </c>
      <c r="C283" s="116">
        <v>61.416782138387298</v>
      </c>
      <c r="D283" s="116">
        <v>60.738143661720002</v>
      </c>
      <c r="E283" s="116">
        <v>64.713026167913995</v>
      </c>
      <c r="F283" s="116">
        <v>63.35</v>
      </c>
      <c r="G283">
        <v>786943</v>
      </c>
      <c r="H283" s="116"/>
      <c r="I283" s="116"/>
      <c r="L283" s="170">
        <v>42416</v>
      </c>
      <c r="M283" s="116">
        <v>61.126033057851203</v>
      </c>
      <c r="N283" s="116">
        <v>64.664653528289904</v>
      </c>
      <c r="O283" s="116">
        <v>60.738239033693603</v>
      </c>
      <c r="P283" s="116">
        <v>64.373808010171601</v>
      </c>
      <c r="Q283" s="116">
        <v>63.05</v>
      </c>
      <c r="R283">
        <v>4184052</v>
      </c>
    </row>
    <row r="284" spans="1:18" x14ac:dyDescent="0.25">
      <c r="A284" s="170">
        <v>42417</v>
      </c>
      <c r="B284" s="116">
        <v>61.8530497305305</v>
      </c>
      <c r="C284" s="116">
        <v>61.222885430768102</v>
      </c>
      <c r="D284" s="116">
        <v>58.750702408622999</v>
      </c>
      <c r="E284" s="116">
        <v>61.077462900053597</v>
      </c>
      <c r="F284" s="116">
        <v>63.15</v>
      </c>
      <c r="G284">
        <v>476965</v>
      </c>
      <c r="H284" s="116"/>
      <c r="I284" s="116"/>
      <c r="L284" s="170">
        <v>42417</v>
      </c>
      <c r="M284" s="116">
        <v>61.126033057851203</v>
      </c>
      <c r="N284" s="116">
        <v>61.853146853146797</v>
      </c>
      <c r="O284" s="116">
        <v>58.653846153846096</v>
      </c>
      <c r="P284" s="116">
        <v>61.222981563890599</v>
      </c>
      <c r="Q284" s="116">
        <v>63.05</v>
      </c>
      <c r="R284">
        <v>3520529</v>
      </c>
    </row>
    <row r="285" spans="1:18" x14ac:dyDescent="0.25">
      <c r="A285" s="170">
        <v>42418</v>
      </c>
      <c r="B285" s="116">
        <v>62.677110737912201</v>
      </c>
      <c r="C285" s="116">
        <v>60.835092015529597</v>
      </c>
      <c r="D285" s="116">
        <v>59.477815062195099</v>
      </c>
      <c r="E285" s="116">
        <v>62.531688207197803</v>
      </c>
      <c r="F285" s="116">
        <v>62.75</v>
      </c>
      <c r="G285">
        <v>518529</v>
      </c>
      <c r="H285" s="116"/>
      <c r="I285" s="116"/>
      <c r="L285" s="170">
        <v>42418</v>
      </c>
      <c r="M285" s="116">
        <v>60.689764780673897</v>
      </c>
      <c r="N285" s="116">
        <v>62.677209154481901</v>
      </c>
      <c r="O285" s="116">
        <v>59.380959949141797</v>
      </c>
      <c r="P285" s="116">
        <v>62.047043865225703</v>
      </c>
      <c r="Q285" s="116">
        <v>62.6</v>
      </c>
      <c r="R285">
        <v>3177613</v>
      </c>
    </row>
    <row r="286" spans="1:18" x14ac:dyDescent="0.25">
      <c r="A286" s="170">
        <v>42419</v>
      </c>
      <c r="B286" s="116">
        <v>61.6106788460065</v>
      </c>
      <c r="C286" s="116">
        <v>61.077462900053597</v>
      </c>
      <c r="D286" s="116">
        <v>60.156453538862401</v>
      </c>
      <c r="E286" s="116">
        <v>60.7866178386248</v>
      </c>
      <c r="F286" s="116">
        <v>63</v>
      </c>
      <c r="G286">
        <v>425266</v>
      </c>
      <c r="H286" s="116"/>
      <c r="I286" s="116"/>
      <c r="L286" s="170">
        <v>42419</v>
      </c>
      <c r="M286" s="116">
        <v>61.029084551811799</v>
      </c>
      <c r="N286" s="116">
        <v>61.610775588048298</v>
      </c>
      <c r="O286" s="116">
        <v>59.962650985378303</v>
      </c>
      <c r="P286" s="116">
        <v>60.689764780673897</v>
      </c>
      <c r="Q286" s="116">
        <v>62.95</v>
      </c>
      <c r="R286">
        <v>2645576</v>
      </c>
    </row>
    <row r="287" spans="1:18" x14ac:dyDescent="0.25">
      <c r="A287" s="170">
        <v>42422</v>
      </c>
      <c r="B287" s="116">
        <v>62.046946438149703</v>
      </c>
      <c r="C287" s="116">
        <v>60.495772777196002</v>
      </c>
      <c r="D287" s="116">
        <v>60.059505185052799</v>
      </c>
      <c r="E287" s="116">
        <v>61.901523907435298</v>
      </c>
      <c r="F287" s="116">
        <v>62.4</v>
      </c>
      <c r="G287">
        <v>419020</v>
      </c>
      <c r="H287" s="116"/>
      <c r="I287" s="116"/>
      <c r="L287" s="170">
        <v>42422</v>
      </c>
      <c r="M287" s="116">
        <v>60.398919262555602</v>
      </c>
      <c r="N287" s="116">
        <v>62.047043865225703</v>
      </c>
      <c r="O287" s="116">
        <v>59.8657024793388</v>
      </c>
      <c r="P287" s="116">
        <v>61.853146853146797</v>
      </c>
      <c r="Q287" s="116">
        <v>62.3</v>
      </c>
      <c r="R287">
        <v>2364637</v>
      </c>
    </row>
    <row r="288" spans="1:18" x14ac:dyDescent="0.25">
      <c r="A288" s="170">
        <v>42423</v>
      </c>
      <c r="B288" s="116">
        <v>60.980514546244002</v>
      </c>
      <c r="C288" s="116">
        <v>59.138495823861497</v>
      </c>
      <c r="D288" s="116">
        <v>58.459857347194202</v>
      </c>
      <c r="E288" s="116">
        <v>60.301876069576799</v>
      </c>
      <c r="F288" s="116">
        <v>61</v>
      </c>
      <c r="G288">
        <v>436009</v>
      </c>
      <c r="H288" s="116"/>
      <c r="I288" s="116"/>
      <c r="L288" s="170">
        <v>42423</v>
      </c>
      <c r="M288" s="116">
        <v>59.041640178003803</v>
      </c>
      <c r="N288" s="116">
        <v>60.932136045772403</v>
      </c>
      <c r="O288" s="116">
        <v>58.411474888747598</v>
      </c>
      <c r="P288" s="116">
        <v>60.883661792752697</v>
      </c>
      <c r="Q288" s="116">
        <v>60.9</v>
      </c>
      <c r="R288">
        <v>2846256</v>
      </c>
    </row>
    <row r="289" spans="1:18" x14ac:dyDescent="0.25">
      <c r="A289" s="170">
        <v>42424</v>
      </c>
      <c r="B289" s="116">
        <v>60.883566192434401</v>
      </c>
      <c r="C289" s="116">
        <v>59.3323925314807</v>
      </c>
      <c r="D289" s="116">
        <v>57.829693047431697</v>
      </c>
      <c r="E289" s="116">
        <v>59.138495823861497</v>
      </c>
      <c r="F289" s="116">
        <v>61.2</v>
      </c>
      <c r="G289">
        <v>474402</v>
      </c>
      <c r="H289" s="116"/>
      <c r="I289" s="116"/>
      <c r="L289" s="170">
        <v>42424</v>
      </c>
      <c r="M289" s="116">
        <v>59.235537190082603</v>
      </c>
      <c r="N289" s="116">
        <v>60.883661792752697</v>
      </c>
      <c r="O289" s="116">
        <v>57.781309599491401</v>
      </c>
      <c r="P289" s="116">
        <v>58.847743165925003</v>
      </c>
      <c r="Q289" s="116">
        <v>61.1</v>
      </c>
      <c r="R289">
        <v>3329498</v>
      </c>
    </row>
    <row r="290" spans="1:18" x14ac:dyDescent="0.25">
      <c r="A290" s="170">
        <v>42425</v>
      </c>
      <c r="B290" s="116">
        <v>60.447298600291198</v>
      </c>
      <c r="C290" s="116">
        <v>58.3629089933846</v>
      </c>
      <c r="D290" s="116">
        <v>58.1205381088606</v>
      </c>
      <c r="E290" s="116">
        <v>60.107979361957497</v>
      </c>
      <c r="F290" s="116">
        <v>60.2</v>
      </c>
      <c r="G290">
        <v>448895</v>
      </c>
      <c r="H290" s="116"/>
      <c r="I290" s="116"/>
      <c r="L290" s="170">
        <v>42425</v>
      </c>
      <c r="M290" s="116">
        <v>58.3630006357279</v>
      </c>
      <c r="N290" s="116">
        <v>60.108073744437398</v>
      </c>
      <c r="O290" s="116">
        <v>58.023680864589899</v>
      </c>
      <c r="P290" s="116">
        <v>59.8657024793388</v>
      </c>
      <c r="Q290" s="116">
        <v>60.2</v>
      </c>
      <c r="R290">
        <v>2999322</v>
      </c>
    </row>
    <row r="291" spans="1:18" x14ac:dyDescent="0.25">
      <c r="A291" s="170">
        <v>42426</v>
      </c>
      <c r="B291" s="116">
        <v>59.623237592909497</v>
      </c>
      <c r="C291" s="116">
        <v>58.799176585527803</v>
      </c>
      <c r="D291" s="116">
        <v>57.684270516717298</v>
      </c>
      <c r="E291" s="116">
        <v>59.623237592909497</v>
      </c>
      <c r="F291" s="116">
        <v>60.65</v>
      </c>
      <c r="G291">
        <v>499787</v>
      </c>
      <c r="H291" s="116"/>
      <c r="I291" s="116"/>
      <c r="L291" s="170">
        <v>42426</v>
      </c>
      <c r="M291" s="116">
        <v>58.653846153846096</v>
      </c>
      <c r="N291" s="116">
        <v>59.720279720279699</v>
      </c>
      <c r="O291" s="116">
        <v>57.345041322314003</v>
      </c>
      <c r="P291" s="116">
        <v>59.187062937062898</v>
      </c>
      <c r="Q291" s="116">
        <v>60.5</v>
      </c>
      <c r="R291">
        <v>2582455</v>
      </c>
    </row>
    <row r="292" spans="1:18" x14ac:dyDescent="0.25">
      <c r="A292" s="170">
        <v>42429</v>
      </c>
      <c r="B292" s="116">
        <v>59.526289239099903</v>
      </c>
      <c r="C292" s="116">
        <v>57.102580393859697</v>
      </c>
      <c r="D292" s="116">
        <v>56.666312801716401</v>
      </c>
      <c r="E292" s="116">
        <v>58.944599116242202</v>
      </c>
      <c r="F292" s="116">
        <v>58.9</v>
      </c>
      <c r="G292">
        <v>628014</v>
      </c>
      <c r="H292" s="116"/>
      <c r="I292" s="116"/>
      <c r="L292" s="170">
        <v>42429</v>
      </c>
      <c r="M292" s="116">
        <v>56.957247298156403</v>
      </c>
      <c r="N292" s="116">
        <v>59.429434202161502</v>
      </c>
      <c r="O292" s="116">
        <v>56.424030514939602</v>
      </c>
      <c r="P292" s="116">
        <v>58.847743165925003</v>
      </c>
      <c r="Q292" s="116">
        <v>58.75</v>
      </c>
      <c r="R292">
        <v>4510265</v>
      </c>
    </row>
    <row r="293" spans="1:18" x14ac:dyDescent="0.25">
      <c r="A293" s="170">
        <v>42430</v>
      </c>
      <c r="B293" s="116">
        <v>59.429340885290301</v>
      </c>
      <c r="C293" s="116">
        <v>58.993073293146999</v>
      </c>
      <c r="D293" s="116">
        <v>56.908683686240501</v>
      </c>
      <c r="E293" s="116">
        <v>57.684270516717298</v>
      </c>
      <c r="F293" s="116">
        <v>60.85</v>
      </c>
      <c r="G293">
        <v>555777</v>
      </c>
      <c r="H293" s="116"/>
      <c r="I293" s="116"/>
      <c r="L293" s="170">
        <v>42430</v>
      </c>
      <c r="M293" s="116">
        <v>58.896217418944701</v>
      </c>
      <c r="N293" s="116">
        <v>59.526382708200899</v>
      </c>
      <c r="O293" s="116">
        <v>56.811824539097302</v>
      </c>
      <c r="P293" s="116">
        <v>57.199618563254901</v>
      </c>
      <c r="Q293" s="116">
        <v>60.75</v>
      </c>
      <c r="R293">
        <v>3730739</v>
      </c>
    </row>
    <row r="294" spans="1:18" x14ac:dyDescent="0.25">
      <c r="A294" s="170">
        <v>42431</v>
      </c>
      <c r="B294" s="116">
        <v>62.046946438149703</v>
      </c>
      <c r="C294" s="116">
        <v>60.738143661720002</v>
      </c>
      <c r="D294" s="116">
        <v>59.380866708385497</v>
      </c>
      <c r="E294" s="116">
        <v>60.204927715767198</v>
      </c>
      <c r="F294" s="116">
        <v>62.65</v>
      </c>
      <c r="G294">
        <v>855561</v>
      </c>
      <c r="H294" s="116"/>
      <c r="I294" s="116"/>
      <c r="L294" s="170">
        <v>42431</v>
      </c>
      <c r="M294" s="116">
        <v>60.544342021614703</v>
      </c>
      <c r="N294" s="116">
        <v>62.095518118245401</v>
      </c>
      <c r="O294" s="116">
        <v>59.235537190082603</v>
      </c>
      <c r="P294" s="116">
        <v>60.108073744437398</v>
      </c>
      <c r="Q294" s="116">
        <v>62.45</v>
      </c>
      <c r="R294">
        <v>5075038</v>
      </c>
    </row>
    <row r="295" spans="1:18" x14ac:dyDescent="0.25">
      <c r="A295" s="170">
        <v>42432</v>
      </c>
      <c r="B295" s="116">
        <v>61.659153022911298</v>
      </c>
      <c r="C295" s="116">
        <v>60.738143661720002</v>
      </c>
      <c r="D295" s="116">
        <v>59.8171343005287</v>
      </c>
      <c r="E295" s="116">
        <v>61.465256315292102</v>
      </c>
      <c r="F295" s="116">
        <v>62.65</v>
      </c>
      <c r="G295">
        <v>839566</v>
      </c>
      <c r="H295" s="116"/>
      <c r="I295" s="116"/>
      <c r="L295" s="170">
        <v>42432</v>
      </c>
      <c r="M295" s="116">
        <v>60.592816274634501</v>
      </c>
      <c r="N295" s="116">
        <v>61.5623013350286</v>
      </c>
      <c r="O295" s="116">
        <v>59.477908455181201</v>
      </c>
      <c r="P295" s="116">
        <v>61.077558804831497</v>
      </c>
      <c r="Q295" s="116">
        <v>62.5</v>
      </c>
      <c r="R295">
        <v>4199436</v>
      </c>
    </row>
    <row r="296" spans="1:18" x14ac:dyDescent="0.25">
      <c r="A296" s="170">
        <v>42433</v>
      </c>
      <c r="B296" s="116">
        <v>62.531688207197803</v>
      </c>
      <c r="C296" s="116">
        <v>61.416782138387298</v>
      </c>
      <c r="D296" s="116">
        <v>60.835092015529597</v>
      </c>
      <c r="E296" s="116">
        <v>61.125937076958401</v>
      </c>
      <c r="F296" s="116">
        <v>63.35</v>
      </c>
      <c r="G296">
        <v>840739</v>
      </c>
      <c r="H296" s="116"/>
      <c r="I296" s="116"/>
      <c r="L296" s="170">
        <v>42433</v>
      </c>
      <c r="M296" s="116">
        <v>61.271455816910397</v>
      </c>
      <c r="N296" s="116">
        <v>62.677209154481901</v>
      </c>
      <c r="O296" s="116">
        <v>60.592816274634501</v>
      </c>
      <c r="P296" s="116">
        <v>61.077558804831497</v>
      </c>
      <c r="Q296" s="116">
        <v>63.2</v>
      </c>
      <c r="R296">
        <v>4911436</v>
      </c>
    </row>
    <row r="297" spans="1:18" x14ac:dyDescent="0.25">
      <c r="A297" s="170">
        <v>42437</v>
      </c>
      <c r="B297" s="116">
        <v>62.483214030292999</v>
      </c>
      <c r="C297" s="116">
        <v>61.901523907435298</v>
      </c>
      <c r="D297" s="116">
        <v>60.592721131005597</v>
      </c>
      <c r="E297" s="116">
        <v>61.319833784577703</v>
      </c>
      <c r="F297" s="116">
        <v>63.85</v>
      </c>
      <c r="G297">
        <v>823035</v>
      </c>
      <c r="H297" s="116"/>
      <c r="I297" s="116"/>
      <c r="L297" s="170">
        <v>42437</v>
      </c>
      <c r="M297" s="116">
        <v>62.095518118245401</v>
      </c>
      <c r="N297" s="116">
        <v>62.531786395422799</v>
      </c>
      <c r="O297" s="116">
        <v>60.350445009535903</v>
      </c>
      <c r="P297" s="116">
        <v>61.5623013350286</v>
      </c>
      <c r="Q297" s="116">
        <v>64.05</v>
      </c>
      <c r="R297">
        <v>6043593</v>
      </c>
    </row>
    <row r="298" spans="1:18" x14ac:dyDescent="0.25">
      <c r="A298" s="170">
        <v>42438</v>
      </c>
      <c r="B298" s="116">
        <v>64.761500344818799</v>
      </c>
      <c r="C298" s="116">
        <v>64.470655283389902</v>
      </c>
      <c r="D298" s="116">
        <v>61.174411253863198</v>
      </c>
      <c r="E298" s="116">
        <v>61.513730492196899</v>
      </c>
      <c r="F298" s="116">
        <v>66.5</v>
      </c>
      <c r="G298">
        <v>813159</v>
      </c>
      <c r="H298" s="116"/>
      <c r="I298" s="116"/>
      <c r="L298" s="170">
        <v>42438</v>
      </c>
      <c r="M298" s="116">
        <v>64.373808010171601</v>
      </c>
      <c r="N298" s="116">
        <v>64.810076287349005</v>
      </c>
      <c r="O298" s="116">
        <v>61.174507310870901</v>
      </c>
      <c r="P298" s="116">
        <v>61.5623013350286</v>
      </c>
      <c r="Q298" s="116">
        <v>66.400000000000006</v>
      </c>
      <c r="R298">
        <v>4012710</v>
      </c>
    </row>
    <row r="299" spans="1:18" x14ac:dyDescent="0.25">
      <c r="A299" s="170">
        <v>42439</v>
      </c>
      <c r="B299" s="116">
        <v>65.440138821486002</v>
      </c>
      <c r="C299" s="116">
        <v>63.210326683864999</v>
      </c>
      <c r="D299" s="116">
        <v>63.016429976245803</v>
      </c>
      <c r="E299" s="116">
        <v>64.616077814104401</v>
      </c>
      <c r="F299" s="116">
        <v>65.2</v>
      </c>
      <c r="G299">
        <v>669346</v>
      </c>
      <c r="H299" s="116"/>
      <c r="I299" s="116"/>
      <c r="L299" s="170">
        <v>42439</v>
      </c>
      <c r="M299" s="116">
        <v>63.210425937698702</v>
      </c>
      <c r="N299" s="116">
        <v>65.440241576605203</v>
      </c>
      <c r="O299" s="116">
        <v>62.919580419580399</v>
      </c>
      <c r="P299" s="116">
        <v>65.003973299427798</v>
      </c>
      <c r="Q299" s="116">
        <v>65.2</v>
      </c>
      <c r="R299">
        <v>3158131</v>
      </c>
    </row>
    <row r="300" spans="1:18" x14ac:dyDescent="0.25">
      <c r="A300" s="170">
        <v>42440</v>
      </c>
      <c r="B300" s="116">
        <v>64.761500344818799</v>
      </c>
      <c r="C300" s="116">
        <v>63.355749214579397</v>
      </c>
      <c r="D300" s="116">
        <v>62.871007445531397</v>
      </c>
      <c r="E300" s="116">
        <v>63.452697568389098</v>
      </c>
      <c r="F300" s="116">
        <v>65.349999999999994</v>
      </c>
      <c r="G300">
        <v>539988</v>
      </c>
      <c r="H300" s="116"/>
      <c r="I300" s="116"/>
      <c r="L300" s="170">
        <v>42440</v>
      </c>
      <c r="M300" s="116">
        <v>63.4527972027972</v>
      </c>
      <c r="N300" s="116">
        <v>64.7616020343293</v>
      </c>
      <c r="O300" s="116">
        <v>62.822631913541002</v>
      </c>
      <c r="P300" s="116">
        <v>63.210425937698702</v>
      </c>
      <c r="Q300" s="116">
        <v>65.45</v>
      </c>
      <c r="R300">
        <v>2391480</v>
      </c>
    </row>
    <row r="301" spans="1:18" x14ac:dyDescent="0.25">
      <c r="A301" s="170">
        <v>42443</v>
      </c>
      <c r="B301" s="116">
        <v>64.616077814104401</v>
      </c>
      <c r="C301" s="116">
        <v>63.7920168067227</v>
      </c>
      <c r="D301" s="116">
        <v>62.919481622436201</v>
      </c>
      <c r="E301" s="116">
        <v>64.131336045056301</v>
      </c>
      <c r="F301" s="116">
        <v>65.8</v>
      </c>
      <c r="G301">
        <v>451582</v>
      </c>
      <c r="H301" s="116"/>
      <c r="I301" s="116"/>
      <c r="L301" s="170">
        <v>42443</v>
      </c>
      <c r="M301" s="116">
        <v>63.743642720915403</v>
      </c>
      <c r="N301" s="116">
        <v>64.616179275270198</v>
      </c>
      <c r="O301" s="116">
        <v>62.677209154481901</v>
      </c>
      <c r="P301" s="116">
        <v>64.034488239033706</v>
      </c>
      <c r="Q301" s="116">
        <v>65.75</v>
      </c>
      <c r="R301">
        <v>5252839</v>
      </c>
    </row>
    <row r="302" spans="1:18" x14ac:dyDescent="0.25">
      <c r="A302" s="170">
        <v>42444</v>
      </c>
      <c r="B302" s="116">
        <v>65.634035529105304</v>
      </c>
      <c r="C302" s="116">
        <v>64.325232752675504</v>
      </c>
      <c r="D302" s="116">
        <v>63.888965160532301</v>
      </c>
      <c r="E302" s="116">
        <v>63.888965160532301</v>
      </c>
      <c r="F302" s="116">
        <v>66.349999999999994</v>
      </c>
      <c r="G302">
        <v>537221</v>
      </c>
      <c r="H302" s="116"/>
      <c r="I302" s="116"/>
      <c r="L302" s="170">
        <v>42444</v>
      </c>
      <c r="M302" s="116">
        <v>64.567705022250493</v>
      </c>
      <c r="N302" s="116">
        <v>65.828035600762902</v>
      </c>
      <c r="O302" s="116">
        <v>63.986013986014001</v>
      </c>
      <c r="P302" s="116">
        <v>64.276859504132204</v>
      </c>
      <c r="Q302" s="116">
        <v>66.599999999999994</v>
      </c>
      <c r="R302">
        <v>7169508</v>
      </c>
    </row>
    <row r="303" spans="1:18" x14ac:dyDescent="0.25">
      <c r="A303" s="170">
        <v>42445</v>
      </c>
      <c r="B303" s="116">
        <v>66.167251475058094</v>
      </c>
      <c r="C303" s="116">
        <v>64.131336045056301</v>
      </c>
      <c r="D303" s="116">
        <v>63.404223391484301</v>
      </c>
      <c r="E303" s="116">
        <v>65.537087175295596</v>
      </c>
      <c r="F303" s="116">
        <v>66.150000000000006</v>
      </c>
      <c r="G303">
        <v>560704</v>
      </c>
      <c r="H303" s="116"/>
      <c r="I303" s="116"/>
      <c r="L303" s="170">
        <v>42445</v>
      </c>
      <c r="M303" s="116">
        <v>64.082962492053397</v>
      </c>
      <c r="N303" s="116">
        <v>66.215829624920502</v>
      </c>
      <c r="O303" s="116">
        <v>63.307374443738098</v>
      </c>
      <c r="P303" s="116">
        <v>65.828035600762902</v>
      </c>
      <c r="Q303" s="116">
        <v>66.099999999999994</v>
      </c>
      <c r="R303">
        <v>3609167</v>
      </c>
    </row>
    <row r="304" spans="1:18" x14ac:dyDescent="0.25">
      <c r="A304" s="170">
        <v>42446</v>
      </c>
      <c r="B304" s="116">
        <v>66.942838305535005</v>
      </c>
      <c r="C304" s="116">
        <v>65.246242113866799</v>
      </c>
      <c r="D304" s="116">
        <v>64.325232752675504</v>
      </c>
      <c r="E304" s="116">
        <v>64.616077814104401</v>
      </c>
      <c r="F304" s="116">
        <v>67.3</v>
      </c>
      <c r="G304">
        <v>571284</v>
      </c>
      <c r="H304" s="116"/>
      <c r="I304" s="116"/>
      <c r="L304" s="170">
        <v>42446</v>
      </c>
      <c r="M304" s="116">
        <v>65.294818817546101</v>
      </c>
      <c r="N304" s="116">
        <v>66.991417673235802</v>
      </c>
      <c r="O304" s="116">
        <v>64.276859504132204</v>
      </c>
      <c r="P304" s="116">
        <v>64.955499046408093</v>
      </c>
      <c r="Q304" s="116">
        <v>67.349999999999994</v>
      </c>
      <c r="R304">
        <v>3376753</v>
      </c>
    </row>
    <row r="305" spans="1:18" x14ac:dyDescent="0.25">
      <c r="A305" s="170">
        <v>42447</v>
      </c>
      <c r="B305" s="116">
        <v>66.991312482439795</v>
      </c>
      <c r="C305" s="116">
        <v>66.458096536486906</v>
      </c>
      <c r="D305" s="116">
        <v>65.294716290771603</v>
      </c>
      <c r="E305" s="116">
        <v>65.440138821486002</v>
      </c>
      <c r="F305" s="116">
        <v>68.55</v>
      </c>
      <c r="G305">
        <v>462049</v>
      </c>
      <c r="H305" s="116"/>
      <c r="I305" s="116"/>
      <c r="L305" s="170">
        <v>42447</v>
      </c>
      <c r="M305" s="116">
        <v>66.797520661156994</v>
      </c>
      <c r="N305" s="116">
        <v>67.330737444373796</v>
      </c>
      <c r="O305" s="116">
        <v>65.246344564526396</v>
      </c>
      <c r="P305" s="116">
        <v>65.488715829624894</v>
      </c>
      <c r="Q305" s="116">
        <v>68.900000000000006</v>
      </c>
      <c r="R305">
        <v>2699233</v>
      </c>
    </row>
    <row r="306" spans="1:18" x14ac:dyDescent="0.25">
      <c r="A306" s="170">
        <v>42450</v>
      </c>
      <c r="B306" s="116">
        <v>67.330631720773397</v>
      </c>
      <c r="C306" s="116">
        <v>66.409622359582102</v>
      </c>
      <c r="D306" s="116">
        <v>65.779458059819703</v>
      </c>
      <c r="E306" s="116">
        <v>66.603519067201304</v>
      </c>
      <c r="F306" s="116">
        <v>68.5</v>
      </c>
      <c r="G306">
        <v>491193</v>
      </c>
      <c r="H306" s="116"/>
      <c r="I306" s="116"/>
      <c r="L306" s="170">
        <v>42450</v>
      </c>
      <c r="M306" s="116">
        <v>66.506675143038805</v>
      </c>
      <c r="N306" s="116">
        <v>67.379211697393501</v>
      </c>
      <c r="O306" s="116">
        <v>65.731087094723406</v>
      </c>
      <c r="P306" s="116">
        <v>66.021932612841695</v>
      </c>
      <c r="Q306" s="116">
        <v>68.599999999999994</v>
      </c>
      <c r="R306">
        <v>2420375</v>
      </c>
    </row>
    <row r="307" spans="1:18" x14ac:dyDescent="0.25">
      <c r="A307" s="170">
        <v>42451</v>
      </c>
      <c r="B307" s="116">
        <v>66.894364128630201</v>
      </c>
      <c r="C307" s="116">
        <v>66.215725651962899</v>
      </c>
      <c r="D307" s="116">
        <v>65.149293760057205</v>
      </c>
      <c r="E307" s="116">
        <v>66.409622359582102</v>
      </c>
      <c r="F307" s="116">
        <v>68.3</v>
      </c>
      <c r="G307">
        <v>297306</v>
      </c>
      <c r="H307" s="116"/>
      <c r="I307" s="116"/>
      <c r="L307" s="170">
        <v>42451</v>
      </c>
      <c r="M307" s="116">
        <v>66.409726636999395</v>
      </c>
      <c r="N307" s="116">
        <v>66.942943420216096</v>
      </c>
      <c r="O307" s="116">
        <v>65.294818817546101</v>
      </c>
      <c r="P307" s="116">
        <v>66.749046408137303</v>
      </c>
      <c r="Q307" s="116">
        <v>68.5</v>
      </c>
      <c r="R307">
        <v>1917374</v>
      </c>
    </row>
    <row r="308" spans="1:18" x14ac:dyDescent="0.25">
      <c r="A308" s="170">
        <v>42452</v>
      </c>
      <c r="B308" s="116">
        <v>69.851288919823205</v>
      </c>
      <c r="C308" s="116">
        <v>68.687908674107902</v>
      </c>
      <c r="D308" s="116">
        <v>66.264199828867703</v>
      </c>
      <c r="E308" s="116">
        <v>66.5550448902965</v>
      </c>
      <c r="F308" s="116">
        <v>70.849999999999994</v>
      </c>
      <c r="G308">
        <v>683174</v>
      </c>
      <c r="H308" s="116"/>
      <c r="I308" s="116"/>
      <c r="L308" s="170">
        <v>42452</v>
      </c>
      <c r="M308" s="116">
        <v>69.027336300063595</v>
      </c>
      <c r="N308" s="116">
        <v>70.093769866497098</v>
      </c>
      <c r="O308" s="116">
        <v>66.167355371900797</v>
      </c>
      <c r="P308" s="116">
        <v>66.4582008900191</v>
      </c>
      <c r="Q308" s="116">
        <v>71.2</v>
      </c>
      <c r="R308">
        <v>5032482</v>
      </c>
    </row>
    <row r="309" spans="1:18" x14ac:dyDescent="0.25">
      <c r="A309" s="170">
        <v>42457</v>
      </c>
      <c r="B309" s="116">
        <v>69.463495504584799</v>
      </c>
      <c r="C309" s="116">
        <v>66.167251475058094</v>
      </c>
      <c r="D309" s="116">
        <v>65.343190467676393</v>
      </c>
      <c r="E309" s="116">
        <v>69.172650443156002</v>
      </c>
      <c r="F309" s="116">
        <v>68.25</v>
      </c>
      <c r="G309">
        <v>333523</v>
      </c>
      <c r="H309" s="116"/>
      <c r="I309" s="116"/>
      <c r="L309" s="170">
        <v>42457</v>
      </c>
      <c r="M309" s="116">
        <v>66.312778130959899</v>
      </c>
      <c r="N309" s="116">
        <v>69.512078830260606</v>
      </c>
      <c r="O309" s="116">
        <v>65.973458359822004</v>
      </c>
      <c r="P309" s="116">
        <v>69.269707565162093</v>
      </c>
      <c r="Q309" s="116">
        <v>68.400000000000006</v>
      </c>
      <c r="R309">
        <v>2434376</v>
      </c>
    </row>
    <row r="310" spans="1:18" x14ac:dyDescent="0.25">
      <c r="A310" s="170">
        <v>42458</v>
      </c>
      <c r="B310" s="116">
        <v>66.845889951725397</v>
      </c>
      <c r="C310" s="116">
        <v>65.100819583152401</v>
      </c>
      <c r="D310" s="116">
        <v>62.046946438149703</v>
      </c>
      <c r="E310" s="116">
        <v>65.924880590534102</v>
      </c>
      <c r="F310" s="116">
        <v>67.150000000000006</v>
      </c>
      <c r="G310">
        <v>310098</v>
      </c>
      <c r="H310" s="116"/>
      <c r="I310" s="116"/>
      <c r="L310" s="170">
        <v>42458</v>
      </c>
      <c r="M310" s="116">
        <v>65.585664335664305</v>
      </c>
      <c r="N310" s="116">
        <v>66.894469167196405</v>
      </c>
      <c r="O310" s="116">
        <v>65.003973299427798</v>
      </c>
      <c r="P310" s="116">
        <v>66.264303877940193</v>
      </c>
      <c r="Q310" s="116">
        <v>67.650000000000006</v>
      </c>
      <c r="R310">
        <v>1609883</v>
      </c>
    </row>
    <row r="311" spans="1:18" x14ac:dyDescent="0.25">
      <c r="A311" s="170">
        <v>42459</v>
      </c>
      <c r="B311" s="116">
        <v>70.7722982810145</v>
      </c>
      <c r="C311" s="116">
        <v>70.2875565119665</v>
      </c>
      <c r="D311" s="116">
        <v>65.100819583152401</v>
      </c>
      <c r="E311" s="116">
        <v>65.100819583152401</v>
      </c>
      <c r="F311" s="116">
        <v>72.5</v>
      </c>
      <c r="G311">
        <v>661188</v>
      </c>
      <c r="H311" s="116"/>
      <c r="I311" s="116"/>
      <c r="L311" s="170">
        <v>42459</v>
      </c>
      <c r="M311" s="116">
        <v>70.287666878576005</v>
      </c>
      <c r="N311" s="116">
        <v>70.772409408773001</v>
      </c>
      <c r="O311" s="116">
        <v>65.924984106802299</v>
      </c>
      <c r="P311" s="116">
        <v>65.973458359822004</v>
      </c>
      <c r="Q311" s="116">
        <v>72.5</v>
      </c>
      <c r="R311">
        <v>4196394</v>
      </c>
    </row>
    <row r="312" spans="1:18" x14ac:dyDescent="0.25">
      <c r="A312" s="170">
        <v>42460</v>
      </c>
      <c r="B312" s="116">
        <v>72.662791180301895</v>
      </c>
      <c r="C312" s="116">
        <v>71.402462580776998</v>
      </c>
      <c r="D312" s="116">
        <v>70.481453219585703</v>
      </c>
      <c r="E312" s="116">
        <v>70.869246634824094</v>
      </c>
      <c r="F312" s="116">
        <v>73.650000000000006</v>
      </c>
      <c r="G312">
        <v>440156</v>
      </c>
      <c r="H312" s="116"/>
      <c r="I312" s="116"/>
      <c r="L312" s="170">
        <v>42460</v>
      </c>
      <c r="M312" s="116">
        <v>71.5479974570884</v>
      </c>
      <c r="N312" s="116">
        <v>72.614431023521902</v>
      </c>
      <c r="O312" s="116">
        <v>70.287666878576005</v>
      </c>
      <c r="P312" s="116">
        <v>70.578512396694194</v>
      </c>
      <c r="Q312" s="116">
        <v>73.8</v>
      </c>
      <c r="R312">
        <v>5380079</v>
      </c>
    </row>
    <row r="313" spans="1:18" x14ac:dyDescent="0.25">
      <c r="A313" s="170">
        <v>42461</v>
      </c>
      <c r="B313" s="116">
        <v>75.231922556256507</v>
      </c>
      <c r="C313" s="116">
        <v>73.680748895302798</v>
      </c>
      <c r="D313" s="116">
        <v>70.626875750300101</v>
      </c>
      <c r="E313" s="116">
        <v>71.402462580776998</v>
      </c>
      <c r="F313" s="116">
        <v>76</v>
      </c>
      <c r="G313">
        <v>494612</v>
      </c>
      <c r="H313" s="116"/>
      <c r="I313" s="116"/>
      <c r="L313" s="170">
        <v>42461</v>
      </c>
      <c r="M313" s="116">
        <v>73.777813095994901</v>
      </c>
      <c r="N313" s="116">
        <v>75.328989192625599</v>
      </c>
      <c r="O313" s="116">
        <v>70.578512396694194</v>
      </c>
      <c r="P313" s="116">
        <v>71.305626191989802</v>
      </c>
      <c r="Q313" s="116">
        <v>76.099999999999994</v>
      </c>
      <c r="R313">
        <v>4136685</v>
      </c>
    </row>
    <row r="314" spans="1:18" x14ac:dyDescent="0.25">
      <c r="A314" s="170">
        <v>42464</v>
      </c>
      <c r="B314" s="116">
        <v>79.449175946974506</v>
      </c>
      <c r="C314" s="116">
        <v>77.994950639830407</v>
      </c>
      <c r="D314" s="116">
        <v>76.589199509591097</v>
      </c>
      <c r="E314" s="116">
        <v>76.880044571019894</v>
      </c>
      <c r="F314" s="116">
        <v>80.45</v>
      </c>
      <c r="G314">
        <v>796658</v>
      </c>
      <c r="H314" s="116"/>
      <c r="I314" s="116"/>
      <c r="L314" s="170">
        <v>42464</v>
      </c>
      <c r="M314" s="116">
        <v>78.092021614748901</v>
      </c>
      <c r="N314" s="116">
        <v>79.352352193261297</v>
      </c>
      <c r="O314" s="116">
        <v>76.783216783216801</v>
      </c>
      <c r="P314" s="116">
        <v>76.977113795295594</v>
      </c>
      <c r="Q314" s="116">
        <v>80.55</v>
      </c>
      <c r="R314">
        <v>7013011</v>
      </c>
    </row>
    <row r="315" spans="1:18" x14ac:dyDescent="0.25">
      <c r="A315" s="170">
        <v>42465</v>
      </c>
      <c r="B315" s="116">
        <v>78.867485824116898</v>
      </c>
      <c r="C315" s="116">
        <v>72.178049411253895</v>
      </c>
      <c r="D315" s="116">
        <v>71.790255996015404</v>
      </c>
      <c r="E315" s="116">
        <v>78.528166585783296</v>
      </c>
      <c r="F315" s="116">
        <v>74.45</v>
      </c>
      <c r="G315">
        <v>1147349</v>
      </c>
      <c r="H315" s="116"/>
      <c r="I315" s="116"/>
      <c r="L315" s="170">
        <v>42465</v>
      </c>
      <c r="M315" s="116">
        <v>72.178162746344597</v>
      </c>
      <c r="N315" s="116">
        <v>78.819135410044495</v>
      </c>
      <c r="O315" s="116">
        <v>71.741894469167207</v>
      </c>
      <c r="P315" s="116">
        <v>78.819135410044495</v>
      </c>
      <c r="Q315" s="116">
        <v>74.45</v>
      </c>
      <c r="R315">
        <v>8505422</v>
      </c>
    </row>
    <row r="316" spans="1:18" x14ac:dyDescent="0.25">
      <c r="A316" s="170">
        <v>42466</v>
      </c>
      <c r="B316" s="116">
        <v>73.971593956731596</v>
      </c>
      <c r="C316" s="116">
        <v>73.0505845955403</v>
      </c>
      <c r="D316" s="116">
        <v>72.226523588158699</v>
      </c>
      <c r="E316" s="116">
        <v>72.711265357206699</v>
      </c>
      <c r="F316" s="116">
        <v>75.349999999999994</v>
      </c>
      <c r="G316">
        <v>543085</v>
      </c>
      <c r="H316" s="116"/>
      <c r="I316" s="116"/>
      <c r="L316" s="170">
        <v>42466</v>
      </c>
      <c r="M316" s="116">
        <v>73.196122059758395</v>
      </c>
      <c r="N316" s="116">
        <v>74.020184361093399</v>
      </c>
      <c r="O316" s="116">
        <v>72.178162746344597</v>
      </c>
      <c r="P316" s="116">
        <v>72.420534011443095</v>
      </c>
      <c r="Q316" s="116">
        <v>75.5</v>
      </c>
      <c r="R316">
        <v>4516196</v>
      </c>
    </row>
    <row r="317" spans="1:18" x14ac:dyDescent="0.25">
      <c r="A317" s="170">
        <v>42467</v>
      </c>
      <c r="B317" s="116">
        <v>74.795654964113297</v>
      </c>
      <c r="C317" s="116">
        <v>73.292955480064407</v>
      </c>
      <c r="D317" s="116">
        <v>72.662791180301895</v>
      </c>
      <c r="E317" s="116">
        <v>74.650232433398898</v>
      </c>
      <c r="F317" s="116">
        <v>75.599999999999994</v>
      </c>
      <c r="G317">
        <v>534775</v>
      </c>
      <c r="H317" s="116"/>
      <c r="I317" s="116"/>
      <c r="L317" s="170">
        <v>42467</v>
      </c>
      <c r="M317" s="116">
        <v>73.486967577876698</v>
      </c>
      <c r="N317" s="116">
        <v>74.844246662428503</v>
      </c>
      <c r="O317" s="116">
        <v>72.662905276541593</v>
      </c>
      <c r="P317" s="116">
        <v>74.1656071201526</v>
      </c>
      <c r="Q317" s="116">
        <v>75.8</v>
      </c>
      <c r="R317">
        <v>4604094</v>
      </c>
    </row>
    <row r="318" spans="1:18" x14ac:dyDescent="0.25">
      <c r="A318" s="170">
        <v>42468</v>
      </c>
      <c r="B318" s="116">
        <v>76.443776978876699</v>
      </c>
      <c r="C318" s="116">
        <v>75.765138502209396</v>
      </c>
      <c r="D318" s="116">
        <v>72.808213711016293</v>
      </c>
      <c r="E318" s="116">
        <v>73.583800541493204</v>
      </c>
      <c r="F318" s="116">
        <v>78.150000000000006</v>
      </c>
      <c r="G318">
        <v>648524</v>
      </c>
      <c r="H318" s="116"/>
      <c r="I318" s="116"/>
      <c r="L318" s="170">
        <v>42468</v>
      </c>
      <c r="M318" s="116">
        <v>75.862205975842301</v>
      </c>
      <c r="N318" s="116">
        <v>76.492371265098498</v>
      </c>
      <c r="O318" s="116">
        <v>72.808328035600795</v>
      </c>
      <c r="P318" s="116">
        <v>72.808328035600795</v>
      </c>
      <c r="Q318" s="116">
        <v>78.25</v>
      </c>
      <c r="R318">
        <v>3016415</v>
      </c>
    </row>
    <row r="319" spans="1:18" x14ac:dyDescent="0.25">
      <c r="A319" s="170">
        <v>42471</v>
      </c>
      <c r="B319" s="116">
        <v>77.994950639830407</v>
      </c>
      <c r="C319" s="116">
        <v>77.558683047687197</v>
      </c>
      <c r="D319" s="116">
        <v>74.262439018160507</v>
      </c>
      <c r="E319" s="116">
        <v>76.201406094352606</v>
      </c>
      <c r="F319" s="116">
        <v>80</v>
      </c>
      <c r="G319">
        <v>770292</v>
      </c>
      <c r="H319" s="116"/>
      <c r="I319" s="116"/>
      <c r="L319" s="170">
        <v>42471</v>
      </c>
      <c r="M319" s="116">
        <v>77.461856325492704</v>
      </c>
      <c r="N319" s="116">
        <v>77.9465988556898</v>
      </c>
      <c r="O319" s="116">
        <v>74.214081373172306</v>
      </c>
      <c r="P319" s="116">
        <v>75.910680228862006</v>
      </c>
      <c r="Q319" s="116">
        <v>79.900000000000006</v>
      </c>
      <c r="R319">
        <v>5001117</v>
      </c>
    </row>
    <row r="320" spans="1:18" x14ac:dyDescent="0.25">
      <c r="A320" s="170">
        <v>42472</v>
      </c>
      <c r="B320" s="116">
        <v>78.722063293402499</v>
      </c>
      <c r="C320" s="116">
        <v>76.637673686495901</v>
      </c>
      <c r="D320" s="116">
        <v>76.249880271257396</v>
      </c>
      <c r="E320" s="116">
        <v>77.510208870782407</v>
      </c>
      <c r="F320" s="116">
        <v>79.05</v>
      </c>
      <c r="G320">
        <v>423379</v>
      </c>
      <c r="H320" s="116"/>
      <c r="I320" s="116"/>
      <c r="L320" s="170">
        <v>42472</v>
      </c>
      <c r="M320" s="116">
        <v>76.734742530197096</v>
      </c>
      <c r="N320" s="116">
        <v>78.722186904005099</v>
      </c>
      <c r="O320" s="116">
        <v>76.104577240940898</v>
      </c>
      <c r="P320" s="116">
        <v>77.5588048315321</v>
      </c>
      <c r="Q320" s="116">
        <v>79.150000000000006</v>
      </c>
      <c r="R320">
        <v>2816658</v>
      </c>
    </row>
    <row r="321" spans="1:18" x14ac:dyDescent="0.25">
      <c r="A321" s="170">
        <v>42473</v>
      </c>
      <c r="B321" s="116">
        <v>79.061382531736101</v>
      </c>
      <c r="C321" s="116">
        <v>77.946476462925602</v>
      </c>
      <c r="D321" s="116">
        <v>76.492251155781503</v>
      </c>
      <c r="E321" s="116">
        <v>77.364786340067894</v>
      </c>
      <c r="F321" s="116">
        <v>80.400000000000006</v>
      </c>
      <c r="G321">
        <v>719660</v>
      </c>
      <c r="H321" s="116"/>
      <c r="I321" s="116"/>
      <c r="L321" s="170">
        <v>42473</v>
      </c>
      <c r="M321" s="116">
        <v>78.092021614748901</v>
      </c>
      <c r="N321" s="116">
        <v>79.109980928162699</v>
      </c>
      <c r="O321" s="116">
        <v>76.443897012078807</v>
      </c>
      <c r="P321" s="116">
        <v>77.995073108709505</v>
      </c>
      <c r="Q321" s="116">
        <v>80.55</v>
      </c>
      <c r="R321">
        <v>4772741</v>
      </c>
    </row>
    <row r="322" spans="1:18" x14ac:dyDescent="0.25">
      <c r="A322" s="170">
        <v>42478</v>
      </c>
      <c r="B322" s="116">
        <v>81.194246315547502</v>
      </c>
      <c r="C322" s="116">
        <v>80.224762777451403</v>
      </c>
      <c r="D322" s="116">
        <v>78.722063293402499</v>
      </c>
      <c r="E322" s="116">
        <v>78.722063293402499</v>
      </c>
      <c r="F322" s="116">
        <v>82.75</v>
      </c>
      <c r="G322">
        <v>631333</v>
      </c>
      <c r="H322" s="116"/>
      <c r="I322" s="116"/>
      <c r="L322" s="170">
        <v>42478</v>
      </c>
      <c r="M322" s="116">
        <v>80.418785759694799</v>
      </c>
      <c r="N322" s="116">
        <v>81.242848061029903</v>
      </c>
      <c r="O322" s="116">
        <v>78.722186904005099</v>
      </c>
      <c r="P322" s="116">
        <v>78.770661157024804</v>
      </c>
      <c r="Q322" s="116">
        <v>82.95</v>
      </c>
      <c r="R322">
        <v>3617747</v>
      </c>
    </row>
    <row r="323" spans="1:18" x14ac:dyDescent="0.25">
      <c r="A323" s="170">
        <v>42480</v>
      </c>
      <c r="B323" s="116">
        <v>82.406100738167595</v>
      </c>
      <c r="C323" s="116">
        <v>81.727462261500307</v>
      </c>
      <c r="D323" s="116">
        <v>80.612556192689894</v>
      </c>
      <c r="E323" s="116">
        <v>81.242720492452307</v>
      </c>
      <c r="F323" s="116">
        <v>84.3</v>
      </c>
      <c r="G323">
        <v>443779</v>
      </c>
      <c r="H323" s="116"/>
      <c r="I323" s="116"/>
      <c r="L323" s="170">
        <v>42480</v>
      </c>
      <c r="M323" s="116">
        <v>81.630642085187503</v>
      </c>
      <c r="N323" s="116">
        <v>82.406230133502902</v>
      </c>
      <c r="O323" s="116">
        <v>80.515734265734295</v>
      </c>
      <c r="P323" s="116">
        <v>80.806579783852499</v>
      </c>
      <c r="Q323" s="116">
        <v>84.2</v>
      </c>
      <c r="R323">
        <v>5397825</v>
      </c>
    </row>
    <row r="324" spans="1:18" x14ac:dyDescent="0.25">
      <c r="A324" s="170">
        <v>42481</v>
      </c>
      <c r="B324" s="116">
        <v>82.212204030548406</v>
      </c>
      <c r="C324" s="116">
        <v>80.612556192689894</v>
      </c>
      <c r="D324" s="116">
        <v>79.594598477688905</v>
      </c>
      <c r="E324" s="116">
        <v>82.018307322929203</v>
      </c>
      <c r="F324" s="116">
        <v>83.15</v>
      </c>
      <c r="G324">
        <v>308576</v>
      </c>
      <c r="H324" s="116"/>
      <c r="I324" s="116"/>
      <c r="L324" s="170">
        <v>42481</v>
      </c>
      <c r="M324" s="116">
        <v>80.661157024793397</v>
      </c>
      <c r="N324" s="116">
        <v>82.406230133502902</v>
      </c>
      <c r="O324" s="116">
        <v>79.6431977113795</v>
      </c>
      <c r="P324" s="116">
        <v>82.406230133502902</v>
      </c>
      <c r="Q324" s="116">
        <v>83.2</v>
      </c>
      <c r="R324">
        <v>4341882</v>
      </c>
    </row>
    <row r="325" spans="1:18" x14ac:dyDescent="0.25">
      <c r="A325" s="170">
        <v>42482</v>
      </c>
      <c r="B325" s="116">
        <v>80.661030369594698</v>
      </c>
      <c r="C325" s="116">
        <v>79.643072654593794</v>
      </c>
      <c r="D325" s="116">
        <v>79.158330885545695</v>
      </c>
      <c r="E325" s="116">
        <v>80.370185308165802</v>
      </c>
      <c r="F325" s="116">
        <v>82.15</v>
      </c>
      <c r="G325">
        <v>256027</v>
      </c>
      <c r="H325" s="116"/>
      <c r="I325" s="116"/>
      <c r="L325" s="170">
        <v>42482</v>
      </c>
      <c r="M325" s="116">
        <v>79.546249205340104</v>
      </c>
      <c r="N325" s="116">
        <v>80.806579783852499</v>
      </c>
      <c r="O325" s="116">
        <v>79.158455181182404</v>
      </c>
      <c r="P325" s="116">
        <v>79.982517482517494</v>
      </c>
      <c r="Q325" s="116">
        <v>82.05</v>
      </c>
      <c r="R325">
        <v>1577372</v>
      </c>
    </row>
    <row r="326" spans="1:18" x14ac:dyDescent="0.25">
      <c r="A326" s="170">
        <v>42485</v>
      </c>
      <c r="B326" s="116">
        <v>80.854927077213901</v>
      </c>
      <c r="C326" s="116">
        <v>80.370185308165802</v>
      </c>
      <c r="D326" s="116">
        <v>78.382744055068798</v>
      </c>
      <c r="E326" s="116">
        <v>79.497650123879296</v>
      </c>
      <c r="F326" s="116">
        <v>82.9</v>
      </c>
      <c r="G326">
        <v>284466</v>
      </c>
      <c r="H326" s="116"/>
      <c r="I326" s="116"/>
      <c r="L326" s="170">
        <v>42485</v>
      </c>
      <c r="M326" s="116">
        <v>80.321837253655403</v>
      </c>
      <c r="N326" s="116">
        <v>80.903528289891895</v>
      </c>
      <c r="O326" s="116">
        <v>78.3343928798474</v>
      </c>
      <c r="P326" s="116">
        <v>79.546249205340104</v>
      </c>
      <c r="Q326" s="116">
        <v>82.85</v>
      </c>
      <c r="R326">
        <v>2405474</v>
      </c>
    </row>
    <row r="327" spans="1:18" x14ac:dyDescent="0.25">
      <c r="A327" s="170">
        <v>42486</v>
      </c>
      <c r="B327" s="116">
        <v>81.921358969119595</v>
      </c>
      <c r="C327" s="116">
        <v>81.533565553881104</v>
      </c>
      <c r="D327" s="116">
        <v>79.546124300784101</v>
      </c>
      <c r="E327" s="116">
        <v>80.224762777451403</v>
      </c>
      <c r="F327" s="116">
        <v>84.1</v>
      </c>
      <c r="G327">
        <v>272274</v>
      </c>
      <c r="H327" s="116"/>
      <c r="I327" s="116"/>
      <c r="L327" s="170">
        <v>42486</v>
      </c>
      <c r="M327" s="116">
        <v>81.679116338207194</v>
      </c>
      <c r="N327" s="116">
        <v>82.018436109345203</v>
      </c>
      <c r="O327" s="116">
        <v>79.497774952320398</v>
      </c>
      <c r="P327" s="116">
        <v>79.497774952320398</v>
      </c>
      <c r="Q327" s="116">
        <v>84.25</v>
      </c>
      <c r="R327">
        <v>4315785</v>
      </c>
    </row>
    <row r="328" spans="1:18" x14ac:dyDescent="0.25">
      <c r="A328" s="170">
        <v>42487</v>
      </c>
      <c r="B328" s="116">
        <v>84.102696929835801</v>
      </c>
      <c r="C328" s="116">
        <v>82.987790861025303</v>
      </c>
      <c r="D328" s="116">
        <v>80.709504546499403</v>
      </c>
      <c r="E328" s="116">
        <v>80.709504546499403</v>
      </c>
      <c r="F328" s="116">
        <v>85.6</v>
      </c>
      <c r="G328">
        <v>627990</v>
      </c>
      <c r="H328" s="116"/>
      <c r="I328" s="116"/>
      <c r="L328" s="170">
        <v>42487</v>
      </c>
      <c r="M328" s="116">
        <v>83.133343928798496</v>
      </c>
      <c r="N328" s="116">
        <v>84.151303242212293</v>
      </c>
      <c r="O328" s="116">
        <v>81.145899554990507</v>
      </c>
      <c r="P328" s="116">
        <v>81.630642085187503</v>
      </c>
      <c r="Q328" s="116">
        <v>85.75</v>
      </c>
      <c r="R328">
        <v>3403486</v>
      </c>
    </row>
    <row r="329" spans="1:18" x14ac:dyDescent="0.25">
      <c r="A329" s="170">
        <v>42488</v>
      </c>
      <c r="B329" s="116">
        <v>83.7633776915021</v>
      </c>
      <c r="C329" s="116">
        <v>81.242720492452307</v>
      </c>
      <c r="D329" s="116">
        <v>80.709504546499403</v>
      </c>
      <c r="E329" s="116">
        <v>83.2786359224541</v>
      </c>
      <c r="F329" s="116">
        <v>83.8</v>
      </c>
      <c r="G329">
        <v>258792</v>
      </c>
      <c r="H329" s="116"/>
      <c r="I329" s="116"/>
      <c r="L329" s="170">
        <v>42488</v>
      </c>
      <c r="M329" s="116">
        <v>81.291322314049594</v>
      </c>
      <c r="N329" s="116">
        <v>83.811983471074399</v>
      </c>
      <c r="O329" s="116">
        <v>80.9520025429116</v>
      </c>
      <c r="P329" s="116">
        <v>83.569612205975801</v>
      </c>
      <c r="Q329" s="116">
        <v>83.85</v>
      </c>
      <c r="R329">
        <v>8585859</v>
      </c>
    </row>
    <row r="330" spans="1:18" x14ac:dyDescent="0.25">
      <c r="A330" s="170">
        <v>42489</v>
      </c>
      <c r="B330" s="116">
        <v>85.993189829123097</v>
      </c>
      <c r="C330" s="116">
        <v>84.102696929835801</v>
      </c>
      <c r="D330" s="116">
        <v>80.757978723404307</v>
      </c>
      <c r="E330" s="116">
        <v>81.436617200071495</v>
      </c>
      <c r="F330" s="116">
        <v>86.75</v>
      </c>
      <c r="G330">
        <v>552767</v>
      </c>
      <c r="H330" s="116"/>
      <c r="I330" s="116"/>
      <c r="L330" s="170">
        <v>42489</v>
      </c>
      <c r="M330" s="116">
        <v>84.054354736172897</v>
      </c>
      <c r="N330" s="116">
        <v>86.090273363000605</v>
      </c>
      <c r="O330" s="116">
        <v>80.661157024793397</v>
      </c>
      <c r="P330" s="116">
        <v>81.436745073108696</v>
      </c>
      <c r="Q330" s="116">
        <v>86.7</v>
      </c>
      <c r="R330">
        <v>3789412</v>
      </c>
    </row>
    <row r="331" spans="1:18" x14ac:dyDescent="0.25">
      <c r="A331" s="170">
        <v>42492</v>
      </c>
      <c r="B331" s="116">
        <v>85.896241475313502</v>
      </c>
      <c r="C331" s="116">
        <v>84.199645283645395</v>
      </c>
      <c r="D331" s="116">
        <v>82.018307322929203</v>
      </c>
      <c r="E331" s="116">
        <v>83.860326045311695</v>
      </c>
      <c r="F331" s="116">
        <v>86.85</v>
      </c>
      <c r="G331">
        <v>394733</v>
      </c>
      <c r="H331" s="116"/>
      <c r="I331" s="116"/>
      <c r="L331" s="170">
        <v>42492</v>
      </c>
      <c r="M331" s="116">
        <v>84.393674507310905</v>
      </c>
      <c r="N331" s="116">
        <v>85.944850603941504</v>
      </c>
      <c r="O331" s="116">
        <v>81.921487603305806</v>
      </c>
      <c r="P331" s="116">
        <v>83.666560712015198</v>
      </c>
      <c r="Q331" s="116">
        <v>87.05</v>
      </c>
      <c r="R331">
        <v>4581405</v>
      </c>
    </row>
    <row r="332" spans="1:18" x14ac:dyDescent="0.25">
      <c r="A332" s="170">
        <v>42493</v>
      </c>
      <c r="B332" s="116">
        <v>85.508448060075096</v>
      </c>
      <c r="C332" s="116">
        <v>83.230161745549296</v>
      </c>
      <c r="D332" s="116">
        <v>82.890842507215694</v>
      </c>
      <c r="E332" s="116">
        <v>84.345067814359794</v>
      </c>
      <c r="F332" s="116">
        <v>85.85</v>
      </c>
      <c r="G332">
        <v>255470</v>
      </c>
      <c r="H332" s="116"/>
      <c r="I332" s="116"/>
      <c r="L332" s="170">
        <v>42493</v>
      </c>
      <c r="M332" s="116">
        <v>83.278766687857598</v>
      </c>
      <c r="N332" s="116">
        <v>85.605530832803595</v>
      </c>
      <c r="O332" s="116">
        <v>82.794024157660502</v>
      </c>
      <c r="P332" s="116">
        <v>84.3452002542912</v>
      </c>
      <c r="Q332" s="116">
        <v>85.9</v>
      </c>
      <c r="R332">
        <v>1749315</v>
      </c>
    </row>
    <row r="333" spans="1:18" x14ac:dyDescent="0.25">
      <c r="A333" s="170">
        <v>42494</v>
      </c>
      <c r="B333" s="116">
        <v>83.569480983882897</v>
      </c>
      <c r="C333" s="116">
        <v>76.831570394115104</v>
      </c>
      <c r="D333" s="116">
        <v>76.104457740542998</v>
      </c>
      <c r="E333" s="116">
        <v>83.375584276263695</v>
      </c>
      <c r="F333" s="116">
        <v>79.25</v>
      </c>
      <c r="G333">
        <v>1581943</v>
      </c>
      <c r="H333" s="116"/>
      <c r="I333" s="116"/>
      <c r="L333" s="170">
        <v>42494</v>
      </c>
      <c r="M333" s="116">
        <v>76.734742530197096</v>
      </c>
      <c r="N333" s="116">
        <v>83.666560712015198</v>
      </c>
      <c r="O333" s="116">
        <v>76.104577240940898</v>
      </c>
      <c r="P333" s="116">
        <v>83.472663699936405</v>
      </c>
      <c r="Q333" s="116">
        <v>79.150000000000006</v>
      </c>
      <c r="R333">
        <v>11346291</v>
      </c>
    </row>
    <row r="334" spans="1:18" x14ac:dyDescent="0.25">
      <c r="A334" s="170">
        <v>42495</v>
      </c>
      <c r="B334" s="116">
        <v>78.285795701259204</v>
      </c>
      <c r="C334" s="116">
        <v>75.862086856019005</v>
      </c>
      <c r="D334" s="116">
        <v>74.213964841255603</v>
      </c>
      <c r="E334" s="116">
        <v>75.619715971494998</v>
      </c>
      <c r="F334" s="116">
        <v>78.25</v>
      </c>
      <c r="G334">
        <v>983117</v>
      </c>
      <c r="H334" s="116"/>
      <c r="I334" s="116"/>
      <c r="L334" s="170">
        <v>42495</v>
      </c>
      <c r="M334" s="116">
        <v>75.716783216783199</v>
      </c>
      <c r="N334" s="116">
        <v>78.3343928798474</v>
      </c>
      <c r="O334" s="116">
        <v>74.1656071201526</v>
      </c>
      <c r="P334" s="116">
        <v>76.104577240940898</v>
      </c>
      <c r="Q334" s="116">
        <v>78.099999999999994</v>
      </c>
      <c r="R334">
        <v>5022687</v>
      </c>
    </row>
    <row r="335" spans="1:18" x14ac:dyDescent="0.25">
      <c r="A335" s="170">
        <v>42496</v>
      </c>
      <c r="B335" s="116">
        <v>75.910561032923795</v>
      </c>
      <c r="C335" s="116">
        <v>74.456335725779695</v>
      </c>
      <c r="D335" s="116">
        <v>73.777697249112407</v>
      </c>
      <c r="E335" s="116">
        <v>75.425819263875795</v>
      </c>
      <c r="F335" s="116">
        <v>76.8</v>
      </c>
      <c r="G335">
        <v>447875</v>
      </c>
      <c r="H335" s="116"/>
      <c r="I335" s="116"/>
      <c r="L335" s="170">
        <v>42496</v>
      </c>
      <c r="M335" s="116">
        <v>74.407978385251099</v>
      </c>
      <c r="N335" s="116">
        <v>75.910680228862006</v>
      </c>
      <c r="O335" s="116">
        <v>73.680864589955505</v>
      </c>
      <c r="P335" s="116">
        <v>75.522886204704406</v>
      </c>
      <c r="Q335" s="116">
        <v>76.75</v>
      </c>
      <c r="R335">
        <v>2293415</v>
      </c>
    </row>
    <row r="336" spans="1:18" x14ac:dyDescent="0.25">
      <c r="A336" s="170">
        <v>42499</v>
      </c>
      <c r="B336" s="116">
        <v>75.959035209828599</v>
      </c>
      <c r="C336" s="116">
        <v>75.038025848637304</v>
      </c>
      <c r="D336" s="116">
        <v>74.407861548874905</v>
      </c>
      <c r="E336" s="116">
        <v>74.650232433398898</v>
      </c>
      <c r="F336" s="116">
        <v>77.400000000000006</v>
      </c>
      <c r="G336">
        <v>345210</v>
      </c>
      <c r="H336" s="116"/>
      <c r="I336" s="116"/>
      <c r="L336" s="170">
        <v>42499</v>
      </c>
      <c r="M336" s="116">
        <v>75.038143674507296</v>
      </c>
      <c r="N336" s="116">
        <v>76.007628734901502</v>
      </c>
      <c r="O336" s="116">
        <v>74.407978385251099</v>
      </c>
      <c r="P336" s="116">
        <v>74.892720915448194</v>
      </c>
      <c r="Q336" s="116">
        <v>77.400000000000006</v>
      </c>
      <c r="R336">
        <v>1962954</v>
      </c>
    </row>
    <row r="337" spans="1:18" x14ac:dyDescent="0.25">
      <c r="A337" s="170">
        <v>42500</v>
      </c>
      <c r="B337" s="116">
        <v>75.425819263875795</v>
      </c>
      <c r="C337" s="116">
        <v>72.808213711016293</v>
      </c>
      <c r="D337" s="116">
        <v>72.371946118873097</v>
      </c>
      <c r="E337" s="116">
        <v>75.377345086971005</v>
      </c>
      <c r="F337" s="116">
        <v>75.099999999999994</v>
      </c>
      <c r="G337">
        <v>491436</v>
      </c>
      <c r="H337" s="116"/>
      <c r="I337" s="116"/>
      <c r="L337" s="170">
        <v>42500</v>
      </c>
      <c r="M337" s="116">
        <v>72.905276541640205</v>
      </c>
      <c r="N337" s="116">
        <v>75.425937698664995</v>
      </c>
      <c r="O337" s="116">
        <v>72.420534011443095</v>
      </c>
      <c r="P337" s="116">
        <v>75.135092180546707</v>
      </c>
      <c r="Q337" s="116">
        <v>75.2</v>
      </c>
      <c r="R337">
        <v>2568108</v>
      </c>
    </row>
    <row r="338" spans="1:18" x14ac:dyDescent="0.25">
      <c r="A338" s="170">
        <v>42501</v>
      </c>
      <c r="B338" s="116">
        <v>74.213964841255603</v>
      </c>
      <c r="C338" s="116">
        <v>71.984152703634606</v>
      </c>
      <c r="D338" s="116">
        <v>70.869246634824094</v>
      </c>
      <c r="E338" s="116">
        <v>71.547885111491397</v>
      </c>
      <c r="F338" s="116">
        <v>74.25</v>
      </c>
      <c r="G338">
        <v>364169</v>
      </c>
      <c r="H338" s="116"/>
      <c r="I338" s="116"/>
      <c r="L338" s="170">
        <v>42501</v>
      </c>
      <c r="M338" s="116">
        <v>72.032739987285396</v>
      </c>
      <c r="N338" s="116">
        <v>74.311029879211702</v>
      </c>
      <c r="O338" s="116">
        <v>70.820883661792706</v>
      </c>
      <c r="P338" s="116">
        <v>71.693420216147501</v>
      </c>
      <c r="Q338" s="116">
        <v>74.3</v>
      </c>
      <c r="R338">
        <v>3531771</v>
      </c>
    </row>
    <row r="339" spans="1:18" x14ac:dyDescent="0.25">
      <c r="A339" s="170">
        <v>42502</v>
      </c>
      <c r="B339" s="116">
        <v>73.632274718397994</v>
      </c>
      <c r="C339" s="116">
        <v>73.244481303159603</v>
      </c>
      <c r="D339" s="116">
        <v>72.226523588158699</v>
      </c>
      <c r="E339" s="116">
        <v>72.226523588158699</v>
      </c>
      <c r="F339" s="116">
        <v>75.55</v>
      </c>
      <c r="G339">
        <v>209830</v>
      </c>
      <c r="H339" s="116"/>
      <c r="I339" s="116"/>
      <c r="L339" s="170">
        <v>42502</v>
      </c>
      <c r="M339" s="116">
        <v>73.390019071837202</v>
      </c>
      <c r="N339" s="116">
        <v>73.777813095994901</v>
      </c>
      <c r="O339" s="116">
        <v>72.226636999364302</v>
      </c>
      <c r="P339" s="116">
        <v>72.420534011443095</v>
      </c>
      <c r="Q339" s="116">
        <v>75.7</v>
      </c>
      <c r="R339">
        <v>1375120</v>
      </c>
    </row>
    <row r="340" spans="1:18" x14ac:dyDescent="0.25">
      <c r="A340" s="170">
        <v>42503</v>
      </c>
      <c r="B340" s="116">
        <v>74.601758256494094</v>
      </c>
      <c r="C340" s="116">
        <v>71.111617519348201</v>
      </c>
      <c r="D340" s="116">
        <v>68.203166905059902</v>
      </c>
      <c r="E340" s="116">
        <v>72.614317003397105</v>
      </c>
      <c r="F340" s="116">
        <v>73.349999999999994</v>
      </c>
      <c r="G340">
        <v>561561</v>
      </c>
      <c r="H340" s="116"/>
      <c r="I340" s="116"/>
      <c r="L340" s="170">
        <v>42503</v>
      </c>
      <c r="M340" s="116">
        <v>71.111729179910995</v>
      </c>
      <c r="N340" s="116">
        <v>74.601875397329906</v>
      </c>
      <c r="O340" s="116">
        <v>68.203273998728505</v>
      </c>
      <c r="P340" s="116">
        <v>73.002225047679602</v>
      </c>
      <c r="Q340" s="116">
        <v>73.349999999999994</v>
      </c>
      <c r="R340">
        <v>3575599</v>
      </c>
    </row>
    <row r="341" spans="1:18" x14ac:dyDescent="0.25">
      <c r="A341" s="170">
        <v>42506</v>
      </c>
      <c r="B341" s="116">
        <v>74.0200681336364</v>
      </c>
      <c r="C341" s="116">
        <v>73.729223072207603</v>
      </c>
      <c r="D341" s="116">
        <v>71.063143342443396</v>
      </c>
      <c r="E341" s="116">
        <v>71.547885111491397</v>
      </c>
      <c r="F341" s="116">
        <v>76.05</v>
      </c>
      <c r="G341">
        <v>386372</v>
      </c>
      <c r="H341" s="116"/>
      <c r="I341" s="116"/>
      <c r="L341" s="170">
        <v>42506</v>
      </c>
      <c r="M341" s="116">
        <v>73.826287349014606</v>
      </c>
      <c r="N341" s="116">
        <v>74.262555626191997</v>
      </c>
      <c r="O341" s="116">
        <v>71.063254926891304</v>
      </c>
      <c r="P341" s="116">
        <v>71.644945963127796</v>
      </c>
      <c r="Q341" s="116">
        <v>76.150000000000006</v>
      </c>
      <c r="R341">
        <v>2838312</v>
      </c>
    </row>
    <row r="342" spans="1:18" x14ac:dyDescent="0.25">
      <c r="A342" s="170">
        <v>42507</v>
      </c>
      <c r="B342" s="116">
        <v>73.777697249112407</v>
      </c>
      <c r="C342" s="116">
        <v>72.662791180301895</v>
      </c>
      <c r="D342" s="116">
        <v>72.226523588158699</v>
      </c>
      <c r="E342" s="116">
        <v>73.729223072207603</v>
      </c>
      <c r="F342" s="116">
        <v>74.95</v>
      </c>
      <c r="G342">
        <v>180665</v>
      </c>
      <c r="H342" s="116"/>
      <c r="I342" s="116"/>
      <c r="L342" s="170">
        <v>42507</v>
      </c>
      <c r="M342" s="116">
        <v>72.662905276541593</v>
      </c>
      <c r="N342" s="116">
        <v>73.971710108073694</v>
      </c>
      <c r="O342" s="116">
        <v>72.178162746344597</v>
      </c>
      <c r="P342" s="116">
        <v>73.971710108073694</v>
      </c>
      <c r="Q342" s="116">
        <v>74.95</v>
      </c>
      <c r="R342">
        <v>1444024</v>
      </c>
    </row>
    <row r="343" spans="1:18" x14ac:dyDescent="0.25">
      <c r="A343" s="170">
        <v>42508</v>
      </c>
      <c r="B343" s="116">
        <v>74.262439018160507</v>
      </c>
      <c r="C343" s="116">
        <v>72.759739534111503</v>
      </c>
      <c r="D343" s="116">
        <v>71.257040050062599</v>
      </c>
      <c r="E343" s="116">
        <v>72.226523588158699</v>
      </c>
      <c r="F343" s="116">
        <v>75.05</v>
      </c>
      <c r="G343">
        <v>284728</v>
      </c>
      <c r="H343" s="116"/>
      <c r="I343" s="116"/>
      <c r="L343" s="170">
        <v>42508</v>
      </c>
      <c r="M343" s="116">
        <v>72.662905276541593</v>
      </c>
      <c r="N343" s="116">
        <v>74.1656071201526</v>
      </c>
      <c r="O343" s="116">
        <v>71.208677685950406</v>
      </c>
      <c r="P343" s="116">
        <v>71.741894469167207</v>
      </c>
      <c r="Q343" s="116">
        <v>74.95</v>
      </c>
      <c r="R343">
        <v>2212966</v>
      </c>
    </row>
    <row r="344" spans="1:18" x14ac:dyDescent="0.25">
      <c r="A344" s="170">
        <v>42509</v>
      </c>
      <c r="B344" s="116">
        <v>73.002110418635496</v>
      </c>
      <c r="C344" s="116">
        <v>69.172650443156002</v>
      </c>
      <c r="D344" s="116">
        <v>68.397063612679105</v>
      </c>
      <c r="E344" s="116">
        <v>73.002110418635496</v>
      </c>
      <c r="F344" s="116">
        <v>71.349999999999994</v>
      </c>
      <c r="G344">
        <v>669432</v>
      </c>
      <c r="H344" s="116"/>
      <c r="I344" s="116"/>
      <c r="L344" s="170">
        <v>42509</v>
      </c>
      <c r="M344" s="116">
        <v>69.318181818181799</v>
      </c>
      <c r="N344" s="116">
        <v>72.662905276541593</v>
      </c>
      <c r="O344" s="116">
        <v>68.833439287984703</v>
      </c>
      <c r="P344" s="116">
        <v>72.662905276541593</v>
      </c>
      <c r="Q344" s="116">
        <v>71.5</v>
      </c>
      <c r="R344">
        <v>2260593</v>
      </c>
    </row>
    <row r="345" spans="1:18" x14ac:dyDescent="0.25">
      <c r="A345" s="170">
        <v>42510</v>
      </c>
      <c r="B345" s="116">
        <v>70.2875565119665</v>
      </c>
      <c r="C345" s="116">
        <v>66.894364128630201</v>
      </c>
      <c r="D345" s="116">
        <v>66.603519067201304</v>
      </c>
      <c r="E345" s="116">
        <v>69.8028147429184</v>
      </c>
      <c r="F345" s="116">
        <v>69</v>
      </c>
      <c r="G345">
        <v>739883</v>
      </c>
      <c r="H345" s="116"/>
      <c r="I345" s="116"/>
      <c r="L345" s="170">
        <v>42510</v>
      </c>
      <c r="M345" s="116">
        <v>66.797520661156994</v>
      </c>
      <c r="N345" s="116">
        <v>70.239192625556299</v>
      </c>
      <c r="O345" s="116">
        <v>66.409726636999395</v>
      </c>
      <c r="P345" s="116">
        <v>70.093769866497098</v>
      </c>
      <c r="Q345" s="116">
        <v>68.900000000000006</v>
      </c>
      <c r="R345">
        <v>3172695</v>
      </c>
    </row>
    <row r="346" spans="1:18" x14ac:dyDescent="0.25">
      <c r="A346" s="170">
        <v>42513</v>
      </c>
      <c r="B346" s="116">
        <v>69.124176266251197</v>
      </c>
      <c r="C346" s="116">
        <v>67.573002605297404</v>
      </c>
      <c r="D346" s="116">
        <v>67.136735013154194</v>
      </c>
      <c r="E346" s="116">
        <v>67.379105897678201</v>
      </c>
      <c r="F346" s="116">
        <v>69.7</v>
      </c>
      <c r="G346">
        <v>399149</v>
      </c>
      <c r="H346" s="116"/>
      <c r="I346" s="116"/>
      <c r="L346" s="170">
        <v>42513</v>
      </c>
      <c r="M346" s="116">
        <v>67.573108709472294</v>
      </c>
      <c r="N346" s="116">
        <v>69.221233312142402</v>
      </c>
      <c r="O346" s="116">
        <v>67.136840432295003</v>
      </c>
      <c r="P346" s="116">
        <v>67.379211697393501</v>
      </c>
      <c r="Q346" s="116">
        <v>69.7</v>
      </c>
      <c r="R346">
        <v>2284836</v>
      </c>
    </row>
    <row r="347" spans="1:18" x14ac:dyDescent="0.25">
      <c r="A347" s="170">
        <v>42514</v>
      </c>
      <c r="B347" s="116">
        <v>68.784857027917596</v>
      </c>
      <c r="C347" s="116">
        <v>68.397063612679105</v>
      </c>
      <c r="D347" s="116">
        <v>66.991312482439795</v>
      </c>
      <c r="E347" s="116">
        <v>67.0397866593446</v>
      </c>
      <c r="F347" s="116">
        <v>70.55</v>
      </c>
      <c r="G347">
        <v>289685</v>
      </c>
      <c r="H347" s="116"/>
      <c r="I347" s="116"/>
      <c r="L347" s="170">
        <v>42514</v>
      </c>
      <c r="M347" s="116">
        <v>68.397171010807398</v>
      </c>
      <c r="N347" s="116">
        <v>68.978862047043904</v>
      </c>
      <c r="O347" s="116">
        <v>66.894469167196405</v>
      </c>
      <c r="P347" s="116">
        <v>67.476160203432897</v>
      </c>
      <c r="Q347" s="116">
        <v>70.55</v>
      </c>
      <c r="R347">
        <v>2174454</v>
      </c>
    </row>
    <row r="348" spans="1:18" x14ac:dyDescent="0.25">
      <c r="A348" s="170">
        <v>42515</v>
      </c>
      <c r="B348" s="116">
        <v>69.3180729738704</v>
      </c>
      <c r="C348" s="116">
        <v>68.881805381727204</v>
      </c>
      <c r="D348" s="116">
        <v>68.203166905059902</v>
      </c>
      <c r="E348" s="116">
        <v>68.639434497203098</v>
      </c>
      <c r="F348" s="116">
        <v>71.05</v>
      </c>
      <c r="G348">
        <v>865931</v>
      </c>
      <c r="H348" s="116"/>
      <c r="I348" s="116"/>
      <c r="L348" s="170">
        <v>42515</v>
      </c>
      <c r="M348" s="116">
        <v>68.930387794024099</v>
      </c>
      <c r="N348" s="116">
        <v>69.415130324221195</v>
      </c>
      <c r="O348" s="116">
        <v>68.1547997457088</v>
      </c>
      <c r="P348" s="116">
        <v>68.930387794024099</v>
      </c>
      <c r="Q348" s="116">
        <v>71.099999999999994</v>
      </c>
      <c r="R348">
        <v>1433642</v>
      </c>
    </row>
    <row r="349" spans="1:18" x14ac:dyDescent="0.25">
      <c r="A349" s="170">
        <v>42516</v>
      </c>
      <c r="B349" s="116">
        <v>72.711265357206699</v>
      </c>
      <c r="C349" s="116">
        <v>71.838730172920194</v>
      </c>
      <c r="D349" s="116">
        <v>68.978753735536799</v>
      </c>
      <c r="E349" s="116">
        <v>69.3180729738704</v>
      </c>
      <c r="F349" s="116">
        <v>74.099999999999994</v>
      </c>
      <c r="G349">
        <v>343250</v>
      </c>
      <c r="H349" s="116"/>
      <c r="I349" s="116"/>
      <c r="L349" s="170">
        <v>42516</v>
      </c>
      <c r="M349" s="116">
        <v>71.838842975206603</v>
      </c>
      <c r="N349" s="116">
        <v>72.517482517482506</v>
      </c>
      <c r="O349" s="116">
        <v>68.978862047043904</v>
      </c>
      <c r="P349" s="116">
        <v>69.318181818181799</v>
      </c>
      <c r="Q349" s="116">
        <v>74.099999999999994</v>
      </c>
      <c r="R349">
        <v>2011895</v>
      </c>
    </row>
    <row r="350" spans="1:18" x14ac:dyDescent="0.25">
      <c r="A350" s="170">
        <v>42517</v>
      </c>
      <c r="B350" s="116">
        <v>73.438378010778806</v>
      </c>
      <c r="C350" s="116">
        <v>71.208565873157795</v>
      </c>
      <c r="D350" s="116">
        <v>70.432979042680898</v>
      </c>
      <c r="E350" s="116">
        <v>72.081101057444201</v>
      </c>
      <c r="F350" s="116">
        <v>73.45</v>
      </c>
      <c r="G350">
        <v>445295</v>
      </c>
      <c r="H350" s="116"/>
      <c r="I350" s="116"/>
      <c r="L350" s="170">
        <v>42517</v>
      </c>
      <c r="M350" s="116">
        <v>71.111729179910995</v>
      </c>
      <c r="N350" s="116">
        <v>73.680864589955505</v>
      </c>
      <c r="O350" s="116">
        <v>70.384615384615401</v>
      </c>
      <c r="P350" s="116">
        <v>71.935791481246</v>
      </c>
      <c r="Q350" s="116">
        <v>73.349999999999994</v>
      </c>
      <c r="R350">
        <v>1881069</v>
      </c>
    </row>
    <row r="351" spans="1:18" x14ac:dyDescent="0.25">
      <c r="A351" s="170">
        <v>42520</v>
      </c>
      <c r="B351" s="116">
        <v>72.953636241730706</v>
      </c>
      <c r="C351" s="116">
        <v>72.323471941968293</v>
      </c>
      <c r="D351" s="116">
        <v>70.578401573395297</v>
      </c>
      <c r="E351" s="116">
        <v>71.257040050062599</v>
      </c>
      <c r="F351" s="116">
        <v>74.599999999999994</v>
      </c>
      <c r="G351">
        <v>313797</v>
      </c>
      <c r="H351" s="116"/>
      <c r="I351" s="116"/>
      <c r="L351" s="170">
        <v>42520</v>
      </c>
      <c r="M351" s="116">
        <v>72.372059758423404</v>
      </c>
      <c r="N351" s="116">
        <v>72.953750794659896</v>
      </c>
      <c r="O351" s="116">
        <v>70.530038143674503</v>
      </c>
      <c r="P351" s="116">
        <v>71.644945963127796</v>
      </c>
      <c r="Q351" s="116">
        <v>74.650000000000006</v>
      </c>
      <c r="R351">
        <v>1326261</v>
      </c>
    </row>
    <row r="352" spans="1:18" x14ac:dyDescent="0.25">
      <c r="A352" s="170">
        <v>42521</v>
      </c>
      <c r="B352" s="116">
        <v>72.662791180301895</v>
      </c>
      <c r="C352" s="116">
        <v>70.675349927204905</v>
      </c>
      <c r="D352" s="116">
        <v>69.8028147429184</v>
      </c>
      <c r="E352" s="116">
        <v>72.226523588158699</v>
      </c>
      <c r="F352" s="116">
        <v>72.900000000000006</v>
      </c>
      <c r="G352">
        <v>448265</v>
      </c>
      <c r="H352" s="116"/>
      <c r="I352" s="116"/>
      <c r="L352" s="170">
        <v>42521</v>
      </c>
      <c r="M352" s="116">
        <v>70.626986649713899</v>
      </c>
      <c r="N352" s="116">
        <v>73.050699300699307</v>
      </c>
      <c r="O352" s="116">
        <v>69.705975842339498</v>
      </c>
      <c r="P352" s="116">
        <v>73.050699300699307</v>
      </c>
      <c r="Q352" s="116">
        <v>72.849999999999994</v>
      </c>
      <c r="R352">
        <v>3439525</v>
      </c>
    </row>
    <row r="353" spans="1:18" x14ac:dyDescent="0.25">
      <c r="A353" s="170">
        <v>42522</v>
      </c>
      <c r="B353" s="116">
        <v>74.892603317922905</v>
      </c>
      <c r="C353" s="116">
        <v>72.953636241730706</v>
      </c>
      <c r="D353" s="116">
        <v>70.432979042680898</v>
      </c>
      <c r="E353" s="116">
        <v>71.257040050062599</v>
      </c>
      <c r="F353" s="116">
        <v>75.25</v>
      </c>
      <c r="G353">
        <v>817861</v>
      </c>
      <c r="H353" s="116"/>
      <c r="I353" s="116"/>
      <c r="L353" s="170">
        <v>42522</v>
      </c>
      <c r="M353" s="116">
        <v>72.8568022886205</v>
      </c>
      <c r="N353" s="116">
        <v>74.9411951684679</v>
      </c>
      <c r="O353" s="116">
        <v>70.384615384615401</v>
      </c>
      <c r="P353" s="116">
        <v>70.772409408773001</v>
      </c>
      <c r="Q353" s="116">
        <v>75.150000000000006</v>
      </c>
      <c r="R353">
        <v>4915953</v>
      </c>
    </row>
    <row r="354" spans="1:18" x14ac:dyDescent="0.25">
      <c r="A354" s="170">
        <v>42523</v>
      </c>
      <c r="B354" s="116">
        <v>74.117016487446094</v>
      </c>
      <c r="C354" s="116">
        <v>73.196007126254798</v>
      </c>
      <c r="D354" s="116">
        <v>72.032626880539496</v>
      </c>
      <c r="E354" s="116">
        <v>73.680748895302798</v>
      </c>
      <c r="F354" s="116">
        <v>75.5</v>
      </c>
      <c r="G354">
        <v>555705</v>
      </c>
      <c r="H354" s="116"/>
      <c r="I354" s="116"/>
      <c r="L354" s="170">
        <v>42523</v>
      </c>
      <c r="M354" s="116">
        <v>73.2445963127781</v>
      </c>
      <c r="N354" s="116">
        <v>74.068658614113204</v>
      </c>
      <c r="O354" s="116">
        <v>71.935791481246</v>
      </c>
      <c r="P354" s="116">
        <v>73.777813095994901</v>
      </c>
      <c r="Q354" s="116">
        <v>75.55</v>
      </c>
      <c r="R354">
        <v>2937023</v>
      </c>
    </row>
    <row r="355" spans="1:18" x14ac:dyDescent="0.25">
      <c r="A355" s="170">
        <v>42524</v>
      </c>
      <c r="B355" s="116">
        <v>74.359387371970101</v>
      </c>
      <c r="C355" s="116">
        <v>69.8028147429184</v>
      </c>
      <c r="D355" s="116">
        <v>69.3180729738704</v>
      </c>
      <c r="E355" s="116">
        <v>74.359387371970101</v>
      </c>
      <c r="F355" s="116">
        <v>72</v>
      </c>
      <c r="G355">
        <v>635189</v>
      </c>
      <c r="H355" s="116"/>
      <c r="I355" s="116"/>
      <c r="L355" s="170">
        <v>42524</v>
      </c>
      <c r="M355" s="116">
        <v>69.8513986013986</v>
      </c>
      <c r="N355" s="116">
        <v>74.359504132231393</v>
      </c>
      <c r="O355" s="116">
        <v>69.269707565162093</v>
      </c>
      <c r="P355" s="116">
        <v>73.680864589955505</v>
      </c>
      <c r="Q355" s="116">
        <v>72.05</v>
      </c>
      <c r="R355">
        <v>2971945</v>
      </c>
    </row>
    <row r="356" spans="1:18" x14ac:dyDescent="0.25">
      <c r="A356" s="170">
        <v>42527</v>
      </c>
      <c r="B356" s="116">
        <v>70.578401573395297</v>
      </c>
      <c r="C356" s="116">
        <v>69.899763096728094</v>
      </c>
      <c r="D356" s="116">
        <v>68.106218551250294</v>
      </c>
      <c r="E356" s="116">
        <v>69.8028147429184</v>
      </c>
      <c r="F356" s="116">
        <v>72.099999999999994</v>
      </c>
      <c r="G356">
        <v>538293</v>
      </c>
      <c r="H356" s="116"/>
      <c r="I356" s="116"/>
      <c r="L356" s="170">
        <v>42527</v>
      </c>
      <c r="M356" s="116">
        <v>70.093769866497098</v>
      </c>
      <c r="N356" s="116">
        <v>70.675460902733604</v>
      </c>
      <c r="O356" s="116">
        <v>67.960902733629993</v>
      </c>
      <c r="P356" s="116">
        <v>69.8513986013986</v>
      </c>
      <c r="Q356" s="116">
        <v>72.3</v>
      </c>
      <c r="R356">
        <v>2752786</v>
      </c>
    </row>
    <row r="357" spans="1:18" x14ac:dyDescent="0.25">
      <c r="A357" s="170">
        <v>42528</v>
      </c>
      <c r="B357" s="116">
        <v>71.111617519348201</v>
      </c>
      <c r="C357" s="116">
        <v>70.626875750300101</v>
      </c>
      <c r="D357" s="116">
        <v>69.608918035299197</v>
      </c>
      <c r="E357" s="116">
        <v>70.190608158156905</v>
      </c>
      <c r="F357" s="116">
        <v>72.849999999999994</v>
      </c>
      <c r="G357">
        <v>437611</v>
      </c>
      <c r="H357" s="116"/>
      <c r="I357" s="116"/>
      <c r="L357" s="170">
        <v>42528</v>
      </c>
      <c r="M357" s="116">
        <v>70.578512396694194</v>
      </c>
      <c r="N357" s="116">
        <v>71.1602034329307</v>
      </c>
      <c r="O357" s="116">
        <v>69.609027336300102</v>
      </c>
      <c r="P357" s="116">
        <v>70.675460902733604</v>
      </c>
      <c r="Q357" s="116">
        <v>72.8</v>
      </c>
      <c r="R357">
        <v>2287292</v>
      </c>
    </row>
    <row r="358" spans="1:18" x14ac:dyDescent="0.25">
      <c r="A358" s="170">
        <v>42529</v>
      </c>
      <c r="B358" s="116">
        <v>73.196007126254798</v>
      </c>
      <c r="C358" s="116">
        <v>72.614317003397105</v>
      </c>
      <c r="D358" s="116">
        <v>70.578401573395297</v>
      </c>
      <c r="E358" s="116">
        <v>70.675349927204905</v>
      </c>
      <c r="F358" s="116">
        <v>74.900000000000006</v>
      </c>
      <c r="G358">
        <v>540951</v>
      </c>
      <c r="H358" s="116"/>
      <c r="I358" s="116"/>
      <c r="L358" s="170">
        <v>42529</v>
      </c>
      <c r="M358" s="116">
        <v>72.614431023521902</v>
      </c>
      <c r="N358" s="116">
        <v>73.196122059758395</v>
      </c>
      <c r="O358" s="116">
        <v>70.481563890654797</v>
      </c>
      <c r="P358" s="116">
        <v>70.772409408773001</v>
      </c>
      <c r="Q358" s="116">
        <v>74.900000000000006</v>
      </c>
      <c r="R358">
        <v>2711964</v>
      </c>
    </row>
    <row r="359" spans="1:18" x14ac:dyDescent="0.25">
      <c r="A359" s="170">
        <v>42530</v>
      </c>
      <c r="B359" s="116">
        <v>73.438378010778806</v>
      </c>
      <c r="C359" s="116">
        <v>72.226523588158699</v>
      </c>
      <c r="D359" s="116">
        <v>71.596359288396201</v>
      </c>
      <c r="E359" s="116">
        <v>72.614317003397105</v>
      </c>
      <c r="F359" s="116">
        <v>74.5</v>
      </c>
      <c r="G359">
        <v>490870</v>
      </c>
      <c r="H359" s="116"/>
      <c r="I359" s="116"/>
      <c r="L359" s="170">
        <v>42530</v>
      </c>
      <c r="M359" s="116">
        <v>72.420534011443095</v>
      </c>
      <c r="N359" s="116">
        <v>73.438493324857006</v>
      </c>
      <c r="O359" s="116">
        <v>71.596471710108105</v>
      </c>
      <c r="P359" s="116">
        <v>72.808328035600795</v>
      </c>
      <c r="Q359" s="116">
        <v>74.7</v>
      </c>
      <c r="R359">
        <v>2072485</v>
      </c>
    </row>
    <row r="360" spans="1:18" x14ac:dyDescent="0.25">
      <c r="A360" s="170">
        <v>42531</v>
      </c>
      <c r="B360" s="116">
        <v>73.5353263645884</v>
      </c>
      <c r="C360" s="116">
        <v>72.323471941968293</v>
      </c>
      <c r="D360" s="116">
        <v>71.644833465301005</v>
      </c>
      <c r="E360" s="116">
        <v>73.196007126254798</v>
      </c>
      <c r="F360" s="116">
        <v>74.599999999999994</v>
      </c>
      <c r="G360">
        <v>325971</v>
      </c>
      <c r="H360" s="116"/>
      <c r="I360" s="116"/>
      <c r="L360" s="170">
        <v>42531</v>
      </c>
      <c r="M360" s="116">
        <v>72.372059758423404</v>
      </c>
      <c r="N360" s="116">
        <v>73.583916083916094</v>
      </c>
      <c r="O360" s="116">
        <v>71.644945963127796</v>
      </c>
      <c r="P360" s="116">
        <v>72.275111252383994</v>
      </c>
      <c r="Q360" s="116">
        <v>74.650000000000006</v>
      </c>
      <c r="R360">
        <v>1524505</v>
      </c>
    </row>
    <row r="361" spans="1:18" x14ac:dyDescent="0.25">
      <c r="A361" s="170">
        <v>42534</v>
      </c>
      <c r="B361" s="116">
        <v>72.468894472682706</v>
      </c>
      <c r="C361" s="116">
        <v>70.578401573395297</v>
      </c>
      <c r="D361" s="116">
        <v>69.851288919823205</v>
      </c>
      <c r="E361" s="116">
        <v>72.468894472682706</v>
      </c>
      <c r="F361" s="116">
        <v>72.8</v>
      </c>
      <c r="G361">
        <v>273271</v>
      </c>
      <c r="H361" s="116"/>
      <c r="I361" s="116"/>
      <c r="L361" s="170">
        <v>42534</v>
      </c>
      <c r="M361" s="116">
        <v>70.578512396694194</v>
      </c>
      <c r="N361" s="116">
        <v>72.081214240305101</v>
      </c>
      <c r="O361" s="116">
        <v>69.8513986013986</v>
      </c>
      <c r="P361" s="116">
        <v>70.966306420851893</v>
      </c>
      <c r="Q361" s="116">
        <v>72.8</v>
      </c>
      <c r="R361">
        <v>2433703</v>
      </c>
    </row>
    <row r="362" spans="1:18" x14ac:dyDescent="0.25">
      <c r="A362" s="170">
        <v>42535</v>
      </c>
      <c r="B362" s="116">
        <v>77.364786340067894</v>
      </c>
      <c r="C362" s="116">
        <v>76.492251155781503</v>
      </c>
      <c r="D362" s="116">
        <v>70.626875750300101</v>
      </c>
      <c r="E362" s="116">
        <v>70.966194988633802</v>
      </c>
      <c r="F362" s="116">
        <v>78.900000000000006</v>
      </c>
      <c r="G362">
        <v>794652</v>
      </c>
      <c r="H362" s="116"/>
      <c r="I362" s="116"/>
      <c r="L362" s="170">
        <v>42535</v>
      </c>
      <c r="M362" s="116">
        <v>76.443897012078807</v>
      </c>
      <c r="N362" s="116">
        <v>77.316433566433602</v>
      </c>
      <c r="O362" s="116">
        <v>70.578512396694194</v>
      </c>
      <c r="P362" s="116">
        <v>71.063254926891304</v>
      </c>
      <c r="Q362" s="116">
        <v>78.849999999999994</v>
      </c>
      <c r="R362">
        <v>6482466</v>
      </c>
    </row>
    <row r="363" spans="1:18" x14ac:dyDescent="0.25">
      <c r="A363" s="170">
        <v>42536</v>
      </c>
      <c r="B363" s="116">
        <v>77.898002286020798</v>
      </c>
      <c r="C363" s="116">
        <v>77.510208870782407</v>
      </c>
      <c r="D363" s="116">
        <v>75.716664325304606</v>
      </c>
      <c r="E363" s="116">
        <v>76.589199509591097</v>
      </c>
      <c r="F363" s="116">
        <v>79.95</v>
      </c>
      <c r="G363">
        <v>575964</v>
      </c>
      <c r="H363" s="116"/>
      <c r="I363" s="116"/>
      <c r="L363" s="170">
        <v>42536</v>
      </c>
      <c r="M363" s="116">
        <v>77.461856325492704</v>
      </c>
      <c r="N363" s="116">
        <v>77.9465988556898</v>
      </c>
      <c r="O363" s="116">
        <v>75.716783216783199</v>
      </c>
      <c r="P363" s="116">
        <v>76.686268277177405</v>
      </c>
      <c r="Q363" s="116">
        <v>79.900000000000006</v>
      </c>
      <c r="R363">
        <v>4587238</v>
      </c>
    </row>
    <row r="364" spans="1:18" x14ac:dyDescent="0.25">
      <c r="A364" s="170">
        <v>42537</v>
      </c>
      <c r="B364" s="116">
        <v>77.316312163163104</v>
      </c>
      <c r="C364" s="116">
        <v>76.2983544481622</v>
      </c>
      <c r="D364" s="116">
        <v>74.456335725779695</v>
      </c>
      <c r="E364" s="116">
        <v>76.2983544481622</v>
      </c>
      <c r="F364" s="116">
        <v>78.7</v>
      </c>
      <c r="G364">
        <v>422351</v>
      </c>
      <c r="H364" s="116"/>
      <c r="I364" s="116"/>
      <c r="L364" s="170">
        <v>42537</v>
      </c>
      <c r="M364" s="116">
        <v>76.298474253019705</v>
      </c>
      <c r="N364" s="116">
        <v>77.364907819453293</v>
      </c>
      <c r="O364" s="116">
        <v>74.456452638270804</v>
      </c>
      <c r="P364" s="116">
        <v>76.589319771137994</v>
      </c>
      <c r="Q364" s="116">
        <v>78.7</v>
      </c>
      <c r="R364">
        <v>2661273</v>
      </c>
    </row>
    <row r="365" spans="1:18" x14ac:dyDescent="0.25">
      <c r="A365" s="170">
        <v>42538</v>
      </c>
      <c r="B365" s="116">
        <v>78.673589116497695</v>
      </c>
      <c r="C365" s="116">
        <v>76.395302801971894</v>
      </c>
      <c r="D365" s="116">
        <v>75.8136126791142</v>
      </c>
      <c r="E365" s="116">
        <v>77.461734693877602</v>
      </c>
      <c r="F365" s="116">
        <v>78.8</v>
      </c>
      <c r="G365">
        <v>391388</v>
      </c>
      <c r="H365" s="116"/>
      <c r="I365" s="116"/>
      <c r="L365" s="170">
        <v>42538</v>
      </c>
      <c r="M365" s="116">
        <v>76.395422759059102</v>
      </c>
      <c r="N365" s="116">
        <v>78.722186904005099</v>
      </c>
      <c r="O365" s="116">
        <v>76.007628734901502</v>
      </c>
      <c r="P365" s="116">
        <v>76.880165289256198</v>
      </c>
      <c r="Q365" s="116">
        <v>78.8</v>
      </c>
      <c r="R365">
        <v>3015068</v>
      </c>
    </row>
    <row r="366" spans="1:18" x14ac:dyDescent="0.25">
      <c r="A366" s="170">
        <v>42541</v>
      </c>
      <c r="B366" s="116">
        <v>78.528166585783296</v>
      </c>
      <c r="C366" s="116">
        <v>77.461734693877602</v>
      </c>
      <c r="D366" s="116">
        <v>74.844129141018101</v>
      </c>
      <c r="E366" s="116">
        <v>75.571241794590193</v>
      </c>
      <c r="F366" s="116">
        <v>79.900000000000006</v>
      </c>
      <c r="G366">
        <v>313320</v>
      </c>
      <c r="H366" s="116"/>
      <c r="I366" s="116"/>
      <c r="L366" s="170">
        <v>42541</v>
      </c>
      <c r="M366" s="116">
        <v>77.316433566433602</v>
      </c>
      <c r="N366" s="116">
        <v>78.3343928798474</v>
      </c>
      <c r="O366" s="116">
        <v>75.038143674507296</v>
      </c>
      <c r="P366" s="116">
        <v>75.619834710743802</v>
      </c>
      <c r="Q366" s="116">
        <v>79.75</v>
      </c>
      <c r="R366">
        <v>1971264</v>
      </c>
    </row>
    <row r="367" spans="1:18" x14ac:dyDescent="0.25">
      <c r="A367" s="170">
        <v>42542</v>
      </c>
      <c r="B367" s="116">
        <v>78.431218231973602</v>
      </c>
      <c r="C367" s="116">
        <v>76.201406094352606</v>
      </c>
      <c r="D367" s="116">
        <v>75.765138502209396</v>
      </c>
      <c r="E367" s="116">
        <v>78.431218231973602</v>
      </c>
      <c r="F367" s="116">
        <v>78.599999999999994</v>
      </c>
      <c r="G367">
        <v>246270</v>
      </c>
      <c r="H367" s="116"/>
      <c r="I367" s="116"/>
      <c r="L367" s="170">
        <v>42542</v>
      </c>
      <c r="M367" s="116">
        <v>76.25</v>
      </c>
      <c r="N367" s="116">
        <v>78.237444373808003</v>
      </c>
      <c r="O367" s="116">
        <v>75.716783216783199</v>
      </c>
      <c r="P367" s="116">
        <v>77.510330578512395</v>
      </c>
      <c r="Q367" s="116">
        <v>78.650000000000006</v>
      </c>
      <c r="R367">
        <v>1732849</v>
      </c>
    </row>
    <row r="368" spans="1:18" x14ac:dyDescent="0.25">
      <c r="A368" s="170">
        <v>42543</v>
      </c>
      <c r="B368" s="116">
        <v>77.413260516972699</v>
      </c>
      <c r="C368" s="116">
        <v>75.3288709100662</v>
      </c>
      <c r="D368" s="116">
        <v>74.650232433398898</v>
      </c>
      <c r="E368" s="116">
        <v>77.413260516972699</v>
      </c>
      <c r="F368" s="116">
        <v>77.7</v>
      </c>
      <c r="G368">
        <v>258694</v>
      </c>
      <c r="H368" s="116"/>
      <c r="I368" s="116"/>
      <c r="L368" s="170">
        <v>42543</v>
      </c>
      <c r="M368" s="116">
        <v>75.280514939605894</v>
      </c>
      <c r="N368" s="116">
        <v>77.171010807374401</v>
      </c>
      <c r="O368" s="116">
        <v>74.5534011443102</v>
      </c>
      <c r="P368" s="116">
        <v>76.880165289256198</v>
      </c>
      <c r="Q368" s="116">
        <v>77.650000000000006</v>
      </c>
      <c r="R368">
        <v>2237406</v>
      </c>
    </row>
    <row r="369" spans="1:18" x14ac:dyDescent="0.25">
      <c r="A369" s="170">
        <v>42544</v>
      </c>
      <c r="B369" s="116">
        <v>76.880044571019894</v>
      </c>
      <c r="C369" s="116">
        <v>76.443776978876699</v>
      </c>
      <c r="D369" s="116">
        <v>74.068542310541204</v>
      </c>
      <c r="E369" s="116">
        <v>75.765138502209396</v>
      </c>
      <c r="F369" s="116">
        <v>78.849999999999994</v>
      </c>
      <c r="G369">
        <v>392173</v>
      </c>
      <c r="H369" s="116"/>
      <c r="I369" s="116"/>
      <c r="L369" s="170">
        <v>42544</v>
      </c>
      <c r="M369" s="116">
        <v>76.395422759059102</v>
      </c>
      <c r="N369" s="116">
        <v>76.880165289256198</v>
      </c>
      <c r="O369" s="116">
        <v>73.923235855054003</v>
      </c>
      <c r="P369" s="116">
        <v>75.571360457724097</v>
      </c>
      <c r="Q369" s="116">
        <v>78.8</v>
      </c>
      <c r="R369">
        <v>3017234</v>
      </c>
    </row>
    <row r="370" spans="1:18" x14ac:dyDescent="0.25">
      <c r="A370" s="170">
        <v>42545</v>
      </c>
      <c r="B370" s="116">
        <v>73.777697249112407</v>
      </c>
      <c r="C370" s="116">
        <v>71.935678526729802</v>
      </c>
      <c r="D370" s="116">
        <v>70.045185627442507</v>
      </c>
      <c r="E370" s="116">
        <v>73.777697249112407</v>
      </c>
      <c r="F370" s="116">
        <v>74.2</v>
      </c>
      <c r="G370">
        <v>707699</v>
      </c>
      <c r="H370" s="116"/>
      <c r="I370" s="116"/>
      <c r="L370" s="170">
        <v>42545</v>
      </c>
      <c r="M370" s="116">
        <v>71.935791481246</v>
      </c>
      <c r="N370" s="116">
        <v>73.535441830896403</v>
      </c>
      <c r="O370" s="116">
        <v>70.093769866497098</v>
      </c>
      <c r="P370" s="116">
        <v>72.711379529561299</v>
      </c>
      <c r="Q370" s="116">
        <v>74.2</v>
      </c>
      <c r="R370">
        <v>3060943</v>
      </c>
    </row>
    <row r="371" spans="1:18" x14ac:dyDescent="0.25">
      <c r="A371" s="170">
        <v>42548</v>
      </c>
      <c r="B371" s="116">
        <v>73.632274718397994</v>
      </c>
      <c r="C371" s="116">
        <v>73.147532949349994</v>
      </c>
      <c r="D371" s="116">
        <v>71.741781819110599</v>
      </c>
      <c r="E371" s="116">
        <v>71.741781819110599</v>
      </c>
      <c r="F371" s="116">
        <v>75.45</v>
      </c>
      <c r="G371">
        <v>443922</v>
      </c>
      <c r="H371" s="116"/>
      <c r="I371" s="116"/>
      <c r="L371" s="170">
        <v>42548</v>
      </c>
      <c r="M371" s="116">
        <v>73.2445963127781</v>
      </c>
      <c r="N371" s="116">
        <v>73.777813095994901</v>
      </c>
      <c r="O371" s="116">
        <v>70.869357914812497</v>
      </c>
      <c r="P371" s="116">
        <v>72.323585505403699</v>
      </c>
      <c r="Q371" s="116">
        <v>75.55</v>
      </c>
      <c r="R371">
        <v>1815421</v>
      </c>
    </row>
    <row r="372" spans="1:18" x14ac:dyDescent="0.25">
      <c r="A372" s="170">
        <v>42549</v>
      </c>
      <c r="B372" s="116">
        <v>79.982391892927396</v>
      </c>
      <c r="C372" s="116">
        <v>78.915960001021702</v>
      </c>
      <c r="D372" s="116">
        <v>72.856687887921098</v>
      </c>
      <c r="E372" s="116">
        <v>72.856687887921098</v>
      </c>
      <c r="F372" s="116">
        <v>81.400000000000006</v>
      </c>
      <c r="G372">
        <v>1615806</v>
      </c>
      <c r="H372" s="116"/>
      <c r="I372" s="116"/>
      <c r="L372" s="170">
        <v>42549</v>
      </c>
      <c r="M372" s="116">
        <v>78.964558169103597</v>
      </c>
      <c r="N372" s="116">
        <v>79.982517482517494</v>
      </c>
      <c r="O372" s="116">
        <v>73.099173553718998</v>
      </c>
      <c r="P372" s="116">
        <v>73.390019071837202</v>
      </c>
      <c r="Q372" s="116">
        <v>81.45</v>
      </c>
      <c r="R372">
        <v>8161501</v>
      </c>
    </row>
    <row r="373" spans="1:18" x14ac:dyDescent="0.25">
      <c r="A373" s="170">
        <v>42550</v>
      </c>
      <c r="B373" s="116">
        <v>81.145772138642698</v>
      </c>
      <c r="C373" s="116">
        <v>80.709504546499403</v>
      </c>
      <c r="D373" s="116">
        <v>78.382744055068798</v>
      </c>
      <c r="E373" s="116">
        <v>79.885443539117801</v>
      </c>
      <c r="F373" s="116">
        <v>83.25</v>
      </c>
      <c r="G373">
        <v>738461</v>
      </c>
      <c r="H373" s="116"/>
      <c r="I373" s="116"/>
      <c r="L373" s="170">
        <v>42550</v>
      </c>
      <c r="M373" s="116">
        <v>80.758105530832793</v>
      </c>
      <c r="N373" s="116">
        <v>81.291322314049594</v>
      </c>
      <c r="O373" s="116">
        <v>78.3343928798474</v>
      </c>
      <c r="P373" s="116">
        <v>79.740146217418896</v>
      </c>
      <c r="Q373" s="116">
        <v>83.3</v>
      </c>
      <c r="R373">
        <v>4748070</v>
      </c>
    </row>
    <row r="374" spans="1:18" x14ac:dyDescent="0.25">
      <c r="A374" s="170">
        <v>42551</v>
      </c>
      <c r="B374" s="116">
        <v>84.490490345074207</v>
      </c>
      <c r="C374" s="116">
        <v>83.908800222216499</v>
      </c>
      <c r="D374" s="116">
        <v>80.661030369594698</v>
      </c>
      <c r="E374" s="116">
        <v>80.951875431023495</v>
      </c>
      <c r="F374" s="116">
        <v>86.55</v>
      </c>
      <c r="G374">
        <v>695845</v>
      </c>
      <c r="H374" s="116"/>
      <c r="I374" s="116"/>
      <c r="L374" s="170">
        <v>42551</v>
      </c>
      <c r="M374" s="116">
        <v>84.102828989192602</v>
      </c>
      <c r="N374" s="116">
        <v>85.072314049586794</v>
      </c>
      <c r="O374" s="116">
        <v>80.709631277813102</v>
      </c>
      <c r="P374" s="116">
        <v>81.048951048950997</v>
      </c>
      <c r="Q374" s="116">
        <v>86.75</v>
      </c>
      <c r="R374">
        <v>5183906</v>
      </c>
    </row>
    <row r="375" spans="1:18" x14ac:dyDescent="0.25">
      <c r="A375" s="170">
        <v>42552</v>
      </c>
      <c r="B375" s="116">
        <v>84.490490345074207</v>
      </c>
      <c r="C375" s="116">
        <v>82.260678207453196</v>
      </c>
      <c r="D375" s="116">
        <v>81.630513907690698</v>
      </c>
      <c r="E375" s="116">
        <v>84.442016168169403</v>
      </c>
      <c r="F375" s="116">
        <v>84.85</v>
      </c>
      <c r="G375">
        <v>393759</v>
      </c>
      <c r="H375" s="116"/>
      <c r="I375" s="116"/>
      <c r="L375" s="170">
        <v>42552</v>
      </c>
      <c r="M375" s="116">
        <v>82.066910362364894</v>
      </c>
      <c r="N375" s="116">
        <v>84.587571519389698</v>
      </c>
      <c r="O375" s="116">
        <v>81.824539097266396</v>
      </c>
      <c r="P375" s="116">
        <v>84.393674507310905</v>
      </c>
      <c r="Q375" s="116">
        <v>84.65</v>
      </c>
      <c r="R375">
        <v>2684704</v>
      </c>
    </row>
    <row r="376" spans="1:18" x14ac:dyDescent="0.25">
      <c r="A376" s="170">
        <v>42555</v>
      </c>
      <c r="B376" s="116">
        <v>84.054222752930997</v>
      </c>
      <c r="C376" s="116">
        <v>83.424058453168499</v>
      </c>
      <c r="D376" s="116">
        <v>82.260678207453196</v>
      </c>
      <c r="E376" s="116">
        <v>82.406100738167595</v>
      </c>
      <c r="F376" s="116">
        <v>86.05</v>
      </c>
      <c r="G376">
        <v>251943</v>
      </c>
      <c r="H376" s="116"/>
      <c r="I376" s="116"/>
      <c r="L376" s="170">
        <v>42555</v>
      </c>
      <c r="M376" s="116">
        <v>83.375715193896994</v>
      </c>
      <c r="N376" s="116">
        <v>84.199777495231999</v>
      </c>
      <c r="O376" s="116">
        <v>82.163858868404304</v>
      </c>
      <c r="P376" s="116">
        <v>82.406230133502902</v>
      </c>
      <c r="Q376" s="116">
        <v>86</v>
      </c>
      <c r="R376">
        <v>2391858</v>
      </c>
    </row>
    <row r="377" spans="1:18" x14ac:dyDescent="0.25">
      <c r="A377" s="170">
        <v>42556</v>
      </c>
      <c r="B377" s="116">
        <v>83.714903514597296</v>
      </c>
      <c r="C377" s="116">
        <v>82.018307322929203</v>
      </c>
      <c r="D377" s="116">
        <v>81.727462261500307</v>
      </c>
      <c r="E377" s="116">
        <v>82.842368330310805</v>
      </c>
      <c r="F377" s="116">
        <v>84.6</v>
      </c>
      <c r="G377">
        <v>355729</v>
      </c>
      <c r="H377" s="116"/>
      <c r="I377" s="116"/>
      <c r="L377" s="170">
        <v>42556</v>
      </c>
      <c r="M377" s="116">
        <v>82.018436109345203</v>
      </c>
      <c r="N377" s="116">
        <v>83.811983471074399</v>
      </c>
      <c r="O377" s="116">
        <v>81.582167832167798</v>
      </c>
      <c r="P377" s="116">
        <v>82.987921169739295</v>
      </c>
      <c r="Q377" s="116">
        <v>84.6</v>
      </c>
      <c r="R377">
        <v>2659582</v>
      </c>
    </row>
    <row r="378" spans="1:18" x14ac:dyDescent="0.25">
      <c r="A378" s="170">
        <v>42558</v>
      </c>
      <c r="B378" s="116">
        <v>82.503049091977203</v>
      </c>
      <c r="C378" s="116">
        <v>81.145772138642698</v>
      </c>
      <c r="D378" s="116">
        <v>80.806452900309097</v>
      </c>
      <c r="E378" s="116">
        <v>82.018307322929203</v>
      </c>
      <c r="F378" s="116">
        <v>83.7</v>
      </c>
      <c r="G378">
        <v>201133</v>
      </c>
      <c r="H378" s="116"/>
      <c r="I378" s="116"/>
      <c r="L378" s="170">
        <v>42558</v>
      </c>
      <c r="M378" s="116">
        <v>81.097425301970802</v>
      </c>
      <c r="N378" s="116">
        <v>82.794024157660502</v>
      </c>
      <c r="O378" s="116">
        <v>80.855054036872204</v>
      </c>
      <c r="P378" s="116">
        <v>81.969961856325497</v>
      </c>
      <c r="Q378" s="116">
        <v>83.65</v>
      </c>
      <c r="R378">
        <v>1863199</v>
      </c>
    </row>
    <row r="379" spans="1:18" x14ac:dyDescent="0.25">
      <c r="A379" s="170">
        <v>42559</v>
      </c>
      <c r="B379" s="116">
        <v>81.242720492452307</v>
      </c>
      <c r="C379" s="116">
        <v>79.352227593164898</v>
      </c>
      <c r="D379" s="116">
        <v>78.140373170544805</v>
      </c>
      <c r="E379" s="116">
        <v>81.242720492452307</v>
      </c>
      <c r="F379" s="116">
        <v>81.849999999999994</v>
      </c>
      <c r="G379">
        <v>236606</v>
      </c>
      <c r="H379" s="116"/>
      <c r="I379" s="116"/>
      <c r="L379" s="170">
        <v>42559</v>
      </c>
      <c r="M379" s="116">
        <v>79.449300699300693</v>
      </c>
      <c r="N379" s="116">
        <v>81.436745073108696</v>
      </c>
      <c r="O379" s="116">
        <v>78.188970120788298</v>
      </c>
      <c r="P379" s="116">
        <v>81.145899554990507</v>
      </c>
      <c r="Q379" s="116">
        <v>81.95</v>
      </c>
      <c r="R379">
        <v>2366287</v>
      </c>
    </row>
    <row r="380" spans="1:18" x14ac:dyDescent="0.25">
      <c r="A380" s="170">
        <v>42562</v>
      </c>
      <c r="B380" s="116">
        <v>81.678988084595503</v>
      </c>
      <c r="C380" s="116">
        <v>81.242720492452307</v>
      </c>
      <c r="D380" s="116">
        <v>79.691546831498599</v>
      </c>
      <c r="E380" s="116">
        <v>80.321711131260997</v>
      </c>
      <c r="F380" s="116">
        <v>83.8</v>
      </c>
      <c r="G380">
        <v>268904</v>
      </c>
      <c r="H380" s="116"/>
      <c r="I380" s="116"/>
      <c r="L380" s="170">
        <v>42562</v>
      </c>
      <c r="M380" s="116">
        <v>81.145899554990507</v>
      </c>
      <c r="N380" s="116">
        <v>81.7275905912269</v>
      </c>
      <c r="O380" s="116">
        <v>79.594723458359795</v>
      </c>
      <c r="P380" s="116">
        <v>80.467260012714505</v>
      </c>
      <c r="Q380" s="116">
        <v>83.7</v>
      </c>
      <c r="R380">
        <v>2440603</v>
      </c>
    </row>
    <row r="381" spans="1:18" x14ac:dyDescent="0.25">
      <c r="A381" s="170">
        <v>42563</v>
      </c>
      <c r="B381" s="116">
        <v>82.406100738167595</v>
      </c>
      <c r="C381" s="116">
        <v>81.339668846261901</v>
      </c>
      <c r="D381" s="116">
        <v>80.5156078388802</v>
      </c>
      <c r="E381" s="116">
        <v>82.406100738167595</v>
      </c>
      <c r="F381" s="116">
        <v>83.9</v>
      </c>
      <c r="G381">
        <v>304896</v>
      </c>
      <c r="H381" s="116"/>
      <c r="I381" s="116"/>
      <c r="L381" s="170">
        <v>42563</v>
      </c>
      <c r="M381" s="116">
        <v>81.388270820089005</v>
      </c>
      <c r="N381" s="116">
        <v>82.260807374443701</v>
      </c>
      <c r="O381" s="116">
        <v>80.612682771773706</v>
      </c>
      <c r="P381" s="116">
        <v>81.7275905912269</v>
      </c>
      <c r="Q381" s="116">
        <v>83.95</v>
      </c>
      <c r="R381">
        <v>2688265</v>
      </c>
    </row>
    <row r="382" spans="1:18" x14ac:dyDescent="0.25">
      <c r="A382" s="170">
        <v>42564</v>
      </c>
      <c r="B382" s="116">
        <v>82.696945799596406</v>
      </c>
      <c r="C382" s="116">
        <v>79.691546831498599</v>
      </c>
      <c r="D382" s="116">
        <v>79.206805062450499</v>
      </c>
      <c r="E382" s="116">
        <v>80.5156078388802</v>
      </c>
      <c r="F382" s="116">
        <v>82.2</v>
      </c>
      <c r="G382">
        <v>448500</v>
      </c>
      <c r="H382" s="116"/>
      <c r="I382" s="116"/>
      <c r="L382" s="170">
        <v>42564</v>
      </c>
      <c r="M382" s="116">
        <v>79.837094723458407</v>
      </c>
      <c r="N382" s="116">
        <v>82.842498410680193</v>
      </c>
      <c r="O382" s="116">
        <v>79.109980928162699</v>
      </c>
      <c r="P382" s="116">
        <v>81.824539097266396</v>
      </c>
      <c r="Q382" s="116">
        <v>82.35</v>
      </c>
      <c r="R382">
        <v>2920752</v>
      </c>
    </row>
    <row r="383" spans="1:18" x14ac:dyDescent="0.25">
      <c r="A383" s="170">
        <v>42565</v>
      </c>
      <c r="B383" s="116">
        <v>80.709504546499403</v>
      </c>
      <c r="C383" s="116">
        <v>79.546124300784101</v>
      </c>
      <c r="D383" s="116">
        <v>79.303753416260093</v>
      </c>
      <c r="E383" s="116">
        <v>79.788495185308193</v>
      </c>
      <c r="F383" s="116">
        <v>82.05</v>
      </c>
      <c r="G383">
        <v>221025</v>
      </c>
      <c r="H383" s="116"/>
      <c r="I383" s="116"/>
      <c r="L383" s="170">
        <v>42565</v>
      </c>
      <c r="M383" s="116">
        <v>79.449300699300693</v>
      </c>
      <c r="N383" s="116">
        <v>80.661157024793397</v>
      </c>
      <c r="O383" s="116">
        <v>79.158455181182404</v>
      </c>
      <c r="P383" s="116">
        <v>79.885568976478098</v>
      </c>
      <c r="Q383" s="116">
        <v>81.95</v>
      </c>
      <c r="R383">
        <v>1834659</v>
      </c>
    </row>
    <row r="384" spans="1:18" x14ac:dyDescent="0.25">
      <c r="A384" s="170">
        <v>42566</v>
      </c>
      <c r="B384" s="116">
        <v>80.951875431023495</v>
      </c>
      <c r="C384" s="116">
        <v>78.382744055068798</v>
      </c>
      <c r="D384" s="116">
        <v>77.607157224592001</v>
      </c>
      <c r="E384" s="116">
        <v>79.691546831498599</v>
      </c>
      <c r="F384" s="116">
        <v>80.849999999999994</v>
      </c>
      <c r="G384">
        <v>507125</v>
      </c>
      <c r="H384" s="116"/>
      <c r="I384" s="116"/>
      <c r="L384" s="170">
        <v>42566</v>
      </c>
      <c r="M384" s="116">
        <v>78.431341385886796</v>
      </c>
      <c r="N384" s="116">
        <v>81.097425301970802</v>
      </c>
      <c r="O384" s="116">
        <v>77.5588048315321</v>
      </c>
      <c r="P384" s="116">
        <v>79.837094723458407</v>
      </c>
      <c r="Q384" s="116">
        <v>80.900000000000006</v>
      </c>
      <c r="R384">
        <v>2409598</v>
      </c>
    </row>
    <row r="385" spans="1:18" x14ac:dyDescent="0.25">
      <c r="A385" s="170">
        <v>42569</v>
      </c>
      <c r="B385" s="116">
        <v>81.4850913769763</v>
      </c>
      <c r="C385" s="116">
        <v>78.479692408878407</v>
      </c>
      <c r="D385" s="116">
        <v>77.558683047687197</v>
      </c>
      <c r="E385" s="116">
        <v>78.5766407626881</v>
      </c>
      <c r="F385" s="116">
        <v>80.95</v>
      </c>
      <c r="G385">
        <v>624627</v>
      </c>
      <c r="H385" s="116"/>
      <c r="I385" s="116"/>
      <c r="L385" s="170">
        <v>42569</v>
      </c>
      <c r="M385" s="116">
        <v>78.625238397965703</v>
      </c>
      <c r="N385" s="116">
        <v>81.533693579148107</v>
      </c>
      <c r="O385" s="116">
        <v>77.655753337571497</v>
      </c>
      <c r="P385" s="116">
        <v>79.013032422123302</v>
      </c>
      <c r="Q385" s="116">
        <v>81.099999999999994</v>
      </c>
      <c r="R385">
        <v>3433362</v>
      </c>
    </row>
    <row r="386" spans="1:18" x14ac:dyDescent="0.25">
      <c r="A386" s="170">
        <v>42570</v>
      </c>
      <c r="B386" s="116">
        <v>79.449175946974506</v>
      </c>
      <c r="C386" s="116">
        <v>77.898002286020798</v>
      </c>
      <c r="D386" s="116">
        <v>77.219363809353496</v>
      </c>
      <c r="E386" s="116">
        <v>78.964434177926506</v>
      </c>
      <c r="F386" s="116">
        <v>80.349999999999994</v>
      </c>
      <c r="G386">
        <v>287279</v>
      </c>
      <c r="H386" s="116"/>
      <c r="I386" s="116"/>
      <c r="L386" s="170">
        <v>42570</v>
      </c>
      <c r="M386" s="116">
        <v>77.801176096630599</v>
      </c>
      <c r="N386" s="116">
        <v>79.497774952320398</v>
      </c>
      <c r="O386" s="116">
        <v>77.074062301335005</v>
      </c>
      <c r="P386" s="116">
        <v>78.3343928798474</v>
      </c>
      <c r="Q386" s="116">
        <v>80.25</v>
      </c>
      <c r="R386">
        <v>2325218</v>
      </c>
    </row>
    <row r="387" spans="1:18" x14ac:dyDescent="0.25">
      <c r="A387" s="170">
        <v>42571</v>
      </c>
      <c r="B387" s="116">
        <v>81.048823784833104</v>
      </c>
      <c r="C387" s="116">
        <v>80.273236954356193</v>
      </c>
      <c r="D387" s="116">
        <v>77.7525797553064</v>
      </c>
      <c r="E387" s="116">
        <v>77.7525797553064</v>
      </c>
      <c r="F387" s="116">
        <v>82.8</v>
      </c>
      <c r="G387">
        <v>420974</v>
      </c>
      <c r="H387" s="116"/>
      <c r="I387" s="116"/>
      <c r="L387" s="170">
        <v>42571</v>
      </c>
      <c r="M387" s="116">
        <v>80.418785759694799</v>
      </c>
      <c r="N387" s="116">
        <v>81.097425301970802</v>
      </c>
      <c r="O387" s="116">
        <v>77.801176096630599</v>
      </c>
      <c r="P387" s="116">
        <v>78.188970120788298</v>
      </c>
      <c r="Q387" s="116">
        <v>82.95</v>
      </c>
      <c r="R387">
        <v>3949699</v>
      </c>
    </row>
    <row r="388" spans="1:18" x14ac:dyDescent="0.25">
      <c r="A388" s="170">
        <v>42572</v>
      </c>
      <c r="B388" s="116">
        <v>81.775936438405097</v>
      </c>
      <c r="C388" s="116">
        <v>78.625114939592805</v>
      </c>
      <c r="D388" s="116">
        <v>78.285795701259204</v>
      </c>
      <c r="E388" s="116">
        <v>80.467133661975396</v>
      </c>
      <c r="F388" s="116">
        <v>81.099999999999994</v>
      </c>
      <c r="G388">
        <v>421455</v>
      </c>
      <c r="H388" s="116"/>
      <c r="I388" s="116"/>
      <c r="L388" s="170">
        <v>42572</v>
      </c>
      <c r="M388" s="116">
        <v>78.625238397965703</v>
      </c>
      <c r="N388" s="116">
        <v>81.921487603305806</v>
      </c>
      <c r="O388" s="116">
        <v>78.043547361729196</v>
      </c>
      <c r="P388" s="116">
        <v>80.661157024793397</v>
      </c>
      <c r="Q388" s="116">
        <v>81.099999999999994</v>
      </c>
      <c r="R388">
        <v>2909067</v>
      </c>
    </row>
    <row r="389" spans="1:18" x14ac:dyDescent="0.25">
      <c r="A389" s="170">
        <v>42573</v>
      </c>
      <c r="B389" s="116">
        <v>79.643072654593794</v>
      </c>
      <c r="C389" s="116">
        <v>78.915960001021702</v>
      </c>
      <c r="D389" s="116">
        <v>77.994950639830407</v>
      </c>
      <c r="E389" s="116">
        <v>78.431218231973602</v>
      </c>
      <c r="F389" s="116">
        <v>81.400000000000006</v>
      </c>
      <c r="G389">
        <v>362832</v>
      </c>
      <c r="H389" s="116"/>
      <c r="I389" s="116"/>
      <c r="L389" s="170">
        <v>42573</v>
      </c>
      <c r="M389" s="116">
        <v>79.109980928162699</v>
      </c>
      <c r="N389" s="116">
        <v>79.691671964399205</v>
      </c>
      <c r="O389" s="116">
        <v>77.9465988556898</v>
      </c>
      <c r="P389" s="116">
        <v>77.9465988556898</v>
      </c>
      <c r="Q389" s="116">
        <v>81.599999999999994</v>
      </c>
      <c r="R389">
        <v>2263392</v>
      </c>
    </row>
    <row r="390" spans="1:18" x14ac:dyDescent="0.25">
      <c r="A390" s="170">
        <v>42576</v>
      </c>
      <c r="B390" s="116">
        <v>79.449175946974506</v>
      </c>
      <c r="C390" s="116">
        <v>78.382744055068798</v>
      </c>
      <c r="D390" s="116">
        <v>77.655631401496805</v>
      </c>
      <c r="E390" s="116">
        <v>78.528166585783296</v>
      </c>
      <c r="F390" s="116">
        <v>80.849999999999994</v>
      </c>
      <c r="G390">
        <v>409179</v>
      </c>
      <c r="H390" s="116"/>
      <c r="I390" s="116"/>
      <c r="L390" s="170">
        <v>42576</v>
      </c>
      <c r="M390" s="116">
        <v>78.382867132867105</v>
      </c>
      <c r="N390" s="116">
        <v>79.303877940241605</v>
      </c>
      <c r="O390" s="116">
        <v>77.5588048315321</v>
      </c>
      <c r="P390" s="116">
        <v>79.013032422123302</v>
      </c>
      <c r="Q390" s="116">
        <v>80.849999999999994</v>
      </c>
      <c r="R390">
        <v>3619395</v>
      </c>
    </row>
    <row r="391" spans="1:18" x14ac:dyDescent="0.25">
      <c r="A391" s="170">
        <v>42577</v>
      </c>
      <c r="B391" s="116">
        <v>82.503049091977203</v>
      </c>
      <c r="C391" s="116">
        <v>80.370185308165802</v>
      </c>
      <c r="D391" s="116">
        <v>78.431218231973602</v>
      </c>
      <c r="E391" s="116">
        <v>78.479692408878407</v>
      </c>
      <c r="F391" s="116">
        <v>82.9</v>
      </c>
      <c r="G391">
        <v>1167775</v>
      </c>
      <c r="H391" s="116"/>
      <c r="I391" s="116"/>
      <c r="L391" s="170">
        <v>42577</v>
      </c>
      <c r="M391" s="116">
        <v>80.370311506675094</v>
      </c>
      <c r="N391" s="116">
        <v>82.6486013986014</v>
      </c>
      <c r="O391" s="116">
        <v>78.625238397965703</v>
      </c>
      <c r="P391" s="116">
        <v>78.722186904005099</v>
      </c>
      <c r="Q391" s="116">
        <v>82.9</v>
      </c>
      <c r="R391">
        <v>7643635</v>
      </c>
    </row>
    <row r="392" spans="1:18" x14ac:dyDescent="0.25">
      <c r="A392" s="170">
        <v>42578</v>
      </c>
      <c r="B392" s="116">
        <v>81.582039730785894</v>
      </c>
      <c r="C392" s="116">
        <v>80.418659485070606</v>
      </c>
      <c r="D392" s="116">
        <v>79.788495185308193</v>
      </c>
      <c r="E392" s="116">
        <v>80.370185308165802</v>
      </c>
      <c r="F392" s="116">
        <v>82.95</v>
      </c>
      <c r="G392">
        <v>506250</v>
      </c>
      <c r="H392" s="116"/>
      <c r="I392" s="116"/>
      <c r="L392" s="170">
        <v>42578</v>
      </c>
      <c r="M392" s="116">
        <v>80.321837253655403</v>
      </c>
      <c r="N392" s="116">
        <v>81.630642085187503</v>
      </c>
      <c r="O392" s="116">
        <v>79.691671964399205</v>
      </c>
      <c r="P392" s="116">
        <v>80.564208518754</v>
      </c>
      <c r="Q392" s="116">
        <v>82.85</v>
      </c>
      <c r="R392">
        <v>5068378</v>
      </c>
    </row>
    <row r="393" spans="1:18" x14ac:dyDescent="0.25">
      <c r="A393" s="170">
        <v>42579</v>
      </c>
      <c r="B393" s="116">
        <v>81.388143023166705</v>
      </c>
      <c r="C393" s="116">
        <v>79.158330885545695</v>
      </c>
      <c r="D393" s="116">
        <v>77.461734693877602</v>
      </c>
      <c r="E393" s="116">
        <v>81.388143023166705</v>
      </c>
      <c r="F393" s="116">
        <v>81.650000000000006</v>
      </c>
      <c r="G393">
        <v>931001</v>
      </c>
      <c r="H393" s="116"/>
      <c r="I393" s="116"/>
      <c r="L393" s="170">
        <v>42579</v>
      </c>
      <c r="M393" s="116">
        <v>79.788620470438602</v>
      </c>
      <c r="N393" s="116">
        <v>81.436745073108696</v>
      </c>
      <c r="O393" s="116">
        <v>77.364907819453293</v>
      </c>
      <c r="P393" s="116">
        <v>80.564208518754</v>
      </c>
      <c r="Q393" s="116">
        <v>82.3</v>
      </c>
      <c r="R393">
        <v>28341774</v>
      </c>
    </row>
    <row r="394" spans="1:18" x14ac:dyDescent="0.25">
      <c r="A394" s="170">
        <v>42580</v>
      </c>
      <c r="B394" s="116">
        <v>79.643072654593794</v>
      </c>
      <c r="C394" s="116">
        <v>78.188847347449595</v>
      </c>
      <c r="D394" s="116">
        <v>77.655631401496805</v>
      </c>
      <c r="E394" s="116">
        <v>78.285795701259204</v>
      </c>
      <c r="F394" s="116">
        <v>80.650000000000006</v>
      </c>
      <c r="G394">
        <v>598843</v>
      </c>
      <c r="H394" s="116"/>
      <c r="I394" s="116"/>
      <c r="L394" s="170">
        <v>42580</v>
      </c>
      <c r="M394" s="116">
        <v>78.188970120788298</v>
      </c>
      <c r="N394" s="116">
        <v>79.594723458359795</v>
      </c>
      <c r="O394" s="116">
        <v>77.655753337571497</v>
      </c>
      <c r="P394" s="116">
        <v>78.237444373808003</v>
      </c>
      <c r="Q394" s="116">
        <v>80.650000000000006</v>
      </c>
      <c r="R394">
        <v>3927060</v>
      </c>
    </row>
    <row r="395" spans="1:18" x14ac:dyDescent="0.25">
      <c r="A395" s="170">
        <v>42583</v>
      </c>
      <c r="B395" s="116">
        <v>79.303753416260093</v>
      </c>
      <c r="C395" s="116">
        <v>75.280396733161396</v>
      </c>
      <c r="D395" s="116">
        <v>72.614317003397105</v>
      </c>
      <c r="E395" s="116">
        <v>78.382744055068798</v>
      </c>
      <c r="F395" s="116">
        <v>77.650000000000006</v>
      </c>
      <c r="G395">
        <v>903598</v>
      </c>
      <c r="H395" s="116"/>
      <c r="I395" s="116"/>
      <c r="L395" s="170">
        <v>42583</v>
      </c>
      <c r="M395" s="116">
        <v>75.377463445645304</v>
      </c>
      <c r="N395" s="116">
        <v>79.2554036872219</v>
      </c>
      <c r="O395" s="116">
        <v>72.469008264462801</v>
      </c>
      <c r="P395" s="116">
        <v>78.625238397965703</v>
      </c>
      <c r="Q395" s="116">
        <v>77.75</v>
      </c>
      <c r="R395">
        <v>4642872</v>
      </c>
    </row>
    <row r="396" spans="1:18" x14ac:dyDescent="0.25">
      <c r="A396" s="170">
        <v>42584</v>
      </c>
      <c r="B396" s="116">
        <v>76.492251155781503</v>
      </c>
      <c r="C396" s="116">
        <v>75.3288709100662</v>
      </c>
      <c r="D396" s="116">
        <v>74.844129141018101</v>
      </c>
      <c r="E396" s="116">
        <v>75.3288709100662</v>
      </c>
      <c r="F396" s="116">
        <v>77.7</v>
      </c>
      <c r="G396">
        <v>465991</v>
      </c>
      <c r="H396" s="116"/>
      <c r="I396" s="116"/>
      <c r="L396" s="170">
        <v>42584</v>
      </c>
      <c r="M396" s="116">
        <v>75.425937698664995</v>
      </c>
      <c r="N396" s="116">
        <v>76.589319771137994</v>
      </c>
      <c r="O396" s="116">
        <v>74.844246662428503</v>
      </c>
      <c r="P396" s="116">
        <v>75.135092180546707</v>
      </c>
      <c r="Q396" s="116">
        <v>77.8</v>
      </c>
      <c r="R396">
        <v>2790632</v>
      </c>
    </row>
    <row r="397" spans="1:18" x14ac:dyDescent="0.25">
      <c r="A397" s="170">
        <v>42585</v>
      </c>
      <c r="B397" s="116">
        <v>75.8136126791142</v>
      </c>
      <c r="C397" s="116">
        <v>72.808213711016293</v>
      </c>
      <c r="D397" s="116">
        <v>72.614317003397105</v>
      </c>
      <c r="E397" s="116">
        <v>75.619715971494998</v>
      </c>
      <c r="F397" s="116">
        <v>75.099999999999994</v>
      </c>
      <c r="G397">
        <v>890095</v>
      </c>
      <c r="H397" s="116"/>
      <c r="I397" s="116"/>
      <c r="L397" s="170">
        <v>42585</v>
      </c>
      <c r="M397" s="116">
        <v>72.8568022886205</v>
      </c>
      <c r="N397" s="116">
        <v>75.813731722822595</v>
      </c>
      <c r="O397" s="116">
        <v>72.565956770502197</v>
      </c>
      <c r="P397" s="116">
        <v>75.135092180546707</v>
      </c>
      <c r="Q397" s="116">
        <v>75.150000000000006</v>
      </c>
      <c r="R397">
        <v>3809139</v>
      </c>
    </row>
    <row r="398" spans="1:18" x14ac:dyDescent="0.25">
      <c r="A398" s="170">
        <v>42586</v>
      </c>
      <c r="B398" s="116">
        <v>74.747180787208507</v>
      </c>
      <c r="C398" s="116">
        <v>74.213964841255603</v>
      </c>
      <c r="D398" s="116">
        <v>72.032626880539496</v>
      </c>
      <c r="E398" s="116">
        <v>72.420420295777902</v>
      </c>
      <c r="F398" s="116">
        <v>76.55</v>
      </c>
      <c r="G398">
        <v>435729</v>
      </c>
      <c r="H398" s="116"/>
      <c r="I398" s="116"/>
      <c r="L398" s="170">
        <v>42586</v>
      </c>
      <c r="M398" s="116">
        <v>74.214081373172306</v>
      </c>
      <c r="N398" s="116">
        <v>74.844246662428503</v>
      </c>
      <c r="O398" s="116">
        <v>71.984265734265705</v>
      </c>
      <c r="P398" s="116">
        <v>73.438493324857006</v>
      </c>
      <c r="Q398" s="116">
        <v>76.55</v>
      </c>
      <c r="R398">
        <v>2377424</v>
      </c>
    </row>
    <row r="399" spans="1:18" x14ac:dyDescent="0.25">
      <c r="A399" s="170">
        <v>42587</v>
      </c>
      <c r="B399" s="116">
        <v>75.280396733161396</v>
      </c>
      <c r="C399" s="116">
        <v>74.892603317922905</v>
      </c>
      <c r="D399" s="116">
        <v>73.341429656969197</v>
      </c>
      <c r="E399" s="116">
        <v>75.086500025542094</v>
      </c>
      <c r="F399" s="116">
        <v>77.25</v>
      </c>
      <c r="G399">
        <v>447351</v>
      </c>
      <c r="H399" s="116"/>
      <c r="I399" s="116"/>
      <c r="L399" s="170">
        <v>42587</v>
      </c>
      <c r="M399" s="116">
        <v>74.892720915448194</v>
      </c>
      <c r="N399" s="116">
        <v>75.280514939605894</v>
      </c>
      <c r="O399" s="116">
        <v>73.196122059758395</v>
      </c>
      <c r="P399" s="116">
        <v>74.747298156389107</v>
      </c>
      <c r="Q399" s="116">
        <v>77.25</v>
      </c>
      <c r="R399">
        <v>3387256</v>
      </c>
    </row>
    <row r="400" spans="1:18" x14ac:dyDescent="0.25">
      <c r="A400" s="170">
        <v>42590</v>
      </c>
      <c r="B400" s="116">
        <v>76.7830962172103</v>
      </c>
      <c r="C400" s="116">
        <v>76.201406094352606</v>
      </c>
      <c r="D400" s="116">
        <v>74.698706610303702</v>
      </c>
      <c r="E400" s="116">
        <v>75.038025848637304</v>
      </c>
      <c r="F400" s="116">
        <v>78.599999999999994</v>
      </c>
      <c r="G400">
        <v>509185</v>
      </c>
      <c r="H400" s="116"/>
      <c r="I400" s="116"/>
      <c r="L400" s="170">
        <v>42590</v>
      </c>
      <c r="M400" s="116">
        <v>76.298474253019705</v>
      </c>
      <c r="N400" s="116">
        <v>76.783216783216801</v>
      </c>
      <c r="O400" s="116">
        <v>74.650349650349597</v>
      </c>
      <c r="P400" s="116">
        <v>75.328989192625599</v>
      </c>
      <c r="Q400" s="116">
        <v>78.7</v>
      </c>
      <c r="R400">
        <v>2358729</v>
      </c>
    </row>
    <row r="401" spans="1:18" x14ac:dyDescent="0.25">
      <c r="A401" s="170">
        <v>42591</v>
      </c>
      <c r="B401" s="116">
        <v>76.7830962172103</v>
      </c>
      <c r="C401" s="116">
        <v>75.280396733161396</v>
      </c>
      <c r="D401" s="116">
        <v>74.504809902684499</v>
      </c>
      <c r="E401" s="116">
        <v>76.589199509591097</v>
      </c>
      <c r="F401" s="116">
        <v>77.650000000000006</v>
      </c>
      <c r="G401">
        <v>423074</v>
      </c>
      <c r="H401" s="116"/>
      <c r="I401" s="116"/>
      <c r="L401" s="170">
        <v>42591</v>
      </c>
      <c r="M401" s="116">
        <v>75.232040686586103</v>
      </c>
      <c r="N401" s="116">
        <v>76.880165289256198</v>
      </c>
      <c r="O401" s="116">
        <v>74.456452638270804</v>
      </c>
      <c r="P401" s="116">
        <v>76.153051493960604</v>
      </c>
      <c r="Q401" s="116">
        <v>77.599999999999994</v>
      </c>
      <c r="R401">
        <v>2493376</v>
      </c>
    </row>
    <row r="402" spans="1:18" x14ac:dyDescent="0.25">
      <c r="A402" s="170">
        <v>42592</v>
      </c>
      <c r="B402" s="116">
        <v>78.964434177926506</v>
      </c>
      <c r="C402" s="116">
        <v>77.413260516972699</v>
      </c>
      <c r="D402" s="116">
        <v>74.359387371970101</v>
      </c>
      <c r="E402" s="116">
        <v>75.522767617685403</v>
      </c>
      <c r="F402" s="116">
        <v>79.849999999999994</v>
      </c>
      <c r="G402">
        <v>1911577</v>
      </c>
      <c r="H402" s="116"/>
      <c r="I402" s="116"/>
      <c r="L402" s="170">
        <v>42592</v>
      </c>
      <c r="M402" s="116">
        <v>77.461856325492704</v>
      </c>
      <c r="N402" s="116">
        <v>78.916083916083906</v>
      </c>
      <c r="O402" s="116">
        <v>74.1656071201526</v>
      </c>
      <c r="P402" s="116">
        <v>75.425937698664995</v>
      </c>
      <c r="Q402" s="116">
        <v>79.900000000000006</v>
      </c>
      <c r="R402">
        <v>12385935</v>
      </c>
    </row>
    <row r="403" spans="1:18" x14ac:dyDescent="0.25">
      <c r="A403" s="170">
        <v>42593</v>
      </c>
      <c r="B403" s="116">
        <v>78.188847347449595</v>
      </c>
      <c r="C403" s="116">
        <v>73.583800541493204</v>
      </c>
      <c r="D403" s="116">
        <v>72.371946118873097</v>
      </c>
      <c r="E403" s="116">
        <v>78.188847347449595</v>
      </c>
      <c r="F403" s="116">
        <v>75.900000000000006</v>
      </c>
      <c r="G403">
        <v>986588</v>
      </c>
      <c r="H403" s="116"/>
      <c r="I403" s="116"/>
      <c r="L403" s="170">
        <v>42593</v>
      </c>
      <c r="M403" s="116">
        <v>73.583916083916094</v>
      </c>
      <c r="N403" s="116">
        <v>77.801176096630599</v>
      </c>
      <c r="O403" s="116">
        <v>72.323585505403699</v>
      </c>
      <c r="P403" s="116">
        <v>77.5588048315321</v>
      </c>
      <c r="Q403" s="116">
        <v>75.900000000000006</v>
      </c>
      <c r="R403">
        <v>5591985</v>
      </c>
    </row>
    <row r="404" spans="1:18" x14ac:dyDescent="0.25">
      <c r="A404" s="170">
        <v>42594</v>
      </c>
      <c r="B404" s="116">
        <v>73.923119779826806</v>
      </c>
      <c r="C404" s="116">
        <v>72.759739534111503</v>
      </c>
      <c r="D404" s="116">
        <v>72.323471941968293</v>
      </c>
      <c r="E404" s="116">
        <v>72.905162064825902</v>
      </c>
      <c r="F404" s="116">
        <v>75.05</v>
      </c>
      <c r="G404">
        <v>387143</v>
      </c>
      <c r="H404" s="116"/>
      <c r="I404" s="116"/>
      <c r="L404" s="170">
        <v>42594</v>
      </c>
      <c r="M404" s="116">
        <v>72.711379529561299</v>
      </c>
      <c r="N404" s="116">
        <v>74.020184361093399</v>
      </c>
      <c r="O404" s="116">
        <v>72.226636999364302</v>
      </c>
      <c r="P404" s="116">
        <v>73.777813095994901</v>
      </c>
      <c r="Q404" s="116">
        <v>75</v>
      </c>
      <c r="R404">
        <v>2609566</v>
      </c>
    </row>
    <row r="405" spans="1:18" x14ac:dyDescent="0.25">
      <c r="A405" s="170">
        <v>42598</v>
      </c>
      <c r="B405" s="116">
        <v>73.389903833874001</v>
      </c>
      <c r="C405" s="116">
        <v>71.596359288396201</v>
      </c>
      <c r="D405" s="116">
        <v>71.257040050062599</v>
      </c>
      <c r="E405" s="116">
        <v>72.711265357206699</v>
      </c>
      <c r="F405" s="116">
        <v>73.849999999999994</v>
      </c>
      <c r="G405">
        <v>535980</v>
      </c>
      <c r="H405" s="116"/>
      <c r="I405" s="116"/>
      <c r="L405" s="170">
        <v>42598</v>
      </c>
      <c r="M405" s="116">
        <v>71.644945963127796</v>
      </c>
      <c r="N405" s="116">
        <v>73.486967577876698</v>
      </c>
      <c r="O405" s="116">
        <v>71.257151938970097</v>
      </c>
      <c r="P405" s="116">
        <v>72.905276541640205</v>
      </c>
      <c r="Q405" s="116">
        <v>73.900000000000006</v>
      </c>
      <c r="R405">
        <v>3591869</v>
      </c>
    </row>
    <row r="406" spans="1:18" x14ac:dyDescent="0.25">
      <c r="A406" s="170">
        <v>42599</v>
      </c>
      <c r="B406" s="116">
        <v>73.196007126254798</v>
      </c>
      <c r="C406" s="116">
        <v>72.226523588158699</v>
      </c>
      <c r="D406" s="116">
        <v>71.596359288396201</v>
      </c>
      <c r="E406" s="116">
        <v>71.741781819110599</v>
      </c>
      <c r="F406" s="116">
        <v>74.5</v>
      </c>
      <c r="G406">
        <v>356270</v>
      </c>
      <c r="H406" s="116"/>
      <c r="I406" s="116"/>
      <c r="L406" s="170">
        <v>42599</v>
      </c>
      <c r="M406" s="116">
        <v>72.129688493324807</v>
      </c>
      <c r="N406" s="116">
        <v>73.2445963127781</v>
      </c>
      <c r="O406" s="116">
        <v>71.596471710108105</v>
      </c>
      <c r="P406" s="116">
        <v>71.741894469167207</v>
      </c>
      <c r="Q406" s="116">
        <v>74.400000000000006</v>
      </c>
      <c r="R406">
        <v>2996065</v>
      </c>
    </row>
    <row r="407" spans="1:18" x14ac:dyDescent="0.25">
      <c r="A407" s="170">
        <v>42600</v>
      </c>
      <c r="B407" s="116">
        <v>73.5353263645884</v>
      </c>
      <c r="C407" s="116">
        <v>72.420420295777902</v>
      </c>
      <c r="D407" s="116">
        <v>72.129575234349105</v>
      </c>
      <c r="E407" s="116">
        <v>72.711265357206699</v>
      </c>
      <c r="F407" s="116">
        <v>74.7</v>
      </c>
      <c r="G407">
        <v>285023</v>
      </c>
      <c r="H407" s="116"/>
      <c r="I407" s="116"/>
      <c r="L407" s="170">
        <v>42600</v>
      </c>
      <c r="M407" s="116">
        <v>72.469008264462801</v>
      </c>
      <c r="N407" s="116">
        <v>73.486967577876698</v>
      </c>
      <c r="O407" s="116">
        <v>72.129688493324807</v>
      </c>
      <c r="P407" s="116">
        <v>72.420534011443095</v>
      </c>
      <c r="Q407" s="116">
        <v>74.75</v>
      </c>
      <c r="R407">
        <v>2438266</v>
      </c>
    </row>
    <row r="408" spans="1:18" x14ac:dyDescent="0.25">
      <c r="A408" s="170">
        <v>42601</v>
      </c>
      <c r="B408" s="116">
        <v>76.055983563638193</v>
      </c>
      <c r="C408" s="116">
        <v>74.698706610303702</v>
      </c>
      <c r="D408" s="116">
        <v>72.420420295777902</v>
      </c>
      <c r="E408" s="116">
        <v>72.662791180301895</v>
      </c>
      <c r="F408" s="116">
        <v>77.05</v>
      </c>
      <c r="G408">
        <v>1260495</v>
      </c>
      <c r="H408" s="116"/>
      <c r="I408" s="116"/>
      <c r="L408" s="170">
        <v>42601</v>
      </c>
      <c r="M408" s="116">
        <v>74.601875397329906</v>
      </c>
      <c r="N408" s="116">
        <v>75.959154481881697</v>
      </c>
      <c r="O408" s="116">
        <v>72.469008264462801</v>
      </c>
      <c r="P408" s="116">
        <v>72.614431023521902</v>
      </c>
      <c r="Q408" s="116">
        <v>76.95</v>
      </c>
      <c r="R408">
        <v>7164709</v>
      </c>
    </row>
    <row r="409" spans="1:18" x14ac:dyDescent="0.25">
      <c r="A409" s="170">
        <v>42604</v>
      </c>
      <c r="B409" s="116">
        <v>74.892603317922905</v>
      </c>
      <c r="C409" s="116">
        <v>72.808213711016293</v>
      </c>
      <c r="D409" s="116">
        <v>72.371946118873097</v>
      </c>
      <c r="E409" s="116">
        <v>74.892603317922905</v>
      </c>
      <c r="F409" s="116">
        <v>75.099999999999994</v>
      </c>
      <c r="G409">
        <v>474310</v>
      </c>
      <c r="H409" s="116"/>
      <c r="I409" s="116"/>
      <c r="L409" s="170">
        <v>42604</v>
      </c>
      <c r="M409" s="116">
        <v>72.711379529561299</v>
      </c>
      <c r="N409" s="116">
        <v>74.601875397329906</v>
      </c>
      <c r="O409" s="116">
        <v>72.275111252383994</v>
      </c>
      <c r="P409" s="116">
        <v>74.601875397329906</v>
      </c>
      <c r="Q409" s="116">
        <v>75</v>
      </c>
      <c r="R409">
        <v>3091690</v>
      </c>
    </row>
    <row r="410" spans="1:18" x14ac:dyDescent="0.25">
      <c r="A410" s="170">
        <v>42605</v>
      </c>
      <c r="B410" s="116">
        <v>73.196007126254798</v>
      </c>
      <c r="C410" s="116">
        <v>72.226523588158699</v>
      </c>
      <c r="D410" s="116">
        <v>71.450936757681802</v>
      </c>
      <c r="E410" s="116">
        <v>72.808213711016293</v>
      </c>
      <c r="F410" s="116">
        <v>74.5</v>
      </c>
      <c r="G410">
        <v>471813</v>
      </c>
      <c r="H410" s="116"/>
      <c r="I410" s="116"/>
      <c r="L410" s="170">
        <v>42605</v>
      </c>
      <c r="M410" s="116">
        <v>72.178162746344597</v>
      </c>
      <c r="N410" s="116">
        <v>73.099173553718998</v>
      </c>
      <c r="O410" s="116">
        <v>71.451048951048904</v>
      </c>
      <c r="P410" s="116">
        <v>72.614431023521902</v>
      </c>
      <c r="Q410" s="116">
        <v>74.45</v>
      </c>
      <c r="R410">
        <v>2213879</v>
      </c>
    </row>
    <row r="411" spans="1:18" x14ac:dyDescent="0.25">
      <c r="A411" s="170">
        <v>42606</v>
      </c>
      <c r="B411" s="116">
        <v>73.0505845955403</v>
      </c>
      <c r="C411" s="116">
        <v>72.517368649587496</v>
      </c>
      <c r="D411" s="116">
        <v>71.935678526729802</v>
      </c>
      <c r="E411" s="116">
        <v>71.984152703634606</v>
      </c>
      <c r="F411" s="116">
        <v>74.8</v>
      </c>
      <c r="G411">
        <v>375765</v>
      </c>
      <c r="H411" s="116"/>
      <c r="I411" s="116"/>
      <c r="L411" s="170">
        <v>42606</v>
      </c>
      <c r="M411" s="116">
        <v>72.565956770502197</v>
      </c>
      <c r="N411" s="116">
        <v>73.050699300699307</v>
      </c>
      <c r="O411" s="116">
        <v>71.838842975206603</v>
      </c>
      <c r="P411" s="116">
        <v>71.935791481246</v>
      </c>
      <c r="Q411" s="116">
        <v>74.849999999999994</v>
      </c>
      <c r="R411">
        <v>2651441</v>
      </c>
    </row>
    <row r="412" spans="1:18" x14ac:dyDescent="0.25">
      <c r="A412" s="170">
        <v>42607</v>
      </c>
      <c r="B412" s="116">
        <v>73.099058772445105</v>
      </c>
      <c r="C412" s="116">
        <v>71.160091696253005</v>
      </c>
      <c r="D412" s="116">
        <v>70.820772457919304</v>
      </c>
      <c r="E412" s="116">
        <v>72.711265357206699</v>
      </c>
      <c r="F412" s="116">
        <v>73.400000000000006</v>
      </c>
      <c r="G412">
        <v>432749</v>
      </c>
      <c r="H412" s="116"/>
      <c r="I412" s="116"/>
      <c r="L412" s="170">
        <v>42607</v>
      </c>
      <c r="M412" s="116">
        <v>71.014780673871599</v>
      </c>
      <c r="N412" s="116">
        <v>73.050699300699307</v>
      </c>
      <c r="O412" s="116">
        <v>70.772409408773001</v>
      </c>
      <c r="P412" s="116">
        <v>72.711379529561299</v>
      </c>
      <c r="Q412" s="116">
        <v>73.25</v>
      </c>
      <c r="R412">
        <v>3724664</v>
      </c>
    </row>
    <row r="413" spans="1:18" x14ac:dyDescent="0.25">
      <c r="A413" s="170">
        <v>42608</v>
      </c>
      <c r="B413" s="116">
        <v>71.741781819110599</v>
      </c>
      <c r="C413" s="116">
        <v>70.142133981252101</v>
      </c>
      <c r="D413" s="116">
        <v>69.657392212204002</v>
      </c>
      <c r="E413" s="116">
        <v>71.305514226967404</v>
      </c>
      <c r="F413" s="116">
        <v>72.349999999999994</v>
      </c>
      <c r="G413">
        <v>482455</v>
      </c>
      <c r="H413" s="116"/>
      <c r="I413" s="116"/>
      <c r="L413" s="170">
        <v>42608</v>
      </c>
      <c r="M413" s="116">
        <v>70.045295613477407</v>
      </c>
      <c r="N413" s="116">
        <v>71.741894469167207</v>
      </c>
      <c r="O413" s="116">
        <v>69.512078830260606</v>
      </c>
      <c r="P413" s="116">
        <v>71.111729179910995</v>
      </c>
      <c r="Q413" s="116">
        <v>72.25</v>
      </c>
      <c r="R413">
        <v>2378177</v>
      </c>
    </row>
    <row r="414" spans="1:18" x14ac:dyDescent="0.25">
      <c r="A414" s="170">
        <v>42611</v>
      </c>
      <c r="B414" s="116">
        <v>71.935678526729802</v>
      </c>
      <c r="C414" s="116">
        <v>70.626875750300101</v>
      </c>
      <c r="D414" s="116">
        <v>68.154692728155098</v>
      </c>
      <c r="E414" s="116">
        <v>68.348589435774301</v>
      </c>
      <c r="F414" s="116">
        <v>72.849999999999994</v>
      </c>
      <c r="G414">
        <v>1021344</v>
      </c>
      <c r="H414" s="116"/>
      <c r="I414" s="116"/>
      <c r="L414" s="170">
        <v>42611</v>
      </c>
      <c r="M414" s="116">
        <v>70.530038143674503</v>
      </c>
      <c r="N414" s="116">
        <v>71.984265734265705</v>
      </c>
      <c r="O414" s="116">
        <v>68.397171010807398</v>
      </c>
      <c r="P414" s="116">
        <v>68.445645263827103</v>
      </c>
      <c r="Q414" s="116">
        <v>72.75</v>
      </c>
      <c r="R414">
        <v>5899090</v>
      </c>
    </row>
    <row r="415" spans="1:18" x14ac:dyDescent="0.25">
      <c r="A415" s="170">
        <v>42612</v>
      </c>
      <c r="B415" s="116">
        <v>71.644833465301005</v>
      </c>
      <c r="C415" s="116">
        <v>71.160091696253005</v>
      </c>
      <c r="D415" s="116">
        <v>70.529927396490507</v>
      </c>
      <c r="E415" s="116">
        <v>70.7722982810145</v>
      </c>
      <c r="F415" s="116">
        <v>73.400000000000006</v>
      </c>
      <c r="G415">
        <v>373899</v>
      </c>
      <c r="H415" s="116"/>
      <c r="I415" s="116"/>
      <c r="L415" s="170">
        <v>42612</v>
      </c>
      <c r="M415" s="116">
        <v>71.111729179910995</v>
      </c>
      <c r="N415" s="116">
        <v>71.644945963127796</v>
      </c>
      <c r="O415" s="116">
        <v>70.530038143674503</v>
      </c>
      <c r="P415" s="116">
        <v>70.772409408773001</v>
      </c>
      <c r="Q415" s="116">
        <v>73.349999999999994</v>
      </c>
      <c r="R415">
        <v>2411488</v>
      </c>
    </row>
    <row r="416" spans="1:18" x14ac:dyDescent="0.25">
      <c r="A416" s="170">
        <v>42613</v>
      </c>
      <c r="B416" s="116">
        <v>71.741781819110599</v>
      </c>
      <c r="C416" s="116">
        <v>70.7722982810145</v>
      </c>
      <c r="D416" s="116">
        <v>70.529927396490507</v>
      </c>
      <c r="E416" s="116">
        <v>71.450936757681802</v>
      </c>
      <c r="F416" s="116">
        <v>73</v>
      </c>
      <c r="G416">
        <v>315551</v>
      </c>
      <c r="H416" s="116"/>
      <c r="I416" s="116"/>
      <c r="L416" s="170">
        <v>42613</v>
      </c>
      <c r="M416" s="116">
        <v>70.578512396694194</v>
      </c>
      <c r="N416" s="116">
        <v>71.693420216147501</v>
      </c>
      <c r="O416" s="116">
        <v>70.384615384615401</v>
      </c>
      <c r="P416" s="116">
        <v>71.402574698029198</v>
      </c>
      <c r="Q416" s="116">
        <v>72.8</v>
      </c>
      <c r="R416">
        <v>2112304</v>
      </c>
    </row>
    <row r="417" spans="1:18" x14ac:dyDescent="0.25">
      <c r="A417" s="170">
        <v>42614</v>
      </c>
      <c r="B417" s="116">
        <v>71.257040050062599</v>
      </c>
      <c r="C417" s="116">
        <v>68.445537789583895</v>
      </c>
      <c r="D417" s="116">
        <v>68.154692728155098</v>
      </c>
      <c r="E417" s="116">
        <v>70.7722982810145</v>
      </c>
      <c r="F417" s="116">
        <v>70.599999999999994</v>
      </c>
      <c r="G417">
        <v>545971</v>
      </c>
      <c r="H417" s="116"/>
      <c r="I417" s="116"/>
      <c r="L417" s="170">
        <v>42614</v>
      </c>
      <c r="M417" s="116">
        <v>68.348696757787707</v>
      </c>
      <c r="N417" s="116">
        <v>71.257151938970097</v>
      </c>
      <c r="O417" s="116">
        <v>68.057851239669404</v>
      </c>
      <c r="P417" s="116">
        <v>70.675460902733604</v>
      </c>
      <c r="Q417" s="116">
        <v>70.5</v>
      </c>
      <c r="R417">
        <v>2712230</v>
      </c>
    </row>
    <row r="418" spans="1:18" x14ac:dyDescent="0.25">
      <c r="A418" s="170">
        <v>42615</v>
      </c>
      <c r="B418" s="116">
        <v>69.608918035299197</v>
      </c>
      <c r="C418" s="116">
        <v>69.075702089346393</v>
      </c>
      <c r="D418" s="116">
        <v>68.348589435774301</v>
      </c>
      <c r="E418" s="116">
        <v>68.445537789583895</v>
      </c>
      <c r="F418" s="116">
        <v>71.25</v>
      </c>
      <c r="G418">
        <v>290532</v>
      </c>
      <c r="H418" s="116"/>
      <c r="I418" s="116"/>
      <c r="L418" s="170">
        <v>42615</v>
      </c>
      <c r="M418" s="116">
        <v>68.930387794024099</v>
      </c>
      <c r="N418" s="116">
        <v>69.560553083280396</v>
      </c>
      <c r="O418" s="116">
        <v>68.494119516846794</v>
      </c>
      <c r="P418" s="116">
        <v>68.688016528925601</v>
      </c>
      <c r="Q418" s="116">
        <v>71.099999999999994</v>
      </c>
      <c r="R418">
        <v>1890352</v>
      </c>
    </row>
    <row r="419" spans="1:18" x14ac:dyDescent="0.25">
      <c r="A419" s="170">
        <v>42619</v>
      </c>
      <c r="B419" s="116">
        <v>70.529927396490507</v>
      </c>
      <c r="C419" s="116">
        <v>69.899763096728094</v>
      </c>
      <c r="D419" s="116">
        <v>69.3180729738704</v>
      </c>
      <c r="E419" s="116">
        <v>69.3180729738704</v>
      </c>
      <c r="F419" s="116">
        <v>72.099999999999994</v>
      </c>
      <c r="G419">
        <v>228293</v>
      </c>
      <c r="H419" s="116"/>
      <c r="I419" s="116"/>
      <c r="L419" s="170">
        <v>42619</v>
      </c>
      <c r="M419" s="116">
        <v>69.899872854418305</v>
      </c>
      <c r="N419" s="116">
        <v>70.626986649713899</v>
      </c>
      <c r="O419" s="116">
        <v>69.366656071201504</v>
      </c>
      <c r="P419" s="116">
        <v>69.366656071201504</v>
      </c>
      <c r="Q419" s="116">
        <v>72.099999999999994</v>
      </c>
      <c r="R419">
        <v>2209617</v>
      </c>
    </row>
    <row r="420" spans="1:18" x14ac:dyDescent="0.25">
      <c r="A420" s="170">
        <v>42620</v>
      </c>
      <c r="B420" s="116">
        <v>71.547885111491397</v>
      </c>
      <c r="C420" s="116">
        <v>70.2875565119665</v>
      </c>
      <c r="D420" s="116">
        <v>69.608918035299197</v>
      </c>
      <c r="E420" s="116">
        <v>70.2875565119665</v>
      </c>
      <c r="F420" s="116">
        <v>72.5</v>
      </c>
      <c r="G420">
        <v>443014</v>
      </c>
      <c r="H420" s="116"/>
      <c r="I420" s="116"/>
      <c r="L420" s="170">
        <v>42620</v>
      </c>
      <c r="M420" s="116">
        <v>70.239192625556299</v>
      </c>
      <c r="N420" s="116">
        <v>71.5479974570884</v>
      </c>
      <c r="O420" s="116">
        <v>69.512078830260606</v>
      </c>
      <c r="P420" s="116">
        <v>70.190718372536594</v>
      </c>
      <c r="Q420" s="116">
        <v>72.45</v>
      </c>
      <c r="R420">
        <v>2546141</v>
      </c>
    </row>
    <row r="421" spans="1:18" x14ac:dyDescent="0.25">
      <c r="A421" s="170">
        <v>42621</v>
      </c>
      <c r="B421" s="116">
        <v>72.517368649587496</v>
      </c>
      <c r="C421" s="116">
        <v>72.226523588158699</v>
      </c>
      <c r="D421" s="116">
        <v>69.657392212204002</v>
      </c>
      <c r="E421" s="116">
        <v>70.336030688871304</v>
      </c>
      <c r="F421" s="116">
        <v>74.5</v>
      </c>
      <c r="G421">
        <v>505863</v>
      </c>
      <c r="H421" s="116"/>
      <c r="I421" s="116"/>
      <c r="L421" s="170">
        <v>42621</v>
      </c>
      <c r="M421" s="116">
        <v>72.178162746344597</v>
      </c>
      <c r="N421" s="116">
        <v>72.614431023521902</v>
      </c>
      <c r="O421" s="116">
        <v>69.996821360457702</v>
      </c>
      <c r="P421" s="116">
        <v>70.530038143674503</v>
      </c>
      <c r="Q421" s="116">
        <v>74.45</v>
      </c>
      <c r="R421">
        <v>3286784</v>
      </c>
    </row>
    <row r="422" spans="1:18" x14ac:dyDescent="0.25">
      <c r="A422" s="170">
        <v>42622</v>
      </c>
      <c r="B422" s="116">
        <v>72.711265357206699</v>
      </c>
      <c r="C422" s="116">
        <v>71.208565873157795</v>
      </c>
      <c r="D422" s="116">
        <v>71.014669165538606</v>
      </c>
      <c r="E422" s="116">
        <v>72.711265357206699</v>
      </c>
      <c r="F422" s="116">
        <v>73.45</v>
      </c>
      <c r="G422">
        <v>332187</v>
      </c>
      <c r="H422" s="116"/>
      <c r="I422" s="116"/>
      <c r="L422" s="170">
        <v>42622</v>
      </c>
      <c r="M422" s="116">
        <v>71.208677685950406</v>
      </c>
      <c r="N422" s="116">
        <v>72.469008264462801</v>
      </c>
      <c r="O422" s="116">
        <v>71.014780673871599</v>
      </c>
      <c r="P422" s="116">
        <v>72.469008264462801</v>
      </c>
      <c r="Q422" s="116">
        <v>73.45</v>
      </c>
      <c r="R422">
        <v>1701015</v>
      </c>
    </row>
    <row r="423" spans="1:18" x14ac:dyDescent="0.25">
      <c r="A423" s="170">
        <v>42625</v>
      </c>
      <c r="B423" s="116">
        <v>71.160091696253005</v>
      </c>
      <c r="C423" s="116">
        <v>67.863847666726301</v>
      </c>
      <c r="D423" s="116">
        <v>67.0397866593446</v>
      </c>
      <c r="E423" s="116">
        <v>71.160091696253005</v>
      </c>
      <c r="F423" s="116">
        <v>70</v>
      </c>
      <c r="G423">
        <v>481894</v>
      </c>
      <c r="H423" s="116"/>
      <c r="I423" s="116"/>
      <c r="L423" s="170">
        <v>42625</v>
      </c>
      <c r="M423" s="116">
        <v>67.815479974570906</v>
      </c>
      <c r="N423" s="116">
        <v>70.287666878576005</v>
      </c>
      <c r="O423" s="116">
        <v>65.052447552447504</v>
      </c>
      <c r="P423" s="116">
        <v>70.287666878576005</v>
      </c>
      <c r="Q423" s="116">
        <v>69.95</v>
      </c>
      <c r="R423">
        <v>2346615</v>
      </c>
    </row>
    <row r="424" spans="1:18" x14ac:dyDescent="0.25">
      <c r="A424" s="170">
        <v>42627</v>
      </c>
      <c r="B424" s="116">
        <v>69.415021327679995</v>
      </c>
      <c r="C424" s="116">
        <v>69.075702089346393</v>
      </c>
      <c r="D424" s="116">
        <v>67.912321843631105</v>
      </c>
      <c r="E424" s="116">
        <v>68.639434497203098</v>
      </c>
      <c r="F424" s="116">
        <v>71.25</v>
      </c>
      <c r="G424">
        <v>514357</v>
      </c>
      <c r="H424" s="116"/>
      <c r="I424" s="116"/>
      <c r="L424" s="170">
        <v>42627</v>
      </c>
      <c r="M424" s="116">
        <v>69.124284806103006</v>
      </c>
      <c r="N424" s="116">
        <v>69.560553083280396</v>
      </c>
      <c r="O424" s="116">
        <v>67.863954227590597</v>
      </c>
      <c r="P424" s="116">
        <v>67.912428480610302</v>
      </c>
      <c r="Q424" s="116">
        <v>71.3</v>
      </c>
      <c r="R424">
        <v>2167342</v>
      </c>
    </row>
    <row r="425" spans="1:18" x14ac:dyDescent="0.25">
      <c r="A425" s="170">
        <v>42628</v>
      </c>
      <c r="B425" s="116">
        <v>69.8028147429184</v>
      </c>
      <c r="C425" s="116">
        <v>68.978753735536799</v>
      </c>
      <c r="D425" s="116">
        <v>68.445537789583895</v>
      </c>
      <c r="E425" s="116">
        <v>69.269598796965596</v>
      </c>
      <c r="F425" s="116">
        <v>71.150000000000006</v>
      </c>
      <c r="G425">
        <v>246483</v>
      </c>
      <c r="H425" s="116"/>
      <c r="I425" s="116"/>
      <c r="L425" s="170">
        <v>42628</v>
      </c>
      <c r="M425" s="116">
        <v>68.978862047043904</v>
      </c>
      <c r="N425" s="116">
        <v>69.802924348378895</v>
      </c>
      <c r="O425" s="116">
        <v>68.251748251748296</v>
      </c>
      <c r="P425" s="116">
        <v>69.318181818181799</v>
      </c>
      <c r="Q425" s="116">
        <v>71.150000000000006</v>
      </c>
      <c r="R425">
        <v>987221</v>
      </c>
    </row>
    <row r="426" spans="1:18" x14ac:dyDescent="0.25">
      <c r="A426" s="170">
        <v>42629</v>
      </c>
      <c r="B426" s="116">
        <v>70.2875565119665</v>
      </c>
      <c r="C426" s="116">
        <v>67.233683366963803</v>
      </c>
      <c r="D426" s="116">
        <v>66.700467421010998</v>
      </c>
      <c r="E426" s="116">
        <v>68.590960320298294</v>
      </c>
      <c r="F426" s="116">
        <v>69.349999999999994</v>
      </c>
      <c r="G426">
        <v>698641</v>
      </c>
      <c r="H426" s="116"/>
      <c r="I426" s="116"/>
      <c r="L426" s="170">
        <v>42629</v>
      </c>
      <c r="M426" s="116">
        <v>66.991417673235802</v>
      </c>
      <c r="N426" s="116">
        <v>70.287666878576005</v>
      </c>
      <c r="O426" s="116">
        <v>66.4582008900191</v>
      </c>
      <c r="P426" s="116">
        <v>69.318181818181799</v>
      </c>
      <c r="Q426" s="116">
        <v>69.099999999999994</v>
      </c>
      <c r="R426">
        <v>6658479</v>
      </c>
    </row>
    <row r="427" spans="1:18" x14ac:dyDescent="0.25">
      <c r="A427" s="170">
        <v>42632</v>
      </c>
      <c r="B427" s="116">
        <v>68.542486143393504</v>
      </c>
      <c r="C427" s="116">
        <v>67.912321843631105</v>
      </c>
      <c r="D427" s="116">
        <v>67.185209190058998</v>
      </c>
      <c r="E427" s="116">
        <v>67.185209190058998</v>
      </c>
      <c r="F427" s="116">
        <v>70.05</v>
      </c>
      <c r="G427">
        <v>311877</v>
      </c>
      <c r="H427" s="116"/>
      <c r="I427" s="116"/>
      <c r="L427" s="170">
        <v>42632</v>
      </c>
      <c r="M427" s="116">
        <v>67.863954227590597</v>
      </c>
      <c r="N427" s="116">
        <v>68.494119516846794</v>
      </c>
      <c r="O427" s="116">
        <v>67.185314685314694</v>
      </c>
      <c r="P427" s="116">
        <v>67.379211697393501</v>
      </c>
      <c r="Q427" s="116">
        <v>70</v>
      </c>
      <c r="R427">
        <v>1556246</v>
      </c>
    </row>
    <row r="428" spans="1:18" x14ac:dyDescent="0.25">
      <c r="A428" s="170">
        <v>42633</v>
      </c>
      <c r="B428" s="116">
        <v>69.124176266251197</v>
      </c>
      <c r="C428" s="116">
        <v>68.397063612679105</v>
      </c>
      <c r="D428" s="116">
        <v>68.154692728155098</v>
      </c>
      <c r="E428" s="116">
        <v>68.251641081964706</v>
      </c>
      <c r="F428" s="116">
        <v>70.55</v>
      </c>
      <c r="G428">
        <v>309089</v>
      </c>
      <c r="H428" s="116"/>
      <c r="I428" s="116"/>
      <c r="L428" s="170">
        <v>42633</v>
      </c>
      <c r="M428" s="116">
        <v>68.348696757787707</v>
      </c>
      <c r="N428" s="116">
        <v>69.172759059122697</v>
      </c>
      <c r="O428" s="116">
        <v>68.057851239669404</v>
      </c>
      <c r="P428" s="116">
        <v>68.057851239669404</v>
      </c>
      <c r="Q428" s="116">
        <v>70.5</v>
      </c>
      <c r="R428">
        <v>2598567</v>
      </c>
    </row>
    <row r="429" spans="1:18" x14ac:dyDescent="0.25">
      <c r="A429" s="170">
        <v>42634</v>
      </c>
      <c r="B429" s="116">
        <v>69.511969681489603</v>
      </c>
      <c r="C429" s="116">
        <v>68.736382851012706</v>
      </c>
      <c r="D429" s="116">
        <v>68.251641081964706</v>
      </c>
      <c r="E429" s="116">
        <v>68.639434497203098</v>
      </c>
      <c r="F429" s="116">
        <v>70.900000000000006</v>
      </c>
      <c r="G429">
        <v>372070</v>
      </c>
      <c r="H429" s="116"/>
      <c r="I429" s="116"/>
      <c r="L429" s="170">
        <v>42634</v>
      </c>
      <c r="M429" s="116">
        <v>68.784965034964998</v>
      </c>
      <c r="N429" s="116">
        <v>69.560553083280396</v>
      </c>
      <c r="O429" s="116">
        <v>68.1547997457088</v>
      </c>
      <c r="P429" s="116">
        <v>68.736490781945307</v>
      </c>
      <c r="Q429" s="116">
        <v>70.95</v>
      </c>
      <c r="R429">
        <v>2383940</v>
      </c>
    </row>
    <row r="430" spans="1:18" x14ac:dyDescent="0.25">
      <c r="A430" s="170">
        <v>42635</v>
      </c>
      <c r="B430" s="116">
        <v>69.996711450537703</v>
      </c>
      <c r="C430" s="116">
        <v>69.608918035299197</v>
      </c>
      <c r="D430" s="116">
        <v>68.687908674107902</v>
      </c>
      <c r="E430" s="116">
        <v>69.3180729738704</v>
      </c>
      <c r="F430" s="116">
        <v>71.8</v>
      </c>
      <c r="G430">
        <v>301027</v>
      </c>
      <c r="H430" s="116"/>
      <c r="I430" s="116"/>
      <c r="L430" s="170">
        <v>42635</v>
      </c>
      <c r="M430" s="116">
        <v>69.657501589319807</v>
      </c>
      <c r="N430" s="116">
        <v>70.045295613477407</v>
      </c>
      <c r="O430" s="116">
        <v>68.591068022886205</v>
      </c>
      <c r="P430" s="116">
        <v>69.415130324221195</v>
      </c>
      <c r="Q430" s="116">
        <v>71.849999999999994</v>
      </c>
      <c r="R430">
        <v>2483877</v>
      </c>
    </row>
    <row r="431" spans="1:18" x14ac:dyDescent="0.25">
      <c r="A431" s="170">
        <v>42636</v>
      </c>
      <c r="B431" s="116">
        <v>70.675349927204905</v>
      </c>
      <c r="C431" s="116">
        <v>69.463495504584799</v>
      </c>
      <c r="D431" s="116">
        <v>69.124176266251197</v>
      </c>
      <c r="E431" s="116">
        <v>69.8028147429184</v>
      </c>
      <c r="F431" s="116">
        <v>71.650000000000006</v>
      </c>
      <c r="G431">
        <v>338134</v>
      </c>
      <c r="H431" s="116"/>
      <c r="I431" s="116"/>
      <c r="L431" s="170">
        <v>42636</v>
      </c>
      <c r="M431" s="116">
        <v>69.415130324221195</v>
      </c>
      <c r="N431" s="116">
        <v>70.626986649713899</v>
      </c>
      <c r="O431" s="116">
        <v>69.172759059122697</v>
      </c>
      <c r="P431" s="116">
        <v>70.190718372536594</v>
      </c>
      <c r="Q431" s="116">
        <v>71.599999999999994</v>
      </c>
      <c r="R431">
        <v>2359971</v>
      </c>
    </row>
    <row r="432" spans="1:18" x14ac:dyDescent="0.25">
      <c r="A432" s="170">
        <v>42639</v>
      </c>
      <c r="B432" s="116">
        <v>69.899763096728094</v>
      </c>
      <c r="C432" s="116">
        <v>68.106218551250294</v>
      </c>
      <c r="D432" s="116">
        <v>67.766899312916706</v>
      </c>
      <c r="E432" s="116">
        <v>69.560443858394393</v>
      </c>
      <c r="F432" s="116">
        <v>70.25</v>
      </c>
      <c r="G432">
        <v>276957</v>
      </c>
      <c r="H432" s="116"/>
      <c r="I432" s="116"/>
      <c r="L432" s="170">
        <v>42639</v>
      </c>
      <c r="M432" s="116">
        <v>68.106325492689095</v>
      </c>
      <c r="N432" s="116">
        <v>69.899872854418305</v>
      </c>
      <c r="O432" s="116">
        <v>67.815479974570906</v>
      </c>
      <c r="P432" s="116">
        <v>69.221233312142402</v>
      </c>
      <c r="Q432" s="116">
        <v>70.25</v>
      </c>
      <c r="R432">
        <v>1955410</v>
      </c>
    </row>
    <row r="433" spans="1:18" x14ac:dyDescent="0.25">
      <c r="A433" s="170">
        <v>42640</v>
      </c>
      <c r="B433" s="116">
        <v>69.221124620060806</v>
      </c>
      <c r="C433" s="116">
        <v>68.348589435774301</v>
      </c>
      <c r="D433" s="116">
        <v>68.251641081964706</v>
      </c>
      <c r="E433" s="116">
        <v>68.639434497203098</v>
      </c>
      <c r="F433" s="116">
        <v>70.5</v>
      </c>
      <c r="G433">
        <v>214655</v>
      </c>
      <c r="H433" s="116"/>
      <c r="I433" s="116"/>
      <c r="L433" s="170">
        <v>42640</v>
      </c>
      <c r="M433" s="116">
        <v>68.348696757787707</v>
      </c>
      <c r="N433" s="116">
        <v>69.221233312142402</v>
      </c>
      <c r="O433" s="116">
        <v>68.203273998728505</v>
      </c>
      <c r="P433" s="116">
        <v>68.494119516846794</v>
      </c>
      <c r="Q433" s="116">
        <v>70.5</v>
      </c>
      <c r="R433">
        <v>1832541</v>
      </c>
    </row>
    <row r="434" spans="1:18" x14ac:dyDescent="0.25">
      <c r="A434" s="170">
        <v>42641</v>
      </c>
      <c r="B434" s="116">
        <v>69.511969681489603</v>
      </c>
      <c r="C434" s="116">
        <v>69.075702089346393</v>
      </c>
      <c r="D434" s="116">
        <v>68.445537789583895</v>
      </c>
      <c r="E434" s="116">
        <v>68.445537789583895</v>
      </c>
      <c r="F434" s="116">
        <v>71.25</v>
      </c>
      <c r="G434">
        <v>182391</v>
      </c>
      <c r="H434" s="116"/>
      <c r="I434" s="116"/>
      <c r="L434" s="170">
        <v>42641</v>
      </c>
      <c r="M434" s="116">
        <v>68.978862047043904</v>
      </c>
      <c r="N434" s="116">
        <v>69.609027336300102</v>
      </c>
      <c r="O434" s="116">
        <v>68.348696757787707</v>
      </c>
      <c r="P434" s="116">
        <v>68.348696757787707</v>
      </c>
      <c r="Q434" s="116">
        <v>71.150000000000006</v>
      </c>
      <c r="R434">
        <v>1430433</v>
      </c>
    </row>
    <row r="435" spans="1:18" x14ac:dyDescent="0.25">
      <c r="A435" s="170">
        <v>42642</v>
      </c>
      <c r="B435" s="116">
        <v>69.8028147429184</v>
      </c>
      <c r="C435" s="116">
        <v>63.210326683864999</v>
      </c>
      <c r="D435" s="116">
        <v>62.774059091721803</v>
      </c>
      <c r="E435" s="116">
        <v>69.463495504584799</v>
      </c>
      <c r="F435" s="116">
        <v>65.2</v>
      </c>
      <c r="G435">
        <v>679572</v>
      </c>
      <c r="H435" s="116"/>
      <c r="I435" s="116"/>
      <c r="L435" s="170">
        <v>42642</v>
      </c>
      <c r="M435" s="116">
        <v>62.919580419580399</v>
      </c>
      <c r="N435" s="116">
        <v>69.899872854418305</v>
      </c>
      <c r="O435" s="116">
        <v>62.143992371265099</v>
      </c>
      <c r="P435" s="116">
        <v>69.512078830260606</v>
      </c>
      <c r="Q435" s="116">
        <v>64.900000000000006</v>
      </c>
      <c r="R435">
        <v>5058328</v>
      </c>
    </row>
    <row r="436" spans="1:18" x14ac:dyDescent="0.25">
      <c r="A436" s="170">
        <v>42643</v>
      </c>
      <c r="B436" s="116">
        <v>64.422181106485198</v>
      </c>
      <c r="C436" s="116">
        <v>63.646594276008301</v>
      </c>
      <c r="D436" s="116">
        <v>61.513730492196899</v>
      </c>
      <c r="E436" s="116">
        <v>63.501171745293902</v>
      </c>
      <c r="F436" s="116">
        <v>65.650000000000006</v>
      </c>
      <c r="G436">
        <v>639781</v>
      </c>
      <c r="H436" s="116"/>
      <c r="I436" s="116"/>
      <c r="L436" s="170">
        <v>42643</v>
      </c>
      <c r="M436" s="116">
        <v>63.695168467895698</v>
      </c>
      <c r="N436" s="116">
        <v>64.276859504132204</v>
      </c>
      <c r="O436" s="116">
        <v>61.3684043229498</v>
      </c>
      <c r="P436" s="116">
        <v>62.822631913541002</v>
      </c>
      <c r="Q436" s="116">
        <v>65.7</v>
      </c>
      <c r="R436">
        <v>3074896</v>
      </c>
    </row>
    <row r="437" spans="1:18" x14ac:dyDescent="0.25">
      <c r="A437" s="170">
        <v>42646</v>
      </c>
      <c r="B437" s="116">
        <v>65.294716290771603</v>
      </c>
      <c r="C437" s="116">
        <v>64.858448698628393</v>
      </c>
      <c r="D437" s="116">
        <v>63.985913514341902</v>
      </c>
      <c r="E437" s="116">
        <v>63.985913514341902</v>
      </c>
      <c r="F437" s="116">
        <v>66.900000000000006</v>
      </c>
      <c r="G437">
        <v>214611</v>
      </c>
      <c r="H437" s="116"/>
      <c r="I437" s="116"/>
      <c r="L437" s="170">
        <v>42646</v>
      </c>
      <c r="M437" s="116">
        <v>64.955499046408093</v>
      </c>
      <c r="N437" s="116">
        <v>65.294818817546101</v>
      </c>
      <c r="O437" s="116">
        <v>63.986013986014001</v>
      </c>
      <c r="P437" s="116">
        <v>63.986013986014001</v>
      </c>
      <c r="Q437" s="116">
        <v>67</v>
      </c>
      <c r="R437">
        <v>1326961</v>
      </c>
    </row>
    <row r="438" spans="1:18" x14ac:dyDescent="0.25">
      <c r="A438" s="170">
        <v>42647</v>
      </c>
      <c r="B438" s="116">
        <v>66.506570713391696</v>
      </c>
      <c r="C438" s="116">
        <v>65.973354767438906</v>
      </c>
      <c r="D438" s="116">
        <v>65.197767936961995</v>
      </c>
      <c r="E438" s="116">
        <v>65.440138821486002</v>
      </c>
      <c r="F438" s="116">
        <v>68.05</v>
      </c>
      <c r="G438">
        <v>301766</v>
      </c>
      <c r="H438" s="116"/>
      <c r="I438" s="116"/>
      <c r="L438" s="170">
        <v>42647</v>
      </c>
      <c r="M438" s="116">
        <v>65.924984106802299</v>
      </c>
      <c r="N438" s="116">
        <v>66.603623649078202</v>
      </c>
      <c r="O438" s="116">
        <v>64.955499046408093</v>
      </c>
      <c r="P438" s="116">
        <v>65.440241576605203</v>
      </c>
      <c r="Q438" s="116">
        <v>68</v>
      </c>
      <c r="R438">
        <v>2594335</v>
      </c>
    </row>
    <row r="439" spans="1:18" x14ac:dyDescent="0.25">
      <c r="A439" s="170">
        <v>42648</v>
      </c>
      <c r="B439" s="116">
        <v>66.700467421010998</v>
      </c>
      <c r="C439" s="116">
        <v>65.488612998390806</v>
      </c>
      <c r="D439" s="116">
        <v>65.149293760057205</v>
      </c>
      <c r="E439" s="116">
        <v>66.215725651962899</v>
      </c>
      <c r="F439" s="116">
        <v>67.55</v>
      </c>
      <c r="G439">
        <v>238348</v>
      </c>
      <c r="H439" s="116"/>
      <c r="I439" s="116"/>
      <c r="L439" s="170">
        <v>42648</v>
      </c>
      <c r="M439" s="116">
        <v>65.585664335664305</v>
      </c>
      <c r="N439" s="116">
        <v>66.700572155117598</v>
      </c>
      <c r="O439" s="116">
        <v>65.052447552447504</v>
      </c>
      <c r="P439" s="116">
        <v>66.312778130959899</v>
      </c>
      <c r="Q439" s="116">
        <v>67.650000000000006</v>
      </c>
      <c r="R439">
        <v>1582629</v>
      </c>
    </row>
    <row r="440" spans="1:18" x14ac:dyDescent="0.25">
      <c r="A440" s="170">
        <v>42649</v>
      </c>
      <c r="B440" s="116">
        <v>66.458096536486906</v>
      </c>
      <c r="C440" s="116">
        <v>64.906922875533198</v>
      </c>
      <c r="D440" s="116">
        <v>64.2767585757707</v>
      </c>
      <c r="E440" s="116">
        <v>65.973354767438906</v>
      </c>
      <c r="F440" s="116">
        <v>66.95</v>
      </c>
      <c r="G440">
        <v>242988</v>
      </c>
      <c r="H440" s="116"/>
      <c r="I440" s="116"/>
      <c r="L440" s="170">
        <v>42649</v>
      </c>
      <c r="M440" s="116">
        <v>64.713127781309595</v>
      </c>
      <c r="N440" s="116">
        <v>66.4582008900191</v>
      </c>
      <c r="O440" s="116">
        <v>64.131436745073103</v>
      </c>
      <c r="P440" s="116">
        <v>65.924984106802299</v>
      </c>
      <c r="Q440" s="116">
        <v>66.75</v>
      </c>
      <c r="R440">
        <v>1633790</v>
      </c>
    </row>
    <row r="441" spans="1:18" x14ac:dyDescent="0.25">
      <c r="A441" s="170">
        <v>42650</v>
      </c>
      <c r="B441" s="116">
        <v>66.409622359582102</v>
      </c>
      <c r="C441" s="116">
        <v>66.021828944343696</v>
      </c>
      <c r="D441" s="116">
        <v>64.422181106485198</v>
      </c>
      <c r="E441" s="116">
        <v>64.955397052438002</v>
      </c>
      <c r="F441" s="116">
        <v>68.099999999999994</v>
      </c>
      <c r="G441">
        <v>448716</v>
      </c>
      <c r="H441" s="116"/>
      <c r="I441" s="116"/>
      <c r="L441" s="170">
        <v>42650</v>
      </c>
      <c r="M441" s="116">
        <v>65.779561347743197</v>
      </c>
      <c r="N441" s="116">
        <v>66.264303877940193</v>
      </c>
      <c r="O441" s="116">
        <v>64.276859504132204</v>
      </c>
      <c r="P441" s="116">
        <v>65.100921805467294</v>
      </c>
      <c r="Q441" s="116">
        <v>67.849999999999994</v>
      </c>
      <c r="R441">
        <v>2956857</v>
      </c>
    </row>
    <row r="442" spans="1:18" x14ac:dyDescent="0.25">
      <c r="A442" s="170">
        <v>42653</v>
      </c>
      <c r="B442" s="116">
        <v>68.251641081964706</v>
      </c>
      <c r="C442" s="116">
        <v>66.991312482439795</v>
      </c>
      <c r="D442" s="116">
        <v>65.197767936961995</v>
      </c>
      <c r="E442" s="116">
        <v>66.264199828867703</v>
      </c>
      <c r="F442" s="116">
        <v>69.099999999999994</v>
      </c>
      <c r="G442">
        <v>612008</v>
      </c>
      <c r="H442" s="116"/>
      <c r="I442" s="116"/>
      <c r="L442" s="170">
        <v>42653</v>
      </c>
      <c r="M442" s="116">
        <v>66.942943420216096</v>
      </c>
      <c r="N442" s="116">
        <v>68.203273998728505</v>
      </c>
      <c r="O442" s="116">
        <v>65.052447552447504</v>
      </c>
      <c r="P442" s="116">
        <v>66.264303877940193</v>
      </c>
      <c r="Q442" s="116">
        <v>69.05</v>
      </c>
      <c r="R442">
        <v>4932347</v>
      </c>
    </row>
    <row r="443" spans="1:18" x14ac:dyDescent="0.25">
      <c r="A443" s="170">
        <v>42656</v>
      </c>
      <c r="B443" s="116">
        <v>67.573002605297404</v>
      </c>
      <c r="C443" s="116">
        <v>65.294716290771603</v>
      </c>
      <c r="D443" s="116">
        <v>65.100819583152401</v>
      </c>
      <c r="E443" s="116">
        <v>67.185209190058998</v>
      </c>
      <c r="F443" s="116">
        <v>67.349999999999994</v>
      </c>
      <c r="G443">
        <v>441787</v>
      </c>
      <c r="H443" s="116"/>
      <c r="I443" s="116"/>
      <c r="L443" s="170">
        <v>42656</v>
      </c>
      <c r="M443" s="116">
        <v>65.343293070565807</v>
      </c>
      <c r="N443" s="116">
        <v>67.573108709472294</v>
      </c>
      <c r="O443" s="116">
        <v>65.003973299427798</v>
      </c>
      <c r="P443" s="116">
        <v>66.8459949141767</v>
      </c>
      <c r="Q443" s="116">
        <v>67.400000000000006</v>
      </c>
      <c r="R443">
        <v>2189833</v>
      </c>
    </row>
    <row r="444" spans="1:18" x14ac:dyDescent="0.25">
      <c r="A444" s="170">
        <v>42657</v>
      </c>
      <c r="B444" s="116">
        <v>66.603519067201304</v>
      </c>
      <c r="C444" s="116">
        <v>65.537087175295596</v>
      </c>
      <c r="D444" s="116">
        <v>65.052345406247596</v>
      </c>
      <c r="E444" s="116">
        <v>65.634035529105304</v>
      </c>
      <c r="F444" s="116">
        <v>67.599999999999994</v>
      </c>
      <c r="G444">
        <v>192254</v>
      </c>
      <c r="H444" s="116"/>
      <c r="I444" s="116"/>
      <c r="L444" s="170">
        <v>42657</v>
      </c>
      <c r="M444" s="116">
        <v>65.537190082644599</v>
      </c>
      <c r="N444" s="116">
        <v>66.409726636999395</v>
      </c>
      <c r="O444" s="116">
        <v>65.052447552447504</v>
      </c>
      <c r="P444" s="116">
        <v>65.731087094723406</v>
      </c>
      <c r="Q444" s="116">
        <v>67.599999999999994</v>
      </c>
      <c r="R444">
        <v>2161935</v>
      </c>
    </row>
    <row r="445" spans="1:18" x14ac:dyDescent="0.25">
      <c r="A445" s="170">
        <v>42660</v>
      </c>
      <c r="B445" s="116">
        <v>66.700467421010998</v>
      </c>
      <c r="C445" s="116">
        <v>65.343190467676393</v>
      </c>
      <c r="D445" s="116">
        <v>64.664551991009205</v>
      </c>
      <c r="E445" s="116">
        <v>66.167251475058094</v>
      </c>
      <c r="F445" s="116">
        <v>67.400000000000006</v>
      </c>
      <c r="G445">
        <v>376770</v>
      </c>
      <c r="H445" s="116"/>
      <c r="I445" s="116"/>
      <c r="L445" s="170">
        <v>42660</v>
      </c>
      <c r="M445" s="116">
        <v>65.343293070565807</v>
      </c>
      <c r="N445" s="116">
        <v>66.8459949141767</v>
      </c>
      <c r="O445" s="116">
        <v>64.470756516211097</v>
      </c>
      <c r="P445" s="116">
        <v>65.828035600762902</v>
      </c>
      <c r="Q445" s="116">
        <v>67.400000000000006</v>
      </c>
      <c r="R445">
        <v>3056855</v>
      </c>
    </row>
    <row r="446" spans="1:18" x14ac:dyDescent="0.25">
      <c r="A446" s="170">
        <v>42661</v>
      </c>
      <c r="B446" s="116">
        <v>66.603519067201304</v>
      </c>
      <c r="C446" s="116">
        <v>66.409622359582102</v>
      </c>
      <c r="D446" s="116">
        <v>65.537087175295596</v>
      </c>
      <c r="E446" s="116">
        <v>65.876406413629297</v>
      </c>
      <c r="F446" s="116">
        <v>68.5</v>
      </c>
      <c r="G446">
        <v>201936</v>
      </c>
      <c r="H446" s="116"/>
      <c r="I446" s="116"/>
      <c r="L446" s="170">
        <v>42661</v>
      </c>
      <c r="M446" s="116">
        <v>66.4582008900191</v>
      </c>
      <c r="N446" s="116">
        <v>66.652097902097907</v>
      </c>
      <c r="O446" s="116">
        <v>65.634138588683996</v>
      </c>
      <c r="P446" s="116">
        <v>65.876509853782593</v>
      </c>
      <c r="Q446" s="116">
        <v>68.55</v>
      </c>
      <c r="R446">
        <v>1109854</v>
      </c>
    </row>
    <row r="447" spans="1:18" x14ac:dyDescent="0.25">
      <c r="A447" s="170">
        <v>42662</v>
      </c>
      <c r="B447" s="116">
        <v>67.5245284283926</v>
      </c>
      <c r="C447" s="116">
        <v>67.088260836249404</v>
      </c>
      <c r="D447" s="116">
        <v>66.361148182677297</v>
      </c>
      <c r="E447" s="116">
        <v>66.603519067201304</v>
      </c>
      <c r="F447" s="116">
        <v>69.2</v>
      </c>
      <c r="G447">
        <v>280713</v>
      </c>
      <c r="H447" s="116"/>
      <c r="I447" s="116"/>
      <c r="L447" s="170">
        <v>42662</v>
      </c>
      <c r="M447" s="116">
        <v>67.039891926255606</v>
      </c>
      <c r="N447" s="116">
        <v>67.476160203432897</v>
      </c>
      <c r="O447" s="116">
        <v>66.312778130959899</v>
      </c>
      <c r="P447" s="116">
        <v>66.797520661156994</v>
      </c>
      <c r="Q447" s="116">
        <v>69.150000000000006</v>
      </c>
      <c r="R447">
        <v>2055706</v>
      </c>
    </row>
    <row r="448" spans="1:18" x14ac:dyDescent="0.25">
      <c r="A448" s="170">
        <v>42663</v>
      </c>
      <c r="B448" s="116">
        <v>69.415021327679995</v>
      </c>
      <c r="C448" s="116">
        <v>68.930279558631995</v>
      </c>
      <c r="D448" s="116">
        <v>67.185209190058998</v>
      </c>
      <c r="E448" s="116">
        <v>67.185209190058998</v>
      </c>
      <c r="F448" s="116">
        <v>71.099999999999994</v>
      </c>
      <c r="G448">
        <v>457736</v>
      </c>
      <c r="H448" s="116"/>
      <c r="I448" s="116"/>
      <c r="L448" s="170">
        <v>42663</v>
      </c>
      <c r="M448" s="116">
        <v>68.978862047043904</v>
      </c>
      <c r="N448" s="116">
        <v>69.463604577240901</v>
      </c>
      <c r="O448" s="116">
        <v>67.185314685314694</v>
      </c>
      <c r="P448" s="116">
        <v>67.379211697393501</v>
      </c>
      <c r="Q448" s="116">
        <v>71.150000000000006</v>
      </c>
      <c r="R448">
        <v>2649883</v>
      </c>
    </row>
    <row r="449" spans="1:18" x14ac:dyDescent="0.25">
      <c r="A449" s="170">
        <v>42664</v>
      </c>
      <c r="B449" s="116">
        <v>70.093659804347297</v>
      </c>
      <c r="C449" s="116">
        <v>69.221124620060806</v>
      </c>
      <c r="D449" s="116">
        <v>68.542486143393504</v>
      </c>
      <c r="E449" s="116">
        <v>69.8028147429184</v>
      </c>
      <c r="F449" s="116">
        <v>71.400000000000006</v>
      </c>
      <c r="G449">
        <v>379634</v>
      </c>
      <c r="H449" s="116"/>
      <c r="I449" s="116"/>
      <c r="L449" s="170">
        <v>42664</v>
      </c>
      <c r="M449" s="116">
        <v>69.221233312142402</v>
      </c>
      <c r="N449" s="116">
        <v>70.045295613477407</v>
      </c>
      <c r="O449" s="116">
        <v>68.445645263827103</v>
      </c>
      <c r="P449" s="116">
        <v>69.318181818181799</v>
      </c>
      <c r="Q449" s="116">
        <v>71.400000000000006</v>
      </c>
      <c r="R449">
        <v>2736427</v>
      </c>
    </row>
    <row r="450" spans="1:18" x14ac:dyDescent="0.25">
      <c r="A450" s="170">
        <v>42667</v>
      </c>
      <c r="B450" s="116">
        <v>70.481453219585703</v>
      </c>
      <c r="C450" s="116">
        <v>69.172650443156002</v>
      </c>
      <c r="D450" s="116">
        <v>68.978753735536799</v>
      </c>
      <c r="E450" s="116">
        <v>69.899763096728094</v>
      </c>
      <c r="F450" s="116">
        <v>71.349999999999994</v>
      </c>
      <c r="G450">
        <v>480669</v>
      </c>
      <c r="H450" s="116"/>
      <c r="I450" s="116"/>
      <c r="L450" s="170">
        <v>42667</v>
      </c>
      <c r="M450" s="116">
        <v>69.221233312142402</v>
      </c>
      <c r="N450" s="116">
        <v>70.578512396694194</v>
      </c>
      <c r="O450" s="116">
        <v>68.930387794024099</v>
      </c>
      <c r="P450" s="116">
        <v>69.705975842339498</v>
      </c>
      <c r="Q450" s="116">
        <v>71.400000000000006</v>
      </c>
      <c r="R450">
        <v>2729507</v>
      </c>
    </row>
    <row r="451" spans="1:18" x14ac:dyDescent="0.25">
      <c r="A451" s="170">
        <v>42668</v>
      </c>
      <c r="B451" s="116">
        <v>68.542486143393504</v>
      </c>
      <c r="C451" s="116">
        <v>65.537087175295596</v>
      </c>
      <c r="D451" s="116">
        <v>64.761500344818799</v>
      </c>
      <c r="E451" s="116">
        <v>68.542486143393504</v>
      </c>
      <c r="F451" s="116">
        <v>67.599999999999994</v>
      </c>
      <c r="G451">
        <v>861519</v>
      </c>
      <c r="H451" s="116"/>
      <c r="I451" s="116"/>
      <c r="L451" s="170">
        <v>42668</v>
      </c>
      <c r="M451" s="116">
        <v>65.440241576605203</v>
      </c>
      <c r="N451" s="116">
        <v>68.348696757787707</v>
      </c>
      <c r="O451" s="116">
        <v>64.7616020343293</v>
      </c>
      <c r="P451" s="116">
        <v>67.863954227590597</v>
      </c>
      <c r="Q451" s="116">
        <v>67.5</v>
      </c>
      <c r="R451">
        <v>6806517</v>
      </c>
    </row>
    <row r="452" spans="1:18" x14ac:dyDescent="0.25">
      <c r="A452" s="170">
        <v>42669</v>
      </c>
      <c r="B452" s="116">
        <v>66.0703031212485</v>
      </c>
      <c r="C452" s="116">
        <v>65.246242113866799</v>
      </c>
      <c r="D452" s="116">
        <v>64.616077814104401</v>
      </c>
      <c r="E452" s="116">
        <v>65.537087175295596</v>
      </c>
      <c r="F452" s="116">
        <v>67.3</v>
      </c>
      <c r="G452">
        <v>314683</v>
      </c>
      <c r="H452" s="116"/>
      <c r="I452" s="116"/>
      <c r="L452" s="170">
        <v>42669</v>
      </c>
      <c r="M452" s="116">
        <v>65.246344564526396</v>
      </c>
      <c r="N452" s="116">
        <v>66.021932612841695</v>
      </c>
      <c r="O452" s="116">
        <v>64.955499046408093</v>
      </c>
      <c r="P452" s="116">
        <v>65.440241576605203</v>
      </c>
      <c r="Q452" s="116">
        <v>67.3</v>
      </c>
      <c r="R452">
        <v>2306069</v>
      </c>
    </row>
    <row r="453" spans="1:18" x14ac:dyDescent="0.25">
      <c r="A453" s="170">
        <v>42670</v>
      </c>
      <c r="B453" s="116">
        <v>65.440138821486002</v>
      </c>
      <c r="C453" s="116">
        <v>64.713026167913995</v>
      </c>
      <c r="D453" s="116">
        <v>64.373706929580393</v>
      </c>
      <c r="E453" s="116">
        <v>65.343190467676393</v>
      </c>
      <c r="F453" s="116">
        <v>66.75</v>
      </c>
      <c r="G453">
        <v>272921</v>
      </c>
      <c r="H453" s="116"/>
      <c r="I453" s="116"/>
      <c r="L453" s="170">
        <v>42670</v>
      </c>
      <c r="M453" s="116">
        <v>64.907024793388402</v>
      </c>
      <c r="N453" s="116">
        <v>65.391767323585498</v>
      </c>
      <c r="O453" s="116">
        <v>64.325333757151895</v>
      </c>
      <c r="P453" s="116">
        <v>65.391767323585498</v>
      </c>
      <c r="Q453" s="116">
        <v>66.95</v>
      </c>
      <c r="R453">
        <v>2459748</v>
      </c>
    </row>
    <row r="454" spans="1:18" x14ac:dyDescent="0.25">
      <c r="A454" s="170">
        <v>42671</v>
      </c>
      <c r="B454" s="116">
        <v>65.634035529105304</v>
      </c>
      <c r="C454" s="116">
        <v>64.713026167913995</v>
      </c>
      <c r="D454" s="116">
        <v>64.373706929580393</v>
      </c>
      <c r="E454" s="116">
        <v>64.955397052438002</v>
      </c>
      <c r="F454" s="116">
        <v>66.75</v>
      </c>
      <c r="G454">
        <v>265817</v>
      </c>
      <c r="H454" s="116"/>
      <c r="I454" s="116"/>
      <c r="L454" s="170">
        <v>42671</v>
      </c>
      <c r="M454" s="116">
        <v>64.858550540368697</v>
      </c>
      <c r="N454" s="116">
        <v>65.682612841703701</v>
      </c>
      <c r="O454" s="116">
        <v>64.179910998092794</v>
      </c>
      <c r="P454" s="116">
        <v>65.100921805467294</v>
      </c>
      <c r="Q454" s="116">
        <v>66.900000000000006</v>
      </c>
      <c r="R454">
        <v>2381678</v>
      </c>
    </row>
    <row r="455" spans="1:18" x14ac:dyDescent="0.25">
      <c r="A455" s="170">
        <v>42673</v>
      </c>
      <c r="B455" s="116">
        <v>65.246242113866799</v>
      </c>
      <c r="C455" s="116">
        <v>65.003871229342806</v>
      </c>
      <c r="D455" s="116">
        <v>64.567603637199596</v>
      </c>
      <c r="E455" s="116">
        <v>64.567603637199596</v>
      </c>
      <c r="F455" s="116">
        <v>67.05</v>
      </c>
      <c r="G455">
        <v>54977</v>
      </c>
      <c r="H455" s="116"/>
      <c r="I455" s="116"/>
      <c r="L455" s="170">
        <v>42673</v>
      </c>
      <c r="M455" s="116">
        <v>64.955499046408093</v>
      </c>
      <c r="N455" s="116">
        <v>65.343293070565807</v>
      </c>
      <c r="O455" s="116">
        <v>64.616179275270198</v>
      </c>
      <c r="P455" s="116">
        <v>65.294818817546101</v>
      </c>
      <c r="Q455" s="116">
        <v>67</v>
      </c>
      <c r="R455">
        <v>288125</v>
      </c>
    </row>
    <row r="456" spans="1:18" x14ac:dyDescent="0.25">
      <c r="A456" s="170">
        <v>42675</v>
      </c>
      <c r="B456" s="116">
        <v>65.391664644581198</v>
      </c>
      <c r="C456" s="116">
        <v>64.664551991009205</v>
      </c>
      <c r="D456" s="116">
        <v>64.519129460294707</v>
      </c>
      <c r="E456" s="116">
        <v>65.197767936961995</v>
      </c>
      <c r="F456" s="116">
        <v>66.7</v>
      </c>
      <c r="G456">
        <v>187286</v>
      </c>
      <c r="H456" s="116"/>
      <c r="I456" s="116"/>
      <c r="L456" s="170">
        <v>42675</v>
      </c>
      <c r="M456" s="116">
        <v>64.713127781309595</v>
      </c>
      <c r="N456" s="116">
        <v>65.343293070565807</v>
      </c>
      <c r="O456" s="116">
        <v>64.567705022250493</v>
      </c>
      <c r="P456" s="116">
        <v>65.246344564526396</v>
      </c>
      <c r="Q456" s="116">
        <v>66.75</v>
      </c>
      <c r="R456">
        <v>1497525</v>
      </c>
    </row>
    <row r="457" spans="1:18" x14ac:dyDescent="0.25">
      <c r="A457" s="170">
        <v>42676</v>
      </c>
      <c r="B457" s="116">
        <v>64.131336045056301</v>
      </c>
      <c r="C457" s="116">
        <v>62.919481622436201</v>
      </c>
      <c r="D457" s="116">
        <v>62.677110737912201</v>
      </c>
      <c r="E457" s="116">
        <v>64.131336045056301</v>
      </c>
      <c r="F457" s="116">
        <v>64.900000000000006</v>
      </c>
      <c r="G457">
        <v>400916</v>
      </c>
      <c r="H457" s="116"/>
      <c r="I457" s="116"/>
      <c r="L457" s="170">
        <v>42676</v>
      </c>
      <c r="M457" s="116">
        <v>62.774157660521297</v>
      </c>
      <c r="N457" s="116">
        <v>64.179910998092794</v>
      </c>
      <c r="O457" s="116">
        <v>62.580260648442497</v>
      </c>
      <c r="P457" s="116">
        <v>64.179910998092794</v>
      </c>
      <c r="Q457" s="116">
        <v>64.75</v>
      </c>
      <c r="R457">
        <v>3024115</v>
      </c>
    </row>
    <row r="458" spans="1:18" x14ac:dyDescent="0.25">
      <c r="A458" s="170">
        <v>42677</v>
      </c>
      <c r="B458" s="116">
        <v>63.598120099103497</v>
      </c>
      <c r="C458" s="116">
        <v>62.483214030292999</v>
      </c>
      <c r="D458" s="116">
        <v>62.386265676483397</v>
      </c>
      <c r="E458" s="116">
        <v>62.531688207197803</v>
      </c>
      <c r="F458" s="116">
        <v>64.45</v>
      </c>
      <c r="G458">
        <v>249640</v>
      </c>
      <c r="H458" s="116"/>
      <c r="I458" s="116"/>
      <c r="L458" s="170">
        <v>42677</v>
      </c>
      <c r="M458" s="116">
        <v>62.531786395422799</v>
      </c>
      <c r="N458" s="116">
        <v>63.549745708836603</v>
      </c>
      <c r="O458" s="116">
        <v>62.434837889383303</v>
      </c>
      <c r="P458" s="116">
        <v>62.628734901462202</v>
      </c>
      <c r="Q458" s="116">
        <v>64.5</v>
      </c>
      <c r="R458">
        <v>1596308</v>
      </c>
    </row>
    <row r="459" spans="1:18" x14ac:dyDescent="0.25">
      <c r="A459" s="170">
        <v>42678</v>
      </c>
      <c r="B459" s="116">
        <v>62.967955799340999</v>
      </c>
      <c r="C459" s="116">
        <v>60.544246954100799</v>
      </c>
      <c r="D459" s="116">
        <v>60.156453538862401</v>
      </c>
      <c r="E459" s="116">
        <v>62.967955799340999</v>
      </c>
      <c r="F459" s="116">
        <v>62.45</v>
      </c>
      <c r="G459">
        <v>370528</v>
      </c>
      <c r="H459" s="116"/>
      <c r="I459" s="116"/>
      <c r="L459" s="170">
        <v>42678</v>
      </c>
      <c r="M459" s="116">
        <v>60.495867768594998</v>
      </c>
      <c r="N459" s="116">
        <v>63.016528925619802</v>
      </c>
      <c r="O459" s="116">
        <v>59.914176732358499</v>
      </c>
      <c r="P459" s="116">
        <v>62.725683407501599</v>
      </c>
      <c r="Q459" s="116">
        <v>62.4</v>
      </c>
      <c r="R459">
        <v>2569558</v>
      </c>
    </row>
    <row r="460" spans="1:18" x14ac:dyDescent="0.25">
      <c r="A460" s="170">
        <v>42681</v>
      </c>
      <c r="B460" s="116">
        <v>61.659153022911298</v>
      </c>
      <c r="C460" s="116">
        <v>61.125937076958401</v>
      </c>
      <c r="D460" s="116">
        <v>60.883566192434401</v>
      </c>
      <c r="E460" s="116">
        <v>61.077462900053597</v>
      </c>
      <c r="F460" s="116">
        <v>63.05</v>
      </c>
      <c r="G460">
        <v>277280</v>
      </c>
      <c r="H460" s="116"/>
      <c r="I460" s="116"/>
      <c r="L460" s="170">
        <v>42681</v>
      </c>
      <c r="M460" s="116">
        <v>61.174507310870901</v>
      </c>
      <c r="N460" s="116">
        <v>61.707724094087702</v>
      </c>
      <c r="O460" s="116">
        <v>60.932136045772403</v>
      </c>
      <c r="P460" s="116">
        <v>61.271455816910397</v>
      </c>
      <c r="Q460" s="116">
        <v>63.1</v>
      </c>
      <c r="R460">
        <v>1076460</v>
      </c>
    </row>
    <row r="461" spans="1:18" x14ac:dyDescent="0.25">
      <c r="A461" s="170">
        <v>42682</v>
      </c>
      <c r="B461" s="116">
        <v>64.713026167913995</v>
      </c>
      <c r="C461" s="116">
        <v>62.8225332686266</v>
      </c>
      <c r="D461" s="116">
        <v>60.544246954100799</v>
      </c>
      <c r="E461" s="116">
        <v>61.3683079614825</v>
      </c>
      <c r="F461" s="116">
        <v>64.8</v>
      </c>
      <c r="G461">
        <v>738227</v>
      </c>
      <c r="H461" s="116"/>
      <c r="I461" s="116"/>
      <c r="L461" s="170">
        <v>42682</v>
      </c>
      <c r="M461" s="116">
        <v>62.822631913541002</v>
      </c>
      <c r="N461" s="116">
        <v>64.713127781309595</v>
      </c>
      <c r="O461" s="116">
        <v>60.544342021614703</v>
      </c>
      <c r="P461" s="116">
        <v>61.5623013350286</v>
      </c>
      <c r="Q461" s="116">
        <v>64.8</v>
      </c>
      <c r="R461">
        <v>4102167</v>
      </c>
    </row>
    <row r="462" spans="1:18" x14ac:dyDescent="0.25">
      <c r="A462" s="170">
        <v>42683</v>
      </c>
      <c r="B462" s="116">
        <v>60.689669484815198</v>
      </c>
      <c r="C462" s="116">
        <v>59.962556831243099</v>
      </c>
      <c r="D462" s="116">
        <v>56.5693644479068</v>
      </c>
      <c r="E462" s="116">
        <v>59.138495823861497</v>
      </c>
      <c r="F462" s="116">
        <v>61.85</v>
      </c>
      <c r="G462">
        <v>786958</v>
      </c>
      <c r="H462" s="116"/>
      <c r="I462" s="116"/>
      <c r="L462" s="170">
        <v>42683</v>
      </c>
      <c r="M462" s="116">
        <v>60.011125238398002</v>
      </c>
      <c r="N462" s="116">
        <v>60.689764780673897</v>
      </c>
      <c r="O462" s="116">
        <v>56.569453273998697</v>
      </c>
      <c r="P462" s="116">
        <v>57.975206611570201</v>
      </c>
      <c r="Q462" s="116">
        <v>61.9</v>
      </c>
      <c r="R462">
        <v>2891545</v>
      </c>
    </row>
    <row r="463" spans="1:18" x14ac:dyDescent="0.25">
      <c r="A463" s="170">
        <v>42684</v>
      </c>
      <c r="B463" s="116">
        <v>65.246242113866799</v>
      </c>
      <c r="C463" s="116">
        <v>63.161852506960201</v>
      </c>
      <c r="D463" s="116">
        <v>61.513730492196899</v>
      </c>
      <c r="E463" s="116">
        <v>61.513730492196899</v>
      </c>
      <c r="F463" s="116">
        <v>65.150000000000006</v>
      </c>
      <c r="G463">
        <v>827445</v>
      </c>
      <c r="H463" s="116"/>
      <c r="I463" s="116"/>
      <c r="L463" s="170">
        <v>42684</v>
      </c>
      <c r="M463" s="116">
        <v>63.161951684679003</v>
      </c>
      <c r="N463" s="116">
        <v>65.440241576605203</v>
      </c>
      <c r="O463" s="116">
        <v>61.077558804831497</v>
      </c>
      <c r="P463" s="116">
        <v>61.174507310870901</v>
      </c>
      <c r="Q463" s="116">
        <v>65.150000000000006</v>
      </c>
      <c r="R463">
        <v>3047984</v>
      </c>
    </row>
    <row r="464" spans="1:18" x14ac:dyDescent="0.25">
      <c r="A464" s="170">
        <v>42685</v>
      </c>
      <c r="B464" s="116">
        <v>62.919481622436201</v>
      </c>
      <c r="C464" s="116">
        <v>61.949998084340102</v>
      </c>
      <c r="D464" s="116">
        <v>61.174411253863198</v>
      </c>
      <c r="E464" s="116">
        <v>62.434739853388201</v>
      </c>
      <c r="F464" s="116">
        <v>63.9</v>
      </c>
      <c r="G464">
        <v>368862</v>
      </c>
      <c r="H464" s="116"/>
      <c r="I464" s="116"/>
      <c r="L464" s="170">
        <v>42685</v>
      </c>
      <c r="M464" s="116">
        <v>61.998569612205998</v>
      </c>
      <c r="N464" s="116">
        <v>64.858550540368697</v>
      </c>
      <c r="O464" s="116">
        <v>61.416878575969498</v>
      </c>
      <c r="P464" s="116">
        <v>62.047043865225703</v>
      </c>
      <c r="Q464" s="116">
        <v>63.95</v>
      </c>
      <c r="R464">
        <v>2003671</v>
      </c>
    </row>
    <row r="465" spans="1:18" x14ac:dyDescent="0.25">
      <c r="A465" s="170">
        <v>42689</v>
      </c>
      <c r="B465" s="116">
        <v>62.3377914995786</v>
      </c>
      <c r="C465" s="116">
        <v>59.914082654338301</v>
      </c>
      <c r="D465" s="116">
        <v>57.926641401241298</v>
      </c>
      <c r="E465" s="116">
        <v>62.046946438149703</v>
      </c>
      <c r="F465" s="116">
        <v>61.8</v>
      </c>
      <c r="G465">
        <v>474782</v>
      </c>
      <c r="H465" s="116"/>
      <c r="I465" s="116"/>
      <c r="L465" s="170">
        <v>42689</v>
      </c>
      <c r="M465" s="116">
        <v>59.962650985378303</v>
      </c>
      <c r="N465" s="116">
        <v>62.434837889383303</v>
      </c>
      <c r="O465" s="116">
        <v>57.781309599491401</v>
      </c>
      <c r="P465" s="116">
        <v>62.337889383343899</v>
      </c>
      <c r="Q465" s="116">
        <v>61.85</v>
      </c>
      <c r="R465">
        <v>2180463</v>
      </c>
    </row>
    <row r="466" spans="1:18" x14ac:dyDescent="0.25">
      <c r="A466" s="170">
        <v>42690</v>
      </c>
      <c r="B466" s="116">
        <v>61.756101376720899</v>
      </c>
      <c r="C466" s="116">
        <v>60.107979361957497</v>
      </c>
      <c r="D466" s="116">
        <v>59.380866708385497</v>
      </c>
      <c r="E466" s="116">
        <v>61.0289887231488</v>
      </c>
      <c r="F466" s="116">
        <v>62</v>
      </c>
      <c r="G466">
        <v>346990</v>
      </c>
      <c r="H466" s="116"/>
      <c r="I466" s="116"/>
      <c r="L466" s="170">
        <v>42690</v>
      </c>
      <c r="M466" s="116">
        <v>60.0595994914177</v>
      </c>
      <c r="N466" s="116">
        <v>61.3684043229498</v>
      </c>
      <c r="O466" s="116">
        <v>59.477908455181201</v>
      </c>
      <c r="P466" s="116">
        <v>60.738239033693603</v>
      </c>
      <c r="Q466" s="116">
        <v>61.95</v>
      </c>
      <c r="R466">
        <v>1686674</v>
      </c>
    </row>
    <row r="467" spans="1:18" x14ac:dyDescent="0.25">
      <c r="A467" s="170">
        <v>42691</v>
      </c>
      <c r="B467" s="116">
        <v>61.949998084340102</v>
      </c>
      <c r="C467" s="116">
        <v>61.125937076958401</v>
      </c>
      <c r="D467" s="116">
        <v>60.107979361957497</v>
      </c>
      <c r="E467" s="116">
        <v>60.301876069576799</v>
      </c>
      <c r="F467" s="116">
        <v>63.05</v>
      </c>
      <c r="G467">
        <v>354410</v>
      </c>
      <c r="H467" s="116"/>
      <c r="I467" s="116"/>
      <c r="L467" s="170">
        <v>42691</v>
      </c>
      <c r="M467" s="116">
        <v>61.029084551811799</v>
      </c>
      <c r="N467" s="116">
        <v>62.047043865225703</v>
      </c>
      <c r="O467" s="116">
        <v>60.108073744437398</v>
      </c>
      <c r="P467" s="116">
        <v>60.301970756516198</v>
      </c>
      <c r="Q467" s="116">
        <v>62.95</v>
      </c>
      <c r="R467">
        <v>1617737</v>
      </c>
    </row>
    <row r="468" spans="1:18" x14ac:dyDescent="0.25">
      <c r="A468" s="170">
        <v>42692</v>
      </c>
      <c r="B468" s="116">
        <v>62.967955799340999</v>
      </c>
      <c r="C468" s="116">
        <v>62.386265676483397</v>
      </c>
      <c r="D468" s="116">
        <v>60.107979361957497</v>
      </c>
      <c r="E468" s="116">
        <v>60.107979361957497</v>
      </c>
      <c r="F468" s="116">
        <v>64.349999999999994</v>
      </c>
      <c r="G468">
        <v>879955</v>
      </c>
      <c r="H468" s="116"/>
      <c r="I468" s="116"/>
      <c r="L468" s="170">
        <v>42692</v>
      </c>
      <c r="M468" s="116">
        <v>62.386363636363598</v>
      </c>
      <c r="N468" s="116">
        <v>63.016528925619802</v>
      </c>
      <c r="O468" s="116">
        <v>60.350445009535903</v>
      </c>
      <c r="P468" s="116">
        <v>60.980610298792101</v>
      </c>
      <c r="Q468" s="116">
        <v>64.349999999999994</v>
      </c>
      <c r="R468">
        <v>2512944</v>
      </c>
    </row>
    <row r="469" spans="1:18" x14ac:dyDescent="0.25">
      <c r="A469" s="170">
        <v>42695</v>
      </c>
      <c r="B469" s="116">
        <v>63.161852506960201</v>
      </c>
      <c r="C469" s="116">
        <v>60.7866178386248</v>
      </c>
      <c r="D469" s="116">
        <v>59.914082654338301</v>
      </c>
      <c r="E469" s="116">
        <v>63.0649041531506</v>
      </c>
      <c r="F469" s="116">
        <v>62.7</v>
      </c>
      <c r="G469">
        <v>575730</v>
      </c>
      <c r="H469" s="116"/>
      <c r="I469" s="116"/>
      <c r="L469" s="170">
        <v>42695</v>
      </c>
      <c r="M469" s="116">
        <v>60.883661792752697</v>
      </c>
      <c r="N469" s="116">
        <v>63.355848696757803</v>
      </c>
      <c r="O469" s="116">
        <v>59.817228226319102</v>
      </c>
      <c r="P469" s="116">
        <v>63.355848696757803</v>
      </c>
      <c r="Q469" s="116">
        <v>62.8</v>
      </c>
      <c r="R469">
        <v>1899446</v>
      </c>
    </row>
    <row r="470" spans="1:18" x14ac:dyDescent="0.25">
      <c r="A470" s="170">
        <v>42696</v>
      </c>
      <c r="B470" s="116">
        <v>61.949998084340102</v>
      </c>
      <c r="C470" s="116">
        <v>60.592721131005597</v>
      </c>
      <c r="D470" s="116">
        <v>59.8171343005287</v>
      </c>
      <c r="E470" s="116">
        <v>61.901523907435298</v>
      </c>
      <c r="F470" s="116">
        <v>62.5</v>
      </c>
      <c r="G470">
        <v>453525</v>
      </c>
      <c r="H470" s="116"/>
      <c r="I470" s="116"/>
      <c r="L470" s="170">
        <v>42696</v>
      </c>
      <c r="M470" s="116">
        <v>60.641290527654199</v>
      </c>
      <c r="N470" s="116">
        <v>61.9500953591863</v>
      </c>
      <c r="O470" s="116">
        <v>59.720279720279699</v>
      </c>
      <c r="P470" s="116">
        <v>61.222981563890599</v>
      </c>
      <c r="Q470" s="116">
        <v>62.55</v>
      </c>
      <c r="R470">
        <v>1292979</v>
      </c>
    </row>
    <row r="471" spans="1:18" x14ac:dyDescent="0.25">
      <c r="A471" s="170">
        <v>42697</v>
      </c>
      <c r="B471" s="116">
        <v>62.046946438149703</v>
      </c>
      <c r="C471" s="116">
        <v>61.513730492196899</v>
      </c>
      <c r="D471" s="116">
        <v>60.641195307910401</v>
      </c>
      <c r="E471" s="116">
        <v>60.883566192434401</v>
      </c>
      <c r="F471" s="116">
        <v>63.45</v>
      </c>
      <c r="G471">
        <v>233429</v>
      </c>
      <c r="H471" s="116"/>
      <c r="I471" s="116"/>
      <c r="L471" s="170">
        <v>42697</v>
      </c>
      <c r="M471" s="116">
        <v>61.416878575969498</v>
      </c>
      <c r="N471" s="116">
        <v>62.047043865225703</v>
      </c>
      <c r="O471" s="116">
        <v>60.689764780673897</v>
      </c>
      <c r="P471" s="116">
        <v>61.126033057851203</v>
      </c>
      <c r="Q471" s="116">
        <v>63.35</v>
      </c>
      <c r="R471">
        <v>1323336</v>
      </c>
    </row>
    <row r="472" spans="1:18" x14ac:dyDescent="0.25">
      <c r="A472" s="170">
        <v>42698</v>
      </c>
      <c r="B472" s="116">
        <v>61.465256315292102</v>
      </c>
      <c r="C472" s="116">
        <v>60.011031008147903</v>
      </c>
      <c r="D472" s="116">
        <v>59.429340885290301</v>
      </c>
      <c r="E472" s="116">
        <v>60.980514546244002</v>
      </c>
      <c r="F472" s="116">
        <v>61.9</v>
      </c>
      <c r="G472">
        <v>172194</v>
      </c>
      <c r="H472" s="116"/>
      <c r="I472" s="116"/>
      <c r="L472" s="170">
        <v>42698</v>
      </c>
      <c r="M472" s="116">
        <v>59.768753973299397</v>
      </c>
      <c r="N472" s="116">
        <v>61.416878575969498</v>
      </c>
      <c r="O472" s="116">
        <v>59.429434202161502</v>
      </c>
      <c r="P472" s="116">
        <v>60.980610298792101</v>
      </c>
      <c r="Q472" s="116">
        <v>61.65</v>
      </c>
      <c r="R472">
        <v>1928880</v>
      </c>
    </row>
    <row r="473" spans="1:18" x14ac:dyDescent="0.25">
      <c r="A473" s="170">
        <v>42699</v>
      </c>
      <c r="B473" s="116">
        <v>62.483214030292999</v>
      </c>
      <c r="C473" s="116">
        <v>61.707627199816102</v>
      </c>
      <c r="D473" s="116">
        <v>60.204927715767198</v>
      </c>
      <c r="E473" s="116">
        <v>60.592721131005597</v>
      </c>
      <c r="F473" s="116">
        <v>63.65</v>
      </c>
      <c r="G473">
        <v>473558</v>
      </c>
      <c r="H473" s="116"/>
      <c r="I473" s="116"/>
      <c r="L473" s="170">
        <v>42699</v>
      </c>
      <c r="M473" s="116">
        <v>61.610775588048298</v>
      </c>
      <c r="N473" s="116">
        <v>62.289415130324201</v>
      </c>
      <c r="O473" s="116">
        <v>60.108073744437398</v>
      </c>
      <c r="P473" s="116">
        <v>60.4473935155753</v>
      </c>
      <c r="Q473" s="116">
        <v>63.55</v>
      </c>
      <c r="R473">
        <v>2278191</v>
      </c>
    </row>
    <row r="474" spans="1:18" x14ac:dyDescent="0.25">
      <c r="A474" s="170">
        <v>42702</v>
      </c>
      <c r="B474" s="116">
        <v>64.713026167913995</v>
      </c>
      <c r="C474" s="116">
        <v>63.695068452913098</v>
      </c>
      <c r="D474" s="116">
        <v>61.174411253863198</v>
      </c>
      <c r="E474" s="116">
        <v>61.3683079614825</v>
      </c>
      <c r="F474" s="116">
        <v>65.7</v>
      </c>
      <c r="G474">
        <v>382704</v>
      </c>
      <c r="H474" s="116"/>
      <c r="I474" s="116"/>
      <c r="L474" s="170">
        <v>42702</v>
      </c>
      <c r="M474" s="116">
        <v>63.598219961856302</v>
      </c>
      <c r="N474" s="116">
        <v>64.567705022250493</v>
      </c>
      <c r="O474" s="116">
        <v>61.077558804831497</v>
      </c>
      <c r="P474" s="116">
        <v>61.513827082008902</v>
      </c>
      <c r="Q474" s="116">
        <v>65.599999999999994</v>
      </c>
      <c r="R474">
        <v>2509327</v>
      </c>
    </row>
    <row r="475" spans="1:18" x14ac:dyDescent="0.25">
      <c r="A475" s="170">
        <v>42703</v>
      </c>
      <c r="B475" s="116">
        <v>65.440138821486002</v>
      </c>
      <c r="C475" s="116">
        <v>64.519129460294707</v>
      </c>
      <c r="D475" s="116">
        <v>63.598120099103497</v>
      </c>
      <c r="E475" s="116">
        <v>63.7920168067227</v>
      </c>
      <c r="F475" s="116">
        <v>66.55</v>
      </c>
      <c r="G475">
        <v>294536</v>
      </c>
      <c r="H475" s="116"/>
      <c r="I475" s="116"/>
      <c r="L475" s="170">
        <v>42703</v>
      </c>
      <c r="M475" s="116">
        <v>64.422282263191306</v>
      </c>
      <c r="N475" s="116">
        <v>65.391767323585498</v>
      </c>
      <c r="O475" s="116">
        <v>63.549745708836603</v>
      </c>
      <c r="P475" s="116">
        <v>63.695168467895698</v>
      </c>
      <c r="Q475" s="116">
        <v>66.45</v>
      </c>
      <c r="R475">
        <v>1821304</v>
      </c>
    </row>
    <row r="476" spans="1:18" x14ac:dyDescent="0.25">
      <c r="A476" s="170">
        <v>42704</v>
      </c>
      <c r="B476" s="116">
        <v>66.361148182677297</v>
      </c>
      <c r="C476" s="116">
        <v>65.876406413629297</v>
      </c>
      <c r="D476" s="116">
        <v>64.470655283389902</v>
      </c>
      <c r="E476" s="116">
        <v>64.664551991009205</v>
      </c>
      <c r="F476" s="116">
        <v>67.95</v>
      </c>
      <c r="G476">
        <v>261600</v>
      </c>
      <c r="H476" s="116"/>
      <c r="I476" s="116"/>
      <c r="L476" s="170">
        <v>42704</v>
      </c>
      <c r="M476" s="116">
        <v>65.973458359822004</v>
      </c>
      <c r="N476" s="116">
        <v>66.506675143038805</v>
      </c>
      <c r="O476" s="116">
        <v>64.470756516211097</v>
      </c>
      <c r="P476" s="116">
        <v>64.470756516211097</v>
      </c>
      <c r="Q476" s="116">
        <v>68.05</v>
      </c>
      <c r="R476">
        <v>1786277</v>
      </c>
    </row>
    <row r="477" spans="1:18" x14ac:dyDescent="0.25">
      <c r="A477" s="170">
        <v>42705</v>
      </c>
      <c r="B477" s="116">
        <v>66.845889951725397</v>
      </c>
      <c r="C477" s="116">
        <v>65.100819583152401</v>
      </c>
      <c r="D477" s="116">
        <v>64.373706929580393</v>
      </c>
      <c r="E477" s="116">
        <v>66.118777298153304</v>
      </c>
      <c r="F477" s="116">
        <v>67.150000000000006</v>
      </c>
      <c r="G477">
        <v>233281</v>
      </c>
      <c r="H477" s="116"/>
      <c r="I477" s="116"/>
      <c r="L477" s="170">
        <v>42705</v>
      </c>
      <c r="M477" s="116">
        <v>65.100921805467294</v>
      </c>
      <c r="N477" s="116">
        <v>66.797520661156994</v>
      </c>
      <c r="O477" s="116">
        <v>64.567705022250493</v>
      </c>
      <c r="P477" s="116">
        <v>66.215829624920502</v>
      </c>
      <c r="Q477" s="116">
        <v>67.150000000000006</v>
      </c>
      <c r="R477">
        <v>920325</v>
      </c>
    </row>
    <row r="478" spans="1:18" x14ac:dyDescent="0.25">
      <c r="A478" s="170">
        <v>42706</v>
      </c>
      <c r="B478" s="116">
        <v>68.397063612679105</v>
      </c>
      <c r="C478" s="116">
        <v>65.973354767438906</v>
      </c>
      <c r="D478" s="116">
        <v>64.567603637199596</v>
      </c>
      <c r="E478" s="116">
        <v>64.713026167913995</v>
      </c>
      <c r="F478" s="116">
        <v>68.05</v>
      </c>
      <c r="G478">
        <v>754321</v>
      </c>
      <c r="H478" s="116"/>
      <c r="I478" s="116"/>
      <c r="L478" s="170">
        <v>42706</v>
      </c>
      <c r="M478" s="116">
        <v>65.973458359822004</v>
      </c>
      <c r="N478" s="116">
        <v>68.494119516846794</v>
      </c>
      <c r="O478" s="116">
        <v>64.470756516211097</v>
      </c>
      <c r="P478" s="116">
        <v>64.7616020343293</v>
      </c>
      <c r="Q478" s="116">
        <v>68.05</v>
      </c>
      <c r="R478">
        <v>4601737</v>
      </c>
    </row>
    <row r="479" spans="1:18" x14ac:dyDescent="0.25">
      <c r="A479" s="170">
        <v>42709</v>
      </c>
      <c r="B479" s="116">
        <v>69.415021327679995</v>
      </c>
      <c r="C479" s="116">
        <v>67.5245284283926</v>
      </c>
      <c r="D479" s="116">
        <v>65.003871229342806</v>
      </c>
      <c r="E479" s="116">
        <v>65.003871229342806</v>
      </c>
      <c r="F479" s="116">
        <v>69.650000000000006</v>
      </c>
      <c r="G479">
        <v>788186</v>
      </c>
      <c r="H479" s="116"/>
      <c r="I479" s="116"/>
      <c r="L479" s="170">
        <v>42709</v>
      </c>
      <c r="M479" s="116">
        <v>67.524634456452603</v>
      </c>
      <c r="N479" s="116">
        <v>69.463604577240901</v>
      </c>
      <c r="O479" s="116">
        <v>65.052447552447504</v>
      </c>
      <c r="P479" s="116">
        <v>65.924984106802299</v>
      </c>
      <c r="Q479" s="116">
        <v>69.650000000000006</v>
      </c>
      <c r="R479">
        <v>4469826</v>
      </c>
    </row>
    <row r="480" spans="1:18" x14ac:dyDescent="0.25">
      <c r="A480" s="170">
        <v>42710</v>
      </c>
      <c r="B480" s="116">
        <v>68.8333312048224</v>
      </c>
      <c r="C480" s="116">
        <v>67.669950959106998</v>
      </c>
      <c r="D480" s="116">
        <v>67.379105897678201</v>
      </c>
      <c r="E480" s="116">
        <v>68.8333312048224</v>
      </c>
      <c r="F480" s="116">
        <v>69.8</v>
      </c>
      <c r="G480">
        <v>401134</v>
      </c>
      <c r="H480" s="116"/>
      <c r="I480" s="116"/>
      <c r="L480" s="170">
        <v>42710</v>
      </c>
      <c r="M480" s="116">
        <v>67.670057215511704</v>
      </c>
      <c r="N480" s="116">
        <v>68.978862047043904</v>
      </c>
      <c r="O480" s="116">
        <v>67.282263191354104</v>
      </c>
      <c r="P480" s="116">
        <v>68.833439287984703</v>
      </c>
      <c r="Q480" s="116">
        <v>69.8</v>
      </c>
      <c r="R480">
        <v>2239444</v>
      </c>
    </row>
    <row r="481" spans="1:18" x14ac:dyDescent="0.25">
      <c r="A481" s="170">
        <v>42711</v>
      </c>
      <c r="B481" s="116">
        <v>68.930279558631995</v>
      </c>
      <c r="C481" s="116">
        <v>67.669950959106998</v>
      </c>
      <c r="D481" s="116">
        <v>66.506570713391696</v>
      </c>
      <c r="E481" s="116">
        <v>67.912321843631105</v>
      </c>
      <c r="F481" s="116">
        <v>69.8</v>
      </c>
      <c r="G481">
        <v>399371</v>
      </c>
      <c r="H481" s="116"/>
      <c r="I481" s="116"/>
      <c r="L481" s="170">
        <v>42711</v>
      </c>
      <c r="M481" s="116">
        <v>67.718531468531495</v>
      </c>
      <c r="N481" s="116">
        <v>69.075810553083301</v>
      </c>
      <c r="O481" s="116">
        <v>66.506675143038805</v>
      </c>
      <c r="P481" s="116">
        <v>68.833439287984703</v>
      </c>
      <c r="Q481" s="116">
        <v>69.849999999999994</v>
      </c>
      <c r="R481">
        <v>1854777</v>
      </c>
    </row>
    <row r="482" spans="1:18" x14ac:dyDescent="0.25">
      <c r="A482" s="170">
        <v>42712</v>
      </c>
      <c r="B482" s="116">
        <v>68.8333312048224</v>
      </c>
      <c r="C482" s="116">
        <v>68.445537789583895</v>
      </c>
      <c r="D482" s="116">
        <v>67.863847666726301</v>
      </c>
      <c r="E482" s="116">
        <v>67.863847666726301</v>
      </c>
      <c r="F482" s="116">
        <v>70.599999999999994</v>
      </c>
      <c r="G482">
        <v>427892</v>
      </c>
      <c r="H482" s="116"/>
      <c r="I482" s="116"/>
      <c r="L482" s="170">
        <v>42712</v>
      </c>
      <c r="M482" s="116">
        <v>68.5425937698665</v>
      </c>
      <c r="N482" s="116">
        <v>68.833439287984703</v>
      </c>
      <c r="O482" s="116">
        <v>68.009376986649698</v>
      </c>
      <c r="P482" s="116">
        <v>68.445645263827103</v>
      </c>
      <c r="Q482" s="116">
        <v>70.7</v>
      </c>
      <c r="R482">
        <v>1446097</v>
      </c>
    </row>
    <row r="483" spans="1:18" x14ac:dyDescent="0.25">
      <c r="A483" s="170">
        <v>42713</v>
      </c>
      <c r="B483" s="116">
        <v>69.8028147429184</v>
      </c>
      <c r="C483" s="116">
        <v>69.269598796965596</v>
      </c>
      <c r="D483" s="116">
        <v>67.863847666726301</v>
      </c>
      <c r="E483" s="116">
        <v>67.863847666726301</v>
      </c>
      <c r="F483" s="116">
        <v>71.45</v>
      </c>
      <c r="G483">
        <v>510156</v>
      </c>
      <c r="H483" s="116"/>
      <c r="I483" s="116"/>
      <c r="L483" s="170">
        <v>42713</v>
      </c>
      <c r="M483" s="116">
        <v>69.221233312142402</v>
      </c>
      <c r="N483" s="116">
        <v>69.802924348378895</v>
      </c>
      <c r="O483" s="116">
        <v>68.688016528925601</v>
      </c>
      <c r="P483" s="116">
        <v>68.833439287984703</v>
      </c>
      <c r="Q483" s="116">
        <v>71.400000000000006</v>
      </c>
      <c r="R483">
        <v>1876949</v>
      </c>
    </row>
    <row r="484" spans="1:18" x14ac:dyDescent="0.25">
      <c r="A484" s="170">
        <v>42716</v>
      </c>
      <c r="B484" s="116">
        <v>70.820772457919304</v>
      </c>
      <c r="C484" s="116">
        <v>68.930279558631995</v>
      </c>
      <c r="D484" s="116">
        <v>68.203166905059902</v>
      </c>
      <c r="E484" s="116">
        <v>69.8028147429184</v>
      </c>
      <c r="F484" s="116">
        <v>71.099999999999994</v>
      </c>
      <c r="G484">
        <v>403131</v>
      </c>
      <c r="H484" s="116"/>
      <c r="I484" s="116"/>
      <c r="L484" s="170">
        <v>42716</v>
      </c>
      <c r="M484" s="116">
        <v>68.978862047043904</v>
      </c>
      <c r="N484" s="116">
        <v>70.772409408773001</v>
      </c>
      <c r="O484" s="116">
        <v>68.397171010807398</v>
      </c>
      <c r="P484" s="116">
        <v>68.930387794024099</v>
      </c>
      <c r="Q484" s="116">
        <v>71.150000000000006</v>
      </c>
      <c r="R484">
        <v>2305199</v>
      </c>
    </row>
    <row r="485" spans="1:18" x14ac:dyDescent="0.25">
      <c r="A485" s="170">
        <v>42717</v>
      </c>
      <c r="B485" s="116">
        <v>69.608918035299197</v>
      </c>
      <c r="C485" s="116">
        <v>68.687908674107902</v>
      </c>
      <c r="D485" s="116">
        <v>68.009270197440699</v>
      </c>
      <c r="E485" s="116">
        <v>69.608918035299197</v>
      </c>
      <c r="F485" s="116">
        <v>70.849999999999994</v>
      </c>
      <c r="G485">
        <v>175319</v>
      </c>
      <c r="H485" s="116"/>
      <c r="I485" s="116"/>
      <c r="L485" s="170">
        <v>42717</v>
      </c>
      <c r="M485" s="116">
        <v>68.736490781945307</v>
      </c>
      <c r="N485" s="116">
        <v>69.657501589319807</v>
      </c>
      <c r="O485" s="116">
        <v>67.960902733629993</v>
      </c>
      <c r="P485" s="116">
        <v>69.124284806103006</v>
      </c>
      <c r="Q485" s="116">
        <v>70.900000000000006</v>
      </c>
      <c r="R485">
        <v>1159531</v>
      </c>
    </row>
    <row r="486" spans="1:18" x14ac:dyDescent="0.25">
      <c r="A486" s="170">
        <v>42718</v>
      </c>
      <c r="B486" s="116">
        <v>69.608918035299197</v>
      </c>
      <c r="C486" s="116">
        <v>68.784857027917596</v>
      </c>
      <c r="D486" s="116">
        <v>68.445537789583895</v>
      </c>
      <c r="E486" s="116">
        <v>68.784857027917596</v>
      </c>
      <c r="F486" s="116">
        <v>70.95</v>
      </c>
      <c r="G486">
        <v>350608</v>
      </c>
      <c r="H486" s="116"/>
      <c r="I486" s="116"/>
      <c r="L486" s="170">
        <v>42718</v>
      </c>
      <c r="M486" s="116">
        <v>68.784965034964998</v>
      </c>
      <c r="N486" s="116">
        <v>69.609027336300102</v>
      </c>
      <c r="O486" s="116">
        <v>68.397171010807398</v>
      </c>
      <c r="P486" s="116">
        <v>68.736490781945307</v>
      </c>
      <c r="Q486" s="116">
        <v>70.95</v>
      </c>
      <c r="R486">
        <v>1193512</v>
      </c>
    </row>
    <row r="487" spans="1:18" x14ac:dyDescent="0.25">
      <c r="A487" s="170">
        <v>42719</v>
      </c>
      <c r="B487" s="116">
        <v>71.547885111491397</v>
      </c>
      <c r="C487" s="116">
        <v>70.723824104109696</v>
      </c>
      <c r="D487" s="116">
        <v>67.960796020535895</v>
      </c>
      <c r="E487" s="116">
        <v>68.639434497203098</v>
      </c>
      <c r="F487" s="116">
        <v>72.95</v>
      </c>
      <c r="G487">
        <v>461227</v>
      </c>
      <c r="H487" s="116"/>
      <c r="I487" s="116"/>
      <c r="L487" s="170">
        <v>42719</v>
      </c>
      <c r="M487" s="116">
        <v>70.675460902733604</v>
      </c>
      <c r="N487" s="116">
        <v>71.644945963127796</v>
      </c>
      <c r="O487" s="116">
        <v>67.960902733629993</v>
      </c>
      <c r="P487" s="116">
        <v>68.251748251748296</v>
      </c>
      <c r="Q487" s="116">
        <v>72.900000000000006</v>
      </c>
      <c r="R487">
        <v>3208438</v>
      </c>
    </row>
    <row r="488" spans="1:18" x14ac:dyDescent="0.25">
      <c r="A488" s="170">
        <v>42720</v>
      </c>
      <c r="B488" s="116">
        <v>71.741781819110599</v>
      </c>
      <c r="C488" s="116">
        <v>71.257040050062599</v>
      </c>
      <c r="D488" s="116">
        <v>70.336030688871304</v>
      </c>
      <c r="E488" s="116">
        <v>71.014669165538606</v>
      </c>
      <c r="F488" s="116">
        <v>73.5</v>
      </c>
      <c r="G488">
        <v>308020</v>
      </c>
      <c r="H488" s="116"/>
      <c r="I488" s="116"/>
      <c r="L488" s="170">
        <v>42720</v>
      </c>
      <c r="M488" s="116">
        <v>71.305626191989802</v>
      </c>
      <c r="N488" s="116">
        <v>71.741894469167207</v>
      </c>
      <c r="O488" s="116">
        <v>70.287666878576005</v>
      </c>
      <c r="P488" s="116">
        <v>71.1602034329307</v>
      </c>
      <c r="Q488" s="116">
        <v>73.55</v>
      </c>
      <c r="R488">
        <v>2535884</v>
      </c>
    </row>
    <row r="489" spans="1:18" x14ac:dyDescent="0.25">
      <c r="A489" s="170">
        <v>42723</v>
      </c>
      <c r="B489" s="116">
        <v>72.274997765063503</v>
      </c>
      <c r="C489" s="116">
        <v>70.966194988633802</v>
      </c>
      <c r="D489" s="116">
        <v>70.578401573395297</v>
      </c>
      <c r="E489" s="116">
        <v>71.160091696253005</v>
      </c>
      <c r="F489" s="116">
        <v>73.2</v>
      </c>
      <c r="G489">
        <v>238280</v>
      </c>
      <c r="H489" s="116"/>
      <c r="I489" s="116"/>
      <c r="L489" s="170">
        <v>42723</v>
      </c>
      <c r="M489" s="116">
        <v>70.917832167832202</v>
      </c>
      <c r="N489" s="116">
        <v>72.323585505403699</v>
      </c>
      <c r="O489" s="116">
        <v>70.530038143674503</v>
      </c>
      <c r="P489" s="116">
        <v>70.869357914812497</v>
      </c>
      <c r="Q489" s="116">
        <v>73.150000000000006</v>
      </c>
      <c r="R489">
        <v>1694060</v>
      </c>
    </row>
    <row r="490" spans="1:18" x14ac:dyDescent="0.25">
      <c r="A490" s="170">
        <v>42724</v>
      </c>
      <c r="B490" s="116">
        <v>71.353988403872194</v>
      </c>
      <c r="C490" s="116">
        <v>70.190608158156905</v>
      </c>
      <c r="D490" s="116">
        <v>69.366547150775204</v>
      </c>
      <c r="E490" s="116">
        <v>70.7722982810145</v>
      </c>
      <c r="F490" s="116">
        <v>72.400000000000006</v>
      </c>
      <c r="G490">
        <v>190763</v>
      </c>
      <c r="H490" s="116"/>
      <c r="I490" s="116"/>
      <c r="L490" s="170">
        <v>42724</v>
      </c>
      <c r="M490" s="116">
        <v>70.045295613477407</v>
      </c>
      <c r="N490" s="116">
        <v>71.354100445009493</v>
      </c>
      <c r="O490" s="116">
        <v>69.318181818181799</v>
      </c>
      <c r="P490" s="116">
        <v>70.772409408773001</v>
      </c>
      <c r="Q490" s="116">
        <v>72.25</v>
      </c>
      <c r="R490">
        <v>1610755</v>
      </c>
    </row>
    <row r="491" spans="1:18" x14ac:dyDescent="0.25">
      <c r="A491" s="170">
        <v>42725</v>
      </c>
      <c r="B491" s="116">
        <v>71.984152703634606</v>
      </c>
      <c r="C491" s="116">
        <v>71.353988403872194</v>
      </c>
      <c r="D491" s="116">
        <v>69.948237273632898</v>
      </c>
      <c r="E491" s="116">
        <v>70.529927396490507</v>
      </c>
      <c r="F491" s="116">
        <v>73.599999999999994</v>
      </c>
      <c r="G491">
        <v>346877</v>
      </c>
      <c r="H491" s="116"/>
      <c r="I491" s="116"/>
      <c r="L491" s="170">
        <v>42725</v>
      </c>
      <c r="M491" s="116">
        <v>71.354100445009493</v>
      </c>
      <c r="N491" s="116">
        <v>71.984265734265705</v>
      </c>
      <c r="O491" s="116">
        <v>69.899872854418305</v>
      </c>
      <c r="P491" s="116">
        <v>70.287666878576005</v>
      </c>
      <c r="Q491" s="116">
        <v>73.599999999999994</v>
      </c>
      <c r="R491">
        <v>1599200</v>
      </c>
    </row>
    <row r="492" spans="1:18" x14ac:dyDescent="0.25">
      <c r="A492" s="170">
        <v>42726</v>
      </c>
      <c r="B492" s="116">
        <v>71.741781819110599</v>
      </c>
      <c r="C492" s="116">
        <v>69.560443858394393</v>
      </c>
      <c r="D492" s="116">
        <v>69.124176266251197</v>
      </c>
      <c r="E492" s="116">
        <v>71.257040050062599</v>
      </c>
      <c r="F492" s="116">
        <v>71.75</v>
      </c>
      <c r="G492">
        <v>120760</v>
      </c>
      <c r="H492" s="116"/>
      <c r="I492" s="116"/>
      <c r="L492" s="170">
        <v>42726</v>
      </c>
      <c r="M492" s="116">
        <v>69.512078830260606</v>
      </c>
      <c r="N492" s="116">
        <v>71.644945963127796</v>
      </c>
      <c r="O492" s="116">
        <v>69.172759059122697</v>
      </c>
      <c r="P492" s="116">
        <v>71.063254926891304</v>
      </c>
      <c r="Q492" s="116">
        <v>71.7</v>
      </c>
      <c r="R492">
        <v>1011735</v>
      </c>
    </row>
    <row r="493" spans="1:18" x14ac:dyDescent="0.25">
      <c r="A493" s="170">
        <v>42727</v>
      </c>
      <c r="B493" s="116">
        <v>69.996711450537703</v>
      </c>
      <c r="C493" s="116">
        <v>69.075702089346393</v>
      </c>
      <c r="D493" s="116">
        <v>68.300115258869496</v>
      </c>
      <c r="E493" s="116">
        <v>69.027227912441603</v>
      </c>
      <c r="F493" s="116">
        <v>71.25</v>
      </c>
      <c r="G493">
        <v>227152</v>
      </c>
      <c r="H493" s="116"/>
      <c r="I493" s="116"/>
      <c r="L493" s="170">
        <v>42727</v>
      </c>
      <c r="M493" s="116">
        <v>69.172759059122697</v>
      </c>
      <c r="N493" s="116">
        <v>69.996821360457702</v>
      </c>
      <c r="O493" s="116">
        <v>68.057851239669404</v>
      </c>
      <c r="P493" s="116">
        <v>69.463604577240901</v>
      </c>
      <c r="Q493" s="116">
        <v>71.349999999999994</v>
      </c>
      <c r="R493">
        <v>1092115</v>
      </c>
    </row>
    <row r="494" spans="1:18" x14ac:dyDescent="0.25">
      <c r="A494" s="170">
        <v>42730</v>
      </c>
      <c r="B494" s="116">
        <v>69.027227912441603</v>
      </c>
      <c r="C494" s="116">
        <v>67.476054251487795</v>
      </c>
      <c r="D494" s="116">
        <v>66.991312482439795</v>
      </c>
      <c r="E494" s="116">
        <v>68.542486143393504</v>
      </c>
      <c r="F494" s="116">
        <v>69.599999999999994</v>
      </c>
      <c r="G494">
        <v>163261</v>
      </c>
      <c r="H494" s="116"/>
      <c r="I494" s="116"/>
      <c r="L494" s="170">
        <v>42730</v>
      </c>
      <c r="M494" s="116">
        <v>67.573108709472294</v>
      </c>
      <c r="N494" s="116">
        <v>69.172759059122697</v>
      </c>
      <c r="O494" s="116">
        <v>66.942943420216096</v>
      </c>
      <c r="P494" s="116">
        <v>68.5425937698665</v>
      </c>
      <c r="Q494" s="116">
        <v>69.7</v>
      </c>
      <c r="R494">
        <v>946524</v>
      </c>
    </row>
    <row r="495" spans="1:18" x14ac:dyDescent="0.25">
      <c r="A495" s="170">
        <v>42731</v>
      </c>
      <c r="B495" s="116">
        <v>68.978753735536799</v>
      </c>
      <c r="C495" s="116">
        <v>68.687908674107902</v>
      </c>
      <c r="D495" s="116">
        <v>66.651993244106194</v>
      </c>
      <c r="E495" s="116">
        <v>67.766899312916706</v>
      </c>
      <c r="F495" s="116">
        <v>70.849999999999994</v>
      </c>
      <c r="G495">
        <v>175031</v>
      </c>
      <c r="H495" s="116"/>
      <c r="I495" s="116"/>
      <c r="L495" s="170">
        <v>42731</v>
      </c>
      <c r="M495" s="116">
        <v>68.736490781945307</v>
      </c>
      <c r="N495" s="116">
        <v>69.124284806103006</v>
      </c>
      <c r="O495" s="116">
        <v>66.555149396058496</v>
      </c>
      <c r="P495" s="116">
        <v>67.7670057215512</v>
      </c>
      <c r="Q495" s="116">
        <v>70.900000000000006</v>
      </c>
      <c r="R495">
        <v>1215202</v>
      </c>
    </row>
    <row r="496" spans="1:18" x14ac:dyDescent="0.25">
      <c r="A496" s="170">
        <v>42732</v>
      </c>
      <c r="B496" s="116">
        <v>69.560443858394393</v>
      </c>
      <c r="C496" s="116">
        <v>68.542486143393504</v>
      </c>
      <c r="D496" s="116">
        <v>68.348589435774301</v>
      </c>
      <c r="E496" s="116">
        <v>68.930279558631995</v>
      </c>
      <c r="F496" s="116">
        <v>70.7</v>
      </c>
      <c r="G496">
        <v>118576</v>
      </c>
      <c r="H496" s="116"/>
      <c r="I496" s="116"/>
      <c r="L496" s="170">
        <v>42732</v>
      </c>
      <c r="M496" s="116">
        <v>68.639542275905896</v>
      </c>
      <c r="N496" s="116">
        <v>69.657501589319807</v>
      </c>
      <c r="O496" s="116">
        <v>68.348696757787707</v>
      </c>
      <c r="P496" s="116">
        <v>69.124284806103006</v>
      </c>
      <c r="Q496" s="116">
        <v>70.8</v>
      </c>
      <c r="R496">
        <v>1175042</v>
      </c>
    </row>
    <row r="497" spans="1:18" x14ac:dyDescent="0.25">
      <c r="A497" s="170">
        <v>42733</v>
      </c>
      <c r="B497" s="116">
        <v>71.741781819110599</v>
      </c>
      <c r="C497" s="116">
        <v>70.869246634824094</v>
      </c>
      <c r="D497" s="116">
        <v>67.960796020535895</v>
      </c>
      <c r="E497" s="116">
        <v>67.960796020535895</v>
      </c>
      <c r="F497" s="116">
        <v>73.099999999999994</v>
      </c>
      <c r="G497">
        <v>216836</v>
      </c>
      <c r="H497" s="116"/>
      <c r="I497" s="116"/>
      <c r="L497" s="170">
        <v>42733</v>
      </c>
      <c r="M497" s="116">
        <v>70.820883661792706</v>
      </c>
      <c r="N497" s="116">
        <v>71.499523204068694</v>
      </c>
      <c r="O497" s="116">
        <v>68.009376986649698</v>
      </c>
      <c r="P497" s="116">
        <v>68.348696757787707</v>
      </c>
      <c r="Q497" s="116">
        <v>73.05</v>
      </c>
      <c r="R497">
        <v>1791048</v>
      </c>
    </row>
    <row r="498" spans="1:18" x14ac:dyDescent="0.25">
      <c r="A498" s="170">
        <v>42734</v>
      </c>
      <c r="B498" s="116">
        <v>74.698706610303702</v>
      </c>
      <c r="C498" s="116">
        <v>74.117016487446094</v>
      </c>
      <c r="D498" s="116">
        <v>70.529927396490507</v>
      </c>
      <c r="E498" s="116">
        <v>71.208565873157795</v>
      </c>
      <c r="F498" s="116">
        <v>76.45</v>
      </c>
      <c r="G498">
        <v>672322</v>
      </c>
      <c r="H498" s="116"/>
      <c r="I498" s="116"/>
      <c r="L498" s="170">
        <v>42734</v>
      </c>
      <c r="M498" s="116">
        <v>74.214081373172306</v>
      </c>
      <c r="N498" s="116">
        <v>74.795772409408798</v>
      </c>
      <c r="O498" s="116">
        <v>70.433089637635106</v>
      </c>
      <c r="P498" s="116">
        <v>71.111729179910995</v>
      </c>
      <c r="Q498" s="116">
        <v>76.55</v>
      </c>
      <c r="R498">
        <v>5065751</v>
      </c>
    </row>
    <row r="499" spans="1:18" x14ac:dyDescent="0.25">
      <c r="A499" s="170">
        <v>42737</v>
      </c>
      <c r="B499" s="116">
        <v>75.522767617685403</v>
      </c>
      <c r="C499" s="116">
        <v>74.456335725779695</v>
      </c>
      <c r="D499" s="116">
        <v>74.068542310541204</v>
      </c>
      <c r="E499" s="116">
        <v>74.650232433398898</v>
      </c>
      <c r="F499" s="116">
        <v>76.8</v>
      </c>
      <c r="G499">
        <v>335172</v>
      </c>
      <c r="H499" s="116"/>
      <c r="I499" s="116"/>
      <c r="L499" s="170">
        <v>42737</v>
      </c>
      <c r="M499" s="116">
        <v>74.601875397329906</v>
      </c>
      <c r="N499" s="116">
        <v>75.425937698664995</v>
      </c>
      <c r="O499" s="116">
        <v>74.020184361093399</v>
      </c>
      <c r="P499" s="116">
        <v>75.425937698664995</v>
      </c>
      <c r="Q499" s="116">
        <v>76.95</v>
      </c>
      <c r="R499">
        <v>2296460</v>
      </c>
    </row>
    <row r="500" spans="1:18" x14ac:dyDescent="0.25">
      <c r="A500" s="170">
        <v>42738</v>
      </c>
      <c r="B500" s="116">
        <v>76.395302801971894</v>
      </c>
      <c r="C500" s="116">
        <v>74.165490664350799</v>
      </c>
      <c r="D500" s="116">
        <v>73.583800541493204</v>
      </c>
      <c r="E500" s="116">
        <v>76.395302801971894</v>
      </c>
      <c r="F500" s="116">
        <v>76.5</v>
      </c>
      <c r="G500">
        <v>337007</v>
      </c>
      <c r="H500" s="116"/>
      <c r="I500" s="116"/>
      <c r="L500" s="170">
        <v>42738</v>
      </c>
      <c r="M500" s="116">
        <v>74.214081373172306</v>
      </c>
      <c r="N500" s="116">
        <v>75.038143674507296</v>
      </c>
      <c r="O500" s="116">
        <v>73.486967577876698</v>
      </c>
      <c r="P500" s="116">
        <v>74.747298156389107</v>
      </c>
      <c r="Q500" s="116">
        <v>76.55</v>
      </c>
      <c r="R500">
        <v>1259423</v>
      </c>
    </row>
    <row r="501" spans="1:18" x14ac:dyDescent="0.25">
      <c r="A501" s="170">
        <v>42739</v>
      </c>
      <c r="B501" s="116">
        <v>76.2983544481622</v>
      </c>
      <c r="C501" s="116">
        <v>75.3288709100662</v>
      </c>
      <c r="D501" s="116">
        <v>74.456335725779695</v>
      </c>
      <c r="E501" s="116">
        <v>74.795654964113297</v>
      </c>
      <c r="F501" s="116">
        <v>77.7</v>
      </c>
      <c r="G501">
        <v>225888</v>
      </c>
      <c r="H501" s="116"/>
      <c r="I501" s="116"/>
      <c r="L501" s="170">
        <v>42739</v>
      </c>
      <c r="M501" s="116">
        <v>75.425937698664995</v>
      </c>
      <c r="N501" s="116">
        <v>76.395422759059102</v>
      </c>
      <c r="O501" s="116">
        <v>74.456452638270804</v>
      </c>
      <c r="P501" s="116">
        <v>74.650349650349597</v>
      </c>
      <c r="Q501" s="116">
        <v>77.8</v>
      </c>
      <c r="R501">
        <v>2179592</v>
      </c>
    </row>
    <row r="502" spans="1:18" x14ac:dyDescent="0.25">
      <c r="A502" s="170">
        <v>42740</v>
      </c>
      <c r="B502" s="116">
        <v>77.073941278639097</v>
      </c>
      <c r="C502" s="116">
        <v>76.734622040305496</v>
      </c>
      <c r="D502" s="116">
        <v>76.007509386733403</v>
      </c>
      <c r="E502" s="116">
        <v>76.104457740542998</v>
      </c>
      <c r="F502" s="116">
        <v>79.150000000000006</v>
      </c>
      <c r="G502">
        <v>370062</v>
      </c>
      <c r="H502" s="116"/>
      <c r="I502" s="116"/>
      <c r="L502" s="170">
        <v>42740</v>
      </c>
      <c r="M502" s="116">
        <v>76.734742530197096</v>
      </c>
      <c r="N502" s="116">
        <v>77.171010807374401</v>
      </c>
      <c r="O502" s="116">
        <v>75.813731722822595</v>
      </c>
      <c r="P502" s="116">
        <v>76.104577240940898</v>
      </c>
      <c r="Q502" s="116">
        <v>79.150000000000006</v>
      </c>
      <c r="R502">
        <v>2308694</v>
      </c>
    </row>
    <row r="503" spans="1:18" x14ac:dyDescent="0.25">
      <c r="A503" s="170">
        <v>42741</v>
      </c>
      <c r="B503" s="116">
        <v>77.364786340067894</v>
      </c>
      <c r="C503" s="116">
        <v>76.346828625067005</v>
      </c>
      <c r="D503" s="116">
        <v>75.8136126791142</v>
      </c>
      <c r="E503" s="116">
        <v>77.316312163163104</v>
      </c>
      <c r="F503" s="116">
        <v>78.75</v>
      </c>
      <c r="G503">
        <v>256718</v>
      </c>
      <c r="H503" s="116"/>
      <c r="I503" s="116"/>
      <c r="L503" s="170">
        <v>42741</v>
      </c>
      <c r="M503" s="116">
        <v>76.25</v>
      </c>
      <c r="N503" s="116">
        <v>77.461856325492704</v>
      </c>
      <c r="O503" s="116">
        <v>76.007628734901502</v>
      </c>
      <c r="P503" s="116">
        <v>76.783216783216801</v>
      </c>
      <c r="Q503" s="116">
        <v>78.650000000000006</v>
      </c>
      <c r="R503">
        <v>1160629</v>
      </c>
    </row>
    <row r="504" spans="1:18" x14ac:dyDescent="0.25">
      <c r="A504" s="170">
        <v>42744</v>
      </c>
      <c r="B504" s="116">
        <v>77.073941278639097</v>
      </c>
      <c r="C504" s="116">
        <v>76.249880271257396</v>
      </c>
      <c r="D504" s="116">
        <v>75.862086856019005</v>
      </c>
      <c r="E504" s="116">
        <v>76.443776978876699</v>
      </c>
      <c r="F504" s="116">
        <v>78.650000000000006</v>
      </c>
      <c r="G504">
        <v>152165</v>
      </c>
      <c r="H504" s="116"/>
      <c r="I504" s="116"/>
      <c r="L504" s="170">
        <v>42744</v>
      </c>
      <c r="M504" s="116">
        <v>76.346948506039396</v>
      </c>
      <c r="N504" s="116">
        <v>77.122536554354696</v>
      </c>
      <c r="O504" s="116">
        <v>75.862205975842301</v>
      </c>
      <c r="P504" s="116">
        <v>76.153051493960604</v>
      </c>
      <c r="Q504" s="116">
        <v>78.75</v>
      </c>
      <c r="R504">
        <v>846284</v>
      </c>
    </row>
    <row r="505" spans="1:18" x14ac:dyDescent="0.25">
      <c r="A505" s="170">
        <v>42745</v>
      </c>
      <c r="B505" s="116">
        <v>78.673589116497695</v>
      </c>
      <c r="C505" s="116">
        <v>77.898002286020798</v>
      </c>
      <c r="D505" s="116">
        <v>76.201406094352606</v>
      </c>
      <c r="E505" s="116">
        <v>76.346828625067005</v>
      </c>
      <c r="F505" s="116">
        <v>80.349999999999994</v>
      </c>
      <c r="G505">
        <v>464359</v>
      </c>
      <c r="H505" s="116"/>
      <c r="I505" s="116"/>
      <c r="L505" s="170">
        <v>42745</v>
      </c>
      <c r="M505" s="116">
        <v>77.752701843610893</v>
      </c>
      <c r="N505" s="116">
        <v>78.722186904005099</v>
      </c>
      <c r="O505" s="116">
        <v>76.104577240940898</v>
      </c>
      <c r="P505" s="116">
        <v>76.153051493960604</v>
      </c>
      <c r="Q505" s="116">
        <v>80.2</v>
      </c>
      <c r="R505">
        <v>3196502</v>
      </c>
    </row>
    <row r="506" spans="1:18" x14ac:dyDescent="0.25">
      <c r="A506" s="170">
        <v>42746</v>
      </c>
      <c r="B506" s="116">
        <v>78.964434177926506</v>
      </c>
      <c r="C506" s="116">
        <v>78.382744055068798</v>
      </c>
      <c r="D506" s="116">
        <v>77.607157224592001</v>
      </c>
      <c r="E506" s="116">
        <v>77.607157224592001</v>
      </c>
      <c r="F506" s="116">
        <v>80.849999999999994</v>
      </c>
      <c r="G506">
        <v>382743</v>
      </c>
      <c r="H506" s="116"/>
      <c r="I506" s="116"/>
      <c r="L506" s="170">
        <v>42746</v>
      </c>
      <c r="M506" s="116">
        <v>78.382867132867105</v>
      </c>
      <c r="N506" s="116">
        <v>79.109980928162699</v>
      </c>
      <c r="O506" s="116">
        <v>77.704227590591202</v>
      </c>
      <c r="P506" s="116">
        <v>78.092021614748901</v>
      </c>
      <c r="Q506" s="116">
        <v>80.849999999999994</v>
      </c>
      <c r="R506">
        <v>1502221</v>
      </c>
    </row>
    <row r="507" spans="1:18" x14ac:dyDescent="0.25">
      <c r="A507" s="170">
        <v>42747</v>
      </c>
      <c r="B507" s="116">
        <v>78.382744055068798</v>
      </c>
      <c r="C507" s="116">
        <v>77.898002286020798</v>
      </c>
      <c r="D507" s="116">
        <v>76.7830962172103</v>
      </c>
      <c r="E507" s="116">
        <v>78.043424816735197</v>
      </c>
      <c r="F507" s="116">
        <v>80.349999999999994</v>
      </c>
      <c r="G507">
        <v>646001</v>
      </c>
      <c r="H507" s="116"/>
      <c r="I507" s="116"/>
      <c r="L507" s="170">
        <v>42747</v>
      </c>
      <c r="M507" s="116">
        <v>77.704227590591202</v>
      </c>
      <c r="N507" s="116">
        <v>78.770661157024804</v>
      </c>
      <c r="O507" s="116">
        <v>76.637794024157699</v>
      </c>
      <c r="P507" s="116">
        <v>78.140495867768607</v>
      </c>
      <c r="Q507" s="116">
        <v>80.150000000000006</v>
      </c>
      <c r="R507">
        <v>1553335</v>
      </c>
    </row>
    <row r="508" spans="1:18" x14ac:dyDescent="0.25">
      <c r="A508" s="170">
        <v>42748</v>
      </c>
      <c r="B508" s="116">
        <v>78.043424816735197</v>
      </c>
      <c r="C508" s="116">
        <v>76.104457740542998</v>
      </c>
      <c r="D508" s="116">
        <v>75.377345086971005</v>
      </c>
      <c r="E508" s="116">
        <v>77.364786340067894</v>
      </c>
      <c r="F508" s="116">
        <v>78.5</v>
      </c>
      <c r="G508">
        <v>473390</v>
      </c>
      <c r="H508" s="116"/>
      <c r="I508" s="116"/>
      <c r="L508" s="170">
        <v>42748</v>
      </c>
      <c r="M508" s="116">
        <v>76.104577240940898</v>
      </c>
      <c r="N508" s="116">
        <v>78.043547361729196</v>
      </c>
      <c r="O508" s="116">
        <v>75.183566433566398</v>
      </c>
      <c r="P508" s="116">
        <v>77.607279084551806</v>
      </c>
      <c r="Q508" s="116">
        <v>78.5</v>
      </c>
      <c r="R508">
        <v>1854287</v>
      </c>
    </row>
    <row r="509" spans="1:18" x14ac:dyDescent="0.25">
      <c r="A509" s="170">
        <v>42751</v>
      </c>
      <c r="B509" s="116">
        <v>77.7525797553064</v>
      </c>
      <c r="C509" s="116">
        <v>77.170889632448706</v>
      </c>
      <c r="D509" s="116">
        <v>75.377345086971005</v>
      </c>
      <c r="E509" s="116">
        <v>75.959035209828599</v>
      </c>
      <c r="F509" s="116">
        <v>79.599999999999994</v>
      </c>
      <c r="G509">
        <v>414486</v>
      </c>
      <c r="H509" s="116"/>
      <c r="I509" s="116"/>
      <c r="L509" s="170">
        <v>42751</v>
      </c>
      <c r="M509" s="116">
        <v>77.364907819453293</v>
      </c>
      <c r="N509" s="116">
        <v>77.9465988556898</v>
      </c>
      <c r="O509" s="116">
        <v>75.232040686586103</v>
      </c>
      <c r="P509" s="116">
        <v>76.007628734901502</v>
      </c>
      <c r="Q509" s="116">
        <v>79.8</v>
      </c>
      <c r="R509">
        <v>1503222</v>
      </c>
    </row>
    <row r="510" spans="1:18" x14ac:dyDescent="0.25">
      <c r="A510" s="170">
        <v>42752</v>
      </c>
      <c r="B510" s="116">
        <v>78.285795701259204</v>
      </c>
      <c r="C510" s="116">
        <v>76.395302801971894</v>
      </c>
      <c r="D510" s="116">
        <v>76.007509386733403</v>
      </c>
      <c r="E510" s="116">
        <v>78.285795701259204</v>
      </c>
      <c r="F510" s="116">
        <v>78.8</v>
      </c>
      <c r="G510">
        <v>172806</v>
      </c>
      <c r="H510" s="116"/>
      <c r="I510" s="116"/>
      <c r="L510" s="170">
        <v>42752</v>
      </c>
      <c r="M510" s="116">
        <v>76.540845518118203</v>
      </c>
      <c r="N510" s="116">
        <v>77.801176096630599</v>
      </c>
      <c r="O510" s="116">
        <v>76.201525746980295</v>
      </c>
      <c r="P510" s="116">
        <v>77.461856325492704</v>
      </c>
      <c r="Q510" s="116">
        <v>78.95</v>
      </c>
      <c r="R510">
        <v>891846</v>
      </c>
    </row>
    <row r="511" spans="1:18" x14ac:dyDescent="0.25">
      <c r="A511" s="170">
        <v>42753</v>
      </c>
      <c r="B511" s="116">
        <v>78.2373215243544</v>
      </c>
      <c r="C511" s="116">
        <v>76.686147863400706</v>
      </c>
      <c r="D511" s="116">
        <v>76.152931917447802</v>
      </c>
      <c r="E511" s="116">
        <v>76.2983544481622</v>
      </c>
      <c r="F511" s="116">
        <v>79.099999999999994</v>
      </c>
      <c r="G511">
        <v>298626</v>
      </c>
      <c r="H511" s="116"/>
      <c r="I511" s="116"/>
      <c r="L511" s="170">
        <v>42753</v>
      </c>
      <c r="M511" s="116">
        <v>76.783216783216801</v>
      </c>
      <c r="N511" s="116">
        <v>78.237444373808003</v>
      </c>
      <c r="O511" s="116">
        <v>76.007628734901502</v>
      </c>
      <c r="P511" s="116">
        <v>76.686268277177405</v>
      </c>
      <c r="Q511" s="116">
        <v>79.2</v>
      </c>
      <c r="R511">
        <v>1599586</v>
      </c>
    </row>
    <row r="512" spans="1:18" x14ac:dyDescent="0.25">
      <c r="A512" s="170">
        <v>42754</v>
      </c>
      <c r="B512" s="116">
        <v>78.431218231973602</v>
      </c>
      <c r="C512" s="116">
        <v>77.994950639830407</v>
      </c>
      <c r="D512" s="116">
        <v>76.492251155781503</v>
      </c>
      <c r="E512" s="116">
        <v>77.073941278639097</v>
      </c>
      <c r="F512" s="116">
        <v>80.45</v>
      </c>
      <c r="G512">
        <v>283403</v>
      </c>
      <c r="H512" s="116"/>
      <c r="I512" s="116"/>
      <c r="L512" s="170">
        <v>42754</v>
      </c>
      <c r="M512" s="116">
        <v>78.140495867768607</v>
      </c>
      <c r="N512" s="116">
        <v>78.528289891926207</v>
      </c>
      <c r="O512" s="116">
        <v>76.395422759059102</v>
      </c>
      <c r="P512" s="116">
        <v>77.074062301335005</v>
      </c>
      <c r="Q512" s="116">
        <v>80.599999999999994</v>
      </c>
      <c r="R512">
        <v>1285140</v>
      </c>
    </row>
    <row r="513" spans="1:18" x14ac:dyDescent="0.25">
      <c r="A513" s="170">
        <v>42755</v>
      </c>
      <c r="B513" s="116">
        <v>79.303753416260093</v>
      </c>
      <c r="C513" s="116">
        <v>75.3288709100662</v>
      </c>
      <c r="D513" s="116">
        <v>74.795654964113297</v>
      </c>
      <c r="E513" s="116">
        <v>78.528166585783296</v>
      </c>
      <c r="F513" s="116">
        <v>77.7</v>
      </c>
      <c r="G513">
        <v>406325</v>
      </c>
      <c r="H513" s="116"/>
      <c r="I513" s="116"/>
      <c r="L513" s="170">
        <v>42755</v>
      </c>
      <c r="M513" s="116">
        <v>75.135092180546707</v>
      </c>
      <c r="N513" s="116">
        <v>79.497774952320398</v>
      </c>
      <c r="O513" s="116">
        <v>74.650349650349597</v>
      </c>
      <c r="P513" s="116">
        <v>78.479815638906501</v>
      </c>
      <c r="Q513" s="116">
        <v>77.5</v>
      </c>
      <c r="R513">
        <v>2985011</v>
      </c>
    </row>
    <row r="514" spans="1:18" x14ac:dyDescent="0.25">
      <c r="A514" s="170">
        <v>42758</v>
      </c>
      <c r="B514" s="116">
        <v>76.734622040305496</v>
      </c>
      <c r="C514" s="116">
        <v>75.765138502209396</v>
      </c>
      <c r="D514" s="116">
        <v>74.698706610303702</v>
      </c>
      <c r="E514" s="116">
        <v>74.989551671732499</v>
      </c>
      <c r="F514" s="116">
        <v>78.150000000000006</v>
      </c>
      <c r="G514">
        <v>162385</v>
      </c>
      <c r="H514" s="116"/>
      <c r="I514" s="116"/>
      <c r="L514" s="170">
        <v>42758</v>
      </c>
      <c r="M514" s="116">
        <v>75.813731722822595</v>
      </c>
      <c r="N514" s="116">
        <v>76.589319771137994</v>
      </c>
      <c r="O514" s="116">
        <v>74.650349650349597</v>
      </c>
      <c r="P514" s="116">
        <v>75.038143674507296</v>
      </c>
      <c r="Q514" s="116">
        <v>78.2</v>
      </c>
      <c r="R514">
        <v>884490</v>
      </c>
    </row>
    <row r="515" spans="1:18" x14ac:dyDescent="0.25">
      <c r="A515" s="170">
        <v>42759</v>
      </c>
      <c r="B515" s="116">
        <v>77.607157224592001</v>
      </c>
      <c r="C515" s="116">
        <v>77.122415455543901</v>
      </c>
      <c r="D515" s="116">
        <v>76.007509386733403</v>
      </c>
      <c r="E515" s="116">
        <v>76.540725332686307</v>
      </c>
      <c r="F515" s="116">
        <v>79.55</v>
      </c>
      <c r="G515">
        <v>139403</v>
      </c>
      <c r="H515" s="116"/>
      <c r="I515" s="116"/>
      <c r="L515" s="170">
        <v>42759</v>
      </c>
      <c r="M515" s="116">
        <v>77.219485060394106</v>
      </c>
      <c r="N515" s="116">
        <v>77.801176096630599</v>
      </c>
      <c r="O515" s="116">
        <v>75.910680228862006</v>
      </c>
      <c r="P515" s="116">
        <v>75.910680228862006</v>
      </c>
      <c r="Q515" s="116">
        <v>79.650000000000006</v>
      </c>
      <c r="R515">
        <v>1527674</v>
      </c>
    </row>
    <row r="516" spans="1:18" x14ac:dyDescent="0.25">
      <c r="A516" s="170">
        <v>42760</v>
      </c>
      <c r="B516" s="116">
        <v>77.704105578401595</v>
      </c>
      <c r="C516" s="116">
        <v>77.364786340067894</v>
      </c>
      <c r="D516" s="116">
        <v>76.201406094352606</v>
      </c>
      <c r="E516" s="116">
        <v>77.461734693877602</v>
      </c>
      <c r="F516" s="116">
        <v>79.8</v>
      </c>
      <c r="G516">
        <v>196286</v>
      </c>
      <c r="H516" s="116"/>
      <c r="I516" s="116"/>
      <c r="L516" s="170">
        <v>42760</v>
      </c>
      <c r="M516" s="116">
        <v>77.5588048315321</v>
      </c>
      <c r="N516" s="116">
        <v>77.898124602669995</v>
      </c>
      <c r="O516" s="116">
        <v>76.395422759059102</v>
      </c>
      <c r="P516" s="116">
        <v>77.413382072472999</v>
      </c>
      <c r="Q516" s="116">
        <v>80</v>
      </c>
      <c r="R516">
        <v>1701611</v>
      </c>
    </row>
    <row r="517" spans="1:18" x14ac:dyDescent="0.25">
      <c r="A517" s="170">
        <v>42762</v>
      </c>
      <c r="B517" s="116">
        <v>90.840607519603594</v>
      </c>
      <c r="C517" s="116">
        <v>89.677227273888306</v>
      </c>
      <c r="D517" s="116">
        <v>77.655631401496805</v>
      </c>
      <c r="E517" s="116">
        <v>77.946476462925602</v>
      </c>
      <c r="F517" s="116">
        <v>92.5</v>
      </c>
      <c r="G517">
        <v>4367740</v>
      </c>
      <c r="H517" s="116"/>
      <c r="I517" s="116"/>
      <c r="L517" s="170">
        <v>42762</v>
      </c>
      <c r="M517" s="116">
        <v>89.774316592498394</v>
      </c>
      <c r="N517" s="116">
        <v>90.889224411951702</v>
      </c>
      <c r="O517" s="116">
        <v>77.655753337571497</v>
      </c>
      <c r="P517" s="116">
        <v>77.655753337571497</v>
      </c>
      <c r="Q517" s="116">
        <v>92.6</v>
      </c>
      <c r="R517">
        <v>25002553</v>
      </c>
    </row>
    <row r="518" spans="1:18" x14ac:dyDescent="0.25">
      <c r="A518" s="170">
        <v>42765</v>
      </c>
      <c r="B518" s="116">
        <v>90.986030050318007</v>
      </c>
      <c r="C518" s="116">
        <v>89.337908035554605</v>
      </c>
      <c r="D518" s="116">
        <v>87.883682728410506</v>
      </c>
      <c r="E518" s="116">
        <v>89.144011327935402</v>
      </c>
      <c r="F518" s="116">
        <v>92.15</v>
      </c>
      <c r="G518">
        <v>1467773</v>
      </c>
      <c r="H518" s="116"/>
      <c r="I518" s="116"/>
      <c r="L518" s="170">
        <v>42765</v>
      </c>
      <c r="M518" s="116">
        <v>89.531945327399896</v>
      </c>
      <c r="N518" s="116">
        <v>91.034647171010803</v>
      </c>
      <c r="O518" s="116">
        <v>87.932294977749507</v>
      </c>
      <c r="P518" s="116">
        <v>89.095677050222505</v>
      </c>
      <c r="Q518" s="116">
        <v>92.35</v>
      </c>
      <c r="R518">
        <v>9616013</v>
      </c>
    </row>
    <row r="519" spans="1:18" x14ac:dyDescent="0.25">
      <c r="A519" s="170">
        <v>42766</v>
      </c>
      <c r="B519" s="116">
        <v>90.646710811984406</v>
      </c>
      <c r="C519" s="116">
        <v>84.684387052693396</v>
      </c>
      <c r="D519" s="116">
        <v>83.036265037930093</v>
      </c>
      <c r="E519" s="116">
        <v>90.161969042936306</v>
      </c>
      <c r="F519" s="116">
        <v>87.35</v>
      </c>
      <c r="G519">
        <v>1537907</v>
      </c>
      <c r="H519" s="116"/>
      <c r="I519" s="116"/>
      <c r="L519" s="170">
        <v>42766</v>
      </c>
      <c r="M519" s="116">
        <v>84.490623013350302</v>
      </c>
      <c r="N519" s="116">
        <v>90.598378893833399</v>
      </c>
      <c r="O519" s="116">
        <v>82.939446916719604</v>
      </c>
      <c r="P519" s="116">
        <v>89.192625556261902</v>
      </c>
      <c r="Q519" s="116">
        <v>87.15</v>
      </c>
      <c r="R519">
        <v>10535197</v>
      </c>
    </row>
    <row r="520" spans="1:18" x14ac:dyDescent="0.25">
      <c r="A520" s="170">
        <v>42767</v>
      </c>
      <c r="B520" s="116">
        <v>88.416898674363395</v>
      </c>
      <c r="C520" s="116">
        <v>88.029105259124904</v>
      </c>
      <c r="D520" s="116">
        <v>84.684387052693396</v>
      </c>
      <c r="E520" s="116">
        <v>85.799293121503894</v>
      </c>
      <c r="F520" s="116">
        <v>90.8</v>
      </c>
      <c r="G520">
        <v>1193924</v>
      </c>
      <c r="H520" s="116"/>
      <c r="I520" s="116"/>
      <c r="L520" s="170">
        <v>42767</v>
      </c>
      <c r="M520" s="116">
        <v>88.077717736808594</v>
      </c>
      <c r="N520" s="116">
        <v>88.513986013985999</v>
      </c>
      <c r="O520" s="116">
        <v>84.539097266370007</v>
      </c>
      <c r="P520" s="116">
        <v>85.314685314685306</v>
      </c>
      <c r="Q520" s="116">
        <v>90.85</v>
      </c>
      <c r="R520">
        <v>6995463</v>
      </c>
    </row>
    <row r="521" spans="1:18" x14ac:dyDescent="0.25">
      <c r="A521" s="170">
        <v>42768</v>
      </c>
      <c r="B521" s="116">
        <v>94.573119141273494</v>
      </c>
      <c r="C521" s="116">
        <v>91.034504227222797</v>
      </c>
      <c r="D521" s="116">
        <v>86.526405775076</v>
      </c>
      <c r="E521" s="116">
        <v>88.804692089601801</v>
      </c>
      <c r="F521" s="116">
        <v>93.9</v>
      </c>
      <c r="G521">
        <v>2211558</v>
      </c>
      <c r="H521" s="116"/>
      <c r="I521" s="116"/>
      <c r="L521" s="170">
        <v>42768</v>
      </c>
      <c r="M521" s="116">
        <v>91.083121424030494</v>
      </c>
      <c r="N521" s="116">
        <v>94.670216147488901</v>
      </c>
      <c r="O521" s="116">
        <v>86.575015893197701</v>
      </c>
      <c r="P521" s="116">
        <v>87.641449459631303</v>
      </c>
      <c r="Q521" s="116">
        <v>93.95</v>
      </c>
      <c r="R521">
        <v>13368036</v>
      </c>
    </row>
    <row r="522" spans="1:18" x14ac:dyDescent="0.25">
      <c r="A522" s="170">
        <v>42769</v>
      </c>
      <c r="B522" s="116">
        <v>92.246358649842904</v>
      </c>
      <c r="C522" s="116">
        <v>91.519245996270897</v>
      </c>
      <c r="D522" s="116">
        <v>89.725701450793096</v>
      </c>
      <c r="E522" s="116">
        <v>92.003987765318897</v>
      </c>
      <c r="F522" s="116">
        <v>94.4</v>
      </c>
      <c r="G522">
        <v>632795</v>
      </c>
      <c r="H522" s="116"/>
      <c r="I522" s="116"/>
      <c r="L522" s="170">
        <v>42769</v>
      </c>
      <c r="M522" s="116">
        <v>91.664812460267001</v>
      </c>
      <c r="N522" s="116">
        <v>92.4404005085823</v>
      </c>
      <c r="O522" s="116">
        <v>89.628893833439307</v>
      </c>
      <c r="P522" s="116">
        <v>91.567863954227604</v>
      </c>
      <c r="Q522" s="116">
        <v>94.55</v>
      </c>
      <c r="R522">
        <v>4592647</v>
      </c>
    </row>
    <row r="523" spans="1:18" x14ac:dyDescent="0.25">
      <c r="A523" s="170">
        <v>42772</v>
      </c>
      <c r="B523" s="116">
        <v>97.142250517228206</v>
      </c>
      <c r="C523" s="116">
        <v>94.185325726035103</v>
      </c>
      <c r="D523" s="116">
        <v>92.003987765318897</v>
      </c>
      <c r="E523" s="116">
        <v>92.973471303414996</v>
      </c>
      <c r="F523" s="116">
        <v>97.15</v>
      </c>
      <c r="G523">
        <v>1327012</v>
      </c>
      <c r="H523" s="116"/>
      <c r="I523" s="116"/>
      <c r="L523" s="170">
        <v>42772</v>
      </c>
      <c r="M523" s="116">
        <v>94.233947870311496</v>
      </c>
      <c r="N523" s="116">
        <v>97.142403051494</v>
      </c>
      <c r="O523" s="116">
        <v>91.761760966306397</v>
      </c>
      <c r="P523" s="116">
        <v>92.198029243483802</v>
      </c>
      <c r="Q523" s="116">
        <v>97.2</v>
      </c>
      <c r="R523">
        <v>7629554</v>
      </c>
    </row>
    <row r="524" spans="1:18" x14ac:dyDescent="0.25">
      <c r="A524" s="170">
        <v>42773</v>
      </c>
      <c r="B524" s="116">
        <v>94.815490025797502</v>
      </c>
      <c r="C524" s="116">
        <v>89.192485504840207</v>
      </c>
      <c r="D524" s="116">
        <v>88.271476143648897</v>
      </c>
      <c r="E524" s="116">
        <v>94.621593318178299</v>
      </c>
      <c r="F524" s="116">
        <v>92</v>
      </c>
      <c r="G524">
        <v>754687</v>
      </c>
      <c r="H524" s="116"/>
      <c r="I524" s="116"/>
      <c r="L524" s="170">
        <v>42773</v>
      </c>
      <c r="M524" s="116">
        <v>89.0472027972028</v>
      </c>
      <c r="N524" s="116">
        <v>94.912587412587399</v>
      </c>
      <c r="O524" s="116">
        <v>87.980769230769198</v>
      </c>
      <c r="P524" s="116">
        <v>94.912587412587399</v>
      </c>
      <c r="Q524" s="116">
        <v>91.85</v>
      </c>
      <c r="R524">
        <v>7549222</v>
      </c>
    </row>
    <row r="525" spans="1:18" x14ac:dyDescent="0.25">
      <c r="A525" s="170">
        <v>42774</v>
      </c>
      <c r="B525" s="116">
        <v>92.246358649842904</v>
      </c>
      <c r="C525" s="116">
        <v>89.337908035554605</v>
      </c>
      <c r="D525" s="116">
        <v>88.319950320553701</v>
      </c>
      <c r="E525" s="116">
        <v>89.192485504840207</v>
      </c>
      <c r="F525" s="116">
        <v>92.15</v>
      </c>
      <c r="G525">
        <v>619124</v>
      </c>
      <c r="H525" s="116"/>
      <c r="I525" s="116"/>
      <c r="L525" s="170">
        <v>42774</v>
      </c>
      <c r="M525" s="116">
        <v>89.289574062301298</v>
      </c>
      <c r="N525" s="116">
        <v>92.198029243483802</v>
      </c>
      <c r="O525" s="116">
        <v>88.223140495867796</v>
      </c>
      <c r="P525" s="116">
        <v>89.628893833439307</v>
      </c>
      <c r="Q525" s="116">
        <v>92.1</v>
      </c>
      <c r="R525">
        <v>6130858</v>
      </c>
    </row>
    <row r="526" spans="1:18" x14ac:dyDescent="0.25">
      <c r="A526" s="170">
        <v>42775</v>
      </c>
      <c r="B526" s="116">
        <v>91.373823465556399</v>
      </c>
      <c r="C526" s="116">
        <v>90.840607519603594</v>
      </c>
      <c r="D526" s="116">
        <v>87.9806310822201</v>
      </c>
      <c r="E526" s="116">
        <v>90.161969042936306</v>
      </c>
      <c r="F526" s="116">
        <v>93.7</v>
      </c>
      <c r="G526">
        <v>709497</v>
      </c>
      <c r="H526" s="116"/>
      <c r="I526" s="116"/>
      <c r="L526" s="170">
        <v>42775</v>
      </c>
      <c r="M526" s="116">
        <v>90.792275905912305</v>
      </c>
      <c r="N526" s="116">
        <v>91.519389701207899</v>
      </c>
      <c r="O526" s="116">
        <v>87.786872218690405</v>
      </c>
      <c r="P526" s="116">
        <v>89.677368086458998</v>
      </c>
      <c r="Q526" s="116">
        <v>93.65</v>
      </c>
      <c r="R526">
        <v>3656581</v>
      </c>
    </row>
    <row r="527" spans="1:18" x14ac:dyDescent="0.25">
      <c r="A527" s="170">
        <v>42776</v>
      </c>
      <c r="B527" s="116">
        <v>91.955513588414107</v>
      </c>
      <c r="C527" s="116">
        <v>90.016546512221893</v>
      </c>
      <c r="D527" s="116">
        <v>89.580278920078698</v>
      </c>
      <c r="E527" s="116">
        <v>91.616194350080505</v>
      </c>
      <c r="F527" s="116">
        <v>92.85</v>
      </c>
      <c r="G527">
        <v>508766</v>
      </c>
      <c r="H527" s="116"/>
      <c r="I527" s="116"/>
      <c r="L527" s="170">
        <v>42776</v>
      </c>
      <c r="M527" s="116">
        <v>90.016687857596906</v>
      </c>
      <c r="N527" s="116">
        <v>92.0526064844247</v>
      </c>
      <c r="O527" s="116">
        <v>89.580419580419601</v>
      </c>
      <c r="P527" s="116">
        <v>91.1315956770502</v>
      </c>
      <c r="Q527" s="116">
        <v>92.85</v>
      </c>
      <c r="R527">
        <v>3194365</v>
      </c>
    </row>
    <row r="528" spans="1:18" x14ac:dyDescent="0.25">
      <c r="A528" s="170">
        <v>42779</v>
      </c>
      <c r="B528" s="116">
        <v>90.743659165794</v>
      </c>
      <c r="C528" s="116">
        <v>88.853166266506605</v>
      </c>
      <c r="D528" s="116">
        <v>87.447415136267296</v>
      </c>
      <c r="E528" s="116">
        <v>90.743659165794</v>
      </c>
      <c r="F528" s="116">
        <v>91.65</v>
      </c>
      <c r="G528">
        <v>416515</v>
      </c>
      <c r="H528" s="116"/>
      <c r="I528" s="116"/>
      <c r="L528" s="170">
        <v>42779</v>
      </c>
      <c r="M528" s="116">
        <v>88.901780038143698</v>
      </c>
      <c r="N528" s="116">
        <v>90.792275905912305</v>
      </c>
      <c r="O528" s="116">
        <v>87.253655435473604</v>
      </c>
      <c r="P528" s="116">
        <v>90.695327399872795</v>
      </c>
      <c r="Q528" s="116">
        <v>91.7</v>
      </c>
      <c r="R528">
        <v>2133187</v>
      </c>
    </row>
    <row r="529" spans="1:18" x14ac:dyDescent="0.25">
      <c r="A529" s="170">
        <v>42780</v>
      </c>
      <c r="B529" s="116">
        <v>89.386382212459495</v>
      </c>
      <c r="C529" s="116">
        <v>88.029105259124904</v>
      </c>
      <c r="D529" s="116">
        <v>86.671828305790399</v>
      </c>
      <c r="E529" s="116">
        <v>89.192485504840207</v>
      </c>
      <c r="F529" s="116">
        <v>90.8</v>
      </c>
      <c r="G529">
        <v>356700</v>
      </c>
      <c r="H529" s="116"/>
      <c r="I529" s="116"/>
      <c r="L529" s="170">
        <v>42780</v>
      </c>
      <c r="M529" s="116">
        <v>87.980769230769198</v>
      </c>
      <c r="N529" s="116">
        <v>89.289574062301298</v>
      </c>
      <c r="O529" s="116">
        <v>86.575015893197701</v>
      </c>
      <c r="P529" s="116">
        <v>89.095677050222505</v>
      </c>
      <c r="Q529" s="116">
        <v>90.75</v>
      </c>
      <c r="R529">
        <v>3326446</v>
      </c>
    </row>
    <row r="530" spans="1:18" x14ac:dyDescent="0.25">
      <c r="A530" s="170">
        <v>42781</v>
      </c>
      <c r="B530" s="116">
        <v>93.652109780082199</v>
      </c>
      <c r="C530" s="116">
        <v>89.483330566269103</v>
      </c>
      <c r="D530" s="116">
        <v>88.610795381982598</v>
      </c>
      <c r="E530" s="116">
        <v>88.707743735792207</v>
      </c>
      <c r="F530" s="116">
        <v>92.3</v>
      </c>
      <c r="G530">
        <v>1741641</v>
      </c>
      <c r="H530" s="116"/>
      <c r="I530" s="116"/>
      <c r="L530" s="170">
        <v>42781</v>
      </c>
      <c r="M530" s="116">
        <v>89.4349968213604</v>
      </c>
      <c r="N530" s="116">
        <v>93.797679593134106</v>
      </c>
      <c r="O530" s="116">
        <v>88.465511760966294</v>
      </c>
      <c r="P530" s="116">
        <v>88.707883026064806</v>
      </c>
      <c r="Q530" s="116">
        <v>92.25</v>
      </c>
      <c r="R530">
        <v>11656510</v>
      </c>
    </row>
    <row r="531" spans="1:18" x14ac:dyDescent="0.25">
      <c r="A531" s="170">
        <v>42782</v>
      </c>
      <c r="B531" s="116">
        <v>91.616194350080505</v>
      </c>
      <c r="C531" s="116">
        <v>91.422297642461203</v>
      </c>
      <c r="D531" s="116">
        <v>88.368424497458605</v>
      </c>
      <c r="E531" s="116">
        <v>89.968072335317103</v>
      </c>
      <c r="F531" s="116">
        <v>94.3</v>
      </c>
      <c r="G531">
        <v>589880</v>
      </c>
      <c r="H531" s="116"/>
      <c r="I531" s="116"/>
      <c r="L531" s="170">
        <v>42782</v>
      </c>
      <c r="M531" s="116">
        <v>91.422441195168503</v>
      </c>
      <c r="N531" s="116">
        <v>91.616338207247296</v>
      </c>
      <c r="O531" s="116">
        <v>88.223140495867796</v>
      </c>
      <c r="P531" s="116">
        <v>89.871265098537805</v>
      </c>
      <c r="Q531" s="116">
        <v>94.3</v>
      </c>
      <c r="R531">
        <v>3447121</v>
      </c>
    </row>
    <row r="532" spans="1:18" x14ac:dyDescent="0.25">
      <c r="A532" s="170">
        <v>42783</v>
      </c>
      <c r="B532" s="116">
        <v>92.294832826747694</v>
      </c>
      <c r="C532" s="116">
        <v>90.840607519603594</v>
      </c>
      <c r="D532" s="116">
        <v>90.501288281270007</v>
      </c>
      <c r="E532" s="116">
        <v>91.713142703890099</v>
      </c>
      <c r="F532" s="116">
        <v>93.7</v>
      </c>
      <c r="G532">
        <v>288364</v>
      </c>
      <c r="H532" s="116"/>
      <c r="I532" s="116"/>
      <c r="L532" s="170">
        <v>42783</v>
      </c>
      <c r="M532" s="116">
        <v>90.937698664971407</v>
      </c>
      <c r="N532" s="116">
        <v>92.4404005085823</v>
      </c>
      <c r="O532" s="116">
        <v>90.549904640813693</v>
      </c>
      <c r="P532" s="116">
        <v>92.004132231404995</v>
      </c>
      <c r="Q532" s="116">
        <v>93.8</v>
      </c>
      <c r="R532">
        <v>1838828</v>
      </c>
    </row>
    <row r="533" spans="1:18" x14ac:dyDescent="0.25">
      <c r="A533" s="170">
        <v>42786</v>
      </c>
      <c r="B533" s="116">
        <v>96.657508748180106</v>
      </c>
      <c r="C533" s="116">
        <v>94.427696610559096</v>
      </c>
      <c r="D533" s="116">
        <v>89.822649804602705</v>
      </c>
      <c r="E533" s="116">
        <v>89.822649804602705</v>
      </c>
      <c r="F533" s="116">
        <v>97.4</v>
      </c>
      <c r="G533">
        <v>1221359</v>
      </c>
      <c r="H533" s="116"/>
      <c r="I533" s="116"/>
      <c r="L533" s="170">
        <v>42786</v>
      </c>
      <c r="M533" s="116">
        <v>94.427844882390303</v>
      </c>
      <c r="N533" s="116">
        <v>96.706134774316595</v>
      </c>
      <c r="O533" s="116">
        <v>90.792275905912305</v>
      </c>
      <c r="P533" s="116">
        <v>91.1315956770502</v>
      </c>
      <c r="Q533" s="116">
        <v>97.4</v>
      </c>
      <c r="R533">
        <v>8798985</v>
      </c>
    </row>
    <row r="534" spans="1:18" x14ac:dyDescent="0.25">
      <c r="A534" s="170">
        <v>42787</v>
      </c>
      <c r="B534" s="116">
        <v>96.124292802227302</v>
      </c>
      <c r="C534" s="116">
        <v>94.4761707874639</v>
      </c>
      <c r="D534" s="116">
        <v>93.894480664606306</v>
      </c>
      <c r="E534" s="116">
        <v>94.863964202702306</v>
      </c>
      <c r="F534" s="116">
        <v>97.45</v>
      </c>
      <c r="G534">
        <v>689634</v>
      </c>
      <c r="H534" s="116"/>
      <c r="I534" s="116"/>
      <c r="L534" s="170">
        <v>42787</v>
      </c>
      <c r="M534" s="116">
        <v>94.476319135409994</v>
      </c>
      <c r="N534" s="116">
        <v>96.172917991099794</v>
      </c>
      <c r="O534" s="116">
        <v>93.894628099173502</v>
      </c>
      <c r="P534" s="116">
        <v>94.912587412587399</v>
      </c>
      <c r="Q534" s="116">
        <v>97.45</v>
      </c>
      <c r="R534">
        <v>3633716</v>
      </c>
    </row>
    <row r="535" spans="1:18" x14ac:dyDescent="0.25">
      <c r="A535" s="170">
        <v>42788</v>
      </c>
      <c r="B535" s="116">
        <v>95.300231794845601</v>
      </c>
      <c r="C535" s="116">
        <v>91.616194350080505</v>
      </c>
      <c r="D535" s="116">
        <v>91.228400934842</v>
      </c>
      <c r="E535" s="116">
        <v>95.009386733416804</v>
      </c>
      <c r="F535" s="116">
        <v>94.5</v>
      </c>
      <c r="G535">
        <v>657326</v>
      </c>
      <c r="H535" s="116"/>
      <c r="I535" s="116"/>
      <c r="L535" s="170">
        <v>42788</v>
      </c>
      <c r="M535" s="116">
        <v>91.664812460267001</v>
      </c>
      <c r="N535" s="116">
        <v>95.300381436745099</v>
      </c>
      <c r="O535" s="116">
        <v>91.180069930069905</v>
      </c>
      <c r="P535" s="116">
        <v>94.621741894469196</v>
      </c>
      <c r="Q535" s="116">
        <v>94.55</v>
      </c>
      <c r="R535">
        <v>4687483</v>
      </c>
    </row>
    <row r="536" spans="1:18" x14ac:dyDescent="0.25">
      <c r="A536" s="170">
        <v>42789</v>
      </c>
      <c r="B536" s="116">
        <v>94.718541671988007</v>
      </c>
      <c r="C536" s="116">
        <v>93.700583956987103</v>
      </c>
      <c r="D536" s="116">
        <v>91.034504227222797</v>
      </c>
      <c r="E536" s="116">
        <v>91.810091057699694</v>
      </c>
      <c r="F536" s="116">
        <v>96.65</v>
      </c>
      <c r="G536">
        <v>505514</v>
      </c>
      <c r="H536" s="116"/>
      <c r="I536" s="116"/>
      <c r="L536" s="170">
        <v>42789</v>
      </c>
      <c r="M536" s="116">
        <v>93.652256834075004</v>
      </c>
      <c r="N536" s="116">
        <v>94.718690400508606</v>
      </c>
      <c r="O536" s="116">
        <v>91.034647171010803</v>
      </c>
      <c r="P536" s="116">
        <v>91.616338207247296</v>
      </c>
      <c r="Q536" s="116">
        <v>96.6</v>
      </c>
      <c r="R536">
        <v>5958620</v>
      </c>
    </row>
    <row r="537" spans="1:18" x14ac:dyDescent="0.25">
      <c r="A537" s="170">
        <v>42793</v>
      </c>
      <c r="B537" s="116">
        <v>94.718541671988007</v>
      </c>
      <c r="C537" s="116">
        <v>93.0219454803198</v>
      </c>
      <c r="D537" s="116">
        <v>91.907039411509302</v>
      </c>
      <c r="E537" s="116">
        <v>93.942954841511096</v>
      </c>
      <c r="F537" s="116">
        <v>95.95</v>
      </c>
      <c r="G537">
        <v>305550</v>
      </c>
      <c r="H537" s="116"/>
      <c r="I537" s="116"/>
      <c r="L537" s="170">
        <v>42793</v>
      </c>
      <c r="M537" s="116">
        <v>93.119040050858203</v>
      </c>
      <c r="N537" s="116">
        <v>94.718690400508606</v>
      </c>
      <c r="O537" s="116">
        <v>91.713286713286706</v>
      </c>
      <c r="P537" s="116">
        <v>93.846153846153797</v>
      </c>
      <c r="Q537" s="116">
        <v>96.05</v>
      </c>
      <c r="R537">
        <v>2478463</v>
      </c>
    </row>
    <row r="538" spans="1:18" x14ac:dyDescent="0.25">
      <c r="A538" s="170">
        <v>42794</v>
      </c>
      <c r="B538" s="116">
        <v>97.626992286276206</v>
      </c>
      <c r="C538" s="116">
        <v>95.397180148655195</v>
      </c>
      <c r="D538" s="116">
        <v>92.828048772700598</v>
      </c>
      <c r="E538" s="116">
        <v>93.070419657224605</v>
      </c>
      <c r="F538" s="116">
        <v>98.4</v>
      </c>
      <c r="G538">
        <v>1217147</v>
      </c>
      <c r="H538" s="116"/>
      <c r="I538" s="116"/>
      <c r="L538" s="170">
        <v>42794</v>
      </c>
      <c r="M538" s="116">
        <v>95.494278448823906</v>
      </c>
      <c r="N538" s="116">
        <v>97.675619834710702</v>
      </c>
      <c r="O538" s="116">
        <v>92.198029243483802</v>
      </c>
      <c r="P538" s="116">
        <v>93.070565797838498</v>
      </c>
      <c r="Q538" s="116">
        <v>98.5</v>
      </c>
      <c r="R538">
        <v>8148197</v>
      </c>
    </row>
    <row r="539" spans="1:18" x14ac:dyDescent="0.25">
      <c r="A539" s="170">
        <v>42795</v>
      </c>
      <c r="B539" s="116">
        <v>96.560560394370498</v>
      </c>
      <c r="C539" s="116">
        <v>95.057860910321594</v>
      </c>
      <c r="D539" s="116">
        <v>94.379222433654306</v>
      </c>
      <c r="E539" s="116">
        <v>95.978870271512903</v>
      </c>
      <c r="F539" s="116">
        <v>98.05</v>
      </c>
      <c r="G539">
        <v>443915</v>
      </c>
      <c r="H539" s="116"/>
      <c r="I539" s="116"/>
      <c r="L539" s="170">
        <v>42795</v>
      </c>
      <c r="M539" s="116">
        <v>95.009535918626796</v>
      </c>
      <c r="N539" s="116">
        <v>96.512237762237703</v>
      </c>
      <c r="O539" s="116">
        <v>94.185473617291805</v>
      </c>
      <c r="P539" s="116">
        <v>95.979020979021001</v>
      </c>
      <c r="Q539" s="116">
        <v>98</v>
      </c>
      <c r="R539">
        <v>2397830</v>
      </c>
    </row>
    <row r="540" spans="1:18" x14ac:dyDescent="0.25">
      <c r="A540" s="170">
        <v>42796</v>
      </c>
      <c r="B540" s="116">
        <v>96.802931278894505</v>
      </c>
      <c r="C540" s="116">
        <v>90.501288281270007</v>
      </c>
      <c r="D540" s="116">
        <v>89.7741756276979</v>
      </c>
      <c r="E540" s="116">
        <v>95.203283441036007</v>
      </c>
      <c r="F540" s="116">
        <v>93.35</v>
      </c>
      <c r="G540">
        <v>1070645</v>
      </c>
      <c r="H540" s="116"/>
      <c r="I540" s="116"/>
      <c r="L540" s="170">
        <v>42796</v>
      </c>
      <c r="M540" s="116">
        <v>90.7438016528925</v>
      </c>
      <c r="N540" s="116">
        <v>96.851557533375697</v>
      </c>
      <c r="O540" s="116">
        <v>90.210584869675799</v>
      </c>
      <c r="P540" s="116">
        <v>95.348855689764804</v>
      </c>
      <c r="Q540" s="116">
        <v>93.6</v>
      </c>
      <c r="R540">
        <v>3923833</v>
      </c>
    </row>
    <row r="541" spans="1:18" x14ac:dyDescent="0.25">
      <c r="A541" s="170">
        <v>42797</v>
      </c>
      <c r="B541" s="116">
        <v>92.294832826747694</v>
      </c>
      <c r="C541" s="116">
        <v>91.810091057699694</v>
      </c>
      <c r="D541" s="116">
        <v>90.113494866031502</v>
      </c>
      <c r="E541" s="116">
        <v>90.549762458174797</v>
      </c>
      <c r="F541" s="116">
        <v>94.7</v>
      </c>
      <c r="G541">
        <v>510803</v>
      </c>
      <c r="H541" s="116"/>
      <c r="I541" s="116"/>
      <c r="L541" s="170">
        <v>42797</v>
      </c>
      <c r="M541" s="116">
        <v>91.810235219326103</v>
      </c>
      <c r="N541" s="116">
        <v>92.391926255562595</v>
      </c>
      <c r="O541" s="116">
        <v>90.113636363636402</v>
      </c>
      <c r="P541" s="116">
        <v>90.356007628734901</v>
      </c>
      <c r="Q541" s="116">
        <v>94.7</v>
      </c>
      <c r="R541">
        <v>3920942</v>
      </c>
    </row>
    <row r="542" spans="1:18" x14ac:dyDescent="0.25">
      <c r="A542" s="170">
        <v>42800</v>
      </c>
      <c r="B542" s="116">
        <v>92.876522949605402</v>
      </c>
      <c r="C542" s="116">
        <v>92.440255357462107</v>
      </c>
      <c r="D542" s="116">
        <v>91.276875111746804</v>
      </c>
      <c r="E542" s="116">
        <v>92.100936119128505</v>
      </c>
      <c r="F542" s="116">
        <v>95.35</v>
      </c>
      <c r="G542">
        <v>578150</v>
      </c>
      <c r="H542" s="116"/>
      <c r="I542" s="116"/>
      <c r="L542" s="170">
        <v>42800</v>
      </c>
      <c r="M542" s="116">
        <v>92.488874761602005</v>
      </c>
      <c r="N542" s="116">
        <v>92.925143038779396</v>
      </c>
      <c r="O542" s="116">
        <v>91.180069930069905</v>
      </c>
      <c r="P542" s="116">
        <v>92.149554990464097</v>
      </c>
      <c r="Q542" s="116">
        <v>95.4</v>
      </c>
      <c r="R542">
        <v>2240085</v>
      </c>
    </row>
    <row r="543" spans="1:18" x14ac:dyDescent="0.25">
      <c r="A543" s="170">
        <v>42801</v>
      </c>
      <c r="B543" s="116">
        <v>96.221241156036896</v>
      </c>
      <c r="C543" s="116">
        <v>94.912438379607195</v>
      </c>
      <c r="D543" s="116">
        <v>92.343307003652498</v>
      </c>
      <c r="E543" s="116">
        <v>92.585677888176505</v>
      </c>
      <c r="F543" s="116">
        <v>97.9</v>
      </c>
      <c r="G543">
        <v>811530</v>
      </c>
      <c r="H543" s="116"/>
      <c r="I543" s="116"/>
      <c r="L543" s="170">
        <v>42801</v>
      </c>
      <c r="M543" s="116">
        <v>94.864113159567694</v>
      </c>
      <c r="N543" s="116">
        <v>96.366815003178601</v>
      </c>
      <c r="O543" s="116">
        <v>92.294977749523198</v>
      </c>
      <c r="P543" s="116">
        <v>92.731246026700603</v>
      </c>
      <c r="Q543" s="116">
        <v>97.85</v>
      </c>
      <c r="R543">
        <v>5164512</v>
      </c>
    </row>
    <row r="544" spans="1:18" x14ac:dyDescent="0.25">
      <c r="A544" s="170">
        <v>42802</v>
      </c>
      <c r="B544" s="116">
        <v>95.930396094608099</v>
      </c>
      <c r="C544" s="116">
        <v>91.713142703890099</v>
      </c>
      <c r="D544" s="116">
        <v>91.131452581032406</v>
      </c>
      <c r="E544" s="116">
        <v>95.688025210084007</v>
      </c>
      <c r="F544" s="116">
        <v>94.6</v>
      </c>
      <c r="G544">
        <v>502832</v>
      </c>
      <c r="H544" s="116"/>
      <c r="I544" s="116"/>
      <c r="L544" s="170">
        <v>42802</v>
      </c>
      <c r="M544" s="116">
        <v>91.761760966306397</v>
      </c>
      <c r="N544" s="116">
        <v>96.027495232040707</v>
      </c>
      <c r="O544" s="116">
        <v>91.083121424030494</v>
      </c>
      <c r="P544" s="116">
        <v>95.009535918626796</v>
      </c>
      <c r="Q544" s="116">
        <v>94.65</v>
      </c>
      <c r="R544">
        <v>3198694</v>
      </c>
    </row>
    <row r="545" spans="1:18" x14ac:dyDescent="0.25">
      <c r="A545" s="170">
        <v>42803</v>
      </c>
      <c r="B545" s="116">
        <v>92.246358649842904</v>
      </c>
      <c r="C545" s="116">
        <v>90.840607519603594</v>
      </c>
      <c r="D545" s="116">
        <v>90.210443219841096</v>
      </c>
      <c r="E545" s="116">
        <v>91.713142703890099</v>
      </c>
      <c r="F545" s="116">
        <v>93.7</v>
      </c>
      <c r="G545">
        <v>349302</v>
      </c>
      <c r="H545" s="116"/>
      <c r="I545" s="116"/>
      <c r="L545" s="170">
        <v>42803</v>
      </c>
      <c r="M545" s="116">
        <v>90.7438016528925</v>
      </c>
      <c r="N545" s="116">
        <v>91.955657978385204</v>
      </c>
      <c r="O545" s="116">
        <v>89.968213604577201</v>
      </c>
      <c r="P545" s="116">
        <v>91.470915448188194</v>
      </c>
      <c r="Q545" s="116">
        <v>93.6</v>
      </c>
      <c r="R545">
        <v>2253696</v>
      </c>
    </row>
    <row r="546" spans="1:18" x14ac:dyDescent="0.25">
      <c r="A546" s="170">
        <v>42804</v>
      </c>
      <c r="B546" s="116">
        <v>92.585677888176505</v>
      </c>
      <c r="C546" s="116">
        <v>91.179926757937196</v>
      </c>
      <c r="D546" s="116">
        <v>90.016546512221893</v>
      </c>
      <c r="E546" s="116">
        <v>91.810091057699694</v>
      </c>
      <c r="F546" s="116">
        <v>94.05</v>
      </c>
      <c r="G546">
        <v>409170</v>
      </c>
      <c r="H546" s="116"/>
      <c r="I546" s="116"/>
      <c r="L546" s="170">
        <v>42804</v>
      </c>
      <c r="M546" s="116">
        <v>91.180069930069905</v>
      </c>
      <c r="N546" s="116">
        <v>92.585823267641402</v>
      </c>
      <c r="O546" s="116">
        <v>89.919739351557496</v>
      </c>
      <c r="P546" s="116">
        <v>91.1315956770502</v>
      </c>
      <c r="Q546" s="116">
        <v>94.05</v>
      </c>
      <c r="R546">
        <v>2176686</v>
      </c>
    </row>
    <row r="547" spans="1:18" x14ac:dyDescent="0.25">
      <c r="A547" s="170">
        <v>42808</v>
      </c>
      <c r="B547" s="116">
        <v>95.833447740798405</v>
      </c>
      <c r="C547" s="116">
        <v>94.330748256749501</v>
      </c>
      <c r="D547" s="116">
        <v>92.876522949605402</v>
      </c>
      <c r="E547" s="116">
        <v>94.718541671988007</v>
      </c>
      <c r="F547" s="116">
        <v>97.3</v>
      </c>
      <c r="G547">
        <v>840509</v>
      </c>
      <c r="H547" s="116"/>
      <c r="I547" s="116"/>
      <c r="L547" s="170">
        <v>42808</v>
      </c>
      <c r="M547" s="116">
        <v>94.573267641449405</v>
      </c>
      <c r="N547" s="116">
        <v>95.979020979021001</v>
      </c>
      <c r="O547" s="116">
        <v>92.82819453274</v>
      </c>
      <c r="P547" s="116">
        <v>94.088525111252395</v>
      </c>
      <c r="Q547" s="116">
        <v>97.55</v>
      </c>
      <c r="R547">
        <v>5071245</v>
      </c>
    </row>
    <row r="548" spans="1:18" x14ac:dyDescent="0.25">
      <c r="A548" s="170">
        <v>42809</v>
      </c>
      <c r="B548" s="116">
        <v>98.741898355086704</v>
      </c>
      <c r="C548" s="116">
        <v>98.160208232229095</v>
      </c>
      <c r="D548" s="116">
        <v>93.652109780082199</v>
      </c>
      <c r="E548" s="116">
        <v>94.039903195320704</v>
      </c>
      <c r="F548" s="116">
        <v>101.25</v>
      </c>
      <c r="G548">
        <v>1296263</v>
      </c>
      <c r="H548" s="116"/>
      <c r="I548" s="116"/>
      <c r="L548" s="170">
        <v>42809</v>
      </c>
      <c r="M548" s="116">
        <v>98.111888111888106</v>
      </c>
      <c r="N548" s="116">
        <v>98.693579148124599</v>
      </c>
      <c r="O548" s="116">
        <v>93.603782581055299</v>
      </c>
      <c r="P548" s="116">
        <v>94.670216147488901</v>
      </c>
      <c r="Q548" s="116">
        <v>101.2</v>
      </c>
      <c r="R548">
        <v>9540896</v>
      </c>
    </row>
    <row r="549" spans="1:18" x14ac:dyDescent="0.25">
      <c r="A549" s="170">
        <v>42810</v>
      </c>
      <c r="B549" s="116">
        <v>100.826287961993</v>
      </c>
      <c r="C549" s="116">
        <v>99.565959362468405</v>
      </c>
      <c r="D549" s="116">
        <v>98.741898355086704</v>
      </c>
      <c r="E549" s="116">
        <v>99.372062654849202</v>
      </c>
      <c r="F549" s="116">
        <v>102.7</v>
      </c>
      <c r="G549">
        <v>1038377</v>
      </c>
      <c r="H549" s="116"/>
      <c r="I549" s="116"/>
      <c r="L549" s="170">
        <v>42810</v>
      </c>
      <c r="M549" s="116">
        <v>99.614589955499</v>
      </c>
      <c r="N549" s="116">
        <v>100.777972027972</v>
      </c>
      <c r="O549" s="116">
        <v>98.693579148124599</v>
      </c>
      <c r="P549" s="116">
        <v>99.323744437380796</v>
      </c>
      <c r="Q549" s="116">
        <v>102.75</v>
      </c>
      <c r="R549">
        <v>7119866</v>
      </c>
    </row>
    <row r="550" spans="1:18" x14ac:dyDescent="0.25">
      <c r="A550" s="170">
        <v>42811</v>
      </c>
      <c r="B550" s="116">
        <v>102.038142384613</v>
      </c>
      <c r="C550" s="116">
        <v>100.24459783913601</v>
      </c>
      <c r="D550" s="116">
        <v>99.129691770325195</v>
      </c>
      <c r="E550" s="116">
        <v>100.341546192945</v>
      </c>
      <c r="F550" s="116">
        <v>103.4</v>
      </c>
      <c r="G550">
        <v>1002454</v>
      </c>
      <c r="H550" s="116"/>
      <c r="I550" s="116"/>
      <c r="L550" s="170">
        <v>42811</v>
      </c>
      <c r="M550" s="116">
        <v>100.535600762873</v>
      </c>
      <c r="N550" s="116">
        <v>102.18372536554401</v>
      </c>
      <c r="O550" s="116">
        <v>99.081373172282298</v>
      </c>
      <c r="P550" s="116">
        <v>100.34170375079501</v>
      </c>
      <c r="Q550" s="116">
        <v>103.7</v>
      </c>
      <c r="R550">
        <v>6463490</v>
      </c>
    </row>
    <row r="551" spans="1:18" x14ac:dyDescent="0.25">
      <c r="A551" s="170">
        <v>42814</v>
      </c>
      <c r="B551" s="116">
        <v>101.60187479247</v>
      </c>
      <c r="C551" s="116">
        <v>100.099175308421</v>
      </c>
      <c r="D551" s="116">
        <v>98.887320885801103</v>
      </c>
      <c r="E551" s="116">
        <v>99.905278600802006</v>
      </c>
      <c r="F551" s="116">
        <v>103.25</v>
      </c>
      <c r="G551">
        <v>419719</v>
      </c>
      <c r="H551" s="116"/>
      <c r="I551" s="116"/>
      <c r="L551" s="170">
        <v>42814</v>
      </c>
      <c r="M551" s="116">
        <v>100.147806738716</v>
      </c>
      <c r="N551" s="116">
        <v>101.602034329307</v>
      </c>
      <c r="O551" s="116">
        <v>98.742053401144304</v>
      </c>
      <c r="P551" s="116">
        <v>100.438652256834</v>
      </c>
      <c r="Q551" s="116">
        <v>103.3</v>
      </c>
      <c r="R551">
        <v>2192937</v>
      </c>
    </row>
    <row r="552" spans="1:18" x14ac:dyDescent="0.25">
      <c r="A552" s="170">
        <v>42815</v>
      </c>
      <c r="B552" s="116">
        <v>101.020184669613</v>
      </c>
      <c r="C552" s="116">
        <v>100.48696872366</v>
      </c>
      <c r="D552" s="116">
        <v>98.451053293657907</v>
      </c>
      <c r="E552" s="116">
        <v>99.856804423897202</v>
      </c>
      <c r="F552" s="116">
        <v>103.65</v>
      </c>
      <c r="G552">
        <v>418558</v>
      </c>
      <c r="H552" s="116"/>
      <c r="I552" s="116"/>
      <c r="L552" s="170">
        <v>42815</v>
      </c>
      <c r="M552" s="116">
        <v>100.438652256834</v>
      </c>
      <c r="N552" s="116">
        <v>101.214240305149</v>
      </c>
      <c r="O552" s="116">
        <v>98.402733630006395</v>
      </c>
      <c r="P552" s="116">
        <v>100.05085823267601</v>
      </c>
      <c r="Q552" s="116">
        <v>103.6</v>
      </c>
      <c r="R552">
        <v>2632837</v>
      </c>
    </row>
    <row r="553" spans="1:18" x14ac:dyDescent="0.25">
      <c r="A553" s="170">
        <v>42816</v>
      </c>
      <c r="B553" s="116">
        <v>100.438494546755</v>
      </c>
      <c r="C553" s="116">
        <v>98.6934241781819</v>
      </c>
      <c r="D553" s="116">
        <v>98.402579116753103</v>
      </c>
      <c r="E553" s="116">
        <v>99.081217593420305</v>
      </c>
      <c r="F553" s="116">
        <v>101.8</v>
      </c>
      <c r="G553">
        <v>405716</v>
      </c>
      <c r="H553" s="116"/>
      <c r="I553" s="116"/>
      <c r="L553" s="170">
        <v>42816</v>
      </c>
      <c r="M553" s="116">
        <v>98.645104895104893</v>
      </c>
      <c r="N553" s="116">
        <v>100.535600762873</v>
      </c>
      <c r="O553" s="116">
        <v>98.402733630006395</v>
      </c>
      <c r="P553" s="116">
        <v>99.275270184361105</v>
      </c>
      <c r="Q553" s="116">
        <v>101.75</v>
      </c>
      <c r="R553">
        <v>2174100</v>
      </c>
    </row>
    <row r="554" spans="1:18" x14ac:dyDescent="0.25">
      <c r="A554" s="170">
        <v>42817</v>
      </c>
      <c r="B554" s="116">
        <v>101.941194030804</v>
      </c>
      <c r="C554" s="116">
        <v>101.35950390794601</v>
      </c>
      <c r="D554" s="116">
        <v>98.6934241781819</v>
      </c>
      <c r="E554" s="116">
        <v>98.6934241781819</v>
      </c>
      <c r="F554" s="116">
        <v>104.55</v>
      </c>
      <c r="G554">
        <v>654647</v>
      </c>
      <c r="H554" s="116"/>
      <c r="I554" s="116"/>
      <c r="L554" s="170">
        <v>42817</v>
      </c>
      <c r="M554" s="116">
        <v>101.359663064209</v>
      </c>
      <c r="N554" s="116">
        <v>102.038302606484</v>
      </c>
      <c r="O554" s="116">
        <v>98.548156389065497</v>
      </c>
      <c r="P554" s="116">
        <v>98.790527654163995</v>
      </c>
      <c r="Q554" s="116">
        <v>104.55</v>
      </c>
      <c r="R554">
        <v>4346658</v>
      </c>
    </row>
    <row r="555" spans="1:18" x14ac:dyDescent="0.25">
      <c r="A555" s="170">
        <v>42818</v>
      </c>
      <c r="B555" s="116">
        <v>103.63779022247201</v>
      </c>
      <c r="C555" s="116">
        <v>102.522884153661</v>
      </c>
      <c r="D555" s="116">
        <v>101.21408137723201</v>
      </c>
      <c r="E555" s="116">
        <v>102.377461622947</v>
      </c>
      <c r="F555" s="116">
        <v>105.75</v>
      </c>
      <c r="G555">
        <v>855925</v>
      </c>
      <c r="H555" s="116"/>
      <c r="I555" s="116"/>
      <c r="L555" s="170">
        <v>42818</v>
      </c>
      <c r="M555" s="116">
        <v>102.52304513668101</v>
      </c>
      <c r="N555" s="116">
        <v>103.73490146217399</v>
      </c>
      <c r="O555" s="116">
        <v>101.16576605213</v>
      </c>
      <c r="P555" s="116">
        <v>101.989828353465</v>
      </c>
      <c r="Q555" s="116">
        <v>105.75</v>
      </c>
      <c r="R555">
        <v>5178267</v>
      </c>
    </row>
    <row r="556" spans="1:18" x14ac:dyDescent="0.25">
      <c r="A556" s="170">
        <v>42821</v>
      </c>
      <c r="B556" s="116">
        <v>102.71678086128099</v>
      </c>
      <c r="C556" s="116">
        <v>100.680865431279</v>
      </c>
      <c r="D556" s="116">
        <v>99.808330246992398</v>
      </c>
      <c r="E556" s="116">
        <v>101.989668207709</v>
      </c>
      <c r="F556" s="116">
        <v>103.85</v>
      </c>
      <c r="G556">
        <v>1000930</v>
      </c>
      <c r="H556" s="116"/>
      <c r="I556" s="116"/>
      <c r="L556" s="170">
        <v>42821</v>
      </c>
      <c r="M556" s="116">
        <v>100.681023521933</v>
      </c>
      <c r="N556" s="116">
        <v>102.668467895741</v>
      </c>
      <c r="O556" s="116">
        <v>99.663064208518705</v>
      </c>
      <c r="P556" s="116">
        <v>102.668467895741</v>
      </c>
      <c r="Q556" s="116">
        <v>103.85</v>
      </c>
      <c r="R556">
        <v>3408128</v>
      </c>
    </row>
    <row r="557" spans="1:18" x14ac:dyDescent="0.25">
      <c r="A557" s="170">
        <v>42822</v>
      </c>
      <c r="B557" s="116">
        <v>102.66830668437601</v>
      </c>
      <c r="C557" s="116">
        <v>101.35950390794601</v>
      </c>
      <c r="D557" s="116">
        <v>100.632391254374</v>
      </c>
      <c r="E557" s="116">
        <v>102.18356491532801</v>
      </c>
      <c r="F557" s="116">
        <v>104.55</v>
      </c>
      <c r="G557">
        <v>479042</v>
      </c>
      <c r="H557" s="116"/>
      <c r="I557" s="116"/>
      <c r="L557" s="170">
        <v>42822</v>
      </c>
      <c r="M557" s="116">
        <v>101.359663064209</v>
      </c>
      <c r="N557" s="116">
        <v>102.619993642721</v>
      </c>
      <c r="O557" s="116">
        <v>100.681023521933</v>
      </c>
      <c r="P557" s="116">
        <v>101.79593134138599</v>
      </c>
      <c r="Q557" s="116">
        <v>104.55</v>
      </c>
      <c r="R557">
        <v>2590526</v>
      </c>
    </row>
    <row r="558" spans="1:18" x14ac:dyDescent="0.25">
      <c r="A558" s="170">
        <v>42823</v>
      </c>
      <c r="B558" s="116">
        <v>102.23203909223299</v>
      </c>
      <c r="C558" s="116">
        <v>101.117133023422</v>
      </c>
      <c r="D558" s="116">
        <v>100.826287961993</v>
      </c>
      <c r="E558" s="116">
        <v>102.23203909223299</v>
      </c>
      <c r="F558" s="116">
        <v>104.3</v>
      </c>
      <c r="G558">
        <v>274997</v>
      </c>
      <c r="H558" s="116"/>
      <c r="I558" s="116"/>
      <c r="L558" s="170">
        <v>42823</v>
      </c>
      <c r="M558" s="116">
        <v>101.26271455816899</v>
      </c>
      <c r="N558" s="116">
        <v>102.038302606484</v>
      </c>
      <c r="O558" s="116">
        <v>100.535600762873</v>
      </c>
      <c r="P558" s="116">
        <v>101.747457088366</v>
      </c>
      <c r="Q558" s="116">
        <v>104.45</v>
      </c>
      <c r="R558">
        <v>1897100</v>
      </c>
    </row>
    <row r="559" spans="1:18" x14ac:dyDescent="0.25">
      <c r="A559" s="170">
        <v>42824</v>
      </c>
      <c r="B559" s="116">
        <v>103.15304845342401</v>
      </c>
      <c r="C559" s="116">
        <v>102.619832507471</v>
      </c>
      <c r="D559" s="116">
        <v>101.068658846517</v>
      </c>
      <c r="E559" s="116">
        <v>101.407978084851</v>
      </c>
      <c r="F559" s="116">
        <v>105.85</v>
      </c>
      <c r="G559">
        <v>434085</v>
      </c>
      <c r="H559" s="116"/>
      <c r="I559" s="116"/>
      <c r="L559" s="170">
        <v>42824</v>
      </c>
      <c r="M559" s="116">
        <v>102.571519389701</v>
      </c>
      <c r="N559" s="116">
        <v>103.250158931977</v>
      </c>
      <c r="O559" s="116">
        <v>100.971869040051</v>
      </c>
      <c r="P559" s="116">
        <v>101.456611570248</v>
      </c>
      <c r="Q559" s="116">
        <v>105.8</v>
      </c>
      <c r="R559">
        <v>7405888</v>
      </c>
    </row>
    <row r="560" spans="1:18" x14ac:dyDescent="0.25">
      <c r="A560" s="170">
        <v>42825</v>
      </c>
      <c r="B560" s="116">
        <v>106.594715013665</v>
      </c>
      <c r="C560" s="116">
        <v>104.94659299890201</v>
      </c>
      <c r="D560" s="116">
        <v>102.086616561518</v>
      </c>
      <c r="E560" s="116">
        <v>102.862203391995</v>
      </c>
      <c r="F560" s="116">
        <v>108.25</v>
      </c>
      <c r="G560">
        <v>727880</v>
      </c>
      <c r="H560" s="116"/>
      <c r="I560" s="116"/>
      <c r="L560" s="170">
        <v>42825</v>
      </c>
      <c r="M560" s="116">
        <v>105.237603305785</v>
      </c>
      <c r="N560" s="116">
        <v>106.83725365543501</v>
      </c>
      <c r="O560" s="116">
        <v>101.989828353465</v>
      </c>
      <c r="P560" s="116">
        <v>103.104736172918</v>
      </c>
      <c r="Q560" s="116">
        <v>108.55</v>
      </c>
      <c r="R560">
        <v>6986469</v>
      </c>
    </row>
    <row r="561" spans="1:18" x14ac:dyDescent="0.25">
      <c r="A561" s="170">
        <v>42828</v>
      </c>
      <c r="B561" s="116">
        <v>108.582156266762</v>
      </c>
      <c r="C561" s="116">
        <v>108.242837028428</v>
      </c>
      <c r="D561" s="116">
        <v>103.249996807234</v>
      </c>
      <c r="E561" s="116">
        <v>103.249996807234</v>
      </c>
      <c r="F561" s="116">
        <v>111.65</v>
      </c>
      <c r="G561">
        <v>558660</v>
      </c>
      <c r="H561" s="116"/>
      <c r="I561" s="116"/>
      <c r="L561" s="170">
        <v>42828</v>
      </c>
      <c r="M561" s="116">
        <v>108.388429752066</v>
      </c>
      <c r="N561" s="116">
        <v>108.873172282263</v>
      </c>
      <c r="O561" s="116">
        <v>104.65591226954901</v>
      </c>
      <c r="P561" s="116">
        <v>105.52844882390301</v>
      </c>
      <c r="Q561" s="116">
        <v>111.8</v>
      </c>
      <c r="R561">
        <v>4741739</v>
      </c>
    </row>
    <row r="562" spans="1:18" x14ac:dyDescent="0.25">
      <c r="A562" s="170">
        <v>42830</v>
      </c>
      <c r="B562" s="116">
        <v>111.878400296289</v>
      </c>
      <c r="C562" s="116">
        <v>110.957390935097</v>
      </c>
      <c r="D562" s="116">
        <v>107.467250197952</v>
      </c>
      <c r="E562" s="116">
        <v>108.38825955914299</v>
      </c>
      <c r="F562" s="116">
        <v>114.45</v>
      </c>
      <c r="G562">
        <v>511556</v>
      </c>
      <c r="H562" s="116"/>
      <c r="I562" s="116"/>
      <c r="L562" s="170">
        <v>42830</v>
      </c>
      <c r="M562" s="116">
        <v>111.10298792117</v>
      </c>
      <c r="N562" s="116">
        <v>111.927050222505</v>
      </c>
      <c r="O562" s="116">
        <v>107.37047043865201</v>
      </c>
      <c r="P562" s="116">
        <v>108.58232676414499</v>
      </c>
      <c r="Q562" s="116">
        <v>114.6</v>
      </c>
      <c r="R562">
        <v>4340487</v>
      </c>
    </row>
    <row r="563" spans="1:18" x14ac:dyDescent="0.25">
      <c r="A563" s="170">
        <v>42831</v>
      </c>
      <c r="B563" s="116">
        <v>112.60551294986099</v>
      </c>
      <c r="C563" s="116">
        <v>111.926874473194</v>
      </c>
      <c r="D563" s="116">
        <v>109.06689803581</v>
      </c>
      <c r="E563" s="116">
        <v>110.715020050573</v>
      </c>
      <c r="F563" s="116">
        <v>115.45</v>
      </c>
      <c r="G563">
        <v>652710</v>
      </c>
      <c r="H563" s="116"/>
      <c r="I563" s="116"/>
      <c r="L563" s="170">
        <v>42831</v>
      </c>
      <c r="M563" s="116">
        <v>112.21789574062301</v>
      </c>
      <c r="N563" s="116">
        <v>112.605689764781</v>
      </c>
      <c r="O563" s="116">
        <v>110.37587412587401</v>
      </c>
      <c r="P563" s="116">
        <v>110.715193897012</v>
      </c>
      <c r="Q563" s="116">
        <v>115.75</v>
      </c>
      <c r="R563">
        <v>3258878</v>
      </c>
    </row>
    <row r="564" spans="1:18" x14ac:dyDescent="0.25">
      <c r="A564" s="170">
        <v>42832</v>
      </c>
      <c r="B564" s="116">
        <v>115.707860271768</v>
      </c>
      <c r="C564" s="116">
        <v>113.768893195576</v>
      </c>
      <c r="D564" s="116">
        <v>109.64858815866801</v>
      </c>
      <c r="E564" s="116">
        <v>109.64858815866801</v>
      </c>
      <c r="F564" s="116">
        <v>117.35</v>
      </c>
      <c r="G564">
        <v>774235</v>
      </c>
      <c r="H564" s="116"/>
      <c r="I564" s="116"/>
      <c r="L564" s="170">
        <v>42832</v>
      </c>
      <c r="M564" s="116">
        <v>113.817546090273</v>
      </c>
      <c r="N564" s="116">
        <v>115.90193897012099</v>
      </c>
      <c r="O564" s="116">
        <v>110.812142403051</v>
      </c>
      <c r="P564" s="116">
        <v>111.00603941513</v>
      </c>
      <c r="Q564" s="116">
        <v>117.4</v>
      </c>
      <c r="R564">
        <v>5580242</v>
      </c>
    </row>
    <row r="565" spans="1:18" x14ac:dyDescent="0.25">
      <c r="A565" s="170">
        <v>42835</v>
      </c>
      <c r="B565" s="116">
        <v>116.725817986769</v>
      </c>
      <c r="C565" s="116">
        <v>116.241076217721</v>
      </c>
      <c r="D565" s="116">
        <v>113.865841549386</v>
      </c>
      <c r="E565" s="116">
        <v>114.350583318434</v>
      </c>
      <c r="F565" s="116">
        <v>119.9</v>
      </c>
      <c r="G565">
        <v>635735</v>
      </c>
      <c r="H565" s="116"/>
      <c r="I565" s="116"/>
      <c r="L565" s="170">
        <v>42835</v>
      </c>
      <c r="M565" s="116">
        <v>116.43515575333799</v>
      </c>
      <c r="N565" s="116">
        <v>116.968372536554</v>
      </c>
      <c r="O565" s="116">
        <v>113.720597584234</v>
      </c>
      <c r="P565" s="116">
        <v>114.35076287349</v>
      </c>
      <c r="Q565" s="116">
        <v>120.1</v>
      </c>
      <c r="R565">
        <v>4859156</v>
      </c>
    </row>
    <row r="566" spans="1:18" x14ac:dyDescent="0.25">
      <c r="A566" s="170">
        <v>42836</v>
      </c>
      <c r="B566" s="116">
        <v>121.62170985415401</v>
      </c>
      <c r="C566" s="116">
        <v>117.25903393272201</v>
      </c>
      <c r="D566" s="116">
        <v>114.738376733672</v>
      </c>
      <c r="E566" s="116">
        <v>116.33802457153099</v>
      </c>
      <c r="F566" s="116">
        <v>120.95</v>
      </c>
      <c r="G566">
        <v>1406229</v>
      </c>
      <c r="H566" s="116"/>
      <c r="I566" s="116"/>
      <c r="L566" s="170">
        <v>42836</v>
      </c>
      <c r="M566" s="116">
        <v>117.59853782581099</v>
      </c>
      <c r="N566" s="116">
        <v>121.670375079466</v>
      </c>
      <c r="O566" s="116">
        <v>114.932453909727</v>
      </c>
      <c r="P566" s="116">
        <v>116.192784488239</v>
      </c>
      <c r="Q566" s="116">
        <v>121.3</v>
      </c>
      <c r="R566">
        <v>11436293</v>
      </c>
    </row>
    <row r="567" spans="1:18" x14ac:dyDescent="0.25">
      <c r="A567" s="170">
        <v>42837</v>
      </c>
      <c r="B567" s="116">
        <v>116.047179510102</v>
      </c>
      <c r="C567" s="116">
        <v>110.908916758193</v>
      </c>
      <c r="D567" s="116">
        <v>106.352344129141</v>
      </c>
      <c r="E567" s="116">
        <v>116.047179510102</v>
      </c>
      <c r="F567" s="116">
        <v>114.4</v>
      </c>
      <c r="G567">
        <v>1034242</v>
      </c>
      <c r="H567" s="116"/>
      <c r="I567" s="116"/>
      <c r="L567" s="170">
        <v>42837</v>
      </c>
      <c r="M567" s="116">
        <v>110.860616656071</v>
      </c>
      <c r="N567" s="116">
        <v>115.85346471710101</v>
      </c>
      <c r="O567" s="116">
        <v>106.449459631278</v>
      </c>
      <c r="P567" s="116">
        <v>114.883979656707</v>
      </c>
      <c r="Q567" s="116">
        <v>114.35</v>
      </c>
      <c r="R567">
        <v>9171249</v>
      </c>
    </row>
    <row r="568" spans="1:18" x14ac:dyDescent="0.25">
      <c r="A568" s="170">
        <v>42838</v>
      </c>
      <c r="B568" s="116">
        <v>113.817367372481</v>
      </c>
      <c r="C568" s="116">
        <v>113.09025471890899</v>
      </c>
      <c r="D568" s="116">
        <v>108.630630443667</v>
      </c>
      <c r="E568" s="116">
        <v>109.06689803581</v>
      </c>
      <c r="F568" s="116">
        <v>116.65</v>
      </c>
      <c r="G568">
        <v>637024</v>
      </c>
      <c r="H568" s="116"/>
      <c r="I568" s="116"/>
      <c r="L568" s="170">
        <v>42838</v>
      </c>
      <c r="M568" s="116">
        <v>113.28432930705701</v>
      </c>
      <c r="N568" s="116">
        <v>113.91449459631301</v>
      </c>
      <c r="O568" s="116">
        <v>108.727749523204</v>
      </c>
      <c r="P568" s="116">
        <v>111.393833439288</v>
      </c>
      <c r="Q568" s="116">
        <v>116.85</v>
      </c>
      <c r="R568">
        <v>5018338</v>
      </c>
    </row>
    <row r="569" spans="1:18" x14ac:dyDescent="0.25">
      <c r="A569" s="170">
        <v>42842</v>
      </c>
      <c r="B569" s="116">
        <v>120.21595872391499</v>
      </c>
      <c r="C569" s="116">
        <v>119.343423539629</v>
      </c>
      <c r="D569" s="116">
        <v>111.58755523486001</v>
      </c>
      <c r="E569" s="116">
        <v>113.09025471890899</v>
      </c>
      <c r="F569" s="116">
        <v>123.1</v>
      </c>
      <c r="G569">
        <v>1094244</v>
      </c>
      <c r="H569" s="116"/>
      <c r="I569" s="116"/>
      <c r="L569" s="170">
        <v>42842</v>
      </c>
      <c r="M569" s="116">
        <v>119.585982199619</v>
      </c>
      <c r="N569" s="116">
        <v>120.410044500954</v>
      </c>
      <c r="O569" s="116">
        <v>111.539256198347</v>
      </c>
      <c r="P569" s="116">
        <v>111.539256198347</v>
      </c>
      <c r="Q569" s="116">
        <v>123.35</v>
      </c>
      <c r="R569">
        <v>5952208</v>
      </c>
    </row>
    <row r="570" spans="1:18" x14ac:dyDescent="0.25">
      <c r="A570" s="170">
        <v>42843</v>
      </c>
      <c r="B570" s="116">
        <v>155.69905621823199</v>
      </c>
      <c r="C570" s="116">
        <v>140.47816467012299</v>
      </c>
      <c r="D570" s="116">
        <v>119.73121695486699</v>
      </c>
      <c r="E570" s="116">
        <v>119.73121695486699</v>
      </c>
      <c r="F570" s="116">
        <v>144.9</v>
      </c>
      <c r="G570">
        <v>12366437</v>
      </c>
      <c r="H570" s="116"/>
      <c r="I570" s="116"/>
      <c r="L570" s="170">
        <v>42843</v>
      </c>
      <c r="M570" s="116">
        <v>140.478385251113</v>
      </c>
      <c r="N570" s="116">
        <v>155.79624920533999</v>
      </c>
      <c r="O570" s="116">
        <v>120.216147488875</v>
      </c>
      <c r="P570" s="116">
        <v>120.216147488875</v>
      </c>
      <c r="Q570" s="116">
        <v>144.9</v>
      </c>
      <c r="R570">
        <v>92715070</v>
      </c>
    </row>
    <row r="571" spans="1:18" x14ac:dyDescent="0.25">
      <c r="A571" s="170">
        <v>42844</v>
      </c>
      <c r="B571" s="116">
        <v>143.87135705346</v>
      </c>
      <c r="C571" s="116">
        <v>140.62358720083799</v>
      </c>
      <c r="D571" s="116">
        <v>133.934150787975</v>
      </c>
      <c r="E571" s="116">
        <v>139.605629485837</v>
      </c>
      <c r="F571" s="116">
        <v>145.05000000000001</v>
      </c>
      <c r="G571">
        <v>3909617</v>
      </c>
      <c r="H571" s="116"/>
      <c r="I571" s="116"/>
      <c r="L571" s="170">
        <v>42844</v>
      </c>
      <c r="M571" s="116">
        <v>140.720756516211</v>
      </c>
      <c r="N571" s="116">
        <v>143.96853146853101</v>
      </c>
      <c r="O571" s="116">
        <v>133.83741258741301</v>
      </c>
      <c r="P571" s="116">
        <v>138.53941513032399</v>
      </c>
      <c r="Q571" s="116">
        <v>145.15</v>
      </c>
      <c r="R571">
        <v>23662260</v>
      </c>
    </row>
    <row r="572" spans="1:18" x14ac:dyDescent="0.25">
      <c r="A572" s="170">
        <v>42845</v>
      </c>
      <c r="B572" s="116">
        <v>144.79236641465101</v>
      </c>
      <c r="C572" s="116">
        <v>141.690019092743</v>
      </c>
      <c r="D572" s="116">
        <v>139.36325860131299</v>
      </c>
      <c r="E572" s="116">
        <v>140.575113023933</v>
      </c>
      <c r="F572" s="116">
        <v>146.15</v>
      </c>
      <c r="G572">
        <v>1389228</v>
      </c>
      <c r="H572" s="116"/>
      <c r="I572" s="116"/>
      <c r="L572" s="170">
        <v>42845</v>
      </c>
      <c r="M572" s="116">
        <v>141.787190082645</v>
      </c>
      <c r="N572" s="116">
        <v>144.84106802288599</v>
      </c>
      <c r="O572" s="116">
        <v>139.12110616656099</v>
      </c>
      <c r="P572" s="116">
        <v>141.35092180546701</v>
      </c>
      <c r="Q572" s="116">
        <v>146.25</v>
      </c>
      <c r="R572">
        <v>8478294</v>
      </c>
    </row>
    <row r="573" spans="1:18" x14ac:dyDescent="0.25">
      <c r="A573" s="170">
        <v>42846</v>
      </c>
      <c r="B573" s="116">
        <v>143.96830540726901</v>
      </c>
      <c r="C573" s="116">
        <v>141.35069985441001</v>
      </c>
      <c r="D573" s="116">
        <v>139.36325860131299</v>
      </c>
      <c r="E573" s="116">
        <v>141.59307073893399</v>
      </c>
      <c r="F573" s="116">
        <v>145.80000000000001</v>
      </c>
      <c r="G573">
        <v>750699</v>
      </c>
      <c r="H573" s="116"/>
      <c r="I573" s="116"/>
      <c r="L573" s="170">
        <v>42846</v>
      </c>
      <c r="M573" s="116">
        <v>141.496344564526</v>
      </c>
      <c r="N573" s="116">
        <v>143.96853146853101</v>
      </c>
      <c r="O573" s="116">
        <v>139.31500317864001</v>
      </c>
      <c r="P573" s="116">
        <v>142.029561347743</v>
      </c>
      <c r="Q573" s="116">
        <v>145.94999999999999</v>
      </c>
      <c r="R573">
        <v>5457294</v>
      </c>
    </row>
    <row r="574" spans="1:18" x14ac:dyDescent="0.25">
      <c r="A574" s="170">
        <v>42849</v>
      </c>
      <c r="B574" s="116">
        <v>154.29330508799299</v>
      </c>
      <c r="C574" s="116">
        <v>145.422530714413</v>
      </c>
      <c r="D574" s="116">
        <v>140.91443226226701</v>
      </c>
      <c r="E574" s="116">
        <v>141.49612238512401</v>
      </c>
      <c r="F574" s="116">
        <v>150</v>
      </c>
      <c r="G574">
        <v>2756411</v>
      </c>
      <c r="H574" s="116"/>
      <c r="I574" s="116"/>
      <c r="L574" s="170">
        <v>42849</v>
      </c>
      <c r="M574" s="116">
        <v>145.471233312142</v>
      </c>
      <c r="N574" s="116">
        <v>154.293547361729</v>
      </c>
      <c r="O574" s="116">
        <v>140.57533375715201</v>
      </c>
      <c r="P574" s="116">
        <v>141.44787031150699</v>
      </c>
      <c r="Q574" s="116">
        <v>150.05000000000001</v>
      </c>
      <c r="R574">
        <v>17018361</v>
      </c>
    </row>
    <row r="575" spans="1:18" x14ac:dyDescent="0.25">
      <c r="A575" s="170">
        <v>42850</v>
      </c>
      <c r="B575" s="116">
        <v>148.96114562846401</v>
      </c>
      <c r="C575" s="116">
        <v>145.37405653750901</v>
      </c>
      <c r="D575" s="116">
        <v>143.919831230364</v>
      </c>
      <c r="E575" s="116">
        <v>145.90727248346101</v>
      </c>
      <c r="F575" s="116">
        <v>149.94999999999999</v>
      </c>
      <c r="G575">
        <v>1094463</v>
      </c>
      <c r="H575" s="116"/>
      <c r="I575" s="116"/>
      <c r="L575" s="170">
        <v>42850</v>
      </c>
      <c r="M575" s="116">
        <v>145.37428480610299</v>
      </c>
      <c r="N575" s="116">
        <v>148.96137952956099</v>
      </c>
      <c r="O575" s="116">
        <v>143.77463445645299</v>
      </c>
      <c r="P575" s="116">
        <v>146.004450095359</v>
      </c>
      <c r="Q575" s="116">
        <v>149.94999999999999</v>
      </c>
      <c r="R575">
        <v>7988542</v>
      </c>
    </row>
    <row r="576" spans="1:18" x14ac:dyDescent="0.25">
      <c r="A576" s="170">
        <v>42851</v>
      </c>
      <c r="B576" s="116">
        <v>147.31302361370101</v>
      </c>
      <c r="C576" s="116">
        <v>116.047179510102</v>
      </c>
      <c r="D576" s="116">
        <v>114.689902556767</v>
      </c>
      <c r="E576" s="116">
        <v>147.31302361370101</v>
      </c>
      <c r="F576" s="116">
        <v>119.7</v>
      </c>
      <c r="G576">
        <v>5060214</v>
      </c>
      <c r="H576" s="116"/>
      <c r="I576" s="116"/>
      <c r="L576" s="170">
        <v>42851</v>
      </c>
      <c r="M576" s="116">
        <v>114.932453909727</v>
      </c>
      <c r="N576" s="116">
        <v>146.92546090273399</v>
      </c>
      <c r="O576" s="116">
        <v>113.623649078195</v>
      </c>
      <c r="P576" s="116">
        <v>145.61665607120199</v>
      </c>
      <c r="Q576" s="116">
        <v>118.55</v>
      </c>
      <c r="R576">
        <v>44780598</v>
      </c>
    </row>
    <row r="577" spans="1:18" x14ac:dyDescent="0.25">
      <c r="A577" s="170">
        <v>42852</v>
      </c>
      <c r="B577" s="116">
        <v>131.12264852749601</v>
      </c>
      <c r="C577" s="116">
        <v>110.81196840438299</v>
      </c>
      <c r="D577" s="116">
        <v>109.551639804858</v>
      </c>
      <c r="E577" s="116">
        <v>116.48344710224499</v>
      </c>
      <c r="F577" s="116">
        <v>114.3</v>
      </c>
      <c r="G577">
        <v>8440970</v>
      </c>
      <c r="H577" s="116"/>
      <c r="I577" s="116"/>
      <c r="L577" s="170">
        <v>42852</v>
      </c>
      <c r="M577" s="116">
        <v>110.666719643992</v>
      </c>
      <c r="N577" s="116">
        <v>131.21980292434799</v>
      </c>
      <c r="O577" s="116">
        <v>109.260966306421</v>
      </c>
      <c r="P577" s="116">
        <v>117.986331849968</v>
      </c>
      <c r="Q577" s="116">
        <v>114.15</v>
      </c>
      <c r="R577">
        <v>78120754</v>
      </c>
    </row>
    <row r="578" spans="1:18" x14ac:dyDescent="0.25">
      <c r="A578" s="170">
        <v>42853</v>
      </c>
      <c r="B578" s="116">
        <v>115.126170148911</v>
      </c>
      <c r="C578" s="116">
        <v>105.722179829379</v>
      </c>
      <c r="D578" s="116">
        <v>104.21948034533</v>
      </c>
      <c r="E578" s="116">
        <v>113.381099780338</v>
      </c>
      <c r="F578" s="116">
        <v>109.05</v>
      </c>
      <c r="G578">
        <v>5410733</v>
      </c>
      <c r="H578" s="116"/>
      <c r="I578" s="116"/>
      <c r="L578" s="170">
        <v>42853</v>
      </c>
      <c r="M578" s="116">
        <v>105.625397329943</v>
      </c>
      <c r="N578" s="116">
        <v>115.077876668786</v>
      </c>
      <c r="O578" s="116">
        <v>104.025746980292</v>
      </c>
      <c r="P578" s="116">
        <v>113.235855054037</v>
      </c>
      <c r="Q578" s="116">
        <v>108.95</v>
      </c>
      <c r="R578">
        <v>39309185</v>
      </c>
    </row>
    <row r="579" spans="1:18" x14ac:dyDescent="0.25">
      <c r="A579" s="170">
        <v>42857</v>
      </c>
      <c r="B579" s="116">
        <v>112.653987126766</v>
      </c>
      <c r="C579" s="116">
        <v>109.30926892033401</v>
      </c>
      <c r="D579" s="116">
        <v>103.540841868662</v>
      </c>
      <c r="E579" s="116">
        <v>105.770654006283</v>
      </c>
      <c r="F579" s="116">
        <v>112.75</v>
      </c>
      <c r="G579">
        <v>4600274</v>
      </c>
      <c r="H579" s="116"/>
      <c r="I579" s="116"/>
      <c r="L579" s="170">
        <v>42857</v>
      </c>
      <c r="M579" s="116">
        <v>109.309440559441</v>
      </c>
      <c r="N579" s="116">
        <v>112.75111252384001</v>
      </c>
      <c r="O579" s="116">
        <v>103.298633184997</v>
      </c>
      <c r="P579" s="116">
        <v>106.49793388429801</v>
      </c>
      <c r="Q579" s="116">
        <v>112.75</v>
      </c>
      <c r="R579">
        <v>31196578</v>
      </c>
    </row>
    <row r="580" spans="1:18" x14ac:dyDescent="0.25">
      <c r="A580" s="170">
        <v>42858</v>
      </c>
      <c r="B580" s="116">
        <v>112.314667888432</v>
      </c>
      <c r="C580" s="116">
        <v>108.96994968200001</v>
      </c>
      <c r="D580" s="116">
        <v>106.44929248295099</v>
      </c>
      <c r="E580" s="116">
        <v>110.521123342954</v>
      </c>
      <c r="F580" s="116">
        <v>112.4</v>
      </c>
      <c r="G580">
        <v>2222941</v>
      </c>
      <c r="H580" s="116"/>
      <c r="I580" s="116"/>
      <c r="L580" s="170">
        <v>42858</v>
      </c>
      <c r="M580" s="116">
        <v>109.21249205340099</v>
      </c>
      <c r="N580" s="116">
        <v>112.36331849968199</v>
      </c>
      <c r="O580" s="116">
        <v>106.449459631278</v>
      </c>
      <c r="P580" s="116">
        <v>110.37587412587401</v>
      </c>
      <c r="Q580" s="116">
        <v>112.65</v>
      </c>
      <c r="R580">
        <v>17853028</v>
      </c>
    </row>
    <row r="581" spans="1:18" x14ac:dyDescent="0.25">
      <c r="A581" s="170">
        <v>42859</v>
      </c>
      <c r="B581" s="116">
        <v>111.10281346581201</v>
      </c>
      <c r="C581" s="116">
        <v>109.551639804858</v>
      </c>
      <c r="D581" s="116">
        <v>108.097414497714</v>
      </c>
      <c r="E581" s="116">
        <v>110.37570081224</v>
      </c>
      <c r="F581" s="116">
        <v>113</v>
      </c>
      <c r="G581">
        <v>1818961</v>
      </c>
      <c r="H581" s="116"/>
      <c r="I581" s="116"/>
      <c r="L581" s="170">
        <v>42859</v>
      </c>
      <c r="M581" s="116">
        <v>109.939605848697</v>
      </c>
      <c r="N581" s="116">
        <v>111.15146217418901</v>
      </c>
      <c r="O581" s="116">
        <v>108.630801017165</v>
      </c>
      <c r="P581" s="116">
        <v>109.503337571519</v>
      </c>
      <c r="Q581" s="116">
        <v>113.4</v>
      </c>
      <c r="R581">
        <v>9225795</v>
      </c>
    </row>
    <row r="582" spans="1:18" x14ac:dyDescent="0.25">
      <c r="A582" s="170">
        <v>42860</v>
      </c>
      <c r="B582" s="116">
        <v>111.29671017343099</v>
      </c>
      <c r="C582" s="116">
        <v>109.890959043192</v>
      </c>
      <c r="D582" s="116">
        <v>105.47980894485499</v>
      </c>
      <c r="E582" s="116">
        <v>110.424174989145</v>
      </c>
      <c r="F582" s="116">
        <v>113.35</v>
      </c>
      <c r="G582">
        <v>1806090</v>
      </c>
      <c r="H582" s="116"/>
      <c r="I582" s="116"/>
      <c r="L582" s="170">
        <v>42860</v>
      </c>
      <c r="M582" s="116">
        <v>110.230451366815</v>
      </c>
      <c r="N582" s="116">
        <v>111.878575969485</v>
      </c>
      <c r="O582" s="116">
        <v>105.140654799746</v>
      </c>
      <c r="P582" s="116">
        <v>110.13350286077601</v>
      </c>
      <c r="Q582" s="116">
        <v>113.7</v>
      </c>
      <c r="R582">
        <v>12155635</v>
      </c>
    </row>
    <row r="583" spans="1:18" x14ac:dyDescent="0.25">
      <c r="A583" s="170">
        <v>42863</v>
      </c>
      <c r="B583" s="116">
        <v>112.12077118081299</v>
      </c>
      <c r="C583" s="116">
        <v>111.005865112002</v>
      </c>
      <c r="D583" s="116">
        <v>108.33978538223801</v>
      </c>
      <c r="E583" s="116">
        <v>110.521123342954</v>
      </c>
      <c r="F583" s="116">
        <v>114.5</v>
      </c>
      <c r="G583">
        <v>1560504</v>
      </c>
      <c r="H583" s="116"/>
      <c r="I583" s="116"/>
      <c r="L583" s="170">
        <v>42863</v>
      </c>
      <c r="M583" s="116">
        <v>111.05451366814999</v>
      </c>
      <c r="N583" s="116">
        <v>112.460267005722</v>
      </c>
      <c r="O583" s="116">
        <v>108.146058486968</v>
      </c>
      <c r="P583" s="116">
        <v>110.618245390973</v>
      </c>
      <c r="Q583" s="116">
        <v>114.55</v>
      </c>
      <c r="R583">
        <v>8351327</v>
      </c>
    </row>
    <row r="584" spans="1:18" x14ac:dyDescent="0.25">
      <c r="A584" s="170">
        <v>42864</v>
      </c>
      <c r="B584" s="116">
        <v>116.144127863912</v>
      </c>
      <c r="C584" s="116">
        <v>114.592954202958</v>
      </c>
      <c r="D584" s="116">
        <v>110.230278281525</v>
      </c>
      <c r="E584" s="116">
        <v>111.199761819621</v>
      </c>
      <c r="F584" s="116">
        <v>118.2</v>
      </c>
      <c r="G584">
        <v>3347173</v>
      </c>
      <c r="H584" s="116"/>
      <c r="I584" s="116"/>
      <c r="L584" s="170">
        <v>42864</v>
      </c>
      <c r="M584" s="116">
        <v>114.59313413858899</v>
      </c>
      <c r="N584" s="116">
        <v>116.241258741259</v>
      </c>
      <c r="O584" s="116">
        <v>110.230451366815</v>
      </c>
      <c r="P584" s="116">
        <v>111.393833439288</v>
      </c>
      <c r="Q584" s="116">
        <v>118.2</v>
      </c>
      <c r="R584">
        <v>12659485</v>
      </c>
    </row>
    <row r="585" spans="1:18" x14ac:dyDescent="0.25">
      <c r="A585" s="170">
        <v>42865</v>
      </c>
      <c r="B585" s="116">
        <v>120.21595872391499</v>
      </c>
      <c r="C585" s="116">
        <v>119.19800100891401</v>
      </c>
      <c r="D585" s="116">
        <v>114.786850910577</v>
      </c>
      <c r="E585" s="116">
        <v>115.36854103343499</v>
      </c>
      <c r="F585" s="116">
        <v>122.95</v>
      </c>
      <c r="G585">
        <v>2080066</v>
      </c>
      <c r="H585" s="116"/>
      <c r="I585" s="116"/>
      <c r="L585" s="170">
        <v>42865</v>
      </c>
      <c r="M585" s="116">
        <v>119.052765416402</v>
      </c>
      <c r="N585" s="116">
        <v>120.07072472981601</v>
      </c>
      <c r="O585" s="116">
        <v>114.883979656707</v>
      </c>
      <c r="P585" s="116">
        <v>115.804990464081</v>
      </c>
      <c r="Q585" s="116">
        <v>122.8</v>
      </c>
      <c r="R585">
        <v>12398019</v>
      </c>
    </row>
    <row r="586" spans="1:18" x14ac:dyDescent="0.25">
      <c r="A586" s="170">
        <v>42866</v>
      </c>
      <c r="B586" s="116">
        <v>122.97898680748899</v>
      </c>
      <c r="C586" s="116">
        <v>116.43497292534001</v>
      </c>
      <c r="D586" s="116">
        <v>114.01126408010001</v>
      </c>
      <c r="E586" s="116">
        <v>121.427813146535</v>
      </c>
      <c r="F586" s="116">
        <v>120.1</v>
      </c>
      <c r="G586">
        <v>4001237</v>
      </c>
      <c r="H586" s="116"/>
      <c r="I586" s="116"/>
      <c r="L586" s="170">
        <v>42866</v>
      </c>
      <c r="M586" s="116">
        <v>116.483630006357</v>
      </c>
      <c r="N586" s="116">
        <v>122.930705657978</v>
      </c>
      <c r="O586" s="116">
        <v>113.817546090273</v>
      </c>
      <c r="P586" s="116">
        <v>121.62190082644599</v>
      </c>
      <c r="Q586" s="116">
        <v>120.15</v>
      </c>
      <c r="R586">
        <v>23149912</v>
      </c>
    </row>
    <row r="587" spans="1:18" x14ac:dyDescent="0.25">
      <c r="A587" s="170">
        <v>42867</v>
      </c>
      <c r="B587" s="116">
        <v>119.10105265510499</v>
      </c>
      <c r="C587" s="116">
        <v>117.88919823248401</v>
      </c>
      <c r="D587" s="116">
        <v>113.67194484176601</v>
      </c>
      <c r="E587" s="116">
        <v>116.53192127915</v>
      </c>
      <c r="F587" s="116">
        <v>121.6</v>
      </c>
      <c r="G587">
        <v>1984651</v>
      </c>
      <c r="H587" s="116"/>
      <c r="I587" s="116"/>
      <c r="L587" s="170">
        <v>42867</v>
      </c>
      <c r="M587" s="116">
        <v>117.84090909090899</v>
      </c>
      <c r="N587" s="116">
        <v>119.10123966942101</v>
      </c>
      <c r="O587" s="116">
        <v>113.623649078195</v>
      </c>
      <c r="P587" s="116">
        <v>116.91989828353501</v>
      </c>
      <c r="Q587" s="116">
        <v>121.55</v>
      </c>
      <c r="R587">
        <v>10909470</v>
      </c>
    </row>
    <row r="588" spans="1:18" x14ac:dyDescent="0.25">
      <c r="A588" s="170">
        <v>42870</v>
      </c>
      <c r="B588" s="116">
        <v>119.828165308677</v>
      </c>
      <c r="C588" s="116">
        <v>118.22851747081801</v>
      </c>
      <c r="D588" s="116">
        <v>116.43497292534001</v>
      </c>
      <c r="E588" s="116">
        <v>119.828165308677</v>
      </c>
      <c r="F588" s="116">
        <v>121.95</v>
      </c>
      <c r="G588">
        <v>1485596</v>
      </c>
      <c r="H588" s="116"/>
      <c r="I588" s="116"/>
      <c r="L588" s="170">
        <v>42870</v>
      </c>
      <c r="M588" s="116">
        <v>118.180228862047</v>
      </c>
      <c r="N588" s="116">
        <v>119.440559440559</v>
      </c>
      <c r="O588" s="116">
        <v>116.338207247298</v>
      </c>
      <c r="P588" s="116">
        <v>118.76191989828401</v>
      </c>
      <c r="Q588" s="116">
        <v>121.9</v>
      </c>
      <c r="R588">
        <v>7090402</v>
      </c>
    </row>
    <row r="589" spans="1:18" x14ac:dyDescent="0.25">
      <c r="A589" s="170">
        <v>42871</v>
      </c>
      <c r="B589" s="116">
        <v>120.70070049296299</v>
      </c>
      <c r="C589" s="116">
        <v>119.0525784782</v>
      </c>
      <c r="D589" s="116">
        <v>117.113611402008</v>
      </c>
      <c r="E589" s="116">
        <v>118.27699164772299</v>
      </c>
      <c r="F589" s="116">
        <v>122.8</v>
      </c>
      <c r="G589">
        <v>1269132</v>
      </c>
      <c r="H589" s="116"/>
      <c r="I589" s="116"/>
      <c r="L589" s="170">
        <v>42871</v>
      </c>
      <c r="M589" s="116">
        <v>119.052765416402</v>
      </c>
      <c r="N589" s="116">
        <v>120.70089001907201</v>
      </c>
      <c r="O589" s="116">
        <v>117.113795295613</v>
      </c>
      <c r="P589" s="116">
        <v>118.22870311506701</v>
      </c>
      <c r="Q589" s="116">
        <v>122.8</v>
      </c>
      <c r="R589">
        <v>6895666</v>
      </c>
    </row>
    <row r="590" spans="1:18" x14ac:dyDescent="0.25">
      <c r="A590" s="170">
        <v>42872</v>
      </c>
      <c r="B590" s="116">
        <v>119.10105265510499</v>
      </c>
      <c r="C590" s="116">
        <v>117.695301524865</v>
      </c>
      <c r="D590" s="116">
        <v>116.144127863912</v>
      </c>
      <c r="E590" s="116">
        <v>117.45293064034099</v>
      </c>
      <c r="F590" s="116">
        <v>121.4</v>
      </c>
      <c r="G590">
        <v>1491127</v>
      </c>
      <c r="H590" s="116"/>
      <c r="I590" s="116"/>
      <c r="L590" s="170">
        <v>42872</v>
      </c>
      <c r="M590" s="116">
        <v>117.792434837889</v>
      </c>
      <c r="N590" s="116">
        <v>119.10123966942101</v>
      </c>
      <c r="O590" s="116">
        <v>115.90193897012099</v>
      </c>
      <c r="P590" s="116">
        <v>118.76191989828401</v>
      </c>
      <c r="Q590" s="116">
        <v>121.5</v>
      </c>
      <c r="R590">
        <v>5817867</v>
      </c>
    </row>
    <row r="591" spans="1:18" x14ac:dyDescent="0.25">
      <c r="A591" s="170">
        <v>42873</v>
      </c>
      <c r="B591" s="116">
        <v>121.815606561774</v>
      </c>
      <c r="C591" s="116">
        <v>116.725817986769</v>
      </c>
      <c r="D591" s="116">
        <v>115.077695972006</v>
      </c>
      <c r="E591" s="116">
        <v>116.33802457153099</v>
      </c>
      <c r="F591" s="116">
        <v>120.4</v>
      </c>
      <c r="G591">
        <v>1558782</v>
      </c>
      <c r="H591" s="116"/>
      <c r="I591" s="116"/>
      <c r="L591" s="170">
        <v>42873</v>
      </c>
      <c r="M591" s="116">
        <v>116.677527018436</v>
      </c>
      <c r="N591" s="116">
        <v>122.00969485060401</v>
      </c>
      <c r="O591" s="116">
        <v>114.980928162746</v>
      </c>
      <c r="P591" s="116">
        <v>116.241258741259</v>
      </c>
      <c r="Q591" s="116">
        <v>120.35</v>
      </c>
      <c r="R591">
        <v>10312432</v>
      </c>
    </row>
    <row r="592" spans="1:18" x14ac:dyDescent="0.25">
      <c r="A592" s="170">
        <v>42874</v>
      </c>
      <c r="B592" s="116">
        <v>120.797648846773</v>
      </c>
      <c r="C592" s="116">
        <v>117.84072405558</v>
      </c>
      <c r="D592" s="116">
        <v>116.725817986769</v>
      </c>
      <c r="E592" s="116">
        <v>118.664785062961</v>
      </c>
      <c r="F592" s="116">
        <v>121.55</v>
      </c>
      <c r="G592">
        <v>924872</v>
      </c>
      <c r="H592" s="116"/>
      <c r="I592" s="116"/>
      <c r="L592" s="170">
        <v>42874</v>
      </c>
      <c r="M592" s="116">
        <v>118.180228862047</v>
      </c>
      <c r="N592" s="116">
        <v>120.652415766052</v>
      </c>
      <c r="O592" s="116">
        <v>116.483630006357</v>
      </c>
      <c r="P592" s="116">
        <v>119.440559440559</v>
      </c>
      <c r="Q592" s="116">
        <v>121.9</v>
      </c>
      <c r="R592">
        <v>6205020</v>
      </c>
    </row>
    <row r="593" spans="1:18" x14ac:dyDescent="0.25">
      <c r="A593" s="170">
        <v>42877</v>
      </c>
      <c r="B593" s="116">
        <v>120.312907077725</v>
      </c>
      <c r="C593" s="116">
        <v>117.40445646343601</v>
      </c>
      <c r="D593" s="116">
        <v>116.96818887129299</v>
      </c>
      <c r="E593" s="116">
        <v>118.27699164772299</v>
      </c>
      <c r="F593" s="116">
        <v>121.1</v>
      </c>
      <c r="G593">
        <v>1224382</v>
      </c>
      <c r="H593" s="116"/>
      <c r="I593" s="116"/>
      <c r="L593" s="170">
        <v>42877</v>
      </c>
      <c r="M593" s="116">
        <v>117.64701207883</v>
      </c>
      <c r="N593" s="116">
        <v>120.555467260013</v>
      </c>
      <c r="O593" s="116">
        <v>116.91989828353501</v>
      </c>
      <c r="P593" s="116">
        <v>118.810394151303</v>
      </c>
      <c r="Q593" s="116">
        <v>121.35</v>
      </c>
      <c r="R593">
        <v>5788097</v>
      </c>
    </row>
    <row r="594" spans="1:18" x14ac:dyDescent="0.25">
      <c r="A594" s="170">
        <v>42878</v>
      </c>
      <c r="B594" s="116">
        <v>114.932273441291</v>
      </c>
      <c r="C594" s="116">
        <v>109.69706233557299</v>
      </c>
      <c r="D594" s="116">
        <v>106.303869952236</v>
      </c>
      <c r="E594" s="116">
        <v>114.932273441291</v>
      </c>
      <c r="F594" s="116">
        <v>113.15</v>
      </c>
      <c r="G594">
        <v>1656721</v>
      </c>
      <c r="H594" s="116"/>
      <c r="I594" s="116"/>
      <c r="L594" s="170">
        <v>42878</v>
      </c>
      <c r="M594" s="116">
        <v>109.697234583598</v>
      </c>
      <c r="N594" s="116">
        <v>114.980928162746</v>
      </c>
      <c r="O594" s="116">
        <v>106.15861411316</v>
      </c>
      <c r="P594" s="116">
        <v>114.883979656707</v>
      </c>
      <c r="Q594" s="116">
        <v>113.15</v>
      </c>
      <c r="R594">
        <v>12969389</v>
      </c>
    </row>
    <row r="595" spans="1:18" x14ac:dyDescent="0.25">
      <c r="A595" s="170">
        <v>42879</v>
      </c>
      <c r="B595" s="116">
        <v>111.878400296289</v>
      </c>
      <c r="C595" s="116">
        <v>110.084855750811</v>
      </c>
      <c r="D595" s="116">
        <v>107.176405136523</v>
      </c>
      <c r="E595" s="116">
        <v>110.81196840438299</v>
      </c>
      <c r="F595" s="116">
        <v>113.55</v>
      </c>
      <c r="G595">
        <v>878806</v>
      </c>
      <c r="H595" s="116"/>
      <c r="I595" s="116"/>
      <c r="L595" s="170">
        <v>42879</v>
      </c>
      <c r="M595" s="116">
        <v>110.13350286077601</v>
      </c>
      <c r="N595" s="116">
        <v>111.878575969485</v>
      </c>
      <c r="O595" s="116">
        <v>107.225047679593</v>
      </c>
      <c r="P595" s="116">
        <v>110.618245390973</v>
      </c>
      <c r="Q595" s="116">
        <v>113.6</v>
      </c>
      <c r="R595">
        <v>6385463</v>
      </c>
    </row>
    <row r="596" spans="1:18" x14ac:dyDescent="0.25">
      <c r="A596" s="170">
        <v>42880</v>
      </c>
      <c r="B596" s="116">
        <v>115.46548938724401</v>
      </c>
      <c r="C596" s="116">
        <v>112.60551294986099</v>
      </c>
      <c r="D596" s="116">
        <v>111.15128764271699</v>
      </c>
      <c r="E596" s="116">
        <v>115.36854103343499</v>
      </c>
      <c r="F596" s="116">
        <v>116.15</v>
      </c>
      <c r="G596">
        <v>1155843</v>
      </c>
      <c r="H596" s="116"/>
      <c r="I596" s="116"/>
      <c r="L596" s="170">
        <v>42880</v>
      </c>
      <c r="M596" s="116">
        <v>112.70263827082</v>
      </c>
      <c r="N596" s="116">
        <v>115.75651621106201</v>
      </c>
      <c r="O596" s="116">
        <v>110.957565162111</v>
      </c>
      <c r="P596" s="116">
        <v>115.36872218690399</v>
      </c>
      <c r="Q596" s="116">
        <v>116.25</v>
      </c>
      <c r="R596">
        <v>9523315</v>
      </c>
    </row>
    <row r="597" spans="1:18" x14ac:dyDescent="0.25">
      <c r="A597" s="170">
        <v>42881</v>
      </c>
      <c r="B597" s="116">
        <v>114.156686610815</v>
      </c>
      <c r="C597" s="116">
        <v>112.21771953462201</v>
      </c>
      <c r="D597" s="116">
        <v>111.58755523486001</v>
      </c>
      <c r="E597" s="116">
        <v>112.60551294986099</v>
      </c>
      <c r="F597" s="116">
        <v>115.75</v>
      </c>
      <c r="G597">
        <v>773700</v>
      </c>
      <c r="H597" s="116"/>
      <c r="I597" s="116"/>
      <c r="L597" s="170">
        <v>42881</v>
      </c>
      <c r="M597" s="116">
        <v>112.411792752702</v>
      </c>
      <c r="N597" s="116">
        <v>114.205340114431</v>
      </c>
      <c r="O597" s="116">
        <v>111.490781945327</v>
      </c>
      <c r="P597" s="116">
        <v>113.429752066116</v>
      </c>
      <c r="Q597" s="116">
        <v>115.95</v>
      </c>
      <c r="R597">
        <v>4170952</v>
      </c>
    </row>
    <row r="598" spans="1:18" x14ac:dyDescent="0.25">
      <c r="A598" s="170">
        <v>42884</v>
      </c>
      <c r="B598" s="116">
        <v>112.21771953462201</v>
      </c>
      <c r="C598" s="116">
        <v>107.90351779009499</v>
      </c>
      <c r="D598" s="116">
        <v>106.740137544379</v>
      </c>
      <c r="E598" s="116">
        <v>111.49060688105</v>
      </c>
      <c r="F598" s="116">
        <v>111.3</v>
      </c>
      <c r="G598">
        <v>751106</v>
      </c>
      <c r="H598" s="116"/>
      <c r="I598" s="116"/>
      <c r="L598" s="170">
        <v>42884</v>
      </c>
      <c r="M598" s="116">
        <v>108.000635727908</v>
      </c>
      <c r="N598" s="116">
        <v>112.460267005722</v>
      </c>
      <c r="O598" s="116">
        <v>106.691830896376</v>
      </c>
      <c r="P598" s="116">
        <v>112.411792752702</v>
      </c>
      <c r="Q598" s="116">
        <v>111.4</v>
      </c>
      <c r="R598">
        <v>4816508</v>
      </c>
    </row>
    <row r="599" spans="1:18" x14ac:dyDescent="0.25">
      <c r="A599" s="170">
        <v>42885</v>
      </c>
      <c r="B599" s="116">
        <v>120.943071377487</v>
      </c>
      <c r="C599" s="116">
        <v>114.302109141529</v>
      </c>
      <c r="D599" s="116">
        <v>106.691663367475</v>
      </c>
      <c r="E599" s="116">
        <v>107.612672728666</v>
      </c>
      <c r="F599" s="116">
        <v>117.9</v>
      </c>
      <c r="G599">
        <v>3778850</v>
      </c>
      <c r="H599" s="116"/>
      <c r="I599" s="116"/>
      <c r="L599" s="170">
        <v>42885</v>
      </c>
      <c r="M599" s="116">
        <v>114.30228862046999</v>
      </c>
      <c r="N599" s="116">
        <v>120.99173553719</v>
      </c>
      <c r="O599" s="116">
        <v>106.643356643357</v>
      </c>
      <c r="P599" s="116">
        <v>108.58232676414499</v>
      </c>
      <c r="Q599" s="116">
        <v>117.9</v>
      </c>
      <c r="R599">
        <v>20862798</v>
      </c>
    </row>
    <row r="600" spans="1:18" x14ac:dyDescent="0.25">
      <c r="A600" s="170">
        <v>42886</v>
      </c>
      <c r="B600" s="116">
        <v>117.065137225103</v>
      </c>
      <c r="C600" s="116">
        <v>112.89635801129</v>
      </c>
      <c r="D600" s="116">
        <v>111.58755523486001</v>
      </c>
      <c r="E600" s="116">
        <v>115.756334448673</v>
      </c>
      <c r="F600" s="116">
        <v>116.45</v>
      </c>
      <c r="G600">
        <v>1336749</v>
      </c>
      <c r="H600" s="116"/>
      <c r="I600" s="116"/>
      <c r="L600" s="170">
        <v>42886</v>
      </c>
      <c r="M600" s="116">
        <v>113.235855054037</v>
      </c>
      <c r="N600" s="116">
        <v>117.016846789574</v>
      </c>
      <c r="O600" s="116">
        <v>111.539256198347</v>
      </c>
      <c r="P600" s="116">
        <v>114.69008264462801</v>
      </c>
      <c r="Q600" s="116">
        <v>116.8</v>
      </c>
      <c r="R600">
        <v>8292327</v>
      </c>
    </row>
    <row r="601" spans="1:18" x14ac:dyDescent="0.25">
      <c r="A601" s="170">
        <v>42887</v>
      </c>
      <c r="B601" s="116">
        <v>114.98074761819601</v>
      </c>
      <c r="C601" s="116">
        <v>112.847883834385</v>
      </c>
      <c r="D601" s="116">
        <v>112.266193711527</v>
      </c>
      <c r="E601" s="116">
        <v>113.623470664862</v>
      </c>
      <c r="F601" s="116">
        <v>116.4</v>
      </c>
      <c r="G601">
        <v>1996907</v>
      </c>
      <c r="H601" s="116"/>
      <c r="I601" s="116"/>
      <c r="L601" s="170">
        <v>42887</v>
      </c>
      <c r="M601" s="116">
        <v>113.187380801017</v>
      </c>
      <c r="N601" s="116">
        <v>115.077876668786</v>
      </c>
      <c r="O601" s="116">
        <v>112.70263827082</v>
      </c>
      <c r="P601" s="116">
        <v>113.623649078195</v>
      </c>
      <c r="Q601" s="116">
        <v>116.75</v>
      </c>
      <c r="R601">
        <v>5578850</v>
      </c>
    </row>
    <row r="602" spans="1:18" x14ac:dyDescent="0.25">
      <c r="A602" s="170">
        <v>42888</v>
      </c>
      <c r="B602" s="116">
        <v>115.22311850272</v>
      </c>
      <c r="C602" s="116">
        <v>113.720419018671</v>
      </c>
      <c r="D602" s="116">
        <v>113.04178054200401</v>
      </c>
      <c r="E602" s="116">
        <v>114.205160787719</v>
      </c>
      <c r="F602" s="116">
        <v>117.3</v>
      </c>
      <c r="G602">
        <v>2422467</v>
      </c>
      <c r="H602" s="116"/>
      <c r="I602" s="116"/>
      <c r="L602" s="170">
        <v>42888</v>
      </c>
      <c r="M602" s="116">
        <v>113.91449459631301</v>
      </c>
      <c r="N602" s="116">
        <v>115.126350921805</v>
      </c>
      <c r="O602" s="116">
        <v>112.945009535919</v>
      </c>
      <c r="P602" s="116">
        <v>113.623649078195</v>
      </c>
      <c r="Q602" s="116">
        <v>117.5</v>
      </c>
      <c r="R602">
        <v>4227409</v>
      </c>
    </row>
    <row r="603" spans="1:18" x14ac:dyDescent="0.25">
      <c r="A603" s="170">
        <v>42891</v>
      </c>
      <c r="B603" s="116">
        <v>115.85328280248299</v>
      </c>
      <c r="C603" s="116">
        <v>114.05973825700499</v>
      </c>
      <c r="D603" s="116">
        <v>112.993306365099</v>
      </c>
      <c r="E603" s="116">
        <v>113.235677249623</v>
      </c>
      <c r="F603" s="116">
        <v>117.65</v>
      </c>
      <c r="G603">
        <v>1952190</v>
      </c>
      <c r="H603" s="116"/>
      <c r="I603" s="116"/>
      <c r="L603" s="170">
        <v>42891</v>
      </c>
      <c r="M603" s="116">
        <v>113.91449459631301</v>
      </c>
      <c r="N603" s="116">
        <v>116.04736172918</v>
      </c>
      <c r="O603" s="116">
        <v>112.945009535919</v>
      </c>
      <c r="P603" s="116">
        <v>113.91449459631301</v>
      </c>
      <c r="Q603" s="116">
        <v>117.5</v>
      </c>
      <c r="R603">
        <v>4628391</v>
      </c>
    </row>
    <row r="604" spans="1:18" x14ac:dyDescent="0.25">
      <c r="A604" s="170">
        <v>42892</v>
      </c>
      <c r="B604" s="116">
        <v>124.481686291538</v>
      </c>
      <c r="C604" s="116">
        <v>123.89999616868</v>
      </c>
      <c r="D604" s="116">
        <v>115.174644325815</v>
      </c>
      <c r="E604" s="116">
        <v>115.174644325815</v>
      </c>
      <c r="F604" s="116">
        <v>127.8</v>
      </c>
      <c r="G604">
        <v>6768154</v>
      </c>
      <c r="H604" s="116"/>
      <c r="I604" s="116"/>
      <c r="L604" s="170">
        <v>42892</v>
      </c>
      <c r="M604" s="116">
        <v>124.142561983471</v>
      </c>
      <c r="N604" s="116">
        <v>124.869675778767</v>
      </c>
      <c r="O604" s="116">
        <v>115.46567069294299</v>
      </c>
      <c r="P604" s="116">
        <v>115.46567069294299</v>
      </c>
      <c r="Q604" s="116">
        <v>128.05000000000001</v>
      </c>
      <c r="R604">
        <v>37683895</v>
      </c>
    </row>
    <row r="605" spans="1:18" x14ac:dyDescent="0.25">
      <c r="A605" s="170">
        <v>42893</v>
      </c>
      <c r="B605" s="116">
        <v>130.347061697019</v>
      </c>
      <c r="C605" s="116">
        <v>127.099291844397</v>
      </c>
      <c r="D605" s="116">
        <v>125.354221475824</v>
      </c>
      <c r="E605" s="116">
        <v>126.71149842915899</v>
      </c>
      <c r="F605" s="116">
        <v>131.1</v>
      </c>
      <c r="G605">
        <v>2856747</v>
      </c>
      <c r="H605" s="116"/>
      <c r="I605" s="116"/>
      <c r="L605" s="170">
        <v>42893</v>
      </c>
      <c r="M605" s="116">
        <v>127.293388429752</v>
      </c>
      <c r="N605" s="116">
        <v>130.39574062301301</v>
      </c>
      <c r="O605" s="116">
        <v>125.16052129688499</v>
      </c>
      <c r="P605" s="116">
        <v>126.760171646535</v>
      </c>
      <c r="Q605" s="116">
        <v>131.30000000000001</v>
      </c>
      <c r="R605">
        <v>24487190</v>
      </c>
    </row>
    <row r="606" spans="1:18" x14ac:dyDescent="0.25">
      <c r="A606" s="170">
        <v>42894</v>
      </c>
      <c r="B606" s="116">
        <v>127.72945614416</v>
      </c>
      <c r="C606" s="116">
        <v>125.499644006539</v>
      </c>
      <c r="D606" s="116">
        <v>122.882038453679</v>
      </c>
      <c r="E606" s="116">
        <v>127.099291844397</v>
      </c>
      <c r="F606" s="116">
        <v>129.44999999999999</v>
      </c>
      <c r="G606">
        <v>1141231</v>
      </c>
      <c r="H606" s="116"/>
      <c r="I606" s="116"/>
      <c r="L606" s="170">
        <v>42894</v>
      </c>
      <c r="M606" s="116">
        <v>125.839160839161</v>
      </c>
      <c r="N606" s="116">
        <v>127.58423394787</v>
      </c>
      <c r="O606" s="116">
        <v>122.882231404959</v>
      </c>
      <c r="P606" s="116">
        <v>127.002542911634</v>
      </c>
      <c r="Q606" s="116">
        <v>129.80000000000001</v>
      </c>
      <c r="R606">
        <v>8299688</v>
      </c>
    </row>
    <row r="607" spans="1:18" x14ac:dyDescent="0.25">
      <c r="A607" s="170">
        <v>42895</v>
      </c>
      <c r="B607" s="116">
        <v>128.94131056678</v>
      </c>
      <c r="C607" s="116">
        <v>128.21419791320801</v>
      </c>
      <c r="D607" s="116">
        <v>123.31830604582299</v>
      </c>
      <c r="E607" s="116">
        <v>124.578634645348</v>
      </c>
      <c r="F607" s="116">
        <v>132.25</v>
      </c>
      <c r="G607">
        <v>1261133</v>
      </c>
      <c r="H607" s="116"/>
      <c r="I607" s="116"/>
      <c r="L607" s="170">
        <v>42895</v>
      </c>
      <c r="M607" s="116">
        <v>128.214399237126</v>
      </c>
      <c r="N607" s="116">
        <v>129.13541004450099</v>
      </c>
      <c r="O607" s="116">
        <v>123.17307692307701</v>
      </c>
      <c r="P607" s="116">
        <v>126.03305785124</v>
      </c>
      <c r="Q607" s="116">
        <v>132.25</v>
      </c>
      <c r="R607">
        <v>9200926</v>
      </c>
    </row>
    <row r="608" spans="1:18" x14ac:dyDescent="0.25">
      <c r="A608" s="170">
        <v>42898</v>
      </c>
      <c r="B608" s="116">
        <v>128.94131056678</v>
      </c>
      <c r="C608" s="116">
        <v>126.71149842915899</v>
      </c>
      <c r="D608" s="116">
        <v>124.190841230109</v>
      </c>
      <c r="E608" s="116">
        <v>126.129808306301</v>
      </c>
      <c r="F608" s="116">
        <v>130.69999999999999</v>
      </c>
      <c r="G608">
        <v>922148</v>
      </c>
      <c r="H608" s="116"/>
      <c r="I608" s="116"/>
      <c r="L608" s="170">
        <v>42898</v>
      </c>
      <c r="M608" s="116">
        <v>126.760171646535</v>
      </c>
      <c r="N608" s="116">
        <v>129.13541004450099</v>
      </c>
      <c r="O608" s="116">
        <v>124.09408773045099</v>
      </c>
      <c r="P608" s="116">
        <v>127.48728544183101</v>
      </c>
      <c r="Q608" s="116">
        <v>130.75</v>
      </c>
      <c r="R608">
        <v>5195277</v>
      </c>
    </row>
    <row r="609" spans="1:18" x14ac:dyDescent="0.25">
      <c r="A609" s="170">
        <v>42899</v>
      </c>
      <c r="B609" s="116">
        <v>131.46196776583</v>
      </c>
      <c r="C609" s="116">
        <v>128.35962044392201</v>
      </c>
      <c r="D609" s="116">
        <v>125.1118505913</v>
      </c>
      <c r="E609" s="116">
        <v>125.83896324487201</v>
      </c>
      <c r="F609" s="116">
        <v>132.4</v>
      </c>
      <c r="G609">
        <v>1192177</v>
      </c>
      <c r="H609" s="116"/>
      <c r="I609" s="116"/>
      <c r="L609" s="170">
        <v>42899</v>
      </c>
      <c r="M609" s="116">
        <v>128.35982199618601</v>
      </c>
      <c r="N609" s="116">
        <v>131.656071201526</v>
      </c>
      <c r="O609" s="116">
        <v>125.063572790846</v>
      </c>
      <c r="P609" s="116">
        <v>125.063572790846</v>
      </c>
      <c r="Q609" s="116">
        <v>132.4</v>
      </c>
      <c r="R609">
        <v>12237856</v>
      </c>
    </row>
    <row r="610" spans="1:18" x14ac:dyDescent="0.25">
      <c r="A610" s="170">
        <v>42900</v>
      </c>
      <c r="B610" s="116">
        <v>129.523000689638</v>
      </c>
      <c r="C610" s="116">
        <v>127.244714375112</v>
      </c>
      <c r="D610" s="116">
        <v>126.51760172154</v>
      </c>
      <c r="E610" s="116">
        <v>128.84436221297</v>
      </c>
      <c r="F610" s="116">
        <v>131.25</v>
      </c>
      <c r="G610">
        <v>657543</v>
      </c>
      <c r="H610" s="116"/>
      <c r="I610" s="116"/>
      <c r="L610" s="170">
        <v>42900</v>
      </c>
      <c r="M610" s="116">
        <v>127.244914176732</v>
      </c>
      <c r="N610" s="116">
        <v>129.62015257469801</v>
      </c>
      <c r="O610" s="116">
        <v>126.42085187539701</v>
      </c>
      <c r="P610" s="116">
        <v>128.747616020343</v>
      </c>
      <c r="Q610" s="116">
        <v>131.25</v>
      </c>
      <c r="R610">
        <v>4219965</v>
      </c>
    </row>
    <row r="611" spans="1:18" x14ac:dyDescent="0.25">
      <c r="A611" s="170">
        <v>42901</v>
      </c>
      <c r="B611" s="116">
        <v>129.765371574162</v>
      </c>
      <c r="C611" s="116">
        <v>128.45656879773199</v>
      </c>
      <c r="D611" s="116">
        <v>125.548118183444</v>
      </c>
      <c r="E611" s="116">
        <v>127.244714375112</v>
      </c>
      <c r="F611" s="116">
        <v>132.5</v>
      </c>
      <c r="G611">
        <v>699607</v>
      </c>
      <c r="H611" s="116"/>
      <c r="I611" s="116"/>
      <c r="L611" s="170">
        <v>42901</v>
      </c>
      <c r="M611" s="116">
        <v>128.456770502225</v>
      </c>
      <c r="N611" s="116">
        <v>129.86252383979701</v>
      </c>
      <c r="O611" s="116">
        <v>125.063572790846</v>
      </c>
      <c r="P611" s="116">
        <v>127.002542911634</v>
      </c>
      <c r="Q611" s="116">
        <v>132.5</v>
      </c>
      <c r="R611">
        <v>5069151</v>
      </c>
    </row>
    <row r="612" spans="1:18" x14ac:dyDescent="0.25">
      <c r="A612" s="170">
        <v>42902</v>
      </c>
      <c r="B612" s="116">
        <v>129.28062980511399</v>
      </c>
      <c r="C612" s="116">
        <v>126.808446782969</v>
      </c>
      <c r="D612" s="116">
        <v>126.275230837016</v>
      </c>
      <c r="E612" s="116">
        <v>128.94131056678</v>
      </c>
      <c r="F612" s="116">
        <v>130.80000000000001</v>
      </c>
      <c r="G612">
        <v>519924</v>
      </c>
      <c r="H612" s="116"/>
      <c r="I612" s="116"/>
      <c r="L612" s="170">
        <v>42902</v>
      </c>
      <c r="M612" s="116">
        <v>126.905594405594</v>
      </c>
      <c r="N612" s="116">
        <v>129.32930705658001</v>
      </c>
      <c r="O612" s="116">
        <v>126.32390336935801</v>
      </c>
      <c r="P612" s="116">
        <v>128.40829624920499</v>
      </c>
      <c r="Q612" s="116">
        <v>130.9</v>
      </c>
      <c r="R612">
        <v>4333378</v>
      </c>
    </row>
    <row r="613" spans="1:18" x14ac:dyDescent="0.25">
      <c r="A613" s="170">
        <v>42905</v>
      </c>
      <c r="B613" s="116">
        <v>129.32910398201801</v>
      </c>
      <c r="C613" s="116">
        <v>127.777930321065</v>
      </c>
      <c r="D613" s="116">
        <v>127.293188552017</v>
      </c>
      <c r="E613" s="116">
        <v>127.874878674874</v>
      </c>
      <c r="F613" s="116">
        <v>131.80000000000001</v>
      </c>
      <c r="G613">
        <v>506383</v>
      </c>
      <c r="H613" s="116"/>
      <c r="I613" s="116"/>
      <c r="L613" s="170">
        <v>42905</v>
      </c>
      <c r="M613" s="116">
        <v>127.923553719008</v>
      </c>
      <c r="N613" s="116">
        <v>129.28083280356</v>
      </c>
      <c r="O613" s="116">
        <v>127.293388429752</v>
      </c>
      <c r="P613" s="116">
        <v>128.214399237126</v>
      </c>
      <c r="Q613" s="116">
        <v>131.94999999999999</v>
      </c>
      <c r="R613">
        <v>3366146</v>
      </c>
    </row>
    <row r="614" spans="1:18" x14ac:dyDescent="0.25">
      <c r="A614" s="170">
        <v>42906</v>
      </c>
      <c r="B614" s="116">
        <v>128.31114626701699</v>
      </c>
      <c r="C614" s="116">
        <v>126.953869313683</v>
      </c>
      <c r="D614" s="116">
        <v>125.499644006539</v>
      </c>
      <c r="E614" s="116">
        <v>127.584033613445</v>
      </c>
      <c r="F614" s="116">
        <v>130.94999999999999</v>
      </c>
      <c r="G614">
        <v>466333</v>
      </c>
      <c r="H614" s="116"/>
      <c r="I614" s="116"/>
      <c r="L614" s="170">
        <v>42906</v>
      </c>
      <c r="M614" s="116">
        <v>126.905594405594</v>
      </c>
      <c r="N614" s="116">
        <v>128.35982199618601</v>
      </c>
      <c r="O614" s="116">
        <v>125.354418308964</v>
      </c>
      <c r="P614" s="116">
        <v>128.35982199618601</v>
      </c>
      <c r="Q614" s="116">
        <v>130.9</v>
      </c>
      <c r="R614">
        <v>3600676</v>
      </c>
    </row>
    <row r="615" spans="1:18" x14ac:dyDescent="0.25">
      <c r="A615" s="170">
        <v>42907</v>
      </c>
      <c r="B615" s="116">
        <v>128.74741385916099</v>
      </c>
      <c r="C615" s="116">
        <v>127.874878674874</v>
      </c>
      <c r="D615" s="116">
        <v>126.32370501392001</v>
      </c>
      <c r="E615" s="116">
        <v>127.099291844397</v>
      </c>
      <c r="F615" s="116">
        <v>131.9</v>
      </c>
      <c r="G615">
        <v>726956</v>
      </c>
      <c r="H615" s="116"/>
      <c r="I615" s="116"/>
      <c r="L615" s="170">
        <v>42907</v>
      </c>
      <c r="M615" s="116">
        <v>127.826605212969</v>
      </c>
      <c r="N615" s="116">
        <v>128.84456452638301</v>
      </c>
      <c r="O615" s="116">
        <v>126.32390336935801</v>
      </c>
      <c r="P615" s="116">
        <v>126.808645899555</v>
      </c>
      <c r="Q615" s="116">
        <v>131.85</v>
      </c>
      <c r="R615">
        <v>4123135</v>
      </c>
    </row>
    <row r="616" spans="1:18" x14ac:dyDescent="0.25">
      <c r="A616" s="170">
        <v>42908</v>
      </c>
      <c r="B616" s="116">
        <v>129.13520727439899</v>
      </c>
      <c r="C616" s="116">
        <v>126.953869313683</v>
      </c>
      <c r="D616" s="116">
        <v>126.51760172154</v>
      </c>
      <c r="E616" s="116">
        <v>128.84436221297</v>
      </c>
      <c r="F616" s="116">
        <v>130.94999999999999</v>
      </c>
      <c r="G616">
        <v>768120</v>
      </c>
      <c r="H616" s="116"/>
      <c r="I616" s="116"/>
      <c r="L616" s="170">
        <v>42908</v>
      </c>
      <c r="M616" s="116">
        <v>126.85712015257501</v>
      </c>
      <c r="N616" s="116">
        <v>129.13541004450099</v>
      </c>
      <c r="O616" s="116">
        <v>126.03305785124</v>
      </c>
      <c r="P616" s="116">
        <v>128.456770502225</v>
      </c>
      <c r="Q616" s="116">
        <v>130.85</v>
      </c>
      <c r="R616">
        <v>3971698</v>
      </c>
    </row>
    <row r="617" spans="1:18" x14ac:dyDescent="0.25">
      <c r="A617" s="170">
        <v>42909</v>
      </c>
      <c r="B617" s="116">
        <v>127.05081766749301</v>
      </c>
      <c r="C617" s="116">
        <v>122.445770861536</v>
      </c>
      <c r="D617" s="116">
        <v>120.409855431534</v>
      </c>
      <c r="E617" s="116">
        <v>126.905395136778</v>
      </c>
      <c r="F617" s="116">
        <v>126.3</v>
      </c>
      <c r="G617">
        <v>678857</v>
      </c>
      <c r="H617" s="116"/>
      <c r="I617" s="116"/>
      <c r="L617" s="170">
        <v>42909</v>
      </c>
      <c r="M617" s="116">
        <v>122.494437380801</v>
      </c>
      <c r="N617" s="116">
        <v>127.09949141767299</v>
      </c>
      <c r="O617" s="116">
        <v>120.361570247934</v>
      </c>
      <c r="P617" s="116">
        <v>126.905594405594</v>
      </c>
      <c r="Q617" s="116">
        <v>126.35</v>
      </c>
      <c r="R617">
        <v>5913258</v>
      </c>
    </row>
    <row r="618" spans="1:18" x14ac:dyDescent="0.25">
      <c r="A618" s="170">
        <v>42913</v>
      </c>
      <c r="B618" s="116">
        <v>128.79588803606501</v>
      </c>
      <c r="C618" s="116">
        <v>127.002343490588</v>
      </c>
      <c r="D618" s="116">
        <v>120.65222631605801</v>
      </c>
      <c r="E618" s="116">
        <v>121.961029092488</v>
      </c>
      <c r="F618" s="116">
        <v>131</v>
      </c>
      <c r="G618">
        <v>2207001</v>
      </c>
      <c r="H618" s="116"/>
      <c r="I618" s="116"/>
      <c r="L618" s="170">
        <v>42913</v>
      </c>
      <c r="M618" s="116">
        <v>127.002542911634</v>
      </c>
      <c r="N618" s="116">
        <v>128.84456452638301</v>
      </c>
      <c r="O618" s="116">
        <v>120.70089001907201</v>
      </c>
      <c r="P618" s="116">
        <v>123.027654164018</v>
      </c>
      <c r="Q618" s="116">
        <v>131</v>
      </c>
      <c r="R618">
        <v>5961133</v>
      </c>
    </row>
    <row r="619" spans="1:18" x14ac:dyDescent="0.25">
      <c r="A619" s="170">
        <v>42914</v>
      </c>
      <c r="B619" s="116">
        <v>132.47992548083101</v>
      </c>
      <c r="C619" s="116">
        <v>130.29858752011401</v>
      </c>
      <c r="D619" s="116">
        <v>128.262672090113</v>
      </c>
      <c r="E619" s="116">
        <v>128.408094620827</v>
      </c>
      <c r="F619" s="116">
        <v>134.4</v>
      </c>
      <c r="G619">
        <v>1809694</v>
      </c>
      <c r="H619" s="116"/>
      <c r="I619" s="116"/>
      <c r="L619" s="170">
        <v>42914</v>
      </c>
      <c r="M619" s="116">
        <v>130.298792116974</v>
      </c>
      <c r="N619" s="116">
        <v>132.52860775587999</v>
      </c>
      <c r="O619" s="116">
        <v>128.06897647806699</v>
      </c>
      <c r="P619" s="116">
        <v>128.26287349014601</v>
      </c>
      <c r="Q619" s="116">
        <v>134.4</v>
      </c>
      <c r="R619">
        <v>14293742</v>
      </c>
    </row>
    <row r="620" spans="1:18" x14ac:dyDescent="0.25">
      <c r="A620" s="170">
        <v>42915</v>
      </c>
      <c r="B620" s="116">
        <v>131.55891611963901</v>
      </c>
      <c r="C620" s="116">
        <v>129.232155628209</v>
      </c>
      <c r="D620" s="116">
        <v>128.553517151541</v>
      </c>
      <c r="E620" s="116">
        <v>130.05621663559</v>
      </c>
      <c r="F620" s="116">
        <v>133.30000000000001</v>
      </c>
      <c r="G620">
        <v>528895</v>
      </c>
      <c r="H620" s="116"/>
      <c r="I620" s="116"/>
      <c r="L620" s="170">
        <v>42915</v>
      </c>
      <c r="M620" s="116">
        <v>129.18388429752099</v>
      </c>
      <c r="N620" s="116">
        <v>131.46217418944701</v>
      </c>
      <c r="O620" s="116">
        <v>128.55371900826401</v>
      </c>
      <c r="P620" s="116">
        <v>130.88048315321001</v>
      </c>
      <c r="Q620" s="116">
        <v>133.25</v>
      </c>
      <c r="R620">
        <v>4347591</v>
      </c>
    </row>
    <row r="621" spans="1:18" x14ac:dyDescent="0.25">
      <c r="A621" s="170">
        <v>42916</v>
      </c>
      <c r="B621" s="116">
        <v>130.29858752011401</v>
      </c>
      <c r="C621" s="116">
        <v>128.45656879773199</v>
      </c>
      <c r="D621" s="116">
        <v>126.614550075349</v>
      </c>
      <c r="E621" s="116">
        <v>128.94131056678</v>
      </c>
      <c r="F621" s="116">
        <v>132.5</v>
      </c>
      <c r="G621">
        <v>556985</v>
      </c>
      <c r="H621" s="116"/>
      <c r="I621" s="116"/>
      <c r="L621" s="170">
        <v>42916</v>
      </c>
      <c r="M621" s="116">
        <v>128.55371900826401</v>
      </c>
      <c r="N621" s="116">
        <v>130.20184361093499</v>
      </c>
      <c r="O621" s="116">
        <v>126.56627463445599</v>
      </c>
      <c r="P621" s="116">
        <v>128.94151303242199</v>
      </c>
      <c r="Q621" s="116">
        <v>132.6</v>
      </c>
      <c r="R621">
        <v>4288794</v>
      </c>
    </row>
    <row r="622" spans="1:18" x14ac:dyDescent="0.25">
      <c r="A622" s="170">
        <v>42919</v>
      </c>
      <c r="B622" s="116">
        <v>134.56431508773699</v>
      </c>
      <c r="C622" s="116">
        <v>132.38297712702101</v>
      </c>
      <c r="D622" s="116">
        <v>127.05081766749301</v>
      </c>
      <c r="E622" s="116">
        <v>127.971827028684</v>
      </c>
      <c r="F622" s="116">
        <v>136.55000000000001</v>
      </c>
      <c r="G622">
        <v>1284278</v>
      </c>
      <c r="H622" s="116"/>
      <c r="I622" s="116"/>
      <c r="L622" s="170">
        <v>42919</v>
      </c>
      <c r="M622" s="116">
        <v>132.33471074380199</v>
      </c>
      <c r="N622" s="116">
        <v>134.709949141767</v>
      </c>
      <c r="O622" s="116">
        <v>127.972027972028</v>
      </c>
      <c r="P622" s="116">
        <v>128.35982199618601</v>
      </c>
      <c r="Q622" s="116">
        <v>136.5</v>
      </c>
      <c r="R622">
        <v>9590074</v>
      </c>
    </row>
    <row r="623" spans="1:18" x14ac:dyDescent="0.25">
      <c r="A623" s="170">
        <v>42920</v>
      </c>
      <c r="B623" s="116">
        <v>133.20703813440301</v>
      </c>
      <c r="C623" s="116">
        <v>129.523000689638</v>
      </c>
      <c r="D623" s="116">
        <v>128.94131056678</v>
      </c>
      <c r="E623" s="116">
        <v>133.06161560368801</v>
      </c>
      <c r="F623" s="116">
        <v>133.6</v>
      </c>
      <c r="G623">
        <v>658886</v>
      </c>
      <c r="H623" s="116"/>
      <c r="I623" s="116"/>
      <c r="L623" s="170">
        <v>42920</v>
      </c>
      <c r="M623" s="116">
        <v>129.47472981563899</v>
      </c>
      <c r="N623" s="116">
        <v>133.25572155117601</v>
      </c>
      <c r="O623" s="116">
        <v>128.84456452638301</v>
      </c>
      <c r="P623" s="116">
        <v>132.33471074380199</v>
      </c>
      <c r="Q623" s="116">
        <v>133.55000000000001</v>
      </c>
      <c r="R623">
        <v>3729846</v>
      </c>
    </row>
    <row r="624" spans="1:18" x14ac:dyDescent="0.25">
      <c r="A624" s="170">
        <v>42921</v>
      </c>
      <c r="B624" s="116">
        <v>131.89823535797299</v>
      </c>
      <c r="C624" s="116">
        <v>131.025700173686</v>
      </c>
      <c r="D624" s="116">
        <v>128.553517151541</v>
      </c>
      <c r="E624" s="116">
        <v>129.57147486654199</v>
      </c>
      <c r="F624" s="116">
        <v>135.15</v>
      </c>
      <c r="G624">
        <v>723525</v>
      </c>
      <c r="H624" s="116"/>
      <c r="I624" s="116"/>
      <c r="L624" s="170">
        <v>42921</v>
      </c>
      <c r="M624" s="116">
        <v>131.122854418309</v>
      </c>
      <c r="N624" s="116">
        <v>131.849968213605</v>
      </c>
      <c r="O624" s="116">
        <v>128.456770502225</v>
      </c>
      <c r="P624" s="116">
        <v>129.91099809281599</v>
      </c>
      <c r="Q624" s="116">
        <v>135.25</v>
      </c>
      <c r="R624">
        <v>4430195</v>
      </c>
    </row>
    <row r="625" spans="1:18" x14ac:dyDescent="0.25">
      <c r="A625" s="170">
        <v>42922</v>
      </c>
      <c r="B625" s="116">
        <v>131.995183711783</v>
      </c>
      <c r="C625" s="116">
        <v>130.83180346606699</v>
      </c>
      <c r="D625" s="116">
        <v>129.813845751066</v>
      </c>
      <c r="E625" s="116">
        <v>130.00774245868601</v>
      </c>
      <c r="F625" s="116">
        <v>134.94999999999999</v>
      </c>
      <c r="G625">
        <v>441811</v>
      </c>
      <c r="H625" s="116"/>
      <c r="I625" s="116"/>
      <c r="L625" s="170">
        <v>42922</v>
      </c>
      <c r="M625" s="116">
        <v>131.074380165289</v>
      </c>
      <c r="N625" s="116">
        <v>131.94691671964401</v>
      </c>
      <c r="O625" s="116">
        <v>129.765575333757</v>
      </c>
      <c r="P625" s="116">
        <v>130.88048315321001</v>
      </c>
      <c r="Q625" s="116">
        <v>135.19999999999999</v>
      </c>
      <c r="R625">
        <v>3032861</v>
      </c>
    </row>
    <row r="626" spans="1:18" x14ac:dyDescent="0.25">
      <c r="A626" s="170">
        <v>42923</v>
      </c>
      <c r="B626" s="116">
        <v>131.75281282725899</v>
      </c>
      <c r="C626" s="116">
        <v>130.05621663559</v>
      </c>
      <c r="D626" s="116">
        <v>129.086733097494</v>
      </c>
      <c r="E626" s="116">
        <v>129.910794104876</v>
      </c>
      <c r="F626" s="116">
        <v>134.15</v>
      </c>
      <c r="G626">
        <v>331194</v>
      </c>
      <c r="H626" s="116"/>
      <c r="I626" s="116"/>
      <c r="L626" s="170">
        <v>42923</v>
      </c>
      <c r="M626" s="116">
        <v>130.10489510489501</v>
      </c>
      <c r="N626" s="116">
        <v>131.849968213605</v>
      </c>
      <c r="O626" s="116">
        <v>129.42625556261899</v>
      </c>
      <c r="P626" s="116">
        <v>130.347266369994</v>
      </c>
      <c r="Q626" s="116">
        <v>134.19999999999999</v>
      </c>
      <c r="R626">
        <v>1890872</v>
      </c>
    </row>
    <row r="627" spans="1:18" x14ac:dyDescent="0.25">
      <c r="A627" s="170">
        <v>42926</v>
      </c>
      <c r="B627" s="116">
        <v>131.849761181068</v>
      </c>
      <c r="C627" s="116">
        <v>130.83180346606699</v>
      </c>
      <c r="D627" s="116">
        <v>130.39553587392399</v>
      </c>
      <c r="E627" s="116">
        <v>131.849761181068</v>
      </c>
      <c r="F627" s="116">
        <v>134.94999999999999</v>
      </c>
      <c r="G627">
        <v>409744</v>
      </c>
      <c r="H627" s="116"/>
      <c r="I627" s="116"/>
      <c r="L627" s="170">
        <v>42926</v>
      </c>
      <c r="M627" s="116">
        <v>130.73506039415099</v>
      </c>
      <c r="N627" s="116">
        <v>134.66147488874799</v>
      </c>
      <c r="O627" s="116">
        <v>127.196439923713</v>
      </c>
      <c r="P627" s="116">
        <v>134.66147488874799</v>
      </c>
      <c r="Q627" s="116">
        <v>134.85</v>
      </c>
      <c r="R627">
        <v>619714</v>
      </c>
    </row>
    <row r="628" spans="1:18" x14ac:dyDescent="0.25">
      <c r="A628" s="170">
        <v>42927</v>
      </c>
      <c r="B628" s="116">
        <v>131.607390296544</v>
      </c>
      <c r="C628" s="116">
        <v>129.28062980511399</v>
      </c>
      <c r="D628" s="116">
        <v>128.79588803606501</v>
      </c>
      <c r="E628" s="116">
        <v>131.607390296544</v>
      </c>
      <c r="F628" s="116">
        <v>133.35</v>
      </c>
      <c r="G628">
        <v>470326</v>
      </c>
      <c r="H628" s="116"/>
      <c r="I628" s="116"/>
      <c r="L628" s="170">
        <v>42927</v>
      </c>
      <c r="M628" s="116">
        <v>129.32930705658001</v>
      </c>
      <c r="N628" s="116">
        <v>131.316751430388</v>
      </c>
      <c r="O628" s="116">
        <v>128.747616020343</v>
      </c>
      <c r="P628" s="116">
        <v>130.88048315321001</v>
      </c>
      <c r="Q628" s="116">
        <v>133.4</v>
      </c>
      <c r="R628">
        <v>2459729</v>
      </c>
    </row>
    <row r="629" spans="1:18" x14ac:dyDescent="0.25">
      <c r="A629" s="170">
        <v>42928</v>
      </c>
      <c r="B629" s="116">
        <v>137.56971405583499</v>
      </c>
      <c r="C629" s="116">
        <v>136.93954975607301</v>
      </c>
      <c r="D629" s="116">
        <v>129.13520727439899</v>
      </c>
      <c r="E629" s="116">
        <v>129.13520727439899</v>
      </c>
      <c r="F629" s="116">
        <v>141.25</v>
      </c>
      <c r="G629">
        <v>2290222</v>
      </c>
      <c r="H629" s="116"/>
      <c r="I629" s="116"/>
      <c r="L629" s="170">
        <v>42928</v>
      </c>
      <c r="M629" s="116">
        <v>136.98823903369399</v>
      </c>
      <c r="N629" s="116">
        <v>137.52145581690999</v>
      </c>
      <c r="O629" s="116">
        <v>128.94151303242199</v>
      </c>
      <c r="P629" s="116">
        <v>129.62015257469801</v>
      </c>
      <c r="Q629" s="116">
        <v>141.30000000000001</v>
      </c>
      <c r="R629">
        <v>15422906</v>
      </c>
    </row>
    <row r="630" spans="1:18" x14ac:dyDescent="0.25">
      <c r="A630" s="170">
        <v>42929</v>
      </c>
      <c r="B630" s="116">
        <v>139.99342290107501</v>
      </c>
      <c r="C630" s="116">
        <v>136.551756340834</v>
      </c>
      <c r="D630" s="116">
        <v>134.03109914178401</v>
      </c>
      <c r="E630" s="116">
        <v>138.44224924012201</v>
      </c>
      <c r="F630" s="116">
        <v>140.85</v>
      </c>
      <c r="G630">
        <v>1931402</v>
      </c>
      <c r="H630" s="116"/>
      <c r="I630" s="116"/>
      <c r="L630" s="170">
        <v>42929</v>
      </c>
      <c r="M630" s="116">
        <v>136.50349650349699</v>
      </c>
      <c r="N630" s="116">
        <v>139.945168467896</v>
      </c>
      <c r="O630" s="116">
        <v>133.934361093452</v>
      </c>
      <c r="P630" s="116">
        <v>138.151621106167</v>
      </c>
      <c r="Q630" s="116">
        <v>140.80000000000001</v>
      </c>
      <c r="R630">
        <v>10926196</v>
      </c>
    </row>
    <row r="631" spans="1:18" x14ac:dyDescent="0.25">
      <c r="A631" s="170">
        <v>42930</v>
      </c>
      <c r="B631" s="116">
        <v>136.697178871549</v>
      </c>
      <c r="C631" s="116">
        <v>134.95210850297599</v>
      </c>
      <c r="D631" s="116">
        <v>133.74025408035601</v>
      </c>
      <c r="E631" s="116">
        <v>136.697178871549</v>
      </c>
      <c r="F631" s="116">
        <v>139.19999999999999</v>
      </c>
      <c r="G631">
        <v>567434</v>
      </c>
      <c r="H631" s="116"/>
      <c r="I631" s="116"/>
      <c r="L631" s="170">
        <v>42930</v>
      </c>
      <c r="M631" s="116">
        <v>135.14621741894501</v>
      </c>
      <c r="N631" s="116">
        <v>137.133661792753</v>
      </c>
      <c r="O631" s="116">
        <v>133.498092816275</v>
      </c>
      <c r="P631" s="116">
        <v>136.69739351557499</v>
      </c>
      <c r="Q631" s="116">
        <v>139.4</v>
      </c>
      <c r="R631">
        <v>4692142</v>
      </c>
    </row>
    <row r="632" spans="1:18" x14ac:dyDescent="0.25">
      <c r="A632" s="170">
        <v>42933</v>
      </c>
      <c r="B632" s="116">
        <v>136.551756340834</v>
      </c>
      <c r="C632" s="116">
        <v>135.00058267988001</v>
      </c>
      <c r="D632" s="116">
        <v>134.079573318689</v>
      </c>
      <c r="E632" s="116">
        <v>135.727695333453</v>
      </c>
      <c r="F632" s="116">
        <v>139.25</v>
      </c>
      <c r="G632">
        <v>372311</v>
      </c>
      <c r="H632" s="116"/>
      <c r="I632" s="116"/>
      <c r="L632" s="170">
        <v>42933</v>
      </c>
      <c r="M632" s="116">
        <v>135.14621741894501</v>
      </c>
      <c r="N632" s="116">
        <v>136.50349650349699</v>
      </c>
      <c r="O632" s="116">
        <v>134.17673235855099</v>
      </c>
      <c r="P632" s="116">
        <v>135.243165924984</v>
      </c>
      <c r="Q632" s="116">
        <v>139.4</v>
      </c>
      <c r="R632">
        <v>2426468</v>
      </c>
    </row>
    <row r="633" spans="1:18" x14ac:dyDescent="0.25">
      <c r="A633" s="170">
        <v>42934</v>
      </c>
      <c r="B633" s="116">
        <v>135.92159204107199</v>
      </c>
      <c r="C633" s="116">
        <v>133.546357372736</v>
      </c>
      <c r="D633" s="116">
        <v>133.110089780593</v>
      </c>
      <c r="E633" s="116">
        <v>135.00058267988001</v>
      </c>
      <c r="F633" s="116">
        <v>137.75</v>
      </c>
      <c r="G633">
        <v>357674</v>
      </c>
      <c r="H633" s="116"/>
      <c r="I633" s="116"/>
      <c r="L633" s="170">
        <v>42934</v>
      </c>
      <c r="M633" s="116">
        <v>133.64351557533399</v>
      </c>
      <c r="N633" s="116">
        <v>136.067228226319</v>
      </c>
      <c r="O633" s="116">
        <v>132.916401780038</v>
      </c>
      <c r="P633" s="116">
        <v>134.709949141767</v>
      </c>
      <c r="Q633" s="116">
        <v>137.85</v>
      </c>
      <c r="R633">
        <v>2732576</v>
      </c>
    </row>
    <row r="634" spans="1:18" x14ac:dyDescent="0.25">
      <c r="A634" s="170">
        <v>42935</v>
      </c>
      <c r="B634" s="116">
        <v>136.35785963321501</v>
      </c>
      <c r="C634" s="116">
        <v>135.29142774130901</v>
      </c>
      <c r="D634" s="116">
        <v>133.30398648821199</v>
      </c>
      <c r="E634" s="116">
        <v>133.88567661107001</v>
      </c>
      <c r="F634" s="116">
        <v>139.55000000000001</v>
      </c>
      <c r="G634">
        <v>512133</v>
      </c>
      <c r="H634" s="116"/>
      <c r="I634" s="116"/>
      <c r="L634" s="170">
        <v>42935</v>
      </c>
      <c r="M634" s="116">
        <v>135.243165924984</v>
      </c>
      <c r="N634" s="116">
        <v>136.35807374443701</v>
      </c>
      <c r="O634" s="116">
        <v>133.30419580419601</v>
      </c>
      <c r="P634" s="116">
        <v>133.78893833439301</v>
      </c>
      <c r="Q634" s="116">
        <v>139.5</v>
      </c>
      <c r="R634">
        <v>2985094</v>
      </c>
    </row>
    <row r="635" spans="1:18" x14ac:dyDescent="0.25">
      <c r="A635" s="170">
        <v>42936</v>
      </c>
      <c r="B635" s="116">
        <v>137.61818823274001</v>
      </c>
      <c r="C635" s="116">
        <v>136.11548874869101</v>
      </c>
      <c r="D635" s="116">
        <v>134.56431508773699</v>
      </c>
      <c r="E635" s="116">
        <v>135.97006621797701</v>
      </c>
      <c r="F635" s="116">
        <v>140.4</v>
      </c>
      <c r="G635">
        <v>540036</v>
      </c>
      <c r="H635" s="116"/>
      <c r="I635" s="116"/>
      <c r="L635" s="170">
        <v>42936</v>
      </c>
      <c r="M635" s="116">
        <v>136.11570247933901</v>
      </c>
      <c r="N635" s="116">
        <v>137.66687857596901</v>
      </c>
      <c r="O635" s="116">
        <v>134.27368086459001</v>
      </c>
      <c r="P635" s="116">
        <v>135.72790845518099</v>
      </c>
      <c r="Q635" s="116">
        <v>140.4</v>
      </c>
      <c r="R635">
        <v>3904565</v>
      </c>
    </row>
    <row r="636" spans="1:18" x14ac:dyDescent="0.25">
      <c r="A636" s="170">
        <v>42937</v>
      </c>
      <c r="B636" s="116">
        <v>137.375817348216</v>
      </c>
      <c r="C636" s="116">
        <v>136.93954975607301</v>
      </c>
      <c r="D636" s="116">
        <v>133.546357372736</v>
      </c>
      <c r="E636" s="116">
        <v>137.03649810988199</v>
      </c>
      <c r="F636" s="116">
        <v>141.25</v>
      </c>
      <c r="G636">
        <v>688339</v>
      </c>
      <c r="H636" s="116"/>
      <c r="I636" s="116"/>
      <c r="L636" s="170">
        <v>42937</v>
      </c>
      <c r="M636" s="116">
        <v>136.89129052765401</v>
      </c>
      <c r="N636" s="116">
        <v>137.47298156389101</v>
      </c>
      <c r="O636" s="116">
        <v>133.64351557533399</v>
      </c>
      <c r="P636" s="116">
        <v>136.551970756516</v>
      </c>
      <c r="Q636" s="116">
        <v>141.19999999999999</v>
      </c>
      <c r="R636">
        <v>3543548</v>
      </c>
    </row>
    <row r="637" spans="1:18" x14ac:dyDescent="0.25">
      <c r="A637" s="170">
        <v>42940</v>
      </c>
      <c r="B637" s="116">
        <v>138.345300886312</v>
      </c>
      <c r="C637" s="116">
        <v>135.97006621797701</v>
      </c>
      <c r="D637" s="116">
        <v>135.09753103368999</v>
      </c>
      <c r="E637" s="116">
        <v>137.56971405583499</v>
      </c>
      <c r="F637" s="116">
        <v>140.25</v>
      </c>
      <c r="G637">
        <v>433382</v>
      </c>
      <c r="H637" s="116"/>
      <c r="I637" s="116"/>
      <c r="L637" s="170">
        <v>42940</v>
      </c>
      <c r="M637" s="116">
        <v>135.97027972027999</v>
      </c>
      <c r="N637" s="116">
        <v>138.345518118245</v>
      </c>
      <c r="O637" s="116">
        <v>134.95232040686599</v>
      </c>
      <c r="P637" s="116">
        <v>137.085187539733</v>
      </c>
      <c r="Q637" s="116">
        <v>140.25</v>
      </c>
      <c r="R637">
        <v>3416472</v>
      </c>
    </row>
    <row r="638" spans="1:18" x14ac:dyDescent="0.25">
      <c r="A638" s="170">
        <v>42941</v>
      </c>
      <c r="B638" s="116">
        <v>136.64870469464401</v>
      </c>
      <c r="C638" s="116">
        <v>135.00058267988001</v>
      </c>
      <c r="D638" s="116">
        <v>134.12804749559399</v>
      </c>
      <c r="E638" s="116">
        <v>135.727695333453</v>
      </c>
      <c r="F638" s="116">
        <v>139.25</v>
      </c>
      <c r="G638">
        <v>345101</v>
      </c>
      <c r="H638" s="116"/>
      <c r="I638" s="116"/>
      <c r="L638" s="170">
        <v>42941</v>
      </c>
      <c r="M638" s="116">
        <v>135.04926891290501</v>
      </c>
      <c r="N638" s="116">
        <v>136.64891926255601</v>
      </c>
      <c r="O638" s="116">
        <v>134.07978385251101</v>
      </c>
      <c r="P638" s="116">
        <v>136.64891926255601</v>
      </c>
      <c r="Q638" s="116">
        <v>139.30000000000001</v>
      </c>
      <c r="R638">
        <v>2869545</v>
      </c>
    </row>
    <row r="639" spans="1:18" x14ac:dyDescent="0.25">
      <c r="A639" s="170">
        <v>42942</v>
      </c>
      <c r="B639" s="116">
        <v>137.90903329416901</v>
      </c>
      <c r="C639" s="116">
        <v>136.26091127940501</v>
      </c>
      <c r="D639" s="116">
        <v>134.758211795356</v>
      </c>
      <c r="E639" s="116">
        <v>135.53379862583299</v>
      </c>
      <c r="F639" s="116">
        <v>140.55000000000001</v>
      </c>
      <c r="G639">
        <v>454769</v>
      </c>
      <c r="H639" s="116"/>
      <c r="I639" s="116"/>
      <c r="L639" s="170">
        <v>42942</v>
      </c>
      <c r="M639" s="116">
        <v>136.45502225047699</v>
      </c>
      <c r="N639" s="116">
        <v>137.95772409408801</v>
      </c>
      <c r="O639" s="116">
        <v>134.66147488874799</v>
      </c>
      <c r="P639" s="116">
        <v>135.243165924984</v>
      </c>
      <c r="Q639" s="116">
        <v>140.75</v>
      </c>
      <c r="R639">
        <v>3418321</v>
      </c>
    </row>
    <row r="640" spans="1:18" x14ac:dyDescent="0.25">
      <c r="A640" s="170">
        <v>42943</v>
      </c>
      <c r="B640" s="116">
        <v>137.42429152512099</v>
      </c>
      <c r="C640" s="116">
        <v>134.224995849404</v>
      </c>
      <c r="D640" s="116">
        <v>133.35246066511701</v>
      </c>
      <c r="E640" s="116">
        <v>136.50328216392899</v>
      </c>
      <c r="F640" s="116">
        <v>138.44999999999999</v>
      </c>
      <c r="G640">
        <v>554887</v>
      </c>
      <c r="H640" s="116"/>
      <c r="I640" s="116"/>
      <c r="L640" s="170">
        <v>42943</v>
      </c>
      <c r="M640" s="116">
        <v>134.27368086459001</v>
      </c>
      <c r="N640" s="116">
        <v>137.52145581690999</v>
      </c>
      <c r="O640" s="116">
        <v>133.30419580419601</v>
      </c>
      <c r="P640" s="116">
        <v>136.45502225047699</v>
      </c>
      <c r="Q640" s="116">
        <v>138.5</v>
      </c>
      <c r="R640">
        <v>4166061</v>
      </c>
    </row>
    <row r="641" spans="1:18" x14ac:dyDescent="0.25">
      <c r="A641" s="170">
        <v>42944</v>
      </c>
      <c r="B641" s="116">
        <v>135.00058267988001</v>
      </c>
      <c r="C641" s="116">
        <v>134.370418380118</v>
      </c>
      <c r="D641" s="116">
        <v>132.23755459630701</v>
      </c>
      <c r="E641" s="116">
        <v>133.98262496487999</v>
      </c>
      <c r="F641" s="116">
        <v>138.6</v>
      </c>
      <c r="G641">
        <v>234068</v>
      </c>
      <c r="H641" s="116"/>
      <c r="I641" s="116"/>
      <c r="L641" s="170">
        <v>42944</v>
      </c>
      <c r="M641" s="116">
        <v>134.467577876669</v>
      </c>
      <c r="N641" s="116">
        <v>135.09774316592501</v>
      </c>
      <c r="O641" s="116">
        <v>132.28623649078199</v>
      </c>
      <c r="P641" s="116">
        <v>133.88588684043199</v>
      </c>
      <c r="Q641" s="116">
        <v>138.69999999999999</v>
      </c>
      <c r="R641">
        <v>1810929</v>
      </c>
    </row>
    <row r="642" spans="1:18" x14ac:dyDescent="0.25">
      <c r="A642" s="170">
        <v>42947</v>
      </c>
      <c r="B642" s="116">
        <v>135.436850272024</v>
      </c>
      <c r="C642" s="116">
        <v>133.497883195832</v>
      </c>
      <c r="D642" s="116">
        <v>132.72229636535499</v>
      </c>
      <c r="E642" s="116">
        <v>135.14600521059501</v>
      </c>
      <c r="F642" s="116">
        <v>137.69999999999999</v>
      </c>
      <c r="G642">
        <v>321217</v>
      </c>
      <c r="H642" s="116"/>
      <c r="I642" s="116"/>
      <c r="L642" s="170">
        <v>42947</v>
      </c>
      <c r="M642" s="116">
        <v>133.691989828353</v>
      </c>
      <c r="N642" s="116">
        <v>135.48553719008299</v>
      </c>
      <c r="O642" s="116">
        <v>132.867927527018</v>
      </c>
      <c r="P642" s="116">
        <v>134.467577876669</v>
      </c>
      <c r="Q642" s="116">
        <v>137.9</v>
      </c>
      <c r="R642">
        <v>1735603</v>
      </c>
    </row>
    <row r="643" spans="1:18" x14ac:dyDescent="0.25">
      <c r="A643" s="170">
        <v>42948</v>
      </c>
      <c r="B643" s="116">
        <v>136.64870469464401</v>
      </c>
      <c r="C643" s="116">
        <v>135.727695333453</v>
      </c>
      <c r="D643" s="116">
        <v>133.255512311307</v>
      </c>
      <c r="E643" s="116">
        <v>134.66126344154699</v>
      </c>
      <c r="F643" s="116">
        <v>140</v>
      </c>
      <c r="G643">
        <v>308182</v>
      </c>
      <c r="H643" s="116"/>
      <c r="I643" s="116"/>
      <c r="L643" s="170">
        <v>42948</v>
      </c>
      <c r="M643" s="116">
        <v>135.92180546725999</v>
      </c>
      <c r="N643" s="116">
        <v>136.551970756516</v>
      </c>
      <c r="O643" s="116">
        <v>133.691989828353</v>
      </c>
      <c r="P643" s="116">
        <v>133.691989828353</v>
      </c>
      <c r="Q643" s="116">
        <v>140.19999999999999</v>
      </c>
      <c r="R643">
        <v>2635910</v>
      </c>
    </row>
    <row r="644" spans="1:18" x14ac:dyDescent="0.25">
      <c r="A644" s="170">
        <v>42949</v>
      </c>
      <c r="B644" s="116">
        <v>139.605629485837</v>
      </c>
      <c r="C644" s="116">
        <v>137.666662409645</v>
      </c>
      <c r="D644" s="116">
        <v>136.35785963321501</v>
      </c>
      <c r="E644" s="116">
        <v>136.60023051773899</v>
      </c>
      <c r="F644" s="116">
        <v>142</v>
      </c>
      <c r="G644">
        <v>576617</v>
      </c>
      <c r="H644" s="116"/>
      <c r="I644" s="116"/>
      <c r="L644" s="170">
        <v>42949</v>
      </c>
      <c r="M644" s="116">
        <v>137.61840432295</v>
      </c>
      <c r="N644" s="116">
        <v>139.460425937699</v>
      </c>
      <c r="O644" s="116">
        <v>136.26112523839799</v>
      </c>
      <c r="P644" s="116">
        <v>136.40654799745701</v>
      </c>
      <c r="Q644" s="116">
        <v>141.94999999999999</v>
      </c>
      <c r="R644">
        <v>4380118</v>
      </c>
    </row>
    <row r="645" spans="1:18" x14ac:dyDescent="0.25">
      <c r="A645" s="170">
        <v>42950</v>
      </c>
      <c r="B645" s="116">
        <v>138.248352532502</v>
      </c>
      <c r="C645" s="116">
        <v>133.497883195832</v>
      </c>
      <c r="D645" s="116">
        <v>132.819244719164</v>
      </c>
      <c r="E645" s="116">
        <v>138.05445582488301</v>
      </c>
      <c r="F645" s="116">
        <v>137.69999999999999</v>
      </c>
      <c r="G645">
        <v>216728</v>
      </c>
      <c r="H645" s="116"/>
      <c r="I645" s="116"/>
      <c r="L645" s="170">
        <v>42950</v>
      </c>
      <c r="M645" s="116">
        <v>133.54656706929401</v>
      </c>
      <c r="N645" s="116">
        <v>138.29704386522599</v>
      </c>
      <c r="O645" s="116">
        <v>132.916401780038</v>
      </c>
      <c r="P645" s="116">
        <v>137.76382708200899</v>
      </c>
      <c r="Q645" s="116">
        <v>137.75</v>
      </c>
      <c r="R645">
        <v>2488880</v>
      </c>
    </row>
    <row r="646" spans="1:18" x14ac:dyDescent="0.25">
      <c r="A646" s="170">
        <v>42951</v>
      </c>
      <c r="B646" s="116">
        <v>134.95210850297599</v>
      </c>
      <c r="C646" s="116">
        <v>133.497883195832</v>
      </c>
      <c r="D646" s="116">
        <v>131.36501941201999</v>
      </c>
      <c r="E646" s="116">
        <v>133.30398648821199</v>
      </c>
      <c r="F646" s="116">
        <v>137.69999999999999</v>
      </c>
      <c r="G646">
        <v>237499</v>
      </c>
      <c r="H646" s="116"/>
      <c r="I646" s="116"/>
      <c r="L646" s="170">
        <v>42951</v>
      </c>
      <c r="M646" s="116">
        <v>133.78893833439301</v>
      </c>
      <c r="N646" s="116">
        <v>135.000794659886</v>
      </c>
      <c r="O646" s="116">
        <v>132.04386522568299</v>
      </c>
      <c r="P646" s="116">
        <v>133.401144310235</v>
      </c>
      <c r="Q646" s="116">
        <v>138</v>
      </c>
      <c r="R646">
        <v>2306461</v>
      </c>
    </row>
    <row r="647" spans="1:18" x14ac:dyDescent="0.25">
      <c r="A647" s="170">
        <v>42954</v>
      </c>
      <c r="B647" s="116">
        <v>136.35785963321501</v>
      </c>
      <c r="C647" s="116">
        <v>135.582272802738</v>
      </c>
      <c r="D647" s="116">
        <v>133.643305726546</v>
      </c>
      <c r="E647" s="116">
        <v>134.56431508773699</v>
      </c>
      <c r="F647" s="116">
        <v>139.85</v>
      </c>
      <c r="G647">
        <v>305852</v>
      </c>
      <c r="H647" s="116"/>
      <c r="I647" s="116"/>
      <c r="L647" s="170">
        <v>42954</v>
      </c>
      <c r="M647" s="116">
        <v>135.824856961221</v>
      </c>
      <c r="N647" s="116">
        <v>136.600445009536</v>
      </c>
      <c r="O647" s="116">
        <v>133.78893833439301</v>
      </c>
      <c r="P647" s="116">
        <v>134.22520661157</v>
      </c>
      <c r="Q647" s="116">
        <v>140.1</v>
      </c>
      <c r="R647">
        <v>2242614</v>
      </c>
    </row>
    <row r="648" spans="1:18" x14ac:dyDescent="0.25">
      <c r="A648" s="170">
        <v>42955</v>
      </c>
      <c r="B648" s="116">
        <v>136.697178871549</v>
      </c>
      <c r="C648" s="116">
        <v>132.819244719164</v>
      </c>
      <c r="D648" s="116">
        <v>131.46196776583</v>
      </c>
      <c r="E648" s="116">
        <v>136.21243710250101</v>
      </c>
      <c r="F648" s="116">
        <v>137</v>
      </c>
      <c r="G648">
        <v>343257</v>
      </c>
      <c r="H648" s="116"/>
      <c r="I648" s="116"/>
      <c r="L648" s="170">
        <v>42955</v>
      </c>
      <c r="M648" s="116">
        <v>133.158773045137</v>
      </c>
      <c r="N648" s="116">
        <v>136.89129052765401</v>
      </c>
      <c r="O648" s="116">
        <v>131.26827717736799</v>
      </c>
      <c r="P648" s="116">
        <v>135.87333121424001</v>
      </c>
      <c r="Q648" s="116">
        <v>137.35</v>
      </c>
      <c r="R648">
        <v>2862404</v>
      </c>
    </row>
    <row r="649" spans="1:18" x14ac:dyDescent="0.25">
      <c r="A649" s="170">
        <v>42956</v>
      </c>
      <c r="B649" s="116">
        <v>132.819244719164</v>
      </c>
      <c r="C649" s="116">
        <v>120.797648846773</v>
      </c>
      <c r="D649" s="116">
        <v>116.386498748436</v>
      </c>
      <c r="E649" s="116">
        <v>132.819244719164</v>
      </c>
      <c r="F649" s="116">
        <v>124.6</v>
      </c>
      <c r="G649">
        <v>905744</v>
      </c>
      <c r="H649" s="116"/>
      <c r="I649" s="116"/>
      <c r="L649" s="170">
        <v>42956</v>
      </c>
      <c r="M649" s="116">
        <v>120.458518753973</v>
      </c>
      <c r="N649" s="116">
        <v>132.81945327399899</v>
      </c>
      <c r="O649" s="116">
        <v>116.968372536554</v>
      </c>
      <c r="P649" s="116">
        <v>132.81945327399899</v>
      </c>
      <c r="Q649" s="116">
        <v>124.25</v>
      </c>
      <c r="R649">
        <v>5431633</v>
      </c>
    </row>
    <row r="650" spans="1:18" x14ac:dyDescent="0.25">
      <c r="A650" s="170">
        <v>42957</v>
      </c>
      <c r="B650" s="116">
        <v>119.537320247248</v>
      </c>
      <c r="C650" s="116">
        <v>112.750935480575</v>
      </c>
      <c r="D650" s="116">
        <v>110.32722663533499</v>
      </c>
      <c r="E650" s="116">
        <v>119.10105265510499</v>
      </c>
      <c r="F650" s="116">
        <v>116.3</v>
      </c>
      <c r="G650">
        <v>840299</v>
      </c>
      <c r="H650" s="116"/>
      <c r="I650" s="116"/>
      <c r="L650" s="170">
        <v>42957</v>
      </c>
      <c r="M650" s="116">
        <v>112.31484424666201</v>
      </c>
      <c r="N650" s="116">
        <v>119.489033693579</v>
      </c>
      <c r="O650" s="116">
        <v>109.794183089638</v>
      </c>
      <c r="P650" s="116">
        <v>118.76191989828401</v>
      </c>
      <c r="Q650" s="116">
        <v>115.85</v>
      </c>
      <c r="R650">
        <v>5134939</v>
      </c>
    </row>
    <row r="651" spans="1:18" x14ac:dyDescent="0.25">
      <c r="A651" s="170">
        <v>42958</v>
      </c>
      <c r="B651" s="116">
        <v>112.21771953462201</v>
      </c>
      <c r="C651" s="116">
        <v>110.27875245843001</v>
      </c>
      <c r="D651" s="116">
        <v>103.734738576282</v>
      </c>
      <c r="E651" s="116">
        <v>108.776052974381</v>
      </c>
      <c r="F651" s="116">
        <v>113.75</v>
      </c>
      <c r="G651">
        <v>786158</v>
      </c>
      <c r="H651" s="116"/>
      <c r="I651" s="116"/>
      <c r="L651" s="170">
        <v>42958</v>
      </c>
      <c r="M651" s="116">
        <v>110.230451366815</v>
      </c>
      <c r="N651" s="116">
        <v>112.266369993643</v>
      </c>
      <c r="O651" s="116">
        <v>102.76541640178</v>
      </c>
      <c r="P651" s="116">
        <v>110.52129688493299</v>
      </c>
      <c r="Q651" s="116">
        <v>113.7</v>
      </c>
      <c r="R651">
        <v>5174105</v>
      </c>
    </row>
    <row r="652" spans="1:18" x14ac:dyDescent="0.25">
      <c r="A652" s="170">
        <v>42961</v>
      </c>
      <c r="B652" s="116">
        <v>114.253634964624</v>
      </c>
      <c r="C652" s="116">
        <v>113.381099780338</v>
      </c>
      <c r="D652" s="116">
        <v>108.582156266762</v>
      </c>
      <c r="E652" s="116">
        <v>110.61807169676401</v>
      </c>
      <c r="F652" s="116">
        <v>116.95</v>
      </c>
      <c r="G652">
        <v>481051</v>
      </c>
      <c r="H652" s="116"/>
      <c r="I652" s="116"/>
      <c r="L652" s="170">
        <v>42961</v>
      </c>
      <c r="M652" s="116">
        <v>113.090432294978</v>
      </c>
      <c r="N652" s="116">
        <v>114.30228862046999</v>
      </c>
      <c r="O652" s="116">
        <v>108.388429752066</v>
      </c>
      <c r="P652" s="116">
        <v>111.490781945327</v>
      </c>
      <c r="Q652" s="116">
        <v>116.65</v>
      </c>
      <c r="R652">
        <v>2885275</v>
      </c>
    </row>
    <row r="653" spans="1:18" x14ac:dyDescent="0.25">
      <c r="A653" s="170">
        <v>42963</v>
      </c>
      <c r="B653" s="116">
        <v>112.460090419146</v>
      </c>
      <c r="C653" s="116">
        <v>111.829926119384</v>
      </c>
      <c r="D653" s="116">
        <v>105.867602360093</v>
      </c>
      <c r="E653" s="116">
        <v>110.908916758193</v>
      </c>
      <c r="F653" s="116">
        <v>115.35</v>
      </c>
      <c r="G653">
        <v>1226904</v>
      </c>
      <c r="H653" s="116"/>
      <c r="I653" s="116"/>
      <c r="L653" s="170">
        <v>42963</v>
      </c>
      <c r="M653" s="116">
        <v>111.68467895740601</v>
      </c>
      <c r="N653" s="116">
        <v>112.89653528289899</v>
      </c>
      <c r="O653" s="116">
        <v>105.722345835982</v>
      </c>
      <c r="P653" s="116">
        <v>110.52129688493299</v>
      </c>
      <c r="Q653" s="116">
        <v>115.2</v>
      </c>
      <c r="R653">
        <v>6940295</v>
      </c>
    </row>
    <row r="654" spans="1:18" x14ac:dyDescent="0.25">
      <c r="A654" s="170">
        <v>42964</v>
      </c>
      <c r="B654" s="116">
        <v>113.768893195576</v>
      </c>
      <c r="C654" s="116">
        <v>110.18180410462099</v>
      </c>
      <c r="D654" s="116">
        <v>109.018423858905</v>
      </c>
      <c r="E654" s="116">
        <v>109.64858815866801</v>
      </c>
      <c r="F654" s="116">
        <v>113.65</v>
      </c>
      <c r="G654">
        <v>466857</v>
      </c>
      <c r="H654" s="116"/>
      <c r="I654" s="116"/>
      <c r="L654" s="170">
        <v>42964</v>
      </c>
      <c r="M654" s="116">
        <v>109.939605848697</v>
      </c>
      <c r="N654" s="116">
        <v>113.91449459631301</v>
      </c>
      <c r="O654" s="116">
        <v>108.873172282263</v>
      </c>
      <c r="P654" s="116">
        <v>111.975524475524</v>
      </c>
      <c r="Q654" s="116">
        <v>113.4</v>
      </c>
      <c r="R654">
        <v>3746529</v>
      </c>
    </row>
    <row r="655" spans="1:18" x14ac:dyDescent="0.25">
      <c r="A655" s="170">
        <v>42965</v>
      </c>
      <c r="B655" s="116">
        <v>109.939433220097</v>
      </c>
      <c r="C655" s="116">
        <v>108.87300132819099</v>
      </c>
      <c r="D655" s="116">
        <v>107.467250197952</v>
      </c>
      <c r="E655" s="116">
        <v>108.921475505096</v>
      </c>
      <c r="F655" s="116">
        <v>112.3</v>
      </c>
      <c r="G655">
        <v>318542</v>
      </c>
      <c r="H655" s="116"/>
      <c r="I655" s="116"/>
      <c r="L655" s="170">
        <v>42965</v>
      </c>
      <c r="M655" s="116">
        <v>108.824698029243</v>
      </c>
      <c r="N655" s="116">
        <v>110.036554354736</v>
      </c>
      <c r="O655" s="116">
        <v>107.176573426573</v>
      </c>
      <c r="P655" s="116">
        <v>108.824698029243</v>
      </c>
      <c r="Q655" s="116">
        <v>112.25</v>
      </c>
      <c r="R655">
        <v>3078656</v>
      </c>
    </row>
    <row r="656" spans="1:18" x14ac:dyDescent="0.25">
      <c r="A656" s="170">
        <v>42968</v>
      </c>
      <c r="B656" s="116">
        <v>110.27875245843001</v>
      </c>
      <c r="C656" s="116">
        <v>104.12253199152001</v>
      </c>
      <c r="D656" s="116">
        <v>103.49236769175801</v>
      </c>
      <c r="E656" s="116">
        <v>109.79401068938201</v>
      </c>
      <c r="F656" s="116">
        <v>107.4</v>
      </c>
      <c r="G656">
        <v>470745</v>
      </c>
      <c r="H656" s="116"/>
      <c r="I656" s="116"/>
      <c r="L656" s="170">
        <v>42968</v>
      </c>
      <c r="M656" s="116">
        <v>104.219643992371</v>
      </c>
      <c r="N656" s="116">
        <v>110.37587412587401</v>
      </c>
      <c r="O656" s="116">
        <v>103.49253019707599</v>
      </c>
      <c r="P656" s="116">
        <v>109.551811824539</v>
      </c>
      <c r="Q656" s="116">
        <v>107.5</v>
      </c>
      <c r="R656">
        <v>2773290</v>
      </c>
    </row>
    <row r="657" spans="1:18" x14ac:dyDescent="0.25">
      <c r="A657" s="170">
        <v>42969</v>
      </c>
      <c r="B657" s="116">
        <v>105.91607653699801</v>
      </c>
      <c r="C657" s="116">
        <v>103.20152263032899</v>
      </c>
      <c r="D657" s="116">
        <v>101.892719853899</v>
      </c>
      <c r="E657" s="116">
        <v>105.91607653699801</v>
      </c>
      <c r="F657" s="116">
        <v>106.45</v>
      </c>
      <c r="G657">
        <v>493965</v>
      </c>
      <c r="H657" s="116"/>
      <c r="I657" s="116"/>
      <c r="L657" s="170">
        <v>42969</v>
      </c>
      <c r="M657" s="116">
        <v>103.05626191989801</v>
      </c>
      <c r="N657" s="116">
        <v>106.0131913541</v>
      </c>
      <c r="O657" s="116">
        <v>101.602034329307</v>
      </c>
      <c r="P657" s="116">
        <v>105.237603305785</v>
      </c>
      <c r="Q657" s="116">
        <v>106.3</v>
      </c>
      <c r="R657">
        <v>4036450</v>
      </c>
    </row>
    <row r="658" spans="1:18" x14ac:dyDescent="0.25">
      <c r="A658" s="170">
        <v>42970</v>
      </c>
      <c r="B658" s="116">
        <v>107.224879313427</v>
      </c>
      <c r="C658" s="116">
        <v>106.740137544379</v>
      </c>
      <c r="D658" s="116">
        <v>103.734738576282</v>
      </c>
      <c r="E658" s="116">
        <v>103.734738576282</v>
      </c>
      <c r="F658" s="116">
        <v>110.1</v>
      </c>
      <c r="G658">
        <v>587325</v>
      </c>
      <c r="H658" s="116"/>
      <c r="I658" s="116"/>
      <c r="L658" s="170">
        <v>42970</v>
      </c>
      <c r="M658" s="116">
        <v>106.691830896376</v>
      </c>
      <c r="N658" s="116">
        <v>107.12809917355401</v>
      </c>
      <c r="O658" s="116">
        <v>103.73490146217399</v>
      </c>
      <c r="P658" s="116">
        <v>104.171169739352</v>
      </c>
      <c r="Q658" s="116">
        <v>110.05</v>
      </c>
      <c r="R658">
        <v>4677977</v>
      </c>
    </row>
    <row r="659" spans="1:18" x14ac:dyDescent="0.25">
      <c r="A659" s="170">
        <v>42971</v>
      </c>
      <c r="B659" s="116">
        <v>107.612672728666</v>
      </c>
      <c r="C659" s="116">
        <v>106.013024890807</v>
      </c>
      <c r="D659" s="116">
        <v>104.995067175806</v>
      </c>
      <c r="E659" s="116">
        <v>106.740137544379</v>
      </c>
      <c r="F659" s="116">
        <v>109.35</v>
      </c>
      <c r="G659">
        <v>402856</v>
      </c>
      <c r="H659" s="116"/>
      <c r="I659" s="116"/>
      <c r="L659" s="170">
        <v>42971</v>
      </c>
      <c r="M659" s="116">
        <v>105.819294342022</v>
      </c>
      <c r="N659" s="116">
        <v>107.51589319771099</v>
      </c>
      <c r="O659" s="116">
        <v>104.80133502860799</v>
      </c>
      <c r="P659" s="116">
        <v>107.321996185633</v>
      </c>
      <c r="Q659" s="116">
        <v>109.15</v>
      </c>
      <c r="R659">
        <v>4390164</v>
      </c>
    </row>
    <row r="660" spans="1:18" x14ac:dyDescent="0.25">
      <c r="A660" s="170">
        <v>42975</v>
      </c>
      <c r="B660" s="116">
        <v>117.25903393272201</v>
      </c>
      <c r="C660" s="116">
        <v>115.610911917959</v>
      </c>
      <c r="D660" s="116">
        <v>111.539081057955</v>
      </c>
      <c r="E660" s="116">
        <v>112.460090419146</v>
      </c>
      <c r="F660" s="116">
        <v>119.25</v>
      </c>
      <c r="G660">
        <v>1833200</v>
      </c>
      <c r="H660" s="116"/>
      <c r="I660" s="116"/>
      <c r="L660" s="170">
        <v>42975</v>
      </c>
      <c r="M660" s="116">
        <v>115.562619198983</v>
      </c>
      <c r="N660" s="116">
        <v>117.356166560712</v>
      </c>
      <c r="O660" s="116">
        <v>111.539256198347</v>
      </c>
      <c r="P660" s="116">
        <v>113.52670057215499</v>
      </c>
      <c r="Q660" s="116">
        <v>119.2</v>
      </c>
      <c r="R660">
        <v>16245306</v>
      </c>
    </row>
    <row r="661" spans="1:18" x14ac:dyDescent="0.25">
      <c r="A661" s="170">
        <v>42976</v>
      </c>
      <c r="B661" s="116">
        <v>118.95563012439</v>
      </c>
      <c r="C661" s="116">
        <v>115.22311850272</v>
      </c>
      <c r="D661" s="116">
        <v>113.429573957242</v>
      </c>
      <c r="E661" s="116">
        <v>115.51396356414899</v>
      </c>
      <c r="F661" s="116">
        <v>118.85</v>
      </c>
      <c r="G661">
        <v>1111536</v>
      </c>
      <c r="H661" s="116"/>
      <c r="I661" s="116"/>
      <c r="L661" s="170">
        <v>42976</v>
      </c>
      <c r="M661" s="116">
        <v>115.320247933884</v>
      </c>
      <c r="N661" s="116">
        <v>119.00429116338201</v>
      </c>
      <c r="O661" s="116">
        <v>113.187380801017</v>
      </c>
      <c r="P661" s="116">
        <v>113.817546090273</v>
      </c>
      <c r="Q661" s="116">
        <v>118.95</v>
      </c>
      <c r="R661">
        <v>9812669</v>
      </c>
    </row>
    <row r="662" spans="1:18" x14ac:dyDescent="0.25">
      <c r="A662" s="170">
        <v>42977</v>
      </c>
      <c r="B662" s="116">
        <v>127.72945614416</v>
      </c>
      <c r="C662" s="116">
        <v>124.675582999157</v>
      </c>
      <c r="D662" s="116">
        <v>116.82276634057899</v>
      </c>
      <c r="E662" s="116">
        <v>116.82276634057899</v>
      </c>
      <c r="F662" s="116">
        <v>128.6</v>
      </c>
      <c r="G662">
        <v>2236643</v>
      </c>
      <c r="H662" s="116"/>
      <c r="I662" s="116"/>
      <c r="L662" s="170">
        <v>42977</v>
      </c>
      <c r="M662" s="116">
        <v>124.23951048951</v>
      </c>
      <c r="N662" s="116">
        <v>127.826605212969</v>
      </c>
      <c r="O662" s="116">
        <v>116.483630006357</v>
      </c>
      <c r="P662" s="116">
        <v>116.726001271456</v>
      </c>
      <c r="Q662" s="116">
        <v>128.15</v>
      </c>
      <c r="R662">
        <v>16432031</v>
      </c>
    </row>
    <row r="663" spans="1:18" x14ac:dyDescent="0.25">
      <c r="A663" s="170">
        <v>42978</v>
      </c>
      <c r="B663" s="116">
        <v>129.910794104876</v>
      </c>
      <c r="C663" s="116">
        <v>128.89283638987499</v>
      </c>
      <c r="D663" s="116">
        <v>124.384737937728</v>
      </c>
      <c r="E663" s="116">
        <v>128.553517151541</v>
      </c>
      <c r="F663" s="116">
        <v>132.94999999999999</v>
      </c>
      <c r="G663">
        <v>2487790</v>
      </c>
      <c r="H663" s="116"/>
      <c r="I663" s="116"/>
      <c r="L663" s="170">
        <v>42978</v>
      </c>
      <c r="M663" s="116">
        <v>128.505244755245</v>
      </c>
      <c r="N663" s="116">
        <v>129.86252383979701</v>
      </c>
      <c r="O663" s="116">
        <v>124.142561983471</v>
      </c>
      <c r="P663" s="116">
        <v>128.94151303242199</v>
      </c>
      <c r="Q663" s="116">
        <v>132.55000000000001</v>
      </c>
      <c r="R663">
        <v>23717123</v>
      </c>
    </row>
    <row r="664" spans="1:18" x14ac:dyDescent="0.25">
      <c r="A664" s="170">
        <v>42979</v>
      </c>
      <c r="B664" s="116">
        <v>134.41889255702301</v>
      </c>
      <c r="C664" s="116">
        <v>132.286028773211</v>
      </c>
      <c r="D664" s="116">
        <v>127.487085259636</v>
      </c>
      <c r="E664" s="116">
        <v>128.94131056678</v>
      </c>
      <c r="F664" s="116">
        <v>136.44999999999999</v>
      </c>
      <c r="G664">
        <v>2196778</v>
      </c>
      <c r="H664" s="116"/>
      <c r="I664" s="116"/>
      <c r="L664" s="170">
        <v>42979</v>
      </c>
      <c r="M664" s="116">
        <v>132.431659249841</v>
      </c>
      <c r="N664" s="116">
        <v>134.61300063572801</v>
      </c>
      <c r="O664" s="116">
        <v>127.341862682772</v>
      </c>
      <c r="P664" s="116">
        <v>128.69914176732399</v>
      </c>
      <c r="Q664" s="116">
        <v>136.6</v>
      </c>
      <c r="R664">
        <v>17807316</v>
      </c>
    </row>
    <row r="665" spans="1:18" x14ac:dyDescent="0.25">
      <c r="A665" s="170">
        <v>42982</v>
      </c>
      <c r="B665" s="116">
        <v>133.01314142678299</v>
      </c>
      <c r="C665" s="116">
        <v>126.85692095987299</v>
      </c>
      <c r="D665" s="116">
        <v>124.28778958391899</v>
      </c>
      <c r="E665" s="116">
        <v>133.01314142678299</v>
      </c>
      <c r="F665" s="116">
        <v>130.85</v>
      </c>
      <c r="G665">
        <v>1466380</v>
      </c>
      <c r="H665" s="116"/>
      <c r="I665" s="116"/>
      <c r="L665" s="170">
        <v>42982</v>
      </c>
      <c r="M665" s="116">
        <v>126.808645899555</v>
      </c>
      <c r="N665" s="116">
        <v>132.28623649078199</v>
      </c>
      <c r="O665" s="116">
        <v>124.09408773045099</v>
      </c>
      <c r="P665" s="116">
        <v>132.04386522568299</v>
      </c>
      <c r="Q665" s="116">
        <v>130.80000000000001</v>
      </c>
      <c r="R665">
        <v>10003075</v>
      </c>
    </row>
    <row r="666" spans="1:18" x14ac:dyDescent="0.25">
      <c r="A666" s="170">
        <v>42983</v>
      </c>
      <c r="B666" s="116">
        <v>130.83180346606699</v>
      </c>
      <c r="C666" s="116">
        <v>129.03825892059001</v>
      </c>
      <c r="D666" s="116">
        <v>127.099291844397</v>
      </c>
      <c r="E666" s="116">
        <v>127.72945614416</v>
      </c>
      <c r="F666" s="116">
        <v>133.1</v>
      </c>
      <c r="G666">
        <v>794616</v>
      </c>
      <c r="H666" s="116"/>
      <c r="I666" s="116"/>
      <c r="L666" s="170">
        <v>42983</v>
      </c>
      <c r="M666" s="116">
        <v>129.038461538462</v>
      </c>
      <c r="N666" s="116">
        <v>130.97743165924999</v>
      </c>
      <c r="O666" s="116">
        <v>126.808645899555</v>
      </c>
      <c r="P666" s="116">
        <v>127.390336935791</v>
      </c>
      <c r="Q666" s="116">
        <v>133.1</v>
      </c>
      <c r="R666">
        <v>6456212</v>
      </c>
    </row>
    <row r="667" spans="1:18" x14ac:dyDescent="0.25">
      <c r="A667" s="170">
        <v>42984</v>
      </c>
      <c r="B667" s="116">
        <v>127.971827028684</v>
      </c>
      <c r="C667" s="116">
        <v>126.71149842915899</v>
      </c>
      <c r="D667" s="116">
        <v>124.724057176062</v>
      </c>
      <c r="E667" s="116">
        <v>127.05081766749301</v>
      </c>
      <c r="F667" s="116">
        <v>130.69999999999999</v>
      </c>
      <c r="G667">
        <v>615899</v>
      </c>
      <c r="H667" s="116"/>
      <c r="I667" s="116"/>
      <c r="L667" s="170">
        <v>42984</v>
      </c>
      <c r="M667" s="116">
        <v>126.808645899555</v>
      </c>
      <c r="N667" s="116">
        <v>128.06897647806699</v>
      </c>
      <c r="O667" s="116">
        <v>124.578830260648</v>
      </c>
      <c r="P667" s="116">
        <v>126.130006357279</v>
      </c>
      <c r="Q667" s="116">
        <v>130.80000000000001</v>
      </c>
      <c r="R667">
        <v>6965729</v>
      </c>
    </row>
    <row r="668" spans="1:18" x14ac:dyDescent="0.25">
      <c r="A668" s="170">
        <v>42985</v>
      </c>
      <c r="B668" s="116">
        <v>129.28062980511399</v>
      </c>
      <c r="C668" s="116">
        <v>126.759972606064</v>
      </c>
      <c r="D668" s="116">
        <v>126.129808306301</v>
      </c>
      <c r="E668" s="116">
        <v>127.874878674874</v>
      </c>
      <c r="F668" s="116">
        <v>130.75</v>
      </c>
      <c r="G668">
        <v>492516</v>
      </c>
      <c r="H668" s="116"/>
      <c r="I668" s="116"/>
      <c r="L668" s="170">
        <v>42985</v>
      </c>
      <c r="M668" s="116">
        <v>126.42085187539701</v>
      </c>
      <c r="N668" s="116">
        <v>129.18388429752099</v>
      </c>
      <c r="O668" s="116">
        <v>125.69373808010199</v>
      </c>
      <c r="P668" s="116">
        <v>127.438811188811</v>
      </c>
      <c r="Q668" s="116">
        <v>130.4</v>
      </c>
      <c r="R668">
        <v>4234036</v>
      </c>
    </row>
    <row r="669" spans="1:18" x14ac:dyDescent="0.25">
      <c r="A669" s="170">
        <v>42986</v>
      </c>
      <c r="B669" s="116">
        <v>127.874878674874</v>
      </c>
      <c r="C669" s="116">
        <v>123.754573637966</v>
      </c>
      <c r="D669" s="116">
        <v>122.63966756915499</v>
      </c>
      <c r="E669" s="116">
        <v>127.487085259636</v>
      </c>
      <c r="F669" s="116">
        <v>127.65</v>
      </c>
      <c r="G669">
        <v>534937</v>
      </c>
      <c r="H669" s="116"/>
      <c r="I669" s="116"/>
      <c r="L669" s="170">
        <v>42986</v>
      </c>
      <c r="M669" s="116">
        <v>123.70629370629401</v>
      </c>
      <c r="N669" s="116">
        <v>127.778130959949</v>
      </c>
      <c r="O669" s="116">
        <v>122.494437380801</v>
      </c>
      <c r="P669" s="116">
        <v>126.905594405594</v>
      </c>
      <c r="Q669" s="116">
        <v>127.6</v>
      </c>
      <c r="R669">
        <v>3798565</v>
      </c>
    </row>
    <row r="670" spans="1:18" x14ac:dyDescent="0.25">
      <c r="A670" s="170">
        <v>42989</v>
      </c>
      <c r="B670" s="116">
        <v>128.117249559398</v>
      </c>
      <c r="C670" s="116">
        <v>126.71149842915899</v>
      </c>
      <c r="D670" s="116">
        <v>124.578634645348</v>
      </c>
      <c r="E670" s="116">
        <v>125.499644006539</v>
      </c>
      <c r="F670" s="116">
        <v>130.69999999999999</v>
      </c>
      <c r="G670">
        <v>492729</v>
      </c>
      <c r="H670" s="116"/>
      <c r="I670" s="116"/>
      <c r="L670" s="170">
        <v>42989</v>
      </c>
      <c r="M670" s="116">
        <v>126.663223140496</v>
      </c>
      <c r="N670" s="116">
        <v>128.31134774316601</v>
      </c>
      <c r="O670" s="116">
        <v>124.28798474253</v>
      </c>
      <c r="P670" s="116">
        <v>124.578830260648</v>
      </c>
      <c r="Q670" s="116">
        <v>130.65</v>
      </c>
      <c r="R670">
        <v>3788024</v>
      </c>
    </row>
    <row r="671" spans="1:18" x14ac:dyDescent="0.25">
      <c r="A671" s="170">
        <v>42990</v>
      </c>
      <c r="B671" s="116">
        <v>130.83180346606699</v>
      </c>
      <c r="C671" s="116">
        <v>129.668423220352</v>
      </c>
      <c r="D671" s="116">
        <v>126.614550075349</v>
      </c>
      <c r="E671" s="116">
        <v>127.874878674874</v>
      </c>
      <c r="F671" s="116">
        <v>133.75</v>
      </c>
      <c r="G671">
        <v>799994</v>
      </c>
      <c r="H671" s="116"/>
      <c r="I671" s="116"/>
      <c r="L671" s="170">
        <v>42990</v>
      </c>
      <c r="M671" s="116">
        <v>129.86252383979701</v>
      </c>
      <c r="N671" s="116">
        <v>130.783534647171</v>
      </c>
      <c r="O671" s="116">
        <v>126.42085187539701</v>
      </c>
      <c r="P671" s="116">
        <v>127.778130959949</v>
      </c>
      <c r="Q671" s="116">
        <v>133.94999999999999</v>
      </c>
      <c r="R671">
        <v>5724435</v>
      </c>
    </row>
    <row r="672" spans="1:18" x14ac:dyDescent="0.25">
      <c r="A672" s="170">
        <v>42991</v>
      </c>
      <c r="B672" s="116">
        <v>130.39553587392399</v>
      </c>
      <c r="C672" s="116">
        <v>126.56607589844501</v>
      </c>
      <c r="D672" s="116">
        <v>126.081334129396</v>
      </c>
      <c r="E672" s="116">
        <v>129.668423220352</v>
      </c>
      <c r="F672" s="116">
        <v>130.55000000000001</v>
      </c>
      <c r="G672">
        <v>503186</v>
      </c>
      <c r="H672" s="116"/>
      <c r="I672" s="116"/>
      <c r="L672" s="170">
        <v>42991</v>
      </c>
      <c r="M672" s="116">
        <v>126.760171646535</v>
      </c>
      <c r="N672" s="116">
        <v>130.39574062301301</v>
      </c>
      <c r="O672" s="116">
        <v>126.32390336935801</v>
      </c>
      <c r="P672" s="116">
        <v>129.814049586777</v>
      </c>
      <c r="Q672" s="116">
        <v>130.75</v>
      </c>
      <c r="R672">
        <v>3109588</v>
      </c>
    </row>
    <row r="673" spans="1:18" x14ac:dyDescent="0.25">
      <c r="A673" s="170">
        <v>42992</v>
      </c>
      <c r="B673" s="116">
        <v>129.18368145130401</v>
      </c>
      <c r="C673" s="116">
        <v>127.584033613445</v>
      </c>
      <c r="D673" s="116">
        <v>125.645066537253</v>
      </c>
      <c r="E673" s="116">
        <v>127.68098196725499</v>
      </c>
      <c r="F673" s="116">
        <v>131.6</v>
      </c>
      <c r="G673">
        <v>1315312</v>
      </c>
      <c r="H673" s="116"/>
      <c r="I673" s="116"/>
      <c r="L673" s="170">
        <v>42992</v>
      </c>
      <c r="M673" s="116">
        <v>127.875079465989</v>
      </c>
      <c r="N673" s="116">
        <v>129.23235855054</v>
      </c>
      <c r="O673" s="116">
        <v>125.69373808010199</v>
      </c>
      <c r="P673" s="116">
        <v>127.002542911634</v>
      </c>
      <c r="Q673" s="116">
        <v>131.9</v>
      </c>
      <c r="R673">
        <v>3516832</v>
      </c>
    </row>
    <row r="674" spans="1:18" x14ac:dyDescent="0.25">
      <c r="A674" s="170">
        <v>42993</v>
      </c>
      <c r="B674" s="116">
        <v>127.72945614416</v>
      </c>
      <c r="C674" s="116">
        <v>126.42065336773</v>
      </c>
      <c r="D674" s="116">
        <v>125.30574729892</v>
      </c>
      <c r="E674" s="116">
        <v>127.05081766749301</v>
      </c>
      <c r="F674" s="116">
        <v>130.4</v>
      </c>
      <c r="G674">
        <v>358866</v>
      </c>
      <c r="H674" s="116"/>
      <c r="I674" s="116"/>
      <c r="L674" s="170">
        <v>42993</v>
      </c>
      <c r="M674" s="116">
        <v>126.663223140496</v>
      </c>
      <c r="N674" s="116">
        <v>127.72965670692901</v>
      </c>
      <c r="O674" s="116">
        <v>125.25746980292401</v>
      </c>
      <c r="P674" s="116">
        <v>126.081532104259</v>
      </c>
      <c r="Q674" s="116">
        <v>130.65</v>
      </c>
      <c r="R674">
        <v>3939948</v>
      </c>
    </row>
    <row r="675" spans="1:18" x14ac:dyDescent="0.25">
      <c r="A675" s="170">
        <v>42996</v>
      </c>
      <c r="B675" s="116">
        <v>128.74741385916099</v>
      </c>
      <c r="C675" s="116">
        <v>126.905395136778</v>
      </c>
      <c r="D675" s="116">
        <v>126.275230837016</v>
      </c>
      <c r="E675" s="116">
        <v>128.35962044392201</v>
      </c>
      <c r="F675" s="116">
        <v>130.9</v>
      </c>
      <c r="G675">
        <v>274024</v>
      </c>
      <c r="H675" s="116"/>
      <c r="I675" s="116"/>
      <c r="L675" s="170">
        <v>42996</v>
      </c>
      <c r="M675" s="116">
        <v>126.85712015257501</v>
      </c>
      <c r="N675" s="116">
        <v>128.84456452638301</v>
      </c>
      <c r="O675" s="116">
        <v>126.130006357279</v>
      </c>
      <c r="P675" s="116">
        <v>127.63270820088999</v>
      </c>
      <c r="Q675" s="116">
        <v>130.85</v>
      </c>
      <c r="R675">
        <v>2676220</v>
      </c>
    </row>
    <row r="676" spans="1:18" x14ac:dyDescent="0.25">
      <c r="A676" s="170">
        <v>42997</v>
      </c>
      <c r="B676" s="116">
        <v>128.117249559398</v>
      </c>
      <c r="C676" s="116">
        <v>126.905395136778</v>
      </c>
      <c r="D676" s="116">
        <v>126.22675666011099</v>
      </c>
      <c r="E676" s="116">
        <v>127.487085259636</v>
      </c>
      <c r="F676" s="116">
        <v>130.9</v>
      </c>
      <c r="G676">
        <v>320832</v>
      </c>
      <c r="H676" s="116"/>
      <c r="I676" s="116"/>
      <c r="L676" s="170">
        <v>42997</v>
      </c>
      <c r="M676" s="116">
        <v>127.002542911634</v>
      </c>
      <c r="N676" s="116">
        <v>128.16592498410699</v>
      </c>
      <c r="O676" s="116">
        <v>126.130006357279</v>
      </c>
      <c r="P676" s="116">
        <v>126.95406865861401</v>
      </c>
      <c r="Q676" s="116">
        <v>131</v>
      </c>
      <c r="R676">
        <v>2326183</v>
      </c>
    </row>
    <row r="677" spans="1:18" x14ac:dyDescent="0.25">
      <c r="A677" s="170">
        <v>42998</v>
      </c>
      <c r="B677" s="116">
        <v>128.45656879773199</v>
      </c>
      <c r="C677" s="116">
        <v>125.596592360348</v>
      </c>
      <c r="D677" s="116">
        <v>125.25727312201499</v>
      </c>
      <c r="E677" s="116">
        <v>128.45656879773199</v>
      </c>
      <c r="F677" s="116">
        <v>129.55000000000001</v>
      </c>
      <c r="G677">
        <v>392622</v>
      </c>
      <c r="H677" s="116"/>
      <c r="I677" s="116"/>
      <c r="L677" s="170">
        <v>42998</v>
      </c>
      <c r="M677" s="116">
        <v>125.451366815003</v>
      </c>
      <c r="N677" s="116">
        <v>127.72965670692901</v>
      </c>
      <c r="O677" s="116">
        <v>125.16052129688499</v>
      </c>
      <c r="P677" s="116">
        <v>127.72965670692901</v>
      </c>
      <c r="Q677" s="116">
        <v>129.4</v>
      </c>
      <c r="R677">
        <v>2458718</v>
      </c>
    </row>
    <row r="678" spans="1:18" x14ac:dyDescent="0.25">
      <c r="A678" s="170">
        <v>42999</v>
      </c>
      <c r="B678" s="116">
        <v>126.905395136778</v>
      </c>
      <c r="C678" s="116">
        <v>123.706099461061</v>
      </c>
      <c r="D678" s="116">
        <v>121.282390615821</v>
      </c>
      <c r="E678" s="116">
        <v>126.032859952492</v>
      </c>
      <c r="F678" s="116">
        <v>127.6</v>
      </c>
      <c r="G678">
        <v>510622</v>
      </c>
      <c r="H678" s="116"/>
      <c r="I678" s="116"/>
      <c r="L678" s="170">
        <v>42999</v>
      </c>
      <c r="M678" s="116">
        <v>123.803242212333</v>
      </c>
      <c r="N678" s="116">
        <v>126.95406865861401</v>
      </c>
      <c r="O678" s="116">
        <v>121.08868404322899</v>
      </c>
      <c r="P678" s="116">
        <v>125.451366815003</v>
      </c>
      <c r="Q678" s="116">
        <v>127.7</v>
      </c>
      <c r="R678">
        <v>3041970</v>
      </c>
    </row>
    <row r="679" spans="1:18" x14ac:dyDescent="0.25">
      <c r="A679" s="170">
        <v>43000</v>
      </c>
      <c r="B679" s="116">
        <v>123.560676930347</v>
      </c>
      <c r="C679" s="116">
        <v>117.986146586294</v>
      </c>
      <c r="D679" s="116">
        <v>117.45293064034099</v>
      </c>
      <c r="E679" s="116">
        <v>123.560676930347</v>
      </c>
      <c r="F679" s="116">
        <v>121.7</v>
      </c>
      <c r="G679">
        <v>469986</v>
      </c>
      <c r="H679" s="116"/>
      <c r="I679" s="116"/>
      <c r="L679" s="170">
        <v>43000</v>
      </c>
      <c r="M679" s="116">
        <v>118.034806102988</v>
      </c>
      <c r="N679" s="116">
        <v>122.979179910998</v>
      </c>
      <c r="O679" s="116">
        <v>117.30769230769199</v>
      </c>
      <c r="P679" s="116">
        <v>122.979179910998</v>
      </c>
      <c r="Q679" s="116">
        <v>121.75</v>
      </c>
      <c r="R679">
        <v>2761762</v>
      </c>
    </row>
    <row r="680" spans="1:18" x14ac:dyDescent="0.25">
      <c r="A680" s="170">
        <v>43003</v>
      </c>
      <c r="B680" s="116">
        <v>118.180043293913</v>
      </c>
      <c r="C680" s="116">
        <v>113.09025471890899</v>
      </c>
      <c r="D680" s="116">
        <v>110.27875245843001</v>
      </c>
      <c r="E680" s="116">
        <v>118.180043293913</v>
      </c>
      <c r="F680" s="116">
        <v>116.65</v>
      </c>
      <c r="G680">
        <v>593066</v>
      </c>
      <c r="H680" s="116"/>
      <c r="I680" s="116"/>
      <c r="L680" s="170">
        <v>43003</v>
      </c>
      <c r="M680" s="116">
        <v>113.090432294978</v>
      </c>
      <c r="N680" s="116">
        <v>118.325651621106</v>
      </c>
      <c r="O680" s="116">
        <v>110.27892561983499</v>
      </c>
      <c r="P680" s="116">
        <v>118.180228862047</v>
      </c>
      <c r="Q680" s="116">
        <v>116.65</v>
      </c>
      <c r="R680">
        <v>3651981</v>
      </c>
    </row>
    <row r="681" spans="1:18" x14ac:dyDescent="0.25">
      <c r="A681" s="170">
        <v>43004</v>
      </c>
      <c r="B681" s="116">
        <v>116.33802457153099</v>
      </c>
      <c r="C681" s="116">
        <v>114.98074761819601</v>
      </c>
      <c r="D681" s="116">
        <v>110.860442581288</v>
      </c>
      <c r="E681" s="116">
        <v>114.39905749533899</v>
      </c>
      <c r="F681" s="116">
        <v>118.6</v>
      </c>
      <c r="G681">
        <v>571064</v>
      </c>
      <c r="H681" s="116"/>
      <c r="I681" s="116"/>
      <c r="L681" s="170">
        <v>43004</v>
      </c>
      <c r="M681" s="116">
        <v>114.980928162746</v>
      </c>
      <c r="N681" s="116">
        <v>116.53210425937699</v>
      </c>
      <c r="O681" s="116">
        <v>111.296884933249</v>
      </c>
      <c r="P681" s="116">
        <v>113.041958041958</v>
      </c>
      <c r="Q681" s="116">
        <v>118.6</v>
      </c>
      <c r="R681">
        <v>4273887</v>
      </c>
    </row>
    <row r="682" spans="1:18" x14ac:dyDescent="0.25">
      <c r="A682" s="170">
        <v>43005</v>
      </c>
      <c r="B682" s="116">
        <v>117.113611402008</v>
      </c>
      <c r="C682" s="116">
        <v>110.81196840438299</v>
      </c>
      <c r="D682" s="116">
        <v>109.79401068938201</v>
      </c>
      <c r="E682" s="116">
        <v>116.144127863912</v>
      </c>
      <c r="F682" s="116">
        <v>114.3</v>
      </c>
      <c r="G682">
        <v>554072</v>
      </c>
      <c r="H682" s="116"/>
      <c r="I682" s="116"/>
      <c r="L682" s="170">
        <v>43005</v>
      </c>
      <c r="M682" s="116">
        <v>110.763668150032</v>
      </c>
      <c r="N682" s="116">
        <v>117.113795295613</v>
      </c>
      <c r="O682" s="116">
        <v>109.697234583598</v>
      </c>
      <c r="P682" s="116">
        <v>115.85346471710101</v>
      </c>
      <c r="Q682" s="116">
        <v>114.25</v>
      </c>
      <c r="R682">
        <v>3698588</v>
      </c>
    </row>
    <row r="683" spans="1:18" x14ac:dyDescent="0.25">
      <c r="A683" s="170">
        <v>43006</v>
      </c>
      <c r="B683" s="116">
        <v>113.18720307271801</v>
      </c>
      <c r="C683" s="116">
        <v>111.78145194247899</v>
      </c>
      <c r="D683" s="116">
        <v>110.084855750811</v>
      </c>
      <c r="E683" s="116">
        <v>111.393658527241</v>
      </c>
      <c r="F683" s="116">
        <v>115.3</v>
      </c>
      <c r="G683">
        <v>345476</v>
      </c>
      <c r="H683" s="116"/>
      <c r="I683" s="116"/>
      <c r="L683" s="170">
        <v>43006</v>
      </c>
      <c r="M683" s="116">
        <v>111.781627463446</v>
      </c>
      <c r="N683" s="116">
        <v>113.187380801017</v>
      </c>
      <c r="O683" s="116">
        <v>109.939605848697</v>
      </c>
      <c r="P683" s="116">
        <v>111.296884933249</v>
      </c>
      <c r="Q683" s="116">
        <v>115.3</v>
      </c>
      <c r="R683">
        <v>3251061</v>
      </c>
    </row>
    <row r="684" spans="1:18" x14ac:dyDescent="0.25">
      <c r="A684" s="170">
        <v>43007</v>
      </c>
      <c r="B684" s="116">
        <v>114.10821243391</v>
      </c>
      <c r="C684" s="116">
        <v>112.79940965748</v>
      </c>
      <c r="D684" s="116">
        <v>111.878400296289</v>
      </c>
      <c r="E684" s="116">
        <v>112.314667888432</v>
      </c>
      <c r="F684" s="116">
        <v>116.35</v>
      </c>
      <c r="G684">
        <v>306551</v>
      </c>
      <c r="H684" s="116"/>
      <c r="I684" s="116"/>
      <c r="L684" s="170">
        <v>43007</v>
      </c>
      <c r="M684" s="116">
        <v>112.75111252384001</v>
      </c>
      <c r="N684" s="116">
        <v>114.108391608392</v>
      </c>
      <c r="O684" s="116">
        <v>111.927050222505</v>
      </c>
      <c r="P684" s="116">
        <v>112.460267005722</v>
      </c>
      <c r="Q684" s="116">
        <v>116.3</v>
      </c>
      <c r="R684">
        <v>2668774</v>
      </c>
    </row>
    <row r="685" spans="1:18" x14ac:dyDescent="0.25">
      <c r="A685" s="170">
        <v>43011</v>
      </c>
      <c r="B685" s="116">
        <v>113.138728895814</v>
      </c>
      <c r="C685" s="116">
        <v>108.38825955914299</v>
      </c>
      <c r="D685" s="116">
        <v>107.224879313427</v>
      </c>
      <c r="E685" s="116">
        <v>113.138728895814</v>
      </c>
      <c r="F685" s="116">
        <v>111.8</v>
      </c>
      <c r="G685">
        <v>778314</v>
      </c>
      <c r="H685" s="116"/>
      <c r="I685" s="116"/>
      <c r="L685" s="170">
        <v>43011</v>
      </c>
      <c r="M685" s="116">
        <v>108.388429752066</v>
      </c>
      <c r="N685" s="116">
        <v>113.041958041958</v>
      </c>
      <c r="O685" s="116">
        <v>106.982676414495</v>
      </c>
      <c r="P685" s="116">
        <v>112.99348378893799</v>
      </c>
      <c r="Q685" s="116">
        <v>111.8</v>
      </c>
      <c r="R685">
        <v>5786682</v>
      </c>
    </row>
    <row r="686" spans="1:18" x14ac:dyDescent="0.25">
      <c r="A686" s="170">
        <v>43012</v>
      </c>
      <c r="B686" s="116">
        <v>112.460090419146</v>
      </c>
      <c r="C686" s="116">
        <v>111.926874473194</v>
      </c>
      <c r="D686" s="116">
        <v>108.33978538223801</v>
      </c>
      <c r="E686" s="116">
        <v>109.454691451049</v>
      </c>
      <c r="F686" s="116">
        <v>115.45</v>
      </c>
      <c r="G686">
        <v>750083</v>
      </c>
      <c r="H686" s="116"/>
      <c r="I686" s="116"/>
      <c r="L686" s="170">
        <v>43012</v>
      </c>
      <c r="M686" s="116">
        <v>111.781627463446</v>
      </c>
      <c r="N686" s="116">
        <v>112.411792752702</v>
      </c>
      <c r="O686" s="116">
        <v>108.485378258106</v>
      </c>
      <c r="P686" s="116">
        <v>108.776223776224</v>
      </c>
      <c r="Q686" s="116">
        <v>115.3</v>
      </c>
      <c r="R686">
        <v>6485757</v>
      </c>
    </row>
    <row r="687" spans="1:18" x14ac:dyDescent="0.25">
      <c r="A687" s="170">
        <v>43013</v>
      </c>
      <c r="B687" s="116">
        <v>119.19800100891401</v>
      </c>
      <c r="C687" s="116">
        <v>117.93767240938899</v>
      </c>
      <c r="D687" s="116">
        <v>112.79940965748</v>
      </c>
      <c r="E687" s="116">
        <v>113.429573957242</v>
      </c>
      <c r="F687" s="116">
        <v>121.65</v>
      </c>
      <c r="G687">
        <v>1104794</v>
      </c>
      <c r="H687" s="116"/>
      <c r="I687" s="116"/>
      <c r="L687" s="170">
        <v>43013</v>
      </c>
      <c r="M687" s="116">
        <v>117.889383343929</v>
      </c>
      <c r="N687" s="116">
        <v>119.440559440559</v>
      </c>
      <c r="O687" s="116">
        <v>112.557215511761</v>
      </c>
      <c r="P687" s="116">
        <v>113.041958041958</v>
      </c>
      <c r="Q687" s="116">
        <v>121.6</v>
      </c>
      <c r="R687">
        <v>10839785</v>
      </c>
    </row>
    <row r="688" spans="1:18" x14ac:dyDescent="0.25">
      <c r="A688" s="170">
        <v>43014</v>
      </c>
      <c r="B688" s="116">
        <v>121.18544226201099</v>
      </c>
      <c r="C688" s="116">
        <v>119.58579442415299</v>
      </c>
      <c r="D688" s="116">
        <v>118.325465824628</v>
      </c>
      <c r="E688" s="116">
        <v>119.39189771653299</v>
      </c>
      <c r="F688" s="116">
        <v>123.35</v>
      </c>
      <c r="G688">
        <v>760297</v>
      </c>
      <c r="H688" s="116"/>
      <c r="I688" s="116"/>
      <c r="L688" s="170">
        <v>43014</v>
      </c>
      <c r="M688" s="116">
        <v>119.68293070565799</v>
      </c>
      <c r="N688" s="116">
        <v>121.185632549269</v>
      </c>
      <c r="O688" s="116">
        <v>118.034806102988</v>
      </c>
      <c r="P688" s="116">
        <v>119.14971392244099</v>
      </c>
      <c r="Q688" s="116">
        <v>123.45</v>
      </c>
      <c r="R688">
        <v>6023990</v>
      </c>
    </row>
    <row r="689" spans="1:18" x14ac:dyDescent="0.25">
      <c r="A689" s="170">
        <v>43017</v>
      </c>
      <c r="B689" s="116">
        <v>118.180043293913</v>
      </c>
      <c r="C689" s="116">
        <v>115.610911917959</v>
      </c>
      <c r="D689" s="116">
        <v>113.865841549386</v>
      </c>
      <c r="E689" s="116">
        <v>117.065137225103</v>
      </c>
      <c r="F689" s="116">
        <v>119.25</v>
      </c>
      <c r="G689">
        <v>1050296</v>
      </c>
      <c r="H689" s="116"/>
      <c r="I689" s="116"/>
      <c r="L689" s="170">
        <v>43017</v>
      </c>
      <c r="M689" s="116">
        <v>115.659567705022</v>
      </c>
      <c r="N689" s="116">
        <v>118.22870311506701</v>
      </c>
      <c r="O689" s="116">
        <v>113.52670057215499</v>
      </c>
      <c r="P689" s="116">
        <v>116.338207247298</v>
      </c>
      <c r="Q689" s="116">
        <v>119.3</v>
      </c>
      <c r="R689">
        <v>7515146</v>
      </c>
    </row>
    <row r="690" spans="1:18" x14ac:dyDescent="0.25">
      <c r="A690" s="170">
        <v>43018</v>
      </c>
      <c r="B690" s="116">
        <v>118.180043293913</v>
      </c>
      <c r="C690" s="116">
        <v>116.53192127915</v>
      </c>
      <c r="D690" s="116">
        <v>115.36854103343499</v>
      </c>
      <c r="E690" s="116">
        <v>115.36854103343499</v>
      </c>
      <c r="F690" s="116">
        <v>120.2</v>
      </c>
      <c r="G690">
        <v>419996</v>
      </c>
      <c r="H690" s="116"/>
      <c r="I690" s="116"/>
      <c r="L690" s="170">
        <v>43018</v>
      </c>
      <c r="M690" s="116">
        <v>116.580578512397</v>
      </c>
      <c r="N690" s="116">
        <v>118.277177368086</v>
      </c>
      <c r="O690" s="116">
        <v>115.85346471710101</v>
      </c>
      <c r="P690" s="116">
        <v>115.85346471710101</v>
      </c>
      <c r="Q690" s="116">
        <v>120.25</v>
      </c>
      <c r="R690">
        <v>3765307</v>
      </c>
    </row>
    <row r="691" spans="1:18" x14ac:dyDescent="0.25">
      <c r="A691" s="170">
        <v>43019</v>
      </c>
      <c r="B691" s="116">
        <v>119.440371893438</v>
      </c>
      <c r="C691" s="116">
        <v>115.126170148911</v>
      </c>
      <c r="D691" s="116">
        <v>114.205160787719</v>
      </c>
      <c r="E691" s="116">
        <v>117.93767240938899</v>
      </c>
      <c r="F691" s="116">
        <v>118.75</v>
      </c>
      <c r="G691">
        <v>790068</v>
      </c>
      <c r="H691" s="116"/>
      <c r="I691" s="116"/>
      <c r="L691" s="170">
        <v>43019</v>
      </c>
      <c r="M691" s="116">
        <v>115.320247933884</v>
      </c>
      <c r="N691" s="116">
        <v>119.63445645263801</v>
      </c>
      <c r="O691" s="116">
        <v>114.011443102352</v>
      </c>
      <c r="P691" s="116">
        <v>117.453115066751</v>
      </c>
      <c r="Q691" s="116">
        <v>118.95</v>
      </c>
      <c r="R691">
        <v>4263901</v>
      </c>
    </row>
    <row r="692" spans="1:18" x14ac:dyDescent="0.25">
      <c r="A692" s="170">
        <v>43020</v>
      </c>
      <c r="B692" s="116">
        <v>117.162085578912</v>
      </c>
      <c r="C692" s="116">
        <v>116.386498748436</v>
      </c>
      <c r="D692" s="116">
        <v>114.98074761819601</v>
      </c>
      <c r="E692" s="116">
        <v>115.271592679625</v>
      </c>
      <c r="F692" s="116">
        <v>120.05</v>
      </c>
      <c r="G692">
        <v>280994</v>
      </c>
      <c r="H692" s="116"/>
      <c r="I692" s="116"/>
      <c r="L692" s="170">
        <v>43020</v>
      </c>
      <c r="M692" s="116">
        <v>116.43515575333799</v>
      </c>
      <c r="N692" s="116">
        <v>117.113795295613</v>
      </c>
      <c r="O692" s="116">
        <v>114.883979656707</v>
      </c>
      <c r="P692" s="116">
        <v>116.338207247298</v>
      </c>
      <c r="Q692" s="116">
        <v>120.1</v>
      </c>
      <c r="R692">
        <v>2146531</v>
      </c>
    </row>
    <row r="693" spans="1:18" x14ac:dyDescent="0.25">
      <c r="A693" s="170">
        <v>43021</v>
      </c>
      <c r="B693" s="116">
        <v>117.40445646343601</v>
      </c>
      <c r="C693" s="116">
        <v>116.241076217721</v>
      </c>
      <c r="D693" s="116">
        <v>115.85328280248299</v>
      </c>
      <c r="E693" s="116">
        <v>117.30750810962699</v>
      </c>
      <c r="F693" s="116">
        <v>119.9</v>
      </c>
      <c r="G693">
        <v>271701</v>
      </c>
      <c r="H693" s="116"/>
      <c r="I693" s="116"/>
      <c r="L693" s="170">
        <v>43021</v>
      </c>
      <c r="M693" s="116">
        <v>116.192784488239</v>
      </c>
      <c r="N693" s="116">
        <v>117.453115066751</v>
      </c>
      <c r="O693" s="116">
        <v>115.85346471710101</v>
      </c>
      <c r="P693" s="116">
        <v>117.113795295613</v>
      </c>
      <c r="Q693" s="116">
        <v>119.85</v>
      </c>
      <c r="R693">
        <v>1922554</v>
      </c>
    </row>
    <row r="694" spans="1:18" x14ac:dyDescent="0.25">
      <c r="A694" s="170">
        <v>43024</v>
      </c>
      <c r="B694" s="116">
        <v>117.210559755817</v>
      </c>
      <c r="C694" s="116">
        <v>113.67194484176601</v>
      </c>
      <c r="D694" s="116">
        <v>113.138728895814</v>
      </c>
      <c r="E694" s="116">
        <v>116.386498748436</v>
      </c>
      <c r="F694" s="116">
        <v>117.25</v>
      </c>
      <c r="G694">
        <v>461106</v>
      </c>
      <c r="H694" s="116"/>
      <c r="I694" s="116"/>
      <c r="L694" s="170">
        <v>43024</v>
      </c>
      <c r="M694" s="116">
        <v>113.817546090273</v>
      </c>
      <c r="N694" s="116">
        <v>117.259218054673</v>
      </c>
      <c r="O694" s="116">
        <v>112.945009535919</v>
      </c>
      <c r="P694" s="116">
        <v>116.968372536554</v>
      </c>
      <c r="Q694" s="116">
        <v>117.4</v>
      </c>
      <c r="R694">
        <v>2672505</v>
      </c>
    </row>
    <row r="695" spans="1:18" x14ac:dyDescent="0.25">
      <c r="A695" s="170">
        <v>43025</v>
      </c>
      <c r="B695" s="116">
        <v>115.36854103343499</v>
      </c>
      <c r="C695" s="116">
        <v>114.447531672243</v>
      </c>
      <c r="D695" s="116">
        <v>113.52652231105201</v>
      </c>
      <c r="E695" s="116">
        <v>114.350583318434</v>
      </c>
      <c r="F695" s="116">
        <v>118.05</v>
      </c>
      <c r="G695">
        <v>191323</v>
      </c>
      <c r="H695" s="116"/>
      <c r="I695" s="116"/>
      <c r="L695" s="170">
        <v>43025</v>
      </c>
      <c r="M695" s="116">
        <v>114.496185632549</v>
      </c>
      <c r="N695" s="116">
        <v>115.320247933884</v>
      </c>
      <c r="O695" s="116">
        <v>113.478226319135</v>
      </c>
      <c r="P695" s="116">
        <v>114.253814367451</v>
      </c>
      <c r="Q695" s="116">
        <v>118.1</v>
      </c>
      <c r="R695">
        <v>1646672</v>
      </c>
    </row>
    <row r="696" spans="1:18" x14ac:dyDescent="0.25">
      <c r="A696" s="170">
        <v>43026</v>
      </c>
      <c r="B696" s="116">
        <v>119.73121695486699</v>
      </c>
      <c r="C696" s="116">
        <v>118.858681770581</v>
      </c>
      <c r="D696" s="116">
        <v>113.429573957242</v>
      </c>
      <c r="E696" s="116">
        <v>114.350583318434</v>
      </c>
      <c r="F696" s="116">
        <v>122.6</v>
      </c>
      <c r="G696">
        <v>672448</v>
      </c>
      <c r="H696" s="116"/>
      <c r="I696" s="116"/>
      <c r="L696" s="170">
        <v>43026</v>
      </c>
      <c r="M696" s="116">
        <v>118.858868404323</v>
      </c>
      <c r="N696" s="116">
        <v>119.77987921169699</v>
      </c>
      <c r="O696" s="116">
        <v>113.28432930705701</v>
      </c>
      <c r="P696" s="116">
        <v>114.39923712651</v>
      </c>
      <c r="Q696" s="116">
        <v>122.6</v>
      </c>
      <c r="R696">
        <v>5756535</v>
      </c>
    </row>
    <row r="697" spans="1:18" x14ac:dyDescent="0.25">
      <c r="A697" s="170">
        <v>43027</v>
      </c>
      <c r="B697" s="116">
        <v>122.542719215346</v>
      </c>
      <c r="C697" s="116">
        <v>121.52476150034499</v>
      </c>
      <c r="D697" s="116">
        <v>119.004104301295</v>
      </c>
      <c r="E697" s="116">
        <v>120.21595872391499</v>
      </c>
      <c r="F697" s="116">
        <v>125.35</v>
      </c>
      <c r="G697">
        <v>338818</v>
      </c>
      <c r="H697" s="116"/>
      <c r="I697" s="116"/>
      <c r="L697" s="170">
        <v>43027</v>
      </c>
      <c r="M697" s="116">
        <v>121.767323585505</v>
      </c>
      <c r="N697" s="116">
        <v>123.124602670057</v>
      </c>
      <c r="O697" s="116">
        <v>118.61649713922399</v>
      </c>
      <c r="P697" s="116">
        <v>119.489033693579</v>
      </c>
      <c r="Q697" s="116">
        <v>125.6</v>
      </c>
      <c r="R697">
        <v>2677513</v>
      </c>
    </row>
    <row r="698" spans="1:18" x14ac:dyDescent="0.25">
      <c r="A698" s="170">
        <v>43031</v>
      </c>
      <c r="B698" s="116">
        <v>125.83896324487201</v>
      </c>
      <c r="C698" s="116">
        <v>123.075935161299</v>
      </c>
      <c r="D698" s="116">
        <v>121.57323567725</v>
      </c>
      <c r="E698" s="116">
        <v>123.075935161299</v>
      </c>
      <c r="F698" s="116">
        <v>126.95</v>
      </c>
      <c r="G698">
        <v>528350</v>
      </c>
      <c r="H698" s="116"/>
      <c r="I698" s="116"/>
      <c r="L698" s="170">
        <v>43031</v>
      </c>
      <c r="M698" s="116">
        <v>123.076128417037</v>
      </c>
      <c r="N698" s="116">
        <v>125.839160839161</v>
      </c>
      <c r="O698" s="116">
        <v>121.37952956134799</v>
      </c>
      <c r="P698" s="116">
        <v>122.54291163382101</v>
      </c>
      <c r="Q698" s="116">
        <v>126.95</v>
      </c>
      <c r="R698">
        <v>4877150</v>
      </c>
    </row>
    <row r="699" spans="1:18" x14ac:dyDescent="0.25">
      <c r="A699" s="170">
        <v>43032</v>
      </c>
      <c r="B699" s="116">
        <v>124.28778958391899</v>
      </c>
      <c r="C699" s="116">
        <v>122.542719215346</v>
      </c>
      <c r="D699" s="116">
        <v>121.67018403105899</v>
      </c>
      <c r="E699" s="116">
        <v>123.80304781487099</v>
      </c>
      <c r="F699" s="116">
        <v>126.4</v>
      </c>
      <c r="G699">
        <v>326818</v>
      </c>
      <c r="H699" s="116"/>
      <c r="I699" s="116"/>
      <c r="L699" s="170">
        <v>43032</v>
      </c>
      <c r="M699" s="116">
        <v>122.445963127781</v>
      </c>
      <c r="N699" s="116">
        <v>124.433407501589</v>
      </c>
      <c r="O699" s="116">
        <v>121.573426573427</v>
      </c>
      <c r="P699" s="116">
        <v>123.124602670057</v>
      </c>
      <c r="Q699" s="116">
        <v>126.3</v>
      </c>
      <c r="R699">
        <v>2510874</v>
      </c>
    </row>
    <row r="700" spans="1:18" x14ac:dyDescent="0.25">
      <c r="A700" s="170">
        <v>43033</v>
      </c>
      <c r="B700" s="116">
        <v>125.063376414396</v>
      </c>
      <c r="C700" s="116">
        <v>123.415254399632</v>
      </c>
      <c r="D700" s="116">
        <v>120.409855431534</v>
      </c>
      <c r="E700" s="116">
        <v>123.99694452249</v>
      </c>
      <c r="F700" s="116">
        <v>127.3</v>
      </c>
      <c r="G700">
        <v>289253</v>
      </c>
      <c r="H700" s="116"/>
      <c r="I700" s="116"/>
      <c r="L700" s="170">
        <v>43033</v>
      </c>
      <c r="M700" s="116">
        <v>123.803242212333</v>
      </c>
      <c r="N700" s="116">
        <v>125.25746980292401</v>
      </c>
      <c r="O700" s="116">
        <v>120.264621741894</v>
      </c>
      <c r="P700" s="116">
        <v>122.979179910998</v>
      </c>
      <c r="Q700" s="116">
        <v>127.7</v>
      </c>
      <c r="R700">
        <v>3208639</v>
      </c>
    </row>
    <row r="701" spans="1:18" x14ac:dyDescent="0.25">
      <c r="A701" s="170">
        <v>43034</v>
      </c>
      <c r="B701" s="116">
        <v>127.487085259636</v>
      </c>
      <c r="C701" s="116">
        <v>126.808446782969</v>
      </c>
      <c r="D701" s="116">
        <v>122.397296684631</v>
      </c>
      <c r="E701" s="116">
        <v>123.46372857653699</v>
      </c>
      <c r="F701" s="116">
        <v>130.80000000000001</v>
      </c>
      <c r="G701">
        <v>397252</v>
      </c>
      <c r="H701" s="116"/>
      <c r="I701" s="116"/>
      <c r="L701" s="170">
        <v>43034</v>
      </c>
      <c r="M701" s="116">
        <v>127.002542911634</v>
      </c>
      <c r="N701" s="116">
        <v>127.72965670692901</v>
      </c>
      <c r="O701" s="116">
        <v>122.300540368722</v>
      </c>
      <c r="P701" s="116">
        <v>123.609345200254</v>
      </c>
      <c r="Q701" s="116">
        <v>131</v>
      </c>
      <c r="R701">
        <v>4101271</v>
      </c>
    </row>
    <row r="702" spans="1:18" x14ac:dyDescent="0.25">
      <c r="A702" s="170">
        <v>43035</v>
      </c>
      <c r="B702" s="116">
        <v>129.086733097494</v>
      </c>
      <c r="C702" s="116">
        <v>125.790489067968</v>
      </c>
      <c r="D702" s="116">
        <v>124.675582999157</v>
      </c>
      <c r="E702" s="116">
        <v>127.874878674874</v>
      </c>
      <c r="F702" s="116">
        <v>129.75</v>
      </c>
      <c r="G702">
        <v>490881</v>
      </c>
      <c r="H702" s="116"/>
      <c r="I702" s="116"/>
      <c r="L702" s="170">
        <v>43035</v>
      </c>
      <c r="M702" s="116">
        <v>125.98458359822</v>
      </c>
      <c r="N702" s="116">
        <v>128.84456452638301</v>
      </c>
      <c r="O702" s="116">
        <v>124.578830260648</v>
      </c>
      <c r="P702" s="116">
        <v>127.875079465989</v>
      </c>
      <c r="Q702" s="116">
        <v>129.94999999999999</v>
      </c>
      <c r="R702">
        <v>3390969</v>
      </c>
    </row>
    <row r="703" spans="1:18" x14ac:dyDescent="0.25">
      <c r="A703" s="170">
        <v>43038</v>
      </c>
      <c r="B703" s="116">
        <v>132.09213206559201</v>
      </c>
      <c r="C703" s="116">
        <v>130.05621663559</v>
      </c>
      <c r="D703" s="116">
        <v>125.548118183444</v>
      </c>
      <c r="E703" s="116">
        <v>126.032859952492</v>
      </c>
      <c r="F703" s="116">
        <v>134.15</v>
      </c>
      <c r="G703">
        <v>650830</v>
      </c>
      <c r="H703" s="116"/>
      <c r="I703" s="116"/>
      <c r="L703" s="170">
        <v>43038</v>
      </c>
      <c r="M703" s="116">
        <v>130.10489510489501</v>
      </c>
      <c r="N703" s="116">
        <v>132.23776223776201</v>
      </c>
      <c r="O703" s="116">
        <v>125.16052129688499</v>
      </c>
      <c r="P703" s="116">
        <v>126.663223140496</v>
      </c>
      <c r="Q703" s="116">
        <v>134.19999999999999</v>
      </c>
      <c r="R703">
        <v>5432720</v>
      </c>
    </row>
    <row r="704" spans="1:18" x14ac:dyDescent="0.25">
      <c r="A704" s="170">
        <v>43039</v>
      </c>
      <c r="B704" s="116">
        <v>130.880277642972</v>
      </c>
      <c r="C704" s="116">
        <v>128.31114626701699</v>
      </c>
      <c r="D704" s="116">
        <v>126.081334129396</v>
      </c>
      <c r="E704" s="116">
        <v>130.880277642972</v>
      </c>
      <c r="F704" s="116">
        <v>132.35</v>
      </c>
      <c r="G704">
        <v>408796</v>
      </c>
      <c r="H704" s="116"/>
      <c r="I704" s="116"/>
      <c r="L704" s="170">
        <v>43039</v>
      </c>
      <c r="M704" s="116">
        <v>128.26287349014601</v>
      </c>
      <c r="N704" s="116">
        <v>130.589637635092</v>
      </c>
      <c r="O704" s="116">
        <v>126.081532104259</v>
      </c>
      <c r="P704" s="116">
        <v>130.589637635092</v>
      </c>
      <c r="Q704" s="116">
        <v>132.30000000000001</v>
      </c>
      <c r="R704">
        <v>2930305</v>
      </c>
    </row>
    <row r="705" spans="1:18" x14ac:dyDescent="0.25">
      <c r="A705" s="170">
        <v>43040</v>
      </c>
      <c r="B705" s="116">
        <v>131.171122704401</v>
      </c>
      <c r="C705" s="116">
        <v>128.98978474368499</v>
      </c>
      <c r="D705" s="116">
        <v>128.35962044392201</v>
      </c>
      <c r="E705" s="116">
        <v>128.35962044392201</v>
      </c>
      <c r="F705" s="116">
        <v>133.05000000000001</v>
      </c>
      <c r="G705">
        <v>311517</v>
      </c>
      <c r="H705" s="116"/>
      <c r="I705" s="116"/>
      <c r="L705" s="170">
        <v>43040</v>
      </c>
      <c r="M705" s="116">
        <v>129.038461538462</v>
      </c>
      <c r="N705" s="116">
        <v>131.17132867132901</v>
      </c>
      <c r="O705" s="116">
        <v>128.06897647806699</v>
      </c>
      <c r="P705" s="116">
        <v>128.747616020343</v>
      </c>
      <c r="Q705" s="116">
        <v>133.1</v>
      </c>
      <c r="R705">
        <v>2233742</v>
      </c>
    </row>
    <row r="706" spans="1:18" x14ac:dyDescent="0.25">
      <c r="A706" s="170">
        <v>43041</v>
      </c>
      <c r="B706" s="116">
        <v>131.46196776583</v>
      </c>
      <c r="C706" s="116">
        <v>129.47452651273301</v>
      </c>
      <c r="D706" s="116">
        <v>127.971827028684</v>
      </c>
      <c r="E706" s="116">
        <v>127.971827028684</v>
      </c>
      <c r="F706" s="116">
        <v>133.55000000000001</v>
      </c>
      <c r="G706">
        <v>574385</v>
      </c>
      <c r="H706" s="116"/>
      <c r="I706" s="116"/>
      <c r="L706" s="170">
        <v>43041</v>
      </c>
      <c r="M706" s="116">
        <v>129.28083280356</v>
      </c>
      <c r="N706" s="116">
        <v>131.46217418944701</v>
      </c>
      <c r="O706" s="116">
        <v>127.826605212969</v>
      </c>
      <c r="P706" s="116">
        <v>129.23235855054</v>
      </c>
      <c r="Q706" s="116">
        <v>133.35</v>
      </c>
      <c r="R706">
        <v>2230547</v>
      </c>
    </row>
    <row r="707" spans="1:18" x14ac:dyDescent="0.25">
      <c r="A707" s="170">
        <v>43042</v>
      </c>
      <c r="B707" s="116">
        <v>138.44224924012201</v>
      </c>
      <c r="C707" s="116">
        <v>136.163962925596</v>
      </c>
      <c r="D707" s="116">
        <v>128.94131056678</v>
      </c>
      <c r="E707" s="116">
        <v>130.783329289162</v>
      </c>
      <c r="F707" s="116">
        <v>140.44999999999999</v>
      </c>
      <c r="G707">
        <v>927206</v>
      </c>
      <c r="H707" s="116"/>
      <c r="I707" s="116"/>
      <c r="L707" s="170">
        <v>43042</v>
      </c>
      <c r="M707" s="116">
        <v>136.21265098537799</v>
      </c>
      <c r="N707" s="116">
        <v>138.345518118245</v>
      </c>
      <c r="O707" s="116">
        <v>128.84456452638301</v>
      </c>
      <c r="P707" s="116">
        <v>129.91099809281599</v>
      </c>
      <c r="Q707" s="116">
        <v>140.5</v>
      </c>
      <c r="R707">
        <v>6569012</v>
      </c>
    </row>
    <row r="708" spans="1:18" x14ac:dyDescent="0.25">
      <c r="A708" s="170">
        <v>43045</v>
      </c>
      <c r="B708" s="116">
        <v>146.779807667748</v>
      </c>
      <c r="C708" s="116">
        <v>144.98626312227</v>
      </c>
      <c r="D708" s="116">
        <v>138.44224924012201</v>
      </c>
      <c r="E708" s="116">
        <v>139.50868113202699</v>
      </c>
      <c r="F708" s="116">
        <v>149.55000000000001</v>
      </c>
      <c r="G708">
        <v>1724533</v>
      </c>
      <c r="H708" s="116"/>
      <c r="I708" s="116"/>
      <c r="L708" s="170">
        <v>43045</v>
      </c>
      <c r="M708" s="116">
        <v>145.131913541004</v>
      </c>
      <c r="N708" s="116">
        <v>146.82851239669401</v>
      </c>
      <c r="O708" s="116">
        <v>138.29704386522599</v>
      </c>
      <c r="P708" s="116">
        <v>138.83026064844199</v>
      </c>
      <c r="Q708" s="116">
        <v>149.69999999999999</v>
      </c>
      <c r="R708">
        <v>12584319</v>
      </c>
    </row>
    <row r="709" spans="1:18" x14ac:dyDescent="0.25">
      <c r="A709" s="170">
        <v>43046</v>
      </c>
      <c r="B709" s="116">
        <v>147.55539449822501</v>
      </c>
      <c r="C709" s="116">
        <v>143.67746034583999</v>
      </c>
      <c r="D709" s="116">
        <v>137.08497228678701</v>
      </c>
      <c r="E709" s="116">
        <v>146.29506589869999</v>
      </c>
      <c r="F709" s="116">
        <v>148.19999999999999</v>
      </c>
      <c r="G709">
        <v>1353146</v>
      </c>
      <c r="H709" s="116"/>
      <c r="I709" s="116"/>
      <c r="L709" s="170">
        <v>43046</v>
      </c>
      <c r="M709" s="116">
        <v>143.823108709472</v>
      </c>
      <c r="N709" s="116">
        <v>147.65257469802901</v>
      </c>
      <c r="O709" s="116">
        <v>136.89129052765401</v>
      </c>
      <c r="P709" s="116">
        <v>145.180387794024</v>
      </c>
      <c r="Q709" s="116">
        <v>148.35</v>
      </c>
      <c r="R709">
        <v>7356189</v>
      </c>
    </row>
    <row r="710" spans="1:18" x14ac:dyDescent="0.25">
      <c r="A710" s="170">
        <v>43047</v>
      </c>
      <c r="B710" s="116">
        <v>153.46924408061099</v>
      </c>
      <c r="C710" s="116">
        <v>147.11912690608199</v>
      </c>
      <c r="D710" s="116">
        <v>142.02933833107701</v>
      </c>
      <c r="E710" s="116">
        <v>143.96830540726901</v>
      </c>
      <c r="F710" s="116">
        <v>151.75</v>
      </c>
      <c r="G710">
        <v>2240130</v>
      </c>
      <c r="H710" s="116"/>
      <c r="I710" s="116"/>
      <c r="L710" s="170">
        <v>43047</v>
      </c>
      <c r="M710" s="116">
        <v>146.87698664971401</v>
      </c>
      <c r="N710" s="116">
        <v>153.566433566434</v>
      </c>
      <c r="O710" s="116">
        <v>141.93261284170401</v>
      </c>
      <c r="P710" s="116">
        <v>143.53226319135399</v>
      </c>
      <c r="Q710" s="116">
        <v>151.5</v>
      </c>
      <c r="R710">
        <v>13716214</v>
      </c>
    </row>
    <row r="711" spans="1:18" x14ac:dyDescent="0.25">
      <c r="A711" s="170">
        <v>43048</v>
      </c>
      <c r="B711" s="116">
        <v>151.04553523537101</v>
      </c>
      <c r="C711" s="116">
        <v>149.49436157441701</v>
      </c>
      <c r="D711" s="116">
        <v>144.50152135322199</v>
      </c>
      <c r="E711" s="116">
        <v>148.42792968251101</v>
      </c>
      <c r="F711" s="116">
        <v>154.19999999999999</v>
      </c>
      <c r="G711">
        <v>931300</v>
      </c>
      <c r="H711" s="116"/>
      <c r="I711" s="116"/>
      <c r="L711" s="170">
        <v>43048</v>
      </c>
      <c r="M711" s="116">
        <v>149.68849332485701</v>
      </c>
      <c r="N711" s="116">
        <v>151.142720915448</v>
      </c>
      <c r="O711" s="116">
        <v>144.55022250476799</v>
      </c>
      <c r="P711" s="116">
        <v>147.21630642085199</v>
      </c>
      <c r="Q711" s="116">
        <v>154.4</v>
      </c>
      <c r="R711">
        <v>4923828</v>
      </c>
    </row>
    <row r="712" spans="1:18" x14ac:dyDescent="0.25">
      <c r="A712" s="170">
        <v>43049</v>
      </c>
      <c r="B712" s="116">
        <v>153.178399019182</v>
      </c>
      <c r="C712" s="116">
        <v>151.19095776608501</v>
      </c>
      <c r="D712" s="116">
        <v>147.16760108298601</v>
      </c>
      <c r="E712" s="116">
        <v>148.37945550560701</v>
      </c>
      <c r="F712" s="116">
        <v>155.94999999999999</v>
      </c>
      <c r="G712">
        <v>968059</v>
      </c>
      <c r="H712" s="116"/>
      <c r="I712" s="116"/>
      <c r="L712" s="170">
        <v>43049</v>
      </c>
      <c r="M712" s="116">
        <v>151.62746344564499</v>
      </c>
      <c r="N712" s="116">
        <v>153.42101080737399</v>
      </c>
      <c r="O712" s="116">
        <v>147.16783216783199</v>
      </c>
      <c r="P712" s="116">
        <v>149.640019071837</v>
      </c>
      <c r="Q712" s="116">
        <v>156.4</v>
      </c>
      <c r="R712">
        <v>5725960</v>
      </c>
    </row>
    <row r="713" spans="1:18" x14ac:dyDescent="0.25">
      <c r="A713" s="170">
        <v>43052</v>
      </c>
      <c r="B713" s="116">
        <v>155.117366095374</v>
      </c>
      <c r="C713" s="116">
        <v>148.040136267273</v>
      </c>
      <c r="D713" s="116">
        <v>146.39201425250999</v>
      </c>
      <c r="E713" s="116">
        <v>152.887553957753</v>
      </c>
      <c r="F713" s="116">
        <v>152.69999999999999</v>
      </c>
      <c r="G713">
        <v>1015006</v>
      </c>
      <c r="H713" s="116"/>
      <c r="I713" s="116"/>
      <c r="L713" s="170">
        <v>43052</v>
      </c>
      <c r="M713" s="116">
        <v>148.13731722822601</v>
      </c>
      <c r="N713" s="116">
        <v>155.31150667514299</v>
      </c>
      <c r="O713" s="116">
        <v>146.246821360458</v>
      </c>
      <c r="P713" s="116">
        <v>152.30610298792101</v>
      </c>
      <c r="Q713" s="116">
        <v>152.80000000000001</v>
      </c>
      <c r="R713">
        <v>5822879</v>
      </c>
    </row>
    <row r="714" spans="1:18" x14ac:dyDescent="0.25">
      <c r="A714" s="170">
        <v>43053</v>
      </c>
      <c r="B714" s="116">
        <v>153.566192434421</v>
      </c>
      <c r="C714" s="116">
        <v>150.512319289418</v>
      </c>
      <c r="D714" s="116">
        <v>147.36149779060599</v>
      </c>
      <c r="E714" s="116">
        <v>147.45844614441501</v>
      </c>
      <c r="F714" s="116">
        <v>155.25</v>
      </c>
      <c r="G714">
        <v>681557</v>
      </c>
      <c r="H714" s="116"/>
      <c r="I714" s="116"/>
      <c r="L714" s="170">
        <v>43053</v>
      </c>
      <c r="M714" s="116">
        <v>150.609504132231</v>
      </c>
      <c r="N714" s="116">
        <v>153.566433566434</v>
      </c>
      <c r="O714" s="116">
        <v>146.87698664971401</v>
      </c>
      <c r="P714" s="116">
        <v>147.36172917991101</v>
      </c>
      <c r="Q714" s="116">
        <v>155.35</v>
      </c>
      <c r="R714">
        <v>6292563</v>
      </c>
    </row>
    <row r="715" spans="1:18" x14ac:dyDescent="0.25">
      <c r="A715" s="170">
        <v>43054</v>
      </c>
      <c r="B715" s="116">
        <v>150.85163852775199</v>
      </c>
      <c r="C715" s="116">
        <v>142.32018339250601</v>
      </c>
      <c r="D715" s="116">
        <v>141.35069985441001</v>
      </c>
      <c r="E715" s="116">
        <v>150.269948404894</v>
      </c>
      <c r="F715" s="116">
        <v>146.80000000000001</v>
      </c>
      <c r="G715">
        <v>507901</v>
      </c>
      <c r="H715" s="116"/>
      <c r="I715" s="116"/>
      <c r="L715" s="170">
        <v>43054</v>
      </c>
      <c r="M715" s="116">
        <v>142.56277813096</v>
      </c>
      <c r="N715" s="116">
        <v>151.04577240940901</v>
      </c>
      <c r="O715" s="116">
        <v>141.64176732358499</v>
      </c>
      <c r="P715" s="116">
        <v>150.07628734901499</v>
      </c>
      <c r="Q715" s="116">
        <v>147.05000000000001</v>
      </c>
      <c r="R715">
        <v>4240874</v>
      </c>
    </row>
    <row r="716" spans="1:18" x14ac:dyDescent="0.25">
      <c r="A716" s="170">
        <v>43055</v>
      </c>
      <c r="B716" s="116">
        <v>141.44764820821899</v>
      </c>
      <c r="C716" s="116">
        <v>140.38121631631401</v>
      </c>
      <c r="D716" s="116">
        <v>135.436850272024</v>
      </c>
      <c r="E716" s="116">
        <v>141.44764820821899</v>
      </c>
      <c r="F716" s="116">
        <v>144.80000000000001</v>
      </c>
      <c r="G716">
        <v>852919</v>
      </c>
      <c r="H716" s="116"/>
      <c r="I716" s="116"/>
      <c r="L716" s="170">
        <v>43055</v>
      </c>
      <c r="M716" s="116">
        <v>140.33296249205301</v>
      </c>
      <c r="N716" s="116">
        <v>141.544818817546</v>
      </c>
      <c r="O716" s="116">
        <v>135.34011443102301</v>
      </c>
      <c r="P716" s="116">
        <v>140.57533375715201</v>
      </c>
      <c r="Q716" s="116">
        <v>144.75</v>
      </c>
      <c r="R716">
        <v>5535897</v>
      </c>
    </row>
    <row r="717" spans="1:18" x14ac:dyDescent="0.25">
      <c r="A717" s="170">
        <v>43056</v>
      </c>
      <c r="B717" s="116">
        <v>153.566192434421</v>
      </c>
      <c r="C717" s="116">
        <v>151.627225358228</v>
      </c>
      <c r="D717" s="116">
        <v>142.32018339250601</v>
      </c>
      <c r="E717" s="116">
        <v>144.453047176317</v>
      </c>
      <c r="F717" s="116">
        <v>156.4</v>
      </c>
      <c r="G717">
        <v>1158479</v>
      </c>
      <c r="H717" s="116"/>
      <c r="I717" s="116"/>
      <c r="L717" s="170">
        <v>43056</v>
      </c>
      <c r="M717" s="116">
        <v>151.82136045772401</v>
      </c>
      <c r="N717" s="116">
        <v>153.90575333757101</v>
      </c>
      <c r="O717" s="116">
        <v>141.73871582962499</v>
      </c>
      <c r="P717" s="116">
        <v>142.029561347743</v>
      </c>
      <c r="Q717" s="116">
        <v>156.6</v>
      </c>
      <c r="R717">
        <v>8535047</v>
      </c>
    </row>
    <row r="718" spans="1:18" x14ac:dyDescent="0.25">
      <c r="A718" s="170">
        <v>43059</v>
      </c>
      <c r="B718" s="116">
        <v>156.91091064085199</v>
      </c>
      <c r="C718" s="116">
        <v>155.45668533370801</v>
      </c>
      <c r="D718" s="116">
        <v>151.772647888943</v>
      </c>
      <c r="E718" s="116">
        <v>153.08145066537301</v>
      </c>
      <c r="F718" s="116">
        <v>160.35</v>
      </c>
      <c r="G718">
        <v>938640</v>
      </c>
      <c r="H718" s="116"/>
      <c r="I718" s="116"/>
      <c r="L718" s="170">
        <v>43059</v>
      </c>
      <c r="M718" s="116">
        <v>155.50540368722201</v>
      </c>
      <c r="N718" s="116">
        <v>157.05657978385199</v>
      </c>
      <c r="O718" s="116">
        <v>151.28814367450701</v>
      </c>
      <c r="P718" s="116">
        <v>152.16068022886199</v>
      </c>
      <c r="Q718" s="116">
        <v>160.4</v>
      </c>
      <c r="R718">
        <v>8674469</v>
      </c>
    </row>
    <row r="719" spans="1:18" x14ac:dyDescent="0.25">
      <c r="A719" s="170">
        <v>43060</v>
      </c>
      <c r="B719" s="116">
        <v>157.05633317156699</v>
      </c>
      <c r="C719" s="116">
        <v>148.71877474394</v>
      </c>
      <c r="D719" s="116">
        <v>147.652342852034</v>
      </c>
      <c r="E719" s="116">
        <v>155.60210786442201</v>
      </c>
      <c r="F719" s="116">
        <v>153.4</v>
      </c>
      <c r="G719">
        <v>738969</v>
      </c>
      <c r="H719" s="116"/>
      <c r="I719" s="116"/>
      <c r="L719" s="170">
        <v>43060</v>
      </c>
      <c r="M719" s="116">
        <v>148.76748251748299</v>
      </c>
      <c r="N719" s="116">
        <v>156.76573426573401</v>
      </c>
      <c r="O719" s="116">
        <v>147.55562619199</v>
      </c>
      <c r="P719" s="116">
        <v>156.08709472345799</v>
      </c>
      <c r="Q719" s="116">
        <v>153.44999999999999</v>
      </c>
      <c r="R719">
        <v>5386978</v>
      </c>
    </row>
    <row r="720" spans="1:18" x14ac:dyDescent="0.25">
      <c r="A720" s="170">
        <v>43061</v>
      </c>
      <c r="B720" s="116">
        <v>154.34177926489701</v>
      </c>
      <c r="C720" s="116">
        <v>152.93602813465799</v>
      </c>
      <c r="D720" s="116">
        <v>148.040136267273</v>
      </c>
      <c r="E720" s="116">
        <v>150.657741820132</v>
      </c>
      <c r="F720" s="116">
        <v>157.75</v>
      </c>
      <c r="G720">
        <v>698850</v>
      </c>
      <c r="H720" s="116"/>
      <c r="I720" s="116"/>
      <c r="L720" s="170">
        <v>43061</v>
      </c>
      <c r="M720" s="116">
        <v>152.984742530197</v>
      </c>
      <c r="N720" s="116">
        <v>154.342021614749</v>
      </c>
      <c r="O720" s="116">
        <v>147.89494596312801</v>
      </c>
      <c r="P720" s="116">
        <v>149.59154481881799</v>
      </c>
      <c r="Q720" s="116">
        <v>157.80000000000001</v>
      </c>
      <c r="R720">
        <v>4955519</v>
      </c>
    </row>
    <row r="721" spans="1:18" x14ac:dyDescent="0.25">
      <c r="A721" s="170">
        <v>43062</v>
      </c>
      <c r="B721" s="116">
        <v>153.66314078823001</v>
      </c>
      <c r="C721" s="116">
        <v>147.749291205844</v>
      </c>
      <c r="D721" s="116">
        <v>145.22863400679401</v>
      </c>
      <c r="E721" s="116">
        <v>153.66314078823001</v>
      </c>
      <c r="F721" s="116">
        <v>152.4</v>
      </c>
      <c r="G721">
        <v>761316</v>
      </c>
      <c r="H721" s="116"/>
      <c r="I721" s="116"/>
      <c r="L721" s="170">
        <v>43062</v>
      </c>
      <c r="M721" s="116">
        <v>147.84647171010801</v>
      </c>
      <c r="N721" s="116">
        <v>153.61490781945301</v>
      </c>
      <c r="O721" s="116">
        <v>145.131913541004</v>
      </c>
      <c r="P721" s="116">
        <v>153.17863954227599</v>
      </c>
      <c r="Q721" s="116">
        <v>152.5</v>
      </c>
      <c r="R721">
        <v>4727002</v>
      </c>
    </row>
    <row r="722" spans="1:18" x14ac:dyDescent="0.25">
      <c r="A722" s="170">
        <v>43063</v>
      </c>
      <c r="B722" s="116">
        <v>150.46384511251301</v>
      </c>
      <c r="C722" s="116">
        <v>148.52487803632101</v>
      </c>
      <c r="D722" s="116">
        <v>145.422530714413</v>
      </c>
      <c r="E722" s="116">
        <v>148.62182639013099</v>
      </c>
      <c r="F722" s="116">
        <v>153.19999999999999</v>
      </c>
      <c r="G722">
        <v>528322</v>
      </c>
      <c r="H722" s="116"/>
      <c r="I722" s="116"/>
      <c r="L722" s="170">
        <v>43063</v>
      </c>
      <c r="M722" s="116">
        <v>148.573585505404</v>
      </c>
      <c r="N722" s="116">
        <v>150.657978385251</v>
      </c>
      <c r="O722" s="116">
        <v>145.422759059123</v>
      </c>
      <c r="P722" s="116">
        <v>147.94342021614699</v>
      </c>
      <c r="Q722" s="116">
        <v>153.25</v>
      </c>
      <c r="R722">
        <v>3761880</v>
      </c>
    </row>
    <row r="723" spans="1:18" x14ac:dyDescent="0.25">
      <c r="A723" s="170">
        <v>43066</v>
      </c>
      <c r="B723" s="116">
        <v>147.70081702893901</v>
      </c>
      <c r="C723" s="116">
        <v>146.48896260631901</v>
      </c>
      <c r="D723" s="116">
        <v>142.514080100125</v>
      </c>
      <c r="E723" s="116">
        <v>147.70081702893901</v>
      </c>
      <c r="F723" s="116">
        <v>151.1</v>
      </c>
      <c r="G723">
        <v>648728</v>
      </c>
      <c r="H723" s="116"/>
      <c r="I723" s="116"/>
      <c r="L723" s="170">
        <v>43066</v>
      </c>
      <c r="M723" s="116">
        <v>146.63461538461499</v>
      </c>
      <c r="N723" s="116">
        <v>147.55562619199</v>
      </c>
      <c r="O723" s="116">
        <v>142.36888111888101</v>
      </c>
      <c r="P723" s="116">
        <v>145.422759059123</v>
      </c>
      <c r="Q723" s="116">
        <v>151.25</v>
      </c>
      <c r="R723">
        <v>4600982</v>
      </c>
    </row>
    <row r="724" spans="1:18" x14ac:dyDescent="0.25">
      <c r="A724" s="170">
        <v>43067</v>
      </c>
      <c r="B724" s="116">
        <v>147.99166209036801</v>
      </c>
      <c r="C724" s="116">
        <v>144.06525376107899</v>
      </c>
      <c r="D724" s="116">
        <v>142.99882186917301</v>
      </c>
      <c r="E724" s="116">
        <v>146.537436783224</v>
      </c>
      <c r="F724" s="116">
        <v>148.6</v>
      </c>
      <c r="G724">
        <v>440137</v>
      </c>
      <c r="H724" s="116"/>
      <c r="I724" s="116"/>
      <c r="L724" s="170">
        <v>43067</v>
      </c>
      <c r="M724" s="116">
        <v>144.30785123966899</v>
      </c>
      <c r="N724" s="116">
        <v>148.040368722187</v>
      </c>
      <c r="O724" s="116">
        <v>143.04752066115699</v>
      </c>
      <c r="P724" s="116">
        <v>146.58614113159601</v>
      </c>
      <c r="Q724" s="116">
        <v>148.85</v>
      </c>
      <c r="R724">
        <v>2824828</v>
      </c>
    </row>
    <row r="725" spans="1:18" x14ac:dyDescent="0.25">
      <c r="A725" s="170">
        <v>43068</v>
      </c>
      <c r="B725" s="116">
        <v>145.03473729917499</v>
      </c>
      <c r="C725" s="116">
        <v>142.75645098464901</v>
      </c>
      <c r="D725" s="116">
        <v>141.399174031315</v>
      </c>
      <c r="E725" s="116">
        <v>144.64694388393701</v>
      </c>
      <c r="F725" s="116">
        <v>147.25</v>
      </c>
      <c r="G725">
        <v>513005</v>
      </c>
      <c r="H725" s="116"/>
      <c r="I725" s="116"/>
      <c r="L725" s="170">
        <v>43068</v>
      </c>
      <c r="M725" s="116">
        <v>142.95057215511801</v>
      </c>
      <c r="N725" s="116">
        <v>144.889542275906</v>
      </c>
      <c r="O725" s="116">
        <v>141.544818817546</v>
      </c>
      <c r="P725" s="116">
        <v>144.30785123966899</v>
      </c>
      <c r="Q725" s="116">
        <v>147.44999999999999</v>
      </c>
      <c r="R725">
        <v>2648352</v>
      </c>
    </row>
    <row r="726" spans="1:18" x14ac:dyDescent="0.25">
      <c r="A726" s="170">
        <v>43069</v>
      </c>
      <c r="B726" s="116">
        <v>144.79236641465101</v>
      </c>
      <c r="C726" s="116">
        <v>142.12628668488699</v>
      </c>
      <c r="D726" s="116">
        <v>140.76900973155199</v>
      </c>
      <c r="E726" s="116">
        <v>142.223235038696</v>
      </c>
      <c r="F726" s="116">
        <v>146.6</v>
      </c>
      <c r="G726">
        <v>436398</v>
      </c>
      <c r="H726" s="116"/>
      <c r="I726" s="116"/>
      <c r="L726" s="170">
        <v>43069</v>
      </c>
      <c r="M726" s="116">
        <v>142.12650985378301</v>
      </c>
      <c r="N726" s="116">
        <v>144.938016528926</v>
      </c>
      <c r="O726" s="116">
        <v>140.67228226319099</v>
      </c>
      <c r="P726" s="116">
        <v>142.029561347743</v>
      </c>
      <c r="Q726" s="116">
        <v>146.6</v>
      </c>
      <c r="R726">
        <v>2702060</v>
      </c>
    </row>
    <row r="727" spans="1:18" x14ac:dyDescent="0.25">
      <c r="A727" s="170">
        <v>43070</v>
      </c>
      <c r="B727" s="116">
        <v>146.537436783224</v>
      </c>
      <c r="C727" s="116">
        <v>138.29682670940699</v>
      </c>
      <c r="D727" s="116">
        <v>135.727695333453</v>
      </c>
      <c r="E727" s="116">
        <v>142.99882186917301</v>
      </c>
      <c r="F727" s="116">
        <v>142.65</v>
      </c>
      <c r="G727">
        <v>1008268</v>
      </c>
      <c r="H727" s="116"/>
      <c r="I727" s="116"/>
      <c r="L727" s="170">
        <v>43070</v>
      </c>
      <c r="M727" s="116">
        <v>138.00619834710699</v>
      </c>
      <c r="N727" s="116">
        <v>146.731563890655</v>
      </c>
      <c r="O727" s="116">
        <v>135.776382708201</v>
      </c>
      <c r="P727" s="116">
        <v>142.51430387793999</v>
      </c>
      <c r="Q727" s="116">
        <v>142.35</v>
      </c>
      <c r="R727">
        <v>5272779</v>
      </c>
    </row>
    <row r="728" spans="1:18" x14ac:dyDescent="0.25">
      <c r="A728" s="170">
        <v>43073</v>
      </c>
      <c r="B728" s="116">
        <v>141.2537515006</v>
      </c>
      <c r="C728" s="116">
        <v>137.957507471074</v>
      </c>
      <c r="D728" s="116">
        <v>128.06877538249299</v>
      </c>
      <c r="E728" s="116">
        <v>138.29682670940699</v>
      </c>
      <c r="F728" s="116">
        <v>142.30000000000001</v>
      </c>
      <c r="G728">
        <v>1511852</v>
      </c>
      <c r="H728" s="116"/>
      <c r="I728" s="116"/>
      <c r="L728" s="170">
        <v>43073</v>
      </c>
      <c r="M728" s="116">
        <v>138.24856961220601</v>
      </c>
      <c r="N728" s="116">
        <v>141.35092180546701</v>
      </c>
      <c r="O728" s="116">
        <v>127.72965670692901</v>
      </c>
      <c r="P728" s="116">
        <v>138.442466624285</v>
      </c>
      <c r="Q728" s="116">
        <v>142.6</v>
      </c>
      <c r="R728">
        <v>6970705</v>
      </c>
    </row>
    <row r="729" spans="1:18" x14ac:dyDescent="0.25">
      <c r="A729" s="170">
        <v>43074</v>
      </c>
      <c r="B729" s="116">
        <v>142.223235038696</v>
      </c>
      <c r="C729" s="116">
        <v>141.44764820821899</v>
      </c>
      <c r="D729" s="116">
        <v>135.48532444892899</v>
      </c>
      <c r="E729" s="116">
        <v>138.05445582488301</v>
      </c>
      <c r="F729" s="116">
        <v>145.9</v>
      </c>
      <c r="G729">
        <v>1182731</v>
      </c>
      <c r="H729" s="116"/>
      <c r="I729" s="116"/>
      <c r="L729" s="170">
        <v>43074</v>
      </c>
      <c r="M729" s="116">
        <v>141.302447552448</v>
      </c>
      <c r="N729" s="116">
        <v>142.320406865861</v>
      </c>
      <c r="O729" s="116">
        <v>135.291640178004</v>
      </c>
      <c r="P729" s="116">
        <v>138.29704386522599</v>
      </c>
      <c r="Q729" s="116">
        <v>145.75</v>
      </c>
      <c r="R729">
        <v>4720284</v>
      </c>
    </row>
    <row r="730" spans="1:18" x14ac:dyDescent="0.25">
      <c r="A730" s="170">
        <v>43075</v>
      </c>
      <c r="B730" s="116">
        <v>142.804925161554</v>
      </c>
      <c r="C730" s="116">
        <v>138.00598164797799</v>
      </c>
      <c r="D730" s="116">
        <v>137.08497228678701</v>
      </c>
      <c r="E730" s="116">
        <v>140.33274213940899</v>
      </c>
      <c r="F730" s="116">
        <v>142.35</v>
      </c>
      <c r="G730">
        <v>852708</v>
      </c>
      <c r="H730" s="116"/>
      <c r="I730" s="116"/>
      <c r="L730" s="170">
        <v>43075</v>
      </c>
      <c r="M730" s="116">
        <v>137.909249841068</v>
      </c>
      <c r="N730" s="116">
        <v>142.90209790209801</v>
      </c>
      <c r="O730" s="116">
        <v>136.98823903369399</v>
      </c>
      <c r="P730" s="116">
        <v>139.31500317864001</v>
      </c>
      <c r="Q730" s="116">
        <v>142.25</v>
      </c>
      <c r="R730">
        <v>3852721</v>
      </c>
    </row>
    <row r="731" spans="1:18" x14ac:dyDescent="0.25">
      <c r="A731" s="170">
        <v>43076</v>
      </c>
      <c r="B731" s="116">
        <v>144.25915046869801</v>
      </c>
      <c r="C731" s="116">
        <v>143.09577022298299</v>
      </c>
      <c r="D731" s="116">
        <v>136.697178871549</v>
      </c>
      <c r="E731" s="116">
        <v>136.697178871549</v>
      </c>
      <c r="F731" s="116">
        <v>147.6</v>
      </c>
      <c r="G731">
        <v>713332</v>
      </c>
      <c r="H731" s="116"/>
      <c r="I731" s="116"/>
      <c r="L731" s="170">
        <v>43076</v>
      </c>
      <c r="M731" s="116">
        <v>143.04752066115699</v>
      </c>
      <c r="N731" s="116">
        <v>144.404799745709</v>
      </c>
      <c r="O731" s="116">
        <v>137.76382708200899</v>
      </c>
      <c r="P731" s="116">
        <v>138.345518118245</v>
      </c>
      <c r="Q731" s="116">
        <v>147.55000000000001</v>
      </c>
      <c r="R731">
        <v>3346587</v>
      </c>
    </row>
    <row r="732" spans="1:18" x14ac:dyDescent="0.25">
      <c r="A732" s="170">
        <v>43077</v>
      </c>
      <c r="B732" s="116">
        <v>147.84623955965401</v>
      </c>
      <c r="C732" s="116">
        <v>146.537436783224</v>
      </c>
      <c r="D732" s="116">
        <v>144.06525376107899</v>
      </c>
      <c r="E732" s="116">
        <v>144.93778894536501</v>
      </c>
      <c r="F732" s="116">
        <v>151.15</v>
      </c>
      <c r="G732">
        <v>865130</v>
      </c>
      <c r="H732" s="116"/>
      <c r="I732" s="116"/>
      <c r="L732" s="170">
        <v>43077</v>
      </c>
      <c r="M732" s="116">
        <v>146.44071837253699</v>
      </c>
      <c r="N732" s="116">
        <v>147.89494596312801</v>
      </c>
      <c r="O732" s="116">
        <v>144.06547997457099</v>
      </c>
      <c r="P732" s="116">
        <v>144.647171010807</v>
      </c>
      <c r="Q732" s="116">
        <v>151.05000000000001</v>
      </c>
      <c r="R732">
        <v>5248995</v>
      </c>
    </row>
    <row r="733" spans="1:18" x14ac:dyDescent="0.25">
      <c r="A733" s="170">
        <v>43080</v>
      </c>
      <c r="B733" s="116">
        <v>149.445887397512</v>
      </c>
      <c r="C733" s="116">
        <v>148.67030056703501</v>
      </c>
      <c r="D733" s="116">
        <v>145.22863400679401</v>
      </c>
      <c r="E733" s="116">
        <v>146.537436783224</v>
      </c>
      <c r="F733" s="116">
        <v>153.35</v>
      </c>
      <c r="G733">
        <v>742317</v>
      </c>
      <c r="H733" s="116"/>
      <c r="I733" s="116"/>
      <c r="L733" s="170">
        <v>43080</v>
      </c>
      <c r="M733" s="116">
        <v>148.62205975842301</v>
      </c>
      <c r="N733" s="116">
        <v>149.54307056579799</v>
      </c>
      <c r="O733" s="116">
        <v>145.131913541004</v>
      </c>
      <c r="P733" s="116">
        <v>147.74952320406899</v>
      </c>
      <c r="Q733" s="116">
        <v>153.30000000000001</v>
      </c>
      <c r="R733">
        <v>4547863</v>
      </c>
    </row>
    <row r="734" spans="1:18" x14ac:dyDescent="0.25">
      <c r="A734" s="170">
        <v>43081</v>
      </c>
      <c r="B734" s="116">
        <v>150.17300005108399</v>
      </c>
      <c r="C734" s="116">
        <v>147.894713736558</v>
      </c>
      <c r="D734" s="116">
        <v>144.598469707032</v>
      </c>
      <c r="E734" s="116">
        <v>148.67030056703501</v>
      </c>
      <c r="F734" s="116">
        <v>152.55000000000001</v>
      </c>
      <c r="G734">
        <v>823570</v>
      </c>
      <c r="H734" s="116"/>
      <c r="I734" s="116"/>
      <c r="L734" s="170">
        <v>43081</v>
      </c>
      <c r="M734" s="116">
        <v>147.89494596312801</v>
      </c>
      <c r="N734" s="116">
        <v>150.56102987921199</v>
      </c>
      <c r="O734" s="116">
        <v>144.50174825174801</v>
      </c>
      <c r="P734" s="116">
        <v>149.20375079466001</v>
      </c>
      <c r="Q734" s="116">
        <v>152.55000000000001</v>
      </c>
      <c r="R734">
        <v>7656986</v>
      </c>
    </row>
    <row r="735" spans="1:18" x14ac:dyDescent="0.25">
      <c r="A735" s="170">
        <v>43082</v>
      </c>
      <c r="B735" s="116">
        <v>148.62182639013099</v>
      </c>
      <c r="C735" s="116">
        <v>143.09577022298299</v>
      </c>
      <c r="D735" s="116">
        <v>141.64154491583901</v>
      </c>
      <c r="E735" s="116">
        <v>145.422530714413</v>
      </c>
      <c r="F735" s="116">
        <v>147.6</v>
      </c>
      <c r="G735">
        <v>774610</v>
      </c>
      <c r="H735" s="116"/>
      <c r="I735" s="116"/>
      <c r="L735" s="170">
        <v>43082</v>
      </c>
      <c r="M735" s="116">
        <v>142.99904640813699</v>
      </c>
      <c r="N735" s="116">
        <v>148.71900826446301</v>
      </c>
      <c r="O735" s="116">
        <v>141.73871582962499</v>
      </c>
      <c r="P735" s="116">
        <v>145.422759059123</v>
      </c>
      <c r="Q735" s="116">
        <v>147.5</v>
      </c>
      <c r="R735">
        <v>7720271</v>
      </c>
    </row>
    <row r="736" spans="1:18" x14ac:dyDescent="0.25">
      <c r="A736" s="170">
        <v>43083</v>
      </c>
      <c r="B736" s="116">
        <v>145.32558236060399</v>
      </c>
      <c r="C736" s="116">
        <v>143.77440869965</v>
      </c>
      <c r="D736" s="116">
        <v>138.83004265535999</v>
      </c>
      <c r="E736" s="116">
        <v>143.67746034583999</v>
      </c>
      <c r="F736" s="116">
        <v>148.30000000000001</v>
      </c>
      <c r="G736">
        <v>447971</v>
      </c>
      <c r="H736" s="116"/>
      <c r="I736" s="116"/>
      <c r="L736" s="170">
        <v>43083</v>
      </c>
      <c r="M736" s="116">
        <v>144.01700572155099</v>
      </c>
      <c r="N736" s="116">
        <v>145.713604577241</v>
      </c>
      <c r="O736" s="116">
        <v>138.49094087730401</v>
      </c>
      <c r="P736" s="116">
        <v>142.51430387793999</v>
      </c>
      <c r="Q736" s="116">
        <v>148.55000000000001</v>
      </c>
      <c r="R736">
        <v>4719833</v>
      </c>
    </row>
    <row r="737" spans="1:18" x14ac:dyDescent="0.25">
      <c r="A737" s="170">
        <v>43084</v>
      </c>
      <c r="B737" s="116">
        <v>150.75469017394201</v>
      </c>
      <c r="C737" s="116">
        <v>150.02757752036999</v>
      </c>
      <c r="D737" s="116">
        <v>146.246591721795</v>
      </c>
      <c r="E737" s="116">
        <v>149.59130992822699</v>
      </c>
      <c r="F737" s="116">
        <v>154.75</v>
      </c>
      <c r="G737">
        <v>763645</v>
      </c>
      <c r="H737" s="116"/>
      <c r="I737" s="116"/>
      <c r="L737" s="170">
        <v>43084</v>
      </c>
      <c r="M737" s="116">
        <v>150.46408137317201</v>
      </c>
      <c r="N737" s="116">
        <v>151.04577240940901</v>
      </c>
      <c r="O737" s="116">
        <v>146.10139860139901</v>
      </c>
      <c r="P737" s="116">
        <v>150.22171010807401</v>
      </c>
      <c r="Q737" s="116">
        <v>155.19999999999999</v>
      </c>
      <c r="R737">
        <v>9641091</v>
      </c>
    </row>
    <row r="738" spans="1:18" x14ac:dyDescent="0.25">
      <c r="A738" s="170">
        <v>43087</v>
      </c>
      <c r="B738" s="116">
        <v>161.12816403157001</v>
      </c>
      <c r="C738" s="116">
        <v>154.63262432632601</v>
      </c>
      <c r="D738" s="116">
        <v>127.971827028684</v>
      </c>
      <c r="E738" s="116">
        <v>146.682859313938</v>
      </c>
      <c r="F738" s="116">
        <v>159.5</v>
      </c>
      <c r="G738">
        <v>3770203</v>
      </c>
      <c r="H738" s="116"/>
      <c r="I738" s="116"/>
      <c r="L738" s="170">
        <v>43087</v>
      </c>
      <c r="M738" s="116">
        <v>155.069135410044</v>
      </c>
      <c r="N738" s="116">
        <v>161.370788302606</v>
      </c>
      <c r="O738" s="116">
        <v>135.43706293706299</v>
      </c>
      <c r="P738" s="116">
        <v>143.48378893833399</v>
      </c>
      <c r="Q738" s="116">
        <v>159.94999999999999</v>
      </c>
      <c r="R738">
        <v>36258411</v>
      </c>
    </row>
    <row r="739" spans="1:18" x14ac:dyDescent="0.25">
      <c r="A739" s="170">
        <v>43088</v>
      </c>
      <c r="B739" s="116">
        <v>156.57159140251801</v>
      </c>
      <c r="C739" s="116">
        <v>155.214314449184</v>
      </c>
      <c r="D739" s="116">
        <v>151.53027700441899</v>
      </c>
      <c r="E739" s="116">
        <v>155.98990127966101</v>
      </c>
      <c r="F739" s="116">
        <v>160.1</v>
      </c>
      <c r="G739">
        <v>818615</v>
      </c>
      <c r="H739" s="116"/>
      <c r="I739" s="116"/>
      <c r="L739" s="170">
        <v>43088</v>
      </c>
      <c r="M739" s="116">
        <v>155.50540368722201</v>
      </c>
      <c r="N739" s="116">
        <v>156.76573426573401</v>
      </c>
      <c r="O739" s="116">
        <v>151.09424666242799</v>
      </c>
      <c r="P739" s="116">
        <v>155.02066115702499</v>
      </c>
      <c r="Q739" s="116">
        <v>160.4</v>
      </c>
      <c r="R739">
        <v>8093608</v>
      </c>
    </row>
    <row r="740" spans="1:18" x14ac:dyDescent="0.25">
      <c r="A740" s="170">
        <v>43089</v>
      </c>
      <c r="B740" s="116">
        <v>158.17123924037699</v>
      </c>
      <c r="C740" s="116">
        <v>156.038375456566</v>
      </c>
      <c r="D740" s="116">
        <v>153.03297648846799</v>
      </c>
      <c r="E740" s="116">
        <v>155.84447874894599</v>
      </c>
      <c r="F740" s="116">
        <v>160.94999999999999</v>
      </c>
      <c r="G740">
        <v>793886</v>
      </c>
      <c r="H740" s="116"/>
      <c r="I740" s="116"/>
      <c r="L740" s="170">
        <v>43089</v>
      </c>
      <c r="M740" s="116">
        <v>156.03862047043901</v>
      </c>
      <c r="N740" s="116">
        <v>158.07453909726601</v>
      </c>
      <c r="O740" s="116">
        <v>152.88779402415801</v>
      </c>
      <c r="P740" s="116">
        <v>155.117609663064</v>
      </c>
      <c r="Q740" s="116">
        <v>160.94999999999999</v>
      </c>
      <c r="R740">
        <v>6211843</v>
      </c>
    </row>
    <row r="741" spans="1:18" x14ac:dyDescent="0.25">
      <c r="A741" s="170">
        <v>43090</v>
      </c>
      <c r="B741" s="116">
        <v>159.770887078236</v>
      </c>
      <c r="C741" s="116">
        <v>157.68649747132901</v>
      </c>
      <c r="D741" s="116">
        <v>155.505159510613</v>
      </c>
      <c r="E741" s="116">
        <v>156.08684963347</v>
      </c>
      <c r="F741" s="116">
        <v>162.65</v>
      </c>
      <c r="G741">
        <v>599501</v>
      </c>
      <c r="H741" s="116"/>
      <c r="I741" s="116"/>
      <c r="L741" s="170">
        <v>43090</v>
      </c>
      <c r="M741" s="116">
        <v>157.63827082008899</v>
      </c>
      <c r="N741" s="116">
        <v>159.91656071201501</v>
      </c>
      <c r="O741" s="116">
        <v>155.359980928163</v>
      </c>
      <c r="P741" s="116">
        <v>156.08709472345799</v>
      </c>
      <c r="Q741" s="116">
        <v>162.6</v>
      </c>
      <c r="R741">
        <v>5528048</v>
      </c>
    </row>
    <row r="742" spans="1:18" x14ac:dyDescent="0.25">
      <c r="A742" s="170">
        <v>43091</v>
      </c>
      <c r="B742" s="116">
        <v>160.83731897014101</v>
      </c>
      <c r="C742" s="116">
        <v>157.88039417894799</v>
      </c>
      <c r="D742" s="116">
        <v>156.37769469489899</v>
      </c>
      <c r="E742" s="116">
        <v>157.444126586805</v>
      </c>
      <c r="F742" s="116">
        <v>162.85</v>
      </c>
      <c r="G742">
        <v>464579</v>
      </c>
      <c r="H742" s="116"/>
      <c r="I742" s="116"/>
      <c r="L742" s="170">
        <v>43091</v>
      </c>
      <c r="M742" s="116">
        <v>157.929116338207</v>
      </c>
      <c r="N742" s="116">
        <v>160.88604577240901</v>
      </c>
      <c r="O742" s="116">
        <v>156.184043229498</v>
      </c>
      <c r="P742" s="116">
        <v>157.977590591227</v>
      </c>
      <c r="Q742" s="116">
        <v>162.9</v>
      </c>
      <c r="R742">
        <v>4597724</v>
      </c>
    </row>
    <row r="743" spans="1:18" x14ac:dyDescent="0.25">
      <c r="A743" s="170">
        <v>43095</v>
      </c>
      <c r="B743" s="116">
        <v>159.91630960895</v>
      </c>
      <c r="C743" s="116">
        <v>157.92886835585301</v>
      </c>
      <c r="D743" s="116">
        <v>156.08684963347</v>
      </c>
      <c r="E743" s="116">
        <v>157.05633317156699</v>
      </c>
      <c r="F743" s="116">
        <v>162.9</v>
      </c>
      <c r="G743">
        <v>315615</v>
      </c>
      <c r="H743" s="116"/>
      <c r="I743" s="116"/>
      <c r="L743" s="170">
        <v>43095</v>
      </c>
      <c r="M743" s="116">
        <v>158.219961856325</v>
      </c>
      <c r="N743" s="116">
        <v>160.15893197711401</v>
      </c>
      <c r="O743" s="116">
        <v>156.03862047043901</v>
      </c>
      <c r="P743" s="116">
        <v>158.026064844247</v>
      </c>
      <c r="Q743" s="116">
        <v>163.19999999999999</v>
      </c>
      <c r="R743">
        <v>2925999</v>
      </c>
    </row>
    <row r="744" spans="1:18" x14ac:dyDescent="0.25">
      <c r="A744" s="170">
        <v>43096</v>
      </c>
      <c r="B744" s="116">
        <v>163.69729540752499</v>
      </c>
      <c r="C744" s="116">
        <v>160.30410302418801</v>
      </c>
      <c r="D744" s="116">
        <v>157.541074940615</v>
      </c>
      <c r="E744" s="116">
        <v>157.83192000204301</v>
      </c>
      <c r="F744" s="116">
        <v>165.35</v>
      </c>
      <c r="G744">
        <v>951220</v>
      </c>
      <c r="H744" s="116"/>
      <c r="I744" s="116"/>
      <c r="L744" s="170">
        <v>43096</v>
      </c>
      <c r="M744" s="116">
        <v>160.88604577240901</v>
      </c>
      <c r="N744" s="116">
        <v>164.18229497774999</v>
      </c>
      <c r="O744" s="116">
        <v>157.44437380801</v>
      </c>
      <c r="P744" s="116">
        <v>158.026064844247</v>
      </c>
      <c r="Q744" s="116">
        <v>165.95</v>
      </c>
      <c r="R744">
        <v>9076528</v>
      </c>
    </row>
    <row r="745" spans="1:18" x14ac:dyDescent="0.25">
      <c r="A745" s="170">
        <v>43097</v>
      </c>
      <c r="B745" s="116">
        <v>162.09764756966601</v>
      </c>
      <c r="C745" s="116">
        <v>160.11020631656899</v>
      </c>
      <c r="D745" s="116">
        <v>158.60750683251999</v>
      </c>
      <c r="E745" s="116">
        <v>160.449525554903</v>
      </c>
      <c r="F745" s="116">
        <v>165.15</v>
      </c>
      <c r="G745">
        <v>410561</v>
      </c>
      <c r="H745" s="116"/>
      <c r="I745" s="116"/>
      <c r="L745" s="170">
        <v>43097</v>
      </c>
      <c r="M745" s="116">
        <v>160.20740623013401</v>
      </c>
      <c r="N745" s="116">
        <v>162.09790209790199</v>
      </c>
      <c r="O745" s="116">
        <v>158.510807374444</v>
      </c>
      <c r="P745" s="116">
        <v>160.93452002542901</v>
      </c>
      <c r="Q745" s="116">
        <v>165.25</v>
      </c>
      <c r="R745">
        <v>3753225</v>
      </c>
    </row>
    <row r="746" spans="1:18" x14ac:dyDescent="0.25">
      <c r="A746" s="170">
        <v>43098</v>
      </c>
      <c r="B746" s="116">
        <v>162.87323440014299</v>
      </c>
      <c r="C746" s="116">
        <v>161.27358656228401</v>
      </c>
      <c r="D746" s="116">
        <v>158.99530024775899</v>
      </c>
      <c r="E746" s="116">
        <v>159.092248601568</v>
      </c>
      <c r="F746" s="116">
        <v>166.35</v>
      </c>
      <c r="G746">
        <v>395054</v>
      </c>
      <c r="H746" s="116"/>
      <c r="I746" s="116"/>
      <c r="L746" s="170">
        <v>43098</v>
      </c>
      <c r="M746" s="116">
        <v>161.27383979656699</v>
      </c>
      <c r="N746" s="116">
        <v>163.11586141131599</v>
      </c>
      <c r="O746" s="116">
        <v>158.89860139860099</v>
      </c>
      <c r="P746" s="116">
        <v>159.96503496503499</v>
      </c>
      <c r="Q746" s="116">
        <v>166.35</v>
      </c>
      <c r="R746">
        <v>4272076</v>
      </c>
    </row>
    <row r="747" spans="1:18" x14ac:dyDescent="0.25">
      <c r="A747" s="170">
        <v>43101</v>
      </c>
      <c r="B747" s="116">
        <v>164.52135641490599</v>
      </c>
      <c r="C747" s="116">
        <v>161.03121567776</v>
      </c>
      <c r="D747" s="116">
        <v>160.15868049347401</v>
      </c>
      <c r="E747" s="116">
        <v>161.27358656228401</v>
      </c>
      <c r="F747" s="116">
        <v>166.1</v>
      </c>
      <c r="G747">
        <v>490131</v>
      </c>
      <c r="H747" s="116"/>
      <c r="I747" s="116"/>
      <c r="L747" s="170">
        <v>43101</v>
      </c>
      <c r="M747" s="116">
        <v>160.98299427844901</v>
      </c>
      <c r="N747" s="116">
        <v>164.66703750794699</v>
      </c>
      <c r="O747" s="116">
        <v>159.96503496503499</v>
      </c>
      <c r="P747" s="116">
        <v>160.74062301334999</v>
      </c>
      <c r="Q747" s="116">
        <v>166.05</v>
      </c>
      <c r="R747">
        <v>4220395</v>
      </c>
    </row>
    <row r="748" spans="1:18" x14ac:dyDescent="0.25">
      <c r="A748" s="170">
        <v>43102</v>
      </c>
      <c r="B748" s="116">
        <v>162.34001845418999</v>
      </c>
      <c r="C748" s="116">
        <v>158.849877717044</v>
      </c>
      <c r="D748" s="116">
        <v>157.39565240990001</v>
      </c>
      <c r="E748" s="116">
        <v>160.93426732395099</v>
      </c>
      <c r="F748" s="116">
        <v>163.85</v>
      </c>
      <c r="G748">
        <v>347358</v>
      </c>
      <c r="H748" s="116"/>
      <c r="I748" s="116"/>
      <c r="L748" s="170">
        <v>43102</v>
      </c>
      <c r="M748" s="116">
        <v>158.89860139860099</v>
      </c>
      <c r="N748" s="116">
        <v>162.29179910998101</v>
      </c>
      <c r="O748" s="116">
        <v>157.202002542912</v>
      </c>
      <c r="P748" s="116">
        <v>161.03146853146899</v>
      </c>
      <c r="Q748" s="116">
        <v>163.9</v>
      </c>
      <c r="R748">
        <v>2712044</v>
      </c>
    </row>
    <row r="749" spans="1:18" x14ac:dyDescent="0.25">
      <c r="A749" s="170">
        <v>43103</v>
      </c>
      <c r="B749" s="116">
        <v>174.50703685729599</v>
      </c>
      <c r="C749" s="116">
        <v>170.822999412531</v>
      </c>
      <c r="D749" s="116">
        <v>159.43156783990199</v>
      </c>
      <c r="E749" s="116">
        <v>159.480042016807</v>
      </c>
      <c r="F749" s="116">
        <v>176.2</v>
      </c>
      <c r="G749">
        <v>2023909</v>
      </c>
      <c r="H749" s="116"/>
      <c r="I749" s="116"/>
      <c r="L749" s="170">
        <v>43103</v>
      </c>
      <c r="M749" s="116">
        <v>170.82326764144901</v>
      </c>
      <c r="N749" s="116">
        <v>174.749682136046</v>
      </c>
      <c r="O749" s="116">
        <v>158.89860139860099</v>
      </c>
      <c r="P749" s="116">
        <v>158.89860139860099</v>
      </c>
      <c r="Q749" s="116">
        <v>176.2</v>
      </c>
      <c r="R749">
        <v>21268697</v>
      </c>
    </row>
    <row r="750" spans="1:18" x14ac:dyDescent="0.25">
      <c r="A750" s="170">
        <v>43104</v>
      </c>
      <c r="B750" s="116">
        <v>179.35445454777701</v>
      </c>
      <c r="C750" s="116">
        <v>177.51243582539399</v>
      </c>
      <c r="D750" s="116">
        <v>169.320299928482</v>
      </c>
      <c r="E750" s="116">
        <v>171.11384447396</v>
      </c>
      <c r="F750" s="116">
        <v>183.1</v>
      </c>
      <c r="G750">
        <v>1411784</v>
      </c>
      <c r="H750" s="116"/>
      <c r="I750" s="116"/>
      <c r="L750" s="170">
        <v>43104</v>
      </c>
      <c r="M750" s="116">
        <v>177.70661157024799</v>
      </c>
      <c r="N750" s="116">
        <v>179.54863318499699</v>
      </c>
      <c r="O750" s="116">
        <v>168.83582326764099</v>
      </c>
      <c r="P750" s="116">
        <v>170.62937062937101</v>
      </c>
      <c r="Q750" s="116">
        <v>183.3</v>
      </c>
      <c r="R750">
        <v>12411875</v>
      </c>
    </row>
    <row r="751" spans="1:18" x14ac:dyDescent="0.25">
      <c r="A751" s="170">
        <v>43105</v>
      </c>
      <c r="B751" s="116">
        <v>187.78896132921301</v>
      </c>
      <c r="C751" s="116">
        <v>186.77100361421199</v>
      </c>
      <c r="D751" s="116">
        <v>177.12464241015601</v>
      </c>
      <c r="E751" s="116">
        <v>177.221590763965</v>
      </c>
      <c r="F751" s="116">
        <v>192.65</v>
      </c>
      <c r="G751">
        <v>1225371</v>
      </c>
      <c r="H751" s="116"/>
      <c r="I751" s="116"/>
      <c r="L751" s="170">
        <v>43105</v>
      </c>
      <c r="M751" s="116">
        <v>187.25603941513</v>
      </c>
      <c r="N751" s="116">
        <v>188.37094723458401</v>
      </c>
      <c r="O751" s="116">
        <v>176.83407501589301</v>
      </c>
      <c r="P751" s="116">
        <v>179.160839160839</v>
      </c>
      <c r="Q751" s="116">
        <v>193.15</v>
      </c>
      <c r="R751">
        <v>11521764</v>
      </c>
    </row>
    <row r="752" spans="1:18" x14ac:dyDescent="0.25">
      <c r="A752" s="170">
        <v>43108</v>
      </c>
      <c r="B752" s="116">
        <v>194.81771698040899</v>
      </c>
      <c r="C752" s="116">
        <v>190.212670174453</v>
      </c>
      <c r="D752" s="116">
        <v>186.77100361421199</v>
      </c>
      <c r="E752" s="116">
        <v>188.661496513499</v>
      </c>
      <c r="F752" s="116">
        <v>196.2</v>
      </c>
      <c r="G752">
        <v>1063901</v>
      </c>
      <c r="H752" s="116"/>
      <c r="I752" s="116"/>
      <c r="L752" s="170">
        <v>43108</v>
      </c>
      <c r="M752" s="116">
        <v>190.45534011443101</v>
      </c>
      <c r="N752" s="116">
        <v>194.86649713922401</v>
      </c>
      <c r="O752" s="116">
        <v>186.431977113795</v>
      </c>
      <c r="P752" s="116">
        <v>186.722822631914</v>
      </c>
      <c r="Q752" s="116">
        <v>196.45</v>
      </c>
      <c r="R752">
        <v>8253904</v>
      </c>
    </row>
    <row r="753" spans="1:18" x14ac:dyDescent="0.25">
      <c r="A753" s="170">
        <v>43109</v>
      </c>
      <c r="B753" s="116">
        <v>192.87874990421699</v>
      </c>
      <c r="C753" s="116">
        <v>189.82487675921399</v>
      </c>
      <c r="D753" s="116">
        <v>188.37065145207001</v>
      </c>
      <c r="E753" s="116">
        <v>190.69741194350101</v>
      </c>
      <c r="F753" s="116">
        <v>195.8</v>
      </c>
      <c r="G753">
        <v>725241</v>
      </c>
      <c r="H753" s="116"/>
      <c r="I753" s="116"/>
      <c r="L753" s="170">
        <v>43109</v>
      </c>
      <c r="M753" s="116">
        <v>189.92212333121401</v>
      </c>
      <c r="N753" s="116">
        <v>192.87905276541599</v>
      </c>
      <c r="O753" s="116">
        <v>188.17705022250499</v>
      </c>
      <c r="P753" s="116">
        <v>191.958041958042</v>
      </c>
      <c r="Q753" s="116">
        <v>195.9</v>
      </c>
      <c r="R753">
        <v>4715461</v>
      </c>
    </row>
    <row r="754" spans="1:18" x14ac:dyDescent="0.25">
      <c r="A754" s="170">
        <v>43110</v>
      </c>
      <c r="B754" s="116">
        <v>197.241425825649</v>
      </c>
      <c r="C754" s="116">
        <v>192.34553395826401</v>
      </c>
      <c r="D754" s="116">
        <v>190.11572182064299</v>
      </c>
      <c r="E754" s="116">
        <v>190.69741194350101</v>
      </c>
      <c r="F754" s="116">
        <v>198.4</v>
      </c>
      <c r="G754">
        <v>1042631</v>
      </c>
      <c r="H754" s="116"/>
      <c r="I754" s="116"/>
      <c r="L754" s="170">
        <v>43110</v>
      </c>
      <c r="M754" s="116">
        <v>192.733630006357</v>
      </c>
      <c r="N754" s="116">
        <v>197.62952956134799</v>
      </c>
      <c r="O754" s="116">
        <v>190.01907183725399</v>
      </c>
      <c r="P754" s="116">
        <v>190.116020343293</v>
      </c>
      <c r="Q754" s="116">
        <v>198.8</v>
      </c>
      <c r="R754">
        <v>11667268</v>
      </c>
    </row>
    <row r="755" spans="1:18" x14ac:dyDescent="0.25">
      <c r="A755" s="170">
        <v>43111</v>
      </c>
      <c r="B755" s="116">
        <v>197.33837417945901</v>
      </c>
      <c r="C755" s="116">
        <v>195.593303810886</v>
      </c>
      <c r="D755" s="116">
        <v>189.77640258231</v>
      </c>
      <c r="E755" s="116">
        <v>191.95774054302601</v>
      </c>
      <c r="F755" s="116">
        <v>201.75</v>
      </c>
      <c r="G755">
        <v>745327</v>
      </c>
      <c r="H755" s="116"/>
      <c r="I755" s="116"/>
      <c r="L755" s="170">
        <v>43111</v>
      </c>
      <c r="M755" s="116">
        <v>195.5451366815</v>
      </c>
      <c r="N755" s="116">
        <v>197.48410680228901</v>
      </c>
      <c r="O755" s="116">
        <v>189.582803560076</v>
      </c>
      <c r="P755" s="116">
        <v>191.958041958042</v>
      </c>
      <c r="Q755" s="116">
        <v>201.7</v>
      </c>
      <c r="R755">
        <v>5579135</v>
      </c>
    </row>
    <row r="756" spans="1:18" x14ac:dyDescent="0.25">
      <c r="A756" s="170">
        <v>43112</v>
      </c>
      <c r="B756" s="116">
        <v>197.72616759469699</v>
      </c>
      <c r="C756" s="116">
        <v>193.89670761921801</v>
      </c>
      <c r="D756" s="116">
        <v>188.661496513499</v>
      </c>
      <c r="E756" s="116">
        <v>195.83567469541001</v>
      </c>
      <c r="F756" s="116">
        <v>200</v>
      </c>
      <c r="G756">
        <v>681030</v>
      </c>
      <c r="H756" s="116"/>
      <c r="I756" s="116"/>
      <c r="L756" s="170">
        <v>43112</v>
      </c>
      <c r="M756" s="116">
        <v>193.84853782581101</v>
      </c>
      <c r="N756" s="116">
        <v>197.53258105530799</v>
      </c>
      <c r="O756" s="116">
        <v>188.322472981564</v>
      </c>
      <c r="P756" s="116">
        <v>195.835982199619</v>
      </c>
      <c r="Q756" s="116">
        <v>199.95</v>
      </c>
      <c r="R756">
        <v>5218945</v>
      </c>
    </row>
    <row r="757" spans="1:18" x14ac:dyDescent="0.25">
      <c r="A757" s="170">
        <v>43115</v>
      </c>
      <c r="B757" s="116">
        <v>195.884148872315</v>
      </c>
      <c r="C757" s="116">
        <v>192.248585604455</v>
      </c>
      <c r="D757" s="116">
        <v>191.76384383540699</v>
      </c>
      <c r="E757" s="116">
        <v>194.13907850374201</v>
      </c>
      <c r="F757" s="116">
        <v>198.3</v>
      </c>
      <c r="G757">
        <v>554267</v>
      </c>
      <c r="H757" s="116"/>
      <c r="I757" s="116"/>
      <c r="L757" s="170">
        <v>43115</v>
      </c>
      <c r="M757" s="116">
        <v>192.15193897012099</v>
      </c>
      <c r="N757" s="116">
        <v>196.02987921169699</v>
      </c>
      <c r="O757" s="116">
        <v>191.27940241576599</v>
      </c>
      <c r="P757" s="116">
        <v>194.86649713922401</v>
      </c>
      <c r="Q757" s="116">
        <v>198.2</v>
      </c>
      <c r="R757">
        <v>2971871</v>
      </c>
    </row>
    <row r="758" spans="1:18" x14ac:dyDescent="0.25">
      <c r="A758" s="170">
        <v>43116</v>
      </c>
      <c r="B758" s="116">
        <v>193.121120788741</v>
      </c>
      <c r="C758" s="116">
        <v>188.46759980588001</v>
      </c>
      <c r="D758" s="116">
        <v>182.747646931113</v>
      </c>
      <c r="E758" s="116">
        <v>192.248585604455</v>
      </c>
      <c r="F758" s="116">
        <v>194.4</v>
      </c>
      <c r="G758">
        <v>873870</v>
      </c>
      <c r="H758" s="116"/>
      <c r="I758" s="116"/>
      <c r="L758" s="170">
        <v>43116</v>
      </c>
      <c r="M758" s="116">
        <v>188.66179275270201</v>
      </c>
      <c r="N758" s="116">
        <v>193.02447552447501</v>
      </c>
      <c r="O758" s="116">
        <v>182.45708836617899</v>
      </c>
      <c r="P758" s="116">
        <v>192.63668150031799</v>
      </c>
      <c r="Q758" s="116">
        <v>194.6</v>
      </c>
      <c r="R758">
        <v>7331265</v>
      </c>
    </row>
    <row r="759" spans="1:18" x14ac:dyDescent="0.25">
      <c r="A759" s="170">
        <v>43117</v>
      </c>
      <c r="B759" s="116">
        <v>198.93802201731799</v>
      </c>
      <c r="C759" s="116">
        <v>198.16243518684101</v>
      </c>
      <c r="D759" s="116">
        <v>182.26290516206501</v>
      </c>
      <c r="E759" s="116">
        <v>189.04928992873701</v>
      </c>
      <c r="F759" s="116">
        <v>204.4</v>
      </c>
      <c r="G759">
        <v>1735673</v>
      </c>
      <c r="H759" s="116"/>
      <c r="I759" s="116"/>
      <c r="L759" s="170">
        <v>43117</v>
      </c>
      <c r="M759" s="116">
        <v>198.30816910362401</v>
      </c>
      <c r="N759" s="116">
        <v>199.42307692307699</v>
      </c>
      <c r="O759" s="116">
        <v>182.16624284806099</v>
      </c>
      <c r="P759" s="116">
        <v>188.273998728544</v>
      </c>
      <c r="Q759" s="116">
        <v>204.55</v>
      </c>
      <c r="R759">
        <v>9472531</v>
      </c>
    </row>
    <row r="760" spans="1:18" x14ac:dyDescent="0.25">
      <c r="A760" s="170">
        <v>43118</v>
      </c>
      <c r="B760" s="116">
        <v>201.652575923987</v>
      </c>
      <c r="C760" s="116">
        <v>188.75844486730901</v>
      </c>
      <c r="D760" s="116">
        <v>183.03849199254199</v>
      </c>
      <c r="E760" s="116">
        <v>201.652575923987</v>
      </c>
      <c r="F760" s="116">
        <v>194.7</v>
      </c>
      <c r="G760">
        <v>1904699</v>
      </c>
      <c r="H760" s="116"/>
      <c r="I760" s="116"/>
      <c r="L760" s="170">
        <v>43118</v>
      </c>
      <c r="M760" s="116">
        <v>189.291958041958</v>
      </c>
      <c r="N760" s="116">
        <v>201.16815003178601</v>
      </c>
      <c r="O760" s="116">
        <v>182.94183089637599</v>
      </c>
      <c r="P760" s="116">
        <v>199.713922441195</v>
      </c>
      <c r="Q760" s="116">
        <v>195.25</v>
      </c>
      <c r="R760">
        <v>13242809</v>
      </c>
    </row>
    <row r="761" spans="1:18" x14ac:dyDescent="0.25">
      <c r="A761" s="170">
        <v>43119</v>
      </c>
      <c r="B761" s="116">
        <v>194.090604326837</v>
      </c>
      <c r="C761" s="116">
        <v>193.31501749636001</v>
      </c>
      <c r="D761" s="116">
        <v>182.990017815637</v>
      </c>
      <c r="E761" s="116">
        <v>189.04928992873701</v>
      </c>
      <c r="F761" s="116">
        <v>199.4</v>
      </c>
      <c r="G761">
        <v>1510433</v>
      </c>
      <c r="H761" s="116"/>
      <c r="I761" s="116"/>
      <c r="L761" s="170">
        <v>43119</v>
      </c>
      <c r="M761" s="116">
        <v>193.60616656071201</v>
      </c>
      <c r="N761" s="116">
        <v>194.86649713922401</v>
      </c>
      <c r="O761" s="116">
        <v>182.796408137317</v>
      </c>
      <c r="P761" s="116">
        <v>189.291958041958</v>
      </c>
      <c r="Q761" s="116">
        <v>199.7</v>
      </c>
      <c r="R761">
        <v>14032888</v>
      </c>
    </row>
    <row r="762" spans="1:18" x14ac:dyDescent="0.25">
      <c r="A762" s="170">
        <v>43122</v>
      </c>
      <c r="B762" s="116">
        <v>196.029571403029</v>
      </c>
      <c r="C762" s="116">
        <v>192.00621471993099</v>
      </c>
      <c r="D762" s="116">
        <v>189.921825113024</v>
      </c>
      <c r="E762" s="116">
        <v>192.92722408112201</v>
      </c>
      <c r="F762" s="116">
        <v>198.05</v>
      </c>
      <c r="G762">
        <v>718099</v>
      </c>
      <c r="H762" s="116"/>
      <c r="I762" s="116"/>
      <c r="L762" s="170">
        <v>43122</v>
      </c>
      <c r="M762" s="116">
        <v>192.83057851239701</v>
      </c>
      <c r="N762" s="116">
        <v>196.17530197075601</v>
      </c>
      <c r="O762" s="116">
        <v>190.01907183725399</v>
      </c>
      <c r="P762" s="116">
        <v>191.958041958042</v>
      </c>
      <c r="Q762" s="116">
        <v>198.9</v>
      </c>
      <c r="R762">
        <v>5740115</v>
      </c>
    </row>
    <row r="763" spans="1:18" x14ac:dyDescent="0.25">
      <c r="A763" s="170">
        <v>43123</v>
      </c>
      <c r="B763" s="116">
        <v>198.25938354064999</v>
      </c>
      <c r="C763" s="116">
        <v>197.67769341779299</v>
      </c>
      <c r="D763" s="116">
        <v>190.50351523588199</v>
      </c>
      <c r="E763" s="116">
        <v>192.44248231207399</v>
      </c>
      <c r="F763" s="116">
        <v>203.9</v>
      </c>
      <c r="G763">
        <v>720517</v>
      </c>
      <c r="H763" s="116"/>
      <c r="I763" s="116"/>
      <c r="L763" s="170">
        <v>43123</v>
      </c>
      <c r="M763" s="116">
        <v>198.16274634456499</v>
      </c>
      <c r="N763" s="116">
        <v>198.9868086459</v>
      </c>
      <c r="O763" s="116">
        <v>190.116020343293</v>
      </c>
      <c r="P763" s="116">
        <v>193.31532104259401</v>
      </c>
      <c r="Q763" s="116">
        <v>204.4</v>
      </c>
      <c r="R763">
        <v>7561852</v>
      </c>
    </row>
    <row r="764" spans="1:18" x14ac:dyDescent="0.25">
      <c r="A764" s="170">
        <v>43124</v>
      </c>
      <c r="B764" s="116">
        <v>200.78004073970001</v>
      </c>
      <c r="C764" s="116">
        <v>198.64717695588899</v>
      </c>
      <c r="D764" s="116">
        <v>193.75128508850301</v>
      </c>
      <c r="E764" s="116">
        <v>198.64717695588899</v>
      </c>
      <c r="F764" s="116">
        <v>204.9</v>
      </c>
      <c r="G764">
        <v>1110075</v>
      </c>
      <c r="H764" s="116"/>
      <c r="I764" s="116"/>
      <c r="L764" s="170">
        <v>43124</v>
      </c>
      <c r="M764" s="116">
        <v>199.229179910998</v>
      </c>
      <c r="N764" s="116">
        <v>201.21662428480599</v>
      </c>
      <c r="O764" s="116">
        <v>193.89701207882999</v>
      </c>
      <c r="P764" s="116">
        <v>198.06579783852499</v>
      </c>
      <c r="Q764" s="116">
        <v>205.5</v>
      </c>
      <c r="R764">
        <v>7805766</v>
      </c>
    </row>
    <row r="765" spans="1:18" x14ac:dyDescent="0.25">
      <c r="A765" s="170">
        <v>43125</v>
      </c>
      <c r="B765" s="116">
        <v>208.34201233684999</v>
      </c>
      <c r="C765" s="116">
        <v>207.37252879875399</v>
      </c>
      <c r="D765" s="116">
        <v>195.157036218743</v>
      </c>
      <c r="E765" s="116">
        <v>195.157036218743</v>
      </c>
      <c r="F765" s="116">
        <v>213.9</v>
      </c>
      <c r="G765">
        <v>1237347</v>
      </c>
      <c r="H765" s="116"/>
      <c r="I765" s="116"/>
      <c r="L765" s="170">
        <v>43125</v>
      </c>
      <c r="M765" s="116">
        <v>207.857596948506</v>
      </c>
      <c r="N765" s="116">
        <v>209.166401780038</v>
      </c>
      <c r="O765" s="116">
        <v>195.64208518754</v>
      </c>
      <c r="P765" s="116">
        <v>198.744437380801</v>
      </c>
      <c r="Q765" s="116">
        <v>214.4</v>
      </c>
      <c r="R765">
        <v>13233590</v>
      </c>
    </row>
    <row r="766" spans="1:18" x14ac:dyDescent="0.25">
      <c r="A766" s="170">
        <v>43129</v>
      </c>
      <c r="B766" s="116">
        <v>213.77112015018801</v>
      </c>
      <c r="C766" s="116">
        <v>206.59694196827701</v>
      </c>
      <c r="D766" s="116">
        <v>204.07628476922699</v>
      </c>
      <c r="E766" s="116">
        <v>208.53590904446901</v>
      </c>
      <c r="F766" s="116">
        <v>213.1</v>
      </c>
      <c r="G766">
        <v>1059337</v>
      </c>
      <c r="H766" s="116"/>
      <c r="I766" s="116"/>
      <c r="L766" s="170">
        <v>43129</v>
      </c>
      <c r="M766" s="116">
        <v>206.839637635092</v>
      </c>
      <c r="N766" s="116">
        <v>213.77145581690999</v>
      </c>
      <c r="O766" s="116">
        <v>204.173553719008</v>
      </c>
      <c r="P766" s="116">
        <v>209.02097902097901</v>
      </c>
      <c r="Q766" s="116">
        <v>213.35</v>
      </c>
      <c r="R766">
        <v>7973287</v>
      </c>
    </row>
    <row r="767" spans="1:18" x14ac:dyDescent="0.25">
      <c r="A767" s="170">
        <v>43130</v>
      </c>
      <c r="B767" s="116">
        <v>207.17863209113401</v>
      </c>
      <c r="C767" s="116">
        <v>205.14271666113299</v>
      </c>
      <c r="D767" s="116">
        <v>201.264782508748</v>
      </c>
      <c r="E767" s="116">
        <v>206.403045260657</v>
      </c>
      <c r="F767" s="116">
        <v>211.6</v>
      </c>
      <c r="G767">
        <v>496264</v>
      </c>
      <c r="H767" s="116"/>
      <c r="I767" s="116"/>
      <c r="L767" s="170">
        <v>43130</v>
      </c>
      <c r="M767" s="116">
        <v>204.85219326128399</v>
      </c>
      <c r="N767" s="116">
        <v>207.033534647171</v>
      </c>
      <c r="O767" s="116">
        <v>201.16815003178601</v>
      </c>
      <c r="P767" s="116">
        <v>204.56134774316601</v>
      </c>
      <c r="Q767" s="116">
        <v>211.3</v>
      </c>
      <c r="R767">
        <v>4290228</v>
      </c>
    </row>
    <row r="768" spans="1:18" x14ac:dyDescent="0.25">
      <c r="A768" s="170">
        <v>43131</v>
      </c>
      <c r="B768" s="116">
        <v>212.07452395851999</v>
      </c>
      <c r="C768" s="116">
        <v>206.790838675896</v>
      </c>
      <c r="D768" s="116">
        <v>203.591543000179</v>
      </c>
      <c r="E768" s="116">
        <v>203.591543000179</v>
      </c>
      <c r="F768" s="116">
        <v>213.3</v>
      </c>
      <c r="G768">
        <v>1018580</v>
      </c>
      <c r="H768" s="116"/>
      <c r="I768" s="116"/>
      <c r="L768" s="170">
        <v>43131</v>
      </c>
      <c r="M768" s="116">
        <v>206.69421487603299</v>
      </c>
      <c r="N768" s="116">
        <v>212.074856961221</v>
      </c>
      <c r="O768" s="116">
        <v>202.76780038143701</v>
      </c>
      <c r="P768" s="116">
        <v>203.54338842975201</v>
      </c>
      <c r="Q768" s="116">
        <v>213.2</v>
      </c>
      <c r="R768">
        <v>7732419</v>
      </c>
    </row>
    <row r="769" spans="1:18" x14ac:dyDescent="0.25">
      <c r="A769" s="170">
        <v>43132</v>
      </c>
      <c r="B769" s="116">
        <v>210.28097941304199</v>
      </c>
      <c r="C769" s="116">
        <v>207.37252879875399</v>
      </c>
      <c r="D769" s="116">
        <v>197.386848356364</v>
      </c>
      <c r="E769" s="116">
        <v>206.499993614467</v>
      </c>
      <c r="F769" s="116">
        <v>213.9</v>
      </c>
      <c r="G769">
        <v>759478</v>
      </c>
      <c r="H769" s="116"/>
      <c r="I769" s="116"/>
      <c r="L769" s="170">
        <v>43132</v>
      </c>
      <c r="M769" s="116">
        <v>207.46980292434799</v>
      </c>
      <c r="N769" s="116">
        <v>210.42673235855099</v>
      </c>
      <c r="O769" s="116">
        <v>197.48410680228901</v>
      </c>
      <c r="P769" s="116">
        <v>206.500317863954</v>
      </c>
      <c r="Q769" s="116">
        <v>214</v>
      </c>
      <c r="R769">
        <v>4905671</v>
      </c>
    </row>
    <row r="770" spans="1:18" x14ac:dyDescent="0.25">
      <c r="A770" s="170">
        <v>43133</v>
      </c>
      <c r="B770" s="116">
        <v>206.499993614467</v>
      </c>
      <c r="C770" s="116">
        <v>191.13367953564401</v>
      </c>
      <c r="D770" s="116">
        <v>189.04928992873701</v>
      </c>
      <c r="E770" s="116">
        <v>202.622059462083</v>
      </c>
      <c r="F770" s="116">
        <v>197.15</v>
      </c>
      <c r="G770">
        <v>785580</v>
      </c>
      <c r="H770" s="116"/>
      <c r="I770" s="116"/>
      <c r="L770" s="170">
        <v>43133</v>
      </c>
      <c r="M770" s="116">
        <v>191.182453909727</v>
      </c>
      <c r="N770" s="116">
        <v>206.500317863954</v>
      </c>
      <c r="O770" s="116">
        <v>189.14653528289901</v>
      </c>
      <c r="P770" s="116">
        <v>206.500317863954</v>
      </c>
      <c r="Q770" s="116">
        <v>197.2</v>
      </c>
      <c r="R770">
        <v>6946208</v>
      </c>
    </row>
    <row r="771" spans="1:18" x14ac:dyDescent="0.25">
      <c r="A771" s="170">
        <v>43136</v>
      </c>
      <c r="B771" s="116">
        <v>194.91466533421899</v>
      </c>
      <c r="C771" s="116">
        <v>193.46044002707501</v>
      </c>
      <c r="D771" s="116">
        <v>178.53039354039501</v>
      </c>
      <c r="E771" s="116">
        <v>182.26290516206501</v>
      </c>
      <c r="F771" s="116">
        <v>199.55</v>
      </c>
      <c r="G771">
        <v>610784</v>
      </c>
      <c r="H771" s="116"/>
      <c r="I771" s="116"/>
      <c r="L771" s="170">
        <v>43136</v>
      </c>
      <c r="M771" s="116">
        <v>193.36379529561299</v>
      </c>
      <c r="N771" s="116">
        <v>194.86649713922401</v>
      </c>
      <c r="O771" s="116">
        <v>178.094405594406</v>
      </c>
      <c r="P771" s="116">
        <v>179.45168467895701</v>
      </c>
      <c r="Q771" s="116">
        <v>199.45</v>
      </c>
      <c r="R771">
        <v>6443758</v>
      </c>
    </row>
    <row r="772" spans="1:18" x14ac:dyDescent="0.25">
      <c r="A772" s="170">
        <v>43137</v>
      </c>
      <c r="B772" s="116">
        <v>191.90926636612099</v>
      </c>
      <c r="C772" s="116">
        <v>189.097764105642</v>
      </c>
      <c r="D772" s="116">
        <v>177.51243582539399</v>
      </c>
      <c r="E772" s="116">
        <v>179.35445454777701</v>
      </c>
      <c r="F772" s="116">
        <v>195.05</v>
      </c>
      <c r="G772">
        <v>859917</v>
      </c>
      <c r="H772" s="116"/>
      <c r="I772" s="116"/>
      <c r="L772" s="170">
        <v>43137</v>
      </c>
      <c r="M772" s="116">
        <v>189.340432294978</v>
      </c>
      <c r="N772" s="116">
        <v>192.15193897012099</v>
      </c>
      <c r="O772" s="116">
        <v>177.12492053401101</v>
      </c>
      <c r="P772" s="116">
        <v>179.354736172918</v>
      </c>
      <c r="Q772" s="116">
        <v>195.3</v>
      </c>
      <c r="R772">
        <v>5920376</v>
      </c>
    </row>
    <row r="773" spans="1:18" x14ac:dyDescent="0.25">
      <c r="A773" s="170">
        <v>43138</v>
      </c>
      <c r="B773" s="116">
        <v>196.46583899517299</v>
      </c>
      <c r="C773" s="116">
        <v>190.40656688207201</v>
      </c>
      <c r="D773" s="116">
        <v>189.04928992873701</v>
      </c>
      <c r="E773" s="116">
        <v>191.08520535873899</v>
      </c>
      <c r="F773" s="116">
        <v>196.4</v>
      </c>
      <c r="G773">
        <v>497569</v>
      </c>
      <c r="H773" s="116"/>
      <c r="I773" s="116"/>
      <c r="L773" s="170">
        <v>43138</v>
      </c>
      <c r="M773" s="116">
        <v>190.74618563254899</v>
      </c>
      <c r="N773" s="116">
        <v>196.56309599491399</v>
      </c>
      <c r="O773" s="116">
        <v>189.14653528289901</v>
      </c>
      <c r="P773" s="116">
        <v>193.460743801653</v>
      </c>
      <c r="Q773" s="116">
        <v>196.75</v>
      </c>
      <c r="R773">
        <v>3982586</v>
      </c>
    </row>
    <row r="774" spans="1:18" x14ac:dyDescent="0.25">
      <c r="A774" s="170">
        <v>43139</v>
      </c>
      <c r="B774" s="116">
        <v>199.81055720160401</v>
      </c>
      <c r="C774" s="116">
        <v>198.25938354064999</v>
      </c>
      <c r="D774" s="116">
        <v>191.08520535873899</v>
      </c>
      <c r="E774" s="116">
        <v>191.182153712549</v>
      </c>
      <c r="F774" s="116">
        <v>204.5</v>
      </c>
      <c r="G774">
        <v>428556</v>
      </c>
      <c r="H774" s="116"/>
      <c r="I774" s="116"/>
      <c r="L774" s="170">
        <v>43139</v>
      </c>
      <c r="M774" s="116">
        <v>198.25969485060401</v>
      </c>
      <c r="N774" s="116">
        <v>199.85934520025401</v>
      </c>
      <c r="O774" s="116">
        <v>190.891608391608</v>
      </c>
      <c r="P774" s="116">
        <v>192.20041322314</v>
      </c>
      <c r="Q774" s="116">
        <v>204.5</v>
      </c>
      <c r="R774">
        <v>4439467</v>
      </c>
    </row>
    <row r="775" spans="1:18" x14ac:dyDescent="0.25">
      <c r="A775" s="170">
        <v>43140</v>
      </c>
      <c r="B775" s="116">
        <v>205.33661336875201</v>
      </c>
      <c r="C775" s="116">
        <v>203.591543000179</v>
      </c>
      <c r="D775" s="116">
        <v>192.05468889683499</v>
      </c>
      <c r="E775" s="116">
        <v>192.92722408112201</v>
      </c>
      <c r="F775" s="116">
        <v>210</v>
      </c>
      <c r="G775">
        <v>569571</v>
      </c>
      <c r="H775" s="116"/>
      <c r="I775" s="116"/>
      <c r="L775" s="170">
        <v>43140</v>
      </c>
      <c r="M775" s="116">
        <v>203.688811188811</v>
      </c>
      <c r="N775" s="116">
        <v>205.38541004450099</v>
      </c>
      <c r="O775" s="116">
        <v>191.61872218690399</v>
      </c>
      <c r="P775" s="116">
        <v>193.89701207882999</v>
      </c>
      <c r="Q775" s="116">
        <v>210.1</v>
      </c>
      <c r="R775">
        <v>6060617</v>
      </c>
    </row>
    <row r="776" spans="1:18" x14ac:dyDescent="0.25">
      <c r="A776" s="170">
        <v>43143</v>
      </c>
      <c r="B776" s="116">
        <v>212.462317373758</v>
      </c>
      <c r="C776" s="116">
        <v>210.62029865137501</v>
      </c>
      <c r="D776" s="116">
        <v>204.80339742279901</v>
      </c>
      <c r="E776" s="116">
        <v>206.30609690684801</v>
      </c>
      <c r="F776" s="116">
        <v>217.25</v>
      </c>
      <c r="G776">
        <v>622090</v>
      </c>
      <c r="H776" s="116"/>
      <c r="I776" s="116"/>
      <c r="L776" s="170">
        <v>43143</v>
      </c>
      <c r="M776" s="116">
        <v>210.62062937062899</v>
      </c>
      <c r="N776" s="116">
        <v>212.60807374443701</v>
      </c>
      <c r="O776" s="116">
        <v>204.755244755245</v>
      </c>
      <c r="P776" s="116">
        <v>204.755244755245</v>
      </c>
      <c r="Q776" s="116">
        <v>217.25</v>
      </c>
      <c r="R776">
        <v>7269216</v>
      </c>
    </row>
    <row r="777" spans="1:18" x14ac:dyDescent="0.25">
      <c r="A777" s="170">
        <v>43145</v>
      </c>
      <c r="B777" s="116">
        <v>216.53414823376201</v>
      </c>
      <c r="C777" s="116">
        <v>212.75316243518699</v>
      </c>
      <c r="D777" s="116">
        <v>210.13555688232699</v>
      </c>
      <c r="E777" s="116">
        <v>213.23790420423501</v>
      </c>
      <c r="F777" s="116">
        <v>219.45</v>
      </c>
      <c r="G777">
        <v>545072</v>
      </c>
      <c r="H777" s="116"/>
      <c r="I777" s="116"/>
      <c r="L777" s="170">
        <v>43145</v>
      </c>
      <c r="M777" s="116">
        <v>212.753496503496</v>
      </c>
      <c r="N777" s="116">
        <v>216.67991099809299</v>
      </c>
      <c r="O777" s="116">
        <v>210.13588684043199</v>
      </c>
      <c r="P777" s="116">
        <v>211.83248569612201</v>
      </c>
      <c r="Q777" s="116">
        <v>219.45</v>
      </c>
      <c r="R777">
        <v>6915464</v>
      </c>
    </row>
    <row r="778" spans="1:18" x14ac:dyDescent="0.25">
      <c r="A778" s="170">
        <v>43146</v>
      </c>
      <c r="B778" s="116">
        <v>215.80703558018999</v>
      </c>
      <c r="C778" s="116">
        <v>207.857270567802</v>
      </c>
      <c r="D778" s="116">
        <v>204.65797489208501</v>
      </c>
      <c r="E778" s="116">
        <v>214.35281027304501</v>
      </c>
      <c r="F778" s="116">
        <v>214.4</v>
      </c>
      <c r="G778">
        <v>555605</v>
      </c>
      <c r="H778" s="116"/>
      <c r="I778" s="116"/>
      <c r="L778" s="170">
        <v>43146</v>
      </c>
      <c r="M778" s="116">
        <v>208.19691671964401</v>
      </c>
      <c r="N778" s="116">
        <v>215.85584869675799</v>
      </c>
      <c r="O778" s="116">
        <v>204.222027972028</v>
      </c>
      <c r="P778" s="116">
        <v>214.353146853147</v>
      </c>
      <c r="Q778" s="116">
        <v>214.75</v>
      </c>
      <c r="R778">
        <v>4974761</v>
      </c>
    </row>
    <row r="779" spans="1:18" x14ac:dyDescent="0.25">
      <c r="A779" s="170">
        <v>43147</v>
      </c>
      <c r="B779" s="116">
        <v>211.638256366376</v>
      </c>
      <c r="C779" s="116">
        <v>201.21630833184301</v>
      </c>
      <c r="D779" s="116">
        <v>198.74412530969801</v>
      </c>
      <c r="E779" s="116">
        <v>205.8213551378</v>
      </c>
      <c r="F779" s="116">
        <v>207.55</v>
      </c>
      <c r="G779">
        <v>567255</v>
      </c>
      <c r="H779" s="116"/>
      <c r="I779" s="116"/>
      <c r="L779" s="170">
        <v>43147</v>
      </c>
      <c r="M779" s="116">
        <v>201.45899554990501</v>
      </c>
      <c r="N779" s="116">
        <v>211.784011443102</v>
      </c>
      <c r="O779" s="116">
        <v>198.55054036872201</v>
      </c>
      <c r="P779" s="116">
        <v>209.214876033058</v>
      </c>
      <c r="Q779" s="116">
        <v>207.8</v>
      </c>
      <c r="R779">
        <v>5458989</v>
      </c>
    </row>
    <row r="780" spans="1:18" x14ac:dyDescent="0.25">
      <c r="A780" s="170">
        <v>43150</v>
      </c>
      <c r="B780" s="116">
        <v>201.07088580112901</v>
      </c>
      <c r="C780" s="116">
        <v>196.80515823350601</v>
      </c>
      <c r="D780" s="116">
        <v>194.57534609588501</v>
      </c>
      <c r="E780" s="116">
        <v>199.422763786366</v>
      </c>
      <c r="F780" s="116">
        <v>203</v>
      </c>
      <c r="G780">
        <v>590264</v>
      </c>
      <c r="H780" s="116"/>
      <c r="I780" s="116"/>
      <c r="L780" s="170">
        <v>43150</v>
      </c>
      <c r="M780" s="116">
        <v>196.70851875397301</v>
      </c>
      <c r="N780" s="116">
        <v>201.119675778767</v>
      </c>
      <c r="O780" s="116">
        <v>194.38175460902701</v>
      </c>
      <c r="P780" s="116">
        <v>198.744437380801</v>
      </c>
      <c r="Q780" s="116">
        <v>202.9</v>
      </c>
      <c r="R780">
        <v>4869612</v>
      </c>
    </row>
    <row r="781" spans="1:18" x14ac:dyDescent="0.25">
      <c r="A781" s="170">
        <v>43151</v>
      </c>
      <c r="B781" s="116">
        <v>197.28990000255399</v>
      </c>
      <c r="C781" s="116">
        <v>191.95774054302601</v>
      </c>
      <c r="D781" s="116">
        <v>189.14623828254699</v>
      </c>
      <c r="E781" s="116">
        <v>195.83567469541001</v>
      </c>
      <c r="F781" s="116">
        <v>198</v>
      </c>
      <c r="G781">
        <v>561388</v>
      </c>
      <c r="H781" s="116"/>
      <c r="I781" s="116"/>
      <c r="L781" s="170">
        <v>43151</v>
      </c>
      <c r="M781" s="116">
        <v>191.958041958042</v>
      </c>
      <c r="N781" s="116">
        <v>197.33868404322899</v>
      </c>
      <c r="O781" s="116">
        <v>189.049586776859</v>
      </c>
      <c r="P781" s="116">
        <v>195.835982199619</v>
      </c>
      <c r="Q781" s="116">
        <v>198</v>
      </c>
      <c r="R781">
        <v>6326486</v>
      </c>
    </row>
    <row r="782" spans="1:18" x14ac:dyDescent="0.25">
      <c r="A782" s="170">
        <v>43152</v>
      </c>
      <c r="B782" s="116">
        <v>194.332975211361</v>
      </c>
      <c r="C782" s="116">
        <v>191.036731181834</v>
      </c>
      <c r="D782" s="116">
        <v>189.630980051595</v>
      </c>
      <c r="E782" s="116">
        <v>192.539430665883</v>
      </c>
      <c r="F782" s="116">
        <v>197.05</v>
      </c>
      <c r="G782">
        <v>543378</v>
      </c>
      <c r="H782" s="116"/>
      <c r="I782" s="116"/>
      <c r="L782" s="170">
        <v>43152</v>
      </c>
      <c r="M782" s="116">
        <v>191.376350921805</v>
      </c>
      <c r="N782" s="116">
        <v>194.38175460902701</v>
      </c>
      <c r="O782" s="116">
        <v>189.340432294978</v>
      </c>
      <c r="P782" s="116">
        <v>193.218372536554</v>
      </c>
      <c r="Q782" s="116">
        <v>197.4</v>
      </c>
      <c r="R782">
        <v>4152954</v>
      </c>
    </row>
    <row r="783" spans="1:18" x14ac:dyDescent="0.25">
      <c r="A783" s="170">
        <v>43153</v>
      </c>
      <c r="B783" s="116">
        <v>197.920064302317</v>
      </c>
      <c r="C783" s="116">
        <v>197.14447747183999</v>
      </c>
      <c r="D783" s="116">
        <v>188.17675474445099</v>
      </c>
      <c r="E783" s="116">
        <v>189.14623828254699</v>
      </c>
      <c r="F783" s="116">
        <v>203.35</v>
      </c>
      <c r="G783">
        <v>574650</v>
      </c>
      <c r="H783" s="116"/>
      <c r="I783" s="116"/>
      <c r="L783" s="170">
        <v>43153</v>
      </c>
      <c r="M783" s="116">
        <v>197.09631277813099</v>
      </c>
      <c r="N783" s="116">
        <v>198.211220597584</v>
      </c>
      <c r="O783" s="116">
        <v>187.88620470438701</v>
      </c>
      <c r="P783" s="116">
        <v>190.01907183725399</v>
      </c>
      <c r="Q783" s="116">
        <v>203.3</v>
      </c>
      <c r="R783">
        <v>8957045</v>
      </c>
    </row>
    <row r="784" spans="1:18" x14ac:dyDescent="0.25">
      <c r="A784" s="170">
        <v>43154</v>
      </c>
      <c r="B784" s="116">
        <v>199.56818631708001</v>
      </c>
      <c r="C784" s="116">
        <v>198.11396100993599</v>
      </c>
      <c r="D784" s="116">
        <v>195.64177798779099</v>
      </c>
      <c r="E784" s="116">
        <v>199.180392901842</v>
      </c>
      <c r="F784" s="116">
        <v>204.35</v>
      </c>
      <c r="G784">
        <v>395502</v>
      </c>
      <c r="H784" s="116"/>
      <c r="I784" s="116"/>
      <c r="L784" s="170">
        <v>43154</v>
      </c>
      <c r="M784" s="116">
        <v>198.11427209154499</v>
      </c>
      <c r="N784" s="116">
        <v>199.47155117609699</v>
      </c>
      <c r="O784" s="116">
        <v>195.35123966942101</v>
      </c>
      <c r="P784" s="116">
        <v>198.25969485060401</v>
      </c>
      <c r="Q784" s="116">
        <v>204.35</v>
      </c>
      <c r="R784">
        <v>5007111</v>
      </c>
    </row>
    <row r="785" spans="1:18" x14ac:dyDescent="0.25">
      <c r="A785" s="170">
        <v>43157</v>
      </c>
      <c r="B785" s="116">
        <v>201.36173086255801</v>
      </c>
      <c r="C785" s="116">
        <v>199.13191872493701</v>
      </c>
      <c r="D785" s="116">
        <v>197.48379671017301</v>
      </c>
      <c r="E785" s="116">
        <v>198.74412530969801</v>
      </c>
      <c r="F785" s="116">
        <v>205.4</v>
      </c>
      <c r="G785">
        <v>375325</v>
      </c>
      <c r="H785" s="116"/>
      <c r="I785" s="116"/>
      <c r="L785" s="170">
        <v>43157</v>
      </c>
      <c r="M785" s="116">
        <v>199.32612841703701</v>
      </c>
      <c r="N785" s="116">
        <v>201.50746980292399</v>
      </c>
      <c r="O785" s="116">
        <v>197.29020979021001</v>
      </c>
      <c r="P785" s="116">
        <v>198.744437380801</v>
      </c>
      <c r="Q785" s="116">
        <v>205.6</v>
      </c>
      <c r="R785">
        <v>2916864</v>
      </c>
    </row>
    <row r="786" spans="1:18" x14ac:dyDescent="0.25">
      <c r="A786" s="170">
        <v>43158</v>
      </c>
      <c r="B786" s="116">
        <v>203.34917211565499</v>
      </c>
      <c r="C786" s="116">
        <v>200.731566562795</v>
      </c>
      <c r="D786" s="116">
        <v>195.20551039564799</v>
      </c>
      <c r="E786" s="116">
        <v>198.98649619422201</v>
      </c>
      <c r="F786" s="116">
        <v>207.05</v>
      </c>
      <c r="G786">
        <v>479774</v>
      </c>
      <c r="H786" s="116"/>
      <c r="I786" s="116"/>
      <c r="L786" s="170">
        <v>43158</v>
      </c>
      <c r="M786" s="116">
        <v>200.73188175460899</v>
      </c>
      <c r="N786" s="116">
        <v>203.446439923713</v>
      </c>
      <c r="O786" s="116">
        <v>195.060394151303</v>
      </c>
      <c r="P786" s="116">
        <v>199.713922441195</v>
      </c>
      <c r="Q786" s="116">
        <v>207.05</v>
      </c>
      <c r="R786">
        <v>5990667</v>
      </c>
    </row>
    <row r="787" spans="1:18" x14ac:dyDescent="0.25">
      <c r="A787" s="170">
        <v>43159</v>
      </c>
      <c r="B787" s="116">
        <v>201.55562757017699</v>
      </c>
      <c r="C787" s="116">
        <v>197.48379671017301</v>
      </c>
      <c r="D787" s="116">
        <v>196.46583899517299</v>
      </c>
      <c r="E787" s="116">
        <v>199.61666049398499</v>
      </c>
      <c r="F787" s="116">
        <v>203.7</v>
      </c>
      <c r="G787">
        <v>281401</v>
      </c>
      <c r="H787" s="116"/>
      <c r="I787" s="116"/>
      <c r="L787" s="170">
        <v>43159</v>
      </c>
      <c r="M787" s="116">
        <v>197.33868404322899</v>
      </c>
      <c r="N787" s="116">
        <v>201.604418308964</v>
      </c>
      <c r="O787" s="116">
        <v>196.32072472981599</v>
      </c>
      <c r="P787" s="116">
        <v>198.695963127781</v>
      </c>
      <c r="Q787" s="116">
        <v>203.55</v>
      </c>
      <c r="R787">
        <v>3876913</v>
      </c>
    </row>
    <row r="788" spans="1:18" x14ac:dyDescent="0.25">
      <c r="A788" s="170">
        <v>43160</v>
      </c>
      <c r="B788" s="116">
        <v>200.19835061684199</v>
      </c>
      <c r="C788" s="116">
        <v>193.02417243493099</v>
      </c>
      <c r="D788" s="116">
        <v>192.05468889683499</v>
      </c>
      <c r="E788" s="116">
        <v>197.48379671017301</v>
      </c>
      <c r="F788" s="116">
        <v>199.1</v>
      </c>
      <c r="G788">
        <v>515571</v>
      </c>
      <c r="H788" s="116"/>
      <c r="I788" s="116"/>
      <c r="L788" s="170">
        <v>43160</v>
      </c>
      <c r="M788" s="116">
        <v>193.07294977749501</v>
      </c>
      <c r="N788" s="116">
        <v>200.39256198347101</v>
      </c>
      <c r="O788" s="116">
        <v>192.15193897012099</v>
      </c>
      <c r="P788" s="116">
        <v>197.33868404322899</v>
      </c>
      <c r="Q788" s="116">
        <v>199.15</v>
      </c>
      <c r="R788">
        <v>3600007</v>
      </c>
    </row>
    <row r="789" spans="1:18" x14ac:dyDescent="0.25">
      <c r="A789" s="170">
        <v>43164</v>
      </c>
      <c r="B789" s="116">
        <v>196.32041646445799</v>
      </c>
      <c r="C789" s="116">
        <v>194.769242803504</v>
      </c>
      <c r="D789" s="116">
        <v>190.98825700493001</v>
      </c>
      <c r="E789" s="116">
        <v>192.92722408112201</v>
      </c>
      <c r="F789" s="116">
        <v>200.9</v>
      </c>
      <c r="G789">
        <v>341880</v>
      </c>
      <c r="H789" s="116"/>
      <c r="I789" s="116"/>
      <c r="L789" s="170">
        <v>43164</v>
      </c>
      <c r="M789" s="116">
        <v>194.769548633185</v>
      </c>
      <c r="N789" s="116">
        <v>196.51462174189399</v>
      </c>
      <c r="O789" s="116">
        <v>190.74618563254899</v>
      </c>
      <c r="P789" s="116">
        <v>192.927527018436</v>
      </c>
      <c r="Q789" s="116">
        <v>200.9</v>
      </c>
      <c r="R789">
        <v>3891702</v>
      </c>
    </row>
    <row r="790" spans="1:18" x14ac:dyDescent="0.25">
      <c r="A790" s="170">
        <v>43165</v>
      </c>
      <c r="B790" s="116">
        <v>198.74412530969801</v>
      </c>
      <c r="C790" s="116">
        <v>180.17851555515799</v>
      </c>
      <c r="D790" s="116">
        <v>173.29518243467601</v>
      </c>
      <c r="E790" s="116">
        <v>196.80515823350601</v>
      </c>
      <c r="F790" s="116">
        <v>185.85</v>
      </c>
      <c r="G790">
        <v>786863</v>
      </c>
      <c r="H790" s="116"/>
      <c r="I790" s="116"/>
      <c r="L790" s="170">
        <v>43165</v>
      </c>
      <c r="M790" s="116">
        <v>180.51811824539101</v>
      </c>
      <c r="N790" s="116">
        <v>197.144787031151</v>
      </c>
      <c r="O790" s="116">
        <v>174.60425937698699</v>
      </c>
      <c r="P790" s="116">
        <v>196.32072472981599</v>
      </c>
      <c r="Q790" s="116">
        <v>186.2</v>
      </c>
      <c r="R790">
        <v>8063223</v>
      </c>
    </row>
    <row r="791" spans="1:18" x14ac:dyDescent="0.25">
      <c r="A791" s="170">
        <v>43166</v>
      </c>
      <c r="B791" s="116">
        <v>179.45140290158599</v>
      </c>
      <c r="C791" s="116">
        <v>167.13896196776599</v>
      </c>
      <c r="D791" s="116">
        <v>164.618304768716</v>
      </c>
      <c r="E791" s="116">
        <v>177.80328088682299</v>
      </c>
      <c r="F791" s="116">
        <v>172.4</v>
      </c>
      <c r="G791">
        <v>1791724</v>
      </c>
      <c r="H791" s="116"/>
      <c r="I791" s="116"/>
      <c r="L791" s="170">
        <v>43166</v>
      </c>
      <c r="M791" s="116">
        <v>166.94532739987301</v>
      </c>
      <c r="N791" s="116">
        <v>179.79100445009499</v>
      </c>
      <c r="O791" s="116">
        <v>164.03687221869001</v>
      </c>
      <c r="P791" s="116">
        <v>177.31881754609</v>
      </c>
      <c r="Q791" s="116">
        <v>172.2</v>
      </c>
      <c r="R791">
        <v>21742279</v>
      </c>
    </row>
    <row r="792" spans="1:18" x14ac:dyDescent="0.25">
      <c r="A792" s="170">
        <v>43167</v>
      </c>
      <c r="B792" s="116">
        <v>171.88943130443701</v>
      </c>
      <c r="C792" s="116">
        <v>163.74576958443001</v>
      </c>
      <c r="D792" s="116">
        <v>155.45668533370801</v>
      </c>
      <c r="E792" s="116">
        <v>168.44776474419601</v>
      </c>
      <c r="F792" s="116">
        <v>168.9</v>
      </c>
      <c r="G792">
        <v>1800515</v>
      </c>
      <c r="H792" s="116"/>
      <c r="I792" s="116"/>
      <c r="L792" s="170">
        <v>43167</v>
      </c>
      <c r="M792" s="116">
        <v>163.79450095359201</v>
      </c>
      <c r="N792" s="116">
        <v>171.98664971392199</v>
      </c>
      <c r="O792" s="116">
        <v>155.117609663064</v>
      </c>
      <c r="P792" s="116">
        <v>168.690400508582</v>
      </c>
      <c r="Q792" s="116">
        <v>168.95</v>
      </c>
      <c r="R792">
        <v>19371103</v>
      </c>
    </row>
    <row r="793" spans="1:18" x14ac:dyDescent="0.25">
      <c r="A793" s="170">
        <v>43168</v>
      </c>
      <c r="B793" s="116">
        <v>165.34541742228799</v>
      </c>
      <c r="C793" s="116">
        <v>151.23943194299</v>
      </c>
      <c r="D793" s="116">
        <v>149.78520663584601</v>
      </c>
      <c r="E793" s="116">
        <v>163.84271793823899</v>
      </c>
      <c r="F793" s="116">
        <v>156</v>
      </c>
      <c r="G793">
        <v>2518975</v>
      </c>
      <c r="H793" s="116"/>
      <c r="I793" s="116"/>
      <c r="L793" s="170">
        <v>43168</v>
      </c>
      <c r="M793" s="116">
        <v>151.33661792752699</v>
      </c>
      <c r="N793" s="116">
        <v>165.297202797203</v>
      </c>
      <c r="O793" s="116">
        <v>149.93086458995501</v>
      </c>
      <c r="P793" s="116">
        <v>163.79450095359201</v>
      </c>
      <c r="Q793" s="116">
        <v>156.1</v>
      </c>
      <c r="R793">
        <v>17088755</v>
      </c>
    </row>
    <row r="794" spans="1:18" x14ac:dyDescent="0.25">
      <c r="A794" s="170">
        <v>43171</v>
      </c>
      <c r="B794" s="116">
        <v>159.96478378585499</v>
      </c>
      <c r="C794" s="116">
        <v>157.63802329442399</v>
      </c>
      <c r="D794" s="116">
        <v>145.51947906822301</v>
      </c>
      <c r="E794" s="116">
        <v>151.3363802968</v>
      </c>
      <c r="F794" s="116">
        <v>162.6</v>
      </c>
      <c r="G794">
        <v>1809053</v>
      </c>
      <c r="H794" s="116"/>
      <c r="I794" s="116"/>
      <c r="L794" s="170">
        <v>43171</v>
      </c>
      <c r="M794" s="116">
        <v>157.29895104895101</v>
      </c>
      <c r="N794" s="116">
        <v>159.38334392879801</v>
      </c>
      <c r="O794" s="116">
        <v>145.422759059123</v>
      </c>
      <c r="P794" s="116">
        <v>153.61490781945301</v>
      </c>
      <c r="Q794" s="116">
        <v>162.25</v>
      </c>
      <c r="R794">
        <v>20088994</v>
      </c>
    </row>
    <row r="795" spans="1:18" x14ac:dyDescent="0.25">
      <c r="A795" s="170">
        <v>43172</v>
      </c>
      <c r="B795" s="116">
        <v>159.43156783990199</v>
      </c>
      <c r="C795" s="116">
        <v>154.87499521084999</v>
      </c>
      <c r="D795" s="116">
        <v>152.305863834896</v>
      </c>
      <c r="E795" s="116">
        <v>158.02581670966299</v>
      </c>
      <c r="F795" s="116">
        <v>159.75</v>
      </c>
      <c r="G795">
        <v>1490865</v>
      </c>
      <c r="H795" s="116"/>
      <c r="I795" s="116"/>
      <c r="L795" s="170">
        <v>43172</v>
      </c>
      <c r="M795" s="116">
        <v>154.875238397966</v>
      </c>
      <c r="N795" s="116">
        <v>159.48029243483799</v>
      </c>
      <c r="O795" s="116">
        <v>152.209154481882</v>
      </c>
      <c r="P795" s="116">
        <v>157.10505403687199</v>
      </c>
      <c r="Q795" s="116">
        <v>159.75</v>
      </c>
      <c r="R795">
        <v>15160439</v>
      </c>
    </row>
    <row r="796" spans="1:18" x14ac:dyDescent="0.25">
      <c r="A796" s="170">
        <v>43173</v>
      </c>
      <c r="B796" s="116">
        <v>159.96478378585499</v>
      </c>
      <c r="C796" s="116">
        <v>158.75292936323501</v>
      </c>
      <c r="D796" s="116">
        <v>151.23943194299</v>
      </c>
      <c r="E796" s="116">
        <v>151.23943194299</v>
      </c>
      <c r="F796" s="116">
        <v>163.75</v>
      </c>
      <c r="G796">
        <v>866799</v>
      </c>
      <c r="H796" s="116"/>
      <c r="I796" s="116"/>
      <c r="L796" s="170">
        <v>43173</v>
      </c>
      <c r="M796" s="116">
        <v>158.753178639542</v>
      </c>
      <c r="N796" s="116">
        <v>160.15893197711401</v>
      </c>
      <c r="O796" s="116">
        <v>151.77288620470401</v>
      </c>
      <c r="P796" s="116">
        <v>152.015257469803</v>
      </c>
      <c r="Q796" s="116">
        <v>163.75</v>
      </c>
      <c r="R796">
        <v>13334956</v>
      </c>
    </row>
    <row r="797" spans="1:18" x14ac:dyDescent="0.25">
      <c r="A797" s="170">
        <v>43174</v>
      </c>
      <c r="B797" s="116">
        <v>165.00609818395401</v>
      </c>
      <c r="C797" s="116">
        <v>161.855276685142</v>
      </c>
      <c r="D797" s="116">
        <v>157.25022987918601</v>
      </c>
      <c r="E797" s="116">
        <v>157.25022987918601</v>
      </c>
      <c r="F797" s="116">
        <v>166.95</v>
      </c>
      <c r="G797">
        <v>899842</v>
      </c>
      <c r="H797" s="116"/>
      <c r="I797" s="116"/>
      <c r="L797" s="170">
        <v>43174</v>
      </c>
      <c r="M797" s="116">
        <v>161.95247933884301</v>
      </c>
      <c r="N797" s="116">
        <v>165.248728544183</v>
      </c>
      <c r="O797" s="116">
        <v>158.219961856325</v>
      </c>
      <c r="P797" s="116">
        <v>158.510807374444</v>
      </c>
      <c r="Q797" s="116">
        <v>167.05</v>
      </c>
      <c r="R797">
        <v>13195532</v>
      </c>
    </row>
    <row r="798" spans="1:18" x14ac:dyDescent="0.25">
      <c r="A798" s="170">
        <v>43175</v>
      </c>
      <c r="B798" s="116">
        <v>163.55187287680999</v>
      </c>
      <c r="C798" s="116">
        <v>155.45668533370801</v>
      </c>
      <c r="D798" s="116">
        <v>154.147882557278</v>
      </c>
      <c r="E798" s="116">
        <v>163.55187287680999</v>
      </c>
      <c r="F798" s="116">
        <v>160.35</v>
      </c>
      <c r="G798">
        <v>746388</v>
      </c>
      <c r="H798" s="116"/>
      <c r="I798" s="116"/>
      <c r="L798" s="170">
        <v>43175</v>
      </c>
      <c r="M798" s="116">
        <v>155.602352193261</v>
      </c>
      <c r="N798" s="116">
        <v>163.30975842339501</v>
      </c>
      <c r="O798" s="116">
        <v>154.293547361729</v>
      </c>
      <c r="P798" s="116">
        <v>162.38874761602</v>
      </c>
      <c r="Q798" s="116">
        <v>160.5</v>
      </c>
      <c r="R798">
        <v>12405008</v>
      </c>
    </row>
    <row r="799" spans="1:18" x14ac:dyDescent="0.25">
      <c r="A799" s="170">
        <v>43178</v>
      </c>
      <c r="B799" s="116">
        <v>157.10480734847101</v>
      </c>
      <c r="C799" s="116">
        <v>155.74753039513701</v>
      </c>
      <c r="D799" s="116">
        <v>150.07605169727501</v>
      </c>
      <c r="E799" s="116">
        <v>153.76008914203999</v>
      </c>
      <c r="F799" s="116">
        <v>160.65</v>
      </c>
      <c r="G799">
        <v>1158563</v>
      </c>
      <c r="H799" s="116"/>
      <c r="I799" s="116"/>
      <c r="L799" s="170">
        <v>43178</v>
      </c>
      <c r="M799" s="116">
        <v>155.69930069930101</v>
      </c>
      <c r="N799" s="116">
        <v>157.05657978385199</v>
      </c>
      <c r="O799" s="116">
        <v>149.93086458995501</v>
      </c>
      <c r="P799" s="116">
        <v>155.117609663064</v>
      </c>
      <c r="Q799" s="116">
        <v>160.6</v>
      </c>
      <c r="R799">
        <v>11657832</v>
      </c>
    </row>
    <row r="800" spans="1:18" x14ac:dyDescent="0.25">
      <c r="A800" s="170">
        <v>43179</v>
      </c>
      <c r="B800" s="116">
        <v>158.21971341728201</v>
      </c>
      <c r="C800" s="116">
        <v>155.94142710275599</v>
      </c>
      <c r="D800" s="116">
        <v>153.275347372992</v>
      </c>
      <c r="E800" s="116">
        <v>153.275347372992</v>
      </c>
      <c r="F800" s="116">
        <v>160.85</v>
      </c>
      <c r="G800">
        <v>662595</v>
      </c>
      <c r="H800" s="116"/>
      <c r="I800" s="116"/>
      <c r="L800" s="170">
        <v>43179</v>
      </c>
      <c r="M800" s="116">
        <v>156.03862047043901</v>
      </c>
      <c r="N800" s="116">
        <v>158.41385886840399</v>
      </c>
      <c r="O800" s="116">
        <v>153.46948506039399</v>
      </c>
      <c r="P800" s="116">
        <v>154.09965034965001</v>
      </c>
      <c r="Q800" s="116">
        <v>160.94999999999999</v>
      </c>
      <c r="R800">
        <v>9395255</v>
      </c>
    </row>
    <row r="801" spans="1:18" x14ac:dyDescent="0.25">
      <c r="A801" s="170">
        <v>43180</v>
      </c>
      <c r="B801" s="116">
        <v>160.83731897014101</v>
      </c>
      <c r="C801" s="116">
        <v>157.05633317156699</v>
      </c>
      <c r="D801" s="116">
        <v>156.23227216418499</v>
      </c>
      <c r="E801" s="116">
        <v>156.66853975632799</v>
      </c>
      <c r="F801" s="116">
        <v>162</v>
      </c>
      <c r="G801">
        <v>508656</v>
      </c>
      <c r="H801" s="116"/>
      <c r="I801" s="116"/>
      <c r="L801" s="170">
        <v>43180</v>
      </c>
      <c r="M801" s="116">
        <v>157.25047679593101</v>
      </c>
      <c r="N801" s="116">
        <v>161.079942784488</v>
      </c>
      <c r="O801" s="116">
        <v>156.23251748251701</v>
      </c>
      <c r="P801" s="116">
        <v>156.81420851875399</v>
      </c>
      <c r="Q801" s="116">
        <v>162.19999999999999</v>
      </c>
      <c r="R801">
        <v>7748642</v>
      </c>
    </row>
    <row r="802" spans="1:18" x14ac:dyDescent="0.25">
      <c r="A802" s="170">
        <v>43181</v>
      </c>
      <c r="B802" s="116">
        <v>158.89835189394901</v>
      </c>
      <c r="C802" s="116">
        <v>154.48720179561201</v>
      </c>
      <c r="D802" s="116">
        <v>153.76008914203999</v>
      </c>
      <c r="E802" s="116">
        <v>157.78344582513901</v>
      </c>
      <c r="F802" s="116">
        <v>159.35</v>
      </c>
      <c r="G802">
        <v>416311</v>
      </c>
      <c r="H802" s="116"/>
      <c r="I802" s="116"/>
      <c r="L802" s="170">
        <v>43181</v>
      </c>
      <c r="M802" s="116">
        <v>154.584392879847</v>
      </c>
      <c r="N802" s="116">
        <v>158.85012714558201</v>
      </c>
      <c r="O802" s="116">
        <v>153.71185632549299</v>
      </c>
      <c r="P802" s="116">
        <v>157.44437380801</v>
      </c>
      <c r="Q802" s="116">
        <v>159.44999999999999</v>
      </c>
      <c r="R802">
        <v>6171698</v>
      </c>
    </row>
    <row r="803" spans="1:18" x14ac:dyDescent="0.25">
      <c r="A803" s="170">
        <v>43182</v>
      </c>
      <c r="B803" s="116">
        <v>151.3363802968</v>
      </c>
      <c r="C803" s="116">
        <v>147.652342852034</v>
      </c>
      <c r="D803" s="116">
        <v>144.453047176317</v>
      </c>
      <c r="E803" s="116">
        <v>148.81572309775001</v>
      </c>
      <c r="F803" s="116">
        <v>152.30000000000001</v>
      </c>
      <c r="G803">
        <v>791971</v>
      </c>
      <c r="H803" s="116"/>
      <c r="I803" s="116"/>
      <c r="L803" s="170">
        <v>43182</v>
      </c>
      <c r="M803" s="116">
        <v>147.797997457088</v>
      </c>
      <c r="N803" s="116">
        <v>151.433566433566</v>
      </c>
      <c r="O803" s="116">
        <v>144.16242848061</v>
      </c>
      <c r="P803" s="116">
        <v>150.27018436109299</v>
      </c>
      <c r="Q803" s="116">
        <v>152.44999999999999</v>
      </c>
      <c r="R803">
        <v>9936873</v>
      </c>
    </row>
    <row r="804" spans="1:18" x14ac:dyDescent="0.25">
      <c r="A804" s="170">
        <v>43185</v>
      </c>
      <c r="B804" s="116">
        <v>160.93426732395099</v>
      </c>
      <c r="C804" s="116">
        <v>158.849877717044</v>
      </c>
      <c r="D804" s="116">
        <v>146.39201425250999</v>
      </c>
      <c r="E804" s="116">
        <v>150.75469017394201</v>
      </c>
      <c r="F804" s="116">
        <v>163.85</v>
      </c>
      <c r="G804">
        <v>791798</v>
      </c>
      <c r="H804" s="116"/>
      <c r="I804" s="116"/>
      <c r="L804" s="170">
        <v>43185</v>
      </c>
      <c r="M804" s="116">
        <v>158.753178639542</v>
      </c>
      <c r="N804" s="116">
        <v>161.176891290528</v>
      </c>
      <c r="O804" s="116">
        <v>146.14987285441799</v>
      </c>
      <c r="P804" s="116">
        <v>147.84647171010801</v>
      </c>
      <c r="Q804" s="116">
        <v>163.75</v>
      </c>
      <c r="R804">
        <v>12479612</v>
      </c>
    </row>
    <row r="805" spans="1:18" x14ac:dyDescent="0.25">
      <c r="A805" s="170">
        <v>43186</v>
      </c>
      <c r="B805" s="116">
        <v>162.77628604633301</v>
      </c>
      <c r="C805" s="116">
        <v>155.31126280299401</v>
      </c>
      <c r="D805" s="116">
        <v>154.05093420346901</v>
      </c>
      <c r="E805" s="116">
        <v>162.77628604633301</v>
      </c>
      <c r="F805" s="116">
        <v>160.19999999999999</v>
      </c>
      <c r="G805">
        <v>695988</v>
      </c>
      <c r="H805" s="116"/>
      <c r="I805" s="116"/>
      <c r="L805" s="170">
        <v>43186</v>
      </c>
      <c r="M805" s="116">
        <v>155.02066115702499</v>
      </c>
      <c r="N805" s="116">
        <v>162.58264462809899</v>
      </c>
      <c r="O805" s="116">
        <v>153.760330578512</v>
      </c>
      <c r="P805" s="116">
        <v>160.83757151939</v>
      </c>
      <c r="Q805" s="116">
        <v>159.9</v>
      </c>
      <c r="R805">
        <v>12016092</v>
      </c>
    </row>
    <row r="806" spans="1:18" x14ac:dyDescent="0.25">
      <c r="A806" s="170">
        <v>43187</v>
      </c>
      <c r="B806" s="116">
        <v>156.71701393323301</v>
      </c>
      <c r="C806" s="116">
        <v>151.67569953513299</v>
      </c>
      <c r="D806" s="116">
        <v>150.17300005108399</v>
      </c>
      <c r="E806" s="116">
        <v>152.742131427039</v>
      </c>
      <c r="F806" s="116">
        <v>156.44999999999999</v>
      </c>
      <c r="G806">
        <v>599308</v>
      </c>
      <c r="H806" s="116"/>
      <c r="I806" s="116"/>
      <c r="L806" s="170">
        <v>43187</v>
      </c>
      <c r="M806" s="116">
        <v>151.62746344564499</v>
      </c>
      <c r="N806" s="116">
        <v>156.959631277813</v>
      </c>
      <c r="O806" s="116">
        <v>149.97933884297501</v>
      </c>
      <c r="P806" s="116">
        <v>154.051176096631</v>
      </c>
      <c r="Q806" s="116">
        <v>156.4</v>
      </c>
      <c r="R806">
        <v>11699148</v>
      </c>
    </row>
    <row r="807" spans="1:18" x14ac:dyDescent="0.25">
      <c r="A807" s="170">
        <v>43192</v>
      </c>
      <c r="B807" s="116">
        <v>157.298704056091</v>
      </c>
      <c r="C807" s="116">
        <v>156.08684963347</v>
      </c>
      <c r="D807" s="116">
        <v>147.11912690608199</v>
      </c>
      <c r="E807" s="116">
        <v>153.857037495849</v>
      </c>
      <c r="F807" s="116">
        <v>161</v>
      </c>
      <c r="G807">
        <v>786667</v>
      </c>
      <c r="H807" s="116"/>
      <c r="I807" s="116"/>
      <c r="L807" s="170">
        <v>43192</v>
      </c>
      <c r="M807" s="116">
        <v>155.99014621741901</v>
      </c>
      <c r="N807" s="116">
        <v>157.49284806103</v>
      </c>
      <c r="O807" s="116">
        <v>146.58614113159601</v>
      </c>
      <c r="P807" s="116">
        <v>152.5</v>
      </c>
      <c r="Q807" s="116">
        <v>160.9</v>
      </c>
      <c r="R807">
        <v>9992345</v>
      </c>
    </row>
    <row r="808" spans="1:18" x14ac:dyDescent="0.25">
      <c r="A808" s="170">
        <v>43193</v>
      </c>
      <c r="B808" s="116">
        <v>158.31666177109099</v>
      </c>
      <c r="C808" s="116">
        <v>157.68649747132901</v>
      </c>
      <c r="D808" s="116">
        <v>151.86959624275201</v>
      </c>
      <c r="E808" s="116">
        <v>152.93602813465799</v>
      </c>
      <c r="F808" s="116">
        <v>162.65</v>
      </c>
      <c r="G808">
        <v>647261</v>
      </c>
      <c r="H808" s="116"/>
      <c r="I808" s="116"/>
      <c r="L808" s="170">
        <v>43193</v>
      </c>
      <c r="M808" s="116">
        <v>157.44437380801</v>
      </c>
      <c r="N808" s="116">
        <v>158.31691036236501</v>
      </c>
      <c r="O808" s="116">
        <v>151.77288620470401</v>
      </c>
      <c r="P808" s="116">
        <v>153.42101080737399</v>
      </c>
      <c r="Q808" s="116">
        <v>162.4</v>
      </c>
      <c r="R808">
        <v>11497486</v>
      </c>
    </row>
    <row r="809" spans="1:18" x14ac:dyDescent="0.25">
      <c r="A809" s="170">
        <v>43194</v>
      </c>
      <c r="B809" s="116">
        <v>161.27358656228401</v>
      </c>
      <c r="C809" s="116">
        <v>147.50692032132</v>
      </c>
      <c r="D809" s="116">
        <v>142.70797680774399</v>
      </c>
      <c r="E809" s="116">
        <v>156.76548811013799</v>
      </c>
      <c r="F809" s="116">
        <v>152.15</v>
      </c>
      <c r="G809">
        <v>1363797</v>
      </c>
      <c r="H809" s="116"/>
      <c r="I809" s="116"/>
      <c r="L809" s="170">
        <v>43194</v>
      </c>
      <c r="M809" s="116">
        <v>146.82851239669401</v>
      </c>
      <c r="N809" s="116">
        <v>161.32231404958699</v>
      </c>
      <c r="O809" s="116">
        <v>142.61125238398</v>
      </c>
      <c r="P809" s="116">
        <v>157.49284806103</v>
      </c>
      <c r="Q809" s="116">
        <v>151.44999999999999</v>
      </c>
      <c r="R809">
        <v>33352404</v>
      </c>
    </row>
    <row r="810" spans="1:18" x14ac:dyDescent="0.25">
      <c r="A810" s="170">
        <v>43195</v>
      </c>
      <c r="B810" s="116">
        <v>145.131685652985</v>
      </c>
      <c r="C810" s="116">
        <v>143.192718576792</v>
      </c>
      <c r="D810" s="116">
        <v>122.251874153917</v>
      </c>
      <c r="E810" s="116">
        <v>127.874878674874</v>
      </c>
      <c r="F810" s="116">
        <v>147.69999999999999</v>
      </c>
      <c r="G810">
        <v>2433296</v>
      </c>
      <c r="H810" s="116"/>
      <c r="I810" s="116"/>
      <c r="L810" s="170">
        <v>43195</v>
      </c>
      <c r="M810" s="116">
        <v>143.338366179275</v>
      </c>
      <c r="N810" s="116">
        <v>148.282739987285</v>
      </c>
      <c r="O810" s="116">
        <v>122.397488874762</v>
      </c>
      <c r="P810" s="116">
        <v>128.94151303242199</v>
      </c>
      <c r="Q810" s="116">
        <v>147.85</v>
      </c>
      <c r="R810">
        <v>27497507</v>
      </c>
    </row>
    <row r="811" spans="1:18" x14ac:dyDescent="0.25">
      <c r="A811" s="170">
        <v>43196</v>
      </c>
      <c r="B811" s="116">
        <v>149.73673245894099</v>
      </c>
      <c r="C811" s="116">
        <v>145.47100489131799</v>
      </c>
      <c r="D811" s="116">
        <v>143.338141107507</v>
      </c>
      <c r="E811" s="116">
        <v>145.22863400679401</v>
      </c>
      <c r="F811" s="116">
        <v>150.05000000000001</v>
      </c>
      <c r="G811">
        <v>1063204</v>
      </c>
      <c r="H811" s="116"/>
      <c r="I811" s="116"/>
      <c r="L811" s="170">
        <v>43196</v>
      </c>
      <c r="M811" s="116">
        <v>145.180387794024</v>
      </c>
      <c r="N811" s="116">
        <v>149.93086458995501</v>
      </c>
      <c r="O811" s="116">
        <v>143.19294342021601</v>
      </c>
      <c r="P811" s="116">
        <v>143.72616020343301</v>
      </c>
      <c r="Q811" s="116">
        <v>149.75</v>
      </c>
      <c r="R811">
        <v>10623849</v>
      </c>
    </row>
    <row r="812" spans="1:18" x14ac:dyDescent="0.25">
      <c r="A812" s="170">
        <v>43199</v>
      </c>
      <c r="B812" s="116">
        <v>148.33098132870199</v>
      </c>
      <c r="C812" s="116">
        <v>142.70797680774399</v>
      </c>
      <c r="D812" s="116">
        <v>141.30222567750499</v>
      </c>
      <c r="E812" s="116">
        <v>148.33098132870199</v>
      </c>
      <c r="F812" s="116">
        <v>147.19999999999999</v>
      </c>
      <c r="G812">
        <v>704627</v>
      </c>
      <c r="H812" s="116"/>
      <c r="I812" s="116"/>
      <c r="L812" s="170">
        <v>43199</v>
      </c>
      <c r="M812" s="116">
        <v>142.65972663699901</v>
      </c>
      <c r="N812" s="116">
        <v>147.36172917991101</v>
      </c>
      <c r="O812" s="116">
        <v>141.20549904640799</v>
      </c>
      <c r="P812" s="116">
        <v>145.61665607120199</v>
      </c>
      <c r="Q812" s="116">
        <v>147.15</v>
      </c>
      <c r="R812">
        <v>5148636</v>
      </c>
    </row>
    <row r="813" spans="1:18" x14ac:dyDescent="0.25">
      <c r="A813" s="170">
        <v>43200</v>
      </c>
      <c r="B813" s="116">
        <v>146.39201425250999</v>
      </c>
      <c r="C813" s="116">
        <v>143.24119275369699</v>
      </c>
      <c r="D813" s="116">
        <v>142.41713174631599</v>
      </c>
      <c r="E813" s="116">
        <v>143.87135705346</v>
      </c>
      <c r="F813" s="116">
        <v>147.75</v>
      </c>
      <c r="G813">
        <v>506585</v>
      </c>
      <c r="H813" s="116"/>
      <c r="I813" s="116"/>
      <c r="L813" s="170">
        <v>43200</v>
      </c>
      <c r="M813" s="116">
        <v>143.24141767323599</v>
      </c>
      <c r="N813" s="116">
        <v>146.34376986649701</v>
      </c>
      <c r="O813" s="116">
        <v>142.22345835982199</v>
      </c>
      <c r="P813" s="116">
        <v>143.96853146853101</v>
      </c>
      <c r="Q813" s="116">
        <v>147.75</v>
      </c>
      <c r="R813">
        <v>4948074</v>
      </c>
    </row>
    <row r="814" spans="1:18" x14ac:dyDescent="0.25">
      <c r="A814" s="170">
        <v>43201</v>
      </c>
      <c r="B814" s="116">
        <v>144.35609882250799</v>
      </c>
      <c r="C814" s="116">
        <v>140.04189707798</v>
      </c>
      <c r="D814" s="116">
        <v>138.53919759393099</v>
      </c>
      <c r="E814" s="116">
        <v>144.35609882250799</v>
      </c>
      <c r="F814" s="116">
        <v>144.44999999999999</v>
      </c>
      <c r="G814">
        <v>576393</v>
      </c>
      <c r="H814" s="116"/>
      <c r="I814" s="116"/>
      <c r="L814" s="170">
        <v>43201</v>
      </c>
      <c r="M814" s="116">
        <v>140.13906547997499</v>
      </c>
      <c r="N814" s="116">
        <v>144.21090273363001</v>
      </c>
      <c r="O814" s="116">
        <v>138.24856961220601</v>
      </c>
      <c r="P814" s="116">
        <v>143.53226319135399</v>
      </c>
      <c r="Q814" s="116">
        <v>144.55000000000001</v>
      </c>
      <c r="R814">
        <v>5128577</v>
      </c>
    </row>
    <row r="815" spans="1:18" x14ac:dyDescent="0.25">
      <c r="A815" s="170">
        <v>43202</v>
      </c>
      <c r="B815" s="116">
        <v>141.88391580036301</v>
      </c>
      <c r="C815" s="116">
        <v>131.94670953487801</v>
      </c>
      <c r="D815" s="116">
        <v>130.92875181987699</v>
      </c>
      <c r="E815" s="116">
        <v>140.575113023933</v>
      </c>
      <c r="F815" s="116">
        <v>136.1</v>
      </c>
      <c r="G815">
        <v>847675</v>
      </c>
      <c r="H815" s="116"/>
      <c r="I815" s="116"/>
      <c r="L815" s="170">
        <v>43202</v>
      </c>
      <c r="M815" s="116">
        <v>131.94691671964401</v>
      </c>
      <c r="N815" s="116">
        <v>141.83566433566401</v>
      </c>
      <c r="O815" s="116">
        <v>130.541163382072</v>
      </c>
      <c r="P815" s="116">
        <v>140.187539732994</v>
      </c>
      <c r="Q815" s="116">
        <v>136.1</v>
      </c>
      <c r="R815">
        <v>7768352</v>
      </c>
    </row>
    <row r="816" spans="1:18" x14ac:dyDescent="0.25">
      <c r="A816" s="170">
        <v>43203</v>
      </c>
      <c r="B816" s="116">
        <v>138.53919759393099</v>
      </c>
      <c r="C816" s="116">
        <v>135.24295356440399</v>
      </c>
      <c r="D816" s="116">
        <v>133.78872825726</v>
      </c>
      <c r="E816" s="116">
        <v>135.53379862583299</v>
      </c>
      <c r="F816" s="116">
        <v>139.5</v>
      </c>
      <c r="G816">
        <v>934897</v>
      </c>
      <c r="H816" s="116"/>
      <c r="I816" s="116"/>
      <c r="L816" s="170">
        <v>43203</v>
      </c>
      <c r="M816" s="116">
        <v>135.14621741894501</v>
      </c>
      <c r="N816" s="116">
        <v>138.636363636364</v>
      </c>
      <c r="O816" s="116">
        <v>133.401144310235</v>
      </c>
      <c r="P816" s="116">
        <v>136.11570247933901</v>
      </c>
      <c r="Q816" s="116">
        <v>139.4</v>
      </c>
      <c r="R816">
        <v>11986798</v>
      </c>
    </row>
    <row r="817" spans="1:18" x14ac:dyDescent="0.25">
      <c r="A817" s="170">
        <v>43206</v>
      </c>
      <c r="B817" s="116">
        <v>137.666662409645</v>
      </c>
      <c r="C817" s="116">
        <v>136.551756340834</v>
      </c>
      <c r="D817" s="116">
        <v>133.30398648821199</v>
      </c>
      <c r="E817" s="116">
        <v>134.370418380118</v>
      </c>
      <c r="F817" s="116">
        <v>140.85</v>
      </c>
      <c r="G817">
        <v>431241</v>
      </c>
      <c r="H817" s="116"/>
      <c r="I817" s="116"/>
      <c r="L817" s="170">
        <v>43206</v>
      </c>
      <c r="M817" s="116">
        <v>136.45502225047699</v>
      </c>
      <c r="N817" s="116">
        <v>137.56993006993</v>
      </c>
      <c r="O817" s="116">
        <v>132.81945327399899</v>
      </c>
      <c r="P817" s="116">
        <v>134.467577876669</v>
      </c>
      <c r="Q817" s="116">
        <v>140.75</v>
      </c>
      <c r="R817">
        <v>5077236</v>
      </c>
    </row>
    <row r="818" spans="1:18" x14ac:dyDescent="0.25">
      <c r="A818" s="170">
        <v>43207</v>
      </c>
      <c r="B818" s="116">
        <v>138.44224924012201</v>
      </c>
      <c r="C818" s="116">
        <v>135.38837609511901</v>
      </c>
      <c r="D818" s="116">
        <v>133.69177990345099</v>
      </c>
      <c r="E818" s="116">
        <v>136.21243710250101</v>
      </c>
      <c r="F818" s="116">
        <v>139.65</v>
      </c>
      <c r="G818">
        <v>612661</v>
      </c>
      <c r="H818" s="116"/>
      <c r="I818" s="116"/>
      <c r="L818" s="170">
        <v>43207</v>
      </c>
      <c r="M818" s="116">
        <v>135.243165924984</v>
      </c>
      <c r="N818" s="116">
        <v>138.58788938334399</v>
      </c>
      <c r="O818" s="116">
        <v>133.59504132231399</v>
      </c>
      <c r="P818" s="116">
        <v>137.133661792753</v>
      </c>
      <c r="Q818" s="116">
        <v>139.5</v>
      </c>
      <c r="R818">
        <v>3526569</v>
      </c>
    </row>
    <row r="819" spans="1:18" x14ac:dyDescent="0.25">
      <c r="A819" s="170">
        <v>43208</v>
      </c>
      <c r="B819" s="116">
        <v>136.697178871549</v>
      </c>
      <c r="C819" s="116">
        <v>132.62534801154499</v>
      </c>
      <c r="D819" s="116">
        <v>131.849761181068</v>
      </c>
      <c r="E819" s="116">
        <v>134.85516014916601</v>
      </c>
      <c r="F819" s="116">
        <v>136.80000000000001</v>
      </c>
      <c r="G819">
        <v>378362</v>
      </c>
      <c r="H819" s="116"/>
      <c r="I819" s="116"/>
      <c r="L819" s="170">
        <v>43208</v>
      </c>
      <c r="M819" s="116">
        <v>132.57708200889999</v>
      </c>
      <c r="N819" s="116">
        <v>136.69739351557499</v>
      </c>
      <c r="O819" s="116">
        <v>131.559122695486</v>
      </c>
      <c r="P819" s="116">
        <v>136.69739351557499</v>
      </c>
      <c r="Q819" s="116">
        <v>136.75</v>
      </c>
      <c r="R819">
        <v>3297720</v>
      </c>
    </row>
    <row r="820" spans="1:18" x14ac:dyDescent="0.25">
      <c r="A820" s="170">
        <v>43209</v>
      </c>
      <c r="B820" s="116">
        <v>138.05445582488301</v>
      </c>
      <c r="C820" s="116">
        <v>137.32734317131101</v>
      </c>
      <c r="D820" s="116">
        <v>130.880277642972</v>
      </c>
      <c r="E820" s="116">
        <v>130.880277642972</v>
      </c>
      <c r="F820" s="116">
        <v>141.65</v>
      </c>
      <c r="G820">
        <v>634631</v>
      </c>
      <c r="H820" s="116"/>
      <c r="I820" s="116"/>
      <c r="L820" s="170">
        <v>43209</v>
      </c>
      <c r="M820" s="116">
        <v>137.32755880483199</v>
      </c>
      <c r="N820" s="116">
        <v>137.95772409408801</v>
      </c>
      <c r="O820" s="116">
        <v>130.88048315321001</v>
      </c>
      <c r="P820" s="116">
        <v>131.365225683407</v>
      </c>
      <c r="Q820" s="116">
        <v>141.65</v>
      </c>
      <c r="R820">
        <v>6407262</v>
      </c>
    </row>
    <row r="821" spans="1:18" x14ac:dyDescent="0.25">
      <c r="A821" s="170">
        <v>43210</v>
      </c>
      <c r="B821" s="116">
        <v>136.697178871549</v>
      </c>
      <c r="C821" s="116">
        <v>133.59483154964099</v>
      </c>
      <c r="D821" s="116">
        <v>131.89823535797299</v>
      </c>
      <c r="E821" s="116">
        <v>136.697178871549</v>
      </c>
      <c r="F821" s="116">
        <v>137.80000000000001</v>
      </c>
      <c r="G821">
        <v>403658</v>
      </c>
      <c r="H821" s="116"/>
      <c r="I821" s="116"/>
      <c r="L821" s="170">
        <v>43210</v>
      </c>
      <c r="M821" s="116">
        <v>133.498092816275</v>
      </c>
      <c r="N821" s="116">
        <v>136.69739351557499</v>
      </c>
      <c r="O821" s="116">
        <v>131.849968213605</v>
      </c>
      <c r="P821" s="116">
        <v>136.69739351557499</v>
      </c>
      <c r="Q821" s="116">
        <v>137.69999999999999</v>
      </c>
      <c r="R821">
        <v>3928069</v>
      </c>
    </row>
    <row r="822" spans="1:18" x14ac:dyDescent="0.25">
      <c r="A822" s="170">
        <v>43213</v>
      </c>
      <c r="B822" s="116">
        <v>137.666662409645</v>
      </c>
      <c r="C822" s="116">
        <v>135.1944793875</v>
      </c>
      <c r="D822" s="116">
        <v>133.497883195832</v>
      </c>
      <c r="E822" s="116">
        <v>134.224995849404</v>
      </c>
      <c r="F822" s="116">
        <v>139.44999999999999</v>
      </c>
      <c r="G822">
        <v>417560</v>
      </c>
      <c r="H822" s="116"/>
      <c r="I822" s="116"/>
      <c r="L822" s="170">
        <v>43213</v>
      </c>
      <c r="M822" s="116">
        <v>135.48553719008299</v>
      </c>
      <c r="N822" s="116">
        <v>137.66687857596901</v>
      </c>
      <c r="O822" s="116">
        <v>133.401144310235</v>
      </c>
      <c r="P822" s="116">
        <v>134.758423394787</v>
      </c>
      <c r="Q822" s="116">
        <v>139.75</v>
      </c>
      <c r="R822">
        <v>4466205</v>
      </c>
    </row>
    <row r="823" spans="1:18" x14ac:dyDescent="0.25">
      <c r="A823" s="170">
        <v>43214</v>
      </c>
      <c r="B823" s="116">
        <v>137.08497228678701</v>
      </c>
      <c r="C823" s="116">
        <v>133.59483154964099</v>
      </c>
      <c r="D823" s="116">
        <v>132.819244719164</v>
      </c>
      <c r="E823" s="116">
        <v>137.08497228678701</v>
      </c>
      <c r="F823" s="116">
        <v>137.80000000000001</v>
      </c>
      <c r="G823">
        <v>435599</v>
      </c>
      <c r="H823" s="116"/>
      <c r="I823" s="116"/>
      <c r="L823" s="170">
        <v>43214</v>
      </c>
      <c r="M823" s="116">
        <v>133.691989828353</v>
      </c>
      <c r="N823" s="116">
        <v>136.98823903369399</v>
      </c>
      <c r="O823" s="116">
        <v>132.67403051494</v>
      </c>
      <c r="P823" s="116">
        <v>136.26112523839799</v>
      </c>
      <c r="Q823" s="116">
        <v>137.9</v>
      </c>
      <c r="R823">
        <v>3619659</v>
      </c>
    </row>
    <row r="824" spans="1:18" x14ac:dyDescent="0.25">
      <c r="A824" s="170">
        <v>43215</v>
      </c>
      <c r="B824" s="116">
        <v>135.24295356440399</v>
      </c>
      <c r="C824" s="116">
        <v>133.15856395749799</v>
      </c>
      <c r="D824" s="116">
        <v>132.47992548083101</v>
      </c>
      <c r="E824" s="116">
        <v>133.59483154964099</v>
      </c>
      <c r="F824" s="116">
        <v>137.35</v>
      </c>
      <c r="G824">
        <v>220981</v>
      </c>
      <c r="H824" s="116"/>
      <c r="I824" s="116"/>
      <c r="L824" s="170">
        <v>43215</v>
      </c>
      <c r="M824" s="116">
        <v>133.35267005721599</v>
      </c>
      <c r="N824" s="116">
        <v>135.243165924984</v>
      </c>
      <c r="O824" s="116">
        <v>132.48013350286101</v>
      </c>
      <c r="P824" s="116">
        <v>133.78893833439301</v>
      </c>
      <c r="Q824" s="116">
        <v>137.55000000000001</v>
      </c>
      <c r="R824">
        <v>2744549</v>
      </c>
    </row>
    <row r="825" spans="1:18" x14ac:dyDescent="0.25">
      <c r="A825" s="170">
        <v>43216</v>
      </c>
      <c r="B825" s="116">
        <v>137.18192064059701</v>
      </c>
      <c r="C825" s="116">
        <v>135.77616951035699</v>
      </c>
      <c r="D825" s="116">
        <v>131.89823535797299</v>
      </c>
      <c r="E825" s="116">
        <v>133.15856395749799</v>
      </c>
      <c r="F825" s="116">
        <v>140.05000000000001</v>
      </c>
      <c r="G825">
        <v>282272</v>
      </c>
      <c r="H825" s="116"/>
      <c r="I825" s="116"/>
      <c r="L825" s="170">
        <v>43216</v>
      </c>
      <c r="M825" s="116">
        <v>136.26112523839799</v>
      </c>
      <c r="N825" s="116">
        <v>137.42450731087101</v>
      </c>
      <c r="O825" s="116">
        <v>131.849968213605</v>
      </c>
      <c r="P825" s="116">
        <v>133.78893833439301</v>
      </c>
      <c r="Q825" s="116">
        <v>140.55000000000001</v>
      </c>
      <c r="R825">
        <v>2829547</v>
      </c>
    </row>
    <row r="826" spans="1:18" x14ac:dyDescent="0.25">
      <c r="A826" s="170">
        <v>43217</v>
      </c>
      <c r="B826" s="116">
        <v>143.96830540726901</v>
      </c>
      <c r="C826" s="116">
        <v>137.61818823274001</v>
      </c>
      <c r="D826" s="116">
        <v>136.018540394881</v>
      </c>
      <c r="E826" s="116">
        <v>136.21243710250101</v>
      </c>
      <c r="F826" s="116">
        <v>141.94999999999999</v>
      </c>
      <c r="G826">
        <v>824283</v>
      </c>
      <c r="H826" s="116"/>
      <c r="I826" s="116"/>
      <c r="L826" s="170">
        <v>43217</v>
      </c>
      <c r="M826" s="116">
        <v>137.47298156389101</v>
      </c>
      <c r="N826" s="116">
        <v>144.06547997457099</v>
      </c>
      <c r="O826" s="116">
        <v>135.97027972027999</v>
      </c>
      <c r="P826" s="116">
        <v>136.64891926255601</v>
      </c>
      <c r="Q826" s="116">
        <v>141.80000000000001</v>
      </c>
      <c r="R826">
        <v>7560641</v>
      </c>
    </row>
    <row r="827" spans="1:18" x14ac:dyDescent="0.25">
      <c r="A827" s="170">
        <v>43220</v>
      </c>
      <c r="B827" s="116">
        <v>140.284267962504</v>
      </c>
      <c r="C827" s="116">
        <v>135.82464368726201</v>
      </c>
      <c r="D827" s="116">
        <v>134.467366733928</v>
      </c>
      <c r="E827" s="116">
        <v>140.284267962504</v>
      </c>
      <c r="F827" s="116">
        <v>140.1</v>
      </c>
      <c r="G827">
        <v>258178</v>
      </c>
      <c r="H827" s="116"/>
      <c r="I827" s="116"/>
      <c r="L827" s="170">
        <v>43220</v>
      </c>
      <c r="M827" s="116">
        <v>135.824856961221</v>
      </c>
      <c r="N827" s="116">
        <v>139.99364272091501</v>
      </c>
      <c r="O827" s="116">
        <v>134.37062937062899</v>
      </c>
      <c r="P827" s="116">
        <v>138.00619834710699</v>
      </c>
      <c r="Q827" s="116">
        <v>140.1</v>
      </c>
      <c r="R827">
        <v>2549744</v>
      </c>
    </row>
    <row r="828" spans="1:18" x14ac:dyDescent="0.25">
      <c r="A828" s="170">
        <v>43222</v>
      </c>
      <c r="B828" s="116">
        <v>137.375817348216</v>
      </c>
      <c r="C828" s="116">
        <v>125.30574729892</v>
      </c>
      <c r="D828" s="116">
        <v>121.427813146535</v>
      </c>
      <c r="E828" s="116">
        <v>137.375817348216</v>
      </c>
      <c r="F828" s="116">
        <v>129.25</v>
      </c>
      <c r="G828">
        <v>938969</v>
      </c>
      <c r="H828" s="116"/>
      <c r="I828" s="116"/>
      <c r="L828" s="170">
        <v>43222</v>
      </c>
      <c r="M828" s="116">
        <v>125.451366815003</v>
      </c>
      <c r="N828" s="116">
        <v>137.18213604577201</v>
      </c>
      <c r="O828" s="116">
        <v>120.410044500954</v>
      </c>
      <c r="P828" s="116">
        <v>136.067228226319</v>
      </c>
      <c r="Q828" s="116">
        <v>129.4</v>
      </c>
      <c r="R828">
        <v>8357323</v>
      </c>
    </row>
    <row r="829" spans="1:18" x14ac:dyDescent="0.25">
      <c r="A829" s="170">
        <v>43223</v>
      </c>
      <c r="B829" s="116">
        <v>126.808446782969</v>
      </c>
      <c r="C829" s="116">
        <v>121.815606561774</v>
      </c>
      <c r="D829" s="116">
        <v>119.58579442415299</v>
      </c>
      <c r="E829" s="116">
        <v>126.032859952492</v>
      </c>
      <c r="F829" s="116">
        <v>125.65</v>
      </c>
      <c r="G829">
        <v>1283855</v>
      </c>
      <c r="H829" s="116"/>
      <c r="I829" s="116"/>
      <c r="L829" s="170">
        <v>43223</v>
      </c>
      <c r="M829" s="116">
        <v>122.54291163382101</v>
      </c>
      <c r="N829" s="116">
        <v>126.517800381437</v>
      </c>
      <c r="O829" s="116">
        <v>119.53750794659901</v>
      </c>
      <c r="P829" s="116">
        <v>126.03305785124</v>
      </c>
      <c r="Q829" s="116">
        <v>126.4</v>
      </c>
      <c r="R829">
        <v>12869077</v>
      </c>
    </row>
    <row r="830" spans="1:18" x14ac:dyDescent="0.25">
      <c r="A830" s="170">
        <v>43224</v>
      </c>
      <c r="B830" s="116">
        <v>128.262672090113</v>
      </c>
      <c r="C830" s="116">
        <v>122.542719215346</v>
      </c>
      <c r="D830" s="116">
        <v>121.961029092488</v>
      </c>
      <c r="E830" s="116">
        <v>127.002343490588</v>
      </c>
      <c r="F830" s="116">
        <v>126.4</v>
      </c>
      <c r="G830">
        <v>1366789</v>
      </c>
      <c r="H830" s="116"/>
      <c r="I830" s="116"/>
      <c r="L830" s="170">
        <v>43224</v>
      </c>
      <c r="M830" s="116">
        <v>122.7368086459</v>
      </c>
      <c r="N830" s="116">
        <v>128.40829624920499</v>
      </c>
      <c r="O830" s="116">
        <v>121.815797838525</v>
      </c>
      <c r="P830" s="116">
        <v>122.833757151939</v>
      </c>
      <c r="Q830" s="116">
        <v>126.6</v>
      </c>
      <c r="R830">
        <v>12870721</v>
      </c>
    </row>
    <row r="831" spans="1:18" x14ac:dyDescent="0.25">
      <c r="A831" s="170">
        <v>43227</v>
      </c>
      <c r="B831" s="116">
        <v>125.935911598682</v>
      </c>
      <c r="C831" s="116">
        <v>123.415254399632</v>
      </c>
      <c r="D831" s="116">
        <v>121.282390615821</v>
      </c>
      <c r="E831" s="116">
        <v>124.045418699395</v>
      </c>
      <c r="F831" s="116">
        <v>127.3</v>
      </c>
      <c r="G831">
        <v>718287</v>
      </c>
      <c r="H831" s="116"/>
      <c r="I831" s="116"/>
      <c r="L831" s="170">
        <v>43227</v>
      </c>
      <c r="M831" s="116">
        <v>123.70629370629401</v>
      </c>
      <c r="N831" s="116">
        <v>125.93610934519999</v>
      </c>
      <c r="O831" s="116">
        <v>121.04020979021</v>
      </c>
      <c r="P831" s="116">
        <v>123.22155117609699</v>
      </c>
      <c r="Q831" s="116">
        <v>127.6</v>
      </c>
      <c r="R831">
        <v>12195077</v>
      </c>
    </row>
    <row r="832" spans="1:18" x14ac:dyDescent="0.25">
      <c r="A832" s="170">
        <v>43228</v>
      </c>
      <c r="B832" s="116">
        <v>129.232155628209</v>
      </c>
      <c r="C832" s="116">
        <v>127.19624019820699</v>
      </c>
      <c r="D832" s="116">
        <v>122.15492580010699</v>
      </c>
      <c r="E832" s="116">
        <v>125.935911598682</v>
      </c>
      <c r="F832" s="116">
        <v>131.19999999999999</v>
      </c>
      <c r="G832">
        <v>472055</v>
      </c>
      <c r="H832" s="116"/>
      <c r="I832" s="116"/>
      <c r="L832" s="170">
        <v>43228</v>
      </c>
      <c r="M832" s="116">
        <v>127.438811188811</v>
      </c>
      <c r="N832" s="116">
        <v>129.42625556261899</v>
      </c>
      <c r="O832" s="116">
        <v>121.961220597584</v>
      </c>
      <c r="P832" s="116">
        <v>124.33645899555</v>
      </c>
      <c r="Q832" s="116">
        <v>131.44999999999999</v>
      </c>
      <c r="R832">
        <v>4625620</v>
      </c>
    </row>
    <row r="833" spans="1:18" x14ac:dyDescent="0.25">
      <c r="A833" s="170">
        <v>43229</v>
      </c>
      <c r="B833" s="116">
        <v>127.487085259636</v>
      </c>
      <c r="C833" s="116">
        <v>125.20879894511</v>
      </c>
      <c r="D833" s="116">
        <v>124.578634645348</v>
      </c>
      <c r="E833" s="116">
        <v>126.129808306301</v>
      </c>
      <c r="F833" s="116">
        <v>129.15</v>
      </c>
      <c r="G833">
        <v>552166</v>
      </c>
      <c r="H833" s="116"/>
      <c r="I833" s="116"/>
      <c r="L833" s="170">
        <v>43229</v>
      </c>
      <c r="M833" s="116">
        <v>125.112047043865</v>
      </c>
      <c r="N833" s="116">
        <v>127.438811188811</v>
      </c>
      <c r="O833" s="116">
        <v>124.142561983471</v>
      </c>
      <c r="P833" s="116">
        <v>126.42085187539701</v>
      </c>
      <c r="Q833" s="116">
        <v>129.05000000000001</v>
      </c>
      <c r="R833">
        <v>3565162</v>
      </c>
    </row>
    <row r="834" spans="1:18" x14ac:dyDescent="0.25">
      <c r="A834" s="170">
        <v>43230</v>
      </c>
      <c r="B834" s="116">
        <v>126.56607589844501</v>
      </c>
      <c r="C834" s="116">
        <v>122.83356427677499</v>
      </c>
      <c r="D834" s="116">
        <v>122.15492580010699</v>
      </c>
      <c r="E834" s="116">
        <v>124.09389287629899</v>
      </c>
      <c r="F834" s="116">
        <v>126.7</v>
      </c>
      <c r="G834">
        <v>735313</v>
      </c>
      <c r="H834" s="116"/>
      <c r="I834" s="116"/>
      <c r="L834" s="170">
        <v>43230</v>
      </c>
      <c r="M834" s="116">
        <v>122.78528289891899</v>
      </c>
      <c r="N834" s="116">
        <v>126.711697393516</v>
      </c>
      <c r="O834" s="116">
        <v>121.864272091545</v>
      </c>
      <c r="P834" s="116">
        <v>125.93610934519999</v>
      </c>
      <c r="Q834" s="116">
        <v>126.65</v>
      </c>
      <c r="R834">
        <v>4815033</v>
      </c>
    </row>
    <row r="835" spans="1:18" x14ac:dyDescent="0.25">
      <c r="A835" s="170">
        <v>43231</v>
      </c>
      <c r="B835" s="116">
        <v>127.002343490588</v>
      </c>
      <c r="C835" s="116">
        <v>123.851521991775</v>
      </c>
      <c r="D835" s="116">
        <v>119.68274277796201</v>
      </c>
      <c r="E835" s="116">
        <v>124.09389287629899</v>
      </c>
      <c r="F835" s="116">
        <v>127.75</v>
      </c>
      <c r="G835">
        <v>712128</v>
      </c>
      <c r="H835" s="116"/>
      <c r="I835" s="116"/>
      <c r="L835" s="170">
        <v>43231</v>
      </c>
      <c r="M835" s="116">
        <v>123.900190718373</v>
      </c>
      <c r="N835" s="116">
        <v>125.451366815003</v>
      </c>
      <c r="O835" s="116">
        <v>119.63445645263801</v>
      </c>
      <c r="P835" s="116">
        <v>123.657819453274</v>
      </c>
      <c r="Q835" s="116">
        <v>127.8</v>
      </c>
      <c r="R835">
        <v>5943405</v>
      </c>
    </row>
    <row r="836" spans="1:18" x14ac:dyDescent="0.25">
      <c r="A836" s="170">
        <v>43234</v>
      </c>
      <c r="B836" s="116">
        <v>124.190841230109</v>
      </c>
      <c r="C836" s="116">
        <v>120.21595872391499</v>
      </c>
      <c r="D836" s="116">
        <v>117.84072405558</v>
      </c>
      <c r="E836" s="116">
        <v>123.269831868918</v>
      </c>
      <c r="F836" s="116">
        <v>124</v>
      </c>
      <c r="G836">
        <v>560395</v>
      </c>
      <c r="H836" s="116"/>
      <c r="I836" s="116"/>
      <c r="L836" s="170">
        <v>43234</v>
      </c>
      <c r="M836" s="116">
        <v>120.216147488875</v>
      </c>
      <c r="N836" s="116">
        <v>124.09408773045099</v>
      </c>
      <c r="O836" s="116">
        <v>117.889383343929</v>
      </c>
      <c r="P836" s="116">
        <v>123.94866497139201</v>
      </c>
      <c r="Q836" s="116">
        <v>124</v>
      </c>
      <c r="R836">
        <v>5039909</v>
      </c>
    </row>
    <row r="837" spans="1:18" x14ac:dyDescent="0.25">
      <c r="A837" s="170">
        <v>43235</v>
      </c>
      <c r="B837" s="116">
        <v>125.548118183444</v>
      </c>
      <c r="C837" s="116">
        <v>119.19800100891401</v>
      </c>
      <c r="D837" s="116">
        <v>117.79224987867499</v>
      </c>
      <c r="E837" s="116">
        <v>119.24647518581899</v>
      </c>
      <c r="F837" s="116">
        <v>122.95</v>
      </c>
      <c r="G837">
        <v>973837</v>
      </c>
      <c r="H837" s="116"/>
      <c r="I837" s="116"/>
      <c r="L837" s="170">
        <v>43235</v>
      </c>
      <c r="M837" s="116">
        <v>119.53750794659901</v>
      </c>
      <c r="N837" s="116">
        <v>125.499841068023</v>
      </c>
      <c r="O837" s="116">
        <v>117.59853782581099</v>
      </c>
      <c r="P837" s="116">
        <v>120.216147488875</v>
      </c>
      <c r="Q837" s="116">
        <v>123.3</v>
      </c>
      <c r="R837">
        <v>6753335</v>
      </c>
    </row>
    <row r="838" spans="1:18" x14ac:dyDescent="0.25">
      <c r="A838" s="170">
        <v>43236</v>
      </c>
      <c r="B838" s="116">
        <v>120.846123023678</v>
      </c>
      <c r="C838" s="116">
        <v>119.10105265510499</v>
      </c>
      <c r="D838" s="116">
        <v>117.016663048198</v>
      </c>
      <c r="E838" s="116">
        <v>118.858681770581</v>
      </c>
      <c r="F838" s="116">
        <v>122.85</v>
      </c>
      <c r="G838">
        <v>630486</v>
      </c>
      <c r="H838" s="116"/>
      <c r="I838" s="116"/>
      <c r="L838" s="170">
        <v>43236</v>
      </c>
      <c r="M838" s="116">
        <v>119.34361093452</v>
      </c>
      <c r="N838" s="116">
        <v>120.99173553719</v>
      </c>
      <c r="O838" s="116">
        <v>116.968372536554</v>
      </c>
      <c r="P838" s="116">
        <v>119.246662428481</v>
      </c>
      <c r="Q838" s="116">
        <v>123.1</v>
      </c>
      <c r="R838">
        <v>4008619</v>
      </c>
    </row>
    <row r="839" spans="1:18" x14ac:dyDescent="0.25">
      <c r="A839" s="170">
        <v>43237</v>
      </c>
      <c r="B839" s="116">
        <v>121.767132384869</v>
      </c>
      <c r="C839" s="116">
        <v>119.73121695486699</v>
      </c>
      <c r="D839" s="116">
        <v>118.180043293913</v>
      </c>
      <c r="E839" s="116">
        <v>118.470888355342</v>
      </c>
      <c r="F839" s="116">
        <v>123.5</v>
      </c>
      <c r="G839">
        <v>496492</v>
      </c>
      <c r="H839" s="116"/>
      <c r="I839" s="116"/>
      <c r="L839" s="170">
        <v>43237</v>
      </c>
      <c r="M839" s="116">
        <v>119.63445645263801</v>
      </c>
      <c r="N839" s="116">
        <v>121.767323585505</v>
      </c>
      <c r="O839" s="116">
        <v>118.083280356008</v>
      </c>
      <c r="P839" s="116">
        <v>120.603941513032</v>
      </c>
      <c r="Q839" s="116">
        <v>123.4</v>
      </c>
      <c r="R839">
        <v>3158060</v>
      </c>
    </row>
    <row r="840" spans="1:18" x14ac:dyDescent="0.25">
      <c r="A840" s="170">
        <v>43238</v>
      </c>
      <c r="B840" s="116">
        <v>129.910794104876</v>
      </c>
      <c r="C840" s="116">
        <v>114.689902556767</v>
      </c>
      <c r="D840" s="116">
        <v>113.91431572629099</v>
      </c>
      <c r="E840" s="116">
        <v>129.910794104876</v>
      </c>
      <c r="F840" s="116">
        <v>118.3</v>
      </c>
      <c r="G840">
        <v>599962</v>
      </c>
      <c r="H840" s="116"/>
      <c r="I840" s="116"/>
      <c r="L840" s="170">
        <v>43238</v>
      </c>
      <c r="M840" s="116">
        <v>114.980928162746</v>
      </c>
      <c r="N840" s="116">
        <v>120.216147488875</v>
      </c>
      <c r="O840" s="116">
        <v>113.962968849332</v>
      </c>
      <c r="P840" s="116">
        <v>120.022250476796</v>
      </c>
      <c r="Q840" s="116">
        <v>118.6</v>
      </c>
      <c r="R840">
        <v>4125360</v>
      </c>
    </row>
    <row r="841" spans="1:18" x14ac:dyDescent="0.25">
      <c r="A841" s="170">
        <v>43241</v>
      </c>
      <c r="B841" s="116">
        <v>116.91971469438801</v>
      </c>
      <c r="C841" s="116">
        <v>114.49600584914801</v>
      </c>
      <c r="D841" s="116">
        <v>112.508564596051</v>
      </c>
      <c r="E841" s="116">
        <v>113.52652231105201</v>
      </c>
      <c r="F841" s="116">
        <v>118.1</v>
      </c>
      <c r="G841">
        <v>487266</v>
      </c>
      <c r="H841" s="116"/>
      <c r="I841" s="116"/>
      <c r="L841" s="170">
        <v>43241</v>
      </c>
      <c r="M841" s="116">
        <v>114.59313413858899</v>
      </c>
      <c r="N841" s="116">
        <v>117.210743801653</v>
      </c>
      <c r="O841" s="116">
        <v>112.460267005722</v>
      </c>
      <c r="P841" s="116">
        <v>115.36872218690399</v>
      </c>
      <c r="Q841" s="116">
        <v>118.2</v>
      </c>
      <c r="R841">
        <v>3196634</v>
      </c>
    </row>
    <row r="842" spans="1:18" x14ac:dyDescent="0.25">
      <c r="A842" s="170">
        <v>43242</v>
      </c>
      <c r="B842" s="116">
        <v>119.68274277796201</v>
      </c>
      <c r="C842" s="116">
        <v>118.373940001533</v>
      </c>
      <c r="D842" s="116">
        <v>114.689902556767</v>
      </c>
      <c r="E842" s="116">
        <v>114.88379926438699</v>
      </c>
      <c r="F842" s="116">
        <v>122.1</v>
      </c>
      <c r="G842">
        <v>489523</v>
      </c>
      <c r="H842" s="116"/>
      <c r="I842" s="116"/>
      <c r="L842" s="170">
        <v>43242</v>
      </c>
      <c r="M842" s="116">
        <v>118.519548633185</v>
      </c>
      <c r="N842" s="116">
        <v>119.731404958678</v>
      </c>
      <c r="O842" s="116">
        <v>114.641608391608</v>
      </c>
      <c r="P842" s="116">
        <v>116.241258741259</v>
      </c>
      <c r="Q842" s="116">
        <v>122.25</v>
      </c>
      <c r="R842">
        <v>3700083</v>
      </c>
    </row>
    <row r="843" spans="1:18" x14ac:dyDescent="0.25">
      <c r="A843" s="170">
        <v>43243</v>
      </c>
      <c r="B843" s="116">
        <v>118.76173341677099</v>
      </c>
      <c r="C843" s="116">
        <v>113.817367372481</v>
      </c>
      <c r="D843" s="116">
        <v>113.138728895814</v>
      </c>
      <c r="E843" s="116">
        <v>118.76173341677099</v>
      </c>
      <c r="F843" s="116">
        <v>117.4</v>
      </c>
      <c r="G843">
        <v>782086</v>
      </c>
      <c r="H843" s="116"/>
      <c r="I843" s="116"/>
      <c r="L843" s="170">
        <v>43243</v>
      </c>
      <c r="M843" s="116">
        <v>113.817546090273</v>
      </c>
      <c r="N843" s="116">
        <v>118.713445645264</v>
      </c>
      <c r="O843" s="116">
        <v>113.235855054037</v>
      </c>
      <c r="P843" s="116">
        <v>118.277177368086</v>
      </c>
      <c r="Q843" s="116">
        <v>117.4</v>
      </c>
      <c r="R843">
        <v>2564043</v>
      </c>
    </row>
    <row r="844" spans="1:18" x14ac:dyDescent="0.25">
      <c r="A844" s="170">
        <v>43244</v>
      </c>
      <c r="B844" s="116">
        <v>116.725817986769</v>
      </c>
      <c r="C844" s="116">
        <v>115.51396356414899</v>
      </c>
      <c r="D844" s="116">
        <v>112.411616242242</v>
      </c>
      <c r="E844" s="116">
        <v>112.847883834385</v>
      </c>
      <c r="F844" s="116">
        <v>119.15</v>
      </c>
      <c r="G844">
        <v>690094</v>
      </c>
      <c r="H844" s="116"/>
      <c r="I844" s="116"/>
      <c r="L844" s="170">
        <v>43244</v>
      </c>
      <c r="M844" s="116">
        <v>115.514144945963</v>
      </c>
      <c r="N844" s="116">
        <v>116.822949777495</v>
      </c>
      <c r="O844" s="116">
        <v>112.12094723458399</v>
      </c>
      <c r="P844" s="116">
        <v>114.39923712651</v>
      </c>
      <c r="Q844" s="116">
        <v>119.15</v>
      </c>
      <c r="R844">
        <v>4368851</v>
      </c>
    </row>
    <row r="845" spans="1:18" x14ac:dyDescent="0.25">
      <c r="A845" s="170">
        <v>43245</v>
      </c>
      <c r="B845" s="116">
        <v>121.57323567725</v>
      </c>
      <c r="C845" s="116">
        <v>120.506803785344</v>
      </c>
      <c r="D845" s="116">
        <v>114.592954202958</v>
      </c>
      <c r="E845" s="116">
        <v>116.33802457153099</v>
      </c>
      <c r="F845" s="116">
        <v>124.3</v>
      </c>
      <c r="G845">
        <v>800777</v>
      </c>
      <c r="H845" s="116"/>
      <c r="I845" s="116"/>
      <c r="L845" s="170">
        <v>43245</v>
      </c>
      <c r="M845" s="116">
        <v>120.99173553719</v>
      </c>
      <c r="N845" s="116">
        <v>122.058169103624</v>
      </c>
      <c r="O845" s="116">
        <v>114.44771137953001</v>
      </c>
      <c r="P845" s="116">
        <v>115.417196439924</v>
      </c>
      <c r="Q845" s="116">
        <v>124.8</v>
      </c>
      <c r="R845">
        <v>5483064</v>
      </c>
    </row>
    <row r="846" spans="1:18" x14ac:dyDescent="0.25">
      <c r="A846" s="170">
        <v>43248</v>
      </c>
      <c r="B846" s="116">
        <v>127.390136905826</v>
      </c>
      <c r="C846" s="116">
        <v>125.790489067968</v>
      </c>
      <c r="D846" s="116">
        <v>120.16748454701001</v>
      </c>
      <c r="E846" s="116">
        <v>122.591193392251</v>
      </c>
      <c r="F846" s="116">
        <v>129.75</v>
      </c>
      <c r="G846">
        <v>734819</v>
      </c>
      <c r="H846" s="116"/>
      <c r="I846" s="116"/>
      <c r="L846" s="170">
        <v>43248</v>
      </c>
      <c r="M846" s="116">
        <v>125.69373808010199</v>
      </c>
      <c r="N846" s="116">
        <v>127.48728544183101</v>
      </c>
      <c r="O846" s="116">
        <v>120.119198982835</v>
      </c>
      <c r="P846" s="116">
        <v>120.119198982835</v>
      </c>
      <c r="Q846" s="116">
        <v>129.65</v>
      </c>
      <c r="R846">
        <v>5007622</v>
      </c>
    </row>
    <row r="847" spans="1:18" x14ac:dyDescent="0.25">
      <c r="A847" s="170">
        <v>43249</v>
      </c>
      <c r="B847" s="116">
        <v>125.693540714158</v>
      </c>
      <c r="C847" s="116">
        <v>120.022062016296</v>
      </c>
      <c r="D847" s="116">
        <v>118.567836709152</v>
      </c>
      <c r="E847" s="116">
        <v>125.693540714158</v>
      </c>
      <c r="F847" s="116">
        <v>123.8</v>
      </c>
      <c r="G847">
        <v>694555</v>
      </c>
      <c r="H847" s="116"/>
      <c r="I847" s="116"/>
      <c r="L847" s="170">
        <v>43249</v>
      </c>
      <c r="M847" s="116">
        <v>119.925301970757</v>
      </c>
      <c r="N847" s="116">
        <v>125.40289256198299</v>
      </c>
      <c r="O847" s="116">
        <v>119.00429116338201</v>
      </c>
      <c r="P847" s="116">
        <v>124.09408773045099</v>
      </c>
      <c r="Q847" s="116">
        <v>123.7</v>
      </c>
      <c r="R847">
        <v>4091255</v>
      </c>
    </row>
    <row r="848" spans="1:18" x14ac:dyDescent="0.25">
      <c r="A848" s="170">
        <v>43250</v>
      </c>
      <c r="B848" s="116">
        <v>121.282390615821</v>
      </c>
      <c r="C848" s="116">
        <v>119.488846070343</v>
      </c>
      <c r="D848" s="116">
        <v>117.93767240938899</v>
      </c>
      <c r="E848" s="116">
        <v>118.27699164772299</v>
      </c>
      <c r="F848" s="116">
        <v>123.25</v>
      </c>
      <c r="G848">
        <v>375562</v>
      </c>
      <c r="H848" s="116"/>
      <c r="I848" s="116"/>
      <c r="L848" s="170">
        <v>43250</v>
      </c>
      <c r="M848" s="116">
        <v>119.63445645263801</v>
      </c>
      <c r="N848" s="116">
        <v>121.37952956134799</v>
      </c>
      <c r="O848" s="116">
        <v>117.792434837889</v>
      </c>
      <c r="P848" s="116">
        <v>118.37412587412599</v>
      </c>
      <c r="Q848" s="116">
        <v>123.4</v>
      </c>
      <c r="R848">
        <v>2133256</v>
      </c>
    </row>
    <row r="849" spans="1:18" x14ac:dyDescent="0.25">
      <c r="A849" s="170">
        <v>43251</v>
      </c>
      <c r="B849" s="116">
        <v>120.70070049296299</v>
      </c>
      <c r="C849" s="116">
        <v>117.501404817246</v>
      </c>
      <c r="D849" s="116">
        <v>116.33802457153099</v>
      </c>
      <c r="E849" s="116">
        <v>118.567836709152</v>
      </c>
      <c r="F849" s="116">
        <v>121.2</v>
      </c>
      <c r="G849">
        <v>428827</v>
      </c>
      <c r="H849" s="116"/>
      <c r="I849" s="116"/>
      <c r="L849" s="170">
        <v>43251</v>
      </c>
      <c r="M849" s="116">
        <v>117.30769230769199</v>
      </c>
      <c r="N849" s="116">
        <v>120.458518753973</v>
      </c>
      <c r="O849" s="116">
        <v>116.580578512397</v>
      </c>
      <c r="P849" s="116">
        <v>120.216147488875</v>
      </c>
      <c r="Q849" s="116">
        <v>121</v>
      </c>
      <c r="R849">
        <v>4584277</v>
      </c>
    </row>
    <row r="850" spans="1:18" x14ac:dyDescent="0.25">
      <c r="A850" s="170">
        <v>43252</v>
      </c>
      <c r="B850" s="116">
        <v>118.42241417843699</v>
      </c>
      <c r="C850" s="116">
        <v>116.047179510102</v>
      </c>
      <c r="D850" s="116">
        <v>112.266193711527</v>
      </c>
      <c r="E850" s="116">
        <v>116.53192127915</v>
      </c>
      <c r="F850" s="116">
        <v>119.7</v>
      </c>
      <c r="G850">
        <v>924642</v>
      </c>
      <c r="H850" s="116"/>
      <c r="I850" s="116"/>
      <c r="L850" s="170">
        <v>43252</v>
      </c>
      <c r="M850" s="116">
        <v>115.90193897012099</v>
      </c>
      <c r="N850" s="116">
        <v>118.47107438016501</v>
      </c>
      <c r="O850" s="116">
        <v>112.023998728544</v>
      </c>
      <c r="P850" s="116">
        <v>117.30769230769199</v>
      </c>
      <c r="Q850" s="116">
        <v>119.55</v>
      </c>
      <c r="R850">
        <v>6238346</v>
      </c>
    </row>
    <row r="851" spans="1:18" x14ac:dyDescent="0.25">
      <c r="A851" s="170">
        <v>43255</v>
      </c>
      <c r="B851" s="116">
        <v>117.25903393272201</v>
      </c>
      <c r="C851" s="116">
        <v>112.847883834385</v>
      </c>
      <c r="D851" s="116">
        <v>110.27875245843001</v>
      </c>
      <c r="E851" s="116">
        <v>116.241076217721</v>
      </c>
      <c r="F851" s="116">
        <v>116.4</v>
      </c>
      <c r="G851">
        <v>854924</v>
      </c>
      <c r="H851" s="116"/>
      <c r="I851" s="116"/>
      <c r="L851" s="170">
        <v>43255</v>
      </c>
      <c r="M851" s="116">
        <v>112.70263827082</v>
      </c>
      <c r="N851" s="116">
        <v>117.30769230769199</v>
      </c>
      <c r="O851" s="116">
        <v>110.181977113795</v>
      </c>
      <c r="P851" s="116">
        <v>116.289732994278</v>
      </c>
      <c r="Q851" s="116">
        <v>116.25</v>
      </c>
      <c r="R851">
        <v>5153935</v>
      </c>
    </row>
    <row r="852" spans="1:18" x14ac:dyDescent="0.25">
      <c r="A852" s="170">
        <v>43256</v>
      </c>
      <c r="B852" s="116">
        <v>113.768893195576</v>
      </c>
      <c r="C852" s="116">
        <v>111.58755523486001</v>
      </c>
      <c r="D852" s="116">
        <v>109.64858815866801</v>
      </c>
      <c r="E852" s="116">
        <v>111.68450358867</v>
      </c>
      <c r="F852" s="116">
        <v>115.1</v>
      </c>
      <c r="G852">
        <v>576945</v>
      </c>
      <c r="H852" s="116"/>
      <c r="I852" s="116"/>
      <c r="L852" s="170">
        <v>43256</v>
      </c>
      <c r="M852" s="116">
        <v>111.878575969485</v>
      </c>
      <c r="N852" s="116">
        <v>113.720597584234</v>
      </c>
      <c r="O852" s="116">
        <v>109.60028607755901</v>
      </c>
      <c r="P852" s="116">
        <v>112.460267005722</v>
      </c>
      <c r="Q852" s="116">
        <v>115.4</v>
      </c>
      <c r="R852">
        <v>3155941</v>
      </c>
    </row>
    <row r="853" spans="1:18" x14ac:dyDescent="0.25">
      <c r="A853" s="170">
        <v>43257</v>
      </c>
      <c r="B853" s="116">
        <v>115.707860271768</v>
      </c>
      <c r="C853" s="116">
        <v>114.253634964624</v>
      </c>
      <c r="D853" s="116">
        <v>111.005865112002</v>
      </c>
      <c r="E853" s="116">
        <v>111.199761819621</v>
      </c>
      <c r="F853" s="116">
        <v>117.85</v>
      </c>
      <c r="G853">
        <v>356568</v>
      </c>
      <c r="H853" s="116"/>
      <c r="I853" s="116"/>
      <c r="L853" s="170">
        <v>43257</v>
      </c>
      <c r="M853" s="116">
        <v>114.641608391608</v>
      </c>
      <c r="N853" s="116">
        <v>115.99888747615999</v>
      </c>
      <c r="O853" s="116">
        <v>110.957565162111</v>
      </c>
      <c r="P853" s="116">
        <v>111.975524475524</v>
      </c>
      <c r="Q853" s="116">
        <v>118.25</v>
      </c>
      <c r="R853">
        <v>4012380</v>
      </c>
    </row>
    <row r="854" spans="1:18" x14ac:dyDescent="0.25">
      <c r="A854" s="170">
        <v>43258</v>
      </c>
      <c r="B854" s="116">
        <v>123.99694452249</v>
      </c>
      <c r="C854" s="116">
        <v>121.233916438916</v>
      </c>
      <c r="D854" s="116">
        <v>114.39905749533899</v>
      </c>
      <c r="E854" s="116">
        <v>114.39905749533899</v>
      </c>
      <c r="F854" s="116">
        <v>125.05</v>
      </c>
      <c r="G854">
        <v>812304</v>
      </c>
      <c r="H854" s="116"/>
      <c r="I854" s="116"/>
      <c r="L854" s="170">
        <v>43258</v>
      </c>
      <c r="M854" s="116">
        <v>121.573426573427</v>
      </c>
      <c r="N854" s="116">
        <v>124.28798474253</v>
      </c>
      <c r="O854" s="116">
        <v>114.641608391608</v>
      </c>
      <c r="P854" s="116">
        <v>114.641608391608</v>
      </c>
      <c r="Q854" s="116">
        <v>125.4</v>
      </c>
      <c r="R854">
        <v>11000722</v>
      </c>
    </row>
    <row r="855" spans="1:18" x14ac:dyDescent="0.25">
      <c r="A855" s="170">
        <v>43259</v>
      </c>
      <c r="B855" s="116">
        <v>122.930512630584</v>
      </c>
      <c r="C855" s="116">
        <v>122.251874153917</v>
      </c>
      <c r="D855" s="116">
        <v>118.95563012439</v>
      </c>
      <c r="E855" s="116">
        <v>120.26443290082</v>
      </c>
      <c r="F855" s="116">
        <v>126.1</v>
      </c>
      <c r="G855">
        <v>669026</v>
      </c>
      <c r="H855" s="116"/>
      <c r="I855" s="116"/>
      <c r="L855" s="170">
        <v>43259</v>
      </c>
      <c r="M855" s="116">
        <v>122.445963127781</v>
      </c>
      <c r="N855" s="116">
        <v>123.31849968213599</v>
      </c>
      <c r="O855" s="116">
        <v>118.810394151303</v>
      </c>
      <c r="P855" s="116">
        <v>120.94326128417001</v>
      </c>
      <c r="Q855" s="116">
        <v>126.3</v>
      </c>
      <c r="R855">
        <v>5338810</v>
      </c>
    </row>
    <row r="856" spans="1:18" x14ac:dyDescent="0.25">
      <c r="A856" s="170">
        <v>43262</v>
      </c>
      <c r="B856" s="116">
        <v>128.74741385916099</v>
      </c>
      <c r="C856" s="116">
        <v>124.190841230109</v>
      </c>
      <c r="D856" s="116">
        <v>123.075935161299</v>
      </c>
      <c r="E856" s="116">
        <v>123.560676930347</v>
      </c>
      <c r="F856" s="116">
        <v>128.1</v>
      </c>
      <c r="G856">
        <v>702967</v>
      </c>
      <c r="H856" s="116"/>
      <c r="I856" s="116"/>
      <c r="L856" s="170">
        <v>43262</v>
      </c>
      <c r="M856" s="116">
        <v>124.33645899555</v>
      </c>
      <c r="N856" s="116">
        <v>128.79609027336301</v>
      </c>
      <c r="O856" s="116">
        <v>123.027654164018</v>
      </c>
      <c r="P856" s="116">
        <v>123.803242212333</v>
      </c>
      <c r="Q856" s="116">
        <v>128.25</v>
      </c>
      <c r="R856">
        <v>6562401</v>
      </c>
    </row>
    <row r="857" spans="1:18" x14ac:dyDescent="0.25">
      <c r="A857" s="170">
        <v>43263</v>
      </c>
      <c r="B857" s="116">
        <v>125.063376414396</v>
      </c>
      <c r="C857" s="116">
        <v>123.754573637966</v>
      </c>
      <c r="D857" s="116">
        <v>122.49424503844099</v>
      </c>
      <c r="E857" s="116">
        <v>123.60915110725099</v>
      </c>
      <c r="F857" s="116">
        <v>127.65</v>
      </c>
      <c r="G857">
        <v>362814</v>
      </c>
      <c r="H857" s="116"/>
      <c r="I857" s="116"/>
      <c r="L857" s="170">
        <v>43263</v>
      </c>
      <c r="M857" s="116">
        <v>123.754767959313</v>
      </c>
      <c r="N857" s="116">
        <v>124.966624284806</v>
      </c>
      <c r="O857" s="116">
        <v>122.300540368722</v>
      </c>
      <c r="P857" s="116">
        <v>123.41544818817501</v>
      </c>
      <c r="Q857" s="116">
        <v>127.65</v>
      </c>
      <c r="R857">
        <v>2262313</v>
      </c>
    </row>
    <row r="858" spans="1:18" x14ac:dyDescent="0.25">
      <c r="A858" s="170">
        <v>43264</v>
      </c>
      <c r="B858" s="116">
        <v>129.910794104876</v>
      </c>
      <c r="C858" s="116">
        <v>125.30574729892</v>
      </c>
      <c r="D858" s="116">
        <v>124.239315407014</v>
      </c>
      <c r="E858" s="116">
        <v>124.239315407014</v>
      </c>
      <c r="F858" s="116">
        <v>129.25</v>
      </c>
      <c r="G858">
        <v>1011658</v>
      </c>
      <c r="H858" s="116"/>
      <c r="I858" s="116"/>
      <c r="L858" s="170">
        <v>43264</v>
      </c>
      <c r="M858" s="116">
        <v>125.208995549905</v>
      </c>
      <c r="N858" s="116">
        <v>128.60219326128399</v>
      </c>
      <c r="O858" s="116">
        <v>124.38493324856999</v>
      </c>
      <c r="P858" s="116">
        <v>124.62730451366799</v>
      </c>
      <c r="Q858" s="116">
        <v>129.15</v>
      </c>
      <c r="R858">
        <v>6679378</v>
      </c>
    </row>
    <row r="859" spans="1:18" x14ac:dyDescent="0.25">
      <c r="A859" s="170">
        <v>43265</v>
      </c>
      <c r="B859" s="116">
        <v>130.637906758448</v>
      </c>
      <c r="C859" s="116">
        <v>129.813845751066</v>
      </c>
      <c r="D859" s="116">
        <v>123.512202753442</v>
      </c>
      <c r="E859" s="116">
        <v>125.935911598682</v>
      </c>
      <c r="F859" s="116">
        <v>133.9</v>
      </c>
      <c r="G859">
        <v>969244</v>
      </c>
      <c r="H859" s="116"/>
      <c r="I859" s="116"/>
      <c r="L859" s="170">
        <v>43265</v>
      </c>
      <c r="M859" s="116">
        <v>129.86252383979701</v>
      </c>
      <c r="N859" s="116">
        <v>130.73506039415099</v>
      </c>
      <c r="O859" s="116">
        <v>123.31849968213599</v>
      </c>
      <c r="P859" s="116">
        <v>124.578830260648</v>
      </c>
      <c r="Q859" s="116">
        <v>133.94999999999999</v>
      </c>
      <c r="R859">
        <v>9893943</v>
      </c>
    </row>
    <row r="860" spans="1:18" x14ac:dyDescent="0.25">
      <c r="A860" s="170">
        <v>43266</v>
      </c>
      <c r="B860" s="116">
        <v>133.06161560368801</v>
      </c>
      <c r="C860" s="116">
        <v>128.06877538249299</v>
      </c>
      <c r="D860" s="116">
        <v>127.34166272892099</v>
      </c>
      <c r="E860" s="116">
        <v>130.880277642972</v>
      </c>
      <c r="F860" s="116">
        <v>132.1</v>
      </c>
      <c r="G860">
        <v>1247215</v>
      </c>
      <c r="H860" s="116"/>
      <c r="I860" s="116"/>
      <c r="L860" s="170">
        <v>43266</v>
      </c>
      <c r="M860" s="116">
        <v>128.40829624920499</v>
      </c>
      <c r="N860" s="116">
        <v>133.01335028607801</v>
      </c>
      <c r="O860" s="116">
        <v>127.390336935791</v>
      </c>
      <c r="P860" s="116">
        <v>130.88048315321001</v>
      </c>
      <c r="Q860" s="116">
        <v>132.44999999999999</v>
      </c>
      <c r="R860">
        <v>8917748</v>
      </c>
    </row>
    <row r="861" spans="1:18" x14ac:dyDescent="0.25">
      <c r="A861" s="170">
        <v>43269</v>
      </c>
      <c r="B861" s="116">
        <v>131.65586447344899</v>
      </c>
      <c r="C861" s="116">
        <v>130.05621663559</v>
      </c>
      <c r="D861" s="116">
        <v>126.663024252254</v>
      </c>
      <c r="E861" s="116">
        <v>130.29858752011401</v>
      </c>
      <c r="F861" s="116">
        <v>134.15</v>
      </c>
      <c r="G861">
        <v>583951</v>
      </c>
      <c r="H861" s="116"/>
      <c r="I861" s="116"/>
      <c r="L861" s="170">
        <v>43269</v>
      </c>
      <c r="M861" s="116">
        <v>130.250317863954</v>
      </c>
      <c r="N861" s="116">
        <v>131.849968213605</v>
      </c>
      <c r="O861" s="116">
        <v>126.46932612841699</v>
      </c>
      <c r="P861" s="116">
        <v>128.84456452638301</v>
      </c>
      <c r="Q861" s="116">
        <v>134.35</v>
      </c>
      <c r="R861">
        <v>8419032</v>
      </c>
    </row>
    <row r="862" spans="1:18" x14ac:dyDescent="0.25">
      <c r="A862" s="170">
        <v>43270</v>
      </c>
      <c r="B862" s="116">
        <v>131.36501941201999</v>
      </c>
      <c r="C862" s="116">
        <v>126.129808306301</v>
      </c>
      <c r="D862" s="116">
        <v>125.20879894511</v>
      </c>
      <c r="E862" s="116">
        <v>128.84436221297</v>
      </c>
      <c r="F862" s="116">
        <v>130.1</v>
      </c>
      <c r="G862">
        <v>434009</v>
      </c>
      <c r="H862" s="116"/>
      <c r="I862" s="116"/>
      <c r="L862" s="170">
        <v>43270</v>
      </c>
      <c r="M862" s="116">
        <v>125.93610934519999</v>
      </c>
      <c r="N862" s="116">
        <v>131.41369993642701</v>
      </c>
      <c r="O862" s="116">
        <v>124.966624284806</v>
      </c>
      <c r="P862" s="116">
        <v>128.55371900826401</v>
      </c>
      <c r="Q862" s="116">
        <v>129.9</v>
      </c>
      <c r="R862">
        <v>5591679</v>
      </c>
    </row>
    <row r="863" spans="1:18" x14ac:dyDescent="0.25">
      <c r="A863" s="170">
        <v>43271</v>
      </c>
      <c r="B863" s="116">
        <v>128.21419791320801</v>
      </c>
      <c r="C863" s="116">
        <v>127.63250779035</v>
      </c>
      <c r="D863" s="116">
        <v>124.578634645348</v>
      </c>
      <c r="E863" s="116">
        <v>124.966428060586</v>
      </c>
      <c r="F863" s="116">
        <v>131.65</v>
      </c>
      <c r="G863">
        <v>476256</v>
      </c>
      <c r="H863" s="116"/>
      <c r="I863" s="116"/>
      <c r="L863" s="170">
        <v>43271</v>
      </c>
      <c r="M863" s="116">
        <v>127.72965670692901</v>
      </c>
      <c r="N863" s="116">
        <v>128.31134774316601</v>
      </c>
      <c r="O863" s="116">
        <v>124.966624284806</v>
      </c>
      <c r="P863" s="116">
        <v>125.063572790846</v>
      </c>
      <c r="Q863" s="116">
        <v>131.75</v>
      </c>
      <c r="R863">
        <v>4895974</v>
      </c>
    </row>
    <row r="864" spans="1:18" x14ac:dyDescent="0.25">
      <c r="A864" s="170">
        <v>43272</v>
      </c>
      <c r="B864" s="116">
        <v>129.18368145130401</v>
      </c>
      <c r="C864" s="116">
        <v>125.645066537253</v>
      </c>
      <c r="D864" s="116">
        <v>124.724057176062</v>
      </c>
      <c r="E864" s="116">
        <v>126.56607589844501</v>
      </c>
      <c r="F864" s="116">
        <v>129.6</v>
      </c>
      <c r="G864">
        <v>420971</v>
      </c>
      <c r="H864" s="116"/>
      <c r="I864" s="116"/>
      <c r="L864" s="170">
        <v>43272</v>
      </c>
      <c r="M864" s="116">
        <v>125.887635092181</v>
      </c>
      <c r="N864" s="116">
        <v>128.65066751430399</v>
      </c>
      <c r="O864" s="116">
        <v>124.578830260648</v>
      </c>
      <c r="P864" s="116">
        <v>127.68118245391</v>
      </c>
      <c r="Q864" s="116">
        <v>129.85</v>
      </c>
      <c r="R864">
        <v>3634286</v>
      </c>
    </row>
    <row r="865" spans="1:18" x14ac:dyDescent="0.25">
      <c r="A865" s="170">
        <v>43273</v>
      </c>
      <c r="B865" s="116">
        <v>126.85692095987299</v>
      </c>
      <c r="C865" s="116">
        <v>126.129808306301</v>
      </c>
      <c r="D865" s="116">
        <v>123.851521991775</v>
      </c>
      <c r="E865" s="116">
        <v>124.09389287629899</v>
      </c>
      <c r="F865" s="116">
        <v>130.1</v>
      </c>
      <c r="G865">
        <v>357267</v>
      </c>
      <c r="H865" s="116"/>
      <c r="I865" s="116"/>
      <c r="L865" s="170">
        <v>43273</v>
      </c>
      <c r="M865" s="116">
        <v>126.372377622378</v>
      </c>
      <c r="N865" s="116">
        <v>127.002542911634</v>
      </c>
      <c r="O865" s="116">
        <v>123.657819453274</v>
      </c>
      <c r="P865" s="116">
        <v>125.839160839161</v>
      </c>
      <c r="Q865" s="116">
        <v>130.35</v>
      </c>
      <c r="R865">
        <v>4123963</v>
      </c>
    </row>
    <row r="866" spans="1:18" x14ac:dyDescent="0.25">
      <c r="A866" s="170">
        <v>43276</v>
      </c>
      <c r="B866" s="116">
        <v>127.002343490588</v>
      </c>
      <c r="C866" s="116">
        <v>123.075935161299</v>
      </c>
      <c r="D866" s="116">
        <v>122.83356427677499</v>
      </c>
      <c r="E866" s="116">
        <v>126.129808306301</v>
      </c>
      <c r="F866" s="116">
        <v>126.95</v>
      </c>
      <c r="G866">
        <v>288761</v>
      </c>
      <c r="H866" s="116"/>
      <c r="I866" s="116"/>
      <c r="L866" s="170">
        <v>43276</v>
      </c>
      <c r="M866" s="116">
        <v>123.124602670057</v>
      </c>
      <c r="N866" s="116">
        <v>127.09949141767299</v>
      </c>
      <c r="O866" s="116">
        <v>122.833757151939</v>
      </c>
      <c r="P866" s="116">
        <v>126.03305785124</v>
      </c>
      <c r="Q866" s="116">
        <v>127</v>
      </c>
      <c r="R866">
        <v>2763727</v>
      </c>
    </row>
    <row r="867" spans="1:18" x14ac:dyDescent="0.25">
      <c r="A867" s="170">
        <v>43277</v>
      </c>
      <c r="B867" s="116">
        <v>127.002343490588</v>
      </c>
      <c r="C867" s="116">
        <v>125.063376414396</v>
      </c>
      <c r="D867" s="116">
        <v>121.233916438916</v>
      </c>
      <c r="E867" s="116">
        <v>122.15492580010699</v>
      </c>
      <c r="F867" s="116">
        <v>129</v>
      </c>
      <c r="G867">
        <v>505691</v>
      </c>
      <c r="H867" s="116"/>
      <c r="I867" s="116"/>
      <c r="L867" s="170">
        <v>43277</v>
      </c>
      <c r="M867" s="116">
        <v>125.208995549905</v>
      </c>
      <c r="N867" s="116">
        <v>127.002542911634</v>
      </c>
      <c r="O867" s="116">
        <v>121.37952956134799</v>
      </c>
      <c r="P867" s="116">
        <v>121.37952956134799</v>
      </c>
      <c r="Q867" s="116">
        <v>129.15</v>
      </c>
      <c r="R867">
        <v>5572972</v>
      </c>
    </row>
    <row r="868" spans="1:18" x14ac:dyDescent="0.25">
      <c r="A868" s="170">
        <v>43278</v>
      </c>
      <c r="B868" s="116">
        <v>123.89999616868</v>
      </c>
      <c r="C868" s="116">
        <v>111.73297776557401</v>
      </c>
      <c r="D868" s="116">
        <v>108.582156266762</v>
      </c>
      <c r="E868" s="116">
        <v>123.46372857653699</v>
      </c>
      <c r="F868" s="116">
        <v>115.25</v>
      </c>
      <c r="G868">
        <v>1525303</v>
      </c>
      <c r="H868" s="116"/>
      <c r="I868" s="116"/>
      <c r="L868" s="170">
        <v>43278</v>
      </c>
      <c r="M868" s="116">
        <v>111.58773045136699</v>
      </c>
      <c r="N868" s="116">
        <v>124.09408773045099</v>
      </c>
      <c r="O868" s="116">
        <v>109.06706929434201</v>
      </c>
      <c r="P868" s="116">
        <v>124.09408773045099</v>
      </c>
      <c r="Q868" s="116">
        <v>115.1</v>
      </c>
      <c r="R868">
        <v>11674336</v>
      </c>
    </row>
    <row r="869" spans="1:18" x14ac:dyDescent="0.25">
      <c r="A869" s="170">
        <v>43279</v>
      </c>
      <c r="B869" s="116">
        <v>112.07229700390801</v>
      </c>
      <c r="C869" s="116">
        <v>106.497766659855</v>
      </c>
      <c r="D869" s="116">
        <v>105.673705652474</v>
      </c>
      <c r="E869" s="116">
        <v>109.551639804858</v>
      </c>
      <c r="F869" s="116">
        <v>109.85</v>
      </c>
      <c r="G869">
        <v>982061</v>
      </c>
      <c r="H869" s="116"/>
      <c r="I869" s="116"/>
      <c r="L869" s="170">
        <v>43279</v>
      </c>
      <c r="M869" s="116">
        <v>106.0131913541</v>
      </c>
      <c r="N869" s="116">
        <v>112.12094723458399</v>
      </c>
      <c r="O869" s="116">
        <v>105.383026064844</v>
      </c>
      <c r="P869" s="116">
        <v>110.036554354736</v>
      </c>
      <c r="Q869" s="116">
        <v>109.35</v>
      </c>
      <c r="R869">
        <v>8742008</v>
      </c>
    </row>
    <row r="870" spans="1:18" x14ac:dyDescent="0.25">
      <c r="A870" s="170">
        <v>43280</v>
      </c>
      <c r="B870" s="116">
        <v>110.521123342954</v>
      </c>
      <c r="C870" s="116">
        <v>109.454691451049</v>
      </c>
      <c r="D870" s="116">
        <v>106.497766659855</v>
      </c>
      <c r="E870" s="116">
        <v>106.497766659855</v>
      </c>
      <c r="F870" s="116">
        <v>112.9</v>
      </c>
      <c r="G870">
        <v>640304</v>
      </c>
      <c r="H870" s="116"/>
      <c r="I870" s="116"/>
      <c r="L870" s="170">
        <v>43280</v>
      </c>
      <c r="M870" s="116">
        <v>109.697234583598</v>
      </c>
      <c r="N870" s="116">
        <v>110.715193897012</v>
      </c>
      <c r="O870" s="116">
        <v>106.74030514939599</v>
      </c>
      <c r="P870" s="116">
        <v>106.74030514939599</v>
      </c>
      <c r="Q870" s="116">
        <v>113.15</v>
      </c>
      <c r="R870">
        <v>6266086</v>
      </c>
    </row>
    <row r="871" spans="1:18" x14ac:dyDescent="0.25">
      <c r="A871" s="170">
        <v>43283</v>
      </c>
      <c r="B871" s="116">
        <v>110.908916758193</v>
      </c>
      <c r="C871" s="116">
        <v>101.456452261756</v>
      </c>
      <c r="D871" s="116">
        <v>97.966311524609793</v>
      </c>
      <c r="E871" s="116">
        <v>110.908916758193</v>
      </c>
      <c r="F871" s="116">
        <v>104.65</v>
      </c>
      <c r="G871">
        <v>1756809</v>
      </c>
      <c r="H871" s="116"/>
      <c r="I871" s="116"/>
      <c r="L871" s="170">
        <v>43283</v>
      </c>
      <c r="M871" s="116">
        <v>101.844405594406</v>
      </c>
      <c r="N871" s="116">
        <v>110.27892561983499</v>
      </c>
      <c r="O871" s="116">
        <v>97.772568340750098</v>
      </c>
      <c r="P871" s="116">
        <v>109.35791481246</v>
      </c>
      <c r="Q871" s="116">
        <v>105.05</v>
      </c>
      <c r="R871">
        <v>14163679</v>
      </c>
    </row>
    <row r="872" spans="1:18" x14ac:dyDescent="0.25">
      <c r="A872" s="170">
        <v>43284</v>
      </c>
      <c r="B872" s="116">
        <v>104.655747937473</v>
      </c>
      <c r="C872" s="116">
        <v>102.9106775689</v>
      </c>
      <c r="D872" s="116">
        <v>99.711381893182804</v>
      </c>
      <c r="E872" s="116">
        <v>101.69882314628001</v>
      </c>
      <c r="F872" s="116">
        <v>106.15</v>
      </c>
      <c r="G872">
        <v>836401</v>
      </c>
      <c r="H872" s="116"/>
      <c r="I872" s="116"/>
      <c r="L872" s="170">
        <v>43284</v>
      </c>
      <c r="M872" s="116">
        <v>103.007787666879</v>
      </c>
      <c r="N872" s="116">
        <v>104.65591226954901</v>
      </c>
      <c r="O872" s="116">
        <v>99.469167196439898</v>
      </c>
      <c r="P872" s="116">
        <v>101.408137317228</v>
      </c>
      <c r="Q872" s="116">
        <v>106.25</v>
      </c>
      <c r="R872">
        <v>7563035</v>
      </c>
    </row>
    <row r="873" spans="1:18" x14ac:dyDescent="0.25">
      <c r="A873" s="170">
        <v>43285</v>
      </c>
      <c r="B873" s="116">
        <v>104.898118821997</v>
      </c>
      <c r="C873" s="116">
        <v>103.734738576282</v>
      </c>
      <c r="D873" s="116">
        <v>100.632391254374</v>
      </c>
      <c r="E873" s="116">
        <v>102.765255038185</v>
      </c>
      <c r="F873" s="116">
        <v>107</v>
      </c>
      <c r="G873">
        <v>833063</v>
      </c>
      <c r="H873" s="116"/>
      <c r="I873" s="116"/>
      <c r="L873" s="170">
        <v>43285</v>
      </c>
      <c r="M873" s="116">
        <v>104.41354100445</v>
      </c>
      <c r="N873" s="116">
        <v>105.43150031786401</v>
      </c>
      <c r="O873" s="116">
        <v>100.58407501589301</v>
      </c>
      <c r="P873" s="116">
        <v>103.05626191989801</v>
      </c>
      <c r="Q873" s="116">
        <v>107.7</v>
      </c>
      <c r="R873">
        <v>7081273</v>
      </c>
    </row>
    <row r="874" spans="1:18" x14ac:dyDescent="0.25">
      <c r="A874" s="170">
        <v>43286</v>
      </c>
      <c r="B874" s="116">
        <v>104.510325406758</v>
      </c>
      <c r="C874" s="116">
        <v>102.71678086128099</v>
      </c>
      <c r="D874" s="116">
        <v>101.456452261756</v>
      </c>
      <c r="E874" s="116">
        <v>104.510325406758</v>
      </c>
      <c r="F874" s="116">
        <v>105.95</v>
      </c>
      <c r="G874">
        <v>441344</v>
      </c>
      <c r="H874" s="116"/>
      <c r="I874" s="116"/>
      <c r="L874" s="170">
        <v>43286</v>
      </c>
      <c r="M874" s="116">
        <v>102.668467895741</v>
      </c>
      <c r="N874" s="116">
        <v>104.752860775588</v>
      </c>
      <c r="O874" s="116">
        <v>101.359663064209</v>
      </c>
      <c r="P874" s="116">
        <v>104.752860775588</v>
      </c>
      <c r="Q874" s="116">
        <v>105.9</v>
      </c>
      <c r="R874">
        <v>4199495</v>
      </c>
    </row>
    <row r="875" spans="1:18" x14ac:dyDescent="0.25">
      <c r="A875" s="170">
        <v>43287</v>
      </c>
      <c r="B875" s="116">
        <v>108.96994968200001</v>
      </c>
      <c r="C875" s="116">
        <v>107.321827667237</v>
      </c>
      <c r="D875" s="116">
        <v>99.953752777706796</v>
      </c>
      <c r="E875" s="116">
        <v>100.341546192945</v>
      </c>
      <c r="F875" s="116">
        <v>110.7</v>
      </c>
      <c r="G875">
        <v>1279053</v>
      </c>
      <c r="H875" s="116"/>
      <c r="I875" s="116"/>
      <c r="L875" s="170">
        <v>43287</v>
      </c>
      <c r="M875" s="116">
        <v>107.564367450731</v>
      </c>
      <c r="N875" s="116">
        <v>109.260966306421</v>
      </c>
      <c r="O875" s="116">
        <v>99.614589955499</v>
      </c>
      <c r="P875" s="116">
        <v>101.553560076287</v>
      </c>
      <c r="Q875" s="116">
        <v>110.95</v>
      </c>
      <c r="R875">
        <v>12419598</v>
      </c>
    </row>
    <row r="876" spans="1:18" x14ac:dyDescent="0.25">
      <c r="A876" s="170">
        <v>43290</v>
      </c>
      <c r="B876" s="116">
        <v>109.745536512477</v>
      </c>
      <c r="C876" s="116">
        <v>108.19436285152401</v>
      </c>
      <c r="D876" s="116">
        <v>105.382860591045</v>
      </c>
      <c r="E876" s="116">
        <v>109.551639804858</v>
      </c>
      <c r="F876" s="116">
        <v>111.6</v>
      </c>
      <c r="G876">
        <v>716674</v>
      </c>
      <c r="H876" s="116"/>
      <c r="I876" s="116"/>
      <c r="L876" s="170">
        <v>43290</v>
      </c>
      <c r="M876" s="116">
        <v>108.243006993007</v>
      </c>
      <c r="N876" s="116">
        <v>109.891131595677</v>
      </c>
      <c r="O876" s="116">
        <v>105.383026064844</v>
      </c>
      <c r="P876" s="116">
        <v>108.097584233948</v>
      </c>
      <c r="Q876" s="116">
        <v>111.65</v>
      </c>
      <c r="R876">
        <v>6004307</v>
      </c>
    </row>
    <row r="877" spans="1:18" x14ac:dyDescent="0.25">
      <c r="A877" s="170">
        <v>43291</v>
      </c>
      <c r="B877" s="116">
        <v>112.266193711527</v>
      </c>
      <c r="C877" s="116">
        <v>110.66654587366899</v>
      </c>
      <c r="D877" s="116">
        <v>108.630630443667</v>
      </c>
      <c r="E877" s="116">
        <v>109.600113981763</v>
      </c>
      <c r="F877" s="116">
        <v>114.15</v>
      </c>
      <c r="G877">
        <v>683675</v>
      </c>
      <c r="H877" s="116"/>
      <c r="I877" s="116"/>
      <c r="L877" s="170">
        <v>43291</v>
      </c>
      <c r="M877" s="116">
        <v>110.618245390973</v>
      </c>
      <c r="N877" s="116">
        <v>111.83010171646499</v>
      </c>
      <c r="O877" s="116">
        <v>108.67927527018399</v>
      </c>
      <c r="P877" s="116">
        <v>109.551811824539</v>
      </c>
      <c r="Q877" s="116">
        <v>114.1</v>
      </c>
      <c r="R877">
        <v>5607485</v>
      </c>
    </row>
    <row r="878" spans="1:18" x14ac:dyDescent="0.25">
      <c r="A878" s="170">
        <v>43292</v>
      </c>
      <c r="B878" s="116">
        <v>121.67018403105899</v>
      </c>
      <c r="C878" s="116">
        <v>120.16748454701001</v>
      </c>
      <c r="D878" s="116">
        <v>110.860442581288</v>
      </c>
      <c r="E878" s="116">
        <v>111.68450358867</v>
      </c>
      <c r="F878" s="116">
        <v>123.95</v>
      </c>
      <c r="G878">
        <v>3038253</v>
      </c>
      <c r="H878" s="116"/>
      <c r="I878" s="116"/>
      <c r="L878" s="170">
        <v>43292</v>
      </c>
      <c r="M878" s="116">
        <v>120.31309599491399</v>
      </c>
      <c r="N878" s="116">
        <v>121.670375079466</v>
      </c>
      <c r="O878" s="116">
        <v>110.618245390973</v>
      </c>
      <c r="P878" s="116">
        <v>111.00603941513</v>
      </c>
      <c r="Q878" s="116">
        <v>124.1</v>
      </c>
      <c r="R878">
        <v>26582477</v>
      </c>
    </row>
    <row r="879" spans="1:18" x14ac:dyDescent="0.25">
      <c r="A879" s="170">
        <v>43293</v>
      </c>
      <c r="B879" s="116">
        <v>122.49424503844099</v>
      </c>
      <c r="C879" s="116">
        <v>120.458329608439</v>
      </c>
      <c r="D879" s="116">
        <v>117.79224987867499</v>
      </c>
      <c r="E879" s="116">
        <v>119.73121695486699</v>
      </c>
      <c r="F879" s="116">
        <v>124.25</v>
      </c>
      <c r="G879">
        <v>1138836</v>
      </c>
      <c r="H879" s="116"/>
      <c r="I879" s="116"/>
      <c r="L879" s="170">
        <v>43293</v>
      </c>
      <c r="M879" s="116">
        <v>120.506993006993</v>
      </c>
      <c r="N879" s="116">
        <v>122.63986013986001</v>
      </c>
      <c r="O879" s="116">
        <v>117.59853782581099</v>
      </c>
      <c r="P879" s="116">
        <v>120.652415766052</v>
      </c>
      <c r="Q879" s="116">
        <v>124.3</v>
      </c>
      <c r="R879">
        <v>8275466</v>
      </c>
    </row>
    <row r="880" spans="1:18" x14ac:dyDescent="0.25">
      <c r="A880" s="170">
        <v>43294</v>
      </c>
      <c r="B880" s="116">
        <v>128.35962044392201</v>
      </c>
      <c r="C880" s="116">
        <v>127.63250779035</v>
      </c>
      <c r="D880" s="116">
        <v>118.76173341677099</v>
      </c>
      <c r="E880" s="116">
        <v>120.991545554392</v>
      </c>
      <c r="F880" s="116">
        <v>131.65</v>
      </c>
      <c r="G880">
        <v>2518518</v>
      </c>
      <c r="H880" s="116"/>
      <c r="I880" s="116"/>
      <c r="L880" s="170">
        <v>43294</v>
      </c>
      <c r="M880" s="116">
        <v>127.63270820088999</v>
      </c>
      <c r="N880" s="116">
        <v>128.16592498410699</v>
      </c>
      <c r="O880" s="116">
        <v>118.61649713922399</v>
      </c>
      <c r="P880" s="116">
        <v>120.84631277813099</v>
      </c>
      <c r="Q880" s="116">
        <v>131.65</v>
      </c>
      <c r="R880">
        <v>26190343</v>
      </c>
    </row>
    <row r="881" spans="1:18" x14ac:dyDescent="0.25">
      <c r="A881" s="170">
        <v>43297</v>
      </c>
      <c r="B881" s="116">
        <v>130.58943258154301</v>
      </c>
      <c r="C881" s="116">
        <v>129.377578158923</v>
      </c>
      <c r="D881" s="116">
        <v>125.30574729892</v>
      </c>
      <c r="E881" s="116">
        <v>127.487085259636</v>
      </c>
      <c r="F881" s="116">
        <v>133.44999999999999</v>
      </c>
      <c r="G881">
        <v>1851751</v>
      </c>
      <c r="H881" s="116"/>
      <c r="I881" s="116"/>
      <c r="L881" s="170">
        <v>43297</v>
      </c>
      <c r="M881" s="116">
        <v>129.523204068659</v>
      </c>
      <c r="N881" s="116">
        <v>130.73506039415099</v>
      </c>
      <c r="O881" s="116">
        <v>125.25746980292401</v>
      </c>
      <c r="P881" s="116">
        <v>127.002542911634</v>
      </c>
      <c r="Q881" s="116">
        <v>133.6</v>
      </c>
      <c r="R881">
        <v>18221825</v>
      </c>
    </row>
    <row r="882" spans="1:18" x14ac:dyDescent="0.25">
      <c r="A882" s="170">
        <v>43298</v>
      </c>
      <c r="B882" s="116">
        <v>136.93954975607301</v>
      </c>
      <c r="C882" s="116">
        <v>134.27347002630799</v>
      </c>
      <c r="D882" s="116">
        <v>130.44401005082901</v>
      </c>
      <c r="E882" s="116">
        <v>133.497883195832</v>
      </c>
      <c r="F882" s="116">
        <v>138.5</v>
      </c>
      <c r="G882">
        <v>2008470</v>
      </c>
      <c r="H882" s="116"/>
      <c r="I882" s="116"/>
      <c r="L882" s="170">
        <v>43298</v>
      </c>
      <c r="M882" s="116">
        <v>134.07978385251101</v>
      </c>
      <c r="N882" s="116">
        <v>137.27908455181199</v>
      </c>
      <c r="O882" s="116">
        <v>130.10489510489501</v>
      </c>
      <c r="P882" s="116">
        <v>130.92895740623001</v>
      </c>
      <c r="Q882" s="116">
        <v>138.30000000000001</v>
      </c>
      <c r="R882">
        <v>19643642</v>
      </c>
    </row>
    <row r="883" spans="1:18" x14ac:dyDescent="0.25">
      <c r="A883" s="170">
        <v>43299</v>
      </c>
      <c r="B883" s="116">
        <v>139.605629485837</v>
      </c>
      <c r="C883" s="116">
        <v>137.56971405583499</v>
      </c>
      <c r="D883" s="116">
        <v>131.75281282725899</v>
      </c>
      <c r="E883" s="116">
        <v>134.56431508773699</v>
      </c>
      <c r="F883" s="116">
        <v>141.9</v>
      </c>
      <c r="G883">
        <v>1574976</v>
      </c>
      <c r="H883" s="116"/>
      <c r="I883" s="116"/>
      <c r="L883" s="170">
        <v>43299</v>
      </c>
      <c r="M883" s="116">
        <v>137.860775588048</v>
      </c>
      <c r="N883" s="116">
        <v>139.60584869675799</v>
      </c>
      <c r="O883" s="116">
        <v>131.80149396058499</v>
      </c>
      <c r="P883" s="116">
        <v>134.03130959949101</v>
      </c>
      <c r="Q883" s="116">
        <v>142.19999999999999</v>
      </c>
      <c r="R883">
        <v>15509835</v>
      </c>
    </row>
    <row r="884" spans="1:18" x14ac:dyDescent="0.25">
      <c r="A884" s="170">
        <v>43300</v>
      </c>
      <c r="B884" s="116">
        <v>149.49436157441701</v>
      </c>
      <c r="C884" s="116">
        <v>146.29506589869999</v>
      </c>
      <c r="D884" s="116">
        <v>136.74565304845299</v>
      </c>
      <c r="E884" s="116">
        <v>139.50868113202699</v>
      </c>
      <c r="F884" s="116">
        <v>150.9</v>
      </c>
      <c r="G884">
        <v>1599003</v>
      </c>
      <c r="H884" s="116"/>
      <c r="I884" s="116"/>
      <c r="L884" s="170">
        <v>43300</v>
      </c>
      <c r="M884" s="116">
        <v>146.44071837253699</v>
      </c>
      <c r="N884" s="116">
        <v>149.49459631277799</v>
      </c>
      <c r="O884" s="116">
        <v>136.74586776859499</v>
      </c>
      <c r="P884" s="116">
        <v>139.02415766052101</v>
      </c>
      <c r="Q884" s="116">
        <v>151.05000000000001</v>
      </c>
      <c r="R884">
        <v>14414031</v>
      </c>
    </row>
    <row r="885" spans="1:18" x14ac:dyDescent="0.25">
      <c r="A885" s="170">
        <v>43301</v>
      </c>
      <c r="B885" s="116">
        <v>159.91630960895</v>
      </c>
      <c r="C885" s="116">
        <v>158.07429088656701</v>
      </c>
      <c r="D885" s="116">
        <v>145.22863400679401</v>
      </c>
      <c r="E885" s="116">
        <v>147.36149779060599</v>
      </c>
      <c r="F885" s="116">
        <v>163.05000000000001</v>
      </c>
      <c r="G885">
        <v>2845031</v>
      </c>
      <c r="H885" s="116"/>
      <c r="I885" s="116"/>
      <c r="L885" s="170">
        <v>43301</v>
      </c>
      <c r="M885" s="116">
        <v>157.977590591227</v>
      </c>
      <c r="N885" s="116">
        <v>159.67418944691701</v>
      </c>
      <c r="O885" s="116">
        <v>145.131913541004</v>
      </c>
      <c r="P885" s="116">
        <v>147.45867768594999</v>
      </c>
      <c r="Q885" s="116">
        <v>162.94999999999999</v>
      </c>
      <c r="R885">
        <v>27020824</v>
      </c>
    </row>
    <row r="886" spans="1:18" x14ac:dyDescent="0.25">
      <c r="A886" s="170">
        <v>43304</v>
      </c>
      <c r="B886" s="116">
        <v>167.090487790861</v>
      </c>
      <c r="C886" s="116">
        <v>165.878633368241</v>
      </c>
      <c r="D886" s="116">
        <v>154.147882557278</v>
      </c>
      <c r="E886" s="116">
        <v>157.541074940615</v>
      </c>
      <c r="F886" s="116">
        <v>171.1</v>
      </c>
      <c r="G886">
        <v>2100895</v>
      </c>
      <c r="H886" s="116"/>
      <c r="I886" s="116"/>
      <c r="L886" s="170">
        <v>43304</v>
      </c>
      <c r="M886" s="116">
        <v>165.97584233947899</v>
      </c>
      <c r="N886" s="116">
        <v>167.139224411952</v>
      </c>
      <c r="O886" s="116">
        <v>154.14812460267001</v>
      </c>
      <c r="P886" s="116">
        <v>156.426414494596</v>
      </c>
      <c r="Q886" s="116">
        <v>171.2</v>
      </c>
      <c r="R886">
        <v>23373737</v>
      </c>
    </row>
    <row r="887" spans="1:18" x14ac:dyDescent="0.25">
      <c r="A887" s="170">
        <v>43305</v>
      </c>
      <c r="B887" s="116">
        <v>182.35985351587399</v>
      </c>
      <c r="C887" s="116">
        <v>180.46936061658701</v>
      </c>
      <c r="D887" s="116">
        <v>160.11020631656899</v>
      </c>
      <c r="E887" s="116">
        <v>165.78168501443099</v>
      </c>
      <c r="F887" s="116">
        <v>186.15</v>
      </c>
      <c r="G887">
        <v>4181190</v>
      </c>
      <c r="H887" s="116"/>
      <c r="I887" s="116"/>
      <c r="L887" s="170">
        <v>43305</v>
      </c>
      <c r="M887" s="116">
        <v>180.37269548633199</v>
      </c>
      <c r="N887" s="116">
        <v>182.2631913541</v>
      </c>
      <c r="O887" s="116">
        <v>160.110457724094</v>
      </c>
      <c r="P887" s="116">
        <v>165.7819453274</v>
      </c>
      <c r="Q887" s="116">
        <v>186.05</v>
      </c>
      <c r="R887">
        <v>54181637</v>
      </c>
    </row>
    <row r="888" spans="1:18" x14ac:dyDescent="0.25">
      <c r="A888" s="170">
        <v>43306</v>
      </c>
      <c r="B888" s="116">
        <v>198.792599486603</v>
      </c>
      <c r="C888" s="116">
        <v>194.23602685755199</v>
      </c>
      <c r="D888" s="116">
        <v>178.38497100967999</v>
      </c>
      <c r="E888" s="116">
        <v>179.49987707849101</v>
      </c>
      <c r="F888" s="116">
        <v>200.35</v>
      </c>
      <c r="G888">
        <v>4416275</v>
      </c>
      <c r="H888" s="116"/>
      <c r="I888" s="116"/>
      <c r="L888" s="170">
        <v>43306</v>
      </c>
      <c r="M888" s="116">
        <v>193.703115066751</v>
      </c>
      <c r="N888" s="116">
        <v>199.03528289891901</v>
      </c>
      <c r="O888" s="116">
        <v>178.094405594406</v>
      </c>
      <c r="P888" s="116">
        <v>179.354736172918</v>
      </c>
      <c r="Q888" s="116">
        <v>199.8</v>
      </c>
      <c r="R888">
        <v>57013586</v>
      </c>
    </row>
    <row r="889" spans="1:18" x14ac:dyDescent="0.25">
      <c r="A889" s="170">
        <v>43307</v>
      </c>
      <c r="B889" s="116">
        <v>194.86619115731401</v>
      </c>
      <c r="C889" s="116">
        <v>191.47299877397799</v>
      </c>
      <c r="D889" s="116">
        <v>183.47475958468499</v>
      </c>
      <c r="E889" s="116">
        <v>187.88590968302199</v>
      </c>
      <c r="F889" s="116">
        <v>197.5</v>
      </c>
      <c r="G889">
        <v>3814664</v>
      </c>
      <c r="H889" s="116"/>
      <c r="I889" s="116"/>
      <c r="L889" s="170">
        <v>43307</v>
      </c>
      <c r="M889" s="116">
        <v>191.71567069294301</v>
      </c>
      <c r="N889" s="116">
        <v>195.78750794659899</v>
      </c>
      <c r="O889" s="116">
        <v>183.281150667514</v>
      </c>
      <c r="P889" s="116">
        <v>188.37094723458401</v>
      </c>
      <c r="Q889" s="116">
        <v>197.75</v>
      </c>
      <c r="R889">
        <v>42450972</v>
      </c>
    </row>
    <row r="890" spans="1:18" x14ac:dyDescent="0.25">
      <c r="A890" s="170">
        <v>43308</v>
      </c>
      <c r="B890" s="116">
        <v>200.24682479374701</v>
      </c>
      <c r="C890" s="116">
        <v>189.97029928992899</v>
      </c>
      <c r="D890" s="116">
        <v>184.58966565349499</v>
      </c>
      <c r="E890" s="116">
        <v>192.44248231207399</v>
      </c>
      <c r="F890" s="116">
        <v>195.95</v>
      </c>
      <c r="G890">
        <v>2712359</v>
      </c>
      <c r="H890" s="116"/>
      <c r="I890" s="116"/>
      <c r="L890" s="170">
        <v>43308</v>
      </c>
      <c r="M890" s="116">
        <v>189.92212333121401</v>
      </c>
      <c r="N890" s="116">
        <v>200.44103623649099</v>
      </c>
      <c r="O890" s="116">
        <v>184.68690400508601</v>
      </c>
      <c r="P890" s="116">
        <v>192.00651621106201</v>
      </c>
      <c r="Q890" s="116">
        <v>195.9</v>
      </c>
      <c r="R890">
        <v>28498883</v>
      </c>
    </row>
    <row r="891" spans="1:18" x14ac:dyDescent="0.25">
      <c r="A891" s="170">
        <v>43311</v>
      </c>
      <c r="B891" s="116">
        <v>194.23602685755199</v>
      </c>
      <c r="C891" s="116">
        <v>187.64353879849801</v>
      </c>
      <c r="D891" s="116">
        <v>186.52863272968801</v>
      </c>
      <c r="E891" s="116">
        <v>191.182153712549</v>
      </c>
      <c r="F891" s="116">
        <v>193.55</v>
      </c>
      <c r="G891">
        <v>1425242</v>
      </c>
      <c r="H891" s="116"/>
      <c r="I891" s="116"/>
      <c r="L891" s="170">
        <v>43311</v>
      </c>
      <c r="M891" s="116">
        <v>187.64383343928799</v>
      </c>
      <c r="N891" s="116">
        <v>194.284806102988</v>
      </c>
      <c r="O891" s="116">
        <v>186.480451366815</v>
      </c>
      <c r="P891" s="116">
        <v>191.182453909727</v>
      </c>
      <c r="Q891" s="116">
        <v>193.55</v>
      </c>
      <c r="R891">
        <v>13913862</v>
      </c>
    </row>
    <row r="892" spans="1:18" x14ac:dyDescent="0.25">
      <c r="A892" s="170">
        <v>43312</v>
      </c>
      <c r="B892" s="116">
        <v>192.10316307374001</v>
      </c>
      <c r="C892" s="116">
        <v>189.58250587469001</v>
      </c>
      <c r="D892" s="116">
        <v>185.17135577635301</v>
      </c>
      <c r="E892" s="116">
        <v>187.78896132921301</v>
      </c>
      <c r="F892" s="116">
        <v>195.55</v>
      </c>
      <c r="G892">
        <v>981329</v>
      </c>
      <c r="H892" s="116"/>
      <c r="I892" s="116"/>
      <c r="L892" s="170">
        <v>43312</v>
      </c>
      <c r="M892" s="116">
        <v>189.48585505403699</v>
      </c>
      <c r="N892" s="116">
        <v>192.15193897012099</v>
      </c>
      <c r="O892" s="116">
        <v>185.22012078830301</v>
      </c>
      <c r="P892" s="116">
        <v>187.546884933249</v>
      </c>
      <c r="Q892" s="116">
        <v>195.45</v>
      </c>
      <c r="R892">
        <v>8954739</v>
      </c>
    </row>
    <row r="893" spans="1:18" x14ac:dyDescent="0.25">
      <c r="A893" s="170">
        <v>43313</v>
      </c>
      <c r="B893" s="116">
        <v>191.37605042016801</v>
      </c>
      <c r="C893" s="116">
        <v>187.25574538326001</v>
      </c>
      <c r="D893" s="116">
        <v>185.753045899211</v>
      </c>
      <c r="E893" s="116">
        <v>190.89130865112</v>
      </c>
      <c r="F893" s="116">
        <v>193.15</v>
      </c>
      <c r="G893">
        <v>641221</v>
      </c>
      <c r="H893" s="116"/>
      <c r="I893" s="116"/>
      <c r="L893" s="170">
        <v>43313</v>
      </c>
      <c r="M893" s="116">
        <v>187.35298792117001</v>
      </c>
      <c r="N893" s="116">
        <v>191.57024793388399</v>
      </c>
      <c r="O893" s="116">
        <v>185.80181182453899</v>
      </c>
      <c r="P893" s="116">
        <v>190.01907183725399</v>
      </c>
      <c r="Q893" s="116">
        <v>193.25</v>
      </c>
      <c r="R893">
        <v>5366632</v>
      </c>
    </row>
    <row r="894" spans="1:18" x14ac:dyDescent="0.25">
      <c r="A894" s="170">
        <v>43314</v>
      </c>
      <c r="B894" s="116">
        <v>195.447881280172</v>
      </c>
      <c r="C894" s="116">
        <v>190.50351523588199</v>
      </c>
      <c r="D894" s="116">
        <v>179.984618847539</v>
      </c>
      <c r="E894" s="116">
        <v>187.11032285254501</v>
      </c>
      <c r="F894" s="116">
        <v>196.5</v>
      </c>
      <c r="G894">
        <v>1877829</v>
      </c>
      <c r="H894" s="116"/>
      <c r="I894" s="116"/>
      <c r="L894" s="170">
        <v>43314</v>
      </c>
      <c r="M894" s="116">
        <v>190.50381436745101</v>
      </c>
      <c r="N894" s="116">
        <v>195.5451366815</v>
      </c>
      <c r="O894" s="116">
        <v>179.83947870311499</v>
      </c>
      <c r="P894" s="116">
        <v>187.11061665607099</v>
      </c>
      <c r="Q894" s="116">
        <v>196.5</v>
      </c>
      <c r="R894">
        <v>17024744</v>
      </c>
    </row>
    <row r="895" spans="1:18" x14ac:dyDescent="0.25">
      <c r="A895" s="170">
        <v>43315</v>
      </c>
      <c r="B895" s="116">
        <v>197.968538479221</v>
      </c>
      <c r="C895" s="116">
        <v>191.95774054302601</v>
      </c>
      <c r="D895" s="116">
        <v>188.17675474445099</v>
      </c>
      <c r="E895" s="116">
        <v>189.04928992873701</v>
      </c>
      <c r="F895" s="116">
        <v>198</v>
      </c>
      <c r="G895">
        <v>1468372</v>
      </c>
      <c r="H895" s="116"/>
      <c r="I895" s="116"/>
      <c r="L895" s="170">
        <v>43315</v>
      </c>
      <c r="M895" s="116">
        <v>192.10346471710099</v>
      </c>
      <c r="N895" s="116">
        <v>198.06579783852499</v>
      </c>
      <c r="O895" s="116">
        <v>188.08010171646501</v>
      </c>
      <c r="P895" s="116">
        <v>188.56484424666201</v>
      </c>
      <c r="Q895" s="116">
        <v>198.15</v>
      </c>
      <c r="R895">
        <v>20404842</v>
      </c>
    </row>
    <row r="896" spans="1:18" x14ac:dyDescent="0.25">
      <c r="A896" s="170">
        <v>43318</v>
      </c>
      <c r="B896" s="116">
        <v>196.22346811064901</v>
      </c>
      <c r="C896" s="116">
        <v>192.248585604455</v>
      </c>
      <c r="D896" s="116">
        <v>190.358092705167</v>
      </c>
      <c r="E896" s="116">
        <v>193.89670761921801</v>
      </c>
      <c r="F896" s="116">
        <v>198.3</v>
      </c>
      <c r="G896">
        <v>951038</v>
      </c>
      <c r="H896" s="116"/>
      <c r="I896" s="116"/>
      <c r="L896" s="170">
        <v>43318</v>
      </c>
      <c r="M896" s="116">
        <v>192.15193897012099</v>
      </c>
      <c r="N896" s="116">
        <v>195.98140495867801</v>
      </c>
      <c r="O896" s="116">
        <v>190.21296884933199</v>
      </c>
      <c r="P896" s="116">
        <v>193.89701207882999</v>
      </c>
      <c r="Q896" s="116">
        <v>198.2</v>
      </c>
      <c r="R896">
        <v>8844068</v>
      </c>
    </row>
    <row r="897" spans="1:18" x14ac:dyDescent="0.25">
      <c r="A897" s="170">
        <v>43319</v>
      </c>
      <c r="B897" s="116">
        <v>191.182153712549</v>
      </c>
      <c r="C897" s="116">
        <v>184.34729476897101</v>
      </c>
      <c r="D897" s="116">
        <v>181.39036997777799</v>
      </c>
      <c r="E897" s="116">
        <v>189.53403169778599</v>
      </c>
      <c r="F897" s="116">
        <v>190.15</v>
      </c>
      <c r="G897">
        <v>1592975</v>
      </c>
      <c r="H897" s="116"/>
      <c r="I897" s="116"/>
      <c r="L897" s="170">
        <v>43319</v>
      </c>
      <c r="M897" s="116">
        <v>184.347584233948</v>
      </c>
      <c r="N897" s="116">
        <v>191.27940241576599</v>
      </c>
      <c r="O897" s="116">
        <v>180.954386522568</v>
      </c>
      <c r="P897" s="116">
        <v>190.98855689764801</v>
      </c>
      <c r="Q897" s="116">
        <v>190.15</v>
      </c>
      <c r="R897">
        <v>13606741</v>
      </c>
    </row>
    <row r="898" spans="1:18" x14ac:dyDescent="0.25">
      <c r="A898" s="170">
        <v>43320</v>
      </c>
      <c r="B898" s="116">
        <v>202.767481992797</v>
      </c>
      <c r="C898" s="116">
        <v>193.266543319455</v>
      </c>
      <c r="D898" s="116">
        <v>173.53755331919999</v>
      </c>
      <c r="E898" s="116">
        <v>176.54295228729799</v>
      </c>
      <c r="F898" s="116">
        <v>199.35</v>
      </c>
      <c r="G898">
        <v>3534469</v>
      </c>
      <c r="H898" s="116"/>
      <c r="I898" s="116"/>
      <c r="L898" s="170">
        <v>43320</v>
      </c>
      <c r="M898" s="116">
        <v>193.55769230769201</v>
      </c>
      <c r="N898" s="116">
        <v>202.331532104259</v>
      </c>
      <c r="O898" s="116">
        <v>173.53782581055299</v>
      </c>
      <c r="P898" s="116">
        <v>176.494755244755</v>
      </c>
      <c r="Q898" s="116">
        <v>199.65</v>
      </c>
      <c r="R898">
        <v>35491149</v>
      </c>
    </row>
    <row r="899" spans="1:18" x14ac:dyDescent="0.25">
      <c r="A899" s="170">
        <v>43321</v>
      </c>
      <c r="B899" s="116">
        <v>200.39224732446201</v>
      </c>
      <c r="C899" s="116">
        <v>194.13907850374201</v>
      </c>
      <c r="D899" s="116">
        <v>191.860792189216</v>
      </c>
      <c r="E899" s="116">
        <v>198.74412530969801</v>
      </c>
      <c r="F899" s="116">
        <v>200.25</v>
      </c>
      <c r="G899">
        <v>1734171</v>
      </c>
      <c r="H899" s="116"/>
      <c r="I899" s="116"/>
      <c r="L899" s="170">
        <v>43321</v>
      </c>
      <c r="M899" s="116">
        <v>194.236331849968</v>
      </c>
      <c r="N899" s="116">
        <v>200.58645899555</v>
      </c>
      <c r="O899" s="116">
        <v>192.15193897012099</v>
      </c>
      <c r="P899" s="116">
        <v>197.77495232040701</v>
      </c>
      <c r="Q899" s="116">
        <v>200.35</v>
      </c>
      <c r="R899">
        <v>15237502</v>
      </c>
    </row>
    <row r="900" spans="1:18" x14ac:dyDescent="0.25">
      <c r="A900" s="170">
        <v>43322</v>
      </c>
      <c r="B900" s="116">
        <v>195.83567469541001</v>
      </c>
      <c r="C900" s="116">
        <v>192.830275727312</v>
      </c>
      <c r="D900" s="116">
        <v>190.40656688207201</v>
      </c>
      <c r="E900" s="116">
        <v>191.327576243263</v>
      </c>
      <c r="F900" s="116">
        <v>198.9</v>
      </c>
      <c r="G900">
        <v>1091982</v>
      </c>
      <c r="H900" s="116"/>
      <c r="I900" s="116"/>
      <c r="L900" s="170">
        <v>43322</v>
      </c>
      <c r="M900" s="116">
        <v>193.07294977749501</v>
      </c>
      <c r="N900" s="116">
        <v>195.73903369357899</v>
      </c>
      <c r="O900" s="116">
        <v>190.116020343293</v>
      </c>
      <c r="P900" s="116">
        <v>193.55769230769201</v>
      </c>
      <c r="Q900" s="116">
        <v>199.15</v>
      </c>
      <c r="R900">
        <v>9286699</v>
      </c>
    </row>
    <row r="901" spans="1:18" x14ac:dyDescent="0.25">
      <c r="A901" s="170">
        <v>43325</v>
      </c>
      <c r="B901" s="116">
        <v>192.830275727312</v>
      </c>
      <c r="C901" s="116">
        <v>188.273703098261</v>
      </c>
      <c r="D901" s="116">
        <v>187.11032285254501</v>
      </c>
      <c r="E901" s="116">
        <v>189.04928992873701</v>
      </c>
      <c r="F901" s="116">
        <v>194.2</v>
      </c>
      <c r="G901">
        <v>941596</v>
      </c>
      <c r="H901" s="116"/>
      <c r="I901" s="116"/>
      <c r="L901" s="170">
        <v>43325</v>
      </c>
      <c r="M901" s="116">
        <v>188.46789574062299</v>
      </c>
      <c r="N901" s="116">
        <v>192.733630006357</v>
      </c>
      <c r="O901" s="116">
        <v>186.86824539097299</v>
      </c>
      <c r="P901" s="116">
        <v>190.01907183725399</v>
      </c>
      <c r="Q901" s="116">
        <v>194.4</v>
      </c>
      <c r="R901">
        <v>7193016</v>
      </c>
    </row>
    <row r="902" spans="1:18" x14ac:dyDescent="0.25">
      <c r="A902" s="170">
        <v>43326</v>
      </c>
      <c r="B902" s="116">
        <v>199.61666049398499</v>
      </c>
      <c r="C902" s="116">
        <v>196.22346811064901</v>
      </c>
      <c r="D902" s="116">
        <v>189.00081575183299</v>
      </c>
      <c r="E902" s="116">
        <v>189.04928992873701</v>
      </c>
      <c r="F902" s="116">
        <v>202.4</v>
      </c>
      <c r="G902">
        <v>1532875</v>
      </c>
      <c r="H902" s="116"/>
      <c r="I902" s="116"/>
      <c r="L902" s="170">
        <v>43326</v>
      </c>
      <c r="M902" s="116">
        <v>196.126827717737</v>
      </c>
      <c r="N902" s="116">
        <v>199.13223140495899</v>
      </c>
      <c r="O902" s="116">
        <v>188.61331849968201</v>
      </c>
      <c r="P902" s="116">
        <v>188.758741258741</v>
      </c>
      <c r="Q902" s="116">
        <v>202.3</v>
      </c>
      <c r="R902">
        <v>13331334</v>
      </c>
    </row>
    <row r="903" spans="1:18" x14ac:dyDescent="0.25">
      <c r="A903" s="170">
        <v>43328</v>
      </c>
      <c r="B903" s="116">
        <v>199.37428960946099</v>
      </c>
      <c r="C903" s="116">
        <v>196.65973570279201</v>
      </c>
      <c r="D903" s="116">
        <v>191.95774054302601</v>
      </c>
      <c r="E903" s="116">
        <v>193.75128508850301</v>
      </c>
      <c r="F903" s="116">
        <v>202.85</v>
      </c>
      <c r="G903">
        <v>1217432</v>
      </c>
      <c r="H903" s="116"/>
      <c r="I903" s="116"/>
      <c r="L903" s="170">
        <v>43328</v>
      </c>
      <c r="M903" s="116">
        <v>196.70851875397301</v>
      </c>
      <c r="N903" s="116">
        <v>199.713922441195</v>
      </c>
      <c r="O903" s="116">
        <v>192.442784488239</v>
      </c>
      <c r="P903" s="116">
        <v>192.442784488239</v>
      </c>
      <c r="Q903" s="116">
        <v>202.9</v>
      </c>
      <c r="R903">
        <v>9452650</v>
      </c>
    </row>
    <row r="904" spans="1:18" x14ac:dyDescent="0.25">
      <c r="A904" s="170">
        <v>43329</v>
      </c>
      <c r="B904" s="116">
        <v>200.19835061684199</v>
      </c>
      <c r="C904" s="116">
        <v>196.61126152588699</v>
      </c>
      <c r="D904" s="116">
        <v>194.13907850374201</v>
      </c>
      <c r="E904" s="116">
        <v>195.93262304922001</v>
      </c>
      <c r="F904" s="116">
        <v>202.8</v>
      </c>
      <c r="G904">
        <v>788721</v>
      </c>
      <c r="H904" s="116"/>
      <c r="I904" s="116"/>
      <c r="L904" s="170">
        <v>43329</v>
      </c>
      <c r="M904" s="116">
        <v>196.853941513032</v>
      </c>
      <c r="N904" s="116">
        <v>200.39256198347101</v>
      </c>
      <c r="O904" s="116">
        <v>194.575651621106</v>
      </c>
      <c r="P904" s="116">
        <v>195.835982199619</v>
      </c>
      <c r="Q904" s="116">
        <v>203.05</v>
      </c>
      <c r="R904">
        <v>5498632</v>
      </c>
    </row>
    <row r="905" spans="1:18" x14ac:dyDescent="0.25">
      <c r="A905" s="170">
        <v>43332</v>
      </c>
      <c r="B905" s="116">
        <v>207.857270567802</v>
      </c>
      <c r="C905" s="116">
        <v>205.86982931470499</v>
      </c>
      <c r="D905" s="116">
        <v>196.22346811064901</v>
      </c>
      <c r="E905" s="116">
        <v>196.32041646445799</v>
      </c>
      <c r="F905" s="116">
        <v>212.35</v>
      </c>
      <c r="G905">
        <v>1825604</v>
      </c>
      <c r="H905" s="116"/>
      <c r="I905" s="116"/>
      <c r="L905" s="170">
        <v>43332</v>
      </c>
      <c r="M905" s="116">
        <v>206.015575333757</v>
      </c>
      <c r="N905" s="116">
        <v>207.71217418944701</v>
      </c>
      <c r="O905" s="116">
        <v>195.98140495867801</v>
      </c>
      <c r="P905" s="116">
        <v>196.95089001907201</v>
      </c>
      <c r="Q905" s="116">
        <v>212.5</v>
      </c>
      <c r="R905">
        <v>19808480</v>
      </c>
    </row>
    <row r="906" spans="1:18" x14ac:dyDescent="0.25">
      <c r="A906" s="170">
        <v>43333</v>
      </c>
      <c r="B906" s="116">
        <v>215.467716341856</v>
      </c>
      <c r="C906" s="116">
        <v>206.59694196827701</v>
      </c>
      <c r="D906" s="116">
        <v>205.33661336875201</v>
      </c>
      <c r="E906" s="116">
        <v>208.24506398304001</v>
      </c>
      <c r="F906" s="116">
        <v>213.1</v>
      </c>
      <c r="G906">
        <v>1740151</v>
      </c>
      <c r="H906" s="116"/>
      <c r="I906" s="116"/>
      <c r="L906" s="170">
        <v>43333</v>
      </c>
      <c r="M906" s="116">
        <v>206.791163382072</v>
      </c>
      <c r="N906" s="116">
        <v>215.225683407502</v>
      </c>
      <c r="O906" s="116">
        <v>205.57930705658001</v>
      </c>
      <c r="P906" s="116">
        <v>207.46980292434799</v>
      </c>
      <c r="Q906" s="116">
        <v>213.3</v>
      </c>
      <c r="R906">
        <v>22079310</v>
      </c>
    </row>
    <row r="907" spans="1:18" x14ac:dyDescent="0.25">
      <c r="A907" s="170">
        <v>43335</v>
      </c>
      <c r="B907" s="116">
        <v>208.48743486756399</v>
      </c>
      <c r="C907" s="116">
        <v>204.51255236137001</v>
      </c>
      <c r="D907" s="116">
        <v>198.01701265612601</v>
      </c>
      <c r="E907" s="116">
        <v>208.19658980613499</v>
      </c>
      <c r="F907" s="116">
        <v>210.95</v>
      </c>
      <c r="G907">
        <v>1346478</v>
      </c>
      <c r="H907" s="116"/>
      <c r="I907" s="116"/>
      <c r="L907" s="170">
        <v>43335</v>
      </c>
      <c r="M907" s="116">
        <v>204.41592498410699</v>
      </c>
      <c r="N907" s="116">
        <v>208.681659249841</v>
      </c>
      <c r="O907" s="116">
        <v>197.87190082644599</v>
      </c>
      <c r="P907" s="116">
        <v>207.95454545454501</v>
      </c>
      <c r="Q907" s="116">
        <v>210.85</v>
      </c>
      <c r="R907">
        <v>14397102</v>
      </c>
    </row>
    <row r="908" spans="1:18" x14ac:dyDescent="0.25">
      <c r="A908" s="170">
        <v>43336</v>
      </c>
      <c r="B908" s="116">
        <v>207.905744744706</v>
      </c>
      <c r="C908" s="116">
        <v>202.47663693136801</v>
      </c>
      <c r="D908" s="116">
        <v>201.264782508748</v>
      </c>
      <c r="E908" s="116">
        <v>204.94881995351301</v>
      </c>
      <c r="F908" s="116">
        <v>208.85</v>
      </c>
      <c r="G908">
        <v>786096</v>
      </c>
      <c r="H908" s="116"/>
      <c r="I908" s="116"/>
      <c r="L908" s="170">
        <v>43336</v>
      </c>
      <c r="M908" s="116">
        <v>202.428480610299</v>
      </c>
      <c r="N908" s="116">
        <v>207.95454545454501</v>
      </c>
      <c r="O908" s="116">
        <v>201.022727272727</v>
      </c>
      <c r="P908" s="116">
        <v>203.59186268277199</v>
      </c>
      <c r="Q908" s="116">
        <v>208.8</v>
      </c>
      <c r="R908">
        <v>7819637</v>
      </c>
    </row>
    <row r="909" spans="1:18" x14ac:dyDescent="0.25">
      <c r="A909" s="170">
        <v>43339</v>
      </c>
      <c r="B909" s="116">
        <v>206.30609690684801</v>
      </c>
      <c r="C909" s="116">
        <v>205.23966501494201</v>
      </c>
      <c r="D909" s="116">
        <v>201.16783415493899</v>
      </c>
      <c r="E909" s="116">
        <v>202.81595616970199</v>
      </c>
      <c r="F909" s="116">
        <v>211.7</v>
      </c>
      <c r="G909">
        <v>716527</v>
      </c>
      <c r="H909" s="116"/>
      <c r="I909" s="116"/>
      <c r="L909" s="170">
        <v>43339</v>
      </c>
      <c r="M909" s="116">
        <v>205.38541004450099</v>
      </c>
      <c r="N909" s="116">
        <v>206.791163382072</v>
      </c>
      <c r="O909" s="116">
        <v>200.97425301970799</v>
      </c>
      <c r="P909" s="116">
        <v>203.88270820088999</v>
      </c>
      <c r="Q909" s="116">
        <v>211.85</v>
      </c>
      <c r="R909">
        <v>7894492</v>
      </c>
    </row>
    <row r="910" spans="1:18" x14ac:dyDescent="0.25">
      <c r="A910" s="170">
        <v>43340</v>
      </c>
      <c r="B910" s="116">
        <v>224.92018083829299</v>
      </c>
      <c r="C910" s="116">
        <v>222.20562693162401</v>
      </c>
      <c r="D910" s="116">
        <v>203.20374958494</v>
      </c>
      <c r="E910" s="116">
        <v>206.30609690684801</v>
      </c>
      <c r="F910" s="116">
        <v>229.2</v>
      </c>
      <c r="G910">
        <v>3050436</v>
      </c>
      <c r="H910" s="116"/>
      <c r="I910" s="116"/>
      <c r="L910" s="170">
        <v>43340</v>
      </c>
      <c r="M910" s="116">
        <v>222.69071837253699</v>
      </c>
      <c r="N910" s="116">
        <v>225.40527654164001</v>
      </c>
      <c r="O910" s="116">
        <v>203.05864589955499</v>
      </c>
      <c r="P910" s="116">
        <v>206.16099809281599</v>
      </c>
      <c r="Q910" s="116">
        <v>229.7</v>
      </c>
      <c r="R910">
        <v>36388656</v>
      </c>
    </row>
    <row r="911" spans="1:18" x14ac:dyDescent="0.25">
      <c r="A911" s="170">
        <v>43341</v>
      </c>
      <c r="B911" s="116">
        <v>229.476753467344</v>
      </c>
      <c r="C911" s="116">
        <v>216.38872570304699</v>
      </c>
      <c r="D911" s="116">
        <v>213.431800911854</v>
      </c>
      <c r="E911" s="116">
        <v>224.871706661388</v>
      </c>
      <c r="F911" s="116">
        <v>223.2</v>
      </c>
      <c r="G911">
        <v>2716502</v>
      </c>
      <c r="H911" s="116"/>
      <c r="I911" s="116"/>
      <c r="L911" s="170">
        <v>43341</v>
      </c>
      <c r="M911" s="116">
        <v>216.486013986014</v>
      </c>
      <c r="N911" s="116">
        <v>229.42863954227599</v>
      </c>
      <c r="O911" s="116">
        <v>213.18976478067401</v>
      </c>
      <c r="P911" s="116">
        <v>224.62968849332501</v>
      </c>
      <c r="Q911" s="116">
        <v>223.3</v>
      </c>
      <c r="R911">
        <v>28860874</v>
      </c>
    </row>
    <row r="912" spans="1:18" x14ac:dyDescent="0.25">
      <c r="A912" s="170">
        <v>43342</v>
      </c>
      <c r="B912" s="116">
        <v>223.902223123292</v>
      </c>
      <c r="C912" s="116">
        <v>217.261260887334</v>
      </c>
      <c r="D912" s="116">
        <v>213.28637838114</v>
      </c>
      <c r="E912" s="116">
        <v>216.14635481852301</v>
      </c>
      <c r="F912" s="116">
        <v>224.1</v>
      </c>
      <c r="G912">
        <v>1571774</v>
      </c>
      <c r="H912" s="116"/>
      <c r="I912" s="116"/>
      <c r="L912" s="170">
        <v>43342</v>
      </c>
      <c r="M912" s="116">
        <v>217.16465352828999</v>
      </c>
      <c r="N912" s="116">
        <v>224.19342021614699</v>
      </c>
      <c r="O912" s="116">
        <v>213.092816274634</v>
      </c>
      <c r="P912" s="116">
        <v>215.710425937699</v>
      </c>
      <c r="Q912" s="116">
        <v>224</v>
      </c>
      <c r="R912">
        <v>28402633</v>
      </c>
    </row>
    <row r="913" spans="1:18" x14ac:dyDescent="0.25">
      <c r="A913" s="170">
        <v>43343</v>
      </c>
      <c r="B913" s="116">
        <v>221.38156592424201</v>
      </c>
      <c r="C913" s="116">
        <v>217.93989936400101</v>
      </c>
      <c r="D913" s="116">
        <v>215.51619051876099</v>
      </c>
      <c r="E913" s="116">
        <v>219.103279609716</v>
      </c>
      <c r="F913" s="116">
        <v>224.8</v>
      </c>
      <c r="G913">
        <v>877058</v>
      </c>
      <c r="H913" s="116"/>
      <c r="I913" s="116"/>
      <c r="L913" s="170">
        <v>43343</v>
      </c>
      <c r="M913" s="116">
        <v>218.37650985378301</v>
      </c>
      <c r="N913" s="116">
        <v>221.62428480610299</v>
      </c>
      <c r="O913" s="116">
        <v>215.56500317864001</v>
      </c>
      <c r="P913" s="116">
        <v>218.13413858868401</v>
      </c>
      <c r="Q913" s="116">
        <v>225.25</v>
      </c>
      <c r="R913">
        <v>14184713</v>
      </c>
    </row>
    <row r="914" spans="1:18" x14ac:dyDescent="0.25">
      <c r="A914" s="170">
        <v>43346</v>
      </c>
      <c r="B914" s="116">
        <v>220.55750491686001</v>
      </c>
      <c r="C914" s="116">
        <v>203.83391388470301</v>
      </c>
      <c r="D914" s="116">
        <v>198.01701265612601</v>
      </c>
      <c r="E914" s="116">
        <v>220.072763147812</v>
      </c>
      <c r="F914" s="116">
        <v>210.25</v>
      </c>
      <c r="G914">
        <v>1996197</v>
      </c>
      <c r="H914" s="116"/>
      <c r="I914" s="116"/>
      <c r="L914" s="170">
        <v>43346</v>
      </c>
      <c r="M914" s="116">
        <v>204.07660521296901</v>
      </c>
      <c r="N914" s="116">
        <v>220.46090273363001</v>
      </c>
      <c r="O914" s="116">
        <v>197.920375079466</v>
      </c>
      <c r="P914" s="116">
        <v>219.103623649078</v>
      </c>
      <c r="Q914" s="116">
        <v>210.5</v>
      </c>
      <c r="R914">
        <v>20062123</v>
      </c>
    </row>
    <row r="915" spans="1:18" x14ac:dyDescent="0.25">
      <c r="A915" s="170">
        <v>43347</v>
      </c>
      <c r="B915" s="116">
        <v>209.408444228755</v>
      </c>
      <c r="C915" s="116">
        <v>203.97933641541701</v>
      </c>
      <c r="D915" s="116">
        <v>195.98109722612401</v>
      </c>
      <c r="E915" s="116">
        <v>204.561026538275</v>
      </c>
      <c r="F915" s="116">
        <v>210.4</v>
      </c>
      <c r="G915">
        <v>2055877</v>
      </c>
      <c r="H915" s="116"/>
      <c r="I915" s="116"/>
      <c r="L915" s="170">
        <v>43347</v>
      </c>
      <c r="M915" s="116">
        <v>203.97965670692901</v>
      </c>
      <c r="N915" s="116">
        <v>209.79656706929401</v>
      </c>
      <c r="O915" s="116">
        <v>195.835982199619</v>
      </c>
      <c r="P915" s="116">
        <v>204.56134774316601</v>
      </c>
      <c r="Q915" s="116">
        <v>210.4</v>
      </c>
      <c r="R915">
        <v>29213333</v>
      </c>
    </row>
    <row r="916" spans="1:18" x14ac:dyDescent="0.25">
      <c r="A916" s="170">
        <v>43348</v>
      </c>
      <c r="B916" s="116">
        <v>210.03860852851801</v>
      </c>
      <c r="C916" s="116">
        <v>205.72440678398999</v>
      </c>
      <c r="D916" s="116">
        <v>199.95597973231801</v>
      </c>
      <c r="E916" s="116">
        <v>203.591543000179</v>
      </c>
      <c r="F916" s="116">
        <v>212.2</v>
      </c>
      <c r="G916">
        <v>2408825</v>
      </c>
      <c r="H916" s="116"/>
      <c r="I916" s="116"/>
      <c r="L916" s="170">
        <v>43348</v>
      </c>
      <c r="M916" s="116">
        <v>204.51287349014601</v>
      </c>
      <c r="N916" s="116">
        <v>210.08741258741301</v>
      </c>
      <c r="O916" s="116">
        <v>199.520025429116</v>
      </c>
      <c r="P916" s="116">
        <v>201.846789574062</v>
      </c>
      <c r="Q916" s="116">
        <v>210.95</v>
      </c>
      <c r="R916">
        <v>35462765</v>
      </c>
    </row>
    <row r="917" spans="1:18" x14ac:dyDescent="0.25">
      <c r="A917" s="170">
        <v>43349</v>
      </c>
      <c r="B917" s="116">
        <v>164.618304768716</v>
      </c>
      <c r="C917" s="116">
        <v>158.80140354013901</v>
      </c>
      <c r="D917" s="116">
        <v>135.53379862583299</v>
      </c>
      <c r="E917" s="116">
        <v>145.810324129652</v>
      </c>
      <c r="F917" s="116">
        <v>163.80000000000001</v>
      </c>
      <c r="G917">
        <v>5098189</v>
      </c>
      <c r="H917" s="116"/>
      <c r="I917" s="116"/>
      <c r="L917" s="170">
        <v>43349</v>
      </c>
      <c r="M917" s="116">
        <v>158.70470438652299</v>
      </c>
      <c r="N917" s="116">
        <v>165.44262555626199</v>
      </c>
      <c r="O917" s="116">
        <v>135.09774316592501</v>
      </c>
      <c r="P917" s="116">
        <v>145.422759059123</v>
      </c>
      <c r="Q917" s="116">
        <v>163.69999999999999</v>
      </c>
      <c r="R917">
        <v>74817700</v>
      </c>
    </row>
    <row r="918" spans="1:18" x14ac:dyDescent="0.25">
      <c r="A918" s="170">
        <v>43350</v>
      </c>
      <c r="B918" s="116">
        <v>164.71525312252601</v>
      </c>
      <c r="C918" s="116">
        <v>152.64518307322899</v>
      </c>
      <c r="D918" s="116">
        <v>151.23943194299</v>
      </c>
      <c r="E918" s="116">
        <v>160.64342226252199</v>
      </c>
      <c r="F918" s="116">
        <v>157.44999999999999</v>
      </c>
      <c r="G918">
        <v>3216599</v>
      </c>
      <c r="H918" s="116"/>
      <c r="I918" s="116"/>
      <c r="L918" s="170">
        <v>43350</v>
      </c>
      <c r="M918" s="116">
        <v>152.54847425302</v>
      </c>
      <c r="N918" s="116">
        <v>164.715511760966</v>
      </c>
      <c r="O918" s="116">
        <v>150.948823903369</v>
      </c>
      <c r="P918" s="116">
        <v>160.20740623013401</v>
      </c>
      <c r="Q918" s="116">
        <v>157.35</v>
      </c>
      <c r="R918">
        <v>42704819</v>
      </c>
    </row>
    <row r="919" spans="1:18" x14ac:dyDescent="0.25">
      <c r="A919" s="170">
        <v>43353</v>
      </c>
      <c r="B919" s="116">
        <v>153.12992484227701</v>
      </c>
      <c r="C919" s="116">
        <v>146.246591721795</v>
      </c>
      <c r="D919" s="116">
        <v>145.47100489131799</v>
      </c>
      <c r="E919" s="116">
        <v>152.69365725013401</v>
      </c>
      <c r="F919" s="116">
        <v>150.85</v>
      </c>
      <c r="G919">
        <v>1933370</v>
      </c>
      <c r="H919" s="116"/>
      <c r="I919" s="116"/>
      <c r="L919" s="170">
        <v>43353</v>
      </c>
      <c r="M919" s="116">
        <v>146.14987285441799</v>
      </c>
      <c r="N919" s="116">
        <v>153.17863954227599</v>
      </c>
      <c r="O919" s="116">
        <v>145.08343928798499</v>
      </c>
      <c r="P919" s="116">
        <v>153.17863954227599</v>
      </c>
      <c r="Q919" s="116">
        <v>150.75</v>
      </c>
      <c r="R919">
        <v>20590646</v>
      </c>
    </row>
    <row r="920" spans="1:18" x14ac:dyDescent="0.25">
      <c r="A920" s="170">
        <v>43354</v>
      </c>
      <c r="B920" s="116">
        <v>148.96114562846401</v>
      </c>
      <c r="C920" s="116">
        <v>143.87135705346</v>
      </c>
      <c r="D920" s="116">
        <v>141.88391580036301</v>
      </c>
      <c r="E920" s="116">
        <v>146.48896260631901</v>
      </c>
      <c r="F920" s="116">
        <v>148.4</v>
      </c>
      <c r="G920">
        <v>1408884</v>
      </c>
      <c r="H920" s="116"/>
      <c r="I920" s="116"/>
      <c r="L920" s="170">
        <v>43354</v>
      </c>
      <c r="M920" s="116">
        <v>143.72616020343301</v>
      </c>
      <c r="N920" s="116">
        <v>149.00985378258099</v>
      </c>
      <c r="O920" s="116">
        <v>141.83566433566401</v>
      </c>
      <c r="P920" s="116">
        <v>146.39224411951699</v>
      </c>
      <c r="Q920" s="116">
        <v>148.25</v>
      </c>
      <c r="R920">
        <v>15083637</v>
      </c>
    </row>
    <row r="921" spans="1:18" x14ac:dyDescent="0.25">
      <c r="A921" s="170">
        <v>43355</v>
      </c>
      <c r="B921" s="116">
        <v>145.422530714413</v>
      </c>
      <c r="C921" s="116">
        <v>144.307624645603</v>
      </c>
      <c r="D921" s="116">
        <v>138.490723417026</v>
      </c>
      <c r="E921" s="116">
        <v>144.35609882250799</v>
      </c>
      <c r="F921" s="116">
        <v>148.85</v>
      </c>
      <c r="G921">
        <v>1477545</v>
      </c>
      <c r="H921" s="116"/>
      <c r="I921" s="116"/>
      <c r="L921" s="170">
        <v>43355</v>
      </c>
      <c r="M921" s="116">
        <v>144.356325492689</v>
      </c>
      <c r="N921" s="116">
        <v>145.56818181818201</v>
      </c>
      <c r="O921" s="116">
        <v>138.393992371265</v>
      </c>
      <c r="P921" s="116">
        <v>143.96853146853101</v>
      </c>
      <c r="Q921" s="116">
        <v>148.9</v>
      </c>
      <c r="R921">
        <v>16166704</v>
      </c>
    </row>
    <row r="922" spans="1:18" x14ac:dyDescent="0.25">
      <c r="A922" s="170">
        <v>43357</v>
      </c>
      <c r="B922" s="116">
        <v>148.28250715179701</v>
      </c>
      <c r="C922" s="116">
        <v>145.810324129652</v>
      </c>
      <c r="D922" s="116">
        <v>143.72593452274501</v>
      </c>
      <c r="E922" s="116">
        <v>144.93778894536501</v>
      </c>
      <c r="F922" s="116">
        <v>150.4</v>
      </c>
      <c r="G922">
        <v>1105686</v>
      </c>
      <c r="H922" s="116"/>
      <c r="I922" s="116"/>
      <c r="L922" s="170">
        <v>43357</v>
      </c>
      <c r="M922" s="116">
        <v>146.004450095359</v>
      </c>
      <c r="N922" s="116">
        <v>148.23426573426599</v>
      </c>
      <c r="O922" s="116">
        <v>143.72616020343301</v>
      </c>
      <c r="P922" s="116">
        <v>145.180387794024</v>
      </c>
      <c r="Q922" s="116">
        <v>150.6</v>
      </c>
      <c r="R922">
        <v>8859644</v>
      </c>
    </row>
    <row r="923" spans="1:18" x14ac:dyDescent="0.25">
      <c r="A923" s="170">
        <v>43360</v>
      </c>
      <c r="B923" s="116">
        <v>150.70621599703699</v>
      </c>
      <c r="C923" s="116">
        <v>147.31302361370101</v>
      </c>
      <c r="D923" s="116">
        <v>142.32018339250601</v>
      </c>
      <c r="E923" s="116">
        <v>143.483563638221</v>
      </c>
      <c r="F923" s="116">
        <v>151.94999999999999</v>
      </c>
      <c r="G923">
        <v>1366266</v>
      </c>
      <c r="H923" s="116"/>
      <c r="I923" s="116"/>
      <c r="L923" s="170">
        <v>43360</v>
      </c>
      <c r="M923" s="116">
        <v>147.41020343293101</v>
      </c>
      <c r="N923" s="116">
        <v>150.90034965034999</v>
      </c>
      <c r="O923" s="116">
        <v>142.320406865861</v>
      </c>
      <c r="P923" s="116">
        <v>145.61665607120199</v>
      </c>
      <c r="Q923" s="116">
        <v>152.05000000000001</v>
      </c>
      <c r="R923">
        <v>10925422</v>
      </c>
    </row>
    <row r="924" spans="1:18" x14ac:dyDescent="0.25">
      <c r="A924" s="170">
        <v>43361</v>
      </c>
      <c r="B924" s="116">
        <v>150.17300005108399</v>
      </c>
      <c r="C924" s="116">
        <v>143.919831230364</v>
      </c>
      <c r="D924" s="116">
        <v>142.02933833107701</v>
      </c>
      <c r="E924" s="116">
        <v>147.70081702893901</v>
      </c>
      <c r="F924" s="116">
        <v>148.44999999999999</v>
      </c>
      <c r="G924">
        <v>921002</v>
      </c>
      <c r="H924" s="116"/>
      <c r="I924" s="116"/>
      <c r="L924" s="170">
        <v>43361</v>
      </c>
      <c r="M924" s="116">
        <v>143.920057215512</v>
      </c>
      <c r="N924" s="116">
        <v>150.124761602034</v>
      </c>
      <c r="O924" s="116">
        <v>141.83566433566401</v>
      </c>
      <c r="P924" s="116">
        <v>147.31325492689101</v>
      </c>
      <c r="Q924" s="116">
        <v>148.44999999999999</v>
      </c>
      <c r="R924">
        <v>7447741</v>
      </c>
    </row>
    <row r="925" spans="1:18" x14ac:dyDescent="0.25">
      <c r="A925" s="170">
        <v>43362</v>
      </c>
      <c r="B925" s="116">
        <v>146.05269501417601</v>
      </c>
      <c r="C925" s="116">
        <v>142.514080100125</v>
      </c>
      <c r="D925" s="116">
        <v>140.91443226226701</v>
      </c>
      <c r="E925" s="116">
        <v>143.82288287655501</v>
      </c>
      <c r="F925" s="116">
        <v>147</v>
      </c>
      <c r="G925">
        <v>633842</v>
      </c>
      <c r="H925" s="116"/>
      <c r="I925" s="116"/>
      <c r="L925" s="170">
        <v>43362</v>
      </c>
      <c r="M925" s="116">
        <v>142.853623649078</v>
      </c>
      <c r="N925" s="116">
        <v>146.10139860139901</v>
      </c>
      <c r="O925" s="116">
        <v>140.86617927527001</v>
      </c>
      <c r="P925" s="116">
        <v>144.84106802288599</v>
      </c>
      <c r="Q925" s="116">
        <v>147.35</v>
      </c>
      <c r="R925">
        <v>5315295</v>
      </c>
    </row>
    <row r="926" spans="1:18" x14ac:dyDescent="0.25">
      <c r="A926" s="170">
        <v>43364</v>
      </c>
      <c r="B926" s="116">
        <v>148.81572309775001</v>
      </c>
      <c r="C926" s="116">
        <v>134.27347002630799</v>
      </c>
      <c r="D926" s="116">
        <v>128.262672090113</v>
      </c>
      <c r="E926" s="116">
        <v>143.96830540726901</v>
      </c>
      <c r="F926" s="116">
        <v>138.5</v>
      </c>
      <c r="G926">
        <v>1536548</v>
      </c>
      <c r="H926" s="116"/>
      <c r="I926" s="116"/>
      <c r="L926" s="170">
        <v>43364</v>
      </c>
      <c r="M926" s="116">
        <v>134.22520661157</v>
      </c>
      <c r="N926" s="116">
        <v>148.815956770502</v>
      </c>
      <c r="O926" s="116">
        <v>128.60219326128399</v>
      </c>
      <c r="P926" s="116">
        <v>143.48378893833399</v>
      </c>
      <c r="Q926" s="116">
        <v>138.44999999999999</v>
      </c>
      <c r="R926">
        <v>12829824</v>
      </c>
    </row>
    <row r="927" spans="1:18" x14ac:dyDescent="0.25">
      <c r="A927" s="170">
        <v>43367</v>
      </c>
      <c r="B927" s="116">
        <v>135.727695333453</v>
      </c>
      <c r="C927" s="116">
        <v>129.910794104876</v>
      </c>
      <c r="D927" s="116">
        <v>127.438611082731</v>
      </c>
      <c r="E927" s="116">
        <v>135.727695333453</v>
      </c>
      <c r="F927" s="116">
        <v>134</v>
      </c>
      <c r="G927">
        <v>1068623</v>
      </c>
      <c r="H927" s="116"/>
      <c r="I927" s="116"/>
      <c r="L927" s="170">
        <v>43367</v>
      </c>
      <c r="M927" s="116">
        <v>130.39574062301301</v>
      </c>
      <c r="N927" s="116">
        <v>135.48553719008299</v>
      </c>
      <c r="O927" s="116">
        <v>127.147965670693</v>
      </c>
      <c r="P927" s="116">
        <v>134.22520661157</v>
      </c>
      <c r="Q927" s="116">
        <v>134.5</v>
      </c>
      <c r="R927">
        <v>5960439</v>
      </c>
    </row>
    <row r="928" spans="1:18" x14ac:dyDescent="0.25">
      <c r="A928" s="170">
        <v>43368</v>
      </c>
      <c r="B928" s="116">
        <v>137.61818823274001</v>
      </c>
      <c r="C928" s="116">
        <v>133.98262496487999</v>
      </c>
      <c r="D928" s="116">
        <v>122.00950326939299</v>
      </c>
      <c r="E928" s="116">
        <v>129.910794104876</v>
      </c>
      <c r="F928" s="116">
        <v>138.19999999999999</v>
      </c>
      <c r="G928">
        <v>1157987</v>
      </c>
      <c r="H928" s="116"/>
      <c r="I928" s="116"/>
      <c r="L928" s="170">
        <v>43368</v>
      </c>
      <c r="M928" s="116">
        <v>134.12825810553099</v>
      </c>
      <c r="N928" s="116">
        <v>138.05467260012699</v>
      </c>
      <c r="O928" s="116">
        <v>121.815797838525</v>
      </c>
      <c r="P928" s="116">
        <v>129.42625556261899</v>
      </c>
      <c r="Q928" s="116">
        <v>138.35</v>
      </c>
      <c r="R928">
        <v>8571550</v>
      </c>
    </row>
    <row r="929" spans="1:18" x14ac:dyDescent="0.25">
      <c r="A929" s="170">
        <v>43369</v>
      </c>
      <c r="B929" s="116">
        <v>138.53919759393099</v>
      </c>
      <c r="C929" s="116">
        <v>132.33450295011599</v>
      </c>
      <c r="D929" s="116">
        <v>129.765371574162</v>
      </c>
      <c r="E929" s="116">
        <v>138.53919759393099</v>
      </c>
      <c r="F929" s="116">
        <v>136.5</v>
      </c>
      <c r="G929">
        <v>699164</v>
      </c>
      <c r="H929" s="116"/>
      <c r="I929" s="116"/>
      <c r="L929" s="170">
        <v>43369</v>
      </c>
      <c r="M929" s="116">
        <v>132.33471074380199</v>
      </c>
      <c r="N929" s="116">
        <v>138.151621106167</v>
      </c>
      <c r="O929" s="116">
        <v>129.62015257469801</v>
      </c>
      <c r="P929" s="116">
        <v>136.11570247933901</v>
      </c>
      <c r="Q929" s="116">
        <v>136.5</v>
      </c>
      <c r="R929">
        <v>6768299</v>
      </c>
    </row>
    <row r="930" spans="1:18" x14ac:dyDescent="0.25">
      <c r="A930" s="170">
        <v>43370</v>
      </c>
      <c r="B930" s="116">
        <v>139.605629485837</v>
      </c>
      <c r="C930" s="116">
        <v>137.61818823274001</v>
      </c>
      <c r="D930" s="116">
        <v>128.74741385916099</v>
      </c>
      <c r="E930" s="116">
        <v>132.67382218845</v>
      </c>
      <c r="F930" s="116">
        <v>141.94999999999999</v>
      </c>
      <c r="G930">
        <v>856186</v>
      </c>
      <c r="H930" s="116"/>
      <c r="I930" s="116"/>
      <c r="L930" s="170">
        <v>43370</v>
      </c>
      <c r="M930" s="116">
        <v>137.909249841068</v>
      </c>
      <c r="N930" s="116">
        <v>138.684837889383</v>
      </c>
      <c r="O930" s="116">
        <v>128.65066751430399</v>
      </c>
      <c r="P930" s="116">
        <v>131.849968213605</v>
      </c>
      <c r="Q930" s="116">
        <v>142.25</v>
      </c>
      <c r="R930">
        <v>9769528</v>
      </c>
    </row>
    <row r="931" spans="1:18" x14ac:dyDescent="0.25">
      <c r="A931" s="170">
        <v>43371</v>
      </c>
      <c r="B931" s="116">
        <v>139.02393936297901</v>
      </c>
      <c r="C931" s="116">
        <v>126.85692095987299</v>
      </c>
      <c r="D931" s="116">
        <v>123.80304781487099</v>
      </c>
      <c r="E931" s="116">
        <v>137.666662409645</v>
      </c>
      <c r="F931" s="116">
        <v>130.85</v>
      </c>
      <c r="G931">
        <v>1623547</v>
      </c>
      <c r="H931" s="116"/>
      <c r="I931" s="116"/>
      <c r="L931" s="170">
        <v>43371</v>
      </c>
      <c r="M931" s="116">
        <v>126.614748887476</v>
      </c>
      <c r="N931" s="116">
        <v>139.02415766052101</v>
      </c>
      <c r="O931" s="116">
        <v>121.767323585505</v>
      </c>
      <c r="P931" s="116">
        <v>138.29704386522599</v>
      </c>
      <c r="Q931" s="116">
        <v>130.6</v>
      </c>
      <c r="R931">
        <v>11876058</v>
      </c>
    </row>
    <row r="932" spans="1:18" x14ac:dyDescent="0.25">
      <c r="A932" s="170">
        <v>43374</v>
      </c>
      <c r="B932" s="116">
        <v>134.27347002630799</v>
      </c>
      <c r="C932" s="116">
        <v>133.110089780593</v>
      </c>
      <c r="D932" s="116">
        <v>117.93767240938899</v>
      </c>
      <c r="E932" s="116">
        <v>125.935911598682</v>
      </c>
      <c r="F932" s="116">
        <v>137.30000000000001</v>
      </c>
      <c r="G932">
        <v>1021825</v>
      </c>
      <c r="H932" s="116"/>
      <c r="I932" s="116"/>
      <c r="L932" s="170">
        <v>43374</v>
      </c>
      <c r="M932" s="116">
        <v>133.158773045137</v>
      </c>
      <c r="N932" s="116">
        <v>134.37062937062899</v>
      </c>
      <c r="O932" s="116">
        <v>117.84090909090899</v>
      </c>
      <c r="P932" s="116">
        <v>123.124602670057</v>
      </c>
      <c r="Q932" s="116">
        <v>137.35</v>
      </c>
      <c r="R932">
        <v>9826192</v>
      </c>
    </row>
    <row r="933" spans="1:18" x14ac:dyDescent="0.25">
      <c r="A933" s="170">
        <v>43376</v>
      </c>
      <c r="B933" s="116">
        <v>137.08497228678701</v>
      </c>
      <c r="C933" s="116">
        <v>130.734855112258</v>
      </c>
      <c r="D933" s="116">
        <v>126.129808306301</v>
      </c>
      <c r="E933" s="116">
        <v>130.880277642972</v>
      </c>
      <c r="F933" s="116">
        <v>134.85</v>
      </c>
      <c r="G933">
        <v>1041405</v>
      </c>
      <c r="H933" s="116"/>
      <c r="I933" s="116"/>
      <c r="L933" s="170">
        <v>43376</v>
      </c>
      <c r="M933" s="116">
        <v>130.68658614113201</v>
      </c>
      <c r="N933" s="116">
        <v>137.18213604577201</v>
      </c>
      <c r="O933" s="116">
        <v>126.081532104259</v>
      </c>
      <c r="P933" s="116">
        <v>132.81945327399899</v>
      </c>
      <c r="Q933" s="116">
        <v>134.80000000000001</v>
      </c>
      <c r="R933">
        <v>6829117</v>
      </c>
    </row>
    <row r="934" spans="1:18" x14ac:dyDescent="0.25">
      <c r="A934" s="170">
        <v>43377</v>
      </c>
      <c r="B934" s="116">
        <v>130.44401005082901</v>
      </c>
      <c r="C934" s="116">
        <v>129.03825892059001</v>
      </c>
      <c r="D934" s="116">
        <v>123.31830604582299</v>
      </c>
      <c r="E934" s="116">
        <v>127.874878674874</v>
      </c>
      <c r="F934" s="116">
        <v>133.1</v>
      </c>
      <c r="G934">
        <v>1027296</v>
      </c>
      <c r="H934" s="116"/>
      <c r="I934" s="116"/>
      <c r="L934" s="170">
        <v>43377</v>
      </c>
      <c r="M934" s="116">
        <v>128.89303877940199</v>
      </c>
      <c r="N934" s="116">
        <v>130.20184361093499</v>
      </c>
      <c r="O934" s="116">
        <v>123.124602670057</v>
      </c>
      <c r="P934" s="116">
        <v>125.451366815003</v>
      </c>
      <c r="Q934" s="116">
        <v>132.94999999999999</v>
      </c>
      <c r="R934">
        <v>7184987</v>
      </c>
    </row>
    <row r="935" spans="1:18" x14ac:dyDescent="0.25">
      <c r="A935" s="170">
        <v>43378</v>
      </c>
      <c r="B935" s="116">
        <v>131.55891611963901</v>
      </c>
      <c r="C935" s="116">
        <v>126.129808306301</v>
      </c>
      <c r="D935" s="116">
        <v>124.190841230109</v>
      </c>
      <c r="E935" s="116">
        <v>130.880277642972</v>
      </c>
      <c r="F935" s="116">
        <v>130.1</v>
      </c>
      <c r="G935">
        <v>699433</v>
      </c>
      <c r="H935" s="116"/>
      <c r="I935" s="116"/>
      <c r="L935" s="170">
        <v>43378</v>
      </c>
      <c r="M935" s="116">
        <v>126.226954863318</v>
      </c>
      <c r="N935" s="116">
        <v>131.607596948506</v>
      </c>
      <c r="O935" s="116">
        <v>124.33645899555</v>
      </c>
      <c r="P935" s="116">
        <v>127.535759694851</v>
      </c>
      <c r="Q935" s="116">
        <v>130.19999999999999</v>
      </c>
      <c r="R935">
        <v>6099515</v>
      </c>
    </row>
    <row r="936" spans="1:18" x14ac:dyDescent="0.25">
      <c r="A936" s="170">
        <v>43381</v>
      </c>
      <c r="B936" s="116">
        <v>130.880277642972</v>
      </c>
      <c r="C936" s="116">
        <v>129.13520727439899</v>
      </c>
      <c r="D936" s="116">
        <v>118.373940001533</v>
      </c>
      <c r="E936" s="116">
        <v>125.063376414396</v>
      </c>
      <c r="F936" s="116">
        <v>133.19999999999999</v>
      </c>
      <c r="G936">
        <v>1426236</v>
      </c>
      <c r="H936" s="116"/>
      <c r="I936" s="116"/>
      <c r="L936" s="170">
        <v>43381</v>
      </c>
      <c r="M936" s="116">
        <v>129.08693579148101</v>
      </c>
      <c r="N936" s="116">
        <v>130.73506039415099</v>
      </c>
      <c r="O936" s="116">
        <v>117.64701207883</v>
      </c>
      <c r="P936" s="116">
        <v>125.063572790846</v>
      </c>
      <c r="Q936" s="116">
        <v>133.15</v>
      </c>
      <c r="R936">
        <v>10658358</v>
      </c>
    </row>
    <row r="937" spans="1:18" x14ac:dyDescent="0.25">
      <c r="A937" s="170">
        <v>43382</v>
      </c>
      <c r="B937" s="116">
        <v>133.78872825726</v>
      </c>
      <c r="C937" s="116">
        <v>131.80128700416299</v>
      </c>
      <c r="D937" s="116">
        <v>125.451169829634</v>
      </c>
      <c r="E937" s="116">
        <v>130.39553587392399</v>
      </c>
      <c r="F937" s="116">
        <v>135.94999999999999</v>
      </c>
      <c r="G937">
        <v>844078</v>
      </c>
      <c r="H937" s="116"/>
      <c r="I937" s="116"/>
      <c r="L937" s="170">
        <v>43382</v>
      </c>
      <c r="M937" s="116">
        <v>131.75301970756499</v>
      </c>
      <c r="N937" s="116">
        <v>133.498092816275</v>
      </c>
      <c r="O937" s="116">
        <v>125.40289256198299</v>
      </c>
      <c r="P937" s="116">
        <v>131.849968213605</v>
      </c>
      <c r="Q937" s="116">
        <v>135.9</v>
      </c>
      <c r="R937">
        <v>7186017</v>
      </c>
    </row>
    <row r="938" spans="1:18" x14ac:dyDescent="0.25">
      <c r="A938" s="170">
        <v>43383</v>
      </c>
      <c r="B938" s="116">
        <v>143.38661528441199</v>
      </c>
      <c r="C938" s="116">
        <v>139.99342290107501</v>
      </c>
      <c r="D938" s="116">
        <v>129.95926828178099</v>
      </c>
      <c r="E938" s="116">
        <v>129.95926828178099</v>
      </c>
      <c r="F938" s="116">
        <v>144.4</v>
      </c>
      <c r="G938">
        <v>891868</v>
      </c>
      <c r="H938" s="116"/>
      <c r="I938" s="116"/>
      <c r="L938" s="170">
        <v>43383</v>
      </c>
      <c r="M938" s="116">
        <v>139.36347743165899</v>
      </c>
      <c r="N938" s="116">
        <v>143.338366179275</v>
      </c>
      <c r="O938" s="116">
        <v>130.88048315321001</v>
      </c>
      <c r="P938" s="116">
        <v>132.33471074380199</v>
      </c>
      <c r="Q938" s="116">
        <v>143.75</v>
      </c>
      <c r="R938">
        <v>9209149</v>
      </c>
    </row>
    <row r="939" spans="1:18" x14ac:dyDescent="0.25">
      <c r="A939" s="170">
        <v>43384</v>
      </c>
      <c r="B939" s="116">
        <v>138.87851683226501</v>
      </c>
      <c r="C939" s="116">
        <v>134.370418380118</v>
      </c>
      <c r="D939" s="116">
        <v>131.65586447344899</v>
      </c>
      <c r="E939" s="116">
        <v>132.819244719164</v>
      </c>
      <c r="F939" s="116">
        <v>138.6</v>
      </c>
      <c r="G939">
        <v>1109861</v>
      </c>
      <c r="H939" s="116"/>
      <c r="I939" s="116"/>
      <c r="L939" s="170">
        <v>43384</v>
      </c>
      <c r="M939" s="116">
        <v>133.982835346472</v>
      </c>
      <c r="N939" s="116">
        <v>139.02415766052101</v>
      </c>
      <c r="O939" s="116">
        <v>131.02590591226999</v>
      </c>
      <c r="P939" s="116">
        <v>133.78893833439301</v>
      </c>
      <c r="Q939" s="116">
        <v>138.19999999999999</v>
      </c>
      <c r="R939">
        <v>8421556</v>
      </c>
    </row>
    <row r="940" spans="1:18" x14ac:dyDescent="0.25">
      <c r="A940" s="170">
        <v>43385</v>
      </c>
      <c r="B940" s="116">
        <v>140.76900973155199</v>
      </c>
      <c r="C940" s="116">
        <v>139.41173277821801</v>
      </c>
      <c r="D940" s="116">
        <v>135.727695333453</v>
      </c>
      <c r="E940" s="116">
        <v>135.727695333453</v>
      </c>
      <c r="F940" s="116">
        <v>143.80000000000001</v>
      </c>
      <c r="G940">
        <v>752762</v>
      </c>
      <c r="H940" s="116"/>
      <c r="I940" s="116"/>
      <c r="L940" s="170">
        <v>43385</v>
      </c>
      <c r="M940" s="116">
        <v>139.460425937699</v>
      </c>
      <c r="N940" s="116">
        <v>140.96312778130999</v>
      </c>
      <c r="O940" s="116">
        <v>135.824856961221</v>
      </c>
      <c r="P940" s="116">
        <v>135.824856961221</v>
      </c>
      <c r="Q940" s="116">
        <v>143.85</v>
      </c>
      <c r="R940">
        <v>6338784</v>
      </c>
    </row>
    <row r="941" spans="1:18" x14ac:dyDescent="0.25">
      <c r="A941" s="170">
        <v>43388</v>
      </c>
      <c r="B941" s="116">
        <v>149.009619805369</v>
      </c>
      <c r="C941" s="116">
        <v>147.84623955965401</v>
      </c>
      <c r="D941" s="116">
        <v>139.50868113202699</v>
      </c>
      <c r="E941" s="116">
        <v>141.544596562029</v>
      </c>
      <c r="F941" s="116">
        <v>152.5</v>
      </c>
      <c r="G941">
        <v>1035039</v>
      </c>
      <c r="H941" s="116"/>
      <c r="I941" s="116"/>
      <c r="L941" s="170">
        <v>43388</v>
      </c>
      <c r="M941" s="116">
        <v>147.797997457088</v>
      </c>
      <c r="N941" s="116">
        <v>149.05832803560099</v>
      </c>
      <c r="O941" s="116">
        <v>139.411951684679</v>
      </c>
      <c r="P941" s="116">
        <v>142.51430387793999</v>
      </c>
      <c r="Q941" s="116">
        <v>152.44999999999999</v>
      </c>
      <c r="R941">
        <v>9011923</v>
      </c>
    </row>
    <row r="942" spans="1:18" x14ac:dyDescent="0.25">
      <c r="A942" s="170">
        <v>43389</v>
      </c>
      <c r="B942" s="116">
        <v>154.826521033945</v>
      </c>
      <c r="C942" s="116">
        <v>153.03297648846799</v>
      </c>
      <c r="D942" s="116">
        <v>147.36149779060599</v>
      </c>
      <c r="E942" s="116">
        <v>148.28250715179701</v>
      </c>
      <c r="F942" s="116">
        <v>157.85</v>
      </c>
      <c r="G942">
        <v>931408</v>
      </c>
      <c r="H942" s="116"/>
      <c r="I942" s="116"/>
      <c r="L942" s="170">
        <v>43389</v>
      </c>
      <c r="M942" s="116">
        <v>152.83931977113801</v>
      </c>
      <c r="N942" s="116">
        <v>155.117609663064</v>
      </c>
      <c r="O942" s="116">
        <v>147.11935791481201</v>
      </c>
      <c r="P942" s="116">
        <v>147.70104895104899</v>
      </c>
      <c r="Q942" s="116">
        <v>157.65</v>
      </c>
      <c r="R942">
        <v>9671300</v>
      </c>
    </row>
    <row r="943" spans="1:18" x14ac:dyDescent="0.25">
      <c r="A943" s="170">
        <v>43390</v>
      </c>
      <c r="B943" s="116">
        <v>158.559032655615</v>
      </c>
      <c r="C943" s="116">
        <v>156.66853975632799</v>
      </c>
      <c r="D943" s="116">
        <v>149.78520663584601</v>
      </c>
      <c r="E943" s="116">
        <v>155.31126280299401</v>
      </c>
      <c r="F943" s="116">
        <v>161.6</v>
      </c>
      <c r="G943">
        <v>1649905</v>
      </c>
      <c r="H943" s="116"/>
      <c r="I943" s="116"/>
      <c r="L943" s="170">
        <v>43390</v>
      </c>
      <c r="M943" s="116">
        <v>156.81420851875399</v>
      </c>
      <c r="N943" s="116">
        <v>158.65623013350299</v>
      </c>
      <c r="O943" s="116">
        <v>149.54307056579799</v>
      </c>
      <c r="P943" s="116">
        <v>155.21455816910401</v>
      </c>
      <c r="Q943" s="116">
        <v>161.75</v>
      </c>
      <c r="R943">
        <v>11660585</v>
      </c>
    </row>
    <row r="944" spans="1:18" x14ac:dyDescent="0.25">
      <c r="A944" s="170">
        <v>43392</v>
      </c>
      <c r="B944" s="116">
        <v>165.19999489157399</v>
      </c>
      <c r="C944" s="116">
        <v>163.55187287680999</v>
      </c>
      <c r="D944" s="116">
        <v>154.05093420346901</v>
      </c>
      <c r="E944" s="116">
        <v>155.505159510613</v>
      </c>
      <c r="F944" s="116">
        <v>168.7</v>
      </c>
      <c r="G944">
        <v>1567169</v>
      </c>
      <c r="H944" s="116"/>
      <c r="I944" s="116"/>
      <c r="L944" s="170">
        <v>43392</v>
      </c>
      <c r="M944" s="116">
        <v>163.60060394151299</v>
      </c>
      <c r="N944" s="116">
        <v>165.49109980928199</v>
      </c>
      <c r="O944" s="116">
        <v>153.66338207247301</v>
      </c>
      <c r="P944" s="116">
        <v>153.66338207247301</v>
      </c>
      <c r="Q944" s="116">
        <v>168.75</v>
      </c>
      <c r="R944">
        <v>11861481</v>
      </c>
    </row>
    <row r="945" spans="1:18" x14ac:dyDescent="0.25">
      <c r="A945" s="170">
        <v>43395</v>
      </c>
      <c r="B945" s="116">
        <v>171.30774118157899</v>
      </c>
      <c r="C945" s="116">
        <v>163.115605284667</v>
      </c>
      <c r="D945" s="116">
        <v>159.33461948609201</v>
      </c>
      <c r="E945" s="116">
        <v>165.78168501443099</v>
      </c>
      <c r="F945" s="116">
        <v>168.25</v>
      </c>
      <c r="G945">
        <v>1627637</v>
      </c>
      <c r="H945" s="116"/>
      <c r="I945" s="116"/>
      <c r="L945" s="170">
        <v>43395</v>
      </c>
      <c r="M945" s="116">
        <v>163.35823267641399</v>
      </c>
      <c r="N945" s="116">
        <v>171.308010171647</v>
      </c>
      <c r="O945" s="116">
        <v>159.38334392879801</v>
      </c>
      <c r="P945" s="116">
        <v>165.87889383343901</v>
      </c>
      <c r="Q945" s="116">
        <v>168.5</v>
      </c>
      <c r="R945">
        <v>13950566</v>
      </c>
    </row>
    <row r="946" spans="1:18" x14ac:dyDescent="0.25">
      <c r="A946" s="170">
        <v>43396</v>
      </c>
      <c r="B946" s="116">
        <v>169.65961916681599</v>
      </c>
      <c r="C946" s="116">
        <v>164.085088822763</v>
      </c>
      <c r="D946" s="116">
        <v>160.98274150085601</v>
      </c>
      <c r="E946" s="116">
        <v>164.23051135347799</v>
      </c>
      <c r="F946" s="116">
        <v>169.25</v>
      </c>
      <c r="G946">
        <v>1314531</v>
      </c>
      <c r="H946" s="116"/>
      <c r="I946" s="116"/>
      <c r="L946" s="170">
        <v>43396</v>
      </c>
      <c r="M946" s="116">
        <v>164.37619198982799</v>
      </c>
      <c r="N946" s="116">
        <v>166.606007628735</v>
      </c>
      <c r="O946" s="116">
        <v>160.93452002542901</v>
      </c>
      <c r="P946" s="116">
        <v>163.84297520661201</v>
      </c>
      <c r="Q946" s="116">
        <v>169.55</v>
      </c>
      <c r="R946">
        <v>8339433</v>
      </c>
    </row>
    <row r="947" spans="1:18" x14ac:dyDescent="0.25">
      <c r="A947" s="170">
        <v>43397</v>
      </c>
      <c r="B947" s="116">
        <v>166.945065260147</v>
      </c>
      <c r="C947" s="116">
        <v>162.53391516180901</v>
      </c>
      <c r="D947" s="116">
        <v>160.25562884728399</v>
      </c>
      <c r="E947" s="116">
        <v>165.68473666062201</v>
      </c>
      <c r="F947" s="116">
        <v>167.65</v>
      </c>
      <c r="G947">
        <v>725384</v>
      </c>
      <c r="H947" s="116"/>
      <c r="I947" s="116"/>
      <c r="L947" s="170">
        <v>43397</v>
      </c>
      <c r="M947" s="116">
        <v>162.43722186904</v>
      </c>
      <c r="N947" s="116">
        <v>166.99380165289301</v>
      </c>
      <c r="O947" s="116">
        <v>160.061983471074</v>
      </c>
      <c r="P947" s="116">
        <v>165.7819453274</v>
      </c>
      <c r="Q947" s="116">
        <v>167.55</v>
      </c>
      <c r="R947">
        <v>5451065</v>
      </c>
    </row>
    <row r="948" spans="1:18" x14ac:dyDescent="0.25">
      <c r="A948" s="170">
        <v>43398</v>
      </c>
      <c r="B948" s="116">
        <v>168.4962389211</v>
      </c>
      <c r="C948" s="116">
        <v>166.121004252765</v>
      </c>
      <c r="D948" s="116">
        <v>156.76548811013799</v>
      </c>
      <c r="E948" s="116">
        <v>160.449525554903</v>
      </c>
      <c r="F948" s="116">
        <v>171.35</v>
      </c>
      <c r="G948">
        <v>1029265</v>
      </c>
      <c r="H948" s="116"/>
      <c r="I948" s="116"/>
      <c r="L948" s="170">
        <v>43398</v>
      </c>
      <c r="M948" s="116">
        <v>166.848378893833</v>
      </c>
      <c r="N948" s="116">
        <v>169.07819453274001</v>
      </c>
      <c r="O948" s="116">
        <v>156.57183725365499</v>
      </c>
      <c r="P948" s="116">
        <v>161.661633820725</v>
      </c>
      <c r="Q948" s="116">
        <v>172.1</v>
      </c>
      <c r="R948">
        <v>7460591</v>
      </c>
    </row>
    <row r="949" spans="1:18" x14ac:dyDescent="0.25">
      <c r="A949" s="170">
        <v>43399</v>
      </c>
      <c r="B949" s="116">
        <v>169.465722459196</v>
      </c>
      <c r="C949" s="116">
        <v>161.419009092999</v>
      </c>
      <c r="D949" s="116">
        <v>160.352577201093</v>
      </c>
      <c r="E949" s="116">
        <v>167.76912626752801</v>
      </c>
      <c r="F949" s="116">
        <v>166.5</v>
      </c>
      <c r="G949">
        <v>828094</v>
      </c>
      <c r="H949" s="116"/>
      <c r="I949" s="116"/>
      <c r="L949" s="170">
        <v>43399</v>
      </c>
      <c r="M949" s="116">
        <v>161.661633820725</v>
      </c>
      <c r="N949" s="116">
        <v>169.41751430387799</v>
      </c>
      <c r="O949" s="116">
        <v>160.25588048315299</v>
      </c>
      <c r="P949" s="116">
        <v>168.690400508582</v>
      </c>
      <c r="Q949" s="116">
        <v>166.75</v>
      </c>
      <c r="R949">
        <v>6982991</v>
      </c>
    </row>
    <row r="950" spans="1:18" x14ac:dyDescent="0.25">
      <c r="A950" s="170">
        <v>43402</v>
      </c>
      <c r="B950" s="116">
        <v>167.23591032157501</v>
      </c>
      <c r="C950" s="116">
        <v>166.50879766800301</v>
      </c>
      <c r="D950" s="116">
        <v>160.207154670379</v>
      </c>
      <c r="E950" s="116">
        <v>163.74576958443001</v>
      </c>
      <c r="F950" s="116">
        <v>171.75</v>
      </c>
      <c r="G950">
        <v>567897</v>
      </c>
      <c r="H950" s="116"/>
      <c r="I950" s="116"/>
      <c r="L950" s="170">
        <v>43402</v>
      </c>
      <c r="M950" s="116">
        <v>166.50905912269499</v>
      </c>
      <c r="N950" s="116">
        <v>167.33312142403</v>
      </c>
      <c r="O950" s="116">
        <v>160.01350921805499</v>
      </c>
      <c r="P950" s="116">
        <v>163.503655435474</v>
      </c>
      <c r="Q950" s="116">
        <v>171.75</v>
      </c>
      <c r="R950">
        <v>5332500</v>
      </c>
    </row>
    <row r="951" spans="1:18" x14ac:dyDescent="0.25">
      <c r="A951" s="170">
        <v>43403</v>
      </c>
      <c r="B951" s="116">
        <v>168.69013562871999</v>
      </c>
      <c r="C951" s="116">
        <v>163.84271793823899</v>
      </c>
      <c r="D951" s="116">
        <v>162.970182753953</v>
      </c>
      <c r="E951" s="116">
        <v>168.10844550586199</v>
      </c>
      <c r="F951" s="116">
        <v>169</v>
      </c>
      <c r="G951">
        <v>504598</v>
      </c>
      <c r="H951" s="116"/>
      <c r="I951" s="116"/>
      <c r="L951" s="170">
        <v>43403</v>
      </c>
      <c r="M951" s="116">
        <v>163.89144945963099</v>
      </c>
      <c r="N951" s="116">
        <v>168.690400508582</v>
      </c>
      <c r="O951" s="116">
        <v>162.970438652257</v>
      </c>
      <c r="P951" s="116">
        <v>167.23617291799101</v>
      </c>
      <c r="Q951" s="116">
        <v>169.05</v>
      </c>
      <c r="R951">
        <v>3885243</v>
      </c>
    </row>
    <row r="952" spans="1:18" x14ac:dyDescent="0.25">
      <c r="A952" s="170">
        <v>43404</v>
      </c>
      <c r="B952" s="116">
        <v>168.54471309800499</v>
      </c>
      <c r="C952" s="116">
        <v>164.95762400704999</v>
      </c>
      <c r="D952" s="116">
        <v>160.061732139664</v>
      </c>
      <c r="E952" s="116">
        <v>163.74576958443001</v>
      </c>
      <c r="F952" s="116">
        <v>170.15</v>
      </c>
      <c r="G952">
        <v>1281851</v>
      </c>
      <c r="H952" s="116"/>
      <c r="I952" s="116"/>
      <c r="L952" s="170">
        <v>43404</v>
      </c>
      <c r="M952" s="116">
        <v>164.812460267006</v>
      </c>
      <c r="N952" s="116">
        <v>168.49650349650301</v>
      </c>
      <c r="O952" s="116">
        <v>159.67418944691701</v>
      </c>
      <c r="P952" s="116">
        <v>161.904005085823</v>
      </c>
      <c r="Q952" s="116">
        <v>170</v>
      </c>
      <c r="R952">
        <v>10254679</v>
      </c>
    </row>
    <row r="953" spans="1:18" x14ac:dyDescent="0.25">
      <c r="A953" s="170">
        <v>43405</v>
      </c>
      <c r="B953" s="116">
        <v>172.56806978110399</v>
      </c>
      <c r="C953" s="116">
        <v>169.51419663610099</v>
      </c>
      <c r="D953" s="116">
        <v>163.939666292049</v>
      </c>
      <c r="E953" s="116">
        <v>166.411849314194</v>
      </c>
      <c r="F953" s="116">
        <v>174.85</v>
      </c>
      <c r="G953">
        <v>908526</v>
      </c>
      <c r="H953" s="116"/>
      <c r="I953" s="116"/>
      <c r="L953" s="170">
        <v>43405</v>
      </c>
      <c r="M953" s="116">
        <v>169.65988556897599</v>
      </c>
      <c r="N953" s="116">
        <v>172.66528925619801</v>
      </c>
      <c r="O953" s="116">
        <v>163.697552447552</v>
      </c>
      <c r="P953" s="116">
        <v>165.83041958042</v>
      </c>
      <c r="Q953" s="116">
        <v>175</v>
      </c>
      <c r="R953">
        <v>8041754</v>
      </c>
    </row>
    <row r="954" spans="1:18" x14ac:dyDescent="0.25">
      <c r="A954" s="170">
        <v>43406</v>
      </c>
      <c r="B954" s="116">
        <v>174.50703685729599</v>
      </c>
      <c r="C954" s="116">
        <v>170.24130928967301</v>
      </c>
      <c r="D954" s="116">
        <v>168.69013562871999</v>
      </c>
      <c r="E954" s="116">
        <v>171.50163788919801</v>
      </c>
      <c r="F954" s="116">
        <v>175.6</v>
      </c>
      <c r="G954">
        <v>1102526</v>
      </c>
      <c r="H954" s="116"/>
      <c r="I954" s="116"/>
      <c r="L954" s="170">
        <v>43406</v>
      </c>
      <c r="M954" s="116">
        <v>170.241576605213</v>
      </c>
      <c r="N954" s="116">
        <v>174.02256834075001</v>
      </c>
      <c r="O954" s="116">
        <v>168.49650349650301</v>
      </c>
      <c r="P954" s="116">
        <v>171.21106166560699</v>
      </c>
      <c r="Q954" s="116">
        <v>175.6</v>
      </c>
      <c r="R954">
        <v>6839045</v>
      </c>
    </row>
    <row r="955" spans="1:18" x14ac:dyDescent="0.25">
      <c r="A955" s="170">
        <v>43409</v>
      </c>
      <c r="B955" s="116">
        <v>171.30774118157899</v>
      </c>
      <c r="C955" s="116">
        <v>163.35797616919101</v>
      </c>
      <c r="D955" s="116">
        <v>150.90011270465601</v>
      </c>
      <c r="E955" s="116">
        <v>168.01149715205199</v>
      </c>
      <c r="F955" s="116">
        <v>168.5</v>
      </c>
      <c r="G955">
        <v>1621202</v>
      </c>
      <c r="H955" s="116"/>
      <c r="I955" s="116"/>
      <c r="L955" s="170">
        <v>43409</v>
      </c>
      <c r="M955" s="116">
        <v>163.35823267641399</v>
      </c>
      <c r="N955" s="116">
        <v>171.35648442466601</v>
      </c>
      <c r="O955" s="116">
        <v>151.04577240940901</v>
      </c>
      <c r="P955" s="116">
        <v>170.72631913540999</v>
      </c>
      <c r="Q955" s="116">
        <v>168.5</v>
      </c>
      <c r="R955">
        <v>12668556</v>
      </c>
    </row>
    <row r="956" spans="1:18" x14ac:dyDescent="0.25">
      <c r="A956" s="170">
        <v>43410</v>
      </c>
      <c r="B956" s="116">
        <v>163.84271793823899</v>
      </c>
      <c r="C956" s="116">
        <v>159.18919695537801</v>
      </c>
      <c r="D956" s="116">
        <v>157.25022987918601</v>
      </c>
      <c r="E956" s="116">
        <v>162.87323440014299</v>
      </c>
      <c r="F956" s="116">
        <v>164.2</v>
      </c>
      <c r="G956">
        <v>610534</v>
      </c>
      <c r="H956" s="116"/>
      <c r="I956" s="116"/>
      <c r="L956" s="170">
        <v>43410</v>
      </c>
      <c r="M956" s="116">
        <v>159.43181818181799</v>
      </c>
      <c r="N956" s="116">
        <v>163.84297520661201</v>
      </c>
      <c r="O956" s="116">
        <v>157.05657978385199</v>
      </c>
      <c r="P956" s="116">
        <v>163.11586141131599</v>
      </c>
      <c r="Q956" s="116">
        <v>164.45</v>
      </c>
      <c r="R956">
        <v>5834504</v>
      </c>
    </row>
    <row r="957" spans="1:18" x14ac:dyDescent="0.25">
      <c r="A957" s="170">
        <v>43411</v>
      </c>
      <c r="B957" s="116">
        <v>163.60034705371501</v>
      </c>
      <c r="C957" s="116">
        <v>160.740370616332</v>
      </c>
      <c r="D957" s="116">
        <v>159.81936125514</v>
      </c>
      <c r="E957" s="116">
        <v>160.885793147046</v>
      </c>
      <c r="F957" s="116">
        <v>165.8</v>
      </c>
      <c r="G957">
        <v>114771</v>
      </c>
      <c r="H957" s="116"/>
      <c r="I957" s="116"/>
      <c r="L957" s="170">
        <v>43411</v>
      </c>
      <c r="M957" s="116">
        <v>160.69214876033101</v>
      </c>
      <c r="N957" s="116">
        <v>163.84297520661201</v>
      </c>
      <c r="O957" s="116">
        <v>159.67418944691701</v>
      </c>
      <c r="P957" s="116">
        <v>159.96503496503499</v>
      </c>
      <c r="Q957" s="116">
        <v>165.75</v>
      </c>
      <c r="R957">
        <v>1138303</v>
      </c>
    </row>
    <row r="958" spans="1:18" x14ac:dyDescent="0.25">
      <c r="A958" s="170">
        <v>43413</v>
      </c>
      <c r="B958" s="116">
        <v>162.679337692524</v>
      </c>
      <c r="C958" s="116">
        <v>161.22511238537999</v>
      </c>
      <c r="D958" s="116">
        <v>159.092248601568</v>
      </c>
      <c r="E958" s="116">
        <v>162.243070100381</v>
      </c>
      <c r="F958" s="116">
        <v>166.3</v>
      </c>
      <c r="G958">
        <v>358799</v>
      </c>
      <c r="H958" s="116"/>
      <c r="I958" s="116"/>
      <c r="L958" s="170">
        <v>43413</v>
      </c>
      <c r="M958" s="116">
        <v>161.22536554354701</v>
      </c>
      <c r="N958" s="116">
        <v>162.679593134139</v>
      </c>
      <c r="O958" s="116">
        <v>158.94707565162099</v>
      </c>
      <c r="P958" s="116">
        <v>160.44977749523201</v>
      </c>
      <c r="Q958" s="116">
        <v>166.3</v>
      </c>
      <c r="R958">
        <v>4079435</v>
      </c>
    </row>
    <row r="959" spans="1:18" x14ac:dyDescent="0.25">
      <c r="A959" s="170">
        <v>43416</v>
      </c>
      <c r="B959" s="116">
        <v>162.824760223238</v>
      </c>
      <c r="C959" s="116">
        <v>155.505159510613</v>
      </c>
      <c r="D959" s="116">
        <v>153.46924408061099</v>
      </c>
      <c r="E959" s="116">
        <v>162.53391516180901</v>
      </c>
      <c r="F959" s="116">
        <v>160.4</v>
      </c>
      <c r="G959">
        <v>664686</v>
      </c>
      <c r="H959" s="116"/>
      <c r="I959" s="116"/>
      <c r="L959" s="170">
        <v>43416</v>
      </c>
      <c r="M959" s="116">
        <v>155.359980928163</v>
      </c>
      <c r="N959" s="116">
        <v>162.77654164017801</v>
      </c>
      <c r="O959" s="116">
        <v>153.324062301335</v>
      </c>
      <c r="P959" s="116">
        <v>160.93452002542901</v>
      </c>
      <c r="Q959" s="116">
        <v>160.25</v>
      </c>
      <c r="R959">
        <v>4332207</v>
      </c>
    </row>
    <row r="960" spans="1:18" x14ac:dyDescent="0.25">
      <c r="A960" s="170">
        <v>43417</v>
      </c>
      <c r="B960" s="116">
        <v>157.92886835585301</v>
      </c>
      <c r="C960" s="116">
        <v>157.20175570228099</v>
      </c>
      <c r="D960" s="116">
        <v>153.95398584965901</v>
      </c>
      <c r="E960" s="116">
        <v>155.117366095374</v>
      </c>
      <c r="F960" s="116">
        <v>162.15</v>
      </c>
      <c r="G960">
        <v>393005</v>
      </c>
      <c r="H960" s="116"/>
      <c r="I960" s="116"/>
      <c r="L960" s="170">
        <v>43417</v>
      </c>
      <c r="M960" s="116">
        <v>157.202002542912</v>
      </c>
      <c r="N960" s="116">
        <v>158.026064844247</v>
      </c>
      <c r="O960" s="116">
        <v>153.90575333757101</v>
      </c>
      <c r="P960" s="116">
        <v>155.359980928163</v>
      </c>
      <c r="Q960" s="116">
        <v>162.15</v>
      </c>
      <c r="R960">
        <v>3641712</v>
      </c>
    </row>
    <row r="961" spans="1:18" x14ac:dyDescent="0.25">
      <c r="A961" s="170">
        <v>43418</v>
      </c>
      <c r="B961" s="116">
        <v>159.43156783990199</v>
      </c>
      <c r="C961" s="116">
        <v>155.94142710275599</v>
      </c>
      <c r="D961" s="116">
        <v>153.566192434421</v>
      </c>
      <c r="E961" s="116">
        <v>159.43156783990199</v>
      </c>
      <c r="F961" s="116">
        <v>160.85</v>
      </c>
      <c r="G961">
        <v>419550</v>
      </c>
      <c r="H961" s="116"/>
      <c r="I961" s="116"/>
      <c r="L961" s="170">
        <v>43418</v>
      </c>
      <c r="M961" s="116">
        <v>155.94167196439901</v>
      </c>
      <c r="N961" s="116">
        <v>158.753178639542</v>
      </c>
      <c r="O961" s="116">
        <v>153.42101080737399</v>
      </c>
      <c r="P961" s="116">
        <v>158.31691036236501</v>
      </c>
      <c r="Q961" s="116">
        <v>160.85</v>
      </c>
      <c r="R961">
        <v>3263131</v>
      </c>
    </row>
    <row r="962" spans="1:18" x14ac:dyDescent="0.25">
      <c r="A962" s="170">
        <v>43419</v>
      </c>
      <c r="B962" s="116">
        <v>160.98274150085601</v>
      </c>
      <c r="C962" s="116">
        <v>157.78344582513901</v>
      </c>
      <c r="D962" s="116">
        <v>155.650582041327</v>
      </c>
      <c r="E962" s="116">
        <v>155.650582041327</v>
      </c>
      <c r="F962" s="116">
        <v>162.75</v>
      </c>
      <c r="G962">
        <v>624184</v>
      </c>
      <c r="H962" s="116"/>
      <c r="I962" s="116"/>
      <c r="L962" s="170">
        <v>43419</v>
      </c>
      <c r="M962" s="116">
        <v>157.88064208518799</v>
      </c>
      <c r="N962" s="116">
        <v>161.176891290528</v>
      </c>
      <c r="O962" s="116">
        <v>155.117609663064</v>
      </c>
      <c r="P962" s="116">
        <v>156.81420851875399</v>
      </c>
      <c r="Q962" s="116">
        <v>162.85</v>
      </c>
      <c r="R962">
        <v>5297431</v>
      </c>
    </row>
    <row r="963" spans="1:18" x14ac:dyDescent="0.25">
      <c r="A963" s="170">
        <v>43420</v>
      </c>
      <c r="B963" s="116">
        <v>158.89835189394901</v>
      </c>
      <c r="C963" s="116">
        <v>156.474643048709</v>
      </c>
      <c r="D963" s="116">
        <v>152.93602813465799</v>
      </c>
      <c r="E963" s="116">
        <v>158.89835189394901</v>
      </c>
      <c r="F963" s="116">
        <v>161.4</v>
      </c>
      <c r="G963">
        <v>495623</v>
      </c>
      <c r="H963" s="116"/>
      <c r="I963" s="116"/>
      <c r="L963" s="170">
        <v>43420</v>
      </c>
      <c r="M963" s="116">
        <v>156.52336300063601</v>
      </c>
      <c r="N963" s="116">
        <v>158.85012714558201</v>
      </c>
      <c r="O963" s="116">
        <v>152.69389701207899</v>
      </c>
      <c r="P963" s="116">
        <v>158.026064844247</v>
      </c>
      <c r="Q963" s="116">
        <v>161.44999999999999</v>
      </c>
      <c r="R963">
        <v>3885301</v>
      </c>
    </row>
    <row r="964" spans="1:18" x14ac:dyDescent="0.25">
      <c r="A964" s="170">
        <v>43423</v>
      </c>
      <c r="B964" s="116">
        <v>159.33461948609201</v>
      </c>
      <c r="C964" s="116">
        <v>156.95938481775701</v>
      </c>
      <c r="D964" s="116">
        <v>154.826521033945</v>
      </c>
      <c r="E964" s="116">
        <v>157.05633317156699</v>
      </c>
      <c r="F964" s="116">
        <v>161.9</v>
      </c>
      <c r="G964">
        <v>621502</v>
      </c>
      <c r="H964" s="116"/>
      <c r="I964" s="116"/>
      <c r="L964" s="170">
        <v>43423</v>
      </c>
      <c r="M964" s="116">
        <v>157.15352828989199</v>
      </c>
      <c r="N964" s="116">
        <v>159.38334392879801</v>
      </c>
      <c r="O964" s="116">
        <v>154.68134138588701</v>
      </c>
      <c r="P964" s="116">
        <v>157.44437380801</v>
      </c>
      <c r="Q964" s="116">
        <v>162.1</v>
      </c>
      <c r="R964">
        <v>3424402</v>
      </c>
    </row>
    <row r="965" spans="1:18" x14ac:dyDescent="0.25">
      <c r="A965" s="170">
        <v>43424</v>
      </c>
      <c r="B965" s="116">
        <v>158.413610124901</v>
      </c>
      <c r="C965" s="116">
        <v>154.97194356465999</v>
      </c>
      <c r="D965" s="116">
        <v>152.40281218870501</v>
      </c>
      <c r="E965" s="116">
        <v>155.214314449184</v>
      </c>
      <c r="F965" s="116">
        <v>159.85</v>
      </c>
      <c r="G965">
        <v>710414</v>
      </c>
      <c r="H965" s="116"/>
      <c r="I965" s="116"/>
      <c r="L965" s="170">
        <v>43424</v>
      </c>
      <c r="M965" s="116">
        <v>155.26303242212299</v>
      </c>
      <c r="N965" s="116">
        <v>158.65623013350299</v>
      </c>
      <c r="O965" s="116">
        <v>152.16068022886199</v>
      </c>
      <c r="P965" s="116">
        <v>156.717260012715</v>
      </c>
      <c r="Q965" s="116">
        <v>160.15</v>
      </c>
      <c r="R965">
        <v>4293856</v>
      </c>
    </row>
    <row r="966" spans="1:18" x14ac:dyDescent="0.25">
      <c r="A966" s="170">
        <v>43425</v>
      </c>
      <c r="B966" s="116">
        <v>157.25022987918601</v>
      </c>
      <c r="C966" s="116">
        <v>156.038375456566</v>
      </c>
      <c r="D966" s="116">
        <v>153.76008914203999</v>
      </c>
      <c r="E966" s="116">
        <v>155.89295292585101</v>
      </c>
      <c r="F966" s="116">
        <v>160.94999999999999</v>
      </c>
      <c r="G966">
        <v>769717</v>
      </c>
      <c r="H966" s="116"/>
      <c r="I966" s="116"/>
      <c r="L966" s="170">
        <v>43425</v>
      </c>
      <c r="M966" s="116">
        <v>156.08709472345799</v>
      </c>
      <c r="N966" s="116">
        <v>157.05657978385199</v>
      </c>
      <c r="O966" s="116">
        <v>153.66338207247301</v>
      </c>
      <c r="P966" s="116">
        <v>156.668785759695</v>
      </c>
      <c r="Q966" s="116">
        <v>161</v>
      </c>
      <c r="R966">
        <v>4209404</v>
      </c>
    </row>
    <row r="967" spans="1:18" x14ac:dyDescent="0.25">
      <c r="A967" s="170">
        <v>43426</v>
      </c>
      <c r="B967" s="116">
        <v>157.589549117519</v>
      </c>
      <c r="C967" s="116">
        <v>153.46924408061099</v>
      </c>
      <c r="D967" s="116">
        <v>151.772647888943</v>
      </c>
      <c r="E967" s="116">
        <v>156.57159140251801</v>
      </c>
      <c r="F967" s="116">
        <v>158.30000000000001</v>
      </c>
      <c r="G967">
        <v>346184</v>
      </c>
      <c r="H967" s="116"/>
      <c r="I967" s="116"/>
      <c r="L967" s="170">
        <v>43426</v>
      </c>
      <c r="M967" s="116">
        <v>153.66338207247301</v>
      </c>
      <c r="N967" s="116">
        <v>157.00810553083301</v>
      </c>
      <c r="O967" s="116">
        <v>152.742371265099</v>
      </c>
      <c r="P967" s="116">
        <v>156.959631277813</v>
      </c>
      <c r="Q967" s="116">
        <v>158.5</v>
      </c>
      <c r="R967">
        <v>2405010</v>
      </c>
    </row>
    <row r="968" spans="1:18" x14ac:dyDescent="0.25">
      <c r="A968" s="170">
        <v>43430</v>
      </c>
      <c r="B968" s="116">
        <v>155.06889191846901</v>
      </c>
      <c r="C968" s="116">
        <v>152.40281218870501</v>
      </c>
      <c r="D968" s="116">
        <v>150.75469017394201</v>
      </c>
      <c r="E968" s="116">
        <v>153.95398584965901</v>
      </c>
      <c r="F968" s="116">
        <v>157.19999999999999</v>
      </c>
      <c r="G968">
        <v>512814</v>
      </c>
      <c r="H968" s="116"/>
      <c r="I968" s="116"/>
      <c r="L968" s="170">
        <v>43430</v>
      </c>
      <c r="M968" s="116">
        <v>152.54847425302</v>
      </c>
      <c r="N968" s="116">
        <v>155.02066115702499</v>
      </c>
      <c r="O968" s="116">
        <v>150.90034965034999</v>
      </c>
      <c r="P968" s="116">
        <v>153.66338207247301</v>
      </c>
      <c r="Q968" s="116">
        <v>157.35</v>
      </c>
      <c r="R968">
        <v>2428238</v>
      </c>
    </row>
    <row r="969" spans="1:18" x14ac:dyDescent="0.25">
      <c r="A969" s="170">
        <v>43431</v>
      </c>
      <c r="B969" s="116">
        <v>155.89295292585101</v>
      </c>
      <c r="C969" s="116">
        <v>153.95398584965901</v>
      </c>
      <c r="D969" s="116">
        <v>149.63978410513101</v>
      </c>
      <c r="E969" s="116">
        <v>153.12992484227701</v>
      </c>
      <c r="F969" s="116">
        <v>158.80000000000001</v>
      </c>
      <c r="G969">
        <v>457424</v>
      </c>
      <c r="H969" s="116"/>
      <c r="I969" s="116"/>
      <c r="L969" s="170">
        <v>43431</v>
      </c>
      <c r="M969" s="116">
        <v>154.293547361729</v>
      </c>
      <c r="N969" s="116">
        <v>156.08709472345799</v>
      </c>
      <c r="O969" s="116">
        <v>149.54307056579799</v>
      </c>
      <c r="P969" s="116">
        <v>152.54847425302</v>
      </c>
      <c r="Q969" s="116">
        <v>159.15</v>
      </c>
      <c r="R969">
        <v>3925863</v>
      </c>
    </row>
    <row r="970" spans="1:18" x14ac:dyDescent="0.25">
      <c r="A970" s="170">
        <v>43432</v>
      </c>
      <c r="B970" s="116">
        <v>154.72957268013599</v>
      </c>
      <c r="C970" s="116">
        <v>153.03297648846799</v>
      </c>
      <c r="D970" s="116">
        <v>151.627225358228</v>
      </c>
      <c r="E970" s="116">
        <v>154.147882557278</v>
      </c>
      <c r="F970" s="116">
        <v>157.85</v>
      </c>
      <c r="G970">
        <v>553517</v>
      </c>
      <c r="H970" s="116"/>
      <c r="I970" s="116"/>
      <c r="L970" s="170">
        <v>43432</v>
      </c>
      <c r="M970" s="116">
        <v>153.17863954227599</v>
      </c>
      <c r="N970" s="116">
        <v>154.72981563890701</v>
      </c>
      <c r="O970" s="116">
        <v>151.53051493960601</v>
      </c>
      <c r="P970" s="116">
        <v>154.293547361729</v>
      </c>
      <c r="Q970" s="116">
        <v>158</v>
      </c>
      <c r="R970">
        <v>3156482</v>
      </c>
    </row>
    <row r="971" spans="1:18" x14ac:dyDescent="0.25">
      <c r="A971" s="170">
        <v>43433</v>
      </c>
      <c r="B971" s="116">
        <v>169.51419663610099</v>
      </c>
      <c r="C971" s="116">
        <v>164.95762400704999</v>
      </c>
      <c r="D971" s="116">
        <v>153.66314078823001</v>
      </c>
      <c r="E971" s="116">
        <v>153.66314078823001</v>
      </c>
      <c r="F971" s="116">
        <v>170.15</v>
      </c>
      <c r="G971">
        <v>1791650</v>
      </c>
      <c r="H971" s="116"/>
      <c r="I971" s="116"/>
      <c r="L971" s="170">
        <v>43433</v>
      </c>
      <c r="M971" s="116">
        <v>164.715511760966</v>
      </c>
      <c r="N971" s="116">
        <v>170.19310235219299</v>
      </c>
      <c r="O971" s="116">
        <v>153.857279084552</v>
      </c>
      <c r="P971" s="116">
        <v>154.48744437380799</v>
      </c>
      <c r="Q971" s="116">
        <v>169.9</v>
      </c>
      <c r="R971">
        <v>13648898</v>
      </c>
    </row>
    <row r="972" spans="1:18" x14ac:dyDescent="0.25">
      <c r="A972" s="170">
        <v>43434</v>
      </c>
      <c r="B972" s="116">
        <v>169.465722459196</v>
      </c>
      <c r="C972" s="116">
        <v>160.207154670379</v>
      </c>
      <c r="D972" s="116">
        <v>158.946826070854</v>
      </c>
      <c r="E972" s="116">
        <v>163.939666292049</v>
      </c>
      <c r="F972" s="116">
        <v>165.25</v>
      </c>
      <c r="G972">
        <v>1008578</v>
      </c>
      <c r="H972" s="116"/>
      <c r="I972" s="116"/>
      <c r="L972" s="170">
        <v>43434</v>
      </c>
      <c r="M972" s="116">
        <v>159.96503496503499</v>
      </c>
      <c r="N972" s="116">
        <v>169.465988556898</v>
      </c>
      <c r="O972" s="116">
        <v>158.510807374444</v>
      </c>
      <c r="P972" s="116">
        <v>163.35823267641399</v>
      </c>
      <c r="Q972" s="116">
        <v>165</v>
      </c>
      <c r="R972">
        <v>9405499</v>
      </c>
    </row>
    <row r="973" spans="1:18" x14ac:dyDescent="0.25">
      <c r="A973" s="170">
        <v>43437</v>
      </c>
      <c r="B973" s="116">
        <v>163.16407946157199</v>
      </c>
      <c r="C973" s="116">
        <v>161.176638208475</v>
      </c>
      <c r="D973" s="116">
        <v>158.70445518632999</v>
      </c>
      <c r="E973" s="116">
        <v>160.207154670379</v>
      </c>
      <c r="F973" s="116">
        <v>166.25</v>
      </c>
      <c r="G973">
        <v>302608</v>
      </c>
      <c r="H973" s="116"/>
      <c r="I973" s="116"/>
      <c r="L973" s="170">
        <v>43437</v>
      </c>
      <c r="M973" s="116">
        <v>161.613159567705</v>
      </c>
      <c r="N973" s="116">
        <v>163.35823267641399</v>
      </c>
      <c r="O973" s="116">
        <v>158.510807374444</v>
      </c>
      <c r="P973" s="116">
        <v>160.98299427844901</v>
      </c>
      <c r="Q973" s="116">
        <v>166.7</v>
      </c>
      <c r="R973">
        <v>3213684</v>
      </c>
    </row>
    <row r="974" spans="1:18" x14ac:dyDescent="0.25">
      <c r="A974" s="170">
        <v>43438</v>
      </c>
      <c r="B974" s="116">
        <v>162.43696680799999</v>
      </c>
      <c r="C974" s="116">
        <v>157.83192000204301</v>
      </c>
      <c r="D974" s="116">
        <v>155.31126280299401</v>
      </c>
      <c r="E974" s="116">
        <v>162.388492631095</v>
      </c>
      <c r="F974" s="116">
        <v>162.80000000000001</v>
      </c>
      <c r="G974">
        <v>394104</v>
      </c>
      <c r="H974" s="116"/>
      <c r="I974" s="116"/>
      <c r="L974" s="170">
        <v>43438</v>
      </c>
      <c r="M974" s="116">
        <v>157.78369357914801</v>
      </c>
      <c r="N974" s="116">
        <v>161.41926255562601</v>
      </c>
      <c r="O974" s="116">
        <v>155.117609663064</v>
      </c>
      <c r="P974" s="116">
        <v>160.88604577240901</v>
      </c>
      <c r="Q974" s="116">
        <v>162.75</v>
      </c>
      <c r="R974">
        <v>3797368</v>
      </c>
    </row>
    <row r="975" spans="1:18" x14ac:dyDescent="0.25">
      <c r="A975" s="170">
        <v>43439</v>
      </c>
      <c r="B975" s="116">
        <v>159.86783543204501</v>
      </c>
      <c r="C975" s="116">
        <v>152.16044130418101</v>
      </c>
      <c r="D975" s="116">
        <v>150.803164350847</v>
      </c>
      <c r="E975" s="116">
        <v>156.57159140251801</v>
      </c>
      <c r="F975" s="116">
        <v>156.94999999999999</v>
      </c>
      <c r="G975">
        <v>770050</v>
      </c>
      <c r="H975" s="116"/>
      <c r="I975" s="116"/>
      <c r="L975" s="170">
        <v>43439</v>
      </c>
      <c r="M975" s="116">
        <v>152.59694850603901</v>
      </c>
      <c r="N975" s="116">
        <v>159.91656071201501</v>
      </c>
      <c r="O975" s="116">
        <v>150.99729815638901</v>
      </c>
      <c r="P975" s="116">
        <v>156.135568976478</v>
      </c>
      <c r="Q975" s="116">
        <v>157.4</v>
      </c>
      <c r="R975">
        <v>8601249</v>
      </c>
    </row>
    <row r="976" spans="1:18" x14ac:dyDescent="0.25">
      <c r="A976" s="170">
        <v>43440</v>
      </c>
      <c r="B976" s="116">
        <v>152.69365725013401</v>
      </c>
      <c r="C976" s="116">
        <v>145.66490159893701</v>
      </c>
      <c r="D976" s="116">
        <v>144.98626312227</v>
      </c>
      <c r="E976" s="116">
        <v>152.596708896324</v>
      </c>
      <c r="F976" s="116">
        <v>150.25</v>
      </c>
      <c r="G976">
        <v>597004</v>
      </c>
      <c r="H976" s="116"/>
      <c r="I976" s="116"/>
      <c r="L976" s="170">
        <v>43440</v>
      </c>
      <c r="M976" s="116">
        <v>145.955975842339</v>
      </c>
      <c r="N976" s="116">
        <v>151.239669421488</v>
      </c>
      <c r="O976" s="116">
        <v>145.180387794024</v>
      </c>
      <c r="P976" s="116">
        <v>151.04577240940901</v>
      </c>
      <c r="Q976" s="116">
        <v>150.55000000000001</v>
      </c>
      <c r="R976">
        <v>5714514</v>
      </c>
    </row>
    <row r="977" spans="1:18" x14ac:dyDescent="0.25">
      <c r="A977" s="170">
        <v>43441</v>
      </c>
      <c r="B977" s="116">
        <v>149.10656815917901</v>
      </c>
      <c r="C977" s="116">
        <v>148.13708462108201</v>
      </c>
      <c r="D977" s="116">
        <v>145.22863400679401</v>
      </c>
      <c r="E977" s="116">
        <v>146.48896260631901</v>
      </c>
      <c r="F977" s="116">
        <v>152.80000000000001</v>
      </c>
      <c r="G977">
        <v>531350</v>
      </c>
      <c r="H977" s="116"/>
      <c r="I977" s="116"/>
      <c r="L977" s="170">
        <v>43441</v>
      </c>
      <c r="M977" s="116">
        <v>148.23426573426599</v>
      </c>
      <c r="N977" s="116">
        <v>149.640019071837</v>
      </c>
      <c r="O977" s="116">
        <v>145.422759059123</v>
      </c>
      <c r="P977" s="116">
        <v>147.16783216783199</v>
      </c>
      <c r="Q977" s="116">
        <v>152.9</v>
      </c>
      <c r="R977">
        <v>7411261</v>
      </c>
    </row>
    <row r="978" spans="1:18" x14ac:dyDescent="0.25">
      <c r="A978" s="170">
        <v>43444</v>
      </c>
      <c r="B978" s="116">
        <v>142.514080100125</v>
      </c>
      <c r="C978" s="116">
        <v>138.68462012464599</v>
      </c>
      <c r="D978" s="116">
        <v>136.697178871549</v>
      </c>
      <c r="E978" s="116">
        <v>142.514080100125</v>
      </c>
      <c r="F978" s="116">
        <v>143.05000000000001</v>
      </c>
      <c r="G978">
        <v>717313</v>
      </c>
      <c r="H978" s="116"/>
      <c r="I978" s="116"/>
      <c r="L978" s="170">
        <v>43444</v>
      </c>
      <c r="M978" s="116">
        <v>138.78178639542301</v>
      </c>
      <c r="N978" s="116">
        <v>142.51430387793999</v>
      </c>
      <c r="O978" s="116">
        <v>136.69739351557499</v>
      </c>
      <c r="P978" s="116">
        <v>142.36888111888101</v>
      </c>
      <c r="Q978" s="116">
        <v>143.15</v>
      </c>
      <c r="R978">
        <v>7484723</v>
      </c>
    </row>
    <row r="979" spans="1:18" x14ac:dyDescent="0.25">
      <c r="A979" s="170">
        <v>43445</v>
      </c>
      <c r="B979" s="116">
        <v>151.14248358917999</v>
      </c>
      <c r="C979" s="116">
        <v>147.26454943679599</v>
      </c>
      <c r="D979" s="116">
        <v>133.30398648821199</v>
      </c>
      <c r="E979" s="116">
        <v>133.88567661107001</v>
      </c>
      <c r="F979" s="116">
        <v>151.9</v>
      </c>
      <c r="G979">
        <v>1365722</v>
      </c>
      <c r="H979" s="116"/>
      <c r="I979" s="116"/>
      <c r="L979" s="170">
        <v>43445</v>
      </c>
      <c r="M979" s="116">
        <v>147.264780673872</v>
      </c>
      <c r="N979" s="116">
        <v>151.09424666242799</v>
      </c>
      <c r="O979" s="116">
        <v>130.39574062301301</v>
      </c>
      <c r="P979" s="116">
        <v>134.758423394787</v>
      </c>
      <c r="Q979" s="116">
        <v>151.9</v>
      </c>
      <c r="R979">
        <v>9251826</v>
      </c>
    </row>
    <row r="980" spans="1:18" x14ac:dyDescent="0.25">
      <c r="A980" s="170">
        <v>43446</v>
      </c>
      <c r="B980" s="116">
        <v>152.01501877346701</v>
      </c>
      <c r="C980" s="116">
        <v>151.14248358917999</v>
      </c>
      <c r="D980" s="116">
        <v>146.246591721795</v>
      </c>
      <c r="E980" s="116">
        <v>147.84623955965401</v>
      </c>
      <c r="F980" s="116">
        <v>155.9</v>
      </c>
      <c r="G980">
        <v>644337</v>
      </c>
      <c r="H980" s="116"/>
      <c r="I980" s="116"/>
      <c r="L980" s="170">
        <v>43446</v>
      </c>
      <c r="M980" s="116">
        <v>151.33661792752699</v>
      </c>
      <c r="N980" s="116">
        <v>152.209154481882</v>
      </c>
      <c r="O980" s="116">
        <v>146.44071837253699</v>
      </c>
      <c r="P980" s="116">
        <v>148.13731722822601</v>
      </c>
      <c r="Q980" s="116">
        <v>156.1</v>
      </c>
      <c r="R980">
        <v>4377945</v>
      </c>
    </row>
    <row r="981" spans="1:18" x14ac:dyDescent="0.25">
      <c r="A981" s="170">
        <v>43447</v>
      </c>
      <c r="B981" s="116">
        <v>153.46924408061099</v>
      </c>
      <c r="C981" s="116">
        <v>151.04553523537101</v>
      </c>
      <c r="D981" s="116">
        <v>148.96114562846401</v>
      </c>
      <c r="E981" s="116">
        <v>152.69365725013401</v>
      </c>
      <c r="F981" s="116">
        <v>155.80000000000001</v>
      </c>
      <c r="G981">
        <v>707983</v>
      </c>
      <c r="H981" s="116"/>
      <c r="I981" s="116"/>
      <c r="L981" s="170">
        <v>43447</v>
      </c>
      <c r="M981" s="116">
        <v>151.239669421488</v>
      </c>
      <c r="N981" s="116">
        <v>153.760330578512</v>
      </c>
      <c r="O981" s="116">
        <v>149.30069930069899</v>
      </c>
      <c r="P981" s="116">
        <v>151.239669421488</v>
      </c>
      <c r="Q981" s="116">
        <v>156</v>
      </c>
      <c r="R981">
        <v>3499313</v>
      </c>
    </row>
    <row r="982" spans="1:18" x14ac:dyDescent="0.25">
      <c r="A982" s="170">
        <v>43448</v>
      </c>
      <c r="B982" s="116">
        <v>153.08145066537301</v>
      </c>
      <c r="C982" s="116">
        <v>152.305863834896</v>
      </c>
      <c r="D982" s="116">
        <v>149.49436157441701</v>
      </c>
      <c r="E982" s="116">
        <v>151.23943194299</v>
      </c>
      <c r="F982" s="116">
        <v>157.1</v>
      </c>
      <c r="G982">
        <v>635497</v>
      </c>
      <c r="H982" s="116"/>
      <c r="I982" s="116"/>
      <c r="L982" s="170">
        <v>43448</v>
      </c>
      <c r="M982" s="116">
        <v>152.30610298792101</v>
      </c>
      <c r="N982" s="116">
        <v>153.08169103623601</v>
      </c>
      <c r="O982" s="116">
        <v>149.397647806739</v>
      </c>
      <c r="P982" s="116">
        <v>151.239669421488</v>
      </c>
      <c r="Q982" s="116">
        <v>157.1</v>
      </c>
      <c r="R982">
        <v>3389589</v>
      </c>
    </row>
    <row r="983" spans="1:18" x14ac:dyDescent="0.25">
      <c r="A983" s="170">
        <v>43451</v>
      </c>
      <c r="B983" s="116">
        <v>154.00246002656399</v>
      </c>
      <c r="C983" s="116">
        <v>153.275347372992</v>
      </c>
      <c r="D983" s="116">
        <v>151.627225358228</v>
      </c>
      <c r="E983" s="116">
        <v>152.69365725013401</v>
      </c>
      <c r="F983" s="116">
        <v>158.1</v>
      </c>
      <c r="G983">
        <v>272877</v>
      </c>
      <c r="H983" s="116"/>
      <c r="I983" s="116"/>
      <c r="L983" s="170">
        <v>43451</v>
      </c>
      <c r="M983" s="116">
        <v>153.13016528925601</v>
      </c>
      <c r="N983" s="116">
        <v>154.051176096631</v>
      </c>
      <c r="O983" s="116">
        <v>151.57898919262601</v>
      </c>
      <c r="P983" s="116">
        <v>152.30610298792101</v>
      </c>
      <c r="Q983" s="116">
        <v>157.94999999999999</v>
      </c>
      <c r="R983">
        <v>1595605</v>
      </c>
    </row>
    <row r="984" spans="1:18" x14ac:dyDescent="0.25">
      <c r="A984" s="170">
        <v>43452</v>
      </c>
      <c r="B984" s="116">
        <v>154.87499521084999</v>
      </c>
      <c r="C984" s="116">
        <v>153.08145066537301</v>
      </c>
      <c r="D984" s="116">
        <v>151.67569953513299</v>
      </c>
      <c r="E984" s="116">
        <v>152.69365725013401</v>
      </c>
      <c r="F984" s="116">
        <v>157.9</v>
      </c>
      <c r="G984">
        <v>246583</v>
      </c>
      <c r="H984" s="116"/>
      <c r="I984" s="116"/>
      <c r="L984" s="170">
        <v>43452</v>
      </c>
      <c r="M984" s="116">
        <v>153.22711379529599</v>
      </c>
      <c r="N984" s="116">
        <v>154.875238397966</v>
      </c>
      <c r="O984" s="116">
        <v>151.433566433566</v>
      </c>
      <c r="P984" s="116">
        <v>152.88779402415801</v>
      </c>
      <c r="Q984" s="116">
        <v>158.05000000000001</v>
      </c>
      <c r="R984">
        <v>1689582</v>
      </c>
    </row>
    <row r="985" spans="1:18" x14ac:dyDescent="0.25">
      <c r="A985" s="170">
        <v>43453</v>
      </c>
      <c r="B985" s="116">
        <v>157.49260076370999</v>
      </c>
      <c r="C985" s="116">
        <v>155.16584027227901</v>
      </c>
      <c r="D985" s="116">
        <v>153.76008914203999</v>
      </c>
      <c r="E985" s="116">
        <v>155.117366095374</v>
      </c>
      <c r="F985" s="116">
        <v>160.05000000000001</v>
      </c>
      <c r="G985">
        <v>262534</v>
      </c>
      <c r="H985" s="116"/>
      <c r="I985" s="116"/>
      <c r="L985" s="170">
        <v>43453</v>
      </c>
      <c r="M985" s="116">
        <v>155.31150667514299</v>
      </c>
      <c r="N985" s="116">
        <v>157.735219326128</v>
      </c>
      <c r="O985" s="116">
        <v>153.66338207247301</v>
      </c>
      <c r="P985" s="116">
        <v>155.117609663064</v>
      </c>
      <c r="Q985" s="116">
        <v>160.19999999999999</v>
      </c>
      <c r="R985">
        <v>2312343</v>
      </c>
    </row>
    <row r="986" spans="1:18" x14ac:dyDescent="0.25">
      <c r="A986" s="170">
        <v>43454</v>
      </c>
      <c r="B986" s="116">
        <v>157.49260076370999</v>
      </c>
      <c r="C986" s="116">
        <v>154.147882557278</v>
      </c>
      <c r="D986" s="116">
        <v>153.566192434421</v>
      </c>
      <c r="E986" s="116">
        <v>155.117366095374</v>
      </c>
      <c r="F986" s="116">
        <v>159</v>
      </c>
      <c r="G986">
        <v>405234</v>
      </c>
      <c r="H986" s="116"/>
      <c r="I986" s="116"/>
      <c r="L986" s="170">
        <v>43454</v>
      </c>
      <c r="M986" s="116">
        <v>154.390495867769</v>
      </c>
      <c r="N986" s="116">
        <v>157.54132231405001</v>
      </c>
      <c r="O986" s="116">
        <v>153.566433566434</v>
      </c>
      <c r="P986" s="116">
        <v>154.53591862682799</v>
      </c>
      <c r="Q986" s="116">
        <v>159.25</v>
      </c>
      <c r="R986">
        <v>2539589</v>
      </c>
    </row>
    <row r="987" spans="1:18" x14ac:dyDescent="0.25">
      <c r="A987" s="170">
        <v>43455</v>
      </c>
      <c r="B987" s="116">
        <v>155.60210786442201</v>
      </c>
      <c r="C987" s="116">
        <v>154.05093420346901</v>
      </c>
      <c r="D987" s="116">
        <v>147.45844614441501</v>
      </c>
      <c r="E987" s="116">
        <v>155.02041774156501</v>
      </c>
      <c r="F987" s="116">
        <v>158.9</v>
      </c>
      <c r="G987">
        <v>848319</v>
      </c>
      <c r="H987" s="116"/>
      <c r="I987" s="116"/>
      <c r="L987" s="170">
        <v>43455</v>
      </c>
      <c r="M987" s="116">
        <v>154.48744437380799</v>
      </c>
      <c r="N987" s="116">
        <v>156.57183725365499</v>
      </c>
      <c r="O987" s="116">
        <v>147.36172917991101</v>
      </c>
      <c r="P987" s="116">
        <v>154.92371265098501</v>
      </c>
      <c r="Q987" s="116">
        <v>159.35</v>
      </c>
      <c r="R987">
        <v>5335334</v>
      </c>
    </row>
    <row r="988" spans="1:18" x14ac:dyDescent="0.25">
      <c r="A988" s="170">
        <v>43458</v>
      </c>
      <c r="B988" s="116">
        <v>155.79600457204199</v>
      </c>
      <c r="C988" s="116">
        <v>153.32382154989699</v>
      </c>
      <c r="D988" s="116">
        <v>150.269948404894</v>
      </c>
      <c r="E988" s="116">
        <v>154.147882557278</v>
      </c>
      <c r="F988" s="116">
        <v>158.15</v>
      </c>
      <c r="G988">
        <v>553576</v>
      </c>
      <c r="H988" s="116"/>
      <c r="I988" s="116"/>
      <c r="L988" s="170">
        <v>43458</v>
      </c>
      <c r="M988" s="116">
        <v>153.71185632549299</v>
      </c>
      <c r="N988" s="116">
        <v>155.99014621741901</v>
      </c>
      <c r="O988" s="116">
        <v>151.724411951685</v>
      </c>
      <c r="P988" s="116">
        <v>154.53591862682799</v>
      </c>
      <c r="Q988" s="116">
        <v>158.55000000000001</v>
      </c>
      <c r="R988">
        <v>3130614</v>
      </c>
    </row>
    <row r="989" spans="1:18" x14ac:dyDescent="0.25">
      <c r="A989" s="170">
        <v>43460</v>
      </c>
      <c r="B989" s="116">
        <v>157.541074940615</v>
      </c>
      <c r="C989" s="116">
        <v>155.74753039513701</v>
      </c>
      <c r="D989" s="116">
        <v>150.46384511251301</v>
      </c>
      <c r="E989" s="116">
        <v>151.53027700441899</v>
      </c>
      <c r="F989" s="116">
        <v>160.65</v>
      </c>
      <c r="G989">
        <v>450136</v>
      </c>
      <c r="H989" s="116"/>
      <c r="I989" s="116"/>
      <c r="L989" s="170">
        <v>43460</v>
      </c>
      <c r="M989" s="116">
        <v>156.32946598855699</v>
      </c>
      <c r="N989" s="116">
        <v>159.09249841068001</v>
      </c>
      <c r="O989" s="116">
        <v>150.36713286713299</v>
      </c>
      <c r="P989" s="116">
        <v>152.06373172282301</v>
      </c>
      <c r="Q989" s="116">
        <v>161.25</v>
      </c>
      <c r="R989">
        <v>4065516</v>
      </c>
    </row>
    <row r="990" spans="1:18" x14ac:dyDescent="0.25">
      <c r="A990" s="170">
        <v>43461</v>
      </c>
      <c r="B990" s="116">
        <v>162.291544277285</v>
      </c>
      <c r="C990" s="116">
        <v>157.25022987918601</v>
      </c>
      <c r="D990" s="116">
        <v>154.77804685704101</v>
      </c>
      <c r="E990" s="116">
        <v>156.86243646394701</v>
      </c>
      <c r="F990" s="116">
        <v>162.19999999999999</v>
      </c>
      <c r="G990">
        <v>1056859</v>
      </c>
      <c r="H990" s="116"/>
      <c r="I990" s="116"/>
      <c r="L990" s="170">
        <v>43461</v>
      </c>
      <c r="M990" s="116">
        <v>157.39589955499</v>
      </c>
      <c r="N990" s="116">
        <v>162.679593134139</v>
      </c>
      <c r="O990" s="116">
        <v>154.97218690400501</v>
      </c>
      <c r="P990" s="116">
        <v>157.29895104895101</v>
      </c>
      <c r="Q990" s="116">
        <v>162.35</v>
      </c>
      <c r="R990">
        <v>10882426</v>
      </c>
    </row>
    <row r="991" spans="1:18" x14ac:dyDescent="0.25">
      <c r="A991" s="170">
        <v>43462</v>
      </c>
      <c r="B991" s="116">
        <v>159.18919695537801</v>
      </c>
      <c r="C991" s="116">
        <v>156.81396228704199</v>
      </c>
      <c r="D991" s="116">
        <v>155.117366095374</v>
      </c>
      <c r="E991" s="116">
        <v>156.86243646394701</v>
      </c>
      <c r="F991" s="116">
        <v>161.75</v>
      </c>
      <c r="G991">
        <v>407803</v>
      </c>
      <c r="H991" s="116"/>
      <c r="I991" s="116"/>
      <c r="L991" s="170">
        <v>43462</v>
      </c>
      <c r="M991" s="116">
        <v>156.62031150667499</v>
      </c>
      <c r="N991" s="116">
        <v>159.286395422759</v>
      </c>
      <c r="O991" s="116">
        <v>154.92371265098501</v>
      </c>
      <c r="P991" s="116">
        <v>157.00810553083301</v>
      </c>
      <c r="Q991" s="116">
        <v>161.55000000000001</v>
      </c>
      <c r="R991">
        <v>3905985</v>
      </c>
    </row>
    <row r="992" spans="1:18" x14ac:dyDescent="0.25">
      <c r="A992" s="170">
        <v>43465</v>
      </c>
      <c r="B992" s="116">
        <v>158.99530024775899</v>
      </c>
      <c r="C992" s="116">
        <v>156.038375456566</v>
      </c>
      <c r="D992" s="116">
        <v>155.40821115680299</v>
      </c>
      <c r="E992" s="116">
        <v>157.541074940615</v>
      </c>
      <c r="F992" s="116">
        <v>160.94999999999999</v>
      </c>
      <c r="G992">
        <v>317349</v>
      </c>
      <c r="H992" s="116"/>
      <c r="I992" s="116"/>
      <c r="L992" s="170">
        <v>43465</v>
      </c>
      <c r="M992" s="116">
        <v>156.08709472345799</v>
      </c>
      <c r="N992" s="116">
        <v>159.18944691671999</v>
      </c>
      <c r="O992" s="116">
        <v>155.31150667514299</v>
      </c>
      <c r="P992" s="116">
        <v>157.88064208518799</v>
      </c>
      <c r="Q992" s="116">
        <v>161</v>
      </c>
      <c r="R992">
        <v>3890636</v>
      </c>
    </row>
    <row r="993" spans="1:18" x14ac:dyDescent="0.25">
      <c r="A993" s="170">
        <v>43466</v>
      </c>
      <c r="B993" s="116">
        <v>157.63802329442399</v>
      </c>
      <c r="C993" s="116">
        <v>152.40281218870501</v>
      </c>
      <c r="D993" s="116">
        <v>150.803164350847</v>
      </c>
      <c r="E993" s="116">
        <v>156.08684963347</v>
      </c>
      <c r="F993" s="116">
        <v>157.19999999999999</v>
      </c>
      <c r="G993">
        <v>651518</v>
      </c>
      <c r="H993" s="116"/>
      <c r="I993" s="116"/>
      <c r="L993" s="170">
        <v>43466</v>
      </c>
      <c r="M993" s="116">
        <v>152.45152574698</v>
      </c>
      <c r="N993" s="116">
        <v>157.39589955499</v>
      </c>
      <c r="O993" s="116">
        <v>150.706452638271</v>
      </c>
      <c r="P993" s="116">
        <v>155.99014621741901</v>
      </c>
      <c r="Q993" s="116">
        <v>157.25</v>
      </c>
      <c r="R993">
        <v>4726656</v>
      </c>
    </row>
    <row r="994" spans="1:18" x14ac:dyDescent="0.25">
      <c r="A994" s="170">
        <v>43467</v>
      </c>
      <c r="B994" s="116">
        <v>153.178399019182</v>
      </c>
      <c r="C994" s="116">
        <v>150.02757752036999</v>
      </c>
      <c r="D994" s="116">
        <v>148.185558797987</v>
      </c>
      <c r="E994" s="116">
        <v>152.208915481086</v>
      </c>
      <c r="F994" s="116">
        <v>154.75</v>
      </c>
      <c r="G994">
        <v>323380</v>
      </c>
      <c r="H994" s="116"/>
      <c r="I994" s="116"/>
      <c r="L994" s="170">
        <v>43467</v>
      </c>
      <c r="M994" s="116">
        <v>150.124761602034</v>
      </c>
      <c r="N994" s="116">
        <v>153.033216783217</v>
      </c>
      <c r="O994" s="116">
        <v>147.84647171010801</v>
      </c>
      <c r="P994" s="116">
        <v>152.209154481882</v>
      </c>
      <c r="Q994" s="116">
        <v>154.85</v>
      </c>
      <c r="R994">
        <v>2735262</v>
      </c>
    </row>
    <row r="995" spans="1:18" x14ac:dyDescent="0.25">
      <c r="A995" s="170">
        <v>43468</v>
      </c>
      <c r="B995" s="116">
        <v>151.23943194299</v>
      </c>
      <c r="C995" s="116">
        <v>147.894713736558</v>
      </c>
      <c r="D995" s="116">
        <v>146.00422083727099</v>
      </c>
      <c r="E995" s="116">
        <v>150.17300005108399</v>
      </c>
      <c r="F995" s="116">
        <v>152.55000000000001</v>
      </c>
      <c r="G995">
        <v>278733</v>
      </c>
      <c r="H995" s="116"/>
      <c r="I995" s="116"/>
      <c r="L995" s="170">
        <v>43468</v>
      </c>
      <c r="M995" s="116">
        <v>147.84647171010801</v>
      </c>
      <c r="N995" s="116">
        <v>151.33661792752699</v>
      </c>
      <c r="O995" s="116">
        <v>145.713604577241</v>
      </c>
      <c r="P995" s="116">
        <v>150.173235855054</v>
      </c>
      <c r="Q995" s="116">
        <v>152.5</v>
      </c>
      <c r="R995">
        <v>2758876</v>
      </c>
    </row>
    <row r="996" spans="1:18" x14ac:dyDescent="0.25">
      <c r="A996" s="170">
        <v>43469</v>
      </c>
      <c r="B996" s="116">
        <v>149.009619805369</v>
      </c>
      <c r="C996" s="116">
        <v>147.70081702893901</v>
      </c>
      <c r="D996" s="116">
        <v>145.51947906822301</v>
      </c>
      <c r="E996" s="116">
        <v>147.94318791346299</v>
      </c>
      <c r="F996" s="116">
        <v>152.35</v>
      </c>
      <c r="G996">
        <v>279230</v>
      </c>
      <c r="H996" s="116"/>
      <c r="I996" s="116"/>
      <c r="L996" s="170">
        <v>43469</v>
      </c>
      <c r="M996" s="116">
        <v>147.89494596312801</v>
      </c>
      <c r="N996" s="116">
        <v>149.30069930069899</v>
      </c>
      <c r="O996" s="116">
        <v>145.422759059123</v>
      </c>
      <c r="P996" s="116">
        <v>147.45867768594999</v>
      </c>
      <c r="Q996" s="116">
        <v>152.55000000000001</v>
      </c>
      <c r="R996">
        <v>2777308</v>
      </c>
    </row>
    <row r="997" spans="1:18" x14ac:dyDescent="0.25">
      <c r="A997" s="170">
        <v>43472</v>
      </c>
      <c r="B997" s="116">
        <v>149.542835751322</v>
      </c>
      <c r="C997" s="116">
        <v>146.39201425250999</v>
      </c>
      <c r="D997" s="116">
        <v>145.810324129652</v>
      </c>
      <c r="E997" s="116">
        <v>148.573352213226</v>
      </c>
      <c r="F997" s="116">
        <v>151</v>
      </c>
      <c r="G997">
        <v>367424</v>
      </c>
      <c r="H997" s="116"/>
      <c r="I997" s="116"/>
      <c r="L997" s="170">
        <v>43472</v>
      </c>
      <c r="M997" s="116">
        <v>146.63461538461499</v>
      </c>
      <c r="N997" s="116">
        <v>149.73696757787701</v>
      </c>
      <c r="O997" s="116">
        <v>145.665130324221</v>
      </c>
      <c r="P997" s="116">
        <v>148.23426573426599</v>
      </c>
      <c r="Q997" s="116">
        <v>151.25</v>
      </c>
      <c r="R997">
        <v>2714218</v>
      </c>
    </row>
    <row r="998" spans="1:18" x14ac:dyDescent="0.25">
      <c r="A998" s="170">
        <v>43473</v>
      </c>
      <c r="B998" s="116">
        <v>149.49436157441701</v>
      </c>
      <c r="C998" s="116">
        <v>148.71877474394</v>
      </c>
      <c r="D998" s="116">
        <v>145.131685652985</v>
      </c>
      <c r="E998" s="116">
        <v>146.58591096012901</v>
      </c>
      <c r="F998" s="116">
        <v>153.4</v>
      </c>
      <c r="G998">
        <v>324277</v>
      </c>
      <c r="H998" s="116"/>
      <c r="I998" s="116"/>
      <c r="L998" s="170">
        <v>43473</v>
      </c>
      <c r="M998" s="116">
        <v>148.76748251748299</v>
      </c>
      <c r="N998" s="116">
        <v>149.59154481881799</v>
      </c>
      <c r="O998" s="116">
        <v>145.08343928798499</v>
      </c>
      <c r="P998" s="116">
        <v>145.90750158931999</v>
      </c>
      <c r="Q998" s="116">
        <v>153.44999999999999</v>
      </c>
      <c r="R998">
        <v>2791866</v>
      </c>
    </row>
    <row r="999" spans="1:18" x14ac:dyDescent="0.25">
      <c r="A999" s="170">
        <v>43474</v>
      </c>
      <c r="B999" s="116">
        <v>149.688258282036</v>
      </c>
      <c r="C999" s="116">
        <v>144.743892237746</v>
      </c>
      <c r="D999" s="116">
        <v>143.047296046078</v>
      </c>
      <c r="E999" s="116">
        <v>149.39741322060701</v>
      </c>
      <c r="F999" s="116">
        <v>149.30000000000001</v>
      </c>
      <c r="G999">
        <v>511010</v>
      </c>
      <c r="H999" s="116"/>
      <c r="I999" s="116"/>
      <c r="L999" s="170">
        <v>43474</v>
      </c>
      <c r="M999" s="116">
        <v>144.79259376986599</v>
      </c>
      <c r="N999" s="116">
        <v>149.73696757787701</v>
      </c>
      <c r="O999" s="116">
        <v>143.095994914177</v>
      </c>
      <c r="P999" s="116">
        <v>148.91290527654201</v>
      </c>
      <c r="Q999" s="116">
        <v>149.35</v>
      </c>
      <c r="R999">
        <v>4054809</v>
      </c>
    </row>
    <row r="1000" spans="1:18" x14ac:dyDescent="0.25">
      <c r="A1000" s="170">
        <v>43475</v>
      </c>
      <c r="B1000" s="116">
        <v>148.476403859416</v>
      </c>
      <c r="C1000" s="116">
        <v>146.48896260631901</v>
      </c>
      <c r="D1000" s="116">
        <v>144.25915046869801</v>
      </c>
      <c r="E1000" s="116">
        <v>146.73133349084301</v>
      </c>
      <c r="F1000" s="116">
        <v>151.1</v>
      </c>
      <c r="G1000">
        <v>499045</v>
      </c>
      <c r="H1000" s="116"/>
      <c r="I1000" s="116"/>
      <c r="L1000" s="170">
        <v>43475</v>
      </c>
      <c r="M1000" s="116">
        <v>146.489192625556</v>
      </c>
      <c r="N1000" s="116">
        <v>147.16783216783199</v>
      </c>
      <c r="O1000" s="116">
        <v>143.96853146853101</v>
      </c>
      <c r="P1000" s="116">
        <v>146.39224411951699</v>
      </c>
      <c r="Q1000" s="116">
        <v>151.1</v>
      </c>
      <c r="R1000">
        <v>3534546</v>
      </c>
    </row>
    <row r="1001" spans="1:18" x14ac:dyDescent="0.25">
      <c r="A1001" s="170">
        <v>43476</v>
      </c>
      <c r="B1001" s="116">
        <v>147.55539449822501</v>
      </c>
      <c r="C1001" s="116">
        <v>146.779807667748</v>
      </c>
      <c r="D1001" s="116">
        <v>144.743892237746</v>
      </c>
      <c r="E1001" s="116">
        <v>146.58591096012901</v>
      </c>
      <c r="F1001" s="116">
        <v>151.4</v>
      </c>
      <c r="G1001">
        <v>250874</v>
      </c>
      <c r="H1001" s="116"/>
      <c r="I1001" s="116"/>
      <c r="L1001" s="170">
        <v>43476</v>
      </c>
      <c r="M1001" s="116">
        <v>146.87698664971401</v>
      </c>
      <c r="N1001" s="116">
        <v>147.94342021614699</v>
      </c>
      <c r="O1001" s="116">
        <v>144.55022250476799</v>
      </c>
      <c r="P1001" s="116">
        <v>146.489192625556</v>
      </c>
      <c r="Q1001" s="116">
        <v>151.5</v>
      </c>
      <c r="R1001">
        <v>2254999</v>
      </c>
    </row>
    <row r="1002" spans="1:18" x14ac:dyDescent="0.25">
      <c r="A1002" s="170">
        <v>43479</v>
      </c>
      <c r="B1002" s="116">
        <v>146.87675602155801</v>
      </c>
      <c r="C1002" s="116">
        <v>143.77440869965</v>
      </c>
      <c r="D1002" s="116">
        <v>142.56255427702999</v>
      </c>
      <c r="E1002" s="116">
        <v>146.87675602155801</v>
      </c>
      <c r="F1002" s="116">
        <v>148.30000000000001</v>
      </c>
      <c r="G1002">
        <v>303113</v>
      </c>
      <c r="H1002" s="116"/>
      <c r="I1002" s="116"/>
      <c r="L1002" s="170">
        <v>43479</v>
      </c>
      <c r="M1002" s="116">
        <v>143.823108709472</v>
      </c>
      <c r="N1002" s="116">
        <v>146.537666878576</v>
      </c>
      <c r="O1002" s="116">
        <v>142.51430387793999</v>
      </c>
      <c r="P1002" s="116">
        <v>146.39224411951699</v>
      </c>
      <c r="Q1002" s="116">
        <v>148.35</v>
      </c>
      <c r="R1002">
        <v>2624582</v>
      </c>
    </row>
    <row r="1003" spans="1:18" x14ac:dyDescent="0.25">
      <c r="A1003" s="170">
        <v>43480</v>
      </c>
      <c r="B1003" s="116">
        <v>145.32558236060399</v>
      </c>
      <c r="C1003" s="116">
        <v>144.307624645603</v>
      </c>
      <c r="D1003" s="116">
        <v>142.901873515364</v>
      </c>
      <c r="E1003" s="116">
        <v>143.96830540726901</v>
      </c>
      <c r="F1003" s="116">
        <v>148.85</v>
      </c>
      <c r="G1003">
        <v>232160</v>
      </c>
      <c r="H1003" s="116"/>
      <c r="I1003" s="116"/>
      <c r="L1003" s="170">
        <v>43480</v>
      </c>
      <c r="M1003" s="116">
        <v>144.11395422759099</v>
      </c>
      <c r="N1003" s="116">
        <v>145.37428480610299</v>
      </c>
      <c r="O1003" s="116">
        <v>142.75667514303899</v>
      </c>
      <c r="P1003" s="116">
        <v>143.96853146853101</v>
      </c>
      <c r="Q1003" s="116">
        <v>148.65</v>
      </c>
      <c r="R1003">
        <v>1805678</v>
      </c>
    </row>
    <row r="1004" spans="1:18" x14ac:dyDescent="0.25">
      <c r="A1004" s="170">
        <v>43481</v>
      </c>
      <c r="B1004" s="116">
        <v>146.101169191081</v>
      </c>
      <c r="C1004" s="116">
        <v>143.87135705346</v>
      </c>
      <c r="D1004" s="116">
        <v>143.483563638221</v>
      </c>
      <c r="E1004" s="116">
        <v>144.21067629179299</v>
      </c>
      <c r="F1004" s="116">
        <v>148.4</v>
      </c>
      <c r="G1004">
        <v>266443</v>
      </c>
      <c r="H1004" s="116"/>
      <c r="I1004" s="116"/>
      <c r="L1004" s="170">
        <v>43481</v>
      </c>
      <c r="M1004" s="116">
        <v>143.920057215512</v>
      </c>
      <c r="N1004" s="116">
        <v>146.10139860139901</v>
      </c>
      <c r="O1004" s="116">
        <v>143.48378893833399</v>
      </c>
      <c r="P1004" s="116">
        <v>143.67768595041301</v>
      </c>
      <c r="Q1004" s="116">
        <v>148.44999999999999</v>
      </c>
      <c r="R1004">
        <v>1574176</v>
      </c>
    </row>
    <row r="1005" spans="1:18" x14ac:dyDescent="0.25">
      <c r="A1005" s="170">
        <v>43482</v>
      </c>
      <c r="B1005" s="116">
        <v>146.44048842941399</v>
      </c>
      <c r="C1005" s="116">
        <v>144.54999553012701</v>
      </c>
      <c r="D1005" s="116">
        <v>142.02933833107701</v>
      </c>
      <c r="E1005" s="116">
        <v>144.453047176317</v>
      </c>
      <c r="F1005" s="116">
        <v>149.1</v>
      </c>
      <c r="G1005">
        <v>365462</v>
      </c>
      <c r="H1005" s="116"/>
      <c r="I1005" s="116"/>
      <c r="L1005" s="170">
        <v>43482</v>
      </c>
      <c r="M1005" s="116">
        <v>144.453273998729</v>
      </c>
      <c r="N1005" s="116">
        <v>146.63461538461499</v>
      </c>
      <c r="O1005" s="116">
        <v>141.88413858868401</v>
      </c>
      <c r="P1005" s="116">
        <v>143.871582962492</v>
      </c>
      <c r="Q1005" s="116">
        <v>149</v>
      </c>
      <c r="R1005">
        <v>2618859</v>
      </c>
    </row>
    <row r="1006" spans="1:18" x14ac:dyDescent="0.25">
      <c r="A1006" s="170">
        <v>43483</v>
      </c>
      <c r="B1006" s="116">
        <v>146.101169191081</v>
      </c>
      <c r="C1006" s="116">
        <v>142.27170921560099</v>
      </c>
      <c r="D1006" s="116">
        <v>140.23579378559899</v>
      </c>
      <c r="E1006" s="116">
        <v>145.51947906822301</v>
      </c>
      <c r="F1006" s="116">
        <v>146.75</v>
      </c>
      <c r="G1006">
        <v>365601</v>
      </c>
      <c r="H1006" s="116"/>
      <c r="I1006" s="116"/>
      <c r="L1006" s="170">
        <v>43483</v>
      </c>
      <c r="M1006" s="116">
        <v>142.27193261284199</v>
      </c>
      <c r="N1006" s="116">
        <v>145.228862047044</v>
      </c>
      <c r="O1006" s="116">
        <v>140.13906547997499</v>
      </c>
      <c r="P1006" s="116">
        <v>145.131913541004</v>
      </c>
      <c r="Q1006" s="116">
        <v>146.75</v>
      </c>
      <c r="R1006">
        <v>2306520</v>
      </c>
    </row>
    <row r="1007" spans="1:18" x14ac:dyDescent="0.25">
      <c r="A1007" s="170">
        <v>43486</v>
      </c>
      <c r="B1007" s="116">
        <v>143.53203781512599</v>
      </c>
      <c r="C1007" s="116">
        <v>141.49612238512401</v>
      </c>
      <c r="D1007" s="116">
        <v>139.50868113202699</v>
      </c>
      <c r="E1007" s="116">
        <v>142.27170921560099</v>
      </c>
      <c r="F1007" s="116">
        <v>145.94999999999999</v>
      </c>
      <c r="G1007">
        <v>270711</v>
      </c>
      <c r="H1007" s="116"/>
      <c r="I1007" s="116"/>
      <c r="L1007" s="170">
        <v>43486</v>
      </c>
      <c r="M1007" s="116">
        <v>141.496344564526</v>
      </c>
      <c r="N1007" s="116">
        <v>143.48378893833399</v>
      </c>
      <c r="O1007" s="116">
        <v>139.84821996185599</v>
      </c>
      <c r="P1007" s="116">
        <v>142.029561347743</v>
      </c>
      <c r="Q1007" s="116">
        <v>145.94999999999999</v>
      </c>
      <c r="R1007">
        <v>1763205</v>
      </c>
    </row>
    <row r="1008" spans="1:18" x14ac:dyDescent="0.25">
      <c r="A1008" s="170">
        <v>43487</v>
      </c>
      <c r="B1008" s="116">
        <v>142.02933833107701</v>
      </c>
      <c r="C1008" s="116">
        <v>141.20527732369499</v>
      </c>
      <c r="D1008" s="116">
        <v>137.52123987893</v>
      </c>
      <c r="E1008" s="116">
        <v>141.011380616076</v>
      </c>
      <c r="F1008" s="116">
        <v>145.65</v>
      </c>
      <c r="G1008">
        <v>285268</v>
      </c>
      <c r="H1008" s="116"/>
      <c r="I1008" s="116"/>
      <c r="L1008" s="170">
        <v>43487</v>
      </c>
      <c r="M1008" s="116">
        <v>141.253973299428</v>
      </c>
      <c r="N1008" s="116">
        <v>142.17498410680199</v>
      </c>
      <c r="O1008" s="116">
        <v>137.376033057851</v>
      </c>
      <c r="P1008" s="116">
        <v>140.96312778130999</v>
      </c>
      <c r="Q1008" s="116">
        <v>145.69999999999999</v>
      </c>
      <c r="R1008">
        <v>2261667</v>
      </c>
    </row>
    <row r="1009" spans="1:18" x14ac:dyDescent="0.25">
      <c r="A1009" s="170">
        <v>43488</v>
      </c>
      <c r="B1009" s="116">
        <v>142.02933833107701</v>
      </c>
      <c r="C1009" s="116">
        <v>138.58767177083601</v>
      </c>
      <c r="D1009" s="116">
        <v>137.71513658654999</v>
      </c>
      <c r="E1009" s="116">
        <v>141.20527732369499</v>
      </c>
      <c r="F1009" s="116">
        <v>142.94999999999999</v>
      </c>
      <c r="G1009">
        <v>272934</v>
      </c>
      <c r="H1009" s="116"/>
      <c r="I1009" s="116"/>
      <c r="L1009" s="170">
        <v>43488</v>
      </c>
      <c r="M1009" s="116">
        <v>138.636363636364</v>
      </c>
      <c r="N1009" s="116">
        <v>142.029561347743</v>
      </c>
      <c r="O1009" s="116">
        <v>137.71535282898901</v>
      </c>
      <c r="P1009" s="116">
        <v>141.06007628734901</v>
      </c>
      <c r="Q1009" s="116">
        <v>143</v>
      </c>
      <c r="R1009">
        <v>2322990</v>
      </c>
    </row>
    <row r="1010" spans="1:18" x14ac:dyDescent="0.25">
      <c r="A1010" s="170">
        <v>43489</v>
      </c>
      <c r="B1010" s="116">
        <v>139.50868113202699</v>
      </c>
      <c r="C1010" s="116">
        <v>138.248352532502</v>
      </c>
      <c r="D1010" s="116">
        <v>136.842601402263</v>
      </c>
      <c r="E1010" s="116">
        <v>138.636145947741</v>
      </c>
      <c r="F1010" s="116">
        <v>142.6</v>
      </c>
      <c r="G1010">
        <v>261501</v>
      </c>
      <c r="H1010" s="116"/>
      <c r="I1010" s="116"/>
      <c r="L1010" s="170">
        <v>43489</v>
      </c>
      <c r="M1010" s="116">
        <v>138.20009535918601</v>
      </c>
      <c r="N1010" s="116">
        <v>139.654322949777</v>
      </c>
      <c r="O1010" s="116">
        <v>136.79434202161499</v>
      </c>
      <c r="P1010" s="116">
        <v>138.636363636364</v>
      </c>
      <c r="Q1010" s="116">
        <v>142.55000000000001</v>
      </c>
      <c r="R1010">
        <v>1678843</v>
      </c>
    </row>
    <row r="1011" spans="1:18" x14ac:dyDescent="0.25">
      <c r="A1011" s="170">
        <v>43490</v>
      </c>
      <c r="B1011" s="116">
        <v>140.91443226226701</v>
      </c>
      <c r="C1011" s="116">
        <v>133.06161560368801</v>
      </c>
      <c r="D1011" s="116">
        <v>131.849761181068</v>
      </c>
      <c r="E1011" s="116">
        <v>138.83004265535999</v>
      </c>
      <c r="F1011" s="116">
        <v>137.25</v>
      </c>
      <c r="G1011">
        <v>529119</v>
      </c>
      <c r="H1011" s="116"/>
      <c r="I1011" s="116"/>
      <c r="L1011" s="170">
        <v>43490</v>
      </c>
      <c r="M1011" s="116">
        <v>133.158773045137</v>
      </c>
      <c r="N1011" s="116">
        <v>141.011602034329</v>
      </c>
      <c r="O1011" s="116">
        <v>131.99539097266401</v>
      </c>
      <c r="P1011" s="116">
        <v>138.49094087730401</v>
      </c>
      <c r="Q1011" s="116">
        <v>137.35</v>
      </c>
      <c r="R1011">
        <v>3297651</v>
      </c>
    </row>
    <row r="1012" spans="1:18" x14ac:dyDescent="0.25">
      <c r="A1012" s="170">
        <v>43493</v>
      </c>
      <c r="B1012" s="116">
        <v>136.21243710250101</v>
      </c>
      <c r="C1012" s="116">
        <v>132.140606242497</v>
      </c>
      <c r="D1012" s="116">
        <v>119.779691131772</v>
      </c>
      <c r="E1012" s="116">
        <v>133.78872825726</v>
      </c>
      <c r="F1012" s="116">
        <v>136.30000000000001</v>
      </c>
      <c r="G1012">
        <v>1592035</v>
      </c>
      <c r="H1012" s="116"/>
      <c r="I1012" s="116"/>
      <c r="L1012" s="170">
        <v>43493</v>
      </c>
      <c r="M1012" s="116">
        <v>132.23776223776201</v>
      </c>
      <c r="N1012" s="116">
        <v>136.69739351557499</v>
      </c>
      <c r="O1012" s="116">
        <v>115.320247933884</v>
      </c>
      <c r="P1012" s="116">
        <v>133.78893833439301</v>
      </c>
      <c r="Q1012" s="116">
        <v>136.4</v>
      </c>
      <c r="R1012">
        <v>9404485</v>
      </c>
    </row>
    <row r="1013" spans="1:18" x14ac:dyDescent="0.25">
      <c r="A1013" s="170">
        <v>43494</v>
      </c>
      <c r="B1013" s="116">
        <v>138.97546518607399</v>
      </c>
      <c r="C1013" s="116">
        <v>136.40633381012</v>
      </c>
      <c r="D1013" s="116">
        <v>129.57147486654199</v>
      </c>
      <c r="E1013" s="116">
        <v>132.33450295011599</v>
      </c>
      <c r="F1013" s="116">
        <v>140.69999999999999</v>
      </c>
      <c r="G1013">
        <v>1186123</v>
      </c>
      <c r="H1013" s="116"/>
      <c r="I1013" s="116"/>
      <c r="L1013" s="170">
        <v>43494</v>
      </c>
      <c r="M1013" s="116">
        <v>136.50349650349699</v>
      </c>
      <c r="N1013" s="116">
        <v>139.411951684679</v>
      </c>
      <c r="O1013" s="116">
        <v>129.523204068659</v>
      </c>
      <c r="P1013" s="116">
        <v>132.28623649078199</v>
      </c>
      <c r="Q1013" s="116">
        <v>140.80000000000001</v>
      </c>
      <c r="R1013">
        <v>4301493</v>
      </c>
    </row>
    <row r="1014" spans="1:18" x14ac:dyDescent="0.25">
      <c r="A1014" s="170">
        <v>43495</v>
      </c>
      <c r="B1014" s="116">
        <v>138.102930001788</v>
      </c>
      <c r="C1014" s="116">
        <v>135.436850272024</v>
      </c>
      <c r="D1014" s="116">
        <v>132.18908041940199</v>
      </c>
      <c r="E1014" s="116">
        <v>138.102930001788</v>
      </c>
      <c r="F1014" s="116">
        <v>139.69999999999999</v>
      </c>
      <c r="G1014">
        <v>827539</v>
      </c>
      <c r="H1014" s="116"/>
      <c r="I1014" s="116"/>
      <c r="L1014" s="170">
        <v>43495</v>
      </c>
      <c r="M1014" s="116">
        <v>135.63095994914201</v>
      </c>
      <c r="N1014" s="116">
        <v>137.18213604577201</v>
      </c>
      <c r="O1014" s="116">
        <v>132.33471074380199</v>
      </c>
      <c r="P1014" s="116">
        <v>136.600445009536</v>
      </c>
      <c r="Q1014" s="116">
        <v>139.9</v>
      </c>
      <c r="R1014">
        <v>3102926</v>
      </c>
    </row>
    <row r="1015" spans="1:18" x14ac:dyDescent="0.25">
      <c r="A1015" s="170">
        <v>43496</v>
      </c>
      <c r="B1015" s="116">
        <v>137.133446463692</v>
      </c>
      <c r="C1015" s="116">
        <v>133.01314142678299</v>
      </c>
      <c r="D1015" s="116">
        <v>130.97722599678201</v>
      </c>
      <c r="E1015" s="116">
        <v>135.63074697964299</v>
      </c>
      <c r="F1015" s="116">
        <v>137.19999999999999</v>
      </c>
      <c r="G1015">
        <v>558459</v>
      </c>
      <c r="H1015" s="116"/>
      <c r="I1015" s="116"/>
      <c r="L1015" s="170">
        <v>43496</v>
      </c>
      <c r="M1015" s="116">
        <v>132.964876033058</v>
      </c>
      <c r="N1015" s="116">
        <v>137.42450731087101</v>
      </c>
      <c r="O1015" s="116">
        <v>130.88048315321001</v>
      </c>
      <c r="P1015" s="116">
        <v>135.243165924984</v>
      </c>
      <c r="Q1015" s="116">
        <v>137.15</v>
      </c>
      <c r="R1015">
        <v>3498642</v>
      </c>
    </row>
    <row r="1016" spans="1:18" x14ac:dyDescent="0.25">
      <c r="A1016" s="170">
        <v>43497</v>
      </c>
      <c r="B1016" s="116">
        <v>139.94494872417101</v>
      </c>
      <c r="C1016" s="116">
        <v>138.15140417869301</v>
      </c>
      <c r="D1016" s="116">
        <v>130.54095840463799</v>
      </c>
      <c r="E1016" s="116">
        <v>133.255512311307</v>
      </c>
      <c r="F1016" s="116">
        <v>142.5</v>
      </c>
      <c r="G1016">
        <v>755591</v>
      </c>
      <c r="H1016" s="116"/>
      <c r="I1016" s="116"/>
      <c r="L1016" s="170">
        <v>43497</v>
      </c>
      <c r="M1016" s="116">
        <v>138.636363636364</v>
      </c>
      <c r="N1016" s="116">
        <v>140.38143674507299</v>
      </c>
      <c r="O1016" s="116">
        <v>130.44421487603299</v>
      </c>
      <c r="P1016" s="116">
        <v>132.77097902097901</v>
      </c>
      <c r="Q1016" s="116">
        <v>143</v>
      </c>
      <c r="R1016">
        <v>7091209</v>
      </c>
    </row>
    <row r="1017" spans="1:18" x14ac:dyDescent="0.25">
      <c r="A1017" s="170">
        <v>43500</v>
      </c>
      <c r="B1017" s="116">
        <v>137.666662409645</v>
      </c>
      <c r="C1017" s="116">
        <v>119.10105265510499</v>
      </c>
      <c r="D1017" s="116">
        <v>117.45293064034099</v>
      </c>
      <c r="E1017" s="116">
        <v>137.666662409645</v>
      </c>
      <c r="F1017" s="116">
        <v>122.85</v>
      </c>
      <c r="G1017">
        <v>1327472</v>
      </c>
      <c r="H1017" s="116"/>
      <c r="I1017" s="116"/>
      <c r="L1017" s="170">
        <v>43500</v>
      </c>
      <c r="M1017" s="116">
        <v>119.34361093452</v>
      </c>
      <c r="N1017" s="116">
        <v>138.53941513032399</v>
      </c>
      <c r="O1017" s="116">
        <v>117.59853782581099</v>
      </c>
      <c r="P1017" s="116">
        <v>138.53941513032399</v>
      </c>
      <c r="Q1017" s="116">
        <v>123.1</v>
      </c>
      <c r="R1017">
        <v>9832462</v>
      </c>
    </row>
    <row r="1018" spans="1:18" x14ac:dyDescent="0.25">
      <c r="A1018" s="170">
        <v>43501</v>
      </c>
      <c r="B1018" s="116">
        <v>123.31830604582299</v>
      </c>
      <c r="C1018" s="116">
        <v>120.022062016296</v>
      </c>
      <c r="D1018" s="116">
        <v>115.95023115629201</v>
      </c>
      <c r="E1018" s="116">
        <v>119.973587839391</v>
      </c>
      <c r="F1018" s="116">
        <v>123.8</v>
      </c>
      <c r="G1018">
        <v>1275302</v>
      </c>
      <c r="H1018" s="116"/>
      <c r="I1018" s="116"/>
      <c r="L1018" s="170">
        <v>43501</v>
      </c>
      <c r="M1018" s="116">
        <v>120.458518753973</v>
      </c>
      <c r="N1018" s="116">
        <v>123.512396694215</v>
      </c>
      <c r="O1018" s="116">
        <v>115.95041322314</v>
      </c>
      <c r="P1018" s="116">
        <v>118.277177368086</v>
      </c>
      <c r="Q1018" s="116">
        <v>124.25</v>
      </c>
      <c r="R1018">
        <v>8484607</v>
      </c>
    </row>
    <row r="1019" spans="1:18" x14ac:dyDescent="0.25">
      <c r="A1019" s="170">
        <v>43502</v>
      </c>
      <c r="B1019" s="116">
        <v>120.55527796224899</v>
      </c>
      <c r="C1019" s="116">
        <v>118.95563012439</v>
      </c>
      <c r="D1019" s="116">
        <v>111.442132704145</v>
      </c>
      <c r="E1019" s="116">
        <v>120.16748454701001</v>
      </c>
      <c r="F1019" s="116">
        <v>122.7</v>
      </c>
      <c r="G1019">
        <v>1408415</v>
      </c>
      <c r="H1019" s="116"/>
      <c r="I1019" s="116"/>
      <c r="L1019" s="170">
        <v>43502</v>
      </c>
      <c r="M1019" s="116">
        <v>119.14971392244099</v>
      </c>
      <c r="N1019" s="116">
        <v>120.410044500954</v>
      </c>
      <c r="O1019" s="116">
        <v>111.296884933249</v>
      </c>
      <c r="P1019" s="116">
        <v>120.07072472981601</v>
      </c>
      <c r="Q1019" s="116">
        <v>122.9</v>
      </c>
      <c r="R1019">
        <v>9905219</v>
      </c>
    </row>
    <row r="1020" spans="1:18" x14ac:dyDescent="0.25">
      <c r="A1020" s="170">
        <v>43503</v>
      </c>
      <c r="B1020" s="116">
        <v>122.930512630584</v>
      </c>
      <c r="C1020" s="116">
        <v>119.925113662486</v>
      </c>
      <c r="D1020" s="116">
        <v>115.610911917959</v>
      </c>
      <c r="E1020" s="116">
        <v>118.27699164772299</v>
      </c>
      <c r="F1020" s="116">
        <v>123.7</v>
      </c>
      <c r="G1020">
        <v>1167937</v>
      </c>
      <c r="H1020" s="116"/>
      <c r="I1020" s="116"/>
      <c r="L1020" s="170">
        <v>43503</v>
      </c>
      <c r="M1020" s="116">
        <v>120.16767323585501</v>
      </c>
      <c r="N1020" s="116">
        <v>122.930705657978</v>
      </c>
      <c r="O1020" s="116">
        <v>115.417196439924</v>
      </c>
      <c r="P1020" s="116">
        <v>118.47107438016501</v>
      </c>
      <c r="Q1020" s="116">
        <v>123.95</v>
      </c>
      <c r="R1020">
        <v>9826247</v>
      </c>
    </row>
    <row r="1021" spans="1:18" x14ac:dyDescent="0.25">
      <c r="A1021" s="170">
        <v>43504</v>
      </c>
      <c r="B1021" s="116">
        <v>121.815606561774</v>
      </c>
      <c r="C1021" s="116">
        <v>119.68274277796201</v>
      </c>
      <c r="D1021" s="116">
        <v>112.07229700390801</v>
      </c>
      <c r="E1021" s="116">
        <v>118.27699164772299</v>
      </c>
      <c r="F1021" s="116">
        <v>123.45</v>
      </c>
      <c r="G1021">
        <v>1209781</v>
      </c>
      <c r="H1021" s="116"/>
      <c r="I1021" s="116"/>
      <c r="L1021" s="170">
        <v>43504</v>
      </c>
      <c r="M1021" s="116">
        <v>119.973776223776</v>
      </c>
      <c r="N1021" s="116">
        <v>121.62190082644599</v>
      </c>
      <c r="O1021" s="116">
        <v>112.169421487603</v>
      </c>
      <c r="P1021" s="116">
        <v>119.246662428481</v>
      </c>
      <c r="Q1021" s="116">
        <v>123.75</v>
      </c>
      <c r="R1021">
        <v>8059813</v>
      </c>
    </row>
    <row r="1022" spans="1:18" x14ac:dyDescent="0.25">
      <c r="A1022" s="170">
        <v>43507</v>
      </c>
      <c r="B1022" s="116">
        <v>119.68274277796201</v>
      </c>
      <c r="C1022" s="116">
        <v>114.689902556767</v>
      </c>
      <c r="D1022" s="116">
        <v>112.363142065337</v>
      </c>
      <c r="E1022" s="116">
        <v>119.68274277796201</v>
      </c>
      <c r="F1022" s="116">
        <v>118.3</v>
      </c>
      <c r="G1022">
        <v>896344</v>
      </c>
      <c r="H1022" s="116"/>
      <c r="I1022" s="116"/>
      <c r="L1022" s="170">
        <v>43507</v>
      </c>
      <c r="M1022" s="116">
        <v>114.59313413858899</v>
      </c>
      <c r="N1022" s="116">
        <v>119.489033693579</v>
      </c>
      <c r="O1022" s="116">
        <v>112.266369993643</v>
      </c>
      <c r="P1022" s="116">
        <v>119.198188175461</v>
      </c>
      <c r="Q1022" s="116">
        <v>118.2</v>
      </c>
      <c r="R1022">
        <v>7048335</v>
      </c>
    </row>
    <row r="1023" spans="1:18" x14ac:dyDescent="0.25">
      <c r="A1023" s="170">
        <v>43508</v>
      </c>
      <c r="B1023" s="116">
        <v>116.33802457153099</v>
      </c>
      <c r="C1023" s="116">
        <v>113.429573957242</v>
      </c>
      <c r="D1023" s="116">
        <v>111.878400296289</v>
      </c>
      <c r="E1023" s="116">
        <v>113.429573957242</v>
      </c>
      <c r="F1023" s="116">
        <v>117</v>
      </c>
      <c r="G1023">
        <v>510415</v>
      </c>
      <c r="H1023" s="116"/>
      <c r="I1023" s="116"/>
      <c r="L1023" s="170">
        <v>43508</v>
      </c>
      <c r="M1023" s="116">
        <v>113.38127781309601</v>
      </c>
      <c r="N1023" s="116">
        <v>116.338207247298</v>
      </c>
      <c r="O1023" s="116">
        <v>111.83010171646499</v>
      </c>
      <c r="P1023" s="116">
        <v>113.623649078195</v>
      </c>
      <c r="Q1023" s="116">
        <v>116.95</v>
      </c>
      <c r="R1023">
        <v>3698931</v>
      </c>
    </row>
    <row r="1024" spans="1:18" x14ac:dyDescent="0.25">
      <c r="A1024" s="170">
        <v>43509</v>
      </c>
      <c r="B1024" s="116">
        <v>121.52476150034499</v>
      </c>
      <c r="C1024" s="116">
        <v>115.901756979388</v>
      </c>
      <c r="D1024" s="116">
        <v>112.12077118081299</v>
      </c>
      <c r="E1024" s="116">
        <v>113.91431572629099</v>
      </c>
      <c r="F1024" s="116">
        <v>119.55</v>
      </c>
      <c r="G1024">
        <v>1058647</v>
      </c>
      <c r="H1024" s="116"/>
      <c r="I1024" s="116"/>
      <c r="L1024" s="170">
        <v>43509</v>
      </c>
      <c r="M1024" s="116">
        <v>115.90193897012099</v>
      </c>
      <c r="N1024" s="116">
        <v>121.767323585505</v>
      </c>
      <c r="O1024" s="116">
        <v>111.975524475524</v>
      </c>
      <c r="P1024" s="116">
        <v>113.429752066116</v>
      </c>
      <c r="Q1024" s="116">
        <v>119.55</v>
      </c>
      <c r="R1024">
        <v>9784596</v>
      </c>
    </row>
    <row r="1025" spans="1:18" x14ac:dyDescent="0.25">
      <c r="A1025" s="170">
        <v>43510</v>
      </c>
      <c r="B1025" s="116">
        <v>115.756334448673</v>
      </c>
      <c r="C1025" s="116">
        <v>114.641428379863</v>
      </c>
      <c r="D1025" s="116">
        <v>112.653987126766</v>
      </c>
      <c r="E1025" s="116">
        <v>114.932273441291</v>
      </c>
      <c r="F1025" s="116">
        <v>118.25</v>
      </c>
      <c r="G1025">
        <v>629065</v>
      </c>
      <c r="H1025" s="116"/>
      <c r="I1025" s="116"/>
      <c r="L1025" s="170">
        <v>43510</v>
      </c>
      <c r="M1025" s="116">
        <v>114.496185632549</v>
      </c>
      <c r="N1025" s="116">
        <v>115.85346471710101</v>
      </c>
      <c r="O1025" s="116">
        <v>112.460267005722</v>
      </c>
      <c r="P1025" s="116">
        <v>114.83550540368699</v>
      </c>
      <c r="Q1025" s="116">
        <v>118.1</v>
      </c>
      <c r="R1025">
        <v>4962697</v>
      </c>
    </row>
    <row r="1026" spans="1:18" x14ac:dyDescent="0.25">
      <c r="A1026" s="170">
        <v>43511</v>
      </c>
      <c r="B1026" s="116">
        <v>117.210559755817</v>
      </c>
      <c r="C1026" s="116">
        <v>115.99870533319699</v>
      </c>
      <c r="D1026" s="116">
        <v>113.284151426528</v>
      </c>
      <c r="E1026" s="116">
        <v>115.271592679625</v>
      </c>
      <c r="F1026" s="116">
        <v>119.65</v>
      </c>
      <c r="G1026">
        <v>580677</v>
      </c>
      <c r="H1026" s="116"/>
      <c r="I1026" s="116"/>
      <c r="L1026" s="170">
        <v>43511</v>
      </c>
      <c r="M1026" s="116">
        <v>116.144310235219</v>
      </c>
      <c r="N1026" s="116">
        <v>117.453115066751</v>
      </c>
      <c r="O1026" s="116">
        <v>112.945009535919</v>
      </c>
      <c r="P1026" s="116">
        <v>114.544659885569</v>
      </c>
      <c r="Q1026" s="116">
        <v>119.8</v>
      </c>
      <c r="R1026">
        <v>4509378</v>
      </c>
    </row>
    <row r="1027" spans="1:18" x14ac:dyDescent="0.25">
      <c r="A1027" s="170">
        <v>43514</v>
      </c>
      <c r="B1027" s="116">
        <v>116.289550394626</v>
      </c>
      <c r="C1027" s="116">
        <v>114.302109141529</v>
      </c>
      <c r="D1027" s="116">
        <v>112.750935480575</v>
      </c>
      <c r="E1027" s="116">
        <v>115.99870533319699</v>
      </c>
      <c r="F1027" s="116">
        <v>117.9</v>
      </c>
      <c r="G1027">
        <v>499078</v>
      </c>
      <c r="H1027" s="116"/>
      <c r="I1027" s="116"/>
      <c r="L1027" s="170">
        <v>43514</v>
      </c>
      <c r="M1027" s="116">
        <v>113.91449459631301</v>
      </c>
      <c r="N1027" s="116">
        <v>116.241258741259</v>
      </c>
      <c r="O1027" s="116">
        <v>112.557215511761</v>
      </c>
      <c r="P1027" s="116">
        <v>114.69008264462801</v>
      </c>
      <c r="Q1027" s="116">
        <v>117.5</v>
      </c>
      <c r="R1027">
        <v>2569451</v>
      </c>
    </row>
    <row r="1028" spans="1:18" x14ac:dyDescent="0.25">
      <c r="A1028" s="170">
        <v>43515</v>
      </c>
      <c r="B1028" s="116">
        <v>116.144127863912</v>
      </c>
      <c r="C1028" s="116">
        <v>114.738376733672</v>
      </c>
      <c r="D1028" s="116">
        <v>113.52652231105201</v>
      </c>
      <c r="E1028" s="116">
        <v>114.447531672243</v>
      </c>
      <c r="F1028" s="116">
        <v>118.35</v>
      </c>
      <c r="G1028">
        <v>372378</v>
      </c>
      <c r="H1028" s="116"/>
      <c r="I1028" s="116"/>
      <c r="L1028" s="170">
        <v>43515</v>
      </c>
      <c r="M1028" s="116">
        <v>114.641608391608</v>
      </c>
      <c r="N1028" s="116">
        <v>116.144310235219</v>
      </c>
      <c r="O1028" s="116">
        <v>113.235855054037</v>
      </c>
      <c r="P1028" s="116">
        <v>114.787031150668</v>
      </c>
      <c r="Q1028" s="116">
        <v>118.25</v>
      </c>
      <c r="R1028">
        <v>2644152</v>
      </c>
    </row>
    <row r="1029" spans="1:18" x14ac:dyDescent="0.25">
      <c r="A1029" s="170">
        <v>43516</v>
      </c>
      <c r="B1029" s="116">
        <v>117.25903393272201</v>
      </c>
      <c r="C1029" s="116">
        <v>116.289550394626</v>
      </c>
      <c r="D1029" s="116">
        <v>114.205160787719</v>
      </c>
      <c r="E1029" s="116">
        <v>114.641428379863</v>
      </c>
      <c r="F1029" s="116">
        <v>119.95</v>
      </c>
      <c r="G1029">
        <v>484693</v>
      </c>
      <c r="H1029" s="116"/>
      <c r="I1029" s="116"/>
      <c r="L1029" s="170">
        <v>43516</v>
      </c>
      <c r="M1029" s="116">
        <v>116.38668150031801</v>
      </c>
      <c r="N1029" s="116">
        <v>117.404640813732</v>
      </c>
      <c r="O1029" s="116">
        <v>112.6541640178</v>
      </c>
      <c r="P1029" s="116">
        <v>114.35076287349</v>
      </c>
      <c r="Q1029" s="116">
        <v>120.05</v>
      </c>
      <c r="R1029">
        <v>3739081</v>
      </c>
    </row>
    <row r="1030" spans="1:18" x14ac:dyDescent="0.25">
      <c r="A1030" s="170">
        <v>43517</v>
      </c>
      <c r="B1030" s="116">
        <v>117.40445646343601</v>
      </c>
      <c r="C1030" s="116">
        <v>115.901756979388</v>
      </c>
      <c r="D1030" s="116">
        <v>114.49600584914801</v>
      </c>
      <c r="E1030" s="116">
        <v>116.33802457153099</v>
      </c>
      <c r="F1030" s="116">
        <v>119.55</v>
      </c>
      <c r="G1030">
        <v>404583</v>
      </c>
      <c r="H1030" s="116"/>
      <c r="I1030" s="116"/>
      <c r="L1030" s="170">
        <v>43517</v>
      </c>
      <c r="M1030" s="116">
        <v>115.75651621106201</v>
      </c>
      <c r="N1030" s="116">
        <v>117.30769230769199</v>
      </c>
      <c r="O1030" s="116">
        <v>114.30228862046999</v>
      </c>
      <c r="P1030" s="116">
        <v>116.144310235219</v>
      </c>
      <c r="Q1030" s="116">
        <v>119.4</v>
      </c>
      <c r="R1030">
        <v>2698192</v>
      </c>
    </row>
    <row r="1031" spans="1:18" x14ac:dyDescent="0.25">
      <c r="A1031" s="170">
        <v>43518</v>
      </c>
      <c r="B1031" s="116">
        <v>127.487085259636</v>
      </c>
      <c r="C1031" s="116">
        <v>124.627108822252</v>
      </c>
      <c r="D1031" s="116">
        <v>116.144127863912</v>
      </c>
      <c r="E1031" s="116">
        <v>116.241076217721</v>
      </c>
      <c r="F1031" s="116">
        <v>128.55000000000001</v>
      </c>
      <c r="G1031">
        <v>1563973</v>
      </c>
      <c r="H1031" s="116"/>
      <c r="I1031" s="116"/>
      <c r="L1031" s="170">
        <v>43518</v>
      </c>
      <c r="M1031" s="116">
        <v>124.142561983471</v>
      </c>
      <c r="N1031" s="116">
        <v>126.711697393516</v>
      </c>
      <c r="O1031" s="116">
        <v>116.144310235219</v>
      </c>
      <c r="P1031" s="116">
        <v>116.580578512397</v>
      </c>
      <c r="Q1031" s="116">
        <v>128.05000000000001</v>
      </c>
      <c r="R1031">
        <v>14695085</v>
      </c>
    </row>
    <row r="1032" spans="1:18" x14ac:dyDescent="0.25">
      <c r="A1032" s="170">
        <v>43521</v>
      </c>
      <c r="B1032" s="116">
        <v>129.232155628209</v>
      </c>
      <c r="C1032" s="116">
        <v>127.438611082731</v>
      </c>
      <c r="D1032" s="116">
        <v>119.24647518581899</v>
      </c>
      <c r="E1032" s="116">
        <v>119.24647518581899</v>
      </c>
      <c r="F1032" s="116">
        <v>131.44999999999999</v>
      </c>
      <c r="G1032">
        <v>1092865</v>
      </c>
      <c r="H1032" s="116"/>
      <c r="I1032" s="116"/>
      <c r="L1032" s="170">
        <v>43521</v>
      </c>
      <c r="M1032" s="116">
        <v>127.972027972028</v>
      </c>
      <c r="N1032" s="116">
        <v>129.814049586777</v>
      </c>
      <c r="O1032" s="116">
        <v>119.246662428481</v>
      </c>
      <c r="P1032" s="116">
        <v>121.185632549269</v>
      </c>
      <c r="Q1032" s="116">
        <v>132</v>
      </c>
      <c r="R1032">
        <v>12769956</v>
      </c>
    </row>
    <row r="1033" spans="1:18" x14ac:dyDescent="0.25">
      <c r="A1033" s="170">
        <v>43522</v>
      </c>
      <c r="B1033" s="116">
        <v>130.201639166305</v>
      </c>
      <c r="C1033" s="116">
        <v>128.02030120558899</v>
      </c>
      <c r="D1033" s="116">
        <v>124.190841230109</v>
      </c>
      <c r="E1033" s="116">
        <v>126.37217919082499</v>
      </c>
      <c r="F1033" s="116">
        <v>132.05000000000001</v>
      </c>
      <c r="G1033">
        <v>874893</v>
      </c>
      <c r="H1033" s="116"/>
      <c r="I1033" s="116"/>
      <c r="L1033" s="170">
        <v>43522</v>
      </c>
      <c r="M1033" s="116">
        <v>128.06897647806699</v>
      </c>
      <c r="N1033" s="116">
        <v>130.20184361093499</v>
      </c>
      <c r="O1033" s="116">
        <v>124.09408773045099</v>
      </c>
      <c r="P1033" s="116">
        <v>126.03305785124</v>
      </c>
      <c r="Q1033" s="116">
        <v>132.1</v>
      </c>
      <c r="R1033">
        <v>8879092</v>
      </c>
    </row>
    <row r="1034" spans="1:18" x14ac:dyDescent="0.25">
      <c r="A1034" s="170">
        <v>43523</v>
      </c>
      <c r="B1034" s="116">
        <v>132.140606242497</v>
      </c>
      <c r="C1034" s="116">
        <v>128.262672090113</v>
      </c>
      <c r="D1034" s="116">
        <v>125.83896324487201</v>
      </c>
      <c r="E1034" s="116">
        <v>130.201639166305</v>
      </c>
      <c r="F1034" s="116">
        <v>132.30000000000001</v>
      </c>
      <c r="G1034">
        <v>755815</v>
      </c>
      <c r="H1034" s="116"/>
      <c r="I1034" s="116"/>
      <c r="L1034" s="170">
        <v>43523</v>
      </c>
      <c r="M1034" s="116">
        <v>128.214399237126</v>
      </c>
      <c r="N1034" s="116">
        <v>132.140813731723</v>
      </c>
      <c r="O1034" s="116">
        <v>125.596789574062</v>
      </c>
      <c r="P1034" s="116">
        <v>129.717101080737</v>
      </c>
      <c r="Q1034" s="116">
        <v>132.25</v>
      </c>
      <c r="R1034">
        <v>5875292</v>
      </c>
    </row>
    <row r="1035" spans="1:18" x14ac:dyDescent="0.25">
      <c r="A1035" s="170">
        <v>43524</v>
      </c>
      <c r="B1035" s="116">
        <v>130.10469081249499</v>
      </c>
      <c r="C1035" s="116">
        <v>125.014902237491</v>
      </c>
      <c r="D1035" s="116">
        <v>124.09389287629899</v>
      </c>
      <c r="E1035" s="116">
        <v>130.05621663559</v>
      </c>
      <c r="F1035" s="116">
        <v>128.94999999999999</v>
      </c>
      <c r="G1035">
        <v>345923</v>
      </c>
      <c r="H1035" s="116"/>
      <c r="I1035" s="116"/>
      <c r="L1035" s="170">
        <v>43524</v>
      </c>
      <c r="M1035" s="116">
        <v>124.918150031786</v>
      </c>
      <c r="N1035" s="116">
        <v>130.10489510489501</v>
      </c>
      <c r="O1035" s="116">
        <v>124.09408773045099</v>
      </c>
      <c r="P1035" s="116">
        <v>129.42625556261899</v>
      </c>
      <c r="Q1035" s="116">
        <v>128.85</v>
      </c>
      <c r="R1035">
        <v>3960957</v>
      </c>
    </row>
    <row r="1036" spans="1:18" x14ac:dyDescent="0.25">
      <c r="A1036" s="170">
        <v>43525</v>
      </c>
      <c r="B1036" s="116">
        <v>130.734855112258</v>
      </c>
      <c r="C1036" s="116">
        <v>129.86231992797099</v>
      </c>
      <c r="D1036" s="116">
        <v>125.40269565272899</v>
      </c>
      <c r="E1036" s="116">
        <v>125.984385775587</v>
      </c>
      <c r="F1036" s="116">
        <v>133.94999999999999</v>
      </c>
      <c r="G1036">
        <v>740030</v>
      </c>
      <c r="H1036" s="116"/>
      <c r="I1036" s="116"/>
      <c r="L1036" s="170">
        <v>43525</v>
      </c>
      <c r="M1036" s="116">
        <v>129.765575333757</v>
      </c>
      <c r="N1036" s="116">
        <v>131.074380165289</v>
      </c>
      <c r="O1036" s="116">
        <v>124.918150031786</v>
      </c>
      <c r="P1036" s="116">
        <v>126.372377622378</v>
      </c>
      <c r="Q1036" s="116">
        <v>133.85</v>
      </c>
      <c r="R1036">
        <v>7738116</v>
      </c>
    </row>
    <row r="1037" spans="1:18" x14ac:dyDescent="0.25">
      <c r="A1037" s="170">
        <v>43529</v>
      </c>
      <c r="B1037" s="116">
        <v>139.896474547266</v>
      </c>
      <c r="C1037" s="116">
        <v>137.76361076345401</v>
      </c>
      <c r="D1037" s="116">
        <v>128.408094620827</v>
      </c>
      <c r="E1037" s="116">
        <v>130.783329289162</v>
      </c>
      <c r="F1037" s="116">
        <v>142.1</v>
      </c>
      <c r="G1037">
        <v>943120</v>
      </c>
      <c r="H1037" s="116"/>
      <c r="I1037" s="116"/>
      <c r="L1037" s="170">
        <v>43529</v>
      </c>
      <c r="M1037" s="116">
        <v>137.47298156389101</v>
      </c>
      <c r="N1037" s="116">
        <v>139.31500317864001</v>
      </c>
      <c r="O1037" s="116">
        <v>127.972027972028</v>
      </c>
      <c r="P1037" s="116">
        <v>128.456770502225</v>
      </c>
      <c r="Q1037" s="116">
        <v>141.80000000000001</v>
      </c>
      <c r="R1037">
        <v>7598974</v>
      </c>
    </row>
    <row r="1038" spans="1:18" x14ac:dyDescent="0.25">
      <c r="A1038" s="170">
        <v>43530</v>
      </c>
      <c r="B1038" s="116">
        <v>139.314784424408</v>
      </c>
      <c r="C1038" s="116">
        <v>135.049056856785</v>
      </c>
      <c r="D1038" s="116">
        <v>133.98262496487999</v>
      </c>
      <c r="E1038" s="116">
        <v>137.76361076345401</v>
      </c>
      <c r="F1038" s="116">
        <v>139.30000000000001</v>
      </c>
      <c r="G1038">
        <v>606067</v>
      </c>
      <c r="H1038" s="116"/>
      <c r="I1038" s="116"/>
      <c r="L1038" s="170">
        <v>43530</v>
      </c>
      <c r="M1038" s="116">
        <v>135.000794659886</v>
      </c>
      <c r="N1038" s="116">
        <v>139.36347743165899</v>
      </c>
      <c r="O1038" s="116">
        <v>133.982835346472</v>
      </c>
      <c r="P1038" s="116">
        <v>138.393992371265</v>
      </c>
      <c r="Q1038" s="116">
        <v>139.25</v>
      </c>
      <c r="R1038">
        <v>4856085</v>
      </c>
    </row>
    <row r="1039" spans="1:18" x14ac:dyDescent="0.25">
      <c r="A1039" s="170">
        <v>43531</v>
      </c>
      <c r="B1039" s="116">
        <v>136.50328216392899</v>
      </c>
      <c r="C1039" s="116">
        <v>132.819244719164</v>
      </c>
      <c r="D1039" s="116">
        <v>131.26807105821101</v>
      </c>
      <c r="E1039" s="116">
        <v>135.436850272024</v>
      </c>
      <c r="F1039" s="116">
        <v>137</v>
      </c>
      <c r="G1039">
        <v>465457</v>
      </c>
      <c r="H1039" s="116"/>
      <c r="I1039" s="116"/>
      <c r="L1039" s="170">
        <v>43531</v>
      </c>
      <c r="M1039" s="116">
        <v>132.72250476795901</v>
      </c>
      <c r="N1039" s="116">
        <v>136.64891926255601</v>
      </c>
      <c r="O1039" s="116">
        <v>131.17132867132901</v>
      </c>
      <c r="P1039" s="116">
        <v>134.758423394787</v>
      </c>
      <c r="Q1039" s="116">
        <v>136.9</v>
      </c>
      <c r="R1039">
        <v>3496617</v>
      </c>
    </row>
    <row r="1040" spans="1:18" x14ac:dyDescent="0.25">
      <c r="A1040" s="170">
        <v>43532</v>
      </c>
      <c r="B1040" s="116">
        <v>134.758211795356</v>
      </c>
      <c r="C1040" s="116">
        <v>133.546357372736</v>
      </c>
      <c r="D1040" s="116">
        <v>131.607390296544</v>
      </c>
      <c r="E1040" s="116">
        <v>131.849761181068</v>
      </c>
      <c r="F1040" s="116">
        <v>137.75</v>
      </c>
      <c r="G1040">
        <v>534970</v>
      </c>
      <c r="H1040" s="116"/>
      <c r="I1040" s="116"/>
      <c r="L1040" s="170">
        <v>43532</v>
      </c>
      <c r="M1040" s="116">
        <v>133.982835346472</v>
      </c>
      <c r="N1040" s="116">
        <v>135.09774316592501</v>
      </c>
      <c r="O1040" s="116">
        <v>131.26827717736799</v>
      </c>
      <c r="P1040" s="116">
        <v>131.607596948506</v>
      </c>
      <c r="Q1040" s="116">
        <v>138.19999999999999</v>
      </c>
      <c r="R1040">
        <v>3681442</v>
      </c>
    </row>
    <row r="1041" spans="1:18" x14ac:dyDescent="0.25">
      <c r="A1041" s="170">
        <v>43535</v>
      </c>
      <c r="B1041" s="116">
        <v>136.551756340834</v>
      </c>
      <c r="C1041" s="116">
        <v>134.903634326071</v>
      </c>
      <c r="D1041" s="116">
        <v>133.78872825726</v>
      </c>
      <c r="E1041" s="116">
        <v>134.03109914178401</v>
      </c>
      <c r="F1041" s="116">
        <v>139.15</v>
      </c>
      <c r="G1041">
        <v>276228</v>
      </c>
      <c r="H1041" s="116"/>
      <c r="I1041" s="116"/>
      <c r="L1041" s="170">
        <v>43535</v>
      </c>
      <c r="M1041" s="116">
        <v>134.80689764780701</v>
      </c>
      <c r="N1041" s="116">
        <v>136.64891926255601</v>
      </c>
      <c r="O1041" s="116">
        <v>133.401144310235</v>
      </c>
      <c r="P1041" s="116">
        <v>133.64351557533399</v>
      </c>
      <c r="Q1041" s="116">
        <v>139.05000000000001</v>
      </c>
      <c r="R1041">
        <v>2550759</v>
      </c>
    </row>
    <row r="1042" spans="1:18" x14ac:dyDescent="0.25">
      <c r="A1042" s="170">
        <v>43536</v>
      </c>
      <c r="B1042" s="116">
        <v>146.00422083727099</v>
      </c>
      <c r="C1042" s="116">
        <v>144.016779584174</v>
      </c>
      <c r="D1042" s="116">
        <v>136.163962925596</v>
      </c>
      <c r="E1042" s="116">
        <v>136.21243710250101</v>
      </c>
      <c r="F1042" s="116">
        <v>148.55000000000001</v>
      </c>
      <c r="G1042">
        <v>1201032</v>
      </c>
      <c r="H1042" s="116"/>
      <c r="I1042" s="116"/>
      <c r="L1042" s="170">
        <v>43536</v>
      </c>
      <c r="M1042" s="116">
        <v>143.871582962492</v>
      </c>
      <c r="N1042" s="116">
        <v>146.14987285441799</v>
      </c>
      <c r="O1042" s="116">
        <v>135.776382708201</v>
      </c>
      <c r="P1042" s="116">
        <v>136.21265098537799</v>
      </c>
      <c r="Q1042" s="116">
        <v>148.4</v>
      </c>
      <c r="R1042">
        <v>12543653</v>
      </c>
    </row>
    <row r="1043" spans="1:18" x14ac:dyDescent="0.25">
      <c r="A1043" s="170">
        <v>43537</v>
      </c>
      <c r="B1043" s="116">
        <v>145.76184995274701</v>
      </c>
      <c r="C1043" s="116">
        <v>143.047296046078</v>
      </c>
      <c r="D1043" s="116">
        <v>140.96290643917101</v>
      </c>
      <c r="E1043" s="116">
        <v>144.11372793798401</v>
      </c>
      <c r="F1043" s="116">
        <v>147.55000000000001</v>
      </c>
      <c r="G1043">
        <v>617140</v>
      </c>
      <c r="H1043" s="116"/>
      <c r="I1043" s="116"/>
      <c r="L1043" s="170">
        <v>43537</v>
      </c>
      <c r="M1043" s="116">
        <v>142.853623649078</v>
      </c>
      <c r="N1043" s="116">
        <v>145.81055308328001</v>
      </c>
      <c r="O1043" s="116">
        <v>140.96312778130999</v>
      </c>
      <c r="P1043" s="116">
        <v>143.871582962492</v>
      </c>
      <c r="Q1043" s="116">
        <v>147.35</v>
      </c>
      <c r="R1043">
        <v>5700158</v>
      </c>
    </row>
    <row r="1044" spans="1:18" x14ac:dyDescent="0.25">
      <c r="A1044" s="170">
        <v>43538</v>
      </c>
      <c r="B1044" s="116">
        <v>144.598469707032</v>
      </c>
      <c r="C1044" s="116">
        <v>141.05985479298101</v>
      </c>
      <c r="D1044" s="116">
        <v>139.36325860131299</v>
      </c>
      <c r="E1044" s="116">
        <v>143.483563638221</v>
      </c>
      <c r="F1044" s="116">
        <v>145.5</v>
      </c>
      <c r="G1044">
        <v>469025</v>
      </c>
      <c r="H1044" s="116"/>
      <c r="I1044" s="116"/>
      <c r="L1044" s="170">
        <v>43538</v>
      </c>
      <c r="M1044" s="116">
        <v>141.10855054036901</v>
      </c>
      <c r="N1044" s="116">
        <v>144.647171010807</v>
      </c>
      <c r="O1044" s="116">
        <v>139.2180546726</v>
      </c>
      <c r="P1044" s="116">
        <v>142.90209790209801</v>
      </c>
      <c r="Q1044" s="116">
        <v>145.55000000000001</v>
      </c>
      <c r="R1044">
        <v>4052596</v>
      </c>
    </row>
    <row r="1045" spans="1:18" x14ac:dyDescent="0.25">
      <c r="A1045" s="170">
        <v>43539</v>
      </c>
      <c r="B1045" s="116">
        <v>144.35609882250799</v>
      </c>
      <c r="C1045" s="116">
        <v>137.23039481750101</v>
      </c>
      <c r="D1045" s="116">
        <v>134.66126344154699</v>
      </c>
      <c r="E1045" s="116">
        <v>141.05985479298101</v>
      </c>
      <c r="F1045" s="116">
        <v>141.55000000000001</v>
      </c>
      <c r="G1045">
        <v>945513</v>
      </c>
      <c r="H1045" s="116"/>
      <c r="I1045" s="116"/>
      <c r="L1045" s="170">
        <v>43539</v>
      </c>
      <c r="M1045" s="116">
        <v>137.52145581690999</v>
      </c>
      <c r="N1045" s="116">
        <v>144.356325492689</v>
      </c>
      <c r="O1045" s="116">
        <v>135.97027972027999</v>
      </c>
      <c r="P1045" s="116">
        <v>141.35092180546701</v>
      </c>
      <c r="Q1045" s="116">
        <v>141.85</v>
      </c>
      <c r="R1045">
        <v>5981701</v>
      </c>
    </row>
    <row r="1046" spans="1:18" x14ac:dyDescent="0.25">
      <c r="A1046" s="170">
        <v>43542</v>
      </c>
      <c r="B1046" s="116">
        <v>140.13884543179</v>
      </c>
      <c r="C1046" s="116">
        <v>139.26631024750299</v>
      </c>
      <c r="D1046" s="116">
        <v>136.018540394881</v>
      </c>
      <c r="E1046" s="116">
        <v>137.666662409645</v>
      </c>
      <c r="F1046" s="116">
        <v>143.65</v>
      </c>
      <c r="G1046">
        <v>1069317</v>
      </c>
      <c r="H1046" s="116"/>
      <c r="I1046" s="116"/>
      <c r="L1046" s="170">
        <v>43542</v>
      </c>
      <c r="M1046" s="116">
        <v>139.50890019071801</v>
      </c>
      <c r="N1046" s="116">
        <v>140.57533375715201</v>
      </c>
      <c r="O1046" s="116">
        <v>136.067228226319</v>
      </c>
      <c r="P1046" s="116">
        <v>138.05467260012699</v>
      </c>
      <c r="Q1046" s="116">
        <v>143.9</v>
      </c>
      <c r="R1046">
        <v>4934286</v>
      </c>
    </row>
    <row r="1047" spans="1:18" x14ac:dyDescent="0.25">
      <c r="A1047" s="170">
        <v>43543</v>
      </c>
      <c r="B1047" s="116">
        <v>140.38121631631401</v>
      </c>
      <c r="C1047" s="116">
        <v>137.71513658654999</v>
      </c>
      <c r="D1047" s="116">
        <v>136.697178871549</v>
      </c>
      <c r="E1047" s="116">
        <v>139.751052016551</v>
      </c>
      <c r="F1047" s="116">
        <v>142.05000000000001</v>
      </c>
      <c r="G1047">
        <v>665246</v>
      </c>
      <c r="H1047" s="116"/>
      <c r="I1047" s="116"/>
      <c r="L1047" s="170">
        <v>43543</v>
      </c>
      <c r="M1047" s="116">
        <v>137.66687857596901</v>
      </c>
      <c r="N1047" s="116">
        <v>140.42991099809299</v>
      </c>
      <c r="O1047" s="116">
        <v>136.21265098537799</v>
      </c>
      <c r="P1047" s="116">
        <v>140.04211697393501</v>
      </c>
      <c r="Q1047" s="116">
        <v>142</v>
      </c>
      <c r="R1047">
        <v>4320808</v>
      </c>
    </row>
    <row r="1048" spans="1:18" x14ac:dyDescent="0.25">
      <c r="A1048" s="170">
        <v>43544</v>
      </c>
      <c r="B1048" s="116">
        <v>138.39377506321699</v>
      </c>
      <c r="C1048" s="116">
        <v>135.24295356440399</v>
      </c>
      <c r="D1048" s="116">
        <v>134.12804749559399</v>
      </c>
      <c r="E1048" s="116">
        <v>137.18192064059701</v>
      </c>
      <c r="F1048" s="116">
        <v>139.5</v>
      </c>
      <c r="G1048">
        <v>483279</v>
      </c>
      <c r="H1048" s="116"/>
      <c r="I1048" s="116"/>
      <c r="L1048" s="170">
        <v>43544</v>
      </c>
      <c r="M1048" s="116">
        <v>135.19469167196399</v>
      </c>
      <c r="N1048" s="116">
        <v>138.345518118245</v>
      </c>
      <c r="O1048" s="116">
        <v>133.83741258741301</v>
      </c>
      <c r="P1048" s="116">
        <v>137.66687857596901</v>
      </c>
      <c r="Q1048" s="116">
        <v>139.44999999999999</v>
      </c>
      <c r="R1048">
        <v>3242462</v>
      </c>
    </row>
    <row r="1049" spans="1:18" x14ac:dyDescent="0.25">
      <c r="A1049" s="170">
        <v>43546</v>
      </c>
      <c r="B1049" s="116">
        <v>137.03649810988199</v>
      </c>
      <c r="C1049" s="116">
        <v>133.83720243416499</v>
      </c>
      <c r="D1049" s="116">
        <v>132.819244719164</v>
      </c>
      <c r="E1049" s="116">
        <v>135.24295356440399</v>
      </c>
      <c r="F1049" s="116">
        <v>138.05000000000001</v>
      </c>
      <c r="G1049">
        <v>775525</v>
      </c>
      <c r="H1049" s="116"/>
      <c r="I1049" s="116"/>
      <c r="L1049" s="170">
        <v>43546</v>
      </c>
      <c r="M1049" s="116">
        <v>134.03130959949101</v>
      </c>
      <c r="N1049" s="116">
        <v>137.133661792753</v>
      </c>
      <c r="O1049" s="116">
        <v>132.867927527018</v>
      </c>
      <c r="P1049" s="116">
        <v>136.40654799745701</v>
      </c>
      <c r="Q1049" s="116">
        <v>138.25</v>
      </c>
      <c r="R1049">
        <v>3147147</v>
      </c>
    </row>
    <row r="1050" spans="1:18" x14ac:dyDescent="0.25">
      <c r="A1050" s="170">
        <v>43549</v>
      </c>
      <c r="B1050" s="116">
        <v>133.30398648821199</v>
      </c>
      <c r="C1050" s="116">
        <v>130.347061697019</v>
      </c>
      <c r="D1050" s="116">
        <v>129.47452651273301</v>
      </c>
      <c r="E1050" s="116">
        <v>133.30398648821199</v>
      </c>
      <c r="F1050" s="116">
        <v>134.44999999999999</v>
      </c>
      <c r="G1050">
        <v>480431</v>
      </c>
      <c r="H1050" s="116"/>
      <c r="I1050" s="116"/>
      <c r="L1050" s="170">
        <v>43549</v>
      </c>
      <c r="M1050" s="116">
        <v>130.250317863954</v>
      </c>
      <c r="N1050" s="116">
        <v>133.401144310235</v>
      </c>
      <c r="O1050" s="116">
        <v>129.42625556261899</v>
      </c>
      <c r="P1050" s="116">
        <v>132.81945327399899</v>
      </c>
      <c r="Q1050" s="116">
        <v>134.35</v>
      </c>
      <c r="R1050">
        <v>2977535</v>
      </c>
    </row>
    <row r="1051" spans="1:18" x14ac:dyDescent="0.25">
      <c r="A1051" s="170">
        <v>43550</v>
      </c>
      <c r="B1051" s="116">
        <v>135.53379862583299</v>
      </c>
      <c r="C1051" s="116">
        <v>134.32194420321301</v>
      </c>
      <c r="D1051" s="116">
        <v>129.47452651273301</v>
      </c>
      <c r="E1051" s="116">
        <v>130.880277642972</v>
      </c>
      <c r="F1051" s="116">
        <v>138.55000000000001</v>
      </c>
      <c r="G1051">
        <v>715307</v>
      </c>
      <c r="H1051" s="116"/>
      <c r="I1051" s="116"/>
      <c r="L1051" s="170">
        <v>43550</v>
      </c>
      <c r="M1051" s="116">
        <v>134.07978385251101</v>
      </c>
      <c r="N1051" s="116">
        <v>135.72790845518099</v>
      </c>
      <c r="O1051" s="116">
        <v>129.32930705658001</v>
      </c>
      <c r="P1051" s="116">
        <v>130.783534647171</v>
      </c>
      <c r="Q1051" s="116">
        <v>138.30000000000001</v>
      </c>
      <c r="R1051">
        <v>4180951</v>
      </c>
    </row>
    <row r="1052" spans="1:18" x14ac:dyDescent="0.25">
      <c r="A1052" s="170">
        <v>43551</v>
      </c>
      <c r="B1052" s="116">
        <v>136.64870469464401</v>
      </c>
      <c r="C1052" s="116">
        <v>133.546357372736</v>
      </c>
      <c r="D1052" s="116">
        <v>132.47992548083101</v>
      </c>
      <c r="E1052" s="116">
        <v>134.70973761845201</v>
      </c>
      <c r="F1052" s="116">
        <v>137.75</v>
      </c>
      <c r="G1052">
        <v>476696</v>
      </c>
      <c r="H1052" s="116"/>
      <c r="I1052" s="116"/>
      <c r="L1052" s="170">
        <v>43551</v>
      </c>
      <c r="M1052" s="116">
        <v>133.30419580419601</v>
      </c>
      <c r="N1052" s="116">
        <v>136.64891926255601</v>
      </c>
      <c r="O1052" s="116">
        <v>132.092339478703</v>
      </c>
      <c r="P1052" s="116">
        <v>134.32215511761001</v>
      </c>
      <c r="Q1052" s="116">
        <v>137.5</v>
      </c>
      <c r="R1052">
        <v>2778662</v>
      </c>
    </row>
    <row r="1053" spans="1:18" x14ac:dyDescent="0.25">
      <c r="A1053" s="170">
        <v>43552</v>
      </c>
      <c r="B1053" s="116">
        <v>138.636145947741</v>
      </c>
      <c r="C1053" s="116">
        <v>133.88567661107001</v>
      </c>
      <c r="D1053" s="116">
        <v>132.431451303926</v>
      </c>
      <c r="E1053" s="116">
        <v>135.14600521059501</v>
      </c>
      <c r="F1053" s="116">
        <v>138.1</v>
      </c>
      <c r="G1053">
        <v>582775</v>
      </c>
      <c r="H1053" s="116"/>
      <c r="I1053" s="116"/>
      <c r="L1053" s="170">
        <v>43552</v>
      </c>
      <c r="M1053" s="116">
        <v>133.59504132231399</v>
      </c>
      <c r="N1053" s="116">
        <v>138.78178639542301</v>
      </c>
      <c r="O1053" s="116">
        <v>132.140813731723</v>
      </c>
      <c r="P1053" s="116">
        <v>134.22520661157</v>
      </c>
      <c r="Q1053" s="116">
        <v>137.80000000000001</v>
      </c>
      <c r="R1053">
        <v>3966292</v>
      </c>
    </row>
    <row r="1054" spans="1:18" x14ac:dyDescent="0.25">
      <c r="A1054" s="170">
        <v>43553</v>
      </c>
      <c r="B1054" s="116">
        <v>145.47100489131799</v>
      </c>
      <c r="C1054" s="116">
        <v>142.85339933845901</v>
      </c>
      <c r="D1054" s="116">
        <v>135.24295356440399</v>
      </c>
      <c r="E1054" s="116">
        <v>135.24295356440399</v>
      </c>
      <c r="F1054" s="116">
        <v>147.35</v>
      </c>
      <c r="G1054">
        <v>1404902</v>
      </c>
      <c r="H1054" s="116"/>
      <c r="I1054" s="116"/>
      <c r="L1054" s="170">
        <v>43553</v>
      </c>
      <c r="M1054" s="116">
        <v>142.27193261284199</v>
      </c>
      <c r="N1054" s="116">
        <v>145.61665607120199</v>
      </c>
      <c r="O1054" s="116">
        <v>135.04926891290501</v>
      </c>
      <c r="P1054" s="116">
        <v>135.34011443102301</v>
      </c>
      <c r="Q1054" s="116">
        <v>146.75</v>
      </c>
      <c r="R1054">
        <v>13910654</v>
      </c>
    </row>
    <row r="1055" spans="1:18" x14ac:dyDescent="0.25">
      <c r="A1055" s="170">
        <v>43556</v>
      </c>
      <c r="B1055" s="116">
        <v>148.33098132870199</v>
      </c>
      <c r="C1055" s="116">
        <v>146.73133349084301</v>
      </c>
      <c r="D1055" s="116">
        <v>140.81748390845701</v>
      </c>
      <c r="E1055" s="116">
        <v>142.950347692268</v>
      </c>
      <c r="F1055" s="116">
        <v>151.35</v>
      </c>
      <c r="G1055">
        <v>1023073</v>
      </c>
      <c r="H1055" s="116"/>
      <c r="I1055" s="116"/>
      <c r="L1055" s="170">
        <v>43556</v>
      </c>
      <c r="M1055" s="116">
        <v>146.82851239669401</v>
      </c>
      <c r="N1055" s="116">
        <v>148.52511125238399</v>
      </c>
      <c r="O1055" s="116">
        <v>140.67228226319099</v>
      </c>
      <c r="P1055" s="116">
        <v>142.95057215511801</v>
      </c>
      <c r="Q1055" s="116">
        <v>151.44999999999999</v>
      </c>
      <c r="R1055">
        <v>7938713</v>
      </c>
    </row>
    <row r="1056" spans="1:18" x14ac:dyDescent="0.25">
      <c r="A1056" s="170">
        <v>43557</v>
      </c>
      <c r="B1056" s="116">
        <v>148.62182639013099</v>
      </c>
      <c r="C1056" s="116">
        <v>146.97370437536699</v>
      </c>
      <c r="D1056" s="116">
        <v>143.82288287655501</v>
      </c>
      <c r="E1056" s="116">
        <v>147.16760108298601</v>
      </c>
      <c r="F1056" s="116">
        <v>151.6</v>
      </c>
      <c r="G1056">
        <v>706778</v>
      </c>
      <c r="H1056" s="116"/>
      <c r="I1056" s="116"/>
      <c r="L1056" s="170">
        <v>43557</v>
      </c>
      <c r="M1056" s="116">
        <v>147.022409408773</v>
      </c>
      <c r="N1056" s="116">
        <v>148.62205975842301</v>
      </c>
      <c r="O1056" s="116">
        <v>143.823108709472</v>
      </c>
      <c r="P1056" s="116">
        <v>147.070883661793</v>
      </c>
      <c r="Q1056" s="116">
        <v>151.65</v>
      </c>
      <c r="R1056">
        <v>6228254</v>
      </c>
    </row>
    <row r="1057" spans="1:18" x14ac:dyDescent="0.25">
      <c r="A1057" s="170">
        <v>43558</v>
      </c>
      <c r="B1057" s="116">
        <v>148.08861044417799</v>
      </c>
      <c r="C1057" s="116">
        <v>142.901873515364</v>
      </c>
      <c r="D1057" s="116">
        <v>141.932389977268</v>
      </c>
      <c r="E1057" s="116">
        <v>146.29506589869999</v>
      </c>
      <c r="F1057" s="116">
        <v>147.4</v>
      </c>
      <c r="G1057">
        <v>423476</v>
      </c>
      <c r="H1057" s="116"/>
      <c r="I1057" s="116"/>
      <c r="L1057" s="170">
        <v>43558</v>
      </c>
      <c r="M1057" s="116">
        <v>143.04752066115699</v>
      </c>
      <c r="N1057" s="116">
        <v>147.99189446916699</v>
      </c>
      <c r="O1057" s="116">
        <v>142.12650985378301</v>
      </c>
      <c r="P1057" s="116">
        <v>145.713604577241</v>
      </c>
      <c r="Q1057" s="116">
        <v>147.55000000000001</v>
      </c>
      <c r="R1057">
        <v>3416023</v>
      </c>
    </row>
    <row r="1058" spans="1:18" x14ac:dyDescent="0.25">
      <c r="A1058" s="170">
        <v>43559</v>
      </c>
      <c r="B1058" s="116">
        <v>145.713375775842</v>
      </c>
      <c r="C1058" s="116">
        <v>143.09577022298299</v>
      </c>
      <c r="D1058" s="116">
        <v>141.20527732369499</v>
      </c>
      <c r="E1058" s="116">
        <v>143.77440869965</v>
      </c>
      <c r="F1058" s="116">
        <v>147.6</v>
      </c>
      <c r="G1058">
        <v>433230</v>
      </c>
      <c r="H1058" s="116"/>
      <c r="I1058" s="116"/>
      <c r="L1058" s="170">
        <v>43559</v>
      </c>
      <c r="M1058" s="116">
        <v>142.99904640813699</v>
      </c>
      <c r="N1058" s="116">
        <v>145.713604577241</v>
      </c>
      <c r="O1058" s="116">
        <v>141.011602034329</v>
      </c>
      <c r="P1058" s="116">
        <v>143.43531468531501</v>
      </c>
      <c r="Q1058" s="116">
        <v>147.5</v>
      </c>
      <c r="R1058">
        <v>3963980</v>
      </c>
    </row>
    <row r="1059" spans="1:18" x14ac:dyDescent="0.25">
      <c r="A1059" s="170">
        <v>43560</v>
      </c>
      <c r="B1059" s="116">
        <v>144.598469707032</v>
      </c>
      <c r="C1059" s="116">
        <v>142.368657569411</v>
      </c>
      <c r="D1059" s="116">
        <v>141.932389977268</v>
      </c>
      <c r="E1059" s="116">
        <v>144.40457299941301</v>
      </c>
      <c r="F1059" s="116">
        <v>146.85</v>
      </c>
      <c r="G1059">
        <v>217224</v>
      </c>
      <c r="H1059" s="116"/>
      <c r="I1059" s="116"/>
      <c r="L1059" s="170">
        <v>43560</v>
      </c>
      <c r="M1059" s="116">
        <v>142.41735537190101</v>
      </c>
      <c r="N1059" s="116">
        <v>144.647171010807</v>
      </c>
      <c r="O1059" s="116">
        <v>141.73871582962499</v>
      </c>
      <c r="P1059" s="116">
        <v>143.48378893833399</v>
      </c>
      <c r="Q1059" s="116">
        <v>146.9</v>
      </c>
      <c r="R1059">
        <v>2004719</v>
      </c>
    </row>
    <row r="1060" spans="1:18" x14ac:dyDescent="0.25">
      <c r="A1060" s="170">
        <v>43563</v>
      </c>
      <c r="B1060" s="116">
        <v>144.06525376107899</v>
      </c>
      <c r="C1060" s="116">
        <v>137.61818823274001</v>
      </c>
      <c r="D1060" s="116">
        <v>136.79412722535801</v>
      </c>
      <c r="E1060" s="116">
        <v>142.514080100125</v>
      </c>
      <c r="F1060" s="116">
        <v>141.94999999999999</v>
      </c>
      <c r="G1060">
        <v>416780</v>
      </c>
      <c r="H1060" s="116"/>
      <c r="I1060" s="116"/>
      <c r="L1060" s="170">
        <v>43563</v>
      </c>
      <c r="M1060" s="116">
        <v>137.61840432295</v>
      </c>
      <c r="N1060" s="116">
        <v>144.11395422759099</v>
      </c>
      <c r="O1060" s="116">
        <v>136.79434202161499</v>
      </c>
      <c r="P1060" s="116">
        <v>142.99904640813699</v>
      </c>
      <c r="Q1060" s="116">
        <v>141.94999999999999</v>
      </c>
      <c r="R1060">
        <v>4399839</v>
      </c>
    </row>
    <row r="1061" spans="1:18" x14ac:dyDescent="0.25">
      <c r="A1061" s="170">
        <v>43564</v>
      </c>
      <c r="B1061" s="116">
        <v>142.514080100125</v>
      </c>
      <c r="C1061" s="116">
        <v>141.78696744655301</v>
      </c>
      <c r="D1061" s="116">
        <v>133.30398648821199</v>
      </c>
      <c r="E1061" s="116">
        <v>138.345300886312</v>
      </c>
      <c r="F1061" s="116">
        <v>146.25</v>
      </c>
      <c r="G1061">
        <v>616801</v>
      </c>
      <c r="H1061" s="116"/>
      <c r="I1061" s="116"/>
      <c r="L1061" s="170">
        <v>43564</v>
      </c>
      <c r="M1061" s="116">
        <v>141.544818817546</v>
      </c>
      <c r="N1061" s="116">
        <v>142.51430387793999</v>
      </c>
      <c r="O1061" s="116">
        <v>133.25572155117601</v>
      </c>
      <c r="P1061" s="116">
        <v>137.95772409408801</v>
      </c>
      <c r="Q1061" s="116">
        <v>146</v>
      </c>
      <c r="R1061">
        <v>8432342</v>
      </c>
    </row>
    <row r="1062" spans="1:18" x14ac:dyDescent="0.25">
      <c r="A1062" s="170">
        <v>43565</v>
      </c>
      <c r="B1062" s="116">
        <v>142.804925161554</v>
      </c>
      <c r="C1062" s="116">
        <v>138.248352532502</v>
      </c>
      <c r="D1062" s="116">
        <v>137.47276570202601</v>
      </c>
      <c r="E1062" s="116">
        <v>141.544596562029</v>
      </c>
      <c r="F1062" s="116">
        <v>142.6</v>
      </c>
      <c r="G1062">
        <v>431405</v>
      </c>
      <c r="H1062" s="116"/>
      <c r="I1062" s="116"/>
      <c r="L1062" s="170">
        <v>43565</v>
      </c>
      <c r="M1062" s="116">
        <v>138.49094087730401</v>
      </c>
      <c r="N1062" s="116">
        <v>142.90209790209801</v>
      </c>
      <c r="O1062" s="116">
        <v>137.71535282898901</v>
      </c>
      <c r="P1062" s="116">
        <v>141.302447552448</v>
      </c>
      <c r="Q1062" s="116">
        <v>142.85</v>
      </c>
      <c r="R1062">
        <v>4356153</v>
      </c>
    </row>
    <row r="1063" spans="1:18" x14ac:dyDescent="0.25">
      <c r="A1063" s="170">
        <v>43566</v>
      </c>
      <c r="B1063" s="116">
        <v>138.68462012464599</v>
      </c>
      <c r="C1063" s="116">
        <v>136.842601402263</v>
      </c>
      <c r="D1063" s="116">
        <v>134.70973761845201</v>
      </c>
      <c r="E1063" s="116">
        <v>138.44224924012201</v>
      </c>
      <c r="F1063" s="116">
        <v>141.15</v>
      </c>
      <c r="G1063">
        <v>355649</v>
      </c>
      <c r="H1063" s="116"/>
      <c r="I1063" s="116"/>
      <c r="L1063" s="170">
        <v>43566</v>
      </c>
      <c r="M1063" s="116">
        <v>136.69739351557499</v>
      </c>
      <c r="N1063" s="116">
        <v>138.78178639542301</v>
      </c>
      <c r="O1063" s="116">
        <v>134.37062937062899</v>
      </c>
      <c r="P1063" s="116">
        <v>138.393992371265</v>
      </c>
      <c r="Q1063" s="116">
        <v>141</v>
      </c>
      <c r="R1063">
        <v>3535449</v>
      </c>
    </row>
    <row r="1064" spans="1:18" x14ac:dyDescent="0.25">
      <c r="A1064" s="170">
        <v>43567</v>
      </c>
      <c r="B1064" s="116">
        <v>140.04189707798</v>
      </c>
      <c r="C1064" s="116">
        <v>136.89107557916799</v>
      </c>
      <c r="D1064" s="116">
        <v>135.00058267988001</v>
      </c>
      <c r="E1064" s="116">
        <v>136.64870469464401</v>
      </c>
      <c r="F1064" s="116">
        <v>141.19999999999999</v>
      </c>
      <c r="G1064">
        <v>558914</v>
      </c>
      <c r="H1064" s="116"/>
      <c r="I1064" s="116"/>
      <c r="L1064" s="170">
        <v>43567</v>
      </c>
      <c r="M1064" s="116">
        <v>137.085187539733</v>
      </c>
      <c r="N1064" s="116">
        <v>140.04211697393501</v>
      </c>
      <c r="O1064" s="116">
        <v>134.95232040686599</v>
      </c>
      <c r="P1064" s="116">
        <v>136.50349650349699</v>
      </c>
      <c r="Q1064" s="116">
        <v>141.4</v>
      </c>
      <c r="R1064">
        <v>5769634</v>
      </c>
    </row>
    <row r="1065" spans="1:18" x14ac:dyDescent="0.25">
      <c r="A1065" s="170">
        <v>43570</v>
      </c>
      <c r="B1065" s="116">
        <v>140.52663884702801</v>
      </c>
      <c r="C1065" s="116">
        <v>138.44224924012201</v>
      </c>
      <c r="D1065" s="116">
        <v>136.26091127940501</v>
      </c>
      <c r="E1065" s="116">
        <v>137.08497228678701</v>
      </c>
      <c r="F1065" s="116">
        <v>142.80000000000001</v>
      </c>
      <c r="G1065">
        <v>425476</v>
      </c>
      <c r="H1065" s="116"/>
      <c r="I1065" s="116"/>
      <c r="L1065" s="170">
        <v>43570</v>
      </c>
      <c r="M1065" s="116">
        <v>138.58788938334399</v>
      </c>
      <c r="N1065" s="116">
        <v>140.720756516211</v>
      </c>
      <c r="O1065" s="116">
        <v>136.26112523839799</v>
      </c>
      <c r="P1065" s="116">
        <v>136.69739351557499</v>
      </c>
      <c r="Q1065" s="116">
        <v>142.94999999999999</v>
      </c>
      <c r="R1065">
        <v>4375074</v>
      </c>
    </row>
    <row r="1066" spans="1:18" x14ac:dyDescent="0.25">
      <c r="A1066" s="170">
        <v>43571</v>
      </c>
      <c r="B1066" s="116">
        <v>140.91443226226701</v>
      </c>
      <c r="C1066" s="116">
        <v>139.02393936297901</v>
      </c>
      <c r="D1066" s="116">
        <v>137.666662409645</v>
      </c>
      <c r="E1066" s="116">
        <v>137.666662409645</v>
      </c>
      <c r="F1066" s="116">
        <v>143.4</v>
      </c>
      <c r="G1066">
        <v>282547</v>
      </c>
      <c r="H1066" s="116"/>
      <c r="I1066" s="116"/>
      <c r="L1066" s="170">
        <v>43571</v>
      </c>
      <c r="M1066" s="116">
        <v>138.684837889383</v>
      </c>
      <c r="N1066" s="116">
        <v>140.91465352828999</v>
      </c>
      <c r="O1066" s="116">
        <v>137.860775588048</v>
      </c>
      <c r="P1066" s="116">
        <v>137.860775588048</v>
      </c>
      <c r="Q1066" s="116">
        <v>143.05000000000001</v>
      </c>
      <c r="R1066">
        <v>3648947</v>
      </c>
    </row>
    <row r="1067" spans="1:18" x14ac:dyDescent="0.25">
      <c r="A1067" s="170">
        <v>43573</v>
      </c>
      <c r="B1067" s="116">
        <v>139.94494872417101</v>
      </c>
      <c r="C1067" s="116">
        <v>134.27347002630799</v>
      </c>
      <c r="D1067" s="116">
        <v>133.643305726546</v>
      </c>
      <c r="E1067" s="116">
        <v>138.636145947741</v>
      </c>
      <c r="F1067" s="116">
        <v>138.5</v>
      </c>
      <c r="G1067">
        <v>415961</v>
      </c>
      <c r="H1067" s="116"/>
      <c r="I1067" s="116"/>
      <c r="L1067" s="170">
        <v>43573</v>
      </c>
      <c r="M1067" s="116">
        <v>134.37062937062899</v>
      </c>
      <c r="N1067" s="116">
        <v>140.04211697393501</v>
      </c>
      <c r="O1067" s="116">
        <v>133.449618563255</v>
      </c>
      <c r="P1067" s="116">
        <v>138.73331214240301</v>
      </c>
      <c r="Q1067" s="116">
        <v>138.6</v>
      </c>
      <c r="R1067">
        <v>3954004</v>
      </c>
    </row>
    <row r="1068" spans="1:18" x14ac:dyDescent="0.25">
      <c r="A1068" s="170">
        <v>43577</v>
      </c>
      <c r="B1068" s="116">
        <v>134.467366733928</v>
      </c>
      <c r="C1068" s="116">
        <v>130.880277642972</v>
      </c>
      <c r="D1068" s="116">
        <v>130.15316498940001</v>
      </c>
      <c r="E1068" s="116">
        <v>134.27347002630799</v>
      </c>
      <c r="F1068" s="116">
        <v>135</v>
      </c>
      <c r="G1068">
        <v>409895</v>
      </c>
      <c r="H1068" s="116"/>
      <c r="I1068" s="116"/>
      <c r="L1068" s="170">
        <v>43577</v>
      </c>
      <c r="M1068" s="116">
        <v>131.02590591226999</v>
      </c>
      <c r="N1068" s="116">
        <v>134.41910362364899</v>
      </c>
      <c r="O1068" s="116">
        <v>130.250317863954</v>
      </c>
      <c r="P1068" s="116">
        <v>133.78893833439301</v>
      </c>
      <c r="Q1068" s="116">
        <v>135.15</v>
      </c>
      <c r="R1068">
        <v>3189574</v>
      </c>
    </row>
    <row r="1069" spans="1:18" x14ac:dyDescent="0.25">
      <c r="A1069" s="170">
        <v>43578</v>
      </c>
      <c r="B1069" s="116">
        <v>132.18908041940199</v>
      </c>
      <c r="C1069" s="116">
        <v>128.35962044392201</v>
      </c>
      <c r="D1069" s="116">
        <v>127.584033613445</v>
      </c>
      <c r="E1069" s="116">
        <v>131.26807105821101</v>
      </c>
      <c r="F1069" s="116">
        <v>132.4</v>
      </c>
      <c r="G1069">
        <v>372436</v>
      </c>
      <c r="H1069" s="116"/>
      <c r="I1069" s="116"/>
      <c r="L1069" s="170">
        <v>43578</v>
      </c>
      <c r="M1069" s="116">
        <v>128.456770502225</v>
      </c>
      <c r="N1069" s="116">
        <v>132.140813731723</v>
      </c>
      <c r="O1069" s="116">
        <v>127.535759694851</v>
      </c>
      <c r="P1069" s="116">
        <v>131.26827717736799</v>
      </c>
      <c r="Q1069" s="116">
        <v>132.5</v>
      </c>
      <c r="R1069">
        <v>4084835</v>
      </c>
    </row>
    <row r="1070" spans="1:18" x14ac:dyDescent="0.25">
      <c r="A1070" s="170">
        <v>43579</v>
      </c>
      <c r="B1070" s="116">
        <v>132.72229636535499</v>
      </c>
      <c r="C1070" s="116">
        <v>131.75281282725899</v>
      </c>
      <c r="D1070" s="116">
        <v>128.117249559398</v>
      </c>
      <c r="E1070" s="116">
        <v>128.94131056678</v>
      </c>
      <c r="F1070" s="116">
        <v>135.9</v>
      </c>
      <c r="G1070">
        <v>387305</v>
      </c>
      <c r="H1070" s="116"/>
      <c r="I1070" s="116"/>
      <c r="L1070" s="170">
        <v>43579</v>
      </c>
      <c r="M1070" s="116">
        <v>131.99539097266401</v>
      </c>
      <c r="N1070" s="116">
        <v>132.916401780038</v>
      </c>
      <c r="O1070" s="116">
        <v>128.06897647806699</v>
      </c>
      <c r="P1070" s="116">
        <v>128.69914176732399</v>
      </c>
      <c r="Q1070" s="116">
        <v>136.15</v>
      </c>
      <c r="R1070">
        <v>4329268</v>
      </c>
    </row>
    <row r="1071" spans="1:18" x14ac:dyDescent="0.25">
      <c r="A1071" s="170">
        <v>43580</v>
      </c>
      <c r="B1071" s="116">
        <v>132.819244719164</v>
      </c>
      <c r="C1071" s="116">
        <v>130.58943258154301</v>
      </c>
      <c r="D1071" s="116">
        <v>129.910794104876</v>
      </c>
      <c r="E1071" s="116">
        <v>131.704338650354</v>
      </c>
      <c r="F1071" s="116">
        <v>134.69999999999999</v>
      </c>
      <c r="G1071">
        <v>234152</v>
      </c>
      <c r="H1071" s="116"/>
      <c r="I1071" s="116"/>
      <c r="L1071" s="170">
        <v>43580</v>
      </c>
      <c r="M1071" s="116">
        <v>130.63811188811201</v>
      </c>
      <c r="N1071" s="116">
        <v>132.81945327399899</v>
      </c>
      <c r="O1071" s="116">
        <v>129.765575333757</v>
      </c>
      <c r="P1071" s="116">
        <v>130.97743165924999</v>
      </c>
      <c r="Q1071" s="116">
        <v>134.75</v>
      </c>
      <c r="R1071">
        <v>2112063</v>
      </c>
    </row>
    <row r="1072" spans="1:18" x14ac:dyDescent="0.25">
      <c r="A1072" s="170">
        <v>43581</v>
      </c>
      <c r="B1072" s="116">
        <v>131.316545235115</v>
      </c>
      <c r="C1072" s="116">
        <v>127.147766021302</v>
      </c>
      <c r="D1072" s="116">
        <v>126.32370501392001</v>
      </c>
      <c r="E1072" s="116">
        <v>130.880277642972</v>
      </c>
      <c r="F1072" s="116">
        <v>131.15</v>
      </c>
      <c r="G1072">
        <v>405044</v>
      </c>
      <c r="H1072" s="116"/>
      <c r="I1072" s="116"/>
      <c r="L1072" s="170">
        <v>43581</v>
      </c>
      <c r="M1072" s="116">
        <v>127.390336935791</v>
      </c>
      <c r="N1072" s="116">
        <v>131.51064844246699</v>
      </c>
      <c r="O1072" s="116">
        <v>126.275429116338</v>
      </c>
      <c r="P1072" s="116">
        <v>130.88048315321001</v>
      </c>
      <c r="Q1072" s="116">
        <v>131.4</v>
      </c>
      <c r="R1072">
        <v>4350584</v>
      </c>
    </row>
    <row r="1073" spans="1:18" x14ac:dyDescent="0.25">
      <c r="A1073" s="170">
        <v>43585</v>
      </c>
      <c r="B1073" s="116">
        <v>129.71689739725699</v>
      </c>
      <c r="C1073" s="116">
        <v>123.027460984394</v>
      </c>
      <c r="D1073" s="116">
        <v>121.282390615821</v>
      </c>
      <c r="E1073" s="116">
        <v>129.71689739725699</v>
      </c>
      <c r="F1073" s="116">
        <v>126.9</v>
      </c>
      <c r="G1073">
        <v>425061</v>
      </c>
      <c r="H1073" s="116"/>
      <c r="I1073" s="116"/>
      <c r="L1073" s="170">
        <v>43585</v>
      </c>
      <c r="M1073" s="116">
        <v>123.17307692307701</v>
      </c>
      <c r="N1073" s="116">
        <v>127.778130959949</v>
      </c>
      <c r="O1073" s="116">
        <v>121.185632549269</v>
      </c>
      <c r="P1073" s="116">
        <v>127.778130959949</v>
      </c>
      <c r="Q1073" s="116">
        <v>127.05</v>
      </c>
      <c r="R1073">
        <v>4006829</v>
      </c>
    </row>
    <row r="1074" spans="1:18" x14ac:dyDescent="0.25">
      <c r="A1074" s="170">
        <v>43587</v>
      </c>
      <c r="B1074" s="116">
        <v>125.984385775587</v>
      </c>
      <c r="C1074" s="116">
        <v>122.78509009987</v>
      </c>
      <c r="D1074" s="116">
        <v>121.18544226201099</v>
      </c>
      <c r="E1074" s="116">
        <v>122.15492580010699</v>
      </c>
      <c r="F1074" s="116">
        <v>126.65</v>
      </c>
      <c r="G1074">
        <v>332970</v>
      </c>
      <c r="H1074" s="116"/>
      <c r="I1074" s="116"/>
      <c r="L1074" s="170">
        <v>43587</v>
      </c>
      <c r="M1074" s="116">
        <v>122.78528289891899</v>
      </c>
      <c r="N1074" s="116">
        <v>126.03305785124</v>
      </c>
      <c r="O1074" s="116">
        <v>120.99173553719</v>
      </c>
      <c r="P1074" s="116">
        <v>122.15511760966299</v>
      </c>
      <c r="Q1074" s="116">
        <v>126.65</v>
      </c>
      <c r="R1074">
        <v>3754433</v>
      </c>
    </row>
    <row r="1075" spans="1:18" x14ac:dyDescent="0.25">
      <c r="A1075" s="170">
        <v>43588</v>
      </c>
      <c r="B1075" s="116">
        <v>125.014902237491</v>
      </c>
      <c r="C1075" s="116">
        <v>124.336263760823</v>
      </c>
      <c r="D1075" s="116">
        <v>119.294949362724</v>
      </c>
      <c r="E1075" s="116">
        <v>120.21595872391499</v>
      </c>
      <c r="F1075" s="116">
        <v>128.25</v>
      </c>
      <c r="G1075">
        <v>486577</v>
      </c>
      <c r="H1075" s="116"/>
      <c r="I1075" s="116"/>
      <c r="L1075" s="170">
        <v>43588</v>
      </c>
      <c r="M1075" s="116">
        <v>124.38493324856999</v>
      </c>
      <c r="N1075" s="116">
        <v>125.063572790846</v>
      </c>
      <c r="O1075" s="116">
        <v>119.246662428481</v>
      </c>
      <c r="P1075" s="116">
        <v>120.216147488875</v>
      </c>
      <c r="Q1075" s="116">
        <v>128.30000000000001</v>
      </c>
      <c r="R1075">
        <v>6222801</v>
      </c>
    </row>
    <row r="1076" spans="1:18" x14ac:dyDescent="0.25">
      <c r="A1076" s="170">
        <v>43591</v>
      </c>
      <c r="B1076" s="116">
        <v>123.60915110725099</v>
      </c>
      <c r="C1076" s="116">
        <v>121.62170985415401</v>
      </c>
      <c r="D1076" s="116">
        <v>120.603752139154</v>
      </c>
      <c r="E1076" s="116">
        <v>122.63966756915499</v>
      </c>
      <c r="F1076" s="116">
        <v>125.45</v>
      </c>
      <c r="G1076">
        <v>251381</v>
      </c>
      <c r="H1076" s="116"/>
      <c r="I1076" s="116"/>
      <c r="L1076" s="170">
        <v>43591</v>
      </c>
      <c r="M1076" s="116">
        <v>121.767323585505</v>
      </c>
      <c r="N1076" s="116">
        <v>123.512396694215</v>
      </c>
      <c r="O1076" s="116">
        <v>121.23410680228901</v>
      </c>
      <c r="P1076" s="116">
        <v>121.91274634456499</v>
      </c>
      <c r="Q1076" s="116">
        <v>125.6</v>
      </c>
      <c r="R1076">
        <v>1996014</v>
      </c>
    </row>
    <row r="1077" spans="1:18" x14ac:dyDescent="0.25">
      <c r="A1077" s="170">
        <v>43592</v>
      </c>
      <c r="B1077" s="116">
        <v>123.221357692013</v>
      </c>
      <c r="C1077" s="116">
        <v>118.61631088605699</v>
      </c>
      <c r="D1077" s="116">
        <v>116.62886963296</v>
      </c>
      <c r="E1077" s="116">
        <v>121.67018403105899</v>
      </c>
      <c r="F1077" s="116">
        <v>122.35</v>
      </c>
      <c r="G1077">
        <v>297371</v>
      </c>
      <c r="H1077" s="116"/>
      <c r="I1077" s="116"/>
      <c r="L1077" s="170">
        <v>43592</v>
      </c>
      <c r="M1077" s="116">
        <v>118.61649713922399</v>
      </c>
      <c r="N1077" s="116">
        <v>123.124602670057</v>
      </c>
      <c r="O1077" s="116">
        <v>116.38668150031801</v>
      </c>
      <c r="P1077" s="116">
        <v>122.54291163382101</v>
      </c>
      <c r="Q1077" s="116">
        <v>122.35</v>
      </c>
      <c r="R1077">
        <v>4593214</v>
      </c>
    </row>
    <row r="1078" spans="1:18" x14ac:dyDescent="0.25">
      <c r="A1078" s="170">
        <v>43593</v>
      </c>
      <c r="B1078" s="116">
        <v>119.87663948558099</v>
      </c>
      <c r="C1078" s="116">
        <v>117.065137225103</v>
      </c>
      <c r="D1078" s="116">
        <v>116.53192127915</v>
      </c>
      <c r="E1078" s="116">
        <v>118.27699164772299</v>
      </c>
      <c r="F1078" s="116">
        <v>120.75</v>
      </c>
      <c r="G1078">
        <v>250481</v>
      </c>
      <c r="H1078" s="116"/>
      <c r="I1078" s="116"/>
      <c r="L1078" s="170">
        <v>43593</v>
      </c>
      <c r="M1078" s="116">
        <v>117.210743801653</v>
      </c>
      <c r="N1078" s="116">
        <v>119.876827717737</v>
      </c>
      <c r="O1078" s="116">
        <v>116.726001271456</v>
      </c>
      <c r="P1078" s="116">
        <v>118.083280356008</v>
      </c>
      <c r="Q1078" s="116">
        <v>120.9</v>
      </c>
      <c r="R1078">
        <v>2661345</v>
      </c>
    </row>
    <row r="1079" spans="1:18" x14ac:dyDescent="0.25">
      <c r="A1079" s="170">
        <v>43594</v>
      </c>
      <c r="B1079" s="116">
        <v>118.325465824628</v>
      </c>
      <c r="C1079" s="116">
        <v>115.756334448673</v>
      </c>
      <c r="D1079" s="116">
        <v>115.417015210339</v>
      </c>
      <c r="E1079" s="116">
        <v>118.083094940104</v>
      </c>
      <c r="F1079" s="116">
        <v>119.4</v>
      </c>
      <c r="G1079">
        <v>372376</v>
      </c>
      <c r="H1079" s="116"/>
      <c r="I1079" s="116"/>
      <c r="L1079" s="170">
        <v>43594</v>
      </c>
      <c r="M1079" s="116">
        <v>116.43515575333799</v>
      </c>
      <c r="N1079" s="116">
        <v>118.47107438016501</v>
      </c>
      <c r="O1079" s="116">
        <v>115.514144945963</v>
      </c>
      <c r="P1079" s="116">
        <v>118.180228862047</v>
      </c>
      <c r="Q1079" s="116">
        <v>120.1</v>
      </c>
      <c r="R1079">
        <v>2907774</v>
      </c>
    </row>
    <row r="1080" spans="1:18" x14ac:dyDescent="0.25">
      <c r="A1080" s="170">
        <v>43595</v>
      </c>
      <c r="B1080" s="116">
        <v>118.61631088605699</v>
      </c>
      <c r="C1080" s="116">
        <v>116.241076217721</v>
      </c>
      <c r="D1080" s="116">
        <v>115.756334448673</v>
      </c>
      <c r="E1080" s="116">
        <v>117.30750810962699</v>
      </c>
      <c r="F1080" s="116">
        <v>119.9</v>
      </c>
      <c r="G1080">
        <v>297540</v>
      </c>
      <c r="H1080" s="116"/>
      <c r="I1080" s="116"/>
      <c r="L1080" s="170">
        <v>43595</v>
      </c>
      <c r="M1080" s="116">
        <v>116.338207247298</v>
      </c>
      <c r="N1080" s="116">
        <v>118.568022886205</v>
      </c>
      <c r="O1080" s="116">
        <v>115.611093452003</v>
      </c>
      <c r="P1080" s="116">
        <v>117.30769230769199</v>
      </c>
      <c r="Q1080" s="116">
        <v>120</v>
      </c>
      <c r="R1080">
        <v>2835247</v>
      </c>
    </row>
    <row r="1081" spans="1:18" x14ac:dyDescent="0.25">
      <c r="A1081" s="170">
        <v>43598</v>
      </c>
      <c r="B1081" s="116">
        <v>117.016663048198</v>
      </c>
      <c r="C1081" s="116">
        <v>114.156686610815</v>
      </c>
      <c r="D1081" s="116">
        <v>112.944832188194</v>
      </c>
      <c r="E1081" s="116">
        <v>116.725817986769</v>
      </c>
      <c r="F1081" s="116">
        <v>117.75</v>
      </c>
      <c r="G1081">
        <v>217521</v>
      </c>
      <c r="H1081" s="116"/>
      <c r="I1081" s="116"/>
      <c r="L1081" s="170">
        <v>43598</v>
      </c>
      <c r="M1081" s="116">
        <v>114.011443102352</v>
      </c>
      <c r="N1081" s="116">
        <v>117.210743801653</v>
      </c>
      <c r="O1081" s="116">
        <v>113.090432294978</v>
      </c>
      <c r="P1081" s="116">
        <v>117.016846789574</v>
      </c>
      <c r="Q1081" s="116">
        <v>117.6</v>
      </c>
      <c r="R1081">
        <v>2124122</v>
      </c>
    </row>
    <row r="1082" spans="1:18" x14ac:dyDescent="0.25">
      <c r="A1082" s="170">
        <v>43599</v>
      </c>
      <c r="B1082" s="116">
        <v>120.749174669868</v>
      </c>
      <c r="C1082" s="116">
        <v>119.149526832009</v>
      </c>
      <c r="D1082" s="116">
        <v>111.539081057955</v>
      </c>
      <c r="E1082" s="116">
        <v>111.73297776557401</v>
      </c>
      <c r="F1082" s="116">
        <v>122.9</v>
      </c>
      <c r="G1082">
        <v>963114</v>
      </c>
      <c r="H1082" s="116"/>
      <c r="I1082" s="116"/>
      <c r="L1082" s="170">
        <v>43599</v>
      </c>
      <c r="M1082" s="116">
        <v>119.585982199619</v>
      </c>
      <c r="N1082" s="116">
        <v>120.749364272092</v>
      </c>
      <c r="O1082" s="116">
        <v>111.490781945327</v>
      </c>
      <c r="P1082" s="116">
        <v>112.799586776859</v>
      </c>
      <c r="Q1082" s="116">
        <v>123.35</v>
      </c>
      <c r="R1082">
        <v>4548264</v>
      </c>
    </row>
    <row r="1083" spans="1:18" x14ac:dyDescent="0.25">
      <c r="A1083" s="170">
        <v>43600</v>
      </c>
      <c r="B1083" s="116">
        <v>121.04001973129699</v>
      </c>
      <c r="C1083" s="116">
        <v>113.67194484176601</v>
      </c>
      <c r="D1083" s="116">
        <v>112.460090419146</v>
      </c>
      <c r="E1083" s="116">
        <v>119.828165308677</v>
      </c>
      <c r="F1083" s="116">
        <v>117.25</v>
      </c>
      <c r="G1083">
        <v>456393</v>
      </c>
      <c r="H1083" s="116"/>
      <c r="I1083" s="116"/>
      <c r="L1083" s="170">
        <v>43600</v>
      </c>
      <c r="M1083" s="116">
        <v>113.817546090273</v>
      </c>
      <c r="N1083" s="116">
        <v>121.137158296249</v>
      </c>
      <c r="O1083" s="116">
        <v>112.557215511761</v>
      </c>
      <c r="P1083" s="116">
        <v>120.410044500954</v>
      </c>
      <c r="Q1083" s="116">
        <v>117.4</v>
      </c>
      <c r="R1083">
        <v>3659017</v>
      </c>
    </row>
    <row r="1084" spans="1:18" x14ac:dyDescent="0.25">
      <c r="A1084" s="170">
        <v>43601</v>
      </c>
      <c r="B1084" s="116">
        <v>115.756334448673</v>
      </c>
      <c r="C1084" s="116">
        <v>114.738376733672</v>
      </c>
      <c r="D1084" s="116">
        <v>109.551639804858</v>
      </c>
      <c r="E1084" s="116">
        <v>114.205160787719</v>
      </c>
      <c r="F1084" s="116">
        <v>118.35</v>
      </c>
      <c r="G1084">
        <v>758058</v>
      </c>
      <c r="H1084" s="116"/>
      <c r="I1084" s="116"/>
      <c r="L1084" s="170">
        <v>43601</v>
      </c>
      <c r="M1084" s="116">
        <v>115.174825174825</v>
      </c>
      <c r="N1084" s="116">
        <v>115.85346471710101</v>
      </c>
      <c r="O1084" s="116">
        <v>109.551811824539</v>
      </c>
      <c r="P1084" s="116">
        <v>114.496185632549</v>
      </c>
      <c r="Q1084" s="116">
        <v>118.8</v>
      </c>
      <c r="R1084">
        <v>5368281</v>
      </c>
    </row>
    <row r="1085" spans="1:18" x14ac:dyDescent="0.25">
      <c r="A1085" s="170">
        <v>43602</v>
      </c>
      <c r="B1085" s="116">
        <v>116.774292163674</v>
      </c>
      <c r="C1085" s="116">
        <v>115.32006685653</v>
      </c>
      <c r="D1085" s="116">
        <v>112.55703877295601</v>
      </c>
      <c r="E1085" s="116">
        <v>115.36854103343499</v>
      </c>
      <c r="F1085" s="116">
        <v>118.95</v>
      </c>
      <c r="G1085">
        <v>632263</v>
      </c>
      <c r="H1085" s="116"/>
      <c r="I1085" s="116"/>
      <c r="L1085" s="170">
        <v>43602</v>
      </c>
      <c r="M1085" s="116">
        <v>115.659567705022</v>
      </c>
      <c r="N1085" s="116">
        <v>116.871424030515</v>
      </c>
      <c r="O1085" s="116">
        <v>112.557215511761</v>
      </c>
      <c r="P1085" s="116">
        <v>114.15686586141101</v>
      </c>
      <c r="Q1085" s="116">
        <v>119.3</v>
      </c>
      <c r="R1085">
        <v>4631007</v>
      </c>
    </row>
    <row r="1086" spans="1:18" x14ac:dyDescent="0.25">
      <c r="A1086" s="170">
        <v>43605</v>
      </c>
      <c r="B1086" s="116">
        <v>149.78520663584601</v>
      </c>
      <c r="C1086" s="116">
        <v>146.925230198462</v>
      </c>
      <c r="D1086" s="116">
        <v>124.578634645348</v>
      </c>
      <c r="E1086" s="116">
        <v>126.808446782969</v>
      </c>
      <c r="F1086" s="116">
        <v>151.55000000000001</v>
      </c>
      <c r="G1086">
        <v>4139931</v>
      </c>
      <c r="H1086" s="116"/>
      <c r="I1086" s="116"/>
      <c r="L1086" s="170">
        <v>43605</v>
      </c>
      <c r="M1086" s="116">
        <v>147.31325492689101</v>
      </c>
      <c r="N1086" s="116">
        <v>150.173235855054</v>
      </c>
      <c r="O1086" s="116">
        <v>124.191036236491</v>
      </c>
      <c r="P1086" s="116">
        <v>127.196439923713</v>
      </c>
      <c r="Q1086" s="116">
        <v>151.94999999999999</v>
      </c>
      <c r="R1086">
        <v>37670288</v>
      </c>
    </row>
    <row r="1087" spans="1:18" x14ac:dyDescent="0.25">
      <c r="A1087" s="170">
        <v>43606</v>
      </c>
      <c r="B1087" s="116">
        <v>154.05093420346901</v>
      </c>
      <c r="C1087" s="116">
        <v>149.979103343465</v>
      </c>
      <c r="D1087" s="116">
        <v>144.06525376107899</v>
      </c>
      <c r="E1087" s="116">
        <v>149.49436157441701</v>
      </c>
      <c r="F1087" s="116">
        <v>154.69999999999999</v>
      </c>
      <c r="G1087">
        <v>3615671</v>
      </c>
      <c r="H1087" s="116"/>
      <c r="I1087" s="116"/>
      <c r="L1087" s="170">
        <v>43606</v>
      </c>
      <c r="M1087" s="116">
        <v>149.93086458995501</v>
      </c>
      <c r="N1087" s="116">
        <v>154.09965034965001</v>
      </c>
      <c r="O1087" s="116">
        <v>143.920057215512</v>
      </c>
      <c r="P1087" s="116">
        <v>149.97933884297501</v>
      </c>
      <c r="Q1087" s="116">
        <v>154.65</v>
      </c>
      <c r="R1087">
        <v>39732349</v>
      </c>
    </row>
    <row r="1088" spans="1:18" x14ac:dyDescent="0.25">
      <c r="A1088" s="170">
        <v>43607</v>
      </c>
      <c r="B1088" s="116">
        <v>154.147882557278</v>
      </c>
      <c r="C1088" s="116">
        <v>153.12992484227701</v>
      </c>
      <c r="D1088" s="116">
        <v>148.33098132870199</v>
      </c>
      <c r="E1088" s="116">
        <v>150.75469017394201</v>
      </c>
      <c r="F1088" s="116">
        <v>157.94999999999999</v>
      </c>
      <c r="G1088">
        <v>1692381</v>
      </c>
      <c r="H1088" s="116"/>
      <c r="I1088" s="116"/>
      <c r="L1088" s="170">
        <v>43607</v>
      </c>
      <c r="M1088" s="116">
        <v>153.13016528925601</v>
      </c>
      <c r="N1088" s="116">
        <v>153.95422759059099</v>
      </c>
      <c r="O1088" s="116">
        <v>148.13731722822601</v>
      </c>
      <c r="P1088" s="116">
        <v>150.31865861411299</v>
      </c>
      <c r="Q1088" s="116">
        <v>157.94999999999999</v>
      </c>
      <c r="R1088">
        <v>13565092</v>
      </c>
    </row>
    <row r="1089" spans="1:18" x14ac:dyDescent="0.25">
      <c r="A1089" s="170">
        <v>43608</v>
      </c>
      <c r="B1089" s="116">
        <v>175.18567533396299</v>
      </c>
      <c r="C1089" s="116">
        <v>156.37769469489899</v>
      </c>
      <c r="D1089" s="116">
        <v>153.22687319608701</v>
      </c>
      <c r="E1089" s="116">
        <v>163.84271793823899</v>
      </c>
      <c r="F1089" s="116">
        <v>161.30000000000001</v>
      </c>
      <c r="G1089">
        <v>7141758</v>
      </c>
      <c r="H1089" s="116"/>
      <c r="I1089" s="116"/>
      <c r="L1089" s="170">
        <v>43608</v>
      </c>
      <c r="M1089" s="116">
        <v>156.135568976478</v>
      </c>
      <c r="N1089" s="116">
        <v>175.282898919263</v>
      </c>
      <c r="O1089" s="116">
        <v>152.88779402415801</v>
      </c>
      <c r="P1089" s="116">
        <v>164.32771773680901</v>
      </c>
      <c r="Q1089" s="116">
        <v>161.05000000000001</v>
      </c>
      <c r="R1089">
        <v>61334483</v>
      </c>
    </row>
    <row r="1090" spans="1:18" x14ac:dyDescent="0.25">
      <c r="A1090" s="170">
        <v>43609</v>
      </c>
      <c r="B1090" s="116">
        <v>158.70445518632999</v>
      </c>
      <c r="C1090" s="116">
        <v>151.43332865060901</v>
      </c>
      <c r="D1090" s="116">
        <v>147.36149779060599</v>
      </c>
      <c r="E1090" s="116">
        <v>157.68649747132901</v>
      </c>
      <c r="F1090" s="116">
        <v>156.19999999999999</v>
      </c>
      <c r="G1090">
        <v>2187891</v>
      </c>
      <c r="H1090" s="116"/>
      <c r="I1090" s="116"/>
      <c r="L1090" s="170">
        <v>43609</v>
      </c>
      <c r="M1090" s="116">
        <v>151.62746344564499</v>
      </c>
      <c r="N1090" s="116">
        <v>158.753178639542</v>
      </c>
      <c r="O1090" s="116">
        <v>147.21630642085199</v>
      </c>
      <c r="P1090" s="116">
        <v>157.39589955499</v>
      </c>
      <c r="Q1090" s="116">
        <v>156.4</v>
      </c>
      <c r="R1090">
        <v>19435041</v>
      </c>
    </row>
    <row r="1091" spans="1:18" x14ac:dyDescent="0.25">
      <c r="A1091" s="170">
        <v>43612</v>
      </c>
      <c r="B1091" s="116">
        <v>155.55363368751799</v>
      </c>
      <c r="C1091" s="116">
        <v>152.25738965799101</v>
      </c>
      <c r="D1091" s="116">
        <v>150.512319289418</v>
      </c>
      <c r="E1091" s="116">
        <v>154.87499521084999</v>
      </c>
      <c r="F1091" s="116">
        <v>157.05000000000001</v>
      </c>
      <c r="G1091">
        <v>1081344</v>
      </c>
      <c r="H1091" s="116"/>
      <c r="I1091" s="116"/>
      <c r="L1091" s="170">
        <v>43612</v>
      </c>
      <c r="M1091" s="116">
        <v>152.40305149396099</v>
      </c>
      <c r="N1091" s="116">
        <v>155.79624920533999</v>
      </c>
      <c r="O1091" s="116">
        <v>150.415607120153</v>
      </c>
      <c r="P1091" s="116">
        <v>154.24507310870899</v>
      </c>
      <c r="Q1091" s="116">
        <v>157.19999999999999</v>
      </c>
      <c r="R1091">
        <v>9664810</v>
      </c>
    </row>
    <row r="1092" spans="1:18" x14ac:dyDescent="0.25">
      <c r="A1092" s="170">
        <v>43613</v>
      </c>
      <c r="B1092" s="116">
        <v>155.45668533370801</v>
      </c>
      <c r="C1092" s="116">
        <v>152.742131427039</v>
      </c>
      <c r="D1092" s="116">
        <v>151.43332865060901</v>
      </c>
      <c r="E1092" s="116">
        <v>152.69365725013401</v>
      </c>
      <c r="F1092" s="116">
        <v>157.55000000000001</v>
      </c>
      <c r="G1092">
        <v>716267</v>
      </c>
      <c r="H1092" s="116"/>
      <c r="I1092" s="116"/>
      <c r="L1092" s="170">
        <v>43613</v>
      </c>
      <c r="M1092" s="116">
        <v>152.83931977113801</v>
      </c>
      <c r="N1092" s="116">
        <v>155.45692943420201</v>
      </c>
      <c r="O1092" s="116">
        <v>151.28814367450701</v>
      </c>
      <c r="P1092" s="116">
        <v>152.30610298792101</v>
      </c>
      <c r="Q1092" s="116">
        <v>157.65</v>
      </c>
      <c r="R1092">
        <v>5456461</v>
      </c>
    </row>
    <row r="1093" spans="1:18" x14ac:dyDescent="0.25">
      <c r="A1093" s="170">
        <v>43614</v>
      </c>
      <c r="B1093" s="116">
        <v>153.46924408061099</v>
      </c>
      <c r="C1093" s="116">
        <v>150.56079346632299</v>
      </c>
      <c r="D1093" s="116">
        <v>147.31302361370101</v>
      </c>
      <c r="E1093" s="116">
        <v>153.08145066537301</v>
      </c>
      <c r="F1093" s="116">
        <v>155.30000000000001</v>
      </c>
      <c r="G1093">
        <v>1413355</v>
      </c>
      <c r="H1093" s="116"/>
      <c r="I1093" s="116"/>
      <c r="L1093" s="170">
        <v>43614</v>
      </c>
      <c r="M1093" s="116">
        <v>150.415607120153</v>
      </c>
      <c r="N1093" s="116">
        <v>153.566433566434</v>
      </c>
      <c r="O1093" s="116">
        <v>147.11935791481201</v>
      </c>
      <c r="P1093" s="116">
        <v>153.13016528925601</v>
      </c>
      <c r="Q1093" s="116">
        <v>155.15</v>
      </c>
      <c r="R1093">
        <v>12993604</v>
      </c>
    </row>
    <row r="1094" spans="1:18" x14ac:dyDescent="0.25">
      <c r="A1094" s="170">
        <v>43615</v>
      </c>
      <c r="B1094" s="116">
        <v>154.48720179561201</v>
      </c>
      <c r="C1094" s="116">
        <v>153.03297648846799</v>
      </c>
      <c r="D1094" s="116">
        <v>150.56079346632299</v>
      </c>
      <c r="E1094" s="116">
        <v>153.178399019182</v>
      </c>
      <c r="F1094" s="116">
        <v>157.85</v>
      </c>
      <c r="G1094">
        <v>714522</v>
      </c>
      <c r="H1094" s="116"/>
      <c r="I1094" s="116"/>
      <c r="L1094" s="170">
        <v>43615</v>
      </c>
      <c r="M1094" s="116">
        <v>153.275588048315</v>
      </c>
      <c r="N1094" s="116">
        <v>154.53591862682799</v>
      </c>
      <c r="O1094" s="116">
        <v>150.36713286713299</v>
      </c>
      <c r="P1094" s="116">
        <v>153.275588048315</v>
      </c>
      <c r="Q1094" s="116">
        <v>158.1</v>
      </c>
      <c r="R1094">
        <v>6740283</v>
      </c>
    </row>
    <row r="1095" spans="1:18" x14ac:dyDescent="0.25">
      <c r="A1095" s="170">
        <v>43616</v>
      </c>
      <c r="B1095" s="116">
        <v>154.390253441802</v>
      </c>
      <c r="C1095" s="116">
        <v>149.88215498965499</v>
      </c>
      <c r="D1095" s="116">
        <v>144.79236641465101</v>
      </c>
      <c r="E1095" s="116">
        <v>154.05093420346901</v>
      </c>
      <c r="F1095" s="116">
        <v>154.6</v>
      </c>
      <c r="G1095">
        <v>967651</v>
      </c>
      <c r="H1095" s="116"/>
      <c r="I1095" s="116"/>
      <c r="L1095" s="170">
        <v>43616</v>
      </c>
      <c r="M1095" s="116">
        <v>150.02781309599499</v>
      </c>
      <c r="N1095" s="116">
        <v>154.43897012078801</v>
      </c>
      <c r="O1095" s="116">
        <v>144.55022250476799</v>
      </c>
      <c r="P1095" s="116">
        <v>153.66338207247301</v>
      </c>
      <c r="Q1095" s="116">
        <v>154.75</v>
      </c>
      <c r="R1095">
        <v>7553254</v>
      </c>
    </row>
    <row r="1096" spans="1:18" x14ac:dyDescent="0.25">
      <c r="A1096" s="170">
        <v>43619</v>
      </c>
      <c r="B1096" s="116">
        <v>156.86243646394701</v>
      </c>
      <c r="C1096" s="116">
        <v>154.09940838037301</v>
      </c>
      <c r="D1096" s="116">
        <v>146.925230198462</v>
      </c>
      <c r="E1096" s="116">
        <v>152.11196712727599</v>
      </c>
      <c r="F1096" s="116">
        <v>158.94999999999999</v>
      </c>
      <c r="G1096">
        <v>920881</v>
      </c>
      <c r="H1096" s="116"/>
      <c r="I1096" s="116"/>
      <c r="L1096" s="170">
        <v>43619</v>
      </c>
      <c r="M1096" s="116">
        <v>154.19659885569001</v>
      </c>
      <c r="N1096" s="116">
        <v>156.959631277813</v>
      </c>
      <c r="O1096" s="116">
        <v>147.022409408773</v>
      </c>
      <c r="P1096" s="116">
        <v>149.30069930069899</v>
      </c>
      <c r="Q1096" s="116">
        <v>159.05000000000001</v>
      </c>
      <c r="R1096">
        <v>7975636</v>
      </c>
    </row>
    <row r="1097" spans="1:18" x14ac:dyDescent="0.25">
      <c r="A1097" s="170">
        <v>43620</v>
      </c>
      <c r="B1097" s="116">
        <v>154.48720179561201</v>
      </c>
      <c r="C1097" s="116">
        <v>152.839079780849</v>
      </c>
      <c r="D1097" s="116">
        <v>149.93062916656001</v>
      </c>
      <c r="E1097" s="116">
        <v>154.05093420346901</v>
      </c>
      <c r="F1097" s="116">
        <v>157.65</v>
      </c>
      <c r="G1097">
        <v>646597</v>
      </c>
      <c r="H1097" s="116"/>
      <c r="I1097" s="116"/>
      <c r="L1097" s="170">
        <v>43620</v>
      </c>
      <c r="M1097" s="116">
        <v>152.790845518118</v>
      </c>
      <c r="N1097" s="116">
        <v>154.43897012078801</v>
      </c>
      <c r="O1097" s="116">
        <v>149.78544183089599</v>
      </c>
      <c r="P1097" s="116">
        <v>153.324062301335</v>
      </c>
      <c r="Q1097" s="116">
        <v>157.6</v>
      </c>
      <c r="R1097">
        <v>5502910</v>
      </c>
    </row>
    <row r="1098" spans="1:18" x14ac:dyDescent="0.25">
      <c r="A1098" s="170">
        <v>43622</v>
      </c>
      <c r="B1098" s="116">
        <v>152.69365725013401</v>
      </c>
      <c r="C1098" s="116">
        <v>148.185558797987</v>
      </c>
      <c r="D1098" s="116">
        <v>146.48896260631901</v>
      </c>
      <c r="E1098" s="116">
        <v>152.69365725013401</v>
      </c>
      <c r="F1098" s="116">
        <v>152.85</v>
      </c>
      <c r="G1098">
        <v>454308</v>
      </c>
      <c r="H1098" s="116"/>
      <c r="I1098" s="116"/>
      <c r="L1098" s="170">
        <v>43622</v>
      </c>
      <c r="M1098" s="116">
        <v>148.47663699936399</v>
      </c>
      <c r="N1098" s="116">
        <v>152.984742530197</v>
      </c>
      <c r="O1098" s="116">
        <v>146.58614113159601</v>
      </c>
      <c r="P1098" s="116">
        <v>152.11220597584199</v>
      </c>
      <c r="Q1098" s="116">
        <v>153.15</v>
      </c>
      <c r="R1098">
        <v>3832155</v>
      </c>
    </row>
    <row r="1099" spans="1:18" x14ac:dyDescent="0.25">
      <c r="A1099" s="170">
        <v>43623</v>
      </c>
      <c r="B1099" s="116">
        <v>150.269948404894</v>
      </c>
      <c r="C1099" s="116">
        <v>146.537436783224</v>
      </c>
      <c r="D1099" s="116">
        <v>142.223235038696</v>
      </c>
      <c r="E1099" s="116">
        <v>150.269948404894</v>
      </c>
      <c r="F1099" s="116">
        <v>151.15</v>
      </c>
      <c r="G1099">
        <v>764186</v>
      </c>
      <c r="H1099" s="116"/>
      <c r="I1099" s="116"/>
      <c r="L1099" s="170">
        <v>43623</v>
      </c>
      <c r="M1099" s="116">
        <v>146.731563890655</v>
      </c>
      <c r="N1099" s="116">
        <v>148.864431023522</v>
      </c>
      <c r="O1099" s="116">
        <v>142.320406865861</v>
      </c>
      <c r="P1099" s="116">
        <v>148.282739987285</v>
      </c>
      <c r="Q1099" s="116">
        <v>151.35</v>
      </c>
      <c r="R1099">
        <v>5016442</v>
      </c>
    </row>
    <row r="1100" spans="1:18" x14ac:dyDescent="0.25">
      <c r="A1100" s="170">
        <v>43626</v>
      </c>
      <c r="B1100" s="116">
        <v>150.75469017394201</v>
      </c>
      <c r="C1100" s="116">
        <v>145.18015982988899</v>
      </c>
      <c r="D1100" s="116">
        <v>142.901873515364</v>
      </c>
      <c r="E1100" s="116">
        <v>148.13708462108201</v>
      </c>
      <c r="F1100" s="116">
        <v>149.75</v>
      </c>
      <c r="G1100">
        <v>532941</v>
      </c>
      <c r="H1100" s="116"/>
      <c r="I1100" s="116"/>
      <c r="L1100" s="170">
        <v>43626</v>
      </c>
      <c r="M1100" s="116">
        <v>145.37428480610299</v>
      </c>
      <c r="N1100" s="116">
        <v>150.75492689129101</v>
      </c>
      <c r="O1100" s="116">
        <v>142.51430387793999</v>
      </c>
      <c r="P1100" s="116">
        <v>147.36172917991101</v>
      </c>
      <c r="Q1100" s="116">
        <v>149.94999999999999</v>
      </c>
      <c r="R1100">
        <v>3967379</v>
      </c>
    </row>
    <row r="1101" spans="1:18" x14ac:dyDescent="0.25">
      <c r="A1101" s="170">
        <v>43627</v>
      </c>
      <c r="B1101" s="116">
        <v>149.39741322060701</v>
      </c>
      <c r="C1101" s="116">
        <v>148.81572309775001</v>
      </c>
      <c r="D1101" s="116">
        <v>144.06525376107899</v>
      </c>
      <c r="E1101" s="116">
        <v>145.422530714413</v>
      </c>
      <c r="F1101" s="116">
        <v>153.5</v>
      </c>
      <c r="G1101">
        <v>393329</v>
      </c>
      <c r="H1101" s="116"/>
      <c r="I1101" s="116"/>
      <c r="L1101" s="170">
        <v>43627</v>
      </c>
      <c r="M1101" s="116">
        <v>148.91290527654201</v>
      </c>
      <c r="N1101" s="116">
        <v>149.54307056579799</v>
      </c>
      <c r="O1101" s="116">
        <v>143.823108709472</v>
      </c>
      <c r="P1101" s="116">
        <v>144.938016528926</v>
      </c>
      <c r="Q1101" s="116">
        <v>153.6</v>
      </c>
      <c r="R1101">
        <v>3413094</v>
      </c>
    </row>
    <row r="1102" spans="1:18" x14ac:dyDescent="0.25">
      <c r="A1102" s="170">
        <v>43628</v>
      </c>
      <c r="B1102" s="116">
        <v>154.390253441802</v>
      </c>
      <c r="C1102" s="116">
        <v>148.42792968251101</v>
      </c>
      <c r="D1102" s="116">
        <v>146.101169191081</v>
      </c>
      <c r="E1102" s="116">
        <v>149.300464866798</v>
      </c>
      <c r="F1102" s="116">
        <v>153.1</v>
      </c>
      <c r="G1102">
        <v>856859</v>
      </c>
      <c r="H1102" s="116"/>
      <c r="I1102" s="116"/>
      <c r="L1102" s="170">
        <v>43628</v>
      </c>
      <c r="M1102" s="116">
        <v>148.52511125238399</v>
      </c>
      <c r="N1102" s="116">
        <v>154.48744437380799</v>
      </c>
      <c r="O1102" s="116">
        <v>145.955975842339</v>
      </c>
      <c r="P1102" s="116">
        <v>149.30069930069899</v>
      </c>
      <c r="Q1102" s="116">
        <v>153.19999999999999</v>
      </c>
      <c r="R1102">
        <v>7477081</v>
      </c>
    </row>
    <row r="1103" spans="1:18" x14ac:dyDescent="0.25">
      <c r="A1103" s="170">
        <v>43629</v>
      </c>
      <c r="B1103" s="116">
        <v>153.22687319608701</v>
      </c>
      <c r="C1103" s="116">
        <v>148.37945550560701</v>
      </c>
      <c r="D1103" s="116">
        <v>144.453047176317</v>
      </c>
      <c r="E1103" s="116">
        <v>151.14248358917999</v>
      </c>
      <c r="F1103" s="116">
        <v>153.05000000000001</v>
      </c>
      <c r="G1103">
        <v>741357</v>
      </c>
      <c r="H1103" s="116"/>
      <c r="I1103" s="116"/>
      <c r="L1103" s="170">
        <v>43629</v>
      </c>
      <c r="M1103" s="116">
        <v>148.42816274634501</v>
      </c>
      <c r="N1103" s="116">
        <v>154.00270184361099</v>
      </c>
      <c r="O1103" s="116">
        <v>144.453273998729</v>
      </c>
      <c r="P1103" s="116">
        <v>148.52511125238399</v>
      </c>
      <c r="Q1103" s="116">
        <v>153.1</v>
      </c>
      <c r="R1103">
        <v>7968656</v>
      </c>
    </row>
    <row r="1104" spans="1:18" x14ac:dyDescent="0.25">
      <c r="A1104" s="170">
        <v>43630</v>
      </c>
      <c r="B1104" s="116">
        <v>151.67569953513299</v>
      </c>
      <c r="C1104" s="116">
        <v>147.50692032132</v>
      </c>
      <c r="D1104" s="116">
        <v>146.58591096012901</v>
      </c>
      <c r="E1104" s="116">
        <v>151.67569953513299</v>
      </c>
      <c r="F1104" s="116">
        <v>152.15</v>
      </c>
      <c r="G1104">
        <v>600236</v>
      </c>
      <c r="H1104" s="116"/>
      <c r="I1104" s="116"/>
      <c r="L1104" s="170">
        <v>43630</v>
      </c>
      <c r="M1104" s="116">
        <v>147.797997457088</v>
      </c>
      <c r="N1104" s="116">
        <v>151.239669421488</v>
      </c>
      <c r="O1104" s="116">
        <v>146.92546090273399</v>
      </c>
      <c r="P1104" s="116">
        <v>151.239669421488</v>
      </c>
      <c r="Q1104" s="116">
        <v>152.44999999999999</v>
      </c>
      <c r="R1104">
        <v>6589668</v>
      </c>
    </row>
    <row r="1105" spans="1:18" x14ac:dyDescent="0.25">
      <c r="A1105" s="170">
        <v>43633</v>
      </c>
      <c r="B1105" s="116">
        <v>149.300464866798</v>
      </c>
      <c r="C1105" s="116">
        <v>143.24119275369699</v>
      </c>
      <c r="D1105" s="116">
        <v>142.32018339250601</v>
      </c>
      <c r="E1105" s="116">
        <v>148.23403297489199</v>
      </c>
      <c r="F1105" s="116">
        <v>147.75</v>
      </c>
      <c r="G1105">
        <v>481401</v>
      </c>
      <c r="H1105" s="116"/>
      <c r="I1105" s="116"/>
      <c r="L1105" s="170">
        <v>43633</v>
      </c>
      <c r="M1105" s="116">
        <v>143.386840432295</v>
      </c>
      <c r="N1105" s="116">
        <v>149.25222504768001</v>
      </c>
      <c r="O1105" s="116">
        <v>142.75667514303899</v>
      </c>
      <c r="P1105" s="116">
        <v>148.331214240305</v>
      </c>
      <c r="Q1105" s="116">
        <v>147.9</v>
      </c>
      <c r="R1105">
        <v>3470303</v>
      </c>
    </row>
    <row r="1106" spans="1:18" x14ac:dyDescent="0.25">
      <c r="A1106" s="170">
        <v>43634</v>
      </c>
      <c r="B1106" s="116">
        <v>144.25915046869801</v>
      </c>
      <c r="C1106" s="116">
        <v>143.338141107507</v>
      </c>
      <c r="D1106" s="116">
        <v>139.70257783964601</v>
      </c>
      <c r="E1106" s="116">
        <v>143.28966693060201</v>
      </c>
      <c r="F1106" s="116">
        <v>147.85</v>
      </c>
      <c r="G1106">
        <v>580014</v>
      </c>
      <c r="H1106" s="116"/>
      <c r="I1106" s="116"/>
      <c r="L1106" s="170">
        <v>43634</v>
      </c>
      <c r="M1106" s="116">
        <v>143.43531468531501</v>
      </c>
      <c r="N1106" s="116">
        <v>144.30785123966899</v>
      </c>
      <c r="O1106" s="116">
        <v>139.60584869675799</v>
      </c>
      <c r="P1106" s="116">
        <v>142.853623649078</v>
      </c>
      <c r="Q1106" s="116">
        <v>147.94999999999999</v>
      </c>
      <c r="R1106">
        <v>5764444</v>
      </c>
    </row>
    <row r="1107" spans="1:18" x14ac:dyDescent="0.25">
      <c r="A1107" s="170">
        <v>43635</v>
      </c>
      <c r="B1107" s="116">
        <v>145.131685652985</v>
      </c>
      <c r="C1107" s="116">
        <v>138.490723417026</v>
      </c>
      <c r="D1107" s="116">
        <v>136.40633381012</v>
      </c>
      <c r="E1107" s="116">
        <v>144.453047176317</v>
      </c>
      <c r="F1107" s="116">
        <v>142.85</v>
      </c>
      <c r="G1107">
        <v>623394</v>
      </c>
      <c r="H1107" s="116"/>
      <c r="I1107" s="116"/>
      <c r="L1107" s="170">
        <v>43635</v>
      </c>
      <c r="M1107" s="116">
        <v>138.442466624285</v>
      </c>
      <c r="N1107" s="116">
        <v>145.180387794024</v>
      </c>
      <c r="O1107" s="116">
        <v>136.309599491418</v>
      </c>
      <c r="P1107" s="116">
        <v>143.920057215512</v>
      </c>
      <c r="Q1107" s="116">
        <v>142.80000000000001</v>
      </c>
      <c r="R1107">
        <v>4744374</v>
      </c>
    </row>
    <row r="1108" spans="1:18" x14ac:dyDescent="0.25">
      <c r="A1108" s="170">
        <v>43636</v>
      </c>
      <c r="B1108" s="116">
        <v>144.93778894536501</v>
      </c>
      <c r="C1108" s="116">
        <v>144.162202114888</v>
      </c>
      <c r="D1108" s="116">
        <v>136.163962925596</v>
      </c>
      <c r="E1108" s="116">
        <v>139.41173277821801</v>
      </c>
      <c r="F1108" s="116">
        <v>148.69999999999999</v>
      </c>
      <c r="G1108">
        <v>624592</v>
      </c>
      <c r="H1108" s="116"/>
      <c r="I1108" s="116"/>
      <c r="L1108" s="170">
        <v>43636</v>
      </c>
      <c r="M1108" s="116">
        <v>143.920057215512</v>
      </c>
      <c r="N1108" s="116">
        <v>145.131913541004</v>
      </c>
      <c r="O1108" s="116">
        <v>136.067228226319</v>
      </c>
      <c r="P1108" s="116">
        <v>137.95772409408801</v>
      </c>
      <c r="Q1108" s="116">
        <v>148.44999999999999</v>
      </c>
      <c r="R1108">
        <v>4477064</v>
      </c>
    </row>
    <row r="1109" spans="1:18" x14ac:dyDescent="0.25">
      <c r="A1109" s="170">
        <v>43637</v>
      </c>
      <c r="B1109" s="116">
        <v>147.40997196750999</v>
      </c>
      <c r="C1109" s="116">
        <v>142.41713174631599</v>
      </c>
      <c r="D1109" s="116">
        <v>140.720535554647</v>
      </c>
      <c r="E1109" s="116">
        <v>140.720535554647</v>
      </c>
      <c r="F1109" s="116">
        <v>146.9</v>
      </c>
      <c r="G1109">
        <v>385210</v>
      </c>
      <c r="H1109" s="116"/>
      <c r="I1109" s="116"/>
      <c r="L1109" s="170">
        <v>43637</v>
      </c>
      <c r="M1109" s="116">
        <v>142.320406865861</v>
      </c>
      <c r="N1109" s="116">
        <v>147.36172917991101</v>
      </c>
      <c r="O1109" s="116">
        <v>141.496344564526</v>
      </c>
      <c r="P1109" s="116">
        <v>142.51430387793999</v>
      </c>
      <c r="Q1109" s="116">
        <v>146.80000000000001</v>
      </c>
      <c r="R1109">
        <v>4673136</v>
      </c>
    </row>
    <row r="1110" spans="1:18" x14ac:dyDescent="0.25">
      <c r="A1110" s="170">
        <v>43640</v>
      </c>
      <c r="B1110" s="116">
        <v>144.21067629179299</v>
      </c>
      <c r="C1110" s="116">
        <v>143.047296046078</v>
      </c>
      <c r="D1110" s="116">
        <v>139.12088771678901</v>
      </c>
      <c r="E1110" s="116">
        <v>139.12088771678901</v>
      </c>
      <c r="F1110" s="116">
        <v>147.55000000000001</v>
      </c>
      <c r="G1110">
        <v>289370</v>
      </c>
      <c r="H1110" s="116"/>
      <c r="I1110" s="116"/>
      <c r="L1110" s="170">
        <v>43640</v>
      </c>
      <c r="M1110" s="116">
        <v>143.24141767323599</v>
      </c>
      <c r="N1110" s="116">
        <v>144.25937698665001</v>
      </c>
      <c r="O1110" s="116">
        <v>140.187539732994</v>
      </c>
      <c r="P1110" s="116">
        <v>141.44787031150699</v>
      </c>
      <c r="Q1110" s="116">
        <v>147.75</v>
      </c>
      <c r="R1110">
        <v>3240654</v>
      </c>
    </row>
    <row r="1111" spans="1:18" x14ac:dyDescent="0.25">
      <c r="A1111" s="170">
        <v>43641</v>
      </c>
      <c r="B1111" s="116">
        <v>147.16760108298601</v>
      </c>
      <c r="C1111" s="116">
        <v>146.246591721795</v>
      </c>
      <c r="D1111" s="116">
        <v>140.52663884702801</v>
      </c>
      <c r="E1111" s="116">
        <v>142.02933833107701</v>
      </c>
      <c r="F1111" s="116">
        <v>150.85</v>
      </c>
      <c r="G1111">
        <v>456571</v>
      </c>
      <c r="H1111" s="116"/>
      <c r="I1111" s="116"/>
      <c r="L1111" s="170">
        <v>43641</v>
      </c>
      <c r="M1111" s="116">
        <v>146.246821360458</v>
      </c>
      <c r="N1111" s="116">
        <v>147.31325492689101</v>
      </c>
      <c r="O1111" s="116">
        <v>140.42991099809299</v>
      </c>
      <c r="P1111" s="116">
        <v>142.029561347743</v>
      </c>
      <c r="Q1111" s="116">
        <v>150.85</v>
      </c>
      <c r="R1111">
        <v>4920288</v>
      </c>
    </row>
    <row r="1112" spans="1:18" x14ac:dyDescent="0.25">
      <c r="A1112" s="170">
        <v>43642</v>
      </c>
      <c r="B1112" s="116">
        <v>150.36689675870301</v>
      </c>
      <c r="C1112" s="116">
        <v>148.81572309775001</v>
      </c>
      <c r="D1112" s="116">
        <v>143.483563638221</v>
      </c>
      <c r="E1112" s="116">
        <v>143.483563638221</v>
      </c>
      <c r="F1112" s="116">
        <v>153.5</v>
      </c>
      <c r="G1112">
        <v>490215</v>
      </c>
      <c r="H1112" s="116"/>
      <c r="I1112" s="116"/>
      <c r="L1112" s="170">
        <v>43642</v>
      </c>
      <c r="M1112" s="116">
        <v>149.10680228862</v>
      </c>
      <c r="N1112" s="116">
        <v>150.56102987921199</v>
      </c>
      <c r="O1112" s="116">
        <v>143.96853146853101</v>
      </c>
      <c r="P1112" s="116">
        <v>145.422759059123</v>
      </c>
      <c r="Q1112" s="116">
        <v>153.80000000000001</v>
      </c>
      <c r="R1112">
        <v>4779891</v>
      </c>
    </row>
    <row r="1113" spans="1:18" x14ac:dyDescent="0.25">
      <c r="A1113" s="170">
        <v>43643</v>
      </c>
      <c r="B1113" s="116">
        <v>150.269948404894</v>
      </c>
      <c r="C1113" s="116">
        <v>148.23403297489199</v>
      </c>
      <c r="D1113" s="116">
        <v>146.925230198462</v>
      </c>
      <c r="E1113" s="116">
        <v>148.08861044417799</v>
      </c>
      <c r="F1113" s="116">
        <v>152.9</v>
      </c>
      <c r="G1113">
        <v>303516</v>
      </c>
      <c r="H1113" s="116"/>
      <c r="I1113" s="116"/>
      <c r="L1113" s="170">
        <v>43643</v>
      </c>
      <c r="M1113" s="116">
        <v>148.18579148124601</v>
      </c>
      <c r="N1113" s="116">
        <v>150.22171010807401</v>
      </c>
      <c r="O1113" s="116">
        <v>146.87698664971401</v>
      </c>
      <c r="P1113" s="116">
        <v>147.65257469802901</v>
      </c>
      <c r="Q1113" s="116">
        <v>152.85</v>
      </c>
      <c r="R1113">
        <v>2858423</v>
      </c>
    </row>
    <row r="1114" spans="1:18" x14ac:dyDescent="0.25">
      <c r="A1114" s="170">
        <v>43644</v>
      </c>
      <c r="B1114" s="116">
        <v>151.481802827514</v>
      </c>
      <c r="C1114" s="116">
        <v>145.85879830655699</v>
      </c>
      <c r="D1114" s="116">
        <v>145.22863400679401</v>
      </c>
      <c r="E1114" s="116">
        <v>148.28250715179701</v>
      </c>
      <c r="F1114" s="116">
        <v>150.44999999999999</v>
      </c>
      <c r="G1114">
        <v>530643</v>
      </c>
      <c r="H1114" s="116"/>
      <c r="I1114" s="116"/>
      <c r="L1114" s="170">
        <v>43644</v>
      </c>
      <c r="M1114" s="116">
        <v>145.90750158931999</v>
      </c>
      <c r="N1114" s="116">
        <v>151.53051493960601</v>
      </c>
      <c r="O1114" s="116">
        <v>145.228862047044</v>
      </c>
      <c r="P1114" s="116">
        <v>147.84647171010801</v>
      </c>
      <c r="Q1114" s="116">
        <v>150.5</v>
      </c>
      <c r="R1114">
        <v>4642404</v>
      </c>
    </row>
    <row r="1115" spans="1:18" x14ac:dyDescent="0.25">
      <c r="A1115" s="170">
        <v>43647</v>
      </c>
      <c r="B1115" s="116">
        <v>150.657741820132</v>
      </c>
      <c r="C1115" s="116">
        <v>149.445887397512</v>
      </c>
      <c r="D1115" s="116">
        <v>143.53203781512599</v>
      </c>
      <c r="E1115" s="116">
        <v>145.90727248346101</v>
      </c>
      <c r="F1115" s="116">
        <v>154.15</v>
      </c>
      <c r="G1115">
        <v>551880</v>
      </c>
      <c r="H1115" s="116"/>
      <c r="I1115" s="116"/>
      <c r="L1115" s="170">
        <v>43647</v>
      </c>
      <c r="M1115" s="116">
        <v>149.397647806739</v>
      </c>
      <c r="N1115" s="116">
        <v>150.85187539732999</v>
      </c>
      <c r="O1115" s="116">
        <v>143.53226319135399</v>
      </c>
      <c r="P1115" s="116">
        <v>146.05292434837901</v>
      </c>
      <c r="Q1115" s="116">
        <v>154.1</v>
      </c>
      <c r="R1115">
        <v>6182608</v>
      </c>
    </row>
    <row r="1116" spans="1:18" x14ac:dyDescent="0.25">
      <c r="A1116" s="170">
        <v>43648</v>
      </c>
      <c r="B1116" s="116">
        <v>153.32382154989699</v>
      </c>
      <c r="C1116" s="116">
        <v>149.93062916656001</v>
      </c>
      <c r="D1116" s="116">
        <v>146.97370437536699</v>
      </c>
      <c r="E1116" s="116">
        <v>149.78520663584601</v>
      </c>
      <c r="F1116" s="116">
        <v>154.65</v>
      </c>
      <c r="G1116">
        <v>966710</v>
      </c>
      <c r="H1116" s="116"/>
      <c r="I1116" s="116"/>
      <c r="L1116" s="170">
        <v>43648</v>
      </c>
      <c r="M1116" s="116">
        <v>149.97933884297501</v>
      </c>
      <c r="N1116" s="116">
        <v>153.37253655435501</v>
      </c>
      <c r="O1116" s="116">
        <v>146.78003814367401</v>
      </c>
      <c r="P1116" s="116">
        <v>150.173235855054</v>
      </c>
      <c r="Q1116" s="116">
        <v>154.69999999999999</v>
      </c>
      <c r="R1116">
        <v>11741576</v>
      </c>
    </row>
    <row r="1117" spans="1:18" x14ac:dyDescent="0.25">
      <c r="A1117" s="170">
        <v>43649</v>
      </c>
      <c r="B1117" s="116">
        <v>152.69365725013401</v>
      </c>
      <c r="C1117" s="116">
        <v>150.75469017394201</v>
      </c>
      <c r="D1117" s="116">
        <v>149.59130992822699</v>
      </c>
      <c r="E1117" s="116">
        <v>151.23943194299</v>
      </c>
      <c r="F1117" s="116">
        <v>155.5</v>
      </c>
      <c r="G1117">
        <v>418783</v>
      </c>
      <c r="H1117" s="116"/>
      <c r="I1117" s="116"/>
      <c r="L1117" s="170">
        <v>43649</v>
      </c>
      <c r="M1117" s="116">
        <v>150.85187539732999</v>
      </c>
      <c r="N1117" s="116">
        <v>152.790845518118</v>
      </c>
      <c r="O1117" s="116">
        <v>149.49459631277799</v>
      </c>
      <c r="P1117" s="116">
        <v>151.62746344564499</v>
      </c>
      <c r="Q1117" s="116">
        <v>155.6</v>
      </c>
      <c r="R1117">
        <v>5661251</v>
      </c>
    </row>
    <row r="1118" spans="1:18" x14ac:dyDescent="0.25">
      <c r="A1118" s="170">
        <v>43650</v>
      </c>
      <c r="B1118" s="116">
        <v>156.81396228704199</v>
      </c>
      <c r="C1118" s="116">
        <v>151.19095776608501</v>
      </c>
      <c r="D1118" s="116">
        <v>149.49436157441701</v>
      </c>
      <c r="E1118" s="116">
        <v>155.89295292585101</v>
      </c>
      <c r="F1118" s="116">
        <v>155.94999999999999</v>
      </c>
      <c r="G1118">
        <v>1331369</v>
      </c>
      <c r="H1118" s="116"/>
      <c r="I1118" s="116"/>
      <c r="L1118" s="170">
        <v>43650</v>
      </c>
      <c r="M1118" s="116">
        <v>151.33661792752699</v>
      </c>
      <c r="N1118" s="116">
        <v>156.86268277177399</v>
      </c>
      <c r="O1118" s="116">
        <v>149.59154481881799</v>
      </c>
      <c r="P1118" s="116">
        <v>155.21455816910401</v>
      </c>
      <c r="Q1118" s="116">
        <v>156.1</v>
      </c>
      <c r="R1118">
        <v>15687573</v>
      </c>
    </row>
    <row r="1119" spans="1:18" x14ac:dyDescent="0.25">
      <c r="A1119" s="170">
        <v>43651</v>
      </c>
      <c r="B1119" s="116">
        <v>151.96654459656199</v>
      </c>
      <c r="C1119" s="116">
        <v>143.047296046078</v>
      </c>
      <c r="D1119" s="116">
        <v>141.399174031315</v>
      </c>
      <c r="E1119" s="116">
        <v>151.918070419657</v>
      </c>
      <c r="F1119" s="116">
        <v>147.55000000000001</v>
      </c>
      <c r="G1119">
        <v>772546</v>
      </c>
      <c r="H1119" s="116"/>
      <c r="I1119" s="116"/>
      <c r="L1119" s="170">
        <v>43651</v>
      </c>
      <c r="M1119" s="116">
        <v>142.805149396058</v>
      </c>
      <c r="N1119" s="116">
        <v>152.06373172282301</v>
      </c>
      <c r="O1119" s="116">
        <v>141.39939605848701</v>
      </c>
      <c r="P1119" s="116">
        <v>151.53051493960601</v>
      </c>
      <c r="Q1119" s="116">
        <v>147.30000000000001</v>
      </c>
      <c r="R1119">
        <v>6607087</v>
      </c>
    </row>
    <row r="1120" spans="1:18" x14ac:dyDescent="0.25">
      <c r="A1120" s="170">
        <v>43654</v>
      </c>
      <c r="B1120" s="116">
        <v>141.73849326964799</v>
      </c>
      <c r="C1120" s="116">
        <v>134.85516014916601</v>
      </c>
      <c r="D1120" s="116">
        <v>133.69177990345099</v>
      </c>
      <c r="E1120" s="116">
        <v>139.99342290107501</v>
      </c>
      <c r="F1120" s="116">
        <v>139.1</v>
      </c>
      <c r="G1120">
        <v>572005</v>
      </c>
      <c r="H1120" s="116"/>
      <c r="I1120" s="116"/>
      <c r="L1120" s="170">
        <v>43654</v>
      </c>
      <c r="M1120" s="116">
        <v>134.66147488874799</v>
      </c>
      <c r="N1120" s="116">
        <v>141.787190082645</v>
      </c>
      <c r="O1120" s="116">
        <v>133.35267005721599</v>
      </c>
      <c r="P1120" s="116">
        <v>138.878734901462</v>
      </c>
      <c r="Q1120" s="116">
        <v>138.9</v>
      </c>
      <c r="R1120">
        <v>5896584</v>
      </c>
    </row>
    <row r="1121" spans="1:18" x14ac:dyDescent="0.25">
      <c r="A1121" s="170">
        <v>43655</v>
      </c>
      <c r="B1121" s="116">
        <v>138.781568478455</v>
      </c>
      <c r="C1121" s="116">
        <v>136.74565304845299</v>
      </c>
      <c r="D1121" s="116">
        <v>131.75281282725899</v>
      </c>
      <c r="E1121" s="116">
        <v>134.66126344154699</v>
      </c>
      <c r="F1121" s="116">
        <v>141.05000000000001</v>
      </c>
      <c r="G1121">
        <v>857973</v>
      </c>
      <c r="H1121" s="116"/>
      <c r="I1121" s="116"/>
      <c r="L1121" s="170">
        <v>43655</v>
      </c>
      <c r="M1121" s="116">
        <v>136.842816274634</v>
      </c>
      <c r="N1121" s="116">
        <v>138.83026064844199</v>
      </c>
      <c r="O1121" s="116">
        <v>131.607596948506</v>
      </c>
      <c r="P1121" s="116">
        <v>133.83741258741301</v>
      </c>
      <c r="Q1121" s="116">
        <v>141.15</v>
      </c>
      <c r="R1121">
        <v>7317997</v>
      </c>
    </row>
    <row r="1122" spans="1:18" x14ac:dyDescent="0.25">
      <c r="A1122" s="170">
        <v>43656</v>
      </c>
      <c r="B1122" s="116">
        <v>138.15140417869301</v>
      </c>
      <c r="C1122" s="116">
        <v>135.14600521059501</v>
      </c>
      <c r="D1122" s="116">
        <v>133.20703813440301</v>
      </c>
      <c r="E1122" s="116">
        <v>137.56971405583499</v>
      </c>
      <c r="F1122" s="116">
        <v>139.4</v>
      </c>
      <c r="G1122">
        <v>514216</v>
      </c>
      <c r="H1122" s="116"/>
      <c r="I1122" s="116"/>
      <c r="L1122" s="170">
        <v>43656</v>
      </c>
      <c r="M1122" s="116">
        <v>135.09774316592501</v>
      </c>
      <c r="N1122" s="116">
        <v>138.151621106167</v>
      </c>
      <c r="O1122" s="116">
        <v>133.06182453909699</v>
      </c>
      <c r="P1122" s="116">
        <v>137.66687857596901</v>
      </c>
      <c r="Q1122" s="116">
        <v>139.35</v>
      </c>
      <c r="R1122">
        <v>5548654</v>
      </c>
    </row>
    <row r="1123" spans="1:18" x14ac:dyDescent="0.25">
      <c r="A1123" s="170">
        <v>43657</v>
      </c>
      <c r="B1123" s="116">
        <v>137.42429152512099</v>
      </c>
      <c r="C1123" s="116">
        <v>136.697178871549</v>
      </c>
      <c r="D1123" s="116">
        <v>133.400934842022</v>
      </c>
      <c r="E1123" s="116">
        <v>136.60023051773899</v>
      </c>
      <c r="F1123" s="116">
        <v>141</v>
      </c>
      <c r="G1123">
        <v>581396</v>
      </c>
      <c r="H1123" s="116"/>
      <c r="I1123" s="116"/>
      <c r="L1123" s="170">
        <v>43657</v>
      </c>
      <c r="M1123" s="116">
        <v>136.69739351557499</v>
      </c>
      <c r="N1123" s="116">
        <v>137.52145581690999</v>
      </c>
      <c r="O1123" s="116">
        <v>133.30419580419601</v>
      </c>
      <c r="P1123" s="116">
        <v>136.21265098537799</v>
      </c>
      <c r="Q1123" s="116">
        <v>141</v>
      </c>
      <c r="R1123">
        <v>5098558</v>
      </c>
    </row>
    <row r="1124" spans="1:18" x14ac:dyDescent="0.25">
      <c r="A1124" s="170">
        <v>43658</v>
      </c>
      <c r="B1124" s="116">
        <v>138.97546518607399</v>
      </c>
      <c r="C1124" s="116">
        <v>136.018540394881</v>
      </c>
      <c r="D1124" s="116">
        <v>133.74025408035601</v>
      </c>
      <c r="E1124" s="116">
        <v>136.89107557916799</v>
      </c>
      <c r="F1124" s="116">
        <v>140.30000000000001</v>
      </c>
      <c r="G1124">
        <v>672806</v>
      </c>
      <c r="H1124" s="116"/>
      <c r="I1124" s="116"/>
      <c r="L1124" s="170">
        <v>43658</v>
      </c>
      <c r="M1124" s="116">
        <v>136.018753973299</v>
      </c>
      <c r="N1124" s="116">
        <v>139.07263191354099</v>
      </c>
      <c r="O1124" s="116">
        <v>133.59504132231399</v>
      </c>
      <c r="P1124" s="116">
        <v>136.69739351557499</v>
      </c>
      <c r="Q1124" s="116">
        <v>140.30000000000001</v>
      </c>
      <c r="R1124">
        <v>6678610</v>
      </c>
    </row>
    <row r="1125" spans="1:18" x14ac:dyDescent="0.25">
      <c r="A1125" s="170">
        <v>43661</v>
      </c>
      <c r="B1125" s="116">
        <v>137.18192064059701</v>
      </c>
      <c r="C1125" s="116">
        <v>133.74025408035601</v>
      </c>
      <c r="D1125" s="116">
        <v>132.04365788868699</v>
      </c>
      <c r="E1125" s="116">
        <v>136.60023051773899</v>
      </c>
      <c r="F1125" s="116">
        <v>137.94999999999999</v>
      </c>
      <c r="G1125">
        <v>558880</v>
      </c>
      <c r="H1125" s="116"/>
      <c r="I1125" s="116"/>
      <c r="L1125" s="170">
        <v>43661</v>
      </c>
      <c r="M1125" s="116">
        <v>133.74046408137301</v>
      </c>
      <c r="N1125" s="116">
        <v>137.376033057851</v>
      </c>
      <c r="O1125" s="116">
        <v>131.94691671964401</v>
      </c>
      <c r="P1125" s="116">
        <v>136.69739351557499</v>
      </c>
      <c r="Q1125" s="116">
        <v>137.94999999999999</v>
      </c>
      <c r="R1125">
        <v>4491271</v>
      </c>
    </row>
    <row r="1126" spans="1:18" x14ac:dyDescent="0.25">
      <c r="A1126" s="170">
        <v>43662</v>
      </c>
      <c r="B1126" s="116">
        <v>136.50328216392899</v>
      </c>
      <c r="C1126" s="116">
        <v>135.873117864167</v>
      </c>
      <c r="D1126" s="116">
        <v>132.52839965773501</v>
      </c>
      <c r="E1126" s="116">
        <v>133.35246066511701</v>
      </c>
      <c r="F1126" s="116">
        <v>140.15</v>
      </c>
      <c r="G1126">
        <v>704432</v>
      </c>
      <c r="H1126" s="116"/>
      <c r="I1126" s="116"/>
      <c r="L1126" s="170">
        <v>43662</v>
      </c>
      <c r="M1126" s="116">
        <v>135.87333121424001</v>
      </c>
      <c r="N1126" s="116">
        <v>136.64891926255601</v>
      </c>
      <c r="O1126" s="116">
        <v>132.431659249841</v>
      </c>
      <c r="P1126" s="116">
        <v>133.691989828353</v>
      </c>
      <c r="Q1126" s="116">
        <v>140.15</v>
      </c>
      <c r="R1126">
        <v>4954078</v>
      </c>
    </row>
    <row r="1127" spans="1:18" x14ac:dyDescent="0.25">
      <c r="A1127" s="170">
        <v>43663</v>
      </c>
      <c r="B1127" s="116">
        <v>136.697178871549</v>
      </c>
      <c r="C1127" s="116">
        <v>133.78872825726</v>
      </c>
      <c r="D1127" s="116">
        <v>132.86771889606899</v>
      </c>
      <c r="E1127" s="116">
        <v>135.727695333453</v>
      </c>
      <c r="F1127" s="116">
        <v>138</v>
      </c>
      <c r="G1127">
        <v>449285</v>
      </c>
      <c r="H1127" s="116"/>
      <c r="I1127" s="116"/>
      <c r="L1127" s="170">
        <v>43663</v>
      </c>
      <c r="M1127" s="116">
        <v>133.83741258741301</v>
      </c>
      <c r="N1127" s="116">
        <v>136.69739351557499</v>
      </c>
      <c r="O1127" s="116">
        <v>132.81945327399899</v>
      </c>
      <c r="P1127" s="116">
        <v>135.92180546725999</v>
      </c>
      <c r="Q1127" s="116">
        <v>138.05000000000001</v>
      </c>
      <c r="R1127">
        <v>3984405</v>
      </c>
    </row>
    <row r="1128" spans="1:18" x14ac:dyDescent="0.25">
      <c r="A1128" s="170">
        <v>43664</v>
      </c>
      <c r="B1128" s="116">
        <v>133.69177990345099</v>
      </c>
      <c r="C1128" s="116">
        <v>130.05621663559</v>
      </c>
      <c r="D1128" s="116">
        <v>129.32910398201801</v>
      </c>
      <c r="E1128" s="116">
        <v>133.255512311307</v>
      </c>
      <c r="F1128" s="116">
        <v>134.15</v>
      </c>
      <c r="G1128">
        <v>495226</v>
      </c>
      <c r="H1128" s="116"/>
      <c r="I1128" s="116"/>
      <c r="L1128" s="170">
        <v>43664</v>
      </c>
      <c r="M1128" s="116">
        <v>130.10489510489501</v>
      </c>
      <c r="N1128" s="116">
        <v>133.74046408137301</v>
      </c>
      <c r="O1128" s="116">
        <v>129.28083280356</v>
      </c>
      <c r="P1128" s="116">
        <v>133.498092816275</v>
      </c>
      <c r="Q1128" s="116">
        <v>134.19999999999999</v>
      </c>
      <c r="R1128">
        <v>4247055</v>
      </c>
    </row>
    <row r="1129" spans="1:18" x14ac:dyDescent="0.25">
      <c r="A1129" s="170">
        <v>43665</v>
      </c>
      <c r="B1129" s="116">
        <v>131.171122704401</v>
      </c>
      <c r="C1129" s="116">
        <v>127.19624019820699</v>
      </c>
      <c r="D1129" s="116">
        <v>126.275230837016</v>
      </c>
      <c r="E1129" s="116">
        <v>130.83180346606699</v>
      </c>
      <c r="F1129" s="116">
        <v>131.19999999999999</v>
      </c>
      <c r="G1129">
        <v>565055</v>
      </c>
      <c r="H1129" s="116"/>
      <c r="I1129" s="116"/>
      <c r="L1129" s="170">
        <v>43665</v>
      </c>
      <c r="M1129" s="116">
        <v>127.390336935791</v>
      </c>
      <c r="N1129" s="116">
        <v>131.074380165289</v>
      </c>
      <c r="O1129" s="116">
        <v>126.32390336935801</v>
      </c>
      <c r="P1129" s="116">
        <v>130.15336935791501</v>
      </c>
      <c r="Q1129" s="116">
        <v>131.4</v>
      </c>
      <c r="R1129">
        <v>4256095</v>
      </c>
    </row>
    <row r="1130" spans="1:18" x14ac:dyDescent="0.25">
      <c r="A1130" s="170">
        <v>43668</v>
      </c>
      <c r="B1130" s="116">
        <v>130.15316498940001</v>
      </c>
      <c r="C1130" s="116">
        <v>127.487085259636</v>
      </c>
      <c r="D1130" s="116">
        <v>125.063376414396</v>
      </c>
      <c r="E1130" s="116">
        <v>127.63250779035</v>
      </c>
      <c r="F1130" s="116">
        <v>131.5</v>
      </c>
      <c r="G1130">
        <v>543885</v>
      </c>
      <c r="H1130" s="116"/>
      <c r="I1130" s="116"/>
      <c r="L1130" s="170">
        <v>43668</v>
      </c>
      <c r="M1130" s="116">
        <v>127.63270820088999</v>
      </c>
      <c r="N1130" s="116">
        <v>130.10489510489501</v>
      </c>
      <c r="O1130" s="116">
        <v>124.772727272727</v>
      </c>
      <c r="P1130" s="116">
        <v>126.760171646535</v>
      </c>
      <c r="Q1130" s="116">
        <v>131.65</v>
      </c>
      <c r="R1130">
        <v>5467444</v>
      </c>
    </row>
    <row r="1131" spans="1:18" x14ac:dyDescent="0.25">
      <c r="A1131" s="170">
        <v>43669</v>
      </c>
      <c r="B1131" s="116">
        <v>131.75281282725899</v>
      </c>
      <c r="C1131" s="116">
        <v>129.86231992797099</v>
      </c>
      <c r="D1131" s="116">
        <v>126.759972606064</v>
      </c>
      <c r="E1131" s="116">
        <v>127.971827028684</v>
      </c>
      <c r="F1131" s="116">
        <v>133.94999999999999</v>
      </c>
      <c r="G1131">
        <v>467629</v>
      </c>
      <c r="H1131" s="116"/>
      <c r="I1131" s="116"/>
      <c r="L1131" s="170">
        <v>43669</v>
      </c>
      <c r="M1131" s="116">
        <v>129.95947234583599</v>
      </c>
      <c r="N1131" s="116">
        <v>131.80149396058499</v>
      </c>
      <c r="O1131" s="116">
        <v>126.760171646535</v>
      </c>
      <c r="P1131" s="116">
        <v>127.438811188811</v>
      </c>
      <c r="Q1131" s="116">
        <v>134.05000000000001</v>
      </c>
      <c r="R1131">
        <v>5753483</v>
      </c>
    </row>
    <row r="1132" spans="1:18" x14ac:dyDescent="0.25">
      <c r="A1132" s="170">
        <v>43670</v>
      </c>
      <c r="B1132" s="116">
        <v>129.813845751066</v>
      </c>
      <c r="C1132" s="116">
        <v>125.984385775587</v>
      </c>
      <c r="D1132" s="116">
        <v>123.99694452249</v>
      </c>
      <c r="E1132" s="116">
        <v>129.813845751066</v>
      </c>
      <c r="F1132" s="116">
        <v>129.94999999999999</v>
      </c>
      <c r="G1132">
        <v>657563</v>
      </c>
      <c r="H1132" s="116"/>
      <c r="I1132" s="116"/>
      <c r="L1132" s="170">
        <v>43670</v>
      </c>
      <c r="M1132" s="116">
        <v>125.839160839161</v>
      </c>
      <c r="N1132" s="116">
        <v>129.91099809281599</v>
      </c>
      <c r="O1132" s="116">
        <v>123.94866497139201</v>
      </c>
      <c r="P1132" s="116">
        <v>129.37778130959899</v>
      </c>
      <c r="Q1132" s="116">
        <v>129.80000000000001</v>
      </c>
      <c r="R1132">
        <v>5403438</v>
      </c>
    </row>
    <row r="1133" spans="1:18" x14ac:dyDescent="0.25">
      <c r="A1133" s="170">
        <v>43671</v>
      </c>
      <c r="B1133" s="116">
        <v>128.84436221297</v>
      </c>
      <c r="C1133" s="116">
        <v>125.354221475824</v>
      </c>
      <c r="D1133" s="116">
        <v>123.80304781487099</v>
      </c>
      <c r="E1133" s="116">
        <v>128.84436221297</v>
      </c>
      <c r="F1133" s="116">
        <v>129.30000000000001</v>
      </c>
      <c r="G1133">
        <v>390520</v>
      </c>
      <c r="H1133" s="116"/>
      <c r="I1133" s="116"/>
      <c r="L1133" s="170">
        <v>43671</v>
      </c>
      <c r="M1133" s="116">
        <v>125.451366815003</v>
      </c>
      <c r="N1133" s="116">
        <v>127.293388429752</v>
      </c>
      <c r="O1133" s="116">
        <v>123.85171646535299</v>
      </c>
      <c r="P1133" s="116">
        <v>126.517800381437</v>
      </c>
      <c r="Q1133" s="116">
        <v>129.4</v>
      </c>
      <c r="R1133">
        <v>3977652</v>
      </c>
    </row>
    <row r="1134" spans="1:18" x14ac:dyDescent="0.25">
      <c r="A1134" s="170">
        <v>43672</v>
      </c>
      <c r="B1134" s="116">
        <v>130.05621663559</v>
      </c>
      <c r="C1134" s="116">
        <v>127.72945614416</v>
      </c>
      <c r="D1134" s="116">
        <v>124.627108822252</v>
      </c>
      <c r="E1134" s="116">
        <v>125.596592360348</v>
      </c>
      <c r="F1134" s="116">
        <v>131.75</v>
      </c>
      <c r="G1134">
        <v>418152</v>
      </c>
      <c r="H1134" s="116"/>
      <c r="I1134" s="116"/>
      <c r="L1134" s="170">
        <v>43672</v>
      </c>
      <c r="M1134" s="116">
        <v>127.826605212969</v>
      </c>
      <c r="N1134" s="116">
        <v>130.10489510489501</v>
      </c>
      <c r="O1134" s="116">
        <v>124.48188175460901</v>
      </c>
      <c r="P1134" s="116">
        <v>125.451366815003</v>
      </c>
      <c r="Q1134" s="116">
        <v>131.85</v>
      </c>
      <c r="R1134">
        <v>3632048</v>
      </c>
    </row>
    <row r="1135" spans="1:18" x14ac:dyDescent="0.25">
      <c r="A1135" s="170">
        <v>43675</v>
      </c>
      <c r="B1135" s="116">
        <v>128.45656879773199</v>
      </c>
      <c r="C1135" s="116">
        <v>125.354221475824</v>
      </c>
      <c r="D1135" s="116">
        <v>123.221357692013</v>
      </c>
      <c r="E1135" s="116">
        <v>128.45656879773199</v>
      </c>
      <c r="F1135" s="116">
        <v>129.30000000000001</v>
      </c>
      <c r="G1135">
        <v>583701</v>
      </c>
      <c r="H1135" s="116"/>
      <c r="I1135" s="116"/>
      <c r="L1135" s="170">
        <v>43675</v>
      </c>
      <c r="M1135" s="116">
        <v>125.499841068023</v>
      </c>
      <c r="N1135" s="116">
        <v>127.826605212969</v>
      </c>
      <c r="O1135" s="116">
        <v>123.22155117609699</v>
      </c>
      <c r="P1135" s="116">
        <v>127.002542911634</v>
      </c>
      <c r="Q1135" s="116">
        <v>129.44999999999999</v>
      </c>
      <c r="R1135">
        <v>4349871</v>
      </c>
    </row>
    <row r="1136" spans="1:18" x14ac:dyDescent="0.25">
      <c r="A1136" s="170">
        <v>43676</v>
      </c>
      <c r="B1136" s="116">
        <v>126.905395136778</v>
      </c>
      <c r="C1136" s="116">
        <v>121.52476150034499</v>
      </c>
      <c r="D1136" s="116">
        <v>120.07053619320099</v>
      </c>
      <c r="E1136" s="116">
        <v>124.77253135296699</v>
      </c>
      <c r="F1136" s="116">
        <v>125.35</v>
      </c>
      <c r="G1136">
        <v>423380</v>
      </c>
      <c r="H1136" s="116"/>
      <c r="I1136" s="116"/>
      <c r="L1136" s="170">
        <v>43676</v>
      </c>
      <c r="M1136" s="116">
        <v>121.524952320407</v>
      </c>
      <c r="N1136" s="116">
        <v>127.002542911634</v>
      </c>
      <c r="O1136" s="116">
        <v>120.07072472981601</v>
      </c>
      <c r="P1136" s="116">
        <v>124.09408773045099</v>
      </c>
      <c r="Q1136" s="116">
        <v>125.35</v>
      </c>
      <c r="R1136">
        <v>4167043</v>
      </c>
    </row>
    <row r="1137" spans="1:18" x14ac:dyDescent="0.25">
      <c r="A1137" s="170">
        <v>43677</v>
      </c>
      <c r="B1137" s="116">
        <v>125.25727312201499</v>
      </c>
      <c r="C1137" s="116">
        <v>124.821005529872</v>
      </c>
      <c r="D1137" s="116">
        <v>120.409855431534</v>
      </c>
      <c r="E1137" s="116">
        <v>121.37933896963</v>
      </c>
      <c r="F1137" s="116">
        <v>128.75</v>
      </c>
      <c r="G1137">
        <v>350881</v>
      </c>
      <c r="H1137" s="116"/>
      <c r="I1137" s="116"/>
      <c r="L1137" s="170">
        <v>43677</v>
      </c>
      <c r="M1137" s="116">
        <v>124.869675778767</v>
      </c>
      <c r="N1137" s="116">
        <v>125.354418308964</v>
      </c>
      <c r="O1137" s="116">
        <v>120.410044500954</v>
      </c>
      <c r="P1137" s="116">
        <v>121.185632549269</v>
      </c>
      <c r="Q1137" s="116">
        <v>128.80000000000001</v>
      </c>
      <c r="R1137">
        <v>3665392</v>
      </c>
    </row>
    <row r="1138" spans="1:18" x14ac:dyDescent="0.25">
      <c r="A1138" s="170">
        <v>43678</v>
      </c>
      <c r="B1138" s="116">
        <v>125.1118505913</v>
      </c>
      <c r="C1138" s="116">
        <v>121.52476150034499</v>
      </c>
      <c r="D1138" s="116">
        <v>119.24647518581899</v>
      </c>
      <c r="E1138" s="116">
        <v>123.99694452249</v>
      </c>
      <c r="F1138" s="116">
        <v>125.35</v>
      </c>
      <c r="G1138">
        <v>435339</v>
      </c>
      <c r="H1138" s="116"/>
      <c r="I1138" s="116"/>
      <c r="L1138" s="170">
        <v>43678</v>
      </c>
      <c r="M1138" s="116">
        <v>121.62190082644599</v>
      </c>
      <c r="N1138" s="116">
        <v>125.16052129688499</v>
      </c>
      <c r="O1138" s="116">
        <v>119.246662428481</v>
      </c>
      <c r="P1138" s="116">
        <v>124.675778766688</v>
      </c>
      <c r="Q1138" s="116">
        <v>125.45</v>
      </c>
      <c r="R1138">
        <v>4462938</v>
      </c>
    </row>
    <row r="1139" spans="1:18" x14ac:dyDescent="0.25">
      <c r="A1139" s="170">
        <v>43679</v>
      </c>
      <c r="B1139" s="116">
        <v>125.83896324487201</v>
      </c>
      <c r="C1139" s="116">
        <v>124.190841230109</v>
      </c>
      <c r="D1139" s="116">
        <v>119.634268601057</v>
      </c>
      <c r="E1139" s="116">
        <v>120.603752139154</v>
      </c>
      <c r="F1139" s="116">
        <v>128.1</v>
      </c>
      <c r="G1139">
        <v>513287</v>
      </c>
      <c r="H1139" s="116"/>
      <c r="I1139" s="116"/>
      <c r="L1139" s="170">
        <v>43679</v>
      </c>
      <c r="M1139" s="116">
        <v>124.191036236491</v>
      </c>
      <c r="N1139" s="116">
        <v>125.79068658614101</v>
      </c>
      <c r="O1139" s="116">
        <v>119.53750794659901</v>
      </c>
      <c r="P1139" s="116">
        <v>121.08868404322899</v>
      </c>
      <c r="Q1139" s="116">
        <v>128.1</v>
      </c>
      <c r="R1139">
        <v>4637509</v>
      </c>
    </row>
    <row r="1140" spans="1:18" x14ac:dyDescent="0.25">
      <c r="A1140" s="170">
        <v>43682</v>
      </c>
      <c r="B1140" s="116">
        <v>123.60915110725099</v>
      </c>
      <c r="C1140" s="116">
        <v>120.894597200582</v>
      </c>
      <c r="D1140" s="116">
        <v>117.598353171056</v>
      </c>
      <c r="E1140" s="116">
        <v>123.60915110725099</v>
      </c>
      <c r="F1140" s="116">
        <v>124.7</v>
      </c>
      <c r="G1140">
        <v>504583</v>
      </c>
      <c r="H1140" s="116"/>
      <c r="I1140" s="116"/>
      <c r="L1140" s="170">
        <v>43682</v>
      </c>
      <c r="M1140" s="116">
        <v>120.894787031151</v>
      </c>
      <c r="N1140" s="116">
        <v>122.54291163382101</v>
      </c>
      <c r="O1140" s="116">
        <v>117.453115066751</v>
      </c>
      <c r="P1140" s="116">
        <v>122.349014621742</v>
      </c>
      <c r="Q1140" s="116">
        <v>124.7</v>
      </c>
      <c r="R1140">
        <v>5259236</v>
      </c>
    </row>
    <row r="1141" spans="1:18" x14ac:dyDescent="0.25">
      <c r="A1141" s="170">
        <v>43683</v>
      </c>
      <c r="B1141" s="116">
        <v>125.451169829634</v>
      </c>
      <c r="C1141" s="116">
        <v>124.190841230109</v>
      </c>
      <c r="D1141" s="116">
        <v>120.70070049296299</v>
      </c>
      <c r="E1141" s="116">
        <v>120.70070049296299</v>
      </c>
      <c r="F1141" s="116">
        <v>128.1</v>
      </c>
      <c r="G1141">
        <v>335330</v>
      </c>
      <c r="H1141" s="116"/>
      <c r="I1141" s="116"/>
      <c r="L1141" s="170">
        <v>43683</v>
      </c>
      <c r="M1141" s="116">
        <v>124.28798474253</v>
      </c>
      <c r="N1141" s="116">
        <v>125.499841068023</v>
      </c>
      <c r="O1141" s="116">
        <v>120.216147488875</v>
      </c>
      <c r="P1141" s="116">
        <v>120.216147488875</v>
      </c>
      <c r="Q1141" s="116">
        <v>128.19999999999999</v>
      </c>
      <c r="R1141">
        <v>3899290</v>
      </c>
    </row>
    <row r="1142" spans="1:18" x14ac:dyDescent="0.25">
      <c r="A1142" s="170">
        <v>43684</v>
      </c>
      <c r="B1142" s="116">
        <v>126.22675666011099</v>
      </c>
      <c r="C1142" s="116">
        <v>121.864080738678</v>
      </c>
      <c r="D1142" s="116">
        <v>120.846123023678</v>
      </c>
      <c r="E1142" s="116">
        <v>124.578634645348</v>
      </c>
      <c r="F1142" s="116">
        <v>125.7</v>
      </c>
      <c r="G1142">
        <v>240070</v>
      </c>
      <c r="H1142" s="116"/>
      <c r="I1142" s="116"/>
      <c r="L1142" s="170">
        <v>43684</v>
      </c>
      <c r="M1142" s="116">
        <v>121.767323585505</v>
      </c>
      <c r="N1142" s="116">
        <v>126.178480610299</v>
      </c>
      <c r="O1142" s="116">
        <v>120.797838525111</v>
      </c>
      <c r="P1142" s="116">
        <v>124.28798474253</v>
      </c>
      <c r="Q1142" s="116">
        <v>125.6</v>
      </c>
      <c r="R1142">
        <v>3911797</v>
      </c>
    </row>
    <row r="1143" spans="1:18" x14ac:dyDescent="0.25">
      <c r="A1143" s="170">
        <v>43685</v>
      </c>
      <c r="B1143" s="116">
        <v>128.89283638987499</v>
      </c>
      <c r="C1143" s="116">
        <v>126.71149842915899</v>
      </c>
      <c r="D1143" s="116">
        <v>120.312907077725</v>
      </c>
      <c r="E1143" s="116">
        <v>123.12440933820299</v>
      </c>
      <c r="F1143" s="116">
        <v>130.69999999999999</v>
      </c>
      <c r="G1143">
        <v>752900</v>
      </c>
      <c r="H1143" s="116"/>
      <c r="I1143" s="116"/>
      <c r="L1143" s="170">
        <v>43685</v>
      </c>
      <c r="M1143" s="116">
        <v>126.905594405594</v>
      </c>
      <c r="N1143" s="116">
        <v>129.91099809281599</v>
      </c>
      <c r="O1143" s="116">
        <v>120.264621741894</v>
      </c>
      <c r="P1143" s="116">
        <v>122.349014621742</v>
      </c>
      <c r="Q1143" s="116">
        <v>130.9</v>
      </c>
      <c r="R1143">
        <v>7070036</v>
      </c>
    </row>
    <row r="1144" spans="1:18" x14ac:dyDescent="0.25">
      <c r="A1144" s="170">
        <v>43686</v>
      </c>
      <c r="B1144" s="116">
        <v>131.46196776583</v>
      </c>
      <c r="C1144" s="116">
        <v>128.408094620827</v>
      </c>
      <c r="D1144" s="116">
        <v>126.275230837016</v>
      </c>
      <c r="E1144" s="116">
        <v>130.15316498940001</v>
      </c>
      <c r="F1144" s="116">
        <v>132.44999999999999</v>
      </c>
      <c r="G1144">
        <v>597711</v>
      </c>
      <c r="H1144" s="116"/>
      <c r="I1144" s="116"/>
      <c r="L1144" s="170">
        <v>43686</v>
      </c>
      <c r="M1144" s="116">
        <v>128.35982199618601</v>
      </c>
      <c r="N1144" s="116">
        <v>131.75301970756499</v>
      </c>
      <c r="O1144" s="116">
        <v>126.130006357279</v>
      </c>
      <c r="P1144" s="116">
        <v>130.589637635092</v>
      </c>
      <c r="Q1144" s="116">
        <v>132.4</v>
      </c>
      <c r="R1144">
        <v>8589075</v>
      </c>
    </row>
    <row r="1145" spans="1:18" x14ac:dyDescent="0.25">
      <c r="A1145" s="170">
        <v>43690</v>
      </c>
      <c r="B1145" s="116">
        <v>129.910794104876</v>
      </c>
      <c r="C1145" s="116">
        <v>126.275230837016</v>
      </c>
      <c r="D1145" s="116">
        <v>124.77253135296699</v>
      </c>
      <c r="E1145" s="116">
        <v>129.71689739725699</v>
      </c>
      <c r="F1145" s="116">
        <v>130.25</v>
      </c>
      <c r="G1145">
        <v>404604</v>
      </c>
      <c r="H1145" s="116"/>
      <c r="I1145" s="116"/>
      <c r="L1145" s="170">
        <v>43690</v>
      </c>
      <c r="M1145" s="116">
        <v>126.32390336935801</v>
      </c>
      <c r="N1145" s="116">
        <v>129.814049586777</v>
      </c>
      <c r="O1145" s="116">
        <v>124.675778766688</v>
      </c>
      <c r="P1145" s="116">
        <v>128.94151303242199</v>
      </c>
      <c r="Q1145" s="116">
        <v>130.30000000000001</v>
      </c>
      <c r="R1145">
        <v>4226112</v>
      </c>
    </row>
    <row r="1146" spans="1:18" x14ac:dyDescent="0.25">
      <c r="A1146" s="170">
        <v>43691</v>
      </c>
      <c r="B1146" s="116">
        <v>128.31114626701699</v>
      </c>
      <c r="C1146" s="116">
        <v>126.663024252254</v>
      </c>
      <c r="D1146" s="116">
        <v>123.415254399632</v>
      </c>
      <c r="E1146" s="116">
        <v>127.923352851779</v>
      </c>
      <c r="F1146" s="116">
        <v>130.65</v>
      </c>
      <c r="G1146">
        <v>281941</v>
      </c>
      <c r="H1146" s="116"/>
      <c r="I1146" s="116"/>
      <c r="L1146" s="170">
        <v>43691</v>
      </c>
      <c r="M1146" s="116">
        <v>126.663223140496</v>
      </c>
      <c r="N1146" s="116">
        <v>128.40829624920499</v>
      </c>
      <c r="O1146" s="116">
        <v>123.463922441195</v>
      </c>
      <c r="P1146" s="116">
        <v>126.905594405594</v>
      </c>
      <c r="Q1146" s="116">
        <v>130.65</v>
      </c>
      <c r="R1146">
        <v>4761139</v>
      </c>
    </row>
    <row r="1147" spans="1:18" x14ac:dyDescent="0.25">
      <c r="A1147" s="170">
        <v>43693</v>
      </c>
      <c r="B1147" s="116">
        <v>129.910794104876</v>
      </c>
      <c r="C1147" s="116">
        <v>128.698939682256</v>
      </c>
      <c r="D1147" s="116">
        <v>124.384737937728</v>
      </c>
      <c r="E1147" s="116">
        <v>125.548118183444</v>
      </c>
      <c r="F1147" s="116">
        <v>132.75</v>
      </c>
      <c r="G1147">
        <v>195365</v>
      </c>
      <c r="H1147" s="116"/>
      <c r="I1147" s="116"/>
      <c r="L1147" s="170">
        <v>43693</v>
      </c>
      <c r="M1147" s="116">
        <v>128.79609027336301</v>
      </c>
      <c r="N1147" s="116">
        <v>129.86252383979701</v>
      </c>
      <c r="O1147" s="116">
        <v>124.23951048951</v>
      </c>
      <c r="P1147" s="116">
        <v>126.03305785124</v>
      </c>
      <c r="Q1147" s="116">
        <v>132.85</v>
      </c>
      <c r="R1147">
        <v>4087073</v>
      </c>
    </row>
    <row r="1148" spans="1:18" x14ac:dyDescent="0.25">
      <c r="A1148" s="170">
        <v>43696</v>
      </c>
      <c r="B1148" s="116">
        <v>132.62534801154499</v>
      </c>
      <c r="C1148" s="116">
        <v>131.41349358892501</v>
      </c>
      <c r="D1148" s="116">
        <v>128.31114626701699</v>
      </c>
      <c r="E1148" s="116">
        <v>128.94131056678</v>
      </c>
      <c r="F1148" s="116">
        <v>135.55000000000001</v>
      </c>
      <c r="G1148">
        <v>266932</v>
      </c>
      <c r="H1148" s="116"/>
      <c r="I1148" s="116"/>
      <c r="L1148" s="170">
        <v>43696</v>
      </c>
      <c r="M1148" s="116">
        <v>131.365225683407</v>
      </c>
      <c r="N1148" s="116">
        <v>132.77097902097901</v>
      </c>
      <c r="O1148" s="116">
        <v>128.26287349014601</v>
      </c>
      <c r="P1148" s="116">
        <v>128.747616020343</v>
      </c>
      <c r="Q1148" s="116">
        <v>135.5</v>
      </c>
      <c r="R1148">
        <v>4261741</v>
      </c>
    </row>
    <row r="1149" spans="1:18" x14ac:dyDescent="0.25">
      <c r="A1149" s="170">
        <v>43697</v>
      </c>
      <c r="B1149" s="116">
        <v>132.57687383464</v>
      </c>
      <c r="C1149" s="116">
        <v>131.36501941201999</v>
      </c>
      <c r="D1149" s="116">
        <v>128.16572373630299</v>
      </c>
      <c r="E1149" s="116">
        <v>131.55891611963901</v>
      </c>
      <c r="F1149" s="116">
        <v>135.5</v>
      </c>
      <c r="G1149">
        <v>408251</v>
      </c>
      <c r="H1149" s="116"/>
      <c r="I1149" s="116"/>
      <c r="L1149" s="170">
        <v>43697</v>
      </c>
      <c r="M1149" s="116">
        <v>131.51064844246699</v>
      </c>
      <c r="N1149" s="116">
        <v>132.62555626192</v>
      </c>
      <c r="O1149" s="116">
        <v>128.02050222504801</v>
      </c>
      <c r="P1149" s="116">
        <v>131.559122695486</v>
      </c>
      <c r="Q1149" s="116">
        <v>135.65</v>
      </c>
      <c r="R1149">
        <v>4515865</v>
      </c>
    </row>
    <row r="1150" spans="1:18" x14ac:dyDescent="0.25">
      <c r="A1150" s="170">
        <v>43698</v>
      </c>
      <c r="B1150" s="116">
        <v>131.12264852749601</v>
      </c>
      <c r="C1150" s="116">
        <v>127.82640449796899</v>
      </c>
      <c r="D1150" s="116">
        <v>126.56607589844501</v>
      </c>
      <c r="E1150" s="116">
        <v>130.637906758448</v>
      </c>
      <c r="F1150" s="116">
        <v>131.85</v>
      </c>
      <c r="G1150">
        <v>393478</v>
      </c>
      <c r="H1150" s="116"/>
      <c r="I1150" s="116"/>
      <c r="L1150" s="170">
        <v>43698</v>
      </c>
      <c r="M1150" s="116">
        <v>127.875079465989</v>
      </c>
      <c r="N1150" s="116">
        <v>131.17132867132901</v>
      </c>
      <c r="O1150" s="116">
        <v>126.275429116338</v>
      </c>
      <c r="P1150" s="116">
        <v>129.91099809281599</v>
      </c>
      <c r="Q1150" s="116">
        <v>131.9</v>
      </c>
      <c r="R1150">
        <v>3426518</v>
      </c>
    </row>
    <row r="1151" spans="1:18" x14ac:dyDescent="0.25">
      <c r="A1151" s="170">
        <v>43699</v>
      </c>
      <c r="B1151" s="116">
        <v>127.53555943654101</v>
      </c>
      <c r="C1151" s="116">
        <v>123.075935161299</v>
      </c>
      <c r="D1151" s="116">
        <v>122.49424503844099</v>
      </c>
      <c r="E1151" s="116">
        <v>127.05081766749301</v>
      </c>
      <c r="F1151" s="116">
        <v>126.95</v>
      </c>
      <c r="G1151">
        <v>201396</v>
      </c>
      <c r="H1151" s="116"/>
      <c r="I1151" s="116"/>
      <c r="L1151" s="170">
        <v>43699</v>
      </c>
      <c r="M1151" s="116">
        <v>123.027654164018</v>
      </c>
      <c r="N1151" s="116">
        <v>127.293388429752</v>
      </c>
      <c r="O1151" s="116">
        <v>122.25206611570199</v>
      </c>
      <c r="P1151" s="116">
        <v>126.95406865861401</v>
      </c>
      <c r="Q1151" s="116">
        <v>126.9</v>
      </c>
      <c r="R1151">
        <v>3358838</v>
      </c>
    </row>
    <row r="1152" spans="1:18" x14ac:dyDescent="0.25">
      <c r="A1152" s="170">
        <v>43700</v>
      </c>
      <c r="B1152" s="116">
        <v>128.02030120558899</v>
      </c>
      <c r="C1152" s="116">
        <v>127.19624019820699</v>
      </c>
      <c r="D1152" s="116">
        <v>119.294949362724</v>
      </c>
      <c r="E1152" s="116">
        <v>122.15492580010699</v>
      </c>
      <c r="F1152" s="116">
        <v>131.19999999999999</v>
      </c>
      <c r="G1152">
        <v>372289</v>
      </c>
      <c r="H1152" s="116"/>
      <c r="I1152" s="116"/>
      <c r="L1152" s="170">
        <v>43700</v>
      </c>
      <c r="M1152" s="116">
        <v>127.293388429752</v>
      </c>
      <c r="N1152" s="116">
        <v>128.16592498410699</v>
      </c>
      <c r="O1152" s="116">
        <v>119.14971392244099</v>
      </c>
      <c r="P1152" s="116">
        <v>119.63445645263801</v>
      </c>
      <c r="Q1152" s="116">
        <v>131.30000000000001</v>
      </c>
      <c r="R1152">
        <v>4374006</v>
      </c>
    </row>
    <row r="1153" spans="1:18" x14ac:dyDescent="0.25">
      <c r="A1153" s="170">
        <v>43703</v>
      </c>
      <c r="B1153" s="116">
        <v>131.80128700416299</v>
      </c>
      <c r="C1153" s="116">
        <v>130.97722599678201</v>
      </c>
      <c r="D1153" s="116">
        <v>124.578634645348</v>
      </c>
      <c r="E1153" s="116">
        <v>128.06877538249299</v>
      </c>
      <c r="F1153" s="116">
        <v>135.1</v>
      </c>
      <c r="G1153">
        <v>314726</v>
      </c>
      <c r="H1153" s="116"/>
      <c r="I1153" s="116"/>
      <c r="L1153" s="170">
        <v>43703</v>
      </c>
      <c r="M1153" s="116">
        <v>131.074380165289</v>
      </c>
      <c r="N1153" s="116">
        <v>131.80149396058499</v>
      </c>
      <c r="O1153" s="116">
        <v>124.38493324856999</v>
      </c>
      <c r="P1153" s="116">
        <v>128.06897647806699</v>
      </c>
      <c r="Q1153" s="116">
        <v>135.19999999999999</v>
      </c>
      <c r="R1153">
        <v>5507570</v>
      </c>
    </row>
    <row r="1154" spans="1:18" x14ac:dyDescent="0.25">
      <c r="A1154" s="170">
        <v>43704</v>
      </c>
      <c r="B1154" s="116">
        <v>133.934150787975</v>
      </c>
      <c r="C1154" s="116">
        <v>132.91619307297401</v>
      </c>
      <c r="D1154" s="116">
        <v>129.71689739725699</v>
      </c>
      <c r="E1154" s="116">
        <v>131.41349358892501</v>
      </c>
      <c r="F1154" s="116">
        <v>137.1</v>
      </c>
      <c r="G1154">
        <v>249130</v>
      </c>
      <c r="H1154" s="116"/>
      <c r="I1154" s="116"/>
      <c r="L1154" s="170">
        <v>43704</v>
      </c>
      <c r="M1154" s="116">
        <v>132.964876033058</v>
      </c>
      <c r="N1154" s="116">
        <v>133.982835346472</v>
      </c>
      <c r="O1154" s="116">
        <v>129.814049586777</v>
      </c>
      <c r="P1154" s="116">
        <v>130.63811188811201</v>
      </c>
      <c r="Q1154" s="116">
        <v>137.15</v>
      </c>
      <c r="R1154">
        <v>4495705</v>
      </c>
    </row>
    <row r="1155" spans="1:18" x14ac:dyDescent="0.25">
      <c r="A1155" s="170">
        <v>43705</v>
      </c>
      <c r="B1155" s="116">
        <v>132.819244719164</v>
      </c>
      <c r="C1155" s="116">
        <v>131.316545235115</v>
      </c>
      <c r="D1155" s="116">
        <v>128.16572373630299</v>
      </c>
      <c r="E1155" s="116">
        <v>132.67382218845</v>
      </c>
      <c r="F1155" s="116">
        <v>135.44999999999999</v>
      </c>
      <c r="G1155">
        <v>361183</v>
      </c>
      <c r="H1155" s="116"/>
      <c r="I1155" s="116"/>
      <c r="L1155" s="170">
        <v>43705</v>
      </c>
      <c r="M1155" s="116">
        <v>131.80149396058499</v>
      </c>
      <c r="N1155" s="116">
        <v>132.916401780038</v>
      </c>
      <c r="O1155" s="116">
        <v>128.11745073108699</v>
      </c>
      <c r="P1155" s="116">
        <v>132.04386522568299</v>
      </c>
      <c r="Q1155" s="116">
        <v>135.94999999999999</v>
      </c>
      <c r="R1155">
        <v>5312871</v>
      </c>
    </row>
    <row r="1156" spans="1:18" x14ac:dyDescent="0.25">
      <c r="A1156" s="170">
        <v>43706</v>
      </c>
      <c r="B1156" s="116">
        <v>134.03109914178401</v>
      </c>
      <c r="C1156" s="116">
        <v>128.35962044392201</v>
      </c>
      <c r="D1156" s="116">
        <v>126.42065336773</v>
      </c>
      <c r="E1156" s="116">
        <v>133.78872825726</v>
      </c>
      <c r="F1156" s="116">
        <v>132.4</v>
      </c>
      <c r="G1156">
        <v>325239</v>
      </c>
      <c r="H1156" s="116"/>
      <c r="I1156" s="116"/>
      <c r="L1156" s="170">
        <v>43706</v>
      </c>
      <c r="M1156" s="116">
        <v>128.31134774316601</v>
      </c>
      <c r="N1156" s="116">
        <v>133.78893833439301</v>
      </c>
      <c r="O1156" s="116">
        <v>126.372377622378</v>
      </c>
      <c r="P1156" s="116">
        <v>133.78893833439301</v>
      </c>
      <c r="Q1156" s="116">
        <v>132.35</v>
      </c>
      <c r="R1156">
        <v>6108447</v>
      </c>
    </row>
    <row r="1157" spans="1:18" x14ac:dyDescent="0.25">
      <c r="A1157" s="170">
        <v>43707</v>
      </c>
      <c r="B1157" s="116">
        <v>134.03109914178401</v>
      </c>
      <c r="C1157" s="116">
        <v>133.255512311307</v>
      </c>
      <c r="D1157" s="116">
        <v>128.408094620827</v>
      </c>
      <c r="E1157" s="116">
        <v>128.45656879773199</v>
      </c>
      <c r="F1157" s="116">
        <v>137.44999999999999</v>
      </c>
      <c r="G1157">
        <v>506068</v>
      </c>
      <c r="H1157" s="116"/>
      <c r="I1157" s="116"/>
      <c r="L1157" s="170">
        <v>43707</v>
      </c>
      <c r="M1157" s="116">
        <v>133.158773045137</v>
      </c>
      <c r="N1157" s="116">
        <v>134.07978385251101</v>
      </c>
      <c r="O1157" s="116">
        <v>128.11745073108699</v>
      </c>
      <c r="P1157" s="116">
        <v>128.35982199618601</v>
      </c>
      <c r="Q1157" s="116">
        <v>137.35</v>
      </c>
      <c r="R1157">
        <v>7806183</v>
      </c>
    </row>
    <row r="1158" spans="1:18" x14ac:dyDescent="0.25">
      <c r="A1158" s="170">
        <v>43711</v>
      </c>
      <c r="B1158" s="116">
        <v>132.67382218845</v>
      </c>
      <c r="C1158" s="116">
        <v>130.54095840463799</v>
      </c>
      <c r="D1158" s="116">
        <v>129.03825892059001</v>
      </c>
      <c r="E1158" s="116">
        <v>130.880277642972</v>
      </c>
      <c r="F1158" s="116">
        <v>134.65</v>
      </c>
      <c r="G1158">
        <v>266279</v>
      </c>
      <c r="H1158" s="116"/>
      <c r="I1158" s="116"/>
      <c r="L1158" s="170">
        <v>43711</v>
      </c>
      <c r="M1158" s="116">
        <v>131.122854418309</v>
      </c>
      <c r="N1158" s="116">
        <v>132.72250476795901</v>
      </c>
      <c r="O1158" s="116">
        <v>128.94151303242199</v>
      </c>
      <c r="P1158" s="116">
        <v>131.46217418944701</v>
      </c>
      <c r="Q1158" s="116">
        <v>135.25</v>
      </c>
      <c r="R1158">
        <v>3477541</v>
      </c>
    </row>
    <row r="1159" spans="1:18" x14ac:dyDescent="0.25">
      <c r="A1159" s="170">
        <v>43712</v>
      </c>
      <c r="B1159" s="116">
        <v>131.36501941201999</v>
      </c>
      <c r="C1159" s="116">
        <v>130.68638093535299</v>
      </c>
      <c r="D1159" s="116">
        <v>126.71149842915899</v>
      </c>
      <c r="E1159" s="116">
        <v>129.813845751066</v>
      </c>
      <c r="F1159" s="116">
        <v>134.80000000000001</v>
      </c>
      <c r="G1159">
        <v>482305</v>
      </c>
      <c r="H1159" s="116"/>
      <c r="I1159" s="116"/>
      <c r="L1159" s="170">
        <v>43712</v>
      </c>
      <c r="M1159" s="116">
        <v>130.832008900191</v>
      </c>
      <c r="N1159" s="116">
        <v>131.365225683407</v>
      </c>
      <c r="O1159" s="116">
        <v>126.614748887476</v>
      </c>
      <c r="P1159" s="116">
        <v>130.49268912905299</v>
      </c>
      <c r="Q1159" s="116">
        <v>134.94999999999999</v>
      </c>
      <c r="R1159">
        <v>4313711</v>
      </c>
    </row>
    <row r="1160" spans="1:18" x14ac:dyDescent="0.25">
      <c r="A1160" s="170">
        <v>43713</v>
      </c>
      <c r="B1160" s="116">
        <v>134.27347002630799</v>
      </c>
      <c r="C1160" s="116">
        <v>131.41349358892501</v>
      </c>
      <c r="D1160" s="116">
        <v>129.42605233582799</v>
      </c>
      <c r="E1160" s="116">
        <v>130.880277642972</v>
      </c>
      <c r="F1160" s="116">
        <v>135.55000000000001</v>
      </c>
      <c r="G1160">
        <v>904185</v>
      </c>
      <c r="H1160" s="116"/>
      <c r="I1160" s="116"/>
      <c r="L1160" s="170">
        <v>43713</v>
      </c>
      <c r="M1160" s="116">
        <v>131.607596948506</v>
      </c>
      <c r="N1160" s="116">
        <v>134.41910362364899</v>
      </c>
      <c r="O1160" s="116">
        <v>129.28083280356</v>
      </c>
      <c r="P1160" s="116">
        <v>130.88048315321001</v>
      </c>
      <c r="Q1160" s="116">
        <v>135.75</v>
      </c>
      <c r="R1160">
        <v>6840367</v>
      </c>
    </row>
    <row r="1161" spans="1:18" x14ac:dyDescent="0.25">
      <c r="A1161" s="170">
        <v>43714</v>
      </c>
      <c r="B1161" s="116">
        <v>134.224995849404</v>
      </c>
      <c r="C1161" s="116">
        <v>133.69177990345099</v>
      </c>
      <c r="D1161" s="116">
        <v>130.92875181987699</v>
      </c>
      <c r="E1161" s="116">
        <v>132.819244719164</v>
      </c>
      <c r="F1161" s="116">
        <v>137.9</v>
      </c>
      <c r="G1161">
        <v>438602</v>
      </c>
      <c r="H1161" s="116"/>
      <c r="I1161" s="116"/>
      <c r="L1161" s="170">
        <v>43714</v>
      </c>
      <c r="M1161" s="116">
        <v>133.54656706929401</v>
      </c>
      <c r="N1161" s="116">
        <v>134.22520661157</v>
      </c>
      <c r="O1161" s="116">
        <v>130.92895740623001</v>
      </c>
      <c r="P1161" s="116">
        <v>131.26827717736799</v>
      </c>
      <c r="Q1161" s="116">
        <v>137.75</v>
      </c>
      <c r="R1161">
        <v>3744649</v>
      </c>
    </row>
    <row r="1162" spans="1:18" x14ac:dyDescent="0.25">
      <c r="A1162" s="170">
        <v>43717</v>
      </c>
      <c r="B1162" s="116">
        <v>137.278868994406</v>
      </c>
      <c r="C1162" s="116">
        <v>136.40633381012</v>
      </c>
      <c r="D1162" s="116">
        <v>132.18908041940199</v>
      </c>
      <c r="E1162" s="116">
        <v>133.30398648821199</v>
      </c>
      <c r="F1162" s="116">
        <v>140.69999999999999</v>
      </c>
      <c r="G1162">
        <v>564194</v>
      </c>
      <c r="H1162" s="116"/>
      <c r="I1162" s="116"/>
      <c r="L1162" s="170">
        <v>43717</v>
      </c>
      <c r="M1162" s="116">
        <v>136.600445009536</v>
      </c>
      <c r="N1162" s="116">
        <v>137.42450731087101</v>
      </c>
      <c r="O1162" s="116">
        <v>132.189287984743</v>
      </c>
      <c r="P1162" s="116">
        <v>133.59504132231399</v>
      </c>
      <c r="Q1162" s="116">
        <v>140.9</v>
      </c>
      <c r="R1162">
        <v>4349296</v>
      </c>
    </row>
    <row r="1163" spans="1:18" x14ac:dyDescent="0.25">
      <c r="A1163" s="170">
        <v>43719</v>
      </c>
      <c r="B1163" s="116">
        <v>140.429690493219</v>
      </c>
      <c r="C1163" s="116">
        <v>139.50868113202699</v>
      </c>
      <c r="D1163" s="116">
        <v>135.63074697964299</v>
      </c>
      <c r="E1163" s="116">
        <v>135.67922115654801</v>
      </c>
      <c r="F1163" s="116">
        <v>143.9</v>
      </c>
      <c r="G1163">
        <v>550192</v>
      </c>
      <c r="H1163" s="116"/>
      <c r="I1163" s="116"/>
      <c r="L1163" s="170">
        <v>43719</v>
      </c>
      <c r="M1163" s="116">
        <v>139.55737444373801</v>
      </c>
      <c r="N1163" s="116">
        <v>140.478385251113</v>
      </c>
      <c r="O1163" s="116">
        <v>135.776382708201</v>
      </c>
      <c r="P1163" s="116">
        <v>135.776382708201</v>
      </c>
      <c r="Q1163" s="116">
        <v>143.94999999999999</v>
      </c>
      <c r="R1163">
        <v>4245005</v>
      </c>
    </row>
    <row r="1164" spans="1:18" x14ac:dyDescent="0.25">
      <c r="A1164" s="170">
        <v>43720</v>
      </c>
      <c r="B1164" s="116">
        <v>141.73849326964799</v>
      </c>
      <c r="C1164" s="116">
        <v>138.73309430155001</v>
      </c>
      <c r="D1164" s="116">
        <v>137.76361076345401</v>
      </c>
      <c r="E1164" s="116">
        <v>140.47816467012299</v>
      </c>
      <c r="F1164" s="116">
        <v>143.1</v>
      </c>
      <c r="G1164">
        <v>573536</v>
      </c>
      <c r="H1164" s="116"/>
      <c r="I1164" s="116"/>
      <c r="L1164" s="170">
        <v>43720</v>
      </c>
      <c r="M1164" s="116">
        <v>138.684837889383</v>
      </c>
      <c r="N1164" s="116">
        <v>141.83566433566401</v>
      </c>
      <c r="O1164" s="116">
        <v>137.71535282898901</v>
      </c>
      <c r="P1164" s="116">
        <v>140.42991099809299</v>
      </c>
      <c r="Q1164" s="116">
        <v>143.05000000000001</v>
      </c>
      <c r="R1164">
        <v>3500479</v>
      </c>
    </row>
    <row r="1165" spans="1:18" x14ac:dyDescent="0.25">
      <c r="A1165" s="170">
        <v>43721</v>
      </c>
      <c r="B1165" s="116">
        <v>142.41713174631599</v>
      </c>
      <c r="C1165" s="116">
        <v>141.44764820821899</v>
      </c>
      <c r="D1165" s="116">
        <v>136.30938545631</v>
      </c>
      <c r="E1165" s="116">
        <v>138.92699100917</v>
      </c>
      <c r="F1165" s="116">
        <v>145.9</v>
      </c>
      <c r="G1165">
        <v>778783</v>
      </c>
      <c r="H1165" s="116"/>
      <c r="I1165" s="116"/>
      <c r="L1165" s="170">
        <v>43721</v>
      </c>
      <c r="M1165" s="116">
        <v>141.302447552448</v>
      </c>
      <c r="N1165" s="116">
        <v>142.41735537190101</v>
      </c>
      <c r="O1165" s="116">
        <v>136.26112523839799</v>
      </c>
      <c r="P1165" s="116">
        <v>138.636363636364</v>
      </c>
      <c r="Q1165" s="116">
        <v>145.75</v>
      </c>
      <c r="R1165">
        <v>3561056</v>
      </c>
    </row>
    <row r="1166" spans="1:18" x14ac:dyDescent="0.25">
      <c r="A1166" s="170">
        <v>43724</v>
      </c>
      <c r="B1166" s="116">
        <v>142.56255427702999</v>
      </c>
      <c r="C1166" s="116">
        <v>141.30222567750499</v>
      </c>
      <c r="D1166" s="116">
        <v>139.12088771678901</v>
      </c>
      <c r="E1166" s="116">
        <v>140.18731960869499</v>
      </c>
      <c r="F1166" s="116">
        <v>145.75</v>
      </c>
      <c r="G1166">
        <v>626819</v>
      </c>
      <c r="H1166" s="116"/>
      <c r="I1166" s="116"/>
      <c r="L1166" s="170">
        <v>43724</v>
      </c>
      <c r="M1166" s="116">
        <v>141.496344564526</v>
      </c>
      <c r="N1166" s="116">
        <v>142.70820089001899</v>
      </c>
      <c r="O1166" s="116">
        <v>138.78178639542301</v>
      </c>
      <c r="P1166" s="116">
        <v>139.60584869675799</v>
      </c>
      <c r="Q1166" s="116">
        <v>145.94999999999999</v>
      </c>
      <c r="R1166">
        <v>3713796</v>
      </c>
    </row>
    <row r="1167" spans="1:18" x14ac:dyDescent="0.25">
      <c r="A1167" s="170">
        <v>43725</v>
      </c>
      <c r="B1167" s="116">
        <v>143.28966693060201</v>
      </c>
      <c r="C1167" s="116">
        <v>139.314784424408</v>
      </c>
      <c r="D1167" s="116">
        <v>138.05445582488301</v>
      </c>
      <c r="E1167" s="116">
        <v>141.49612238512401</v>
      </c>
      <c r="F1167" s="116">
        <v>143.69999999999999</v>
      </c>
      <c r="G1167">
        <v>453647</v>
      </c>
      <c r="H1167" s="116"/>
      <c r="I1167" s="116"/>
      <c r="L1167" s="170">
        <v>43725</v>
      </c>
      <c r="M1167" s="116">
        <v>139.36347743165899</v>
      </c>
      <c r="N1167" s="116">
        <v>143.386840432295</v>
      </c>
      <c r="O1167" s="116">
        <v>138.05467260012699</v>
      </c>
      <c r="P1167" s="116">
        <v>141.06007628734901</v>
      </c>
      <c r="Q1167" s="116">
        <v>143.75</v>
      </c>
      <c r="R1167">
        <v>4167662</v>
      </c>
    </row>
    <row r="1168" spans="1:18" x14ac:dyDescent="0.25">
      <c r="A1168" s="170">
        <v>43726</v>
      </c>
      <c r="B1168" s="116">
        <v>141.35069985441001</v>
      </c>
      <c r="C1168" s="116">
        <v>139.605629485837</v>
      </c>
      <c r="D1168" s="116">
        <v>137.86055911726399</v>
      </c>
      <c r="E1168" s="116">
        <v>140.18731960869499</v>
      </c>
      <c r="F1168" s="116">
        <v>144</v>
      </c>
      <c r="G1168">
        <v>296954</v>
      </c>
      <c r="H1168" s="116"/>
      <c r="I1168" s="116"/>
      <c r="L1168" s="170">
        <v>43726</v>
      </c>
      <c r="M1168" s="116">
        <v>139.751271455817</v>
      </c>
      <c r="N1168" s="116">
        <v>141.544818817546</v>
      </c>
      <c r="O1168" s="116">
        <v>137.76382708200899</v>
      </c>
      <c r="P1168" s="116">
        <v>139.60584869675799</v>
      </c>
      <c r="Q1168" s="116">
        <v>144.15</v>
      </c>
      <c r="R1168">
        <v>3465608</v>
      </c>
    </row>
    <row r="1169" spans="1:18" x14ac:dyDescent="0.25">
      <c r="A1169" s="170">
        <v>43727</v>
      </c>
      <c r="B1169" s="116">
        <v>139.70257783964601</v>
      </c>
      <c r="C1169" s="116">
        <v>138.05445582488301</v>
      </c>
      <c r="D1169" s="116">
        <v>136.45480798702499</v>
      </c>
      <c r="E1169" s="116">
        <v>139.70257783964601</v>
      </c>
      <c r="F1169" s="116">
        <v>142.4</v>
      </c>
      <c r="G1169">
        <v>263181</v>
      </c>
      <c r="H1169" s="116"/>
      <c r="I1169" s="116"/>
      <c r="L1169" s="170">
        <v>43727</v>
      </c>
      <c r="M1169" s="116">
        <v>138.20009535918601</v>
      </c>
      <c r="N1169" s="116">
        <v>140.478385251113</v>
      </c>
      <c r="O1169" s="116">
        <v>136.21265098537799</v>
      </c>
      <c r="P1169" s="116">
        <v>139.55737444373801</v>
      </c>
      <c r="Q1169" s="116">
        <v>142.55000000000001</v>
      </c>
      <c r="R1169">
        <v>2662885</v>
      </c>
    </row>
    <row r="1170" spans="1:18" x14ac:dyDescent="0.25">
      <c r="A1170" s="170">
        <v>43728</v>
      </c>
      <c r="B1170" s="116">
        <v>147.40997196750999</v>
      </c>
      <c r="C1170" s="116">
        <v>144.64694388393701</v>
      </c>
      <c r="D1170" s="116">
        <v>137.03649810988199</v>
      </c>
      <c r="E1170" s="116">
        <v>138.636145947741</v>
      </c>
      <c r="F1170" s="116">
        <v>149.19999999999999</v>
      </c>
      <c r="G1170">
        <v>1651493</v>
      </c>
      <c r="H1170" s="116"/>
      <c r="I1170" s="116"/>
      <c r="L1170" s="170">
        <v>43728</v>
      </c>
      <c r="M1170" s="116">
        <v>144.55022250476799</v>
      </c>
      <c r="N1170" s="116">
        <v>147.45867768594999</v>
      </c>
      <c r="O1170" s="116">
        <v>136.98823903369399</v>
      </c>
      <c r="P1170" s="116">
        <v>138.636363636364</v>
      </c>
      <c r="Q1170" s="116">
        <v>149.1</v>
      </c>
      <c r="R1170">
        <v>7545363</v>
      </c>
    </row>
    <row r="1171" spans="1:18" x14ac:dyDescent="0.25">
      <c r="A1171" s="170">
        <v>43731</v>
      </c>
      <c r="B1171" s="116">
        <v>148.573352213226</v>
      </c>
      <c r="C1171" s="116">
        <v>147.894713736558</v>
      </c>
      <c r="D1171" s="116">
        <v>143.192718576792</v>
      </c>
      <c r="E1171" s="116">
        <v>148.33098132870199</v>
      </c>
      <c r="F1171" s="116">
        <v>152.55000000000001</v>
      </c>
      <c r="G1171">
        <v>916721</v>
      </c>
      <c r="H1171" s="116"/>
      <c r="I1171" s="116"/>
      <c r="L1171" s="170">
        <v>43731</v>
      </c>
      <c r="M1171" s="116">
        <v>147.74952320406899</v>
      </c>
      <c r="N1171" s="116">
        <v>149.30069930069899</v>
      </c>
      <c r="O1171" s="116">
        <v>143.04752066115699</v>
      </c>
      <c r="P1171" s="116">
        <v>149.30069930069899</v>
      </c>
      <c r="Q1171" s="116">
        <v>152.4</v>
      </c>
      <c r="R1171">
        <v>4136992</v>
      </c>
    </row>
    <row r="1172" spans="1:18" x14ac:dyDescent="0.25">
      <c r="A1172" s="170">
        <v>43732</v>
      </c>
      <c r="B1172" s="116">
        <v>148.23403297489199</v>
      </c>
      <c r="C1172" s="116">
        <v>143.53203781512599</v>
      </c>
      <c r="D1172" s="116">
        <v>141.108328969886</v>
      </c>
      <c r="E1172" s="116">
        <v>146.537436783224</v>
      </c>
      <c r="F1172" s="116">
        <v>148.05000000000001</v>
      </c>
      <c r="G1172">
        <v>955629</v>
      </c>
      <c r="H1172" s="116"/>
      <c r="I1172" s="116"/>
      <c r="L1172" s="170">
        <v>43732</v>
      </c>
      <c r="M1172" s="116">
        <v>143.53226319135399</v>
      </c>
      <c r="N1172" s="116">
        <v>148.331214240305</v>
      </c>
      <c r="O1172" s="116">
        <v>140.96312778130999</v>
      </c>
      <c r="P1172" s="116">
        <v>146.63461538461499</v>
      </c>
      <c r="Q1172" s="116">
        <v>148.05000000000001</v>
      </c>
      <c r="R1172">
        <v>4576924</v>
      </c>
    </row>
    <row r="1173" spans="1:18" x14ac:dyDescent="0.25">
      <c r="A1173" s="170">
        <v>43733</v>
      </c>
      <c r="B1173" s="116">
        <v>146.39201425250999</v>
      </c>
      <c r="C1173" s="116">
        <v>142.99882186917301</v>
      </c>
      <c r="D1173" s="116">
        <v>141.108328969886</v>
      </c>
      <c r="E1173" s="116">
        <v>145.61642742203301</v>
      </c>
      <c r="F1173" s="116">
        <v>147.5</v>
      </c>
      <c r="G1173">
        <v>586453</v>
      </c>
      <c r="H1173" s="116"/>
      <c r="I1173" s="116"/>
      <c r="L1173" s="170">
        <v>43733</v>
      </c>
      <c r="M1173" s="116">
        <v>143.04752066115699</v>
      </c>
      <c r="N1173" s="116">
        <v>146.39224411951699</v>
      </c>
      <c r="O1173" s="116">
        <v>141.06007628734901</v>
      </c>
      <c r="P1173" s="116">
        <v>145.131913541004</v>
      </c>
      <c r="Q1173" s="116">
        <v>147.55000000000001</v>
      </c>
      <c r="R1173">
        <v>4572108</v>
      </c>
    </row>
    <row r="1174" spans="1:18" x14ac:dyDescent="0.25">
      <c r="A1174" s="170">
        <v>43734</v>
      </c>
      <c r="B1174" s="116">
        <v>150.948586881561</v>
      </c>
      <c r="C1174" s="116">
        <v>148.23403297489199</v>
      </c>
      <c r="D1174" s="116">
        <v>142.27170921560099</v>
      </c>
      <c r="E1174" s="116">
        <v>144.06525376107899</v>
      </c>
      <c r="F1174" s="116">
        <v>152.9</v>
      </c>
      <c r="G1174">
        <v>725762</v>
      </c>
      <c r="H1174" s="116"/>
      <c r="I1174" s="116"/>
      <c r="L1174" s="170">
        <v>43734</v>
      </c>
      <c r="M1174" s="116">
        <v>148.040368722187</v>
      </c>
      <c r="N1174" s="116">
        <v>150.657978385251</v>
      </c>
      <c r="O1174" s="116">
        <v>142.17498410680199</v>
      </c>
      <c r="P1174" s="116">
        <v>143.920057215512</v>
      </c>
      <c r="Q1174" s="116">
        <v>152.69999999999999</v>
      </c>
      <c r="R1174">
        <v>7013490</v>
      </c>
    </row>
    <row r="1175" spans="1:18" x14ac:dyDescent="0.25">
      <c r="A1175" s="170">
        <v>43735</v>
      </c>
      <c r="B1175" s="116">
        <v>147.894713736558</v>
      </c>
      <c r="C1175" s="116">
        <v>144.743892237746</v>
      </c>
      <c r="D1175" s="116">
        <v>142.804925161554</v>
      </c>
      <c r="E1175" s="116">
        <v>147.36149779060599</v>
      </c>
      <c r="F1175" s="116">
        <v>149.30000000000001</v>
      </c>
      <c r="G1175">
        <v>618150</v>
      </c>
      <c r="H1175" s="116"/>
      <c r="I1175" s="116"/>
      <c r="L1175" s="170">
        <v>43735</v>
      </c>
      <c r="M1175" s="116">
        <v>144.889542275906</v>
      </c>
      <c r="N1175" s="116">
        <v>148.040368722187</v>
      </c>
      <c r="O1175" s="116">
        <v>142.70820089001899</v>
      </c>
      <c r="P1175" s="116">
        <v>148.040368722187</v>
      </c>
      <c r="Q1175" s="116">
        <v>149.44999999999999</v>
      </c>
      <c r="R1175">
        <v>4016921</v>
      </c>
    </row>
    <row r="1176" spans="1:18" x14ac:dyDescent="0.25">
      <c r="A1176" s="170">
        <v>43738</v>
      </c>
      <c r="B1176" s="116">
        <v>144.840840591556</v>
      </c>
      <c r="C1176" s="116">
        <v>141.35069985441001</v>
      </c>
      <c r="D1176" s="116">
        <v>139.460206955122</v>
      </c>
      <c r="E1176" s="116">
        <v>144.453047176317</v>
      </c>
      <c r="F1176" s="116">
        <v>145.80000000000001</v>
      </c>
      <c r="G1176">
        <v>486531</v>
      </c>
      <c r="H1176" s="116"/>
      <c r="I1176" s="116"/>
      <c r="L1176" s="170">
        <v>43738</v>
      </c>
      <c r="M1176" s="116">
        <v>141.39939605848701</v>
      </c>
      <c r="N1176" s="116">
        <v>145.180387794024</v>
      </c>
      <c r="O1176" s="116">
        <v>139.36347743165899</v>
      </c>
      <c r="P1176" s="116">
        <v>144.55022250476799</v>
      </c>
      <c r="Q1176" s="116">
        <v>145.85</v>
      </c>
      <c r="R1176">
        <v>3528313</v>
      </c>
    </row>
    <row r="1177" spans="1:18" x14ac:dyDescent="0.25">
      <c r="A1177" s="170">
        <v>43739</v>
      </c>
      <c r="B1177" s="116">
        <v>143.09577022298299</v>
      </c>
      <c r="C1177" s="116">
        <v>139.26631024750299</v>
      </c>
      <c r="D1177" s="116">
        <v>136.30938545631</v>
      </c>
      <c r="E1177" s="116">
        <v>141.544596562029</v>
      </c>
      <c r="F1177" s="116">
        <v>143.65</v>
      </c>
      <c r="G1177">
        <v>258412</v>
      </c>
      <c r="H1177" s="116"/>
      <c r="I1177" s="116"/>
      <c r="L1177" s="170">
        <v>43739</v>
      </c>
      <c r="M1177" s="116">
        <v>139.26652892562001</v>
      </c>
      <c r="N1177" s="116">
        <v>143.19294342021601</v>
      </c>
      <c r="O1177" s="116">
        <v>136.21265098537799</v>
      </c>
      <c r="P1177" s="116">
        <v>141.64176732358499</v>
      </c>
      <c r="Q1177" s="116">
        <v>143.65</v>
      </c>
      <c r="R1177">
        <v>3732047</v>
      </c>
    </row>
    <row r="1178" spans="1:18" x14ac:dyDescent="0.25">
      <c r="A1178" s="170">
        <v>43741</v>
      </c>
      <c r="B1178" s="116">
        <v>140.575113023933</v>
      </c>
      <c r="C1178" s="116">
        <v>139.02393936297901</v>
      </c>
      <c r="D1178" s="116">
        <v>137.08497228678701</v>
      </c>
      <c r="E1178" s="116">
        <v>137.90903329416901</v>
      </c>
      <c r="F1178" s="116">
        <v>143.4</v>
      </c>
      <c r="G1178">
        <v>444615</v>
      </c>
      <c r="H1178" s="116"/>
      <c r="I1178" s="116"/>
      <c r="L1178" s="170">
        <v>43741</v>
      </c>
      <c r="M1178" s="116">
        <v>139.16958041958</v>
      </c>
      <c r="N1178" s="116">
        <v>140.57533375715201</v>
      </c>
      <c r="O1178" s="116">
        <v>137.085187539733</v>
      </c>
      <c r="P1178" s="116">
        <v>138.636363636364</v>
      </c>
      <c r="Q1178" s="116">
        <v>143.55000000000001</v>
      </c>
      <c r="R1178">
        <v>2070232</v>
      </c>
    </row>
    <row r="1179" spans="1:18" x14ac:dyDescent="0.25">
      <c r="A1179" s="170">
        <v>43742</v>
      </c>
      <c r="B1179" s="116">
        <v>140.38121631631401</v>
      </c>
      <c r="C1179" s="116">
        <v>135.92159204107199</v>
      </c>
      <c r="D1179" s="116">
        <v>133.30398648821199</v>
      </c>
      <c r="E1179" s="116">
        <v>139.99342290107501</v>
      </c>
      <c r="F1179" s="116">
        <v>140.19999999999999</v>
      </c>
      <c r="G1179">
        <v>439424</v>
      </c>
      <c r="H1179" s="116"/>
      <c r="I1179" s="116"/>
      <c r="L1179" s="170">
        <v>43742</v>
      </c>
      <c r="M1179" s="116">
        <v>135.72790845518099</v>
      </c>
      <c r="N1179" s="116">
        <v>140.09059122695501</v>
      </c>
      <c r="O1179" s="116">
        <v>133.35267005721599</v>
      </c>
      <c r="P1179" s="116">
        <v>139.55737444373801</v>
      </c>
      <c r="Q1179" s="116">
        <v>140</v>
      </c>
      <c r="R1179">
        <v>2382805</v>
      </c>
    </row>
    <row r="1180" spans="1:18" x14ac:dyDescent="0.25">
      <c r="A1180" s="170">
        <v>43745</v>
      </c>
      <c r="B1180" s="116">
        <v>135.727695333453</v>
      </c>
      <c r="C1180" s="116">
        <v>131.51044194273501</v>
      </c>
      <c r="D1180" s="116">
        <v>131.12264852749601</v>
      </c>
      <c r="E1180" s="116">
        <v>134.758211795356</v>
      </c>
      <c r="F1180" s="116">
        <v>135.65</v>
      </c>
      <c r="G1180">
        <v>282513</v>
      </c>
      <c r="H1180" s="116"/>
      <c r="I1180" s="116"/>
      <c r="L1180" s="170">
        <v>43745</v>
      </c>
      <c r="M1180" s="116">
        <v>131.656071201526</v>
      </c>
      <c r="N1180" s="116">
        <v>135.72790845518099</v>
      </c>
      <c r="O1180" s="116">
        <v>131.122854418309</v>
      </c>
      <c r="P1180" s="116">
        <v>134.22520661157</v>
      </c>
      <c r="Q1180" s="116">
        <v>135.80000000000001</v>
      </c>
      <c r="R1180">
        <v>2701943</v>
      </c>
    </row>
    <row r="1181" spans="1:18" x14ac:dyDescent="0.25">
      <c r="A1181" s="170">
        <v>43747</v>
      </c>
      <c r="B1181" s="116">
        <v>135.339901918214</v>
      </c>
      <c r="C1181" s="116">
        <v>134.70973761845201</v>
      </c>
      <c r="D1181" s="116">
        <v>130.10469081249499</v>
      </c>
      <c r="E1181" s="116">
        <v>131.849761181068</v>
      </c>
      <c r="F1181" s="116">
        <v>138.94999999999999</v>
      </c>
      <c r="G1181">
        <v>450364</v>
      </c>
      <c r="H1181" s="116"/>
      <c r="I1181" s="116"/>
      <c r="L1181" s="170">
        <v>43747</v>
      </c>
      <c r="M1181" s="116">
        <v>134.758423394787</v>
      </c>
      <c r="N1181" s="116">
        <v>135.38858868404299</v>
      </c>
      <c r="O1181" s="116">
        <v>130.00794659885599</v>
      </c>
      <c r="P1181" s="116">
        <v>130.832008900191</v>
      </c>
      <c r="Q1181" s="116">
        <v>139</v>
      </c>
      <c r="R1181">
        <v>2682715</v>
      </c>
    </row>
    <row r="1182" spans="1:18" x14ac:dyDescent="0.25">
      <c r="A1182" s="170">
        <v>43748</v>
      </c>
      <c r="B1182" s="116">
        <v>134.758211795356</v>
      </c>
      <c r="C1182" s="116">
        <v>133.30398648821199</v>
      </c>
      <c r="D1182" s="116">
        <v>131.21959688130599</v>
      </c>
      <c r="E1182" s="116">
        <v>133.69177990345099</v>
      </c>
      <c r="F1182" s="116">
        <v>137.5</v>
      </c>
      <c r="G1182">
        <v>404451</v>
      </c>
      <c r="H1182" s="116"/>
      <c r="I1182" s="116"/>
      <c r="L1182" s="170">
        <v>43748</v>
      </c>
      <c r="M1182" s="116">
        <v>133.20724729815601</v>
      </c>
      <c r="N1182" s="116">
        <v>134.85537190082599</v>
      </c>
      <c r="O1182" s="116">
        <v>131.17132867132901</v>
      </c>
      <c r="P1182" s="116">
        <v>133.78893833439301</v>
      </c>
      <c r="Q1182" s="116">
        <v>137.4</v>
      </c>
      <c r="R1182">
        <v>2413888</v>
      </c>
    </row>
    <row r="1183" spans="1:18" x14ac:dyDescent="0.25">
      <c r="A1183" s="170">
        <v>43749</v>
      </c>
      <c r="B1183" s="116">
        <v>134.56431508773699</v>
      </c>
      <c r="C1183" s="116">
        <v>132.72229636535499</v>
      </c>
      <c r="D1183" s="116">
        <v>130.44401005082901</v>
      </c>
      <c r="E1183" s="116">
        <v>133.497883195832</v>
      </c>
      <c r="F1183" s="116">
        <v>136.9</v>
      </c>
      <c r="G1183">
        <v>268496</v>
      </c>
      <c r="H1183" s="116"/>
      <c r="I1183" s="116"/>
      <c r="L1183" s="170">
        <v>43749</v>
      </c>
      <c r="M1183" s="116">
        <v>132.77097902097901</v>
      </c>
      <c r="N1183" s="116">
        <v>134.56452638270801</v>
      </c>
      <c r="O1183" s="116">
        <v>130.49268912905299</v>
      </c>
      <c r="P1183" s="116">
        <v>133.25572155117601</v>
      </c>
      <c r="Q1183" s="116">
        <v>136.94999999999999</v>
      </c>
      <c r="R1183">
        <v>2780875</v>
      </c>
    </row>
    <row r="1184" spans="1:18" x14ac:dyDescent="0.25">
      <c r="A1184" s="170">
        <v>43752</v>
      </c>
      <c r="B1184" s="116">
        <v>146.48896260631901</v>
      </c>
      <c r="C1184" s="116">
        <v>142.804925161554</v>
      </c>
      <c r="D1184" s="116">
        <v>132.819244719164</v>
      </c>
      <c r="E1184" s="116">
        <v>133.78872825726</v>
      </c>
      <c r="F1184" s="116">
        <v>147.30000000000001</v>
      </c>
      <c r="G1184">
        <v>972623</v>
      </c>
      <c r="H1184" s="116"/>
      <c r="I1184" s="116"/>
      <c r="L1184" s="170">
        <v>43752</v>
      </c>
      <c r="M1184" s="116">
        <v>142.61125238398</v>
      </c>
      <c r="N1184" s="116">
        <v>147.74952320406899</v>
      </c>
      <c r="O1184" s="116">
        <v>132.81945327399899</v>
      </c>
      <c r="P1184" s="116">
        <v>133.691989828353</v>
      </c>
      <c r="Q1184" s="116">
        <v>147.1</v>
      </c>
      <c r="R1184">
        <v>10795909</v>
      </c>
    </row>
    <row r="1185" spans="1:18" x14ac:dyDescent="0.25">
      <c r="A1185" s="170">
        <v>43753</v>
      </c>
      <c r="B1185" s="116">
        <v>151.14248358917999</v>
      </c>
      <c r="C1185" s="116">
        <v>150.31842258179901</v>
      </c>
      <c r="D1185" s="116">
        <v>142.223235038696</v>
      </c>
      <c r="E1185" s="116">
        <v>143.483563638221</v>
      </c>
      <c r="F1185" s="116">
        <v>155.05000000000001</v>
      </c>
      <c r="G1185">
        <v>973843</v>
      </c>
      <c r="H1185" s="116"/>
      <c r="I1185" s="116"/>
      <c r="L1185" s="170">
        <v>43753</v>
      </c>
      <c r="M1185" s="116">
        <v>150.27018436109299</v>
      </c>
      <c r="N1185" s="116">
        <v>151.09424666242799</v>
      </c>
      <c r="O1185" s="116">
        <v>142.12650985378301</v>
      </c>
      <c r="P1185" s="116">
        <v>143.19294342021601</v>
      </c>
      <c r="Q1185" s="116">
        <v>155</v>
      </c>
      <c r="R1185">
        <v>11048872</v>
      </c>
    </row>
    <row r="1186" spans="1:18" x14ac:dyDescent="0.25">
      <c r="A1186" s="170">
        <v>43754</v>
      </c>
      <c r="B1186" s="116">
        <v>156.42616887180401</v>
      </c>
      <c r="C1186" s="116">
        <v>155.31126280299401</v>
      </c>
      <c r="D1186" s="116">
        <v>149.833680812751</v>
      </c>
      <c r="E1186" s="116">
        <v>150.269948404894</v>
      </c>
      <c r="F1186" s="116">
        <v>160.19999999999999</v>
      </c>
      <c r="G1186">
        <v>652323</v>
      </c>
      <c r="H1186" s="116"/>
      <c r="I1186" s="116"/>
      <c r="L1186" s="170">
        <v>43754</v>
      </c>
      <c r="M1186" s="116">
        <v>155.26303242212299</v>
      </c>
      <c r="N1186" s="116">
        <v>155.99014621741901</v>
      </c>
      <c r="O1186" s="116">
        <v>150.27018436109299</v>
      </c>
      <c r="P1186" s="116">
        <v>150.27018436109299</v>
      </c>
      <c r="Q1186" s="116">
        <v>160.15</v>
      </c>
      <c r="R1186">
        <v>9587304</v>
      </c>
    </row>
    <row r="1187" spans="1:18" x14ac:dyDescent="0.25">
      <c r="A1187" s="170">
        <v>43755</v>
      </c>
      <c r="B1187" s="116">
        <v>160.11020631656899</v>
      </c>
      <c r="C1187" s="116">
        <v>157.63802329442399</v>
      </c>
      <c r="D1187" s="116">
        <v>152.839079780849</v>
      </c>
      <c r="E1187" s="116">
        <v>153.66314078823001</v>
      </c>
      <c r="F1187" s="116">
        <v>162.6</v>
      </c>
      <c r="G1187">
        <v>412073</v>
      </c>
      <c r="H1187" s="116"/>
      <c r="I1187" s="116"/>
      <c r="L1187" s="170">
        <v>43755</v>
      </c>
      <c r="M1187" s="116">
        <v>157.58979656706899</v>
      </c>
      <c r="N1187" s="116">
        <v>159.96503496503499</v>
      </c>
      <c r="O1187" s="116">
        <v>152.83931977113801</v>
      </c>
      <c r="P1187" s="116">
        <v>154.92371265098501</v>
      </c>
      <c r="Q1187" s="116">
        <v>162.55000000000001</v>
      </c>
      <c r="R1187">
        <v>6523046</v>
      </c>
    </row>
    <row r="1188" spans="1:18" x14ac:dyDescent="0.25">
      <c r="A1188" s="170">
        <v>43756</v>
      </c>
      <c r="B1188" s="116">
        <v>170.435205997293</v>
      </c>
      <c r="C1188" s="116">
        <v>169.853515874435</v>
      </c>
      <c r="D1188" s="116">
        <v>160.15868049347401</v>
      </c>
      <c r="E1188" s="116">
        <v>167.23591032157501</v>
      </c>
      <c r="F1188" s="116">
        <v>175.2</v>
      </c>
      <c r="G1188">
        <v>1588003</v>
      </c>
      <c r="H1188" s="116"/>
      <c r="I1188" s="116"/>
      <c r="L1188" s="170">
        <v>43756</v>
      </c>
      <c r="M1188" s="116">
        <v>169.756834075016</v>
      </c>
      <c r="N1188" s="116">
        <v>170.43547361729199</v>
      </c>
      <c r="O1188" s="116">
        <v>160.061983471074</v>
      </c>
      <c r="P1188" s="116">
        <v>169.56293706293701</v>
      </c>
      <c r="Q1188" s="116">
        <v>175.1</v>
      </c>
      <c r="R1188">
        <v>14162661</v>
      </c>
    </row>
    <row r="1189" spans="1:18" x14ac:dyDescent="0.25">
      <c r="A1189" s="170">
        <v>43760</v>
      </c>
      <c r="B1189" s="116">
        <v>174.74940774181999</v>
      </c>
      <c r="C1189" s="116">
        <v>173.10128572705699</v>
      </c>
      <c r="D1189" s="116">
        <v>168.350816390386</v>
      </c>
      <c r="E1189" s="116">
        <v>169.65961916681599</v>
      </c>
      <c r="F1189" s="116">
        <v>178.55</v>
      </c>
      <c r="G1189">
        <v>603042</v>
      </c>
      <c r="H1189" s="116"/>
      <c r="I1189" s="116"/>
      <c r="L1189" s="170">
        <v>43760</v>
      </c>
      <c r="M1189" s="116">
        <v>173.19850603941501</v>
      </c>
      <c r="N1189" s="116">
        <v>174.50731087094701</v>
      </c>
      <c r="O1189" s="116">
        <v>168.10870947234599</v>
      </c>
      <c r="P1189" s="116">
        <v>169.175143038779</v>
      </c>
      <c r="Q1189" s="116">
        <v>178.65</v>
      </c>
      <c r="R1189">
        <v>7909839</v>
      </c>
    </row>
    <row r="1190" spans="1:18" x14ac:dyDescent="0.25">
      <c r="A1190" s="170">
        <v>43761</v>
      </c>
      <c r="B1190" s="116">
        <v>173.00433737324701</v>
      </c>
      <c r="C1190" s="116">
        <v>170.91994776634101</v>
      </c>
      <c r="D1190" s="116">
        <v>167.18743614467101</v>
      </c>
      <c r="E1190" s="116">
        <v>172.56806978110399</v>
      </c>
      <c r="F1190" s="116">
        <v>176.3</v>
      </c>
      <c r="G1190">
        <v>285324</v>
      </c>
      <c r="H1190" s="116"/>
      <c r="I1190" s="116"/>
      <c r="L1190" s="170">
        <v>43761</v>
      </c>
      <c r="M1190" s="116">
        <v>171.065638906548</v>
      </c>
      <c r="N1190" s="116">
        <v>173.29545454545499</v>
      </c>
      <c r="O1190" s="116">
        <v>167.139224411952</v>
      </c>
      <c r="P1190" s="116">
        <v>173.29545454545499</v>
      </c>
      <c r="Q1190" s="116">
        <v>176.45</v>
      </c>
      <c r="R1190">
        <v>4743985</v>
      </c>
    </row>
    <row r="1191" spans="1:18" x14ac:dyDescent="0.25">
      <c r="A1191" s="170">
        <v>43762</v>
      </c>
      <c r="B1191" s="116">
        <v>174.50703685729599</v>
      </c>
      <c r="C1191" s="116">
        <v>173.586027496105</v>
      </c>
      <c r="D1191" s="116">
        <v>168.641661451815</v>
      </c>
      <c r="E1191" s="116">
        <v>170.144360935864</v>
      </c>
      <c r="F1191" s="116">
        <v>179.05</v>
      </c>
      <c r="G1191">
        <v>582787</v>
      </c>
      <c r="H1191" s="116"/>
      <c r="I1191" s="116"/>
      <c r="L1191" s="170">
        <v>43762</v>
      </c>
      <c r="M1191" s="116">
        <v>173.53782581055299</v>
      </c>
      <c r="N1191" s="116">
        <v>174.50731087094701</v>
      </c>
      <c r="O1191" s="116">
        <v>168.981246026701</v>
      </c>
      <c r="P1191" s="116">
        <v>169.65988556897599</v>
      </c>
      <c r="Q1191" s="116">
        <v>179</v>
      </c>
      <c r="R1191">
        <v>4753708</v>
      </c>
    </row>
    <row r="1192" spans="1:18" x14ac:dyDescent="0.25">
      <c r="A1192" s="170">
        <v>43763</v>
      </c>
      <c r="B1192" s="116">
        <v>178.09412594825201</v>
      </c>
      <c r="C1192" s="116">
        <v>175.282623687773</v>
      </c>
      <c r="D1192" s="116">
        <v>172.03485383515101</v>
      </c>
      <c r="E1192" s="116">
        <v>173.63450167300999</v>
      </c>
      <c r="F1192" s="116">
        <v>180.8</v>
      </c>
      <c r="G1192">
        <v>474471</v>
      </c>
      <c r="H1192" s="116"/>
      <c r="I1192" s="116"/>
      <c r="L1192" s="170">
        <v>43763</v>
      </c>
      <c r="M1192" s="116">
        <v>175.76764144946</v>
      </c>
      <c r="N1192" s="116">
        <v>178.094405594406</v>
      </c>
      <c r="O1192" s="116">
        <v>171.79275270184399</v>
      </c>
      <c r="P1192" s="116">
        <v>174.02256834075001</v>
      </c>
      <c r="Q1192" s="116">
        <v>181.3</v>
      </c>
      <c r="R1192">
        <v>7857185</v>
      </c>
    </row>
    <row r="1193" spans="1:18" x14ac:dyDescent="0.25">
      <c r="A1193" s="170">
        <v>43765</v>
      </c>
      <c r="B1193" s="116">
        <v>178.433445186585</v>
      </c>
      <c r="C1193" s="116">
        <v>177.80328088682299</v>
      </c>
      <c r="D1193" s="116">
        <v>176.05821051825001</v>
      </c>
      <c r="E1193" s="116">
        <v>176.930745702536</v>
      </c>
      <c r="F1193" s="116">
        <v>183.4</v>
      </c>
      <c r="G1193">
        <v>73188</v>
      </c>
      <c r="H1193" s="116"/>
      <c r="I1193" s="116"/>
      <c r="L1193" s="170">
        <v>43765</v>
      </c>
      <c r="M1193" s="116">
        <v>177.803560076287</v>
      </c>
      <c r="N1193" s="116">
        <v>178.627622377622</v>
      </c>
      <c r="O1193" s="116">
        <v>176.44628099173599</v>
      </c>
      <c r="P1193" s="116">
        <v>177.31881754609</v>
      </c>
      <c r="Q1193" s="116">
        <v>183.4</v>
      </c>
      <c r="R1193">
        <v>1003414</v>
      </c>
    </row>
    <row r="1194" spans="1:18" x14ac:dyDescent="0.25">
      <c r="A1194" s="170">
        <v>43767</v>
      </c>
      <c r="B1194" s="116">
        <v>190.89130865112</v>
      </c>
      <c r="C1194" s="116">
        <v>189.243186636357</v>
      </c>
      <c r="D1194" s="116">
        <v>177.02769405634601</v>
      </c>
      <c r="E1194" s="116">
        <v>178.38497100967999</v>
      </c>
      <c r="F1194" s="116">
        <v>195.2</v>
      </c>
      <c r="G1194">
        <v>724573</v>
      </c>
      <c r="H1194" s="116"/>
      <c r="I1194" s="116"/>
      <c r="L1194" s="170">
        <v>43767</v>
      </c>
      <c r="M1194" s="116">
        <v>189.582803560076</v>
      </c>
      <c r="N1194" s="116">
        <v>190.98855689764801</v>
      </c>
      <c r="O1194" s="116">
        <v>176.785600762873</v>
      </c>
      <c r="P1194" s="116">
        <v>177.22186904005099</v>
      </c>
      <c r="Q1194" s="116">
        <v>195.55</v>
      </c>
      <c r="R1194">
        <v>9534790</v>
      </c>
    </row>
    <row r="1195" spans="1:18" x14ac:dyDescent="0.25">
      <c r="A1195" s="170">
        <v>43768</v>
      </c>
      <c r="B1195" s="116">
        <v>191.27910206635801</v>
      </c>
      <c r="C1195" s="116">
        <v>189.43708334397601</v>
      </c>
      <c r="D1195" s="116">
        <v>186.43168437587801</v>
      </c>
      <c r="E1195" s="116">
        <v>189.04928992873701</v>
      </c>
      <c r="F1195" s="116">
        <v>195.4</v>
      </c>
      <c r="G1195">
        <v>364090</v>
      </c>
      <c r="H1195" s="116"/>
      <c r="I1195" s="116"/>
      <c r="L1195" s="170">
        <v>43768</v>
      </c>
      <c r="M1195" s="116">
        <v>189.77670057215499</v>
      </c>
      <c r="N1195" s="116">
        <v>191.424825174825</v>
      </c>
      <c r="O1195" s="116">
        <v>186.431977113795</v>
      </c>
      <c r="P1195" s="116">
        <v>188.41942148760299</v>
      </c>
      <c r="Q1195" s="116">
        <v>195.75</v>
      </c>
      <c r="R1195">
        <v>4791525</v>
      </c>
    </row>
    <row r="1196" spans="1:18" x14ac:dyDescent="0.25">
      <c r="A1196" s="170">
        <v>43769</v>
      </c>
      <c r="B1196" s="116">
        <v>195.01161368802801</v>
      </c>
      <c r="C1196" s="116">
        <v>193.16959496564601</v>
      </c>
      <c r="D1196" s="116">
        <v>190.01877346683401</v>
      </c>
      <c r="E1196" s="116">
        <v>191.47299877397799</v>
      </c>
      <c r="F1196" s="116">
        <v>199.25</v>
      </c>
      <c r="G1196">
        <v>861727</v>
      </c>
      <c r="H1196" s="116"/>
      <c r="I1196" s="116"/>
      <c r="L1196" s="170">
        <v>43769</v>
      </c>
      <c r="M1196" s="116">
        <v>193.55769230769201</v>
      </c>
      <c r="N1196" s="116">
        <v>195.15734265734301</v>
      </c>
      <c r="O1196" s="116">
        <v>190.01907183725399</v>
      </c>
      <c r="P1196" s="116">
        <v>190.69771137953001</v>
      </c>
      <c r="Q1196" s="116">
        <v>199.65</v>
      </c>
      <c r="R1196">
        <v>6584768</v>
      </c>
    </row>
    <row r="1197" spans="1:18" x14ac:dyDescent="0.25">
      <c r="A1197" s="170">
        <v>43770</v>
      </c>
      <c r="B1197" s="116">
        <v>196.22346811064901</v>
      </c>
      <c r="C1197" s="116">
        <v>194.28450103445601</v>
      </c>
      <c r="D1197" s="116">
        <v>190.600463589691</v>
      </c>
      <c r="E1197" s="116">
        <v>192.92722408112201</v>
      </c>
      <c r="F1197" s="116">
        <v>200.4</v>
      </c>
      <c r="G1197">
        <v>730436</v>
      </c>
      <c r="H1197" s="116"/>
      <c r="I1197" s="116"/>
      <c r="L1197" s="170">
        <v>43770</v>
      </c>
      <c r="M1197" s="116">
        <v>194.333280356008</v>
      </c>
      <c r="N1197" s="116">
        <v>196.22377622377601</v>
      </c>
      <c r="O1197" s="116">
        <v>190.21296884933199</v>
      </c>
      <c r="P1197" s="116">
        <v>192.927527018436</v>
      </c>
      <c r="Q1197" s="116">
        <v>200.45</v>
      </c>
      <c r="R1197">
        <v>3522957</v>
      </c>
    </row>
    <row r="1198" spans="1:18" x14ac:dyDescent="0.25">
      <c r="A1198" s="170">
        <v>43773</v>
      </c>
      <c r="B1198" s="116">
        <v>197.58074506398299</v>
      </c>
      <c r="C1198" s="116">
        <v>194.478397742076</v>
      </c>
      <c r="D1198" s="116">
        <v>192.297059781359</v>
      </c>
      <c r="E1198" s="116">
        <v>193.99365597302801</v>
      </c>
      <c r="F1198" s="116">
        <v>200.6</v>
      </c>
      <c r="G1198">
        <v>655329</v>
      </c>
      <c r="H1198" s="116"/>
      <c r="I1198" s="116"/>
      <c r="L1198" s="170">
        <v>43773</v>
      </c>
      <c r="M1198" s="116">
        <v>194.769548633185</v>
      </c>
      <c r="N1198" s="116">
        <v>197.678003814367</v>
      </c>
      <c r="O1198" s="116">
        <v>192.20041322314</v>
      </c>
      <c r="P1198" s="116">
        <v>194.818022886205</v>
      </c>
      <c r="Q1198" s="116">
        <v>200.9</v>
      </c>
      <c r="R1198">
        <v>3965499</v>
      </c>
    </row>
    <row r="1199" spans="1:18" x14ac:dyDescent="0.25">
      <c r="A1199" s="170">
        <v>43774</v>
      </c>
      <c r="B1199" s="116">
        <v>195.447881280172</v>
      </c>
      <c r="C1199" s="116">
        <v>194.28450103445601</v>
      </c>
      <c r="D1199" s="116">
        <v>191.715369658502</v>
      </c>
      <c r="E1199" s="116">
        <v>193.89670761921801</v>
      </c>
      <c r="F1199" s="116">
        <v>200.4</v>
      </c>
      <c r="G1199">
        <v>850952</v>
      </c>
      <c r="H1199" s="116"/>
      <c r="I1199" s="116"/>
      <c r="L1199" s="170">
        <v>43774</v>
      </c>
      <c r="M1199" s="116">
        <v>194.43022886204699</v>
      </c>
      <c r="N1199" s="116">
        <v>195.35123966942101</v>
      </c>
      <c r="O1199" s="116">
        <v>191.667196439924</v>
      </c>
      <c r="P1199" s="116">
        <v>193.89701207882999</v>
      </c>
      <c r="Q1199" s="116">
        <v>200.55</v>
      </c>
      <c r="R1199">
        <v>2326138</v>
      </c>
    </row>
    <row r="1200" spans="1:18" x14ac:dyDescent="0.25">
      <c r="A1200" s="170">
        <v>43775</v>
      </c>
      <c r="B1200" s="116">
        <v>203.25222376184499</v>
      </c>
      <c r="C1200" s="116">
        <v>201.16783415493899</v>
      </c>
      <c r="D1200" s="116">
        <v>192.73332737350299</v>
      </c>
      <c r="E1200" s="116">
        <v>192.97569825802699</v>
      </c>
      <c r="F1200" s="116">
        <v>207.5</v>
      </c>
      <c r="G1200">
        <v>685469</v>
      </c>
      <c r="H1200" s="116"/>
      <c r="I1200" s="116"/>
      <c r="L1200" s="170">
        <v>43775</v>
      </c>
      <c r="M1200" s="116">
        <v>201.21662428480599</v>
      </c>
      <c r="N1200" s="116">
        <v>203.30101716465401</v>
      </c>
      <c r="O1200" s="116">
        <v>192.53973299427801</v>
      </c>
      <c r="P1200" s="116">
        <v>192.927527018436</v>
      </c>
      <c r="Q1200" s="116">
        <v>207.55</v>
      </c>
      <c r="R1200">
        <v>6220311</v>
      </c>
    </row>
    <row r="1201" spans="1:18" x14ac:dyDescent="0.25">
      <c r="A1201" s="170">
        <v>43776</v>
      </c>
      <c r="B1201" s="116">
        <v>203.93086223851199</v>
      </c>
      <c r="C1201" s="116">
        <v>202.71900781589201</v>
      </c>
      <c r="D1201" s="116">
        <v>199.22886707874599</v>
      </c>
      <c r="E1201" s="116">
        <v>200.87698909350999</v>
      </c>
      <c r="F1201" s="116">
        <v>209.1</v>
      </c>
      <c r="G1201">
        <v>599899</v>
      </c>
      <c r="H1201" s="116"/>
      <c r="I1201" s="116"/>
      <c r="L1201" s="170">
        <v>43776</v>
      </c>
      <c r="M1201" s="116">
        <v>202.76780038143701</v>
      </c>
      <c r="N1201" s="116">
        <v>203.97965670692901</v>
      </c>
      <c r="O1201" s="116">
        <v>199.229179910998</v>
      </c>
      <c r="P1201" s="116">
        <v>201.555944055944</v>
      </c>
      <c r="Q1201" s="116">
        <v>209.15</v>
      </c>
      <c r="R1201">
        <v>3959490</v>
      </c>
    </row>
    <row r="1202" spans="1:18" x14ac:dyDescent="0.25">
      <c r="A1202" s="170">
        <v>43777</v>
      </c>
      <c r="B1202" s="116">
        <v>205.433561722561</v>
      </c>
      <c r="C1202" s="116">
        <v>201.99189516231999</v>
      </c>
      <c r="D1202" s="116">
        <v>199.90750555541399</v>
      </c>
      <c r="E1202" s="116">
        <v>203.00985287732101</v>
      </c>
      <c r="F1202" s="116">
        <v>208.35</v>
      </c>
      <c r="G1202">
        <v>1205854</v>
      </c>
      <c r="H1202" s="116"/>
      <c r="I1202" s="116"/>
      <c r="L1202" s="170">
        <v>43777</v>
      </c>
      <c r="M1202" s="116">
        <v>201.70136681500301</v>
      </c>
      <c r="N1202" s="116">
        <v>205.53083280356</v>
      </c>
      <c r="O1202" s="116">
        <v>199.90781945327399</v>
      </c>
      <c r="P1202" s="116">
        <v>202.331532104259</v>
      </c>
      <c r="Q1202" s="116">
        <v>208.05</v>
      </c>
      <c r="R1202">
        <v>4057743</v>
      </c>
    </row>
    <row r="1203" spans="1:18" x14ac:dyDescent="0.25">
      <c r="A1203" s="170">
        <v>43780</v>
      </c>
      <c r="B1203" s="116">
        <v>205.72440678398999</v>
      </c>
      <c r="C1203" s="116">
        <v>204.464078184465</v>
      </c>
      <c r="D1203" s="116">
        <v>200.19835061684199</v>
      </c>
      <c r="E1203" s="116">
        <v>201.45867921636699</v>
      </c>
      <c r="F1203" s="116">
        <v>210.9</v>
      </c>
      <c r="G1203">
        <v>309101</v>
      </c>
      <c r="H1203" s="116"/>
      <c r="I1203" s="116"/>
      <c r="L1203" s="170">
        <v>43780</v>
      </c>
      <c r="M1203" s="116">
        <v>204.41592498410699</v>
      </c>
      <c r="N1203" s="116">
        <v>205.773204068659</v>
      </c>
      <c r="O1203" s="116">
        <v>199.762396694215</v>
      </c>
      <c r="P1203" s="116">
        <v>200.63493324857001</v>
      </c>
      <c r="Q1203" s="116">
        <v>210.85</v>
      </c>
      <c r="R1203">
        <v>2907157</v>
      </c>
    </row>
    <row r="1204" spans="1:18" x14ac:dyDescent="0.25">
      <c r="A1204" s="170">
        <v>43782</v>
      </c>
      <c r="B1204" s="116">
        <v>204.27018147684601</v>
      </c>
      <c r="C1204" s="116">
        <v>192.151637250645</v>
      </c>
      <c r="D1204" s="116">
        <v>188.419125628975</v>
      </c>
      <c r="E1204" s="116">
        <v>200.19835061684199</v>
      </c>
      <c r="F1204" s="116">
        <v>198.2</v>
      </c>
      <c r="G1204">
        <v>1194645</v>
      </c>
      <c r="H1204" s="116"/>
      <c r="I1204" s="116"/>
      <c r="L1204" s="170">
        <v>43782</v>
      </c>
      <c r="M1204" s="116">
        <v>192.15193897012099</v>
      </c>
      <c r="N1204" s="116">
        <v>204.31897647806699</v>
      </c>
      <c r="O1204" s="116">
        <v>188.37094723458401</v>
      </c>
      <c r="P1204" s="116">
        <v>202.622377622378</v>
      </c>
      <c r="Q1204" s="116">
        <v>198.2</v>
      </c>
      <c r="R1204">
        <v>9836594</v>
      </c>
    </row>
    <row r="1205" spans="1:18" x14ac:dyDescent="0.25">
      <c r="A1205" s="170">
        <v>43783</v>
      </c>
      <c r="B1205" s="116">
        <v>197.04752911803001</v>
      </c>
      <c r="C1205" s="116">
        <v>195.78720051850499</v>
      </c>
      <c r="D1205" s="116">
        <v>188.07980639064101</v>
      </c>
      <c r="E1205" s="116">
        <v>191.47299877397799</v>
      </c>
      <c r="F1205" s="116">
        <v>201.95</v>
      </c>
      <c r="G1205">
        <v>844195</v>
      </c>
      <c r="H1205" s="116"/>
      <c r="I1205" s="116"/>
      <c r="L1205" s="170">
        <v>43783</v>
      </c>
      <c r="M1205" s="116">
        <v>196.126827717737</v>
      </c>
      <c r="N1205" s="116">
        <v>196.95089001907201</v>
      </c>
      <c r="O1205" s="116">
        <v>188.12857596948501</v>
      </c>
      <c r="P1205" s="116">
        <v>190.26144310235199</v>
      </c>
      <c r="Q1205" s="116">
        <v>202.3</v>
      </c>
      <c r="R1205">
        <v>4141184</v>
      </c>
    </row>
    <row r="1206" spans="1:18" x14ac:dyDescent="0.25">
      <c r="A1206" s="170">
        <v>43784</v>
      </c>
      <c r="B1206" s="116">
        <v>198.74412530969801</v>
      </c>
      <c r="C1206" s="116">
        <v>197.241425825649</v>
      </c>
      <c r="D1206" s="116">
        <v>194.81771698040899</v>
      </c>
      <c r="E1206" s="116">
        <v>196.029571403029</v>
      </c>
      <c r="F1206" s="116">
        <v>203.45</v>
      </c>
      <c r="G1206">
        <v>822802</v>
      </c>
      <c r="H1206" s="116"/>
      <c r="I1206" s="116"/>
      <c r="L1206" s="170">
        <v>43784</v>
      </c>
      <c r="M1206" s="116">
        <v>197.387158296249</v>
      </c>
      <c r="N1206" s="116">
        <v>198.744437380801</v>
      </c>
      <c r="O1206" s="116">
        <v>194.67260012714601</v>
      </c>
      <c r="P1206" s="116">
        <v>195.835982199619</v>
      </c>
      <c r="Q1206" s="116">
        <v>203.6</v>
      </c>
      <c r="R1206">
        <v>3314555</v>
      </c>
    </row>
    <row r="1207" spans="1:18" x14ac:dyDescent="0.25">
      <c r="A1207" s="170">
        <v>43787</v>
      </c>
      <c r="B1207" s="116">
        <v>199.422763786366</v>
      </c>
      <c r="C1207" s="116">
        <v>195.060087864933</v>
      </c>
      <c r="D1207" s="116">
        <v>194.38144938826599</v>
      </c>
      <c r="E1207" s="116">
        <v>199.422763786366</v>
      </c>
      <c r="F1207" s="116">
        <v>201.2</v>
      </c>
      <c r="G1207">
        <v>217856</v>
      </c>
      <c r="H1207" s="116"/>
      <c r="I1207" s="116"/>
      <c r="L1207" s="170">
        <v>43787</v>
      </c>
      <c r="M1207" s="116">
        <v>195.01191989828399</v>
      </c>
      <c r="N1207" s="116">
        <v>199.32612841703701</v>
      </c>
      <c r="O1207" s="116">
        <v>193.99396058487</v>
      </c>
      <c r="P1207" s="116">
        <v>197.58105530832799</v>
      </c>
      <c r="Q1207" s="116">
        <v>201.15</v>
      </c>
      <c r="R1207">
        <v>2041767</v>
      </c>
    </row>
    <row r="1208" spans="1:18" x14ac:dyDescent="0.25">
      <c r="A1208" s="170">
        <v>43788</v>
      </c>
      <c r="B1208" s="116">
        <v>196.22346811064901</v>
      </c>
      <c r="C1208" s="116">
        <v>193.654336734694</v>
      </c>
      <c r="D1208" s="116">
        <v>190.40656688207201</v>
      </c>
      <c r="E1208" s="116">
        <v>195.83567469541001</v>
      </c>
      <c r="F1208" s="116">
        <v>199.75</v>
      </c>
      <c r="G1208">
        <v>494945</v>
      </c>
      <c r="H1208" s="116"/>
      <c r="I1208" s="116"/>
      <c r="L1208" s="170">
        <v>43788</v>
      </c>
      <c r="M1208" s="116">
        <v>193.60616656071201</v>
      </c>
      <c r="N1208" s="116">
        <v>196.41767323585501</v>
      </c>
      <c r="O1208" s="116">
        <v>190.26144310235199</v>
      </c>
      <c r="P1208" s="116">
        <v>195.835982199619</v>
      </c>
      <c r="Q1208" s="116">
        <v>199.7</v>
      </c>
      <c r="R1208">
        <v>2954848</v>
      </c>
    </row>
    <row r="1209" spans="1:18" x14ac:dyDescent="0.25">
      <c r="A1209" s="170">
        <v>43789</v>
      </c>
      <c r="B1209" s="116">
        <v>201.02241162422399</v>
      </c>
      <c r="C1209" s="116">
        <v>199.51971214017499</v>
      </c>
      <c r="D1209" s="116">
        <v>192.151637250645</v>
      </c>
      <c r="E1209" s="116">
        <v>192.151637250645</v>
      </c>
      <c r="F1209" s="116">
        <v>205.8</v>
      </c>
      <c r="G1209">
        <v>736205</v>
      </c>
      <c r="H1209" s="116"/>
      <c r="I1209" s="116"/>
      <c r="L1209" s="170">
        <v>43789</v>
      </c>
      <c r="M1209" s="116">
        <v>199.42307692307699</v>
      </c>
      <c r="N1209" s="116">
        <v>201.119675778767</v>
      </c>
      <c r="O1209" s="116">
        <v>192.05499046408099</v>
      </c>
      <c r="P1209" s="116">
        <v>192.442784488239</v>
      </c>
      <c r="Q1209" s="116">
        <v>205.7</v>
      </c>
      <c r="R1209">
        <v>3488019</v>
      </c>
    </row>
    <row r="1210" spans="1:18" x14ac:dyDescent="0.25">
      <c r="A1210" s="170">
        <v>43790</v>
      </c>
      <c r="B1210" s="116">
        <v>202.57358528517801</v>
      </c>
      <c r="C1210" s="116">
        <v>199.27734125565101</v>
      </c>
      <c r="D1210" s="116">
        <v>195.83567469541001</v>
      </c>
      <c r="E1210" s="116">
        <v>199.51971214017499</v>
      </c>
      <c r="F1210" s="116">
        <v>205.55</v>
      </c>
      <c r="G1210">
        <v>689585</v>
      </c>
      <c r="H1210" s="116"/>
      <c r="I1210" s="116"/>
      <c r="L1210" s="170">
        <v>43790</v>
      </c>
      <c r="M1210" s="116">
        <v>199.229179910998</v>
      </c>
      <c r="N1210" s="116">
        <v>202.622377622378</v>
      </c>
      <c r="O1210" s="116">
        <v>195.78750794659899</v>
      </c>
      <c r="P1210" s="116">
        <v>200.58645899555</v>
      </c>
      <c r="Q1210" s="116">
        <v>205.5</v>
      </c>
      <c r="R1210">
        <v>4409698</v>
      </c>
    </row>
    <row r="1211" spans="1:18" x14ac:dyDescent="0.25">
      <c r="A1211" s="170">
        <v>43791</v>
      </c>
      <c r="B1211" s="116">
        <v>200.24682479374701</v>
      </c>
      <c r="C1211" s="116">
        <v>197.386848356364</v>
      </c>
      <c r="D1211" s="116">
        <v>193.99365597302801</v>
      </c>
      <c r="E1211" s="116">
        <v>196.999054941125</v>
      </c>
      <c r="F1211" s="116">
        <v>203.6</v>
      </c>
      <c r="G1211">
        <v>705210</v>
      </c>
      <c r="H1211" s="116"/>
      <c r="I1211" s="116"/>
      <c r="L1211" s="170">
        <v>43791</v>
      </c>
      <c r="M1211" s="116">
        <v>197.24173553719001</v>
      </c>
      <c r="N1211" s="116">
        <v>200.004767959313</v>
      </c>
      <c r="O1211" s="116">
        <v>193.99396058487</v>
      </c>
      <c r="P1211" s="116">
        <v>198.50206611570201</v>
      </c>
      <c r="Q1211" s="116">
        <v>203.45</v>
      </c>
      <c r="R1211">
        <v>2545651</v>
      </c>
    </row>
    <row r="1212" spans="1:18" x14ac:dyDescent="0.25">
      <c r="A1212" s="170">
        <v>43794</v>
      </c>
      <c r="B1212" s="116">
        <v>209.55386675947</v>
      </c>
      <c r="C1212" s="116">
        <v>208.63285739827799</v>
      </c>
      <c r="D1212" s="116">
        <v>196.17499393374399</v>
      </c>
      <c r="E1212" s="116">
        <v>196.17499393374399</v>
      </c>
      <c r="F1212" s="116">
        <v>215.2</v>
      </c>
      <c r="G1212">
        <v>1123029</v>
      </c>
      <c r="H1212" s="116"/>
      <c r="I1212" s="116"/>
      <c r="L1212" s="170">
        <v>43794</v>
      </c>
      <c r="M1212" s="116">
        <v>208.633184996821</v>
      </c>
      <c r="N1212" s="116">
        <v>209.651144310235</v>
      </c>
      <c r="O1212" s="116">
        <v>195.44818817546101</v>
      </c>
      <c r="P1212" s="116">
        <v>195.73903369357899</v>
      </c>
      <c r="Q1212" s="116">
        <v>215.2</v>
      </c>
      <c r="R1212">
        <v>6805228</v>
      </c>
    </row>
    <row r="1213" spans="1:18" x14ac:dyDescent="0.25">
      <c r="A1213" s="170">
        <v>43795</v>
      </c>
      <c r="B1213" s="116">
        <v>211.056566243519</v>
      </c>
      <c r="C1213" s="116">
        <v>204.027810592322</v>
      </c>
      <c r="D1213" s="116">
        <v>200.87698909350999</v>
      </c>
      <c r="E1213" s="116">
        <v>209.11759916732601</v>
      </c>
      <c r="F1213" s="116">
        <v>210.45</v>
      </c>
      <c r="G1213">
        <v>619885</v>
      </c>
      <c r="H1213" s="116"/>
      <c r="I1213" s="116"/>
      <c r="L1213" s="170">
        <v>43795</v>
      </c>
      <c r="M1213" s="116">
        <v>204.173553719008</v>
      </c>
      <c r="N1213" s="116">
        <v>211.05689764780701</v>
      </c>
      <c r="O1213" s="116">
        <v>200.828830260648</v>
      </c>
      <c r="P1213" s="116">
        <v>208.19691671964401</v>
      </c>
      <c r="Q1213" s="116">
        <v>210.6</v>
      </c>
      <c r="R1213">
        <v>5247790</v>
      </c>
    </row>
    <row r="1214" spans="1:18" x14ac:dyDescent="0.25">
      <c r="A1214" s="170">
        <v>43796</v>
      </c>
      <c r="B1214" s="116">
        <v>208.53590904446901</v>
      </c>
      <c r="C1214" s="116">
        <v>207.22710626803899</v>
      </c>
      <c r="D1214" s="116">
        <v>201.652575923987</v>
      </c>
      <c r="E1214" s="116">
        <v>201.652575923987</v>
      </c>
      <c r="F1214" s="116">
        <v>213.75</v>
      </c>
      <c r="G1214">
        <v>699779</v>
      </c>
      <c r="H1214" s="116"/>
      <c r="I1214" s="116"/>
      <c r="L1214" s="170">
        <v>43796</v>
      </c>
      <c r="M1214" s="116">
        <v>207.033534647171</v>
      </c>
      <c r="N1214" s="116">
        <v>208.633184996821</v>
      </c>
      <c r="O1214" s="116">
        <v>202.137635092181</v>
      </c>
      <c r="P1214" s="116">
        <v>203.49491417673201</v>
      </c>
      <c r="Q1214" s="116">
        <v>213.55</v>
      </c>
      <c r="R1214">
        <v>4051404</v>
      </c>
    </row>
    <row r="1215" spans="1:18" x14ac:dyDescent="0.25">
      <c r="A1215" s="170">
        <v>43797</v>
      </c>
      <c r="B1215" s="116">
        <v>209.65081511327901</v>
      </c>
      <c r="C1215" s="116">
        <v>206.69389032208599</v>
      </c>
      <c r="D1215" s="116">
        <v>204.27018147684601</v>
      </c>
      <c r="E1215" s="116">
        <v>206.69389032208599</v>
      </c>
      <c r="F1215" s="116">
        <v>213.2</v>
      </c>
      <c r="G1215">
        <v>744054</v>
      </c>
      <c r="H1215" s="116"/>
      <c r="I1215" s="116"/>
      <c r="L1215" s="170">
        <v>43797</v>
      </c>
      <c r="M1215" s="116">
        <v>206.597266369994</v>
      </c>
      <c r="N1215" s="116">
        <v>209.60267005721499</v>
      </c>
      <c r="O1215" s="116">
        <v>204.07660521296901</v>
      </c>
      <c r="P1215" s="116">
        <v>206.306420851875</v>
      </c>
      <c r="Q1215" s="116">
        <v>213.1</v>
      </c>
      <c r="R1215">
        <v>4234343</v>
      </c>
    </row>
    <row r="1216" spans="1:18" x14ac:dyDescent="0.25">
      <c r="A1216" s="170">
        <v>43798</v>
      </c>
      <c r="B1216" s="116">
        <v>214.643655334474</v>
      </c>
      <c r="C1216" s="116">
        <v>208.19658980613499</v>
      </c>
      <c r="D1216" s="116">
        <v>205.19119083803699</v>
      </c>
      <c r="E1216" s="116">
        <v>208.24506398304001</v>
      </c>
      <c r="F1216" s="116">
        <v>214.75</v>
      </c>
      <c r="G1216">
        <v>1081152</v>
      </c>
      <c r="H1216" s="116"/>
      <c r="I1216" s="116"/>
      <c r="L1216" s="170">
        <v>43798</v>
      </c>
      <c r="M1216" s="116">
        <v>208.342339478703</v>
      </c>
      <c r="N1216" s="116">
        <v>214.74094087730501</v>
      </c>
      <c r="O1216" s="116">
        <v>205.239987285442</v>
      </c>
      <c r="P1216" s="116">
        <v>205.91862682771799</v>
      </c>
      <c r="Q1216" s="116">
        <v>214.9</v>
      </c>
      <c r="R1216">
        <v>7969827</v>
      </c>
    </row>
    <row r="1217" spans="1:18" x14ac:dyDescent="0.25">
      <c r="A1217" s="170">
        <v>43801</v>
      </c>
      <c r="B1217" s="116">
        <v>207.22710626803899</v>
      </c>
      <c r="C1217" s="116">
        <v>202.47663693136801</v>
      </c>
      <c r="D1217" s="116">
        <v>199.81055720160401</v>
      </c>
      <c r="E1217" s="116">
        <v>206.499993614467</v>
      </c>
      <c r="F1217" s="116">
        <v>208.85</v>
      </c>
      <c r="G1217">
        <v>387094</v>
      </c>
      <c r="H1217" s="116"/>
      <c r="I1217" s="116"/>
      <c r="L1217" s="170">
        <v>43801</v>
      </c>
      <c r="M1217" s="116">
        <v>202.622377622378</v>
      </c>
      <c r="N1217" s="116">
        <v>207.17895740623001</v>
      </c>
      <c r="O1217" s="116">
        <v>199.762396694215</v>
      </c>
      <c r="P1217" s="116">
        <v>205.53083280356</v>
      </c>
      <c r="Q1217" s="116">
        <v>209</v>
      </c>
      <c r="R1217">
        <v>3169460</v>
      </c>
    </row>
    <row r="1218" spans="1:18" x14ac:dyDescent="0.25">
      <c r="A1218" s="170">
        <v>43802</v>
      </c>
      <c r="B1218" s="116">
        <v>203.49459464636899</v>
      </c>
      <c r="C1218" s="116">
        <v>201.36173086255801</v>
      </c>
      <c r="D1218" s="116">
        <v>197.48379671017301</v>
      </c>
      <c r="E1218" s="116">
        <v>202.42816275446401</v>
      </c>
      <c r="F1218" s="116">
        <v>207.7</v>
      </c>
      <c r="G1218">
        <v>420030</v>
      </c>
      <c r="H1218" s="116"/>
      <c r="I1218" s="116"/>
      <c r="L1218" s="170">
        <v>43802</v>
      </c>
      <c r="M1218" s="116">
        <v>201.50746980292399</v>
      </c>
      <c r="N1218" s="116">
        <v>203.54338842975201</v>
      </c>
      <c r="O1218" s="116">
        <v>197.33868404322899</v>
      </c>
      <c r="P1218" s="116">
        <v>201.65289256198301</v>
      </c>
      <c r="Q1218" s="116">
        <v>207.85</v>
      </c>
      <c r="R1218">
        <v>2382612</v>
      </c>
    </row>
    <row r="1219" spans="1:18" x14ac:dyDescent="0.25">
      <c r="A1219" s="170">
        <v>43803</v>
      </c>
      <c r="B1219" s="116">
        <v>206.98473538351499</v>
      </c>
      <c r="C1219" s="116">
        <v>205.530510076371</v>
      </c>
      <c r="D1219" s="116">
        <v>198.74412530969801</v>
      </c>
      <c r="E1219" s="116">
        <v>200.004453909223</v>
      </c>
      <c r="F1219" s="116">
        <v>212</v>
      </c>
      <c r="G1219">
        <v>269544</v>
      </c>
      <c r="H1219" s="116"/>
      <c r="I1219" s="116"/>
      <c r="L1219" s="170">
        <v>43803</v>
      </c>
      <c r="M1219" s="116">
        <v>205.967101080737</v>
      </c>
      <c r="N1219" s="116">
        <v>206.98506039415099</v>
      </c>
      <c r="O1219" s="116">
        <v>199.03528289891901</v>
      </c>
      <c r="P1219" s="116">
        <v>199.520025429116</v>
      </c>
      <c r="Q1219" s="116">
        <v>212.45</v>
      </c>
      <c r="R1219">
        <v>2917279</v>
      </c>
    </row>
    <row r="1220" spans="1:18" x14ac:dyDescent="0.25">
      <c r="A1220" s="170">
        <v>43804</v>
      </c>
      <c r="B1220" s="116">
        <v>207.51795132946799</v>
      </c>
      <c r="C1220" s="116">
        <v>201.84647263160599</v>
      </c>
      <c r="D1220" s="116">
        <v>201.07088580112901</v>
      </c>
      <c r="E1220" s="116">
        <v>207.469477152563</v>
      </c>
      <c r="F1220" s="116">
        <v>208.2</v>
      </c>
      <c r="G1220">
        <v>246224</v>
      </c>
      <c r="H1220" s="116"/>
      <c r="I1220" s="116"/>
      <c r="L1220" s="170">
        <v>43804</v>
      </c>
      <c r="M1220" s="116">
        <v>202.04068658614099</v>
      </c>
      <c r="N1220" s="116">
        <v>207.17895740623001</v>
      </c>
      <c r="O1220" s="116">
        <v>201.022727272727</v>
      </c>
      <c r="P1220" s="116">
        <v>206.500317863954</v>
      </c>
      <c r="Q1220" s="116">
        <v>208.4</v>
      </c>
      <c r="R1220">
        <v>2309030</v>
      </c>
    </row>
    <row r="1221" spans="1:18" x14ac:dyDescent="0.25">
      <c r="A1221" s="170">
        <v>43805</v>
      </c>
      <c r="B1221" s="116">
        <v>203.736965530893</v>
      </c>
      <c r="C1221" s="116">
        <v>200.10140226303301</v>
      </c>
      <c r="D1221" s="116">
        <v>198.889547840413</v>
      </c>
      <c r="E1221" s="116">
        <v>203.49459464636899</v>
      </c>
      <c r="F1221" s="116">
        <v>206.4</v>
      </c>
      <c r="G1221">
        <v>234082</v>
      </c>
      <c r="H1221" s="116"/>
      <c r="I1221" s="116"/>
      <c r="L1221" s="170">
        <v>43805</v>
      </c>
      <c r="M1221" s="116">
        <v>200.19866497139199</v>
      </c>
      <c r="N1221" s="116">
        <v>203.640336935791</v>
      </c>
      <c r="O1221" s="116">
        <v>198.79291163382101</v>
      </c>
      <c r="P1221" s="116">
        <v>202.089160839161</v>
      </c>
      <c r="Q1221" s="116">
        <v>206.5</v>
      </c>
      <c r="R1221">
        <v>1958477</v>
      </c>
    </row>
    <row r="1222" spans="1:18" x14ac:dyDescent="0.25">
      <c r="A1222" s="170">
        <v>43808</v>
      </c>
      <c r="B1222" s="116">
        <v>203.20374958494</v>
      </c>
      <c r="C1222" s="116">
        <v>201.119359978034</v>
      </c>
      <c r="D1222" s="116">
        <v>196.32041646445799</v>
      </c>
      <c r="E1222" s="116">
        <v>199.61666049398499</v>
      </c>
      <c r="F1222" s="116">
        <v>207.45</v>
      </c>
      <c r="G1222">
        <v>227531</v>
      </c>
      <c r="H1222" s="116"/>
      <c r="I1222" s="116"/>
      <c r="L1222" s="170">
        <v>43808</v>
      </c>
      <c r="M1222" s="116">
        <v>201.119675778767</v>
      </c>
      <c r="N1222" s="116">
        <v>203.30101716465401</v>
      </c>
      <c r="O1222" s="116">
        <v>196.22377622377601</v>
      </c>
      <c r="P1222" s="116">
        <v>199.61697393515601</v>
      </c>
      <c r="Q1222" s="116">
        <v>207.45</v>
      </c>
      <c r="R1222">
        <v>2550809</v>
      </c>
    </row>
    <row r="1223" spans="1:18" x14ac:dyDescent="0.25">
      <c r="A1223" s="170">
        <v>43809</v>
      </c>
      <c r="B1223" s="116">
        <v>201.74952427779601</v>
      </c>
      <c r="C1223" s="116">
        <v>197.77464177160201</v>
      </c>
      <c r="D1223" s="116">
        <v>197.14447747183999</v>
      </c>
      <c r="E1223" s="116">
        <v>201.119359978034</v>
      </c>
      <c r="F1223" s="116">
        <v>204</v>
      </c>
      <c r="G1223">
        <v>202459</v>
      </c>
      <c r="H1223" s="116"/>
      <c r="I1223" s="116"/>
      <c r="L1223" s="170">
        <v>43809</v>
      </c>
      <c r="M1223" s="116">
        <v>197.968849332486</v>
      </c>
      <c r="N1223" s="116">
        <v>201.846789574062</v>
      </c>
      <c r="O1223" s="116">
        <v>197.09631277813099</v>
      </c>
      <c r="P1223" s="116">
        <v>201.119675778767</v>
      </c>
      <c r="Q1223" s="116">
        <v>204.2</v>
      </c>
      <c r="R1223">
        <v>2139886</v>
      </c>
    </row>
    <row r="1224" spans="1:18" x14ac:dyDescent="0.25">
      <c r="A1224" s="170">
        <v>43810</v>
      </c>
      <c r="B1224" s="116">
        <v>201.41020503946299</v>
      </c>
      <c r="C1224" s="116">
        <v>199.859031378509</v>
      </c>
      <c r="D1224" s="116">
        <v>196.61126152588699</v>
      </c>
      <c r="E1224" s="116">
        <v>197.77464177160201</v>
      </c>
      <c r="F1224" s="116">
        <v>206.15</v>
      </c>
      <c r="G1224">
        <v>409482</v>
      </c>
      <c r="H1224" s="116"/>
      <c r="I1224" s="116"/>
      <c r="L1224" s="170">
        <v>43810</v>
      </c>
      <c r="M1224" s="116">
        <v>199.85934520025401</v>
      </c>
      <c r="N1224" s="116">
        <v>201.45899554990501</v>
      </c>
      <c r="O1224" s="116">
        <v>196.46614748887501</v>
      </c>
      <c r="P1224" s="116">
        <v>196.902415766052</v>
      </c>
      <c r="Q1224" s="116">
        <v>206.15</v>
      </c>
      <c r="R1224">
        <v>2155584</v>
      </c>
    </row>
    <row r="1225" spans="1:18" x14ac:dyDescent="0.25">
      <c r="A1225" s="170">
        <v>43811</v>
      </c>
      <c r="B1225" s="116">
        <v>205.8213551378</v>
      </c>
      <c r="C1225" s="116">
        <v>204.706449068989</v>
      </c>
      <c r="D1225" s="116">
        <v>200.10140226303301</v>
      </c>
      <c r="E1225" s="116">
        <v>200.10140226303301</v>
      </c>
      <c r="F1225" s="116">
        <v>211.15</v>
      </c>
      <c r="G1225">
        <v>465632</v>
      </c>
      <c r="H1225" s="116"/>
      <c r="I1225" s="116"/>
      <c r="L1225" s="170">
        <v>43811</v>
      </c>
      <c r="M1225" s="116">
        <v>203.97965670692901</v>
      </c>
      <c r="N1225" s="116">
        <v>205.87015257469801</v>
      </c>
      <c r="O1225" s="116">
        <v>200.295613477432</v>
      </c>
      <c r="P1225" s="116">
        <v>200.58645899555</v>
      </c>
      <c r="Q1225" s="116">
        <v>210.4</v>
      </c>
      <c r="R1225">
        <v>2958155</v>
      </c>
    </row>
    <row r="1226" spans="1:18" x14ac:dyDescent="0.25">
      <c r="A1226" s="170">
        <v>43812</v>
      </c>
      <c r="B1226" s="116">
        <v>206.499993614467</v>
      </c>
      <c r="C1226" s="116">
        <v>205.675932607085</v>
      </c>
      <c r="D1226" s="116">
        <v>202.18579186993901</v>
      </c>
      <c r="E1226" s="116">
        <v>204.561026538275</v>
      </c>
      <c r="F1226" s="116">
        <v>212.15</v>
      </c>
      <c r="G1226">
        <v>185887</v>
      </c>
      <c r="H1226" s="116"/>
      <c r="I1226" s="116"/>
      <c r="L1226" s="170">
        <v>43812</v>
      </c>
      <c r="M1226" s="116">
        <v>205.72472981563899</v>
      </c>
      <c r="N1226" s="116">
        <v>206.74268912905299</v>
      </c>
      <c r="O1226" s="116">
        <v>202.137635092181</v>
      </c>
      <c r="P1226" s="116">
        <v>204.07660521296901</v>
      </c>
      <c r="Q1226" s="116">
        <v>212.2</v>
      </c>
      <c r="R1226">
        <v>2867800</v>
      </c>
    </row>
    <row r="1227" spans="1:18" x14ac:dyDescent="0.25">
      <c r="A1227" s="170">
        <v>43815</v>
      </c>
      <c r="B1227" s="116">
        <v>206.74236449899101</v>
      </c>
      <c r="C1227" s="116">
        <v>203.736965530893</v>
      </c>
      <c r="D1227" s="116">
        <v>203.10680123113099</v>
      </c>
      <c r="E1227" s="116">
        <v>205.77288096089501</v>
      </c>
      <c r="F1227" s="116">
        <v>210.15</v>
      </c>
      <c r="G1227">
        <v>198665</v>
      </c>
      <c r="H1227" s="116"/>
      <c r="I1227" s="116"/>
      <c r="L1227" s="170">
        <v>43815</v>
      </c>
      <c r="M1227" s="116">
        <v>204.07660521296901</v>
      </c>
      <c r="N1227" s="116">
        <v>206.74268912905299</v>
      </c>
      <c r="O1227" s="116">
        <v>203.01017164653501</v>
      </c>
      <c r="P1227" s="116">
        <v>205.62778130959899</v>
      </c>
      <c r="Q1227" s="116">
        <v>210.5</v>
      </c>
      <c r="R1227">
        <v>2184582</v>
      </c>
    </row>
    <row r="1228" spans="1:18" x14ac:dyDescent="0.25">
      <c r="A1228" s="170">
        <v>43816</v>
      </c>
      <c r="B1228" s="116">
        <v>206.54846779137199</v>
      </c>
      <c r="C1228" s="116">
        <v>204.65797489208501</v>
      </c>
      <c r="D1228" s="116">
        <v>203.591543000179</v>
      </c>
      <c r="E1228" s="116">
        <v>204.561026538275</v>
      </c>
      <c r="F1228" s="116">
        <v>211.1</v>
      </c>
      <c r="G1228">
        <v>471209</v>
      </c>
      <c r="H1228" s="116"/>
      <c r="I1228" s="116"/>
      <c r="L1228" s="170">
        <v>43816</v>
      </c>
      <c r="M1228" s="116">
        <v>204.755244755245</v>
      </c>
      <c r="N1228" s="116">
        <v>206.69421487603299</v>
      </c>
      <c r="O1228" s="116">
        <v>203.59186268277199</v>
      </c>
      <c r="P1228" s="116">
        <v>204.07660521296901</v>
      </c>
      <c r="Q1228" s="116">
        <v>211.2</v>
      </c>
      <c r="R1228">
        <v>1968218</v>
      </c>
    </row>
    <row r="1229" spans="1:18" x14ac:dyDescent="0.25">
      <c r="A1229" s="170">
        <v>43817</v>
      </c>
      <c r="B1229" s="116">
        <v>206.403045260657</v>
      </c>
      <c r="C1229" s="116">
        <v>201.652575923987</v>
      </c>
      <c r="D1229" s="116">
        <v>199.47123796327</v>
      </c>
      <c r="E1229" s="116">
        <v>206.403045260657</v>
      </c>
      <c r="F1229" s="116">
        <v>208</v>
      </c>
      <c r="G1229">
        <v>231841</v>
      </c>
      <c r="H1229" s="116"/>
      <c r="I1229" s="116"/>
      <c r="L1229" s="170">
        <v>43817</v>
      </c>
      <c r="M1229" s="116">
        <v>201.79831532104299</v>
      </c>
      <c r="N1229" s="116">
        <v>205.967101080737</v>
      </c>
      <c r="O1229" s="116">
        <v>199.32612841703701</v>
      </c>
      <c r="P1229" s="116">
        <v>205.33693579148101</v>
      </c>
      <c r="Q1229" s="116">
        <v>208.15</v>
      </c>
      <c r="R1229">
        <v>2542320</v>
      </c>
    </row>
    <row r="1230" spans="1:18" x14ac:dyDescent="0.25">
      <c r="A1230" s="170">
        <v>43818</v>
      </c>
      <c r="B1230" s="116">
        <v>204.65797489208501</v>
      </c>
      <c r="C1230" s="116">
        <v>204.027810592322</v>
      </c>
      <c r="D1230" s="116">
        <v>200.34377314755699</v>
      </c>
      <c r="E1230" s="116">
        <v>201.21630833184301</v>
      </c>
      <c r="F1230" s="116">
        <v>210.45</v>
      </c>
      <c r="G1230">
        <v>378951</v>
      </c>
      <c r="H1230" s="116"/>
      <c r="I1230" s="116"/>
      <c r="L1230" s="170">
        <v>43818</v>
      </c>
      <c r="M1230" s="116">
        <v>204.12507946598899</v>
      </c>
      <c r="N1230" s="116">
        <v>204.56134774316601</v>
      </c>
      <c r="O1230" s="116">
        <v>200.44103623649099</v>
      </c>
      <c r="P1230" s="116">
        <v>201.313572790846</v>
      </c>
      <c r="Q1230" s="116">
        <v>210.55</v>
      </c>
      <c r="R1230">
        <v>2180662</v>
      </c>
    </row>
    <row r="1231" spans="1:18" x14ac:dyDescent="0.25">
      <c r="A1231" s="170">
        <v>43819</v>
      </c>
      <c r="B1231" s="116">
        <v>213.91654268090201</v>
      </c>
      <c r="C1231" s="116">
        <v>211.78367889709099</v>
      </c>
      <c r="D1231" s="116">
        <v>203.34917211565499</v>
      </c>
      <c r="E1231" s="116">
        <v>205.530510076371</v>
      </c>
      <c r="F1231" s="116">
        <v>218.45</v>
      </c>
      <c r="G1231">
        <v>786648</v>
      </c>
      <c r="H1231" s="116"/>
      <c r="I1231" s="116"/>
      <c r="L1231" s="170">
        <v>43819</v>
      </c>
      <c r="M1231" s="116">
        <v>212.12333121424001</v>
      </c>
      <c r="N1231" s="116">
        <v>214.06230133502899</v>
      </c>
      <c r="O1231" s="116">
        <v>203.10712015257499</v>
      </c>
      <c r="P1231" s="116">
        <v>203.59186268277199</v>
      </c>
      <c r="Q1231" s="116">
        <v>218.8</v>
      </c>
      <c r="R1231">
        <v>6997898</v>
      </c>
    </row>
    <row r="1232" spans="1:18" x14ac:dyDescent="0.25">
      <c r="A1232" s="170">
        <v>43822</v>
      </c>
      <c r="B1232" s="116">
        <v>213.965016857807</v>
      </c>
      <c r="C1232" s="116">
        <v>207.905744744706</v>
      </c>
      <c r="D1232" s="116">
        <v>205.86982931470499</v>
      </c>
      <c r="E1232" s="116">
        <v>211.78367889709099</v>
      </c>
      <c r="F1232" s="116">
        <v>214.45</v>
      </c>
      <c r="G1232">
        <v>269504</v>
      </c>
      <c r="H1232" s="116"/>
      <c r="I1232" s="116"/>
      <c r="L1232" s="170">
        <v>43822</v>
      </c>
      <c r="M1232" s="116">
        <v>208.00301970756499</v>
      </c>
      <c r="N1232" s="116">
        <v>214.06230133502899</v>
      </c>
      <c r="O1232" s="116">
        <v>205.91862682771799</v>
      </c>
      <c r="P1232" s="116">
        <v>211.10537190082599</v>
      </c>
      <c r="Q1232" s="116">
        <v>214.55</v>
      </c>
      <c r="R1232">
        <v>3709426</v>
      </c>
    </row>
    <row r="1233" spans="1:18" x14ac:dyDescent="0.25">
      <c r="A1233" s="170">
        <v>43823</v>
      </c>
      <c r="B1233" s="116">
        <v>210.32945358994701</v>
      </c>
      <c r="C1233" s="116">
        <v>202.42816275446401</v>
      </c>
      <c r="D1233" s="116">
        <v>201.31325668565299</v>
      </c>
      <c r="E1233" s="116">
        <v>208.39048651375401</v>
      </c>
      <c r="F1233" s="116">
        <v>208.8</v>
      </c>
      <c r="G1233">
        <v>288721</v>
      </c>
      <c r="H1233" s="116"/>
      <c r="I1233" s="116"/>
      <c r="L1233" s="170">
        <v>43823</v>
      </c>
      <c r="M1233" s="116">
        <v>202.76780038143701</v>
      </c>
      <c r="N1233" s="116">
        <v>210.32978385251101</v>
      </c>
      <c r="O1233" s="116">
        <v>201.26509853782599</v>
      </c>
      <c r="P1233" s="116">
        <v>208.00301970756499</v>
      </c>
      <c r="Q1233" s="116">
        <v>209.15</v>
      </c>
      <c r="R1233">
        <v>2984621</v>
      </c>
    </row>
    <row r="1234" spans="1:18" x14ac:dyDescent="0.25">
      <c r="A1234" s="170">
        <v>43825</v>
      </c>
      <c r="B1234" s="116">
        <v>204.561026538275</v>
      </c>
      <c r="C1234" s="116">
        <v>202.42816275446401</v>
      </c>
      <c r="D1234" s="116">
        <v>199.325815432556</v>
      </c>
      <c r="E1234" s="116">
        <v>203.00985287732101</v>
      </c>
      <c r="F1234" s="116">
        <v>208.8</v>
      </c>
      <c r="G1234">
        <v>338436</v>
      </c>
      <c r="H1234" s="116"/>
      <c r="I1234" s="116"/>
      <c r="L1234" s="170">
        <v>43825</v>
      </c>
      <c r="M1234" s="116">
        <v>202.57390336935799</v>
      </c>
      <c r="N1234" s="116">
        <v>204.65829624920499</v>
      </c>
      <c r="O1234" s="116">
        <v>199.32612841703701</v>
      </c>
      <c r="P1234" s="116">
        <v>202.57390336935799</v>
      </c>
      <c r="Q1234" s="116">
        <v>208.95</v>
      </c>
      <c r="R1234">
        <v>3299177</v>
      </c>
    </row>
    <row r="1235" spans="1:18" x14ac:dyDescent="0.25">
      <c r="A1235" s="170">
        <v>43826</v>
      </c>
      <c r="B1235" s="116">
        <v>204.65797489208501</v>
      </c>
      <c r="C1235" s="116">
        <v>202.622059462083</v>
      </c>
      <c r="D1235" s="116">
        <v>200.78004073970001</v>
      </c>
      <c r="E1235" s="116">
        <v>203.93086223851199</v>
      </c>
      <c r="F1235" s="116">
        <v>209</v>
      </c>
      <c r="G1235">
        <v>155278</v>
      </c>
      <c r="H1235" s="116"/>
      <c r="I1235" s="116"/>
      <c r="L1235" s="170">
        <v>43826</v>
      </c>
      <c r="M1235" s="116">
        <v>202.71932612841701</v>
      </c>
      <c r="N1235" s="116">
        <v>204.755244755245</v>
      </c>
      <c r="O1235" s="116">
        <v>200.780356007629</v>
      </c>
      <c r="P1235" s="116">
        <v>202.67085187539701</v>
      </c>
      <c r="Q1235" s="116">
        <v>209.1</v>
      </c>
      <c r="R1235">
        <v>2240503</v>
      </c>
    </row>
    <row r="1236" spans="1:18" x14ac:dyDescent="0.25">
      <c r="A1236" s="170">
        <v>43829</v>
      </c>
      <c r="B1236" s="116">
        <v>205.04576830732299</v>
      </c>
      <c r="C1236" s="116">
        <v>202.37968857755899</v>
      </c>
      <c r="D1236" s="116">
        <v>201.74952427779601</v>
      </c>
      <c r="E1236" s="116">
        <v>203.591543000179</v>
      </c>
      <c r="F1236" s="116">
        <v>208.75</v>
      </c>
      <c r="G1236">
        <v>145315</v>
      </c>
      <c r="H1236" s="116"/>
      <c r="I1236" s="116"/>
      <c r="L1236" s="170">
        <v>43829</v>
      </c>
      <c r="M1236" s="116">
        <v>202.28305785123999</v>
      </c>
      <c r="N1236" s="116">
        <v>205.14303877940199</v>
      </c>
      <c r="O1236" s="116">
        <v>201.65289256198301</v>
      </c>
      <c r="P1236" s="116">
        <v>203.49491417673201</v>
      </c>
      <c r="Q1236" s="116">
        <v>208.65</v>
      </c>
      <c r="R1236">
        <v>1938731</v>
      </c>
    </row>
    <row r="1237" spans="1:18" x14ac:dyDescent="0.25">
      <c r="A1237" s="170">
        <v>43830</v>
      </c>
      <c r="B1237" s="116">
        <v>204.22170729994099</v>
      </c>
      <c r="C1237" s="116">
        <v>201.60410174708201</v>
      </c>
      <c r="D1237" s="116">
        <v>201.264782508748</v>
      </c>
      <c r="E1237" s="116">
        <v>202.622059462083</v>
      </c>
      <c r="F1237" s="116">
        <v>207.95</v>
      </c>
      <c r="G1237">
        <v>286705</v>
      </c>
      <c r="H1237" s="116"/>
      <c r="I1237" s="116"/>
      <c r="L1237" s="170">
        <v>43830</v>
      </c>
      <c r="M1237" s="116">
        <v>201.99221233312099</v>
      </c>
      <c r="N1237" s="116">
        <v>204.31897647806699</v>
      </c>
      <c r="O1237" s="116">
        <v>201.313572790846</v>
      </c>
      <c r="P1237" s="116">
        <v>202.331532104259</v>
      </c>
      <c r="Q1237" s="116">
        <v>208.35</v>
      </c>
      <c r="R1237">
        <v>1600059</v>
      </c>
    </row>
    <row r="1238" spans="1:18" x14ac:dyDescent="0.25">
      <c r="A1238" s="170">
        <v>43831</v>
      </c>
      <c r="B1238" s="116">
        <v>204.561026538275</v>
      </c>
      <c r="C1238" s="116">
        <v>201.50715339327201</v>
      </c>
      <c r="D1238" s="116">
        <v>200.58614403208099</v>
      </c>
      <c r="E1238" s="116">
        <v>201.652575923987</v>
      </c>
      <c r="F1238" s="116">
        <v>207.85</v>
      </c>
      <c r="G1238">
        <v>154609</v>
      </c>
      <c r="H1238" s="116"/>
      <c r="I1238" s="116"/>
      <c r="L1238" s="170">
        <v>43831</v>
      </c>
      <c r="M1238" s="116">
        <v>201.50746980292399</v>
      </c>
      <c r="N1238" s="116">
        <v>204.02813095994901</v>
      </c>
      <c r="O1238" s="116">
        <v>200.34408773045101</v>
      </c>
      <c r="P1238" s="116">
        <v>202.622377622378</v>
      </c>
      <c r="Q1238" s="116">
        <v>207.85</v>
      </c>
      <c r="R1238">
        <v>1553127</v>
      </c>
    </row>
    <row r="1239" spans="1:18" x14ac:dyDescent="0.25">
      <c r="A1239" s="170">
        <v>43832</v>
      </c>
      <c r="B1239" s="116">
        <v>206.59694196827701</v>
      </c>
      <c r="C1239" s="116">
        <v>204.706449068989</v>
      </c>
      <c r="D1239" s="116">
        <v>201.119359978034</v>
      </c>
      <c r="E1239" s="116">
        <v>202.622059462083</v>
      </c>
      <c r="F1239" s="116">
        <v>211.15</v>
      </c>
      <c r="G1239">
        <v>313077</v>
      </c>
      <c r="H1239" s="116"/>
      <c r="I1239" s="116"/>
      <c r="L1239" s="170">
        <v>43832</v>
      </c>
      <c r="M1239" s="116">
        <v>204.755244755245</v>
      </c>
      <c r="N1239" s="116">
        <v>206.69421487603299</v>
      </c>
      <c r="O1239" s="116">
        <v>201.16815003178601</v>
      </c>
      <c r="P1239" s="116">
        <v>201.65289256198301</v>
      </c>
      <c r="Q1239" s="116">
        <v>211.2</v>
      </c>
      <c r="R1239">
        <v>2991937</v>
      </c>
    </row>
    <row r="1240" spans="1:18" x14ac:dyDescent="0.25">
      <c r="A1240" s="170">
        <v>43833</v>
      </c>
      <c r="B1240" s="116">
        <v>205.8213551378</v>
      </c>
      <c r="C1240" s="116">
        <v>201.50715339327201</v>
      </c>
      <c r="D1240" s="116">
        <v>199.61666049398499</v>
      </c>
      <c r="E1240" s="116">
        <v>204.561026538275</v>
      </c>
      <c r="F1240" s="116">
        <v>207.85</v>
      </c>
      <c r="G1240">
        <v>288232</v>
      </c>
      <c r="H1240" s="116"/>
      <c r="I1240" s="116"/>
      <c r="L1240" s="170">
        <v>43833</v>
      </c>
      <c r="M1240" s="116">
        <v>201.94373808010201</v>
      </c>
      <c r="N1240" s="116">
        <v>205.87015257469801</v>
      </c>
      <c r="O1240" s="116">
        <v>199.520025429116</v>
      </c>
      <c r="P1240" s="116">
        <v>203.83423394786999</v>
      </c>
      <c r="Q1240" s="116">
        <v>208.3</v>
      </c>
      <c r="R1240">
        <v>2512421</v>
      </c>
    </row>
    <row r="1241" spans="1:18" x14ac:dyDescent="0.25">
      <c r="A1241" s="170">
        <v>43836</v>
      </c>
      <c r="B1241" s="116">
        <v>201.41020503946299</v>
      </c>
      <c r="C1241" s="116">
        <v>193.46044002707501</v>
      </c>
      <c r="D1241" s="116">
        <v>191.76384383540699</v>
      </c>
      <c r="E1241" s="116">
        <v>200.731566562795</v>
      </c>
      <c r="F1241" s="116">
        <v>199.55</v>
      </c>
      <c r="G1241">
        <v>388206</v>
      </c>
      <c r="H1241" s="116"/>
      <c r="I1241" s="116"/>
      <c r="L1241" s="170">
        <v>43836</v>
      </c>
      <c r="M1241" s="116">
        <v>193.460743801653</v>
      </c>
      <c r="N1241" s="116">
        <v>201.41052129688501</v>
      </c>
      <c r="O1241" s="116">
        <v>191.71567069294301</v>
      </c>
      <c r="P1241" s="116">
        <v>201.41052129688501</v>
      </c>
      <c r="Q1241" s="116">
        <v>199.55</v>
      </c>
      <c r="R1241">
        <v>4353179</v>
      </c>
    </row>
    <row r="1242" spans="1:18" x14ac:dyDescent="0.25">
      <c r="A1242" s="170">
        <v>43837</v>
      </c>
      <c r="B1242" s="116">
        <v>199.034970371127</v>
      </c>
      <c r="C1242" s="116">
        <v>197.823115948507</v>
      </c>
      <c r="D1242" s="116">
        <v>194.72076862660001</v>
      </c>
      <c r="E1242" s="116">
        <v>194.86619115731401</v>
      </c>
      <c r="F1242" s="116">
        <v>204.05</v>
      </c>
      <c r="G1242">
        <v>179530</v>
      </c>
      <c r="H1242" s="116"/>
      <c r="I1242" s="116"/>
      <c r="L1242" s="170">
        <v>43837</v>
      </c>
      <c r="M1242" s="116">
        <v>197.82342657342701</v>
      </c>
      <c r="N1242" s="116">
        <v>199.42307692307699</v>
      </c>
      <c r="O1242" s="116">
        <v>194.43022886204699</v>
      </c>
      <c r="P1242" s="116">
        <v>194.43022886204699</v>
      </c>
      <c r="Q1242" s="116">
        <v>204.05</v>
      </c>
      <c r="R1242">
        <v>2966120</v>
      </c>
    </row>
    <row r="1243" spans="1:18" x14ac:dyDescent="0.25">
      <c r="A1243" s="170">
        <v>43838</v>
      </c>
      <c r="B1243" s="116">
        <v>197.241425825649</v>
      </c>
      <c r="C1243" s="116">
        <v>195.39940710326701</v>
      </c>
      <c r="D1243" s="116">
        <v>188.70997069040399</v>
      </c>
      <c r="E1243" s="116">
        <v>195.83567469541001</v>
      </c>
      <c r="F1243" s="116">
        <v>201.55</v>
      </c>
      <c r="G1243">
        <v>433569</v>
      </c>
      <c r="H1243" s="116"/>
      <c r="I1243" s="116"/>
      <c r="L1243" s="170">
        <v>43838</v>
      </c>
      <c r="M1243" s="116">
        <v>195.35123966942101</v>
      </c>
      <c r="N1243" s="116">
        <v>197.33868404322899</v>
      </c>
      <c r="O1243" s="116">
        <v>188.61331849968201</v>
      </c>
      <c r="P1243" s="116">
        <v>194.86649713922401</v>
      </c>
      <c r="Q1243" s="116">
        <v>201.5</v>
      </c>
      <c r="R1243">
        <v>5762654</v>
      </c>
    </row>
    <row r="1244" spans="1:18" x14ac:dyDescent="0.25">
      <c r="A1244" s="170">
        <v>43839</v>
      </c>
      <c r="B1244" s="116">
        <v>202.42816275446401</v>
      </c>
      <c r="C1244" s="116">
        <v>201.45867921636699</v>
      </c>
      <c r="D1244" s="116">
        <v>196.36889064136301</v>
      </c>
      <c r="E1244" s="116">
        <v>196.75668405660099</v>
      </c>
      <c r="F1244" s="116">
        <v>207.8</v>
      </c>
      <c r="G1244">
        <v>285465</v>
      </c>
      <c r="H1244" s="116"/>
      <c r="I1244" s="116"/>
      <c r="L1244" s="170">
        <v>43839</v>
      </c>
      <c r="M1244" s="116">
        <v>201.65289256198301</v>
      </c>
      <c r="N1244" s="116">
        <v>202.52542911633799</v>
      </c>
      <c r="O1244" s="116">
        <v>195.73903369357899</v>
      </c>
      <c r="P1244" s="116">
        <v>195.73903369357899</v>
      </c>
      <c r="Q1244" s="116">
        <v>208</v>
      </c>
      <c r="R1244">
        <v>3496063</v>
      </c>
    </row>
    <row r="1245" spans="1:18" x14ac:dyDescent="0.25">
      <c r="A1245" s="170">
        <v>43840</v>
      </c>
      <c r="B1245" s="116">
        <v>205.04576830732299</v>
      </c>
      <c r="C1245" s="116">
        <v>202.33121440065401</v>
      </c>
      <c r="D1245" s="116">
        <v>199.51971214017499</v>
      </c>
      <c r="E1245" s="116">
        <v>200.828514916605</v>
      </c>
      <c r="F1245" s="116">
        <v>208.7</v>
      </c>
      <c r="G1245">
        <v>257640</v>
      </c>
      <c r="H1245" s="116"/>
      <c r="I1245" s="116"/>
      <c r="L1245" s="170">
        <v>43840</v>
      </c>
      <c r="M1245" s="116">
        <v>202.71932612841701</v>
      </c>
      <c r="N1245" s="116">
        <v>206.500317863954</v>
      </c>
      <c r="O1245" s="116">
        <v>199.61697393515601</v>
      </c>
      <c r="P1245" s="116">
        <v>201.65289256198301</v>
      </c>
      <c r="Q1245" s="116">
        <v>209.1</v>
      </c>
      <c r="R1245">
        <v>2769132</v>
      </c>
    </row>
    <row r="1246" spans="1:18" x14ac:dyDescent="0.25">
      <c r="A1246" s="170">
        <v>43843</v>
      </c>
      <c r="B1246" s="116">
        <v>209.60234093637499</v>
      </c>
      <c r="C1246" s="116">
        <v>206.98473538351499</v>
      </c>
      <c r="D1246" s="116">
        <v>203.34917211565499</v>
      </c>
      <c r="E1246" s="116">
        <v>206.499993614467</v>
      </c>
      <c r="F1246" s="116">
        <v>213.5</v>
      </c>
      <c r="G1246">
        <v>291070</v>
      </c>
      <c r="H1246" s="116"/>
      <c r="I1246" s="116"/>
      <c r="L1246" s="170">
        <v>43843</v>
      </c>
      <c r="M1246" s="116">
        <v>207.082008900191</v>
      </c>
      <c r="N1246" s="116">
        <v>209.651144310235</v>
      </c>
      <c r="O1246" s="116">
        <v>203.20406865861401</v>
      </c>
      <c r="P1246" s="116">
        <v>204.222027972028</v>
      </c>
      <c r="Q1246" s="116">
        <v>213.6</v>
      </c>
      <c r="R1246">
        <v>3527267</v>
      </c>
    </row>
    <row r="1247" spans="1:18" x14ac:dyDescent="0.25">
      <c r="A1247" s="170">
        <v>43844</v>
      </c>
      <c r="B1247" s="116">
        <v>208.92370245970699</v>
      </c>
      <c r="C1247" s="116">
        <v>207.614899683278</v>
      </c>
      <c r="D1247" s="116">
        <v>205.433561722561</v>
      </c>
      <c r="E1247" s="116">
        <v>208.92370245970699</v>
      </c>
      <c r="F1247" s="116">
        <v>214.15</v>
      </c>
      <c r="G1247">
        <v>159686</v>
      </c>
      <c r="H1247" s="116"/>
      <c r="I1247" s="116"/>
      <c r="L1247" s="170">
        <v>43844</v>
      </c>
      <c r="M1247" s="116">
        <v>207.809122695486</v>
      </c>
      <c r="N1247" s="116">
        <v>208.92403051494</v>
      </c>
      <c r="O1247" s="116">
        <v>205.38541004450099</v>
      </c>
      <c r="P1247" s="116">
        <v>206.93658614113201</v>
      </c>
      <c r="Q1247" s="116">
        <v>214.35</v>
      </c>
      <c r="R1247">
        <v>1775182</v>
      </c>
    </row>
    <row r="1248" spans="1:18" x14ac:dyDescent="0.25">
      <c r="A1248" s="170">
        <v>43845</v>
      </c>
      <c r="B1248" s="116">
        <v>210.86266953589899</v>
      </c>
      <c r="C1248" s="116">
        <v>209.94166017470801</v>
      </c>
      <c r="D1248" s="116">
        <v>206.20914855303801</v>
      </c>
      <c r="E1248" s="116">
        <v>208.584383221374</v>
      </c>
      <c r="F1248" s="116">
        <v>216.55</v>
      </c>
      <c r="G1248">
        <v>88460</v>
      </c>
      <c r="H1248" s="116"/>
      <c r="I1248" s="116"/>
      <c r="L1248" s="170">
        <v>43845</v>
      </c>
      <c r="M1248" s="116">
        <v>209.99046408137301</v>
      </c>
      <c r="N1248" s="116">
        <v>211.34774316592501</v>
      </c>
      <c r="O1248" s="116">
        <v>206.015575333757</v>
      </c>
      <c r="P1248" s="116">
        <v>207.95454545454501</v>
      </c>
      <c r="Q1248" s="116">
        <v>216.6</v>
      </c>
      <c r="R1248">
        <v>1982079</v>
      </c>
    </row>
    <row r="1249" spans="1:18" x14ac:dyDescent="0.25">
      <c r="A1249" s="170">
        <v>43846</v>
      </c>
      <c r="B1249" s="116">
        <v>215.71008722638001</v>
      </c>
      <c r="C1249" s="116">
        <v>213.23790420423501</v>
      </c>
      <c r="D1249" s="116">
        <v>211.00809206661401</v>
      </c>
      <c r="E1249" s="116">
        <v>211.29893712804301</v>
      </c>
      <c r="F1249" s="116">
        <v>219.95</v>
      </c>
      <c r="G1249">
        <v>285673</v>
      </c>
      <c r="H1249" s="116"/>
      <c r="I1249" s="116"/>
      <c r="L1249" s="170">
        <v>43846</v>
      </c>
      <c r="M1249" s="116">
        <v>213.286713286713</v>
      </c>
      <c r="N1249" s="116">
        <v>215.710425937699</v>
      </c>
      <c r="O1249" s="116">
        <v>210.37825810553099</v>
      </c>
      <c r="P1249" s="116">
        <v>211.05689764780701</v>
      </c>
      <c r="Q1249" s="116">
        <v>220</v>
      </c>
      <c r="R1249">
        <v>4280379</v>
      </c>
    </row>
    <row r="1250" spans="1:18" x14ac:dyDescent="0.25">
      <c r="A1250" s="170">
        <v>43847</v>
      </c>
      <c r="B1250" s="116">
        <v>222.254101108529</v>
      </c>
      <c r="C1250" s="116">
        <v>221.38156592424201</v>
      </c>
      <c r="D1250" s="116">
        <v>206.98473538351499</v>
      </c>
      <c r="E1250" s="116">
        <v>208.438960690659</v>
      </c>
      <c r="F1250" s="116">
        <v>228.35</v>
      </c>
      <c r="G1250">
        <v>549030</v>
      </c>
      <c r="H1250" s="116"/>
      <c r="I1250" s="116"/>
      <c r="L1250" s="170">
        <v>43847</v>
      </c>
      <c r="M1250" s="116">
        <v>221.430387794024</v>
      </c>
      <c r="N1250" s="116">
        <v>222.254450095359</v>
      </c>
      <c r="O1250" s="116">
        <v>207.17895740623001</v>
      </c>
      <c r="P1250" s="116">
        <v>209.408773045137</v>
      </c>
      <c r="Q1250" s="116">
        <v>228.4</v>
      </c>
      <c r="R1250">
        <v>10810744</v>
      </c>
    </row>
    <row r="1251" spans="1:18" x14ac:dyDescent="0.25">
      <c r="A1251" s="170">
        <v>43850</v>
      </c>
      <c r="B1251" s="116">
        <v>224.92018083829299</v>
      </c>
      <c r="C1251" s="116">
        <v>219.53954720185899</v>
      </c>
      <c r="D1251" s="116">
        <v>217.45515759495299</v>
      </c>
      <c r="E1251" s="116">
        <v>222.98121376210099</v>
      </c>
      <c r="F1251" s="116">
        <v>226.45</v>
      </c>
      <c r="G1251">
        <v>383603</v>
      </c>
      <c r="H1251" s="116"/>
      <c r="I1251" s="116"/>
      <c r="L1251" s="170">
        <v>43850</v>
      </c>
      <c r="M1251" s="116">
        <v>219.636840432295</v>
      </c>
      <c r="N1251" s="116">
        <v>225.16290527654201</v>
      </c>
      <c r="O1251" s="116">
        <v>217.31007628734901</v>
      </c>
      <c r="P1251" s="116">
        <v>222.54529561347701</v>
      </c>
      <c r="Q1251" s="116">
        <v>226.55</v>
      </c>
      <c r="R1251">
        <v>4546367</v>
      </c>
    </row>
    <row r="1252" spans="1:18" x14ac:dyDescent="0.25">
      <c r="A1252" s="170">
        <v>43851</v>
      </c>
      <c r="B1252" s="116">
        <v>221.23614339352801</v>
      </c>
      <c r="C1252" s="116">
        <v>217.45515759495299</v>
      </c>
      <c r="D1252" s="116">
        <v>213.77112015018801</v>
      </c>
      <c r="E1252" s="116">
        <v>221.23614339352801</v>
      </c>
      <c r="F1252" s="116">
        <v>224.3</v>
      </c>
      <c r="G1252">
        <v>229664</v>
      </c>
      <c r="H1252" s="116"/>
      <c r="I1252" s="116"/>
      <c r="L1252" s="170">
        <v>43851</v>
      </c>
      <c r="M1252" s="116">
        <v>217.40702479338799</v>
      </c>
      <c r="N1252" s="116">
        <v>220.073108709472</v>
      </c>
      <c r="O1252" s="116">
        <v>213.77145581690999</v>
      </c>
      <c r="P1252" s="116">
        <v>217.503973299428</v>
      </c>
      <c r="Q1252" s="116">
        <v>224.25</v>
      </c>
      <c r="R1252">
        <v>2813526</v>
      </c>
    </row>
    <row r="1253" spans="1:18" x14ac:dyDescent="0.25">
      <c r="A1253" s="170">
        <v>43852</v>
      </c>
      <c r="B1253" s="116">
        <v>221.139195039718</v>
      </c>
      <c r="C1253" s="116">
        <v>218.90938290209701</v>
      </c>
      <c r="D1253" s="116">
        <v>215.079922926617</v>
      </c>
      <c r="E1253" s="116">
        <v>218.13379607162</v>
      </c>
      <c r="F1253" s="116">
        <v>225.8</v>
      </c>
      <c r="G1253">
        <v>211089</v>
      </c>
      <c r="H1253" s="116"/>
      <c r="I1253" s="116"/>
      <c r="L1253" s="170">
        <v>43852</v>
      </c>
      <c r="M1253" s="116">
        <v>219.00667514303899</v>
      </c>
      <c r="N1253" s="116">
        <v>221.04259376986599</v>
      </c>
      <c r="O1253" s="116">
        <v>214.401621106167</v>
      </c>
      <c r="P1253" s="116">
        <v>217.94024157660499</v>
      </c>
      <c r="Q1253" s="116">
        <v>225.9</v>
      </c>
      <c r="R1253">
        <v>2939366</v>
      </c>
    </row>
    <row r="1254" spans="1:18" x14ac:dyDescent="0.25">
      <c r="A1254" s="170">
        <v>43853</v>
      </c>
      <c r="B1254" s="116">
        <v>223.902223123292</v>
      </c>
      <c r="C1254" s="116">
        <v>222.64189452376701</v>
      </c>
      <c r="D1254" s="116">
        <v>218.90938290209701</v>
      </c>
      <c r="E1254" s="116">
        <v>219.927340617098</v>
      </c>
      <c r="F1254" s="116">
        <v>229.65</v>
      </c>
      <c r="G1254">
        <v>176925</v>
      </c>
      <c r="H1254" s="116"/>
      <c r="I1254" s="116"/>
      <c r="L1254" s="170">
        <v>43853</v>
      </c>
      <c r="M1254" s="116">
        <v>222.59376986649701</v>
      </c>
      <c r="N1254" s="116">
        <v>224.14494596312801</v>
      </c>
      <c r="O1254" s="116">
        <v>218.86125238398</v>
      </c>
      <c r="P1254" s="116">
        <v>219.103623649078</v>
      </c>
      <c r="Q1254" s="116">
        <v>229.6</v>
      </c>
      <c r="R1254">
        <v>2650092</v>
      </c>
    </row>
    <row r="1255" spans="1:18" x14ac:dyDescent="0.25">
      <c r="A1255" s="170">
        <v>43854</v>
      </c>
      <c r="B1255" s="116">
        <v>224.92018083829299</v>
      </c>
      <c r="C1255" s="116">
        <v>222.73884287757701</v>
      </c>
      <c r="D1255" s="116">
        <v>212.36536901994799</v>
      </c>
      <c r="E1255" s="116">
        <v>219.29717631733499</v>
      </c>
      <c r="F1255" s="116">
        <v>229.75</v>
      </c>
      <c r="G1255">
        <v>464227</v>
      </c>
      <c r="H1255" s="116"/>
      <c r="I1255" s="116"/>
      <c r="L1255" s="170">
        <v>43854</v>
      </c>
      <c r="M1255" s="116">
        <v>222.739192625556</v>
      </c>
      <c r="N1255" s="116">
        <v>225.30832803560099</v>
      </c>
      <c r="O1255" s="116">
        <v>212.317228226319</v>
      </c>
      <c r="P1255" s="116">
        <v>218.61888111888101</v>
      </c>
      <c r="Q1255" s="116">
        <v>229.75</v>
      </c>
      <c r="R1255">
        <v>7154795</v>
      </c>
    </row>
    <row r="1256" spans="1:18" x14ac:dyDescent="0.25">
      <c r="A1256" s="170">
        <v>43857</v>
      </c>
      <c r="B1256" s="116">
        <v>229.13743422901101</v>
      </c>
      <c r="C1256" s="116">
        <v>223.514429708053</v>
      </c>
      <c r="D1256" s="116">
        <v>219.636495555669</v>
      </c>
      <c r="E1256" s="116">
        <v>222.98121376210099</v>
      </c>
      <c r="F1256" s="116">
        <v>230.55</v>
      </c>
      <c r="G1256">
        <v>857985</v>
      </c>
      <c r="H1256" s="116"/>
      <c r="I1256" s="116"/>
      <c r="L1256" s="170">
        <v>43857</v>
      </c>
      <c r="M1256" s="116">
        <v>223.514780673872</v>
      </c>
      <c r="N1256" s="116">
        <v>229.234742530197</v>
      </c>
      <c r="O1256" s="116">
        <v>219.15209790209801</v>
      </c>
      <c r="P1256" s="116">
        <v>222.496821360458</v>
      </c>
      <c r="Q1256" s="116">
        <v>230.55</v>
      </c>
      <c r="R1256">
        <v>5293975</v>
      </c>
    </row>
    <row r="1257" spans="1:18" x14ac:dyDescent="0.25">
      <c r="A1257" s="170">
        <v>43858</v>
      </c>
      <c r="B1257" s="116">
        <v>227.34388968353301</v>
      </c>
      <c r="C1257" s="116">
        <v>222.73884287757701</v>
      </c>
      <c r="D1257" s="116">
        <v>222.15715275471899</v>
      </c>
      <c r="E1257" s="116">
        <v>226.85914791448499</v>
      </c>
      <c r="F1257" s="116">
        <v>229.75</v>
      </c>
      <c r="G1257">
        <v>149408</v>
      </c>
      <c r="H1257" s="116"/>
      <c r="I1257" s="116"/>
      <c r="L1257" s="170">
        <v>43858</v>
      </c>
      <c r="M1257" s="116">
        <v>222.88461538461499</v>
      </c>
      <c r="N1257" s="116">
        <v>227.34424666242799</v>
      </c>
      <c r="O1257" s="116">
        <v>222.10902733629999</v>
      </c>
      <c r="P1257" s="116">
        <v>225.16290527654201</v>
      </c>
      <c r="Q1257" s="116">
        <v>229.9</v>
      </c>
      <c r="R1257">
        <v>2161711</v>
      </c>
    </row>
    <row r="1258" spans="1:18" x14ac:dyDescent="0.25">
      <c r="A1258" s="170">
        <v>43859</v>
      </c>
      <c r="B1258" s="116">
        <v>230.88250459758399</v>
      </c>
      <c r="C1258" s="116">
        <v>225.40492260734101</v>
      </c>
      <c r="D1258" s="116">
        <v>224.43543906924501</v>
      </c>
      <c r="E1258" s="116">
        <v>225.55034513805501</v>
      </c>
      <c r="F1258" s="116">
        <v>232.5</v>
      </c>
      <c r="G1258">
        <v>216902</v>
      </c>
      <c r="H1258" s="116"/>
      <c r="I1258" s="116"/>
      <c r="L1258" s="170">
        <v>43859</v>
      </c>
      <c r="M1258" s="116">
        <v>225.21137952956099</v>
      </c>
      <c r="N1258" s="116">
        <v>231.076764144946</v>
      </c>
      <c r="O1258" s="116">
        <v>223.95104895104899</v>
      </c>
      <c r="P1258" s="116">
        <v>224.62968849332501</v>
      </c>
      <c r="Q1258" s="116">
        <v>232.3</v>
      </c>
      <c r="R1258">
        <v>3738186</v>
      </c>
    </row>
    <row r="1259" spans="1:18" x14ac:dyDescent="0.25">
      <c r="A1259" s="170">
        <v>43860</v>
      </c>
      <c r="B1259" s="116">
        <v>226.37440614543701</v>
      </c>
      <c r="C1259" s="116">
        <v>224.047645654006</v>
      </c>
      <c r="D1259" s="116">
        <v>221.38156592424201</v>
      </c>
      <c r="E1259" s="116">
        <v>226.37440614543701</v>
      </c>
      <c r="F1259" s="116">
        <v>231.1</v>
      </c>
      <c r="G1259">
        <v>340375</v>
      </c>
      <c r="H1259" s="116"/>
      <c r="I1259" s="116"/>
      <c r="L1259" s="170">
        <v>43860</v>
      </c>
      <c r="M1259" s="116">
        <v>224.43579148124601</v>
      </c>
      <c r="N1259" s="116">
        <v>225.647647806739</v>
      </c>
      <c r="O1259" s="116">
        <v>221.23649078194501</v>
      </c>
      <c r="P1259" s="116">
        <v>225.21137952956099</v>
      </c>
      <c r="Q1259" s="116">
        <v>231.5</v>
      </c>
      <c r="R1259">
        <v>2192123</v>
      </c>
    </row>
    <row r="1260" spans="1:18" x14ac:dyDescent="0.25">
      <c r="A1260" s="170">
        <v>43861</v>
      </c>
      <c r="B1260" s="116">
        <v>228.41032157543901</v>
      </c>
      <c r="C1260" s="116">
        <v>222.49647199305301</v>
      </c>
      <c r="D1260" s="116">
        <v>220.41208238614601</v>
      </c>
      <c r="E1260" s="116">
        <v>228.41032157543901</v>
      </c>
      <c r="F1260" s="116">
        <v>229.5</v>
      </c>
      <c r="G1260">
        <v>212649</v>
      </c>
      <c r="H1260" s="116"/>
      <c r="I1260" s="116"/>
      <c r="L1260" s="170">
        <v>43861</v>
      </c>
      <c r="M1260" s="116">
        <v>222.448347107438</v>
      </c>
      <c r="N1260" s="116">
        <v>227.392720915448</v>
      </c>
      <c r="O1260" s="116">
        <v>220.21853146853101</v>
      </c>
      <c r="P1260" s="116">
        <v>223.95104895104899</v>
      </c>
      <c r="Q1260" s="116">
        <v>229.45</v>
      </c>
      <c r="R1260">
        <v>2720308</v>
      </c>
    </row>
    <row r="1261" spans="1:18" x14ac:dyDescent="0.25">
      <c r="A1261" s="170">
        <v>43862</v>
      </c>
      <c r="B1261" s="116">
        <v>226.568302853056</v>
      </c>
      <c r="C1261" s="116">
        <v>215.85550975709401</v>
      </c>
      <c r="D1261" s="116">
        <v>214.255861919236</v>
      </c>
      <c r="E1261" s="116">
        <v>225.69576766877</v>
      </c>
      <c r="F1261" s="116">
        <v>222.65</v>
      </c>
      <c r="G1261">
        <v>292585</v>
      </c>
      <c r="H1261" s="116"/>
      <c r="I1261" s="116"/>
      <c r="L1261" s="170">
        <v>43862</v>
      </c>
      <c r="M1261" s="116">
        <v>216.001271455817</v>
      </c>
      <c r="N1261" s="116">
        <v>226.52018436109299</v>
      </c>
      <c r="O1261" s="116">
        <v>214.06230133502899</v>
      </c>
      <c r="P1261" s="116">
        <v>221.04259376986599</v>
      </c>
      <c r="Q1261" s="116">
        <v>222.8</v>
      </c>
      <c r="R1261">
        <v>3046388</v>
      </c>
    </row>
    <row r="1262" spans="1:18" x14ac:dyDescent="0.25">
      <c r="A1262" s="170">
        <v>43864</v>
      </c>
      <c r="B1262" s="116">
        <v>217.60058012566699</v>
      </c>
      <c r="C1262" s="116">
        <v>214.20738774233101</v>
      </c>
      <c r="D1262" s="116">
        <v>209.11759916732601</v>
      </c>
      <c r="E1262" s="116">
        <v>211.347411304948</v>
      </c>
      <c r="F1262" s="116">
        <v>220.95</v>
      </c>
      <c r="G1262">
        <v>182394</v>
      </c>
      <c r="H1262" s="116"/>
      <c r="I1262" s="116"/>
      <c r="L1262" s="170">
        <v>43864</v>
      </c>
      <c r="M1262" s="116">
        <v>214.159249841068</v>
      </c>
      <c r="N1262" s="116">
        <v>217.794818817546</v>
      </c>
      <c r="O1262" s="116">
        <v>209.02097902097901</v>
      </c>
      <c r="P1262" s="116">
        <v>214.934837889383</v>
      </c>
      <c r="Q1262" s="116">
        <v>220.9</v>
      </c>
      <c r="R1262">
        <v>2720614</v>
      </c>
    </row>
    <row r="1263" spans="1:18" x14ac:dyDescent="0.25">
      <c r="A1263" s="170">
        <v>43865</v>
      </c>
      <c r="B1263" s="116">
        <v>220.169711501622</v>
      </c>
      <c r="C1263" s="116">
        <v>218.521589486859</v>
      </c>
      <c r="D1263" s="116">
        <v>216.00093228780901</v>
      </c>
      <c r="E1263" s="116">
        <v>217.988373540906</v>
      </c>
      <c r="F1263" s="116">
        <v>225.4</v>
      </c>
      <c r="G1263">
        <v>124410</v>
      </c>
      <c r="H1263" s="116"/>
      <c r="I1263" s="116"/>
      <c r="L1263" s="170">
        <v>43865</v>
      </c>
      <c r="M1263" s="116">
        <v>218.570406865861</v>
      </c>
      <c r="N1263" s="116">
        <v>220.21853146853101</v>
      </c>
      <c r="O1263" s="116">
        <v>215.27415766052101</v>
      </c>
      <c r="P1263" s="116">
        <v>215.85584869675799</v>
      </c>
      <c r="Q1263" s="116">
        <v>225.45</v>
      </c>
      <c r="R1263">
        <v>2028088</v>
      </c>
    </row>
    <row r="1264" spans="1:18" x14ac:dyDescent="0.25">
      <c r="A1264" s="170">
        <v>43866</v>
      </c>
      <c r="B1264" s="116">
        <v>231.75503978187001</v>
      </c>
      <c r="C1264" s="116">
        <v>229.040485875201</v>
      </c>
      <c r="D1264" s="116">
        <v>215.85550975709401</v>
      </c>
      <c r="E1264" s="116">
        <v>219.103279609716</v>
      </c>
      <c r="F1264" s="116">
        <v>236.25</v>
      </c>
      <c r="G1264">
        <v>712935</v>
      </c>
      <c r="H1264" s="116"/>
      <c r="I1264" s="116"/>
      <c r="L1264" s="170">
        <v>43866</v>
      </c>
      <c r="M1264" s="116">
        <v>229.040845518118</v>
      </c>
      <c r="N1264" s="116">
        <v>231.99777495231999</v>
      </c>
      <c r="O1264" s="116">
        <v>215.75890019071801</v>
      </c>
      <c r="P1264" s="116">
        <v>219.83073744437399</v>
      </c>
      <c r="Q1264" s="116">
        <v>236.25</v>
      </c>
      <c r="R1264">
        <v>8985919</v>
      </c>
    </row>
    <row r="1265" spans="1:18" x14ac:dyDescent="0.25">
      <c r="A1265" s="170">
        <v>43867</v>
      </c>
      <c r="B1265" s="116">
        <v>236.16618988020701</v>
      </c>
      <c r="C1265" s="116">
        <v>229.23438258281999</v>
      </c>
      <c r="D1265" s="116">
        <v>227.00457044519899</v>
      </c>
      <c r="E1265" s="116">
        <v>231.17334965901301</v>
      </c>
      <c r="F1265" s="116">
        <v>236.45</v>
      </c>
      <c r="G1265">
        <v>916572</v>
      </c>
      <c r="H1265" s="116"/>
      <c r="I1265" s="116"/>
      <c r="L1265" s="170">
        <v>43867</v>
      </c>
      <c r="M1265" s="116">
        <v>229.283216783217</v>
      </c>
      <c r="N1265" s="116">
        <v>236.16656071201501</v>
      </c>
      <c r="O1265" s="116">
        <v>226.956452638271</v>
      </c>
      <c r="P1265" s="116">
        <v>230.15575333757201</v>
      </c>
      <c r="Q1265" s="116">
        <v>236.5</v>
      </c>
      <c r="R1265">
        <v>8852675</v>
      </c>
    </row>
    <row r="1266" spans="1:18" x14ac:dyDescent="0.25">
      <c r="A1266" s="170">
        <v>43868</v>
      </c>
      <c r="B1266" s="116">
        <v>234.61501621925399</v>
      </c>
      <c r="C1266" s="116">
        <v>232.38520408163299</v>
      </c>
      <c r="D1266" s="116">
        <v>228.31337322162901</v>
      </c>
      <c r="E1266" s="116">
        <v>229.67065017496401</v>
      </c>
      <c r="F1266" s="116">
        <v>239.7</v>
      </c>
      <c r="G1266">
        <v>584876</v>
      </c>
      <c r="H1266" s="116"/>
      <c r="I1266" s="116"/>
      <c r="L1266" s="170">
        <v>43868</v>
      </c>
      <c r="M1266" s="116">
        <v>232.19167196439901</v>
      </c>
      <c r="N1266" s="116">
        <v>234.760807374444</v>
      </c>
      <c r="O1266" s="116">
        <v>228.07136045772401</v>
      </c>
      <c r="P1266" s="116">
        <v>229.18626827717699</v>
      </c>
      <c r="Q1266" s="116">
        <v>239.5</v>
      </c>
      <c r="R1266">
        <v>5052443</v>
      </c>
    </row>
    <row r="1267" spans="1:18" x14ac:dyDescent="0.25">
      <c r="A1267" s="170">
        <v>43871</v>
      </c>
      <c r="B1267" s="116">
        <v>237.62041518735199</v>
      </c>
      <c r="C1267" s="116">
        <v>237.13567341830401</v>
      </c>
      <c r="D1267" s="116">
        <v>230.64013371306001</v>
      </c>
      <c r="E1267" s="116">
        <v>232.19130737401301</v>
      </c>
      <c r="F1267" s="116">
        <v>244.6</v>
      </c>
      <c r="G1267">
        <v>317674</v>
      </c>
      <c r="H1267" s="116"/>
      <c r="I1267" s="116"/>
      <c r="L1267" s="170">
        <v>43871</v>
      </c>
      <c r="M1267" s="116">
        <v>237.03909726636999</v>
      </c>
      <c r="N1267" s="116">
        <v>237.66926255562601</v>
      </c>
      <c r="O1267" s="116">
        <v>230.301176096631</v>
      </c>
      <c r="P1267" s="116">
        <v>232.19167196439901</v>
      </c>
      <c r="Q1267" s="116">
        <v>244.5</v>
      </c>
      <c r="R1267">
        <v>5588211</v>
      </c>
    </row>
    <row r="1268" spans="1:18" x14ac:dyDescent="0.25">
      <c r="A1268" s="170">
        <v>43872</v>
      </c>
      <c r="B1268" s="116">
        <v>240.916659216878</v>
      </c>
      <c r="C1268" s="116">
        <v>237.66888936425599</v>
      </c>
      <c r="D1268" s="116">
        <v>236.31161241092201</v>
      </c>
      <c r="E1268" s="116">
        <v>237.71736354116101</v>
      </c>
      <c r="F1268" s="116">
        <v>245.15</v>
      </c>
      <c r="G1268">
        <v>237356</v>
      </c>
      <c r="H1268" s="116"/>
      <c r="I1268" s="116"/>
      <c r="L1268" s="170">
        <v>43872</v>
      </c>
      <c r="M1268" s="116">
        <v>237.81468531468499</v>
      </c>
      <c r="N1268" s="116">
        <v>241.013986013986</v>
      </c>
      <c r="O1268" s="116">
        <v>236.21503496503499</v>
      </c>
      <c r="P1268" s="116">
        <v>237.71773680864601</v>
      </c>
      <c r="Q1268" s="116">
        <v>245.3</v>
      </c>
      <c r="R1268">
        <v>3533751</v>
      </c>
    </row>
    <row r="1269" spans="1:18" x14ac:dyDescent="0.25">
      <c r="A1269" s="170">
        <v>43873</v>
      </c>
      <c r="B1269" s="116">
        <v>243.679687300452</v>
      </c>
      <c r="C1269" s="116">
        <v>242.176987816403</v>
      </c>
      <c r="D1269" s="116">
        <v>237.71736354116101</v>
      </c>
      <c r="E1269" s="116">
        <v>238.54142454854301</v>
      </c>
      <c r="F1269" s="116">
        <v>249.8</v>
      </c>
      <c r="G1269">
        <v>288447</v>
      </c>
      <c r="H1269" s="116"/>
      <c r="I1269" s="116"/>
      <c r="L1269" s="170">
        <v>43873</v>
      </c>
      <c r="M1269" s="116">
        <v>242.08041958042</v>
      </c>
      <c r="N1269" s="116">
        <v>243.72854418309001</v>
      </c>
      <c r="O1269" s="116">
        <v>237.52383979656699</v>
      </c>
      <c r="P1269" s="116">
        <v>238.396376350922</v>
      </c>
      <c r="Q1269" s="116">
        <v>249.7</v>
      </c>
      <c r="R1269">
        <v>4490312</v>
      </c>
    </row>
    <row r="1270" spans="1:18" x14ac:dyDescent="0.25">
      <c r="A1270" s="170">
        <v>43874</v>
      </c>
      <c r="B1270" s="116">
        <v>245.036964253787</v>
      </c>
      <c r="C1270" s="116">
        <v>243.77663565426201</v>
      </c>
      <c r="D1270" s="116">
        <v>240.674288332354</v>
      </c>
      <c r="E1270" s="116">
        <v>242.37088452402199</v>
      </c>
      <c r="F1270" s="116">
        <v>251.45</v>
      </c>
      <c r="G1270">
        <v>155445</v>
      </c>
      <c r="H1270" s="116"/>
      <c r="I1270" s="116"/>
      <c r="L1270" s="170">
        <v>43874</v>
      </c>
      <c r="M1270" s="116">
        <v>243.77701843610899</v>
      </c>
      <c r="N1270" s="116">
        <v>245.03734901462201</v>
      </c>
      <c r="O1270" s="116">
        <v>240.67466624284799</v>
      </c>
      <c r="P1270" s="116">
        <v>242.17736808645901</v>
      </c>
      <c r="Q1270" s="116">
        <v>251.45</v>
      </c>
      <c r="R1270">
        <v>2563148</v>
      </c>
    </row>
    <row r="1271" spans="1:18" x14ac:dyDescent="0.25">
      <c r="A1271" s="170">
        <v>43875</v>
      </c>
      <c r="B1271" s="116">
        <v>250.611494597839</v>
      </c>
      <c r="C1271" s="116">
        <v>248.43015663712299</v>
      </c>
      <c r="D1271" s="116">
        <v>244.940015899977</v>
      </c>
      <c r="E1271" s="116">
        <v>245.23086096140599</v>
      </c>
      <c r="F1271" s="116">
        <v>256.25</v>
      </c>
      <c r="G1271">
        <v>291768</v>
      </c>
      <c r="H1271" s="116"/>
      <c r="I1271" s="116"/>
      <c r="L1271" s="170">
        <v>43875</v>
      </c>
      <c r="M1271" s="116">
        <v>248.333598219962</v>
      </c>
      <c r="N1271" s="116">
        <v>250.708836617928</v>
      </c>
      <c r="O1271" s="116">
        <v>243.873966942149</v>
      </c>
      <c r="P1271" s="116">
        <v>244.79497774952301</v>
      </c>
      <c r="Q1271" s="116">
        <v>256.14999999999998</v>
      </c>
      <c r="R1271">
        <v>4968325</v>
      </c>
    </row>
    <row r="1272" spans="1:18" x14ac:dyDescent="0.25">
      <c r="A1272" s="170">
        <v>43878</v>
      </c>
      <c r="B1272" s="116">
        <v>249.496588529029</v>
      </c>
      <c r="C1272" s="116">
        <v>244.84306754616699</v>
      </c>
      <c r="D1272" s="116">
        <v>243.970532361881</v>
      </c>
      <c r="E1272" s="116">
        <v>249.15726929069501</v>
      </c>
      <c r="F1272" s="116">
        <v>252.55</v>
      </c>
      <c r="G1272">
        <v>131834</v>
      </c>
      <c r="H1272" s="116"/>
      <c r="I1272" s="116"/>
      <c r="L1272" s="170">
        <v>43878</v>
      </c>
      <c r="M1272" s="116">
        <v>244.79497774952301</v>
      </c>
      <c r="N1272" s="116">
        <v>249.54545454545499</v>
      </c>
      <c r="O1272" s="116">
        <v>243.97091544818801</v>
      </c>
      <c r="P1272" s="116">
        <v>249.060712015257</v>
      </c>
      <c r="Q1272" s="116">
        <v>252.5</v>
      </c>
      <c r="R1272">
        <v>2411524</v>
      </c>
    </row>
    <row r="1273" spans="1:18" x14ac:dyDescent="0.25">
      <c r="A1273" s="170">
        <v>43879</v>
      </c>
      <c r="B1273" s="116">
        <v>244.16442906949999</v>
      </c>
      <c r="C1273" s="116">
        <v>241.78919440116499</v>
      </c>
      <c r="D1273" s="116">
        <v>237.91126024878</v>
      </c>
      <c r="E1273" s="116">
        <v>244.115954892595</v>
      </c>
      <c r="F1273" s="116">
        <v>249.4</v>
      </c>
      <c r="G1273">
        <v>214082</v>
      </c>
      <c r="H1273" s="116"/>
      <c r="I1273" s="116"/>
      <c r="L1273" s="170">
        <v>43879</v>
      </c>
      <c r="M1273" s="116">
        <v>241.838048315321</v>
      </c>
      <c r="N1273" s="116">
        <v>243.97091544818801</v>
      </c>
      <c r="O1273" s="116">
        <v>237.76621106166601</v>
      </c>
      <c r="P1273" s="116">
        <v>243.97091544818801</v>
      </c>
      <c r="Q1273" s="116">
        <v>249.45</v>
      </c>
      <c r="R1273">
        <v>2430446</v>
      </c>
    </row>
    <row r="1274" spans="1:18" x14ac:dyDescent="0.25">
      <c r="A1274" s="170">
        <v>43880</v>
      </c>
      <c r="B1274" s="116">
        <v>247.703043983551</v>
      </c>
      <c r="C1274" s="116">
        <v>246.297292853312</v>
      </c>
      <c r="D1274" s="116">
        <v>242.564781231642</v>
      </c>
      <c r="E1274" s="116">
        <v>246.05492196878799</v>
      </c>
      <c r="F1274" s="116">
        <v>254.05</v>
      </c>
      <c r="G1274">
        <v>145802</v>
      </c>
      <c r="H1274" s="116"/>
      <c r="I1274" s="116"/>
      <c r="L1274" s="170">
        <v>43880</v>
      </c>
      <c r="M1274" s="116">
        <v>246.249205340114</v>
      </c>
      <c r="N1274" s="116">
        <v>247.70343293070599</v>
      </c>
      <c r="O1274" s="116">
        <v>242.274316592498</v>
      </c>
      <c r="P1274" s="116">
        <v>242.371265098538</v>
      </c>
      <c r="Q1274" s="116">
        <v>254</v>
      </c>
      <c r="R1274">
        <v>2101729</v>
      </c>
    </row>
    <row r="1275" spans="1:18" x14ac:dyDescent="0.25">
      <c r="A1275" s="170">
        <v>43881</v>
      </c>
      <c r="B1275" s="116">
        <v>253.13215179688899</v>
      </c>
      <c r="C1275" s="116">
        <v>249.642011059743</v>
      </c>
      <c r="D1275" s="116">
        <v>245.13391260759599</v>
      </c>
      <c r="E1275" s="116">
        <v>245.86102526116801</v>
      </c>
      <c r="F1275" s="116">
        <v>257.5</v>
      </c>
      <c r="G1275">
        <v>533310</v>
      </c>
      <c r="H1275" s="116"/>
      <c r="I1275" s="116"/>
      <c r="L1275" s="170">
        <v>43881</v>
      </c>
      <c r="M1275" s="116">
        <v>250.75731087094701</v>
      </c>
      <c r="N1275" s="116">
        <v>253.035600762873</v>
      </c>
      <c r="O1275" s="116">
        <v>244.940400508582</v>
      </c>
      <c r="P1275" s="116">
        <v>245.473617291799</v>
      </c>
      <c r="Q1275" s="116">
        <v>258.64999999999998</v>
      </c>
      <c r="R1275">
        <v>3108173</v>
      </c>
    </row>
    <row r="1276" spans="1:18" x14ac:dyDescent="0.25">
      <c r="A1276" s="170">
        <v>43885</v>
      </c>
      <c r="B1276" s="116">
        <v>248.09083739878901</v>
      </c>
      <c r="C1276" s="116">
        <v>240.33496909402101</v>
      </c>
      <c r="D1276" s="116">
        <v>236.74788000306501</v>
      </c>
      <c r="E1276" s="116">
        <v>247.21830221450301</v>
      </c>
      <c r="F1276" s="116">
        <v>247.9</v>
      </c>
      <c r="G1276">
        <v>382702</v>
      </c>
      <c r="H1276" s="116"/>
      <c r="I1276" s="116"/>
      <c r="L1276" s="170">
        <v>43885</v>
      </c>
      <c r="M1276" s="116">
        <v>239.705181182454</v>
      </c>
      <c r="N1276" s="116">
        <v>248.04275270184399</v>
      </c>
      <c r="O1276" s="116">
        <v>236.65130324221201</v>
      </c>
      <c r="P1276" s="116">
        <v>247.02479338843</v>
      </c>
      <c r="Q1276" s="116">
        <v>247.25</v>
      </c>
      <c r="R1276">
        <v>3309214</v>
      </c>
    </row>
    <row r="1277" spans="1:18" x14ac:dyDescent="0.25">
      <c r="A1277" s="170">
        <v>43886</v>
      </c>
      <c r="B1277" s="116">
        <v>243.825109831167</v>
      </c>
      <c r="C1277" s="116">
        <v>238.63837290235199</v>
      </c>
      <c r="D1277" s="116">
        <v>235.099757988302</v>
      </c>
      <c r="E1277" s="116">
        <v>241.40140098592599</v>
      </c>
      <c r="F1277" s="116">
        <v>246.15</v>
      </c>
      <c r="G1277">
        <v>425727</v>
      </c>
      <c r="H1277" s="116"/>
      <c r="I1277" s="116"/>
      <c r="L1277" s="170">
        <v>43886</v>
      </c>
      <c r="M1277" s="116">
        <v>238.929593134139</v>
      </c>
      <c r="N1277" s="116">
        <v>244.06786395422799</v>
      </c>
      <c r="O1277" s="116">
        <v>235.003178639542</v>
      </c>
      <c r="P1277" s="116">
        <v>242.17736808645901</v>
      </c>
      <c r="Q1277" s="116">
        <v>246.45</v>
      </c>
      <c r="R1277">
        <v>3309962</v>
      </c>
    </row>
    <row r="1278" spans="1:18" x14ac:dyDescent="0.25">
      <c r="A1278" s="170">
        <v>43887</v>
      </c>
      <c r="B1278" s="116">
        <v>238.735321256162</v>
      </c>
      <c r="C1278" s="116">
        <v>235.29365469592099</v>
      </c>
      <c r="D1278" s="116">
        <v>233.64553268115799</v>
      </c>
      <c r="E1278" s="116">
        <v>235.58449975734999</v>
      </c>
      <c r="F1278" s="116">
        <v>242.7</v>
      </c>
      <c r="G1278">
        <v>437407</v>
      </c>
      <c r="H1278" s="116"/>
      <c r="I1278" s="116"/>
      <c r="L1278" s="170">
        <v>43887</v>
      </c>
      <c r="M1278" s="116">
        <v>235.39097266370001</v>
      </c>
      <c r="N1278" s="116">
        <v>238.78417037507899</v>
      </c>
      <c r="O1278" s="116">
        <v>233.64589955499</v>
      </c>
      <c r="P1278" s="116">
        <v>236.554354736173</v>
      </c>
      <c r="Q1278" s="116">
        <v>242.8</v>
      </c>
      <c r="R1278">
        <v>2897390</v>
      </c>
    </row>
    <row r="1279" spans="1:18" x14ac:dyDescent="0.25">
      <c r="A1279" s="170">
        <v>43888</v>
      </c>
      <c r="B1279" s="116">
        <v>235.390603049731</v>
      </c>
      <c r="C1279" s="116">
        <v>226.76219956067499</v>
      </c>
      <c r="D1279" s="116">
        <v>225.11407754591201</v>
      </c>
      <c r="E1279" s="116">
        <v>235.390603049731</v>
      </c>
      <c r="F1279" s="116">
        <v>233.9</v>
      </c>
      <c r="G1279">
        <v>546748</v>
      </c>
      <c r="H1279" s="116"/>
      <c r="I1279" s="116"/>
      <c r="L1279" s="170">
        <v>43888</v>
      </c>
      <c r="M1279" s="116">
        <v>227.00492689129101</v>
      </c>
      <c r="N1279" s="116">
        <v>234.08216783216801</v>
      </c>
      <c r="O1279" s="116">
        <v>224.96900826446301</v>
      </c>
      <c r="P1279" s="116">
        <v>234.08216783216801</v>
      </c>
      <c r="Q1279" s="116">
        <v>234.15</v>
      </c>
      <c r="R1279">
        <v>3568055</v>
      </c>
    </row>
    <row r="1280" spans="1:18" x14ac:dyDescent="0.25">
      <c r="A1280" s="170">
        <v>43889</v>
      </c>
      <c r="B1280" s="116">
        <v>219.58802137876401</v>
      </c>
      <c r="C1280" s="116">
        <v>211.83215307399601</v>
      </c>
      <c r="D1280" s="116">
        <v>208.438960690659</v>
      </c>
      <c r="E1280" s="116">
        <v>208.438960690659</v>
      </c>
      <c r="F1280" s="116">
        <v>218.5</v>
      </c>
      <c r="G1280">
        <v>294425</v>
      </c>
      <c r="H1280" s="116"/>
      <c r="I1280" s="116"/>
      <c r="L1280" s="170">
        <v>43889</v>
      </c>
      <c r="M1280" s="116">
        <v>211.97790845518099</v>
      </c>
      <c r="N1280" s="116">
        <v>219.879211697394</v>
      </c>
      <c r="O1280" s="116">
        <v>210.37825810553099</v>
      </c>
      <c r="P1280" s="116">
        <v>214.25619834710699</v>
      </c>
      <c r="Q1280" s="116">
        <v>218.65</v>
      </c>
      <c r="R1280">
        <v>3364181</v>
      </c>
    </row>
    <row r="1281" spans="1:18" x14ac:dyDescent="0.25">
      <c r="A1281" s="170">
        <v>43892</v>
      </c>
      <c r="B1281" s="116">
        <v>219.68496973257399</v>
      </c>
      <c r="C1281" s="116">
        <v>211.68673054328099</v>
      </c>
      <c r="D1281" s="116">
        <v>209.55386675947</v>
      </c>
      <c r="E1281" s="116">
        <v>213.28637838114</v>
      </c>
      <c r="F1281" s="116">
        <v>218.35</v>
      </c>
      <c r="G1281">
        <v>357746</v>
      </c>
      <c r="H1281" s="116"/>
      <c r="I1281" s="116"/>
      <c r="L1281" s="170">
        <v>43892</v>
      </c>
      <c r="M1281" s="116">
        <v>211.92943420216099</v>
      </c>
      <c r="N1281" s="116">
        <v>219.78226319135399</v>
      </c>
      <c r="O1281" s="116">
        <v>209.55419580419601</v>
      </c>
      <c r="P1281" s="116">
        <v>216.195168467896</v>
      </c>
      <c r="Q1281" s="116">
        <v>218.6</v>
      </c>
      <c r="R1281">
        <v>3162614</v>
      </c>
    </row>
    <row r="1282" spans="1:18" x14ac:dyDescent="0.25">
      <c r="A1282" s="170">
        <v>43893</v>
      </c>
      <c r="B1282" s="116">
        <v>220.41208238614601</v>
      </c>
      <c r="C1282" s="116">
        <v>217.45515759495299</v>
      </c>
      <c r="D1282" s="116">
        <v>213.140955850425</v>
      </c>
      <c r="E1282" s="116">
        <v>214.255861919236</v>
      </c>
      <c r="F1282" s="116">
        <v>224.3</v>
      </c>
      <c r="G1282">
        <v>493686</v>
      </c>
      <c r="H1282" s="116"/>
      <c r="I1282" s="116"/>
      <c r="L1282" s="170">
        <v>43893</v>
      </c>
      <c r="M1282" s="116">
        <v>218.86125238398</v>
      </c>
      <c r="N1282" s="116">
        <v>221.672759059123</v>
      </c>
      <c r="O1282" s="116">
        <v>212.559599491418</v>
      </c>
      <c r="P1282" s="116">
        <v>214.25619834710699</v>
      </c>
      <c r="Q1282" s="116">
        <v>225.75</v>
      </c>
      <c r="R1282">
        <v>2992170</v>
      </c>
    </row>
    <row r="1283" spans="1:18" x14ac:dyDescent="0.25">
      <c r="A1283" s="170">
        <v>43894</v>
      </c>
      <c r="B1283" s="116">
        <v>219.83039226328799</v>
      </c>
      <c r="C1283" s="116">
        <v>213.140955850425</v>
      </c>
      <c r="D1283" s="116">
        <v>207.17863209113401</v>
      </c>
      <c r="E1283" s="116">
        <v>219.15175378662099</v>
      </c>
      <c r="F1283" s="116">
        <v>219.85</v>
      </c>
      <c r="G1283">
        <v>1061517</v>
      </c>
      <c r="H1283" s="116"/>
      <c r="I1283" s="116"/>
      <c r="L1283" s="170">
        <v>43894</v>
      </c>
      <c r="M1283" s="116">
        <v>214.353146853147</v>
      </c>
      <c r="N1283" s="116">
        <v>220.073108709472</v>
      </c>
      <c r="O1283" s="116">
        <v>207.033534647171</v>
      </c>
      <c r="P1283" s="116">
        <v>219.20057215511801</v>
      </c>
      <c r="Q1283" s="116">
        <v>221.1</v>
      </c>
      <c r="R1283">
        <v>5216787</v>
      </c>
    </row>
    <row r="1284" spans="1:18" x14ac:dyDescent="0.25">
      <c r="A1284" s="170">
        <v>43895</v>
      </c>
      <c r="B1284" s="116">
        <v>219.87886644019301</v>
      </c>
      <c r="C1284" s="116">
        <v>215.12839710352199</v>
      </c>
      <c r="D1284" s="116">
        <v>212.75316243518699</v>
      </c>
      <c r="E1284" s="116">
        <v>213.28637838114</v>
      </c>
      <c r="F1284" s="116">
        <v>221.9</v>
      </c>
      <c r="G1284">
        <v>587595</v>
      </c>
      <c r="H1284" s="116"/>
      <c r="I1284" s="116"/>
      <c r="L1284" s="170">
        <v>43895</v>
      </c>
      <c r="M1284" s="116">
        <v>214.98331214240301</v>
      </c>
      <c r="N1284" s="116">
        <v>219.92768595041301</v>
      </c>
      <c r="O1284" s="116">
        <v>212.65654799745701</v>
      </c>
      <c r="P1284" s="116">
        <v>216.92228226319099</v>
      </c>
      <c r="Q1284" s="116">
        <v>221.75</v>
      </c>
      <c r="R1284">
        <v>3159080</v>
      </c>
    </row>
    <row r="1285" spans="1:18" x14ac:dyDescent="0.25">
      <c r="A1285" s="170">
        <v>43896</v>
      </c>
      <c r="B1285" s="116">
        <v>210.18403105923201</v>
      </c>
      <c r="C1285" s="116">
        <v>207.95421892161099</v>
      </c>
      <c r="D1285" s="116">
        <v>201.21630833184301</v>
      </c>
      <c r="E1285" s="116">
        <v>208.438960690659</v>
      </c>
      <c r="F1285" s="116">
        <v>214.5</v>
      </c>
      <c r="G1285">
        <v>364913</v>
      </c>
      <c r="H1285" s="116"/>
      <c r="I1285" s="116"/>
      <c r="L1285" s="170">
        <v>43896</v>
      </c>
      <c r="M1285" s="116">
        <v>208.19691671964401</v>
      </c>
      <c r="N1285" s="116">
        <v>210.13588684043199</v>
      </c>
      <c r="O1285" s="116">
        <v>201.16815003178601</v>
      </c>
      <c r="P1285" s="116">
        <v>208.53623649078199</v>
      </c>
      <c r="Q1285" s="116">
        <v>214.75</v>
      </c>
      <c r="R1285">
        <v>4375226</v>
      </c>
    </row>
    <row r="1286" spans="1:18" x14ac:dyDescent="0.25">
      <c r="A1286" s="170">
        <v>43899</v>
      </c>
      <c r="B1286" s="116">
        <v>215.225345457332</v>
      </c>
      <c r="C1286" s="116">
        <v>193.89670761921801</v>
      </c>
      <c r="D1286" s="116">
        <v>191.95774054302601</v>
      </c>
      <c r="E1286" s="116">
        <v>215.225345457332</v>
      </c>
      <c r="F1286" s="116">
        <v>200</v>
      </c>
      <c r="G1286">
        <v>194897</v>
      </c>
      <c r="H1286" s="116"/>
      <c r="I1286" s="116"/>
      <c r="L1286" s="170">
        <v>43899</v>
      </c>
      <c r="M1286" s="116">
        <v>193.60616656071201</v>
      </c>
      <c r="N1286" s="116">
        <v>202.137635092181</v>
      </c>
      <c r="O1286" s="116">
        <v>191.23092816274601</v>
      </c>
      <c r="P1286" s="116">
        <v>200.68340750158899</v>
      </c>
      <c r="Q1286" s="116">
        <v>199.7</v>
      </c>
      <c r="R1286">
        <v>2763989</v>
      </c>
    </row>
    <row r="1287" spans="1:18" x14ac:dyDescent="0.25">
      <c r="A1287" s="170">
        <v>43901</v>
      </c>
      <c r="B1287" s="116">
        <v>198.64717695588899</v>
      </c>
      <c r="C1287" s="116">
        <v>189.485557520881</v>
      </c>
      <c r="D1287" s="116">
        <v>186.38321019897299</v>
      </c>
      <c r="E1287" s="116">
        <v>190.01877346683401</v>
      </c>
      <c r="F1287" s="116">
        <v>195.45</v>
      </c>
      <c r="G1287">
        <v>585977</v>
      </c>
      <c r="H1287" s="116"/>
      <c r="I1287" s="116"/>
      <c r="L1287" s="170">
        <v>43901</v>
      </c>
      <c r="M1287" s="116">
        <v>189.77670057215499</v>
      </c>
      <c r="N1287" s="116">
        <v>198.744437380801</v>
      </c>
      <c r="O1287" s="116">
        <v>186.38350286077599</v>
      </c>
      <c r="P1287" s="116">
        <v>191.376350921805</v>
      </c>
      <c r="Q1287" s="116">
        <v>195.75</v>
      </c>
      <c r="R1287">
        <v>3763191</v>
      </c>
    </row>
    <row r="1288" spans="1:18" x14ac:dyDescent="0.25">
      <c r="A1288" s="170">
        <v>43902</v>
      </c>
      <c r="B1288" s="116">
        <v>178.38497100967999</v>
      </c>
      <c r="C1288" s="116">
        <v>157.49260076370999</v>
      </c>
      <c r="D1288" s="116">
        <v>155.69905621823199</v>
      </c>
      <c r="E1288" s="116">
        <v>178.38497100967999</v>
      </c>
      <c r="F1288" s="116">
        <v>162.44999999999999</v>
      </c>
      <c r="G1288">
        <v>332512</v>
      </c>
      <c r="H1288" s="116"/>
      <c r="I1288" s="116"/>
      <c r="L1288" s="170">
        <v>43902</v>
      </c>
      <c r="M1288" s="116">
        <v>157.202002542912</v>
      </c>
      <c r="N1288" s="116">
        <v>178.288302606484</v>
      </c>
      <c r="O1288" s="116">
        <v>155.55387794024199</v>
      </c>
      <c r="P1288" s="116">
        <v>174.60425937698699</v>
      </c>
      <c r="Q1288" s="116">
        <v>162.15</v>
      </c>
      <c r="R1288">
        <v>4834390</v>
      </c>
    </row>
    <row r="1289" spans="1:18" x14ac:dyDescent="0.25">
      <c r="A1289" s="170">
        <v>43903</v>
      </c>
      <c r="B1289" s="116">
        <v>156.42616887180401</v>
      </c>
      <c r="C1289" s="116">
        <v>144.016779584174</v>
      </c>
      <c r="D1289" s="116">
        <v>126.081334129396</v>
      </c>
      <c r="E1289" s="116">
        <v>142.514080100125</v>
      </c>
      <c r="F1289" s="116">
        <v>148.55000000000001</v>
      </c>
      <c r="G1289">
        <v>554083</v>
      </c>
      <c r="H1289" s="116"/>
      <c r="I1289" s="116"/>
      <c r="L1289" s="170">
        <v>43903</v>
      </c>
      <c r="M1289" s="116">
        <v>144.21090273363001</v>
      </c>
      <c r="N1289" s="116">
        <v>156.426414494596</v>
      </c>
      <c r="O1289" s="116">
        <v>125.79068658614101</v>
      </c>
      <c r="P1289" s="116">
        <v>141.496344564526</v>
      </c>
      <c r="Q1289" s="116">
        <v>148.75</v>
      </c>
      <c r="R1289">
        <v>7463676</v>
      </c>
    </row>
    <row r="1290" spans="1:18" x14ac:dyDescent="0.25">
      <c r="A1290" s="170">
        <v>43906</v>
      </c>
      <c r="B1290" s="116">
        <v>140.284267962504</v>
      </c>
      <c r="C1290" s="116">
        <v>130.492484227734</v>
      </c>
      <c r="D1290" s="116">
        <v>127.971827028684</v>
      </c>
      <c r="E1290" s="116">
        <v>140.284267962504</v>
      </c>
      <c r="F1290" s="116">
        <v>134.6</v>
      </c>
      <c r="G1290">
        <v>943382</v>
      </c>
      <c r="H1290" s="116"/>
      <c r="I1290" s="116"/>
      <c r="L1290" s="170">
        <v>43906</v>
      </c>
      <c r="M1290" s="116">
        <v>130.589637635092</v>
      </c>
      <c r="N1290" s="116">
        <v>137.95772409408801</v>
      </c>
      <c r="O1290" s="116">
        <v>124.724253019708</v>
      </c>
      <c r="P1290" s="116">
        <v>136.69739351557499</v>
      </c>
      <c r="Q1290" s="116">
        <v>134.69999999999999</v>
      </c>
      <c r="R1290">
        <v>6582849</v>
      </c>
    </row>
    <row r="1291" spans="1:18" x14ac:dyDescent="0.25">
      <c r="A1291" s="170">
        <v>43907</v>
      </c>
      <c r="B1291" s="116">
        <v>136.11548874869101</v>
      </c>
      <c r="C1291" s="116">
        <v>129.232155628209</v>
      </c>
      <c r="D1291" s="116">
        <v>126.808446782969</v>
      </c>
      <c r="E1291" s="116">
        <v>129.910794104876</v>
      </c>
      <c r="F1291" s="116">
        <v>133.30000000000001</v>
      </c>
      <c r="G1291">
        <v>616924</v>
      </c>
      <c r="H1291" s="116"/>
      <c r="I1291" s="116"/>
      <c r="L1291" s="170">
        <v>43907</v>
      </c>
      <c r="M1291" s="116">
        <v>129.32930705658001</v>
      </c>
      <c r="N1291" s="116">
        <v>138.20009535918601</v>
      </c>
      <c r="O1291" s="116">
        <v>126.517800381437</v>
      </c>
      <c r="P1291" s="116">
        <v>131.559122695486</v>
      </c>
      <c r="Q1291" s="116">
        <v>133.4</v>
      </c>
      <c r="R1291">
        <v>6388062</v>
      </c>
    </row>
    <row r="1292" spans="1:18" x14ac:dyDescent="0.25">
      <c r="A1292" s="170">
        <v>43908</v>
      </c>
      <c r="B1292" s="116">
        <v>132.67382218845</v>
      </c>
      <c r="C1292" s="116">
        <v>126.129808306301</v>
      </c>
      <c r="D1292" s="116">
        <v>123.851521991775</v>
      </c>
      <c r="E1292" s="116">
        <v>131.65586447344899</v>
      </c>
      <c r="F1292" s="116">
        <v>130.1</v>
      </c>
      <c r="G1292">
        <v>440869</v>
      </c>
      <c r="H1292" s="116"/>
      <c r="I1292" s="116"/>
      <c r="L1292" s="170">
        <v>43908</v>
      </c>
      <c r="M1292" s="116">
        <v>126.226954863318</v>
      </c>
      <c r="N1292" s="116">
        <v>132.81945327399899</v>
      </c>
      <c r="O1292" s="116">
        <v>123.22155117609699</v>
      </c>
      <c r="P1292" s="116">
        <v>131.75301970756499</v>
      </c>
      <c r="Q1292" s="116">
        <v>130.19999999999999</v>
      </c>
      <c r="R1292">
        <v>4255688</v>
      </c>
    </row>
    <row r="1293" spans="1:18" x14ac:dyDescent="0.25">
      <c r="A1293" s="170">
        <v>43909</v>
      </c>
      <c r="B1293" s="116">
        <v>128.84436221297</v>
      </c>
      <c r="C1293" s="116">
        <v>125.014902237491</v>
      </c>
      <c r="D1293" s="116">
        <v>114.39905749533899</v>
      </c>
      <c r="E1293" s="116">
        <v>124.09389287629899</v>
      </c>
      <c r="F1293" s="116">
        <v>128.94999999999999</v>
      </c>
      <c r="G1293">
        <v>354211</v>
      </c>
      <c r="H1293" s="116"/>
      <c r="I1293" s="116"/>
      <c r="L1293" s="170">
        <v>43909</v>
      </c>
      <c r="M1293" s="116">
        <v>124.966624284806</v>
      </c>
      <c r="N1293" s="116">
        <v>128.89303877940199</v>
      </c>
      <c r="O1293" s="116">
        <v>114.59313413858899</v>
      </c>
      <c r="P1293" s="116">
        <v>117.30769230769199</v>
      </c>
      <c r="Q1293" s="116">
        <v>128.9</v>
      </c>
      <c r="R1293">
        <v>5517080</v>
      </c>
    </row>
    <row r="1294" spans="1:18" x14ac:dyDescent="0.25">
      <c r="A1294" s="170">
        <v>43910</v>
      </c>
      <c r="B1294" s="116">
        <v>137.133446463692</v>
      </c>
      <c r="C1294" s="116">
        <v>133.01314142678299</v>
      </c>
      <c r="D1294" s="116">
        <v>124.77253135296699</v>
      </c>
      <c r="E1294" s="116">
        <v>127.002343490588</v>
      </c>
      <c r="F1294" s="116">
        <v>137.19999999999999</v>
      </c>
      <c r="G1294">
        <v>297421</v>
      </c>
      <c r="H1294" s="116"/>
      <c r="I1294" s="116"/>
      <c r="L1294" s="170">
        <v>43910</v>
      </c>
      <c r="M1294" s="116">
        <v>133.498092816275</v>
      </c>
      <c r="N1294" s="116">
        <v>137.27908455181199</v>
      </c>
      <c r="O1294" s="116">
        <v>124.772727272727</v>
      </c>
      <c r="P1294" s="116">
        <v>133.78893833439301</v>
      </c>
      <c r="Q1294" s="116">
        <v>137.69999999999999</v>
      </c>
      <c r="R1294">
        <v>4496401</v>
      </c>
    </row>
    <row r="1295" spans="1:18" x14ac:dyDescent="0.25">
      <c r="A1295" s="170">
        <v>43913</v>
      </c>
      <c r="B1295" s="116">
        <v>131.26807105821101</v>
      </c>
      <c r="C1295" s="116">
        <v>119.58579442415299</v>
      </c>
      <c r="D1295" s="116">
        <v>114.592954202958</v>
      </c>
      <c r="E1295" s="116">
        <v>125.063376414396</v>
      </c>
      <c r="F1295" s="116">
        <v>123.35</v>
      </c>
      <c r="G1295">
        <v>557391</v>
      </c>
      <c r="H1295" s="116"/>
      <c r="I1295" s="116"/>
      <c r="L1295" s="170">
        <v>43913</v>
      </c>
      <c r="M1295" s="116">
        <v>117.210743801653</v>
      </c>
      <c r="N1295" s="116">
        <v>130.88048315321001</v>
      </c>
      <c r="O1295" s="116">
        <v>114.59313413858899</v>
      </c>
      <c r="P1295" s="116">
        <v>119.2951366815</v>
      </c>
      <c r="Q1295" s="116">
        <v>120.9</v>
      </c>
      <c r="R1295">
        <v>1456143</v>
      </c>
    </row>
    <row r="1296" spans="1:18" x14ac:dyDescent="0.25">
      <c r="A1296" s="170">
        <v>43914</v>
      </c>
      <c r="B1296" s="116">
        <v>128.79588803606501</v>
      </c>
      <c r="C1296" s="116">
        <v>125.40269565272899</v>
      </c>
      <c r="D1296" s="116">
        <v>112.70246130367001</v>
      </c>
      <c r="E1296" s="116">
        <v>127.971827028684</v>
      </c>
      <c r="F1296" s="116">
        <v>129.35</v>
      </c>
      <c r="G1296">
        <v>415398</v>
      </c>
      <c r="H1296" s="116"/>
      <c r="I1296" s="116"/>
      <c r="L1296" s="170">
        <v>43914</v>
      </c>
      <c r="M1296" s="116">
        <v>126.372377622378</v>
      </c>
      <c r="N1296" s="116">
        <v>128.89303877940199</v>
      </c>
      <c r="O1296" s="116">
        <v>112.84806102987901</v>
      </c>
      <c r="P1296" s="116">
        <v>121.185632549269</v>
      </c>
      <c r="Q1296" s="116">
        <v>130.35</v>
      </c>
      <c r="R1296">
        <v>5125923</v>
      </c>
    </row>
    <row r="1297" spans="1:18" x14ac:dyDescent="0.25">
      <c r="A1297" s="170">
        <v>43915</v>
      </c>
      <c r="B1297" s="116">
        <v>130.39553587392399</v>
      </c>
      <c r="C1297" s="116">
        <v>128.553517151541</v>
      </c>
      <c r="D1297" s="116">
        <v>121.37933896963</v>
      </c>
      <c r="E1297" s="116">
        <v>123.12440933820299</v>
      </c>
      <c r="F1297" s="116">
        <v>132.6</v>
      </c>
      <c r="G1297">
        <v>506184</v>
      </c>
      <c r="H1297" s="116"/>
      <c r="I1297" s="116"/>
      <c r="L1297" s="170">
        <v>43915</v>
      </c>
      <c r="M1297" s="116">
        <v>128.26287349014601</v>
      </c>
      <c r="N1297" s="116">
        <v>130.783534647171</v>
      </c>
      <c r="O1297" s="116">
        <v>121.185632549269</v>
      </c>
      <c r="P1297" s="116">
        <v>122.15511760966299</v>
      </c>
      <c r="Q1297" s="116">
        <v>132.30000000000001</v>
      </c>
      <c r="R1297">
        <v>2771318</v>
      </c>
    </row>
    <row r="1298" spans="1:18" x14ac:dyDescent="0.25">
      <c r="A1298" s="170">
        <v>43916</v>
      </c>
      <c r="B1298" s="116">
        <v>147.11912690608199</v>
      </c>
      <c r="C1298" s="116">
        <v>136.30938545631</v>
      </c>
      <c r="D1298" s="116">
        <v>128.45656879773199</v>
      </c>
      <c r="E1298" s="116">
        <v>130.25011334320999</v>
      </c>
      <c r="F1298" s="116">
        <v>140.6</v>
      </c>
      <c r="G1298">
        <v>465212</v>
      </c>
      <c r="H1298" s="116"/>
      <c r="I1298" s="116"/>
      <c r="L1298" s="170">
        <v>43916</v>
      </c>
      <c r="M1298" s="116">
        <v>135.97027972027999</v>
      </c>
      <c r="N1298" s="116">
        <v>147.36172917991101</v>
      </c>
      <c r="O1298" s="116">
        <v>128.02050222504801</v>
      </c>
      <c r="P1298" s="116">
        <v>130.88048315321001</v>
      </c>
      <c r="Q1298" s="116">
        <v>140.25</v>
      </c>
      <c r="R1298">
        <v>7980255</v>
      </c>
    </row>
    <row r="1299" spans="1:18" x14ac:dyDescent="0.25">
      <c r="A1299" s="170">
        <v>43917</v>
      </c>
      <c r="B1299" s="116">
        <v>146.39201425250999</v>
      </c>
      <c r="C1299" s="116">
        <v>124.142367053204</v>
      </c>
      <c r="D1299" s="116">
        <v>122.68814174606</v>
      </c>
      <c r="E1299" s="116">
        <v>138.15140417869301</v>
      </c>
      <c r="F1299" s="116">
        <v>128.05000000000001</v>
      </c>
      <c r="G1299">
        <v>373680</v>
      </c>
      <c r="H1299" s="116"/>
      <c r="I1299" s="116"/>
      <c r="L1299" s="170">
        <v>43917</v>
      </c>
      <c r="M1299" s="116">
        <v>124.09408773045099</v>
      </c>
      <c r="N1299" s="116">
        <v>146.39224411951699</v>
      </c>
      <c r="O1299" s="116">
        <v>122.397488874762</v>
      </c>
      <c r="P1299" s="116">
        <v>141.544818817546</v>
      </c>
      <c r="Q1299" s="116">
        <v>128</v>
      </c>
      <c r="R1299">
        <v>4378366</v>
      </c>
    </row>
    <row r="1300" spans="1:18" x14ac:dyDescent="0.25">
      <c r="A1300" s="170">
        <v>43920</v>
      </c>
      <c r="B1300" s="116">
        <v>125.645066537253</v>
      </c>
      <c r="C1300" s="116">
        <v>124.869479706776</v>
      </c>
      <c r="D1300" s="116">
        <v>117.45293064034099</v>
      </c>
      <c r="E1300" s="116">
        <v>123.12440933820299</v>
      </c>
      <c r="F1300" s="116">
        <v>128.80000000000001</v>
      </c>
      <c r="G1300">
        <v>160677</v>
      </c>
      <c r="H1300" s="116"/>
      <c r="I1300" s="116"/>
      <c r="L1300" s="170">
        <v>43920</v>
      </c>
      <c r="M1300" s="116">
        <v>124.772727272727</v>
      </c>
      <c r="N1300" s="116">
        <v>125.839160839161</v>
      </c>
      <c r="O1300" s="116">
        <v>117.30769230769199</v>
      </c>
      <c r="P1300" s="116">
        <v>120.216147488875</v>
      </c>
      <c r="Q1300" s="116">
        <v>128.69999999999999</v>
      </c>
      <c r="R1300">
        <v>2397602</v>
      </c>
    </row>
    <row r="1301" spans="1:18" x14ac:dyDescent="0.25">
      <c r="A1301" s="170">
        <v>43921</v>
      </c>
      <c r="B1301" s="116">
        <v>134.079573318689</v>
      </c>
      <c r="C1301" s="116">
        <v>133.35246066511701</v>
      </c>
      <c r="D1301" s="116">
        <v>124.578634645348</v>
      </c>
      <c r="E1301" s="116">
        <v>124.578634645348</v>
      </c>
      <c r="F1301" s="116">
        <v>137.55000000000001</v>
      </c>
      <c r="G1301">
        <v>160101</v>
      </c>
      <c r="H1301" s="116"/>
      <c r="I1301" s="116"/>
      <c r="L1301" s="170">
        <v>43921</v>
      </c>
      <c r="M1301" s="116">
        <v>133.401144310235</v>
      </c>
      <c r="N1301" s="116">
        <v>134.22520661157</v>
      </c>
      <c r="O1301" s="116">
        <v>125.499841068023</v>
      </c>
      <c r="P1301" s="116">
        <v>127.68118245391</v>
      </c>
      <c r="Q1301" s="116">
        <v>137.6</v>
      </c>
      <c r="R1301">
        <v>2200227</v>
      </c>
    </row>
    <row r="1302" spans="1:18" x14ac:dyDescent="0.25">
      <c r="A1302" s="170">
        <v>43922</v>
      </c>
      <c r="B1302" s="116">
        <v>139.605629485837</v>
      </c>
      <c r="C1302" s="116">
        <v>129.910794104876</v>
      </c>
      <c r="D1302" s="116">
        <v>127.874878674874</v>
      </c>
      <c r="E1302" s="116">
        <v>139.605629485837</v>
      </c>
      <c r="F1302" s="116">
        <v>134</v>
      </c>
      <c r="G1302">
        <v>130386</v>
      </c>
      <c r="H1302" s="116"/>
      <c r="I1302" s="116"/>
      <c r="L1302" s="170">
        <v>43922</v>
      </c>
      <c r="M1302" s="116">
        <v>129.86252383979701</v>
      </c>
      <c r="N1302" s="116">
        <v>134.709949141767</v>
      </c>
      <c r="O1302" s="116">
        <v>127.778130959949</v>
      </c>
      <c r="P1302" s="116">
        <v>134.709949141767</v>
      </c>
      <c r="Q1302" s="116">
        <v>133.94999999999999</v>
      </c>
      <c r="R1302">
        <v>1997608</v>
      </c>
    </row>
    <row r="1303" spans="1:18" x14ac:dyDescent="0.25">
      <c r="A1303" s="170">
        <v>43924</v>
      </c>
      <c r="B1303" s="116">
        <v>129.765371574162</v>
      </c>
      <c r="C1303" s="116">
        <v>125.1118505913</v>
      </c>
      <c r="D1303" s="116">
        <v>124.190841230109</v>
      </c>
      <c r="E1303" s="116">
        <v>129.765371574162</v>
      </c>
      <c r="F1303" s="116">
        <v>129.05000000000001</v>
      </c>
      <c r="G1303">
        <v>119977</v>
      </c>
      <c r="H1303" s="116"/>
      <c r="I1303" s="116"/>
      <c r="L1303" s="170">
        <v>43924</v>
      </c>
      <c r="M1303" s="116">
        <v>125.112047043865</v>
      </c>
      <c r="N1303" s="116">
        <v>130.49268912905299</v>
      </c>
      <c r="O1303" s="116">
        <v>124.09408773045099</v>
      </c>
      <c r="P1303" s="116">
        <v>129.91099809281599</v>
      </c>
      <c r="Q1303" s="116">
        <v>129.05000000000001</v>
      </c>
      <c r="R1303">
        <v>1761947</v>
      </c>
    </row>
    <row r="1304" spans="1:18" x14ac:dyDescent="0.25">
      <c r="A1304" s="170">
        <v>43928</v>
      </c>
      <c r="B1304" s="116">
        <v>137.133446463692</v>
      </c>
      <c r="C1304" s="116">
        <v>133.69177990345099</v>
      </c>
      <c r="D1304" s="116">
        <v>127.63250779035</v>
      </c>
      <c r="E1304" s="116">
        <v>127.971827028684</v>
      </c>
      <c r="F1304" s="116">
        <v>137.9</v>
      </c>
      <c r="G1304">
        <v>172588</v>
      </c>
      <c r="H1304" s="116"/>
      <c r="I1304" s="116"/>
      <c r="L1304" s="170">
        <v>43928</v>
      </c>
      <c r="M1304" s="116">
        <v>133.934361093452</v>
      </c>
      <c r="N1304" s="116">
        <v>137.18213604577201</v>
      </c>
      <c r="O1304" s="116">
        <v>127.002542911634</v>
      </c>
      <c r="P1304" s="116">
        <v>127.002542911634</v>
      </c>
      <c r="Q1304" s="116">
        <v>138.15</v>
      </c>
      <c r="R1304">
        <v>2463525</v>
      </c>
    </row>
    <row r="1305" spans="1:18" x14ac:dyDescent="0.25">
      <c r="A1305" s="170">
        <v>43929</v>
      </c>
      <c r="B1305" s="116">
        <v>142.514080100125</v>
      </c>
      <c r="C1305" s="116">
        <v>133.98262496487999</v>
      </c>
      <c r="D1305" s="116">
        <v>130.880277642972</v>
      </c>
      <c r="E1305" s="116">
        <v>133.69177990345099</v>
      </c>
      <c r="F1305" s="116">
        <v>138.19999999999999</v>
      </c>
      <c r="G1305">
        <v>232697</v>
      </c>
      <c r="H1305" s="116"/>
      <c r="I1305" s="116"/>
      <c r="L1305" s="170">
        <v>43929</v>
      </c>
      <c r="M1305" s="116">
        <v>133.88588684043199</v>
      </c>
      <c r="N1305" s="116">
        <v>142.65972663699901</v>
      </c>
      <c r="O1305" s="116">
        <v>130.783534647171</v>
      </c>
      <c r="P1305" s="116">
        <v>132.67403051494</v>
      </c>
      <c r="Q1305" s="116">
        <v>138.1</v>
      </c>
      <c r="R1305">
        <v>3237290</v>
      </c>
    </row>
    <row r="1306" spans="1:18" x14ac:dyDescent="0.25">
      <c r="A1306" s="170">
        <v>43930</v>
      </c>
      <c r="B1306" s="116">
        <v>141.690019092743</v>
      </c>
      <c r="C1306" s="116">
        <v>138.00598164797799</v>
      </c>
      <c r="D1306" s="116">
        <v>136.11548874869101</v>
      </c>
      <c r="E1306" s="116">
        <v>137.666662409645</v>
      </c>
      <c r="F1306" s="116">
        <v>142.35</v>
      </c>
      <c r="G1306">
        <v>161535</v>
      </c>
      <c r="H1306" s="116"/>
      <c r="I1306" s="116"/>
      <c r="L1306" s="170">
        <v>43930</v>
      </c>
      <c r="M1306" s="116">
        <v>138.103146853147</v>
      </c>
      <c r="N1306" s="116">
        <v>141.787190082645</v>
      </c>
      <c r="O1306" s="116">
        <v>135.72790845518099</v>
      </c>
      <c r="P1306" s="116">
        <v>135.72790845518099</v>
      </c>
      <c r="Q1306" s="116">
        <v>142.44999999999999</v>
      </c>
      <c r="R1306">
        <v>2359528</v>
      </c>
    </row>
    <row r="1307" spans="1:18" x14ac:dyDescent="0.25">
      <c r="A1307" s="170">
        <v>43934</v>
      </c>
      <c r="B1307" s="116">
        <v>144.743892237746</v>
      </c>
      <c r="C1307" s="116">
        <v>141.30222567750499</v>
      </c>
      <c r="D1307" s="116">
        <v>132.52839965773501</v>
      </c>
      <c r="E1307" s="116">
        <v>138.490723417026</v>
      </c>
      <c r="F1307" s="116">
        <v>145.75</v>
      </c>
      <c r="G1307">
        <v>166702</v>
      </c>
      <c r="H1307" s="116"/>
      <c r="I1307" s="116"/>
      <c r="L1307" s="170">
        <v>43934</v>
      </c>
      <c r="M1307" s="116">
        <v>141.544818817546</v>
      </c>
      <c r="N1307" s="116">
        <v>144.453273998729</v>
      </c>
      <c r="O1307" s="116">
        <v>132.383184996821</v>
      </c>
      <c r="P1307" s="116">
        <v>137.66687857596901</v>
      </c>
      <c r="Q1307" s="116">
        <v>146</v>
      </c>
      <c r="R1307">
        <v>2204560</v>
      </c>
    </row>
    <row r="1308" spans="1:18" x14ac:dyDescent="0.25">
      <c r="A1308" s="170">
        <v>43936</v>
      </c>
      <c r="B1308" s="116">
        <v>146.39201425250999</v>
      </c>
      <c r="C1308" s="116">
        <v>140.720535554647</v>
      </c>
      <c r="D1308" s="116">
        <v>139.02393936297901</v>
      </c>
      <c r="E1308" s="116">
        <v>146.101169191081</v>
      </c>
      <c r="F1308" s="116">
        <v>145.15</v>
      </c>
      <c r="G1308">
        <v>203358</v>
      </c>
      <c r="H1308" s="116"/>
      <c r="I1308" s="116"/>
      <c r="L1308" s="170">
        <v>43936</v>
      </c>
      <c r="M1308" s="116">
        <v>140.81770502225001</v>
      </c>
      <c r="N1308" s="116">
        <v>146.34376986649701</v>
      </c>
      <c r="O1308" s="116">
        <v>138.83026064844199</v>
      </c>
      <c r="P1308" s="116">
        <v>143.53226319135399</v>
      </c>
      <c r="Q1308" s="116">
        <v>145.25</v>
      </c>
      <c r="R1308">
        <v>3413518</v>
      </c>
    </row>
    <row r="1309" spans="1:18" x14ac:dyDescent="0.25">
      <c r="A1309" s="170">
        <v>43937</v>
      </c>
      <c r="B1309" s="116">
        <v>140.575113023933</v>
      </c>
      <c r="C1309" s="116">
        <v>138.97546518607399</v>
      </c>
      <c r="D1309" s="116">
        <v>136.30938545631</v>
      </c>
      <c r="E1309" s="116">
        <v>140.575113023933</v>
      </c>
      <c r="F1309" s="116">
        <v>143.35</v>
      </c>
      <c r="G1309">
        <v>199458</v>
      </c>
      <c r="H1309" s="116"/>
      <c r="I1309" s="116"/>
      <c r="L1309" s="170">
        <v>43937</v>
      </c>
      <c r="M1309" s="116">
        <v>138.927209154482</v>
      </c>
      <c r="N1309" s="116">
        <v>140.42991099809299</v>
      </c>
      <c r="O1309" s="116">
        <v>136.26112523839799</v>
      </c>
      <c r="P1309" s="116">
        <v>137.66687857596901</v>
      </c>
      <c r="Q1309" s="116">
        <v>143.30000000000001</v>
      </c>
      <c r="R1309">
        <v>2685695</v>
      </c>
    </row>
    <row r="1310" spans="1:18" x14ac:dyDescent="0.25">
      <c r="A1310" s="170">
        <v>43938</v>
      </c>
      <c r="B1310" s="116">
        <v>143.919831230364</v>
      </c>
      <c r="C1310" s="116">
        <v>139.84800037036101</v>
      </c>
      <c r="D1310" s="116">
        <v>137.32734317131101</v>
      </c>
      <c r="E1310" s="116">
        <v>143.09577022298299</v>
      </c>
      <c r="F1310" s="116">
        <v>144.25</v>
      </c>
      <c r="G1310">
        <v>156147</v>
      </c>
      <c r="H1310" s="116"/>
      <c r="I1310" s="116"/>
      <c r="L1310" s="170">
        <v>43938</v>
      </c>
      <c r="M1310" s="116">
        <v>139.50890019071801</v>
      </c>
      <c r="N1310" s="116">
        <v>144.01700572155099</v>
      </c>
      <c r="O1310" s="116">
        <v>137.23061029879199</v>
      </c>
      <c r="P1310" s="116">
        <v>142.46582962492101</v>
      </c>
      <c r="Q1310" s="116">
        <v>143.9</v>
      </c>
      <c r="R1310">
        <v>2384033</v>
      </c>
    </row>
    <row r="1311" spans="1:18" x14ac:dyDescent="0.25">
      <c r="A1311" s="170">
        <v>43941</v>
      </c>
      <c r="B1311" s="116">
        <v>150.31842258179901</v>
      </c>
      <c r="C1311" s="116">
        <v>142.17476086179201</v>
      </c>
      <c r="D1311" s="116">
        <v>138.53919759393099</v>
      </c>
      <c r="E1311" s="116">
        <v>143.38661528441199</v>
      </c>
      <c r="F1311" s="116">
        <v>146.65</v>
      </c>
      <c r="G1311">
        <v>536601</v>
      </c>
      <c r="H1311" s="116"/>
      <c r="I1311" s="116"/>
      <c r="L1311" s="170">
        <v>43941</v>
      </c>
      <c r="M1311" s="116">
        <v>142.22345835982199</v>
      </c>
      <c r="N1311" s="116">
        <v>150.706452638271</v>
      </c>
      <c r="O1311" s="116">
        <v>138.24856961220601</v>
      </c>
      <c r="P1311" s="116">
        <v>141.544818817546</v>
      </c>
      <c r="Q1311" s="116">
        <v>146.69999999999999</v>
      </c>
      <c r="R1311">
        <v>6835268</v>
      </c>
    </row>
    <row r="1312" spans="1:18" x14ac:dyDescent="0.25">
      <c r="A1312" s="170">
        <v>43942</v>
      </c>
      <c r="B1312" s="116">
        <v>141.544596562029</v>
      </c>
      <c r="C1312" s="116">
        <v>131.89823535797299</v>
      </c>
      <c r="D1312" s="116">
        <v>130.10469081249499</v>
      </c>
      <c r="E1312" s="116">
        <v>141.544596562029</v>
      </c>
      <c r="F1312" s="116">
        <v>136.05000000000001</v>
      </c>
      <c r="G1312">
        <v>185300</v>
      </c>
      <c r="H1312" s="116"/>
      <c r="I1312" s="116"/>
      <c r="L1312" s="170">
        <v>43942</v>
      </c>
      <c r="M1312" s="116">
        <v>131.80149396058499</v>
      </c>
      <c r="N1312" s="116">
        <v>138.636363636364</v>
      </c>
      <c r="O1312" s="116">
        <v>130.056420851875</v>
      </c>
      <c r="P1312" s="116">
        <v>138.636363636364</v>
      </c>
      <c r="Q1312" s="116">
        <v>135.94999999999999</v>
      </c>
      <c r="R1312">
        <v>3576178</v>
      </c>
    </row>
    <row r="1313" spans="1:18" x14ac:dyDescent="0.25">
      <c r="A1313" s="170">
        <v>43943</v>
      </c>
      <c r="B1313" s="116">
        <v>135.14600521059501</v>
      </c>
      <c r="C1313" s="116">
        <v>133.400934842022</v>
      </c>
      <c r="D1313" s="116">
        <v>128.262672090113</v>
      </c>
      <c r="E1313" s="116">
        <v>135.14600521059501</v>
      </c>
      <c r="F1313" s="116">
        <v>137.6</v>
      </c>
      <c r="G1313">
        <v>222215</v>
      </c>
      <c r="H1313" s="116"/>
      <c r="I1313" s="116"/>
      <c r="L1313" s="170">
        <v>43943</v>
      </c>
      <c r="M1313" s="116">
        <v>133.401144310235</v>
      </c>
      <c r="N1313" s="116">
        <v>134.56452638270801</v>
      </c>
      <c r="O1313" s="116">
        <v>128.06897647806699</v>
      </c>
      <c r="P1313" s="116">
        <v>131.849968213605</v>
      </c>
      <c r="Q1313" s="116">
        <v>137.6</v>
      </c>
      <c r="R1313">
        <v>6012163</v>
      </c>
    </row>
    <row r="1314" spans="1:18" x14ac:dyDescent="0.25">
      <c r="A1314" s="170">
        <v>43944</v>
      </c>
      <c r="B1314" s="116">
        <v>138.05445582488301</v>
      </c>
      <c r="C1314" s="116">
        <v>136.163962925596</v>
      </c>
      <c r="D1314" s="116">
        <v>133.643305726546</v>
      </c>
      <c r="E1314" s="116">
        <v>135.727695333453</v>
      </c>
      <c r="F1314" s="116">
        <v>140.44999999999999</v>
      </c>
      <c r="G1314">
        <v>275939</v>
      </c>
      <c r="H1314" s="116"/>
      <c r="I1314" s="116"/>
      <c r="L1314" s="170">
        <v>43944</v>
      </c>
      <c r="M1314" s="116">
        <v>136.21265098537799</v>
      </c>
      <c r="N1314" s="116">
        <v>138.151621106167</v>
      </c>
      <c r="O1314" s="116">
        <v>133.30419580419601</v>
      </c>
      <c r="P1314" s="116">
        <v>136.21265098537799</v>
      </c>
      <c r="Q1314" s="116">
        <v>140.5</v>
      </c>
      <c r="R1314">
        <v>3371275</v>
      </c>
    </row>
    <row r="1315" spans="1:18" x14ac:dyDescent="0.25">
      <c r="A1315" s="170">
        <v>43945</v>
      </c>
      <c r="B1315" s="116">
        <v>136.21243710250101</v>
      </c>
      <c r="C1315" s="116">
        <v>130.637906758448</v>
      </c>
      <c r="D1315" s="116">
        <v>130.05621663559</v>
      </c>
      <c r="E1315" s="116">
        <v>136.163962925596</v>
      </c>
      <c r="F1315" s="116">
        <v>134.75</v>
      </c>
      <c r="G1315">
        <v>88223</v>
      </c>
      <c r="H1315" s="116"/>
      <c r="I1315" s="116"/>
      <c r="L1315" s="170">
        <v>43945</v>
      </c>
      <c r="M1315" s="116">
        <v>130.541163382072</v>
      </c>
      <c r="N1315" s="116">
        <v>136.26112523839799</v>
      </c>
      <c r="O1315" s="116">
        <v>130.00794659885599</v>
      </c>
      <c r="P1315" s="116">
        <v>132.964876033058</v>
      </c>
      <c r="Q1315" s="116">
        <v>134.65</v>
      </c>
      <c r="R1315">
        <v>1823167</v>
      </c>
    </row>
    <row r="1316" spans="1:18" x14ac:dyDescent="0.25">
      <c r="A1316" s="170">
        <v>43948</v>
      </c>
      <c r="B1316" s="116">
        <v>134.17652167249901</v>
      </c>
      <c r="C1316" s="116">
        <v>130.54095840463799</v>
      </c>
      <c r="D1316" s="116">
        <v>129.910794104876</v>
      </c>
      <c r="E1316" s="116">
        <v>134.17652167249901</v>
      </c>
      <c r="F1316" s="116">
        <v>134.65</v>
      </c>
      <c r="G1316">
        <v>108292</v>
      </c>
      <c r="H1316" s="116"/>
      <c r="I1316" s="116"/>
      <c r="L1316" s="170">
        <v>43948</v>
      </c>
      <c r="M1316" s="116">
        <v>130.49268912905299</v>
      </c>
      <c r="N1316" s="116">
        <v>134.12825810553099</v>
      </c>
      <c r="O1316" s="116">
        <v>130.00794659885599</v>
      </c>
      <c r="P1316" s="116">
        <v>132.23776223776201</v>
      </c>
      <c r="Q1316" s="116">
        <v>134.6</v>
      </c>
      <c r="R1316">
        <v>2996933</v>
      </c>
    </row>
    <row r="1317" spans="1:18" x14ac:dyDescent="0.25">
      <c r="A1317" s="170">
        <v>43949</v>
      </c>
      <c r="B1317" s="116">
        <v>137.52123987893</v>
      </c>
      <c r="C1317" s="116">
        <v>135.049056856785</v>
      </c>
      <c r="D1317" s="116">
        <v>131.21959688130599</v>
      </c>
      <c r="E1317" s="116">
        <v>131.849761181068</v>
      </c>
      <c r="F1317" s="116">
        <v>139.30000000000001</v>
      </c>
      <c r="G1317">
        <v>201045</v>
      </c>
      <c r="H1317" s="116"/>
      <c r="I1317" s="116"/>
      <c r="L1317" s="170">
        <v>43949</v>
      </c>
      <c r="M1317" s="116">
        <v>135.04926891290501</v>
      </c>
      <c r="N1317" s="116">
        <v>137.56993006993</v>
      </c>
      <c r="O1317" s="116">
        <v>130.92895740623001</v>
      </c>
      <c r="P1317" s="116">
        <v>131.80149396058499</v>
      </c>
      <c r="Q1317" s="116">
        <v>139.30000000000001</v>
      </c>
      <c r="R1317">
        <v>5721209</v>
      </c>
    </row>
    <row r="1318" spans="1:18" x14ac:dyDescent="0.25">
      <c r="A1318" s="170">
        <v>43950</v>
      </c>
      <c r="B1318" s="116">
        <v>137.957507471074</v>
      </c>
      <c r="C1318" s="116">
        <v>135.14600521059501</v>
      </c>
      <c r="D1318" s="116">
        <v>131.607390296544</v>
      </c>
      <c r="E1318" s="116">
        <v>137.957507471074</v>
      </c>
      <c r="F1318" s="116">
        <v>139.4</v>
      </c>
      <c r="G1318">
        <v>127672</v>
      </c>
      <c r="H1318" s="116"/>
      <c r="I1318" s="116"/>
      <c r="L1318" s="170">
        <v>43950</v>
      </c>
      <c r="M1318" s="116">
        <v>135.243165924984</v>
      </c>
      <c r="N1318" s="116">
        <v>136.40654799745701</v>
      </c>
      <c r="O1318" s="116">
        <v>131.51064844246699</v>
      </c>
      <c r="P1318" s="116">
        <v>135.72790845518099</v>
      </c>
      <c r="Q1318" s="116">
        <v>139.5</v>
      </c>
      <c r="R1318">
        <v>4774365</v>
      </c>
    </row>
    <row r="1319" spans="1:18" x14ac:dyDescent="0.25">
      <c r="A1319" s="170">
        <v>43951</v>
      </c>
      <c r="B1319" s="116">
        <v>142.901873515364</v>
      </c>
      <c r="C1319" s="116">
        <v>137.133446463692</v>
      </c>
      <c r="D1319" s="116">
        <v>136.11548874869101</v>
      </c>
      <c r="E1319" s="116">
        <v>137.42429152512099</v>
      </c>
      <c r="F1319" s="116">
        <v>141.44999999999999</v>
      </c>
      <c r="G1319">
        <v>209913</v>
      </c>
      <c r="H1319" s="116"/>
      <c r="I1319" s="116"/>
      <c r="L1319" s="170">
        <v>43951</v>
      </c>
      <c r="M1319" s="116">
        <v>137.085187539733</v>
      </c>
      <c r="N1319" s="116">
        <v>142.95057215511801</v>
      </c>
      <c r="O1319" s="116">
        <v>136.018753973299</v>
      </c>
      <c r="P1319" s="116">
        <v>137.133661792753</v>
      </c>
      <c r="Q1319" s="116">
        <v>141.4</v>
      </c>
      <c r="R1319">
        <v>4900322</v>
      </c>
    </row>
    <row r="1320" spans="1:18" x14ac:dyDescent="0.25">
      <c r="A1320" s="170">
        <v>43955</v>
      </c>
      <c r="B1320" s="116">
        <v>133.497883195832</v>
      </c>
      <c r="C1320" s="116">
        <v>127.63250779035</v>
      </c>
      <c r="D1320" s="116">
        <v>126.129808306301</v>
      </c>
      <c r="E1320" s="116">
        <v>133.497883195832</v>
      </c>
      <c r="F1320" s="116">
        <v>131.65</v>
      </c>
      <c r="G1320">
        <v>262099</v>
      </c>
      <c r="H1320" s="116"/>
      <c r="I1320" s="116"/>
      <c r="L1320" s="170">
        <v>43955</v>
      </c>
      <c r="M1320" s="116">
        <v>127.535759694851</v>
      </c>
      <c r="N1320" s="116">
        <v>133.30419580419601</v>
      </c>
      <c r="O1320" s="116">
        <v>126.03305785124</v>
      </c>
      <c r="P1320" s="116">
        <v>132.72250476795901</v>
      </c>
      <c r="Q1320" s="116">
        <v>131.55000000000001</v>
      </c>
      <c r="R1320">
        <v>6013356</v>
      </c>
    </row>
    <row r="1321" spans="1:18" x14ac:dyDescent="0.25">
      <c r="A1321" s="170">
        <v>43956</v>
      </c>
      <c r="B1321" s="116">
        <v>132.23755459630701</v>
      </c>
      <c r="C1321" s="116">
        <v>128.65046550535101</v>
      </c>
      <c r="D1321" s="116">
        <v>128.02030120558899</v>
      </c>
      <c r="E1321" s="116">
        <v>131.26807105821101</v>
      </c>
      <c r="F1321" s="116">
        <v>132.69999999999999</v>
      </c>
      <c r="G1321">
        <v>147480</v>
      </c>
      <c r="H1321" s="116"/>
      <c r="I1321" s="116"/>
      <c r="L1321" s="170">
        <v>43956</v>
      </c>
      <c r="M1321" s="116">
        <v>128.65066751430399</v>
      </c>
      <c r="N1321" s="116">
        <v>132.189287984743</v>
      </c>
      <c r="O1321" s="116">
        <v>127.778130959949</v>
      </c>
      <c r="P1321" s="116">
        <v>130.88048315321001</v>
      </c>
      <c r="Q1321" s="116">
        <v>132.69999999999999</v>
      </c>
      <c r="R1321">
        <v>3112486</v>
      </c>
    </row>
    <row r="1322" spans="1:18" x14ac:dyDescent="0.25">
      <c r="A1322" s="170">
        <v>43957</v>
      </c>
      <c r="B1322" s="116">
        <v>131.21959688130599</v>
      </c>
      <c r="C1322" s="116">
        <v>129.232155628209</v>
      </c>
      <c r="D1322" s="116">
        <v>123.512202753442</v>
      </c>
      <c r="E1322" s="116">
        <v>128.74741385916099</v>
      </c>
      <c r="F1322" s="116">
        <v>133.30000000000001</v>
      </c>
      <c r="G1322">
        <v>346216</v>
      </c>
      <c r="H1322" s="116"/>
      <c r="I1322" s="116"/>
      <c r="L1322" s="170">
        <v>43957</v>
      </c>
      <c r="M1322" s="116">
        <v>129.18388429752099</v>
      </c>
      <c r="N1322" s="116">
        <v>131.26827717736799</v>
      </c>
      <c r="O1322" s="116">
        <v>123.41544818817501</v>
      </c>
      <c r="P1322" s="116">
        <v>129.57167832167801</v>
      </c>
      <c r="Q1322" s="116">
        <v>133.25</v>
      </c>
      <c r="R1322">
        <v>6688490</v>
      </c>
    </row>
    <row r="1323" spans="1:18" x14ac:dyDescent="0.25">
      <c r="A1323" s="170">
        <v>43958</v>
      </c>
      <c r="B1323" s="116">
        <v>131.55891611963901</v>
      </c>
      <c r="C1323" s="116">
        <v>130.783329289162</v>
      </c>
      <c r="D1323" s="116">
        <v>126.22675666011099</v>
      </c>
      <c r="E1323" s="116">
        <v>128.94131056678</v>
      </c>
      <c r="F1323" s="116">
        <v>134.9</v>
      </c>
      <c r="G1323">
        <v>126861</v>
      </c>
      <c r="H1323" s="116"/>
      <c r="I1323" s="116"/>
      <c r="L1323" s="170">
        <v>43958</v>
      </c>
      <c r="M1323" s="116">
        <v>130.783534647171</v>
      </c>
      <c r="N1323" s="116">
        <v>131.51064844246699</v>
      </c>
      <c r="O1323" s="116">
        <v>126.03305785124</v>
      </c>
      <c r="P1323" s="116">
        <v>127.09949141767299</v>
      </c>
      <c r="Q1323" s="116">
        <v>134.9</v>
      </c>
      <c r="R1323">
        <v>2423478</v>
      </c>
    </row>
    <row r="1324" spans="1:18" x14ac:dyDescent="0.25">
      <c r="A1324" s="170">
        <v>43959</v>
      </c>
      <c r="B1324" s="116">
        <v>135.00058267988001</v>
      </c>
      <c r="C1324" s="116">
        <v>133.01314142678299</v>
      </c>
      <c r="D1324" s="116">
        <v>131.849761181068</v>
      </c>
      <c r="E1324" s="116">
        <v>131.849761181068</v>
      </c>
      <c r="F1324" s="116">
        <v>137.19999999999999</v>
      </c>
      <c r="G1324">
        <v>149904</v>
      </c>
      <c r="H1324" s="116"/>
      <c r="I1324" s="116"/>
      <c r="L1324" s="170">
        <v>43959</v>
      </c>
      <c r="M1324" s="116">
        <v>132.964876033058</v>
      </c>
      <c r="N1324" s="116">
        <v>135.09774316592501</v>
      </c>
      <c r="O1324" s="116">
        <v>132.04386522568299</v>
      </c>
      <c r="P1324" s="116">
        <v>132.72250476795901</v>
      </c>
      <c r="Q1324" s="116">
        <v>137.15</v>
      </c>
      <c r="R1324">
        <v>2431475</v>
      </c>
    </row>
    <row r="1325" spans="1:18" x14ac:dyDescent="0.25">
      <c r="A1325" s="170">
        <v>43962</v>
      </c>
      <c r="B1325" s="116">
        <v>138.92699100917</v>
      </c>
      <c r="C1325" s="116">
        <v>135.77616951035699</v>
      </c>
      <c r="D1325" s="116">
        <v>132.819244719164</v>
      </c>
      <c r="E1325" s="116">
        <v>132.819244719164</v>
      </c>
      <c r="F1325" s="116">
        <v>140.05000000000001</v>
      </c>
      <c r="G1325">
        <v>131319</v>
      </c>
      <c r="H1325" s="116"/>
      <c r="I1325" s="116"/>
      <c r="L1325" s="170">
        <v>43962</v>
      </c>
      <c r="M1325" s="116">
        <v>135.776382708201</v>
      </c>
      <c r="N1325" s="116">
        <v>138.927209154482</v>
      </c>
      <c r="O1325" s="116">
        <v>133.30419580419601</v>
      </c>
      <c r="P1325" s="116">
        <v>133.64351557533399</v>
      </c>
      <c r="Q1325" s="116">
        <v>140.05000000000001</v>
      </c>
      <c r="R1325">
        <v>2900722</v>
      </c>
    </row>
    <row r="1326" spans="1:18" x14ac:dyDescent="0.25">
      <c r="A1326" s="170">
        <v>43963</v>
      </c>
      <c r="B1326" s="116">
        <v>136.35785963321501</v>
      </c>
      <c r="C1326" s="116">
        <v>135.727695333453</v>
      </c>
      <c r="D1326" s="116">
        <v>129.28062980511399</v>
      </c>
      <c r="E1326" s="116">
        <v>133.20703813440301</v>
      </c>
      <c r="F1326" s="116">
        <v>140</v>
      </c>
      <c r="G1326">
        <v>128498</v>
      </c>
      <c r="H1326" s="116"/>
      <c r="I1326" s="116"/>
      <c r="L1326" s="170">
        <v>43963</v>
      </c>
      <c r="M1326" s="116">
        <v>135.63095994914201</v>
      </c>
      <c r="N1326" s="116">
        <v>136.40654799745701</v>
      </c>
      <c r="O1326" s="116">
        <v>129.13541004450099</v>
      </c>
      <c r="P1326" s="116">
        <v>134.27368086459001</v>
      </c>
      <c r="Q1326" s="116">
        <v>139.9</v>
      </c>
      <c r="R1326">
        <v>2901951</v>
      </c>
    </row>
    <row r="1327" spans="1:18" x14ac:dyDescent="0.25">
      <c r="A1327" s="170">
        <v>43964</v>
      </c>
      <c r="B1327" s="116">
        <v>140.47816467012299</v>
      </c>
      <c r="C1327" s="116">
        <v>136.842601402263</v>
      </c>
      <c r="D1327" s="116">
        <v>136.551756340834</v>
      </c>
      <c r="E1327" s="116">
        <v>138.15140417869301</v>
      </c>
      <c r="F1327" s="116">
        <v>141.15</v>
      </c>
      <c r="G1327">
        <v>118962</v>
      </c>
      <c r="H1327" s="116"/>
      <c r="I1327" s="116"/>
      <c r="L1327" s="170">
        <v>43964</v>
      </c>
      <c r="M1327" s="116">
        <v>136.842816274634</v>
      </c>
      <c r="N1327" s="116">
        <v>140.57533375715201</v>
      </c>
      <c r="O1327" s="116">
        <v>136.45502225047699</v>
      </c>
      <c r="P1327" s="116">
        <v>140.57533375715201</v>
      </c>
      <c r="Q1327" s="116">
        <v>141.15</v>
      </c>
      <c r="R1327">
        <v>3115040</v>
      </c>
    </row>
    <row r="1328" spans="1:18" x14ac:dyDescent="0.25">
      <c r="A1328" s="170">
        <v>43965</v>
      </c>
      <c r="B1328" s="116">
        <v>138.05445582488301</v>
      </c>
      <c r="C1328" s="116">
        <v>136.45480798702499</v>
      </c>
      <c r="D1328" s="116">
        <v>133.400934842022</v>
      </c>
      <c r="E1328" s="116">
        <v>135.727695333453</v>
      </c>
      <c r="F1328" s="116">
        <v>140.75</v>
      </c>
      <c r="G1328">
        <v>128270</v>
      </c>
      <c r="H1328" s="116"/>
      <c r="I1328" s="116"/>
      <c r="L1328" s="170">
        <v>43965</v>
      </c>
      <c r="M1328" s="116">
        <v>136.600445009536</v>
      </c>
      <c r="N1328" s="116">
        <v>138.00619834710699</v>
      </c>
      <c r="O1328" s="116">
        <v>133.20724729815601</v>
      </c>
      <c r="P1328" s="116">
        <v>135.291640178004</v>
      </c>
      <c r="Q1328" s="116">
        <v>140.9</v>
      </c>
      <c r="R1328">
        <v>1587450</v>
      </c>
    </row>
    <row r="1329" spans="1:18" x14ac:dyDescent="0.25">
      <c r="A1329" s="170">
        <v>43966</v>
      </c>
      <c r="B1329" s="116">
        <v>139.41173277821801</v>
      </c>
      <c r="C1329" s="116">
        <v>136.64870469464401</v>
      </c>
      <c r="D1329" s="116">
        <v>135.727695333453</v>
      </c>
      <c r="E1329" s="116">
        <v>138.97546518607399</v>
      </c>
      <c r="F1329" s="116">
        <v>140.94999999999999</v>
      </c>
      <c r="G1329">
        <v>117502</v>
      </c>
      <c r="H1329" s="116"/>
      <c r="I1329" s="116"/>
      <c r="L1329" s="170">
        <v>43966</v>
      </c>
      <c r="M1329" s="116">
        <v>136.74586776859499</v>
      </c>
      <c r="N1329" s="116">
        <v>139.31500317864001</v>
      </c>
      <c r="O1329" s="116">
        <v>135.72790845518099</v>
      </c>
      <c r="P1329" s="116">
        <v>137.085187539733</v>
      </c>
      <c r="Q1329" s="116">
        <v>141.05000000000001</v>
      </c>
      <c r="R1329">
        <v>2145698</v>
      </c>
    </row>
    <row r="1330" spans="1:18" x14ac:dyDescent="0.25">
      <c r="A1330" s="170">
        <v>43969</v>
      </c>
      <c r="B1330" s="116">
        <v>141.88391580036301</v>
      </c>
      <c r="C1330" s="116">
        <v>131.704338650354</v>
      </c>
      <c r="D1330" s="116">
        <v>130.29858752011401</v>
      </c>
      <c r="E1330" s="116">
        <v>140.575113023933</v>
      </c>
      <c r="F1330" s="116">
        <v>135.85</v>
      </c>
      <c r="G1330">
        <v>427288</v>
      </c>
      <c r="H1330" s="116"/>
      <c r="I1330" s="116"/>
      <c r="L1330" s="170">
        <v>43969</v>
      </c>
      <c r="M1330" s="116">
        <v>131.75301970756499</v>
      </c>
      <c r="N1330" s="116">
        <v>141.93261284170401</v>
      </c>
      <c r="O1330" s="116">
        <v>130.250317863954</v>
      </c>
      <c r="P1330" s="116">
        <v>140.38143674507299</v>
      </c>
      <c r="Q1330" s="116">
        <v>135.9</v>
      </c>
      <c r="R1330">
        <v>4941536</v>
      </c>
    </row>
    <row r="1331" spans="1:18" x14ac:dyDescent="0.25">
      <c r="A1331" s="170">
        <v>43970</v>
      </c>
      <c r="B1331" s="116">
        <v>141.399174031315</v>
      </c>
      <c r="C1331" s="116">
        <v>135.38837609511901</v>
      </c>
      <c r="D1331" s="116">
        <v>130.39553587392399</v>
      </c>
      <c r="E1331" s="116">
        <v>134.85516014916601</v>
      </c>
      <c r="F1331" s="116">
        <v>139.65</v>
      </c>
      <c r="G1331">
        <v>232494</v>
      </c>
      <c r="H1331" s="116"/>
      <c r="I1331" s="116"/>
      <c r="L1331" s="170">
        <v>43970</v>
      </c>
      <c r="M1331" s="116">
        <v>135.43706293706299</v>
      </c>
      <c r="N1331" s="116">
        <v>141.44787031150699</v>
      </c>
      <c r="O1331" s="116">
        <v>130.347266369994</v>
      </c>
      <c r="P1331" s="116">
        <v>133.59504132231399</v>
      </c>
      <c r="Q1331" s="116">
        <v>139.69999999999999</v>
      </c>
      <c r="R1331">
        <v>5564396</v>
      </c>
    </row>
    <row r="1332" spans="1:18" x14ac:dyDescent="0.25">
      <c r="A1332" s="170">
        <v>43971</v>
      </c>
      <c r="B1332" s="116">
        <v>138.68462012464599</v>
      </c>
      <c r="C1332" s="116">
        <v>137.133446463692</v>
      </c>
      <c r="D1332" s="116">
        <v>133.98262496487999</v>
      </c>
      <c r="E1332" s="116">
        <v>135.38837609511901</v>
      </c>
      <c r="F1332" s="116">
        <v>141.44999999999999</v>
      </c>
      <c r="G1332">
        <v>144426</v>
      </c>
      <c r="H1332" s="116"/>
      <c r="I1332" s="116"/>
      <c r="L1332" s="170">
        <v>43971</v>
      </c>
      <c r="M1332" s="116">
        <v>137.036713286713</v>
      </c>
      <c r="N1332" s="116">
        <v>138.83026064844199</v>
      </c>
      <c r="O1332" s="116">
        <v>133.78893833439301</v>
      </c>
      <c r="P1332" s="116">
        <v>135.243165924984</v>
      </c>
      <c r="Q1332" s="116">
        <v>141.35</v>
      </c>
      <c r="R1332">
        <v>2872608</v>
      </c>
    </row>
    <row r="1333" spans="1:18" x14ac:dyDescent="0.25">
      <c r="A1333" s="170">
        <v>43972</v>
      </c>
      <c r="B1333" s="116">
        <v>139.36325860131299</v>
      </c>
      <c r="C1333" s="116">
        <v>134.12804749559399</v>
      </c>
      <c r="D1333" s="116">
        <v>132.91619307297401</v>
      </c>
      <c r="E1333" s="116">
        <v>139.314784424408</v>
      </c>
      <c r="F1333" s="116">
        <v>138.35</v>
      </c>
      <c r="G1333">
        <v>125314</v>
      </c>
      <c r="H1333" s="116"/>
      <c r="I1333" s="116"/>
      <c r="L1333" s="170">
        <v>43972</v>
      </c>
      <c r="M1333" s="116">
        <v>134.07978385251101</v>
      </c>
      <c r="N1333" s="116">
        <v>139.60584869675799</v>
      </c>
      <c r="O1333" s="116">
        <v>132.867927527018</v>
      </c>
      <c r="P1333" s="116">
        <v>137.860775588048</v>
      </c>
      <c r="Q1333" s="116">
        <v>138.30000000000001</v>
      </c>
      <c r="R1333">
        <v>2682563</v>
      </c>
    </row>
    <row r="1334" spans="1:18" x14ac:dyDescent="0.25">
      <c r="A1334" s="170">
        <v>43973</v>
      </c>
      <c r="B1334" s="116">
        <v>136.842601402263</v>
      </c>
      <c r="C1334" s="116">
        <v>133.83720243416499</v>
      </c>
      <c r="D1334" s="116">
        <v>132.67382218845</v>
      </c>
      <c r="E1334" s="116">
        <v>136.842601402263</v>
      </c>
      <c r="F1334" s="116">
        <v>138.05000000000001</v>
      </c>
      <c r="G1334">
        <v>108155</v>
      </c>
      <c r="H1334" s="116"/>
      <c r="I1334" s="116"/>
      <c r="L1334" s="170">
        <v>43973</v>
      </c>
      <c r="M1334" s="116">
        <v>133.88588684043199</v>
      </c>
      <c r="N1334" s="116">
        <v>136.89129052765401</v>
      </c>
      <c r="O1334" s="116">
        <v>132.431659249841</v>
      </c>
      <c r="P1334" s="116">
        <v>133.78893833439301</v>
      </c>
      <c r="Q1334" s="116">
        <v>138.1</v>
      </c>
      <c r="R1334">
        <v>2449109</v>
      </c>
    </row>
    <row r="1335" spans="1:18" x14ac:dyDescent="0.25">
      <c r="A1335" s="170">
        <v>43977</v>
      </c>
      <c r="B1335" s="116">
        <v>138.781568478455</v>
      </c>
      <c r="C1335" s="116">
        <v>135.29142774130901</v>
      </c>
      <c r="D1335" s="116">
        <v>134.27347002630799</v>
      </c>
      <c r="E1335" s="116">
        <v>136.60023051773899</v>
      </c>
      <c r="F1335" s="116">
        <v>139.55000000000001</v>
      </c>
      <c r="G1335">
        <v>113668</v>
      </c>
      <c r="H1335" s="116"/>
      <c r="I1335" s="116"/>
      <c r="L1335" s="170">
        <v>43977</v>
      </c>
      <c r="M1335" s="116">
        <v>135.243165924984</v>
      </c>
      <c r="N1335" s="116">
        <v>138.927209154482</v>
      </c>
      <c r="O1335" s="116">
        <v>134.12825810553099</v>
      </c>
      <c r="P1335" s="116">
        <v>134.758423394787</v>
      </c>
      <c r="Q1335" s="116">
        <v>139.5</v>
      </c>
      <c r="R1335">
        <v>2657870</v>
      </c>
    </row>
    <row r="1336" spans="1:18" x14ac:dyDescent="0.25">
      <c r="A1336" s="170">
        <v>43978</v>
      </c>
      <c r="B1336" s="116">
        <v>137.18192064059701</v>
      </c>
      <c r="C1336" s="116">
        <v>136.74565304845299</v>
      </c>
      <c r="D1336" s="116">
        <v>134.27347002630799</v>
      </c>
      <c r="E1336" s="116">
        <v>134.758211795356</v>
      </c>
      <c r="F1336" s="116">
        <v>141.05000000000001</v>
      </c>
      <c r="G1336">
        <v>122223</v>
      </c>
      <c r="H1336" s="116"/>
      <c r="I1336" s="116"/>
      <c r="L1336" s="170">
        <v>43978</v>
      </c>
      <c r="M1336" s="116">
        <v>136.69739351557499</v>
      </c>
      <c r="N1336" s="116">
        <v>137.27908455181199</v>
      </c>
      <c r="O1336" s="116">
        <v>134.27368086459001</v>
      </c>
      <c r="P1336" s="116">
        <v>135.48553719008299</v>
      </c>
      <c r="Q1336" s="116">
        <v>141</v>
      </c>
      <c r="R1336">
        <v>2224751</v>
      </c>
    </row>
    <row r="1337" spans="1:18" x14ac:dyDescent="0.25">
      <c r="A1337" s="170">
        <v>43979</v>
      </c>
      <c r="B1337" s="116">
        <v>140.04189707798</v>
      </c>
      <c r="C1337" s="116">
        <v>138.29682670940699</v>
      </c>
      <c r="D1337" s="116">
        <v>136.79412722535801</v>
      </c>
      <c r="E1337" s="116">
        <v>139.36325860131299</v>
      </c>
      <c r="F1337" s="116">
        <v>142.65</v>
      </c>
      <c r="G1337">
        <v>166892</v>
      </c>
      <c r="H1337" s="116"/>
      <c r="I1337" s="116"/>
      <c r="L1337" s="170">
        <v>43979</v>
      </c>
      <c r="M1337" s="116">
        <v>138.29704386522599</v>
      </c>
      <c r="N1337" s="116">
        <v>139.99364272091501</v>
      </c>
      <c r="O1337" s="116">
        <v>136.309599491418</v>
      </c>
      <c r="P1337" s="116">
        <v>137.376033057851</v>
      </c>
      <c r="Q1337" s="116">
        <v>142.65</v>
      </c>
      <c r="R1337">
        <v>2816729</v>
      </c>
    </row>
    <row r="1338" spans="1:18" x14ac:dyDescent="0.25">
      <c r="A1338" s="170">
        <v>43980</v>
      </c>
      <c r="B1338" s="116">
        <v>148.81572309775001</v>
      </c>
      <c r="C1338" s="116">
        <v>143.72593452274501</v>
      </c>
      <c r="D1338" s="116">
        <v>137.666662409645</v>
      </c>
      <c r="E1338" s="116">
        <v>137.666662409645</v>
      </c>
      <c r="F1338" s="116">
        <v>148.25</v>
      </c>
      <c r="G1338">
        <v>380175</v>
      </c>
      <c r="H1338" s="116"/>
      <c r="I1338" s="116"/>
      <c r="L1338" s="170">
        <v>43980</v>
      </c>
      <c r="M1338" s="116">
        <v>143.823108709472</v>
      </c>
      <c r="N1338" s="116">
        <v>148.91290527654201</v>
      </c>
      <c r="O1338" s="116">
        <v>136.79434202161499</v>
      </c>
      <c r="P1338" s="116">
        <v>136.79434202161499</v>
      </c>
      <c r="Q1338" s="116">
        <v>148.35</v>
      </c>
      <c r="R1338">
        <v>9162612</v>
      </c>
    </row>
    <row r="1339" spans="1:18" x14ac:dyDescent="0.25">
      <c r="A1339" s="170">
        <v>43983</v>
      </c>
      <c r="B1339" s="116">
        <v>150.07605169727501</v>
      </c>
      <c r="C1339" s="116">
        <v>145.90727248346101</v>
      </c>
      <c r="D1339" s="116">
        <v>144.98626312227</v>
      </c>
      <c r="E1339" s="116">
        <v>148.33098132870199</v>
      </c>
      <c r="F1339" s="116">
        <v>150.5</v>
      </c>
      <c r="G1339">
        <v>172843</v>
      </c>
      <c r="H1339" s="116"/>
      <c r="I1339" s="116"/>
      <c r="L1339" s="170">
        <v>43983</v>
      </c>
      <c r="M1339" s="116">
        <v>145.90750158931999</v>
      </c>
      <c r="N1339" s="116">
        <v>150.173235855054</v>
      </c>
      <c r="O1339" s="116">
        <v>144.938016528926</v>
      </c>
      <c r="P1339" s="116">
        <v>145.422759059123</v>
      </c>
      <c r="Q1339" s="116">
        <v>150.5</v>
      </c>
      <c r="R1339">
        <v>3985103</v>
      </c>
    </row>
    <row r="1340" spans="1:18" x14ac:dyDescent="0.25">
      <c r="A1340" s="170">
        <v>43984</v>
      </c>
      <c r="B1340" s="116">
        <v>148.040136267273</v>
      </c>
      <c r="C1340" s="116">
        <v>145.37405653750901</v>
      </c>
      <c r="D1340" s="116">
        <v>144.54999553012701</v>
      </c>
      <c r="E1340" s="116">
        <v>146.537436783224</v>
      </c>
      <c r="F1340" s="116">
        <v>149.94999999999999</v>
      </c>
      <c r="G1340">
        <v>141066</v>
      </c>
      <c r="H1340" s="116"/>
      <c r="I1340" s="116"/>
      <c r="L1340" s="170">
        <v>43984</v>
      </c>
      <c r="M1340" s="116">
        <v>145.37428480610299</v>
      </c>
      <c r="N1340" s="116">
        <v>147.94342021614699</v>
      </c>
      <c r="O1340" s="116">
        <v>143.72616020343301</v>
      </c>
      <c r="P1340" s="116">
        <v>146.39224411951699</v>
      </c>
      <c r="Q1340" s="116">
        <v>149.94999999999999</v>
      </c>
      <c r="R1340">
        <v>2482873</v>
      </c>
    </row>
    <row r="1341" spans="1:18" x14ac:dyDescent="0.25">
      <c r="A1341" s="170">
        <v>43985</v>
      </c>
      <c r="B1341" s="116">
        <v>152.98450231156301</v>
      </c>
      <c r="C1341" s="116">
        <v>145.90727248346101</v>
      </c>
      <c r="D1341" s="116">
        <v>145.18015982988899</v>
      </c>
      <c r="E1341" s="116">
        <v>147.652342852034</v>
      </c>
      <c r="F1341" s="116">
        <v>150.5</v>
      </c>
      <c r="G1341">
        <v>370854</v>
      </c>
      <c r="H1341" s="116"/>
      <c r="I1341" s="116"/>
      <c r="L1341" s="170">
        <v>43985</v>
      </c>
      <c r="M1341" s="116">
        <v>146.05292434837901</v>
      </c>
      <c r="N1341" s="116">
        <v>153.08169103623601</v>
      </c>
      <c r="O1341" s="116">
        <v>145.03496503496501</v>
      </c>
      <c r="P1341" s="116">
        <v>147.11935791481201</v>
      </c>
      <c r="Q1341" s="116">
        <v>150.65</v>
      </c>
      <c r="R1341">
        <v>5875945</v>
      </c>
    </row>
    <row r="1342" spans="1:18" x14ac:dyDescent="0.25">
      <c r="A1342" s="170">
        <v>43986</v>
      </c>
      <c r="B1342" s="116">
        <v>149.10656815917901</v>
      </c>
      <c r="C1342" s="116">
        <v>143.483563638221</v>
      </c>
      <c r="D1342" s="116">
        <v>141.73849326964799</v>
      </c>
      <c r="E1342" s="116">
        <v>147.36149779060599</v>
      </c>
      <c r="F1342" s="116">
        <v>148</v>
      </c>
      <c r="G1342">
        <v>174563</v>
      </c>
      <c r="H1342" s="116"/>
      <c r="I1342" s="116"/>
      <c r="L1342" s="170">
        <v>43986</v>
      </c>
      <c r="M1342" s="116">
        <v>143.48378893833399</v>
      </c>
      <c r="N1342" s="116">
        <v>149.20375079466001</v>
      </c>
      <c r="O1342" s="116">
        <v>141.69024157660499</v>
      </c>
      <c r="P1342" s="116">
        <v>145.90750158931999</v>
      </c>
      <c r="Q1342" s="116">
        <v>148</v>
      </c>
      <c r="R1342">
        <v>3146640</v>
      </c>
    </row>
    <row r="1343" spans="1:18" x14ac:dyDescent="0.25">
      <c r="A1343" s="170">
        <v>43987</v>
      </c>
      <c r="B1343" s="116">
        <v>150.17300005108399</v>
      </c>
      <c r="C1343" s="116">
        <v>147.894713736558</v>
      </c>
      <c r="D1343" s="116">
        <v>144.453047176317</v>
      </c>
      <c r="E1343" s="116">
        <v>145.277108183699</v>
      </c>
      <c r="F1343" s="116">
        <v>152.55000000000001</v>
      </c>
      <c r="G1343">
        <v>199624</v>
      </c>
      <c r="H1343" s="116"/>
      <c r="I1343" s="116"/>
      <c r="L1343" s="170">
        <v>43987</v>
      </c>
      <c r="M1343" s="116">
        <v>147.797997457088</v>
      </c>
      <c r="N1343" s="116">
        <v>150.27018436109299</v>
      </c>
      <c r="O1343" s="116">
        <v>143.920057215512</v>
      </c>
      <c r="P1343" s="116">
        <v>144.356325492689</v>
      </c>
      <c r="Q1343" s="116">
        <v>152.44999999999999</v>
      </c>
      <c r="R1343">
        <v>4111098</v>
      </c>
    </row>
    <row r="1344" spans="1:18" x14ac:dyDescent="0.25">
      <c r="A1344" s="170">
        <v>43990</v>
      </c>
      <c r="B1344" s="116">
        <v>153.808563318945</v>
      </c>
      <c r="C1344" s="116">
        <v>148.13708462108201</v>
      </c>
      <c r="D1344" s="116">
        <v>146.246591721795</v>
      </c>
      <c r="E1344" s="116">
        <v>151.19095776608501</v>
      </c>
      <c r="F1344" s="116">
        <v>152.80000000000001</v>
      </c>
      <c r="G1344">
        <v>278911</v>
      </c>
      <c r="H1344" s="116"/>
      <c r="I1344" s="116"/>
      <c r="L1344" s="170">
        <v>43990</v>
      </c>
      <c r="M1344" s="116">
        <v>147.99189446916699</v>
      </c>
      <c r="N1344" s="116">
        <v>153.66338207247301</v>
      </c>
      <c r="O1344" s="116">
        <v>146.05292434837901</v>
      </c>
      <c r="P1344" s="116">
        <v>150.85187539732999</v>
      </c>
      <c r="Q1344" s="116">
        <v>152.65</v>
      </c>
      <c r="R1344">
        <v>4900204</v>
      </c>
    </row>
    <row r="1345" spans="1:18" x14ac:dyDescent="0.25">
      <c r="A1345" s="170">
        <v>43991</v>
      </c>
      <c r="B1345" s="116">
        <v>151.918070419657</v>
      </c>
      <c r="C1345" s="116">
        <v>147.26454943679599</v>
      </c>
      <c r="D1345" s="116">
        <v>146.537436783224</v>
      </c>
      <c r="E1345" s="116">
        <v>150.17300005108399</v>
      </c>
      <c r="F1345" s="116">
        <v>151.9</v>
      </c>
      <c r="G1345">
        <v>203026</v>
      </c>
      <c r="H1345" s="116"/>
      <c r="I1345" s="116"/>
      <c r="L1345" s="170">
        <v>43991</v>
      </c>
      <c r="M1345" s="116">
        <v>147.264780673872</v>
      </c>
      <c r="N1345" s="116">
        <v>151.918308963763</v>
      </c>
      <c r="O1345" s="116">
        <v>146.44071837253699</v>
      </c>
      <c r="P1345" s="116">
        <v>149.49459631277799</v>
      </c>
      <c r="Q1345" s="116">
        <v>151.9</v>
      </c>
      <c r="R1345">
        <v>3005662</v>
      </c>
    </row>
    <row r="1346" spans="1:18" x14ac:dyDescent="0.25">
      <c r="A1346" s="170">
        <v>43992</v>
      </c>
      <c r="B1346" s="116">
        <v>149.833680812751</v>
      </c>
      <c r="C1346" s="116">
        <v>147.216075259891</v>
      </c>
      <c r="D1346" s="116">
        <v>145.66490159893701</v>
      </c>
      <c r="E1346" s="116">
        <v>147.36149779060599</v>
      </c>
      <c r="F1346" s="116">
        <v>151.85</v>
      </c>
      <c r="G1346">
        <v>203593</v>
      </c>
      <c r="H1346" s="116"/>
      <c r="I1346" s="116"/>
      <c r="L1346" s="170">
        <v>43992</v>
      </c>
      <c r="M1346" s="116">
        <v>147.21630642085199</v>
      </c>
      <c r="N1346" s="116">
        <v>150.02781309599499</v>
      </c>
      <c r="O1346" s="116">
        <v>145.665130324221</v>
      </c>
      <c r="P1346" s="116">
        <v>148.088842975207</v>
      </c>
      <c r="Q1346" s="116">
        <v>151.85</v>
      </c>
      <c r="R1346">
        <v>4135128</v>
      </c>
    </row>
    <row r="1347" spans="1:18" x14ac:dyDescent="0.25">
      <c r="A1347" s="170">
        <v>43993</v>
      </c>
      <c r="B1347" s="116">
        <v>160.40105137799799</v>
      </c>
      <c r="C1347" s="116">
        <v>147.02217855227201</v>
      </c>
      <c r="D1347" s="116">
        <v>145.66490159893701</v>
      </c>
      <c r="E1347" s="116">
        <v>149.155042336083</v>
      </c>
      <c r="F1347" s="116">
        <v>151.65</v>
      </c>
      <c r="G1347">
        <v>847200</v>
      </c>
      <c r="H1347" s="116"/>
      <c r="I1347" s="116"/>
      <c r="L1347" s="170">
        <v>43993</v>
      </c>
      <c r="M1347" s="116">
        <v>147.16783216783199</v>
      </c>
      <c r="N1347" s="116">
        <v>160.40130324221201</v>
      </c>
      <c r="O1347" s="116">
        <v>145.665130324221</v>
      </c>
      <c r="P1347" s="116">
        <v>147.21630642085199</v>
      </c>
      <c r="Q1347" s="116">
        <v>151.80000000000001</v>
      </c>
      <c r="R1347">
        <v>16533100</v>
      </c>
    </row>
    <row r="1348" spans="1:18" x14ac:dyDescent="0.25">
      <c r="A1348" s="170">
        <v>43994</v>
      </c>
      <c r="B1348" s="116">
        <v>148.67030056703501</v>
      </c>
      <c r="C1348" s="116">
        <v>147.70081702893901</v>
      </c>
      <c r="D1348" s="116">
        <v>136.79412722535801</v>
      </c>
      <c r="E1348" s="116">
        <v>140.76900973155199</v>
      </c>
      <c r="F1348" s="116">
        <v>152.35</v>
      </c>
      <c r="G1348">
        <v>464427</v>
      </c>
      <c r="H1348" s="116"/>
      <c r="I1348" s="116"/>
      <c r="L1348" s="170">
        <v>43994</v>
      </c>
      <c r="M1348" s="116">
        <v>147.65257469802901</v>
      </c>
      <c r="N1348" s="116">
        <v>148.62205975842301</v>
      </c>
      <c r="O1348" s="116">
        <v>136.69739351557499</v>
      </c>
      <c r="P1348" s="116">
        <v>139.60584869675799</v>
      </c>
      <c r="Q1348" s="116">
        <v>152.30000000000001</v>
      </c>
      <c r="R1348">
        <v>4817495</v>
      </c>
    </row>
    <row r="1349" spans="1:18" x14ac:dyDescent="0.25">
      <c r="A1349" s="170">
        <v>43997</v>
      </c>
      <c r="B1349" s="116">
        <v>152.305863834896</v>
      </c>
      <c r="C1349" s="116">
        <v>144.79236641465101</v>
      </c>
      <c r="D1349" s="116">
        <v>143.96830540726901</v>
      </c>
      <c r="E1349" s="116">
        <v>148.13708462108201</v>
      </c>
      <c r="F1349" s="116">
        <v>149.35</v>
      </c>
      <c r="G1349">
        <v>426804</v>
      </c>
      <c r="H1349" s="116"/>
      <c r="I1349" s="116"/>
      <c r="L1349" s="170">
        <v>43997</v>
      </c>
      <c r="M1349" s="116">
        <v>144.695645263827</v>
      </c>
      <c r="N1349" s="116">
        <v>152.06373172282301</v>
      </c>
      <c r="O1349" s="116">
        <v>143.72616020343301</v>
      </c>
      <c r="P1349" s="116">
        <v>147.16783216783199</v>
      </c>
      <c r="Q1349" s="116">
        <v>149.25</v>
      </c>
      <c r="R1349">
        <v>3214996</v>
      </c>
    </row>
    <row r="1350" spans="1:18" x14ac:dyDescent="0.25">
      <c r="A1350" s="170">
        <v>43998</v>
      </c>
      <c r="B1350" s="116">
        <v>149.20351651298799</v>
      </c>
      <c r="C1350" s="116">
        <v>141.73849326964799</v>
      </c>
      <c r="D1350" s="116">
        <v>138.44224924012201</v>
      </c>
      <c r="E1350" s="116">
        <v>148.37945550560701</v>
      </c>
      <c r="F1350" s="116">
        <v>146.19999999999999</v>
      </c>
      <c r="G1350">
        <v>481280</v>
      </c>
      <c r="H1350" s="116"/>
      <c r="I1350" s="116"/>
      <c r="L1350" s="170">
        <v>43998</v>
      </c>
      <c r="M1350" s="116">
        <v>141.73871582962499</v>
      </c>
      <c r="N1350" s="116">
        <v>149.30069930069899</v>
      </c>
      <c r="O1350" s="116">
        <v>138.393992371265</v>
      </c>
      <c r="P1350" s="116">
        <v>148.815956770502</v>
      </c>
      <c r="Q1350" s="116">
        <v>146.19999999999999</v>
      </c>
      <c r="R1350">
        <v>2640412</v>
      </c>
    </row>
    <row r="1351" spans="1:18" x14ac:dyDescent="0.25">
      <c r="A1351" s="170">
        <v>43999</v>
      </c>
      <c r="B1351" s="116">
        <v>143.87135705346</v>
      </c>
      <c r="C1351" s="116">
        <v>142.61102845393501</v>
      </c>
      <c r="D1351" s="116">
        <v>139.169361893694</v>
      </c>
      <c r="E1351" s="116">
        <v>141.544596562029</v>
      </c>
      <c r="F1351" s="116">
        <v>147.1</v>
      </c>
      <c r="G1351">
        <v>191149</v>
      </c>
      <c r="H1351" s="116"/>
      <c r="I1351" s="116"/>
      <c r="L1351" s="170">
        <v>43999</v>
      </c>
      <c r="M1351" s="116">
        <v>142.65972663699901</v>
      </c>
      <c r="N1351" s="116">
        <v>143.920057215512</v>
      </c>
      <c r="O1351" s="116">
        <v>139.07263191354099</v>
      </c>
      <c r="P1351" s="116">
        <v>140.57533375715201</v>
      </c>
      <c r="Q1351" s="116">
        <v>147.15</v>
      </c>
      <c r="R1351">
        <v>1252826</v>
      </c>
    </row>
    <row r="1352" spans="1:18" x14ac:dyDescent="0.25">
      <c r="A1352" s="170">
        <v>44000</v>
      </c>
      <c r="B1352" s="116">
        <v>144.743892237746</v>
      </c>
      <c r="C1352" s="116">
        <v>143.28966693060201</v>
      </c>
      <c r="D1352" s="116">
        <v>141.64154491583901</v>
      </c>
      <c r="E1352" s="116">
        <v>144.453047176317</v>
      </c>
      <c r="F1352" s="116">
        <v>147.80000000000001</v>
      </c>
      <c r="G1352">
        <v>359360</v>
      </c>
      <c r="H1352" s="116"/>
      <c r="I1352" s="116"/>
      <c r="L1352" s="170">
        <v>44000</v>
      </c>
      <c r="M1352" s="116">
        <v>143.338366179275</v>
      </c>
      <c r="N1352" s="116">
        <v>144.889542275906</v>
      </c>
      <c r="O1352" s="116">
        <v>141.544818817546</v>
      </c>
      <c r="P1352" s="116">
        <v>142.22345835982199</v>
      </c>
      <c r="Q1352" s="116">
        <v>147.85</v>
      </c>
      <c r="R1352">
        <v>2037815</v>
      </c>
    </row>
    <row r="1353" spans="1:18" x14ac:dyDescent="0.25">
      <c r="A1353" s="170">
        <v>44001</v>
      </c>
      <c r="B1353" s="116">
        <v>149.73673245894099</v>
      </c>
      <c r="C1353" s="116">
        <v>148.185558797987</v>
      </c>
      <c r="D1353" s="116">
        <v>144.453047176317</v>
      </c>
      <c r="E1353" s="116">
        <v>146.19811754489001</v>
      </c>
      <c r="F1353" s="116">
        <v>152.85</v>
      </c>
      <c r="G1353">
        <v>538782</v>
      </c>
      <c r="H1353" s="116"/>
      <c r="I1353" s="116"/>
      <c r="L1353" s="170">
        <v>44001</v>
      </c>
      <c r="M1353" s="116">
        <v>148.040368722187</v>
      </c>
      <c r="N1353" s="116">
        <v>149.68849332485701</v>
      </c>
      <c r="O1353" s="116">
        <v>144.356325492689</v>
      </c>
      <c r="P1353" s="116">
        <v>145.03496503496501</v>
      </c>
      <c r="Q1353" s="116">
        <v>152.69999999999999</v>
      </c>
      <c r="R1353">
        <v>5245929</v>
      </c>
    </row>
    <row r="1354" spans="1:18" x14ac:dyDescent="0.25">
      <c r="A1354" s="170">
        <v>44004</v>
      </c>
      <c r="B1354" s="116">
        <v>151.384854473704</v>
      </c>
      <c r="C1354" s="116">
        <v>150.07605169727501</v>
      </c>
      <c r="D1354" s="116">
        <v>149.05809398227399</v>
      </c>
      <c r="E1354" s="116">
        <v>150.269948404894</v>
      </c>
      <c r="F1354" s="116">
        <v>154.80000000000001</v>
      </c>
      <c r="G1354">
        <v>573162</v>
      </c>
      <c r="H1354" s="116"/>
      <c r="I1354" s="116"/>
      <c r="L1354" s="170">
        <v>44004</v>
      </c>
      <c r="M1354" s="116">
        <v>149.93086458995501</v>
      </c>
      <c r="N1354" s="116">
        <v>151.433566433566</v>
      </c>
      <c r="O1354" s="116">
        <v>148.91290527654201</v>
      </c>
      <c r="P1354" s="116">
        <v>149.78544183089599</v>
      </c>
      <c r="Q1354" s="116">
        <v>154.65</v>
      </c>
      <c r="R1354">
        <v>4663344</v>
      </c>
    </row>
    <row r="1355" spans="1:18" x14ac:dyDescent="0.25">
      <c r="A1355" s="170">
        <v>44005</v>
      </c>
      <c r="B1355" s="116">
        <v>156.81396228704199</v>
      </c>
      <c r="C1355" s="116">
        <v>152.3543380118</v>
      </c>
      <c r="D1355" s="116">
        <v>150.85163852775199</v>
      </c>
      <c r="E1355" s="116">
        <v>151.57875118132401</v>
      </c>
      <c r="F1355" s="116">
        <v>157.15</v>
      </c>
      <c r="G1355">
        <v>411821</v>
      </c>
      <c r="H1355" s="116"/>
      <c r="I1355" s="116"/>
      <c r="L1355" s="170">
        <v>44005</v>
      </c>
      <c r="M1355" s="116">
        <v>152.40305149396099</v>
      </c>
      <c r="N1355" s="116">
        <v>156.86268277177399</v>
      </c>
      <c r="O1355" s="116">
        <v>150.80340114430999</v>
      </c>
      <c r="P1355" s="116">
        <v>152.209154481882</v>
      </c>
      <c r="Q1355" s="116">
        <v>157.19999999999999</v>
      </c>
      <c r="R1355">
        <v>4790124</v>
      </c>
    </row>
    <row r="1356" spans="1:18" x14ac:dyDescent="0.25">
      <c r="A1356" s="170">
        <v>44006</v>
      </c>
      <c r="B1356" s="116">
        <v>158.02581670966299</v>
      </c>
      <c r="C1356" s="116">
        <v>149.979103343465</v>
      </c>
      <c r="D1356" s="116">
        <v>148.864197274655</v>
      </c>
      <c r="E1356" s="116">
        <v>155.117366095374</v>
      </c>
      <c r="F1356" s="116">
        <v>154.69999999999999</v>
      </c>
      <c r="G1356">
        <v>368415</v>
      </c>
      <c r="H1356" s="116"/>
      <c r="I1356" s="116"/>
      <c r="L1356" s="170">
        <v>44006</v>
      </c>
      <c r="M1356" s="116">
        <v>150.07628734901499</v>
      </c>
      <c r="N1356" s="116">
        <v>158.026064844247</v>
      </c>
      <c r="O1356" s="116">
        <v>148.815956770502</v>
      </c>
      <c r="P1356" s="116">
        <v>154.24507310870899</v>
      </c>
      <c r="Q1356" s="116">
        <v>154.80000000000001</v>
      </c>
      <c r="R1356">
        <v>4078243</v>
      </c>
    </row>
    <row r="1357" spans="1:18" x14ac:dyDescent="0.25">
      <c r="A1357" s="170">
        <v>44007</v>
      </c>
      <c r="B1357" s="116">
        <v>163.98814046895399</v>
      </c>
      <c r="C1357" s="116">
        <v>156.76548811013799</v>
      </c>
      <c r="D1357" s="116">
        <v>148.67030056703501</v>
      </c>
      <c r="E1357" s="116">
        <v>149.34893904370301</v>
      </c>
      <c r="F1357" s="116">
        <v>161.69999999999999</v>
      </c>
      <c r="G1357">
        <v>1057505</v>
      </c>
      <c r="H1357" s="116"/>
      <c r="I1357" s="116"/>
      <c r="L1357" s="170">
        <v>44007</v>
      </c>
      <c r="M1357" s="116">
        <v>156.717260012715</v>
      </c>
      <c r="N1357" s="116">
        <v>164.03687221869001</v>
      </c>
      <c r="O1357" s="116">
        <v>148.331214240305</v>
      </c>
      <c r="P1357" s="116">
        <v>148.573585505404</v>
      </c>
      <c r="Q1357" s="116">
        <v>161.65</v>
      </c>
      <c r="R1357">
        <v>14628400</v>
      </c>
    </row>
    <row r="1358" spans="1:18" x14ac:dyDescent="0.25">
      <c r="A1358" s="170">
        <v>44008</v>
      </c>
      <c r="B1358" s="116">
        <v>161.27358656228401</v>
      </c>
      <c r="C1358" s="116">
        <v>157.153281525376</v>
      </c>
      <c r="D1358" s="116">
        <v>156.42616887180401</v>
      </c>
      <c r="E1358" s="116">
        <v>158.946826070854</v>
      </c>
      <c r="F1358" s="116">
        <v>162.1</v>
      </c>
      <c r="G1358">
        <v>467348</v>
      </c>
      <c r="H1358" s="116"/>
      <c r="I1358" s="116"/>
      <c r="L1358" s="170">
        <v>44008</v>
      </c>
      <c r="M1358" s="116">
        <v>157.202002542912</v>
      </c>
      <c r="N1358" s="116">
        <v>161.27383979656699</v>
      </c>
      <c r="O1358" s="116">
        <v>156.37794024157699</v>
      </c>
      <c r="P1358" s="116">
        <v>158.995549904641</v>
      </c>
      <c r="Q1358" s="116">
        <v>162.15</v>
      </c>
      <c r="R1358">
        <v>6774409</v>
      </c>
    </row>
    <row r="1359" spans="1:18" x14ac:dyDescent="0.25">
      <c r="A1359" s="170">
        <v>44011</v>
      </c>
      <c r="B1359" s="116">
        <v>158.510558478711</v>
      </c>
      <c r="C1359" s="116">
        <v>154.826521033945</v>
      </c>
      <c r="D1359" s="116">
        <v>152.16044130418101</v>
      </c>
      <c r="E1359" s="116">
        <v>156.95938481775701</v>
      </c>
      <c r="F1359" s="116">
        <v>159.69999999999999</v>
      </c>
      <c r="G1359">
        <v>208676</v>
      </c>
      <c r="H1359" s="116"/>
      <c r="I1359" s="116"/>
      <c r="L1359" s="170">
        <v>44011</v>
      </c>
      <c r="M1359" s="116">
        <v>154.875238397966</v>
      </c>
      <c r="N1359" s="116">
        <v>158.55928162746301</v>
      </c>
      <c r="O1359" s="116">
        <v>151.966783216783</v>
      </c>
      <c r="P1359" s="116">
        <v>156.47488874761601</v>
      </c>
      <c r="Q1359" s="116">
        <v>159.75</v>
      </c>
      <c r="R1359">
        <v>2937549</v>
      </c>
    </row>
    <row r="1360" spans="1:18" x14ac:dyDescent="0.25">
      <c r="A1360" s="170">
        <v>44012</v>
      </c>
      <c r="B1360" s="116">
        <v>159.092248601568</v>
      </c>
      <c r="C1360" s="116">
        <v>151.481802827514</v>
      </c>
      <c r="D1360" s="116">
        <v>150.657741820132</v>
      </c>
      <c r="E1360" s="116">
        <v>156.86243646394701</v>
      </c>
      <c r="F1360" s="116">
        <v>156.25</v>
      </c>
      <c r="G1360">
        <v>214933</v>
      </c>
      <c r="H1360" s="116"/>
      <c r="I1360" s="116"/>
      <c r="L1360" s="170">
        <v>44012</v>
      </c>
      <c r="M1360" s="116">
        <v>151.482040686586</v>
      </c>
      <c r="N1360" s="116">
        <v>159.14097266370001</v>
      </c>
      <c r="O1360" s="116">
        <v>150.51255562619201</v>
      </c>
      <c r="P1360" s="116">
        <v>156.47488874761601</v>
      </c>
      <c r="Q1360" s="116">
        <v>156.25</v>
      </c>
      <c r="R1360">
        <v>3827270</v>
      </c>
    </row>
    <row r="1361" spans="1:18" x14ac:dyDescent="0.25">
      <c r="A1361" s="170">
        <v>44013</v>
      </c>
      <c r="B1361" s="116">
        <v>154.05093420346901</v>
      </c>
      <c r="C1361" s="116">
        <v>152.839079780849</v>
      </c>
      <c r="D1361" s="116">
        <v>150.75469017394201</v>
      </c>
      <c r="E1361" s="116">
        <v>150.75469017394201</v>
      </c>
      <c r="F1361" s="116">
        <v>157.65</v>
      </c>
      <c r="G1361">
        <v>165713</v>
      </c>
      <c r="H1361" s="116"/>
      <c r="I1361" s="116"/>
      <c r="L1361" s="170">
        <v>44013</v>
      </c>
      <c r="M1361" s="116">
        <v>152.83931977113801</v>
      </c>
      <c r="N1361" s="116">
        <v>154.14812460267001</v>
      </c>
      <c r="O1361" s="116">
        <v>151.28814367450701</v>
      </c>
      <c r="P1361" s="116">
        <v>152.35457724094101</v>
      </c>
      <c r="Q1361" s="116">
        <v>157.65</v>
      </c>
      <c r="R1361">
        <v>1681231</v>
      </c>
    </row>
    <row r="1362" spans="1:18" x14ac:dyDescent="0.25">
      <c r="A1362" s="170">
        <v>44014</v>
      </c>
      <c r="B1362" s="116">
        <v>155.89295292585101</v>
      </c>
      <c r="C1362" s="116">
        <v>153.420769903706</v>
      </c>
      <c r="D1362" s="116">
        <v>151.43332865060901</v>
      </c>
      <c r="E1362" s="116">
        <v>154.147882557278</v>
      </c>
      <c r="F1362" s="116">
        <v>158.25</v>
      </c>
      <c r="G1362">
        <v>177596</v>
      </c>
      <c r="H1362" s="116"/>
      <c r="I1362" s="116"/>
      <c r="L1362" s="170">
        <v>44014</v>
      </c>
      <c r="M1362" s="116">
        <v>153.37253655435501</v>
      </c>
      <c r="N1362" s="116">
        <v>156.03862047043901</v>
      </c>
      <c r="O1362" s="116">
        <v>151.38509218054699</v>
      </c>
      <c r="P1362" s="116">
        <v>154.92371265098501</v>
      </c>
      <c r="Q1362" s="116">
        <v>158.19999999999999</v>
      </c>
      <c r="R1362">
        <v>2152710</v>
      </c>
    </row>
    <row r="1363" spans="1:18" x14ac:dyDescent="0.25">
      <c r="A1363" s="170">
        <v>44015</v>
      </c>
      <c r="B1363" s="116">
        <v>158.70445518632999</v>
      </c>
      <c r="C1363" s="116">
        <v>155.06889191846901</v>
      </c>
      <c r="D1363" s="116">
        <v>152.69365725013401</v>
      </c>
      <c r="E1363" s="116">
        <v>155.117366095374</v>
      </c>
      <c r="F1363" s="116">
        <v>159.94999999999999</v>
      </c>
      <c r="G1363">
        <v>433451</v>
      </c>
      <c r="H1363" s="116"/>
      <c r="I1363" s="116"/>
      <c r="L1363" s="170">
        <v>44015</v>
      </c>
      <c r="M1363" s="116">
        <v>155.117609663064</v>
      </c>
      <c r="N1363" s="116">
        <v>158.85012714558201</v>
      </c>
      <c r="O1363" s="116">
        <v>152.59694850603901</v>
      </c>
      <c r="P1363" s="116">
        <v>155.117609663064</v>
      </c>
      <c r="Q1363" s="116">
        <v>160</v>
      </c>
      <c r="R1363">
        <v>4481658</v>
      </c>
    </row>
    <row r="1364" spans="1:18" x14ac:dyDescent="0.25">
      <c r="A1364" s="170">
        <v>44018</v>
      </c>
      <c r="B1364" s="116">
        <v>160.11020631656899</v>
      </c>
      <c r="C1364" s="116">
        <v>159.18919695537801</v>
      </c>
      <c r="D1364" s="116">
        <v>155.89295292585101</v>
      </c>
      <c r="E1364" s="116">
        <v>157.92886835585301</v>
      </c>
      <c r="F1364" s="116">
        <v>164.2</v>
      </c>
      <c r="G1364">
        <v>274577</v>
      </c>
      <c r="H1364" s="116"/>
      <c r="I1364" s="116"/>
      <c r="L1364" s="170">
        <v>44018</v>
      </c>
      <c r="M1364" s="116">
        <v>159.18944691671999</v>
      </c>
      <c r="N1364" s="116">
        <v>160.15893197711401</v>
      </c>
      <c r="O1364" s="116">
        <v>155.602352193261</v>
      </c>
      <c r="P1364" s="116">
        <v>157.00810553083301</v>
      </c>
      <c r="Q1364" s="116">
        <v>164.2</v>
      </c>
      <c r="R1364">
        <v>3515715</v>
      </c>
    </row>
    <row r="1365" spans="1:18" x14ac:dyDescent="0.25">
      <c r="A1365" s="170">
        <v>44019</v>
      </c>
      <c r="B1365" s="116">
        <v>165.442365776098</v>
      </c>
      <c r="C1365" s="116">
        <v>162.970182753953</v>
      </c>
      <c r="D1365" s="116">
        <v>158.46208430180599</v>
      </c>
      <c r="E1365" s="116">
        <v>159.480042016807</v>
      </c>
      <c r="F1365" s="116">
        <v>168.1</v>
      </c>
      <c r="G1365">
        <v>536097</v>
      </c>
      <c r="H1365" s="116"/>
      <c r="I1365" s="116"/>
      <c r="L1365" s="170">
        <v>44019</v>
      </c>
      <c r="M1365" s="116">
        <v>163.01891290527701</v>
      </c>
      <c r="N1365" s="116">
        <v>165.44262555626199</v>
      </c>
      <c r="O1365" s="116">
        <v>158.31691036236501</v>
      </c>
      <c r="P1365" s="116">
        <v>159.48029243483799</v>
      </c>
      <c r="Q1365" s="116">
        <v>168.15</v>
      </c>
      <c r="R1365">
        <v>8172263</v>
      </c>
    </row>
    <row r="1366" spans="1:18" x14ac:dyDescent="0.25">
      <c r="A1366" s="170">
        <v>44020</v>
      </c>
      <c r="B1366" s="116">
        <v>164.42440806109701</v>
      </c>
      <c r="C1366" s="116">
        <v>158.07429088656701</v>
      </c>
      <c r="D1366" s="116">
        <v>156.71701393323301</v>
      </c>
      <c r="E1366" s="116">
        <v>163.794243761334</v>
      </c>
      <c r="F1366" s="116">
        <v>163.05000000000001</v>
      </c>
      <c r="G1366">
        <v>195533</v>
      </c>
      <c r="H1366" s="116"/>
      <c r="I1366" s="116"/>
      <c r="L1366" s="170">
        <v>44020</v>
      </c>
      <c r="M1366" s="116">
        <v>158.026064844247</v>
      </c>
      <c r="N1366" s="116">
        <v>164.32771773680901</v>
      </c>
      <c r="O1366" s="116">
        <v>156.47488874761601</v>
      </c>
      <c r="P1366" s="116">
        <v>162.87349014621699</v>
      </c>
      <c r="Q1366" s="116">
        <v>163</v>
      </c>
      <c r="R1366">
        <v>3650215</v>
      </c>
    </row>
    <row r="1367" spans="1:18" x14ac:dyDescent="0.25">
      <c r="A1367" s="170">
        <v>44021</v>
      </c>
      <c r="B1367" s="116">
        <v>159.96478378585499</v>
      </c>
      <c r="C1367" s="116">
        <v>157.83192000204301</v>
      </c>
      <c r="D1367" s="116">
        <v>156.52311722561399</v>
      </c>
      <c r="E1367" s="116">
        <v>157.153281525376</v>
      </c>
      <c r="F1367" s="116">
        <v>162.80000000000001</v>
      </c>
      <c r="G1367">
        <v>139040</v>
      </c>
      <c r="H1367" s="116"/>
      <c r="I1367" s="116"/>
      <c r="L1367" s="170">
        <v>44021</v>
      </c>
      <c r="M1367" s="116">
        <v>157.78369357914801</v>
      </c>
      <c r="N1367" s="116">
        <v>160.061983471074</v>
      </c>
      <c r="O1367" s="116">
        <v>156.52336300063601</v>
      </c>
      <c r="P1367" s="116">
        <v>158.026064844247</v>
      </c>
      <c r="Q1367" s="116">
        <v>162.75</v>
      </c>
      <c r="R1367">
        <v>1711099</v>
      </c>
    </row>
    <row r="1368" spans="1:18" x14ac:dyDescent="0.25">
      <c r="A1368" s="170">
        <v>44022</v>
      </c>
      <c r="B1368" s="116">
        <v>157.68649747132901</v>
      </c>
      <c r="C1368" s="116">
        <v>154.826521033945</v>
      </c>
      <c r="D1368" s="116">
        <v>153.61466661132499</v>
      </c>
      <c r="E1368" s="116">
        <v>155.26278862608899</v>
      </c>
      <c r="F1368" s="116">
        <v>159.69999999999999</v>
      </c>
      <c r="G1368">
        <v>142675</v>
      </c>
      <c r="H1368" s="116"/>
      <c r="I1368" s="116"/>
      <c r="L1368" s="170">
        <v>44022</v>
      </c>
      <c r="M1368" s="116">
        <v>154.826764144946</v>
      </c>
      <c r="N1368" s="116">
        <v>158.41385886840399</v>
      </c>
      <c r="O1368" s="116">
        <v>153.66338207247301</v>
      </c>
      <c r="P1368" s="116">
        <v>156.57183725365499</v>
      </c>
      <c r="Q1368" s="116">
        <v>159.69999999999999</v>
      </c>
      <c r="R1368">
        <v>1950862</v>
      </c>
    </row>
    <row r="1369" spans="1:18" x14ac:dyDescent="0.25">
      <c r="A1369" s="170">
        <v>44025</v>
      </c>
      <c r="B1369" s="116">
        <v>158.413610124901</v>
      </c>
      <c r="C1369" s="116">
        <v>151.23943194299</v>
      </c>
      <c r="D1369" s="116">
        <v>149.59130992822699</v>
      </c>
      <c r="E1369" s="116">
        <v>158.413610124901</v>
      </c>
      <c r="F1369" s="116">
        <v>156</v>
      </c>
      <c r="G1369">
        <v>154869</v>
      </c>
      <c r="H1369" s="116"/>
      <c r="I1369" s="116"/>
      <c r="L1369" s="170">
        <v>44025</v>
      </c>
      <c r="M1369" s="116">
        <v>151.28814367450701</v>
      </c>
      <c r="N1369" s="116">
        <v>157.49284806103</v>
      </c>
      <c r="O1369" s="116">
        <v>149.640019071837</v>
      </c>
      <c r="P1369" s="116">
        <v>156.52336300063601</v>
      </c>
      <c r="Q1369" s="116">
        <v>156.05000000000001</v>
      </c>
      <c r="R1369">
        <v>2586181</v>
      </c>
    </row>
    <row r="1370" spans="1:18" x14ac:dyDescent="0.25">
      <c r="A1370" s="170">
        <v>44026</v>
      </c>
      <c r="B1370" s="116">
        <v>152.596708896324</v>
      </c>
      <c r="C1370" s="116">
        <v>145.22863400679401</v>
      </c>
      <c r="D1370" s="116">
        <v>144.54999553012701</v>
      </c>
      <c r="E1370" s="116">
        <v>152.596708896324</v>
      </c>
      <c r="F1370" s="116">
        <v>149.80000000000001</v>
      </c>
      <c r="G1370">
        <v>141064</v>
      </c>
      <c r="H1370" s="116"/>
      <c r="I1370" s="116"/>
      <c r="L1370" s="170">
        <v>44026</v>
      </c>
      <c r="M1370" s="116">
        <v>145.180387794024</v>
      </c>
      <c r="N1370" s="116">
        <v>151.482040686586</v>
      </c>
      <c r="O1370" s="116">
        <v>144.453273998729</v>
      </c>
      <c r="P1370" s="116">
        <v>151.142720915448</v>
      </c>
      <c r="Q1370" s="116">
        <v>149.75</v>
      </c>
      <c r="R1370">
        <v>2352037</v>
      </c>
    </row>
    <row r="1371" spans="1:18" x14ac:dyDescent="0.25">
      <c r="A1371" s="170">
        <v>44027</v>
      </c>
      <c r="B1371" s="116">
        <v>149.10656815917901</v>
      </c>
      <c r="C1371" s="116">
        <v>143.14424439988801</v>
      </c>
      <c r="D1371" s="116">
        <v>142.46560592322001</v>
      </c>
      <c r="E1371" s="116">
        <v>146.97370437536699</v>
      </c>
      <c r="F1371" s="116">
        <v>147.65</v>
      </c>
      <c r="G1371">
        <v>183990</v>
      </c>
      <c r="H1371" s="116"/>
      <c r="I1371" s="116"/>
      <c r="L1371" s="170">
        <v>44027</v>
      </c>
      <c r="M1371" s="116">
        <v>143.24141767323599</v>
      </c>
      <c r="N1371" s="116">
        <v>149.15527654164001</v>
      </c>
      <c r="O1371" s="116">
        <v>142.51430387793999</v>
      </c>
      <c r="P1371" s="116">
        <v>145.51970756516201</v>
      </c>
      <c r="Q1371" s="116">
        <v>147.75</v>
      </c>
      <c r="R1371">
        <v>2180515</v>
      </c>
    </row>
    <row r="1372" spans="1:18" x14ac:dyDescent="0.25">
      <c r="A1372" s="170">
        <v>44028</v>
      </c>
      <c r="B1372" s="116">
        <v>145.422530714413</v>
      </c>
      <c r="C1372" s="116">
        <v>144.35609882250799</v>
      </c>
      <c r="D1372" s="116">
        <v>140.720535554647</v>
      </c>
      <c r="E1372" s="116">
        <v>143.483563638221</v>
      </c>
      <c r="F1372" s="116">
        <v>148.9</v>
      </c>
      <c r="G1372">
        <v>109208</v>
      </c>
      <c r="H1372" s="116"/>
      <c r="I1372" s="116"/>
      <c r="L1372" s="170">
        <v>44028</v>
      </c>
      <c r="M1372" s="116">
        <v>144.356325492689</v>
      </c>
      <c r="N1372" s="116">
        <v>145.422759059123</v>
      </c>
      <c r="O1372" s="116">
        <v>140.769230769231</v>
      </c>
      <c r="P1372" s="116">
        <v>143.58073744437399</v>
      </c>
      <c r="Q1372" s="116">
        <v>148.9</v>
      </c>
      <c r="R1372">
        <v>1473784</v>
      </c>
    </row>
    <row r="1373" spans="1:18" x14ac:dyDescent="0.25">
      <c r="A1373" s="170">
        <v>44029</v>
      </c>
      <c r="B1373" s="116">
        <v>149.20351651298799</v>
      </c>
      <c r="C1373" s="116">
        <v>146.97370437536699</v>
      </c>
      <c r="D1373" s="116">
        <v>145.22863400679401</v>
      </c>
      <c r="E1373" s="116">
        <v>145.22863400679401</v>
      </c>
      <c r="F1373" s="116">
        <v>151.6</v>
      </c>
      <c r="G1373">
        <v>103332</v>
      </c>
      <c r="H1373" s="116"/>
      <c r="I1373" s="116"/>
      <c r="L1373" s="170">
        <v>44029</v>
      </c>
      <c r="M1373" s="116">
        <v>146.973935155753</v>
      </c>
      <c r="N1373" s="116">
        <v>149.20375079466001</v>
      </c>
      <c r="O1373" s="116">
        <v>144.453273998729</v>
      </c>
      <c r="P1373" s="116">
        <v>145.180387794024</v>
      </c>
      <c r="Q1373" s="116">
        <v>151.6</v>
      </c>
      <c r="R1373">
        <v>2222846</v>
      </c>
    </row>
    <row r="1374" spans="1:18" x14ac:dyDescent="0.25">
      <c r="A1374" s="170">
        <v>44032</v>
      </c>
      <c r="B1374" s="116">
        <v>156.91091064085199</v>
      </c>
      <c r="C1374" s="116">
        <v>155.69905621823199</v>
      </c>
      <c r="D1374" s="116">
        <v>147.36149779060599</v>
      </c>
      <c r="E1374" s="116">
        <v>147.36149779060599</v>
      </c>
      <c r="F1374" s="116">
        <v>160.6</v>
      </c>
      <c r="G1374">
        <v>469117</v>
      </c>
      <c r="H1374" s="116"/>
      <c r="I1374" s="116"/>
      <c r="L1374" s="170">
        <v>44032</v>
      </c>
      <c r="M1374" s="116">
        <v>155.79624920533999</v>
      </c>
      <c r="N1374" s="116">
        <v>156.959631277813</v>
      </c>
      <c r="O1374" s="116">
        <v>147.45867768594999</v>
      </c>
      <c r="P1374" s="116">
        <v>148.47663699936399</v>
      </c>
      <c r="Q1374" s="116">
        <v>160.69999999999999</v>
      </c>
      <c r="R1374">
        <v>6330153</v>
      </c>
    </row>
    <row r="1375" spans="1:18" x14ac:dyDescent="0.25">
      <c r="A1375" s="170">
        <v>44033</v>
      </c>
      <c r="B1375" s="116">
        <v>162.87323440014299</v>
      </c>
      <c r="C1375" s="116">
        <v>162.09764756966601</v>
      </c>
      <c r="D1375" s="116">
        <v>154.34177926489701</v>
      </c>
      <c r="E1375" s="116">
        <v>157.05633317156699</v>
      </c>
      <c r="F1375" s="116">
        <v>167.2</v>
      </c>
      <c r="G1375">
        <v>562363</v>
      </c>
      <c r="H1375" s="116"/>
      <c r="I1375" s="116"/>
      <c r="L1375" s="170">
        <v>44033</v>
      </c>
      <c r="M1375" s="116">
        <v>162.194850603942</v>
      </c>
      <c r="N1375" s="116">
        <v>162.970438652257</v>
      </c>
      <c r="O1375" s="116">
        <v>154.24507310870899</v>
      </c>
      <c r="P1375" s="116">
        <v>156.52336300063601</v>
      </c>
      <c r="Q1375" s="116">
        <v>167.3</v>
      </c>
      <c r="R1375">
        <v>6517623</v>
      </c>
    </row>
    <row r="1376" spans="1:18" x14ac:dyDescent="0.25">
      <c r="A1376" s="170">
        <v>44034</v>
      </c>
      <c r="B1376" s="116">
        <v>166.50879766800301</v>
      </c>
      <c r="C1376" s="116">
        <v>164.085088822763</v>
      </c>
      <c r="D1376" s="116">
        <v>157.34717823299499</v>
      </c>
      <c r="E1376" s="116">
        <v>161.90375086204699</v>
      </c>
      <c r="F1376" s="116">
        <v>169.25</v>
      </c>
      <c r="G1376">
        <v>479129</v>
      </c>
      <c r="H1376" s="116"/>
      <c r="I1376" s="116"/>
      <c r="L1376" s="170">
        <v>44034</v>
      </c>
      <c r="M1376" s="116">
        <v>164.230769230769</v>
      </c>
      <c r="N1376" s="116">
        <v>166.75143038779399</v>
      </c>
      <c r="O1376" s="116">
        <v>157.05657978385301</v>
      </c>
      <c r="P1376" s="116">
        <v>161.904005085823</v>
      </c>
      <c r="Q1376" s="116">
        <v>169.4</v>
      </c>
      <c r="R1376">
        <v>4611051</v>
      </c>
    </row>
    <row r="1377" spans="1:18" x14ac:dyDescent="0.25">
      <c r="A1377" s="170">
        <v>44035</v>
      </c>
      <c r="B1377" s="116">
        <v>165.49083995300199</v>
      </c>
      <c r="C1377" s="116">
        <v>164.71525312252601</v>
      </c>
      <c r="D1377" s="116">
        <v>160.54647390871199</v>
      </c>
      <c r="E1377" s="116">
        <v>164.085088822763</v>
      </c>
      <c r="F1377" s="116">
        <v>169.9</v>
      </c>
      <c r="G1377">
        <v>228596</v>
      </c>
      <c r="H1377" s="116"/>
      <c r="I1377" s="116"/>
      <c r="L1377" s="170">
        <v>44035</v>
      </c>
      <c r="M1377" s="116">
        <v>164.763986013986</v>
      </c>
      <c r="N1377" s="116">
        <v>165.49109980928199</v>
      </c>
      <c r="O1377" s="116">
        <v>160.352828989193</v>
      </c>
      <c r="P1377" s="116">
        <v>163.212809917355</v>
      </c>
      <c r="Q1377" s="116">
        <v>169.95</v>
      </c>
      <c r="R1377">
        <v>2199271</v>
      </c>
    </row>
    <row r="1378" spans="1:18" x14ac:dyDescent="0.25">
      <c r="A1378" s="170">
        <v>44036</v>
      </c>
      <c r="B1378" s="116">
        <v>164.472882238002</v>
      </c>
      <c r="C1378" s="116">
        <v>163.55187287680999</v>
      </c>
      <c r="D1378" s="116">
        <v>158.849877717044</v>
      </c>
      <c r="E1378" s="116">
        <v>163.74576958443001</v>
      </c>
      <c r="F1378" s="116">
        <v>168.7</v>
      </c>
      <c r="G1378">
        <v>323097</v>
      </c>
      <c r="H1378" s="116"/>
      <c r="I1378" s="116"/>
      <c r="L1378" s="170">
        <v>44036</v>
      </c>
      <c r="M1378" s="116">
        <v>163.60060394151299</v>
      </c>
      <c r="N1378" s="116">
        <v>164.57008900190701</v>
      </c>
      <c r="O1378" s="116">
        <v>158.65623013350299</v>
      </c>
      <c r="P1378" s="116">
        <v>162.29179910998101</v>
      </c>
      <c r="Q1378" s="116">
        <v>168.75</v>
      </c>
      <c r="R1378">
        <v>1801380</v>
      </c>
    </row>
    <row r="1379" spans="1:18" x14ac:dyDescent="0.25">
      <c r="A1379" s="170">
        <v>44039</v>
      </c>
      <c r="B1379" s="116">
        <v>163.74576958443001</v>
      </c>
      <c r="C1379" s="116">
        <v>160.69189643942701</v>
      </c>
      <c r="D1379" s="116">
        <v>158.268187594187</v>
      </c>
      <c r="E1379" s="116">
        <v>162.388492631095</v>
      </c>
      <c r="F1379" s="116">
        <v>165.75</v>
      </c>
      <c r="G1379">
        <v>202174</v>
      </c>
      <c r="H1379" s="116"/>
      <c r="I1379" s="116"/>
      <c r="L1379" s="170">
        <v>44039</v>
      </c>
      <c r="M1379" s="116">
        <v>160.88604577240901</v>
      </c>
      <c r="N1379" s="116">
        <v>163.89144945963099</v>
      </c>
      <c r="O1379" s="116">
        <v>158.026064844247</v>
      </c>
      <c r="P1379" s="116">
        <v>163.503655435474</v>
      </c>
      <c r="Q1379" s="116">
        <v>165.95</v>
      </c>
      <c r="R1379">
        <v>1156539</v>
      </c>
    </row>
    <row r="1380" spans="1:18" x14ac:dyDescent="0.25">
      <c r="A1380" s="170">
        <v>44040</v>
      </c>
      <c r="B1380" s="116">
        <v>169.65961916681599</v>
      </c>
      <c r="C1380" s="116">
        <v>168.350816390386</v>
      </c>
      <c r="D1380" s="116">
        <v>158.70445518632999</v>
      </c>
      <c r="E1380" s="116">
        <v>162.679337692524</v>
      </c>
      <c r="F1380" s="116">
        <v>173.65</v>
      </c>
      <c r="G1380">
        <v>430930</v>
      </c>
      <c r="H1380" s="116"/>
      <c r="I1380" s="116"/>
      <c r="L1380" s="170">
        <v>44040</v>
      </c>
      <c r="M1380" s="116">
        <v>168.25413223140501</v>
      </c>
      <c r="N1380" s="116">
        <v>169.56293706293701</v>
      </c>
      <c r="O1380" s="116">
        <v>158.801652892562</v>
      </c>
      <c r="P1380" s="116">
        <v>161.22536554354701</v>
      </c>
      <c r="Q1380" s="116">
        <v>173.55</v>
      </c>
      <c r="R1380">
        <v>4829254</v>
      </c>
    </row>
    <row r="1381" spans="1:18" x14ac:dyDescent="0.25">
      <c r="A1381" s="170">
        <v>44041</v>
      </c>
      <c r="B1381" s="116">
        <v>184.928984891829</v>
      </c>
      <c r="C1381" s="116">
        <v>173.876872557534</v>
      </c>
      <c r="D1381" s="116">
        <v>166.993539437051</v>
      </c>
      <c r="E1381" s="116">
        <v>169.27182575157701</v>
      </c>
      <c r="F1381" s="116">
        <v>179.35</v>
      </c>
      <c r="G1381">
        <v>954761</v>
      </c>
      <c r="H1381" s="116"/>
      <c r="I1381" s="116"/>
      <c r="L1381" s="170">
        <v>44041</v>
      </c>
      <c r="M1381" s="116">
        <v>173.634774316592</v>
      </c>
      <c r="N1381" s="116">
        <v>185.02622377622399</v>
      </c>
      <c r="O1381" s="116">
        <v>166.79990464081399</v>
      </c>
      <c r="P1381" s="116">
        <v>168.690400508582</v>
      </c>
      <c r="Q1381" s="116">
        <v>179.1</v>
      </c>
      <c r="R1381">
        <v>15392611</v>
      </c>
    </row>
    <row r="1382" spans="1:18" x14ac:dyDescent="0.25">
      <c r="A1382" s="170">
        <v>44042</v>
      </c>
      <c r="B1382" s="116">
        <v>175.670417103011</v>
      </c>
      <c r="C1382" s="116">
        <v>169.70809334372001</v>
      </c>
      <c r="D1382" s="116">
        <v>168.10844550586199</v>
      </c>
      <c r="E1382" s="116">
        <v>173.82839838062901</v>
      </c>
      <c r="F1382" s="116">
        <v>175.05</v>
      </c>
      <c r="G1382">
        <v>229426</v>
      </c>
      <c r="H1382" s="116"/>
      <c r="I1382" s="116"/>
      <c r="L1382" s="170">
        <v>44042</v>
      </c>
      <c r="M1382" s="116">
        <v>169.708359821996</v>
      </c>
      <c r="N1382" s="116">
        <v>175.81611570247901</v>
      </c>
      <c r="O1382" s="116">
        <v>167.963286713287</v>
      </c>
      <c r="P1382" s="116">
        <v>173.73172282263201</v>
      </c>
      <c r="Q1382" s="116">
        <v>175.05</v>
      </c>
      <c r="R1382">
        <v>3403350</v>
      </c>
    </row>
    <row r="1383" spans="1:18" x14ac:dyDescent="0.25">
      <c r="A1383" s="170">
        <v>44043</v>
      </c>
      <c r="B1383" s="116">
        <v>173.052811550152</v>
      </c>
      <c r="C1383" s="116">
        <v>169.853515874435</v>
      </c>
      <c r="D1383" s="116">
        <v>166.945065260147</v>
      </c>
      <c r="E1383" s="116">
        <v>166.993539437051</v>
      </c>
      <c r="F1383" s="116">
        <v>175.2</v>
      </c>
      <c r="G1383">
        <v>130970</v>
      </c>
      <c r="H1383" s="116"/>
      <c r="I1383" s="116"/>
      <c r="L1383" s="170">
        <v>44043</v>
      </c>
      <c r="M1383" s="116">
        <v>169.90225683407499</v>
      </c>
      <c r="N1383" s="116">
        <v>173.19850603941501</v>
      </c>
      <c r="O1383" s="116">
        <v>166.848378893833</v>
      </c>
      <c r="P1383" s="116">
        <v>168.690400508582</v>
      </c>
      <c r="Q1383" s="116">
        <v>175.25</v>
      </c>
      <c r="R1383">
        <v>2644458</v>
      </c>
    </row>
    <row r="1384" spans="1:18" x14ac:dyDescent="0.25">
      <c r="A1384" s="170">
        <v>44046</v>
      </c>
      <c r="B1384" s="116">
        <v>173.24670825777099</v>
      </c>
      <c r="C1384" s="116">
        <v>166.89659108324199</v>
      </c>
      <c r="D1384" s="116">
        <v>166.121004252765</v>
      </c>
      <c r="E1384" s="116">
        <v>169.65961916681599</v>
      </c>
      <c r="F1384" s="116">
        <v>172.15</v>
      </c>
      <c r="G1384">
        <v>106290</v>
      </c>
      <c r="H1384" s="116"/>
      <c r="I1384" s="116"/>
      <c r="L1384" s="170">
        <v>44046</v>
      </c>
      <c r="M1384" s="116">
        <v>166.99380165289301</v>
      </c>
      <c r="N1384" s="116">
        <v>173.24698029243501</v>
      </c>
      <c r="O1384" s="116">
        <v>165.97584233947899</v>
      </c>
      <c r="P1384" s="116">
        <v>169.90225683407499</v>
      </c>
      <c r="Q1384" s="116">
        <v>172.25</v>
      </c>
      <c r="R1384">
        <v>2789132</v>
      </c>
    </row>
    <row r="1385" spans="1:18" x14ac:dyDescent="0.25">
      <c r="A1385" s="170">
        <v>44047</v>
      </c>
      <c r="B1385" s="116">
        <v>178.288022655871</v>
      </c>
      <c r="C1385" s="116">
        <v>176.639900641107</v>
      </c>
      <c r="D1385" s="116">
        <v>167.18743614467101</v>
      </c>
      <c r="E1385" s="116">
        <v>169.51419663610099</v>
      </c>
      <c r="F1385" s="116">
        <v>182.2</v>
      </c>
      <c r="G1385">
        <v>240590</v>
      </c>
      <c r="H1385" s="116"/>
      <c r="I1385" s="116"/>
      <c r="L1385" s="170">
        <v>44047</v>
      </c>
      <c r="M1385" s="116">
        <v>176.543229497775</v>
      </c>
      <c r="N1385" s="116">
        <v>178.385251112524</v>
      </c>
      <c r="O1385" s="116">
        <v>166.94532739987301</v>
      </c>
      <c r="P1385" s="116">
        <v>168.690400508582</v>
      </c>
      <c r="Q1385" s="116">
        <v>182.1</v>
      </c>
      <c r="R1385">
        <v>4209093</v>
      </c>
    </row>
    <row r="1386" spans="1:18" x14ac:dyDescent="0.25">
      <c r="A1386" s="170">
        <v>44048</v>
      </c>
      <c r="B1386" s="116">
        <v>179.112083663253</v>
      </c>
      <c r="C1386" s="116">
        <v>173.876872557534</v>
      </c>
      <c r="D1386" s="116">
        <v>173.052811550152</v>
      </c>
      <c r="E1386" s="116">
        <v>177.900229240632</v>
      </c>
      <c r="F1386" s="116">
        <v>179.35</v>
      </c>
      <c r="G1386">
        <v>282677</v>
      </c>
      <c r="H1386" s="116"/>
      <c r="I1386" s="116"/>
      <c r="L1386" s="170">
        <v>44048</v>
      </c>
      <c r="M1386" s="116">
        <v>174.11951684678999</v>
      </c>
      <c r="N1386" s="116">
        <v>179.160839160839</v>
      </c>
      <c r="O1386" s="116">
        <v>173.05308328035599</v>
      </c>
      <c r="P1386" s="116">
        <v>177.41576605213001</v>
      </c>
      <c r="Q1386" s="116">
        <v>179.6</v>
      </c>
      <c r="R1386">
        <v>4042372</v>
      </c>
    </row>
    <row r="1387" spans="1:18" x14ac:dyDescent="0.25">
      <c r="A1387" s="170">
        <v>44049</v>
      </c>
      <c r="B1387" s="116">
        <v>182.26290516206501</v>
      </c>
      <c r="C1387" s="116">
        <v>180.03309302444401</v>
      </c>
      <c r="D1387" s="116">
        <v>172.03485383515101</v>
      </c>
      <c r="E1387" s="116">
        <v>175.379572041583</v>
      </c>
      <c r="F1387" s="116">
        <v>185.7</v>
      </c>
      <c r="G1387">
        <v>288417</v>
      </c>
      <c r="H1387" s="116"/>
      <c r="I1387" s="116"/>
      <c r="L1387" s="170">
        <v>44049</v>
      </c>
      <c r="M1387" s="116">
        <v>180.27574698029201</v>
      </c>
      <c r="N1387" s="116">
        <v>182.2631913541</v>
      </c>
      <c r="O1387" s="116">
        <v>172.083598219962</v>
      </c>
      <c r="P1387" s="116">
        <v>174.60425937698699</v>
      </c>
      <c r="Q1387" s="116">
        <v>185.95</v>
      </c>
      <c r="R1387">
        <v>6447346</v>
      </c>
    </row>
    <row r="1388" spans="1:18" x14ac:dyDescent="0.25">
      <c r="A1388" s="170">
        <v>44050</v>
      </c>
      <c r="B1388" s="116">
        <v>189.04928992873701</v>
      </c>
      <c r="C1388" s="116">
        <v>186.867951968021</v>
      </c>
      <c r="D1388" s="116">
        <v>175.47652039539199</v>
      </c>
      <c r="E1388" s="116">
        <v>175.47652039539199</v>
      </c>
      <c r="F1388" s="116">
        <v>192.75</v>
      </c>
      <c r="G1388">
        <v>453519</v>
      </c>
      <c r="H1388" s="116"/>
      <c r="I1388" s="116"/>
      <c r="L1388" s="170">
        <v>44050</v>
      </c>
      <c r="M1388" s="116">
        <v>187.013668150032</v>
      </c>
      <c r="N1388" s="116">
        <v>189.049586776859</v>
      </c>
      <c r="O1388" s="116">
        <v>174.60425937698699</v>
      </c>
      <c r="P1388" s="116">
        <v>175.52527018436101</v>
      </c>
      <c r="Q1388" s="116">
        <v>192.9</v>
      </c>
      <c r="R1388">
        <v>9386326</v>
      </c>
    </row>
    <row r="1389" spans="1:18" x14ac:dyDescent="0.25">
      <c r="A1389" s="170">
        <v>44053</v>
      </c>
      <c r="B1389" s="116">
        <v>192.05468889683499</v>
      </c>
      <c r="C1389" s="116">
        <v>189.630980051595</v>
      </c>
      <c r="D1389" s="116">
        <v>186.43168437587801</v>
      </c>
      <c r="E1389" s="116">
        <v>187.74048715230799</v>
      </c>
      <c r="F1389" s="116">
        <v>195.6</v>
      </c>
      <c r="G1389">
        <v>261905</v>
      </c>
      <c r="H1389" s="116"/>
      <c r="I1389" s="116"/>
      <c r="L1389" s="170">
        <v>44053</v>
      </c>
      <c r="M1389" s="116">
        <v>189.72822631913499</v>
      </c>
      <c r="N1389" s="116">
        <v>192.24888747616001</v>
      </c>
      <c r="O1389" s="116">
        <v>186.480451366815</v>
      </c>
      <c r="P1389" s="116">
        <v>187.013668150032</v>
      </c>
      <c r="Q1389" s="116">
        <v>195.7</v>
      </c>
      <c r="R1389">
        <v>4627829</v>
      </c>
    </row>
    <row r="1390" spans="1:18" x14ac:dyDescent="0.25">
      <c r="A1390" s="170">
        <v>44054</v>
      </c>
      <c r="B1390" s="116">
        <v>193.508914203979</v>
      </c>
      <c r="C1390" s="116">
        <v>189.82487675921399</v>
      </c>
      <c r="D1390" s="116">
        <v>188.46759980588001</v>
      </c>
      <c r="E1390" s="116">
        <v>190.98825700493001</v>
      </c>
      <c r="F1390" s="116">
        <v>195.8</v>
      </c>
      <c r="G1390">
        <v>106656</v>
      </c>
      <c r="H1390" s="116"/>
      <c r="I1390" s="116"/>
      <c r="L1390" s="170">
        <v>44054</v>
      </c>
      <c r="M1390" s="116">
        <v>189.873649078195</v>
      </c>
      <c r="N1390" s="116">
        <v>193.703115066751</v>
      </c>
      <c r="O1390" s="116">
        <v>188.46789574062299</v>
      </c>
      <c r="P1390" s="116">
        <v>190.01907183725399</v>
      </c>
      <c r="Q1390" s="116">
        <v>195.85</v>
      </c>
      <c r="R1390">
        <v>2965963</v>
      </c>
    </row>
    <row r="1391" spans="1:18" x14ac:dyDescent="0.25">
      <c r="A1391" s="170">
        <v>44055</v>
      </c>
      <c r="B1391" s="116">
        <v>194.57534609588501</v>
      </c>
      <c r="C1391" s="116">
        <v>191.90926636612099</v>
      </c>
      <c r="D1391" s="116">
        <v>185.753045899211</v>
      </c>
      <c r="E1391" s="116">
        <v>190.50351523588199</v>
      </c>
      <c r="F1391" s="116">
        <v>197.95</v>
      </c>
      <c r="G1391">
        <v>207492</v>
      </c>
      <c r="H1391" s="116"/>
      <c r="I1391" s="116"/>
      <c r="L1391" s="170">
        <v>44055</v>
      </c>
      <c r="M1391" s="116">
        <v>191.667196439924</v>
      </c>
      <c r="N1391" s="116">
        <v>194.62412587412601</v>
      </c>
      <c r="O1391" s="116">
        <v>184.396058486968</v>
      </c>
      <c r="P1391" s="116">
        <v>189.825174825175</v>
      </c>
      <c r="Q1391" s="116">
        <v>197.7</v>
      </c>
      <c r="R1391">
        <v>3352637</v>
      </c>
    </row>
    <row r="1392" spans="1:18" x14ac:dyDescent="0.25">
      <c r="A1392" s="170">
        <v>44056</v>
      </c>
      <c r="B1392" s="116">
        <v>197.04752911803001</v>
      </c>
      <c r="C1392" s="116">
        <v>194.769242803504</v>
      </c>
      <c r="D1392" s="116">
        <v>191.95774054302601</v>
      </c>
      <c r="E1392" s="116">
        <v>192.92722408112201</v>
      </c>
      <c r="F1392" s="116">
        <v>200.9</v>
      </c>
      <c r="G1392">
        <v>221031</v>
      </c>
      <c r="H1392" s="116"/>
      <c r="I1392" s="116"/>
      <c r="L1392" s="170">
        <v>44056</v>
      </c>
      <c r="M1392" s="116">
        <v>194.62412587412601</v>
      </c>
      <c r="N1392" s="116">
        <v>197.09631277813099</v>
      </c>
      <c r="O1392" s="116">
        <v>191.71567069294301</v>
      </c>
      <c r="P1392" s="116">
        <v>192.83057851239701</v>
      </c>
      <c r="Q1392" s="116">
        <v>200.75</v>
      </c>
      <c r="R1392">
        <v>3552469</v>
      </c>
    </row>
    <row r="1393" spans="1:18" x14ac:dyDescent="0.25">
      <c r="A1393" s="170">
        <v>44057</v>
      </c>
      <c r="B1393" s="116">
        <v>198.210909363745</v>
      </c>
      <c r="C1393" s="116">
        <v>190.16419599754801</v>
      </c>
      <c r="D1393" s="116">
        <v>185.753045899211</v>
      </c>
      <c r="E1393" s="116">
        <v>196.80515823350601</v>
      </c>
      <c r="F1393" s="116">
        <v>196.15</v>
      </c>
      <c r="G1393">
        <v>710890</v>
      </c>
      <c r="H1393" s="116"/>
      <c r="I1393" s="116"/>
      <c r="L1393" s="170">
        <v>44057</v>
      </c>
      <c r="M1393" s="116">
        <v>190.21296884933199</v>
      </c>
      <c r="N1393" s="116">
        <v>198.25969485060401</v>
      </c>
      <c r="O1393" s="116">
        <v>185.60791481246</v>
      </c>
      <c r="P1393" s="116">
        <v>196.22377622377601</v>
      </c>
      <c r="Q1393" s="116">
        <v>196.2</v>
      </c>
      <c r="R1393">
        <v>6617104</v>
      </c>
    </row>
    <row r="1394" spans="1:18" x14ac:dyDescent="0.25">
      <c r="A1394" s="170">
        <v>44060</v>
      </c>
      <c r="B1394" s="116">
        <v>195.447881280172</v>
      </c>
      <c r="C1394" s="116">
        <v>191.715369658502</v>
      </c>
      <c r="D1394" s="116">
        <v>190.067247643738</v>
      </c>
      <c r="E1394" s="116">
        <v>191.95774054302601</v>
      </c>
      <c r="F1394" s="116">
        <v>197.75</v>
      </c>
      <c r="G1394">
        <v>368182</v>
      </c>
      <c r="H1394" s="116"/>
      <c r="I1394" s="116"/>
      <c r="L1394" s="170">
        <v>44060</v>
      </c>
      <c r="M1394" s="116">
        <v>191.76414494596301</v>
      </c>
      <c r="N1394" s="116">
        <v>195.49666242848099</v>
      </c>
      <c r="O1394" s="116">
        <v>190.067546090273</v>
      </c>
      <c r="P1394" s="116">
        <v>191.376350921805</v>
      </c>
      <c r="Q1394" s="116">
        <v>197.8</v>
      </c>
      <c r="R1394">
        <v>3227005</v>
      </c>
    </row>
    <row r="1395" spans="1:18" x14ac:dyDescent="0.25">
      <c r="A1395" s="170">
        <v>44061</v>
      </c>
      <c r="B1395" s="116">
        <v>210.13555688232699</v>
      </c>
      <c r="C1395" s="116">
        <v>207.17863209113401</v>
      </c>
      <c r="D1395" s="116">
        <v>193.16959496564601</v>
      </c>
      <c r="E1395" s="116">
        <v>193.16959496564601</v>
      </c>
      <c r="F1395" s="116">
        <v>213.7</v>
      </c>
      <c r="G1395">
        <v>589267</v>
      </c>
      <c r="H1395" s="116"/>
      <c r="I1395" s="116"/>
      <c r="L1395" s="170">
        <v>44061</v>
      </c>
      <c r="M1395" s="116">
        <v>207.17895740623001</v>
      </c>
      <c r="N1395" s="116">
        <v>210.184361093452</v>
      </c>
      <c r="O1395" s="116">
        <v>192.927527018436</v>
      </c>
      <c r="P1395" s="116">
        <v>193.89701207882999</v>
      </c>
      <c r="Q1395" s="116">
        <v>213.7</v>
      </c>
      <c r="R1395">
        <v>13368091</v>
      </c>
    </row>
    <row r="1396" spans="1:18" x14ac:dyDescent="0.25">
      <c r="A1396" s="170">
        <v>44062</v>
      </c>
      <c r="B1396" s="116">
        <v>238.153631133304</v>
      </c>
      <c r="C1396" s="116">
        <v>231.75503978187001</v>
      </c>
      <c r="D1396" s="116">
        <v>207.66337386018199</v>
      </c>
      <c r="E1396" s="116">
        <v>208.92370245970699</v>
      </c>
      <c r="F1396" s="116">
        <v>239.05</v>
      </c>
      <c r="G1396">
        <v>1475786</v>
      </c>
      <c r="H1396" s="116"/>
      <c r="I1396" s="116"/>
      <c r="L1396" s="170">
        <v>44062</v>
      </c>
      <c r="M1396" s="116">
        <v>232.24014621741901</v>
      </c>
      <c r="N1396" s="116">
        <v>237.911633820725</v>
      </c>
      <c r="O1396" s="116">
        <v>207.71217418944701</v>
      </c>
      <c r="P1396" s="116">
        <v>207.71217418944701</v>
      </c>
      <c r="Q1396" s="116">
        <v>239.55</v>
      </c>
      <c r="R1396">
        <v>19592087</v>
      </c>
    </row>
    <row r="1397" spans="1:18" x14ac:dyDescent="0.25">
      <c r="A1397" s="170">
        <v>44063</v>
      </c>
      <c r="B1397" s="116">
        <v>237.62041518735199</v>
      </c>
      <c r="C1397" s="116">
        <v>226.90762209139001</v>
      </c>
      <c r="D1397" s="116">
        <v>223.27205882352899</v>
      </c>
      <c r="E1397" s="116">
        <v>234.566542042349</v>
      </c>
      <c r="F1397" s="116">
        <v>234.05</v>
      </c>
      <c r="G1397">
        <v>912905</v>
      </c>
      <c r="H1397" s="116"/>
      <c r="I1397" s="116"/>
      <c r="L1397" s="170">
        <v>44063</v>
      </c>
      <c r="M1397" s="116">
        <v>226.859504132231</v>
      </c>
      <c r="N1397" s="116">
        <v>237.52383979656699</v>
      </c>
      <c r="O1397" s="116">
        <v>223.36935791481201</v>
      </c>
      <c r="P1397" s="116">
        <v>233.83979656706899</v>
      </c>
      <c r="Q1397" s="116">
        <v>234</v>
      </c>
      <c r="R1397">
        <v>9484513</v>
      </c>
    </row>
    <row r="1398" spans="1:18" x14ac:dyDescent="0.25">
      <c r="A1398" s="170">
        <v>44064</v>
      </c>
      <c r="B1398" s="116">
        <v>237.038725064494</v>
      </c>
      <c r="C1398" s="116">
        <v>226.08356108400801</v>
      </c>
      <c r="D1398" s="116">
        <v>224.047645654006</v>
      </c>
      <c r="E1398" s="116">
        <v>230.73708206686899</v>
      </c>
      <c r="F1398" s="116">
        <v>233.2</v>
      </c>
      <c r="G1398">
        <v>561974</v>
      </c>
      <c r="H1398" s="116"/>
      <c r="I1398" s="116"/>
      <c r="L1398" s="170">
        <v>44064</v>
      </c>
      <c r="M1398" s="116">
        <v>226.22933884297501</v>
      </c>
      <c r="N1398" s="116">
        <v>237.03909726636999</v>
      </c>
      <c r="O1398" s="116">
        <v>224.047997457088</v>
      </c>
      <c r="P1398" s="116">
        <v>229.86490781945301</v>
      </c>
      <c r="Q1398" s="116">
        <v>233.35</v>
      </c>
      <c r="R1398">
        <v>5797329</v>
      </c>
    </row>
    <row r="1399" spans="1:18" x14ac:dyDescent="0.25">
      <c r="A1399" s="170">
        <v>44067</v>
      </c>
      <c r="B1399" s="116">
        <v>246.05492196878799</v>
      </c>
      <c r="C1399" s="116">
        <v>241.64377187045</v>
      </c>
      <c r="D1399" s="116">
        <v>228.11947651400999</v>
      </c>
      <c r="E1399" s="116">
        <v>228.31337322162901</v>
      </c>
      <c r="F1399" s="116">
        <v>249.25</v>
      </c>
      <c r="G1399">
        <v>858793</v>
      </c>
      <c r="H1399" s="116"/>
      <c r="I1399" s="116"/>
      <c r="L1399" s="170">
        <v>44067</v>
      </c>
      <c r="M1399" s="116">
        <v>241.11093452002501</v>
      </c>
      <c r="N1399" s="116">
        <v>246.10378258105499</v>
      </c>
      <c r="O1399" s="116">
        <v>227.82898919262601</v>
      </c>
      <c r="P1399" s="116">
        <v>228.79847425302</v>
      </c>
      <c r="Q1399" s="116">
        <v>248.7</v>
      </c>
      <c r="R1399">
        <v>11879433</v>
      </c>
    </row>
    <row r="1400" spans="1:18" x14ac:dyDescent="0.25">
      <c r="A1400" s="170">
        <v>44068</v>
      </c>
      <c r="B1400" s="116">
        <v>312.803863566703</v>
      </c>
      <c r="C1400" s="116">
        <v>298.89177479502399</v>
      </c>
      <c r="D1400" s="116">
        <v>242.37088452402199</v>
      </c>
      <c r="E1400" s="116">
        <v>243.34036806211799</v>
      </c>
      <c r="F1400" s="116">
        <v>308.3</v>
      </c>
      <c r="G1400">
        <v>4156950</v>
      </c>
      <c r="H1400" s="116"/>
      <c r="I1400" s="116"/>
      <c r="L1400" s="170">
        <v>44068</v>
      </c>
      <c r="M1400" s="116">
        <v>298.16513032422102</v>
      </c>
      <c r="N1400" s="116">
        <v>312.56198347107397</v>
      </c>
      <c r="O1400" s="116">
        <v>242.371265098538</v>
      </c>
      <c r="P1400" s="116">
        <v>244.31023521932599</v>
      </c>
      <c r="Q1400" s="116">
        <v>307.55</v>
      </c>
      <c r="R1400">
        <v>49264767</v>
      </c>
    </row>
    <row r="1401" spans="1:18" x14ac:dyDescent="0.25">
      <c r="A1401" s="170">
        <v>44069</v>
      </c>
      <c r="B1401" s="116">
        <v>293.46266698168603</v>
      </c>
      <c r="C1401" s="116">
        <v>276.54517924190998</v>
      </c>
      <c r="D1401" s="116">
        <v>269.90421700595101</v>
      </c>
      <c r="E1401" s="116">
        <v>289.19693941406302</v>
      </c>
      <c r="F1401" s="116">
        <v>285.25</v>
      </c>
      <c r="G1401">
        <v>1669287</v>
      </c>
      <c r="H1401" s="116"/>
      <c r="I1401" s="116"/>
      <c r="L1401" s="170">
        <v>44069</v>
      </c>
      <c r="M1401" s="116">
        <v>276.83645899555</v>
      </c>
      <c r="N1401" s="116">
        <v>293.56007628734898</v>
      </c>
      <c r="O1401" s="116">
        <v>269.759218054673</v>
      </c>
      <c r="P1401" s="116">
        <v>289.87603305785098</v>
      </c>
      <c r="Q1401" s="116">
        <v>285.55</v>
      </c>
      <c r="R1401">
        <v>26720036</v>
      </c>
    </row>
    <row r="1402" spans="1:18" x14ac:dyDescent="0.25">
      <c r="A1402" s="170">
        <v>44070</v>
      </c>
      <c r="B1402" s="116">
        <v>288.615249291206</v>
      </c>
      <c r="C1402" s="116">
        <v>278.387197964292</v>
      </c>
      <c r="D1402" s="116">
        <v>266.607972976425</v>
      </c>
      <c r="E1402" s="116">
        <v>276.54517924190998</v>
      </c>
      <c r="F1402" s="116">
        <v>287.14999999999998</v>
      </c>
      <c r="G1402">
        <v>667162</v>
      </c>
      <c r="H1402" s="116"/>
      <c r="I1402" s="116"/>
      <c r="L1402" s="170">
        <v>44070</v>
      </c>
      <c r="M1402" s="116">
        <v>277.95136681500298</v>
      </c>
      <c r="N1402" s="116">
        <v>288.61570247933901</v>
      </c>
      <c r="O1402" s="116">
        <v>275.04291163382101</v>
      </c>
      <c r="P1402" s="116">
        <v>276.20629370629399</v>
      </c>
      <c r="Q1402" s="116">
        <v>286.7</v>
      </c>
      <c r="R1402">
        <v>15749472</v>
      </c>
    </row>
    <row r="1403" spans="1:18" x14ac:dyDescent="0.25">
      <c r="A1403" s="170">
        <v>44071</v>
      </c>
      <c r="B1403" s="116">
        <v>286.43391133048999</v>
      </c>
      <c r="C1403" s="116">
        <v>279.45362985619801</v>
      </c>
      <c r="D1403" s="116">
        <v>277.80550784143401</v>
      </c>
      <c r="E1403" s="116">
        <v>280.18074250977003</v>
      </c>
      <c r="F1403" s="116">
        <v>288.25</v>
      </c>
      <c r="G1403">
        <v>621559</v>
      </c>
      <c r="H1403" s="116"/>
      <c r="I1403" s="116"/>
      <c r="L1403" s="170">
        <v>44071</v>
      </c>
      <c r="M1403" s="116">
        <v>279.45406865861401</v>
      </c>
      <c r="N1403" s="116">
        <v>286.62825810553102</v>
      </c>
      <c r="O1403" s="116">
        <v>277.75746980292399</v>
      </c>
      <c r="P1403" s="116">
        <v>280.18118245391003</v>
      </c>
      <c r="Q1403" s="116">
        <v>288.25</v>
      </c>
      <c r="R1403">
        <v>7256286</v>
      </c>
    </row>
    <row r="1404" spans="1:18" x14ac:dyDescent="0.25">
      <c r="A1404" s="170">
        <v>44074</v>
      </c>
      <c r="B1404" s="116">
        <v>288.469826760491</v>
      </c>
      <c r="C1404" s="116">
        <v>270.14658789047502</v>
      </c>
      <c r="D1404" s="116">
        <v>262.05140034737298</v>
      </c>
      <c r="E1404" s="116">
        <v>279.40515567929299</v>
      </c>
      <c r="F1404" s="116">
        <v>278.64999999999998</v>
      </c>
      <c r="G1404">
        <v>1493839</v>
      </c>
      <c r="H1404" s="116"/>
      <c r="I1404" s="116"/>
      <c r="L1404" s="170">
        <v>44074</v>
      </c>
      <c r="M1404" s="116">
        <v>271.01954863318502</v>
      </c>
      <c r="N1404" s="116">
        <v>288.518753973299</v>
      </c>
      <c r="O1404" s="116">
        <v>262.00333757151901</v>
      </c>
      <c r="P1404" s="116">
        <v>281.15066751430402</v>
      </c>
      <c r="Q1404" s="116">
        <v>279.55</v>
      </c>
      <c r="R1404">
        <v>15172397</v>
      </c>
    </row>
    <row r="1405" spans="1:18" x14ac:dyDescent="0.25">
      <c r="A1405" s="170">
        <v>44075</v>
      </c>
      <c r="B1405" s="116">
        <v>277.17534354167202</v>
      </c>
      <c r="C1405" s="116">
        <v>273.34588356619201</v>
      </c>
      <c r="D1405" s="116">
        <v>263.602574008327</v>
      </c>
      <c r="E1405" s="116">
        <v>274.363841281193</v>
      </c>
      <c r="F1405" s="116">
        <v>281.95</v>
      </c>
      <c r="G1405">
        <v>364983</v>
      </c>
      <c r="H1405" s="116"/>
      <c r="I1405" s="116"/>
      <c r="L1405" s="170">
        <v>44075</v>
      </c>
      <c r="M1405" s="116">
        <v>272.52225047679599</v>
      </c>
      <c r="N1405" s="116">
        <v>278.29068658614102</v>
      </c>
      <c r="O1405" s="116">
        <v>263.263668150032</v>
      </c>
      <c r="P1405" s="116">
        <v>271.40734265734301</v>
      </c>
      <c r="Q1405" s="116">
        <v>281.10000000000002</v>
      </c>
      <c r="R1405">
        <v>5169526</v>
      </c>
    </row>
    <row r="1406" spans="1:18" x14ac:dyDescent="0.25">
      <c r="A1406" s="170">
        <v>44076</v>
      </c>
      <c r="B1406" s="116">
        <v>296.41959177287902</v>
      </c>
      <c r="C1406" s="116">
        <v>284.05867666215403</v>
      </c>
      <c r="D1406" s="116">
        <v>272.182503320477</v>
      </c>
      <c r="E1406" s="116">
        <v>273.49130609690701</v>
      </c>
      <c r="F1406" s="116">
        <v>293</v>
      </c>
      <c r="G1406">
        <v>1282160</v>
      </c>
      <c r="H1406" s="116"/>
      <c r="I1406" s="116"/>
      <c r="L1406" s="170">
        <v>44076</v>
      </c>
      <c r="M1406" s="116">
        <v>284.107596948506</v>
      </c>
      <c r="N1406" s="116">
        <v>296.66242848061</v>
      </c>
      <c r="O1406" s="116">
        <v>271.84361093451997</v>
      </c>
      <c r="P1406" s="116">
        <v>274.36427209154499</v>
      </c>
      <c r="Q1406" s="116">
        <v>293.05</v>
      </c>
      <c r="R1406">
        <v>17406700</v>
      </c>
    </row>
    <row r="1407" spans="1:18" x14ac:dyDescent="0.25">
      <c r="A1407" s="170">
        <v>44077</v>
      </c>
      <c r="B1407" s="116">
        <v>289.439310298588</v>
      </c>
      <c r="C1407" s="116">
        <v>282.31360629358102</v>
      </c>
      <c r="D1407" s="116">
        <v>278.92041391024497</v>
      </c>
      <c r="E1407" s="116">
        <v>283.57393489310601</v>
      </c>
      <c r="F1407" s="116">
        <v>291.2</v>
      </c>
      <c r="G1407">
        <v>1047226</v>
      </c>
      <c r="H1407" s="116"/>
      <c r="I1407" s="116"/>
      <c r="L1407" s="170">
        <v>44077</v>
      </c>
      <c r="M1407" s="116">
        <v>282.36252383979701</v>
      </c>
      <c r="N1407" s="116">
        <v>289.585187539733</v>
      </c>
      <c r="O1407" s="116">
        <v>278.872377622378</v>
      </c>
      <c r="P1407" s="116">
        <v>285.75572155117601</v>
      </c>
      <c r="Q1407" s="116">
        <v>291.25</v>
      </c>
      <c r="R1407">
        <v>9061932</v>
      </c>
    </row>
    <row r="1408" spans="1:18" x14ac:dyDescent="0.25">
      <c r="A1408" s="170">
        <v>44078</v>
      </c>
      <c r="B1408" s="116">
        <v>284.54341843120199</v>
      </c>
      <c r="C1408" s="116">
        <v>276.39975671119498</v>
      </c>
      <c r="D1408" s="116">
        <v>271.64928737452402</v>
      </c>
      <c r="E1408" s="116">
        <v>279.211258971674</v>
      </c>
      <c r="F1408" s="116">
        <v>285.10000000000002</v>
      </c>
      <c r="G1408">
        <v>567067</v>
      </c>
      <c r="H1408" s="116"/>
      <c r="I1408" s="116"/>
      <c r="L1408" s="170">
        <v>44078</v>
      </c>
      <c r="M1408" s="116">
        <v>276.44866497139202</v>
      </c>
      <c r="N1408" s="116">
        <v>284.49539097266398</v>
      </c>
      <c r="O1408" s="116">
        <v>271.552765416402</v>
      </c>
      <c r="P1408" s="116">
        <v>275.33375715193898</v>
      </c>
      <c r="Q1408" s="116">
        <v>285.14999999999998</v>
      </c>
      <c r="R1408">
        <v>6720255</v>
      </c>
    </row>
    <row r="1409" spans="1:18" x14ac:dyDescent="0.25">
      <c r="A1409" s="170">
        <v>44081</v>
      </c>
      <c r="B1409" s="116">
        <v>282.70139970882002</v>
      </c>
      <c r="C1409" s="116">
        <v>276.54517924190998</v>
      </c>
      <c r="D1409" s="116">
        <v>273.63672862762098</v>
      </c>
      <c r="E1409" s="116">
        <v>279.98684580215098</v>
      </c>
      <c r="F1409" s="116">
        <v>285.25</v>
      </c>
      <c r="G1409">
        <v>246254</v>
      </c>
      <c r="H1409" s="116"/>
      <c r="I1409" s="116"/>
      <c r="L1409" s="170">
        <v>44081</v>
      </c>
      <c r="M1409" s="116">
        <v>276.54561347743203</v>
      </c>
      <c r="N1409" s="116">
        <v>282.79879211697403</v>
      </c>
      <c r="O1409" s="116">
        <v>273.44326128416998</v>
      </c>
      <c r="P1409" s="116">
        <v>276.44866497139202</v>
      </c>
      <c r="Q1409" s="116">
        <v>285.25</v>
      </c>
      <c r="R1409">
        <v>5812023</v>
      </c>
    </row>
    <row r="1410" spans="1:18" x14ac:dyDescent="0.25">
      <c r="A1410" s="170">
        <v>44082</v>
      </c>
      <c r="B1410" s="116">
        <v>281.05327769405602</v>
      </c>
      <c r="C1410" s="116">
        <v>269.37100105999798</v>
      </c>
      <c r="D1410" s="116">
        <v>265.39611855380502</v>
      </c>
      <c r="E1410" s="116">
        <v>281.05327769405602</v>
      </c>
      <c r="F1410" s="116">
        <v>277.85000000000002</v>
      </c>
      <c r="G1410">
        <v>424422</v>
      </c>
      <c r="H1410" s="116"/>
      <c r="I1410" s="116"/>
      <c r="L1410" s="170">
        <v>44082</v>
      </c>
      <c r="M1410" s="116">
        <v>269.22600127145603</v>
      </c>
      <c r="N1410" s="116">
        <v>280.95677050222503</v>
      </c>
      <c r="O1410" s="116">
        <v>265.20263827081999</v>
      </c>
      <c r="P1410" s="116">
        <v>277.27272727272702</v>
      </c>
      <c r="Q1410" s="116">
        <v>277.7</v>
      </c>
      <c r="R1410">
        <v>5660442</v>
      </c>
    </row>
    <row r="1411" spans="1:18" x14ac:dyDescent="0.25">
      <c r="A1411" s="170">
        <v>44083</v>
      </c>
      <c r="B1411" s="116">
        <v>277.950930372149</v>
      </c>
      <c r="C1411" s="116">
        <v>274.70316051952699</v>
      </c>
      <c r="D1411" s="116">
        <v>265.63848943832897</v>
      </c>
      <c r="E1411" s="116">
        <v>265.63848943832897</v>
      </c>
      <c r="F1411" s="116">
        <v>283.35000000000002</v>
      </c>
      <c r="G1411">
        <v>331447</v>
      </c>
      <c r="H1411" s="116"/>
      <c r="I1411" s="116"/>
      <c r="L1411" s="170">
        <v>44083</v>
      </c>
      <c r="M1411" s="116">
        <v>274.41274634456499</v>
      </c>
      <c r="N1411" s="116">
        <v>278.14526382708198</v>
      </c>
      <c r="O1411" s="116">
        <v>266.02670057215499</v>
      </c>
      <c r="P1411" s="116">
        <v>268.45041322314</v>
      </c>
      <c r="Q1411" s="116">
        <v>283.05</v>
      </c>
      <c r="R1411">
        <v>6661093</v>
      </c>
    </row>
    <row r="1412" spans="1:18" x14ac:dyDescent="0.25">
      <c r="A1412" s="170">
        <v>44084</v>
      </c>
      <c r="B1412" s="116">
        <v>298.45550720288099</v>
      </c>
      <c r="C1412" s="116">
        <v>289.051516883349</v>
      </c>
      <c r="D1412" s="116">
        <v>277.51466278000601</v>
      </c>
      <c r="E1412" s="116">
        <v>277.51466278000601</v>
      </c>
      <c r="F1412" s="116">
        <v>298.14999999999998</v>
      </c>
      <c r="G1412">
        <v>1529082</v>
      </c>
      <c r="H1412" s="116"/>
      <c r="I1412" s="116"/>
      <c r="L1412" s="170">
        <v>44084</v>
      </c>
      <c r="M1412" s="116">
        <v>289.19739351557502</v>
      </c>
      <c r="N1412" s="116">
        <v>298.55292434837901</v>
      </c>
      <c r="O1412" s="116">
        <v>277.17577876668798</v>
      </c>
      <c r="P1412" s="116">
        <v>278.872377622378</v>
      </c>
      <c r="Q1412" s="116">
        <v>298.3</v>
      </c>
      <c r="R1412">
        <v>25430550</v>
      </c>
    </row>
    <row r="1413" spans="1:18" x14ac:dyDescent="0.25">
      <c r="A1413" s="170">
        <v>44085</v>
      </c>
      <c r="B1413" s="116">
        <v>294.33520216597299</v>
      </c>
      <c r="C1413" s="116">
        <v>286.82170474572803</v>
      </c>
      <c r="D1413" s="116">
        <v>283.38003818548702</v>
      </c>
      <c r="E1413" s="116">
        <v>289.19693941406302</v>
      </c>
      <c r="F1413" s="116">
        <v>295.85000000000002</v>
      </c>
      <c r="G1413">
        <v>538669</v>
      </c>
      <c r="H1413" s="116"/>
      <c r="I1413" s="116"/>
      <c r="L1413" s="170">
        <v>44085</v>
      </c>
      <c r="M1413" s="116">
        <v>286.967577876669</v>
      </c>
      <c r="N1413" s="116">
        <v>294.38413858868398</v>
      </c>
      <c r="O1413" s="116">
        <v>283.18658614113201</v>
      </c>
      <c r="P1413" s="116">
        <v>289.87603305785098</v>
      </c>
      <c r="Q1413" s="116">
        <v>296</v>
      </c>
      <c r="R1413">
        <v>9743753</v>
      </c>
    </row>
    <row r="1414" spans="1:18" x14ac:dyDescent="0.25">
      <c r="A1414" s="170">
        <v>44088</v>
      </c>
      <c r="B1414" s="116">
        <v>294.52909887359198</v>
      </c>
      <c r="C1414" s="116">
        <v>283.767831600725</v>
      </c>
      <c r="D1414" s="116">
        <v>281.974287055248</v>
      </c>
      <c r="E1414" s="116">
        <v>291.81454496692299</v>
      </c>
      <c r="F1414" s="116">
        <v>292.7</v>
      </c>
      <c r="G1414">
        <v>434482</v>
      </c>
      <c r="H1414" s="116"/>
      <c r="I1414" s="116"/>
      <c r="L1414" s="170">
        <v>44088</v>
      </c>
      <c r="M1414" s="116">
        <v>284.20454545454498</v>
      </c>
      <c r="N1414" s="116">
        <v>294.72345835982202</v>
      </c>
      <c r="O1414" s="116">
        <v>281.29609027336301</v>
      </c>
      <c r="P1414" s="116">
        <v>292.59059122695498</v>
      </c>
      <c r="Q1414" s="116">
        <v>293.14999999999998</v>
      </c>
      <c r="R1414">
        <v>6120187</v>
      </c>
    </row>
    <row r="1415" spans="1:18" x14ac:dyDescent="0.25">
      <c r="A1415" s="170">
        <v>44089</v>
      </c>
      <c r="B1415" s="116">
        <v>289.681681183112</v>
      </c>
      <c r="C1415" s="116">
        <v>276.83602430333798</v>
      </c>
      <c r="D1415" s="116">
        <v>264.18426413118402</v>
      </c>
      <c r="E1415" s="116">
        <v>286.96712727644302</v>
      </c>
      <c r="F1415" s="116">
        <v>285.55</v>
      </c>
      <c r="G1415">
        <v>216247</v>
      </c>
      <c r="H1415" s="116"/>
      <c r="I1415" s="116"/>
      <c r="L1415" s="170">
        <v>44089</v>
      </c>
      <c r="M1415" s="116">
        <v>279.74491417673198</v>
      </c>
      <c r="N1415" s="116">
        <v>289.585187539733</v>
      </c>
      <c r="O1415" s="116">
        <v>261.76096630642098</v>
      </c>
      <c r="P1415" s="116">
        <v>285.901144310235</v>
      </c>
      <c r="Q1415" s="116">
        <v>288.55</v>
      </c>
      <c r="R1415">
        <v>2552782</v>
      </c>
    </row>
    <row r="1416" spans="1:18" x14ac:dyDescent="0.25">
      <c r="A1416" s="170">
        <v>44090</v>
      </c>
      <c r="B1416" s="116">
        <v>293.02639938954297</v>
      </c>
      <c r="C1416" s="116">
        <v>288.13050752215798</v>
      </c>
      <c r="D1416" s="116">
        <v>281.92581287834298</v>
      </c>
      <c r="E1416" s="116">
        <v>284.44647007739297</v>
      </c>
      <c r="F1416" s="116">
        <v>297.2</v>
      </c>
      <c r="G1416">
        <v>284074</v>
      </c>
      <c r="H1416" s="116"/>
      <c r="I1416" s="116"/>
      <c r="L1416" s="170">
        <v>44090</v>
      </c>
      <c r="M1416" s="116">
        <v>288.03401144310197</v>
      </c>
      <c r="N1416" s="116">
        <v>293.60855054036898</v>
      </c>
      <c r="O1416" s="116">
        <v>281.247616020343</v>
      </c>
      <c r="P1416" s="116">
        <v>283.76827717736802</v>
      </c>
      <c r="Q1416" s="116">
        <v>297.10000000000002</v>
      </c>
      <c r="R1416">
        <v>6159258</v>
      </c>
    </row>
    <row r="1417" spans="1:18" x14ac:dyDescent="0.25">
      <c r="A1417" s="170">
        <v>44091</v>
      </c>
      <c r="B1417" s="116">
        <v>291.232854844065</v>
      </c>
      <c r="C1417" s="116">
        <v>284.30104754667798</v>
      </c>
      <c r="D1417" s="116">
        <v>283.23461565477299</v>
      </c>
      <c r="E1417" s="116">
        <v>286.77323056882301</v>
      </c>
      <c r="F1417" s="116">
        <v>293.25</v>
      </c>
      <c r="G1417">
        <v>284256</v>
      </c>
      <c r="H1417" s="116"/>
      <c r="I1417" s="116"/>
      <c r="L1417" s="170">
        <v>44091</v>
      </c>
      <c r="M1417" s="116">
        <v>284.73776223776201</v>
      </c>
      <c r="N1417" s="116">
        <v>291.62110616656099</v>
      </c>
      <c r="O1417" s="116">
        <v>283.23506039415099</v>
      </c>
      <c r="P1417" s="116">
        <v>285.998092816275</v>
      </c>
      <c r="Q1417" s="116">
        <v>293.7</v>
      </c>
      <c r="R1417">
        <v>2466000</v>
      </c>
    </row>
    <row r="1418" spans="1:18" x14ac:dyDescent="0.25">
      <c r="A1418" s="170">
        <v>44092</v>
      </c>
      <c r="B1418" s="116">
        <v>295.692479119307</v>
      </c>
      <c r="C1418" s="116">
        <v>282.70139970882002</v>
      </c>
      <c r="D1418" s="116">
        <v>278.823465556435</v>
      </c>
      <c r="E1418" s="116">
        <v>285.99764373834603</v>
      </c>
      <c r="F1418" s="116">
        <v>291.60000000000002</v>
      </c>
      <c r="G1418">
        <v>153363</v>
      </c>
      <c r="H1418" s="116"/>
      <c r="I1418" s="116"/>
      <c r="L1418" s="170">
        <v>44092</v>
      </c>
      <c r="M1418" s="116">
        <v>282.65336935791498</v>
      </c>
      <c r="N1418" s="116">
        <v>290.55467260012699</v>
      </c>
      <c r="O1418" s="116">
        <v>278.53305785124002</v>
      </c>
      <c r="P1418" s="116">
        <v>288.518753973299</v>
      </c>
      <c r="Q1418" s="116">
        <v>291.55</v>
      </c>
      <c r="R1418">
        <v>2744797</v>
      </c>
    </row>
    <row r="1419" spans="1:18" x14ac:dyDescent="0.25">
      <c r="A1419" s="170">
        <v>44095</v>
      </c>
      <c r="B1419" s="116">
        <v>286.87017892263299</v>
      </c>
      <c r="C1419" s="116">
        <v>268.98320764476</v>
      </c>
      <c r="D1419" s="116">
        <v>257.68872442594102</v>
      </c>
      <c r="E1419" s="116">
        <v>285.99764373834603</v>
      </c>
      <c r="F1419" s="116">
        <v>277.45</v>
      </c>
      <c r="G1419">
        <v>482414</v>
      </c>
      <c r="H1419" s="116"/>
      <c r="I1419" s="116"/>
      <c r="L1419" s="170">
        <v>44095</v>
      </c>
      <c r="M1419" s="116">
        <v>268.644310235219</v>
      </c>
      <c r="N1419" s="116">
        <v>287.20994914176703</v>
      </c>
      <c r="O1419" s="116">
        <v>256.91354100445</v>
      </c>
      <c r="P1419" s="116">
        <v>284.059122695486</v>
      </c>
      <c r="Q1419" s="116">
        <v>277.10000000000002</v>
      </c>
      <c r="R1419">
        <v>6460064</v>
      </c>
    </row>
    <row r="1420" spans="1:18" x14ac:dyDescent="0.25">
      <c r="A1420" s="170">
        <v>44096</v>
      </c>
      <c r="B1420" s="116">
        <v>274.16994457357401</v>
      </c>
      <c r="C1420" s="116">
        <v>271.98860661285801</v>
      </c>
      <c r="D1420" s="116">
        <v>249.59353688283801</v>
      </c>
      <c r="E1420" s="116">
        <v>267.91677575285399</v>
      </c>
      <c r="F1420" s="116">
        <v>280.55</v>
      </c>
      <c r="G1420">
        <v>839100</v>
      </c>
      <c r="H1420" s="116"/>
      <c r="I1420" s="116"/>
      <c r="L1420" s="170">
        <v>44096</v>
      </c>
      <c r="M1420" s="116">
        <v>271.84361093451997</v>
      </c>
      <c r="N1420" s="116">
        <v>274.36427209154499</v>
      </c>
      <c r="O1420" s="116">
        <v>249.642403051494</v>
      </c>
      <c r="P1420" s="116">
        <v>269.759218054673</v>
      </c>
      <c r="Q1420" s="116">
        <v>280.39999999999998</v>
      </c>
      <c r="R1420">
        <v>12536116</v>
      </c>
    </row>
    <row r="1421" spans="1:18" x14ac:dyDescent="0.25">
      <c r="A1421" s="170">
        <v>44097</v>
      </c>
      <c r="B1421" s="116">
        <v>287.25797233787102</v>
      </c>
      <c r="C1421" s="116">
        <v>274.65468634262203</v>
      </c>
      <c r="D1421" s="116">
        <v>270.243536244285</v>
      </c>
      <c r="E1421" s="116">
        <v>274.363841281193</v>
      </c>
      <c r="F1421" s="116">
        <v>283.3</v>
      </c>
      <c r="G1421">
        <v>399571</v>
      </c>
      <c r="H1421" s="116"/>
      <c r="I1421" s="116"/>
      <c r="L1421" s="170">
        <v>44097</v>
      </c>
      <c r="M1421" s="116">
        <v>274.89748887476202</v>
      </c>
      <c r="N1421" s="116">
        <v>287.20994914176703</v>
      </c>
      <c r="O1421" s="116">
        <v>269.95311506675102</v>
      </c>
      <c r="P1421" s="116">
        <v>275.28528289891898</v>
      </c>
      <c r="Q1421" s="116">
        <v>283.55</v>
      </c>
      <c r="R1421">
        <v>8864858</v>
      </c>
    </row>
    <row r="1422" spans="1:18" x14ac:dyDescent="0.25">
      <c r="A1422" s="170">
        <v>44098</v>
      </c>
      <c r="B1422" s="116">
        <v>272.71571926643003</v>
      </c>
      <c r="C1422" s="116">
        <v>262.05140034737298</v>
      </c>
      <c r="D1422" s="116">
        <v>261.27581351689599</v>
      </c>
      <c r="E1422" s="116">
        <v>270.97064889785702</v>
      </c>
      <c r="F1422" s="116">
        <v>270.3</v>
      </c>
      <c r="G1422">
        <v>136891</v>
      </c>
      <c r="H1422" s="116"/>
      <c r="I1422" s="116"/>
      <c r="L1422" s="170">
        <v>44098</v>
      </c>
      <c r="M1422" s="116">
        <v>262.197234583598</v>
      </c>
      <c r="N1422" s="116">
        <v>272.66767323585498</v>
      </c>
      <c r="O1422" s="116">
        <v>261.27622377622401</v>
      </c>
      <c r="P1422" s="116">
        <v>269.468372536554</v>
      </c>
      <c r="Q1422" s="116">
        <v>270.45</v>
      </c>
      <c r="R1422">
        <v>3690059</v>
      </c>
    </row>
    <row r="1423" spans="1:18" x14ac:dyDescent="0.25">
      <c r="A1423" s="170">
        <v>44099</v>
      </c>
      <c r="B1423" s="116">
        <v>274.84858305024102</v>
      </c>
      <c r="C1423" s="116">
        <v>271.79470990523902</v>
      </c>
      <c r="D1423" s="116">
        <v>266.607972976425</v>
      </c>
      <c r="E1423" s="116">
        <v>266.607972976425</v>
      </c>
      <c r="F1423" s="116">
        <v>280.35000000000002</v>
      </c>
      <c r="G1423">
        <v>388372</v>
      </c>
      <c r="H1423" s="116"/>
      <c r="I1423" s="116"/>
      <c r="L1423" s="170">
        <v>44099</v>
      </c>
      <c r="M1423" s="116">
        <v>271.74666242848099</v>
      </c>
      <c r="N1423" s="116">
        <v>274.945963127781</v>
      </c>
      <c r="O1423" s="116">
        <v>266.60839160839203</v>
      </c>
      <c r="P1423" s="116">
        <v>267.48092816274601</v>
      </c>
      <c r="Q1423" s="116">
        <v>280.3</v>
      </c>
      <c r="R1423">
        <v>7663618</v>
      </c>
    </row>
    <row r="1424" spans="1:18" x14ac:dyDescent="0.25">
      <c r="A1424" s="170">
        <v>44102</v>
      </c>
      <c r="B1424" s="116">
        <v>292.78402850501902</v>
      </c>
      <c r="C1424" s="116">
        <v>286.82170474572803</v>
      </c>
      <c r="D1424" s="116">
        <v>273.83062533523997</v>
      </c>
      <c r="E1424" s="116">
        <v>276.20586000357599</v>
      </c>
      <c r="F1424" s="116">
        <v>295.85000000000002</v>
      </c>
      <c r="G1424">
        <v>307723</v>
      </c>
      <c r="H1424" s="116"/>
      <c r="I1424" s="116"/>
      <c r="L1424" s="170">
        <v>44102</v>
      </c>
      <c r="M1424" s="116">
        <v>286.67673235855102</v>
      </c>
      <c r="N1424" s="116">
        <v>292.83296249205301</v>
      </c>
      <c r="O1424" s="116">
        <v>273.49173553718998</v>
      </c>
      <c r="P1424" s="116">
        <v>274.46122059758397</v>
      </c>
      <c r="Q1424" s="116">
        <v>295.7</v>
      </c>
      <c r="R1424">
        <v>5876021</v>
      </c>
    </row>
    <row r="1425" spans="1:18" x14ac:dyDescent="0.25">
      <c r="A1425" s="170">
        <v>44103</v>
      </c>
      <c r="B1425" s="116">
        <v>297.631446195499</v>
      </c>
      <c r="C1425" s="116">
        <v>289.051516883349</v>
      </c>
      <c r="D1425" s="116">
        <v>283.33156400858201</v>
      </c>
      <c r="E1425" s="116">
        <v>287.93661081453899</v>
      </c>
      <c r="F1425" s="116">
        <v>298.14999999999998</v>
      </c>
      <c r="G1425">
        <v>461521</v>
      </c>
      <c r="H1425" s="116"/>
      <c r="I1425" s="116"/>
      <c r="L1425" s="170">
        <v>44103</v>
      </c>
      <c r="M1425" s="116">
        <v>288.809599491418</v>
      </c>
      <c r="N1425" s="116">
        <v>297.631913541004</v>
      </c>
      <c r="O1425" s="116">
        <v>283.23506039415099</v>
      </c>
      <c r="P1425" s="116">
        <v>290.74856961220598</v>
      </c>
      <c r="Q1425" s="116">
        <v>297.89999999999998</v>
      </c>
      <c r="R1425">
        <v>10246726</v>
      </c>
    </row>
    <row r="1426" spans="1:18" x14ac:dyDescent="0.25">
      <c r="A1426" s="170">
        <v>44104</v>
      </c>
      <c r="B1426" s="116">
        <v>295.06231481954501</v>
      </c>
      <c r="C1426" s="116">
        <v>287.45186904549098</v>
      </c>
      <c r="D1426" s="116">
        <v>286.04611791525099</v>
      </c>
      <c r="E1426" s="116">
        <v>289.39083612168298</v>
      </c>
      <c r="F1426" s="116">
        <v>296.5</v>
      </c>
      <c r="G1426">
        <v>376936</v>
      </c>
      <c r="H1426" s="116"/>
      <c r="I1426" s="116"/>
      <c r="L1426" s="170">
        <v>44104</v>
      </c>
      <c r="M1426" s="116">
        <v>288.03401144310197</v>
      </c>
      <c r="N1426" s="116">
        <v>295.40209790209798</v>
      </c>
      <c r="O1426" s="116">
        <v>286.09504132231399</v>
      </c>
      <c r="P1426" s="116">
        <v>290.84551811824502</v>
      </c>
      <c r="Q1426" s="116">
        <v>297.10000000000002</v>
      </c>
      <c r="R1426">
        <v>5618024</v>
      </c>
    </row>
    <row r="1427" spans="1:18" x14ac:dyDescent="0.25">
      <c r="A1427" s="170">
        <v>44105</v>
      </c>
      <c r="B1427" s="116">
        <v>302.33344135526602</v>
      </c>
      <c r="C1427" s="116">
        <v>298.89177479502399</v>
      </c>
      <c r="D1427" s="116">
        <v>286.96712727644302</v>
      </c>
      <c r="E1427" s="116">
        <v>290.74811307501699</v>
      </c>
      <c r="F1427" s="116">
        <v>308.3</v>
      </c>
      <c r="G1427">
        <v>311640</v>
      </c>
      <c r="H1427" s="116"/>
      <c r="I1427" s="116"/>
      <c r="L1427" s="170">
        <v>44105</v>
      </c>
      <c r="M1427" s="116">
        <v>298.746821360458</v>
      </c>
      <c r="N1427" s="116">
        <v>302.43086458995498</v>
      </c>
      <c r="O1427" s="116">
        <v>286.967577876669</v>
      </c>
      <c r="P1427" s="116">
        <v>290.651621106167</v>
      </c>
      <c r="Q1427" s="116">
        <v>308.14999999999998</v>
      </c>
      <c r="R1427">
        <v>6914505</v>
      </c>
    </row>
    <row r="1428" spans="1:18" x14ac:dyDescent="0.25">
      <c r="A1428" s="170">
        <v>44109</v>
      </c>
      <c r="B1428" s="116">
        <v>324.38919184695197</v>
      </c>
      <c r="C1428" s="116">
        <v>316.63332354218301</v>
      </c>
      <c r="D1428" s="116">
        <v>298.16466214145203</v>
      </c>
      <c r="E1428" s="116">
        <v>302.86665730121803</v>
      </c>
      <c r="F1428" s="116">
        <v>326.60000000000002</v>
      </c>
      <c r="G1428">
        <v>1020065</v>
      </c>
      <c r="H1428" s="116"/>
      <c r="I1428" s="116"/>
      <c r="L1428" s="170">
        <v>44109</v>
      </c>
      <c r="M1428" s="116">
        <v>316.63382072473001</v>
      </c>
      <c r="N1428" s="116">
        <v>324.29275270184399</v>
      </c>
      <c r="O1428" s="116">
        <v>297.97123331214198</v>
      </c>
      <c r="P1428" s="116">
        <v>301.99459631277801</v>
      </c>
      <c r="Q1428" s="116">
        <v>326.60000000000002</v>
      </c>
      <c r="R1428">
        <v>20009598</v>
      </c>
    </row>
    <row r="1429" spans="1:18" x14ac:dyDescent="0.25">
      <c r="A1429" s="170">
        <v>44110</v>
      </c>
      <c r="B1429" s="116">
        <v>320.89905110980601</v>
      </c>
      <c r="C1429" s="116">
        <v>317.11806531123102</v>
      </c>
      <c r="D1429" s="116">
        <v>310.76794813670102</v>
      </c>
      <c r="E1429" s="116">
        <v>318.47534226456497</v>
      </c>
      <c r="F1429" s="116">
        <v>327.10000000000002</v>
      </c>
      <c r="G1429">
        <v>393535</v>
      </c>
      <c r="H1429" s="116"/>
      <c r="I1429" s="116"/>
      <c r="L1429" s="170">
        <v>44110</v>
      </c>
      <c r="M1429" s="116">
        <v>317.16703750794699</v>
      </c>
      <c r="N1429" s="116">
        <v>321.04497774952301</v>
      </c>
      <c r="O1429" s="116">
        <v>310.526064844247</v>
      </c>
      <c r="P1429" s="116">
        <v>319.348378893833</v>
      </c>
      <c r="Q1429" s="116">
        <v>327.14999999999998</v>
      </c>
      <c r="R1429">
        <v>7705557</v>
      </c>
    </row>
    <row r="1430" spans="1:18" x14ac:dyDescent="0.25">
      <c r="A1430" s="170">
        <v>44111</v>
      </c>
      <c r="B1430" s="116">
        <v>325.31020120814298</v>
      </c>
      <c r="C1430" s="116">
        <v>319.92956757170998</v>
      </c>
      <c r="D1430" s="116">
        <v>313.38555368956099</v>
      </c>
      <c r="E1430" s="116">
        <v>315.08214988122899</v>
      </c>
      <c r="F1430" s="116">
        <v>330</v>
      </c>
      <c r="G1430">
        <v>304569</v>
      </c>
      <c r="H1430" s="116"/>
      <c r="I1430" s="116"/>
      <c r="L1430" s="170">
        <v>44111</v>
      </c>
      <c r="M1430" s="116">
        <v>320.02701843610902</v>
      </c>
      <c r="N1430" s="116">
        <v>325.35918626827703</v>
      </c>
      <c r="O1430" s="116">
        <v>313.38604577240898</v>
      </c>
      <c r="P1430" s="116">
        <v>315.22806738715798</v>
      </c>
      <c r="Q1430" s="116">
        <v>330.1</v>
      </c>
      <c r="R1430">
        <v>8234015</v>
      </c>
    </row>
    <row r="1431" spans="1:18" x14ac:dyDescent="0.25">
      <c r="A1431" s="170">
        <v>44112</v>
      </c>
      <c r="B1431" s="116">
        <v>319.92956757170998</v>
      </c>
      <c r="C1431" s="116">
        <v>306.45374639217403</v>
      </c>
      <c r="D1431" s="116">
        <v>300.87921604812101</v>
      </c>
      <c r="E1431" s="116">
        <v>319.92956757170998</v>
      </c>
      <c r="F1431" s="116">
        <v>316.10000000000002</v>
      </c>
      <c r="G1431">
        <v>238376</v>
      </c>
      <c r="H1431" s="116"/>
      <c r="I1431" s="116"/>
      <c r="L1431" s="170">
        <v>44112</v>
      </c>
      <c r="M1431" s="116">
        <v>306.59965034965001</v>
      </c>
      <c r="N1431" s="116">
        <v>319.73617291799098</v>
      </c>
      <c r="O1431" s="116">
        <v>301.02511125238402</v>
      </c>
      <c r="P1431" s="116">
        <v>318.96058486967598</v>
      </c>
      <c r="Q1431" s="116">
        <v>316.25</v>
      </c>
      <c r="R1431">
        <v>4125999</v>
      </c>
    </row>
    <row r="1432" spans="1:18" x14ac:dyDescent="0.25">
      <c r="A1432" s="170">
        <v>44113</v>
      </c>
      <c r="B1432" s="116">
        <v>312.31912179765499</v>
      </c>
      <c r="C1432" s="116">
        <v>303.10902818574198</v>
      </c>
      <c r="D1432" s="116">
        <v>300.782267694312</v>
      </c>
      <c r="E1432" s="116">
        <v>307.08391069193601</v>
      </c>
      <c r="F1432" s="116">
        <v>312.64999999999998</v>
      </c>
      <c r="G1432">
        <v>179456</v>
      </c>
      <c r="H1432" s="116"/>
      <c r="I1432" s="116"/>
      <c r="L1432" s="170">
        <v>44113</v>
      </c>
      <c r="M1432" s="116">
        <v>303.44882390336898</v>
      </c>
      <c r="N1432" s="116">
        <v>312.22266369993599</v>
      </c>
      <c r="O1432" s="116">
        <v>301.02511125238402</v>
      </c>
      <c r="P1432" s="116">
        <v>309.07183725365502</v>
      </c>
      <c r="Q1432" s="116">
        <v>313</v>
      </c>
      <c r="R1432">
        <v>2468904</v>
      </c>
    </row>
    <row r="1433" spans="1:18" x14ac:dyDescent="0.25">
      <c r="A1433" s="170">
        <v>44116</v>
      </c>
      <c r="B1433" s="116">
        <v>312.65844103598897</v>
      </c>
      <c r="C1433" s="116">
        <v>305.726633738602</v>
      </c>
      <c r="D1433" s="116">
        <v>303.69071830860003</v>
      </c>
      <c r="E1433" s="116">
        <v>305.38731450026802</v>
      </c>
      <c r="F1433" s="116">
        <v>315.35000000000002</v>
      </c>
      <c r="G1433">
        <v>152757</v>
      </c>
      <c r="H1433" s="116"/>
      <c r="I1433" s="116"/>
      <c r="L1433" s="170">
        <v>44116</v>
      </c>
      <c r="M1433" s="116">
        <v>305.72711379529602</v>
      </c>
      <c r="N1433" s="116">
        <v>312.85282898919297</v>
      </c>
      <c r="O1433" s="116">
        <v>303.44882390336898</v>
      </c>
      <c r="P1433" s="116">
        <v>305.38779402415798</v>
      </c>
      <c r="Q1433" s="116">
        <v>315.35000000000002</v>
      </c>
      <c r="R1433">
        <v>2556329</v>
      </c>
    </row>
    <row r="1434" spans="1:18" x14ac:dyDescent="0.25">
      <c r="A1434" s="170">
        <v>44117</v>
      </c>
      <c r="B1434" s="116">
        <v>307.81102334550798</v>
      </c>
      <c r="C1434" s="116">
        <v>303.69071830860003</v>
      </c>
      <c r="D1434" s="116">
        <v>300.53989680978799</v>
      </c>
      <c r="E1434" s="116">
        <v>305.047995261935</v>
      </c>
      <c r="F1434" s="116">
        <v>313.25</v>
      </c>
      <c r="G1434">
        <v>113461</v>
      </c>
      <c r="H1434" s="116"/>
      <c r="I1434" s="116"/>
      <c r="L1434" s="170">
        <v>44117</v>
      </c>
      <c r="M1434" s="116">
        <v>303.64272091544802</v>
      </c>
      <c r="N1434" s="116">
        <v>307.13286713286698</v>
      </c>
      <c r="O1434" s="116">
        <v>300.297997457088</v>
      </c>
      <c r="P1434" s="116">
        <v>305.87253655435501</v>
      </c>
      <c r="Q1434" s="116">
        <v>313.2</v>
      </c>
      <c r="R1434">
        <v>1454129</v>
      </c>
    </row>
    <row r="1435" spans="1:18" x14ac:dyDescent="0.25">
      <c r="A1435" s="170">
        <v>44118</v>
      </c>
      <c r="B1435" s="116">
        <v>305.77510791550702</v>
      </c>
      <c r="C1435" s="116">
        <v>303.73919248550499</v>
      </c>
      <c r="D1435" s="116">
        <v>300.636845163597</v>
      </c>
      <c r="E1435" s="116">
        <v>301.024638578836</v>
      </c>
      <c r="F1435" s="116">
        <v>313.3</v>
      </c>
      <c r="G1435">
        <v>105189</v>
      </c>
      <c r="H1435" s="116"/>
      <c r="I1435" s="116"/>
      <c r="L1435" s="170">
        <v>44118</v>
      </c>
      <c r="M1435" s="116">
        <v>303.83661792752702</v>
      </c>
      <c r="N1435" s="116">
        <v>306.066433566434</v>
      </c>
      <c r="O1435" s="116">
        <v>300.588842975207</v>
      </c>
      <c r="P1435" s="116">
        <v>303.40034965034999</v>
      </c>
      <c r="Q1435" s="116">
        <v>313.39999999999998</v>
      </c>
      <c r="R1435">
        <v>1517710</v>
      </c>
    </row>
    <row r="1436" spans="1:18" x14ac:dyDescent="0.25">
      <c r="A1436" s="170">
        <v>44119</v>
      </c>
      <c r="B1436" s="116">
        <v>315.566891650277</v>
      </c>
      <c r="C1436" s="116">
        <v>297.92229125692802</v>
      </c>
      <c r="D1436" s="116">
        <v>295.98332418073602</v>
      </c>
      <c r="E1436" s="116">
        <v>309.02287776812898</v>
      </c>
      <c r="F1436" s="116">
        <v>307.3</v>
      </c>
      <c r="G1436">
        <v>221728</v>
      </c>
      <c r="H1436" s="116"/>
      <c r="I1436" s="116"/>
      <c r="L1436" s="170">
        <v>44119</v>
      </c>
      <c r="M1436" s="116">
        <v>297.728862047044</v>
      </c>
      <c r="N1436" s="116">
        <v>315.90670692943399</v>
      </c>
      <c r="O1436" s="116">
        <v>296.03226319135399</v>
      </c>
      <c r="P1436" s="116">
        <v>305.38779402415798</v>
      </c>
      <c r="Q1436" s="116">
        <v>307.10000000000002</v>
      </c>
      <c r="R1436">
        <v>4960733</v>
      </c>
    </row>
    <row r="1437" spans="1:18" x14ac:dyDescent="0.25">
      <c r="A1437" s="170">
        <v>44120</v>
      </c>
      <c r="B1437" s="116">
        <v>304.07851172383801</v>
      </c>
      <c r="C1437" s="116">
        <v>297.582972018595</v>
      </c>
      <c r="D1437" s="116">
        <v>296.03179835764098</v>
      </c>
      <c r="E1437" s="116">
        <v>298.60092973359599</v>
      </c>
      <c r="F1437" s="116">
        <v>306.95</v>
      </c>
      <c r="G1437">
        <v>117374</v>
      </c>
      <c r="H1437" s="116"/>
      <c r="I1437" s="116"/>
      <c r="L1437" s="170">
        <v>44120</v>
      </c>
      <c r="M1437" s="116">
        <v>297.631913541004</v>
      </c>
      <c r="N1437" s="116">
        <v>304.36983471074399</v>
      </c>
      <c r="O1437" s="116">
        <v>296.03226319135399</v>
      </c>
      <c r="P1437" s="116">
        <v>299.81325492689098</v>
      </c>
      <c r="Q1437" s="116">
        <v>307</v>
      </c>
      <c r="R1437">
        <v>1871538</v>
      </c>
    </row>
    <row r="1438" spans="1:18" x14ac:dyDescent="0.25">
      <c r="A1438" s="170">
        <v>44123</v>
      </c>
      <c r="B1438" s="116">
        <v>309.26524865265299</v>
      </c>
      <c r="C1438" s="116">
        <v>307.22933322265101</v>
      </c>
      <c r="D1438" s="116">
        <v>300.49142263288297</v>
      </c>
      <c r="E1438" s="116">
        <v>300.53989680978799</v>
      </c>
      <c r="F1438" s="116">
        <v>316.89999999999998</v>
      </c>
      <c r="G1438">
        <v>113860</v>
      </c>
      <c r="H1438" s="116"/>
      <c r="I1438" s="116"/>
      <c r="L1438" s="170">
        <v>44123</v>
      </c>
      <c r="M1438" s="116">
        <v>307.27828989192602</v>
      </c>
      <c r="N1438" s="116">
        <v>309.50810553083301</v>
      </c>
      <c r="O1438" s="116">
        <v>299.91020343293098</v>
      </c>
      <c r="P1438" s="116">
        <v>300.44342021614699</v>
      </c>
      <c r="Q1438" s="116">
        <v>316.95</v>
      </c>
      <c r="R1438">
        <v>3330111</v>
      </c>
    </row>
    <row r="1439" spans="1:18" x14ac:dyDescent="0.25">
      <c r="A1439" s="170">
        <v>44124</v>
      </c>
      <c r="B1439" s="116">
        <v>317.505858726469</v>
      </c>
      <c r="C1439" s="116">
        <v>311.83438002860697</v>
      </c>
      <c r="D1439" s="116">
        <v>304.80562437741099</v>
      </c>
      <c r="E1439" s="116">
        <v>305.38731450026802</v>
      </c>
      <c r="F1439" s="116">
        <v>321.64999999999998</v>
      </c>
      <c r="G1439">
        <v>151680</v>
      </c>
      <c r="H1439" s="116"/>
      <c r="I1439" s="116"/>
      <c r="L1439" s="170">
        <v>44124</v>
      </c>
      <c r="M1439" s="116">
        <v>312.077240940877</v>
      </c>
      <c r="N1439" s="116">
        <v>317.84567705022198</v>
      </c>
      <c r="O1439" s="116">
        <v>303.933566433566</v>
      </c>
      <c r="P1439" s="116">
        <v>305.67863954227602</v>
      </c>
      <c r="Q1439" s="116">
        <v>321.89999999999998</v>
      </c>
      <c r="R1439">
        <v>7199010</v>
      </c>
    </row>
    <row r="1440" spans="1:18" x14ac:dyDescent="0.25">
      <c r="A1440" s="170">
        <v>44125</v>
      </c>
      <c r="B1440" s="116">
        <v>314.451985581467</v>
      </c>
      <c r="C1440" s="116">
        <v>302.23649300145598</v>
      </c>
      <c r="D1440" s="116">
        <v>296.66196265740302</v>
      </c>
      <c r="E1440" s="116">
        <v>313.04623445122701</v>
      </c>
      <c r="F1440" s="116">
        <v>311.75</v>
      </c>
      <c r="G1440">
        <v>147314</v>
      </c>
      <c r="H1440" s="116"/>
      <c r="I1440" s="116"/>
      <c r="L1440" s="170">
        <v>44125</v>
      </c>
      <c r="M1440" s="116">
        <v>302.47933884297498</v>
      </c>
      <c r="N1440" s="116">
        <v>314.79179910998101</v>
      </c>
      <c r="O1440" s="116">
        <v>296.66242848061</v>
      </c>
      <c r="P1440" s="116">
        <v>312.17418944691701</v>
      </c>
      <c r="Q1440" s="116">
        <v>312</v>
      </c>
      <c r="R1440">
        <v>4998996</v>
      </c>
    </row>
    <row r="1441" spans="1:18" x14ac:dyDescent="0.25">
      <c r="A1441" s="170">
        <v>44126</v>
      </c>
      <c r="B1441" s="116">
        <v>304.99952108502998</v>
      </c>
      <c r="C1441" s="116">
        <v>301.897173763122</v>
      </c>
      <c r="D1441" s="116">
        <v>300.00668086383502</v>
      </c>
      <c r="E1441" s="116">
        <v>301.50938034788402</v>
      </c>
      <c r="F1441" s="116">
        <v>311.39999999999998</v>
      </c>
      <c r="G1441">
        <v>80504</v>
      </c>
      <c r="H1441" s="116"/>
      <c r="I1441" s="116"/>
      <c r="L1441" s="170">
        <v>44126</v>
      </c>
      <c r="M1441" s="116">
        <v>301.99459631277801</v>
      </c>
      <c r="N1441" s="116">
        <v>305.19389701207899</v>
      </c>
      <c r="O1441" s="116">
        <v>299.570883661793</v>
      </c>
      <c r="P1441" s="116">
        <v>301.50985378258099</v>
      </c>
      <c r="Q1441" s="116">
        <v>311.5</v>
      </c>
      <c r="R1441">
        <v>2381193</v>
      </c>
    </row>
    <row r="1442" spans="1:18" x14ac:dyDescent="0.25">
      <c r="A1442" s="170">
        <v>44127</v>
      </c>
      <c r="B1442" s="116">
        <v>312.27064762075003</v>
      </c>
      <c r="C1442" s="116">
        <v>305.87205626931598</v>
      </c>
      <c r="D1442" s="116">
        <v>304.56325349288602</v>
      </c>
      <c r="E1442" s="116">
        <v>305.338840323363</v>
      </c>
      <c r="F1442" s="116">
        <v>315.5</v>
      </c>
      <c r="G1442">
        <v>131247</v>
      </c>
      <c r="H1442" s="116"/>
      <c r="I1442" s="116"/>
      <c r="L1442" s="170">
        <v>44127</v>
      </c>
      <c r="M1442" s="116">
        <v>305.824062301335</v>
      </c>
      <c r="N1442" s="116">
        <v>312.61045772409398</v>
      </c>
      <c r="O1442" s="116">
        <v>303.73966942148797</v>
      </c>
      <c r="P1442" s="116">
        <v>304.41830896376302</v>
      </c>
      <c r="Q1442" s="116">
        <v>315.45</v>
      </c>
      <c r="R1442">
        <v>4159352</v>
      </c>
    </row>
    <row r="1443" spans="1:18" x14ac:dyDescent="0.25">
      <c r="A1443" s="170">
        <v>44130</v>
      </c>
      <c r="B1443" s="116">
        <v>308.925929414319</v>
      </c>
      <c r="C1443" s="116">
        <v>297.29212695716598</v>
      </c>
      <c r="D1443" s="116">
        <v>295.78942747311697</v>
      </c>
      <c r="E1443" s="116">
        <v>306.35679803836399</v>
      </c>
      <c r="F1443" s="116">
        <v>306.64999999999998</v>
      </c>
      <c r="G1443">
        <v>277729</v>
      </c>
      <c r="H1443" s="116"/>
      <c r="I1443" s="116"/>
      <c r="L1443" s="170">
        <v>44130</v>
      </c>
      <c r="M1443" s="116">
        <v>298.01970756516198</v>
      </c>
      <c r="N1443" s="116">
        <v>308.97488874761598</v>
      </c>
      <c r="O1443" s="116">
        <v>295.74141767323601</v>
      </c>
      <c r="P1443" s="116">
        <v>308.29624920534002</v>
      </c>
      <c r="Q1443" s="116">
        <v>307.39999999999998</v>
      </c>
      <c r="R1443">
        <v>4397443</v>
      </c>
    </row>
    <row r="1444" spans="1:18" x14ac:dyDescent="0.25">
      <c r="A1444" s="170">
        <v>44131</v>
      </c>
      <c r="B1444" s="116">
        <v>305.82358209241102</v>
      </c>
      <c r="C1444" s="116">
        <v>304.80562437741099</v>
      </c>
      <c r="D1444" s="116">
        <v>293.94740875073398</v>
      </c>
      <c r="E1444" s="116">
        <v>297.72839454930897</v>
      </c>
      <c r="F1444" s="116">
        <v>314.39999999999998</v>
      </c>
      <c r="G1444">
        <v>83579</v>
      </c>
      <c r="H1444" s="116"/>
      <c r="I1444" s="116"/>
      <c r="L1444" s="170">
        <v>44131</v>
      </c>
      <c r="M1444" s="116">
        <v>304.46678321678303</v>
      </c>
      <c r="N1444" s="116">
        <v>305.72711379529602</v>
      </c>
      <c r="O1444" s="116">
        <v>293.75397329942803</v>
      </c>
      <c r="P1444" s="116">
        <v>298.60139860139901</v>
      </c>
      <c r="Q1444" s="116">
        <v>314.05</v>
      </c>
      <c r="R1444">
        <v>3550035</v>
      </c>
    </row>
    <row r="1445" spans="1:18" x14ac:dyDescent="0.25">
      <c r="A1445" s="170">
        <v>44132</v>
      </c>
      <c r="B1445" s="116">
        <v>310.864896490511</v>
      </c>
      <c r="C1445" s="116">
        <v>308.925929414319</v>
      </c>
      <c r="D1445" s="116">
        <v>300.346000102169</v>
      </c>
      <c r="E1445" s="116">
        <v>302.47886388597999</v>
      </c>
      <c r="F1445" s="116">
        <v>318.64999999999998</v>
      </c>
      <c r="G1445">
        <v>166265</v>
      </c>
      <c r="H1445" s="116"/>
      <c r="I1445" s="116"/>
      <c r="L1445" s="170">
        <v>44132</v>
      </c>
      <c r="M1445" s="116">
        <v>309.12031150667502</v>
      </c>
      <c r="N1445" s="116">
        <v>311.01080737444403</v>
      </c>
      <c r="O1445" s="116">
        <v>300.39494596312801</v>
      </c>
      <c r="P1445" s="116">
        <v>304.224411951685</v>
      </c>
      <c r="Q1445" s="116">
        <v>318.85000000000002</v>
      </c>
      <c r="R1445">
        <v>3098009</v>
      </c>
    </row>
    <row r="1446" spans="1:18" x14ac:dyDescent="0.25">
      <c r="A1446" s="170">
        <v>44133</v>
      </c>
      <c r="B1446" s="116">
        <v>322.35327641695</v>
      </c>
      <c r="C1446" s="116">
        <v>319.78414504099499</v>
      </c>
      <c r="D1446" s="116">
        <v>303.93308919312398</v>
      </c>
      <c r="E1446" s="116">
        <v>305.38731450026802</v>
      </c>
      <c r="F1446" s="116">
        <v>329.85</v>
      </c>
      <c r="G1446">
        <v>204343</v>
      </c>
      <c r="H1446" s="116"/>
      <c r="I1446" s="116"/>
      <c r="L1446" s="170">
        <v>44133</v>
      </c>
      <c r="M1446" s="116">
        <v>318.86363636363598</v>
      </c>
      <c r="N1446" s="116">
        <v>322.208359821996</v>
      </c>
      <c r="O1446" s="116">
        <v>303.64272091544802</v>
      </c>
      <c r="P1446" s="116">
        <v>305.775588048315</v>
      </c>
      <c r="Q1446" s="116">
        <v>328.9</v>
      </c>
      <c r="R1446">
        <v>6897070</v>
      </c>
    </row>
    <row r="1447" spans="1:18" x14ac:dyDescent="0.25">
      <c r="A1447" s="170">
        <v>44134</v>
      </c>
      <c r="B1447" s="116">
        <v>336.84705531148597</v>
      </c>
      <c r="C1447" s="116">
        <v>328.75186776838399</v>
      </c>
      <c r="D1447" s="116">
        <v>319.68719668718597</v>
      </c>
      <c r="E1447" s="116">
        <v>320.705154402186</v>
      </c>
      <c r="F1447" s="116">
        <v>339.1</v>
      </c>
      <c r="G1447">
        <v>633065</v>
      </c>
      <c r="H1447" s="116"/>
      <c r="I1447" s="116"/>
      <c r="L1447" s="170">
        <v>44134</v>
      </c>
      <c r="M1447" s="116">
        <v>329.33407501589301</v>
      </c>
      <c r="N1447" s="116">
        <v>336.896058486968</v>
      </c>
      <c r="O1447" s="116">
        <v>319.590750158932</v>
      </c>
      <c r="P1447" s="116">
        <v>320.94802924348397</v>
      </c>
      <c r="Q1447" s="116">
        <v>339.7</v>
      </c>
      <c r="R1447">
        <v>14205844</v>
      </c>
    </row>
    <row r="1448" spans="1:18" x14ac:dyDescent="0.25">
      <c r="A1448" s="170">
        <v>44137</v>
      </c>
      <c r="B1448" s="116">
        <v>333.696233812674</v>
      </c>
      <c r="C1448" s="116">
        <v>330.44846396005198</v>
      </c>
      <c r="D1448" s="116">
        <v>323.37123413195098</v>
      </c>
      <c r="E1448" s="116">
        <v>328.65491941457401</v>
      </c>
      <c r="F1448" s="116">
        <v>340.85</v>
      </c>
      <c r="G1448">
        <v>161865</v>
      </c>
      <c r="H1448" s="116"/>
      <c r="I1448" s="116"/>
      <c r="L1448" s="170">
        <v>44137</v>
      </c>
      <c r="M1448" s="116">
        <v>330.69135410044498</v>
      </c>
      <c r="N1448" s="116">
        <v>333.79370629370601</v>
      </c>
      <c r="O1448" s="116">
        <v>322.88699936427201</v>
      </c>
      <c r="P1448" s="116">
        <v>328.752383979657</v>
      </c>
      <c r="Q1448" s="116">
        <v>341.1</v>
      </c>
      <c r="R1448">
        <v>4272022</v>
      </c>
    </row>
    <row r="1449" spans="1:18" x14ac:dyDescent="0.25">
      <c r="A1449" s="170">
        <v>44138</v>
      </c>
      <c r="B1449" s="116">
        <v>338.93144491839303</v>
      </c>
      <c r="C1449" s="116">
        <v>334.47182064315098</v>
      </c>
      <c r="D1449" s="116">
        <v>329.672877129575</v>
      </c>
      <c r="E1449" s="116">
        <v>333.98707887410302</v>
      </c>
      <c r="F1449" s="116">
        <v>345</v>
      </c>
      <c r="G1449">
        <v>129302</v>
      </c>
      <c r="H1449" s="116"/>
      <c r="I1449" s="116"/>
      <c r="L1449" s="170">
        <v>44138</v>
      </c>
      <c r="M1449" s="116">
        <v>334.27844882390298</v>
      </c>
      <c r="N1449" s="116">
        <v>338.93197711379503</v>
      </c>
      <c r="O1449" s="116">
        <v>329.77034329307099</v>
      </c>
      <c r="P1449" s="116">
        <v>333.50286077558798</v>
      </c>
      <c r="Q1449" s="116">
        <v>344.8</v>
      </c>
      <c r="R1449">
        <v>4078834</v>
      </c>
    </row>
    <row r="1450" spans="1:18" x14ac:dyDescent="0.25">
      <c r="A1450" s="170">
        <v>44139</v>
      </c>
      <c r="B1450" s="116">
        <v>348.38390941482999</v>
      </c>
      <c r="C1450" s="116">
        <v>340.91888617148999</v>
      </c>
      <c r="D1450" s="116">
        <v>327.20069410743002</v>
      </c>
      <c r="E1450" s="116">
        <v>330.25456725243299</v>
      </c>
      <c r="F1450" s="116">
        <v>351.65</v>
      </c>
      <c r="G1450">
        <v>476911</v>
      </c>
      <c r="H1450" s="116"/>
      <c r="I1450" s="116"/>
      <c r="L1450" s="170">
        <v>44139</v>
      </c>
      <c r="M1450" s="116">
        <v>341.11331849968201</v>
      </c>
      <c r="N1450" s="116">
        <v>348.52987921169699</v>
      </c>
      <c r="O1450" s="116">
        <v>327.20120788302597</v>
      </c>
      <c r="P1450" s="116">
        <v>332.145581691036</v>
      </c>
      <c r="Q1450" s="116">
        <v>351.85</v>
      </c>
      <c r="R1450">
        <v>9701398</v>
      </c>
    </row>
    <row r="1451" spans="1:18" x14ac:dyDescent="0.25">
      <c r="A1451" s="170">
        <v>44140</v>
      </c>
      <c r="B1451" s="116">
        <v>343.778862608873</v>
      </c>
      <c r="C1451" s="116">
        <v>341.88836970958602</v>
      </c>
      <c r="D1451" s="116">
        <v>334.66571735077002</v>
      </c>
      <c r="E1451" s="116">
        <v>343.778862608873</v>
      </c>
      <c r="F1451" s="116">
        <v>352.65</v>
      </c>
      <c r="G1451">
        <v>204581</v>
      </c>
      <c r="H1451" s="116"/>
      <c r="I1451" s="116"/>
      <c r="L1451" s="170">
        <v>44140</v>
      </c>
      <c r="M1451" s="116">
        <v>341.98585505403702</v>
      </c>
      <c r="N1451" s="116">
        <v>344.11872218690399</v>
      </c>
      <c r="O1451" s="116">
        <v>334.71471710108102</v>
      </c>
      <c r="P1451" s="116">
        <v>342.22822631913499</v>
      </c>
      <c r="Q1451" s="116">
        <v>352.75</v>
      </c>
      <c r="R1451">
        <v>5361436</v>
      </c>
    </row>
    <row r="1452" spans="1:18" x14ac:dyDescent="0.25">
      <c r="A1452" s="170">
        <v>44141</v>
      </c>
      <c r="B1452" s="116">
        <v>343.05174995530098</v>
      </c>
      <c r="C1452" s="116">
        <v>341.015834525299</v>
      </c>
      <c r="D1452" s="116">
        <v>334.76266570458</v>
      </c>
      <c r="E1452" s="116">
        <v>341.25820540982397</v>
      </c>
      <c r="F1452" s="116">
        <v>351.75</v>
      </c>
      <c r="G1452">
        <v>142214</v>
      </c>
      <c r="H1452" s="116"/>
      <c r="I1452" s="116"/>
      <c r="L1452" s="170">
        <v>44141</v>
      </c>
      <c r="M1452" s="116">
        <v>341.355689764781</v>
      </c>
      <c r="N1452" s="116">
        <v>343.05228862046999</v>
      </c>
      <c r="O1452" s="116">
        <v>334.52082008900197</v>
      </c>
      <c r="P1452" s="116">
        <v>341.258741258741</v>
      </c>
      <c r="Q1452" s="116">
        <v>352.1</v>
      </c>
      <c r="R1452">
        <v>3863486</v>
      </c>
    </row>
    <row r="1453" spans="1:18" x14ac:dyDescent="0.25">
      <c r="A1453" s="170">
        <v>44144</v>
      </c>
      <c r="B1453" s="116">
        <v>353.47369798983402</v>
      </c>
      <c r="C1453" s="116">
        <v>346.63883904625698</v>
      </c>
      <c r="D1453" s="116">
        <v>341.25820540982397</v>
      </c>
      <c r="E1453" s="116">
        <v>343.19717248601597</v>
      </c>
      <c r="F1453" s="116">
        <v>357.55</v>
      </c>
      <c r="G1453">
        <v>233646</v>
      </c>
      <c r="H1453" s="116"/>
      <c r="I1453" s="116"/>
      <c r="L1453" s="170">
        <v>44144</v>
      </c>
      <c r="M1453" s="116">
        <v>346.97870311506699</v>
      </c>
      <c r="N1453" s="116">
        <v>353.57120152574697</v>
      </c>
      <c r="O1453" s="116">
        <v>341.11331849968201</v>
      </c>
      <c r="P1453" s="116">
        <v>343.19771137953001</v>
      </c>
      <c r="Q1453" s="116">
        <v>357.9</v>
      </c>
      <c r="R1453">
        <v>6278843</v>
      </c>
    </row>
    <row r="1454" spans="1:18" x14ac:dyDescent="0.25">
      <c r="A1454" s="170">
        <v>44145</v>
      </c>
      <c r="B1454" s="116">
        <v>350.61372155245101</v>
      </c>
      <c r="C1454" s="116">
        <v>348.52933194554402</v>
      </c>
      <c r="D1454" s="116">
        <v>342.56700818625302</v>
      </c>
      <c r="E1454" s="116">
        <v>348.82017700697298</v>
      </c>
      <c r="F1454" s="116">
        <v>359.5</v>
      </c>
      <c r="G1454">
        <v>144327</v>
      </c>
      <c r="H1454" s="116"/>
      <c r="I1454" s="116"/>
      <c r="L1454" s="170">
        <v>44145</v>
      </c>
      <c r="M1454" s="116">
        <v>348.52987921169699</v>
      </c>
      <c r="N1454" s="116">
        <v>350.71122059758397</v>
      </c>
      <c r="O1454" s="116">
        <v>342.42212333121398</v>
      </c>
      <c r="P1454" s="116">
        <v>347.17260012714598</v>
      </c>
      <c r="Q1454" s="116">
        <v>359.5</v>
      </c>
      <c r="R1454">
        <v>3590100</v>
      </c>
    </row>
    <row r="1455" spans="1:18" x14ac:dyDescent="0.25">
      <c r="A1455" s="170">
        <v>44146</v>
      </c>
      <c r="B1455" s="116">
        <v>351.631679267452</v>
      </c>
      <c r="C1455" s="116">
        <v>349.20797042221102</v>
      </c>
      <c r="D1455" s="116">
        <v>343.24564666292002</v>
      </c>
      <c r="E1455" s="116">
        <v>350.95304079078397</v>
      </c>
      <c r="F1455" s="116">
        <v>360.2</v>
      </c>
      <c r="G1455">
        <v>135214</v>
      </c>
      <c r="H1455" s="116"/>
      <c r="I1455" s="116"/>
      <c r="L1455" s="170">
        <v>44146</v>
      </c>
      <c r="M1455" s="116">
        <v>349.11157024793403</v>
      </c>
      <c r="N1455" s="116">
        <v>351.63223140495899</v>
      </c>
      <c r="O1455" s="116">
        <v>343.24618563254899</v>
      </c>
      <c r="P1455" s="116">
        <v>348.23903369357902</v>
      </c>
      <c r="Q1455" s="116">
        <v>360.1</v>
      </c>
      <c r="R1455">
        <v>2869576</v>
      </c>
    </row>
    <row r="1456" spans="1:18" x14ac:dyDescent="0.25">
      <c r="A1456" s="170">
        <v>44147</v>
      </c>
      <c r="B1456" s="116">
        <v>358.127218972695</v>
      </c>
      <c r="C1456" s="116">
        <v>354.34623317412098</v>
      </c>
      <c r="D1456" s="116">
        <v>347.99611599959098</v>
      </c>
      <c r="E1456" s="116">
        <v>348.044590176496</v>
      </c>
      <c r="F1456" s="116">
        <v>365.5</v>
      </c>
      <c r="G1456">
        <v>188961</v>
      </c>
      <c r="H1456" s="116"/>
      <c r="I1456" s="116"/>
      <c r="L1456" s="170">
        <v>44147</v>
      </c>
      <c r="M1456" s="116">
        <v>354.39526382708198</v>
      </c>
      <c r="N1456" s="116">
        <v>358.22472981563902</v>
      </c>
      <c r="O1456" s="116">
        <v>347.07565162110598</v>
      </c>
      <c r="P1456" s="116">
        <v>347.26954863318502</v>
      </c>
      <c r="Q1456" s="116">
        <v>365.55</v>
      </c>
      <c r="R1456">
        <v>4199715</v>
      </c>
    </row>
    <row r="1457" spans="1:18" x14ac:dyDescent="0.25">
      <c r="A1457" s="170">
        <v>44148</v>
      </c>
      <c r="B1457" s="116">
        <v>360.16313440269698</v>
      </c>
      <c r="C1457" s="116">
        <v>357.35163214221899</v>
      </c>
      <c r="D1457" s="116">
        <v>351.04998914459401</v>
      </c>
      <c r="E1457" s="116">
        <v>354.73402658935902</v>
      </c>
      <c r="F1457" s="116">
        <v>368.6</v>
      </c>
      <c r="G1457">
        <v>119420</v>
      </c>
      <c r="H1457" s="116"/>
      <c r="I1457" s="116"/>
      <c r="L1457" s="170">
        <v>44148</v>
      </c>
      <c r="M1457" s="116">
        <v>357.35219326128401</v>
      </c>
      <c r="N1457" s="116">
        <v>360.309122695486</v>
      </c>
      <c r="O1457" s="116">
        <v>351.00206611570201</v>
      </c>
      <c r="P1457" s="116">
        <v>352.89256198347101</v>
      </c>
      <c r="Q1457" s="116">
        <v>368.6</v>
      </c>
      <c r="R1457">
        <v>2786714</v>
      </c>
    </row>
    <row r="1458" spans="1:18" x14ac:dyDescent="0.25">
      <c r="A1458" s="170">
        <v>44149</v>
      </c>
      <c r="B1458" s="116">
        <v>361.61735970984103</v>
      </c>
      <c r="C1458" s="116">
        <v>360.11466022579202</v>
      </c>
      <c r="D1458" s="116">
        <v>357.836373911267</v>
      </c>
      <c r="E1458" s="116">
        <v>358.61196074174302</v>
      </c>
      <c r="F1458" s="116">
        <v>371.45</v>
      </c>
      <c r="G1458">
        <v>42183</v>
      </c>
      <c r="H1458" s="116"/>
      <c r="I1458" s="116"/>
      <c r="L1458" s="170">
        <v>44149</v>
      </c>
      <c r="M1458" s="116">
        <v>359.92132867132898</v>
      </c>
      <c r="N1458" s="116">
        <v>361.47250476795898</v>
      </c>
      <c r="O1458" s="116">
        <v>358.22472981563902</v>
      </c>
      <c r="P1458" s="116">
        <v>358.515575333757</v>
      </c>
      <c r="Q1458" s="116">
        <v>371.25</v>
      </c>
      <c r="R1458">
        <v>620753</v>
      </c>
    </row>
    <row r="1459" spans="1:18" x14ac:dyDescent="0.25">
      <c r="A1459" s="170">
        <v>44152</v>
      </c>
      <c r="B1459" s="116">
        <v>389.53848560700902</v>
      </c>
      <c r="C1459" s="116">
        <v>382.07346236366902</v>
      </c>
      <c r="D1459" s="116">
        <v>359.87228934126802</v>
      </c>
      <c r="E1459" s="116">
        <v>361.61735970984103</v>
      </c>
      <c r="F1459" s="116">
        <v>394.1</v>
      </c>
      <c r="G1459">
        <v>489054</v>
      </c>
      <c r="H1459" s="116"/>
      <c r="I1459" s="116"/>
      <c r="L1459" s="170">
        <v>44152</v>
      </c>
      <c r="M1459" s="116">
        <v>382.267959313414</v>
      </c>
      <c r="N1459" s="116">
        <v>389.68452002542898</v>
      </c>
      <c r="O1459" s="116">
        <v>359.67895740622998</v>
      </c>
      <c r="P1459" s="116">
        <v>360.64844246662398</v>
      </c>
      <c r="Q1459" s="116">
        <v>394.3</v>
      </c>
      <c r="R1459">
        <v>10496968</v>
      </c>
    </row>
    <row r="1460" spans="1:18" x14ac:dyDescent="0.25">
      <c r="A1460" s="170">
        <v>44153</v>
      </c>
      <c r="B1460" s="116">
        <v>392.39846204439198</v>
      </c>
      <c r="C1460" s="116">
        <v>382.218884894383</v>
      </c>
      <c r="D1460" s="116">
        <v>375.77181936604399</v>
      </c>
      <c r="E1460" s="116">
        <v>381.00703047176302</v>
      </c>
      <c r="F1460" s="116">
        <v>394.25</v>
      </c>
      <c r="G1460">
        <v>330211</v>
      </c>
      <c r="H1460" s="116"/>
      <c r="I1460" s="116"/>
      <c r="L1460" s="170">
        <v>44153</v>
      </c>
      <c r="M1460" s="116">
        <v>382.46185632549299</v>
      </c>
      <c r="N1460" s="116">
        <v>392.35060394151299</v>
      </c>
      <c r="O1460" s="116">
        <v>375.57851239669401</v>
      </c>
      <c r="P1460" s="116">
        <v>381.92863954227602</v>
      </c>
      <c r="Q1460" s="116">
        <v>394.5</v>
      </c>
      <c r="R1460">
        <v>8656493</v>
      </c>
    </row>
    <row r="1461" spans="1:18" x14ac:dyDescent="0.25">
      <c r="A1461" s="170">
        <v>44154</v>
      </c>
      <c r="B1461" s="116">
        <v>386.048344869863</v>
      </c>
      <c r="C1461" s="116">
        <v>373.78437811294702</v>
      </c>
      <c r="D1461" s="116">
        <v>366.51325157722698</v>
      </c>
      <c r="E1461" s="116">
        <v>380.08602111057201</v>
      </c>
      <c r="F1461" s="116">
        <v>385.55</v>
      </c>
      <c r="G1461">
        <v>542680</v>
      </c>
      <c r="H1461" s="116"/>
      <c r="I1461" s="116"/>
      <c r="L1461" s="170">
        <v>44154</v>
      </c>
      <c r="M1461" s="116">
        <v>373.978862047044</v>
      </c>
      <c r="N1461" s="116">
        <v>386.33979656706902</v>
      </c>
      <c r="O1461" s="116">
        <v>366.27145581691002</v>
      </c>
      <c r="P1461" s="116">
        <v>378.09917355371903</v>
      </c>
      <c r="Q1461" s="116">
        <v>385.75</v>
      </c>
      <c r="R1461">
        <v>7731483</v>
      </c>
    </row>
    <row r="1462" spans="1:18" x14ac:dyDescent="0.25">
      <c r="A1462" s="170">
        <v>44155</v>
      </c>
      <c r="B1462" s="116">
        <v>389.63543396081798</v>
      </c>
      <c r="C1462" s="116">
        <v>376.78977708104497</v>
      </c>
      <c r="D1462" s="116">
        <v>372.28167862889802</v>
      </c>
      <c r="E1462" s="116">
        <v>373.68742975913801</v>
      </c>
      <c r="F1462" s="116">
        <v>388.65</v>
      </c>
      <c r="G1462">
        <v>249586</v>
      </c>
      <c r="H1462" s="116"/>
      <c r="I1462" s="116"/>
      <c r="L1462" s="170">
        <v>44155</v>
      </c>
      <c r="M1462" s="116">
        <v>376.45104895104902</v>
      </c>
      <c r="N1462" s="116">
        <v>389.73299427844898</v>
      </c>
      <c r="O1462" s="116">
        <v>373.25174825174798</v>
      </c>
      <c r="P1462" s="116">
        <v>373.34869675778799</v>
      </c>
      <c r="Q1462" s="116">
        <v>388.3</v>
      </c>
      <c r="R1462">
        <v>5490838</v>
      </c>
    </row>
    <row r="1463" spans="1:18" x14ac:dyDescent="0.25">
      <c r="A1463" s="170">
        <v>44158</v>
      </c>
      <c r="B1463" s="116">
        <v>400.832968825828</v>
      </c>
      <c r="C1463" s="116">
        <v>396.32487037368099</v>
      </c>
      <c r="D1463" s="116">
        <v>371.554565975326</v>
      </c>
      <c r="E1463" s="116">
        <v>376.49893201961601</v>
      </c>
      <c r="F1463" s="116">
        <v>408.8</v>
      </c>
      <c r="G1463">
        <v>407759</v>
      </c>
      <c r="H1463" s="116"/>
      <c r="I1463" s="116"/>
      <c r="L1463" s="170">
        <v>44158</v>
      </c>
      <c r="M1463" s="116">
        <v>396.56786395422802</v>
      </c>
      <c r="N1463" s="116">
        <v>401.07596948506</v>
      </c>
      <c r="O1463" s="116">
        <v>371.40972663699898</v>
      </c>
      <c r="P1463" s="116">
        <v>378.19612205975801</v>
      </c>
      <c r="Q1463" s="116">
        <v>409.05</v>
      </c>
      <c r="R1463">
        <v>7318547</v>
      </c>
    </row>
    <row r="1464" spans="1:18" x14ac:dyDescent="0.25">
      <c r="A1464" s="170">
        <v>44159</v>
      </c>
      <c r="B1464" s="116">
        <v>402.62651337130598</v>
      </c>
      <c r="C1464" s="116">
        <v>396.42181872749097</v>
      </c>
      <c r="D1464" s="116">
        <v>392.30151369058302</v>
      </c>
      <c r="E1464" s="116">
        <v>395.54928354320498</v>
      </c>
      <c r="F1464" s="116">
        <v>408.9</v>
      </c>
      <c r="G1464">
        <v>362685</v>
      </c>
      <c r="H1464" s="116"/>
      <c r="I1464" s="116"/>
      <c r="L1464" s="170">
        <v>44159</v>
      </c>
      <c r="M1464" s="116">
        <v>394.774316592498</v>
      </c>
      <c r="N1464" s="116">
        <v>402.82104259377002</v>
      </c>
      <c r="O1464" s="116">
        <v>391.86586141131602</v>
      </c>
      <c r="P1464" s="116">
        <v>397.39192625556302</v>
      </c>
      <c r="Q1464" s="116">
        <v>407.2</v>
      </c>
      <c r="R1464">
        <v>6167783</v>
      </c>
    </row>
    <row r="1465" spans="1:18" x14ac:dyDescent="0.25">
      <c r="A1465" s="170">
        <v>44160</v>
      </c>
      <c r="B1465" s="116">
        <v>398.99095010344598</v>
      </c>
      <c r="C1465" s="116">
        <v>387.21172511557802</v>
      </c>
      <c r="D1465" s="116">
        <v>381.20092717938201</v>
      </c>
      <c r="E1465" s="116">
        <v>396.42181872749097</v>
      </c>
      <c r="F1465" s="116">
        <v>399.4</v>
      </c>
      <c r="G1465">
        <v>330796</v>
      </c>
      <c r="H1465" s="116"/>
      <c r="I1465" s="116"/>
      <c r="L1465" s="170">
        <v>44160</v>
      </c>
      <c r="M1465" s="116">
        <v>387.06691036236498</v>
      </c>
      <c r="N1465" s="116">
        <v>398.94310235219302</v>
      </c>
      <c r="O1465" s="116">
        <v>381.007628734901</v>
      </c>
      <c r="P1465" s="116">
        <v>396.47091544818801</v>
      </c>
      <c r="Q1465" s="116">
        <v>399.25</v>
      </c>
      <c r="R1465">
        <v>3448648</v>
      </c>
    </row>
    <row r="1466" spans="1:18" x14ac:dyDescent="0.25">
      <c r="A1466" s="170">
        <v>44161</v>
      </c>
      <c r="B1466" s="116">
        <v>398.84552757273099</v>
      </c>
      <c r="C1466" s="116">
        <v>389.39306307629403</v>
      </c>
      <c r="D1466" s="116">
        <v>387.06630258486399</v>
      </c>
      <c r="E1466" s="116">
        <v>388.71442459962702</v>
      </c>
      <c r="F1466" s="116">
        <v>401.65</v>
      </c>
      <c r="G1466">
        <v>294358</v>
      </c>
      <c r="H1466" s="116"/>
      <c r="I1466" s="116"/>
      <c r="L1466" s="170">
        <v>44161</v>
      </c>
      <c r="M1466" s="116">
        <v>389.68452002542898</v>
      </c>
      <c r="N1466" s="116">
        <v>398.99157660521303</v>
      </c>
      <c r="O1466" s="116">
        <v>386.96996185632503</v>
      </c>
      <c r="P1466" s="116">
        <v>390.50858232676399</v>
      </c>
      <c r="Q1466" s="116">
        <v>401.95</v>
      </c>
      <c r="R1466">
        <v>5490958</v>
      </c>
    </row>
    <row r="1467" spans="1:18" x14ac:dyDescent="0.25">
      <c r="A1467" s="170">
        <v>44162</v>
      </c>
      <c r="B1467" s="116">
        <v>395.25843848177601</v>
      </c>
      <c r="C1467" s="116">
        <v>386.58156081581598</v>
      </c>
      <c r="D1467" s="116">
        <v>384.30327450128999</v>
      </c>
      <c r="E1467" s="116">
        <v>391.13813344486698</v>
      </c>
      <c r="F1467" s="116">
        <v>398.75</v>
      </c>
      <c r="G1467">
        <v>171387</v>
      </c>
      <c r="H1467" s="116"/>
      <c r="I1467" s="116"/>
      <c r="L1467" s="170">
        <v>44162</v>
      </c>
      <c r="M1467" s="116">
        <v>386.24284806102997</v>
      </c>
      <c r="N1467" s="116">
        <v>395.40448188175498</v>
      </c>
      <c r="O1467" s="116">
        <v>384.20692943420198</v>
      </c>
      <c r="P1467" s="116">
        <v>388.76350921805499</v>
      </c>
      <c r="Q1467" s="116">
        <v>398.4</v>
      </c>
      <c r="R1467">
        <v>6429153</v>
      </c>
    </row>
    <row r="1468" spans="1:18" x14ac:dyDescent="0.25">
      <c r="A1468" s="170">
        <v>44166</v>
      </c>
      <c r="B1468" s="116">
        <v>410.91559762202797</v>
      </c>
      <c r="C1468" s="116">
        <v>408.97663054583501</v>
      </c>
      <c r="D1468" s="116">
        <v>382.80057501724099</v>
      </c>
      <c r="E1468" s="116">
        <v>386.53308663891102</v>
      </c>
      <c r="F1468" s="116">
        <v>421.85</v>
      </c>
      <c r="G1468">
        <v>673781</v>
      </c>
      <c r="H1468" s="116"/>
      <c r="I1468" s="116"/>
      <c r="L1468" s="170">
        <v>44166</v>
      </c>
      <c r="M1468" s="116">
        <v>409.02574698029201</v>
      </c>
      <c r="N1468" s="116">
        <v>411.0131913541</v>
      </c>
      <c r="O1468" s="116">
        <v>383.043547361729</v>
      </c>
      <c r="P1468" s="116">
        <v>385.85505403687199</v>
      </c>
      <c r="Q1468" s="116">
        <v>421.9</v>
      </c>
      <c r="R1468">
        <v>7846125</v>
      </c>
    </row>
    <row r="1469" spans="1:18" x14ac:dyDescent="0.25">
      <c r="A1469" s="170">
        <v>44167</v>
      </c>
      <c r="B1469" s="116">
        <v>447.80444624658401</v>
      </c>
      <c r="C1469" s="116">
        <v>439.80620705729098</v>
      </c>
      <c r="D1469" s="116">
        <v>406.55292170059499</v>
      </c>
      <c r="E1469" s="116">
        <v>409.12205307655</v>
      </c>
      <c r="F1469" s="116">
        <v>453.65</v>
      </c>
      <c r="G1469">
        <v>661248</v>
      </c>
      <c r="H1469" s="116"/>
      <c r="I1469" s="116"/>
      <c r="L1469" s="170">
        <v>44167</v>
      </c>
      <c r="M1469" s="116">
        <v>439.90384615384602</v>
      </c>
      <c r="N1469" s="116">
        <v>447.80514939605803</v>
      </c>
      <c r="O1469" s="116">
        <v>406.553560076287</v>
      </c>
      <c r="P1469" s="116">
        <v>407.71694214875998</v>
      </c>
      <c r="Q1469" s="116">
        <v>453.75</v>
      </c>
      <c r="R1469">
        <v>16821595</v>
      </c>
    </row>
    <row r="1470" spans="1:18" x14ac:dyDescent="0.25">
      <c r="A1470" s="170">
        <v>44168</v>
      </c>
      <c r="B1470" s="116">
        <v>443.34482197134201</v>
      </c>
      <c r="C1470" s="116">
        <v>434.23167671323802</v>
      </c>
      <c r="D1470" s="116">
        <v>429.96594914561598</v>
      </c>
      <c r="E1470" s="116">
        <v>441.06653565681597</v>
      </c>
      <c r="F1470" s="116">
        <v>447.9</v>
      </c>
      <c r="G1470">
        <v>498864</v>
      </c>
      <c r="H1470" s="116"/>
      <c r="I1470" s="116"/>
      <c r="L1470" s="170">
        <v>44168</v>
      </c>
      <c r="M1470" s="116">
        <v>433.89303877940199</v>
      </c>
      <c r="N1470" s="116">
        <v>443.05467260012699</v>
      </c>
      <c r="O1470" s="116">
        <v>429.72425301970799</v>
      </c>
      <c r="P1470" s="116">
        <v>439.90384615384602</v>
      </c>
      <c r="Q1470" s="116">
        <v>447.55</v>
      </c>
      <c r="R1470">
        <v>6848649</v>
      </c>
    </row>
    <row r="1471" spans="1:18" x14ac:dyDescent="0.25">
      <c r="A1471" s="170">
        <v>44169</v>
      </c>
      <c r="B1471" s="116">
        <v>442.472286787055</v>
      </c>
      <c r="C1471" s="116">
        <v>432.48660634466597</v>
      </c>
      <c r="D1471" s="116">
        <v>428.754094722996</v>
      </c>
      <c r="E1471" s="116">
        <v>434.76489265919099</v>
      </c>
      <c r="F1471" s="116">
        <v>446.1</v>
      </c>
      <c r="G1471">
        <v>307800</v>
      </c>
      <c r="H1471" s="116"/>
      <c r="I1471" s="116"/>
      <c r="L1471" s="170">
        <v>44169</v>
      </c>
      <c r="M1471" s="116">
        <v>432.34186268277199</v>
      </c>
      <c r="N1471" s="116">
        <v>442.61840432295003</v>
      </c>
      <c r="O1471" s="116">
        <v>428.512396694215</v>
      </c>
      <c r="P1471" s="116">
        <v>435.29879211697403</v>
      </c>
      <c r="Q1471" s="116">
        <v>445.95</v>
      </c>
      <c r="R1471">
        <v>4131360</v>
      </c>
    </row>
    <row r="1472" spans="1:18" x14ac:dyDescent="0.25">
      <c r="A1472" s="170">
        <v>44172</v>
      </c>
      <c r="B1472" s="116">
        <v>451.77932875277799</v>
      </c>
      <c r="C1472" s="116">
        <v>443.82956374038997</v>
      </c>
      <c r="D1472" s="116">
        <v>432.43813216776101</v>
      </c>
      <c r="E1472" s="116">
        <v>433.35914152895202</v>
      </c>
      <c r="F1472" s="116">
        <v>457.8</v>
      </c>
      <c r="G1472">
        <v>347188</v>
      </c>
      <c r="H1472" s="116"/>
      <c r="I1472" s="116"/>
      <c r="L1472" s="170">
        <v>44172</v>
      </c>
      <c r="M1472" s="116">
        <v>443.58788938334402</v>
      </c>
      <c r="N1472" s="116">
        <v>452.11935791481199</v>
      </c>
      <c r="O1472" s="116">
        <v>432.34186268277199</v>
      </c>
      <c r="P1472" s="116">
        <v>432.39033693579103</v>
      </c>
      <c r="Q1472" s="116">
        <v>457.55</v>
      </c>
      <c r="R1472">
        <v>5371039</v>
      </c>
    </row>
    <row r="1473" spans="1:18" x14ac:dyDescent="0.25">
      <c r="A1473" s="170">
        <v>44173</v>
      </c>
      <c r="B1473" s="116">
        <v>448.240713838727</v>
      </c>
      <c r="C1473" s="116">
        <v>437.81876580419402</v>
      </c>
      <c r="D1473" s="116">
        <v>432.87439975990401</v>
      </c>
      <c r="E1473" s="116">
        <v>442.61770931776999</v>
      </c>
      <c r="F1473" s="116">
        <v>451.6</v>
      </c>
      <c r="G1473">
        <v>333390</v>
      </c>
      <c r="H1473" s="116"/>
      <c r="I1473" s="116"/>
      <c r="L1473" s="170">
        <v>44173</v>
      </c>
      <c r="M1473" s="116">
        <v>438.11029879211702</v>
      </c>
      <c r="N1473" s="116">
        <v>448.19294342021601</v>
      </c>
      <c r="O1473" s="116">
        <v>432.923553719008</v>
      </c>
      <c r="P1473" s="116">
        <v>443.58788938334402</v>
      </c>
      <c r="Q1473" s="116">
        <v>451.9</v>
      </c>
      <c r="R1473">
        <v>3872952</v>
      </c>
    </row>
    <row r="1474" spans="1:18" x14ac:dyDescent="0.25">
      <c r="A1474" s="170">
        <v>44174</v>
      </c>
      <c r="B1474" s="116">
        <v>444.02346044800902</v>
      </c>
      <c r="C1474" s="116">
        <v>435.44353113585902</v>
      </c>
      <c r="D1474" s="116">
        <v>433.64998659038099</v>
      </c>
      <c r="E1474" s="116">
        <v>440.09705211872</v>
      </c>
      <c r="F1474" s="116">
        <v>449.15</v>
      </c>
      <c r="G1474">
        <v>189488</v>
      </c>
      <c r="H1474" s="116"/>
      <c r="I1474" s="116"/>
      <c r="L1474" s="170">
        <v>44174</v>
      </c>
      <c r="M1474" s="116">
        <v>435.39574062301301</v>
      </c>
      <c r="N1474" s="116">
        <v>444.12110616656099</v>
      </c>
      <c r="O1474" s="116">
        <v>433.65066751430402</v>
      </c>
      <c r="P1474" s="116">
        <v>440.14621741894501</v>
      </c>
      <c r="Q1474" s="116">
        <v>449.1</v>
      </c>
      <c r="R1474">
        <v>2798049</v>
      </c>
    </row>
    <row r="1475" spans="1:18" x14ac:dyDescent="0.25">
      <c r="A1475" s="170">
        <v>44175</v>
      </c>
      <c r="B1475" s="116">
        <v>438.20655921943199</v>
      </c>
      <c r="C1475" s="116">
        <v>433.55303823657101</v>
      </c>
      <c r="D1475" s="116">
        <v>424.63378968608703</v>
      </c>
      <c r="E1475" s="116">
        <v>437.14012732752701</v>
      </c>
      <c r="F1475" s="116">
        <v>447.2</v>
      </c>
      <c r="G1475">
        <v>215115</v>
      </c>
      <c r="H1475" s="116"/>
      <c r="I1475" s="116"/>
      <c r="L1475" s="170">
        <v>44175</v>
      </c>
      <c r="M1475" s="116">
        <v>433.60219326128401</v>
      </c>
      <c r="N1475" s="116">
        <v>438.449618563255</v>
      </c>
      <c r="O1475" s="116">
        <v>424.68293070565801</v>
      </c>
      <c r="P1475" s="116">
        <v>434.32930705657998</v>
      </c>
      <c r="Q1475" s="116">
        <v>447.25</v>
      </c>
      <c r="R1475">
        <v>3113868</v>
      </c>
    </row>
    <row r="1476" spans="1:18" x14ac:dyDescent="0.25">
      <c r="A1476" s="170">
        <v>44176</v>
      </c>
      <c r="B1476" s="116">
        <v>437.72181745038398</v>
      </c>
      <c r="C1476" s="116">
        <v>435.831324551097</v>
      </c>
      <c r="D1476" s="116">
        <v>427.29986941585099</v>
      </c>
      <c r="E1476" s="116">
        <v>433.55303823657101</v>
      </c>
      <c r="F1476" s="116">
        <v>449.55</v>
      </c>
      <c r="G1476">
        <v>148270</v>
      </c>
      <c r="H1476" s="116"/>
      <c r="I1476" s="116"/>
      <c r="L1476" s="170">
        <v>44176</v>
      </c>
      <c r="M1476" s="116">
        <v>436.07438016528903</v>
      </c>
      <c r="N1476" s="116">
        <v>438.01335028607798</v>
      </c>
      <c r="O1476" s="116">
        <v>426.96122059758397</v>
      </c>
      <c r="P1476" s="116">
        <v>433.60219326128401</v>
      </c>
      <c r="Q1476" s="116">
        <v>449.8</v>
      </c>
      <c r="R1476">
        <v>2940168</v>
      </c>
    </row>
    <row r="1477" spans="1:18" x14ac:dyDescent="0.25">
      <c r="A1477" s="170">
        <v>44179</v>
      </c>
      <c r="B1477" s="116">
        <v>447.85292042348902</v>
      </c>
      <c r="C1477" s="116">
        <v>441.26043236443502</v>
      </c>
      <c r="D1477" s="116">
        <v>433.60151241347597</v>
      </c>
      <c r="E1477" s="116">
        <v>438.10961086562298</v>
      </c>
      <c r="F1477" s="116">
        <v>455.15</v>
      </c>
      <c r="G1477">
        <v>174538</v>
      </c>
      <c r="H1477" s="116"/>
      <c r="I1477" s="116"/>
      <c r="L1477" s="170">
        <v>44179</v>
      </c>
      <c r="M1477" s="116">
        <v>441.26112523839799</v>
      </c>
      <c r="N1477" s="116">
        <v>447.90209790209798</v>
      </c>
      <c r="O1477" s="116">
        <v>433.35982199618599</v>
      </c>
      <c r="P1477" s="116">
        <v>437.23776223776201</v>
      </c>
      <c r="Q1477" s="116">
        <v>455.15</v>
      </c>
      <c r="R1477">
        <v>3762369</v>
      </c>
    </row>
    <row r="1478" spans="1:18" x14ac:dyDescent="0.25">
      <c r="A1478" s="170">
        <v>44180</v>
      </c>
      <c r="B1478" s="116">
        <v>449.84036167658599</v>
      </c>
      <c r="C1478" s="116">
        <v>448.14376548491703</v>
      </c>
      <c r="D1478" s="116">
        <v>432.92287393680903</v>
      </c>
      <c r="E1478" s="116">
        <v>443.538718678961</v>
      </c>
      <c r="F1478" s="116">
        <v>462.25</v>
      </c>
      <c r="G1478">
        <v>309739</v>
      </c>
      <c r="H1478" s="116"/>
      <c r="I1478" s="116"/>
      <c r="L1478" s="170">
        <v>44180</v>
      </c>
      <c r="M1478" s="116">
        <v>448.338366179275</v>
      </c>
      <c r="N1478" s="116">
        <v>449.88954227590602</v>
      </c>
      <c r="O1478" s="116">
        <v>432.923553719008</v>
      </c>
      <c r="P1478" s="116">
        <v>441.60044500953597</v>
      </c>
      <c r="Q1478" s="116">
        <v>462.45</v>
      </c>
      <c r="R1478">
        <v>4779869</v>
      </c>
    </row>
    <row r="1479" spans="1:18" x14ac:dyDescent="0.25">
      <c r="A1479" s="170">
        <v>44181</v>
      </c>
      <c r="B1479" s="116">
        <v>453.378976590636</v>
      </c>
      <c r="C1479" s="116">
        <v>449.01630066920399</v>
      </c>
      <c r="D1479" s="116">
        <v>443.73261538657999</v>
      </c>
      <c r="E1479" s="116">
        <v>448.87087813848899</v>
      </c>
      <c r="F1479" s="116">
        <v>463.15</v>
      </c>
      <c r="G1479">
        <v>325385</v>
      </c>
      <c r="H1479" s="116"/>
      <c r="I1479" s="116"/>
      <c r="L1479" s="170">
        <v>44181</v>
      </c>
      <c r="M1479" s="116">
        <v>449.11395422759102</v>
      </c>
      <c r="N1479" s="116">
        <v>453.28273998728503</v>
      </c>
      <c r="O1479" s="116">
        <v>443.58788938334402</v>
      </c>
      <c r="P1479" s="116">
        <v>448.386840432295</v>
      </c>
      <c r="Q1479" s="116">
        <v>463.25</v>
      </c>
      <c r="R1479">
        <v>4088505</v>
      </c>
    </row>
    <row r="1480" spans="1:18" x14ac:dyDescent="0.25">
      <c r="A1480" s="170">
        <v>44182</v>
      </c>
      <c r="B1480" s="116">
        <v>459.43824870373697</v>
      </c>
      <c r="C1480" s="116">
        <v>445.33226322443898</v>
      </c>
      <c r="D1480" s="116">
        <v>441.55127742586399</v>
      </c>
      <c r="E1480" s="116">
        <v>451.58543204515797</v>
      </c>
      <c r="F1480" s="116">
        <v>459.35</v>
      </c>
      <c r="G1480">
        <v>226865</v>
      </c>
      <c r="H1480" s="116"/>
      <c r="I1480" s="116"/>
      <c r="L1480" s="170">
        <v>44182</v>
      </c>
      <c r="M1480" s="116">
        <v>445.28448823903398</v>
      </c>
      <c r="N1480" s="116">
        <v>459.48744437380799</v>
      </c>
      <c r="O1480" s="116">
        <v>441.21265098537799</v>
      </c>
      <c r="P1480" s="116">
        <v>449.25937698665001</v>
      </c>
      <c r="Q1480" s="116">
        <v>459.3</v>
      </c>
      <c r="R1480">
        <v>4912523</v>
      </c>
    </row>
    <row r="1481" spans="1:18" x14ac:dyDescent="0.25">
      <c r="A1481" s="170">
        <v>44183</v>
      </c>
      <c r="B1481" s="116">
        <v>450.27662926872898</v>
      </c>
      <c r="C1481" s="116">
        <v>441.40585489515001</v>
      </c>
      <c r="D1481" s="116">
        <v>437.23707568133602</v>
      </c>
      <c r="E1481" s="116">
        <v>447.70749789277397</v>
      </c>
      <c r="F1481" s="116">
        <v>455.3</v>
      </c>
      <c r="G1481">
        <v>158820</v>
      </c>
      <c r="H1481" s="116"/>
      <c r="I1481" s="116"/>
      <c r="L1481" s="170">
        <v>44183</v>
      </c>
      <c r="M1481" s="116">
        <v>441.26112523839799</v>
      </c>
      <c r="N1481" s="116">
        <v>450.03496503496501</v>
      </c>
      <c r="O1481" s="116">
        <v>437.04386522568302</v>
      </c>
      <c r="P1481" s="116">
        <v>446.93261284170399</v>
      </c>
      <c r="Q1481" s="116">
        <v>455.15</v>
      </c>
      <c r="R1481">
        <v>2159692</v>
      </c>
    </row>
    <row r="1482" spans="1:18" x14ac:dyDescent="0.25">
      <c r="A1482" s="170">
        <v>44186</v>
      </c>
      <c r="B1482" s="116">
        <v>446.64106600086802</v>
      </c>
      <c r="C1482" s="116">
        <v>416.39317961226999</v>
      </c>
      <c r="D1482" s="116">
        <v>397.29435391177702</v>
      </c>
      <c r="E1482" s="116">
        <v>440.82416477229202</v>
      </c>
      <c r="F1482" s="116">
        <v>429.5</v>
      </c>
      <c r="G1482">
        <v>683367</v>
      </c>
      <c r="H1482" s="116"/>
      <c r="I1482" s="116"/>
      <c r="L1482" s="170">
        <v>44186</v>
      </c>
      <c r="M1482" s="116">
        <v>416.10298792116998</v>
      </c>
      <c r="N1482" s="116">
        <v>446.69024157660499</v>
      </c>
      <c r="O1482" s="116">
        <v>397.14955499046403</v>
      </c>
      <c r="P1482" s="116">
        <v>440.14621741894501</v>
      </c>
      <c r="Q1482" s="116">
        <v>429.2</v>
      </c>
      <c r="R1482">
        <v>5350194</v>
      </c>
    </row>
    <row r="1483" spans="1:18" x14ac:dyDescent="0.25">
      <c r="A1483" s="170">
        <v>44187</v>
      </c>
      <c r="B1483" s="116">
        <v>446.93191106229699</v>
      </c>
      <c r="C1483" s="116">
        <v>444.75057310158098</v>
      </c>
      <c r="D1483" s="116">
        <v>404.856325508927</v>
      </c>
      <c r="E1483" s="116">
        <v>410.28543332226502</v>
      </c>
      <c r="F1483" s="116">
        <v>458.75</v>
      </c>
      <c r="G1483">
        <v>577656</v>
      </c>
      <c r="H1483" s="116"/>
      <c r="I1483" s="116"/>
      <c r="L1483" s="170">
        <v>44187</v>
      </c>
      <c r="M1483" s="116">
        <v>444.79974570883701</v>
      </c>
      <c r="N1483" s="116">
        <v>447.46582962492101</v>
      </c>
      <c r="O1483" s="116">
        <v>405.34170375079498</v>
      </c>
      <c r="P1483" s="116">
        <v>415.13350286077599</v>
      </c>
      <c r="Q1483" s="116">
        <v>458.8</v>
      </c>
      <c r="R1483">
        <v>8342699</v>
      </c>
    </row>
    <row r="1484" spans="1:18" x14ac:dyDescent="0.25">
      <c r="A1484" s="170">
        <v>44188</v>
      </c>
      <c r="B1484" s="116">
        <v>452.45796722944499</v>
      </c>
      <c r="C1484" s="116">
        <v>449.01630066920399</v>
      </c>
      <c r="D1484" s="116">
        <v>440.533319710863</v>
      </c>
      <c r="E1484" s="116">
        <v>443.974986271104</v>
      </c>
      <c r="F1484" s="116">
        <v>463.15</v>
      </c>
      <c r="G1484">
        <v>157493</v>
      </c>
      <c r="H1484" s="116"/>
      <c r="I1484" s="116"/>
      <c r="L1484" s="170">
        <v>44188</v>
      </c>
      <c r="M1484" s="116">
        <v>449.453273998729</v>
      </c>
      <c r="N1484" s="116">
        <v>452.55562619198997</v>
      </c>
      <c r="O1484" s="116">
        <v>440.34011443102298</v>
      </c>
      <c r="P1484" s="116">
        <v>444.02415766052098</v>
      </c>
      <c r="Q1484" s="116">
        <v>463.6</v>
      </c>
      <c r="R1484">
        <v>4604130</v>
      </c>
    </row>
    <row r="1485" spans="1:18" x14ac:dyDescent="0.25">
      <c r="A1485" s="170">
        <v>44189</v>
      </c>
      <c r="B1485" s="116">
        <v>465.35209828612301</v>
      </c>
      <c r="C1485" s="116">
        <v>458.75961022707003</v>
      </c>
      <c r="D1485" s="116">
        <v>448.58003307706099</v>
      </c>
      <c r="E1485" s="116">
        <v>453.86371835968401</v>
      </c>
      <c r="F1485" s="116">
        <v>473.2</v>
      </c>
      <c r="G1485">
        <v>253312</v>
      </c>
      <c r="H1485" s="116"/>
      <c r="I1485" s="116"/>
      <c r="L1485" s="170">
        <v>44189</v>
      </c>
      <c r="M1485" s="116">
        <v>459.19659885569001</v>
      </c>
      <c r="N1485" s="116">
        <v>465.20740623013302</v>
      </c>
      <c r="O1485" s="116">
        <v>448.28989192625602</v>
      </c>
      <c r="P1485" s="116">
        <v>450.81055308328001</v>
      </c>
      <c r="Q1485" s="116">
        <v>473.65</v>
      </c>
      <c r="R1485">
        <v>7985151</v>
      </c>
    </row>
    <row r="1486" spans="1:18" x14ac:dyDescent="0.25">
      <c r="A1486" s="170">
        <v>44193</v>
      </c>
      <c r="B1486" s="116">
        <v>491.57662799162199</v>
      </c>
      <c r="C1486" s="116">
        <v>475.82252049756102</v>
      </c>
      <c r="D1486" s="116">
        <v>458.56571351945001</v>
      </c>
      <c r="E1486" s="116">
        <v>459.48672288064199</v>
      </c>
      <c r="F1486" s="116">
        <v>490.8</v>
      </c>
      <c r="G1486">
        <v>462526</v>
      </c>
      <c r="H1486" s="116"/>
      <c r="I1486" s="116"/>
      <c r="L1486" s="170">
        <v>44193</v>
      </c>
      <c r="M1486" s="116">
        <v>475.87174189446898</v>
      </c>
      <c r="N1486" s="116">
        <v>491.52892561983498</v>
      </c>
      <c r="O1486" s="116">
        <v>458.275588048315</v>
      </c>
      <c r="P1486" s="116">
        <v>458.566433566434</v>
      </c>
      <c r="Q1486" s="116">
        <v>490.85</v>
      </c>
      <c r="R1486">
        <v>13714406</v>
      </c>
    </row>
    <row r="1487" spans="1:18" x14ac:dyDescent="0.25">
      <c r="A1487" s="170">
        <v>44194</v>
      </c>
      <c r="B1487" s="116">
        <v>483.77228550994897</v>
      </c>
      <c r="C1487" s="116">
        <v>473.98050177517803</v>
      </c>
      <c r="D1487" s="116">
        <v>470.15104179969899</v>
      </c>
      <c r="E1487" s="116">
        <v>480.86383489565998</v>
      </c>
      <c r="F1487" s="116">
        <v>488.9</v>
      </c>
      <c r="G1487">
        <v>431608</v>
      </c>
      <c r="H1487" s="116"/>
      <c r="I1487" s="116"/>
      <c r="L1487" s="170">
        <v>44194</v>
      </c>
      <c r="M1487" s="116">
        <v>474.27209154481898</v>
      </c>
      <c r="N1487" s="116">
        <v>483.918467895741</v>
      </c>
      <c r="O1487" s="116">
        <v>469.90940877304502</v>
      </c>
      <c r="P1487" s="116">
        <v>476.98664971392202</v>
      </c>
      <c r="Q1487" s="116">
        <v>489.2</v>
      </c>
      <c r="R1487">
        <v>5849496</v>
      </c>
    </row>
    <row r="1488" spans="1:18" x14ac:dyDescent="0.25">
      <c r="A1488" s="170">
        <v>44195</v>
      </c>
      <c r="B1488" s="116">
        <v>480.86383489565998</v>
      </c>
      <c r="C1488" s="116">
        <v>471.12052533779502</v>
      </c>
      <c r="D1488" s="116">
        <v>463.94634715588398</v>
      </c>
      <c r="E1488" s="116">
        <v>474.02897595208299</v>
      </c>
      <c r="F1488" s="116">
        <v>485.95</v>
      </c>
      <c r="G1488">
        <v>925858</v>
      </c>
      <c r="H1488" s="116"/>
      <c r="I1488" s="116"/>
      <c r="L1488" s="170">
        <v>44195</v>
      </c>
      <c r="M1488" s="116">
        <v>469.37619198982799</v>
      </c>
      <c r="N1488" s="116">
        <v>480.86458995549901</v>
      </c>
      <c r="O1488" s="116">
        <v>463.801652892562</v>
      </c>
      <c r="P1488" s="116">
        <v>474.27209154481898</v>
      </c>
      <c r="Q1488" s="116">
        <v>484.15</v>
      </c>
      <c r="R1488">
        <v>5419517</v>
      </c>
    </row>
    <row r="1489" spans="1:18" x14ac:dyDescent="0.25">
      <c r="A1489" s="170">
        <v>44196</v>
      </c>
      <c r="B1489" s="116">
        <v>469.08460990779298</v>
      </c>
      <c r="C1489" s="116">
        <v>464.38261474802698</v>
      </c>
      <c r="D1489" s="116">
        <v>426.57275676227903</v>
      </c>
      <c r="E1489" s="116">
        <v>467.29106536231501</v>
      </c>
      <c r="F1489" s="116">
        <v>479</v>
      </c>
      <c r="G1489">
        <v>1074204</v>
      </c>
      <c r="H1489" s="116"/>
      <c r="I1489" s="116"/>
      <c r="L1489" s="170">
        <v>44196</v>
      </c>
      <c r="M1489" s="116">
        <v>464.91656071201498</v>
      </c>
      <c r="N1489" s="116">
        <v>469.230769230769</v>
      </c>
      <c r="O1489" s="116">
        <v>422.45311506675102</v>
      </c>
      <c r="P1489" s="116">
        <v>466.32231404958702</v>
      </c>
      <c r="Q1489" s="116">
        <v>479.55</v>
      </c>
      <c r="R1489">
        <v>7575962</v>
      </c>
    </row>
    <row r="1490" spans="1:18" x14ac:dyDescent="0.25">
      <c r="A1490" s="170">
        <v>44197</v>
      </c>
      <c r="B1490" s="116">
        <v>477.95538428137201</v>
      </c>
      <c r="C1490" s="116">
        <v>475.87099467446598</v>
      </c>
      <c r="D1490" s="116">
        <v>463.80092462516899</v>
      </c>
      <c r="E1490" s="116">
        <v>463.80092462516899</v>
      </c>
      <c r="F1490" s="116">
        <v>490.85</v>
      </c>
      <c r="G1490">
        <v>363101</v>
      </c>
      <c r="H1490" s="116"/>
      <c r="I1490" s="116"/>
      <c r="L1490" s="170">
        <v>44197</v>
      </c>
      <c r="M1490" s="116">
        <v>476.16258741258702</v>
      </c>
      <c r="N1490" s="116">
        <v>478.19850603941501</v>
      </c>
      <c r="O1490" s="116">
        <v>462.44437380801003</v>
      </c>
      <c r="P1490" s="116">
        <v>462.44437380801003</v>
      </c>
      <c r="Q1490" s="116">
        <v>491.15</v>
      </c>
      <c r="R1490">
        <v>5035248</v>
      </c>
    </row>
    <row r="1491" spans="1:18" x14ac:dyDescent="0.25">
      <c r="A1491" s="170">
        <v>44200</v>
      </c>
      <c r="B1491" s="116">
        <v>487.26242624709499</v>
      </c>
      <c r="C1491" s="116">
        <v>479.40960958851599</v>
      </c>
      <c r="D1491" s="116">
        <v>472.138483052796</v>
      </c>
      <c r="E1491" s="116">
        <v>475.87099467446598</v>
      </c>
      <c r="F1491" s="116">
        <v>494.5</v>
      </c>
      <c r="G1491">
        <v>270552</v>
      </c>
      <c r="H1491" s="116"/>
      <c r="I1491" s="116"/>
      <c r="L1491" s="170">
        <v>44200</v>
      </c>
      <c r="M1491" s="116">
        <v>479.410362364908</v>
      </c>
      <c r="N1491" s="116">
        <v>487.2631913541</v>
      </c>
      <c r="O1491" s="116">
        <v>471.79990464081402</v>
      </c>
      <c r="P1491" s="116">
        <v>476.98664971392202</v>
      </c>
      <c r="Q1491" s="116">
        <v>494.5</v>
      </c>
      <c r="R1491">
        <v>4936582</v>
      </c>
    </row>
    <row r="1492" spans="1:18" x14ac:dyDescent="0.25">
      <c r="A1492" s="170">
        <v>44201</v>
      </c>
      <c r="B1492" s="116">
        <v>486.05057182447501</v>
      </c>
      <c r="C1492" s="116">
        <v>479.36113541161097</v>
      </c>
      <c r="D1492" s="116">
        <v>474.36829519041697</v>
      </c>
      <c r="E1492" s="116">
        <v>476.98590074327598</v>
      </c>
      <c r="F1492" s="116">
        <v>494.45</v>
      </c>
      <c r="G1492">
        <v>289877</v>
      </c>
      <c r="H1492" s="116"/>
      <c r="I1492" s="116"/>
      <c r="L1492" s="170">
        <v>44201</v>
      </c>
      <c r="M1492" s="116">
        <v>479.31341385886799</v>
      </c>
      <c r="N1492" s="116">
        <v>486.09980928162702</v>
      </c>
      <c r="O1492" s="116">
        <v>474.65988556897599</v>
      </c>
      <c r="P1492" s="116">
        <v>476.98664971392202</v>
      </c>
      <c r="Q1492" s="116">
        <v>494.4</v>
      </c>
      <c r="R1492">
        <v>3654033</v>
      </c>
    </row>
    <row r="1493" spans="1:18" x14ac:dyDescent="0.25">
      <c r="A1493" s="170">
        <v>44202</v>
      </c>
      <c r="B1493" s="116">
        <v>484.98413993256901</v>
      </c>
      <c r="C1493" s="116">
        <v>476.16183973589398</v>
      </c>
      <c r="D1493" s="116">
        <v>469.90867091517498</v>
      </c>
      <c r="E1493" s="116">
        <v>481.34857666470799</v>
      </c>
      <c r="F1493" s="116">
        <v>491.15</v>
      </c>
      <c r="G1493">
        <v>285573</v>
      </c>
      <c r="H1493" s="116"/>
      <c r="I1493" s="116"/>
      <c r="L1493" s="170">
        <v>44202</v>
      </c>
      <c r="M1493" s="116">
        <v>475.92021614748899</v>
      </c>
      <c r="N1493" s="116">
        <v>485.37269548633202</v>
      </c>
      <c r="O1493" s="116">
        <v>469.47314049586799</v>
      </c>
      <c r="P1493" s="116">
        <v>480.86458995549901</v>
      </c>
      <c r="Q1493" s="116">
        <v>490.9</v>
      </c>
      <c r="R1493">
        <v>3295461</v>
      </c>
    </row>
    <row r="1494" spans="1:18" x14ac:dyDescent="0.25">
      <c r="A1494" s="170">
        <v>44203</v>
      </c>
      <c r="B1494" s="116">
        <v>507.91242560854101</v>
      </c>
      <c r="C1494" s="116">
        <v>502.19247273377403</v>
      </c>
      <c r="D1494" s="116">
        <v>478.92486781946798</v>
      </c>
      <c r="E1494" s="116">
        <v>482.802801971853</v>
      </c>
      <c r="F1494" s="116">
        <v>518</v>
      </c>
      <c r="G1494">
        <v>673379</v>
      </c>
      <c r="H1494" s="116"/>
      <c r="I1494" s="116"/>
      <c r="L1494" s="170">
        <v>44203</v>
      </c>
      <c r="M1494" s="116">
        <v>502.29020979020999</v>
      </c>
      <c r="N1494" s="116">
        <v>507.96169739351598</v>
      </c>
      <c r="O1494" s="116">
        <v>478.73172282263198</v>
      </c>
      <c r="P1494" s="116">
        <v>478.82867132867102</v>
      </c>
      <c r="Q1494" s="116">
        <v>518.1</v>
      </c>
      <c r="R1494">
        <v>9879731</v>
      </c>
    </row>
    <row r="1495" spans="1:18" x14ac:dyDescent="0.25">
      <c r="A1495" s="170">
        <v>44204</v>
      </c>
      <c r="B1495" s="116">
        <v>510.72392786901997</v>
      </c>
      <c r="C1495" s="116">
        <v>502.289421087584</v>
      </c>
      <c r="D1495" s="116">
        <v>498.75080617353302</v>
      </c>
      <c r="E1495" s="116">
        <v>506.11888106306401</v>
      </c>
      <c r="F1495" s="116">
        <v>518.1</v>
      </c>
      <c r="G1495">
        <v>176427</v>
      </c>
      <c r="H1495" s="116"/>
      <c r="I1495" s="116"/>
      <c r="L1495" s="170">
        <v>44204</v>
      </c>
      <c r="M1495" s="116">
        <v>502.19326128416998</v>
      </c>
      <c r="N1495" s="116">
        <v>510.53083280355997</v>
      </c>
      <c r="O1495" s="116">
        <v>498.41226954863299</v>
      </c>
      <c r="P1495" s="116">
        <v>507.04068658614102</v>
      </c>
      <c r="Q1495" s="116">
        <v>518</v>
      </c>
      <c r="R1495">
        <v>3702267</v>
      </c>
    </row>
    <row r="1496" spans="1:18" x14ac:dyDescent="0.25">
      <c r="A1496" s="170">
        <v>44207</v>
      </c>
      <c r="B1496" s="116">
        <v>508.97885750044702</v>
      </c>
      <c r="C1496" s="116">
        <v>502.725688679727</v>
      </c>
      <c r="D1496" s="116">
        <v>494.96982037495798</v>
      </c>
      <c r="E1496" s="116">
        <v>502.19247273377403</v>
      </c>
      <c r="F1496" s="116">
        <v>518.54999999999995</v>
      </c>
      <c r="G1496">
        <v>785810</v>
      </c>
      <c r="H1496" s="116"/>
      <c r="I1496" s="116"/>
      <c r="L1496" s="170">
        <v>44207</v>
      </c>
      <c r="M1496" s="116">
        <v>503.30816910362398</v>
      </c>
      <c r="N1496" s="116">
        <v>508.59186268277199</v>
      </c>
      <c r="O1496" s="116">
        <v>494.92212333121398</v>
      </c>
      <c r="P1496" s="116">
        <v>504.713922441195</v>
      </c>
      <c r="Q1496" s="116">
        <v>519.15</v>
      </c>
      <c r="R1496">
        <v>4148831</v>
      </c>
    </row>
    <row r="1497" spans="1:18" x14ac:dyDescent="0.25">
      <c r="A1497" s="170">
        <v>44208</v>
      </c>
      <c r="B1497" s="116">
        <v>520.12791818855203</v>
      </c>
      <c r="C1497" s="116">
        <v>509.5120734464</v>
      </c>
      <c r="D1497" s="116">
        <v>502.725688679727</v>
      </c>
      <c r="E1497" s="116">
        <v>502.725688679727</v>
      </c>
      <c r="F1497" s="116">
        <v>525.54999999999995</v>
      </c>
      <c r="G1497">
        <v>192102</v>
      </c>
      <c r="H1497" s="116"/>
      <c r="I1497" s="116"/>
      <c r="L1497" s="170">
        <v>44208</v>
      </c>
      <c r="M1497" s="116">
        <v>509.36745073108699</v>
      </c>
      <c r="N1497" s="116">
        <v>520.22568340750195</v>
      </c>
      <c r="O1497" s="116">
        <v>501.32072472981599</v>
      </c>
      <c r="P1497" s="116">
        <v>503.16274634456403</v>
      </c>
      <c r="Q1497" s="116">
        <v>525.4</v>
      </c>
      <c r="R1497">
        <v>4878024</v>
      </c>
    </row>
    <row r="1498" spans="1:18" x14ac:dyDescent="0.25">
      <c r="A1498" s="170">
        <v>44209</v>
      </c>
      <c r="B1498" s="116">
        <v>523.52111057188802</v>
      </c>
      <c r="C1498" s="116">
        <v>520.51571160379001</v>
      </c>
      <c r="D1498" s="116">
        <v>505.58566511711098</v>
      </c>
      <c r="E1498" s="116">
        <v>510.190711923067</v>
      </c>
      <c r="F1498" s="116">
        <v>536.9</v>
      </c>
      <c r="G1498">
        <v>260454</v>
      </c>
      <c r="H1498" s="116"/>
      <c r="I1498" s="116"/>
      <c r="L1498" s="170">
        <v>44209</v>
      </c>
      <c r="M1498" s="116">
        <v>519.69246662428498</v>
      </c>
      <c r="N1498" s="116">
        <v>523.71582962492096</v>
      </c>
      <c r="O1498" s="116">
        <v>505.39256198347101</v>
      </c>
      <c r="P1498" s="116">
        <v>512.95454545454504</v>
      </c>
      <c r="Q1498" s="116">
        <v>536.04999999999995</v>
      </c>
      <c r="R1498">
        <v>4948731</v>
      </c>
    </row>
    <row r="1499" spans="1:18" x14ac:dyDescent="0.25">
      <c r="A1499" s="170">
        <v>44210</v>
      </c>
      <c r="B1499" s="116">
        <v>524.49059410998404</v>
      </c>
      <c r="C1499" s="116">
        <v>515.86219062092903</v>
      </c>
      <c r="D1499" s="116">
        <v>512.08120482235404</v>
      </c>
      <c r="E1499" s="116">
        <v>520.51571160379001</v>
      </c>
      <c r="F1499" s="116">
        <v>532.1</v>
      </c>
      <c r="G1499">
        <v>173831</v>
      </c>
      <c r="H1499" s="116"/>
      <c r="I1499" s="116"/>
      <c r="L1499" s="170">
        <v>44210</v>
      </c>
      <c r="M1499" s="116">
        <v>515.86300063572799</v>
      </c>
      <c r="N1499" s="116">
        <v>524.49141767323601</v>
      </c>
      <c r="O1499" s="116">
        <v>512.27590591226897</v>
      </c>
      <c r="P1499" s="116">
        <v>518.62603305785103</v>
      </c>
      <c r="Q1499" s="116">
        <v>532.1</v>
      </c>
      <c r="R1499">
        <v>3161306</v>
      </c>
    </row>
    <row r="1500" spans="1:18" x14ac:dyDescent="0.25">
      <c r="A1500" s="170">
        <v>44211</v>
      </c>
      <c r="B1500" s="116">
        <v>521.29129843426699</v>
      </c>
      <c r="C1500" s="116">
        <v>510.91782457663902</v>
      </c>
      <c r="D1500" s="116">
        <v>503.45280133329902</v>
      </c>
      <c r="E1500" s="116">
        <v>516.63777745140601</v>
      </c>
      <c r="F1500" s="116">
        <v>527</v>
      </c>
      <c r="G1500">
        <v>206757</v>
      </c>
      <c r="H1500" s="116"/>
      <c r="I1500" s="116"/>
      <c r="L1500" s="170">
        <v>44211</v>
      </c>
      <c r="M1500" s="116">
        <v>511.20947234583599</v>
      </c>
      <c r="N1500" s="116">
        <v>521.09821996185599</v>
      </c>
      <c r="O1500" s="116">
        <v>502.968849332486</v>
      </c>
      <c r="P1500" s="116">
        <v>518.38366179275295</v>
      </c>
      <c r="Q1500" s="116">
        <v>527.29999999999995</v>
      </c>
      <c r="R1500">
        <v>3376852</v>
      </c>
    </row>
    <row r="1501" spans="1:18" x14ac:dyDescent="0.25">
      <c r="A1501" s="170">
        <v>44214</v>
      </c>
      <c r="B1501" s="116">
        <v>517.70420934331196</v>
      </c>
      <c r="C1501" s="116">
        <v>491.77052469924098</v>
      </c>
      <c r="D1501" s="116">
        <v>487.359374600904</v>
      </c>
      <c r="E1501" s="116">
        <v>517.70420934331196</v>
      </c>
      <c r="F1501" s="116">
        <v>507.25</v>
      </c>
      <c r="G1501">
        <v>228546</v>
      </c>
      <c r="H1501" s="116"/>
      <c r="I1501" s="116"/>
      <c r="L1501" s="170">
        <v>44214</v>
      </c>
      <c r="M1501" s="116">
        <v>492.35298792116998</v>
      </c>
      <c r="N1501" s="116">
        <v>512.95454545454504</v>
      </c>
      <c r="O1501" s="116">
        <v>486.729974570884</v>
      </c>
      <c r="P1501" s="116">
        <v>511.88811188811201</v>
      </c>
      <c r="Q1501" s="116">
        <v>507.85</v>
      </c>
      <c r="R1501">
        <v>5204588</v>
      </c>
    </row>
    <row r="1502" spans="1:18" x14ac:dyDescent="0.25">
      <c r="A1502" s="170">
        <v>44215</v>
      </c>
      <c r="B1502" s="116">
        <v>515.91066479783399</v>
      </c>
      <c r="C1502" s="116">
        <v>513.87474936783201</v>
      </c>
      <c r="D1502" s="116">
        <v>494.43660442900602</v>
      </c>
      <c r="E1502" s="116">
        <v>494.43660442900602</v>
      </c>
      <c r="F1502" s="116">
        <v>530.04999999999995</v>
      </c>
      <c r="G1502">
        <v>167060</v>
      </c>
      <c r="H1502" s="116"/>
      <c r="I1502" s="116"/>
      <c r="L1502" s="170">
        <v>44215</v>
      </c>
      <c r="M1502" s="116">
        <v>513.92403051494</v>
      </c>
      <c r="N1502" s="116">
        <v>515.76605212968798</v>
      </c>
      <c r="O1502" s="116">
        <v>496.667196439924</v>
      </c>
      <c r="P1502" s="116">
        <v>496.667196439924</v>
      </c>
      <c r="Q1502" s="116">
        <v>530.1</v>
      </c>
      <c r="R1502">
        <v>4181185</v>
      </c>
    </row>
    <row r="1503" spans="1:18" x14ac:dyDescent="0.25">
      <c r="A1503" s="170">
        <v>44216</v>
      </c>
      <c r="B1503" s="116">
        <v>535.30033555975604</v>
      </c>
      <c r="C1503" s="116">
        <v>531.03460799213303</v>
      </c>
      <c r="D1503" s="116">
        <v>513.87474936783201</v>
      </c>
      <c r="E1503" s="116">
        <v>513.87474936783201</v>
      </c>
      <c r="F1503" s="116">
        <v>547.75</v>
      </c>
      <c r="G1503">
        <v>652647</v>
      </c>
      <c r="H1503" s="116"/>
      <c r="I1503" s="116"/>
      <c r="L1503" s="170">
        <v>44216</v>
      </c>
      <c r="M1503" s="116">
        <v>530.065956770502</v>
      </c>
      <c r="N1503" s="116">
        <v>535.30117609663102</v>
      </c>
      <c r="O1503" s="116">
        <v>514.79656706929404</v>
      </c>
      <c r="P1503" s="116">
        <v>515.91147488874799</v>
      </c>
      <c r="Q1503" s="116">
        <v>546.75</v>
      </c>
      <c r="R1503">
        <v>6681731</v>
      </c>
    </row>
    <row r="1504" spans="1:18" x14ac:dyDescent="0.25">
      <c r="A1504" s="170">
        <v>44217</v>
      </c>
      <c r="B1504" s="116">
        <v>535.93049985951802</v>
      </c>
      <c r="C1504" s="116">
        <v>519.93402148093298</v>
      </c>
      <c r="D1504" s="116">
        <v>515.23202632116704</v>
      </c>
      <c r="E1504" s="116">
        <v>535.63965479808905</v>
      </c>
      <c r="F1504" s="116">
        <v>536.29999999999995</v>
      </c>
      <c r="G1504">
        <v>489849</v>
      </c>
      <c r="H1504" s="116"/>
      <c r="I1504" s="116"/>
      <c r="L1504" s="170">
        <v>44217</v>
      </c>
      <c r="M1504" s="116">
        <v>520.51652892562004</v>
      </c>
      <c r="N1504" s="116">
        <v>536.07676414494597</v>
      </c>
      <c r="O1504" s="116">
        <v>515.32978385251101</v>
      </c>
      <c r="P1504" s="116">
        <v>534.57406230133495</v>
      </c>
      <c r="Q1504" s="116">
        <v>536.9</v>
      </c>
      <c r="R1504">
        <v>4208383</v>
      </c>
    </row>
    <row r="1505" spans="1:18" x14ac:dyDescent="0.25">
      <c r="A1505" s="170">
        <v>44218</v>
      </c>
      <c r="B1505" s="116">
        <v>529.91970192332303</v>
      </c>
      <c r="C1505" s="116">
        <v>510.82087622283001</v>
      </c>
      <c r="D1505" s="116">
        <v>506.02193270925397</v>
      </c>
      <c r="E1505" s="116">
        <v>519.06148629664597</v>
      </c>
      <c r="F1505" s="116">
        <v>526.9</v>
      </c>
      <c r="G1505">
        <v>216654</v>
      </c>
      <c r="H1505" s="116"/>
      <c r="I1505" s="116"/>
      <c r="L1505" s="170">
        <v>44218</v>
      </c>
      <c r="M1505" s="116">
        <v>510.72472981563902</v>
      </c>
      <c r="N1505" s="116">
        <v>530.065956770502</v>
      </c>
      <c r="O1505" s="116">
        <v>505.68340750158899</v>
      </c>
      <c r="P1505" s="116">
        <v>517.75349650349597</v>
      </c>
      <c r="Q1505" s="116">
        <v>526.79999999999995</v>
      </c>
      <c r="R1505">
        <v>4179558</v>
      </c>
    </row>
    <row r="1506" spans="1:18" x14ac:dyDescent="0.25">
      <c r="A1506" s="170">
        <v>44221</v>
      </c>
      <c r="B1506" s="116">
        <v>518.23742528926505</v>
      </c>
      <c r="C1506" s="116">
        <v>498.459961112104</v>
      </c>
      <c r="D1506" s="116">
        <v>493.757965952338</v>
      </c>
      <c r="E1506" s="116">
        <v>513.82627519092705</v>
      </c>
      <c r="F1506" s="116">
        <v>514.15</v>
      </c>
      <c r="G1506">
        <v>894362</v>
      </c>
      <c r="H1506" s="116"/>
      <c r="I1506" s="116"/>
      <c r="L1506" s="170">
        <v>44221</v>
      </c>
      <c r="M1506" s="116">
        <v>498.218372536554</v>
      </c>
      <c r="N1506" s="116">
        <v>518.09281627463395</v>
      </c>
      <c r="O1506" s="116">
        <v>493.46789574062302</v>
      </c>
      <c r="P1506" s="116">
        <v>514.06945327399899</v>
      </c>
      <c r="Q1506" s="116">
        <v>513.9</v>
      </c>
      <c r="R1506">
        <v>3728411</v>
      </c>
    </row>
    <row r="1507" spans="1:18" x14ac:dyDescent="0.25">
      <c r="A1507" s="170">
        <v>44223</v>
      </c>
      <c r="B1507" s="116">
        <v>505.58566511711098</v>
      </c>
      <c r="C1507" s="116">
        <v>496.81183909734102</v>
      </c>
      <c r="D1507" s="116">
        <v>491.52815381471697</v>
      </c>
      <c r="E1507" s="116">
        <v>498.21759022757999</v>
      </c>
      <c r="F1507" s="116">
        <v>512.45000000000005</v>
      </c>
      <c r="G1507">
        <v>166822</v>
      </c>
      <c r="H1507" s="116"/>
      <c r="I1507" s="116"/>
      <c r="L1507" s="170">
        <v>44223</v>
      </c>
      <c r="M1507" s="116">
        <v>497.15193897012102</v>
      </c>
      <c r="N1507" s="116">
        <v>505.63493324857001</v>
      </c>
      <c r="O1507" s="116">
        <v>491.57739987285402</v>
      </c>
      <c r="P1507" s="116">
        <v>497.442784488239</v>
      </c>
      <c r="Q1507" s="116">
        <v>512.79999999999995</v>
      </c>
      <c r="R1507">
        <v>2792007</v>
      </c>
    </row>
    <row r="1508" spans="1:18" x14ac:dyDescent="0.25">
      <c r="A1508" s="170">
        <v>44224</v>
      </c>
      <c r="B1508" s="116">
        <v>503.45280133329902</v>
      </c>
      <c r="C1508" s="116">
        <v>496.32709732829301</v>
      </c>
      <c r="D1508" s="116">
        <v>486.19599435518899</v>
      </c>
      <c r="E1508" s="116">
        <v>489.68613509233501</v>
      </c>
      <c r="F1508" s="116">
        <v>511.95</v>
      </c>
      <c r="G1508">
        <v>186073</v>
      </c>
      <c r="H1508" s="116"/>
      <c r="I1508" s="116"/>
      <c r="L1508" s="170">
        <v>44224</v>
      </c>
      <c r="M1508" s="116">
        <v>496.23092816274601</v>
      </c>
      <c r="N1508" s="116">
        <v>503.64748887476202</v>
      </c>
      <c r="O1508" s="116">
        <v>486.05133502860798</v>
      </c>
      <c r="P1508" s="116">
        <v>491.81977113795301</v>
      </c>
      <c r="Q1508" s="116">
        <v>511.85</v>
      </c>
      <c r="R1508">
        <v>4197516</v>
      </c>
    </row>
    <row r="1509" spans="1:18" x14ac:dyDescent="0.25">
      <c r="A1509" s="170">
        <v>44225</v>
      </c>
      <c r="B1509" s="116">
        <v>509.075805854257</v>
      </c>
      <c r="C1509" s="116">
        <v>491.57662799162199</v>
      </c>
      <c r="D1509" s="116">
        <v>487.31090042399899</v>
      </c>
      <c r="E1509" s="116">
        <v>501.222989195678</v>
      </c>
      <c r="F1509" s="116">
        <v>507.05</v>
      </c>
      <c r="G1509">
        <v>235347</v>
      </c>
      <c r="H1509" s="116"/>
      <c r="I1509" s="116"/>
      <c r="L1509" s="170">
        <v>44225</v>
      </c>
      <c r="M1509" s="116">
        <v>491.189605848697</v>
      </c>
      <c r="N1509" s="116">
        <v>509.173553719008</v>
      </c>
      <c r="O1509" s="116">
        <v>487.16624284806102</v>
      </c>
      <c r="P1509" s="116">
        <v>499.47870311506699</v>
      </c>
      <c r="Q1509" s="116">
        <v>506.65</v>
      </c>
      <c r="R1509">
        <v>3822560</v>
      </c>
    </row>
    <row r="1510" spans="1:18" x14ac:dyDescent="0.25">
      <c r="A1510" s="170">
        <v>44228</v>
      </c>
      <c r="B1510" s="116">
        <v>525.55702600188999</v>
      </c>
      <c r="C1510" s="116">
        <v>521.43672096498199</v>
      </c>
      <c r="D1510" s="116">
        <v>482.70585361804302</v>
      </c>
      <c r="E1510" s="116">
        <v>498.26606440448501</v>
      </c>
      <c r="F1510" s="116">
        <v>537.85</v>
      </c>
      <c r="G1510">
        <v>305400</v>
      </c>
      <c r="H1510" s="116"/>
      <c r="I1510" s="116"/>
      <c r="L1510" s="170">
        <v>44228</v>
      </c>
      <c r="M1510" s="116">
        <v>520.80737444373801</v>
      </c>
      <c r="N1510" s="116">
        <v>523.037190082645</v>
      </c>
      <c r="O1510" s="116">
        <v>481.73712650985402</v>
      </c>
      <c r="P1510" s="116">
        <v>494.92212333121398</v>
      </c>
      <c r="Q1510" s="116">
        <v>537.20000000000005</v>
      </c>
      <c r="R1510">
        <v>4004036</v>
      </c>
    </row>
    <row r="1511" spans="1:18" x14ac:dyDescent="0.25">
      <c r="A1511" s="170">
        <v>44229</v>
      </c>
      <c r="B1511" s="116">
        <v>549.30937268524406</v>
      </c>
      <c r="C1511" s="116">
        <v>546.88566384000399</v>
      </c>
      <c r="D1511" s="116">
        <v>524.49059410998404</v>
      </c>
      <c r="E1511" s="116">
        <v>527.35057054736797</v>
      </c>
      <c r="F1511" s="116">
        <v>564.1</v>
      </c>
      <c r="G1511">
        <v>315693</v>
      </c>
      <c r="H1511" s="116"/>
      <c r="I1511" s="116"/>
      <c r="L1511" s="170">
        <v>44229</v>
      </c>
      <c r="M1511" s="116">
        <v>546.98347107437996</v>
      </c>
      <c r="N1511" s="116">
        <v>549.60108073744402</v>
      </c>
      <c r="O1511" s="116">
        <v>524.29752066115702</v>
      </c>
      <c r="P1511" s="116">
        <v>525.50937698664995</v>
      </c>
      <c r="Q1511" s="116">
        <v>564.20000000000005</v>
      </c>
      <c r="R1511">
        <v>5144708</v>
      </c>
    </row>
    <row r="1512" spans="1:18" x14ac:dyDescent="0.25">
      <c r="A1512" s="170">
        <v>44230</v>
      </c>
      <c r="B1512" s="116">
        <v>558.90725971239601</v>
      </c>
      <c r="C1512" s="116">
        <v>548.873105093101</v>
      </c>
      <c r="D1512" s="116">
        <v>541.69892691119003</v>
      </c>
      <c r="E1512" s="116">
        <v>550.86054634619802</v>
      </c>
      <c r="F1512" s="116">
        <v>566.15</v>
      </c>
      <c r="G1512">
        <v>355444</v>
      </c>
      <c r="H1512" s="116"/>
      <c r="I1512" s="116"/>
      <c r="L1512" s="170">
        <v>44230</v>
      </c>
      <c r="M1512" s="116">
        <v>549.31023521932605</v>
      </c>
      <c r="N1512" s="116">
        <v>559.00508582326802</v>
      </c>
      <c r="O1512" s="116">
        <v>541.31198347107397</v>
      </c>
      <c r="P1512" s="116">
        <v>550.66751430387797</v>
      </c>
      <c r="Q1512" s="116">
        <v>566.6</v>
      </c>
      <c r="R1512">
        <v>6087209</v>
      </c>
    </row>
    <row r="1513" spans="1:18" x14ac:dyDescent="0.25">
      <c r="A1513" s="170">
        <v>44231</v>
      </c>
      <c r="B1513" s="116">
        <v>593.130028607187</v>
      </c>
      <c r="C1513" s="116">
        <v>571.99528747669297</v>
      </c>
      <c r="D1513" s="116">
        <v>540.341649957855</v>
      </c>
      <c r="E1513" s="116">
        <v>550.37580457715001</v>
      </c>
      <c r="F1513" s="116">
        <v>590</v>
      </c>
      <c r="G1513">
        <v>506045</v>
      </c>
      <c r="H1513" s="116"/>
      <c r="I1513" s="116"/>
      <c r="L1513" s="170">
        <v>44231</v>
      </c>
      <c r="M1513" s="116">
        <v>571.70534011443101</v>
      </c>
      <c r="N1513" s="116">
        <v>593.03401144310203</v>
      </c>
      <c r="O1513" s="116">
        <v>539.03369357914801</v>
      </c>
      <c r="P1513" s="116">
        <v>544.80212968849298</v>
      </c>
      <c r="Q1513" s="116">
        <v>589.70000000000005</v>
      </c>
      <c r="R1513">
        <v>11184167</v>
      </c>
    </row>
    <row r="1514" spans="1:18" x14ac:dyDescent="0.25">
      <c r="A1514" s="170">
        <v>44232</v>
      </c>
      <c r="B1514" s="116">
        <v>589.30056863170796</v>
      </c>
      <c r="C1514" s="116">
        <v>577.37592111312597</v>
      </c>
      <c r="D1514" s="116">
        <v>570.49258799264396</v>
      </c>
      <c r="E1514" s="116">
        <v>573.11019354550297</v>
      </c>
      <c r="F1514" s="116">
        <v>595.54999999999995</v>
      </c>
      <c r="G1514">
        <v>284828</v>
      </c>
      <c r="H1514" s="116"/>
      <c r="I1514" s="116"/>
      <c r="L1514" s="170">
        <v>44232</v>
      </c>
      <c r="M1514" s="116">
        <v>577.18293070565801</v>
      </c>
      <c r="N1514" s="116">
        <v>589.30149396058505</v>
      </c>
      <c r="O1514" s="116">
        <v>570.63890654799695</v>
      </c>
      <c r="P1514" s="116">
        <v>576.84361093452003</v>
      </c>
      <c r="Q1514" s="116">
        <v>595.35</v>
      </c>
      <c r="R1514">
        <v>4754950</v>
      </c>
    </row>
    <row r="1515" spans="1:18" x14ac:dyDescent="0.25">
      <c r="A1515" s="170">
        <v>44235</v>
      </c>
      <c r="B1515" s="116">
        <v>618.57897148221002</v>
      </c>
      <c r="C1515" s="116">
        <v>609.41735204720203</v>
      </c>
      <c r="D1515" s="116">
        <v>585.90737624837197</v>
      </c>
      <c r="E1515" s="116">
        <v>587.50702408622999</v>
      </c>
      <c r="F1515" s="116">
        <v>628.6</v>
      </c>
      <c r="G1515">
        <v>437438</v>
      </c>
      <c r="H1515" s="116"/>
      <c r="I1515" s="116"/>
      <c r="L1515" s="170">
        <v>44235</v>
      </c>
      <c r="M1515" s="116">
        <v>609.12746344564505</v>
      </c>
      <c r="N1515" s="116">
        <v>618.53146853146802</v>
      </c>
      <c r="O1515" s="116">
        <v>585.13270820088997</v>
      </c>
      <c r="P1515" s="116">
        <v>586.92625556261896</v>
      </c>
      <c r="Q1515" s="116">
        <v>628.29999999999995</v>
      </c>
      <c r="R1515">
        <v>7085276</v>
      </c>
    </row>
    <row r="1516" spans="1:18" x14ac:dyDescent="0.25">
      <c r="A1516" s="170">
        <v>44236</v>
      </c>
      <c r="B1516" s="116">
        <v>622.26300892697498</v>
      </c>
      <c r="C1516" s="116">
        <v>610.48378393910798</v>
      </c>
      <c r="D1516" s="116">
        <v>601.75843209624304</v>
      </c>
      <c r="E1516" s="116">
        <v>613.63460543791996</v>
      </c>
      <c r="F1516" s="116">
        <v>629.70000000000005</v>
      </c>
      <c r="G1516">
        <v>347431</v>
      </c>
      <c r="H1516" s="116"/>
      <c r="I1516" s="116"/>
      <c r="L1516" s="170">
        <v>44236</v>
      </c>
      <c r="M1516" s="116">
        <v>610.63016528925596</v>
      </c>
      <c r="N1516" s="116">
        <v>622.31246026700603</v>
      </c>
      <c r="O1516" s="116">
        <v>602.05022250476804</v>
      </c>
      <c r="P1516" s="116">
        <v>612.18134138588698</v>
      </c>
      <c r="Q1516" s="116">
        <v>629.85</v>
      </c>
      <c r="R1516">
        <v>4510798</v>
      </c>
    </row>
    <row r="1517" spans="1:18" x14ac:dyDescent="0.25">
      <c r="A1517" s="170">
        <v>44237</v>
      </c>
      <c r="B1517" s="116">
        <v>634.47850150698605</v>
      </c>
      <c r="C1517" s="116">
        <v>631.03683494674499</v>
      </c>
      <c r="D1517" s="116">
        <v>603.11570904957705</v>
      </c>
      <c r="E1517" s="116">
        <v>614.36171809149198</v>
      </c>
      <c r="F1517" s="116">
        <v>650.9</v>
      </c>
      <c r="G1517">
        <v>263091</v>
      </c>
      <c r="H1517" s="116"/>
      <c r="I1517" s="116"/>
      <c r="L1517" s="170">
        <v>44237</v>
      </c>
      <c r="M1517" s="116">
        <v>630.84392879847405</v>
      </c>
      <c r="N1517" s="116">
        <v>634.91576605213004</v>
      </c>
      <c r="O1517" s="116">
        <v>603.11665607120199</v>
      </c>
      <c r="P1517" s="116">
        <v>613.73251748251698</v>
      </c>
      <c r="Q1517" s="116">
        <v>650.70000000000005</v>
      </c>
      <c r="R1517">
        <v>5991927</v>
      </c>
    </row>
    <row r="1518" spans="1:18" x14ac:dyDescent="0.25">
      <c r="A1518" s="170">
        <v>44238</v>
      </c>
      <c r="B1518" s="116">
        <v>640.24692855865703</v>
      </c>
      <c r="C1518" s="116">
        <v>638.64728072079902</v>
      </c>
      <c r="D1518" s="116">
        <v>625.80162384102596</v>
      </c>
      <c r="E1518" s="116">
        <v>629.19481622436194</v>
      </c>
      <c r="F1518" s="116">
        <v>658.75</v>
      </c>
      <c r="G1518">
        <v>212497</v>
      </c>
      <c r="H1518" s="116"/>
      <c r="I1518" s="116"/>
      <c r="L1518" s="170">
        <v>44238</v>
      </c>
      <c r="M1518" s="116">
        <v>638.50286077558803</v>
      </c>
      <c r="N1518" s="116">
        <v>640.829624920534</v>
      </c>
      <c r="O1518" s="116">
        <v>625.65718372536503</v>
      </c>
      <c r="P1518" s="116">
        <v>634.04322949777497</v>
      </c>
      <c r="Q1518" s="116">
        <v>658.6</v>
      </c>
      <c r="R1518">
        <v>3688016</v>
      </c>
    </row>
    <row r="1519" spans="1:18" x14ac:dyDescent="0.25">
      <c r="A1519" s="170">
        <v>44239</v>
      </c>
      <c r="B1519" s="116">
        <v>702.487771704426</v>
      </c>
      <c r="C1519" s="116">
        <v>697.25256059870799</v>
      </c>
      <c r="D1519" s="116">
        <v>635.06019162984296</v>
      </c>
      <c r="E1519" s="116">
        <v>638.84117742841795</v>
      </c>
      <c r="F1519" s="116">
        <v>719.2</v>
      </c>
      <c r="G1519">
        <v>952839</v>
      </c>
      <c r="H1519" s="116"/>
      <c r="I1519" s="116"/>
      <c r="L1519" s="170">
        <v>44239</v>
      </c>
      <c r="M1519" s="116">
        <v>697.01128417037501</v>
      </c>
      <c r="N1519" s="116">
        <v>702.34345200254302</v>
      </c>
      <c r="O1519" s="116">
        <v>635.20661157024801</v>
      </c>
      <c r="P1519" s="116">
        <v>636.95168467895701</v>
      </c>
      <c r="Q1519" s="116">
        <v>718.95</v>
      </c>
      <c r="R1519">
        <v>16810897</v>
      </c>
    </row>
    <row r="1520" spans="1:18" x14ac:dyDescent="0.25">
      <c r="A1520" s="170">
        <v>44242</v>
      </c>
      <c r="B1520" s="116">
        <v>764.24387308114694</v>
      </c>
      <c r="C1520" s="116">
        <v>739.618991213507</v>
      </c>
      <c r="D1520" s="116">
        <v>685.86112902607897</v>
      </c>
      <c r="E1520" s="116">
        <v>700.93659804347305</v>
      </c>
      <c r="F1520" s="116">
        <v>762.9</v>
      </c>
      <c r="G1520">
        <v>1243448</v>
      </c>
      <c r="H1520" s="116"/>
      <c r="I1520" s="116"/>
      <c r="L1520" s="170">
        <v>44242</v>
      </c>
      <c r="M1520" s="116">
        <v>740.15336935791504</v>
      </c>
      <c r="N1520" s="116">
        <v>763.90575333757101</v>
      </c>
      <c r="O1520" s="116">
        <v>686.05610298792101</v>
      </c>
      <c r="P1520" s="116">
        <v>702.87666878575999</v>
      </c>
      <c r="Q1520" s="116">
        <v>763.45</v>
      </c>
      <c r="R1520">
        <v>21579566</v>
      </c>
    </row>
    <row r="1521" spans="1:18" x14ac:dyDescent="0.25">
      <c r="A1521" s="170">
        <v>44243</v>
      </c>
      <c r="B1521" s="116">
        <v>778.349858560445</v>
      </c>
      <c r="C1521" s="116">
        <v>756.58495313018796</v>
      </c>
      <c r="D1521" s="116">
        <v>734.38378010778797</v>
      </c>
      <c r="E1521" s="116">
        <v>736.41969553778995</v>
      </c>
      <c r="F1521" s="116">
        <v>780.4</v>
      </c>
      <c r="G1521">
        <v>918696</v>
      </c>
      <c r="H1521" s="116"/>
      <c r="I1521" s="116"/>
      <c r="L1521" s="170">
        <v>44243</v>
      </c>
      <c r="M1521" s="116">
        <v>756.39224411951704</v>
      </c>
      <c r="N1521" s="116">
        <v>778.44802924348403</v>
      </c>
      <c r="O1521" s="116">
        <v>733.17307692307702</v>
      </c>
      <c r="P1521" s="116">
        <v>736.80864589955502</v>
      </c>
      <c r="Q1521" s="116">
        <v>780.2</v>
      </c>
      <c r="R1521">
        <v>19426061</v>
      </c>
    </row>
    <row r="1522" spans="1:18" x14ac:dyDescent="0.25">
      <c r="A1522" s="170">
        <v>44244</v>
      </c>
      <c r="B1522" s="116">
        <v>777.52579755306397</v>
      </c>
      <c r="C1522" s="116">
        <v>761.189999936145</v>
      </c>
      <c r="D1522" s="116">
        <v>758.47544602947596</v>
      </c>
      <c r="E1522" s="116">
        <v>761.04457740543</v>
      </c>
      <c r="F1522" s="116">
        <v>785.15</v>
      </c>
      <c r="G1522">
        <v>579039</v>
      </c>
      <c r="H1522" s="116"/>
      <c r="I1522" s="116"/>
      <c r="L1522" s="170">
        <v>44244</v>
      </c>
      <c r="M1522" s="116">
        <v>761.48204068658595</v>
      </c>
      <c r="N1522" s="116">
        <v>777.52701843610896</v>
      </c>
      <c r="O1522" s="116">
        <v>758.37968849332503</v>
      </c>
      <c r="P1522" s="116">
        <v>763.13016528925596</v>
      </c>
      <c r="Q1522" s="116">
        <v>785.45</v>
      </c>
      <c r="R1522">
        <v>8908279</v>
      </c>
    </row>
    <row r="1523" spans="1:18" x14ac:dyDescent="0.25">
      <c r="A1523" s="170">
        <v>44245</v>
      </c>
      <c r="B1523" s="116">
        <v>798.95138374498697</v>
      </c>
      <c r="C1523" s="116">
        <v>783.10032789711602</v>
      </c>
      <c r="D1523" s="116">
        <v>761.52931917447802</v>
      </c>
      <c r="E1523" s="116">
        <v>761.52931917447802</v>
      </c>
      <c r="F1523" s="116">
        <v>807.75</v>
      </c>
      <c r="G1523">
        <v>465694</v>
      </c>
      <c r="H1523" s="116"/>
      <c r="I1523" s="116"/>
      <c r="L1523" s="170">
        <v>44245</v>
      </c>
      <c r="M1523" s="116">
        <v>783.53782581055304</v>
      </c>
      <c r="N1523" s="116">
        <v>799.34043229497797</v>
      </c>
      <c r="O1523" s="116">
        <v>762.01525746980303</v>
      </c>
      <c r="P1523" s="116">
        <v>763.22711379529596</v>
      </c>
      <c r="Q1523" s="116">
        <v>808.2</v>
      </c>
      <c r="R1523">
        <v>9694238</v>
      </c>
    </row>
    <row r="1524" spans="1:18" x14ac:dyDescent="0.25">
      <c r="A1524" s="170">
        <v>44246</v>
      </c>
      <c r="B1524" s="116">
        <v>805.49539762713596</v>
      </c>
      <c r="C1524" s="116">
        <v>757.55443666828398</v>
      </c>
      <c r="D1524" s="116">
        <v>707.72298281014503</v>
      </c>
      <c r="E1524" s="116">
        <v>785.33014003473704</v>
      </c>
      <c r="F1524" s="116">
        <v>781.4</v>
      </c>
      <c r="G1524">
        <v>1157129</v>
      </c>
      <c r="H1524" s="116"/>
      <c r="I1524" s="116"/>
      <c r="L1524" s="170">
        <v>44246</v>
      </c>
      <c r="M1524" s="116">
        <v>758.04036872218705</v>
      </c>
      <c r="N1524" s="116">
        <v>805.64208518754003</v>
      </c>
      <c r="O1524" s="116">
        <v>707.23935155753304</v>
      </c>
      <c r="P1524" s="116">
        <v>788.19135410044498</v>
      </c>
      <c r="Q1524" s="116">
        <v>781.9</v>
      </c>
      <c r="R1524">
        <v>20210882</v>
      </c>
    </row>
    <row r="1525" spans="1:18" x14ac:dyDescent="0.25">
      <c r="A1525" s="170">
        <v>44249</v>
      </c>
      <c r="B1525" s="116">
        <v>787.89927141069199</v>
      </c>
      <c r="C1525" s="116">
        <v>781.06441246711404</v>
      </c>
      <c r="D1525" s="116">
        <v>757.166643253046</v>
      </c>
      <c r="E1525" s="116">
        <v>764.53471814257603</v>
      </c>
      <c r="F1525" s="116">
        <v>805.65</v>
      </c>
      <c r="G1525">
        <v>542942</v>
      </c>
      <c r="H1525" s="116"/>
      <c r="I1525" s="116"/>
      <c r="L1525" s="170">
        <v>44249</v>
      </c>
      <c r="M1525" s="116">
        <v>781.30801017164595</v>
      </c>
      <c r="N1525" s="116">
        <v>788.19135410044498</v>
      </c>
      <c r="O1525" s="116">
        <v>756.73156389065502</v>
      </c>
      <c r="P1525" s="116">
        <v>762.01525746980303</v>
      </c>
      <c r="Q1525" s="116">
        <v>805.9</v>
      </c>
      <c r="R1525">
        <v>10890564</v>
      </c>
    </row>
    <row r="1526" spans="1:18" x14ac:dyDescent="0.25">
      <c r="A1526" s="170">
        <v>44250</v>
      </c>
      <c r="B1526" s="116">
        <v>801.66593765165601</v>
      </c>
      <c r="C1526" s="116">
        <v>774.52039858496596</v>
      </c>
      <c r="D1526" s="116">
        <v>764.97098573471897</v>
      </c>
      <c r="E1526" s="116">
        <v>787.22063293402505</v>
      </c>
      <c r="F1526" s="116">
        <v>798.9</v>
      </c>
      <c r="G1526">
        <v>484149</v>
      </c>
      <c r="H1526" s="116"/>
      <c r="I1526" s="116"/>
      <c r="L1526" s="170">
        <v>44250</v>
      </c>
      <c r="M1526" s="116">
        <v>775.248728544183</v>
      </c>
      <c r="N1526" s="116">
        <v>802.05499046408102</v>
      </c>
      <c r="O1526" s="116">
        <v>764.92371265098495</v>
      </c>
      <c r="P1526" s="116">
        <v>789.93642720915398</v>
      </c>
      <c r="Q1526" s="116">
        <v>799.65</v>
      </c>
      <c r="R1526">
        <v>9753081</v>
      </c>
    </row>
    <row r="1527" spans="1:18" x14ac:dyDescent="0.25">
      <c r="A1527" s="170">
        <v>44251</v>
      </c>
      <c r="B1527" s="116">
        <v>787.46300381854905</v>
      </c>
      <c r="C1527" s="116">
        <v>779.56171298306595</v>
      </c>
      <c r="D1527" s="116">
        <v>745.62978914970199</v>
      </c>
      <c r="E1527" s="116">
        <v>783.34269878164002</v>
      </c>
      <c r="F1527" s="116">
        <v>804.1</v>
      </c>
      <c r="G1527">
        <v>1216403</v>
      </c>
      <c r="H1527" s="116"/>
      <c r="I1527" s="116"/>
      <c r="L1527" s="170">
        <v>44251</v>
      </c>
      <c r="M1527" s="116">
        <v>780.62937062937101</v>
      </c>
      <c r="N1527" s="116">
        <v>787.27034329307003</v>
      </c>
      <c r="O1527" s="116">
        <v>771.17689129052803</v>
      </c>
      <c r="P1527" s="116">
        <v>781.40495867768595</v>
      </c>
      <c r="Q1527" s="116">
        <v>805.2</v>
      </c>
      <c r="R1527">
        <v>4626257</v>
      </c>
    </row>
    <row r="1528" spans="1:18" x14ac:dyDescent="0.25">
      <c r="A1528" s="170">
        <v>44252</v>
      </c>
      <c r="B1528" s="116">
        <v>835.74328401573405</v>
      </c>
      <c r="C1528" s="116">
        <v>817.613941853337</v>
      </c>
      <c r="D1528" s="116">
        <v>783.53659548925998</v>
      </c>
      <c r="E1528" s="116">
        <v>790.12908354831302</v>
      </c>
      <c r="F1528" s="116">
        <v>843.35</v>
      </c>
      <c r="G1528">
        <v>717247</v>
      </c>
      <c r="H1528" s="116"/>
      <c r="I1528" s="116"/>
      <c r="L1528" s="170">
        <v>44252</v>
      </c>
      <c r="M1528" s="116">
        <v>817.76064844246696</v>
      </c>
      <c r="N1528" s="116">
        <v>836.08391608391605</v>
      </c>
      <c r="O1528" s="116">
        <v>784.31341385886799</v>
      </c>
      <c r="P1528" s="116">
        <v>789.16083916083903</v>
      </c>
      <c r="Q1528" s="116">
        <v>843.5</v>
      </c>
      <c r="R1528">
        <v>12118095</v>
      </c>
    </row>
    <row r="1529" spans="1:18" x14ac:dyDescent="0.25">
      <c r="A1529" s="170">
        <v>44253</v>
      </c>
      <c r="B1529" s="116">
        <v>834.53142959311401</v>
      </c>
      <c r="C1529" s="116">
        <v>807.77368394166194</v>
      </c>
      <c r="D1529" s="116">
        <v>794.68565617736499</v>
      </c>
      <c r="E1529" s="116">
        <v>809.51875431023495</v>
      </c>
      <c r="F1529" s="116">
        <v>833.2</v>
      </c>
      <c r="G1529">
        <v>574915</v>
      </c>
      <c r="H1529" s="116"/>
      <c r="I1529" s="116"/>
      <c r="L1529" s="170">
        <v>44253</v>
      </c>
      <c r="M1529" s="116">
        <v>808.21122059758397</v>
      </c>
      <c r="N1529" s="116">
        <v>834.72663699936402</v>
      </c>
      <c r="O1529" s="116">
        <v>794.83232676414502</v>
      </c>
      <c r="P1529" s="116">
        <v>808.45359186268297</v>
      </c>
      <c r="Q1529" s="116">
        <v>833.65</v>
      </c>
      <c r="R1529">
        <v>11355426</v>
      </c>
    </row>
    <row r="1530" spans="1:18" x14ac:dyDescent="0.25">
      <c r="A1530" s="170">
        <v>44256</v>
      </c>
      <c r="B1530" s="116">
        <v>834.046687824066</v>
      </c>
      <c r="C1530" s="116">
        <v>826.04844863477297</v>
      </c>
      <c r="D1530" s="116">
        <v>811.40924720952205</v>
      </c>
      <c r="E1530" s="116">
        <v>816.25666490000299</v>
      </c>
      <c r="F1530" s="116">
        <v>852.05</v>
      </c>
      <c r="G1530">
        <v>705419</v>
      </c>
      <c r="H1530" s="116"/>
      <c r="I1530" s="116"/>
      <c r="L1530" s="170">
        <v>44256</v>
      </c>
      <c r="M1530" s="116">
        <v>825.51652892562004</v>
      </c>
      <c r="N1530" s="116">
        <v>834.67816274634504</v>
      </c>
      <c r="O1530" s="116">
        <v>810.92577876668804</v>
      </c>
      <c r="P1530" s="116">
        <v>815.09456452638301</v>
      </c>
      <c r="Q1530" s="116">
        <v>851.5</v>
      </c>
      <c r="R1530">
        <v>5996840</v>
      </c>
    </row>
    <row r="1531" spans="1:18" x14ac:dyDescent="0.25">
      <c r="A1531" s="170">
        <v>44257</v>
      </c>
      <c r="B1531" s="116">
        <v>849.89774367193695</v>
      </c>
      <c r="C1531" s="116">
        <v>845.92286116574303</v>
      </c>
      <c r="D1531" s="116">
        <v>826.53319040382098</v>
      </c>
      <c r="E1531" s="116">
        <v>831.81687568644497</v>
      </c>
      <c r="F1531" s="116">
        <v>872.55</v>
      </c>
      <c r="G1531">
        <v>389715</v>
      </c>
      <c r="H1531" s="116"/>
      <c r="I1531" s="116"/>
      <c r="L1531" s="170">
        <v>44257</v>
      </c>
      <c r="M1531" s="116">
        <v>845.92418944691701</v>
      </c>
      <c r="N1531" s="116">
        <v>849.753655435474</v>
      </c>
      <c r="O1531" s="116">
        <v>826.24364272091498</v>
      </c>
      <c r="P1531" s="116">
        <v>831.23649078194501</v>
      </c>
      <c r="Q1531" s="116">
        <v>872.55</v>
      </c>
      <c r="R1531">
        <v>5116413</v>
      </c>
    </row>
    <row r="1532" spans="1:18" x14ac:dyDescent="0.25">
      <c r="A1532" s="170">
        <v>44258</v>
      </c>
      <c r="B1532" s="116">
        <v>915.91957261628102</v>
      </c>
      <c r="C1532" s="116">
        <v>890.61605227197299</v>
      </c>
      <c r="D1532" s="116">
        <v>846.35912875788597</v>
      </c>
      <c r="E1532" s="116">
        <v>854.06652288575003</v>
      </c>
      <c r="F1532" s="116">
        <v>918.65</v>
      </c>
      <c r="G1532">
        <v>1263755</v>
      </c>
      <c r="H1532" s="116"/>
      <c r="I1532" s="116"/>
      <c r="L1532" s="170">
        <v>44258</v>
      </c>
      <c r="M1532" s="116">
        <v>887.41815003178601</v>
      </c>
      <c r="N1532" s="116">
        <v>916.06643356643303</v>
      </c>
      <c r="O1532" s="116">
        <v>846.21503496503499</v>
      </c>
      <c r="P1532" s="116">
        <v>853.58312142402997</v>
      </c>
      <c r="Q1532" s="116">
        <v>915.35</v>
      </c>
      <c r="R1532">
        <v>11670544</v>
      </c>
    </row>
    <row r="1533" spans="1:18" x14ac:dyDescent="0.25">
      <c r="A1533" s="170">
        <v>44259</v>
      </c>
      <c r="B1533" s="116">
        <v>910.05419721079897</v>
      </c>
      <c r="C1533" s="116">
        <v>890.51910391816295</v>
      </c>
      <c r="D1533" s="116">
        <v>877.57649868457997</v>
      </c>
      <c r="E1533" s="116">
        <v>886.835066473398</v>
      </c>
      <c r="F1533" s="116">
        <v>918.55</v>
      </c>
      <c r="G1533">
        <v>1067983</v>
      </c>
      <c r="H1533" s="116"/>
      <c r="I1533" s="116"/>
      <c r="L1533" s="170">
        <v>44259</v>
      </c>
      <c r="M1533" s="116">
        <v>890.37507946598896</v>
      </c>
      <c r="N1533" s="116">
        <v>910.05562619198997</v>
      </c>
      <c r="O1533" s="116">
        <v>877.77177368086495</v>
      </c>
      <c r="P1533" s="116">
        <v>882.23140495867801</v>
      </c>
      <c r="Q1533" s="116">
        <v>918.4</v>
      </c>
      <c r="R1533">
        <v>8141787</v>
      </c>
    </row>
    <row r="1534" spans="1:18" x14ac:dyDescent="0.25">
      <c r="A1534" s="170">
        <v>44260</v>
      </c>
      <c r="B1534" s="116">
        <v>905.40067622793799</v>
      </c>
      <c r="C1534" s="116">
        <v>882.03612295982202</v>
      </c>
      <c r="D1534" s="116">
        <v>861.77391701361398</v>
      </c>
      <c r="E1534" s="116">
        <v>888.24081760363697</v>
      </c>
      <c r="F1534" s="116">
        <v>909.8</v>
      </c>
      <c r="G1534">
        <v>705343</v>
      </c>
      <c r="H1534" s="116"/>
      <c r="I1534" s="116"/>
      <c r="L1534" s="170">
        <v>44260</v>
      </c>
      <c r="M1534" s="116">
        <v>882.13445645263801</v>
      </c>
      <c r="N1534" s="116">
        <v>905.49904640813702</v>
      </c>
      <c r="O1534" s="116">
        <v>861.19357914812497</v>
      </c>
      <c r="P1534" s="116">
        <v>889.98728544183098</v>
      </c>
      <c r="Q1534" s="116">
        <v>909.9</v>
      </c>
      <c r="R1534">
        <v>7109101</v>
      </c>
    </row>
    <row r="1535" spans="1:18" x14ac:dyDescent="0.25">
      <c r="A1535" s="170">
        <v>44263</v>
      </c>
      <c r="B1535" s="116">
        <v>898.12954969221698</v>
      </c>
      <c r="C1535" s="116">
        <v>881.79375207529802</v>
      </c>
      <c r="D1535" s="116">
        <v>874.91041895481601</v>
      </c>
      <c r="E1535" s="116">
        <v>890.95537151030601</v>
      </c>
      <c r="F1535" s="116">
        <v>909.55</v>
      </c>
      <c r="G1535">
        <v>275191</v>
      </c>
      <c r="H1535" s="116"/>
      <c r="I1535" s="116"/>
      <c r="L1535" s="170">
        <v>44263</v>
      </c>
      <c r="M1535" s="116">
        <v>882.42530197075598</v>
      </c>
      <c r="N1535" s="116">
        <v>898.13095994914204</v>
      </c>
      <c r="O1535" s="116">
        <v>877.48092816274595</v>
      </c>
      <c r="P1535" s="116">
        <v>890.08423394786996</v>
      </c>
      <c r="Q1535" s="116">
        <v>910.2</v>
      </c>
      <c r="R1535">
        <v>3904469</v>
      </c>
    </row>
    <row r="1536" spans="1:18" x14ac:dyDescent="0.25">
      <c r="A1536" s="170">
        <v>44264</v>
      </c>
      <c r="B1536" s="116">
        <v>899.68072335317095</v>
      </c>
      <c r="C1536" s="116">
        <v>877.431076153866</v>
      </c>
      <c r="D1536" s="116">
        <v>865.74879951980802</v>
      </c>
      <c r="E1536" s="116">
        <v>899.68072335317095</v>
      </c>
      <c r="F1536" s="116">
        <v>905.05</v>
      </c>
      <c r="G1536">
        <v>375211</v>
      </c>
      <c r="H1536" s="116"/>
      <c r="I1536" s="116"/>
      <c r="L1536" s="170">
        <v>44264</v>
      </c>
      <c r="M1536" s="116">
        <v>877.57787666878596</v>
      </c>
      <c r="N1536" s="116">
        <v>900.06993006993002</v>
      </c>
      <c r="O1536" s="116">
        <v>866.33184996821399</v>
      </c>
      <c r="P1536" s="116">
        <v>889.98728544183098</v>
      </c>
      <c r="Q1536" s="116">
        <v>905.2</v>
      </c>
      <c r="R1536">
        <v>5561849</v>
      </c>
    </row>
    <row r="1537" spans="1:18" x14ac:dyDescent="0.25">
      <c r="A1537" s="170">
        <v>44265</v>
      </c>
      <c r="B1537" s="116">
        <v>886.78659229649304</v>
      </c>
      <c r="C1537" s="116">
        <v>869.43283696457297</v>
      </c>
      <c r="D1537" s="116">
        <v>861.67696865980395</v>
      </c>
      <c r="E1537" s="116">
        <v>883.19950320553801</v>
      </c>
      <c r="F1537" s="116">
        <v>896.8</v>
      </c>
      <c r="G1537">
        <v>773790</v>
      </c>
      <c r="H1537" s="116"/>
      <c r="I1537" s="116"/>
      <c r="L1537" s="170">
        <v>44265</v>
      </c>
      <c r="M1537" s="116">
        <v>870.74300699300704</v>
      </c>
      <c r="N1537" s="116">
        <v>886.20629370629399</v>
      </c>
      <c r="O1537" s="116">
        <v>861.58137317228204</v>
      </c>
      <c r="P1537" s="116">
        <v>883.20089001907195</v>
      </c>
      <c r="Q1537" s="116">
        <v>898.15</v>
      </c>
      <c r="R1537">
        <v>5465016</v>
      </c>
    </row>
    <row r="1538" spans="1:18" x14ac:dyDescent="0.25">
      <c r="A1538" s="170">
        <v>44267</v>
      </c>
      <c r="B1538" s="116">
        <v>895.12415072411898</v>
      </c>
      <c r="C1538" s="116">
        <v>869.38436278766801</v>
      </c>
      <c r="D1538" s="116">
        <v>862.21018460575704</v>
      </c>
      <c r="E1538" s="116">
        <v>881.26053612934504</v>
      </c>
      <c r="F1538" s="116">
        <v>896.75</v>
      </c>
      <c r="G1538">
        <v>937113</v>
      </c>
      <c r="H1538" s="116"/>
      <c r="I1538" s="116"/>
      <c r="L1538" s="170">
        <v>44267</v>
      </c>
      <c r="M1538" s="116">
        <v>866.81659249841096</v>
      </c>
      <c r="N1538" s="116">
        <v>895.61029879211696</v>
      </c>
      <c r="O1538" s="116">
        <v>862.16306420851902</v>
      </c>
      <c r="P1538" s="116">
        <v>877.38397965670697</v>
      </c>
      <c r="Q1538" s="116">
        <v>894.1</v>
      </c>
      <c r="R1538">
        <v>6049852</v>
      </c>
    </row>
    <row r="1539" spans="1:18" x14ac:dyDescent="0.25">
      <c r="A1539" s="170">
        <v>44270</v>
      </c>
      <c r="B1539" s="116">
        <v>876.41311843886501</v>
      </c>
      <c r="C1539" s="116">
        <v>868.17250836504797</v>
      </c>
      <c r="D1539" s="116">
        <v>847.47403482669699</v>
      </c>
      <c r="E1539" s="116">
        <v>872.050442517433</v>
      </c>
      <c r="F1539" s="116">
        <v>895.5</v>
      </c>
      <c r="G1539">
        <v>297114</v>
      </c>
      <c r="H1539" s="116"/>
      <c r="I1539" s="116"/>
      <c r="L1539" s="170">
        <v>44270</v>
      </c>
      <c r="M1539" s="116">
        <v>868.85251112523804</v>
      </c>
      <c r="N1539" s="116">
        <v>876.41449459631303</v>
      </c>
      <c r="O1539" s="116">
        <v>847.81468531468499</v>
      </c>
      <c r="P1539" s="116">
        <v>871.324698029243</v>
      </c>
      <c r="Q1539" s="116">
        <v>896.2</v>
      </c>
      <c r="R1539">
        <v>5235064</v>
      </c>
    </row>
    <row r="1540" spans="1:18" x14ac:dyDescent="0.25">
      <c r="A1540" s="170">
        <v>44271</v>
      </c>
      <c r="B1540" s="116">
        <v>876.60701514648395</v>
      </c>
      <c r="C1540" s="116">
        <v>866.91217976552298</v>
      </c>
      <c r="D1540" s="116">
        <v>861.43459777528005</v>
      </c>
      <c r="E1540" s="116">
        <v>872.53518428648101</v>
      </c>
      <c r="F1540" s="116">
        <v>894.2</v>
      </c>
      <c r="G1540">
        <v>193161</v>
      </c>
      <c r="H1540" s="116"/>
      <c r="I1540" s="116"/>
      <c r="L1540" s="170">
        <v>44271</v>
      </c>
      <c r="M1540" s="116">
        <v>870.40368722186895</v>
      </c>
      <c r="N1540" s="116">
        <v>876.80228862046999</v>
      </c>
      <c r="O1540" s="116">
        <v>860.95120788302597</v>
      </c>
      <c r="P1540" s="116">
        <v>873.215193897012</v>
      </c>
      <c r="Q1540" s="116">
        <v>897.8</v>
      </c>
      <c r="R1540">
        <v>2555026</v>
      </c>
    </row>
    <row r="1541" spans="1:18" x14ac:dyDescent="0.25">
      <c r="A1541" s="170">
        <v>44272</v>
      </c>
      <c r="B1541" s="116">
        <v>877.38260197696104</v>
      </c>
      <c r="C1541" s="116">
        <v>845.53506775050403</v>
      </c>
      <c r="D1541" s="116">
        <v>838.11851868406904</v>
      </c>
      <c r="E1541" s="116">
        <v>872.34128757886106</v>
      </c>
      <c r="F1541" s="116">
        <v>872.15</v>
      </c>
      <c r="G1541">
        <v>217584</v>
      </c>
      <c r="H1541" s="116"/>
      <c r="I1541" s="116"/>
      <c r="L1541" s="170">
        <v>44272</v>
      </c>
      <c r="M1541" s="116">
        <v>847.23299427844904</v>
      </c>
      <c r="N1541" s="116">
        <v>877.77177368086495</v>
      </c>
      <c r="O1541" s="116">
        <v>838.60457724094101</v>
      </c>
      <c r="P1541" s="116">
        <v>870.59758423394806</v>
      </c>
      <c r="Q1541" s="116">
        <v>873.9</v>
      </c>
      <c r="R1541">
        <v>3886557</v>
      </c>
    </row>
    <row r="1542" spans="1:18" x14ac:dyDescent="0.25">
      <c r="A1542" s="170">
        <v>44273</v>
      </c>
      <c r="B1542" s="116">
        <v>863.615935735996</v>
      </c>
      <c r="C1542" s="116">
        <v>844.75948092002795</v>
      </c>
      <c r="D1542" s="116">
        <v>832.01077239406402</v>
      </c>
      <c r="E1542" s="116">
        <v>852.85466846313</v>
      </c>
      <c r="F1542" s="116">
        <v>871.35</v>
      </c>
      <c r="G1542">
        <v>169237</v>
      </c>
      <c r="H1542" s="116"/>
      <c r="I1542" s="116"/>
      <c r="L1542" s="170">
        <v>44273</v>
      </c>
      <c r="M1542" s="116">
        <v>844.46996185632497</v>
      </c>
      <c r="N1542" s="116">
        <v>863.81118881118903</v>
      </c>
      <c r="O1542" s="116">
        <v>831.57581055308299</v>
      </c>
      <c r="P1542" s="116">
        <v>849.26891290527601</v>
      </c>
      <c r="Q1542" s="116">
        <v>871.05</v>
      </c>
      <c r="R1542">
        <v>4465851</v>
      </c>
    </row>
    <row r="1543" spans="1:18" x14ac:dyDescent="0.25">
      <c r="A1543" s="170">
        <v>44274</v>
      </c>
      <c r="B1543" s="116">
        <v>867.68776659599996</v>
      </c>
      <c r="C1543" s="116">
        <v>862.258658782662</v>
      </c>
      <c r="D1543" s="116">
        <v>786.638942811167</v>
      </c>
      <c r="E1543" s="116">
        <v>786.638942811167</v>
      </c>
      <c r="F1543" s="116">
        <v>889.4</v>
      </c>
      <c r="G1543">
        <v>404927</v>
      </c>
      <c r="H1543" s="116"/>
      <c r="I1543" s="116"/>
      <c r="L1543" s="170">
        <v>44274</v>
      </c>
      <c r="M1543" s="116">
        <v>862.502383979657</v>
      </c>
      <c r="N1543" s="116">
        <v>868.07692307692298</v>
      </c>
      <c r="O1543" s="116">
        <v>814.56134774316604</v>
      </c>
      <c r="P1543" s="116">
        <v>839.57406230133495</v>
      </c>
      <c r="Q1543" s="116">
        <v>889.65</v>
      </c>
      <c r="R1543">
        <v>4794995</v>
      </c>
    </row>
    <row r="1544" spans="1:18" x14ac:dyDescent="0.25">
      <c r="A1544" s="170">
        <v>44277</v>
      </c>
      <c r="B1544" s="116">
        <v>972.48893706418698</v>
      </c>
      <c r="C1544" s="116">
        <v>960.66123789941503</v>
      </c>
      <c r="D1544" s="116">
        <v>856.732602615514</v>
      </c>
      <c r="E1544" s="116">
        <v>871.37180404076503</v>
      </c>
      <c r="F1544" s="116">
        <v>990.9</v>
      </c>
      <c r="G1544">
        <v>897824</v>
      </c>
      <c r="H1544" s="116"/>
      <c r="I1544" s="116"/>
      <c r="L1544" s="170">
        <v>44277</v>
      </c>
      <c r="M1544" s="116">
        <v>960.80816910362398</v>
      </c>
      <c r="N1544" s="116">
        <v>972.39351557533405</v>
      </c>
      <c r="O1544" s="116">
        <v>856.49157660521303</v>
      </c>
      <c r="P1544" s="116">
        <v>865.65321042593803</v>
      </c>
      <c r="Q1544" s="116">
        <v>991.05</v>
      </c>
      <c r="R1544">
        <v>22596465</v>
      </c>
    </row>
    <row r="1545" spans="1:18" x14ac:dyDescent="0.25">
      <c r="A1545" s="170">
        <v>44278</v>
      </c>
      <c r="B1545" s="116">
        <v>1053.19844161069</v>
      </c>
      <c r="C1545" s="116">
        <v>1025.85900583638</v>
      </c>
      <c r="D1545" s="116">
        <v>962.89105003703605</v>
      </c>
      <c r="E1545" s="116">
        <v>969.28964138847005</v>
      </c>
      <c r="F1545" s="116">
        <v>1058.1500000000001</v>
      </c>
      <c r="G1545">
        <v>1602967</v>
      </c>
      <c r="H1545" s="116"/>
      <c r="I1545" s="116"/>
      <c r="L1545" s="170">
        <v>44278</v>
      </c>
      <c r="M1545" s="116">
        <v>1026.1029879211701</v>
      </c>
      <c r="N1545" s="116">
        <v>1053.5394151303201</v>
      </c>
      <c r="O1545" s="116">
        <v>960.80816910362398</v>
      </c>
      <c r="P1545" s="116">
        <v>968.51557533375706</v>
      </c>
      <c r="Q1545" s="116">
        <v>1058.4000000000001</v>
      </c>
      <c r="R1545">
        <v>31098225</v>
      </c>
    </row>
    <row r="1546" spans="1:18" x14ac:dyDescent="0.25">
      <c r="A1546" s="170">
        <v>44279</v>
      </c>
      <c r="B1546" s="116">
        <v>1059.6455071390301</v>
      </c>
      <c r="C1546" s="116">
        <v>994.30231667134899</v>
      </c>
      <c r="D1546" s="116">
        <v>986.98271595872404</v>
      </c>
      <c r="E1546" s="116">
        <v>1031.23963947281</v>
      </c>
      <c r="F1546" s="116">
        <v>1025.5999999999999</v>
      </c>
      <c r="G1546">
        <v>1145603</v>
      </c>
      <c r="H1546" s="116"/>
      <c r="I1546" s="116"/>
      <c r="L1546" s="170">
        <v>44279</v>
      </c>
      <c r="M1546" s="116">
        <v>994.15845518118203</v>
      </c>
      <c r="N1546" s="116">
        <v>1059.6471710108101</v>
      </c>
      <c r="O1546" s="116">
        <v>987.32358550540403</v>
      </c>
      <c r="P1546" s="116">
        <v>1030.56261919898</v>
      </c>
      <c r="Q1546" s="116">
        <v>1025.45</v>
      </c>
      <c r="R1546">
        <v>22877032</v>
      </c>
    </row>
    <row r="1547" spans="1:18" x14ac:dyDescent="0.25">
      <c r="A1547" s="170">
        <v>44280</v>
      </c>
      <c r="B1547" s="116">
        <v>1008.26287961993</v>
      </c>
      <c r="C1547" s="116">
        <v>951.59656681821696</v>
      </c>
      <c r="D1547" s="116">
        <v>947.13694254297502</v>
      </c>
      <c r="E1547" s="116">
        <v>1005.35442900564</v>
      </c>
      <c r="F1547" s="116">
        <v>981.55</v>
      </c>
      <c r="G1547">
        <v>1074756</v>
      </c>
      <c r="H1547" s="116"/>
      <c r="I1547" s="116"/>
      <c r="L1547" s="170">
        <v>44280</v>
      </c>
      <c r="M1547" s="116">
        <v>951.59806102987898</v>
      </c>
      <c r="N1547" s="116">
        <v>1009.67021614749</v>
      </c>
      <c r="O1547" s="116">
        <v>947.18690400508603</v>
      </c>
      <c r="P1547" s="116">
        <v>1001.42959313414</v>
      </c>
      <c r="Q1547" s="116">
        <v>981.55</v>
      </c>
      <c r="R1547">
        <v>13139164</v>
      </c>
    </row>
    <row r="1548" spans="1:18" x14ac:dyDescent="0.25">
      <c r="A1548" s="170">
        <v>44281</v>
      </c>
      <c r="B1548" s="116">
        <v>987.75830278920103</v>
      </c>
      <c r="C1548" s="116">
        <v>955.813820208935</v>
      </c>
      <c r="D1548" s="116">
        <v>949.12438379607204</v>
      </c>
      <c r="E1548" s="116">
        <v>967.54457101989703</v>
      </c>
      <c r="F1548" s="116">
        <v>985.9</v>
      </c>
      <c r="G1548">
        <v>908903</v>
      </c>
      <c r="H1548" s="116"/>
      <c r="I1548" s="116"/>
      <c r="L1548" s="170">
        <v>44281</v>
      </c>
      <c r="M1548" s="116">
        <v>958.14208518754003</v>
      </c>
      <c r="N1548" s="116">
        <v>987.37205975842301</v>
      </c>
      <c r="O1548" s="116">
        <v>948.15638906547997</v>
      </c>
      <c r="P1548" s="116">
        <v>969.48506039415099</v>
      </c>
      <c r="Q1548" s="116">
        <v>988.3</v>
      </c>
      <c r="R1548">
        <v>9396506</v>
      </c>
    </row>
    <row r="1549" spans="1:18" x14ac:dyDescent="0.25">
      <c r="A1549" s="170">
        <v>44285</v>
      </c>
      <c r="B1549" s="116">
        <v>1010.1533725192201</v>
      </c>
      <c r="C1549" s="116">
        <v>1001.42802067636</v>
      </c>
      <c r="D1549" s="116">
        <v>957.80126146203202</v>
      </c>
      <c r="E1549" s="116">
        <v>977.239406400858</v>
      </c>
      <c r="F1549" s="116">
        <v>1032.95</v>
      </c>
      <c r="G1549">
        <v>483894</v>
      </c>
      <c r="H1549" s="116"/>
      <c r="I1549" s="116"/>
      <c r="L1549" s="170">
        <v>44285</v>
      </c>
      <c r="M1549" s="116">
        <v>1000.07231404959</v>
      </c>
      <c r="N1549" s="116">
        <v>1010.63970120788</v>
      </c>
      <c r="O1549" s="116">
        <v>957.85123966942103</v>
      </c>
      <c r="P1549" s="116">
        <v>973.36300063572799</v>
      </c>
      <c r="Q1549" s="116">
        <v>1031.55</v>
      </c>
      <c r="R1549">
        <v>10470731</v>
      </c>
    </row>
    <row r="1550" spans="1:18" x14ac:dyDescent="0.25">
      <c r="A1550" s="170">
        <v>44286</v>
      </c>
      <c r="B1550" s="116">
        <v>1020.86616561518</v>
      </c>
      <c r="C1550" s="116">
        <v>999.39210524635405</v>
      </c>
      <c r="D1550" s="116">
        <v>985.48001647467504</v>
      </c>
      <c r="E1550" s="116">
        <v>1006.32391254374</v>
      </c>
      <c r="F1550" s="116">
        <v>1030.8499999999999</v>
      </c>
      <c r="G1550">
        <v>545915</v>
      </c>
      <c r="H1550" s="116"/>
      <c r="I1550" s="116"/>
      <c r="L1550" s="170">
        <v>44286</v>
      </c>
      <c r="M1550" s="116">
        <v>999.68452002542904</v>
      </c>
      <c r="N1550" s="116">
        <v>1021.0131913540999</v>
      </c>
      <c r="O1550" s="116">
        <v>985.57851239669401</v>
      </c>
      <c r="P1550" s="116">
        <v>1006.32549268913</v>
      </c>
      <c r="Q1550" s="116">
        <v>1031.1500000000001</v>
      </c>
      <c r="R1550">
        <v>6440569</v>
      </c>
    </row>
    <row r="1551" spans="1:18" x14ac:dyDescent="0.25">
      <c r="A1551" s="170">
        <v>44287</v>
      </c>
      <c r="B1551" s="116">
        <v>1081.26499003857</v>
      </c>
      <c r="C1551" s="116">
        <v>1073.5091217337999</v>
      </c>
      <c r="D1551" s="116">
        <v>1003.36698775255</v>
      </c>
      <c r="E1551" s="116">
        <v>1012.14081377232</v>
      </c>
      <c r="F1551" s="116">
        <v>1107.3</v>
      </c>
      <c r="G1551">
        <v>571877</v>
      </c>
      <c r="H1551" s="116"/>
      <c r="I1551" s="116"/>
      <c r="L1551" s="170">
        <v>44287</v>
      </c>
      <c r="M1551" s="116">
        <v>1073.4138588684</v>
      </c>
      <c r="N1551" s="116">
        <v>1081.9938016528899</v>
      </c>
      <c r="O1551" s="116">
        <v>1003.41703750795</v>
      </c>
      <c r="P1551" s="116">
        <v>1011.56071201526</v>
      </c>
      <c r="Q1551" s="116">
        <v>1107.2</v>
      </c>
      <c r="R1551">
        <v>12713083</v>
      </c>
    </row>
    <row r="1552" spans="1:18" x14ac:dyDescent="0.25">
      <c r="A1552" s="170">
        <v>44291</v>
      </c>
      <c r="B1552" s="116">
        <v>1115.0999655181199</v>
      </c>
      <c r="C1552" s="116">
        <v>1103.4661630609701</v>
      </c>
      <c r="D1552" s="116">
        <v>1065.07461495236</v>
      </c>
      <c r="E1552" s="116">
        <v>1095.4679238716799</v>
      </c>
      <c r="F1552" s="116">
        <v>1138.2</v>
      </c>
      <c r="G1552">
        <v>1108683</v>
      </c>
      <c r="H1552" s="116"/>
      <c r="I1552" s="116"/>
      <c r="L1552" s="170">
        <v>44291</v>
      </c>
      <c r="M1552" s="116">
        <v>1103.51636999364</v>
      </c>
      <c r="N1552" s="116">
        <v>1114.9078194532699</v>
      </c>
      <c r="O1552" s="116">
        <v>1065.3186586141101</v>
      </c>
      <c r="P1552" s="116">
        <v>1092.6096630642101</v>
      </c>
      <c r="Q1552" s="116">
        <v>1138.25</v>
      </c>
      <c r="R1552">
        <v>15795720</v>
      </c>
    </row>
    <row r="1553" spans="1:18" x14ac:dyDescent="0.25">
      <c r="A1553" s="170">
        <v>44292</v>
      </c>
      <c r="B1553" s="116">
        <v>1202.5958548312899</v>
      </c>
      <c r="C1553" s="116">
        <v>1188.1505501136601</v>
      </c>
      <c r="D1553" s="116">
        <v>1107.7803648055001</v>
      </c>
      <c r="E1553" s="116">
        <v>1118.68705460908</v>
      </c>
      <c r="F1553" s="116">
        <v>1225.55</v>
      </c>
      <c r="G1553">
        <v>1017808</v>
      </c>
      <c r="H1553" s="116"/>
      <c r="I1553" s="116"/>
      <c r="L1553" s="170">
        <v>44292</v>
      </c>
      <c r="M1553" s="116">
        <v>1188.0069930069899</v>
      </c>
      <c r="N1553" s="116">
        <v>1203.1309599491401</v>
      </c>
      <c r="O1553" s="116">
        <v>1107.63668150032</v>
      </c>
      <c r="P1553" s="116">
        <v>1118.2040686586099</v>
      </c>
      <c r="Q1553" s="116">
        <v>1225.4000000000001</v>
      </c>
      <c r="R1553">
        <v>21496457</v>
      </c>
    </row>
    <row r="1554" spans="1:18" x14ac:dyDescent="0.25">
      <c r="A1554" s="170">
        <v>44293</v>
      </c>
      <c r="B1554" s="116">
        <v>1213.50254463488</v>
      </c>
      <c r="C1554" s="116">
        <v>1127.9940965748001</v>
      </c>
      <c r="D1554" s="116">
        <v>1072.34574148808</v>
      </c>
      <c r="E1554" s="116">
        <v>1196.3426860105701</v>
      </c>
      <c r="F1554" s="116">
        <v>1163.5</v>
      </c>
      <c r="G1554">
        <v>1817561</v>
      </c>
      <c r="H1554" s="116"/>
      <c r="I1554" s="116"/>
      <c r="L1554" s="170">
        <v>44293</v>
      </c>
      <c r="M1554" s="116">
        <v>1129.9833121424001</v>
      </c>
      <c r="N1554" s="116">
        <v>1213.40750158932</v>
      </c>
      <c r="O1554" s="116">
        <v>1074.18944691672</v>
      </c>
      <c r="P1554" s="116">
        <v>1195.76287349015</v>
      </c>
      <c r="Q1554" s="116">
        <v>1165.55</v>
      </c>
      <c r="R1554">
        <v>23007694</v>
      </c>
    </row>
    <row r="1555" spans="1:18" x14ac:dyDescent="0.25">
      <c r="A1555" s="170">
        <v>44294</v>
      </c>
      <c r="B1555" s="116">
        <v>1154.84879058006</v>
      </c>
      <c r="C1555" s="116">
        <v>1126.9761388597999</v>
      </c>
      <c r="D1555" s="116">
        <v>1103.27226635335</v>
      </c>
      <c r="E1555" s="116">
        <v>1129.44832188194</v>
      </c>
      <c r="F1555" s="116">
        <v>1162.45</v>
      </c>
      <c r="G1555">
        <v>671871</v>
      </c>
      <c r="H1555" s="116"/>
      <c r="I1555" s="116"/>
      <c r="L1555" s="170">
        <v>44294</v>
      </c>
      <c r="M1555" s="116">
        <v>1127.0263827081999</v>
      </c>
      <c r="N1555" s="116">
        <v>1154.6567069294299</v>
      </c>
      <c r="O1555" s="116">
        <v>1103.0316274634499</v>
      </c>
      <c r="P1555" s="116">
        <v>1127.0263827081999</v>
      </c>
      <c r="Q1555" s="116">
        <v>1162.5</v>
      </c>
      <c r="R1555">
        <v>12404773</v>
      </c>
    </row>
    <row r="1556" spans="1:18" x14ac:dyDescent="0.25">
      <c r="A1556" s="170">
        <v>44295</v>
      </c>
      <c r="B1556" s="116">
        <v>1190.7196814896199</v>
      </c>
      <c r="C1556" s="116">
        <v>1164.20430672269</v>
      </c>
      <c r="D1556" s="116">
        <v>1116.31181994074</v>
      </c>
      <c r="E1556" s="116">
        <v>1126.9761388597999</v>
      </c>
      <c r="F1556" s="116">
        <v>1200.8499999999999</v>
      </c>
      <c r="G1556">
        <v>651315</v>
      </c>
      <c r="H1556" s="116"/>
      <c r="I1556" s="116"/>
      <c r="L1556" s="170">
        <v>44295</v>
      </c>
      <c r="M1556" s="116">
        <v>1164.73935155753</v>
      </c>
      <c r="N1556" s="116">
        <v>1190.5276541640201</v>
      </c>
      <c r="O1556" s="116">
        <v>1116.07120152575</v>
      </c>
      <c r="P1556" s="116">
        <v>1127.89891926256</v>
      </c>
      <c r="Q1556" s="116">
        <v>1201.4000000000001</v>
      </c>
      <c r="R1556">
        <v>12923020</v>
      </c>
    </row>
    <row r="1557" spans="1:18" x14ac:dyDescent="0.25">
      <c r="A1557" s="170">
        <v>44298</v>
      </c>
      <c r="B1557" s="116">
        <v>1147.82003492887</v>
      </c>
      <c r="C1557" s="116">
        <v>1043.3097095221101</v>
      </c>
      <c r="D1557" s="116">
        <v>1028.6220339199499</v>
      </c>
      <c r="E1557" s="116">
        <v>1147.82003492887</v>
      </c>
      <c r="F1557" s="116">
        <v>1076.1500000000001</v>
      </c>
      <c r="G1557">
        <v>1225329</v>
      </c>
      <c r="H1557" s="116"/>
      <c r="I1557" s="116"/>
      <c r="L1557" s="170">
        <v>44298</v>
      </c>
      <c r="M1557" s="116">
        <v>1041.6147488874799</v>
      </c>
      <c r="N1557" s="116">
        <v>1141.4717101080701</v>
      </c>
      <c r="O1557" s="116">
        <v>1029.0114431023501</v>
      </c>
      <c r="P1557" s="116">
        <v>1141.4717101080701</v>
      </c>
      <c r="Q1557" s="116">
        <v>1074.4000000000001</v>
      </c>
      <c r="R1557">
        <v>13690016</v>
      </c>
    </row>
    <row r="1558" spans="1:18" x14ac:dyDescent="0.25">
      <c r="A1558" s="170">
        <v>44299</v>
      </c>
      <c r="B1558" s="116">
        <v>1082.0890510459501</v>
      </c>
      <c r="C1558" s="116">
        <v>1072.1033706035601</v>
      </c>
      <c r="D1558" s="116">
        <v>1019.31499195423</v>
      </c>
      <c r="E1558" s="116">
        <v>1042.1948034533</v>
      </c>
      <c r="F1558" s="116">
        <v>1105.8499999999999</v>
      </c>
      <c r="G1558">
        <v>967929</v>
      </c>
      <c r="H1558" s="116"/>
      <c r="I1558" s="116"/>
      <c r="L1558" s="170">
        <v>44299</v>
      </c>
      <c r="M1558" s="116">
        <v>1072.5897965670699</v>
      </c>
      <c r="N1558" s="116">
        <v>1082.23617291799</v>
      </c>
      <c r="O1558" s="116">
        <v>1018.97727272727</v>
      </c>
      <c r="P1558" s="116">
        <v>1044.1354100445001</v>
      </c>
      <c r="Q1558" s="116">
        <v>1106.3499999999999</v>
      </c>
      <c r="R1558">
        <v>12137329</v>
      </c>
    </row>
    <row r="1559" spans="1:18" x14ac:dyDescent="0.25">
      <c r="A1559" s="170">
        <v>44301</v>
      </c>
      <c r="B1559" s="116">
        <v>1109.8647544124001</v>
      </c>
      <c r="C1559" s="116">
        <v>1095.22555298715</v>
      </c>
      <c r="D1559" s="116">
        <v>1049.80524922735</v>
      </c>
      <c r="E1559" s="116">
        <v>1065.4624083675999</v>
      </c>
      <c r="F1559" s="116">
        <v>1129.7</v>
      </c>
      <c r="G1559">
        <v>608615</v>
      </c>
      <c r="H1559" s="116"/>
      <c r="I1559" s="116"/>
      <c r="L1559" s="170">
        <v>44301</v>
      </c>
      <c r="M1559" s="116">
        <v>1095.46964399237</v>
      </c>
      <c r="N1559" s="116">
        <v>1109.96344564526</v>
      </c>
      <c r="O1559" s="116">
        <v>1048.3526700572199</v>
      </c>
      <c r="P1559" s="116">
        <v>1061.5861411316</v>
      </c>
      <c r="Q1559" s="116">
        <v>1129.95</v>
      </c>
      <c r="R1559">
        <v>9350889</v>
      </c>
    </row>
    <row r="1560" spans="1:18" x14ac:dyDescent="0.25">
      <c r="A1560" s="170">
        <v>44302</v>
      </c>
      <c r="B1560" s="116">
        <v>1155.6243774105401</v>
      </c>
      <c r="C1560" s="116">
        <v>1125.27954266813</v>
      </c>
      <c r="D1560" s="116">
        <v>1086.645623675</v>
      </c>
      <c r="E1560" s="116">
        <v>1095.22555298715</v>
      </c>
      <c r="F1560" s="116">
        <v>1160.7</v>
      </c>
      <c r="G1560">
        <v>554381</v>
      </c>
      <c r="H1560" s="116"/>
      <c r="I1560" s="116"/>
      <c r="L1560" s="170">
        <v>44302</v>
      </c>
      <c r="M1560" s="116">
        <v>1123.6331849968201</v>
      </c>
      <c r="N1560" s="116">
        <v>1155.62619198983</v>
      </c>
      <c r="O1560" s="116">
        <v>1078.0673871583001</v>
      </c>
      <c r="P1560" s="116">
        <v>1095.51811824539</v>
      </c>
      <c r="Q1560" s="116">
        <v>1159</v>
      </c>
      <c r="R1560">
        <v>10661068</v>
      </c>
    </row>
    <row r="1561" spans="1:18" x14ac:dyDescent="0.25">
      <c r="A1561" s="170">
        <v>44305</v>
      </c>
      <c r="B1561" s="116">
        <v>1118.0568903093199</v>
      </c>
      <c r="C1561" s="116">
        <v>1101.62414433859</v>
      </c>
      <c r="D1561" s="116">
        <v>1028.0403437970899</v>
      </c>
      <c r="E1561" s="116">
        <v>1028.0403437970899</v>
      </c>
      <c r="F1561" s="116">
        <v>1136.3</v>
      </c>
      <c r="G1561">
        <v>690393</v>
      </c>
      <c r="H1561" s="116"/>
      <c r="I1561" s="116"/>
      <c r="L1561" s="170">
        <v>44305</v>
      </c>
      <c r="M1561" s="116">
        <v>1101.67434837889</v>
      </c>
      <c r="N1561" s="116">
        <v>1117.8162746344599</v>
      </c>
      <c r="O1561" s="116">
        <v>1055.76923076923</v>
      </c>
      <c r="P1561" s="116">
        <v>1066.4335664335699</v>
      </c>
      <c r="Q1561" s="116">
        <v>1136.3499999999999</v>
      </c>
      <c r="R1561">
        <v>8565063</v>
      </c>
    </row>
    <row r="1562" spans="1:18" x14ac:dyDescent="0.25">
      <c r="A1562" s="170">
        <v>44306</v>
      </c>
      <c r="B1562" s="116">
        <v>1141.6638144619501</v>
      </c>
      <c r="C1562" s="116">
        <v>1107.4895197440701</v>
      </c>
      <c r="D1562" s="116">
        <v>1090.7174545350099</v>
      </c>
      <c r="E1562" s="116">
        <v>1118.7840029628901</v>
      </c>
      <c r="F1562" s="116">
        <v>1142.3499999999999</v>
      </c>
      <c r="G1562">
        <v>604245</v>
      </c>
      <c r="H1562" s="116"/>
      <c r="I1562" s="116"/>
      <c r="L1562" s="170">
        <v>44306</v>
      </c>
      <c r="M1562" s="116">
        <v>1107.8790527654201</v>
      </c>
      <c r="N1562" s="116">
        <v>1141.7625556261901</v>
      </c>
      <c r="O1562" s="116">
        <v>1090.7191671964399</v>
      </c>
      <c r="P1562" s="116">
        <v>1121.5487921169699</v>
      </c>
      <c r="Q1562" s="116">
        <v>1142.75</v>
      </c>
      <c r="R1562">
        <v>8261172</v>
      </c>
    </row>
    <row r="1563" spans="1:18" x14ac:dyDescent="0.25">
      <c r="A1563" s="170">
        <v>44308</v>
      </c>
      <c r="B1563" s="116">
        <v>1133.42320438814</v>
      </c>
      <c r="C1563" s="116">
        <v>1122.3710920538399</v>
      </c>
      <c r="D1563" s="116">
        <v>1092.7048957881</v>
      </c>
      <c r="E1563" s="116">
        <v>1104.2417498914499</v>
      </c>
      <c r="F1563" s="116">
        <v>1157.7</v>
      </c>
      <c r="G1563">
        <v>381924</v>
      </c>
      <c r="H1563" s="116"/>
      <c r="I1563" s="116"/>
      <c r="L1563" s="170">
        <v>44308</v>
      </c>
      <c r="M1563" s="116">
        <v>1122.46980292435</v>
      </c>
      <c r="N1563" s="116">
        <v>1133.3280356007599</v>
      </c>
      <c r="O1563" s="116">
        <v>1088.73172282263</v>
      </c>
      <c r="P1563" s="116">
        <v>1099.3960584869701</v>
      </c>
      <c r="Q1563" s="116">
        <v>1157.8</v>
      </c>
      <c r="R1563">
        <v>7124786</v>
      </c>
    </row>
    <row r="1564" spans="1:18" x14ac:dyDescent="0.25">
      <c r="A1564" s="170">
        <v>44309</v>
      </c>
      <c r="B1564" s="116">
        <v>1147.09292227529</v>
      </c>
      <c r="C1564" s="116">
        <v>1122.6619371152699</v>
      </c>
      <c r="D1564" s="116">
        <v>1111.12508301193</v>
      </c>
      <c r="E1564" s="116">
        <v>1131.3872889581401</v>
      </c>
      <c r="F1564" s="116">
        <v>1158</v>
      </c>
      <c r="G1564">
        <v>366703</v>
      </c>
      <c r="H1564" s="116"/>
      <c r="I1564" s="116"/>
      <c r="L1564" s="170">
        <v>44309</v>
      </c>
      <c r="M1564" s="116">
        <v>1122.27590591227</v>
      </c>
      <c r="N1564" s="116">
        <v>1146.80387794024</v>
      </c>
      <c r="O1564" s="116">
        <v>1110.69055944056</v>
      </c>
      <c r="P1564" s="116">
        <v>1125.57215511761</v>
      </c>
      <c r="Q1564" s="116">
        <v>1157.5999999999999</v>
      </c>
      <c r="R1564">
        <v>6167151</v>
      </c>
    </row>
    <row r="1565" spans="1:18" x14ac:dyDescent="0.25">
      <c r="A1565" s="170">
        <v>44312</v>
      </c>
      <c r="B1565" s="116">
        <v>1161.4412786391199</v>
      </c>
      <c r="C1565" s="116">
        <v>1137.5435094250499</v>
      </c>
      <c r="D1565" s="116">
        <v>1125.57038772956</v>
      </c>
      <c r="E1565" s="116">
        <v>1128.4788383438499</v>
      </c>
      <c r="F1565" s="116">
        <v>1173.3499999999999</v>
      </c>
      <c r="G1565">
        <v>460313</v>
      </c>
      <c r="H1565" s="116"/>
      <c r="I1565" s="116"/>
      <c r="L1565" s="170">
        <v>44312</v>
      </c>
      <c r="M1565" s="116">
        <v>1137.54529561348</v>
      </c>
      <c r="N1565" s="116">
        <v>1161.3461538461499</v>
      </c>
      <c r="O1565" s="116">
        <v>1124.6026700572199</v>
      </c>
      <c r="P1565" s="116">
        <v>1124.6026700572199</v>
      </c>
      <c r="Q1565" s="116">
        <v>1173.3499999999999</v>
      </c>
      <c r="R1565">
        <v>6939823</v>
      </c>
    </row>
    <row r="1566" spans="1:18" x14ac:dyDescent="0.25">
      <c r="A1566" s="170">
        <v>44313</v>
      </c>
      <c r="B1566" s="116">
        <v>1176.1774284181799</v>
      </c>
      <c r="C1566" s="116">
        <v>1154.80031640316</v>
      </c>
      <c r="D1566" s="116">
        <v>1145.0570068452901</v>
      </c>
      <c r="E1566" s="116">
        <v>1150.2922179510099</v>
      </c>
      <c r="F1566" s="116">
        <v>1191.1500000000001</v>
      </c>
      <c r="G1566">
        <v>350844</v>
      </c>
      <c r="H1566" s="116"/>
      <c r="I1566" s="116"/>
      <c r="L1566" s="170">
        <v>44313</v>
      </c>
      <c r="M1566" s="116">
        <v>1154.8021296884899</v>
      </c>
      <c r="N1566" s="116">
        <v>1176.4701207882999</v>
      </c>
      <c r="O1566" s="116">
        <v>1144.9618563254901</v>
      </c>
      <c r="P1566" s="116">
        <v>1148.5489510489499</v>
      </c>
      <c r="Q1566" s="116">
        <v>1191.1500000000001</v>
      </c>
      <c r="R1566">
        <v>7109421</v>
      </c>
    </row>
    <row r="1567" spans="1:18" x14ac:dyDescent="0.25">
      <c r="A1567" s="170">
        <v>44314</v>
      </c>
      <c r="B1567" s="116">
        <v>1176.66217018722</v>
      </c>
      <c r="C1567" s="116">
        <v>1149.0803635283901</v>
      </c>
      <c r="D1567" s="116">
        <v>1144.9600584914799</v>
      </c>
      <c r="E1567" s="116">
        <v>1174.72320311103</v>
      </c>
      <c r="F1567" s="116">
        <v>1185.25</v>
      </c>
      <c r="G1567">
        <v>228274</v>
      </c>
      <c r="H1567" s="116"/>
      <c r="I1567" s="116"/>
      <c r="L1567" s="170">
        <v>44314</v>
      </c>
      <c r="M1567" s="116">
        <v>1149.0336935791499</v>
      </c>
      <c r="N1567" s="116">
        <v>1176.90638906548</v>
      </c>
      <c r="O1567" s="116">
        <v>1144.7194850603901</v>
      </c>
      <c r="P1567" s="116">
        <v>1171.08947870311</v>
      </c>
      <c r="Q1567" s="116">
        <v>1185.2</v>
      </c>
      <c r="R1567">
        <v>5020151</v>
      </c>
    </row>
    <row r="1568" spans="1:18" x14ac:dyDescent="0.25">
      <c r="A1568" s="170">
        <v>44315</v>
      </c>
      <c r="B1568" s="116">
        <v>1175.30489323389</v>
      </c>
      <c r="C1568" s="116">
        <v>1146.6081805062499</v>
      </c>
      <c r="D1568" s="116">
        <v>1142.1485562309999</v>
      </c>
      <c r="E1568" s="116">
        <v>1162.41076217721</v>
      </c>
      <c r="F1568" s="116">
        <v>1182.7</v>
      </c>
      <c r="G1568">
        <v>330396</v>
      </c>
      <c r="H1568" s="116"/>
      <c r="I1568" s="116"/>
      <c r="L1568" s="170">
        <v>44315</v>
      </c>
      <c r="M1568" s="116">
        <v>1146.222186904</v>
      </c>
      <c r="N1568" s="116">
        <v>1175.6460584869701</v>
      </c>
      <c r="O1568" s="116">
        <v>1142.0534011443101</v>
      </c>
      <c r="P1568" s="116">
        <v>1160.0373490146201</v>
      </c>
      <c r="Q1568" s="116">
        <v>1182.3</v>
      </c>
      <c r="R1568">
        <v>4070698</v>
      </c>
    </row>
    <row r="1569" spans="1:18" x14ac:dyDescent="0.25">
      <c r="A1569" s="170">
        <v>44316</v>
      </c>
      <c r="B1569" s="116">
        <v>1163.7680391305501</v>
      </c>
      <c r="C1569" s="116">
        <v>1123.14667888432</v>
      </c>
      <c r="D1569" s="116">
        <v>1108.45900328216</v>
      </c>
      <c r="E1569" s="116">
        <v>1138.17367372481</v>
      </c>
      <c r="F1569" s="116">
        <v>1158.5</v>
      </c>
      <c r="G1569">
        <v>291832</v>
      </c>
      <c r="H1569" s="116"/>
      <c r="I1569" s="116"/>
      <c r="L1569" s="170">
        <v>44316</v>
      </c>
      <c r="M1569" s="116">
        <v>1123.3423394787001</v>
      </c>
      <c r="N1569" s="116">
        <v>1164.3030832803599</v>
      </c>
      <c r="O1569" s="116">
        <v>1108.1214240305101</v>
      </c>
      <c r="P1569" s="116">
        <v>1135.26700572155</v>
      </c>
      <c r="Q1569" s="116">
        <v>1158.7</v>
      </c>
      <c r="R1569">
        <v>4232500</v>
      </c>
    </row>
    <row r="1570" spans="1:18" x14ac:dyDescent="0.25">
      <c r="A1570" s="170">
        <v>44319</v>
      </c>
      <c r="B1570" s="116">
        <v>1224.4577086153599</v>
      </c>
      <c r="C1570" s="116">
        <v>1217.2835304334501</v>
      </c>
      <c r="D1570" s="116">
        <v>1089.1178066971499</v>
      </c>
      <c r="E1570" s="116">
        <v>1119.7050123240799</v>
      </c>
      <c r="F1570" s="116">
        <v>1255.5999999999999</v>
      </c>
      <c r="G1570">
        <v>607822</v>
      </c>
      <c r="H1570" s="116"/>
      <c r="I1570" s="116"/>
      <c r="L1570" s="170">
        <v>44319</v>
      </c>
      <c r="M1570" s="116">
        <v>1217.23696757788</v>
      </c>
      <c r="N1570" s="116">
        <v>1225.81691036236</v>
      </c>
      <c r="O1570" s="116">
        <v>1088.39240305149</v>
      </c>
      <c r="P1570" s="116">
        <v>1110.15734265734</v>
      </c>
      <c r="Q1570" s="116">
        <v>1255.55</v>
      </c>
      <c r="R1570">
        <v>11276228</v>
      </c>
    </row>
    <row r="1571" spans="1:18" x14ac:dyDescent="0.25">
      <c r="A1571" s="170">
        <v>44320</v>
      </c>
      <c r="B1571" s="116">
        <v>1259.1652192792001</v>
      </c>
      <c r="C1571" s="116">
        <v>1223.6821217848801</v>
      </c>
      <c r="D1571" s="116">
        <v>1203.9046576077201</v>
      </c>
      <c r="E1571" s="116">
        <v>1245.7863464534801</v>
      </c>
      <c r="F1571" s="116">
        <v>1262.2</v>
      </c>
      <c r="G1571">
        <v>711456</v>
      </c>
      <c r="H1571" s="116"/>
      <c r="I1571" s="116"/>
      <c r="L1571" s="170">
        <v>44320</v>
      </c>
      <c r="M1571" s="116">
        <v>1223.9748887476201</v>
      </c>
      <c r="N1571" s="116">
        <v>1259.31261919898</v>
      </c>
      <c r="O1571" s="116">
        <v>1203.9550222504799</v>
      </c>
      <c r="P1571" s="116">
        <v>1245.7883026064801</v>
      </c>
      <c r="Q1571" s="116">
        <v>1262.5</v>
      </c>
      <c r="R1571">
        <v>10271516</v>
      </c>
    </row>
    <row r="1572" spans="1:18" x14ac:dyDescent="0.25">
      <c r="A1572" s="170">
        <v>44321</v>
      </c>
      <c r="B1572" s="116">
        <v>1250.63376414396</v>
      </c>
      <c r="C1572" s="116">
        <v>1229.1597037751301</v>
      </c>
      <c r="D1572" s="116">
        <v>1202.4504323005799</v>
      </c>
      <c r="E1572" s="116">
        <v>1238.03047814871</v>
      </c>
      <c r="F1572" s="116">
        <v>1267.8499999999999</v>
      </c>
      <c r="G1572">
        <v>385917</v>
      </c>
      <c r="H1572" s="116"/>
      <c r="I1572" s="116"/>
      <c r="L1572" s="170">
        <v>44321</v>
      </c>
      <c r="M1572" s="116">
        <v>1228.82231404959</v>
      </c>
      <c r="N1572" s="116">
        <v>1248.9391290527701</v>
      </c>
      <c r="O1572" s="116">
        <v>1202.4038461538501</v>
      </c>
      <c r="P1572" s="116">
        <v>1235.51176096631</v>
      </c>
      <c r="Q1572" s="116">
        <v>1267.5</v>
      </c>
      <c r="R1572">
        <v>7805805</v>
      </c>
    </row>
    <row r="1573" spans="1:18" x14ac:dyDescent="0.25">
      <c r="A1573" s="170">
        <v>44322</v>
      </c>
      <c r="B1573" s="116">
        <v>1271.6715569206399</v>
      </c>
      <c r="C1573" s="116">
        <v>1248.0161585911001</v>
      </c>
      <c r="D1573" s="116">
        <v>1224.4577086153599</v>
      </c>
      <c r="E1573" s="116">
        <v>1235.1220275344201</v>
      </c>
      <c r="F1573" s="116">
        <v>1287.3</v>
      </c>
      <c r="G1573">
        <v>401805</v>
      </c>
      <c r="H1573" s="116"/>
      <c r="I1573" s="116"/>
      <c r="L1573" s="170">
        <v>44322</v>
      </c>
      <c r="M1573" s="116">
        <v>1247.48490146217</v>
      </c>
      <c r="N1573" s="116">
        <v>1271.81897647807</v>
      </c>
      <c r="O1573" s="116">
        <v>1224.4596312778101</v>
      </c>
      <c r="P1573" s="116">
        <v>1233.5243165925001</v>
      </c>
      <c r="Q1573" s="116">
        <v>1286.75</v>
      </c>
      <c r="R1573">
        <v>6240535</v>
      </c>
    </row>
    <row r="1574" spans="1:18" x14ac:dyDescent="0.25">
      <c r="A1574" s="170">
        <v>44323</v>
      </c>
      <c r="B1574" s="116">
        <v>1281.6572373630299</v>
      </c>
      <c r="C1574" s="116">
        <v>1258.82590004087</v>
      </c>
      <c r="D1574" s="116">
        <v>1251.3124026206201</v>
      </c>
      <c r="E1574" s="116">
        <v>1262.26756660111</v>
      </c>
      <c r="F1574" s="116">
        <v>1298.45</v>
      </c>
      <c r="G1574">
        <v>322157</v>
      </c>
      <c r="H1574" s="116"/>
      <c r="I1574" s="116"/>
      <c r="L1574" s="170">
        <v>44323</v>
      </c>
      <c r="M1574" s="116">
        <v>1259.26414494596</v>
      </c>
      <c r="N1574" s="116">
        <v>1282.0470438652301</v>
      </c>
      <c r="O1574" s="116">
        <v>1251.07199618563</v>
      </c>
      <c r="P1574" s="116">
        <v>1265.17800381437</v>
      </c>
      <c r="Q1574" s="116">
        <v>1298.9000000000001</v>
      </c>
      <c r="R1574">
        <v>4584524</v>
      </c>
    </row>
    <row r="1575" spans="1:18" x14ac:dyDescent="0.25">
      <c r="A1575" s="170">
        <v>44326</v>
      </c>
      <c r="B1575" s="116">
        <v>1273.65899817374</v>
      </c>
      <c r="C1575" s="116">
        <v>1264.2550078542099</v>
      </c>
      <c r="D1575" s="116">
        <v>1247.6283651758599</v>
      </c>
      <c r="E1575" s="116">
        <v>1260.1831769942</v>
      </c>
      <c r="F1575" s="116">
        <v>1304.05</v>
      </c>
      <c r="G1575">
        <v>274052</v>
      </c>
      <c r="H1575" s="116"/>
      <c r="I1575" s="116"/>
      <c r="L1575" s="170">
        <v>44326</v>
      </c>
      <c r="M1575" s="116">
        <v>1264.3054672600099</v>
      </c>
      <c r="N1575" s="116">
        <v>1273.9033693579099</v>
      </c>
      <c r="O1575" s="116">
        <v>1247.048633185</v>
      </c>
      <c r="P1575" s="116">
        <v>1255.3862047043899</v>
      </c>
      <c r="Q1575" s="116">
        <v>1304.0999999999999</v>
      </c>
      <c r="R1575">
        <v>3892338</v>
      </c>
    </row>
    <row r="1576" spans="1:18" x14ac:dyDescent="0.25">
      <c r="A1576" s="170">
        <v>44327</v>
      </c>
      <c r="B1576" s="116">
        <v>1285.53517151541</v>
      </c>
      <c r="C1576" s="116">
        <v>1263.2370501391999</v>
      </c>
      <c r="D1576" s="116">
        <v>1246.4165107532399</v>
      </c>
      <c r="E1576" s="116">
        <v>1254.51169829634</v>
      </c>
      <c r="F1576" s="116">
        <v>1303</v>
      </c>
      <c r="G1576">
        <v>203857</v>
      </c>
      <c r="H1576" s="116"/>
      <c r="I1576" s="116"/>
      <c r="L1576" s="170">
        <v>44327</v>
      </c>
      <c r="M1576" s="116">
        <v>1263.7237762237801</v>
      </c>
      <c r="N1576" s="116">
        <v>1285.5371900826401</v>
      </c>
      <c r="O1576" s="116">
        <v>1244.81881754609</v>
      </c>
      <c r="P1576" s="116">
        <v>1252.5746980292399</v>
      </c>
      <c r="Q1576" s="116">
        <v>1303.5</v>
      </c>
      <c r="R1576">
        <v>4744734</v>
      </c>
    </row>
    <row r="1577" spans="1:18" x14ac:dyDescent="0.25">
      <c r="A1577" s="170">
        <v>44328</v>
      </c>
      <c r="B1577" s="116">
        <v>1288.0558287144599</v>
      </c>
      <c r="C1577" s="116">
        <v>1245.44702721514</v>
      </c>
      <c r="D1577" s="116">
        <v>1239.9694452249</v>
      </c>
      <c r="E1577" s="116">
        <v>1266.2424491073</v>
      </c>
      <c r="F1577" s="116">
        <v>1284.6500000000001</v>
      </c>
      <c r="G1577">
        <v>180215</v>
      </c>
      <c r="H1577" s="116"/>
      <c r="I1577" s="116"/>
      <c r="L1577" s="170">
        <v>44328</v>
      </c>
      <c r="M1577" s="116">
        <v>1246.5638906547999</v>
      </c>
      <c r="N1577" s="116">
        <v>1287.9609027336301</v>
      </c>
      <c r="O1577" s="116">
        <v>1239.5835982199601</v>
      </c>
      <c r="P1577" s="116">
        <v>1270.9949141767299</v>
      </c>
      <c r="Q1577" s="116">
        <v>1285.8</v>
      </c>
      <c r="R1577">
        <v>4143731</v>
      </c>
    </row>
    <row r="1578" spans="1:18" x14ac:dyDescent="0.25">
      <c r="A1578" s="170">
        <v>44330</v>
      </c>
      <c r="B1578" s="116">
        <v>1263.0916276084899</v>
      </c>
      <c r="C1578" s="116">
        <v>1182.8183906541301</v>
      </c>
      <c r="D1578" s="116">
        <v>1176.0320058874599</v>
      </c>
      <c r="E1578" s="116">
        <v>1256.45066537253</v>
      </c>
      <c r="F1578" s="116">
        <v>1220.05</v>
      </c>
      <c r="G1578">
        <v>446220</v>
      </c>
      <c r="H1578" s="116"/>
      <c r="I1578" s="116"/>
      <c r="L1578" s="170">
        <v>44330</v>
      </c>
      <c r="M1578" s="116">
        <v>1183.111093452</v>
      </c>
      <c r="N1578" s="116">
        <v>1262.26954863318</v>
      </c>
      <c r="O1578" s="116">
        <v>1176.3246980292399</v>
      </c>
      <c r="P1578" s="116">
        <v>1260.3305785124001</v>
      </c>
      <c r="Q1578" s="116">
        <v>1220.3499999999999</v>
      </c>
      <c r="R1578">
        <v>6377643</v>
      </c>
    </row>
    <row r="1579" spans="1:18" x14ac:dyDescent="0.25">
      <c r="A1579" s="170">
        <v>44333</v>
      </c>
      <c r="B1579" s="116">
        <v>1258.9228483946799</v>
      </c>
      <c r="C1579" s="116">
        <v>1250.1005481980001</v>
      </c>
      <c r="D1579" s="116">
        <v>1189.7017237746199</v>
      </c>
      <c r="E1579" s="116">
        <v>1197.31216954867</v>
      </c>
      <c r="F1579" s="116">
        <v>1289.45</v>
      </c>
      <c r="G1579">
        <v>456118</v>
      </c>
      <c r="H1579" s="116"/>
      <c r="I1579" s="116"/>
      <c r="L1579" s="170">
        <v>44333</v>
      </c>
      <c r="M1579" s="116">
        <v>1249.7631913540999</v>
      </c>
      <c r="N1579" s="116">
        <v>1259.361093452</v>
      </c>
      <c r="O1579" s="116">
        <v>1189.9944373808</v>
      </c>
      <c r="P1579" s="116">
        <v>1192.46662428481</v>
      </c>
      <c r="Q1579" s="116">
        <v>1289.0999999999999</v>
      </c>
      <c r="R1579">
        <v>7782732</v>
      </c>
    </row>
    <row r="1580" spans="1:18" x14ac:dyDescent="0.25">
      <c r="A1580" s="170">
        <v>44334</v>
      </c>
      <c r="B1580" s="116">
        <v>1304.0523070930501</v>
      </c>
      <c r="C1580" s="116">
        <v>1288.3951479528</v>
      </c>
      <c r="D1580" s="116">
        <v>1262.07366989349</v>
      </c>
      <c r="E1580" s="116">
        <v>1277.7793032106499</v>
      </c>
      <c r="F1580" s="116">
        <v>1328.95</v>
      </c>
      <c r="G1580">
        <v>465887</v>
      </c>
      <c r="H1580" s="116"/>
      <c r="I1580" s="116"/>
      <c r="L1580" s="170">
        <v>44334</v>
      </c>
      <c r="M1580" s="116">
        <v>1286.2158296249199</v>
      </c>
      <c r="N1580" s="116">
        <v>1303.9089319771099</v>
      </c>
      <c r="O1580" s="116">
        <v>1262.26954863318</v>
      </c>
      <c r="P1580" s="116">
        <v>1274.82438016529</v>
      </c>
      <c r="Q1580" s="116">
        <v>1326.7</v>
      </c>
      <c r="R1580">
        <v>6531595</v>
      </c>
    </row>
    <row r="1581" spans="1:18" x14ac:dyDescent="0.25">
      <c r="A1581" s="170">
        <v>44335</v>
      </c>
      <c r="B1581" s="116">
        <v>1309.2875181987699</v>
      </c>
      <c r="C1581" s="116">
        <v>1254.8510175346701</v>
      </c>
      <c r="D1581" s="116">
        <v>1245.2531305075199</v>
      </c>
      <c r="E1581" s="116">
        <v>1307.83329289162</v>
      </c>
      <c r="F1581" s="116">
        <v>1294.3499999999999</v>
      </c>
      <c r="G1581">
        <v>435929</v>
      </c>
      <c r="H1581" s="116"/>
      <c r="I1581" s="116"/>
      <c r="L1581" s="170">
        <v>44335</v>
      </c>
      <c r="M1581" s="116">
        <v>1255.1923076923099</v>
      </c>
      <c r="N1581" s="116">
        <v>1310.3075333757199</v>
      </c>
      <c r="O1581" s="116">
        <v>1244.72186904005</v>
      </c>
      <c r="P1581" s="116">
        <v>1308.8048315321</v>
      </c>
      <c r="Q1581" s="116">
        <v>1294.7</v>
      </c>
      <c r="R1581">
        <v>9925284</v>
      </c>
    </row>
    <row r="1582" spans="1:18" x14ac:dyDescent="0.25">
      <c r="A1582" s="170">
        <v>44336</v>
      </c>
      <c r="B1582" s="116">
        <v>1279.7182702868399</v>
      </c>
      <c r="C1582" s="116">
        <v>1262.07366989349</v>
      </c>
      <c r="D1582" s="116">
        <v>1244.8168629153799</v>
      </c>
      <c r="E1582" s="116">
        <v>1265.1760172154</v>
      </c>
      <c r="F1582" s="116">
        <v>1301.8</v>
      </c>
      <c r="G1582">
        <v>213305</v>
      </c>
      <c r="H1582" s="116"/>
      <c r="I1582" s="116"/>
      <c r="L1582" s="170">
        <v>44336</v>
      </c>
      <c r="M1582" s="116">
        <v>1262.26954863318</v>
      </c>
      <c r="N1582" s="116">
        <v>1279.7202797202799</v>
      </c>
      <c r="O1582" s="116">
        <v>1244.77034329307</v>
      </c>
      <c r="P1582" s="116">
        <v>1261.5909090909099</v>
      </c>
      <c r="Q1582" s="116">
        <v>1302</v>
      </c>
      <c r="R1582">
        <v>5837747</v>
      </c>
    </row>
    <row r="1583" spans="1:18" x14ac:dyDescent="0.25">
      <c r="A1583" s="170">
        <v>44337</v>
      </c>
      <c r="B1583" s="116">
        <v>1295.0361101887599</v>
      </c>
      <c r="C1583" s="116">
        <v>1274.6769558887399</v>
      </c>
      <c r="D1583" s="116">
        <v>1260.6679187632501</v>
      </c>
      <c r="E1583" s="116">
        <v>1283.5962044392199</v>
      </c>
      <c r="F1583" s="116">
        <v>1314.8</v>
      </c>
      <c r="G1583">
        <v>290465</v>
      </c>
      <c r="H1583" s="116"/>
      <c r="I1583" s="116"/>
      <c r="L1583" s="170">
        <v>44337</v>
      </c>
      <c r="M1583" s="116">
        <v>1274.96980292435</v>
      </c>
      <c r="N1583" s="116">
        <v>1295.2320406865899</v>
      </c>
      <c r="O1583" s="116">
        <v>1260.3790527654201</v>
      </c>
      <c r="P1583" s="116">
        <v>1279.7202797202799</v>
      </c>
      <c r="Q1583" s="116">
        <v>1315.1</v>
      </c>
      <c r="R1583">
        <v>8314215</v>
      </c>
    </row>
    <row r="1584" spans="1:18" x14ac:dyDescent="0.25">
      <c r="A1584" s="170">
        <v>44340</v>
      </c>
      <c r="B1584" s="116">
        <v>1288.4436221297001</v>
      </c>
      <c r="C1584" s="116">
        <v>1268.32683871421</v>
      </c>
      <c r="D1584" s="116">
        <v>1263.0431534315901</v>
      </c>
      <c r="E1584" s="116">
        <v>1275.93728448826</v>
      </c>
      <c r="F1584" s="116">
        <v>1308.25</v>
      </c>
      <c r="G1584">
        <v>273348</v>
      </c>
      <c r="H1584" s="116"/>
      <c r="I1584" s="116"/>
      <c r="L1584" s="170">
        <v>44340</v>
      </c>
      <c r="M1584" s="116">
        <v>1266.9230769230801</v>
      </c>
      <c r="N1584" s="116">
        <v>1288.1063254926901</v>
      </c>
      <c r="O1584" s="116">
        <v>1263.23903369358</v>
      </c>
      <c r="P1584" s="116">
        <v>1281.36840432295</v>
      </c>
      <c r="Q1584" s="116">
        <v>1306.8</v>
      </c>
      <c r="R1584">
        <v>7913411</v>
      </c>
    </row>
    <row r="1585" spans="1:18" x14ac:dyDescent="0.25">
      <c r="A1585" s="170">
        <v>44341</v>
      </c>
      <c r="B1585" s="116">
        <v>1281.56028900922</v>
      </c>
      <c r="C1585" s="116">
        <v>1243.84737937728</v>
      </c>
      <c r="D1585" s="116">
        <v>1234.2494923501299</v>
      </c>
      <c r="E1585" s="116">
        <v>1276.61592296493</v>
      </c>
      <c r="F1585" s="116">
        <v>1283</v>
      </c>
      <c r="G1585">
        <v>225642</v>
      </c>
      <c r="H1585" s="116"/>
      <c r="I1585" s="116"/>
      <c r="L1585" s="170">
        <v>44341</v>
      </c>
      <c r="M1585" s="116">
        <v>1243.6069612205999</v>
      </c>
      <c r="N1585" s="116">
        <v>1281.6592498410701</v>
      </c>
      <c r="O1585" s="116">
        <v>1234.0575333757199</v>
      </c>
      <c r="P1585" s="116">
        <v>1274.2426891290499</v>
      </c>
      <c r="Q1585" s="116">
        <v>1282.75</v>
      </c>
      <c r="R1585">
        <v>3697062</v>
      </c>
    </row>
    <row r="1586" spans="1:18" x14ac:dyDescent="0.25">
      <c r="A1586" s="170">
        <v>44342</v>
      </c>
      <c r="B1586" s="116">
        <v>1286.31075834589</v>
      </c>
      <c r="C1586" s="116">
        <v>1282.57824672422</v>
      </c>
      <c r="D1586" s="116">
        <v>1215.87777930321</v>
      </c>
      <c r="E1586" s="116">
        <v>1254.22085323491</v>
      </c>
      <c r="F1586" s="116">
        <v>1322.95</v>
      </c>
      <c r="G1586">
        <v>350394</v>
      </c>
      <c r="H1586" s="116"/>
      <c r="I1586" s="116"/>
      <c r="L1586" s="170">
        <v>44342</v>
      </c>
      <c r="M1586" s="116">
        <v>1282.4348378893801</v>
      </c>
      <c r="N1586" s="116">
        <v>1286.3612523839799</v>
      </c>
      <c r="O1586" s="116">
        <v>1215.9766369993599</v>
      </c>
      <c r="P1586" s="116">
        <v>1249.6177685950399</v>
      </c>
      <c r="Q1586" s="116">
        <v>1322.8</v>
      </c>
      <c r="R1586">
        <v>5630730</v>
      </c>
    </row>
    <row r="1587" spans="1:18" x14ac:dyDescent="0.25">
      <c r="A1587" s="170">
        <v>44343</v>
      </c>
      <c r="B1587" s="116">
        <v>1300.6591147097099</v>
      </c>
      <c r="C1587" s="116">
        <v>1284.4202654466001</v>
      </c>
      <c r="D1587" s="116">
        <v>1265.4183880999201</v>
      </c>
      <c r="E1587" s="116">
        <v>1288.4436221297001</v>
      </c>
      <c r="F1587" s="116">
        <v>1324.85</v>
      </c>
      <c r="G1587">
        <v>601798</v>
      </c>
      <c r="H1587" s="116"/>
      <c r="I1587" s="116"/>
      <c r="L1587" s="170">
        <v>44343</v>
      </c>
      <c r="M1587" s="116">
        <v>1285.3432930705701</v>
      </c>
      <c r="N1587" s="116">
        <v>1301.0489510489499</v>
      </c>
      <c r="O1587" s="116">
        <v>1264.4508900190699</v>
      </c>
      <c r="P1587" s="116">
        <v>1288.9303877940199</v>
      </c>
      <c r="Q1587" s="116">
        <v>1325.8</v>
      </c>
      <c r="R1587">
        <v>36690935</v>
      </c>
    </row>
    <row r="1588" spans="1:18" x14ac:dyDescent="0.25">
      <c r="A1588" s="170">
        <v>44344</v>
      </c>
      <c r="B1588" s="116">
        <v>1289.4131056678</v>
      </c>
      <c r="C1588" s="116">
        <v>1262.7523083701601</v>
      </c>
      <c r="D1588" s="116">
        <v>1258.68047751015</v>
      </c>
      <c r="E1588" s="116">
        <v>1273.9013690582599</v>
      </c>
      <c r="F1588" s="116">
        <v>1302.5</v>
      </c>
      <c r="G1588">
        <v>128243</v>
      </c>
      <c r="H1588" s="116"/>
      <c r="I1588" s="116"/>
      <c r="L1588" s="170">
        <v>44344</v>
      </c>
      <c r="M1588" s="116">
        <v>1262.85123966942</v>
      </c>
      <c r="N1588" s="116">
        <v>1289.8513986014</v>
      </c>
      <c r="O1588" s="116">
        <v>1258.3916083916099</v>
      </c>
      <c r="P1588" s="116">
        <v>1271.57660521297</v>
      </c>
      <c r="Q1588" s="116">
        <v>1302.5999999999999</v>
      </c>
      <c r="R1588">
        <v>2979585</v>
      </c>
    </row>
    <row r="1589" spans="1:18" x14ac:dyDescent="0.25">
      <c r="A1589" s="170">
        <v>44347</v>
      </c>
      <c r="B1589" s="116">
        <v>1280.68775382493</v>
      </c>
      <c r="C1589" s="116">
        <v>1275.59796524993</v>
      </c>
      <c r="D1589" s="116">
        <v>1253.0574729892001</v>
      </c>
      <c r="E1589" s="116">
        <v>1268.0844678296901</v>
      </c>
      <c r="F1589" s="116">
        <v>1315.75</v>
      </c>
      <c r="G1589">
        <v>143765</v>
      </c>
      <c r="H1589" s="116"/>
      <c r="I1589" s="116"/>
      <c r="L1589" s="170">
        <v>44347</v>
      </c>
      <c r="M1589" s="116">
        <v>1276.1331849968201</v>
      </c>
      <c r="N1589" s="116">
        <v>1281.17450731087</v>
      </c>
      <c r="O1589" s="116">
        <v>1252.5746980292399</v>
      </c>
      <c r="P1589" s="116">
        <v>1267.1654481881801</v>
      </c>
      <c r="Q1589" s="116">
        <v>1316.3</v>
      </c>
      <c r="R1589">
        <v>2709718</v>
      </c>
    </row>
    <row r="1590" spans="1:18" x14ac:dyDescent="0.25">
      <c r="A1590" s="170">
        <v>44348</v>
      </c>
      <c r="B1590" s="116">
        <v>1386.2160369466901</v>
      </c>
      <c r="C1590" s="116">
        <v>1372.06157729049</v>
      </c>
      <c r="D1590" s="116">
        <v>1269.82953819826</v>
      </c>
      <c r="E1590" s="116">
        <v>1284.4687396235099</v>
      </c>
      <c r="F1590" s="116">
        <v>1415.25</v>
      </c>
      <c r="G1590">
        <v>467146</v>
      </c>
      <c r="H1590" s="116"/>
      <c r="I1590" s="116"/>
      <c r="L1590" s="170">
        <v>44348</v>
      </c>
      <c r="M1590" s="116">
        <v>1373.03321678322</v>
      </c>
      <c r="N1590" s="116">
        <v>1386.3636363636399</v>
      </c>
      <c r="O1590" s="116">
        <v>1269.10441830896</v>
      </c>
      <c r="P1590" s="116">
        <v>1279.6233312142399</v>
      </c>
      <c r="Q1590" s="116">
        <v>1416.25</v>
      </c>
      <c r="R1590">
        <v>10018645</v>
      </c>
    </row>
    <row r="1591" spans="1:18" x14ac:dyDescent="0.25">
      <c r="A1591" s="170">
        <v>44349</v>
      </c>
      <c r="B1591" s="116">
        <v>1509.2434979310899</v>
      </c>
      <c r="C1591" s="116">
        <v>1499.5486625501301</v>
      </c>
      <c r="D1591" s="116">
        <v>1369.97718768358</v>
      </c>
      <c r="E1591" s="116">
        <v>1378.7510137033501</v>
      </c>
      <c r="F1591" s="116">
        <v>1546.75</v>
      </c>
      <c r="G1591">
        <v>1606261</v>
      </c>
      <c r="H1591" s="116"/>
      <c r="I1591" s="116"/>
      <c r="L1591" s="170">
        <v>44349</v>
      </c>
      <c r="M1591" s="116">
        <v>1499.5510171646499</v>
      </c>
      <c r="N1591" s="116">
        <v>1509.48823903369</v>
      </c>
      <c r="O1591" s="116">
        <v>1369.88239033694</v>
      </c>
      <c r="P1591" s="116">
        <v>1382.04942784488</v>
      </c>
      <c r="Q1591" s="116">
        <v>1546.75</v>
      </c>
      <c r="R1591">
        <v>24541949</v>
      </c>
    </row>
    <row r="1592" spans="1:18" x14ac:dyDescent="0.25">
      <c r="A1592" s="170">
        <v>44350</v>
      </c>
      <c r="B1592" s="116">
        <v>1573.66567903757</v>
      </c>
      <c r="C1592" s="116">
        <v>1535.2256567520601</v>
      </c>
      <c r="D1592" s="116">
        <v>1506.7228407320399</v>
      </c>
      <c r="E1592" s="116">
        <v>1513.5092254987101</v>
      </c>
      <c r="F1592" s="116">
        <v>1583.55</v>
      </c>
      <c r="G1592">
        <v>1305346</v>
      </c>
      <c r="H1592" s="116"/>
      <c r="I1592" s="116"/>
      <c r="L1592" s="170">
        <v>44350</v>
      </c>
      <c r="M1592" s="116">
        <v>1534.79179910998</v>
      </c>
      <c r="N1592" s="116">
        <v>1574.24984106802</v>
      </c>
      <c r="O1592" s="116">
        <v>1505.6102987921199</v>
      </c>
      <c r="P1592" s="116">
        <v>1516.27463445645</v>
      </c>
      <c r="Q1592" s="116">
        <v>1583.1</v>
      </c>
      <c r="R1592">
        <v>19107244</v>
      </c>
    </row>
    <row r="1593" spans="1:18" x14ac:dyDescent="0.25">
      <c r="A1593" s="170">
        <v>44351</v>
      </c>
      <c r="B1593" s="116">
        <v>1661.2585167045499</v>
      </c>
      <c r="C1593" s="116">
        <v>1649.28539500907</v>
      </c>
      <c r="D1593" s="116">
        <v>1538.71579748921</v>
      </c>
      <c r="E1593" s="116">
        <v>1551.2706093075501</v>
      </c>
      <c r="F1593" s="116">
        <v>1701.2</v>
      </c>
      <c r="G1593">
        <v>1523312</v>
      </c>
      <c r="H1593" s="116"/>
      <c r="I1593" s="116"/>
      <c r="L1593" s="170">
        <v>44351</v>
      </c>
      <c r="M1593" s="116">
        <v>1649.0456134774299</v>
      </c>
      <c r="N1593" s="116">
        <v>1661.2611252383999</v>
      </c>
      <c r="O1593" s="116">
        <v>1537.40940877305</v>
      </c>
      <c r="P1593" s="116">
        <v>1556.02352193261</v>
      </c>
      <c r="Q1593" s="116">
        <v>1700.95</v>
      </c>
      <c r="R1593">
        <v>21102075</v>
      </c>
    </row>
    <row r="1594" spans="1:18" x14ac:dyDescent="0.25">
      <c r="A1594" s="170">
        <v>44354</v>
      </c>
      <c r="B1594" s="116">
        <v>1666.0089860412199</v>
      </c>
      <c r="C1594" s="116">
        <v>1574.39279169114</v>
      </c>
      <c r="D1594" s="116">
        <v>1563.8738953028001</v>
      </c>
      <c r="E1594" s="116">
        <v>1666.0089860412199</v>
      </c>
      <c r="F1594" s="116">
        <v>1623.95</v>
      </c>
      <c r="G1594">
        <v>1144681</v>
      </c>
      <c r="H1594" s="116"/>
      <c r="I1594" s="116"/>
      <c r="L1594" s="170">
        <v>44354</v>
      </c>
      <c r="M1594" s="116">
        <v>1574.7345835982201</v>
      </c>
      <c r="N1594" s="116">
        <v>1664.79974570884</v>
      </c>
      <c r="O1594" s="116">
        <v>1563.7794024157699</v>
      </c>
      <c r="P1594" s="116">
        <v>1662.66687857597</v>
      </c>
      <c r="Q1594" s="116">
        <v>1624.3</v>
      </c>
      <c r="R1594">
        <v>15350263</v>
      </c>
    </row>
    <row r="1595" spans="1:18" x14ac:dyDescent="0.25">
      <c r="A1595" s="170">
        <v>44355</v>
      </c>
      <c r="B1595" s="116">
        <v>1616.85617065975</v>
      </c>
      <c r="C1595" s="116">
        <v>1586.3174392097301</v>
      </c>
      <c r="D1595" s="116">
        <v>1553.59736979898</v>
      </c>
      <c r="E1595" s="116">
        <v>1588.0140354013899</v>
      </c>
      <c r="F1595" s="116">
        <v>1636.25</v>
      </c>
      <c r="G1595">
        <v>714087</v>
      </c>
      <c r="H1595" s="116"/>
      <c r="I1595" s="116"/>
      <c r="L1595" s="170">
        <v>44355</v>
      </c>
      <c r="M1595" s="116">
        <v>1586.51382708201</v>
      </c>
      <c r="N1595" s="116">
        <v>1617.10108073744</v>
      </c>
      <c r="O1595" s="116">
        <v>1553.5513350286101</v>
      </c>
      <c r="P1595" s="116">
        <v>1583.16910362365</v>
      </c>
      <c r="Q1595" s="116">
        <v>1636.45</v>
      </c>
      <c r="R1595">
        <v>12410257</v>
      </c>
    </row>
    <row r="1596" spans="1:18" x14ac:dyDescent="0.25">
      <c r="A1596" s="170">
        <v>44356</v>
      </c>
      <c r="B1596" s="116">
        <v>1604.4952555490299</v>
      </c>
      <c r="C1596" s="116">
        <v>1545.7930273173099</v>
      </c>
      <c r="D1596" s="116">
        <v>1524.4159153022899</v>
      </c>
      <c r="E1596" s="116">
        <v>1594.8004201680701</v>
      </c>
      <c r="F1596" s="116">
        <v>1594.45</v>
      </c>
      <c r="G1596">
        <v>602692</v>
      </c>
      <c r="H1596" s="116"/>
      <c r="I1596" s="116"/>
      <c r="L1596" s="170">
        <v>44356</v>
      </c>
      <c r="M1596" s="116">
        <v>1545.98935155753</v>
      </c>
      <c r="N1596" s="116">
        <v>1599.1171328671301</v>
      </c>
      <c r="O1596" s="116">
        <v>1523.8850921805499</v>
      </c>
      <c r="P1596" s="116">
        <v>1589.9554990464101</v>
      </c>
      <c r="Q1596" s="116">
        <v>1594.65</v>
      </c>
      <c r="R1596">
        <v>11614666</v>
      </c>
    </row>
    <row r="1597" spans="1:18" x14ac:dyDescent="0.25">
      <c r="A1597" s="170">
        <v>44357</v>
      </c>
      <c r="B1597" s="116">
        <v>1580.93680557329</v>
      </c>
      <c r="C1597" s="116">
        <v>1562.37119581875</v>
      </c>
      <c r="D1597" s="116">
        <v>1542.5452574646899</v>
      </c>
      <c r="E1597" s="116">
        <v>1565.61896567138</v>
      </c>
      <c r="F1597" s="116">
        <v>1611.55</v>
      </c>
      <c r="G1597">
        <v>268132</v>
      </c>
      <c r="H1597" s="116"/>
      <c r="I1597" s="116"/>
      <c r="L1597" s="170">
        <v>44357</v>
      </c>
      <c r="M1597" s="116">
        <v>1562.8099173553701</v>
      </c>
      <c r="N1597" s="116">
        <v>1580.26064844247</v>
      </c>
      <c r="O1597" s="116">
        <v>1542.4507310870899</v>
      </c>
      <c r="P1597" s="116">
        <v>1562.8099173553701</v>
      </c>
      <c r="Q1597" s="116">
        <v>1612</v>
      </c>
      <c r="R1597">
        <v>5362307</v>
      </c>
    </row>
    <row r="1598" spans="1:18" x14ac:dyDescent="0.25">
      <c r="A1598" s="170">
        <v>44358</v>
      </c>
      <c r="B1598" s="116">
        <v>1571.67823778448</v>
      </c>
      <c r="C1598" s="116">
        <v>1552.5794120839801</v>
      </c>
      <c r="D1598" s="116">
        <v>1527.5182626241999</v>
      </c>
      <c r="E1598" s="116">
        <v>1568.6243646394701</v>
      </c>
      <c r="F1598" s="116">
        <v>1601.45</v>
      </c>
      <c r="G1598">
        <v>336513</v>
      </c>
      <c r="H1598" s="116"/>
      <c r="I1598" s="116"/>
      <c r="L1598" s="170">
        <v>44358</v>
      </c>
      <c r="M1598" s="116">
        <v>1552.72727272727</v>
      </c>
      <c r="N1598" s="116">
        <v>1570.66274634456</v>
      </c>
      <c r="O1598" s="116">
        <v>1527.1813413858899</v>
      </c>
      <c r="P1598" s="116">
        <v>1565.8153210425901</v>
      </c>
      <c r="Q1598" s="116">
        <v>1601.6</v>
      </c>
      <c r="R1598">
        <v>5355387</v>
      </c>
    </row>
    <row r="1599" spans="1:18" x14ac:dyDescent="0.25">
      <c r="A1599" s="170">
        <v>44361</v>
      </c>
      <c r="B1599" s="116">
        <v>1483.30981328702</v>
      </c>
      <c r="C1599" s="116">
        <v>1455.4371615667501</v>
      </c>
      <c r="D1599" s="116">
        <v>1164.4466776072099</v>
      </c>
      <c r="E1599" s="116">
        <v>1397.3650976347999</v>
      </c>
      <c r="F1599" s="116">
        <v>1501.25</v>
      </c>
      <c r="G1599">
        <v>2351754</v>
      </c>
      <c r="H1599" s="116"/>
      <c r="I1599" s="116"/>
      <c r="L1599" s="170">
        <v>44361</v>
      </c>
      <c r="M1599" s="116">
        <v>1455.6333439288001</v>
      </c>
      <c r="N1599" s="116">
        <v>1483.2636681500301</v>
      </c>
      <c r="O1599" s="116">
        <v>1164.54545454545</v>
      </c>
      <c r="P1599" s="116">
        <v>1397.46424030515</v>
      </c>
      <c r="Q1599" s="116">
        <v>1501.45</v>
      </c>
      <c r="R1599">
        <v>43530006</v>
      </c>
    </row>
    <row r="1600" spans="1:18" x14ac:dyDescent="0.25">
      <c r="A1600" s="170">
        <v>44362</v>
      </c>
      <c r="B1600" s="116">
        <v>1524.90065707134</v>
      </c>
      <c r="C1600" s="116">
        <v>1491.1141557686899</v>
      </c>
      <c r="D1600" s="116">
        <v>1432.21803082935</v>
      </c>
      <c r="E1600" s="116">
        <v>1511.4248358918001</v>
      </c>
      <c r="F1600" s="116">
        <v>1538.05</v>
      </c>
      <c r="G1600">
        <v>1383257</v>
      </c>
      <c r="H1600" s="116"/>
      <c r="I1600" s="116"/>
      <c r="L1600" s="170">
        <v>44362</v>
      </c>
      <c r="M1600" s="116">
        <v>1491.89208518754</v>
      </c>
      <c r="N1600" s="116">
        <v>1524.61220597584</v>
      </c>
      <c r="O1600" s="116">
        <v>1432.1233312142399</v>
      </c>
      <c r="P1600" s="116">
        <v>1503.62285441831</v>
      </c>
      <c r="Q1600" s="116">
        <v>1538.85</v>
      </c>
      <c r="R1600">
        <v>22320542</v>
      </c>
    </row>
    <row r="1601" spans="1:18" x14ac:dyDescent="0.25">
      <c r="A1601" s="170">
        <v>44363</v>
      </c>
      <c r="B1601" s="116">
        <v>1490.87178488417</v>
      </c>
      <c r="C1601" s="116">
        <v>1405.0724917626601</v>
      </c>
      <c r="D1601" s="116">
        <v>1366.24467606191</v>
      </c>
      <c r="E1601" s="116">
        <v>1465.76216124748</v>
      </c>
      <c r="F1601" s="116">
        <v>1449.3</v>
      </c>
      <c r="G1601">
        <v>718638</v>
      </c>
      <c r="H1601" s="116"/>
      <c r="I1601" s="116"/>
      <c r="L1601" s="170">
        <v>44363</v>
      </c>
      <c r="M1601" s="116">
        <v>1404.1052129688501</v>
      </c>
      <c r="N1601" s="116">
        <v>1491.26191989828</v>
      </c>
      <c r="O1601" s="116">
        <v>1366.29529561348</v>
      </c>
      <c r="P1601" s="116">
        <v>1463.92244119517</v>
      </c>
      <c r="Q1601" s="116">
        <v>1448.3</v>
      </c>
      <c r="R1601">
        <v>12626149</v>
      </c>
    </row>
    <row r="1602" spans="1:18" x14ac:dyDescent="0.25">
      <c r="A1602" s="170">
        <v>44364</v>
      </c>
      <c r="B1602" s="116">
        <v>1391.4512480524099</v>
      </c>
      <c r="C1602" s="116">
        <v>1326.2050059385499</v>
      </c>
      <c r="D1602" s="116">
        <v>1264.59432709254</v>
      </c>
      <c r="E1602" s="116">
        <v>1338.9537144645101</v>
      </c>
      <c r="F1602" s="116">
        <v>1367.95</v>
      </c>
      <c r="G1602">
        <v>2215719</v>
      </c>
      <c r="H1602" s="116"/>
      <c r="I1602" s="116"/>
      <c r="L1602" s="170">
        <v>44364</v>
      </c>
      <c r="M1602" s="116">
        <v>1325.9647171010799</v>
      </c>
      <c r="N1602" s="116">
        <v>1392.1805467260001</v>
      </c>
      <c r="O1602" s="116">
        <v>1263.7237762237801</v>
      </c>
      <c r="P1602" s="116">
        <v>1337.8893833439299</v>
      </c>
      <c r="Q1602" s="116">
        <v>1367.7</v>
      </c>
      <c r="R1602">
        <v>27926070</v>
      </c>
    </row>
    <row r="1603" spans="1:18" x14ac:dyDescent="0.25">
      <c r="A1603" s="170">
        <v>44365</v>
      </c>
      <c r="B1603" s="116">
        <v>1458.1032412965201</v>
      </c>
      <c r="C1603" s="116">
        <v>1442.44608215627</v>
      </c>
      <c r="D1603" s="116">
        <v>1290.9642793287501</v>
      </c>
      <c r="E1603" s="116">
        <v>1303.95535873924</v>
      </c>
      <c r="F1603" s="116">
        <v>1487.85</v>
      </c>
      <c r="G1603">
        <v>2455376</v>
      </c>
      <c r="H1603" s="116"/>
      <c r="I1603" s="116"/>
      <c r="L1603" s="170">
        <v>44365</v>
      </c>
      <c r="M1603" s="116">
        <v>1442.1090273363</v>
      </c>
      <c r="N1603" s="116">
        <v>1458.1055308328</v>
      </c>
      <c r="O1603" s="116">
        <v>1291.8873172282299</v>
      </c>
      <c r="P1603" s="116">
        <v>1308.8048315321</v>
      </c>
      <c r="Q1603" s="116">
        <v>1487.5</v>
      </c>
      <c r="R1603">
        <v>30526777</v>
      </c>
    </row>
    <row r="1604" spans="1:18" x14ac:dyDescent="0.25">
      <c r="A1604" s="170">
        <v>44368</v>
      </c>
      <c r="B1604" s="116">
        <v>1534.3531215677799</v>
      </c>
      <c r="C1604" s="116">
        <v>1493.68328714465</v>
      </c>
      <c r="D1604" s="116">
        <v>1400.4189707798</v>
      </c>
      <c r="E1604" s="116">
        <v>1446.4209646624599</v>
      </c>
      <c r="F1604" s="116">
        <v>1540.7</v>
      </c>
      <c r="G1604">
        <v>1983533</v>
      </c>
      <c r="H1604" s="116"/>
      <c r="I1604" s="116"/>
      <c r="L1604" s="170">
        <v>44368</v>
      </c>
      <c r="M1604" s="116">
        <v>1493.0069930069899</v>
      </c>
      <c r="N1604" s="116">
        <v>1533.72536554355</v>
      </c>
      <c r="O1604" s="116">
        <v>1400.7604895104901</v>
      </c>
      <c r="P1604" s="116">
        <v>1444.5327399872899</v>
      </c>
      <c r="Q1604" s="116">
        <v>1540</v>
      </c>
      <c r="R1604">
        <v>21101083</v>
      </c>
    </row>
    <row r="1605" spans="1:18" x14ac:dyDescent="0.25">
      <c r="A1605" s="170">
        <v>44369</v>
      </c>
      <c r="B1605" s="116">
        <v>1534.83786333682</v>
      </c>
      <c r="C1605" s="116">
        <v>1494.4103997982199</v>
      </c>
      <c r="D1605" s="116">
        <v>1484.61861606345</v>
      </c>
      <c r="E1605" s="116">
        <v>1509.48586881561</v>
      </c>
      <c r="F1605" s="116">
        <v>1541.45</v>
      </c>
      <c r="G1605">
        <v>1273267</v>
      </c>
      <c r="H1605" s="116"/>
      <c r="I1605" s="116"/>
      <c r="L1605" s="170">
        <v>44369</v>
      </c>
      <c r="M1605" s="116">
        <v>1494.55816910362</v>
      </c>
      <c r="N1605" s="116">
        <v>1533.72536554355</v>
      </c>
      <c r="O1605" s="116">
        <v>1485.05721551176</v>
      </c>
      <c r="P1605" s="116">
        <v>1506.62825810553</v>
      </c>
      <c r="Q1605" s="116">
        <v>1541.6</v>
      </c>
      <c r="R1605">
        <v>12069983</v>
      </c>
    </row>
    <row r="1606" spans="1:18" x14ac:dyDescent="0.25">
      <c r="A1606" s="170">
        <v>44370</v>
      </c>
      <c r="B1606" s="116">
        <v>1521.507464688</v>
      </c>
      <c r="C1606" s="116">
        <v>1458.49103471176</v>
      </c>
      <c r="D1606" s="116">
        <v>1436.0959649817401</v>
      </c>
      <c r="E1606" s="116">
        <v>1515.10887333657</v>
      </c>
      <c r="F1606" s="116">
        <v>1504.4</v>
      </c>
      <c r="G1606">
        <v>723231</v>
      </c>
      <c r="H1606" s="116"/>
      <c r="I1606" s="116"/>
      <c r="L1606" s="170">
        <v>44370</v>
      </c>
      <c r="M1606" s="116">
        <v>1458.8326446281001</v>
      </c>
      <c r="N1606" s="116">
        <v>1522.0430705658</v>
      </c>
      <c r="O1606" s="116">
        <v>1436.09821996186</v>
      </c>
      <c r="P1606" s="116">
        <v>1512.49364272092</v>
      </c>
      <c r="Q1606" s="116">
        <v>1504.75</v>
      </c>
      <c r="R1606">
        <v>12679703</v>
      </c>
    </row>
    <row r="1607" spans="1:18" x14ac:dyDescent="0.25">
      <c r="A1607" s="170">
        <v>44371</v>
      </c>
      <c r="B1607" s="116">
        <v>1477.92917965058</v>
      </c>
      <c r="C1607" s="116">
        <v>1462.2720205103301</v>
      </c>
      <c r="D1607" s="116">
        <v>1442.6399788638901</v>
      </c>
      <c r="E1607" s="116">
        <v>1467.7980766774799</v>
      </c>
      <c r="F1607" s="116">
        <v>1508.3</v>
      </c>
      <c r="G1607">
        <v>488600</v>
      </c>
      <c r="H1607" s="116"/>
      <c r="I1607" s="116"/>
      <c r="L1607" s="170">
        <v>44371</v>
      </c>
      <c r="M1607" s="116">
        <v>1462.4682136045799</v>
      </c>
      <c r="N1607" s="116">
        <v>1472.64780673872</v>
      </c>
      <c r="O1607" s="116">
        <v>1442.64224411952</v>
      </c>
      <c r="P1607" s="116">
        <v>1463.87396694215</v>
      </c>
      <c r="Q1607" s="116">
        <v>1508.5</v>
      </c>
      <c r="R1607">
        <v>7261764</v>
      </c>
    </row>
    <row r="1608" spans="1:18" x14ac:dyDescent="0.25">
      <c r="A1608" s="170">
        <v>44372</v>
      </c>
      <c r="B1608" s="116">
        <v>1493.0046486679801</v>
      </c>
      <c r="C1608" s="116">
        <v>1473.0817619601</v>
      </c>
      <c r="D1608" s="116">
        <v>1455.0008939746101</v>
      </c>
      <c r="E1608" s="116">
        <v>1493.0046486679801</v>
      </c>
      <c r="F1608" s="116">
        <v>1519.45</v>
      </c>
      <c r="G1608">
        <v>499131</v>
      </c>
      <c r="H1608" s="116"/>
      <c r="I1608" s="116"/>
      <c r="L1608" s="170">
        <v>44372</v>
      </c>
      <c r="M1608" s="116">
        <v>1473.08407501589</v>
      </c>
      <c r="N1608" s="116">
        <v>1487.1900826446299</v>
      </c>
      <c r="O1608" s="116">
        <v>1455.19707565162</v>
      </c>
      <c r="P1608" s="116">
        <v>1478.4647171010799</v>
      </c>
      <c r="Q1608" s="116">
        <v>1519.45</v>
      </c>
      <c r="R1608">
        <v>4962963</v>
      </c>
    </row>
    <row r="1609" spans="1:18" x14ac:dyDescent="0.25">
      <c r="A1609" s="170">
        <v>44375</v>
      </c>
      <c r="B1609" s="116">
        <v>1517.19326294348</v>
      </c>
      <c r="C1609" s="116">
        <v>1479.6257758422501</v>
      </c>
      <c r="D1609" s="116">
        <v>1471.6760108298599</v>
      </c>
      <c r="E1609" s="116">
        <v>1474.5844614441501</v>
      </c>
      <c r="F1609" s="116">
        <v>1526.2</v>
      </c>
      <c r="G1609">
        <v>514512</v>
      </c>
      <c r="H1609" s="116"/>
      <c r="I1609" s="116"/>
      <c r="L1609" s="170">
        <v>44375</v>
      </c>
      <c r="M1609" s="116">
        <v>1479.19183089638</v>
      </c>
      <c r="N1609" s="116">
        <v>1517.2441195168501</v>
      </c>
      <c r="O1609" s="116">
        <v>1471.8722186903999</v>
      </c>
      <c r="P1609" s="116">
        <v>1478.3677685950399</v>
      </c>
      <c r="Q1609" s="116">
        <v>1525.75</v>
      </c>
      <c r="R1609">
        <v>6178022</v>
      </c>
    </row>
    <row r="1610" spans="1:18" x14ac:dyDescent="0.25">
      <c r="A1610" s="170">
        <v>44376</v>
      </c>
      <c r="B1610" s="116">
        <v>1500.7605169727501</v>
      </c>
      <c r="C1610" s="116">
        <v>1476.2325834589201</v>
      </c>
      <c r="D1610" s="116">
        <v>1466.8770673162901</v>
      </c>
      <c r="E1610" s="116">
        <v>1483.30981328702</v>
      </c>
      <c r="F1610" s="116">
        <v>1522.7</v>
      </c>
      <c r="G1610">
        <v>542253</v>
      </c>
      <c r="H1610" s="116"/>
      <c r="I1610" s="116"/>
      <c r="L1610" s="170">
        <v>44376</v>
      </c>
      <c r="M1610" s="116">
        <v>1477.0589637635101</v>
      </c>
      <c r="N1610" s="116">
        <v>1501.4415130324201</v>
      </c>
      <c r="O1610" s="116">
        <v>1466.83089637635</v>
      </c>
      <c r="P1610" s="116">
        <v>1479.43420216147</v>
      </c>
      <c r="Q1610" s="116">
        <v>1523.55</v>
      </c>
      <c r="R1610">
        <v>5551918</v>
      </c>
    </row>
    <row r="1611" spans="1:18" x14ac:dyDescent="0.25">
      <c r="A1611" s="170">
        <v>44377</v>
      </c>
      <c r="B1611" s="116">
        <v>1495.91309928227</v>
      </c>
      <c r="C1611" s="116">
        <v>1462.36896886414</v>
      </c>
      <c r="D1611" s="116">
        <v>1457.32765446604</v>
      </c>
      <c r="E1611" s="116">
        <v>1495.91309928227</v>
      </c>
      <c r="F1611" s="116">
        <v>1508.4</v>
      </c>
      <c r="G1611">
        <v>285747</v>
      </c>
      <c r="H1611" s="116"/>
      <c r="I1611" s="116"/>
      <c r="L1611" s="170">
        <v>44377</v>
      </c>
      <c r="M1611" s="116">
        <v>1461.5472027972</v>
      </c>
      <c r="N1611" s="116">
        <v>1492.0375079466</v>
      </c>
      <c r="O1611" s="116">
        <v>1456.8452002542899</v>
      </c>
      <c r="P1611" s="116">
        <v>1492.0375079466</v>
      </c>
      <c r="Q1611" s="116">
        <v>1507.55</v>
      </c>
      <c r="R1611">
        <v>3256147</v>
      </c>
    </row>
    <row r="1612" spans="1:18" x14ac:dyDescent="0.25">
      <c r="A1612" s="170">
        <v>44378</v>
      </c>
      <c r="B1612" s="116">
        <v>1476.4264801665299</v>
      </c>
      <c r="C1612" s="116">
        <v>1444.8213168246</v>
      </c>
      <c r="D1612" s="116">
        <v>1437.11392269674</v>
      </c>
      <c r="E1612" s="116">
        <v>1463.9201425250999</v>
      </c>
      <c r="F1612" s="116">
        <v>1490.3</v>
      </c>
      <c r="G1612">
        <v>354796</v>
      </c>
      <c r="H1612" s="116"/>
      <c r="I1612" s="116"/>
      <c r="L1612" s="170">
        <v>44378</v>
      </c>
      <c r="M1612" s="116">
        <v>1444.7751112523799</v>
      </c>
      <c r="N1612" s="116">
        <v>1476.08947870311</v>
      </c>
      <c r="O1612" s="116">
        <v>1437.6493960584901</v>
      </c>
      <c r="P1612" s="116">
        <v>1463.48617291799</v>
      </c>
      <c r="Q1612" s="116">
        <v>1490.25</v>
      </c>
      <c r="R1612">
        <v>3759914</v>
      </c>
    </row>
    <row r="1613" spans="1:18" x14ac:dyDescent="0.25">
      <c r="A1613" s="170">
        <v>44379</v>
      </c>
      <c r="B1613" s="116">
        <v>1461.932701272</v>
      </c>
      <c r="C1613" s="116">
        <v>1378.70253952645</v>
      </c>
      <c r="D1613" s="116">
        <v>1368.91075579168</v>
      </c>
      <c r="E1613" s="116">
        <v>1448.11756085413</v>
      </c>
      <c r="F1613" s="116">
        <v>1422.1</v>
      </c>
      <c r="G1613">
        <v>593457</v>
      </c>
      <c r="H1613" s="116"/>
      <c r="I1613" s="116"/>
      <c r="L1613" s="170">
        <v>44379</v>
      </c>
      <c r="M1613" s="116">
        <v>1378.6562301335</v>
      </c>
      <c r="N1613" s="116">
        <v>1461.6926255562601</v>
      </c>
      <c r="O1613" s="116">
        <v>1368.4766369993599</v>
      </c>
      <c r="P1613" s="116">
        <v>1444.7751112523799</v>
      </c>
      <c r="Q1613" s="116">
        <v>1422.05</v>
      </c>
      <c r="R1613">
        <v>6653653</v>
      </c>
    </row>
    <row r="1614" spans="1:18" x14ac:dyDescent="0.25">
      <c r="A1614" s="170">
        <v>44382</v>
      </c>
      <c r="B1614" s="116">
        <v>1399.8857548338499</v>
      </c>
      <c r="C1614" s="116">
        <v>1351.3146295752299</v>
      </c>
      <c r="D1614" s="116">
        <v>1309.7237857909099</v>
      </c>
      <c r="E1614" s="116">
        <v>1378.6055911726401</v>
      </c>
      <c r="F1614" s="116">
        <v>1393.85</v>
      </c>
      <c r="G1614">
        <v>1013354</v>
      </c>
      <c r="H1614" s="116"/>
      <c r="I1614" s="116"/>
      <c r="L1614" s="170">
        <v>44382</v>
      </c>
      <c r="M1614" s="116">
        <v>1351.80149396058</v>
      </c>
      <c r="N1614" s="116">
        <v>1399.88795295613</v>
      </c>
      <c r="O1614" s="116">
        <v>1309.3865225683401</v>
      </c>
      <c r="P1614" s="116">
        <v>1383.4551811824499</v>
      </c>
      <c r="Q1614" s="116">
        <v>1394.35</v>
      </c>
      <c r="R1614">
        <v>12239845</v>
      </c>
    </row>
    <row r="1615" spans="1:18" x14ac:dyDescent="0.25">
      <c r="A1615" s="170">
        <v>44383</v>
      </c>
      <c r="B1615" s="116">
        <v>1399.7403323031299</v>
      </c>
      <c r="C1615" s="116">
        <v>1371.3829388138199</v>
      </c>
      <c r="D1615" s="116">
        <v>1337.3055924497501</v>
      </c>
      <c r="E1615" s="116">
        <v>1354.7078219585701</v>
      </c>
      <c r="F1615" s="116">
        <v>1414.55</v>
      </c>
      <c r="G1615">
        <v>661746</v>
      </c>
      <c r="H1615" s="116"/>
      <c r="I1615" s="116"/>
      <c r="L1615" s="170">
        <v>44383</v>
      </c>
      <c r="M1615" s="116">
        <v>1371.6274634456499</v>
      </c>
      <c r="N1615" s="116">
        <v>1400.08184996821</v>
      </c>
      <c r="O1615" s="116">
        <v>1336.6775270184401</v>
      </c>
      <c r="P1615" s="116">
        <v>1358.1516211061701</v>
      </c>
      <c r="Q1615" s="116">
        <v>1414.8</v>
      </c>
      <c r="R1615">
        <v>9485434</v>
      </c>
    </row>
    <row r="1616" spans="1:18" x14ac:dyDescent="0.25">
      <c r="A1616" s="170">
        <v>44384</v>
      </c>
      <c r="B1616" s="116">
        <v>1392.95394753646</v>
      </c>
      <c r="C1616" s="116">
        <v>1381.80488684836</v>
      </c>
      <c r="D1616" s="116">
        <v>1343.1709678552299</v>
      </c>
      <c r="E1616" s="116">
        <v>1376.6666240964501</v>
      </c>
      <c r="F1616" s="116">
        <v>1425.3</v>
      </c>
      <c r="G1616">
        <v>344971</v>
      </c>
      <c r="H1616" s="116"/>
      <c r="I1616" s="116"/>
      <c r="L1616" s="170">
        <v>44384</v>
      </c>
      <c r="M1616" s="116">
        <v>1382.14637635092</v>
      </c>
      <c r="N1616" s="116">
        <v>1393.24698029243</v>
      </c>
      <c r="O1616" s="116">
        <v>1342.7368086459001</v>
      </c>
      <c r="P1616" s="116">
        <v>1376.6687857596901</v>
      </c>
      <c r="Q1616" s="116">
        <v>1425.65</v>
      </c>
      <c r="R1616">
        <v>5549751</v>
      </c>
    </row>
    <row r="1617" spans="1:18" x14ac:dyDescent="0.25">
      <c r="A1617" s="170">
        <v>44385</v>
      </c>
      <c r="B1617" s="116">
        <v>1400.9037125488501</v>
      </c>
      <c r="C1617" s="116">
        <v>1381.99878355598</v>
      </c>
      <c r="D1617" s="116">
        <v>1368.32906566882</v>
      </c>
      <c r="E1617" s="116">
        <v>1381.51404178693</v>
      </c>
      <c r="F1617" s="116">
        <v>1425.5</v>
      </c>
      <c r="G1617">
        <v>288672</v>
      </c>
      <c r="H1617" s="116"/>
      <c r="I1617" s="116"/>
      <c r="L1617" s="170">
        <v>44385</v>
      </c>
      <c r="M1617" s="116">
        <v>1382.3887476160201</v>
      </c>
      <c r="N1617" s="116">
        <v>1400.9059122695501</v>
      </c>
      <c r="O1617" s="116">
        <v>1368.7190082644599</v>
      </c>
      <c r="P1617" s="116">
        <v>1376.6687857596901</v>
      </c>
      <c r="Q1617" s="116">
        <v>1425.9</v>
      </c>
      <c r="R1617">
        <v>3898830</v>
      </c>
    </row>
    <row r="1618" spans="1:18" x14ac:dyDescent="0.25">
      <c r="A1618" s="170">
        <v>44386</v>
      </c>
      <c r="B1618" s="116">
        <v>1412.5375150059999</v>
      </c>
      <c r="C1618" s="116">
        <v>1386.9916237771699</v>
      </c>
      <c r="D1618" s="116">
        <v>1374.97002790478</v>
      </c>
      <c r="E1618" s="116">
        <v>1385.39197593931</v>
      </c>
      <c r="F1618" s="116">
        <v>1430.65</v>
      </c>
      <c r="G1618">
        <v>261365</v>
      </c>
      <c r="H1618" s="116"/>
      <c r="I1618" s="116"/>
      <c r="L1618" s="170">
        <v>44386</v>
      </c>
      <c r="M1618" s="116">
        <v>1387.67244119517</v>
      </c>
      <c r="N1618" s="116">
        <v>1412.15193897012</v>
      </c>
      <c r="O1618" s="116">
        <v>1373.2271137953001</v>
      </c>
      <c r="P1618" s="116">
        <v>1382.3887476160201</v>
      </c>
      <c r="Q1618" s="116">
        <v>1431.35</v>
      </c>
      <c r="R1618">
        <v>4502324</v>
      </c>
    </row>
    <row r="1619" spans="1:18" x14ac:dyDescent="0.25">
      <c r="A1619" s="170">
        <v>44389</v>
      </c>
      <c r="B1619" s="116">
        <v>1402.21251532528</v>
      </c>
      <c r="C1619" s="116">
        <v>1377.6361076345399</v>
      </c>
      <c r="D1619" s="116">
        <v>1371.8192064059699</v>
      </c>
      <c r="E1619" s="116">
        <v>1400.9037125488501</v>
      </c>
      <c r="F1619" s="116">
        <v>1421</v>
      </c>
      <c r="G1619">
        <v>247953</v>
      </c>
      <c r="H1619" s="116"/>
      <c r="I1619" s="116"/>
      <c r="L1619" s="170">
        <v>44389</v>
      </c>
      <c r="M1619" s="116">
        <v>1377.3474253019699</v>
      </c>
      <c r="N1619" s="116">
        <v>1402.84488239034</v>
      </c>
      <c r="O1619" s="116">
        <v>1370.9972981563899</v>
      </c>
      <c r="P1619" s="116">
        <v>1397.9974570883701</v>
      </c>
      <c r="Q1619" s="116">
        <v>1420.7</v>
      </c>
      <c r="R1619">
        <v>2557189</v>
      </c>
    </row>
    <row r="1620" spans="1:18" x14ac:dyDescent="0.25">
      <c r="A1620" s="170">
        <v>44390</v>
      </c>
      <c r="B1620" s="116">
        <v>1389.0760133840799</v>
      </c>
      <c r="C1620" s="116">
        <v>1374.38833778192</v>
      </c>
      <c r="D1620" s="116">
        <v>1342.8801227938</v>
      </c>
      <c r="E1620" s="116">
        <v>1384.4224924012201</v>
      </c>
      <c r="F1620" s="116">
        <v>1417.65</v>
      </c>
      <c r="G1620">
        <v>308177</v>
      </c>
      <c r="H1620" s="116"/>
      <c r="I1620" s="116"/>
      <c r="L1620" s="170">
        <v>44390</v>
      </c>
      <c r="M1620" s="116">
        <v>1374.4389701207899</v>
      </c>
      <c r="N1620" s="116">
        <v>1389.2720915448199</v>
      </c>
      <c r="O1620" s="116">
        <v>1342.9307056579801</v>
      </c>
      <c r="P1620" s="116">
        <v>1389.2720915448199</v>
      </c>
      <c r="Q1620" s="116">
        <v>1417.7</v>
      </c>
      <c r="R1620">
        <v>4157955</v>
      </c>
    </row>
    <row r="1621" spans="1:18" x14ac:dyDescent="0.25">
      <c r="A1621" s="170">
        <v>44391</v>
      </c>
      <c r="B1621" s="116">
        <v>1409.62906439171</v>
      </c>
      <c r="C1621" s="116">
        <v>1358.68270446476</v>
      </c>
      <c r="D1621" s="116">
        <v>1355.38646043524</v>
      </c>
      <c r="E1621" s="116">
        <v>1409.62906439171</v>
      </c>
      <c r="F1621" s="116">
        <v>1401.45</v>
      </c>
      <c r="G1621">
        <v>225626</v>
      </c>
      <c r="H1621" s="116"/>
      <c r="I1621" s="116"/>
      <c r="L1621" s="170">
        <v>44391</v>
      </c>
      <c r="M1621" s="116">
        <v>1359.2665289256199</v>
      </c>
      <c r="N1621" s="116">
        <v>1404.7838525111299</v>
      </c>
      <c r="O1621" s="116">
        <v>1355.1462174189401</v>
      </c>
      <c r="P1621" s="116">
        <v>1404.7838525111299</v>
      </c>
      <c r="Q1621" s="116">
        <v>1402.05</v>
      </c>
      <c r="R1621">
        <v>3859529</v>
      </c>
    </row>
    <row r="1622" spans="1:18" x14ac:dyDescent="0.25">
      <c r="A1622" s="170">
        <v>44392</v>
      </c>
      <c r="B1622" s="116">
        <v>1384.4224924012201</v>
      </c>
      <c r="C1622" s="116">
        <v>1365.37214087763</v>
      </c>
      <c r="D1622" s="116">
        <v>1351.70242299047</v>
      </c>
      <c r="E1622" s="116">
        <v>1359.2159204107199</v>
      </c>
      <c r="F1622" s="116">
        <v>1408.35</v>
      </c>
      <c r="G1622">
        <v>160627</v>
      </c>
      <c r="H1622" s="116"/>
      <c r="I1622" s="116"/>
      <c r="L1622" s="170">
        <v>44392</v>
      </c>
      <c r="M1622" s="116">
        <v>1364.9864907819499</v>
      </c>
      <c r="N1622" s="116">
        <v>1385.3941513032401</v>
      </c>
      <c r="O1622" s="116">
        <v>1350.88048315321</v>
      </c>
      <c r="P1622" s="116">
        <v>1356.3095994914199</v>
      </c>
      <c r="Q1622" s="116">
        <v>1407.95</v>
      </c>
      <c r="R1622">
        <v>2728305</v>
      </c>
    </row>
    <row r="1623" spans="1:18" x14ac:dyDescent="0.25">
      <c r="A1623" s="170">
        <v>44393</v>
      </c>
      <c r="B1623" s="116">
        <v>1371.72225805216</v>
      </c>
      <c r="C1623" s="116">
        <v>1352.09021640571</v>
      </c>
      <c r="D1623" s="116">
        <v>1345.8855217619</v>
      </c>
      <c r="E1623" s="116">
        <v>1363.0938545631</v>
      </c>
      <c r="F1623" s="116">
        <v>1394.65</v>
      </c>
      <c r="G1623">
        <v>181214</v>
      </c>
      <c r="H1623" s="116"/>
      <c r="I1623" s="116"/>
      <c r="L1623" s="170">
        <v>44393</v>
      </c>
      <c r="M1623" s="116">
        <v>1352.9164017800399</v>
      </c>
      <c r="N1623" s="116">
        <v>1371.8213604577199</v>
      </c>
      <c r="O1623" s="116">
        <v>1345.8876350921801</v>
      </c>
      <c r="P1623" s="116">
        <v>1366.00445009536</v>
      </c>
      <c r="Q1623" s="116">
        <v>1395.5</v>
      </c>
      <c r="R1623">
        <v>2134914</v>
      </c>
    </row>
    <row r="1624" spans="1:18" x14ac:dyDescent="0.25">
      <c r="A1624" s="170">
        <v>44396</v>
      </c>
      <c r="B1624" s="116">
        <v>1368.91075579168</v>
      </c>
      <c r="C1624" s="116">
        <v>1338.42049851856</v>
      </c>
      <c r="D1624" s="116">
        <v>1292.6124013435201</v>
      </c>
      <c r="E1624" s="116">
        <v>1350.3936202140401</v>
      </c>
      <c r="F1624" s="116">
        <v>1380.55</v>
      </c>
      <c r="G1624">
        <v>473649</v>
      </c>
      <c r="H1624" s="116"/>
      <c r="I1624" s="116"/>
      <c r="L1624" s="170">
        <v>44396</v>
      </c>
      <c r="M1624" s="116">
        <v>1338.47107438016</v>
      </c>
      <c r="N1624" s="116">
        <v>1369.5430705658</v>
      </c>
      <c r="O1624" s="116">
        <v>1292.0812142402999</v>
      </c>
      <c r="P1624" s="116">
        <v>1347.58423394787</v>
      </c>
      <c r="Q1624" s="116">
        <v>1380.6</v>
      </c>
      <c r="R1624">
        <v>6190302</v>
      </c>
    </row>
    <row r="1625" spans="1:18" x14ac:dyDescent="0.25">
      <c r="A1625" s="170">
        <v>44397</v>
      </c>
      <c r="B1625" s="116">
        <v>1339.6808271180801</v>
      </c>
      <c r="C1625" s="116">
        <v>1324.31451303926</v>
      </c>
      <c r="D1625" s="116">
        <v>1297.9445608030401</v>
      </c>
      <c r="E1625" s="116">
        <v>1304.9248422773401</v>
      </c>
      <c r="F1625" s="116">
        <v>1366</v>
      </c>
      <c r="G1625">
        <v>275103</v>
      </c>
      <c r="H1625" s="116"/>
      <c r="I1625" s="116"/>
      <c r="L1625" s="170">
        <v>44397</v>
      </c>
      <c r="M1625" s="116">
        <v>1324.02574698029</v>
      </c>
      <c r="N1625" s="116">
        <v>1340.7008900190699</v>
      </c>
      <c r="O1625" s="116">
        <v>1295.3289891926299</v>
      </c>
      <c r="P1625" s="116">
        <v>1299.10998092816</v>
      </c>
      <c r="Q1625" s="116">
        <v>1365.7</v>
      </c>
      <c r="R1625">
        <v>4529933</v>
      </c>
    </row>
    <row r="1626" spans="1:18" x14ac:dyDescent="0.25">
      <c r="A1626" s="170">
        <v>44399</v>
      </c>
      <c r="B1626" s="116">
        <v>1381.2231967255</v>
      </c>
      <c r="C1626" s="116">
        <v>1371.8192064059699</v>
      </c>
      <c r="D1626" s="116">
        <v>1300.0774245868599</v>
      </c>
      <c r="E1626" s="116">
        <v>1328.19244719164</v>
      </c>
      <c r="F1626" s="116">
        <v>1415</v>
      </c>
      <c r="G1626">
        <v>577450</v>
      </c>
      <c r="H1626" s="116"/>
      <c r="I1626" s="116"/>
      <c r="L1626" s="170">
        <v>44399</v>
      </c>
      <c r="M1626" s="116">
        <v>1373.5179593134101</v>
      </c>
      <c r="N1626" s="116">
        <v>1381.41926255563</v>
      </c>
      <c r="O1626" s="116">
        <v>1299.59472345836</v>
      </c>
      <c r="P1626" s="116">
        <v>1333.04195804196</v>
      </c>
      <c r="Q1626" s="116">
        <v>1416.75</v>
      </c>
      <c r="R1626">
        <v>5009804</v>
      </c>
    </row>
    <row r="1627" spans="1:18" x14ac:dyDescent="0.25">
      <c r="A1627" s="170">
        <v>44400</v>
      </c>
      <c r="B1627" s="116">
        <v>1394.1173277821799</v>
      </c>
      <c r="C1627" s="116">
        <v>1360.71861989477</v>
      </c>
      <c r="D1627" s="116">
        <v>1343.5587612704701</v>
      </c>
      <c r="E1627" s="116">
        <v>1394.1173277821799</v>
      </c>
      <c r="F1627" s="116">
        <v>1403.55</v>
      </c>
      <c r="G1627">
        <v>328363</v>
      </c>
      <c r="H1627" s="116"/>
      <c r="I1627" s="116"/>
      <c r="L1627" s="170">
        <v>44400</v>
      </c>
      <c r="M1627" s="116">
        <v>1358.8787349014599</v>
      </c>
      <c r="N1627" s="116">
        <v>1391.06563890655</v>
      </c>
      <c r="O1627" s="116">
        <v>1343.9001907183699</v>
      </c>
      <c r="P1627" s="116">
        <v>1386.3636363636399</v>
      </c>
      <c r="Q1627" s="116">
        <v>1401.65</v>
      </c>
      <c r="R1627">
        <v>4694140</v>
      </c>
    </row>
    <row r="1628" spans="1:18" x14ac:dyDescent="0.25">
      <c r="A1628" s="170">
        <v>44403</v>
      </c>
      <c r="B1628" s="116">
        <v>1373.7096993052501</v>
      </c>
      <c r="C1628" s="116">
        <v>1360.9609907792899</v>
      </c>
      <c r="D1628" s="116">
        <v>1349.71498173738</v>
      </c>
      <c r="E1628" s="116">
        <v>1357.2769533345299</v>
      </c>
      <c r="F1628" s="116">
        <v>1403.8</v>
      </c>
      <c r="G1628">
        <v>189442</v>
      </c>
      <c r="H1628" s="116"/>
      <c r="I1628" s="116"/>
      <c r="L1628" s="170">
        <v>44403</v>
      </c>
      <c r="M1628" s="116">
        <v>1361.0600762873501</v>
      </c>
      <c r="N1628" s="116">
        <v>1373.5664335664301</v>
      </c>
      <c r="O1628" s="116">
        <v>1349.5232040686601</v>
      </c>
      <c r="P1628" s="116">
        <v>1357.08518753973</v>
      </c>
      <c r="Q1628" s="116">
        <v>1403.9</v>
      </c>
      <c r="R1628">
        <v>2054318</v>
      </c>
    </row>
    <row r="1629" spans="1:18" x14ac:dyDescent="0.25">
      <c r="A1629" s="170">
        <v>44404</v>
      </c>
      <c r="B1629" s="116">
        <v>1380.35066154121</v>
      </c>
      <c r="C1629" s="116">
        <v>1353.9807093049999</v>
      </c>
      <c r="D1629" s="116">
        <v>1336.7239023268901</v>
      </c>
      <c r="E1629" s="116">
        <v>1371.8192064059699</v>
      </c>
      <c r="F1629" s="116">
        <v>1396.6</v>
      </c>
      <c r="G1629">
        <v>184870</v>
      </c>
      <c r="H1629" s="116"/>
      <c r="I1629" s="116"/>
      <c r="L1629" s="170">
        <v>44404</v>
      </c>
      <c r="M1629" s="116">
        <v>1354.12825810553</v>
      </c>
      <c r="N1629" s="116">
        <v>1381.12841703751</v>
      </c>
      <c r="O1629" s="116">
        <v>1336.0958359822</v>
      </c>
      <c r="P1629" s="116">
        <v>1361.0600762873501</v>
      </c>
      <c r="Q1629" s="116">
        <v>1396.75</v>
      </c>
      <c r="R1629">
        <v>2978042</v>
      </c>
    </row>
    <row r="1630" spans="1:18" x14ac:dyDescent="0.25">
      <c r="A1630" s="170">
        <v>44405</v>
      </c>
      <c r="B1630" s="116">
        <v>1381.0293000178799</v>
      </c>
      <c r="C1630" s="116">
        <v>1357.2284791576201</v>
      </c>
      <c r="D1630" s="116">
        <v>1336.4330572654601</v>
      </c>
      <c r="E1630" s="116">
        <v>1366.97178871549</v>
      </c>
      <c r="F1630" s="116">
        <v>1399.95</v>
      </c>
      <c r="G1630">
        <v>213337</v>
      </c>
      <c r="H1630" s="116"/>
      <c r="I1630" s="116"/>
      <c r="L1630" s="170">
        <v>44405</v>
      </c>
      <c r="M1630" s="116">
        <v>1357.18213604577</v>
      </c>
      <c r="N1630" s="116">
        <v>1381.32231404959</v>
      </c>
      <c r="O1630" s="116">
        <v>1336.53210425938</v>
      </c>
      <c r="P1630" s="116">
        <v>1363.92005721551</v>
      </c>
      <c r="Q1630" s="116">
        <v>1399.9</v>
      </c>
      <c r="R1630">
        <v>3188606</v>
      </c>
    </row>
    <row r="1631" spans="1:18" x14ac:dyDescent="0.25">
      <c r="A1631" s="170">
        <v>44406</v>
      </c>
      <c r="B1631" s="116">
        <v>1381.0293000178799</v>
      </c>
      <c r="C1631" s="116">
        <v>1358.63423028786</v>
      </c>
      <c r="D1631" s="116">
        <v>1355.0471411968999</v>
      </c>
      <c r="E1631" s="116">
        <v>1362.2697935557201</v>
      </c>
      <c r="F1631" s="116">
        <v>1401.4</v>
      </c>
      <c r="G1631">
        <v>276085</v>
      </c>
      <c r="H1631" s="116"/>
      <c r="I1631" s="116"/>
      <c r="L1631" s="170">
        <v>44406</v>
      </c>
      <c r="M1631" s="116">
        <v>1357.52145581691</v>
      </c>
      <c r="N1631" s="116">
        <v>1381.51621106167</v>
      </c>
      <c r="O1631" s="116">
        <v>1354.37062937063</v>
      </c>
      <c r="P1631" s="116">
        <v>1370.8034011443101</v>
      </c>
      <c r="Q1631" s="116">
        <v>1400.25</v>
      </c>
      <c r="R1631">
        <v>2538248</v>
      </c>
    </row>
    <row r="1632" spans="1:18" x14ac:dyDescent="0.25">
      <c r="A1632" s="170">
        <v>44407</v>
      </c>
      <c r="B1632" s="116">
        <v>1404.73317252433</v>
      </c>
      <c r="C1632" s="116">
        <v>1377.53915928073</v>
      </c>
      <c r="D1632" s="116">
        <v>1358.63423028786</v>
      </c>
      <c r="E1632" s="116">
        <v>1366.0023051773901</v>
      </c>
      <c r="F1632" s="116">
        <v>1420.9</v>
      </c>
      <c r="G1632">
        <v>288120</v>
      </c>
      <c r="H1632" s="116"/>
      <c r="I1632" s="116"/>
      <c r="L1632" s="170">
        <v>44407</v>
      </c>
      <c r="M1632" s="116">
        <v>1376.9111570247901</v>
      </c>
      <c r="N1632" s="116">
        <v>1405.2685950413199</v>
      </c>
      <c r="O1632" s="116">
        <v>1357.52145581691</v>
      </c>
      <c r="P1632" s="116">
        <v>1366.48919262556</v>
      </c>
      <c r="Q1632" s="116">
        <v>1420.25</v>
      </c>
      <c r="R1632">
        <v>4403219</v>
      </c>
    </row>
    <row r="1633" spans="1:18" x14ac:dyDescent="0.25">
      <c r="A1633" s="170">
        <v>44410</v>
      </c>
      <c r="B1633" s="116">
        <v>1399.93422901075</v>
      </c>
      <c r="C1633" s="116">
        <v>1393.3902151285999</v>
      </c>
      <c r="D1633" s="116">
        <v>1380.5445582488301</v>
      </c>
      <c r="E1633" s="116">
        <v>1391.7420931138399</v>
      </c>
      <c r="F1633" s="116">
        <v>1437.25</v>
      </c>
      <c r="G1633">
        <v>266470</v>
      </c>
      <c r="H1633" s="116"/>
      <c r="I1633" s="116"/>
      <c r="L1633" s="170">
        <v>44410</v>
      </c>
      <c r="M1633" s="116">
        <v>1394.31341385887</v>
      </c>
      <c r="N1633" s="116">
        <v>1400.9059122695501</v>
      </c>
      <c r="O1633" s="116">
        <v>1380.6436745073099</v>
      </c>
      <c r="P1633" s="116">
        <v>1391.21106166561</v>
      </c>
      <c r="Q1633" s="116">
        <v>1438.2</v>
      </c>
      <c r="R1633">
        <v>2483790</v>
      </c>
    </row>
    <row r="1634" spans="1:18" x14ac:dyDescent="0.25">
      <c r="A1634" s="170">
        <v>44411</v>
      </c>
      <c r="B1634" s="116">
        <v>1425.1408010012501</v>
      </c>
      <c r="C1634" s="116">
        <v>1398.9647454726601</v>
      </c>
      <c r="D1634" s="116">
        <v>1379.1872812955</v>
      </c>
      <c r="E1634" s="116">
        <v>1425.1408010012501</v>
      </c>
      <c r="F1634" s="116">
        <v>1443</v>
      </c>
      <c r="G1634">
        <v>205356</v>
      </c>
      <c r="H1634" s="116"/>
      <c r="I1634" s="116"/>
      <c r="L1634" s="170">
        <v>44411</v>
      </c>
      <c r="M1634" s="116">
        <v>1398.7730451366799</v>
      </c>
      <c r="N1634" s="116">
        <v>1422.2345835982201</v>
      </c>
      <c r="O1634" s="116">
        <v>1378.80165289256</v>
      </c>
      <c r="P1634" s="116">
        <v>1422.2345835982201</v>
      </c>
      <c r="Q1634" s="116">
        <v>1442.8</v>
      </c>
      <c r="R1634">
        <v>4442122</v>
      </c>
    </row>
    <row r="1635" spans="1:18" x14ac:dyDescent="0.25">
      <c r="A1635" s="170">
        <v>44412</v>
      </c>
      <c r="B1635" s="116">
        <v>1419.0330547112501</v>
      </c>
      <c r="C1635" s="116">
        <v>1385.82824353146</v>
      </c>
      <c r="D1635" s="116">
        <v>1379.2357554723999</v>
      </c>
      <c r="E1635" s="116">
        <v>1419.0330547112501</v>
      </c>
      <c r="F1635" s="116">
        <v>1429.45</v>
      </c>
      <c r="G1635">
        <v>220690</v>
      </c>
      <c r="H1635" s="116"/>
      <c r="I1635" s="116"/>
      <c r="L1635" s="170">
        <v>44412</v>
      </c>
      <c r="M1635" s="116">
        <v>1385.9273680864601</v>
      </c>
      <c r="N1635" s="116">
        <v>1415.44818817546</v>
      </c>
      <c r="O1635" s="116">
        <v>1379.6257151939001</v>
      </c>
      <c r="P1635" s="116">
        <v>1415.44818817546</v>
      </c>
      <c r="Q1635" s="116">
        <v>1429.55</v>
      </c>
      <c r="R1635">
        <v>3341801</v>
      </c>
    </row>
    <row r="1636" spans="1:18" x14ac:dyDescent="0.25">
      <c r="A1636" s="170">
        <v>44413</v>
      </c>
      <c r="B1636" s="116">
        <v>1393.6325860131301</v>
      </c>
      <c r="C1636" s="116">
        <v>1388.8821166764601</v>
      </c>
      <c r="D1636" s="116">
        <v>1365.32366670072</v>
      </c>
      <c r="E1636" s="116">
        <v>1385.9251918852599</v>
      </c>
      <c r="F1636" s="116">
        <v>1432.6</v>
      </c>
      <c r="G1636">
        <v>200469</v>
      </c>
      <c r="H1636" s="116"/>
      <c r="I1636" s="116"/>
      <c r="L1636" s="170">
        <v>44413</v>
      </c>
      <c r="M1636" s="116">
        <v>1388.6419262555601</v>
      </c>
      <c r="N1636" s="116">
        <v>1394.11951684679</v>
      </c>
      <c r="O1636" s="116">
        <v>1364.4532739987301</v>
      </c>
      <c r="P1636" s="116">
        <v>1384.42466624285</v>
      </c>
      <c r="Q1636" s="116">
        <v>1432.35</v>
      </c>
      <c r="R1636">
        <v>2104359</v>
      </c>
    </row>
    <row r="1637" spans="1:18" x14ac:dyDescent="0.25">
      <c r="A1637" s="170">
        <v>44414</v>
      </c>
      <c r="B1637" s="116">
        <v>1507.49842756251</v>
      </c>
      <c r="C1637" s="116">
        <v>1489.51450793083</v>
      </c>
      <c r="D1637" s="116">
        <v>1373.7581734821599</v>
      </c>
      <c r="E1637" s="116">
        <v>1373.7581734821599</v>
      </c>
      <c r="F1637" s="116">
        <v>1536.4</v>
      </c>
      <c r="G1637">
        <v>928081</v>
      </c>
      <c r="H1637" s="116"/>
      <c r="I1637" s="116"/>
      <c r="L1637" s="170">
        <v>44414</v>
      </c>
      <c r="M1637" s="116">
        <v>1489.7592180546701</v>
      </c>
      <c r="N1637" s="116">
        <v>1507.5492689129101</v>
      </c>
      <c r="O1637" s="116">
        <v>1378.60775588048</v>
      </c>
      <c r="P1637" s="116">
        <v>1378.60775588048</v>
      </c>
      <c r="Q1637" s="116">
        <v>1536.65</v>
      </c>
      <c r="R1637">
        <v>14250256</v>
      </c>
    </row>
    <row r="1638" spans="1:18" x14ac:dyDescent="0.25">
      <c r="A1638" s="170">
        <v>44417</v>
      </c>
      <c r="B1638" s="116">
        <v>1517.2417371203801</v>
      </c>
      <c r="C1638" s="116">
        <v>1447.7297674388899</v>
      </c>
      <c r="D1638" s="116">
        <v>1439.6830540726901</v>
      </c>
      <c r="E1638" s="116">
        <v>1497.85206635846</v>
      </c>
      <c r="F1638" s="116">
        <v>1493.3</v>
      </c>
      <c r="G1638">
        <v>393897</v>
      </c>
      <c r="H1638" s="116"/>
      <c r="I1638" s="116"/>
      <c r="L1638" s="170">
        <v>44417</v>
      </c>
      <c r="M1638" s="116">
        <v>1447.8289891926299</v>
      </c>
      <c r="N1638" s="116">
        <v>1517.2441195168501</v>
      </c>
      <c r="O1638" s="116">
        <v>1437.2616020343301</v>
      </c>
      <c r="P1638" s="116">
        <v>1499.5025429116299</v>
      </c>
      <c r="Q1638" s="116">
        <v>1493.4</v>
      </c>
      <c r="R1638">
        <v>6031426</v>
      </c>
    </row>
    <row r="1639" spans="1:18" x14ac:dyDescent="0.25">
      <c r="A1639" s="170">
        <v>44418</v>
      </c>
      <c r="B1639" s="116">
        <v>1452.52871095247</v>
      </c>
      <c r="C1639" s="116">
        <v>1403.1819988633699</v>
      </c>
      <c r="D1639" s="116">
        <v>1382.9682670940699</v>
      </c>
      <c r="E1639" s="116">
        <v>1445.45148112436</v>
      </c>
      <c r="F1639" s="116">
        <v>1447.35</v>
      </c>
      <c r="G1639">
        <v>213602</v>
      </c>
      <c r="H1639" s="116"/>
      <c r="I1639" s="116"/>
      <c r="L1639" s="170">
        <v>44418</v>
      </c>
      <c r="M1639" s="116">
        <v>1402.36013986014</v>
      </c>
      <c r="N1639" s="116">
        <v>1452.9187857596901</v>
      </c>
      <c r="O1639" s="116">
        <v>1382.5341703750801</v>
      </c>
      <c r="P1639" s="116">
        <v>1442.5937698665</v>
      </c>
      <c r="Q1639" s="116">
        <v>1446.5</v>
      </c>
      <c r="R1639">
        <v>3581449</v>
      </c>
    </row>
    <row r="1640" spans="1:18" x14ac:dyDescent="0.25">
      <c r="A1640" s="170">
        <v>44419</v>
      </c>
      <c r="B1640" s="116">
        <v>1412.5375150059999</v>
      </c>
      <c r="C1640" s="116">
        <v>1393.1963184209901</v>
      </c>
      <c r="D1640" s="116">
        <v>1364.2572348088199</v>
      </c>
      <c r="E1640" s="116">
        <v>1403.81216316314</v>
      </c>
      <c r="F1640" s="116">
        <v>1437.05</v>
      </c>
      <c r="G1640">
        <v>251567</v>
      </c>
      <c r="H1640" s="116"/>
      <c r="I1640" s="116"/>
      <c r="L1640" s="170">
        <v>44419</v>
      </c>
      <c r="M1640" s="116">
        <v>1393.1985060394099</v>
      </c>
      <c r="N1640" s="116">
        <v>1412.15193897012</v>
      </c>
      <c r="O1640" s="116">
        <v>1364.0654799745701</v>
      </c>
      <c r="P1640" s="116">
        <v>1410.6007628734901</v>
      </c>
      <c r="Q1640" s="116">
        <v>1437.05</v>
      </c>
      <c r="R1640">
        <v>3197412</v>
      </c>
    </row>
    <row r="1641" spans="1:18" x14ac:dyDescent="0.25">
      <c r="A1641" s="170">
        <v>44420</v>
      </c>
      <c r="B1641" s="116">
        <v>1413.5069985441</v>
      </c>
      <c r="C1641" s="116">
        <v>1399.93422901075</v>
      </c>
      <c r="D1641" s="116">
        <v>1387.3794171924101</v>
      </c>
      <c r="E1641" s="116">
        <v>1403.81216316314</v>
      </c>
      <c r="F1641" s="116">
        <v>1444</v>
      </c>
      <c r="G1641">
        <v>219223</v>
      </c>
      <c r="H1641" s="116"/>
      <c r="I1641" s="116"/>
      <c r="L1641" s="170">
        <v>44420</v>
      </c>
      <c r="M1641" s="116">
        <v>1398.8699936427199</v>
      </c>
      <c r="N1641" s="116">
        <v>1413.5092180546701</v>
      </c>
      <c r="O1641" s="116">
        <v>1386.6060076287299</v>
      </c>
      <c r="P1641" s="116">
        <v>1399.548633185</v>
      </c>
      <c r="Q1641" s="116">
        <v>1442.9</v>
      </c>
      <c r="R1641">
        <v>2455443</v>
      </c>
    </row>
    <row r="1642" spans="1:18" x14ac:dyDescent="0.25">
      <c r="A1642" s="170">
        <v>44421</v>
      </c>
      <c r="B1642" s="116">
        <v>1409.62906439171</v>
      </c>
      <c r="C1642" s="116">
        <v>1392.71157665194</v>
      </c>
      <c r="D1642" s="116">
        <v>1383.9862248090701</v>
      </c>
      <c r="E1642" s="116">
        <v>1400.9037125488501</v>
      </c>
      <c r="F1642" s="116">
        <v>1436.55</v>
      </c>
      <c r="G1642">
        <v>197472</v>
      </c>
      <c r="H1642" s="116"/>
      <c r="I1642" s="116"/>
      <c r="L1642" s="170">
        <v>44421</v>
      </c>
      <c r="M1642" s="116">
        <v>1393.1500317863999</v>
      </c>
      <c r="N1642" s="116">
        <v>1409.6312778131</v>
      </c>
      <c r="O1642" s="116">
        <v>1384.42466624285</v>
      </c>
      <c r="P1642" s="116">
        <v>1400.9059122695501</v>
      </c>
      <c r="Q1642" s="116">
        <v>1437</v>
      </c>
      <c r="R1642">
        <v>2095991</v>
      </c>
    </row>
    <row r="1643" spans="1:18" x14ac:dyDescent="0.25">
      <c r="A1643" s="170">
        <v>44424</v>
      </c>
      <c r="B1643" s="116">
        <v>1405.31486264719</v>
      </c>
      <c r="C1643" s="116">
        <v>1387.04009795408</v>
      </c>
      <c r="D1643" s="116">
        <v>1370.99514539859</v>
      </c>
      <c r="E1643" s="116">
        <v>1393.14784424408</v>
      </c>
      <c r="F1643" s="116">
        <v>1430.7</v>
      </c>
      <c r="G1643">
        <v>112779</v>
      </c>
      <c r="H1643" s="116"/>
      <c r="I1643" s="116"/>
      <c r="L1643" s="170">
        <v>44424</v>
      </c>
      <c r="M1643" s="116">
        <v>1386.4605848696799</v>
      </c>
      <c r="N1643" s="116">
        <v>1405.4624920534</v>
      </c>
      <c r="O1643" s="116">
        <v>1370.4156071201501</v>
      </c>
      <c r="P1643" s="116">
        <v>1387.81786395423</v>
      </c>
      <c r="Q1643" s="116">
        <v>1430.1</v>
      </c>
      <c r="R1643">
        <v>1909352</v>
      </c>
    </row>
    <row r="1644" spans="1:18" x14ac:dyDescent="0.25">
      <c r="A1644" s="170">
        <v>44425</v>
      </c>
      <c r="B1644" s="116">
        <v>1406.62366542362</v>
      </c>
      <c r="C1644" s="116">
        <v>1397.3650976347999</v>
      </c>
      <c r="D1644" s="116">
        <v>1373.51580259763</v>
      </c>
      <c r="E1644" s="116">
        <v>1391.1119288140801</v>
      </c>
      <c r="F1644" s="116">
        <v>1441.35</v>
      </c>
      <c r="G1644">
        <v>175457</v>
      </c>
      <c r="H1644" s="116"/>
      <c r="I1644" s="116"/>
      <c r="L1644" s="170">
        <v>44425</v>
      </c>
      <c r="M1644" s="116">
        <v>1397.6581373172301</v>
      </c>
      <c r="N1644" s="116">
        <v>1406.72282263191</v>
      </c>
      <c r="O1644" s="116">
        <v>1372.9847425302</v>
      </c>
      <c r="P1644" s="116">
        <v>1387.33312142403</v>
      </c>
      <c r="Q1644" s="116">
        <v>1441.65</v>
      </c>
      <c r="R1644">
        <v>3062815</v>
      </c>
    </row>
    <row r="1645" spans="1:18" x14ac:dyDescent="0.25">
      <c r="A1645" s="170">
        <v>44426</v>
      </c>
      <c r="B1645" s="116">
        <v>1451.2683823529401</v>
      </c>
      <c r="C1645" s="116">
        <v>1414.8642754974301</v>
      </c>
      <c r="D1645" s="116">
        <v>1389.2699100917</v>
      </c>
      <c r="E1645" s="116">
        <v>1406.7206137774299</v>
      </c>
      <c r="F1645" s="116">
        <v>1459.4</v>
      </c>
      <c r="G1645">
        <v>436117</v>
      </c>
      <c r="H1645" s="116"/>
      <c r="I1645" s="116"/>
      <c r="L1645" s="170">
        <v>44426</v>
      </c>
      <c r="M1645" s="116">
        <v>1415.44818817546</v>
      </c>
      <c r="N1645" s="116">
        <v>1451.12523839797</v>
      </c>
      <c r="O1645" s="116">
        <v>1388.8842975206601</v>
      </c>
      <c r="P1645" s="116">
        <v>1397.9005085823301</v>
      </c>
      <c r="Q1645" s="116">
        <v>1460</v>
      </c>
      <c r="R1645">
        <v>4738820</v>
      </c>
    </row>
    <row r="1646" spans="1:18" x14ac:dyDescent="0.25">
      <c r="A1646" s="170">
        <v>44428</v>
      </c>
      <c r="B1646" s="116">
        <v>1436.19291333555</v>
      </c>
      <c r="C1646" s="116">
        <v>1383.88927645526</v>
      </c>
      <c r="D1646" s="116">
        <v>1362.51216444024</v>
      </c>
      <c r="E1646" s="116">
        <v>1404.7816467012301</v>
      </c>
      <c r="F1646" s="116">
        <v>1427.45</v>
      </c>
      <c r="G1646">
        <v>175904</v>
      </c>
      <c r="H1646" s="116"/>
      <c r="I1646" s="116"/>
      <c r="L1646" s="170">
        <v>44428</v>
      </c>
      <c r="M1646" s="116">
        <v>1386.4605848696799</v>
      </c>
      <c r="N1646" s="116">
        <v>1437.4070247933901</v>
      </c>
      <c r="O1646" s="116">
        <v>1367.9434202161499</v>
      </c>
      <c r="P1646" s="116">
        <v>1394.11951684679</v>
      </c>
      <c r="Q1646" s="116">
        <v>1430.1</v>
      </c>
      <c r="R1646">
        <v>4933377</v>
      </c>
    </row>
    <row r="1647" spans="1:18" x14ac:dyDescent="0.25">
      <c r="A1647" s="170">
        <v>44431</v>
      </c>
      <c r="B1647" s="116">
        <v>1384.7133374626401</v>
      </c>
      <c r="C1647" s="116">
        <v>1353.8352867742799</v>
      </c>
      <c r="D1647" s="116">
        <v>1320.63047559449</v>
      </c>
      <c r="E1647" s="116">
        <v>1370.84972286787</v>
      </c>
      <c r="F1647" s="116">
        <v>1396.45</v>
      </c>
      <c r="G1647">
        <v>370086</v>
      </c>
      <c r="H1647" s="116"/>
      <c r="I1647" s="116"/>
      <c r="L1647" s="170">
        <v>44431</v>
      </c>
      <c r="M1647" s="116">
        <v>1354.07978385251</v>
      </c>
      <c r="N1647" s="116">
        <v>1384.18229497775</v>
      </c>
      <c r="O1647" s="116">
        <v>1320.00238397966</v>
      </c>
      <c r="P1647" s="116">
        <v>1371.86983471074</v>
      </c>
      <c r="Q1647" s="116">
        <v>1396.7</v>
      </c>
      <c r="R1647">
        <v>4866080</v>
      </c>
    </row>
    <row r="1648" spans="1:18" x14ac:dyDescent="0.25">
      <c r="A1648" s="170">
        <v>44432</v>
      </c>
      <c r="B1648" s="116">
        <v>1404.0545340476599</v>
      </c>
      <c r="C1648" s="116">
        <v>1393.5356376593199</v>
      </c>
      <c r="D1648" s="116">
        <v>1348.0668597226099</v>
      </c>
      <c r="E1648" s="116">
        <v>1374.72765702025</v>
      </c>
      <c r="F1648" s="116">
        <v>1437.4</v>
      </c>
      <c r="G1648">
        <v>159818</v>
      </c>
      <c r="H1648" s="116"/>
      <c r="I1648" s="116"/>
      <c r="L1648" s="170">
        <v>44432</v>
      </c>
      <c r="M1648" s="116">
        <v>1393.92561983471</v>
      </c>
      <c r="N1648" s="116">
        <v>1404.2021614748901</v>
      </c>
      <c r="O1648" s="116">
        <v>1347.58423394787</v>
      </c>
      <c r="P1648" s="116">
        <v>1364.0654799745701</v>
      </c>
      <c r="Q1648" s="116">
        <v>1437.8</v>
      </c>
      <c r="R1648">
        <v>3362312</v>
      </c>
    </row>
    <row r="1649" spans="1:18" x14ac:dyDescent="0.25">
      <c r="A1649" s="170">
        <v>44433</v>
      </c>
      <c r="B1649" s="116">
        <v>1436.4352842200699</v>
      </c>
      <c r="C1649" s="116">
        <v>1429.7458478072101</v>
      </c>
      <c r="D1649" s="116">
        <v>1381.9018352021701</v>
      </c>
      <c r="E1649" s="116">
        <v>1404.393853286</v>
      </c>
      <c r="F1649" s="116">
        <v>1474.75</v>
      </c>
      <c r="G1649">
        <v>345676</v>
      </c>
      <c r="H1649" s="116"/>
      <c r="I1649" s="116"/>
      <c r="L1649" s="170">
        <v>44433</v>
      </c>
      <c r="M1649" s="116">
        <v>1430.32978385251</v>
      </c>
      <c r="N1649" s="116">
        <v>1436.58296249205</v>
      </c>
      <c r="O1649" s="116">
        <v>1381.51621106167</v>
      </c>
      <c r="P1649" s="116">
        <v>1400.17879847425</v>
      </c>
      <c r="Q1649" s="116">
        <v>1475.35</v>
      </c>
      <c r="R1649">
        <v>5361140</v>
      </c>
    </row>
    <row r="1650" spans="1:18" x14ac:dyDescent="0.25">
      <c r="A1650" s="170">
        <v>44434</v>
      </c>
      <c r="B1650" s="116">
        <v>1448.9416218615099</v>
      </c>
      <c r="C1650" s="116">
        <v>1431.1031247605399</v>
      </c>
      <c r="D1650" s="116">
        <v>1416.8032425736301</v>
      </c>
      <c r="E1650" s="116">
        <v>1438.7135705346</v>
      </c>
      <c r="F1650" s="116">
        <v>1476.15</v>
      </c>
      <c r="G1650">
        <v>174808</v>
      </c>
      <c r="H1650" s="116"/>
      <c r="I1650" s="116"/>
      <c r="L1650" s="170">
        <v>44434</v>
      </c>
      <c r="M1650" s="116">
        <v>1430.66910362365</v>
      </c>
      <c r="N1650" s="116">
        <v>1449.04084551812</v>
      </c>
      <c r="O1650" s="116">
        <v>1415.83598219962</v>
      </c>
      <c r="P1650" s="116">
        <v>1436.77685950413</v>
      </c>
      <c r="Q1650" s="116">
        <v>1475.7</v>
      </c>
      <c r="R1650">
        <v>4678919</v>
      </c>
    </row>
    <row r="1651" spans="1:18" x14ac:dyDescent="0.25">
      <c r="A1651" s="170">
        <v>44435</v>
      </c>
      <c r="B1651" s="116">
        <v>1470.07636299201</v>
      </c>
      <c r="C1651" s="116">
        <v>1460.6238984955701</v>
      </c>
      <c r="D1651" s="116">
        <v>1430.0366928686401</v>
      </c>
      <c r="E1651" s="116">
        <v>1431.92718576792</v>
      </c>
      <c r="F1651" s="116">
        <v>1506.6</v>
      </c>
      <c r="G1651">
        <v>316729</v>
      </c>
      <c r="H1651" s="116"/>
      <c r="I1651" s="116"/>
      <c r="L1651" s="170">
        <v>44435</v>
      </c>
      <c r="M1651" s="116">
        <v>1460.0929752066099</v>
      </c>
      <c r="N1651" s="116">
        <v>1468.7698664971399</v>
      </c>
      <c r="O1651" s="116">
        <v>1429.1179275270199</v>
      </c>
      <c r="P1651" s="116">
        <v>1429.99046408137</v>
      </c>
      <c r="Q1651" s="116">
        <v>1506.05</v>
      </c>
      <c r="R1651">
        <v>5164477</v>
      </c>
    </row>
    <row r="1652" spans="1:18" x14ac:dyDescent="0.25">
      <c r="A1652" s="170">
        <v>44438</v>
      </c>
      <c r="B1652" s="116">
        <v>1480.1589917882</v>
      </c>
      <c r="C1652" s="116">
        <v>1469.8339921074801</v>
      </c>
      <c r="D1652" s="116">
        <v>1447.7782416158</v>
      </c>
      <c r="E1652" s="116">
        <v>1467.6041799698601</v>
      </c>
      <c r="F1652" s="116">
        <v>1516.1</v>
      </c>
      <c r="G1652">
        <v>167589</v>
      </c>
      <c r="H1652" s="116"/>
      <c r="I1652" s="116"/>
      <c r="L1652" s="170">
        <v>44438</v>
      </c>
      <c r="M1652" s="116">
        <v>1470.27256834075</v>
      </c>
      <c r="N1652" s="116">
        <v>1480.4036872218701</v>
      </c>
      <c r="O1652" s="116">
        <v>1447.7320406865899</v>
      </c>
      <c r="P1652" s="116">
        <v>1467.55801017165</v>
      </c>
      <c r="Q1652" s="116">
        <v>1516.55</v>
      </c>
      <c r="R1652">
        <v>3149863</v>
      </c>
    </row>
    <row r="1653" spans="1:18" x14ac:dyDescent="0.25">
      <c r="A1653" s="170">
        <v>44439</v>
      </c>
      <c r="B1653" s="116">
        <v>1547.3926751551701</v>
      </c>
      <c r="C1653" s="116">
        <v>1539.5398584965901</v>
      </c>
      <c r="D1653" s="116">
        <v>1466.39232554724</v>
      </c>
      <c r="E1653" s="116">
        <v>1469.8339921074801</v>
      </c>
      <c r="F1653" s="116">
        <v>1588</v>
      </c>
      <c r="G1653">
        <v>296972</v>
      </c>
      <c r="H1653" s="116"/>
      <c r="I1653" s="116"/>
      <c r="L1653" s="170">
        <v>44439</v>
      </c>
      <c r="M1653" s="116">
        <v>1539.1544818817499</v>
      </c>
      <c r="N1653" s="116">
        <v>1548.1222186903999</v>
      </c>
      <c r="O1653" s="116">
        <v>1466.63699936427</v>
      </c>
      <c r="P1653" s="116">
        <v>1470.9996821360501</v>
      </c>
      <c r="Q1653" s="116">
        <v>1587.6</v>
      </c>
      <c r="R1653">
        <v>7234384</v>
      </c>
    </row>
    <row r="1654" spans="1:18" x14ac:dyDescent="0.25">
      <c r="A1654" s="170">
        <v>44440</v>
      </c>
      <c r="B1654" s="116">
        <v>1551.65840272279</v>
      </c>
      <c r="C1654" s="116">
        <v>1517.2902112972799</v>
      </c>
      <c r="D1654" s="116">
        <v>1514.33328650609</v>
      </c>
      <c r="E1654" s="116">
        <v>1546.32624326326</v>
      </c>
      <c r="F1654" s="116">
        <v>1565.05</v>
      </c>
      <c r="G1654">
        <v>199609</v>
      </c>
      <c r="H1654" s="116"/>
      <c r="I1654" s="116"/>
      <c r="L1654" s="170">
        <v>44440</v>
      </c>
      <c r="M1654" s="116">
        <v>1517.4380165289299</v>
      </c>
      <c r="N1654" s="116">
        <v>1552.00015893198</v>
      </c>
      <c r="O1654" s="116">
        <v>1513.8509218054701</v>
      </c>
      <c r="P1654" s="116">
        <v>1546.23172282263</v>
      </c>
      <c r="Q1654" s="116">
        <v>1565.2</v>
      </c>
      <c r="R1654">
        <v>3056760</v>
      </c>
    </row>
    <row r="1655" spans="1:18" x14ac:dyDescent="0.25">
      <c r="A1655" s="170">
        <v>44441</v>
      </c>
      <c r="B1655" s="116">
        <v>1545.1628630175501</v>
      </c>
      <c r="C1655" s="116">
        <v>1521.7498355725299</v>
      </c>
      <c r="D1655" s="116">
        <v>1518.1627464815699</v>
      </c>
      <c r="E1655" s="116">
        <v>1526.9365725013399</v>
      </c>
      <c r="F1655" s="116">
        <v>1569.65</v>
      </c>
      <c r="G1655">
        <v>77748</v>
      </c>
      <c r="H1655" s="116"/>
      <c r="I1655" s="116"/>
      <c r="L1655" s="170">
        <v>44441</v>
      </c>
      <c r="M1655" s="116">
        <v>1522.62476160203</v>
      </c>
      <c r="N1655" s="116">
        <v>1545.6500317863999</v>
      </c>
      <c r="O1655" s="116">
        <v>1517.7288620470399</v>
      </c>
      <c r="P1655" s="116">
        <v>1523.0610298792101</v>
      </c>
      <c r="Q1655" s="116">
        <v>1570.55</v>
      </c>
      <c r="R1655">
        <v>2171898</v>
      </c>
    </row>
    <row r="1656" spans="1:18" x14ac:dyDescent="0.25">
      <c r="A1656" s="170">
        <v>44442</v>
      </c>
      <c r="B1656" s="116">
        <v>1536.4375111746799</v>
      </c>
      <c r="C1656" s="116">
        <v>1517.7264788894299</v>
      </c>
      <c r="D1656" s="116">
        <v>1504.6384511251299</v>
      </c>
      <c r="E1656" s="116">
        <v>1536.4375111746799</v>
      </c>
      <c r="F1656" s="116">
        <v>1565.5</v>
      </c>
      <c r="G1656">
        <v>62094</v>
      </c>
      <c r="H1656" s="116"/>
      <c r="I1656" s="116"/>
      <c r="L1656" s="170">
        <v>44442</v>
      </c>
      <c r="M1656" s="116">
        <v>1517.7773363000599</v>
      </c>
      <c r="N1656" s="116">
        <v>1533.1436745073099</v>
      </c>
      <c r="O1656" s="116">
        <v>1504.20454545455</v>
      </c>
      <c r="P1656" s="116">
        <v>1530.3321678321699</v>
      </c>
      <c r="Q1656" s="116">
        <v>1565.55</v>
      </c>
      <c r="R1656">
        <v>1687999</v>
      </c>
    </row>
    <row r="1657" spans="1:18" x14ac:dyDescent="0.25">
      <c r="A1657" s="170">
        <v>44445</v>
      </c>
      <c r="B1657" s="116">
        <v>1578.41614837424</v>
      </c>
      <c r="C1657" s="116">
        <v>1533.81990562182</v>
      </c>
      <c r="D1657" s="116">
        <v>1518.64748825062</v>
      </c>
      <c r="E1657" s="116">
        <v>1525.96708896324</v>
      </c>
      <c r="F1657" s="116">
        <v>1582.1</v>
      </c>
      <c r="G1657">
        <v>201659</v>
      </c>
      <c r="H1657" s="116"/>
      <c r="I1657" s="116"/>
      <c r="L1657" s="170">
        <v>44445</v>
      </c>
      <c r="M1657" s="116">
        <v>1533.72536554355</v>
      </c>
      <c r="N1657" s="116">
        <v>1578.7579465988599</v>
      </c>
      <c r="O1657" s="116">
        <v>1518.26207883026</v>
      </c>
      <c r="P1657" s="116">
        <v>1524.0305149396099</v>
      </c>
      <c r="Q1657" s="116">
        <v>1582</v>
      </c>
      <c r="R1657">
        <v>5562312</v>
      </c>
    </row>
    <row r="1658" spans="1:18" x14ac:dyDescent="0.25">
      <c r="A1658" s="170">
        <v>44446</v>
      </c>
      <c r="B1658" s="116">
        <v>1542.10898987254</v>
      </c>
      <c r="C1658" s="116">
        <v>1509.92213640775</v>
      </c>
      <c r="D1658" s="116">
        <v>1504.5899769482301</v>
      </c>
      <c r="E1658" s="116">
        <v>1537.11614965135</v>
      </c>
      <c r="F1658" s="116">
        <v>1557.45</v>
      </c>
      <c r="G1658">
        <v>95980</v>
      </c>
      <c r="H1658" s="116"/>
      <c r="I1658" s="116"/>
      <c r="L1658" s="170">
        <v>44446</v>
      </c>
      <c r="M1658" s="116">
        <v>1510.5546726001301</v>
      </c>
      <c r="N1658" s="116">
        <v>1543.75953591863</v>
      </c>
      <c r="O1658" s="116">
        <v>1505.6102987921199</v>
      </c>
      <c r="P1658" s="116">
        <v>1536.73076923077</v>
      </c>
      <c r="Q1658" s="116">
        <v>1558.1</v>
      </c>
      <c r="R1658">
        <v>1651169</v>
      </c>
    </row>
    <row r="1659" spans="1:18" x14ac:dyDescent="0.25">
      <c r="A1659" s="170">
        <v>44447</v>
      </c>
      <c r="B1659" s="116">
        <v>1529.8450231156301</v>
      </c>
      <c r="C1659" s="116">
        <v>1508.3709627467999</v>
      </c>
      <c r="D1659" s="116">
        <v>1491.59889753774</v>
      </c>
      <c r="E1659" s="116">
        <v>1512.3943194299</v>
      </c>
      <c r="F1659" s="116">
        <v>1555.85</v>
      </c>
      <c r="G1659">
        <v>69825</v>
      </c>
      <c r="H1659" s="116"/>
      <c r="I1659" s="116"/>
      <c r="L1659" s="170">
        <v>44447</v>
      </c>
      <c r="M1659" s="116">
        <v>1508.4702797202799</v>
      </c>
      <c r="N1659" s="116">
        <v>1530.81691036236</v>
      </c>
      <c r="O1659" s="116">
        <v>1491.3103941513</v>
      </c>
      <c r="P1659" s="116">
        <v>1512.29974570884</v>
      </c>
      <c r="Q1659" s="116">
        <v>1555.95</v>
      </c>
      <c r="R1659">
        <v>2084219</v>
      </c>
    </row>
    <row r="1660" spans="1:18" x14ac:dyDescent="0.25">
      <c r="A1660" s="170">
        <v>44448</v>
      </c>
      <c r="B1660" s="116">
        <v>1518.1142723046701</v>
      </c>
      <c r="C1660" s="116">
        <v>1497.3673245894099</v>
      </c>
      <c r="D1660" s="116">
        <v>1488.49655021583</v>
      </c>
      <c r="E1660" s="116">
        <v>1516.27225358228</v>
      </c>
      <c r="F1660" s="116">
        <v>1544.5</v>
      </c>
      <c r="G1660">
        <v>46509</v>
      </c>
      <c r="H1660" s="116"/>
      <c r="I1660" s="116"/>
      <c r="L1660" s="170">
        <v>44448</v>
      </c>
      <c r="M1660" s="116">
        <v>1497.85441830896</v>
      </c>
      <c r="N1660" s="116">
        <v>1517.7288620470399</v>
      </c>
      <c r="O1660" s="116">
        <v>1488.20804195804</v>
      </c>
      <c r="P1660" s="116">
        <v>1513.9478703115101</v>
      </c>
      <c r="Q1660" s="116">
        <v>1545</v>
      </c>
      <c r="R1660">
        <v>1243149</v>
      </c>
    </row>
    <row r="1661" spans="1:18" x14ac:dyDescent="0.25">
      <c r="A1661" s="170">
        <v>44452</v>
      </c>
      <c r="B1661" s="116">
        <v>1510.21298146918</v>
      </c>
      <c r="C1661" s="116">
        <v>1485.53962542464</v>
      </c>
      <c r="D1661" s="116">
        <v>1478.8986631886801</v>
      </c>
      <c r="E1661" s="116">
        <v>1502.45711316441</v>
      </c>
      <c r="F1661" s="116">
        <v>1532.3</v>
      </c>
      <c r="G1661">
        <v>68576</v>
      </c>
      <c r="H1661" s="116"/>
      <c r="I1661" s="116"/>
      <c r="L1661" s="170">
        <v>44452</v>
      </c>
      <c r="M1661" s="116">
        <v>1485.68738080102</v>
      </c>
      <c r="N1661" s="116">
        <v>1509.48823903369</v>
      </c>
      <c r="O1661" s="116">
        <v>1478.70708836618</v>
      </c>
      <c r="P1661" s="116">
        <v>1500.76287349015</v>
      </c>
      <c r="Q1661" s="116">
        <v>1532.45</v>
      </c>
      <c r="R1661">
        <v>1759456</v>
      </c>
    </row>
    <row r="1662" spans="1:18" x14ac:dyDescent="0.25">
      <c r="A1662" s="170">
        <v>44453</v>
      </c>
      <c r="B1662" s="116">
        <v>1500.1303526729801</v>
      </c>
      <c r="C1662" s="116">
        <v>1469.64009539986</v>
      </c>
      <c r="D1662" s="116">
        <v>1451.3168565298499</v>
      </c>
      <c r="E1662" s="116">
        <v>1496.8825828203601</v>
      </c>
      <c r="F1662" s="116">
        <v>1515.9</v>
      </c>
      <c r="G1662">
        <v>153351</v>
      </c>
      <c r="H1662" s="116"/>
      <c r="I1662" s="116"/>
      <c r="L1662" s="170">
        <v>44453</v>
      </c>
      <c r="M1662" s="116">
        <v>1467.02479338843</v>
      </c>
      <c r="N1662" s="116">
        <v>1500.03575969485</v>
      </c>
      <c r="O1662" s="116">
        <v>1451.36760966306</v>
      </c>
      <c r="P1662" s="116">
        <v>1492.9100445009501</v>
      </c>
      <c r="Q1662" s="116">
        <v>1513.2</v>
      </c>
      <c r="R1662">
        <v>7143757</v>
      </c>
    </row>
    <row r="1663" spans="1:18" x14ac:dyDescent="0.25">
      <c r="A1663" s="170">
        <v>44454</v>
      </c>
      <c r="B1663" s="116">
        <v>1497.85206635846</v>
      </c>
      <c r="C1663" s="116">
        <v>1471.14279488391</v>
      </c>
      <c r="D1663" s="116">
        <v>1451.3168565298499</v>
      </c>
      <c r="E1663" s="116">
        <v>1468.76756021558</v>
      </c>
      <c r="F1663" s="116">
        <v>1517.45</v>
      </c>
      <c r="G1663">
        <v>262158</v>
      </c>
      <c r="H1663" s="116"/>
      <c r="I1663" s="116"/>
      <c r="L1663" s="170">
        <v>44454</v>
      </c>
      <c r="M1663" s="116">
        <v>1470.51493960585</v>
      </c>
      <c r="N1663" s="116">
        <v>1498.4361093452001</v>
      </c>
      <c r="O1663" s="116">
        <v>1451.222186904</v>
      </c>
      <c r="P1663" s="116">
        <v>1477.4952320406901</v>
      </c>
      <c r="Q1663" s="116">
        <v>1516.8</v>
      </c>
      <c r="R1663">
        <v>12834337</v>
      </c>
    </row>
    <row r="1664" spans="1:18" x14ac:dyDescent="0.25">
      <c r="A1664" s="170">
        <v>44455</v>
      </c>
      <c r="B1664" s="116">
        <v>1482.53422645654</v>
      </c>
      <c r="C1664" s="116">
        <v>1457.32765446604</v>
      </c>
      <c r="D1664" s="116">
        <v>1454.2253071441301</v>
      </c>
      <c r="E1664" s="116">
        <v>1477.49291205844</v>
      </c>
      <c r="F1664" s="116">
        <v>1503.2</v>
      </c>
      <c r="G1664">
        <v>155436</v>
      </c>
      <c r="H1664" s="116"/>
      <c r="I1664" s="116"/>
      <c r="L1664" s="170">
        <v>44455</v>
      </c>
      <c r="M1664" s="116">
        <v>1457.32994278449</v>
      </c>
      <c r="N1664" s="116">
        <v>1488.15956770502</v>
      </c>
      <c r="O1664" s="116">
        <v>1453.9852193261299</v>
      </c>
      <c r="P1664" s="116">
        <v>1476.52574698029</v>
      </c>
      <c r="Q1664" s="116">
        <v>1503.2</v>
      </c>
      <c r="R1664">
        <v>7616906</v>
      </c>
    </row>
    <row r="1665" spans="1:18" x14ac:dyDescent="0.25">
      <c r="A1665" s="170">
        <v>44456</v>
      </c>
      <c r="B1665" s="116">
        <v>1478.4623955965401</v>
      </c>
      <c r="C1665" s="116">
        <v>1435.02953308983</v>
      </c>
      <c r="D1665" s="116">
        <v>1421.6021860871999</v>
      </c>
      <c r="E1665" s="116">
        <v>1460.5269501417599</v>
      </c>
      <c r="F1665" s="116">
        <v>1480.2</v>
      </c>
      <c r="G1665">
        <v>180416</v>
      </c>
      <c r="H1665" s="116"/>
      <c r="I1665" s="116"/>
      <c r="L1665" s="170">
        <v>44456</v>
      </c>
      <c r="M1665" s="116">
        <v>1435.0802606484399</v>
      </c>
      <c r="N1665" s="116">
        <v>1478.4647171010799</v>
      </c>
      <c r="O1665" s="116">
        <v>1421.02272727273</v>
      </c>
      <c r="P1665" s="116">
        <v>1457.32994278449</v>
      </c>
      <c r="Q1665" s="116">
        <v>1480.25</v>
      </c>
      <c r="R1665">
        <v>3329954</v>
      </c>
    </row>
    <row r="1666" spans="1:18" x14ac:dyDescent="0.25">
      <c r="A1666" s="170">
        <v>44459</v>
      </c>
      <c r="B1666" s="116">
        <v>1442.6884530407899</v>
      </c>
      <c r="C1666" s="116">
        <v>1377.4906851038299</v>
      </c>
      <c r="D1666" s="116">
        <v>1368.32906566882</v>
      </c>
      <c r="E1666" s="116">
        <v>1424.17131746316</v>
      </c>
      <c r="F1666" s="116">
        <v>1420.85</v>
      </c>
      <c r="G1666">
        <v>89057</v>
      </c>
      <c r="H1666" s="116"/>
      <c r="I1666" s="116"/>
      <c r="L1666" s="170">
        <v>44459</v>
      </c>
      <c r="M1666" s="116">
        <v>1375.55387794024</v>
      </c>
      <c r="N1666" s="116">
        <v>1443.07851239669</v>
      </c>
      <c r="O1666" s="116">
        <v>1366.92546090273</v>
      </c>
      <c r="P1666" s="116">
        <v>1420.1986649713899</v>
      </c>
      <c r="Q1666" s="116">
        <v>1418.85</v>
      </c>
      <c r="R1666">
        <v>2273312</v>
      </c>
    </row>
    <row r="1667" spans="1:18" x14ac:dyDescent="0.25">
      <c r="A1667" s="170">
        <v>44460</v>
      </c>
      <c r="B1667" s="116">
        <v>1402.8426796250401</v>
      </c>
      <c r="C1667" s="116">
        <v>1397.1712009271801</v>
      </c>
      <c r="D1667" s="116">
        <v>1339.1476111721299</v>
      </c>
      <c r="E1667" s="116">
        <v>1377.4906851038299</v>
      </c>
      <c r="F1667" s="116">
        <v>1441.15</v>
      </c>
      <c r="G1667">
        <v>154208</v>
      </c>
      <c r="H1667" s="116"/>
      <c r="I1667" s="116"/>
      <c r="L1667" s="170">
        <v>44460</v>
      </c>
      <c r="M1667" s="116">
        <v>1397.46424030515</v>
      </c>
      <c r="N1667" s="116">
        <v>1402.79640813732</v>
      </c>
      <c r="O1667" s="116">
        <v>1339.19818817546</v>
      </c>
      <c r="P1667" s="116">
        <v>1376.6687857596901</v>
      </c>
      <c r="Q1667" s="116">
        <v>1441.45</v>
      </c>
      <c r="R1667">
        <v>2682157</v>
      </c>
    </row>
    <row r="1668" spans="1:18" x14ac:dyDescent="0.25">
      <c r="A1668" s="170">
        <v>44461</v>
      </c>
      <c r="B1668" s="116">
        <v>1417.5303552272001</v>
      </c>
      <c r="C1668" s="116">
        <v>1394.2627503128899</v>
      </c>
      <c r="D1668" s="116">
        <v>1382.0957319097899</v>
      </c>
      <c r="E1668" s="116">
        <v>1399.93422901075</v>
      </c>
      <c r="F1668" s="116">
        <v>1438.15</v>
      </c>
      <c r="G1668">
        <v>55416</v>
      </c>
      <c r="H1668" s="116"/>
      <c r="I1668" s="116"/>
      <c r="L1668" s="170">
        <v>44461</v>
      </c>
      <c r="M1668" s="116">
        <v>1393.87714558169</v>
      </c>
      <c r="N1668" s="116">
        <v>1418.01732358551</v>
      </c>
      <c r="O1668" s="116">
        <v>1380.8860457724099</v>
      </c>
      <c r="P1668" s="116">
        <v>1391.21106166561</v>
      </c>
      <c r="Q1668" s="116">
        <v>1437.75</v>
      </c>
      <c r="R1668">
        <v>1663858</v>
      </c>
    </row>
    <row r="1669" spans="1:18" x14ac:dyDescent="0.25">
      <c r="A1669" s="170">
        <v>44462</v>
      </c>
      <c r="B1669" s="116">
        <v>1434.7386880284</v>
      </c>
      <c r="C1669" s="116">
        <v>1429.1156835074501</v>
      </c>
      <c r="D1669" s="116">
        <v>1397.9952619345599</v>
      </c>
      <c r="E1669" s="116">
        <v>1404.9755434088499</v>
      </c>
      <c r="F1669" s="116">
        <v>1474.1</v>
      </c>
      <c r="G1669">
        <v>353340</v>
      </c>
      <c r="H1669" s="116"/>
      <c r="I1669" s="116"/>
      <c r="L1669" s="170">
        <v>44462</v>
      </c>
      <c r="M1669" s="116">
        <v>1429.3602987921199</v>
      </c>
      <c r="N1669" s="116">
        <v>1434.8378893833401</v>
      </c>
      <c r="O1669" s="116">
        <v>1397.12492053401</v>
      </c>
      <c r="P1669" s="116">
        <v>1408.6617927527</v>
      </c>
      <c r="Q1669" s="116">
        <v>1474.35</v>
      </c>
      <c r="R1669">
        <v>1622616</v>
      </c>
    </row>
    <row r="1670" spans="1:18" x14ac:dyDescent="0.25">
      <c r="A1670" s="170">
        <v>44463</v>
      </c>
      <c r="B1670" s="116">
        <v>1469.4461986922399</v>
      </c>
      <c r="C1670" s="116">
        <v>1416.7062942198199</v>
      </c>
      <c r="D1670" s="116">
        <v>1409.6775385686201</v>
      </c>
      <c r="E1670" s="116">
        <v>1440.65253761079</v>
      </c>
      <c r="F1670" s="116">
        <v>1461.3</v>
      </c>
      <c r="G1670">
        <v>109337</v>
      </c>
      <c r="H1670" s="116"/>
      <c r="I1670" s="116"/>
      <c r="L1670" s="170">
        <v>44463</v>
      </c>
      <c r="M1670" s="116">
        <v>1417.0963127781299</v>
      </c>
      <c r="N1670" s="116">
        <v>1469.73935155753</v>
      </c>
      <c r="O1670" s="116">
        <v>1410.6007628734901</v>
      </c>
      <c r="P1670" s="116">
        <v>1437.7463445645301</v>
      </c>
      <c r="Q1670" s="116">
        <v>1461.7</v>
      </c>
      <c r="R1670">
        <v>2760295</v>
      </c>
    </row>
    <row r="1671" spans="1:18" x14ac:dyDescent="0.25">
      <c r="A1671" s="170">
        <v>44466</v>
      </c>
      <c r="B1671" s="116">
        <v>1499.50018837322</v>
      </c>
      <c r="C1671" s="116">
        <v>1483.30981328702</v>
      </c>
      <c r="D1671" s="116">
        <v>1416.4154491583899</v>
      </c>
      <c r="E1671" s="116">
        <v>1416.4154491583899</v>
      </c>
      <c r="F1671" s="116">
        <v>1530</v>
      </c>
      <c r="G1671">
        <v>205388</v>
      </c>
      <c r="H1671" s="116"/>
      <c r="I1671" s="116"/>
      <c r="L1671" s="170">
        <v>44466</v>
      </c>
      <c r="M1671" s="116">
        <v>1484.5239987285399</v>
      </c>
      <c r="N1671" s="116">
        <v>1496.88493324857</v>
      </c>
      <c r="O1671" s="116">
        <v>1417.3871582962499</v>
      </c>
      <c r="P1671" s="116">
        <v>1417.3871582962499</v>
      </c>
      <c r="Q1671" s="116">
        <v>1531.25</v>
      </c>
      <c r="R1671">
        <v>4737676</v>
      </c>
    </row>
    <row r="1672" spans="1:18" x14ac:dyDescent="0.25">
      <c r="A1672" s="170">
        <v>44467</v>
      </c>
      <c r="B1672" s="116">
        <v>1511.4248358918001</v>
      </c>
      <c r="C1672" s="116">
        <v>1441.1857535567401</v>
      </c>
      <c r="D1672" s="116">
        <v>1430.0366928686401</v>
      </c>
      <c r="E1672" s="116">
        <v>1511.4248358918001</v>
      </c>
      <c r="F1672" s="116">
        <v>1486.55</v>
      </c>
      <c r="G1672">
        <v>115071</v>
      </c>
      <c r="H1672" s="116"/>
      <c r="I1672" s="116"/>
      <c r="L1672" s="170">
        <v>44467</v>
      </c>
      <c r="M1672" s="116">
        <v>1441.9151303242199</v>
      </c>
      <c r="N1672" s="116">
        <v>1510.36077558805</v>
      </c>
      <c r="O1672" s="116">
        <v>1429.99046408137</v>
      </c>
      <c r="P1672" s="116">
        <v>1509.48823903369</v>
      </c>
      <c r="Q1672" s="116">
        <v>1487.3</v>
      </c>
      <c r="R1672">
        <v>3547971</v>
      </c>
    </row>
    <row r="1673" spans="1:18" x14ac:dyDescent="0.25">
      <c r="A1673" s="170">
        <v>44468</v>
      </c>
      <c r="B1673" s="116">
        <v>1451.7531241219899</v>
      </c>
      <c r="C1673" s="116">
        <v>1440.7494859645999</v>
      </c>
      <c r="D1673" s="116">
        <v>1419.9540640724399</v>
      </c>
      <c r="E1673" s="116">
        <v>1425.1408010012501</v>
      </c>
      <c r="F1673" s="116">
        <v>1486.1</v>
      </c>
      <c r="G1673">
        <v>63983</v>
      </c>
      <c r="H1673" s="116"/>
      <c r="I1673" s="116"/>
      <c r="L1673" s="170">
        <v>44468</v>
      </c>
      <c r="M1673" s="116">
        <v>1440.3154799745701</v>
      </c>
      <c r="N1673" s="116">
        <v>1452.28862047044</v>
      </c>
      <c r="O1673" s="116">
        <v>1419.6169739351601</v>
      </c>
      <c r="P1673" s="116">
        <v>1421.55594405594</v>
      </c>
      <c r="Q1673" s="116">
        <v>1485.65</v>
      </c>
      <c r="R1673">
        <v>1764350</v>
      </c>
    </row>
    <row r="1674" spans="1:18" x14ac:dyDescent="0.25">
      <c r="A1674" s="170">
        <v>44469</v>
      </c>
      <c r="B1674" s="116">
        <v>1472.30617512963</v>
      </c>
      <c r="C1674" s="116">
        <v>1422.3292987407699</v>
      </c>
      <c r="D1674" s="116">
        <v>1417.6757777579101</v>
      </c>
      <c r="E1674" s="116">
        <v>1444.53047176317</v>
      </c>
      <c r="F1674" s="116">
        <v>1467.1</v>
      </c>
      <c r="G1674">
        <v>101408</v>
      </c>
      <c r="H1674" s="116"/>
      <c r="I1674" s="116"/>
      <c r="L1674" s="170">
        <v>44469</v>
      </c>
      <c r="M1674" s="116">
        <v>1423.3010171646499</v>
      </c>
      <c r="N1674" s="116">
        <v>1472.64780673872</v>
      </c>
      <c r="O1674" s="116">
        <v>1418.69596312778</v>
      </c>
      <c r="P1674" s="116">
        <v>1439.3944691672</v>
      </c>
      <c r="Q1674" s="116">
        <v>1468.1</v>
      </c>
      <c r="R1674">
        <v>2072145</v>
      </c>
    </row>
    <row r="1675" spans="1:18" x14ac:dyDescent="0.25">
      <c r="A1675" s="170">
        <v>44470</v>
      </c>
      <c r="B1675" s="116">
        <v>1423.29878227887</v>
      </c>
      <c r="C1675" s="116">
        <v>1413.7008952517201</v>
      </c>
      <c r="D1675" s="116">
        <v>1379.0903329416899</v>
      </c>
      <c r="E1675" s="116">
        <v>1420.5357541952999</v>
      </c>
      <c r="F1675" s="116">
        <v>1458.2</v>
      </c>
      <c r="G1675">
        <v>103030</v>
      </c>
      <c r="H1675" s="116"/>
      <c r="I1675" s="116"/>
      <c r="L1675" s="170">
        <v>44470</v>
      </c>
      <c r="M1675" s="116">
        <v>1414.1878575969499</v>
      </c>
      <c r="N1675" s="116">
        <v>1423.93118245391</v>
      </c>
      <c r="O1675" s="116">
        <v>1379.23792116974</v>
      </c>
      <c r="P1675" s="116">
        <v>1420.2956134774299</v>
      </c>
      <c r="Q1675" s="116">
        <v>1458.7</v>
      </c>
      <c r="R1675">
        <v>2311858</v>
      </c>
    </row>
    <row r="1676" spans="1:18" x14ac:dyDescent="0.25">
      <c r="A1676" s="170">
        <v>44473</v>
      </c>
      <c r="B1676" s="116">
        <v>1484.2308226482101</v>
      </c>
      <c r="C1676" s="116">
        <v>1480.4498368496299</v>
      </c>
      <c r="D1676" s="116">
        <v>1415.6398623279099</v>
      </c>
      <c r="E1676" s="116">
        <v>1431.6363407065001</v>
      </c>
      <c r="F1676" s="116">
        <v>1527.05</v>
      </c>
      <c r="G1676">
        <v>144657</v>
      </c>
      <c r="H1676" s="116"/>
      <c r="I1676" s="116"/>
      <c r="L1676" s="170">
        <v>44473</v>
      </c>
      <c r="M1676" s="116">
        <v>1480.0643674507301</v>
      </c>
      <c r="N1676" s="116">
        <v>1484.2816274634499</v>
      </c>
      <c r="O1676" s="116">
        <v>1415.5451366815</v>
      </c>
      <c r="P1676" s="116">
        <v>1426.1125238397999</v>
      </c>
      <c r="Q1676" s="116">
        <v>1526.65</v>
      </c>
      <c r="R1676">
        <v>3209302</v>
      </c>
    </row>
    <row r="1677" spans="1:18" x14ac:dyDescent="0.25">
      <c r="A1677" s="170">
        <v>44474</v>
      </c>
      <c r="B1677" s="116">
        <v>1510.1160331153701</v>
      </c>
      <c r="C1677" s="116">
        <v>1481.0800011494</v>
      </c>
      <c r="D1677" s="116">
        <v>1464.6472551786701</v>
      </c>
      <c r="E1677" s="116">
        <v>1473.6149779060599</v>
      </c>
      <c r="F1677" s="116">
        <v>1527.7</v>
      </c>
      <c r="G1677">
        <v>222269</v>
      </c>
      <c r="H1677" s="116"/>
      <c r="I1677" s="116"/>
      <c r="L1677" s="170">
        <v>44474</v>
      </c>
      <c r="M1677" s="116">
        <v>1481.0338525111299</v>
      </c>
      <c r="N1677" s="116">
        <v>1510.31230133503</v>
      </c>
      <c r="O1677" s="116">
        <v>1466.2007310870899</v>
      </c>
      <c r="P1677" s="116">
        <v>1468.7698664971399</v>
      </c>
      <c r="Q1677" s="116">
        <v>1527.65</v>
      </c>
      <c r="R1677">
        <v>2544835</v>
      </c>
    </row>
    <row r="1678" spans="1:18" x14ac:dyDescent="0.25">
      <c r="A1678" s="170">
        <v>44475</v>
      </c>
      <c r="B1678" s="116">
        <v>1494.45887397512</v>
      </c>
      <c r="C1678" s="116">
        <v>1434.30242043626</v>
      </c>
      <c r="D1678" s="116">
        <v>1427.8553549079199</v>
      </c>
      <c r="E1678" s="116">
        <v>1484.2792968251099</v>
      </c>
      <c r="F1678" s="116">
        <v>1479.45</v>
      </c>
      <c r="G1678">
        <v>126329</v>
      </c>
      <c r="H1678" s="116"/>
      <c r="I1678" s="116"/>
      <c r="L1678" s="170">
        <v>44475</v>
      </c>
      <c r="M1678" s="116">
        <v>1434.4016211061701</v>
      </c>
      <c r="N1678" s="116">
        <v>1493.97647806739</v>
      </c>
      <c r="O1678" s="116">
        <v>1427.08200890019</v>
      </c>
      <c r="P1678" s="116">
        <v>1483.1182453909701</v>
      </c>
      <c r="Q1678" s="116">
        <v>1479.55</v>
      </c>
      <c r="R1678">
        <v>1777998</v>
      </c>
    </row>
    <row r="1679" spans="1:18" x14ac:dyDescent="0.25">
      <c r="A1679" s="170">
        <v>44476</v>
      </c>
      <c r="B1679" s="116">
        <v>1488.2541793313101</v>
      </c>
      <c r="C1679" s="116">
        <v>1473.4210811984401</v>
      </c>
      <c r="D1679" s="116">
        <v>1445.54842947817</v>
      </c>
      <c r="E1679" s="116">
        <v>1450.34737299175</v>
      </c>
      <c r="F1679" s="116">
        <v>1519.8</v>
      </c>
      <c r="G1679">
        <v>75221</v>
      </c>
      <c r="H1679" s="116"/>
      <c r="I1679" s="116"/>
      <c r="L1679" s="170">
        <v>44476</v>
      </c>
      <c r="M1679" s="116">
        <v>1474.3444055944101</v>
      </c>
      <c r="N1679" s="116">
        <v>1488.88668150032</v>
      </c>
      <c r="O1679" s="116">
        <v>1444.5327399872899</v>
      </c>
      <c r="P1679" s="116">
        <v>1456.9906230133499</v>
      </c>
      <c r="Q1679" s="116">
        <v>1520.75</v>
      </c>
      <c r="R1679">
        <v>1919106</v>
      </c>
    </row>
    <row r="1680" spans="1:18" x14ac:dyDescent="0.25">
      <c r="A1680" s="170">
        <v>44477</v>
      </c>
      <c r="B1680" s="116">
        <v>1521.65288721872</v>
      </c>
      <c r="C1680" s="116">
        <v>1499.8879817884599</v>
      </c>
      <c r="D1680" s="116">
        <v>1465.2774194784299</v>
      </c>
      <c r="E1680" s="116">
        <v>1479.43187913463</v>
      </c>
      <c r="F1680" s="116">
        <v>1547.1</v>
      </c>
      <c r="G1680">
        <v>94813</v>
      </c>
      <c r="H1680" s="116"/>
      <c r="I1680" s="116"/>
      <c r="L1680" s="170">
        <v>44477</v>
      </c>
      <c r="M1680" s="116">
        <v>1500.66592498411</v>
      </c>
      <c r="N1680" s="116">
        <v>1521.5583280356</v>
      </c>
      <c r="O1680" s="116">
        <v>1465.3281945327401</v>
      </c>
      <c r="P1680" s="116">
        <v>1475.5562619199</v>
      </c>
      <c r="Q1680" s="116">
        <v>1547.9</v>
      </c>
      <c r="R1680">
        <v>2646112</v>
      </c>
    </row>
    <row r="1681" spans="1:18" x14ac:dyDescent="0.25">
      <c r="A1681" s="170">
        <v>44480</v>
      </c>
      <c r="B1681" s="116">
        <v>1515.3027700441901</v>
      </c>
      <c r="C1681" s="116">
        <v>1492.8592261372601</v>
      </c>
      <c r="D1681" s="116">
        <v>1486.2182639013099</v>
      </c>
      <c r="E1681" s="116">
        <v>1507.54690173942</v>
      </c>
      <c r="F1681" s="116">
        <v>1539.85</v>
      </c>
      <c r="G1681">
        <v>328610</v>
      </c>
      <c r="H1681" s="116"/>
      <c r="I1681" s="116"/>
      <c r="L1681" s="170">
        <v>44480</v>
      </c>
      <c r="M1681" s="116">
        <v>1492.7646217418901</v>
      </c>
      <c r="N1681" s="116">
        <v>1515.98378893833</v>
      </c>
      <c r="O1681" s="116">
        <v>1485.3965352829</v>
      </c>
      <c r="P1681" s="116">
        <v>1505.6102987921199</v>
      </c>
      <c r="Q1681" s="116">
        <v>1539.75</v>
      </c>
      <c r="R1681">
        <v>1910095</v>
      </c>
    </row>
    <row r="1682" spans="1:18" x14ac:dyDescent="0.25">
      <c r="A1682" s="170">
        <v>44481</v>
      </c>
      <c r="B1682" s="116">
        <v>1518.84138495824</v>
      </c>
      <c r="C1682" s="116">
        <v>1506.5774182013199</v>
      </c>
      <c r="D1682" s="116">
        <v>1468.76756021558</v>
      </c>
      <c r="E1682" s="116">
        <v>1495.91309928227</v>
      </c>
      <c r="F1682" s="116">
        <v>1554</v>
      </c>
      <c r="G1682">
        <v>109299</v>
      </c>
      <c r="H1682" s="116"/>
      <c r="I1682" s="116"/>
      <c r="L1682" s="170">
        <v>44481</v>
      </c>
      <c r="M1682" s="116">
        <v>1507.01605212969</v>
      </c>
      <c r="N1682" s="116">
        <v>1519.0861411316</v>
      </c>
      <c r="O1682" s="116">
        <v>1468.2851239669401</v>
      </c>
      <c r="P1682" s="116">
        <v>1492.0375079466</v>
      </c>
      <c r="Q1682" s="116">
        <v>1554.45</v>
      </c>
      <c r="R1682">
        <v>1900749</v>
      </c>
    </row>
    <row r="1683" spans="1:18" x14ac:dyDescent="0.25">
      <c r="A1683" s="170">
        <v>44482</v>
      </c>
      <c r="B1683" s="116">
        <v>1559.0264776123199</v>
      </c>
      <c r="C1683" s="116">
        <v>1520.6834036806199</v>
      </c>
      <c r="D1683" s="116">
        <v>1503.7659159408399</v>
      </c>
      <c r="E1683" s="116">
        <v>1522.08915481086</v>
      </c>
      <c r="F1683" s="116">
        <v>1568.55</v>
      </c>
      <c r="G1683">
        <v>315882</v>
      </c>
      <c r="H1683" s="116"/>
      <c r="I1683" s="116"/>
      <c r="L1683" s="170">
        <v>44482</v>
      </c>
      <c r="M1683" s="116">
        <v>1521.8006993007</v>
      </c>
      <c r="N1683" s="116">
        <v>1559.22282263191</v>
      </c>
      <c r="O1683" s="116">
        <v>1503.96217418945</v>
      </c>
      <c r="P1683" s="116">
        <v>1520.5888429752099</v>
      </c>
      <c r="Q1683" s="116">
        <v>1569.7</v>
      </c>
      <c r="R1683">
        <v>3923958</v>
      </c>
    </row>
    <row r="1684" spans="1:18" x14ac:dyDescent="0.25">
      <c r="A1684" s="170">
        <v>44483</v>
      </c>
      <c r="B1684" s="116">
        <v>1605.8040583254599</v>
      </c>
      <c r="C1684" s="116">
        <v>1596.20617129831</v>
      </c>
      <c r="D1684" s="116">
        <v>1524.9976054251499</v>
      </c>
      <c r="E1684" s="116">
        <v>1524.9976054251499</v>
      </c>
      <c r="F1684" s="116">
        <v>1646.45</v>
      </c>
      <c r="G1684">
        <v>191301</v>
      </c>
      <c r="H1684" s="116"/>
      <c r="I1684" s="116"/>
      <c r="L1684" s="170">
        <v>44483</v>
      </c>
      <c r="M1684" s="116">
        <v>1596.1117291799101</v>
      </c>
      <c r="N1684" s="116">
        <v>1605.4672600127101</v>
      </c>
      <c r="O1684" s="116">
        <v>1526.7450731087099</v>
      </c>
      <c r="P1684" s="116">
        <v>1531.7863954227601</v>
      </c>
      <c r="Q1684" s="116">
        <v>1646.35</v>
      </c>
      <c r="R1684">
        <v>5256882</v>
      </c>
    </row>
    <row r="1685" spans="1:18" x14ac:dyDescent="0.25">
      <c r="A1685" s="170">
        <v>44487</v>
      </c>
      <c r="B1685" s="116">
        <v>1621.5096916426101</v>
      </c>
      <c r="C1685" s="116">
        <v>1562.61356670328</v>
      </c>
      <c r="D1685" s="116">
        <v>1514.33328650609</v>
      </c>
      <c r="E1685" s="116">
        <v>1620.00699215857</v>
      </c>
      <c r="F1685" s="116">
        <v>1611.8</v>
      </c>
      <c r="G1685">
        <v>226498</v>
      </c>
      <c r="H1685" s="116"/>
      <c r="I1685" s="116"/>
      <c r="L1685" s="170">
        <v>44487</v>
      </c>
      <c r="M1685" s="116">
        <v>1566.2031150667499</v>
      </c>
      <c r="N1685" s="116">
        <v>1621.9000317863999</v>
      </c>
      <c r="O1685" s="116">
        <v>1559.4651938970101</v>
      </c>
      <c r="P1685" s="116">
        <v>1621.9000317863999</v>
      </c>
      <c r="Q1685" s="116">
        <v>1615.5</v>
      </c>
      <c r="R1685">
        <v>3791222</v>
      </c>
    </row>
    <row r="1686" spans="1:18" x14ac:dyDescent="0.25">
      <c r="A1686" s="170">
        <v>44488</v>
      </c>
      <c r="B1686" s="116">
        <v>1586.55981009425</v>
      </c>
      <c r="C1686" s="116">
        <v>1521.8467839263401</v>
      </c>
      <c r="D1686" s="116">
        <v>1514.8665024520401</v>
      </c>
      <c r="E1686" s="116">
        <v>1575.41074940615</v>
      </c>
      <c r="F1686" s="116">
        <v>1569.75</v>
      </c>
      <c r="G1686">
        <v>77047</v>
      </c>
      <c r="H1686" s="116"/>
      <c r="I1686" s="116"/>
      <c r="L1686" s="170">
        <v>44488</v>
      </c>
      <c r="M1686" s="116">
        <v>1521.5583280356</v>
      </c>
      <c r="N1686" s="116">
        <v>1587.0470438652301</v>
      </c>
      <c r="O1686" s="116">
        <v>1514.3841385886799</v>
      </c>
      <c r="P1686" s="116">
        <v>1575.6071201525699</v>
      </c>
      <c r="Q1686" s="116">
        <v>1569.45</v>
      </c>
      <c r="R1686">
        <v>1822638</v>
      </c>
    </row>
    <row r="1687" spans="1:18" x14ac:dyDescent="0.25">
      <c r="A1687" s="170">
        <v>44489</v>
      </c>
      <c r="B1687" s="116">
        <v>1557.6692006589899</v>
      </c>
      <c r="C1687" s="116">
        <v>1541.23645468826</v>
      </c>
      <c r="D1687" s="116">
        <v>1492.66532942964</v>
      </c>
      <c r="E1687" s="116">
        <v>1529.7480747618199</v>
      </c>
      <c r="F1687" s="116">
        <v>1589.75</v>
      </c>
      <c r="G1687">
        <v>426523</v>
      </c>
      <c r="H1687" s="116"/>
      <c r="I1687" s="116"/>
      <c r="L1687" s="170">
        <v>44489</v>
      </c>
      <c r="M1687" s="116">
        <v>1541.1904005085801</v>
      </c>
      <c r="N1687" s="116">
        <v>1558.30181182454</v>
      </c>
      <c r="O1687" s="116">
        <v>1492.1344564526401</v>
      </c>
      <c r="P1687" s="116">
        <v>1525.9694850603901</v>
      </c>
      <c r="Q1687" s="116">
        <v>1589.7</v>
      </c>
      <c r="R1687">
        <v>2768997</v>
      </c>
    </row>
    <row r="1688" spans="1:18" x14ac:dyDescent="0.25">
      <c r="A1688" s="170">
        <v>44490</v>
      </c>
      <c r="B1688" s="116">
        <v>1576.91344889019</v>
      </c>
      <c r="C1688" s="116">
        <v>1547.1503042706399</v>
      </c>
      <c r="D1688" s="116">
        <v>1533.04431879135</v>
      </c>
      <c r="E1688" s="116">
        <v>1549.2346938775499</v>
      </c>
      <c r="F1688" s="116">
        <v>1595.85</v>
      </c>
      <c r="G1688">
        <v>150796</v>
      </c>
      <c r="H1688" s="116"/>
      <c r="I1688" s="116"/>
      <c r="L1688" s="170">
        <v>44490</v>
      </c>
      <c r="M1688" s="116">
        <v>1546.37714558169</v>
      </c>
      <c r="N1688" s="116">
        <v>1577.20677050222</v>
      </c>
      <c r="O1688" s="116">
        <v>1533.4345200254299</v>
      </c>
      <c r="P1688" s="116">
        <v>1553.06659249841</v>
      </c>
      <c r="Q1688" s="116">
        <v>1595.05</v>
      </c>
      <c r="R1688">
        <v>3129269</v>
      </c>
    </row>
    <row r="1689" spans="1:18" x14ac:dyDescent="0.25">
      <c r="A1689" s="170">
        <v>44491</v>
      </c>
      <c r="B1689" s="116">
        <v>1560.0444353273199</v>
      </c>
      <c r="C1689" s="116">
        <v>1495.5253058670301</v>
      </c>
      <c r="D1689" s="116">
        <v>1489.9023013460701</v>
      </c>
      <c r="E1689" s="116">
        <v>1546.32624326326</v>
      </c>
      <c r="F1689" s="116">
        <v>1542.6</v>
      </c>
      <c r="G1689">
        <v>115647</v>
      </c>
      <c r="H1689" s="116"/>
      <c r="I1689" s="116"/>
      <c r="L1689" s="170">
        <v>44491</v>
      </c>
      <c r="M1689" s="116">
        <v>1495.9154481881801</v>
      </c>
      <c r="N1689" s="116">
        <v>1559.7075651621101</v>
      </c>
      <c r="O1689" s="116">
        <v>1490.0985378258099</v>
      </c>
      <c r="P1689" s="116">
        <v>1546.37714558169</v>
      </c>
      <c r="Q1689" s="116">
        <v>1543</v>
      </c>
      <c r="R1689">
        <v>2580699</v>
      </c>
    </row>
    <row r="1690" spans="1:18" x14ac:dyDescent="0.25">
      <c r="A1690" s="170">
        <v>44494</v>
      </c>
      <c r="B1690" s="116">
        <v>1503.66896758703</v>
      </c>
      <c r="C1690" s="116">
        <v>1487.5755408546399</v>
      </c>
      <c r="D1690" s="116">
        <v>1449.1839927460301</v>
      </c>
      <c r="E1690" s="116">
        <v>1499.79103343465</v>
      </c>
      <c r="F1690" s="116">
        <v>1534.4</v>
      </c>
      <c r="G1690">
        <v>209939</v>
      </c>
      <c r="H1690" s="116"/>
      <c r="I1690" s="116"/>
      <c r="L1690" s="170">
        <v>44494</v>
      </c>
      <c r="M1690" s="116">
        <v>1485.44500953592</v>
      </c>
      <c r="N1690" s="116">
        <v>1504.05912269549</v>
      </c>
      <c r="O1690" s="116">
        <v>1448.45915448188</v>
      </c>
      <c r="P1690" s="116">
        <v>1497.85441830896</v>
      </c>
      <c r="Q1690" s="116">
        <v>1532.2</v>
      </c>
      <c r="R1690">
        <v>2276050</v>
      </c>
    </row>
    <row r="1691" spans="1:18" x14ac:dyDescent="0.25">
      <c r="A1691" s="170">
        <v>44495</v>
      </c>
      <c r="B1691" s="116">
        <v>1509.48586881561</v>
      </c>
      <c r="C1691" s="116">
        <v>1496.9310569972699</v>
      </c>
      <c r="D1691" s="116">
        <v>1475.60241915915</v>
      </c>
      <c r="E1691" s="116">
        <v>1486.2182639013099</v>
      </c>
      <c r="F1691" s="116">
        <v>1544.05</v>
      </c>
      <c r="G1691">
        <v>59327</v>
      </c>
      <c r="H1691" s="116"/>
      <c r="I1691" s="116"/>
      <c r="L1691" s="170">
        <v>44495</v>
      </c>
      <c r="M1691" s="116">
        <v>1496.7395104895099</v>
      </c>
      <c r="N1691" s="116">
        <v>1509.73061029879</v>
      </c>
      <c r="O1691" s="116">
        <v>1474.4898283534601</v>
      </c>
      <c r="P1691" s="116">
        <v>1485.25111252384</v>
      </c>
      <c r="Q1691" s="116">
        <v>1543.85</v>
      </c>
      <c r="R1691">
        <v>1661783</v>
      </c>
    </row>
    <row r="1692" spans="1:18" x14ac:dyDescent="0.25">
      <c r="A1692" s="170">
        <v>44496</v>
      </c>
      <c r="B1692" s="116">
        <v>1532.17178360706</v>
      </c>
      <c r="C1692" s="116">
        <v>1519.85934267324</v>
      </c>
      <c r="D1692" s="116">
        <v>1498.8215498965501</v>
      </c>
      <c r="E1692" s="116">
        <v>1504.6384511251299</v>
      </c>
      <c r="F1692" s="116">
        <v>1567.7</v>
      </c>
      <c r="G1692">
        <v>79508</v>
      </c>
      <c r="H1692" s="116"/>
      <c r="I1692" s="116"/>
      <c r="L1692" s="170">
        <v>44496</v>
      </c>
      <c r="M1692" s="116">
        <v>1518.74682136046</v>
      </c>
      <c r="N1692" s="116">
        <v>1532.9013032422099</v>
      </c>
      <c r="O1692" s="116">
        <v>1493.0069930069899</v>
      </c>
      <c r="P1692" s="116">
        <v>1500.76287349015</v>
      </c>
      <c r="Q1692" s="116">
        <v>1566.55</v>
      </c>
      <c r="R1692">
        <v>2121282</v>
      </c>
    </row>
    <row r="1693" spans="1:18" x14ac:dyDescent="0.25">
      <c r="A1693" s="170">
        <v>44497</v>
      </c>
      <c r="B1693" s="116">
        <v>1517.6780047125201</v>
      </c>
      <c r="C1693" s="116">
        <v>1350.4420943909499</v>
      </c>
      <c r="D1693" s="116">
        <v>1303.567565324</v>
      </c>
      <c r="E1693" s="116">
        <v>1505.60793466323</v>
      </c>
      <c r="F1693" s="116">
        <v>1392.95</v>
      </c>
      <c r="G1693">
        <v>408707</v>
      </c>
      <c r="H1693" s="116"/>
      <c r="I1693" s="116"/>
      <c r="L1693" s="170">
        <v>44497</v>
      </c>
      <c r="M1693" s="116">
        <v>1355.8733312142399</v>
      </c>
      <c r="N1693" s="116">
        <v>1519.0861411316</v>
      </c>
      <c r="O1693" s="116">
        <v>1325.9647171010799</v>
      </c>
      <c r="P1693" s="116">
        <v>1502.7018436109299</v>
      </c>
      <c r="Q1693" s="116">
        <v>1398.55</v>
      </c>
      <c r="R1693">
        <v>7093354</v>
      </c>
    </row>
    <row r="1694" spans="1:18" x14ac:dyDescent="0.25">
      <c r="A1694" s="170">
        <v>44498</v>
      </c>
      <c r="B1694" s="116">
        <v>1410.35617704529</v>
      </c>
      <c r="C1694" s="116">
        <v>1380.05981647978</v>
      </c>
      <c r="D1694" s="116">
        <v>1335.0757803121201</v>
      </c>
      <c r="E1694" s="116">
        <v>1356.30746979643</v>
      </c>
      <c r="F1694" s="116">
        <v>1423.5</v>
      </c>
      <c r="G1694">
        <v>179707</v>
      </c>
      <c r="H1694" s="116"/>
      <c r="I1694" s="116"/>
      <c r="L1694" s="170">
        <v>44498</v>
      </c>
      <c r="M1694" s="116">
        <v>1380.1589319771099</v>
      </c>
      <c r="N1694" s="116">
        <v>1410.4068658614101</v>
      </c>
      <c r="O1694" s="116">
        <v>1335.70804195804</v>
      </c>
      <c r="P1694" s="116">
        <v>1357.27908455181</v>
      </c>
      <c r="Q1694" s="116">
        <v>1423.6</v>
      </c>
      <c r="R1694">
        <v>3165141</v>
      </c>
    </row>
    <row r="1695" spans="1:18" x14ac:dyDescent="0.25">
      <c r="A1695" s="170">
        <v>44501</v>
      </c>
      <c r="B1695" s="116">
        <v>1412.1981957676701</v>
      </c>
      <c r="C1695" s="116">
        <v>1401.87319608695</v>
      </c>
      <c r="D1695" s="116">
        <v>1367.98974643049</v>
      </c>
      <c r="E1695" s="116">
        <v>1400.4189707798</v>
      </c>
      <c r="F1695" s="116">
        <v>1446</v>
      </c>
      <c r="G1695">
        <v>110033</v>
      </c>
      <c r="H1695" s="116"/>
      <c r="I1695" s="116"/>
      <c r="L1695" s="170">
        <v>44501</v>
      </c>
      <c r="M1695" s="116">
        <v>1401.1967577876701</v>
      </c>
      <c r="N1695" s="116">
        <v>1412.53973299428</v>
      </c>
      <c r="O1695" s="116">
        <v>1368.1373172282299</v>
      </c>
      <c r="P1695" s="116">
        <v>1392.1805467260001</v>
      </c>
      <c r="Q1695" s="116">
        <v>1445.3</v>
      </c>
      <c r="R1695">
        <v>1543436</v>
      </c>
    </row>
    <row r="1696" spans="1:18" x14ac:dyDescent="0.25">
      <c r="A1696" s="170">
        <v>44502</v>
      </c>
      <c r="B1696" s="116">
        <v>1442.88234974841</v>
      </c>
      <c r="C1696" s="116">
        <v>1427.5160356695901</v>
      </c>
      <c r="D1696" s="116">
        <v>1407.0114588388501</v>
      </c>
      <c r="E1696" s="116">
        <v>1407.0114588388501</v>
      </c>
      <c r="F1696" s="116">
        <v>1472.45</v>
      </c>
      <c r="G1696">
        <v>96753</v>
      </c>
      <c r="H1696" s="116"/>
      <c r="I1696" s="116"/>
      <c r="L1696" s="170">
        <v>44502</v>
      </c>
      <c r="M1696" s="116">
        <v>1427.85759694851</v>
      </c>
      <c r="N1696" s="116">
        <v>1443.5632549268901</v>
      </c>
      <c r="O1696" s="116">
        <v>1408.46789574062</v>
      </c>
      <c r="P1696" s="116">
        <v>1410.6007628734901</v>
      </c>
      <c r="Q1696" s="116">
        <v>1472.8</v>
      </c>
      <c r="R1696">
        <v>1667692</v>
      </c>
    </row>
    <row r="1697" spans="1:18" x14ac:dyDescent="0.25">
      <c r="A1697" s="170">
        <v>44503</v>
      </c>
      <c r="B1697" s="116">
        <v>1454.2253071441301</v>
      </c>
      <c r="C1697" s="116">
        <v>1440.84643431841</v>
      </c>
      <c r="D1697" s="116">
        <v>1420.29338331077</v>
      </c>
      <c r="E1697" s="116">
        <v>1427.5160356695901</v>
      </c>
      <c r="F1697" s="116">
        <v>1486.2</v>
      </c>
      <c r="G1697">
        <v>52850</v>
      </c>
      <c r="H1697" s="116"/>
      <c r="I1697" s="116"/>
      <c r="L1697" s="170">
        <v>44503</v>
      </c>
      <c r="M1697" s="116">
        <v>1440.5578512396701</v>
      </c>
      <c r="N1697" s="116">
        <v>1455.19707565162</v>
      </c>
      <c r="O1697" s="116">
        <v>1419.7623966942101</v>
      </c>
      <c r="P1697" s="116">
        <v>1429.0209790209799</v>
      </c>
      <c r="Q1697" s="116">
        <v>1485.9</v>
      </c>
      <c r="R1697">
        <v>1710819</v>
      </c>
    </row>
    <row r="1698" spans="1:18" x14ac:dyDescent="0.25">
      <c r="A1698" s="170">
        <v>44504</v>
      </c>
      <c r="B1698" s="116">
        <v>1454.2253071441301</v>
      </c>
      <c r="C1698" s="116">
        <v>1451.51075323747</v>
      </c>
      <c r="D1698" s="116">
        <v>1437.9379837041199</v>
      </c>
      <c r="E1698" s="116">
        <v>1454.1283587903199</v>
      </c>
      <c r="F1698" s="116">
        <v>1497.2</v>
      </c>
      <c r="G1698">
        <v>40905</v>
      </c>
      <c r="H1698" s="116"/>
      <c r="I1698" s="116"/>
      <c r="L1698" s="170">
        <v>44504</v>
      </c>
      <c r="M1698" s="116">
        <v>1443.9995232040701</v>
      </c>
      <c r="N1698" s="116">
        <v>1465.3766687857601</v>
      </c>
      <c r="O1698" s="116">
        <v>1437.7463445645301</v>
      </c>
      <c r="P1698" s="116">
        <v>1449.38016528926</v>
      </c>
      <c r="Q1698" s="116">
        <v>1489.45</v>
      </c>
      <c r="R1698">
        <v>272261</v>
      </c>
    </row>
    <row r="1699" spans="1:18" x14ac:dyDescent="0.25">
      <c r="A1699" s="170">
        <v>44508</v>
      </c>
      <c r="B1699" s="116">
        <v>1527.76063350872</v>
      </c>
      <c r="C1699" s="116">
        <v>1519.5200234349099</v>
      </c>
      <c r="D1699" s="116">
        <v>1439.9738991341201</v>
      </c>
      <c r="E1699" s="116">
        <v>1449.0870443922199</v>
      </c>
      <c r="F1699" s="116">
        <v>1567.35</v>
      </c>
      <c r="G1699">
        <v>176244</v>
      </c>
      <c r="H1699" s="116"/>
      <c r="I1699" s="116"/>
      <c r="L1699" s="170">
        <v>44508</v>
      </c>
      <c r="M1699" s="116">
        <v>1520.3949459631301</v>
      </c>
      <c r="N1699" s="116">
        <v>1527.0843928798499</v>
      </c>
      <c r="O1699" s="116">
        <v>1440.3154799745701</v>
      </c>
      <c r="P1699" s="116">
        <v>1449.38016528926</v>
      </c>
      <c r="Q1699" s="116">
        <v>1568.25</v>
      </c>
      <c r="R1699">
        <v>2565017</v>
      </c>
    </row>
    <row r="1700" spans="1:18" x14ac:dyDescent="0.25">
      <c r="A1700" s="170">
        <v>44509</v>
      </c>
      <c r="B1700" s="116">
        <v>1608.37318970141</v>
      </c>
      <c r="C1700" s="116">
        <v>1585.7357490868701</v>
      </c>
      <c r="D1700" s="116">
        <v>1509.5343429925199</v>
      </c>
      <c r="E1700" s="116">
        <v>1513.3638029680001</v>
      </c>
      <c r="F1700" s="116">
        <v>1635.65</v>
      </c>
      <c r="G1700">
        <v>207630</v>
      </c>
      <c r="H1700" s="116"/>
      <c r="I1700" s="116"/>
      <c r="L1700" s="170">
        <v>44509</v>
      </c>
      <c r="M1700" s="116">
        <v>1585.54434202161</v>
      </c>
      <c r="N1700" s="116">
        <v>1608.3757151939001</v>
      </c>
      <c r="O1700" s="116">
        <v>1507.5007946598901</v>
      </c>
      <c r="P1700" s="116">
        <v>1507.5492689129101</v>
      </c>
      <c r="Q1700" s="116">
        <v>1635.45</v>
      </c>
      <c r="R1700">
        <v>4713708</v>
      </c>
    </row>
    <row r="1701" spans="1:18" x14ac:dyDescent="0.25">
      <c r="A1701" s="170">
        <v>44510</v>
      </c>
      <c r="B1701" s="116">
        <v>1634.6461935838199</v>
      </c>
      <c r="C1701" s="116">
        <v>1604.7376264335501</v>
      </c>
      <c r="D1701" s="116">
        <v>1570.5633317156701</v>
      </c>
      <c r="E1701" s="116">
        <v>1570.5633317156701</v>
      </c>
      <c r="F1701" s="116">
        <v>1655.25</v>
      </c>
      <c r="G1701">
        <v>266769</v>
      </c>
      <c r="H1701" s="116"/>
      <c r="I1701" s="116"/>
      <c r="L1701" s="170">
        <v>44510</v>
      </c>
      <c r="M1701" s="116">
        <v>1605.3218372536601</v>
      </c>
      <c r="N1701" s="116">
        <v>1634.55181182454</v>
      </c>
      <c r="O1701" s="116">
        <v>1570.95359186268</v>
      </c>
      <c r="P1701" s="116">
        <v>1575.9464399237099</v>
      </c>
      <c r="Q1701" s="116">
        <v>1655.85</v>
      </c>
      <c r="R1701">
        <v>3728328</v>
      </c>
    </row>
    <row r="1702" spans="1:18" x14ac:dyDescent="0.25">
      <c r="A1702" s="170">
        <v>44511</v>
      </c>
      <c r="B1702" s="116">
        <v>1651.9999489157401</v>
      </c>
      <c r="C1702" s="116">
        <v>1613.6568749840401</v>
      </c>
      <c r="D1702" s="116">
        <v>1591.89196955378</v>
      </c>
      <c r="E1702" s="116">
        <v>1601.58680493474</v>
      </c>
      <c r="F1702" s="116">
        <v>1664.45</v>
      </c>
      <c r="G1702">
        <v>202059</v>
      </c>
      <c r="H1702" s="116"/>
      <c r="I1702" s="116"/>
      <c r="L1702" s="170">
        <v>44511</v>
      </c>
      <c r="M1702" s="116">
        <v>1614.09567705022</v>
      </c>
      <c r="N1702" s="116">
        <v>1652.0025429116299</v>
      </c>
      <c r="O1702" s="116">
        <v>1590.7795613477399</v>
      </c>
      <c r="P1702" s="116">
        <v>1599.6503496503501</v>
      </c>
      <c r="Q1702" s="116">
        <v>1664.9</v>
      </c>
      <c r="R1702">
        <v>4470709</v>
      </c>
    </row>
    <row r="1703" spans="1:18" x14ac:dyDescent="0.25">
      <c r="A1703" s="170">
        <v>44512</v>
      </c>
      <c r="B1703" s="116">
        <v>1665.57271844908</v>
      </c>
      <c r="C1703" s="116">
        <v>1652.9209582769299</v>
      </c>
      <c r="D1703" s="116">
        <v>1620.0554663354701</v>
      </c>
      <c r="E1703" s="116">
        <v>1632.61027815381</v>
      </c>
      <c r="F1703" s="116">
        <v>1704.95</v>
      </c>
      <c r="G1703">
        <v>204360</v>
      </c>
      <c r="H1703" s="116"/>
      <c r="I1703" s="116"/>
      <c r="L1703" s="170">
        <v>44512</v>
      </c>
      <c r="M1703" s="116">
        <v>1653.16592498411</v>
      </c>
      <c r="N1703" s="116">
        <v>1667.0295613477399</v>
      </c>
      <c r="O1703" s="116">
        <v>1619.13699936427</v>
      </c>
      <c r="P1703" s="116">
        <v>1627.0867768595001</v>
      </c>
      <c r="Q1703" s="116">
        <v>1705.2</v>
      </c>
      <c r="R1703">
        <v>5349189</v>
      </c>
    </row>
    <row r="1704" spans="1:18" x14ac:dyDescent="0.25">
      <c r="A1704" s="170">
        <v>44515</v>
      </c>
      <c r="B1704" s="116">
        <v>1710.6537029705501</v>
      </c>
      <c r="C1704" s="116">
        <v>1696.4022949605401</v>
      </c>
      <c r="D1704" s="116">
        <v>1640.94783658144</v>
      </c>
      <c r="E1704" s="116">
        <v>1662.6642678347901</v>
      </c>
      <c r="F1704" s="116">
        <v>1749.8</v>
      </c>
      <c r="G1704">
        <v>160619</v>
      </c>
      <c r="H1704" s="116"/>
      <c r="I1704" s="116"/>
      <c r="L1704" s="170">
        <v>44515</v>
      </c>
      <c r="M1704" s="116">
        <v>1696.16258741259</v>
      </c>
      <c r="N1704" s="116">
        <v>1710.1716465352799</v>
      </c>
      <c r="O1704" s="116">
        <v>1640.1748251748199</v>
      </c>
      <c r="P1704" s="116">
        <v>1661.4550222504799</v>
      </c>
      <c r="Q1704" s="116">
        <v>1749.55</v>
      </c>
      <c r="R1704">
        <v>3997553</v>
      </c>
    </row>
    <row r="1705" spans="1:18" x14ac:dyDescent="0.25">
      <c r="A1705" s="170">
        <v>44516</v>
      </c>
      <c r="B1705" s="116">
        <v>1712.5926700467401</v>
      </c>
      <c r="C1705" s="116">
        <v>1659.07717874384</v>
      </c>
      <c r="D1705" s="116">
        <v>1654.6660286455001</v>
      </c>
      <c r="E1705" s="116">
        <v>1709.1994776634101</v>
      </c>
      <c r="F1705" s="116">
        <v>1711.3</v>
      </c>
      <c r="G1705">
        <v>168555</v>
      </c>
      <c r="H1705" s="116"/>
      <c r="I1705" s="116"/>
      <c r="L1705" s="170">
        <v>44516</v>
      </c>
      <c r="M1705" s="116">
        <v>1659.37062937063</v>
      </c>
      <c r="N1705" s="116">
        <v>1712.6438334392899</v>
      </c>
      <c r="O1705" s="116">
        <v>1654.8140495867799</v>
      </c>
      <c r="P1705" s="116">
        <v>1705.7604895104901</v>
      </c>
      <c r="Q1705" s="116">
        <v>1711.6</v>
      </c>
      <c r="R1705">
        <v>2172117</v>
      </c>
    </row>
    <row r="1706" spans="1:18" x14ac:dyDescent="0.25">
      <c r="A1706" s="170">
        <v>44517</v>
      </c>
      <c r="B1706" s="116">
        <v>1676.2370373681399</v>
      </c>
      <c r="C1706" s="116">
        <v>1652.6785873924</v>
      </c>
      <c r="D1706" s="116">
        <v>1631.9316396771501</v>
      </c>
      <c r="E1706" s="116">
        <v>1659.6588688667</v>
      </c>
      <c r="F1706" s="116">
        <v>1704.7</v>
      </c>
      <c r="G1706">
        <v>82161</v>
      </c>
      <c r="H1706" s="116"/>
      <c r="I1706" s="116"/>
      <c r="L1706" s="170">
        <v>44517</v>
      </c>
      <c r="M1706" s="116">
        <v>1654.3777813096001</v>
      </c>
      <c r="N1706" s="116">
        <v>1676.91830896376</v>
      </c>
      <c r="O1706" s="116">
        <v>1631.15861411316</v>
      </c>
      <c r="P1706" s="116">
        <v>1661.69739351558</v>
      </c>
      <c r="Q1706" s="116">
        <v>1706.45</v>
      </c>
      <c r="R1706">
        <v>1476385</v>
      </c>
    </row>
    <row r="1707" spans="1:18" x14ac:dyDescent="0.25">
      <c r="A1707" s="170">
        <v>44518</v>
      </c>
      <c r="B1707" s="116">
        <v>1661.6947842966999</v>
      </c>
      <c r="C1707" s="116">
        <v>1637.2637991366801</v>
      </c>
      <c r="D1707" s="116">
        <v>1616.6622739521299</v>
      </c>
      <c r="E1707" s="116">
        <v>1661.6947842966999</v>
      </c>
      <c r="F1707" s="116">
        <v>1688.8</v>
      </c>
      <c r="G1707">
        <v>173376</v>
      </c>
      <c r="H1707" s="116"/>
      <c r="I1707" s="116"/>
      <c r="L1707" s="170">
        <v>44518</v>
      </c>
      <c r="M1707" s="116">
        <v>1637.21789574062</v>
      </c>
      <c r="N1707" s="116">
        <v>1661.69739351558</v>
      </c>
      <c r="O1707" s="116">
        <v>1589.9554990464101</v>
      </c>
      <c r="P1707" s="116">
        <v>1655.88048315321</v>
      </c>
      <c r="Q1707" s="116">
        <v>1688.75</v>
      </c>
      <c r="R1707">
        <v>2255988</v>
      </c>
    </row>
    <row r="1708" spans="1:18" x14ac:dyDescent="0.25">
      <c r="A1708" s="170">
        <v>44522</v>
      </c>
      <c r="B1708" s="116">
        <v>1649.52776589359</v>
      </c>
      <c r="C1708" s="116">
        <v>1624.4181422569</v>
      </c>
      <c r="D1708" s="116">
        <v>1592.6190822073499</v>
      </c>
      <c r="E1708" s="116">
        <v>1633.7736583995299</v>
      </c>
      <c r="F1708" s="116">
        <v>1675.55</v>
      </c>
      <c r="G1708">
        <v>169001</v>
      </c>
      <c r="H1708" s="116"/>
      <c r="I1708" s="116"/>
      <c r="L1708" s="170">
        <v>44522</v>
      </c>
      <c r="M1708" s="116">
        <v>1624.6145899554999</v>
      </c>
      <c r="N1708" s="116">
        <v>1649.48188175461</v>
      </c>
      <c r="O1708" s="116">
        <v>1560.9194214875999</v>
      </c>
      <c r="P1708" s="116">
        <v>1639.7870311506699</v>
      </c>
      <c r="Q1708" s="116">
        <v>1675.75</v>
      </c>
      <c r="R1708">
        <v>2552170</v>
      </c>
    </row>
    <row r="1709" spans="1:18" x14ac:dyDescent="0.25">
      <c r="A1709" s="170">
        <v>44523</v>
      </c>
      <c r="B1709" s="116">
        <v>1667.51168552527</v>
      </c>
      <c r="C1709" s="116">
        <v>1655.34466712217</v>
      </c>
      <c r="D1709" s="116">
        <v>1598.4844576128301</v>
      </c>
      <c r="E1709" s="116">
        <v>1604.4952555490299</v>
      </c>
      <c r="F1709" s="116">
        <v>1707.45</v>
      </c>
      <c r="G1709">
        <v>94244</v>
      </c>
      <c r="H1709" s="116"/>
      <c r="I1709" s="116"/>
      <c r="L1709" s="170">
        <v>44523</v>
      </c>
      <c r="M1709" s="116">
        <v>1655.83200890019</v>
      </c>
      <c r="N1709" s="116">
        <v>1667.85362364908</v>
      </c>
      <c r="O1709" s="116">
        <v>1599.6503496503501</v>
      </c>
      <c r="P1709" s="116">
        <v>1609.4906230133499</v>
      </c>
      <c r="Q1709" s="116">
        <v>1707.95</v>
      </c>
      <c r="R1709">
        <v>2472589</v>
      </c>
    </row>
    <row r="1710" spans="1:18" x14ac:dyDescent="0.25">
      <c r="A1710" s="170">
        <v>44524</v>
      </c>
      <c r="B1710" s="116">
        <v>1733.4365661158099</v>
      </c>
      <c r="C1710" s="116">
        <v>1701.1042901203</v>
      </c>
      <c r="D1710" s="116">
        <v>1661.45241341217</v>
      </c>
      <c r="E1710" s="116">
        <v>1669.45065260147</v>
      </c>
      <c r="F1710" s="116">
        <v>1754.65</v>
      </c>
      <c r="G1710">
        <v>188141</v>
      </c>
      <c r="H1710" s="116"/>
      <c r="I1710" s="116"/>
      <c r="L1710" s="170">
        <v>44524</v>
      </c>
      <c r="M1710" s="116">
        <v>1701.59170375079</v>
      </c>
      <c r="N1710" s="116">
        <v>1734.3118245390999</v>
      </c>
      <c r="O1710" s="116">
        <v>1660.1946916719601</v>
      </c>
      <c r="P1710" s="116">
        <v>1669.0654799745701</v>
      </c>
      <c r="Q1710" s="116">
        <v>1755.15</v>
      </c>
      <c r="R1710">
        <v>4562858</v>
      </c>
    </row>
    <row r="1711" spans="1:18" x14ac:dyDescent="0.25">
      <c r="A1711" s="170">
        <v>44525</v>
      </c>
      <c r="B1711" s="116">
        <v>1719.8637965824601</v>
      </c>
      <c r="C1711" s="116">
        <v>1709.3933743710199</v>
      </c>
      <c r="D1711" s="116">
        <v>1683.3142671962401</v>
      </c>
      <c r="E1711" s="116">
        <v>1709.9750644938799</v>
      </c>
      <c r="F1711" s="116">
        <v>1763.2</v>
      </c>
      <c r="G1711">
        <v>105361</v>
      </c>
      <c r="H1711" s="116"/>
      <c r="I1711" s="116"/>
      <c r="L1711" s="170">
        <v>44525</v>
      </c>
      <c r="M1711" s="116">
        <v>1709.2506357279101</v>
      </c>
      <c r="N1711" s="116">
        <v>1719.57565162111</v>
      </c>
      <c r="O1711" s="116">
        <v>1682.5897965670699</v>
      </c>
      <c r="P1711" s="116">
        <v>1709.1536872218701</v>
      </c>
      <c r="Q1711" s="116">
        <v>1763.05</v>
      </c>
      <c r="R1711">
        <v>2341862</v>
      </c>
    </row>
    <row r="1712" spans="1:18" x14ac:dyDescent="0.25">
      <c r="A1712" s="170">
        <v>44526</v>
      </c>
      <c r="B1712" s="116">
        <v>1714.77400800746</v>
      </c>
      <c r="C1712" s="116">
        <v>1618.6012410283299</v>
      </c>
      <c r="D1712" s="116">
        <v>1612.2995980307001</v>
      </c>
      <c r="E1712" s="116">
        <v>1686.9013562872001</v>
      </c>
      <c r="F1712" s="116">
        <v>1669.55</v>
      </c>
      <c r="G1712">
        <v>274166</v>
      </c>
      <c r="H1712" s="116"/>
      <c r="I1712" s="116"/>
      <c r="L1712" s="170">
        <v>44526</v>
      </c>
      <c r="M1712" s="116">
        <v>1618.6037825810599</v>
      </c>
      <c r="N1712" s="116">
        <v>1714.58280356008</v>
      </c>
      <c r="O1712" s="116">
        <v>1610.16926255563</v>
      </c>
      <c r="P1712" s="116">
        <v>1686.90400508582</v>
      </c>
      <c r="Q1712" s="116">
        <v>1669.55</v>
      </c>
      <c r="R1712">
        <v>3510810</v>
      </c>
    </row>
    <row r="1713" spans="1:18" x14ac:dyDescent="0.25">
      <c r="A1713" s="170">
        <v>44529</v>
      </c>
      <c r="B1713" s="116">
        <v>1645.2135641490599</v>
      </c>
      <c r="C1713" s="116">
        <v>1617.43786078261</v>
      </c>
      <c r="D1713" s="116">
        <v>1559.8505386197</v>
      </c>
      <c r="E1713" s="116">
        <v>1585.10558478711</v>
      </c>
      <c r="F1713" s="116">
        <v>1668.35</v>
      </c>
      <c r="G1713">
        <v>174686</v>
      </c>
      <c r="H1713" s="116"/>
      <c r="I1713" s="116"/>
      <c r="L1713" s="170">
        <v>44529</v>
      </c>
      <c r="M1713" s="116">
        <v>1614.2410998092801</v>
      </c>
      <c r="N1713" s="116">
        <v>1645.2161474888701</v>
      </c>
      <c r="O1713" s="116">
        <v>1560.7255244755199</v>
      </c>
      <c r="P1713" s="116">
        <v>1604.49777495232</v>
      </c>
      <c r="Q1713" s="116">
        <v>1665.05</v>
      </c>
      <c r="R1713">
        <v>2119826</v>
      </c>
    </row>
    <row r="1714" spans="1:18" x14ac:dyDescent="0.25">
      <c r="A1714" s="170">
        <v>44530</v>
      </c>
      <c r="B1714" s="116">
        <v>1665.57271844908</v>
      </c>
      <c r="C1714" s="116">
        <v>1610.3121567776</v>
      </c>
      <c r="D1714" s="116">
        <v>1598.58140596664</v>
      </c>
      <c r="E1714" s="116">
        <v>1618.06802508237</v>
      </c>
      <c r="F1714" s="116">
        <v>1661</v>
      </c>
      <c r="G1714">
        <v>110072</v>
      </c>
      <c r="H1714" s="116"/>
      <c r="I1714" s="116"/>
      <c r="L1714" s="170">
        <v>44530</v>
      </c>
      <c r="M1714" s="116">
        <v>1612.1082326764099</v>
      </c>
      <c r="N1714" s="116">
        <v>1666.2054990464101</v>
      </c>
      <c r="O1714" s="116">
        <v>1597.85680228862</v>
      </c>
      <c r="P1714" s="116">
        <v>1617.10108073744</v>
      </c>
      <c r="Q1714" s="116">
        <v>1662.85</v>
      </c>
      <c r="R1714">
        <v>2952368</v>
      </c>
    </row>
    <row r="1715" spans="1:18" x14ac:dyDescent="0.25">
      <c r="A1715" s="170">
        <v>44531</v>
      </c>
      <c r="B1715" s="116">
        <v>1652.6301132154999</v>
      </c>
      <c r="C1715" s="116">
        <v>1641.6264750581099</v>
      </c>
      <c r="D1715" s="116">
        <v>1602.1684950576</v>
      </c>
      <c r="E1715" s="116">
        <v>1647.05558287145</v>
      </c>
      <c r="F1715" s="116">
        <v>1693.3</v>
      </c>
      <c r="G1715">
        <v>69342</v>
      </c>
      <c r="H1715" s="116"/>
      <c r="I1715" s="116"/>
      <c r="L1715" s="170">
        <v>44531</v>
      </c>
      <c r="M1715" s="116">
        <v>1641.6290527654201</v>
      </c>
      <c r="N1715" s="116">
        <v>1652.97202797203</v>
      </c>
      <c r="O1715" s="116">
        <v>1601.9286395422801</v>
      </c>
      <c r="P1715" s="116">
        <v>1642.3076923076901</v>
      </c>
      <c r="Q1715" s="116">
        <v>1693.3</v>
      </c>
      <c r="R1715">
        <v>2476360</v>
      </c>
    </row>
    <row r="1716" spans="1:18" x14ac:dyDescent="0.25">
      <c r="A1716" s="170">
        <v>44532</v>
      </c>
      <c r="B1716" s="116">
        <v>1682.0054644198101</v>
      </c>
      <c r="C1716" s="116">
        <v>1679.72717810528</v>
      </c>
      <c r="D1716" s="116">
        <v>1636.1004188909601</v>
      </c>
      <c r="E1716" s="116">
        <v>1648.0250664095399</v>
      </c>
      <c r="F1716" s="116">
        <v>1732.6</v>
      </c>
      <c r="G1716">
        <v>77140</v>
      </c>
      <c r="H1716" s="116"/>
      <c r="I1716" s="116"/>
      <c r="L1716" s="170">
        <v>44532</v>
      </c>
      <c r="M1716" s="116">
        <v>1679.3904958677699</v>
      </c>
      <c r="N1716" s="116">
        <v>1682.0565797838501</v>
      </c>
      <c r="O1716" s="116">
        <v>1636.1514621741901</v>
      </c>
      <c r="P1716" s="116">
        <v>1640.8534647171</v>
      </c>
      <c r="Q1716" s="116">
        <v>1732.25</v>
      </c>
      <c r="R1716">
        <v>2159661</v>
      </c>
    </row>
    <row r="1717" spans="1:18" x14ac:dyDescent="0.25">
      <c r="A1717" s="170">
        <v>44533</v>
      </c>
      <c r="B1717" s="116">
        <v>1691.74877397768</v>
      </c>
      <c r="C1717" s="116">
        <v>1656.07177977574</v>
      </c>
      <c r="D1717" s="116">
        <v>1648.1220147633501</v>
      </c>
      <c r="E1717" s="116">
        <v>1682.0539385967199</v>
      </c>
      <c r="F1717" s="116">
        <v>1708.2</v>
      </c>
      <c r="G1717">
        <v>87868</v>
      </c>
      <c r="H1717" s="116"/>
      <c r="I1717" s="116"/>
      <c r="L1717" s="170">
        <v>44533</v>
      </c>
      <c r="M1717" s="116">
        <v>1655.97743165925</v>
      </c>
      <c r="N1717" s="116">
        <v>1691.7514303877899</v>
      </c>
      <c r="O1717" s="116">
        <v>1649.1910362364899</v>
      </c>
      <c r="P1717" s="116">
        <v>1681.08709472346</v>
      </c>
      <c r="Q1717" s="116">
        <v>1708.1</v>
      </c>
      <c r="R1717">
        <v>1544077</v>
      </c>
    </row>
    <row r="1718" spans="1:18" x14ac:dyDescent="0.25">
      <c r="A1718" s="170">
        <v>44536</v>
      </c>
      <c r="B1718" s="116">
        <v>1674.49196699957</v>
      </c>
      <c r="C1718" s="116">
        <v>1596.06074876759</v>
      </c>
      <c r="D1718" s="116">
        <v>1590.14689918521</v>
      </c>
      <c r="E1718" s="116">
        <v>1653.9389159919299</v>
      </c>
      <c r="F1718" s="116">
        <v>1646.3</v>
      </c>
      <c r="G1718">
        <v>88898</v>
      </c>
      <c r="H1718" s="116"/>
      <c r="I1718" s="116"/>
      <c r="L1718" s="170">
        <v>44536</v>
      </c>
      <c r="M1718" s="116">
        <v>1595.38461538462</v>
      </c>
      <c r="N1718" s="116">
        <v>1675.2217101080701</v>
      </c>
      <c r="O1718" s="116">
        <v>1589.9554990464101</v>
      </c>
      <c r="P1718" s="116">
        <v>1657.8194532739999</v>
      </c>
      <c r="Q1718" s="116">
        <v>1645.6</v>
      </c>
      <c r="R1718">
        <v>1574680</v>
      </c>
    </row>
    <row r="1719" spans="1:18" x14ac:dyDescent="0.25">
      <c r="A1719" s="170">
        <v>44537</v>
      </c>
      <c r="B1719" s="116">
        <v>1634.7916161145299</v>
      </c>
      <c r="C1719" s="116">
        <v>1628.44149894</v>
      </c>
      <c r="D1719" s="116">
        <v>1603.52577201093</v>
      </c>
      <c r="E1719" s="116">
        <v>1614.19009092999</v>
      </c>
      <c r="F1719" s="116">
        <v>1679.7</v>
      </c>
      <c r="G1719">
        <v>57921</v>
      </c>
      <c r="H1719" s="116"/>
      <c r="I1719" s="116"/>
      <c r="L1719" s="170">
        <v>44537</v>
      </c>
      <c r="M1719" s="116">
        <v>1627.2321996185599</v>
      </c>
      <c r="N1719" s="116">
        <v>1635.23045136681</v>
      </c>
      <c r="O1719" s="116">
        <v>1603.5282898919299</v>
      </c>
      <c r="P1719" s="116">
        <v>1608.2787666878601</v>
      </c>
      <c r="Q1719" s="116">
        <v>1678.45</v>
      </c>
      <c r="R1719">
        <v>1476012</v>
      </c>
    </row>
    <row r="1720" spans="1:18" x14ac:dyDescent="0.25">
      <c r="A1720" s="170">
        <v>44538</v>
      </c>
      <c r="B1720" s="116">
        <v>1673.03774169242</v>
      </c>
      <c r="C1720" s="116">
        <v>1662.8581645424099</v>
      </c>
      <c r="D1720" s="116">
        <v>1628.44149894</v>
      </c>
      <c r="E1720" s="116">
        <v>1628.44149894</v>
      </c>
      <c r="F1720" s="116">
        <v>1715.2</v>
      </c>
      <c r="G1720">
        <v>61224</v>
      </c>
      <c r="H1720" s="116"/>
      <c r="I1720" s="116"/>
      <c r="L1720" s="170">
        <v>44538</v>
      </c>
      <c r="M1720" s="116">
        <v>1663.1516211061701</v>
      </c>
      <c r="N1720" s="116">
        <v>1673.7190082644599</v>
      </c>
      <c r="O1720" s="116">
        <v>1627.8138906547999</v>
      </c>
      <c r="P1720" s="116">
        <v>1628.5410044501</v>
      </c>
      <c r="Q1720" s="116">
        <v>1715.5</v>
      </c>
      <c r="R1720">
        <v>1406394</v>
      </c>
    </row>
    <row r="1721" spans="1:18" x14ac:dyDescent="0.25">
      <c r="A1721" s="170">
        <v>44539</v>
      </c>
      <c r="B1721" s="116">
        <v>1685.8833985721899</v>
      </c>
      <c r="C1721" s="116">
        <v>1670.6140328471799</v>
      </c>
      <c r="D1721" s="116">
        <v>1654.6660286455001</v>
      </c>
      <c r="E1721" s="116">
        <v>1675.26755383004</v>
      </c>
      <c r="F1721" s="116">
        <v>1723.2</v>
      </c>
      <c r="G1721">
        <v>57909</v>
      </c>
      <c r="H1721" s="116"/>
      <c r="I1721" s="116"/>
      <c r="L1721" s="170">
        <v>44539</v>
      </c>
      <c r="M1721" s="116">
        <v>1669.6956452638301</v>
      </c>
      <c r="N1721" s="116">
        <v>1686.17689129053</v>
      </c>
      <c r="O1721" s="116">
        <v>1654.5232040686601</v>
      </c>
      <c r="P1721" s="116">
        <v>1672.3617291799101</v>
      </c>
      <c r="Q1721" s="116">
        <v>1722.25</v>
      </c>
      <c r="R1721">
        <v>1306393</v>
      </c>
    </row>
    <row r="1722" spans="1:18" x14ac:dyDescent="0.25">
      <c r="A1722" s="170">
        <v>44540</v>
      </c>
      <c r="B1722" s="116">
        <v>1732.75792763914</v>
      </c>
      <c r="C1722" s="116">
        <v>1686.85288211029</v>
      </c>
      <c r="D1722" s="116">
        <v>1657.9622726750299</v>
      </c>
      <c r="E1722" s="116">
        <v>1661.6947842966999</v>
      </c>
      <c r="F1722" s="116">
        <v>1739.95</v>
      </c>
      <c r="G1722">
        <v>147941</v>
      </c>
      <c r="H1722" s="116"/>
      <c r="I1722" s="116"/>
      <c r="L1722" s="170">
        <v>44540</v>
      </c>
      <c r="M1722" s="116">
        <v>1687.29179910998</v>
      </c>
      <c r="N1722" s="116">
        <v>1733.4392879847401</v>
      </c>
      <c r="O1722" s="116">
        <v>1658.4011443102299</v>
      </c>
      <c r="P1722" s="116">
        <v>1658.4011443102299</v>
      </c>
      <c r="Q1722" s="116">
        <v>1740.4</v>
      </c>
      <c r="R1722">
        <v>2708578</v>
      </c>
    </row>
    <row r="1723" spans="1:18" x14ac:dyDescent="0.25">
      <c r="A1723" s="170">
        <v>44543</v>
      </c>
      <c r="B1723" s="116">
        <v>1708.1815199483999</v>
      </c>
      <c r="C1723" s="116">
        <v>1667.22084046385</v>
      </c>
      <c r="D1723" s="116">
        <v>1658.78633368241</v>
      </c>
      <c r="E1723" s="116">
        <v>1705.3215435110201</v>
      </c>
      <c r="F1723" s="116">
        <v>1719.7</v>
      </c>
      <c r="G1723">
        <v>55228</v>
      </c>
      <c r="H1723" s="116"/>
      <c r="I1723" s="116"/>
      <c r="L1723" s="170">
        <v>44543</v>
      </c>
      <c r="M1723" s="116">
        <v>1667.0780356007599</v>
      </c>
      <c r="N1723" s="116">
        <v>1708.42657342657</v>
      </c>
      <c r="O1723" s="116">
        <v>1658.88588684043</v>
      </c>
      <c r="P1723" s="116">
        <v>1701.44628099174</v>
      </c>
      <c r="Q1723" s="116">
        <v>1719.55</v>
      </c>
      <c r="R1723">
        <v>1104594</v>
      </c>
    </row>
    <row r="1724" spans="1:18" x14ac:dyDescent="0.25">
      <c r="A1724" s="170">
        <v>44544</v>
      </c>
      <c r="B1724" s="116">
        <v>1674.8312862379</v>
      </c>
      <c r="C1724" s="116">
        <v>1666.5906761640799</v>
      </c>
      <c r="D1724" s="116">
        <v>1631.4468979081</v>
      </c>
      <c r="E1724" s="116">
        <v>1662.6642678347901</v>
      </c>
      <c r="F1724" s="116">
        <v>1719.05</v>
      </c>
      <c r="G1724">
        <v>52000</v>
      </c>
      <c r="H1724" s="116"/>
      <c r="I1724" s="116"/>
      <c r="L1724" s="170">
        <v>44544</v>
      </c>
      <c r="M1724" s="116">
        <v>1667.6112523839799</v>
      </c>
      <c r="N1724" s="116">
        <v>1675.1732358550501</v>
      </c>
      <c r="O1724" s="116">
        <v>1631.64335664336</v>
      </c>
      <c r="P1724" s="116">
        <v>1659.75842339479</v>
      </c>
      <c r="Q1724" s="116">
        <v>1720.1</v>
      </c>
      <c r="R1724">
        <v>1198653</v>
      </c>
    </row>
    <row r="1725" spans="1:18" x14ac:dyDescent="0.25">
      <c r="A1725" s="170">
        <v>44545</v>
      </c>
      <c r="B1725" s="116">
        <v>1674.2980702919499</v>
      </c>
      <c r="C1725" s="116">
        <v>1644.4379773185899</v>
      </c>
      <c r="D1725" s="116">
        <v>1636.4882123062</v>
      </c>
      <c r="E1725" s="116">
        <v>1674.2980702919499</v>
      </c>
      <c r="F1725" s="116">
        <v>1696.2</v>
      </c>
      <c r="G1725">
        <v>34838</v>
      </c>
      <c r="H1725" s="116"/>
      <c r="I1725" s="116"/>
      <c r="L1725" s="170">
        <v>44545</v>
      </c>
      <c r="M1725" s="116">
        <v>1643.5680228862</v>
      </c>
      <c r="N1725" s="116">
        <v>1674.3006993007</v>
      </c>
      <c r="O1725" s="116">
        <v>1635.5697711379501</v>
      </c>
      <c r="P1725" s="116">
        <v>1667.5143038779399</v>
      </c>
      <c r="Q1725" s="116">
        <v>1695.3</v>
      </c>
      <c r="R1725">
        <v>866378</v>
      </c>
    </row>
    <row r="1726" spans="1:18" x14ac:dyDescent="0.25">
      <c r="A1726" s="170">
        <v>44546</v>
      </c>
      <c r="B1726" s="116">
        <v>1667.4632113483699</v>
      </c>
      <c r="C1726" s="116">
        <v>1649.43081753978</v>
      </c>
      <c r="D1726" s="116">
        <v>1635.4702545912</v>
      </c>
      <c r="E1726" s="116">
        <v>1664.6032349109901</v>
      </c>
      <c r="F1726" s="116">
        <v>1701.35</v>
      </c>
      <c r="G1726">
        <v>60962</v>
      </c>
      <c r="H1726" s="116"/>
      <c r="I1726" s="116"/>
      <c r="L1726" s="170">
        <v>44546</v>
      </c>
      <c r="M1726" s="116">
        <v>1650.11204704387</v>
      </c>
      <c r="N1726" s="116">
        <v>1667.3688811188799</v>
      </c>
      <c r="O1726" s="116">
        <v>1635.5212968849301</v>
      </c>
      <c r="P1726" s="116">
        <v>1655.2018436109299</v>
      </c>
      <c r="Q1726" s="116">
        <v>1702.05</v>
      </c>
      <c r="R1726">
        <v>751885</v>
      </c>
    </row>
    <row r="1727" spans="1:18" x14ac:dyDescent="0.25">
      <c r="A1727" s="170">
        <v>44547</v>
      </c>
      <c r="B1727" s="116">
        <v>1652.6785873924</v>
      </c>
      <c r="C1727" s="116">
        <v>1593.3461948609199</v>
      </c>
      <c r="D1727" s="116">
        <v>1551.17366095374</v>
      </c>
      <c r="E1727" s="116">
        <v>1652.6785873924</v>
      </c>
      <c r="F1727" s="116">
        <v>1643.5</v>
      </c>
      <c r="G1727">
        <v>118375</v>
      </c>
      <c r="H1727" s="116"/>
      <c r="I1727" s="116"/>
      <c r="L1727" s="170">
        <v>44547</v>
      </c>
      <c r="M1727" s="116">
        <v>1595.0937698665</v>
      </c>
      <c r="N1727" s="116">
        <v>1650.06357279085</v>
      </c>
      <c r="O1727" s="116">
        <v>1589.9554990464101</v>
      </c>
      <c r="P1727" s="116">
        <v>1647.10664335664</v>
      </c>
      <c r="Q1727" s="116">
        <v>1645.3</v>
      </c>
      <c r="R1727">
        <v>1215873</v>
      </c>
    </row>
    <row r="1728" spans="1:18" x14ac:dyDescent="0.25">
      <c r="A1728" s="170">
        <v>44550</v>
      </c>
      <c r="B1728" s="116">
        <v>1587.8201386937801</v>
      </c>
      <c r="C1728" s="116">
        <v>1543.32084429516</v>
      </c>
      <c r="D1728" s="116">
        <v>1508.5163852775199</v>
      </c>
      <c r="E1728" s="116">
        <v>1587.8201386937801</v>
      </c>
      <c r="F1728" s="116">
        <v>1591.9</v>
      </c>
      <c r="G1728">
        <v>121168</v>
      </c>
      <c r="H1728" s="116"/>
      <c r="I1728" s="116"/>
      <c r="L1728" s="170">
        <v>44550</v>
      </c>
      <c r="M1728" s="116">
        <v>1541.4327717736801</v>
      </c>
      <c r="N1728" s="116">
        <v>1579.29116338207</v>
      </c>
      <c r="O1728" s="116">
        <v>1507.7431659249801</v>
      </c>
      <c r="P1728" s="116">
        <v>1579.29116338207</v>
      </c>
      <c r="Q1728" s="116">
        <v>1589.95</v>
      </c>
      <c r="R1728">
        <v>1945211</v>
      </c>
    </row>
    <row r="1729" spans="1:18" x14ac:dyDescent="0.25">
      <c r="A1729" s="170">
        <v>44551</v>
      </c>
      <c r="B1729" s="116">
        <v>1595.4305844678299</v>
      </c>
      <c r="C1729" s="116">
        <v>1570.51485753876</v>
      </c>
      <c r="D1729" s="116">
        <v>1554.0821115680301</v>
      </c>
      <c r="E1729" s="116">
        <v>1577.34971648234</v>
      </c>
      <c r="F1729" s="116">
        <v>1619.95</v>
      </c>
      <c r="G1729">
        <v>104062</v>
      </c>
      <c r="H1729" s="116"/>
      <c r="I1729" s="116"/>
      <c r="L1729" s="170">
        <v>44551</v>
      </c>
      <c r="M1729" s="116">
        <v>1571.05054036872</v>
      </c>
      <c r="N1729" s="116">
        <v>1595.67546090273</v>
      </c>
      <c r="O1729" s="116">
        <v>1553.9876033057899</v>
      </c>
      <c r="P1729" s="116">
        <v>1571.6322314049601</v>
      </c>
      <c r="Q1729" s="116">
        <v>1620.5</v>
      </c>
      <c r="R1729">
        <v>1563851</v>
      </c>
    </row>
    <row r="1730" spans="1:18" x14ac:dyDescent="0.25">
      <c r="A1730" s="170">
        <v>44552</v>
      </c>
      <c r="B1730" s="116">
        <v>1611.96027879237</v>
      </c>
      <c r="C1730" s="116">
        <v>1606.7250676866499</v>
      </c>
      <c r="D1730" s="116">
        <v>1577.8344582513901</v>
      </c>
      <c r="E1730" s="116">
        <v>1578.3192000204299</v>
      </c>
      <c r="F1730" s="116">
        <v>1657.3</v>
      </c>
      <c r="G1730">
        <v>36634</v>
      </c>
      <c r="H1730" s="116"/>
      <c r="I1730" s="116"/>
      <c r="L1730" s="170">
        <v>44552</v>
      </c>
      <c r="M1730" s="116">
        <v>1607.50317863954</v>
      </c>
      <c r="N1730" s="116">
        <v>1612.6899237126499</v>
      </c>
      <c r="O1730" s="116">
        <v>1577.35219326128</v>
      </c>
      <c r="P1730" s="116">
        <v>1581.4725047679599</v>
      </c>
      <c r="Q1730" s="116">
        <v>1658.1</v>
      </c>
      <c r="R1730">
        <v>993006</v>
      </c>
    </row>
    <row r="1731" spans="1:18" x14ac:dyDescent="0.25">
      <c r="A1731" s="170">
        <v>44553</v>
      </c>
      <c r="B1731" s="116">
        <v>1633.38586498429</v>
      </c>
      <c r="C1731" s="116">
        <v>1624.9998323797599</v>
      </c>
      <c r="D1731" s="116">
        <v>1608.08234463998</v>
      </c>
      <c r="E1731" s="116">
        <v>1628.73234400143</v>
      </c>
      <c r="F1731" s="116">
        <v>1676.15</v>
      </c>
      <c r="G1731">
        <v>39358</v>
      </c>
      <c r="H1731" s="116"/>
      <c r="I1731" s="116"/>
      <c r="L1731" s="170">
        <v>44553</v>
      </c>
      <c r="M1731" s="116">
        <v>1625.05085823268</v>
      </c>
      <c r="N1731" s="116">
        <v>1632.8067387158301</v>
      </c>
      <c r="O1731" s="116">
        <v>1607.60012714558</v>
      </c>
      <c r="P1731" s="116">
        <v>1623.5966306420901</v>
      </c>
      <c r="Q1731" s="116">
        <v>1676.2</v>
      </c>
      <c r="R1731">
        <v>979023</v>
      </c>
    </row>
    <row r="1732" spans="1:18" x14ac:dyDescent="0.25">
      <c r="A1732" s="170">
        <v>44554</v>
      </c>
      <c r="B1732" s="116">
        <v>1651.80605220812</v>
      </c>
      <c r="C1732" s="116">
        <v>1644.68034820311</v>
      </c>
      <c r="D1732" s="116">
        <v>1608.37318970141</v>
      </c>
      <c r="E1732" s="116">
        <v>1632.61027815381</v>
      </c>
      <c r="F1732" s="116">
        <v>1696.45</v>
      </c>
      <c r="G1732">
        <v>47393</v>
      </c>
      <c r="H1732" s="116"/>
      <c r="I1732" s="116"/>
      <c r="L1732" s="170">
        <v>44554</v>
      </c>
      <c r="M1732" s="116">
        <v>1646.37952956135</v>
      </c>
      <c r="N1732" s="116">
        <v>1651.9540686586099</v>
      </c>
      <c r="O1732" s="116">
        <v>1607.60012714558</v>
      </c>
      <c r="P1732" s="116">
        <v>1628.73490146217</v>
      </c>
      <c r="Q1732" s="116">
        <v>1698.2</v>
      </c>
      <c r="R1732">
        <v>1234386</v>
      </c>
    </row>
    <row r="1733" spans="1:18" x14ac:dyDescent="0.25">
      <c r="A1733" s="170">
        <v>44557</v>
      </c>
      <c r="B1733" s="116">
        <v>1685.78645021839</v>
      </c>
      <c r="C1733" s="116">
        <v>1675.99466648361</v>
      </c>
      <c r="D1733" s="116">
        <v>1636.63363483691</v>
      </c>
      <c r="E1733" s="116">
        <v>1646.13457351026</v>
      </c>
      <c r="F1733" s="116">
        <v>1728.75</v>
      </c>
      <c r="G1733">
        <v>58947</v>
      </c>
      <c r="H1733" s="116"/>
      <c r="I1733" s="116"/>
      <c r="L1733" s="170">
        <v>44557</v>
      </c>
      <c r="M1733" s="116">
        <v>1677.40305149396</v>
      </c>
      <c r="N1733" s="116">
        <v>1684.9650349650301</v>
      </c>
      <c r="O1733" s="116">
        <v>1634.60028607756</v>
      </c>
      <c r="P1733" s="116">
        <v>1643.0348061029899</v>
      </c>
      <c r="Q1733" s="116">
        <v>1730.2</v>
      </c>
      <c r="R1733">
        <v>1672655</v>
      </c>
    </row>
    <row r="1734" spans="1:18" x14ac:dyDescent="0.25">
      <c r="A1734" s="170">
        <v>44558</v>
      </c>
      <c r="B1734" s="116">
        <v>1706.1940786953101</v>
      </c>
      <c r="C1734" s="116">
        <v>1698.0988911522099</v>
      </c>
      <c r="D1734" s="116">
        <v>1675.8977181298101</v>
      </c>
      <c r="E1734" s="116">
        <v>1693.25147346173</v>
      </c>
      <c r="F1734" s="116">
        <v>1751.55</v>
      </c>
      <c r="G1734">
        <v>83811</v>
      </c>
      <c r="H1734" s="116"/>
      <c r="I1734" s="116"/>
      <c r="L1734" s="170">
        <v>44558</v>
      </c>
      <c r="M1734" s="116">
        <v>1697.5683407501599</v>
      </c>
      <c r="N1734" s="116">
        <v>1706.2937062937101</v>
      </c>
      <c r="O1734" s="116">
        <v>1675.3671328671301</v>
      </c>
      <c r="P1734" s="116">
        <v>1686.90400508582</v>
      </c>
      <c r="Q1734" s="116">
        <v>1751</v>
      </c>
      <c r="R1734">
        <v>1552918</v>
      </c>
    </row>
    <row r="1735" spans="1:18" x14ac:dyDescent="0.25">
      <c r="A1735" s="170">
        <v>44559</v>
      </c>
      <c r="B1735" s="116">
        <v>1701.3466610048299</v>
      </c>
      <c r="C1735" s="116">
        <v>1665.2333992107499</v>
      </c>
      <c r="D1735" s="116">
        <v>1657.8168501443099</v>
      </c>
      <c r="E1735" s="116">
        <v>1698.5351587443499</v>
      </c>
      <c r="F1735" s="116">
        <v>1717.65</v>
      </c>
      <c r="G1735">
        <v>55651</v>
      </c>
      <c r="H1735" s="116"/>
      <c r="I1735" s="116"/>
      <c r="L1735" s="170">
        <v>44559</v>
      </c>
      <c r="M1735" s="116">
        <v>1665.62380801017</v>
      </c>
      <c r="N1735" s="116">
        <v>1701.44628099174</v>
      </c>
      <c r="O1735" s="116">
        <v>1657.2377622377601</v>
      </c>
      <c r="P1735" s="116">
        <v>1697.5683407501599</v>
      </c>
      <c r="Q1735" s="116">
        <v>1718.05</v>
      </c>
      <c r="R1735">
        <v>1100579</v>
      </c>
    </row>
    <row r="1736" spans="1:18" x14ac:dyDescent="0.25">
      <c r="A1736" s="170">
        <v>44560</v>
      </c>
      <c r="B1736" s="116">
        <v>1672.01978397742</v>
      </c>
      <c r="C1736" s="116">
        <v>1645.26203832597</v>
      </c>
      <c r="D1736" s="116">
        <v>1634.3553485223899</v>
      </c>
      <c r="E1736" s="116">
        <v>1666.5422019871801</v>
      </c>
      <c r="F1736" s="116">
        <v>1697.05</v>
      </c>
      <c r="G1736">
        <v>35433</v>
      </c>
      <c r="H1736" s="116"/>
      <c r="I1736" s="116"/>
      <c r="L1736" s="170">
        <v>44560</v>
      </c>
      <c r="M1736" s="116">
        <v>1644.6344564526401</v>
      </c>
      <c r="N1736" s="116">
        <v>1672.3617291799101</v>
      </c>
      <c r="O1736" s="116">
        <v>1633.5823267641399</v>
      </c>
      <c r="P1736" s="116">
        <v>1661.69739351558</v>
      </c>
      <c r="Q1736" s="116">
        <v>1696.4</v>
      </c>
      <c r="R1736">
        <v>1359574</v>
      </c>
    </row>
    <row r="1737" spans="1:18" x14ac:dyDescent="0.25">
      <c r="A1737" s="170">
        <v>44561</v>
      </c>
      <c r="B1737" s="116">
        <v>1672.3591032157501</v>
      </c>
      <c r="C1737" s="116">
        <v>1656.41109901407</v>
      </c>
      <c r="D1737" s="116">
        <v>1640.36614645858</v>
      </c>
      <c r="E1737" s="116">
        <v>1640.36614645858</v>
      </c>
      <c r="F1737" s="116">
        <v>1708.55</v>
      </c>
      <c r="G1737">
        <v>81085</v>
      </c>
      <c r="H1737" s="116"/>
      <c r="I1737" s="116"/>
      <c r="L1737" s="170">
        <v>44561</v>
      </c>
      <c r="M1737" s="116">
        <v>1657.2862364907801</v>
      </c>
      <c r="N1737" s="116">
        <v>1672.3617291799101</v>
      </c>
      <c r="O1737" s="116">
        <v>1639.4477113795299</v>
      </c>
      <c r="P1737" s="116">
        <v>1643.2287031150699</v>
      </c>
      <c r="Q1737" s="116">
        <v>1709.45</v>
      </c>
      <c r="R1737">
        <v>1310960</v>
      </c>
    </row>
    <row r="1738" spans="1:18" x14ac:dyDescent="0.25">
      <c r="A1738" s="170">
        <v>44564</v>
      </c>
      <c r="B1738" s="116">
        <v>1680.2119198743301</v>
      </c>
      <c r="C1738" s="116">
        <v>1664.2154414957499</v>
      </c>
      <c r="D1738" s="116">
        <v>1657.8168501443099</v>
      </c>
      <c r="E1738" s="116">
        <v>1657.8168501443099</v>
      </c>
      <c r="F1738" s="116">
        <v>1716.6</v>
      </c>
      <c r="G1738">
        <v>29134</v>
      </c>
      <c r="H1738" s="116"/>
      <c r="I1738" s="116"/>
      <c r="L1738" s="170">
        <v>44564</v>
      </c>
      <c r="M1738" s="116">
        <v>1664.75127145582</v>
      </c>
      <c r="N1738" s="116">
        <v>1680.11760966306</v>
      </c>
      <c r="O1738" s="116">
        <v>1658.98283534647</v>
      </c>
      <c r="P1738" s="116">
        <v>1660.7279084551801</v>
      </c>
      <c r="Q1738" s="116">
        <v>1717.15</v>
      </c>
      <c r="R1738">
        <v>1094708</v>
      </c>
    </row>
    <row r="1739" spans="1:18" x14ac:dyDescent="0.25">
      <c r="A1739" s="170">
        <v>44565</v>
      </c>
      <c r="B1739" s="116">
        <v>1675.2190796531399</v>
      </c>
      <c r="C1739" s="116">
        <v>1666.20288274884</v>
      </c>
      <c r="D1739" s="116">
        <v>1647.8796438788299</v>
      </c>
      <c r="E1739" s="116">
        <v>1669.4991267783701</v>
      </c>
      <c r="F1739" s="116">
        <v>1718.65</v>
      </c>
      <c r="G1739">
        <v>34860</v>
      </c>
      <c r="H1739" s="116"/>
      <c r="I1739" s="116"/>
      <c r="L1739" s="170">
        <v>44565</v>
      </c>
      <c r="M1739" s="116">
        <v>1666.5448188175501</v>
      </c>
      <c r="N1739" s="116">
        <v>1675.2701843610901</v>
      </c>
      <c r="O1739" s="116">
        <v>1648.1246026700601</v>
      </c>
      <c r="P1739" s="116">
        <v>1673.0888429752099</v>
      </c>
      <c r="Q1739" s="116">
        <v>1719</v>
      </c>
      <c r="R1739">
        <v>1191189</v>
      </c>
    </row>
    <row r="1740" spans="1:18" x14ac:dyDescent="0.25">
      <c r="A1740" s="170">
        <v>44566</v>
      </c>
      <c r="B1740" s="116">
        <v>1691.0701355010101</v>
      </c>
      <c r="C1740" s="116">
        <v>1669.93539437051</v>
      </c>
      <c r="D1740" s="116">
        <v>1651.9999489157401</v>
      </c>
      <c r="E1740" s="116">
        <v>1672.3591032157501</v>
      </c>
      <c r="F1740" s="116">
        <v>1722.5</v>
      </c>
      <c r="G1740">
        <v>81434</v>
      </c>
      <c r="H1740" s="116"/>
      <c r="I1740" s="116"/>
      <c r="L1740" s="170">
        <v>44566</v>
      </c>
      <c r="M1740" s="116">
        <v>1663.1031468531501</v>
      </c>
      <c r="N1740" s="116">
        <v>1691.4121106166599</v>
      </c>
      <c r="O1740" s="116">
        <v>1650.59678957406</v>
      </c>
      <c r="P1740" s="116">
        <v>1669.4532739987301</v>
      </c>
      <c r="Q1740" s="116">
        <v>1715.45</v>
      </c>
      <c r="R1740">
        <v>1583598</v>
      </c>
    </row>
    <row r="1741" spans="1:18" x14ac:dyDescent="0.25">
      <c r="A1741" s="170">
        <v>44567</v>
      </c>
      <c r="B1741" s="116">
        <v>1670.4201361395601</v>
      </c>
      <c r="C1741" s="116">
        <v>1660.09513645884</v>
      </c>
      <c r="D1741" s="116">
        <v>1625.6784708564301</v>
      </c>
      <c r="E1741" s="116">
        <v>1654.90839953002</v>
      </c>
      <c r="F1741" s="116">
        <v>1712.35</v>
      </c>
      <c r="G1741">
        <v>184669</v>
      </c>
      <c r="H1741" s="116"/>
      <c r="I1741" s="116"/>
      <c r="L1741" s="170">
        <v>44567</v>
      </c>
      <c r="M1741" s="116">
        <v>1660.8248569612199</v>
      </c>
      <c r="N1741" s="116">
        <v>1671.24682136046</v>
      </c>
      <c r="O1741" s="116">
        <v>1624.4691671964399</v>
      </c>
      <c r="P1741" s="116">
        <v>1657.8194532739999</v>
      </c>
      <c r="Q1741" s="116">
        <v>1713.1</v>
      </c>
      <c r="R1741">
        <v>1615375</v>
      </c>
    </row>
    <row r="1742" spans="1:18" x14ac:dyDescent="0.25">
      <c r="A1742" s="170">
        <v>44568</v>
      </c>
      <c r="B1742" s="116">
        <v>1677.20652090623</v>
      </c>
      <c r="C1742" s="116">
        <v>1648.3159114709699</v>
      </c>
      <c r="D1742" s="116">
        <v>1638.08786014406</v>
      </c>
      <c r="E1742" s="116">
        <v>1672.3591032157501</v>
      </c>
      <c r="F1742" s="116">
        <v>1700.2</v>
      </c>
      <c r="G1742">
        <v>40115</v>
      </c>
      <c r="H1742" s="116"/>
      <c r="I1742" s="116"/>
      <c r="L1742" s="170">
        <v>44568</v>
      </c>
      <c r="M1742" s="116">
        <v>1647.2520661157</v>
      </c>
      <c r="N1742" s="116">
        <v>1677.9847425302</v>
      </c>
      <c r="O1742" s="116">
        <v>1637.94500953592</v>
      </c>
      <c r="P1742" s="116">
        <v>1667.4173553718999</v>
      </c>
      <c r="Q1742" s="116">
        <v>1699.1</v>
      </c>
      <c r="R1742">
        <v>1295933</v>
      </c>
    </row>
    <row r="1743" spans="1:18" x14ac:dyDescent="0.25">
      <c r="A1743" s="170">
        <v>44571</v>
      </c>
      <c r="B1743" s="116">
        <v>1712.7380925774601</v>
      </c>
      <c r="C1743" s="116">
        <v>1698.0504169753001</v>
      </c>
      <c r="D1743" s="116">
        <v>1648.0250664095399</v>
      </c>
      <c r="E1743" s="116">
        <v>1648.3159114709699</v>
      </c>
      <c r="F1743" s="116">
        <v>1751.5</v>
      </c>
      <c r="G1743">
        <v>92502</v>
      </c>
      <c r="H1743" s="116"/>
      <c r="I1743" s="116"/>
      <c r="L1743" s="170">
        <v>44571</v>
      </c>
      <c r="M1743" s="116">
        <v>1699.11951684679</v>
      </c>
      <c r="N1743" s="116">
        <v>1712.1106166560701</v>
      </c>
      <c r="O1743" s="116">
        <v>1647.2520661157</v>
      </c>
      <c r="P1743" s="116">
        <v>1655.4442148760299</v>
      </c>
      <c r="Q1743" s="116">
        <v>1752.6</v>
      </c>
      <c r="R1743">
        <v>1670551</v>
      </c>
    </row>
    <row r="1744" spans="1:18" x14ac:dyDescent="0.25">
      <c r="A1744" s="170">
        <v>44572</v>
      </c>
      <c r="B1744" s="116">
        <v>1793.54454547777</v>
      </c>
      <c r="C1744" s="116">
        <v>1787.58222171847</v>
      </c>
      <c r="D1744" s="116">
        <v>1683.5081639038599</v>
      </c>
      <c r="E1744" s="116">
        <v>1706.29102704912</v>
      </c>
      <c r="F1744" s="116">
        <v>1843.85</v>
      </c>
      <c r="G1744">
        <v>237343</v>
      </c>
      <c r="H1744" s="116"/>
      <c r="I1744" s="116"/>
      <c r="L1744" s="170">
        <v>44572</v>
      </c>
      <c r="M1744" s="116">
        <v>1787.63350286078</v>
      </c>
      <c r="N1744" s="116">
        <v>1793.54736172918</v>
      </c>
      <c r="O1744" s="116">
        <v>1683.99554990464</v>
      </c>
      <c r="P1744" s="116">
        <v>1704.35473617292</v>
      </c>
      <c r="Q1744" s="116">
        <v>1843.9</v>
      </c>
      <c r="R1744">
        <v>5126019</v>
      </c>
    </row>
    <row r="1745" spans="1:18" x14ac:dyDescent="0.25">
      <c r="A1745" s="170">
        <v>44573</v>
      </c>
      <c r="B1745" s="116">
        <v>1825.5375022349399</v>
      </c>
      <c r="C1745" s="116">
        <v>1774.05792636203</v>
      </c>
      <c r="D1745" s="116">
        <v>1754.13503965416</v>
      </c>
      <c r="E1745" s="116">
        <v>1825.5375022349399</v>
      </c>
      <c r="F1745" s="116">
        <v>1829.9</v>
      </c>
      <c r="G1745">
        <v>134657</v>
      </c>
      <c r="H1745" s="116"/>
      <c r="I1745" s="116"/>
      <c r="L1745" s="170">
        <v>44573</v>
      </c>
      <c r="M1745" s="116">
        <v>1774.2546090273399</v>
      </c>
      <c r="N1745" s="116">
        <v>1815.8455181182501</v>
      </c>
      <c r="O1745" s="116">
        <v>1753.11983471074</v>
      </c>
      <c r="P1745" s="116">
        <v>1815.8455181182501</v>
      </c>
      <c r="Q1745" s="116">
        <v>1830.1</v>
      </c>
      <c r="R1745">
        <v>2518912</v>
      </c>
    </row>
    <row r="1746" spans="1:18" x14ac:dyDescent="0.25">
      <c r="A1746" s="170">
        <v>44574</v>
      </c>
      <c r="B1746" s="116">
        <v>1805.12987375801</v>
      </c>
      <c r="C1746" s="116">
        <v>1797.37400545325</v>
      </c>
      <c r="D1746" s="116">
        <v>1753.7472462389201</v>
      </c>
      <c r="E1746" s="116">
        <v>1782.8802265587101</v>
      </c>
      <c r="F1746" s="116">
        <v>1853.95</v>
      </c>
      <c r="G1746">
        <v>119022</v>
      </c>
      <c r="H1746" s="116"/>
      <c r="I1746" s="116"/>
      <c r="L1746" s="170">
        <v>44574</v>
      </c>
      <c r="M1746" s="116">
        <v>1796.7951366815</v>
      </c>
      <c r="N1746" s="116">
        <v>1806.1506675143</v>
      </c>
      <c r="O1746" s="116">
        <v>1752.8289891926299</v>
      </c>
      <c r="P1746" s="116">
        <v>1778.03560076287</v>
      </c>
      <c r="Q1746" s="116">
        <v>1853.35</v>
      </c>
      <c r="R1746">
        <v>1881069</v>
      </c>
    </row>
    <row r="1747" spans="1:18" x14ac:dyDescent="0.25">
      <c r="A1747" s="170">
        <v>44575</v>
      </c>
      <c r="B1747" s="116">
        <v>1832.32388700161</v>
      </c>
      <c r="C1747" s="116">
        <v>1814.6792866082601</v>
      </c>
      <c r="D1747" s="116">
        <v>1774.8335131925101</v>
      </c>
      <c r="E1747" s="116">
        <v>1798.39196316825</v>
      </c>
      <c r="F1747" s="116">
        <v>1871.8</v>
      </c>
      <c r="G1747">
        <v>136481</v>
      </c>
      <c r="H1747" s="116"/>
      <c r="I1747" s="116"/>
      <c r="L1747" s="170">
        <v>44575</v>
      </c>
      <c r="M1747" s="116">
        <v>1813.1794342021601</v>
      </c>
      <c r="N1747" s="116">
        <v>1832.76303242212</v>
      </c>
      <c r="O1747" s="116">
        <v>1775.22409408773</v>
      </c>
      <c r="P1747" s="116">
        <v>1793.54736172918</v>
      </c>
      <c r="Q1747" s="116">
        <v>1870.25</v>
      </c>
      <c r="R1747">
        <v>2357616</v>
      </c>
    </row>
    <row r="1748" spans="1:18" x14ac:dyDescent="0.25">
      <c r="A1748" s="170">
        <v>44578</v>
      </c>
      <c r="B1748" s="116">
        <v>1842.8912575668601</v>
      </c>
      <c r="C1748" s="116">
        <v>1819.9144977139799</v>
      </c>
      <c r="D1748" s="116">
        <v>1799.60381759087</v>
      </c>
      <c r="E1748" s="116">
        <v>1827.4764693111299</v>
      </c>
      <c r="F1748" s="116">
        <v>1877.2</v>
      </c>
      <c r="G1748">
        <v>177542</v>
      </c>
      <c r="H1748" s="116"/>
      <c r="I1748" s="116"/>
      <c r="L1748" s="170">
        <v>44578</v>
      </c>
      <c r="M1748" s="116">
        <v>1820.49904640814</v>
      </c>
      <c r="N1748" s="116">
        <v>1843.3788938334401</v>
      </c>
      <c r="O1748" s="116">
        <v>1799.02495232041</v>
      </c>
      <c r="P1748" s="116">
        <v>1818.7539732994301</v>
      </c>
      <c r="Q1748" s="116">
        <v>1877.8</v>
      </c>
      <c r="R1748">
        <v>1700525</v>
      </c>
    </row>
    <row r="1749" spans="1:18" x14ac:dyDescent="0.25">
      <c r="A1749" s="170">
        <v>44579</v>
      </c>
      <c r="B1749" s="116">
        <v>1850.3078066332901</v>
      </c>
      <c r="C1749" s="116">
        <v>1785.64325464228</v>
      </c>
      <c r="D1749" s="116">
        <v>1774.78503901561</v>
      </c>
      <c r="E1749" s="116">
        <v>1826.2161407116</v>
      </c>
      <c r="F1749" s="116">
        <v>1841.85</v>
      </c>
      <c r="G1749">
        <v>101034</v>
      </c>
      <c r="H1749" s="116"/>
      <c r="I1749" s="116"/>
      <c r="L1749" s="170">
        <v>44579</v>
      </c>
      <c r="M1749" s="116">
        <v>1784.77352193261</v>
      </c>
      <c r="N1749" s="116">
        <v>1850.2622377622399</v>
      </c>
      <c r="O1749" s="116">
        <v>1774.2061347743199</v>
      </c>
      <c r="P1749" s="116">
        <v>1827.47933884298</v>
      </c>
      <c r="Q1749" s="116">
        <v>1840.95</v>
      </c>
      <c r="R1749">
        <v>2294146</v>
      </c>
    </row>
    <row r="1750" spans="1:18" x14ac:dyDescent="0.25">
      <c r="A1750" s="170">
        <v>44580</v>
      </c>
      <c r="B1750" s="116">
        <v>1799.89466265229</v>
      </c>
      <c r="C1750" s="116">
        <v>1792.76895864729</v>
      </c>
      <c r="D1750" s="116">
        <v>1756.51027432249</v>
      </c>
      <c r="E1750" s="116">
        <v>1785.788677173</v>
      </c>
      <c r="F1750" s="116">
        <v>1849.2</v>
      </c>
      <c r="G1750">
        <v>96107</v>
      </c>
      <c r="H1750" s="116"/>
      <c r="I1750" s="116"/>
      <c r="L1750" s="170">
        <v>44580</v>
      </c>
      <c r="M1750" s="116">
        <v>1792.8687221869</v>
      </c>
      <c r="N1750" s="116">
        <v>1800.3337571519401</v>
      </c>
      <c r="O1750" s="116">
        <v>1755.9798156389099</v>
      </c>
      <c r="P1750" s="116">
        <v>1783.65861411316</v>
      </c>
      <c r="Q1750" s="116">
        <v>1849.3</v>
      </c>
      <c r="R1750">
        <v>1544606</v>
      </c>
    </row>
    <row r="1751" spans="1:18" x14ac:dyDescent="0.25">
      <c r="A1751" s="170">
        <v>44581</v>
      </c>
      <c r="B1751" s="116">
        <v>1822.4351549130299</v>
      </c>
      <c r="C1751" s="116">
        <v>1808.52306614135</v>
      </c>
      <c r="D1751" s="116">
        <v>1788.60017943348</v>
      </c>
      <c r="E1751" s="116">
        <v>1807.1173150111099</v>
      </c>
      <c r="F1751" s="116">
        <v>1865.45</v>
      </c>
      <c r="G1751">
        <v>99165</v>
      </c>
      <c r="H1751" s="116"/>
      <c r="I1751" s="116"/>
      <c r="L1751" s="170">
        <v>44581</v>
      </c>
      <c r="M1751" s="116">
        <v>1808.91369993643</v>
      </c>
      <c r="N1751" s="116">
        <v>1822.9712333121399</v>
      </c>
      <c r="O1751" s="116">
        <v>1787.4396058487</v>
      </c>
      <c r="P1751" s="116">
        <v>1798.3947870311499</v>
      </c>
      <c r="Q1751" s="116">
        <v>1865.85</v>
      </c>
      <c r="R1751">
        <v>1252017</v>
      </c>
    </row>
    <row r="1752" spans="1:18" x14ac:dyDescent="0.25">
      <c r="A1752" s="170">
        <v>44582</v>
      </c>
      <c r="B1752" s="116">
        <v>1819.7206010063601</v>
      </c>
      <c r="C1752" s="116">
        <v>1772.84607193941</v>
      </c>
      <c r="D1752" s="116">
        <v>1755.7346874920199</v>
      </c>
      <c r="E1752" s="116">
        <v>1819.7206010063601</v>
      </c>
      <c r="F1752" s="116">
        <v>1828.65</v>
      </c>
      <c r="G1752">
        <v>77994</v>
      </c>
      <c r="H1752" s="116"/>
      <c r="I1752" s="116"/>
      <c r="L1752" s="170">
        <v>44582</v>
      </c>
      <c r="M1752" s="116">
        <v>1772.55801017165</v>
      </c>
      <c r="N1752" s="116">
        <v>1815.8455181182501</v>
      </c>
      <c r="O1752" s="116">
        <v>1755.4950731087099</v>
      </c>
      <c r="P1752" s="116">
        <v>1804.0662746344599</v>
      </c>
      <c r="Q1752" s="116">
        <v>1828.35</v>
      </c>
      <c r="R1752">
        <v>1929667</v>
      </c>
    </row>
    <row r="1753" spans="1:18" x14ac:dyDescent="0.25">
      <c r="A1753" s="170">
        <v>44585</v>
      </c>
      <c r="B1753" s="116">
        <v>1771.24642410156</v>
      </c>
      <c r="C1753" s="116">
        <v>1663.53680301908</v>
      </c>
      <c r="D1753" s="116">
        <v>1646.0376251564501</v>
      </c>
      <c r="E1753" s="116">
        <v>1756.70417103011</v>
      </c>
      <c r="F1753" s="116">
        <v>1715.9</v>
      </c>
      <c r="G1753">
        <v>150583</v>
      </c>
      <c r="H1753" s="116"/>
      <c r="I1753" s="116"/>
      <c r="L1753" s="170">
        <v>44585</v>
      </c>
      <c r="M1753" s="116">
        <v>1663.4424666242801</v>
      </c>
      <c r="N1753" s="116">
        <v>1771.68547361729</v>
      </c>
      <c r="O1753" s="116">
        <v>1644.7798792117001</v>
      </c>
      <c r="P1753" s="116">
        <v>1766.40178003814</v>
      </c>
      <c r="Q1753" s="116">
        <v>1715.8</v>
      </c>
      <c r="R1753">
        <v>2381112</v>
      </c>
    </row>
    <row r="1754" spans="1:18" x14ac:dyDescent="0.25">
      <c r="A1754" s="170">
        <v>44586</v>
      </c>
      <c r="B1754" s="116">
        <v>1696.5961916681599</v>
      </c>
      <c r="C1754" s="116">
        <v>1687.14372717172</v>
      </c>
      <c r="D1754" s="116">
        <v>1625.48457414881</v>
      </c>
      <c r="E1754" s="116">
        <v>1630.67131107762</v>
      </c>
      <c r="F1754" s="116">
        <v>1740.25</v>
      </c>
      <c r="G1754">
        <v>111112</v>
      </c>
      <c r="H1754" s="116"/>
      <c r="I1754" s="116"/>
      <c r="L1754" s="170">
        <v>44586</v>
      </c>
      <c r="M1754" s="116">
        <v>1688.2612841703799</v>
      </c>
      <c r="N1754" s="116">
        <v>1697.1320724729801</v>
      </c>
      <c r="O1754" s="116">
        <v>1617.10108073744</v>
      </c>
      <c r="P1754" s="116">
        <v>1617.10108073744</v>
      </c>
      <c r="Q1754" s="116">
        <v>1741.4</v>
      </c>
      <c r="R1754">
        <v>1817963</v>
      </c>
    </row>
    <row r="1755" spans="1:18" x14ac:dyDescent="0.25">
      <c r="A1755" s="170">
        <v>44588</v>
      </c>
      <c r="B1755" s="116">
        <v>1679.14548798243</v>
      </c>
      <c r="C1755" s="116">
        <v>1633.33739080739</v>
      </c>
      <c r="D1755" s="116">
        <v>1604.7376264335501</v>
      </c>
      <c r="E1755" s="116">
        <v>1679.14548798243</v>
      </c>
      <c r="F1755" s="116">
        <v>1684.75</v>
      </c>
      <c r="G1755">
        <v>204067</v>
      </c>
      <c r="H1755" s="116"/>
      <c r="I1755" s="116"/>
      <c r="L1755" s="170">
        <v>44588</v>
      </c>
      <c r="M1755" s="116">
        <v>1634.55181182454</v>
      </c>
      <c r="N1755" s="116">
        <v>1672.8949459631301</v>
      </c>
      <c r="O1755" s="116">
        <v>1604.01303242212</v>
      </c>
      <c r="P1755" s="116">
        <v>1665.57533375715</v>
      </c>
      <c r="Q1755" s="116">
        <v>1686</v>
      </c>
      <c r="R1755">
        <v>3549583</v>
      </c>
    </row>
    <row r="1756" spans="1:18" x14ac:dyDescent="0.25">
      <c r="A1756" s="170">
        <v>44589</v>
      </c>
      <c r="B1756" s="116">
        <v>1690.0037036091001</v>
      </c>
      <c r="C1756" s="116">
        <v>1642.9837520114399</v>
      </c>
      <c r="D1756" s="116">
        <v>1634.11297763786</v>
      </c>
      <c r="E1756" s="116">
        <v>1639.3966629204899</v>
      </c>
      <c r="F1756" s="116">
        <v>1694.7</v>
      </c>
      <c r="G1756">
        <v>79214</v>
      </c>
      <c r="H1756" s="116"/>
      <c r="I1756" s="116"/>
      <c r="L1756" s="170">
        <v>44589</v>
      </c>
      <c r="M1756" s="116">
        <v>1642.0168467895701</v>
      </c>
      <c r="N1756" s="116">
        <v>1690.8788938334401</v>
      </c>
      <c r="O1756" s="116">
        <v>1632.5643674507301</v>
      </c>
      <c r="P1756" s="116">
        <v>1650.54831532104</v>
      </c>
      <c r="Q1756" s="116">
        <v>1693.7</v>
      </c>
      <c r="R1756">
        <v>1624750</v>
      </c>
    </row>
    <row r="1757" spans="1:18" x14ac:dyDescent="0.25">
      <c r="A1757" s="170">
        <v>44592</v>
      </c>
      <c r="B1757" s="116">
        <v>1680.74513582029</v>
      </c>
      <c r="C1757" s="116">
        <v>1663.2944321345601</v>
      </c>
      <c r="D1757" s="116">
        <v>1653.5995967536001</v>
      </c>
      <c r="E1757" s="116">
        <v>1660.7253007586</v>
      </c>
      <c r="F1757" s="116">
        <v>1715.65</v>
      </c>
      <c r="G1757">
        <v>83210</v>
      </c>
      <c r="H1757" s="116"/>
      <c r="I1757" s="116"/>
      <c r="L1757" s="170">
        <v>44592</v>
      </c>
      <c r="M1757" s="116">
        <v>1662.61840432295</v>
      </c>
      <c r="N1757" s="116">
        <v>1681.08709472346</v>
      </c>
      <c r="O1757" s="116">
        <v>1652.97202797203</v>
      </c>
      <c r="P1757" s="116">
        <v>1656.80149396058</v>
      </c>
      <c r="Q1757" s="116">
        <v>1714.95</v>
      </c>
      <c r="R1757">
        <v>1024738</v>
      </c>
    </row>
    <row r="1758" spans="1:18" x14ac:dyDescent="0.25">
      <c r="A1758" s="170">
        <v>44593</v>
      </c>
      <c r="B1758" s="116">
        <v>1711.08997056269</v>
      </c>
      <c r="C1758" s="116">
        <v>1694.3179053536301</v>
      </c>
      <c r="D1758" s="116">
        <v>1647.4433762866799</v>
      </c>
      <c r="E1758" s="116">
        <v>1681.95699024291</v>
      </c>
      <c r="F1758" s="116">
        <v>1747.65</v>
      </c>
      <c r="G1758">
        <v>93675</v>
      </c>
      <c r="H1758" s="116"/>
      <c r="I1758" s="116"/>
      <c r="L1758" s="170">
        <v>44593</v>
      </c>
      <c r="M1758" s="116">
        <v>1693.5934520025401</v>
      </c>
      <c r="N1758" s="116">
        <v>1711.23808010172</v>
      </c>
      <c r="O1758" s="116">
        <v>1647.30054036872</v>
      </c>
      <c r="P1758" s="116">
        <v>1675.2217101080701</v>
      </c>
      <c r="Q1758" s="116">
        <v>1746.9</v>
      </c>
      <c r="R1758">
        <v>1574361</v>
      </c>
    </row>
    <row r="1759" spans="1:18" x14ac:dyDescent="0.25">
      <c r="A1759" s="170">
        <v>44594</v>
      </c>
      <c r="B1759" s="116">
        <v>1731.25522815509</v>
      </c>
      <c r="C1759" s="116">
        <v>1720.68785758984</v>
      </c>
      <c r="D1759" s="116">
        <v>1693.68774105387</v>
      </c>
      <c r="E1759" s="116">
        <v>1698.5351587443499</v>
      </c>
      <c r="F1759" s="116">
        <v>1774.85</v>
      </c>
      <c r="G1759">
        <v>287835</v>
      </c>
      <c r="H1759" s="116"/>
      <c r="I1759" s="116"/>
      <c r="L1759" s="170">
        <v>44594</v>
      </c>
      <c r="M1759" s="116">
        <v>1725.0532422123299</v>
      </c>
      <c r="N1759" s="116">
        <v>1731.5003178639499</v>
      </c>
      <c r="O1759" s="116">
        <v>1693.6904005085801</v>
      </c>
      <c r="P1759" s="116">
        <v>1701.44628099174</v>
      </c>
      <c r="Q1759" s="116">
        <v>1779.35</v>
      </c>
      <c r="R1759">
        <v>1405276</v>
      </c>
    </row>
    <row r="1760" spans="1:18" x14ac:dyDescent="0.25">
      <c r="A1760" s="170">
        <v>44595</v>
      </c>
      <c r="B1760" s="116">
        <v>1732.03081498557</v>
      </c>
      <c r="C1760" s="116">
        <v>1699.74701316697</v>
      </c>
      <c r="D1760" s="116">
        <v>1693.2999476386301</v>
      </c>
      <c r="E1760" s="116">
        <v>1725.6806978110401</v>
      </c>
      <c r="F1760" s="116">
        <v>1753.25</v>
      </c>
      <c r="G1760">
        <v>29997</v>
      </c>
      <c r="H1760" s="116"/>
      <c r="I1760" s="116"/>
      <c r="L1760" s="170">
        <v>44595</v>
      </c>
      <c r="M1760" s="116">
        <v>1698.39240305149</v>
      </c>
      <c r="N1760" s="116">
        <v>1732.46980292435</v>
      </c>
      <c r="O1760" s="116">
        <v>1693.10870947235</v>
      </c>
      <c r="P1760" s="116">
        <v>1717.8790527654201</v>
      </c>
      <c r="Q1760" s="116">
        <v>1751.85</v>
      </c>
      <c r="R1760">
        <v>588866</v>
      </c>
    </row>
    <row r="1761" spans="1:18" x14ac:dyDescent="0.25">
      <c r="A1761" s="170">
        <v>44596</v>
      </c>
      <c r="B1761" s="116">
        <v>1716.42213002222</v>
      </c>
      <c r="C1761" s="116">
        <v>1703.0432571965</v>
      </c>
      <c r="D1761" s="116">
        <v>1681.0844550586201</v>
      </c>
      <c r="E1761" s="116">
        <v>1710.1689612015</v>
      </c>
      <c r="F1761" s="116">
        <v>1756.65</v>
      </c>
      <c r="G1761">
        <v>58120</v>
      </c>
      <c r="H1761" s="116"/>
      <c r="I1761" s="116"/>
      <c r="L1761" s="170">
        <v>44596</v>
      </c>
      <c r="M1761" s="116">
        <v>1703.6760966306399</v>
      </c>
      <c r="N1761" s="116">
        <v>1715.9885568976499</v>
      </c>
      <c r="O1761" s="116">
        <v>1680.79624920534</v>
      </c>
      <c r="P1761" s="116">
        <v>1704.35473617292</v>
      </c>
      <c r="Q1761" s="116">
        <v>1757.3</v>
      </c>
      <c r="R1761">
        <v>855996</v>
      </c>
    </row>
    <row r="1762" spans="1:18" x14ac:dyDescent="0.25">
      <c r="A1762" s="170">
        <v>44599</v>
      </c>
      <c r="B1762" s="116">
        <v>1711.04149638579</v>
      </c>
      <c r="C1762" s="116">
        <v>1678.9031170978999</v>
      </c>
      <c r="D1762" s="116">
        <v>1669.6930234859899</v>
      </c>
      <c r="E1762" s="116">
        <v>1708.22999412531</v>
      </c>
      <c r="F1762" s="116">
        <v>1731.75</v>
      </c>
      <c r="G1762">
        <v>47064</v>
      </c>
      <c r="H1762" s="116"/>
      <c r="I1762" s="116"/>
      <c r="L1762" s="170">
        <v>44599</v>
      </c>
      <c r="M1762" s="116">
        <v>1678.9542275905901</v>
      </c>
      <c r="N1762" s="116">
        <v>1711.62587412587</v>
      </c>
      <c r="O1762" s="116">
        <v>1669.5502225047701</v>
      </c>
      <c r="P1762" s="116">
        <v>1711.14113159568</v>
      </c>
      <c r="Q1762" s="116">
        <v>1731.8</v>
      </c>
      <c r="R1762">
        <v>854871</v>
      </c>
    </row>
    <row r="1763" spans="1:18" x14ac:dyDescent="0.25">
      <c r="A1763" s="170">
        <v>44600</v>
      </c>
      <c r="B1763" s="116">
        <v>1692.7182575157699</v>
      </c>
      <c r="C1763" s="116">
        <v>1661.9371551812201</v>
      </c>
      <c r="D1763" s="116">
        <v>1626.98727363286</v>
      </c>
      <c r="E1763" s="116">
        <v>1687.87083982529</v>
      </c>
      <c r="F1763" s="116">
        <v>1714.25</v>
      </c>
      <c r="G1763">
        <v>115843</v>
      </c>
      <c r="H1763" s="116"/>
      <c r="I1763" s="116"/>
      <c r="L1763" s="170">
        <v>44600</v>
      </c>
      <c r="M1763" s="116">
        <v>1663.6363636363601</v>
      </c>
      <c r="N1763" s="116">
        <v>1693.6904005085801</v>
      </c>
      <c r="O1763" s="116">
        <v>1625.87492053401</v>
      </c>
      <c r="P1763" s="116">
        <v>1686.32231404959</v>
      </c>
      <c r="Q1763" s="116">
        <v>1716</v>
      </c>
      <c r="R1763">
        <v>1480201</v>
      </c>
    </row>
    <row r="1764" spans="1:18" x14ac:dyDescent="0.25">
      <c r="A1764" s="170">
        <v>44601</v>
      </c>
      <c r="B1764" s="116">
        <v>1736.3450167301</v>
      </c>
      <c r="C1764" s="116">
        <v>1729.0738901943801</v>
      </c>
      <c r="D1764" s="116">
        <v>1665.57271844908</v>
      </c>
      <c r="E1764" s="116">
        <v>1665.57271844908</v>
      </c>
      <c r="F1764" s="116">
        <v>1783.5</v>
      </c>
      <c r="G1764">
        <v>69797</v>
      </c>
      <c r="H1764" s="116"/>
      <c r="I1764" s="116"/>
      <c r="L1764" s="170">
        <v>44601</v>
      </c>
      <c r="M1764" s="116">
        <v>1728.73728544183</v>
      </c>
      <c r="N1764" s="116">
        <v>1737.2202797202799</v>
      </c>
      <c r="O1764" s="116">
        <v>1665.67228226319</v>
      </c>
      <c r="P1764" s="116">
        <v>1671.97393515575</v>
      </c>
      <c r="Q1764" s="116">
        <v>1783.15</v>
      </c>
      <c r="R1764">
        <v>1674022</v>
      </c>
    </row>
    <row r="1765" spans="1:18" x14ac:dyDescent="0.25">
      <c r="A1765" s="170">
        <v>44602</v>
      </c>
      <c r="B1765" s="116">
        <v>1753.6502978851099</v>
      </c>
      <c r="C1765" s="116">
        <v>1729.60710614033</v>
      </c>
      <c r="D1765" s="116">
        <v>1711.23539309341</v>
      </c>
      <c r="E1765" s="116">
        <v>1737.3145002681899</v>
      </c>
      <c r="F1765" s="116">
        <v>1784.05</v>
      </c>
      <c r="G1765">
        <v>92504</v>
      </c>
      <c r="H1765" s="116"/>
      <c r="I1765" s="116"/>
      <c r="L1765" s="170">
        <v>44602</v>
      </c>
      <c r="M1765" s="116">
        <v>1731.5972663699899</v>
      </c>
      <c r="N1765" s="116">
        <v>1753.79847425302</v>
      </c>
      <c r="O1765" s="116">
        <v>1712.1106166560701</v>
      </c>
      <c r="P1765" s="116">
        <v>1744.10362364908</v>
      </c>
      <c r="Q1765" s="116">
        <v>1786.1</v>
      </c>
      <c r="R1765">
        <v>1747943</v>
      </c>
    </row>
    <row r="1766" spans="1:18" x14ac:dyDescent="0.25">
      <c r="A1766" s="170">
        <v>44603</v>
      </c>
      <c r="B1766" s="116">
        <v>1720.9302284743701</v>
      </c>
      <c r="C1766" s="116">
        <v>1709.24795184031</v>
      </c>
      <c r="D1766" s="116">
        <v>1690.4884453781499</v>
      </c>
      <c r="E1766" s="116">
        <v>1715.98586243008</v>
      </c>
      <c r="F1766" s="116">
        <v>1763.05</v>
      </c>
      <c r="G1766">
        <v>45365</v>
      </c>
      <c r="H1766" s="116"/>
      <c r="I1766" s="116"/>
      <c r="L1766" s="170">
        <v>44603</v>
      </c>
      <c r="M1766" s="116">
        <v>1710.4624920534</v>
      </c>
      <c r="N1766" s="116">
        <v>1720.73903369358</v>
      </c>
      <c r="O1766" s="116">
        <v>1690.15178003814</v>
      </c>
      <c r="P1766" s="116">
        <v>1710.1716465352799</v>
      </c>
      <c r="Q1766" s="116">
        <v>1764.3</v>
      </c>
      <c r="R1766">
        <v>1196002</v>
      </c>
    </row>
    <row r="1767" spans="1:18" x14ac:dyDescent="0.25">
      <c r="A1767" s="170">
        <v>44606</v>
      </c>
      <c r="B1767" s="116">
        <v>1686.3196661643401</v>
      </c>
      <c r="C1767" s="116">
        <v>1612.73586562284</v>
      </c>
      <c r="D1767" s="116">
        <v>1603.5742461878399</v>
      </c>
      <c r="E1767" s="116">
        <v>1679.14548798243</v>
      </c>
      <c r="F1767" s="116">
        <v>1663.5</v>
      </c>
      <c r="G1767">
        <v>117092</v>
      </c>
      <c r="H1767" s="116"/>
      <c r="I1767" s="116"/>
      <c r="L1767" s="170">
        <v>44606</v>
      </c>
      <c r="M1767" s="116">
        <v>1613.17466624285</v>
      </c>
      <c r="N1767" s="116">
        <v>1684.8680864590001</v>
      </c>
      <c r="O1767" s="116">
        <v>1602.5588048315301</v>
      </c>
      <c r="P1767" s="116">
        <v>1683.31691036236</v>
      </c>
      <c r="Q1767" s="116">
        <v>1663.95</v>
      </c>
      <c r="R1767">
        <v>1919476</v>
      </c>
    </row>
    <row r="1768" spans="1:18" x14ac:dyDescent="0.25">
      <c r="A1768" s="170">
        <v>44607</v>
      </c>
      <c r="B1768" s="116">
        <v>1697.9534686214899</v>
      </c>
      <c r="C1768" s="116">
        <v>1690.24607449363</v>
      </c>
      <c r="D1768" s="116">
        <v>1578.56157090496</v>
      </c>
      <c r="E1768" s="116">
        <v>1590.9224860156801</v>
      </c>
      <c r="F1768" s="116">
        <v>1743.45</v>
      </c>
      <c r="G1768">
        <v>154647</v>
      </c>
      <c r="H1768" s="116"/>
      <c r="I1768" s="116"/>
      <c r="L1768" s="170">
        <v>44607</v>
      </c>
      <c r="M1768" s="116">
        <v>1691.0243165925001</v>
      </c>
      <c r="N1768" s="116">
        <v>1697.9561347743199</v>
      </c>
      <c r="O1768" s="116">
        <v>1578.1762555626201</v>
      </c>
      <c r="P1768" s="116">
        <v>1586.07755880483</v>
      </c>
      <c r="Q1768" s="116">
        <v>1744.25</v>
      </c>
      <c r="R1768">
        <v>2261554</v>
      </c>
    </row>
    <row r="1769" spans="1:18" x14ac:dyDescent="0.25">
      <c r="A1769" s="170">
        <v>44608</v>
      </c>
      <c r="B1769" s="116">
        <v>1721.8512378355599</v>
      </c>
      <c r="C1769" s="116">
        <v>1684.9139150341</v>
      </c>
      <c r="D1769" s="116">
        <v>1676.28551154504</v>
      </c>
      <c r="E1769" s="116">
        <v>1696.5961916681599</v>
      </c>
      <c r="F1769" s="116">
        <v>1737.95</v>
      </c>
      <c r="G1769">
        <v>81044</v>
      </c>
      <c r="H1769" s="116"/>
      <c r="I1769" s="116"/>
      <c r="L1769" s="170">
        <v>44608</v>
      </c>
      <c r="M1769" s="116">
        <v>1685.0619834710701</v>
      </c>
      <c r="N1769" s="116">
        <v>1721.8054672600099</v>
      </c>
      <c r="O1769" s="116">
        <v>1677.20915448188</v>
      </c>
      <c r="P1769" s="116">
        <v>1691.0243165925001</v>
      </c>
      <c r="Q1769" s="116">
        <v>1738.1</v>
      </c>
      <c r="R1769">
        <v>1663614</v>
      </c>
    </row>
    <row r="1770" spans="1:18" x14ac:dyDescent="0.25">
      <c r="A1770" s="170">
        <v>44609</v>
      </c>
      <c r="B1770" s="116">
        <v>1708.22999412531</v>
      </c>
      <c r="C1770" s="116">
        <v>1677.7397368521899</v>
      </c>
      <c r="D1770" s="116">
        <v>1671.4380938545601</v>
      </c>
      <c r="E1770" s="116">
        <v>1701.24971265102</v>
      </c>
      <c r="F1770" s="116">
        <v>1730.55</v>
      </c>
      <c r="G1770">
        <v>52198</v>
      </c>
      <c r="H1770" s="116"/>
      <c r="I1770" s="116"/>
      <c r="L1770" s="170">
        <v>44609</v>
      </c>
      <c r="M1770" s="116">
        <v>1678.13016528926</v>
      </c>
      <c r="N1770" s="116">
        <v>1708.23267641449</v>
      </c>
      <c r="O1770" s="116">
        <v>1671.39224411952</v>
      </c>
      <c r="P1770" s="116">
        <v>1696.5988556897601</v>
      </c>
      <c r="Q1770" s="116">
        <v>1730.95</v>
      </c>
      <c r="R1770">
        <v>1075487</v>
      </c>
    </row>
    <row r="1771" spans="1:18" x14ac:dyDescent="0.25">
      <c r="A1771" s="170">
        <v>44610</v>
      </c>
      <c r="B1771" s="116">
        <v>1700.4741258205399</v>
      </c>
      <c r="C1771" s="116">
        <v>1682.7325770733801</v>
      </c>
      <c r="D1771" s="116">
        <v>1673.2316384000401</v>
      </c>
      <c r="E1771" s="116">
        <v>1683.0234221348101</v>
      </c>
      <c r="F1771" s="116">
        <v>1735.7</v>
      </c>
      <c r="G1771">
        <v>40009</v>
      </c>
      <c r="H1771" s="116"/>
      <c r="I1771" s="116"/>
      <c r="L1771" s="170">
        <v>44610</v>
      </c>
      <c r="M1771" s="116">
        <v>1683.31691036236</v>
      </c>
      <c r="N1771" s="116">
        <v>1701.0584869675799</v>
      </c>
      <c r="O1771" s="116">
        <v>1672.3617291799101</v>
      </c>
      <c r="P1771" s="116">
        <v>1685.9345200254299</v>
      </c>
      <c r="Q1771" s="116">
        <v>1736.3</v>
      </c>
      <c r="R1771">
        <v>945100</v>
      </c>
    </row>
    <row r="1772" spans="1:18" x14ac:dyDescent="0.25">
      <c r="A1772" s="170">
        <v>44613</v>
      </c>
      <c r="B1772" s="116">
        <v>1683.1688446655301</v>
      </c>
      <c r="C1772" s="116">
        <v>1632.9495973921501</v>
      </c>
      <c r="D1772" s="116">
        <v>1623.5940812495201</v>
      </c>
      <c r="E1772" s="116">
        <v>1682.7325770733801</v>
      </c>
      <c r="F1772" s="116">
        <v>1684.35</v>
      </c>
      <c r="G1772">
        <v>52931</v>
      </c>
      <c r="H1772" s="116"/>
      <c r="I1772" s="116"/>
      <c r="L1772" s="170">
        <v>44613</v>
      </c>
      <c r="M1772" s="116">
        <v>1633.7762237762199</v>
      </c>
      <c r="N1772" s="116">
        <v>1685.7406230133499</v>
      </c>
      <c r="O1772" s="116">
        <v>1620.3003814367401</v>
      </c>
      <c r="P1772" s="116">
        <v>1685.7406230133499</v>
      </c>
      <c r="Q1772" s="116">
        <v>1685.2</v>
      </c>
      <c r="R1772">
        <v>1449291</v>
      </c>
    </row>
    <row r="1773" spans="1:18" x14ac:dyDescent="0.25">
      <c r="A1773" s="170">
        <v>44614</v>
      </c>
      <c r="B1773" s="116">
        <v>1627.27811869429</v>
      </c>
      <c r="C1773" s="116">
        <v>1617.3893866057099</v>
      </c>
      <c r="D1773" s="116">
        <v>1580.79138304258</v>
      </c>
      <c r="E1773" s="116">
        <v>1598.58140596664</v>
      </c>
      <c r="F1773" s="116">
        <v>1668.3</v>
      </c>
      <c r="G1773">
        <v>72642</v>
      </c>
      <c r="H1773" s="116"/>
      <c r="I1773" s="116"/>
      <c r="L1773" s="170">
        <v>44614</v>
      </c>
      <c r="M1773" s="116">
        <v>1616.81023521933</v>
      </c>
      <c r="N1773" s="116">
        <v>1627.6684678957399</v>
      </c>
      <c r="O1773" s="116">
        <v>1580.26064844247</v>
      </c>
      <c r="P1773" s="116">
        <v>1586.17450731087</v>
      </c>
      <c r="Q1773" s="116">
        <v>1667.7</v>
      </c>
      <c r="R1773">
        <v>1717579</v>
      </c>
    </row>
    <row r="1774" spans="1:18" x14ac:dyDescent="0.25">
      <c r="A1774" s="170">
        <v>44615</v>
      </c>
      <c r="B1774" s="116">
        <v>1663.97307061122</v>
      </c>
      <c r="C1774" s="116">
        <v>1636.1488930678699</v>
      </c>
      <c r="D1774" s="116">
        <v>1621.5096916426101</v>
      </c>
      <c r="E1774" s="116">
        <v>1621.5096916426101</v>
      </c>
      <c r="F1774" s="116">
        <v>1687.65</v>
      </c>
      <c r="G1774">
        <v>68907</v>
      </c>
      <c r="H1774" s="116"/>
      <c r="I1774" s="116"/>
      <c r="L1774" s="170">
        <v>44615</v>
      </c>
      <c r="M1774" s="116">
        <v>1637.1694214875999</v>
      </c>
      <c r="N1774" s="116">
        <v>1665.09059122695</v>
      </c>
      <c r="O1774" s="116">
        <v>1619.04005085823</v>
      </c>
      <c r="P1774" s="116">
        <v>1630.6738715829599</v>
      </c>
      <c r="Q1774" s="116">
        <v>1688.7</v>
      </c>
      <c r="R1774">
        <v>1285012</v>
      </c>
    </row>
    <row r="1775" spans="1:18" x14ac:dyDescent="0.25">
      <c r="A1775" s="170">
        <v>44616</v>
      </c>
      <c r="B1775" s="116">
        <v>1597.41802572093</v>
      </c>
      <c r="C1775" s="116">
        <v>1499.8395076115601</v>
      </c>
      <c r="D1775" s="116">
        <v>1482.87354569487</v>
      </c>
      <c r="E1775" s="116">
        <v>1595.33363611402</v>
      </c>
      <c r="F1775" s="116">
        <v>1547.05</v>
      </c>
      <c r="G1775">
        <v>163813</v>
      </c>
      <c r="H1775" s="116"/>
      <c r="I1775" s="116"/>
      <c r="L1775" s="170">
        <v>44616</v>
      </c>
      <c r="M1775" s="116">
        <v>1496.8364589955499</v>
      </c>
      <c r="N1775" s="116">
        <v>1598.2930705658</v>
      </c>
      <c r="O1775" s="116">
        <v>1482.14876033058</v>
      </c>
      <c r="P1775" s="116">
        <v>1576.38270820089</v>
      </c>
      <c r="Q1775" s="116">
        <v>1543.95</v>
      </c>
      <c r="R1775">
        <v>2798065</v>
      </c>
    </row>
    <row r="1776" spans="1:18" x14ac:dyDescent="0.25">
      <c r="A1776" s="170">
        <v>44617</v>
      </c>
      <c r="B1776" s="116">
        <v>1588.3048804628199</v>
      </c>
      <c r="C1776" s="116">
        <v>1568.6243646394701</v>
      </c>
      <c r="D1776" s="116">
        <v>1536.92225294373</v>
      </c>
      <c r="E1776" s="116">
        <v>1551.17366095374</v>
      </c>
      <c r="F1776" s="116">
        <v>1618</v>
      </c>
      <c r="G1776">
        <v>93470</v>
      </c>
      <c r="H1776" s="116"/>
      <c r="I1776" s="116"/>
      <c r="L1776" s="170">
        <v>44617</v>
      </c>
      <c r="M1776" s="116">
        <v>1569.3054672600099</v>
      </c>
      <c r="N1776" s="116">
        <v>1588.1134774316599</v>
      </c>
      <c r="O1776" s="116">
        <v>1530.62301335029</v>
      </c>
      <c r="P1776" s="116">
        <v>1545.3591862682799</v>
      </c>
      <c r="Q1776" s="116">
        <v>1618.7</v>
      </c>
      <c r="R1776">
        <v>1741584</v>
      </c>
    </row>
    <row r="1777" spans="1:18" x14ac:dyDescent="0.25">
      <c r="A1777" s="170">
        <v>44620</v>
      </c>
      <c r="B1777" s="116">
        <v>1600.22952798141</v>
      </c>
      <c r="C1777" s="116">
        <v>1593.1038239764</v>
      </c>
      <c r="D1777" s="116">
        <v>1545.84150149421</v>
      </c>
      <c r="E1777" s="116">
        <v>1560.8200221577999</v>
      </c>
      <c r="F1777" s="116">
        <v>1643.25</v>
      </c>
      <c r="G1777">
        <v>68523</v>
      </c>
      <c r="H1777" s="116"/>
      <c r="I1777" s="116"/>
      <c r="L1777" s="170">
        <v>44620</v>
      </c>
      <c r="M1777" s="116">
        <v>1594.2697075651599</v>
      </c>
      <c r="N1777" s="116">
        <v>1600.71678321678</v>
      </c>
      <c r="O1777" s="116">
        <v>1543.66258741259</v>
      </c>
      <c r="P1777" s="116">
        <v>1554.8116656071199</v>
      </c>
      <c r="Q1777" s="116">
        <v>1644.45</v>
      </c>
      <c r="R1777">
        <v>1869037</v>
      </c>
    </row>
    <row r="1778" spans="1:18" x14ac:dyDescent="0.25">
      <c r="A1778" s="170">
        <v>44622</v>
      </c>
      <c r="B1778" s="116">
        <v>1613.17213321499</v>
      </c>
      <c r="C1778" s="116">
        <v>1590.7770634849701</v>
      </c>
      <c r="D1778" s="116">
        <v>1570.5633317156701</v>
      </c>
      <c r="E1778" s="116">
        <v>1593.83093662997</v>
      </c>
      <c r="F1778" s="116">
        <v>1640.85</v>
      </c>
      <c r="G1778">
        <v>43416</v>
      </c>
      <c r="H1778" s="116"/>
      <c r="I1778" s="116"/>
      <c r="L1778" s="170">
        <v>44622</v>
      </c>
      <c r="M1778" s="116">
        <v>1591.70057215512</v>
      </c>
      <c r="N1778" s="116">
        <v>1613.46551176097</v>
      </c>
      <c r="O1778" s="116">
        <v>1566.2031150667499</v>
      </c>
      <c r="P1778" s="116">
        <v>1588.0165289256199</v>
      </c>
      <c r="Q1778" s="116">
        <v>1641.8</v>
      </c>
      <c r="R1778">
        <v>1249817</v>
      </c>
    </row>
    <row r="1779" spans="1:18" x14ac:dyDescent="0.25">
      <c r="A1779" s="170">
        <v>44623</v>
      </c>
      <c r="B1779" s="116">
        <v>1626.64795439452</v>
      </c>
      <c r="C1779" s="116">
        <v>1594.1702558683</v>
      </c>
      <c r="D1779" s="116">
        <v>1585.68727490996</v>
      </c>
      <c r="E1779" s="116">
        <v>1614.19009092999</v>
      </c>
      <c r="F1779" s="116">
        <v>1644.35</v>
      </c>
      <c r="G1779">
        <v>100682</v>
      </c>
      <c r="H1779" s="116"/>
      <c r="I1779" s="116"/>
      <c r="L1779" s="170">
        <v>44623</v>
      </c>
      <c r="M1779" s="116">
        <v>1593.6395422759099</v>
      </c>
      <c r="N1779" s="116">
        <v>1626.9898283534601</v>
      </c>
      <c r="O1779" s="116">
        <v>1585.0595994914199</v>
      </c>
      <c r="P1779" s="116">
        <v>1619.04005085823</v>
      </c>
      <c r="Q1779" s="116">
        <v>1643.8</v>
      </c>
      <c r="R1779">
        <v>1333325</v>
      </c>
    </row>
    <row r="1780" spans="1:18" x14ac:dyDescent="0.25">
      <c r="A1780" s="170">
        <v>44624</v>
      </c>
      <c r="B1780" s="116">
        <v>1603.91356542617</v>
      </c>
      <c r="C1780" s="116">
        <v>1566.5884492094699</v>
      </c>
      <c r="D1780" s="116">
        <v>1552.4339895532701</v>
      </c>
      <c r="E1780" s="116">
        <v>1575.41074940615</v>
      </c>
      <c r="F1780" s="116">
        <v>1615.9</v>
      </c>
      <c r="G1780">
        <v>85917</v>
      </c>
      <c r="H1780" s="116"/>
      <c r="I1780" s="116"/>
      <c r="L1780" s="170">
        <v>44624</v>
      </c>
      <c r="M1780" s="116">
        <v>1565.7183725365501</v>
      </c>
      <c r="N1780" s="116">
        <v>1604.9825174825201</v>
      </c>
      <c r="O1780" s="116">
        <v>1552.33947870311</v>
      </c>
      <c r="P1780" s="116">
        <v>1572.3108709472299</v>
      </c>
      <c r="Q1780" s="116">
        <v>1615</v>
      </c>
      <c r="R1780">
        <v>1433490</v>
      </c>
    </row>
    <row r="1781" spans="1:18" x14ac:dyDescent="0.25">
      <c r="A1781" s="170">
        <v>44627</v>
      </c>
      <c r="B1781" s="116">
        <v>1542.8361025261199</v>
      </c>
      <c r="C1781" s="116">
        <v>1516.99936623586</v>
      </c>
      <c r="D1781" s="116">
        <v>1492.81075196036</v>
      </c>
      <c r="E1781" s="116">
        <v>1528.8755395775299</v>
      </c>
      <c r="F1781" s="116">
        <v>1564.75</v>
      </c>
      <c r="G1781">
        <v>190289</v>
      </c>
      <c r="H1781" s="116"/>
      <c r="I1781" s="116"/>
      <c r="L1781" s="170">
        <v>44627</v>
      </c>
      <c r="M1781" s="116">
        <v>1516.32310870947</v>
      </c>
      <c r="N1781" s="116">
        <v>1543.42021614749</v>
      </c>
      <c r="O1781" s="116">
        <v>1492.3283534647201</v>
      </c>
      <c r="P1781" s="116">
        <v>1541.4812460267001</v>
      </c>
      <c r="Q1781" s="116">
        <v>1564.05</v>
      </c>
      <c r="R1781">
        <v>1508821</v>
      </c>
    </row>
    <row r="1782" spans="1:18" x14ac:dyDescent="0.25">
      <c r="A1782" s="170">
        <v>44628</v>
      </c>
      <c r="B1782" s="116">
        <v>1557.6692006589899</v>
      </c>
      <c r="C1782" s="116">
        <v>1551.9007736073199</v>
      </c>
      <c r="D1782" s="116">
        <v>1505.9957280784699</v>
      </c>
      <c r="E1782" s="116">
        <v>1523.543380118</v>
      </c>
      <c r="F1782" s="116">
        <v>1600.75</v>
      </c>
      <c r="G1782">
        <v>117808</v>
      </c>
      <c r="H1782" s="116"/>
      <c r="I1782" s="116"/>
      <c r="L1782" s="170">
        <v>44628</v>
      </c>
      <c r="M1782" s="116">
        <v>1552.72727272727</v>
      </c>
      <c r="N1782" s="116">
        <v>1558.35028607756</v>
      </c>
      <c r="O1782" s="116">
        <v>1505.9980928162699</v>
      </c>
      <c r="P1782" s="116">
        <v>1526.8420216147499</v>
      </c>
      <c r="Q1782" s="116">
        <v>1601.6</v>
      </c>
      <c r="R1782">
        <v>1396347</v>
      </c>
    </row>
    <row r="1783" spans="1:18" x14ac:dyDescent="0.25">
      <c r="A1783" s="170">
        <v>44629</v>
      </c>
      <c r="B1783" s="116">
        <v>1618.06802508237</v>
      </c>
      <c r="C1783" s="116">
        <v>1605.90100667927</v>
      </c>
      <c r="D1783" s="116">
        <v>1556.11802699803</v>
      </c>
      <c r="E1783" s="116">
        <v>1556.11802699803</v>
      </c>
      <c r="F1783" s="116">
        <v>1656.45</v>
      </c>
      <c r="G1783">
        <v>51461</v>
      </c>
      <c r="H1783" s="116"/>
      <c r="I1783" s="116"/>
      <c r="L1783" s="170">
        <v>44629</v>
      </c>
      <c r="M1783" s="116">
        <v>1606.0004767959299</v>
      </c>
      <c r="N1783" s="116">
        <v>1618.99157660521</v>
      </c>
      <c r="O1783" s="116">
        <v>1558.9319771138</v>
      </c>
      <c r="P1783" s="116">
        <v>1560.4831532104299</v>
      </c>
      <c r="Q1783" s="116">
        <v>1656.55</v>
      </c>
      <c r="R1783">
        <v>1498176</v>
      </c>
    </row>
    <row r="1784" spans="1:18" x14ac:dyDescent="0.25">
      <c r="A1784" s="170">
        <v>44630</v>
      </c>
      <c r="B1784" s="116">
        <v>1696.5477174912501</v>
      </c>
      <c r="C1784" s="116">
        <v>1689.2765909555301</v>
      </c>
      <c r="D1784" s="116">
        <v>1628.4899731169101</v>
      </c>
      <c r="E1784" s="116">
        <v>1637.4576958442999</v>
      </c>
      <c r="F1784" s="116">
        <v>1742.45</v>
      </c>
      <c r="G1784">
        <v>77916</v>
      </c>
      <c r="H1784" s="116"/>
      <c r="I1784" s="116"/>
      <c r="L1784" s="170">
        <v>44630</v>
      </c>
      <c r="M1784" s="116">
        <v>1689.66703750795</v>
      </c>
      <c r="N1784" s="116">
        <v>1696.21106166561</v>
      </c>
      <c r="O1784" s="116">
        <v>1627.0383026064801</v>
      </c>
      <c r="P1784" s="116">
        <v>1630.6738715829599</v>
      </c>
      <c r="Q1784" s="116">
        <v>1742.85</v>
      </c>
      <c r="R1784">
        <v>2294474</v>
      </c>
    </row>
    <row r="1785" spans="1:18" x14ac:dyDescent="0.25">
      <c r="A1785" s="170">
        <v>44631</v>
      </c>
      <c r="B1785" s="116">
        <v>1702.9463088426901</v>
      </c>
      <c r="C1785" s="116">
        <v>1680.6966616433799</v>
      </c>
      <c r="D1785" s="116">
        <v>1669.45065260147</v>
      </c>
      <c r="E1785" s="116">
        <v>1696.5477174912501</v>
      </c>
      <c r="F1785" s="116">
        <v>1733.6</v>
      </c>
      <c r="G1785">
        <v>51931</v>
      </c>
      <c r="H1785" s="116"/>
      <c r="I1785" s="116"/>
      <c r="L1785" s="170">
        <v>44631</v>
      </c>
      <c r="M1785" s="116">
        <v>1681.1840432295</v>
      </c>
      <c r="N1785" s="116">
        <v>1703.3852511125201</v>
      </c>
      <c r="O1785" s="116">
        <v>1668.67768595041</v>
      </c>
      <c r="P1785" s="116">
        <v>1696.5988556897601</v>
      </c>
      <c r="Q1785" s="116">
        <v>1734.1</v>
      </c>
      <c r="R1785">
        <v>1354129</v>
      </c>
    </row>
    <row r="1786" spans="1:18" x14ac:dyDescent="0.25">
      <c r="A1786" s="170">
        <v>44634</v>
      </c>
      <c r="B1786" s="116">
        <v>1698.5351587443499</v>
      </c>
      <c r="C1786" s="116">
        <v>1682.97494795791</v>
      </c>
      <c r="D1786" s="116">
        <v>1670.08081690123</v>
      </c>
      <c r="E1786" s="116">
        <v>1682.97494795791</v>
      </c>
      <c r="F1786" s="116">
        <v>1735.95</v>
      </c>
      <c r="G1786">
        <v>29188</v>
      </c>
      <c r="H1786" s="116"/>
      <c r="I1786" s="116"/>
      <c r="L1786" s="170">
        <v>44634</v>
      </c>
      <c r="M1786" s="116">
        <v>1683.12301335029</v>
      </c>
      <c r="N1786" s="116">
        <v>1698.97409408773</v>
      </c>
      <c r="O1786" s="116">
        <v>1669.8895422759099</v>
      </c>
      <c r="P1786" s="116">
        <v>1679.1481246026699</v>
      </c>
      <c r="Q1786" s="116">
        <v>1736.1</v>
      </c>
      <c r="R1786">
        <v>659190</v>
      </c>
    </row>
    <row r="1787" spans="1:18" x14ac:dyDescent="0.25">
      <c r="A1787" s="170">
        <v>44635</v>
      </c>
      <c r="B1787" s="116">
        <v>1699.89243569768</v>
      </c>
      <c r="C1787" s="116">
        <v>1650.4972494316901</v>
      </c>
      <c r="D1787" s="116">
        <v>1637.1668507828699</v>
      </c>
      <c r="E1787" s="116">
        <v>1677.4004176138501</v>
      </c>
      <c r="F1787" s="116">
        <v>1702.45</v>
      </c>
      <c r="G1787">
        <v>42080</v>
      </c>
      <c r="H1787" s="116"/>
      <c r="I1787" s="116"/>
      <c r="L1787" s="170">
        <v>44635</v>
      </c>
      <c r="M1787" s="116">
        <v>1649.48188175461</v>
      </c>
      <c r="N1787" s="116">
        <v>1700.6706929434199</v>
      </c>
      <c r="O1787" s="116">
        <v>1635.1819771138</v>
      </c>
      <c r="P1787" s="116">
        <v>1686.90400508582</v>
      </c>
      <c r="Q1787" s="116">
        <v>1701.4</v>
      </c>
      <c r="R1787">
        <v>1085901</v>
      </c>
    </row>
    <row r="1788" spans="1:18" x14ac:dyDescent="0.25">
      <c r="A1788" s="170">
        <v>44636</v>
      </c>
      <c r="B1788" s="116">
        <v>1709.9750644938799</v>
      </c>
      <c r="C1788" s="116">
        <v>1703.8188440269701</v>
      </c>
      <c r="D1788" s="116">
        <v>1665.6696668028901</v>
      </c>
      <c r="E1788" s="116">
        <v>1665.6696668028901</v>
      </c>
      <c r="F1788" s="116">
        <v>1757.45</v>
      </c>
      <c r="G1788">
        <v>69918</v>
      </c>
      <c r="H1788" s="116"/>
      <c r="I1788" s="116"/>
      <c r="L1788" s="170">
        <v>44636</v>
      </c>
      <c r="M1788" s="116">
        <v>1704.35473617292</v>
      </c>
      <c r="N1788" s="116">
        <v>1710.1716465352799</v>
      </c>
      <c r="O1788" s="116">
        <v>1666.2054990464101</v>
      </c>
      <c r="P1788" s="116">
        <v>1671.39224411952</v>
      </c>
      <c r="Q1788" s="116">
        <v>1758</v>
      </c>
      <c r="R1788">
        <v>1269866</v>
      </c>
    </row>
    <row r="1789" spans="1:18" x14ac:dyDescent="0.25">
      <c r="A1789" s="170">
        <v>44637</v>
      </c>
      <c r="B1789" s="116">
        <v>1767.36848994917</v>
      </c>
      <c r="C1789" s="116">
        <v>1763.05428820464</v>
      </c>
      <c r="D1789" s="116">
        <v>1705.6123885724501</v>
      </c>
      <c r="E1789" s="116">
        <v>1716.9553459681699</v>
      </c>
      <c r="F1789" s="116">
        <v>1818.55</v>
      </c>
      <c r="G1789">
        <v>62959</v>
      </c>
      <c r="H1789" s="116"/>
      <c r="I1789" s="116"/>
      <c r="L1789" s="170">
        <v>44637</v>
      </c>
      <c r="M1789" s="116">
        <v>1764.1234901462201</v>
      </c>
      <c r="N1789" s="116">
        <v>1767.9529561347699</v>
      </c>
      <c r="O1789" s="116">
        <v>1706.2937062937101</v>
      </c>
      <c r="P1789" s="116">
        <v>1721.4176732358501</v>
      </c>
      <c r="Q1789" s="116">
        <v>1819.65</v>
      </c>
      <c r="R1789">
        <v>2392329</v>
      </c>
    </row>
    <row r="1790" spans="1:18" x14ac:dyDescent="0.25">
      <c r="A1790" s="170">
        <v>44641</v>
      </c>
      <c r="B1790" s="116">
        <v>1785.788677173</v>
      </c>
      <c r="C1790" s="116">
        <v>1747.9788191872501</v>
      </c>
      <c r="D1790" s="116">
        <v>1742.1619179586701</v>
      </c>
      <c r="E1790" s="116">
        <v>1785.788677173</v>
      </c>
      <c r="F1790" s="116">
        <v>1803</v>
      </c>
      <c r="G1790">
        <v>37645</v>
      </c>
      <c r="H1790" s="116"/>
      <c r="I1790" s="116"/>
      <c r="L1790" s="170">
        <v>44641</v>
      </c>
      <c r="M1790" s="116">
        <v>1747.93308963764</v>
      </c>
      <c r="N1790" s="116">
        <v>1785.6945327399901</v>
      </c>
      <c r="O1790" s="116">
        <v>1741.34059122695</v>
      </c>
      <c r="P1790" s="116">
        <v>1780.0230451366799</v>
      </c>
      <c r="Q1790" s="116">
        <v>1802.95</v>
      </c>
      <c r="R1790">
        <v>1081052</v>
      </c>
    </row>
    <row r="1791" spans="1:18" x14ac:dyDescent="0.25">
      <c r="A1791" s="170">
        <v>44642</v>
      </c>
      <c r="B1791" s="116">
        <v>1780.6988885979899</v>
      </c>
      <c r="C1791" s="116">
        <v>1775.4636774922701</v>
      </c>
      <c r="D1791" s="116">
        <v>1735.9087491379501</v>
      </c>
      <c r="E1791" s="116">
        <v>1737.3145002681899</v>
      </c>
      <c r="F1791" s="116">
        <v>1831.35</v>
      </c>
      <c r="G1791">
        <v>58525</v>
      </c>
      <c r="H1791" s="116"/>
      <c r="I1791" s="116"/>
      <c r="L1791" s="170">
        <v>44642</v>
      </c>
      <c r="M1791" s="116">
        <v>1775.66036236491</v>
      </c>
      <c r="N1791" s="116">
        <v>1780.94405594406</v>
      </c>
      <c r="O1791" s="116">
        <v>1735.37825810553</v>
      </c>
      <c r="P1791" s="116">
        <v>1747.93308963764</v>
      </c>
      <c r="Q1791" s="116">
        <v>1831.55</v>
      </c>
      <c r="R1791">
        <v>964066</v>
      </c>
    </row>
    <row r="1792" spans="1:18" x14ac:dyDescent="0.25">
      <c r="A1792" s="170">
        <v>44643</v>
      </c>
      <c r="B1792" s="116">
        <v>1793.2537004163401</v>
      </c>
      <c r="C1792" s="116">
        <v>1756.80111938392</v>
      </c>
      <c r="D1792" s="116">
        <v>1746.3791713493899</v>
      </c>
      <c r="E1792" s="116">
        <v>1788.2123860182401</v>
      </c>
      <c r="F1792" s="116">
        <v>1812.1</v>
      </c>
      <c r="G1792">
        <v>47853</v>
      </c>
      <c r="H1792" s="116"/>
      <c r="I1792" s="116"/>
      <c r="L1792" s="170">
        <v>44643</v>
      </c>
      <c r="M1792" s="116">
        <v>1755.7374443738099</v>
      </c>
      <c r="N1792" s="116">
        <v>1791.6568658614101</v>
      </c>
      <c r="O1792" s="116">
        <v>1745.8971710108101</v>
      </c>
      <c r="P1792" s="116">
        <v>1791.6568658614101</v>
      </c>
      <c r="Q1792" s="116">
        <v>1811</v>
      </c>
      <c r="R1792">
        <v>1553366</v>
      </c>
    </row>
    <row r="1793" spans="1:18" x14ac:dyDescent="0.25">
      <c r="A1793" s="170">
        <v>44644</v>
      </c>
      <c r="B1793" s="116">
        <v>1782.7348040279901</v>
      </c>
      <c r="C1793" s="116">
        <v>1776.7240060918</v>
      </c>
      <c r="D1793" s="116">
        <v>1745.07036857296</v>
      </c>
      <c r="E1793" s="116">
        <v>1756.70417103011</v>
      </c>
      <c r="F1793" s="116">
        <v>1832.65</v>
      </c>
      <c r="G1793">
        <v>44456</v>
      </c>
      <c r="H1793" s="116"/>
      <c r="I1793" s="116"/>
      <c r="L1793" s="170">
        <v>44644</v>
      </c>
      <c r="M1793" s="116">
        <v>1776.8722186903999</v>
      </c>
      <c r="N1793" s="116">
        <v>1783.4162428480599</v>
      </c>
      <c r="O1793" s="116">
        <v>1745.21853146853</v>
      </c>
      <c r="P1793" s="116">
        <v>1759.61538461538</v>
      </c>
      <c r="Q1793" s="116">
        <v>1832.8</v>
      </c>
      <c r="R1793">
        <v>1030145</v>
      </c>
    </row>
    <row r="1794" spans="1:18" x14ac:dyDescent="0.25">
      <c r="A1794" s="170">
        <v>44645</v>
      </c>
      <c r="B1794" s="116">
        <v>1841.04923884447</v>
      </c>
      <c r="C1794" s="116">
        <v>1812.54642282445</v>
      </c>
      <c r="D1794" s="116">
        <v>1766.5929031186899</v>
      </c>
      <c r="E1794" s="116">
        <v>1795.14419331562</v>
      </c>
      <c r="F1794" s="116">
        <v>1869.6</v>
      </c>
      <c r="G1794">
        <v>325855</v>
      </c>
      <c r="H1794" s="116"/>
      <c r="I1794" s="116"/>
      <c r="L1794" s="170">
        <v>44645</v>
      </c>
      <c r="M1794" s="116">
        <v>1810.0286077558801</v>
      </c>
      <c r="N1794" s="116">
        <v>1820.69294342022</v>
      </c>
      <c r="O1794" s="116">
        <v>1766.40178003814</v>
      </c>
      <c r="P1794" s="116">
        <v>1779.5383026064801</v>
      </c>
      <c r="Q1794" s="116">
        <v>1867</v>
      </c>
      <c r="R1794">
        <v>1366115</v>
      </c>
    </row>
    <row r="1795" spans="1:18" x14ac:dyDescent="0.25">
      <c r="A1795" s="170">
        <v>44648</v>
      </c>
      <c r="B1795" s="116">
        <v>1865.28632729688</v>
      </c>
      <c r="C1795" s="116">
        <v>1850.3078066332901</v>
      </c>
      <c r="D1795" s="116">
        <v>1794.12623560062</v>
      </c>
      <c r="E1795" s="116">
        <v>1817.7816339301701</v>
      </c>
      <c r="F1795" s="116">
        <v>1908.55</v>
      </c>
      <c r="G1795">
        <v>1325278</v>
      </c>
      <c r="H1795" s="116"/>
      <c r="I1795" s="116"/>
      <c r="L1795" s="170">
        <v>44648</v>
      </c>
      <c r="M1795" s="116">
        <v>1851.42561983471</v>
      </c>
      <c r="N1795" s="116">
        <v>1865.6770502224999</v>
      </c>
      <c r="O1795" s="116">
        <v>1794.5653210425901</v>
      </c>
      <c r="P1795" s="116">
        <v>1819.6265098537799</v>
      </c>
      <c r="Q1795" s="116">
        <v>1909.7</v>
      </c>
      <c r="R1795">
        <v>1895438</v>
      </c>
    </row>
    <row r="1796" spans="1:18" x14ac:dyDescent="0.25">
      <c r="A1796" s="170">
        <v>44649</v>
      </c>
      <c r="B1796" s="116">
        <v>1871.10322852545</v>
      </c>
      <c r="C1796" s="116">
        <v>1857.38503646139</v>
      </c>
      <c r="D1796" s="116">
        <v>1828.4944270261301</v>
      </c>
      <c r="E1796" s="116">
        <v>1865.0924305892599</v>
      </c>
      <c r="F1796" s="116">
        <v>1915.85</v>
      </c>
      <c r="G1796">
        <v>106848</v>
      </c>
      <c r="H1796" s="116"/>
      <c r="I1796" s="116"/>
      <c r="L1796" s="170">
        <v>44649</v>
      </c>
      <c r="M1796" s="116">
        <v>1858.7452320406901</v>
      </c>
      <c r="N1796" s="116">
        <v>1871.9787031150699</v>
      </c>
      <c r="O1796" s="116">
        <v>1827.9640813731701</v>
      </c>
      <c r="P1796" s="116">
        <v>1860.68420216147</v>
      </c>
      <c r="Q1796" s="116">
        <v>1917.25</v>
      </c>
      <c r="R1796">
        <v>1715098</v>
      </c>
    </row>
    <row r="1797" spans="1:18" x14ac:dyDescent="0.25">
      <c r="A1797" s="170">
        <v>44650</v>
      </c>
      <c r="B1797" s="116">
        <v>1952.7337424331399</v>
      </c>
      <c r="C1797" s="116">
        <v>1933.1017007866999</v>
      </c>
      <c r="D1797" s="116">
        <v>1859.4694260683</v>
      </c>
      <c r="E1797" s="116">
        <v>1871.10322852545</v>
      </c>
      <c r="F1797" s="116">
        <v>1993.95</v>
      </c>
      <c r="G1797">
        <v>207395</v>
      </c>
      <c r="H1797" s="116"/>
      <c r="I1797" s="116"/>
      <c r="L1797" s="170">
        <v>44650</v>
      </c>
      <c r="M1797" s="116">
        <v>1934.36506675143</v>
      </c>
      <c r="N1797" s="116">
        <v>1953.5123966942101</v>
      </c>
      <c r="O1797" s="116">
        <v>1858.7937062937101</v>
      </c>
      <c r="P1797" s="116">
        <v>1868.8763509218099</v>
      </c>
      <c r="Q1797" s="116">
        <v>1995.25</v>
      </c>
      <c r="R1797">
        <v>3215951</v>
      </c>
    </row>
    <row r="1798" spans="1:18" x14ac:dyDescent="0.25">
      <c r="A1798" s="170">
        <v>44651</v>
      </c>
      <c r="B1798" s="116">
        <v>1979.8792814998301</v>
      </c>
      <c r="C1798" s="116">
        <v>1954.1879677402901</v>
      </c>
      <c r="D1798" s="116">
        <v>1929.2722408112199</v>
      </c>
      <c r="E1798" s="116">
        <v>1953.4123809098101</v>
      </c>
      <c r="F1798" s="116">
        <v>2015.7</v>
      </c>
      <c r="G1798">
        <v>100515</v>
      </c>
      <c r="H1798" s="116"/>
      <c r="I1798" s="116"/>
      <c r="L1798" s="170">
        <v>44651</v>
      </c>
      <c r="M1798" s="116">
        <v>1953.2700254291201</v>
      </c>
      <c r="N1798" s="116">
        <v>1979.68849332486</v>
      </c>
      <c r="O1798" s="116">
        <v>1930.24475524476</v>
      </c>
      <c r="P1798" s="116">
        <v>1943.8175460902701</v>
      </c>
      <c r="Q1798" s="116">
        <v>2014.75</v>
      </c>
      <c r="R1798">
        <v>2786973</v>
      </c>
    </row>
    <row r="1799" spans="1:18" x14ac:dyDescent="0.25">
      <c r="A1799" s="170">
        <v>44652</v>
      </c>
      <c r="B1799" s="116">
        <v>1986.18092449746</v>
      </c>
      <c r="C1799" s="116">
        <v>1981.8667227529299</v>
      </c>
      <c r="D1799" s="116">
        <v>1952.5398457255201</v>
      </c>
      <c r="E1799" s="116">
        <v>1954.4788128017201</v>
      </c>
      <c r="F1799" s="116">
        <v>2044.25</v>
      </c>
      <c r="G1799">
        <v>96586</v>
      </c>
      <c r="H1799" s="116"/>
      <c r="I1799" s="116"/>
      <c r="L1799" s="170">
        <v>44652</v>
      </c>
      <c r="M1799" s="116">
        <v>1981.2881436745099</v>
      </c>
      <c r="N1799" s="116">
        <v>1986.4748887476201</v>
      </c>
      <c r="O1799" s="116">
        <v>1951.62190082645</v>
      </c>
      <c r="P1799" s="116">
        <v>1956.4208518754001</v>
      </c>
      <c r="Q1799" s="116">
        <v>2043.65</v>
      </c>
      <c r="R1799">
        <v>1267111</v>
      </c>
    </row>
    <row r="1800" spans="1:18" x14ac:dyDescent="0.25">
      <c r="A1800" s="170">
        <v>44655</v>
      </c>
      <c r="B1800" s="116">
        <v>2012.64782508748</v>
      </c>
      <c r="C1800" s="116">
        <v>2002.56519629128</v>
      </c>
      <c r="D1800" s="116">
        <v>1970.13597194197</v>
      </c>
      <c r="E1800" s="116">
        <v>1995.1971214017501</v>
      </c>
      <c r="F1800" s="116">
        <v>2065.6</v>
      </c>
      <c r="G1800">
        <v>138444</v>
      </c>
      <c r="H1800" s="116"/>
      <c r="I1800" s="116"/>
      <c r="L1800" s="170">
        <v>44655</v>
      </c>
      <c r="M1800" s="116">
        <v>2002.8107120152599</v>
      </c>
      <c r="N1800" s="116">
        <v>2012.1662428480599</v>
      </c>
      <c r="O1800" s="116">
        <v>1969.99364272092</v>
      </c>
      <c r="P1800" s="116">
        <v>1987.4443738080099</v>
      </c>
      <c r="Q1800" s="116">
        <v>2065.85</v>
      </c>
      <c r="R1800">
        <v>1334265</v>
      </c>
    </row>
    <row r="1801" spans="1:18" x14ac:dyDescent="0.25">
      <c r="A1801" s="170">
        <v>44656</v>
      </c>
      <c r="B1801" s="116">
        <v>2130.9248167351998</v>
      </c>
      <c r="C1801" s="116">
        <v>2076.4883160711101</v>
      </c>
      <c r="D1801" s="116">
        <v>2004.7465342519999</v>
      </c>
      <c r="E1801" s="116">
        <v>2007.8004073970001</v>
      </c>
      <c r="F1801" s="116">
        <v>2141.85</v>
      </c>
      <c r="G1801">
        <v>260943</v>
      </c>
      <c r="H1801" s="116"/>
      <c r="I1801" s="116"/>
      <c r="L1801" s="170">
        <v>44656</v>
      </c>
      <c r="M1801" s="116">
        <v>2074.5526064844198</v>
      </c>
      <c r="N1801" s="116">
        <v>2122.97838525111</v>
      </c>
      <c r="O1801" s="116">
        <v>2004.5073108709501</v>
      </c>
      <c r="P1801" s="116">
        <v>2014.5899554990499</v>
      </c>
      <c r="Q1801" s="116">
        <v>2139.85</v>
      </c>
      <c r="R1801">
        <v>4970260</v>
      </c>
    </row>
    <row r="1802" spans="1:18" x14ac:dyDescent="0.25">
      <c r="A1802" s="170">
        <v>44657</v>
      </c>
      <c r="B1802" s="116">
        <v>2116.1401927792399</v>
      </c>
      <c r="C1802" s="116">
        <v>2094.0844422875498</v>
      </c>
      <c r="D1802" s="116">
        <v>2060.7342085770501</v>
      </c>
      <c r="E1802" s="116">
        <v>2091.1759916732599</v>
      </c>
      <c r="F1802" s="116">
        <v>2160</v>
      </c>
      <c r="G1802">
        <v>155028</v>
      </c>
      <c r="H1802" s="116"/>
      <c r="I1802" s="116"/>
      <c r="L1802" s="170">
        <v>44657</v>
      </c>
      <c r="M1802" s="116">
        <v>2094.0877304513701</v>
      </c>
      <c r="N1802" s="116">
        <v>2116.2404640813702</v>
      </c>
      <c r="O1802" s="116">
        <v>2059.3801652892598</v>
      </c>
      <c r="P1802" s="116">
        <v>2088.0284488238999</v>
      </c>
      <c r="Q1802" s="116">
        <v>2160</v>
      </c>
      <c r="R1802">
        <v>2259018</v>
      </c>
    </row>
    <row r="1803" spans="1:18" x14ac:dyDescent="0.25">
      <c r="A1803" s="170">
        <v>44658</v>
      </c>
      <c r="B1803" s="116">
        <v>2147.40603688284</v>
      </c>
      <c r="C1803" s="116">
        <v>2034.5581530484501</v>
      </c>
      <c r="D1803" s="116">
        <v>2018.27082960844</v>
      </c>
      <c r="E1803" s="116">
        <v>2102.80979413042</v>
      </c>
      <c r="F1803" s="116">
        <v>2098.6</v>
      </c>
      <c r="G1803">
        <v>241709</v>
      </c>
      <c r="H1803" s="116"/>
      <c r="I1803" s="116"/>
      <c r="L1803" s="170">
        <v>44658</v>
      </c>
      <c r="M1803" s="116">
        <v>2034.99761602034</v>
      </c>
      <c r="N1803" s="116">
        <v>2147.3609345200298</v>
      </c>
      <c r="O1803" s="116">
        <v>2017.7407819453299</v>
      </c>
      <c r="P1803" s="116">
        <v>2099.8561665607099</v>
      </c>
      <c r="Q1803" s="116">
        <v>2099.0500000000002</v>
      </c>
      <c r="R1803">
        <v>3499044</v>
      </c>
    </row>
    <row r="1804" spans="1:18" x14ac:dyDescent="0.25">
      <c r="A1804" s="170">
        <v>44659</v>
      </c>
      <c r="B1804" s="116">
        <v>2109.5477047201898</v>
      </c>
      <c r="C1804" s="116">
        <v>2104.4579161451802</v>
      </c>
      <c r="D1804" s="116">
        <v>2041.63538287656</v>
      </c>
      <c r="E1804" s="116">
        <v>2045.22247196751</v>
      </c>
      <c r="F1804" s="116">
        <v>2170.6999999999998</v>
      </c>
      <c r="G1804">
        <v>93236</v>
      </c>
      <c r="H1804" s="116"/>
      <c r="I1804" s="116"/>
      <c r="L1804" s="170">
        <v>44659</v>
      </c>
      <c r="M1804" s="116">
        <v>2104.7035918626798</v>
      </c>
      <c r="N1804" s="116">
        <v>2109.5994914176699</v>
      </c>
      <c r="O1804" s="116">
        <v>2041.00842339479</v>
      </c>
      <c r="P1804" s="116">
        <v>2050.4609027336301</v>
      </c>
      <c r="Q1804" s="116">
        <v>2170.9499999999998</v>
      </c>
      <c r="R1804">
        <v>1924054</v>
      </c>
    </row>
    <row r="1805" spans="1:18" x14ac:dyDescent="0.25">
      <c r="A1805" s="170">
        <v>44662</v>
      </c>
      <c r="B1805" s="116">
        <v>2223.9952363924299</v>
      </c>
      <c r="C1805" s="116">
        <v>2112.1653102730502</v>
      </c>
      <c r="D1805" s="116">
        <v>2093.8905455799299</v>
      </c>
      <c r="E1805" s="116">
        <v>2223.9952363924299</v>
      </c>
      <c r="F1805" s="116">
        <v>2178.65</v>
      </c>
      <c r="G1805">
        <v>95951</v>
      </c>
      <c r="H1805" s="116"/>
      <c r="I1805" s="116"/>
      <c r="L1805" s="170">
        <v>44662</v>
      </c>
      <c r="M1805" s="116">
        <v>2113.6713286713298</v>
      </c>
      <c r="N1805" s="116">
        <v>2132.8671328671298</v>
      </c>
      <c r="O1805" s="116">
        <v>2092.63350286078</v>
      </c>
      <c r="P1805" s="116">
        <v>2115.2709790209801</v>
      </c>
      <c r="Q1805" s="116">
        <v>2180.1999999999998</v>
      </c>
      <c r="R1805">
        <v>1615715</v>
      </c>
    </row>
    <row r="1806" spans="1:18" x14ac:dyDescent="0.25">
      <c r="A1806" s="170">
        <v>44663</v>
      </c>
      <c r="B1806" s="116">
        <v>2151.3324452121301</v>
      </c>
      <c r="C1806" s="116">
        <v>2131.1671876197302</v>
      </c>
      <c r="D1806" s="116">
        <v>2090.2065081351702</v>
      </c>
      <c r="E1806" s="116">
        <v>2125.10791550663</v>
      </c>
      <c r="F1806" s="116">
        <v>2198.25</v>
      </c>
      <c r="G1806">
        <v>99908</v>
      </c>
      <c r="H1806" s="116"/>
      <c r="I1806" s="116"/>
      <c r="L1806" s="170">
        <v>44663</v>
      </c>
      <c r="M1806" s="116">
        <v>2129.9102034329298</v>
      </c>
      <c r="N1806" s="116">
        <v>2151.2873490146198</v>
      </c>
      <c r="O1806" s="116">
        <v>2089.2403051493998</v>
      </c>
      <c r="P1806" s="116">
        <v>2121.2333121423999</v>
      </c>
      <c r="Q1806" s="116">
        <v>2196.9499999999998</v>
      </c>
      <c r="R1806">
        <v>2632324</v>
      </c>
    </row>
    <row r="1807" spans="1:18" x14ac:dyDescent="0.25">
      <c r="A1807" s="170">
        <v>44664</v>
      </c>
      <c r="B1807" s="116">
        <v>2148.5209429516499</v>
      </c>
      <c r="C1807" s="116">
        <v>2131.7004035656801</v>
      </c>
      <c r="D1807" s="116">
        <v>2107.89958270542</v>
      </c>
      <c r="E1807" s="116">
        <v>2145.4670698066502</v>
      </c>
      <c r="F1807" s="116">
        <v>2198.8000000000002</v>
      </c>
      <c r="G1807">
        <v>82788</v>
      </c>
      <c r="H1807" s="116"/>
      <c r="I1807" s="116"/>
      <c r="L1807" s="170">
        <v>44664</v>
      </c>
      <c r="M1807" s="116">
        <v>2132.33391608392</v>
      </c>
      <c r="N1807" s="116">
        <v>2149.4938016528899</v>
      </c>
      <c r="O1807" s="116">
        <v>2107.12730451367</v>
      </c>
      <c r="P1807" s="116">
        <v>2142.5619834710701</v>
      </c>
      <c r="Q1807" s="116">
        <v>2199.4499999999998</v>
      </c>
      <c r="R1807">
        <v>992512</v>
      </c>
    </row>
    <row r="1808" spans="1:18" x14ac:dyDescent="0.25">
      <c r="A1808" s="170">
        <v>44669</v>
      </c>
      <c r="B1808" s="116">
        <v>2171.5461769814301</v>
      </c>
      <c r="C1808" s="116">
        <v>2164.8082663916598</v>
      </c>
      <c r="D1808" s="116">
        <v>2091.1759916732599</v>
      </c>
      <c r="E1808" s="116">
        <v>2119.19406592424</v>
      </c>
      <c r="F1808" s="116">
        <v>2232.9499999999998</v>
      </c>
      <c r="G1808">
        <v>50628</v>
      </c>
      <c r="H1808" s="116"/>
      <c r="I1808" s="116"/>
      <c r="L1808" s="170">
        <v>44669</v>
      </c>
      <c r="M1808" s="116">
        <v>2165.6842021614698</v>
      </c>
      <c r="N1808" s="116">
        <v>2171.6465352829</v>
      </c>
      <c r="O1808" s="116">
        <v>2090.9369040050901</v>
      </c>
      <c r="P1808" s="116">
        <v>2113.2835346471702</v>
      </c>
      <c r="Q1808" s="116">
        <v>2233.85</v>
      </c>
      <c r="R1808">
        <v>1747434</v>
      </c>
    </row>
    <row r="1809" spans="1:18" x14ac:dyDescent="0.25">
      <c r="A1809" s="170">
        <v>44670</v>
      </c>
      <c r="B1809" s="116">
        <v>2186.1853784066798</v>
      </c>
      <c r="C1809" s="116">
        <v>2104.4094419682801</v>
      </c>
      <c r="D1809" s="116">
        <v>2076.0035743020599</v>
      </c>
      <c r="E1809" s="116">
        <v>2181.0471156547701</v>
      </c>
      <c r="F1809" s="116">
        <v>2170.65</v>
      </c>
      <c r="G1809">
        <v>98613</v>
      </c>
      <c r="H1809" s="116"/>
      <c r="I1809" s="116"/>
      <c r="L1809" s="170">
        <v>44670</v>
      </c>
      <c r="M1809" s="116">
        <v>2102.1344564526398</v>
      </c>
      <c r="N1809" s="116">
        <v>2186.1888111888102</v>
      </c>
      <c r="O1809" s="116">
        <v>2074.7949777495201</v>
      </c>
      <c r="P1809" s="116">
        <v>2176.4939605848699</v>
      </c>
      <c r="Q1809" s="116">
        <v>2168.3000000000002</v>
      </c>
      <c r="R1809">
        <v>1639219</v>
      </c>
    </row>
    <row r="1810" spans="1:18" x14ac:dyDescent="0.25">
      <c r="A1810" s="170">
        <v>44671</v>
      </c>
      <c r="B1810" s="116">
        <v>2139.65016857807</v>
      </c>
      <c r="C1810" s="116">
        <v>2117.3035730249499</v>
      </c>
      <c r="D1810" s="116">
        <v>2096.1688318944598</v>
      </c>
      <c r="E1810" s="116">
        <v>2121.22998135424</v>
      </c>
      <c r="F1810" s="116">
        <v>2183.9499999999998</v>
      </c>
      <c r="G1810">
        <v>71714</v>
      </c>
      <c r="H1810" s="116"/>
      <c r="I1810" s="116"/>
      <c r="L1810" s="170">
        <v>44671</v>
      </c>
      <c r="M1810" s="116">
        <v>2117.3068976478098</v>
      </c>
      <c r="N1810" s="116">
        <v>2140.5745390972702</v>
      </c>
      <c r="O1810" s="116">
        <v>2095.9297520661198</v>
      </c>
      <c r="P1810" s="116">
        <v>2111.5384615384601</v>
      </c>
      <c r="Q1810" s="116">
        <v>2183.9499999999998</v>
      </c>
      <c r="R1810">
        <v>1119025</v>
      </c>
    </row>
    <row r="1811" spans="1:18" x14ac:dyDescent="0.25">
      <c r="A1811" s="170">
        <v>44672</v>
      </c>
      <c r="B1811" s="116">
        <v>2222.9288045005201</v>
      </c>
      <c r="C1811" s="116">
        <v>2216.7725840336102</v>
      </c>
      <c r="D1811" s="116">
        <v>2135.9661311333002</v>
      </c>
      <c r="E1811" s="116">
        <v>2135.9661311333002</v>
      </c>
      <c r="F1811" s="116">
        <v>2286.5500000000002</v>
      </c>
      <c r="G1811">
        <v>77981</v>
      </c>
      <c r="H1811" s="116"/>
      <c r="I1811" s="116"/>
      <c r="L1811" s="170">
        <v>44672</v>
      </c>
      <c r="M1811" s="116">
        <v>2216.5821678321699</v>
      </c>
      <c r="N1811" s="116">
        <v>2223.56246026701</v>
      </c>
      <c r="O1811" s="116">
        <v>2136.6481246026701</v>
      </c>
      <c r="P1811" s="116">
        <v>2148.3788938334401</v>
      </c>
      <c r="Q1811" s="116">
        <v>2286.35</v>
      </c>
      <c r="R1811">
        <v>2243636</v>
      </c>
    </row>
    <row r="1812" spans="1:18" x14ac:dyDescent="0.25">
      <c r="A1812" s="170">
        <v>44673</v>
      </c>
      <c r="B1812" s="116">
        <v>2235.2897196112499</v>
      </c>
      <c r="C1812" s="116">
        <v>2204.7025139843199</v>
      </c>
      <c r="D1812" s="116">
        <v>2195.8802137876401</v>
      </c>
      <c r="E1812" s="116">
        <v>2229.8121376210102</v>
      </c>
      <c r="F1812" s="116">
        <v>2274.1</v>
      </c>
      <c r="G1812">
        <v>143136</v>
      </c>
      <c r="H1812" s="116"/>
      <c r="I1812" s="116"/>
      <c r="L1812" s="170">
        <v>44673</v>
      </c>
      <c r="M1812" s="116">
        <v>2203.9303877940201</v>
      </c>
      <c r="N1812" s="116">
        <v>2235.6325492689102</v>
      </c>
      <c r="O1812" s="116">
        <v>2195.88366179275</v>
      </c>
      <c r="P1812" s="116">
        <v>2226.90718372537</v>
      </c>
      <c r="Q1812" s="116">
        <v>2273.3000000000002</v>
      </c>
      <c r="R1812">
        <v>1786042</v>
      </c>
    </row>
    <row r="1813" spans="1:18" x14ac:dyDescent="0.25">
      <c r="A1813" s="170">
        <v>44676</v>
      </c>
      <c r="B1813" s="116">
        <v>2228.3094381369601</v>
      </c>
      <c r="C1813" s="116">
        <v>2217.4027483333798</v>
      </c>
      <c r="D1813" s="116">
        <v>2173.1458248192898</v>
      </c>
      <c r="E1813" s="116">
        <v>2191.0327960971599</v>
      </c>
      <c r="F1813" s="116">
        <v>2287.1999999999998</v>
      </c>
      <c r="G1813">
        <v>198249</v>
      </c>
      <c r="H1813" s="116"/>
      <c r="I1813" s="116"/>
      <c r="L1813" s="170">
        <v>44676</v>
      </c>
      <c r="M1813" s="116">
        <v>2214.49777495232</v>
      </c>
      <c r="N1813" s="116">
        <v>2224.9682136045799</v>
      </c>
      <c r="O1813" s="116">
        <v>2174.1671964399202</v>
      </c>
      <c r="P1813" s="116">
        <v>2190.9877622377599</v>
      </c>
      <c r="Q1813" s="116">
        <v>2284.1999999999998</v>
      </c>
      <c r="R1813">
        <v>1683622</v>
      </c>
    </row>
    <row r="1814" spans="1:18" x14ac:dyDescent="0.25">
      <c r="A1814" s="170">
        <v>44677</v>
      </c>
      <c r="B1814" s="116">
        <v>2345.8593171311099</v>
      </c>
      <c r="C1814" s="116">
        <v>2323.8520408163299</v>
      </c>
      <c r="D1814" s="116">
        <v>2224.8192973998098</v>
      </c>
      <c r="E1814" s="116">
        <v>2233.59312341958</v>
      </c>
      <c r="F1814" s="116">
        <v>2397</v>
      </c>
      <c r="G1814">
        <v>253308</v>
      </c>
      <c r="H1814" s="116"/>
      <c r="I1814" s="116"/>
      <c r="L1814" s="170">
        <v>44677</v>
      </c>
      <c r="M1814" s="116">
        <v>2322.2075651621099</v>
      </c>
      <c r="N1814" s="116">
        <v>2340.2399872854398</v>
      </c>
      <c r="O1814" s="116">
        <v>2225.0651621106199</v>
      </c>
      <c r="P1814" s="116">
        <v>2226.90718372537</v>
      </c>
      <c r="Q1814" s="116">
        <v>2395.3000000000002</v>
      </c>
      <c r="R1814">
        <v>3199358</v>
      </c>
    </row>
    <row r="1815" spans="1:18" x14ac:dyDescent="0.25">
      <c r="A1815" s="170">
        <v>44678</v>
      </c>
      <c r="B1815" s="116">
        <v>2346.1501621925399</v>
      </c>
      <c r="C1815" s="116">
        <v>2263.3562680391301</v>
      </c>
      <c r="D1815" s="116">
        <v>2255.0187096115001</v>
      </c>
      <c r="E1815" s="116">
        <v>2331.6079091211</v>
      </c>
      <c r="F1815" s="116">
        <v>2334.6</v>
      </c>
      <c r="G1815">
        <v>166481</v>
      </c>
      <c r="H1815" s="116"/>
      <c r="I1815" s="116"/>
      <c r="L1815" s="170">
        <v>44678</v>
      </c>
      <c r="M1815" s="116">
        <v>2262.87507946599</v>
      </c>
      <c r="N1815" s="116">
        <v>2347.0748569612201</v>
      </c>
      <c r="O1815" s="116">
        <v>2254.0527654163998</v>
      </c>
      <c r="P1815" s="116">
        <v>2331.5630959949099</v>
      </c>
      <c r="Q1815" s="116">
        <v>2334.1</v>
      </c>
      <c r="R1815">
        <v>2559876</v>
      </c>
    </row>
    <row r="1816" spans="1:18" x14ac:dyDescent="0.25">
      <c r="A1816" s="170">
        <v>44679</v>
      </c>
      <c r="B1816" s="116">
        <v>2316.8232851651301</v>
      </c>
      <c r="C1816" s="116">
        <v>2306.3043887767899</v>
      </c>
      <c r="D1816" s="116">
        <v>2265.34370929223</v>
      </c>
      <c r="E1816" s="116">
        <v>2280.225281602</v>
      </c>
      <c r="F1816" s="116">
        <v>2378.9</v>
      </c>
      <c r="G1816">
        <v>101337</v>
      </c>
      <c r="H1816" s="116"/>
      <c r="I1816" s="116"/>
      <c r="L1816" s="170">
        <v>44679</v>
      </c>
      <c r="M1816" s="116">
        <v>2305.9686904005098</v>
      </c>
      <c r="N1816" s="116">
        <v>2316.9723458359799</v>
      </c>
      <c r="O1816" s="116">
        <v>2265.0079465988601</v>
      </c>
      <c r="P1816" s="116">
        <v>2287.8393197711398</v>
      </c>
      <c r="Q1816" s="116">
        <v>2378.5500000000002</v>
      </c>
      <c r="R1816">
        <v>1679893</v>
      </c>
    </row>
    <row r="1817" spans="1:18" x14ac:dyDescent="0.25">
      <c r="A1817" s="170">
        <v>44680</v>
      </c>
      <c r="B1817" s="116">
        <v>2320.94359020204</v>
      </c>
      <c r="C1817" s="116">
        <v>2261.9020427319902</v>
      </c>
      <c r="D1817" s="116">
        <v>2231.6541563433898</v>
      </c>
      <c r="E1817" s="116">
        <v>2316.0961725115599</v>
      </c>
      <c r="F1817" s="116">
        <v>2333.1</v>
      </c>
      <c r="G1817">
        <v>174534</v>
      </c>
      <c r="H1817" s="116"/>
      <c r="I1817" s="116"/>
      <c r="L1817" s="170">
        <v>44680</v>
      </c>
      <c r="M1817" s="116">
        <v>2260.8391608391598</v>
      </c>
      <c r="N1817" s="116">
        <v>2321.09265734266</v>
      </c>
      <c r="O1817" s="116">
        <v>2231.2698664971399</v>
      </c>
      <c r="P1817" s="116">
        <v>2316.0998092816299</v>
      </c>
      <c r="Q1817" s="116">
        <v>2332</v>
      </c>
      <c r="R1817">
        <v>1916180</v>
      </c>
    </row>
    <row r="1818" spans="1:18" x14ac:dyDescent="0.25">
      <c r="A1818" s="170">
        <v>44683</v>
      </c>
      <c r="B1818" s="116">
        <v>2289.3384268601098</v>
      </c>
      <c r="C1818" s="116">
        <v>2267.9128406681798</v>
      </c>
      <c r="D1818" s="116">
        <v>2239.9432405941102</v>
      </c>
      <c r="E1818" s="116">
        <v>2242.7547428545899</v>
      </c>
      <c r="F1818" s="116">
        <v>2339.3000000000002</v>
      </c>
      <c r="G1818">
        <v>96469</v>
      </c>
      <c r="H1818" s="116"/>
      <c r="I1818" s="116"/>
      <c r="L1818" s="170">
        <v>44683</v>
      </c>
      <c r="M1818" s="116">
        <v>2268.1102987921199</v>
      </c>
      <c r="N1818" s="116">
        <v>2290.2145581691002</v>
      </c>
      <c r="O1818" s="116">
        <v>2240.4799745708801</v>
      </c>
      <c r="P1818" s="116">
        <v>2254.0527654163998</v>
      </c>
      <c r="Q1818" s="116">
        <v>2339.5</v>
      </c>
      <c r="R1818">
        <v>1006544</v>
      </c>
    </row>
    <row r="1819" spans="1:18" x14ac:dyDescent="0.25">
      <c r="A1819" s="170">
        <v>44685</v>
      </c>
      <c r="B1819" s="116">
        <v>2291.81060988225</v>
      </c>
      <c r="C1819" s="116">
        <v>2179.4474678169099</v>
      </c>
      <c r="D1819" s="116">
        <v>2165.4869048683299</v>
      </c>
      <c r="E1819" s="116">
        <v>2282.60051627034</v>
      </c>
      <c r="F1819" s="116">
        <v>2248.0500000000002</v>
      </c>
      <c r="G1819">
        <v>422665</v>
      </c>
      <c r="H1819" s="116"/>
      <c r="I1819" s="116"/>
      <c r="L1819" s="170">
        <v>44685</v>
      </c>
      <c r="M1819" s="116">
        <v>2185.0254291163401</v>
      </c>
      <c r="N1819" s="116">
        <v>2290.7962492053398</v>
      </c>
      <c r="O1819" s="116">
        <v>2164.9086141131602</v>
      </c>
      <c r="P1819" s="116">
        <v>2286.7244119516799</v>
      </c>
      <c r="Q1819" s="116">
        <v>2253.8000000000002</v>
      </c>
      <c r="R1819">
        <v>1744686</v>
      </c>
    </row>
    <row r="1820" spans="1:18" x14ac:dyDescent="0.25">
      <c r="A1820" s="170">
        <v>44686</v>
      </c>
      <c r="B1820" s="116">
        <v>2233.59312341958</v>
      </c>
      <c r="C1820" s="116">
        <v>2187.8819745983501</v>
      </c>
      <c r="D1820" s="116">
        <v>2167.8621395366699</v>
      </c>
      <c r="E1820" s="116">
        <v>2210.42246685908</v>
      </c>
      <c r="F1820" s="116">
        <v>2256.75</v>
      </c>
      <c r="G1820">
        <v>262742</v>
      </c>
      <c r="H1820" s="116"/>
      <c r="I1820" s="116"/>
      <c r="L1820" s="170">
        <v>44686</v>
      </c>
      <c r="M1820" s="116">
        <v>2186.5766052129702</v>
      </c>
      <c r="N1820" s="116">
        <v>2233.4996821360501</v>
      </c>
      <c r="O1820" s="116">
        <v>2167.7685950413202</v>
      </c>
      <c r="P1820" s="116">
        <v>2200.7310870947199</v>
      </c>
      <c r="Q1820" s="116">
        <v>2255.4</v>
      </c>
      <c r="R1820">
        <v>1636796</v>
      </c>
    </row>
    <row r="1821" spans="1:18" x14ac:dyDescent="0.25">
      <c r="A1821" s="170">
        <v>44687</v>
      </c>
      <c r="B1821" s="116">
        <v>2193.5534532962101</v>
      </c>
      <c r="C1821" s="116">
        <v>2177.99324250977</v>
      </c>
      <c r="D1821" s="116">
        <v>2131.94277445021</v>
      </c>
      <c r="E1821" s="116">
        <v>2142.5586191923599</v>
      </c>
      <c r="F1821" s="116">
        <v>2246.5500000000002</v>
      </c>
      <c r="G1821">
        <v>57114</v>
      </c>
      <c r="H1821" s="116"/>
      <c r="I1821" s="116"/>
      <c r="L1821" s="170">
        <v>44687</v>
      </c>
      <c r="M1821" s="116">
        <v>2179.1115702479301</v>
      </c>
      <c r="N1821" s="116">
        <v>2192.9752066115698</v>
      </c>
      <c r="O1821" s="116">
        <v>2132.8671328671298</v>
      </c>
      <c r="P1821" s="116">
        <v>2142.5619834710701</v>
      </c>
      <c r="Q1821" s="116">
        <v>2247.6999999999998</v>
      </c>
      <c r="R1821">
        <v>1161579</v>
      </c>
    </row>
    <row r="1822" spans="1:18" x14ac:dyDescent="0.25">
      <c r="A1822" s="170">
        <v>44690</v>
      </c>
      <c r="B1822" s="116">
        <v>2175.0847918954801</v>
      </c>
      <c r="C1822" s="116">
        <v>2130.8763425583002</v>
      </c>
      <c r="D1822" s="116">
        <v>2114.0073289954298</v>
      </c>
      <c r="E1822" s="116">
        <v>2169.70415825905</v>
      </c>
      <c r="F1822" s="116">
        <v>2197.9499999999998</v>
      </c>
      <c r="G1822">
        <v>82408</v>
      </c>
      <c r="H1822" s="116"/>
      <c r="I1822" s="116"/>
      <c r="L1822" s="170">
        <v>44690</v>
      </c>
      <c r="M1822" s="116">
        <v>2130.5888429752099</v>
      </c>
      <c r="N1822" s="116">
        <v>2175.7183725365499</v>
      </c>
      <c r="O1822" s="116">
        <v>2113.4774316592502</v>
      </c>
      <c r="P1822" s="116">
        <v>2161.4669421487602</v>
      </c>
      <c r="Q1822" s="116">
        <v>2197.65</v>
      </c>
      <c r="R1822">
        <v>1450886</v>
      </c>
    </row>
    <row r="1823" spans="1:18" x14ac:dyDescent="0.25">
      <c r="A1823" s="170">
        <v>44691</v>
      </c>
      <c r="B1823" s="116">
        <v>2152.3019287502202</v>
      </c>
      <c r="C1823" s="116">
        <v>2046.0465329748899</v>
      </c>
      <c r="D1823" s="116">
        <v>2033.0069793875</v>
      </c>
      <c r="E1823" s="116">
        <v>2123.1689484304402</v>
      </c>
      <c r="F1823" s="116">
        <v>2110.4499999999998</v>
      </c>
      <c r="G1823">
        <v>85284</v>
      </c>
      <c r="H1823" s="116"/>
      <c r="I1823" s="116"/>
      <c r="L1823" s="170">
        <v>44691</v>
      </c>
      <c r="M1823" s="116">
        <v>2045.1287349014599</v>
      </c>
      <c r="N1823" s="116">
        <v>2152.2568340750199</v>
      </c>
      <c r="O1823" s="116">
        <v>2033.4949141767299</v>
      </c>
      <c r="P1823" s="116">
        <v>2123.17228226319</v>
      </c>
      <c r="Q1823" s="116">
        <v>2109.5</v>
      </c>
      <c r="R1823">
        <v>1471866</v>
      </c>
    </row>
    <row r="1824" spans="1:18" x14ac:dyDescent="0.25">
      <c r="A1824" s="170">
        <v>44692</v>
      </c>
      <c r="B1824" s="116">
        <v>2091.22446585017</v>
      </c>
      <c r="C1824" s="116">
        <v>2054.96578152538</v>
      </c>
      <c r="D1824" s="116">
        <v>2013.42341191796</v>
      </c>
      <c r="E1824" s="116">
        <v>2037.8543970779799</v>
      </c>
      <c r="F1824" s="116">
        <v>2119.65</v>
      </c>
      <c r="G1824">
        <v>78396</v>
      </c>
      <c r="H1824" s="116"/>
      <c r="I1824" s="116"/>
      <c r="L1824" s="170">
        <v>44692</v>
      </c>
      <c r="M1824" s="116">
        <v>2054.6296884933199</v>
      </c>
      <c r="N1824" s="116">
        <v>2091.9063890654802</v>
      </c>
      <c r="O1824" s="116">
        <v>2013.62047043865</v>
      </c>
      <c r="P1824" s="116">
        <v>2045.2256834074999</v>
      </c>
      <c r="Q1824" s="116">
        <v>2119.3000000000002</v>
      </c>
      <c r="R1824">
        <v>1397917</v>
      </c>
    </row>
    <row r="1825" spans="1:18" x14ac:dyDescent="0.25">
      <c r="A1825" s="170">
        <v>44693</v>
      </c>
      <c r="B1825" s="116">
        <v>2047.54923245894</v>
      </c>
      <c r="C1825" s="116">
        <v>1980.26707491507</v>
      </c>
      <c r="D1825" s="116">
        <v>1950.69782700314</v>
      </c>
      <c r="E1825" s="116">
        <v>2038.0482937856</v>
      </c>
      <c r="F1825" s="116">
        <v>2042.6</v>
      </c>
      <c r="G1825">
        <v>94962</v>
      </c>
      <c r="H1825" s="116"/>
      <c r="I1825" s="116"/>
      <c r="L1825" s="170">
        <v>44693</v>
      </c>
      <c r="M1825" s="116">
        <v>1982.79084551812</v>
      </c>
      <c r="N1825" s="116">
        <v>2049.10362364908</v>
      </c>
      <c r="O1825" s="116">
        <v>1949.6829307056601</v>
      </c>
      <c r="P1825" s="116">
        <v>2038.8270820089001</v>
      </c>
      <c r="Q1825" s="116">
        <v>2045.2</v>
      </c>
      <c r="R1825">
        <v>1553685</v>
      </c>
    </row>
    <row r="1826" spans="1:18" x14ac:dyDescent="0.25">
      <c r="A1826" s="170">
        <v>44694</v>
      </c>
      <c r="B1826" s="116">
        <v>2068.3446543511</v>
      </c>
      <c r="C1826" s="116">
        <v>1992.3371449643701</v>
      </c>
      <c r="D1826" s="116">
        <v>1973.72306103292</v>
      </c>
      <c r="E1826" s="116">
        <v>2021.13080604582</v>
      </c>
      <c r="F1826" s="116">
        <v>2055.0500000000002</v>
      </c>
      <c r="G1826">
        <v>63221</v>
      </c>
      <c r="H1826" s="116"/>
      <c r="I1826" s="116"/>
      <c r="L1826" s="170">
        <v>44694</v>
      </c>
      <c r="M1826" s="116">
        <v>1991.46773680865</v>
      </c>
      <c r="N1826" s="116">
        <v>2069.8506039415101</v>
      </c>
      <c r="O1826" s="116">
        <v>1973.19294342022</v>
      </c>
      <c r="P1826" s="116">
        <v>2020.8916083916099</v>
      </c>
      <c r="Q1826" s="116">
        <v>2054.15</v>
      </c>
      <c r="R1826">
        <v>1547617</v>
      </c>
    </row>
    <row r="1827" spans="1:18" x14ac:dyDescent="0.25">
      <c r="A1827" s="170">
        <v>44697</v>
      </c>
      <c r="B1827" s="116">
        <v>2084.38960690659</v>
      </c>
      <c r="C1827" s="116">
        <v>2042.7502889453699</v>
      </c>
      <c r="D1827" s="116">
        <v>1995.29406975556</v>
      </c>
      <c r="E1827" s="116">
        <v>2034.94594646369</v>
      </c>
      <c r="F1827" s="116">
        <v>2107.0500000000002</v>
      </c>
      <c r="G1827">
        <v>115726</v>
      </c>
      <c r="H1827" s="116"/>
      <c r="I1827" s="116"/>
      <c r="L1827" s="170">
        <v>44697</v>
      </c>
      <c r="M1827" s="116">
        <v>2041.6385886840401</v>
      </c>
      <c r="N1827" s="116">
        <v>2076.58852511125</v>
      </c>
      <c r="O1827" s="116">
        <v>1994.86093452003</v>
      </c>
      <c r="P1827" s="116">
        <v>2019.09806102988</v>
      </c>
      <c r="Q1827" s="116">
        <v>2105.9</v>
      </c>
      <c r="R1827">
        <v>1742552</v>
      </c>
    </row>
    <row r="1828" spans="1:18" x14ac:dyDescent="0.25">
      <c r="A1828" s="170">
        <v>44698</v>
      </c>
      <c r="B1828" s="116">
        <v>2125.10791550663</v>
      </c>
      <c r="C1828" s="116">
        <v>2117.8367889709102</v>
      </c>
      <c r="D1828" s="116">
        <v>2055.30510076371</v>
      </c>
      <c r="E1828" s="116">
        <v>2069.84735383515</v>
      </c>
      <c r="F1828" s="116">
        <v>2184.5</v>
      </c>
      <c r="G1828">
        <v>47059</v>
      </c>
      <c r="H1828" s="116"/>
      <c r="I1828" s="116"/>
      <c r="L1828" s="170">
        <v>44698</v>
      </c>
      <c r="M1828" s="116">
        <v>2118.1794342021599</v>
      </c>
      <c r="N1828" s="116">
        <v>2125.35362364908</v>
      </c>
      <c r="O1828" s="116">
        <v>2054.7266369993599</v>
      </c>
      <c r="P1828" s="116">
        <v>2067.9601080737398</v>
      </c>
      <c r="Q1828" s="116">
        <v>2184.85</v>
      </c>
      <c r="R1828">
        <v>1061085</v>
      </c>
    </row>
    <row r="1829" spans="1:18" x14ac:dyDescent="0.25">
      <c r="A1829" s="170">
        <v>44699</v>
      </c>
      <c r="B1829" s="116">
        <v>2148.90873636689</v>
      </c>
      <c r="C1829" s="116">
        <v>2112.8924229266199</v>
      </c>
      <c r="D1829" s="116">
        <v>2106.6877282828</v>
      </c>
      <c r="E1829" s="116">
        <v>2137.61425314807</v>
      </c>
      <c r="F1829" s="116">
        <v>2179.4</v>
      </c>
      <c r="G1829">
        <v>61182</v>
      </c>
      <c r="H1829" s="116"/>
      <c r="I1829" s="116"/>
      <c r="L1829" s="170">
        <v>44699</v>
      </c>
      <c r="M1829" s="116">
        <v>2114.5438652256798</v>
      </c>
      <c r="N1829" s="116">
        <v>2149.2514303877902</v>
      </c>
      <c r="O1829" s="116">
        <v>2105.7215511761001</v>
      </c>
      <c r="P1829" s="116">
        <v>2132.5762873490098</v>
      </c>
      <c r="Q1829" s="116">
        <v>2181.1</v>
      </c>
      <c r="R1829">
        <v>1296983</v>
      </c>
    </row>
    <row r="1830" spans="1:18" x14ac:dyDescent="0.25">
      <c r="A1830" s="170">
        <v>44700</v>
      </c>
      <c r="B1830" s="116">
        <v>2088.26754105898</v>
      </c>
      <c r="C1830" s="116">
        <v>2049.4881995351302</v>
      </c>
      <c r="D1830" s="116">
        <v>2011.6783415493901</v>
      </c>
      <c r="E1830" s="116">
        <v>2084.38960690659</v>
      </c>
      <c r="F1830" s="116">
        <v>2114</v>
      </c>
      <c r="G1830">
        <v>44445</v>
      </c>
      <c r="H1830" s="116"/>
      <c r="I1830" s="116"/>
      <c r="L1830" s="170">
        <v>44700</v>
      </c>
      <c r="M1830" s="116">
        <v>2050.2185314685298</v>
      </c>
      <c r="N1830" s="116">
        <v>2088.9979338843</v>
      </c>
      <c r="O1830" s="116">
        <v>2033.5918626827699</v>
      </c>
      <c r="P1830" s="116">
        <v>2079.54545454545</v>
      </c>
      <c r="Q1830" s="116">
        <v>2114.75</v>
      </c>
      <c r="R1830">
        <v>986930</v>
      </c>
    </row>
    <row r="1831" spans="1:18" x14ac:dyDescent="0.25">
      <c r="A1831" s="170">
        <v>44701</v>
      </c>
      <c r="B1831" s="116">
        <v>2164.4204729764201</v>
      </c>
      <c r="C1831" s="116">
        <v>2155.45275024904</v>
      </c>
      <c r="D1831" s="116">
        <v>2084.5835036142098</v>
      </c>
      <c r="E1831" s="116">
        <v>2093.1149587494601</v>
      </c>
      <c r="F1831" s="116">
        <v>2223.3000000000002</v>
      </c>
      <c r="G1831">
        <v>45301</v>
      </c>
      <c r="H1831" s="116"/>
      <c r="I1831" s="116"/>
      <c r="L1831" s="170">
        <v>44701</v>
      </c>
      <c r="M1831" s="116">
        <v>2151.8205657978401</v>
      </c>
      <c r="N1831" s="116">
        <v>2164.2784488238999</v>
      </c>
      <c r="O1831" s="116">
        <v>2085.3623649078199</v>
      </c>
      <c r="P1831" s="116">
        <v>2093.1182453909701</v>
      </c>
      <c r="Q1831" s="116">
        <v>2219.5500000000002</v>
      </c>
      <c r="R1831">
        <v>1444803</v>
      </c>
    </row>
    <row r="1832" spans="1:18" x14ac:dyDescent="0.25">
      <c r="A1832" s="170">
        <v>44704</v>
      </c>
      <c r="B1832" s="116">
        <v>2176.82986226405</v>
      </c>
      <c r="C1832" s="116">
        <v>2102.7613199535099</v>
      </c>
      <c r="D1832" s="116">
        <v>2092.14547521136</v>
      </c>
      <c r="E1832" s="116">
        <v>2159.0398393399901</v>
      </c>
      <c r="F1832" s="116">
        <v>2168.9499999999998</v>
      </c>
      <c r="G1832">
        <v>64383</v>
      </c>
      <c r="H1832" s="116"/>
      <c r="I1832" s="116"/>
      <c r="L1832" s="170">
        <v>44704</v>
      </c>
      <c r="M1832" s="116">
        <v>2104.4127463445602</v>
      </c>
      <c r="N1832" s="116">
        <v>2176.4939605848699</v>
      </c>
      <c r="O1832" s="116">
        <v>2089.87047043865</v>
      </c>
      <c r="P1832" s="116">
        <v>2163.6482835346501</v>
      </c>
      <c r="Q1832" s="116">
        <v>2170.65</v>
      </c>
      <c r="R1832">
        <v>1455450</v>
      </c>
    </row>
    <row r="1833" spans="1:18" x14ac:dyDescent="0.25">
      <c r="A1833" s="170">
        <v>44705</v>
      </c>
      <c r="B1833" s="116">
        <v>2111.5351459732801</v>
      </c>
      <c r="C1833" s="116">
        <v>2094.4722357027899</v>
      </c>
      <c r="D1833" s="116">
        <v>2078.0879639089699</v>
      </c>
      <c r="E1833" s="116">
        <v>2103.7792776685101</v>
      </c>
      <c r="F1833" s="116">
        <v>2160.4</v>
      </c>
      <c r="G1833">
        <v>26880</v>
      </c>
      <c r="H1833" s="116"/>
      <c r="I1833" s="116"/>
      <c r="L1833" s="170">
        <v>44705</v>
      </c>
      <c r="M1833" s="116">
        <v>2094.2816274634501</v>
      </c>
      <c r="N1833" s="116">
        <v>2112.4109980928201</v>
      </c>
      <c r="O1833" s="116">
        <v>2077.17021614749</v>
      </c>
      <c r="P1833" s="116">
        <v>2095.0572155117602</v>
      </c>
      <c r="Q1833" s="116">
        <v>2160.1999999999998</v>
      </c>
      <c r="R1833">
        <v>1008943</v>
      </c>
    </row>
    <row r="1834" spans="1:18" x14ac:dyDescent="0.25">
      <c r="A1834" s="170">
        <v>44706</v>
      </c>
      <c r="B1834" s="116">
        <v>2111.5351459732801</v>
      </c>
      <c r="C1834" s="116">
        <v>2011.7752899032</v>
      </c>
      <c r="D1834" s="116">
        <v>2004.31026665986</v>
      </c>
      <c r="E1834" s="116">
        <v>2105.7182447447099</v>
      </c>
      <c r="F1834" s="116">
        <v>2075.1</v>
      </c>
      <c r="G1834">
        <v>59767</v>
      </c>
      <c r="H1834" s="116"/>
      <c r="I1834" s="116"/>
      <c r="L1834" s="170">
        <v>44706</v>
      </c>
      <c r="M1834" s="116">
        <v>2010.8574380165301</v>
      </c>
      <c r="N1834" s="116">
        <v>2114.8831849968201</v>
      </c>
      <c r="O1834" s="116">
        <v>2003.1500317863899</v>
      </c>
      <c r="P1834" s="116">
        <v>2101.8436109345198</v>
      </c>
      <c r="Q1834" s="116">
        <v>2074.15</v>
      </c>
      <c r="R1834">
        <v>1382448</v>
      </c>
    </row>
    <row r="1835" spans="1:18" x14ac:dyDescent="0.25">
      <c r="A1835" s="170">
        <v>44707</v>
      </c>
      <c r="B1835" s="116">
        <v>2024.1846791908299</v>
      </c>
      <c r="C1835" s="116">
        <v>1985.2114409593601</v>
      </c>
      <c r="D1835" s="116">
        <v>1847.88409778805</v>
      </c>
      <c r="E1835" s="116">
        <v>2006.83092385891</v>
      </c>
      <c r="F1835" s="116">
        <v>2047.7</v>
      </c>
      <c r="G1835">
        <v>163328</v>
      </c>
      <c r="H1835" s="116"/>
      <c r="I1835" s="116"/>
      <c r="L1835" s="170">
        <v>44707</v>
      </c>
      <c r="M1835" s="116">
        <v>1983.9542275905901</v>
      </c>
      <c r="N1835" s="116">
        <v>2024.2848061029899</v>
      </c>
      <c r="O1835" s="116">
        <v>1848.03242212333</v>
      </c>
      <c r="P1835" s="116">
        <v>2013.62047043865</v>
      </c>
      <c r="Q1835" s="116">
        <v>2046.4</v>
      </c>
      <c r="R1835">
        <v>4967514</v>
      </c>
    </row>
    <row r="1836" spans="1:18" x14ac:dyDescent="0.25">
      <c r="A1836" s="170">
        <v>44708</v>
      </c>
      <c r="B1836" s="116">
        <v>2027.5778715741601</v>
      </c>
      <c r="C1836" s="116">
        <v>2016.6227075936799</v>
      </c>
      <c r="D1836" s="116">
        <v>1985.45381184389</v>
      </c>
      <c r="E1836" s="116">
        <v>2026.2205946208301</v>
      </c>
      <c r="F1836" s="116">
        <v>2080.1</v>
      </c>
      <c r="G1836">
        <v>66428</v>
      </c>
      <c r="H1836" s="116"/>
      <c r="I1836" s="116"/>
      <c r="L1836" s="170">
        <v>44708</v>
      </c>
      <c r="M1836" s="116">
        <v>2016.67434837889</v>
      </c>
      <c r="N1836" s="116">
        <v>2030.3925619834699</v>
      </c>
      <c r="O1836" s="116">
        <v>1985.2145581691</v>
      </c>
      <c r="P1836" s="116">
        <v>2016.52892561983</v>
      </c>
      <c r="Q1836" s="116">
        <v>2080.15</v>
      </c>
      <c r="R1836">
        <v>1354005</v>
      </c>
    </row>
    <row r="1837" spans="1:18" x14ac:dyDescent="0.25">
      <c r="A1837" s="170">
        <v>44711</v>
      </c>
      <c r="B1837" s="116">
        <v>2107.9480568823301</v>
      </c>
      <c r="C1837" s="116">
        <v>2099.5620242778</v>
      </c>
      <c r="D1837" s="116">
        <v>2042.65334059156</v>
      </c>
      <c r="E1837" s="116">
        <v>2045.61026538275</v>
      </c>
      <c r="F1837" s="116">
        <v>2165.65</v>
      </c>
      <c r="G1837">
        <v>48646</v>
      </c>
      <c r="H1837" s="116"/>
      <c r="I1837" s="116"/>
      <c r="L1837" s="170">
        <v>44711</v>
      </c>
      <c r="M1837" s="116">
        <v>2099.5653210425899</v>
      </c>
      <c r="N1837" s="116">
        <v>2108.6300063572799</v>
      </c>
      <c r="O1837" s="116">
        <v>2037.85759694851</v>
      </c>
      <c r="P1837" s="116">
        <v>2055.3083280356</v>
      </c>
      <c r="Q1837" s="116">
        <v>2165.65</v>
      </c>
      <c r="R1837">
        <v>1384584</v>
      </c>
    </row>
    <row r="1838" spans="1:18" x14ac:dyDescent="0.25">
      <c r="A1838" s="170">
        <v>44712</v>
      </c>
      <c r="B1838" s="116">
        <v>2158.0218816249899</v>
      </c>
      <c r="C1838" s="116">
        <v>2101.5979397077999</v>
      </c>
      <c r="D1838" s="116">
        <v>2084.9712970294499</v>
      </c>
      <c r="E1838" s="116">
        <v>2100.8708270542302</v>
      </c>
      <c r="F1838" s="116">
        <v>2167.75</v>
      </c>
      <c r="G1838">
        <v>136230</v>
      </c>
      <c r="H1838" s="116"/>
      <c r="I1838" s="116"/>
      <c r="L1838" s="170">
        <v>44712</v>
      </c>
      <c r="M1838" s="116">
        <v>2101.40734265734</v>
      </c>
      <c r="N1838" s="116">
        <v>2157.8798474252999</v>
      </c>
      <c r="O1838" s="116">
        <v>2084.7806738715799</v>
      </c>
      <c r="P1838" s="116">
        <v>2094.0877304513701</v>
      </c>
      <c r="Q1838" s="116">
        <v>2167.5500000000002</v>
      </c>
      <c r="R1838">
        <v>2861556</v>
      </c>
    </row>
    <row r="1839" spans="1:18" x14ac:dyDescent="0.25">
      <c r="A1839" s="170">
        <v>44713</v>
      </c>
      <c r="B1839" s="116">
        <v>2122.2964132461502</v>
      </c>
      <c r="C1839" s="116">
        <v>2085.1651937370698</v>
      </c>
      <c r="D1839" s="116">
        <v>2061.1220019922898</v>
      </c>
      <c r="E1839" s="116">
        <v>2102.80979413042</v>
      </c>
      <c r="F1839" s="116">
        <v>2150.8000000000002</v>
      </c>
      <c r="G1839">
        <v>82516</v>
      </c>
      <c r="H1839" s="116"/>
      <c r="I1839" s="116"/>
      <c r="L1839" s="170">
        <v>44713</v>
      </c>
      <c r="M1839" s="116">
        <v>2085.2654164017799</v>
      </c>
      <c r="N1839" s="116">
        <v>2122.49364272092</v>
      </c>
      <c r="O1839" s="116">
        <v>2061.12523839797</v>
      </c>
      <c r="P1839" s="116">
        <v>2103.7341068022902</v>
      </c>
      <c r="Q1839" s="116">
        <v>2150.9</v>
      </c>
      <c r="R1839">
        <v>1448212</v>
      </c>
    </row>
    <row r="1840" spans="1:18" x14ac:dyDescent="0.25">
      <c r="A1840" s="170">
        <v>44714</v>
      </c>
      <c r="B1840" s="116">
        <v>2148.4724687747398</v>
      </c>
      <c r="C1840" s="116">
        <v>2142.4131966616401</v>
      </c>
      <c r="D1840" s="116">
        <v>2077.60322213992</v>
      </c>
      <c r="E1840" s="116">
        <v>2082.4506398304002</v>
      </c>
      <c r="F1840" s="116">
        <v>2209.85</v>
      </c>
      <c r="G1840">
        <v>58237</v>
      </c>
      <c r="H1840" s="116"/>
      <c r="I1840" s="116"/>
      <c r="L1840" s="170">
        <v>44714</v>
      </c>
      <c r="M1840" s="116">
        <v>2141.9802924348401</v>
      </c>
      <c r="N1840" s="116">
        <v>2150.3178639542298</v>
      </c>
      <c r="O1840" s="116">
        <v>2076.9278448823902</v>
      </c>
      <c r="P1840" s="116">
        <v>2089.2403051493998</v>
      </c>
      <c r="Q1840" s="116">
        <v>2209.4</v>
      </c>
      <c r="R1840">
        <v>1855167</v>
      </c>
    </row>
    <row r="1841" spans="1:18" x14ac:dyDescent="0.25">
      <c r="A1841" s="170">
        <v>44715</v>
      </c>
      <c r="B1841" s="116">
        <v>2173.4851440576199</v>
      </c>
      <c r="C1841" s="116">
        <v>2122.44183577686</v>
      </c>
      <c r="D1841" s="116">
        <v>2109.2568596587598</v>
      </c>
      <c r="E1841" s="116">
        <v>2169.6072099052399</v>
      </c>
      <c r="F1841" s="116">
        <v>2189.25</v>
      </c>
      <c r="G1841">
        <v>80631</v>
      </c>
      <c r="H1841" s="116"/>
      <c r="I1841" s="116"/>
      <c r="L1841" s="170">
        <v>44715</v>
      </c>
      <c r="M1841" s="116">
        <v>2123.17228226319</v>
      </c>
      <c r="N1841" s="116">
        <v>2173.8278766687899</v>
      </c>
      <c r="O1841" s="116">
        <v>2109.6479656706902</v>
      </c>
      <c r="P1841" s="116">
        <v>2166.7991099809301</v>
      </c>
      <c r="Q1841" s="116">
        <v>2190</v>
      </c>
      <c r="R1841">
        <v>1651685</v>
      </c>
    </row>
    <row r="1842" spans="1:18" x14ac:dyDescent="0.25">
      <c r="A1842" s="170">
        <v>44718</v>
      </c>
      <c r="B1842" s="116">
        <v>2161.94828995428</v>
      </c>
      <c r="C1842" s="116">
        <v>2156.2283370795099</v>
      </c>
      <c r="D1842" s="116">
        <v>2102.6643715997002</v>
      </c>
      <c r="E1842" s="116">
        <v>2130.9248167351998</v>
      </c>
      <c r="F1842" s="116">
        <v>2224.1</v>
      </c>
      <c r="G1842">
        <v>37405</v>
      </c>
      <c r="H1842" s="116"/>
      <c r="I1842" s="116"/>
      <c r="L1842" s="170">
        <v>44718</v>
      </c>
      <c r="M1842" s="116">
        <v>2157.1527336300101</v>
      </c>
      <c r="N1842" s="116">
        <v>2161.9516846789602</v>
      </c>
      <c r="O1842" s="116">
        <v>2102.0375079465998</v>
      </c>
      <c r="P1842" s="116">
        <v>2121.7180546725999</v>
      </c>
      <c r="Q1842" s="116">
        <v>2225.0500000000002</v>
      </c>
      <c r="R1842">
        <v>1664487</v>
      </c>
    </row>
    <row r="1843" spans="1:18" x14ac:dyDescent="0.25">
      <c r="A1843" s="170">
        <v>44719</v>
      </c>
      <c r="B1843" s="116">
        <v>2185.6036882838198</v>
      </c>
      <c r="C1843" s="116">
        <v>2158.6035717478499</v>
      </c>
      <c r="D1843" s="116">
        <v>2140.6196521161701</v>
      </c>
      <c r="E1843" s="116">
        <v>2160.0093228780902</v>
      </c>
      <c r="F1843" s="116">
        <v>2226.5500000000002</v>
      </c>
      <c r="G1843">
        <v>68183</v>
      </c>
      <c r="H1843" s="116"/>
      <c r="I1843" s="116"/>
      <c r="L1843" s="170">
        <v>44719</v>
      </c>
      <c r="M1843" s="116">
        <v>2159.5764462809898</v>
      </c>
      <c r="N1843" s="116">
        <v>2185.8979656706902</v>
      </c>
      <c r="O1843" s="116">
        <v>2139.7020025429101</v>
      </c>
      <c r="P1843" s="116">
        <v>2142.5619834710701</v>
      </c>
      <c r="Q1843" s="116">
        <v>2227.5500000000002</v>
      </c>
      <c r="R1843">
        <v>2046676</v>
      </c>
    </row>
    <row r="1844" spans="1:18" x14ac:dyDescent="0.25">
      <c r="A1844" s="170">
        <v>44720</v>
      </c>
      <c r="B1844" s="116">
        <v>2179.3989936400098</v>
      </c>
      <c r="C1844" s="116">
        <v>2110.0324464892301</v>
      </c>
      <c r="D1844" s="116">
        <v>2093.5512263415999</v>
      </c>
      <c r="E1844" s="116">
        <v>2179.3989936400098</v>
      </c>
      <c r="F1844" s="116">
        <v>2176.4499999999998</v>
      </c>
      <c r="G1844">
        <v>38934</v>
      </c>
      <c r="H1844" s="116"/>
      <c r="I1844" s="116"/>
      <c r="L1844" s="170">
        <v>44720</v>
      </c>
      <c r="M1844" s="116">
        <v>2110.76287349015</v>
      </c>
      <c r="N1844" s="116">
        <v>2176.4454863318501</v>
      </c>
      <c r="O1844" s="116">
        <v>2092.6819771137998</v>
      </c>
      <c r="P1844" s="116">
        <v>2176.4454863318501</v>
      </c>
      <c r="Q1844" s="116">
        <v>2177.1999999999998</v>
      </c>
      <c r="R1844">
        <v>1530739</v>
      </c>
    </row>
    <row r="1845" spans="1:18" x14ac:dyDescent="0.25">
      <c r="A1845" s="170">
        <v>44721</v>
      </c>
      <c r="B1845" s="116">
        <v>2155.9374920180799</v>
      </c>
      <c r="C1845" s="116">
        <v>2150.5083842047502</v>
      </c>
      <c r="D1845" s="116">
        <v>2094.5691840566001</v>
      </c>
      <c r="E1845" s="116">
        <v>2100.8708270542302</v>
      </c>
      <c r="F1845" s="116">
        <v>2218.1999999999998</v>
      </c>
      <c r="G1845">
        <v>30376</v>
      </c>
      <c r="H1845" s="116"/>
      <c r="I1845" s="116"/>
      <c r="L1845" s="170">
        <v>44721</v>
      </c>
      <c r="M1845" s="116">
        <v>2151.4812460266999</v>
      </c>
      <c r="N1845" s="116">
        <v>2156.1347743165902</v>
      </c>
      <c r="O1845" s="116">
        <v>2089.2403051493998</v>
      </c>
      <c r="P1845" s="116">
        <v>2094.3785759694902</v>
      </c>
      <c r="Q1845" s="116">
        <v>2219.1999999999998</v>
      </c>
      <c r="R1845">
        <v>1440385</v>
      </c>
    </row>
    <row r="1846" spans="1:18" x14ac:dyDescent="0.25">
      <c r="A1846" s="170">
        <v>44722</v>
      </c>
      <c r="B1846" s="116">
        <v>2146.4365533447399</v>
      </c>
      <c r="C1846" s="116">
        <v>2133.9786898802099</v>
      </c>
      <c r="D1846" s="116">
        <v>2104.7487612066102</v>
      </c>
      <c r="E1846" s="116">
        <v>2130.9248167351998</v>
      </c>
      <c r="F1846" s="116">
        <v>2201.15</v>
      </c>
      <c r="G1846">
        <v>54799</v>
      </c>
      <c r="H1846" s="116"/>
      <c r="I1846" s="116"/>
      <c r="L1846" s="170">
        <v>44722</v>
      </c>
      <c r="M1846" s="116">
        <v>2135.8725365543501</v>
      </c>
      <c r="N1846" s="116">
        <v>2147.40940877305</v>
      </c>
      <c r="O1846" s="116">
        <v>2104.7520661157</v>
      </c>
      <c r="P1846" s="116">
        <v>2123.17228226319</v>
      </c>
      <c r="Q1846" s="116">
        <v>2203.1</v>
      </c>
      <c r="R1846">
        <v>1305761</v>
      </c>
    </row>
    <row r="1847" spans="1:18" x14ac:dyDescent="0.25">
      <c r="A1847" s="170">
        <v>44725</v>
      </c>
      <c r="B1847" s="116">
        <v>2108.6266953589902</v>
      </c>
      <c r="C1847" s="116">
        <v>2017.9315103701099</v>
      </c>
      <c r="D1847" s="116">
        <v>2007.5095623355701</v>
      </c>
      <c r="E1847" s="116">
        <v>2108.6266953589902</v>
      </c>
      <c r="F1847" s="116">
        <v>2081.4499999999998</v>
      </c>
      <c r="G1847">
        <v>53677</v>
      </c>
      <c r="H1847" s="116"/>
      <c r="I1847" s="116"/>
      <c r="L1847" s="170">
        <v>44725</v>
      </c>
      <c r="M1847" s="116">
        <v>2016.28655435474</v>
      </c>
      <c r="N1847" s="116">
        <v>2106.2062937062901</v>
      </c>
      <c r="O1847" s="116">
        <v>2003.68324856961</v>
      </c>
      <c r="P1847" s="116">
        <v>2106.2062937062901</v>
      </c>
      <c r="Q1847" s="116">
        <v>2079.75</v>
      </c>
      <c r="R1847">
        <v>1764172</v>
      </c>
    </row>
    <row r="1848" spans="1:18" x14ac:dyDescent="0.25">
      <c r="A1848" s="170">
        <v>44726</v>
      </c>
      <c r="B1848" s="116">
        <v>2152.2534545733201</v>
      </c>
      <c r="C1848" s="116">
        <v>2129.4705914280598</v>
      </c>
      <c r="D1848" s="116">
        <v>1990.34970371127</v>
      </c>
      <c r="E1848" s="116">
        <v>2035.9154300017899</v>
      </c>
      <c r="F1848" s="116">
        <v>2196.5</v>
      </c>
      <c r="G1848">
        <v>284954</v>
      </c>
      <c r="H1848" s="116"/>
      <c r="I1848" s="116"/>
      <c r="L1848" s="170">
        <v>44726</v>
      </c>
      <c r="M1848" s="116">
        <v>2129.4254609027298</v>
      </c>
      <c r="N1848" s="116">
        <v>2204.6090273363002</v>
      </c>
      <c r="O1848" s="116">
        <v>1990.4497774952299</v>
      </c>
      <c r="P1848" s="116">
        <v>2204.6090273363002</v>
      </c>
      <c r="Q1848" s="116">
        <v>2196.4499999999998</v>
      </c>
      <c r="R1848">
        <v>6515102</v>
      </c>
    </row>
    <row r="1849" spans="1:18" x14ac:dyDescent="0.25">
      <c r="A1849" s="170">
        <v>44727</v>
      </c>
      <c r="B1849" s="116">
        <v>2154.1924216495099</v>
      </c>
      <c r="C1849" s="116">
        <v>2117.6428922632899</v>
      </c>
      <c r="D1849" s="116">
        <v>2108.9175404204202</v>
      </c>
      <c r="E1849" s="116">
        <v>2154.1924216495099</v>
      </c>
      <c r="F1849" s="116">
        <v>2184.3000000000002</v>
      </c>
      <c r="G1849">
        <v>63216</v>
      </c>
      <c r="H1849" s="116"/>
      <c r="I1849" s="116"/>
      <c r="L1849" s="170">
        <v>44727</v>
      </c>
      <c r="M1849" s="116">
        <v>2117.9370629370601</v>
      </c>
      <c r="N1849" s="116">
        <v>2151.9659885568999</v>
      </c>
      <c r="O1849" s="116">
        <v>2107.8544183089598</v>
      </c>
      <c r="P1849" s="116">
        <v>2150.7056579783898</v>
      </c>
      <c r="Q1849" s="116">
        <v>2184.6</v>
      </c>
      <c r="R1849">
        <v>1313510</v>
      </c>
    </row>
    <row r="1850" spans="1:18" x14ac:dyDescent="0.25">
      <c r="A1850" s="170">
        <v>44728</v>
      </c>
      <c r="B1850" s="116">
        <v>2152.2534545733201</v>
      </c>
      <c r="C1850" s="116">
        <v>2019.2887873234399</v>
      </c>
      <c r="D1850" s="116">
        <v>2013.37493774105</v>
      </c>
      <c r="E1850" s="116">
        <v>2132.8637838114</v>
      </c>
      <c r="F1850" s="116">
        <v>2082.85</v>
      </c>
      <c r="G1850">
        <v>68000</v>
      </c>
      <c r="H1850" s="116"/>
      <c r="I1850" s="116"/>
      <c r="L1850" s="170">
        <v>44728</v>
      </c>
      <c r="M1850" s="116">
        <v>2019.43738080102</v>
      </c>
      <c r="N1850" s="116">
        <v>2149.6392244119502</v>
      </c>
      <c r="O1850" s="116">
        <v>2012.69945963128</v>
      </c>
      <c r="P1850" s="116">
        <v>2137.7145581691002</v>
      </c>
      <c r="Q1850" s="116">
        <v>2083</v>
      </c>
      <c r="R1850">
        <v>2131789</v>
      </c>
    </row>
    <row r="1851" spans="1:18" x14ac:dyDescent="0.25">
      <c r="A1851" s="170">
        <v>44729</v>
      </c>
      <c r="B1851" s="116">
        <v>2069.84735383515</v>
      </c>
      <c r="C1851" s="116">
        <v>2032.08597002631</v>
      </c>
      <c r="D1851" s="116">
        <v>1997.23303683175</v>
      </c>
      <c r="E1851" s="116">
        <v>2004.8919567827099</v>
      </c>
      <c r="F1851" s="116">
        <v>2096.0500000000002</v>
      </c>
      <c r="G1851">
        <v>84694</v>
      </c>
      <c r="H1851" s="116"/>
      <c r="I1851" s="116"/>
      <c r="L1851" s="170">
        <v>44729</v>
      </c>
      <c r="M1851" s="116">
        <v>2031.84678957406</v>
      </c>
      <c r="N1851" s="116">
        <v>2072.1773680864599</v>
      </c>
      <c r="O1851" s="116">
        <v>1997.28464717101</v>
      </c>
      <c r="P1851" s="116">
        <v>1999.0781945327401</v>
      </c>
      <c r="Q1851" s="116">
        <v>2095.8000000000002</v>
      </c>
      <c r="R1851">
        <v>2280135</v>
      </c>
    </row>
    <row r="1852" spans="1:18" x14ac:dyDescent="0.25">
      <c r="A1852" s="170">
        <v>44732</v>
      </c>
      <c r="B1852" s="116">
        <v>2056.5654293632301</v>
      </c>
      <c r="C1852" s="116">
        <v>2019.62810656177</v>
      </c>
      <c r="D1852" s="116">
        <v>1963.20416464458</v>
      </c>
      <c r="E1852" s="116">
        <v>2034.2673079870201</v>
      </c>
      <c r="F1852" s="116">
        <v>2083.1999999999998</v>
      </c>
      <c r="G1852">
        <v>76139</v>
      </c>
      <c r="H1852" s="116"/>
      <c r="I1852" s="116"/>
      <c r="L1852" s="170">
        <v>44732</v>
      </c>
      <c r="M1852" s="116">
        <v>2016.38350286078</v>
      </c>
      <c r="N1852" s="116">
        <v>2058.5076287349002</v>
      </c>
      <c r="O1852" s="116">
        <v>1963.2072472981599</v>
      </c>
      <c r="P1852" s="116">
        <v>2042.9958677686</v>
      </c>
      <c r="Q1852" s="116">
        <v>2079.85</v>
      </c>
      <c r="R1852">
        <v>2603594</v>
      </c>
    </row>
    <row r="1853" spans="1:18" x14ac:dyDescent="0.25">
      <c r="A1853" s="170">
        <v>44733</v>
      </c>
      <c r="B1853" s="116">
        <v>2110.4202399044698</v>
      </c>
      <c r="C1853" s="116">
        <v>2094.9569774718402</v>
      </c>
      <c r="D1853" s="116">
        <v>2028.2080358739199</v>
      </c>
      <c r="E1853" s="116">
        <v>2028.4504067584501</v>
      </c>
      <c r="F1853" s="116">
        <v>2160.9</v>
      </c>
      <c r="G1853">
        <v>49098</v>
      </c>
      <c r="H1853" s="116"/>
      <c r="I1853" s="116"/>
      <c r="L1853" s="170">
        <v>44733</v>
      </c>
      <c r="M1853" s="116">
        <v>2095.8328035600798</v>
      </c>
      <c r="N1853" s="116">
        <v>2110.56897647807</v>
      </c>
      <c r="O1853" s="116">
        <v>2027.82342657343</v>
      </c>
      <c r="P1853" s="116">
        <v>2035.9186268277199</v>
      </c>
      <c r="Q1853" s="116">
        <v>2161.8000000000002</v>
      </c>
      <c r="R1853">
        <v>1331500</v>
      </c>
    </row>
    <row r="1854" spans="1:18" x14ac:dyDescent="0.25">
      <c r="A1854" s="170">
        <v>44734</v>
      </c>
      <c r="B1854" s="116">
        <v>2089.2370245970701</v>
      </c>
      <c r="C1854" s="116">
        <v>2025.44500779035</v>
      </c>
      <c r="D1854" s="116">
        <v>2014.6352663405801</v>
      </c>
      <c r="E1854" s="116">
        <v>2089.2370245970701</v>
      </c>
      <c r="F1854" s="116">
        <v>2089.1999999999998</v>
      </c>
      <c r="G1854">
        <v>91891</v>
      </c>
      <c r="H1854" s="116"/>
      <c r="I1854" s="116"/>
      <c r="L1854" s="170">
        <v>44734</v>
      </c>
      <c r="M1854" s="116">
        <v>2025.44818817546</v>
      </c>
      <c r="N1854" s="116">
        <v>2084.3444055944101</v>
      </c>
      <c r="O1854" s="116">
        <v>2013.7174189446901</v>
      </c>
      <c r="P1854" s="116">
        <v>2084.3444055944101</v>
      </c>
      <c r="Q1854" s="116">
        <v>2089.1999999999998</v>
      </c>
      <c r="R1854">
        <v>1774137</v>
      </c>
    </row>
    <row r="1855" spans="1:18" x14ac:dyDescent="0.25">
      <c r="A1855" s="170">
        <v>44735</v>
      </c>
      <c r="B1855" s="116">
        <v>2062.6247014763399</v>
      </c>
      <c r="C1855" s="116">
        <v>2045.0770494368001</v>
      </c>
      <c r="D1855" s="116">
        <v>2016.52575923987</v>
      </c>
      <c r="E1855" s="116">
        <v>2044.6407818446501</v>
      </c>
      <c r="F1855" s="116">
        <v>2109.4499999999998</v>
      </c>
      <c r="G1855">
        <v>95762</v>
      </c>
      <c r="H1855" s="116"/>
      <c r="I1855" s="116"/>
      <c r="L1855" s="170">
        <v>44735</v>
      </c>
      <c r="M1855" s="116">
        <v>2045.9527972028</v>
      </c>
      <c r="N1855" s="116">
        <v>2063.0642085187501</v>
      </c>
      <c r="O1855" s="116">
        <v>2016.52892561983</v>
      </c>
      <c r="P1855" s="116">
        <v>2040.76605212969</v>
      </c>
      <c r="Q1855" s="116">
        <v>2110.35</v>
      </c>
      <c r="R1855">
        <v>1026783</v>
      </c>
    </row>
    <row r="1856" spans="1:18" x14ac:dyDescent="0.25">
      <c r="A1856" s="170">
        <v>44736</v>
      </c>
      <c r="B1856" s="116">
        <v>2101.8887847692299</v>
      </c>
      <c r="C1856" s="116">
        <v>2095.5386675947002</v>
      </c>
      <c r="D1856" s="116">
        <v>2044.73773019846</v>
      </c>
      <c r="E1856" s="116">
        <v>2046.7736456284599</v>
      </c>
      <c r="F1856" s="116">
        <v>2161.5</v>
      </c>
      <c r="G1856">
        <v>38936</v>
      </c>
      <c r="H1856" s="116"/>
      <c r="I1856" s="116"/>
      <c r="L1856" s="170">
        <v>44736</v>
      </c>
      <c r="M1856" s="116">
        <v>2095.49348378894</v>
      </c>
      <c r="N1856" s="116">
        <v>2101.8436109345198</v>
      </c>
      <c r="O1856" s="116">
        <v>2044.2561983471101</v>
      </c>
      <c r="P1856" s="116">
        <v>2056.27781309599</v>
      </c>
      <c r="Q1856" s="116">
        <v>2161.4499999999998</v>
      </c>
      <c r="R1856">
        <v>1156536</v>
      </c>
    </row>
    <row r="1857" spans="1:18" x14ac:dyDescent="0.25">
      <c r="A1857" s="170">
        <v>44739</v>
      </c>
      <c r="B1857" s="116">
        <v>2142.9948867845001</v>
      </c>
      <c r="C1857" s="116">
        <v>2114.8313900028102</v>
      </c>
      <c r="D1857" s="116">
        <v>2102.6643715997002</v>
      </c>
      <c r="E1857" s="116">
        <v>2123.1689484304402</v>
      </c>
      <c r="F1857" s="116">
        <v>2181.4</v>
      </c>
      <c r="G1857">
        <v>51616</v>
      </c>
      <c r="H1857" s="116"/>
      <c r="I1857" s="116"/>
      <c r="L1857" s="170">
        <v>44739</v>
      </c>
      <c r="M1857" s="116">
        <v>2115.0286077558799</v>
      </c>
      <c r="N1857" s="116">
        <v>2143.5314685314702</v>
      </c>
      <c r="O1857" s="116">
        <v>2103.1524157660501</v>
      </c>
      <c r="P1857" s="116">
        <v>2122.2027972028</v>
      </c>
      <c r="Q1857" s="116">
        <v>2181.6</v>
      </c>
      <c r="R1857">
        <v>1202504</v>
      </c>
    </row>
    <row r="1858" spans="1:18" x14ac:dyDescent="0.25">
      <c r="A1858" s="170">
        <v>44740</v>
      </c>
      <c r="B1858" s="116">
        <v>2143.2857318459301</v>
      </c>
      <c r="C1858" s="116">
        <v>2137.7112015018802</v>
      </c>
      <c r="D1858" s="116">
        <v>2094.2783389951701</v>
      </c>
      <c r="E1858" s="116">
        <v>2096.1203577175602</v>
      </c>
      <c r="F1858" s="116">
        <v>2205</v>
      </c>
      <c r="G1858">
        <v>31379</v>
      </c>
      <c r="H1858" s="116"/>
      <c r="I1858" s="116"/>
      <c r="L1858" s="170">
        <v>44740</v>
      </c>
      <c r="M1858" s="116">
        <v>2137.3267641449502</v>
      </c>
      <c r="N1858" s="116">
        <v>2142.8043547361699</v>
      </c>
      <c r="O1858" s="116">
        <v>2094.0877304513701</v>
      </c>
      <c r="P1858" s="116">
        <v>2103.7825810553099</v>
      </c>
      <c r="Q1858" s="116">
        <v>2204.6</v>
      </c>
      <c r="R1858">
        <v>1282047</v>
      </c>
    </row>
    <row r="1859" spans="1:18" x14ac:dyDescent="0.25">
      <c r="A1859" s="170">
        <v>44741</v>
      </c>
      <c r="B1859" s="116">
        <v>2179.3505194631002</v>
      </c>
      <c r="C1859" s="116">
        <v>2153.0290414038</v>
      </c>
      <c r="D1859" s="116">
        <v>2110.6141366120901</v>
      </c>
      <c r="E1859" s="116">
        <v>2118.3215307399601</v>
      </c>
      <c r="F1859" s="116">
        <v>2220.8000000000002</v>
      </c>
      <c r="G1859">
        <v>59692</v>
      </c>
      <c r="H1859" s="116"/>
      <c r="I1859" s="116"/>
      <c r="L1859" s="170">
        <v>44741</v>
      </c>
      <c r="M1859" s="116">
        <v>2152.3537825810499</v>
      </c>
      <c r="N1859" s="116">
        <v>2179.2085187539701</v>
      </c>
      <c r="O1859" s="116">
        <v>2110.76287349015</v>
      </c>
      <c r="P1859" s="116">
        <v>2118.3248569612201</v>
      </c>
      <c r="Q1859" s="116">
        <v>2220.1</v>
      </c>
      <c r="R1859">
        <v>1692493</v>
      </c>
    </row>
    <row r="1860" spans="1:18" x14ac:dyDescent="0.25">
      <c r="A1860" s="170">
        <v>44742</v>
      </c>
      <c r="B1860" s="116">
        <v>2179.9322095859602</v>
      </c>
      <c r="C1860" s="116">
        <v>2123.02352589972</v>
      </c>
      <c r="D1860" s="116">
        <v>2114.39512241067</v>
      </c>
      <c r="E1860" s="116">
        <v>2152.2534545733201</v>
      </c>
      <c r="F1860" s="116">
        <v>2189.85</v>
      </c>
      <c r="G1860">
        <v>49911</v>
      </c>
      <c r="H1860" s="116"/>
      <c r="I1860" s="116"/>
      <c r="L1860" s="170">
        <v>44742</v>
      </c>
      <c r="M1860" s="116">
        <v>2124.0448188175501</v>
      </c>
      <c r="N1860" s="116">
        <v>2179.8871582962502</v>
      </c>
      <c r="O1860" s="116">
        <v>2113.9621741894498</v>
      </c>
      <c r="P1860" s="116">
        <v>2152.2568340750199</v>
      </c>
      <c r="Q1860" s="116">
        <v>2190.9</v>
      </c>
      <c r="R1860">
        <v>1568415</v>
      </c>
    </row>
    <row r="1861" spans="1:18" x14ac:dyDescent="0.25">
      <c r="A1861" s="170">
        <v>44743</v>
      </c>
      <c r="B1861" s="116">
        <v>2171.6431253352398</v>
      </c>
      <c r="C1861" s="116">
        <v>2163.4994636152301</v>
      </c>
      <c r="D1861" s="116">
        <v>2075.17951329468</v>
      </c>
      <c r="E1861" s="116">
        <v>2123.1689484304402</v>
      </c>
      <c r="F1861" s="116">
        <v>2231.6</v>
      </c>
      <c r="G1861">
        <v>47602</v>
      </c>
      <c r="H1861" s="116"/>
      <c r="I1861" s="116"/>
      <c r="L1861" s="170">
        <v>44743</v>
      </c>
      <c r="M1861" s="116">
        <v>2164.0845518118199</v>
      </c>
      <c r="N1861" s="116">
        <v>2173.5855054036901</v>
      </c>
      <c r="O1861" s="116">
        <v>2073.0014303877902</v>
      </c>
      <c r="P1861" s="116">
        <v>2123.07533375715</v>
      </c>
      <c r="Q1861" s="116">
        <v>2232.1999999999998</v>
      </c>
      <c r="R1861">
        <v>2141743</v>
      </c>
    </row>
    <row r="1862" spans="1:18" x14ac:dyDescent="0.25">
      <c r="A1862" s="170">
        <v>44746</v>
      </c>
      <c r="B1862" s="116">
        <v>2206.5445327067</v>
      </c>
      <c r="C1862" s="116">
        <v>2191.6144862200199</v>
      </c>
      <c r="D1862" s="116">
        <v>2162.9662476692802</v>
      </c>
      <c r="E1862" s="116">
        <v>2165.82622410666</v>
      </c>
      <c r="F1862" s="116">
        <v>2260.6</v>
      </c>
      <c r="G1862">
        <v>41601</v>
      </c>
      <c r="H1862" s="116"/>
      <c r="I1862" s="116"/>
      <c r="L1862" s="170">
        <v>44746</v>
      </c>
      <c r="M1862" s="116">
        <v>2192.82978385251</v>
      </c>
      <c r="N1862" s="116">
        <v>2207.5174825174799</v>
      </c>
      <c r="O1862" s="116">
        <v>2160.3520343293098</v>
      </c>
      <c r="P1862" s="116">
        <v>2164.0845518118199</v>
      </c>
      <c r="Q1862" s="116">
        <v>2261.85</v>
      </c>
      <c r="R1862">
        <v>1581159</v>
      </c>
    </row>
    <row r="1863" spans="1:18" x14ac:dyDescent="0.25">
      <c r="A1863" s="170">
        <v>44747</v>
      </c>
      <c r="B1863" s="116">
        <v>2220.4081473014699</v>
      </c>
      <c r="C1863" s="116">
        <v>2176.8783364409601</v>
      </c>
      <c r="D1863" s="116">
        <v>2169.3163648438099</v>
      </c>
      <c r="E1863" s="116">
        <v>2191.9053312814499</v>
      </c>
      <c r="F1863" s="116">
        <v>2245.4</v>
      </c>
      <c r="G1863">
        <v>45310</v>
      </c>
      <c r="H1863" s="116"/>
      <c r="I1863" s="116"/>
      <c r="L1863" s="170">
        <v>44747</v>
      </c>
      <c r="M1863" s="116">
        <v>2177.8997139224398</v>
      </c>
      <c r="N1863" s="116">
        <v>2220.79942784488</v>
      </c>
      <c r="O1863" s="116">
        <v>2169.7075651621099</v>
      </c>
      <c r="P1863" s="116">
        <v>2194.9141767323599</v>
      </c>
      <c r="Q1863" s="116">
        <v>2246.4499999999998</v>
      </c>
      <c r="R1863">
        <v>1356776</v>
      </c>
    </row>
    <row r="1864" spans="1:18" x14ac:dyDescent="0.25">
      <c r="A1864" s="170">
        <v>44748</v>
      </c>
      <c r="B1864" s="116">
        <v>2207.12622282956</v>
      </c>
      <c r="C1864" s="116">
        <v>2202.1333826083601</v>
      </c>
      <c r="D1864" s="116">
        <v>2172.37023798881</v>
      </c>
      <c r="E1864" s="116">
        <v>2180.36847717811</v>
      </c>
      <c r="F1864" s="116">
        <v>2271.4499999999998</v>
      </c>
      <c r="G1864">
        <v>19741</v>
      </c>
      <c r="H1864" s="116"/>
      <c r="I1864" s="116"/>
      <c r="L1864" s="170">
        <v>44748</v>
      </c>
      <c r="M1864" s="116">
        <v>2203.4941195168499</v>
      </c>
      <c r="N1864" s="116">
        <v>2207.5174825174799</v>
      </c>
      <c r="O1864" s="116">
        <v>2168.2533375715202</v>
      </c>
      <c r="P1864" s="116">
        <v>2176.4939605848699</v>
      </c>
      <c r="Q1864" s="116">
        <v>2272.85</v>
      </c>
      <c r="R1864">
        <v>1045463</v>
      </c>
    </row>
    <row r="1865" spans="1:18" x14ac:dyDescent="0.25">
      <c r="A1865" s="170">
        <v>44749</v>
      </c>
      <c r="B1865" s="116">
        <v>2224.7708232229102</v>
      </c>
      <c r="C1865" s="116">
        <v>2205.8174200531298</v>
      </c>
      <c r="D1865" s="116">
        <v>2187.25181029859</v>
      </c>
      <c r="E1865" s="116">
        <v>2210.42246685908</v>
      </c>
      <c r="F1865" s="116">
        <v>2275.25</v>
      </c>
      <c r="G1865">
        <v>32102</v>
      </c>
      <c r="H1865" s="116"/>
      <c r="I1865" s="116"/>
      <c r="L1865" s="170">
        <v>44749</v>
      </c>
      <c r="M1865" s="116">
        <v>2204.8998728544202</v>
      </c>
      <c r="N1865" s="116">
        <v>2224.9197393515601</v>
      </c>
      <c r="O1865" s="116">
        <v>2187.1582962492098</v>
      </c>
      <c r="P1865" s="116">
        <v>2210.4259376986602</v>
      </c>
      <c r="Q1865" s="116">
        <v>2274.3000000000002</v>
      </c>
      <c r="R1865">
        <v>946131</v>
      </c>
    </row>
    <row r="1866" spans="1:18" x14ac:dyDescent="0.25">
      <c r="A1866" s="170">
        <v>44750</v>
      </c>
      <c r="B1866" s="116">
        <v>2230.7816211590998</v>
      </c>
      <c r="C1866" s="116">
        <v>2223.0742270312398</v>
      </c>
      <c r="D1866" s="116">
        <v>2194.4259884805001</v>
      </c>
      <c r="E1866" s="116">
        <v>2210.37399268218</v>
      </c>
      <c r="F1866" s="116">
        <v>2293.0500000000002</v>
      </c>
      <c r="G1866">
        <v>37573</v>
      </c>
      <c r="H1866" s="116"/>
      <c r="I1866" s="116"/>
      <c r="L1866" s="170">
        <v>44750</v>
      </c>
      <c r="M1866" s="116">
        <v>2223.07771773681</v>
      </c>
      <c r="N1866" s="116">
        <v>2233.3057851239701</v>
      </c>
      <c r="O1866" s="116">
        <v>2194.8172282263199</v>
      </c>
      <c r="P1866" s="116">
        <v>2216.2428480610301</v>
      </c>
      <c r="Q1866" s="116">
        <v>2293.0500000000002</v>
      </c>
      <c r="R1866">
        <v>898576</v>
      </c>
    </row>
    <row r="1867" spans="1:18" x14ac:dyDescent="0.25">
      <c r="A1867" s="170">
        <v>44753</v>
      </c>
      <c r="B1867" s="116">
        <v>2312.1697641822698</v>
      </c>
      <c r="C1867" s="116">
        <v>2299.1786847717799</v>
      </c>
      <c r="D1867" s="116">
        <v>2224.4315039845701</v>
      </c>
      <c r="E1867" s="116">
        <v>2234.5626069576801</v>
      </c>
      <c r="F1867" s="116">
        <v>2371.5500000000002</v>
      </c>
      <c r="G1867">
        <v>97571</v>
      </c>
      <c r="H1867" s="116"/>
      <c r="I1867" s="116"/>
      <c r="L1867" s="170">
        <v>44753</v>
      </c>
      <c r="M1867" s="116">
        <v>2300.8304195804199</v>
      </c>
      <c r="N1867" s="116">
        <v>2311.83407501589</v>
      </c>
      <c r="O1867" s="116">
        <v>2221.1387476160198</v>
      </c>
      <c r="P1867" s="116">
        <v>2223.07771773681</v>
      </c>
      <c r="Q1867" s="116">
        <v>2373.25</v>
      </c>
      <c r="R1867">
        <v>1967308</v>
      </c>
    </row>
    <row r="1868" spans="1:18" x14ac:dyDescent="0.25">
      <c r="A1868" s="170">
        <v>44754</v>
      </c>
      <c r="B1868" s="116">
        <v>2316.0961725115599</v>
      </c>
      <c r="C1868" s="116">
        <v>2293.6526286046301</v>
      </c>
      <c r="D1868" s="116">
        <v>2260.7386624862702</v>
      </c>
      <c r="E1868" s="116">
        <v>2260.7386624862702</v>
      </c>
      <c r="F1868" s="116">
        <v>2365.85</v>
      </c>
      <c r="G1868">
        <v>46862</v>
      </c>
      <c r="H1868" s="116"/>
      <c r="I1868" s="116"/>
      <c r="L1868" s="170">
        <v>44754</v>
      </c>
      <c r="M1868" s="116">
        <v>2293.4623331214202</v>
      </c>
      <c r="N1868" s="116">
        <v>2316.8753973299399</v>
      </c>
      <c r="O1868" s="116">
        <v>2278.43531468531</v>
      </c>
      <c r="P1868" s="116">
        <v>2292.2504767959299</v>
      </c>
      <c r="Q1868" s="116">
        <v>2365.65</v>
      </c>
      <c r="R1868">
        <v>1273008</v>
      </c>
    </row>
    <row r="1869" spans="1:18" x14ac:dyDescent="0.25">
      <c r="A1869" s="170">
        <v>44755</v>
      </c>
      <c r="B1869" s="116">
        <v>2311.8789191208398</v>
      </c>
      <c r="C1869" s="116">
        <v>2280.6615491941502</v>
      </c>
      <c r="D1869" s="116">
        <v>2262.7745779162701</v>
      </c>
      <c r="E1869" s="116">
        <v>2303.2989898086898</v>
      </c>
      <c r="F1869" s="116">
        <v>2352.4499999999998</v>
      </c>
      <c r="G1869">
        <v>39650</v>
      </c>
      <c r="H1869" s="116"/>
      <c r="I1869" s="116"/>
      <c r="L1869" s="170">
        <v>44755</v>
      </c>
      <c r="M1869" s="116">
        <v>2281.68308963764</v>
      </c>
      <c r="N1869" s="116">
        <v>2311.8825492689102</v>
      </c>
      <c r="O1869" s="116">
        <v>2262.48728544183</v>
      </c>
      <c r="P1869" s="116">
        <v>2301.0727908455201</v>
      </c>
      <c r="Q1869" s="116">
        <v>2353.5</v>
      </c>
      <c r="R1869">
        <v>982185</v>
      </c>
    </row>
    <row r="1870" spans="1:18" x14ac:dyDescent="0.25">
      <c r="A1870" s="170">
        <v>44756</v>
      </c>
      <c r="B1870" s="116">
        <v>2330.5899514060902</v>
      </c>
      <c r="C1870" s="116">
        <v>2313.1392477203599</v>
      </c>
      <c r="D1870" s="116">
        <v>2266.6525120686601</v>
      </c>
      <c r="E1870" s="116">
        <v>2296.7065017496402</v>
      </c>
      <c r="F1870" s="116">
        <v>2385.9499999999998</v>
      </c>
      <c r="G1870">
        <v>22051</v>
      </c>
      <c r="H1870" s="116"/>
      <c r="I1870" s="116"/>
      <c r="L1870" s="170">
        <v>44756</v>
      </c>
      <c r="M1870" s="116">
        <v>2310.3798474252999</v>
      </c>
      <c r="N1870" s="116">
        <v>2330.64208518754</v>
      </c>
      <c r="O1870" s="116">
        <v>2265.2018436109302</v>
      </c>
      <c r="P1870" s="116">
        <v>2292.8321678321699</v>
      </c>
      <c r="Q1870" s="116">
        <v>2383.1</v>
      </c>
      <c r="R1870">
        <v>933554</v>
      </c>
    </row>
    <row r="1871" spans="1:18" x14ac:dyDescent="0.25">
      <c r="A1871" s="170">
        <v>44757</v>
      </c>
      <c r="B1871" s="116">
        <v>2348.8162419222999</v>
      </c>
      <c r="C1871" s="116">
        <v>2331.31706405967</v>
      </c>
      <c r="D1871" s="116">
        <v>2304.5593184082099</v>
      </c>
      <c r="E1871" s="116">
        <v>2340.2847867870601</v>
      </c>
      <c r="F1871" s="116">
        <v>2404.6999999999998</v>
      </c>
      <c r="G1871">
        <v>68448</v>
      </c>
      <c r="H1871" s="116"/>
      <c r="I1871" s="116"/>
      <c r="L1871" s="170">
        <v>44757</v>
      </c>
      <c r="M1871" s="116">
        <v>2331.8539415130299</v>
      </c>
      <c r="N1871" s="116">
        <v>2349.0138270820098</v>
      </c>
      <c r="O1871" s="116">
        <v>2304.4659885568999</v>
      </c>
      <c r="P1871" s="116">
        <v>2340.8216783216799</v>
      </c>
      <c r="Q1871" s="116">
        <v>2405.25</v>
      </c>
      <c r="R1871">
        <v>1169788</v>
      </c>
    </row>
    <row r="1872" spans="1:18" x14ac:dyDescent="0.25">
      <c r="A1872" s="170">
        <v>44760</v>
      </c>
      <c r="B1872" s="116">
        <v>2366.0245747235099</v>
      </c>
      <c r="C1872" s="116">
        <v>2350.02809634492</v>
      </c>
      <c r="D1872" s="116">
        <v>2333.5468761972902</v>
      </c>
      <c r="E1872" s="116">
        <v>2351.9670634211102</v>
      </c>
      <c r="F1872" s="116">
        <v>2424</v>
      </c>
      <c r="G1872">
        <v>356111</v>
      </c>
      <c r="H1872" s="116"/>
      <c r="I1872" s="116"/>
      <c r="L1872" s="170">
        <v>44760</v>
      </c>
      <c r="M1872" s="116">
        <v>2349.6439923712601</v>
      </c>
      <c r="N1872" s="116">
        <v>2367.3370947234598</v>
      </c>
      <c r="O1872" s="116">
        <v>2332.62952956135</v>
      </c>
      <c r="P1872" s="116">
        <v>2350.0317863954201</v>
      </c>
      <c r="Q1872" s="116">
        <v>2423.6</v>
      </c>
      <c r="R1872">
        <v>937204</v>
      </c>
    </row>
    <row r="1873" spans="1:18" x14ac:dyDescent="0.25">
      <c r="A1873" s="170">
        <v>44761</v>
      </c>
      <c r="B1873" s="116">
        <v>2383.96002017828</v>
      </c>
      <c r="C1873" s="116">
        <v>2375.7678842813698</v>
      </c>
      <c r="D1873" s="116">
        <v>2331.6079091211</v>
      </c>
      <c r="E1873" s="116">
        <v>2339.8485191949098</v>
      </c>
      <c r="F1873" s="116">
        <v>2450.5500000000002</v>
      </c>
      <c r="G1873">
        <v>51062</v>
      </c>
      <c r="H1873" s="116"/>
      <c r="I1873" s="116"/>
      <c r="L1873" s="170">
        <v>44761</v>
      </c>
      <c r="M1873" s="116">
        <v>2376.4987285441798</v>
      </c>
      <c r="N1873" s="116">
        <v>2384.2546090273399</v>
      </c>
      <c r="O1873" s="116">
        <v>2331.6115702479301</v>
      </c>
      <c r="P1873" s="116">
        <v>2333.5020661157</v>
      </c>
      <c r="Q1873" s="116">
        <v>2451.3000000000002</v>
      </c>
      <c r="R1873">
        <v>843301</v>
      </c>
    </row>
    <row r="1874" spans="1:18" x14ac:dyDescent="0.25">
      <c r="A1874" s="170">
        <v>44762</v>
      </c>
      <c r="B1874" s="116">
        <v>2398.50227324973</v>
      </c>
      <c r="C1874" s="116">
        <v>2376.3011002273201</v>
      </c>
      <c r="D1874" s="116">
        <v>2368.9330253377898</v>
      </c>
      <c r="E1874" s="116">
        <v>2398.50227324973</v>
      </c>
      <c r="F1874" s="116">
        <v>2451.1</v>
      </c>
      <c r="G1874">
        <v>26095</v>
      </c>
      <c r="H1874" s="116"/>
      <c r="I1874" s="116"/>
      <c r="L1874" s="170">
        <v>44762</v>
      </c>
      <c r="M1874" s="116">
        <v>2376.3048315320998</v>
      </c>
      <c r="N1874" s="116">
        <v>2397.34265734266</v>
      </c>
      <c r="O1874" s="116">
        <v>2369.4214876033102</v>
      </c>
      <c r="P1874" s="116">
        <v>2386.8722186904001</v>
      </c>
      <c r="Q1874" s="116">
        <v>2451.1</v>
      </c>
      <c r="R1874">
        <v>693601</v>
      </c>
    </row>
    <row r="1875" spans="1:18" x14ac:dyDescent="0.25">
      <c r="A1875" s="170">
        <v>44763</v>
      </c>
      <c r="B1875" s="116">
        <v>2422.7393617021298</v>
      </c>
      <c r="C1875" s="116">
        <v>2419.7824369109298</v>
      </c>
      <c r="D1875" s="116">
        <v>2377.99769641899</v>
      </c>
      <c r="E1875" s="116">
        <v>2380.95462121019</v>
      </c>
      <c r="F1875" s="116">
        <v>2495.9499999999998</v>
      </c>
      <c r="G1875">
        <v>39849</v>
      </c>
      <c r="H1875" s="116"/>
      <c r="I1875" s="116"/>
      <c r="L1875" s="170">
        <v>44763</v>
      </c>
      <c r="M1875" s="116">
        <v>2419.3499682135998</v>
      </c>
      <c r="N1875" s="116">
        <v>2422.6946916719598</v>
      </c>
      <c r="O1875" s="116">
        <v>2376.45025429116</v>
      </c>
      <c r="P1875" s="116">
        <v>2378.92244119517</v>
      </c>
      <c r="Q1875" s="116">
        <v>2495.5</v>
      </c>
      <c r="R1875">
        <v>1314165</v>
      </c>
    </row>
    <row r="1876" spans="1:18" x14ac:dyDescent="0.25">
      <c r="A1876" s="170">
        <v>44764</v>
      </c>
      <c r="B1876" s="116">
        <v>2438.2510983116599</v>
      </c>
      <c r="C1876" s="116">
        <v>2422.7393617021298</v>
      </c>
      <c r="D1876" s="116">
        <v>2407.42152180021</v>
      </c>
      <c r="E1876" s="116">
        <v>2433.3552064442802</v>
      </c>
      <c r="F1876" s="116">
        <v>2499</v>
      </c>
      <c r="G1876">
        <v>40226</v>
      </c>
      <c r="H1876" s="116"/>
      <c r="I1876" s="116"/>
      <c r="L1876" s="170">
        <v>44764</v>
      </c>
      <c r="M1876" s="116">
        <v>2423.1309599491401</v>
      </c>
      <c r="N1876" s="116">
        <v>2437.33391608392</v>
      </c>
      <c r="O1876" s="116">
        <v>2407.3283534647198</v>
      </c>
      <c r="P1876" s="116">
        <v>2429.0448188175501</v>
      </c>
      <c r="Q1876" s="116">
        <v>2499.4</v>
      </c>
      <c r="R1876">
        <v>833522</v>
      </c>
    </row>
    <row r="1877" spans="1:18" x14ac:dyDescent="0.25">
      <c r="A1877" s="170">
        <v>44767</v>
      </c>
      <c r="B1877" s="116">
        <v>2483.18666030242</v>
      </c>
      <c r="C1877" s="116">
        <v>2472.0375996143098</v>
      </c>
      <c r="D1877" s="116">
        <v>2423.7088452402199</v>
      </c>
      <c r="E1877" s="116">
        <v>2423.7088452402199</v>
      </c>
      <c r="F1877" s="116">
        <v>2549.85</v>
      </c>
      <c r="G1877">
        <v>41028</v>
      </c>
      <c r="H1877" s="116"/>
      <c r="I1877" s="116"/>
      <c r="L1877" s="170">
        <v>44767</v>
      </c>
      <c r="M1877" s="116">
        <v>2472.7685950413202</v>
      </c>
      <c r="N1877" s="116">
        <v>2483.9661474888699</v>
      </c>
      <c r="O1877" s="116">
        <v>2423.7126509853802</v>
      </c>
      <c r="P1877" s="116">
        <v>2428.5600762873501</v>
      </c>
      <c r="Q1877" s="116">
        <v>2550.6</v>
      </c>
      <c r="R1877">
        <v>1220351</v>
      </c>
    </row>
    <row r="1878" spans="1:18" x14ac:dyDescent="0.25">
      <c r="A1878" s="170">
        <v>44768</v>
      </c>
      <c r="B1878" s="116">
        <v>2489.43982912314</v>
      </c>
      <c r="C1878" s="116">
        <v>2482.4110734719402</v>
      </c>
      <c r="D1878" s="116">
        <v>2456.6712855354899</v>
      </c>
      <c r="E1878" s="116">
        <v>2480.9083739878902</v>
      </c>
      <c r="F1878" s="116">
        <v>2560.5500000000002</v>
      </c>
      <c r="G1878">
        <v>32760</v>
      </c>
      <c r="H1878" s="116"/>
      <c r="I1878" s="116"/>
      <c r="L1878" s="170">
        <v>44768</v>
      </c>
      <c r="M1878" s="116">
        <v>2481.5909090909099</v>
      </c>
      <c r="N1878" s="116">
        <v>2490.2193261284201</v>
      </c>
      <c r="O1878" s="116">
        <v>2455.7056579783798</v>
      </c>
      <c r="P1878" s="116">
        <v>2477.03432930706</v>
      </c>
      <c r="Q1878" s="116">
        <v>2559.6999999999998</v>
      </c>
      <c r="R1878">
        <v>865142</v>
      </c>
    </row>
    <row r="1879" spans="1:18" x14ac:dyDescent="0.25">
      <c r="A1879" s="170">
        <v>44769</v>
      </c>
      <c r="B1879" s="116">
        <v>2493.5116599831399</v>
      </c>
      <c r="C1879" s="116">
        <v>2469.9532100074098</v>
      </c>
      <c r="D1879" s="116">
        <v>2449.8364265919099</v>
      </c>
      <c r="E1879" s="116">
        <v>2482.4110734719402</v>
      </c>
      <c r="F1879" s="116">
        <v>2547.6999999999998</v>
      </c>
      <c r="G1879">
        <v>38124</v>
      </c>
      <c r="H1879" s="116"/>
      <c r="I1879" s="116"/>
      <c r="L1879" s="170">
        <v>44769</v>
      </c>
      <c r="M1879" s="116">
        <v>2470.92657342657</v>
      </c>
      <c r="N1879" s="116">
        <v>2494.0003178639499</v>
      </c>
      <c r="O1879" s="116">
        <v>2450.8582326764099</v>
      </c>
      <c r="P1879" s="116">
        <v>2481.8817546090299</v>
      </c>
      <c r="Q1879" s="116">
        <v>2548.6999999999998</v>
      </c>
      <c r="R1879">
        <v>953588</v>
      </c>
    </row>
    <row r="1880" spans="1:18" x14ac:dyDescent="0.25">
      <c r="A1880" s="170">
        <v>44770</v>
      </c>
      <c r="B1880" s="116">
        <v>2486.14358509361</v>
      </c>
      <c r="C1880" s="116">
        <v>2472.9586089755098</v>
      </c>
      <c r="D1880" s="116">
        <v>2454.7323184593001</v>
      </c>
      <c r="E1880" s="116">
        <v>2480.9083739878902</v>
      </c>
      <c r="F1880" s="116">
        <v>2550.8000000000002</v>
      </c>
      <c r="G1880">
        <v>20464</v>
      </c>
      <c r="H1880" s="116"/>
      <c r="I1880" s="116"/>
      <c r="L1880" s="170">
        <v>44770</v>
      </c>
      <c r="M1880" s="116">
        <v>2472.5746980292402</v>
      </c>
      <c r="N1880" s="116">
        <v>2487.3593452002501</v>
      </c>
      <c r="O1880" s="116">
        <v>2454.3483788938302</v>
      </c>
      <c r="P1880" s="116">
        <v>2481.7848061029899</v>
      </c>
      <c r="Q1880" s="116">
        <v>2550.4</v>
      </c>
      <c r="R1880">
        <v>759442</v>
      </c>
    </row>
    <row r="1881" spans="1:18" x14ac:dyDescent="0.25">
      <c r="A1881" s="170">
        <v>44771</v>
      </c>
      <c r="B1881" s="116">
        <v>2541.98583688795</v>
      </c>
      <c r="C1881" s="116">
        <v>2490.9910027840901</v>
      </c>
      <c r="D1881" s="116">
        <v>2482.3141251181301</v>
      </c>
      <c r="E1881" s="116">
        <v>2486.72527521647</v>
      </c>
      <c r="F1881" s="116">
        <v>2569.4</v>
      </c>
      <c r="G1881">
        <v>45275</v>
      </c>
      <c r="H1881" s="116"/>
      <c r="I1881" s="116"/>
      <c r="L1881" s="170">
        <v>44771</v>
      </c>
      <c r="M1881" s="116">
        <v>2490.8010171646501</v>
      </c>
      <c r="N1881" s="116">
        <v>2541.9898283534599</v>
      </c>
      <c r="O1881" s="116">
        <v>2481.8817546090299</v>
      </c>
      <c r="P1881" s="116">
        <v>2486.7291799109998</v>
      </c>
      <c r="Q1881" s="116">
        <v>2569.1999999999998</v>
      </c>
      <c r="R1881">
        <v>1107195</v>
      </c>
    </row>
    <row r="1882" spans="1:18" x14ac:dyDescent="0.25">
      <c r="A1882" s="170">
        <v>44774</v>
      </c>
      <c r="B1882" s="116">
        <v>2587.1152955863199</v>
      </c>
      <c r="C1882" s="116">
        <v>2577.7597794436901</v>
      </c>
      <c r="D1882" s="116">
        <v>2490.89405443028</v>
      </c>
      <c r="E1882" s="116">
        <v>2501.26752828791</v>
      </c>
      <c r="F1882" s="116">
        <v>2658.9</v>
      </c>
      <c r="G1882">
        <v>369198</v>
      </c>
      <c r="H1882" s="116"/>
      <c r="I1882" s="116"/>
      <c r="L1882" s="170">
        <v>44774</v>
      </c>
      <c r="M1882" s="116">
        <v>2578.9756834075001</v>
      </c>
      <c r="N1882" s="116">
        <v>2587.9434202161501</v>
      </c>
      <c r="O1882" s="116">
        <v>2490.8010171646501</v>
      </c>
      <c r="P1882" s="116">
        <v>2497.2480928162699</v>
      </c>
      <c r="Q1882" s="116">
        <v>2660.15</v>
      </c>
      <c r="R1882">
        <v>1267039</v>
      </c>
    </row>
    <row r="1883" spans="1:18" x14ac:dyDescent="0.25">
      <c r="A1883" s="170">
        <v>44775</v>
      </c>
      <c r="B1883" s="116">
        <v>2613.7276187070602</v>
      </c>
      <c r="C1883" s="116">
        <v>2601.0273843579998</v>
      </c>
      <c r="D1883" s="116">
        <v>2560.45449828868</v>
      </c>
      <c r="E1883" s="116">
        <v>2579.7956948736901</v>
      </c>
      <c r="F1883" s="116">
        <v>2682.9</v>
      </c>
      <c r="G1883">
        <v>35782</v>
      </c>
      <c r="H1883" s="116"/>
      <c r="I1883" s="116"/>
      <c r="L1883" s="170">
        <v>44775</v>
      </c>
      <c r="M1883" s="116">
        <v>2601.75858232676</v>
      </c>
      <c r="N1883" s="116">
        <v>2614.7012078830298</v>
      </c>
      <c r="O1883" s="116">
        <v>2559.4405594405598</v>
      </c>
      <c r="P1883" s="116">
        <v>2578.8302606484399</v>
      </c>
      <c r="Q1883" s="116">
        <v>2683.65</v>
      </c>
      <c r="R1883">
        <v>1096480</v>
      </c>
    </row>
    <row r="1884" spans="1:18" x14ac:dyDescent="0.25">
      <c r="A1884" s="170">
        <v>44776</v>
      </c>
      <c r="B1884" s="116">
        <v>2635.00778236827</v>
      </c>
      <c r="C1884" s="116">
        <v>2628.8030877244501</v>
      </c>
      <c r="D1884" s="116">
        <v>2590.46001379275</v>
      </c>
      <c r="E1884" s="116">
        <v>2606.9412339403798</v>
      </c>
      <c r="F1884" s="116">
        <v>2711.55</v>
      </c>
      <c r="G1884">
        <v>23565</v>
      </c>
      <c r="H1884" s="116"/>
      <c r="I1884" s="116"/>
      <c r="L1884" s="170">
        <v>44776</v>
      </c>
      <c r="M1884" s="116">
        <v>2628.6617927527</v>
      </c>
      <c r="N1884" s="116">
        <v>2634.0909090909099</v>
      </c>
      <c r="O1884" s="116">
        <v>2589.6884933248598</v>
      </c>
      <c r="P1884" s="116">
        <v>2603.0673871582999</v>
      </c>
      <c r="Q1884" s="116">
        <v>2711.4</v>
      </c>
      <c r="R1884">
        <v>815831</v>
      </c>
    </row>
    <row r="1885" spans="1:18" x14ac:dyDescent="0.25">
      <c r="A1885" s="170">
        <v>44777</v>
      </c>
      <c r="B1885" s="116">
        <v>2660.0689318280502</v>
      </c>
      <c r="C1885" s="116">
        <v>2640.0975709432701</v>
      </c>
      <c r="D1885" s="116">
        <v>2601.5606003039502</v>
      </c>
      <c r="E1885" s="116">
        <v>2635.0562565451701</v>
      </c>
      <c r="F1885" s="116">
        <v>2723.2</v>
      </c>
      <c r="G1885">
        <v>68468</v>
      </c>
      <c r="H1885" s="116"/>
      <c r="I1885" s="116"/>
      <c r="L1885" s="170">
        <v>44777</v>
      </c>
      <c r="M1885" s="116">
        <v>2640.4895104895099</v>
      </c>
      <c r="N1885" s="116">
        <v>2660.17005721551</v>
      </c>
      <c r="O1885" s="116">
        <v>2602.3402733630001</v>
      </c>
      <c r="P1885" s="116">
        <v>2641.84678957406</v>
      </c>
      <c r="Q1885" s="116">
        <v>2723.6</v>
      </c>
      <c r="R1885">
        <v>1223799</v>
      </c>
    </row>
    <row r="1886" spans="1:18" x14ac:dyDescent="0.25">
      <c r="A1886" s="170">
        <v>44778</v>
      </c>
      <c r="B1886" s="116">
        <v>2683.9667010421199</v>
      </c>
      <c r="C1886" s="116">
        <v>2615.2787923680098</v>
      </c>
      <c r="D1886" s="116">
        <v>2603.1602481418099</v>
      </c>
      <c r="E1886" s="116">
        <v>2679.6524992975901</v>
      </c>
      <c r="F1886" s="116">
        <v>2697.6</v>
      </c>
      <c r="G1886">
        <v>55985</v>
      </c>
      <c r="H1886" s="116"/>
      <c r="I1886" s="116"/>
      <c r="L1886" s="170">
        <v>44778</v>
      </c>
      <c r="M1886" s="116">
        <v>2616.0584869675799</v>
      </c>
      <c r="N1886" s="116">
        <v>2683.1953273998702</v>
      </c>
      <c r="O1886" s="116">
        <v>2603.0673871582999</v>
      </c>
      <c r="P1886" s="116">
        <v>2675.7787666878598</v>
      </c>
      <c r="Q1886" s="116">
        <v>2698.4</v>
      </c>
      <c r="R1886">
        <v>1639981</v>
      </c>
    </row>
    <row r="1887" spans="1:18" x14ac:dyDescent="0.25">
      <c r="A1887" s="170">
        <v>44781</v>
      </c>
      <c r="B1887" s="116">
        <v>2722.0674040893</v>
      </c>
      <c r="C1887" s="116">
        <v>2707.1373576026199</v>
      </c>
      <c r="D1887" s="116">
        <v>2614.6971022451498</v>
      </c>
      <c r="E1887" s="116">
        <v>2615.66658578325</v>
      </c>
      <c r="F1887" s="116">
        <v>2792.35</v>
      </c>
      <c r="G1887">
        <v>38467</v>
      </c>
      <c r="H1887" s="116"/>
      <c r="I1887" s="116"/>
      <c r="L1887" s="170">
        <v>44781</v>
      </c>
      <c r="M1887" s="116">
        <v>2706.7053401144299</v>
      </c>
      <c r="N1887" s="116">
        <v>2721.9747298156399</v>
      </c>
      <c r="O1887" s="116">
        <v>2613.39240305149</v>
      </c>
      <c r="P1887" s="116">
        <v>2617.6096630642101</v>
      </c>
      <c r="Q1887" s="116">
        <v>2791.9</v>
      </c>
      <c r="R1887">
        <v>1581696</v>
      </c>
    </row>
    <row r="1888" spans="1:18" x14ac:dyDescent="0.25">
      <c r="A1888" s="170">
        <v>44783</v>
      </c>
      <c r="B1888" s="116">
        <v>2748.48583050241</v>
      </c>
      <c r="C1888" s="116">
        <v>2740.5845396669301</v>
      </c>
      <c r="D1888" s="116">
        <v>2695.8428743837999</v>
      </c>
      <c r="E1888" s="116">
        <v>2714.5539066690499</v>
      </c>
      <c r="F1888" s="116">
        <v>2826.85</v>
      </c>
      <c r="G1888">
        <v>54625</v>
      </c>
      <c r="H1888" s="116"/>
      <c r="I1888" s="116"/>
      <c r="L1888" s="170">
        <v>44783</v>
      </c>
      <c r="M1888" s="116">
        <v>2740.9281627463401</v>
      </c>
      <c r="N1888" s="116">
        <v>2748.3931977113798</v>
      </c>
      <c r="O1888" s="116">
        <v>2696.6711697393498</v>
      </c>
      <c r="P1888" s="116">
        <v>2716.2547679593099</v>
      </c>
      <c r="Q1888" s="116">
        <v>2827.2</v>
      </c>
      <c r="R1888">
        <v>1304663</v>
      </c>
    </row>
    <row r="1889" spans="1:18" x14ac:dyDescent="0.25">
      <c r="A1889" s="170">
        <v>44784</v>
      </c>
      <c r="B1889" s="116">
        <v>2763.0280835738499</v>
      </c>
      <c r="C1889" s="116">
        <v>2746.7892343107501</v>
      </c>
      <c r="D1889" s="116">
        <v>2730.40496251692</v>
      </c>
      <c r="E1889" s="116">
        <v>2763.0280835738499</v>
      </c>
      <c r="F1889" s="116">
        <v>2833.25</v>
      </c>
      <c r="G1889">
        <v>37404</v>
      </c>
      <c r="H1889" s="116"/>
      <c r="I1889" s="116"/>
      <c r="L1889" s="170">
        <v>44784</v>
      </c>
      <c r="M1889" s="116">
        <v>2747.56913541004</v>
      </c>
      <c r="N1889" s="116">
        <v>2761.4812460266999</v>
      </c>
      <c r="O1889" s="116">
        <v>2729.1973935155802</v>
      </c>
      <c r="P1889" s="116">
        <v>2754.3070565797798</v>
      </c>
      <c r="Q1889" s="116">
        <v>2834.05</v>
      </c>
      <c r="R1889">
        <v>978616</v>
      </c>
    </row>
    <row r="1890" spans="1:18" x14ac:dyDescent="0.25">
      <c r="A1890" s="170">
        <v>44785</v>
      </c>
      <c r="B1890" s="116">
        <v>2782.8540219279198</v>
      </c>
      <c r="C1890" s="116">
        <v>2776.9401723455298</v>
      </c>
      <c r="D1890" s="116">
        <v>2748.0980370871798</v>
      </c>
      <c r="E1890" s="116">
        <v>2759.1016752445698</v>
      </c>
      <c r="F1890" s="116">
        <v>2864.35</v>
      </c>
      <c r="G1890">
        <v>24320</v>
      </c>
      <c r="H1890" s="116"/>
      <c r="I1890" s="116"/>
      <c r="L1890" s="170">
        <v>44785</v>
      </c>
      <c r="M1890" s="116">
        <v>2777.1384297520699</v>
      </c>
      <c r="N1890" s="116">
        <v>2783.5370311506699</v>
      </c>
      <c r="O1890" s="116">
        <v>2747.56913541004</v>
      </c>
      <c r="P1890" s="116">
        <v>2753.3375715193902</v>
      </c>
      <c r="Q1890" s="116">
        <v>2864.55</v>
      </c>
      <c r="R1890">
        <v>843025</v>
      </c>
    </row>
    <row r="1891" spans="1:18" x14ac:dyDescent="0.25">
      <c r="A1891" s="170">
        <v>44789</v>
      </c>
      <c r="B1891" s="116">
        <v>2893.9083612168301</v>
      </c>
      <c r="C1891" s="116">
        <v>2884.0681033051501</v>
      </c>
      <c r="D1891" s="116">
        <v>2784.8414631810201</v>
      </c>
      <c r="E1891" s="116">
        <v>2794.0515567929301</v>
      </c>
      <c r="F1891" s="116">
        <v>2974.85</v>
      </c>
      <c r="G1891">
        <v>56881</v>
      </c>
      <c r="H1891" s="116"/>
      <c r="I1891" s="116"/>
      <c r="L1891" s="170">
        <v>44789</v>
      </c>
      <c r="M1891" s="116">
        <v>2885.0421169739302</v>
      </c>
      <c r="N1891" s="116">
        <v>2894.8823903369398</v>
      </c>
      <c r="O1891" s="116">
        <v>2783.3916083916101</v>
      </c>
      <c r="P1891" s="116">
        <v>2791.1474888747598</v>
      </c>
      <c r="Q1891" s="116">
        <v>2975.85</v>
      </c>
      <c r="R1891">
        <v>1969492</v>
      </c>
    </row>
    <row r="1892" spans="1:18" x14ac:dyDescent="0.25">
      <c r="A1892" s="170">
        <v>44790</v>
      </c>
      <c r="B1892" s="116">
        <v>2936.1778434778198</v>
      </c>
      <c r="C1892" s="116">
        <v>2917.0790177773201</v>
      </c>
      <c r="D1892" s="116">
        <v>2889.1094177032501</v>
      </c>
      <c r="E1892" s="116">
        <v>2889.2548402339698</v>
      </c>
      <c r="F1892" s="116">
        <v>3008.9</v>
      </c>
      <c r="G1892">
        <v>48398</v>
      </c>
      <c r="H1892" s="116"/>
      <c r="I1892" s="116"/>
      <c r="L1892" s="170">
        <v>44790</v>
      </c>
      <c r="M1892" s="116">
        <v>2916.8412269548598</v>
      </c>
      <c r="N1892" s="116">
        <v>2936.1339796567099</v>
      </c>
      <c r="O1892" s="116">
        <v>2889.0654799745698</v>
      </c>
      <c r="P1892" s="116">
        <v>2894.8823903369398</v>
      </c>
      <c r="Q1892" s="116">
        <v>3008.65</v>
      </c>
      <c r="R1892">
        <v>1510171</v>
      </c>
    </row>
    <row r="1893" spans="1:18" x14ac:dyDescent="0.25">
      <c r="A1893" s="170">
        <v>44791</v>
      </c>
      <c r="B1893" s="116">
        <v>3089.4047166739001</v>
      </c>
      <c r="C1893" s="116">
        <v>3057.4117599167298</v>
      </c>
      <c r="D1893" s="116">
        <v>2910.8258489566001</v>
      </c>
      <c r="E1893" s="116">
        <v>2922.02338382161</v>
      </c>
      <c r="F1893" s="116">
        <v>3153.65</v>
      </c>
      <c r="G1893">
        <v>168784</v>
      </c>
      <c r="H1893" s="116"/>
      <c r="I1893" s="116"/>
      <c r="L1893" s="170">
        <v>44791</v>
      </c>
      <c r="M1893" s="116">
        <v>3057.4165607120099</v>
      </c>
      <c r="N1893" s="116">
        <v>3088.7794024157702</v>
      </c>
      <c r="O1893" s="116">
        <v>2912.3331214240302</v>
      </c>
      <c r="P1893" s="116">
        <v>2913.3026064844198</v>
      </c>
      <c r="Q1893" s="116">
        <v>3153.65</v>
      </c>
      <c r="R1893">
        <v>3502295</v>
      </c>
    </row>
    <row r="1894" spans="1:18" x14ac:dyDescent="0.25">
      <c r="A1894" s="170">
        <v>44792</v>
      </c>
      <c r="B1894" s="116">
        <v>3158.6258412939601</v>
      </c>
      <c r="C1894" s="116">
        <v>3033.5624648795701</v>
      </c>
      <c r="D1894" s="116">
        <v>2981.2588279992801</v>
      </c>
      <c r="E1894" s="116">
        <v>3080.0492005312799</v>
      </c>
      <c r="F1894" s="116">
        <v>3129.05</v>
      </c>
      <c r="G1894">
        <v>308626</v>
      </c>
      <c r="H1894" s="116"/>
      <c r="I1894" s="116"/>
      <c r="L1894" s="170">
        <v>44792</v>
      </c>
      <c r="M1894" s="116">
        <v>3034.6821360457702</v>
      </c>
      <c r="N1894" s="116">
        <v>3159.4548633185</v>
      </c>
      <c r="O1894" s="116">
        <v>2981.4089319771101</v>
      </c>
      <c r="P1894" s="116">
        <v>3081.02352193261</v>
      </c>
      <c r="Q1894" s="116">
        <v>3130.2</v>
      </c>
      <c r="R1894">
        <v>6109949</v>
      </c>
    </row>
    <row r="1895" spans="1:18" x14ac:dyDescent="0.25">
      <c r="A1895" s="170">
        <v>44795</v>
      </c>
      <c r="B1895" s="116">
        <v>3094.8338244872398</v>
      </c>
      <c r="C1895" s="116">
        <v>2958.86375826927</v>
      </c>
      <c r="D1895" s="116">
        <v>2937.2927495466301</v>
      </c>
      <c r="E1895" s="116">
        <v>3034.4834742407602</v>
      </c>
      <c r="F1895" s="116">
        <v>3052</v>
      </c>
      <c r="G1895">
        <v>148427</v>
      </c>
      <c r="H1895" s="116"/>
      <c r="I1895" s="116"/>
      <c r="L1895" s="170">
        <v>44795</v>
      </c>
      <c r="M1895" s="116">
        <v>2958.48061029879</v>
      </c>
      <c r="N1895" s="116">
        <v>3094.4024157660501</v>
      </c>
      <c r="O1895" s="116">
        <v>2936.7641449459602</v>
      </c>
      <c r="P1895" s="116">
        <v>3038.36617927527</v>
      </c>
      <c r="Q1895" s="116">
        <v>3051.6</v>
      </c>
      <c r="R1895">
        <v>3473580</v>
      </c>
    </row>
    <row r="1896" spans="1:18" x14ac:dyDescent="0.25">
      <c r="A1896" s="170">
        <v>44796</v>
      </c>
      <c r="B1896" s="116">
        <v>2981.16187964548</v>
      </c>
      <c r="C1896" s="116">
        <v>2931.3788999642402</v>
      </c>
      <c r="D1896" s="116">
        <v>2839.6657572603499</v>
      </c>
      <c r="E1896" s="116">
        <v>2940.5889935761502</v>
      </c>
      <c r="F1896" s="116">
        <v>3023.65</v>
      </c>
      <c r="G1896">
        <v>447369</v>
      </c>
      <c r="H1896" s="116"/>
      <c r="I1896" s="116"/>
      <c r="L1896" s="170">
        <v>44796</v>
      </c>
      <c r="M1896" s="116">
        <v>2938.1698982835301</v>
      </c>
      <c r="N1896" s="116">
        <v>2980.1970756516198</v>
      </c>
      <c r="O1896" s="116">
        <v>2838.0705657978401</v>
      </c>
      <c r="P1896" s="116">
        <v>2940.1088684043202</v>
      </c>
      <c r="Q1896" s="116">
        <v>3030.65</v>
      </c>
      <c r="R1896">
        <v>4169136</v>
      </c>
    </row>
    <row r="1897" spans="1:18" x14ac:dyDescent="0.25">
      <c r="A1897" s="170">
        <v>44797</v>
      </c>
      <c r="B1897" s="116">
        <v>3055.47279284054</v>
      </c>
      <c r="C1897" s="116">
        <v>3040.88206559219</v>
      </c>
      <c r="D1897" s="116">
        <v>2895.8473282930199</v>
      </c>
      <c r="E1897" s="116">
        <v>2947.0845332814001</v>
      </c>
      <c r="F1897" s="116">
        <v>3136.6</v>
      </c>
      <c r="G1897">
        <v>138941</v>
      </c>
      <c r="H1897" s="116"/>
      <c r="I1897" s="116"/>
      <c r="L1897" s="170">
        <v>44797</v>
      </c>
      <c r="M1897" s="116">
        <v>3038.9963445645299</v>
      </c>
      <c r="N1897" s="116">
        <v>3056.7863954227601</v>
      </c>
      <c r="O1897" s="116">
        <v>2894.8823903369398</v>
      </c>
      <c r="P1897" s="116">
        <v>2945.2956134774299</v>
      </c>
      <c r="Q1897" s="116">
        <v>3134.65</v>
      </c>
      <c r="R1897">
        <v>3475387</v>
      </c>
    </row>
    <row r="1898" spans="1:18" x14ac:dyDescent="0.25">
      <c r="A1898" s="170">
        <v>44798</v>
      </c>
      <c r="B1898" s="116">
        <v>3080.4854681234201</v>
      </c>
      <c r="C1898" s="116">
        <v>2973.2121146330901</v>
      </c>
      <c r="D1898" s="116">
        <v>2962.4993215371301</v>
      </c>
      <c r="E1898" s="116">
        <v>3067.4459145360302</v>
      </c>
      <c r="F1898" s="116">
        <v>3066.8</v>
      </c>
      <c r="G1898">
        <v>164737</v>
      </c>
      <c r="H1898" s="116"/>
      <c r="I1898" s="116"/>
      <c r="L1898" s="170">
        <v>44798</v>
      </c>
      <c r="M1898" s="116">
        <v>2972.7805149396099</v>
      </c>
      <c r="N1898" s="116">
        <v>3080.82962492053</v>
      </c>
      <c r="O1898" s="116">
        <v>2962.4554990464098</v>
      </c>
      <c r="P1898" s="116">
        <v>3070.3591862682802</v>
      </c>
      <c r="Q1898" s="116">
        <v>3066.35</v>
      </c>
      <c r="R1898">
        <v>3119494</v>
      </c>
    </row>
    <row r="1899" spans="1:18" x14ac:dyDescent="0.25">
      <c r="A1899" s="170">
        <v>44799</v>
      </c>
      <c r="B1899" s="116">
        <v>3075.2017828408002</v>
      </c>
      <c r="C1899" s="116">
        <v>3043.6450936757701</v>
      </c>
      <c r="D1899" s="116">
        <v>2984.0703302597599</v>
      </c>
      <c r="E1899" s="116">
        <v>2984.0703302597599</v>
      </c>
      <c r="F1899" s="116">
        <v>3139.45</v>
      </c>
      <c r="G1899">
        <v>159194</v>
      </c>
      <c r="H1899" s="116"/>
      <c r="I1899" s="116"/>
      <c r="L1899" s="170">
        <v>44799</v>
      </c>
      <c r="M1899" s="116">
        <v>3043.7468213604602</v>
      </c>
      <c r="N1899" s="116">
        <v>3076.1276223776199</v>
      </c>
      <c r="O1899" s="116">
        <v>2984.0750158932001</v>
      </c>
      <c r="P1899" s="116">
        <v>2986.0139860139898</v>
      </c>
      <c r="Q1899" s="116">
        <v>3139.55</v>
      </c>
      <c r="R1899">
        <v>2897602</v>
      </c>
    </row>
    <row r="1900" spans="1:18" x14ac:dyDescent="0.25">
      <c r="A1900" s="170">
        <v>44802</v>
      </c>
      <c r="B1900" s="116">
        <v>3068.4153980741198</v>
      </c>
      <c r="C1900" s="116">
        <v>3046.7959151745799</v>
      </c>
      <c r="D1900" s="116">
        <v>2948.4418102347299</v>
      </c>
      <c r="E1900" s="116">
        <v>2965.6501430359399</v>
      </c>
      <c r="F1900" s="116">
        <v>3142.7</v>
      </c>
      <c r="G1900">
        <v>81715</v>
      </c>
      <c r="H1900" s="116"/>
      <c r="I1900" s="116"/>
      <c r="L1900" s="170">
        <v>44802</v>
      </c>
      <c r="M1900" s="116">
        <v>3046.7037507946602</v>
      </c>
      <c r="N1900" s="116">
        <v>3069.8259694850599</v>
      </c>
      <c r="O1900" s="116">
        <v>2945.1501907183701</v>
      </c>
      <c r="P1900" s="116">
        <v>2961.7768595041298</v>
      </c>
      <c r="Q1900" s="116">
        <v>3142.6</v>
      </c>
      <c r="R1900">
        <v>1924984</v>
      </c>
    </row>
    <row r="1901" spans="1:18" x14ac:dyDescent="0.25">
      <c r="A1901" s="170">
        <v>44803</v>
      </c>
      <c r="B1901" s="116">
        <v>3162.9885172154</v>
      </c>
      <c r="C1901" s="116">
        <v>3096.14262726367</v>
      </c>
      <c r="D1901" s="116">
        <v>3066.8642244131702</v>
      </c>
      <c r="E1901" s="116">
        <v>3081.01868406937</v>
      </c>
      <c r="F1901" s="116">
        <v>3193.6</v>
      </c>
      <c r="G1901">
        <v>164864</v>
      </c>
      <c r="H1901" s="116"/>
      <c r="I1901" s="116"/>
      <c r="L1901" s="170">
        <v>44803</v>
      </c>
      <c r="M1901" s="116">
        <v>3096.8746026700601</v>
      </c>
      <c r="N1901" s="116">
        <v>3163.5267005721498</v>
      </c>
      <c r="O1901" s="116">
        <v>3064.5422759059102</v>
      </c>
      <c r="P1901" s="116">
        <v>3068.42021614749</v>
      </c>
      <c r="Q1901" s="116">
        <v>3194.35</v>
      </c>
      <c r="R1901">
        <v>4392183</v>
      </c>
    </row>
    <row r="1902" spans="1:18" x14ac:dyDescent="0.25">
      <c r="A1902" s="170">
        <v>44805</v>
      </c>
      <c r="B1902" s="116">
        <v>3145.7317102372899</v>
      </c>
      <c r="C1902" s="116">
        <v>3134.0979077801298</v>
      </c>
      <c r="D1902" s="116">
        <v>3088.7745523741401</v>
      </c>
      <c r="E1902" s="116">
        <v>3116.8895749789299</v>
      </c>
      <c r="F1902" s="116">
        <v>3232.75</v>
      </c>
      <c r="G1902">
        <v>79320</v>
      </c>
      <c r="H1902" s="116"/>
      <c r="I1902" s="116"/>
      <c r="L1902" s="170">
        <v>44805</v>
      </c>
      <c r="M1902" s="116">
        <v>3134.5875715193902</v>
      </c>
      <c r="N1902" s="116">
        <v>3145.9790209790199</v>
      </c>
      <c r="O1902" s="116">
        <v>3087.22822631914</v>
      </c>
      <c r="P1902" s="116">
        <v>3102.3521932612798</v>
      </c>
      <c r="Q1902" s="116">
        <v>3233.25</v>
      </c>
      <c r="R1902">
        <v>1880363</v>
      </c>
    </row>
    <row r="1903" spans="1:18" x14ac:dyDescent="0.25">
      <c r="A1903" s="170">
        <v>44806</v>
      </c>
      <c r="B1903" s="116">
        <v>3266.6263074378699</v>
      </c>
      <c r="C1903" s="116">
        <v>3254.50776321167</v>
      </c>
      <c r="D1903" s="116">
        <v>3128.3294807284601</v>
      </c>
      <c r="E1903" s="116">
        <v>3163.4247848075402</v>
      </c>
      <c r="F1903" s="116">
        <v>3356.95</v>
      </c>
      <c r="G1903">
        <v>159559</v>
      </c>
      <c r="H1903" s="116"/>
      <c r="I1903" s="116"/>
      <c r="L1903" s="170">
        <v>44806</v>
      </c>
      <c r="M1903" s="116">
        <v>3253.3979656706902</v>
      </c>
      <c r="N1903" s="116">
        <v>3266.5829624920498</v>
      </c>
      <c r="O1903" s="116">
        <v>3126.5893197711398</v>
      </c>
      <c r="P1903" s="116">
        <v>3161.4907819453301</v>
      </c>
      <c r="Q1903" s="116">
        <v>3355.8</v>
      </c>
      <c r="R1903">
        <v>4835905</v>
      </c>
    </row>
    <row r="1904" spans="1:18" x14ac:dyDescent="0.25">
      <c r="A1904" s="170">
        <v>44809</v>
      </c>
      <c r="B1904" s="116">
        <v>3327.2675027457799</v>
      </c>
      <c r="C1904" s="116">
        <v>3244.9098761845198</v>
      </c>
      <c r="D1904" s="116">
        <v>3211.7050650047299</v>
      </c>
      <c r="E1904" s="116">
        <v>3267.2079975607298</v>
      </c>
      <c r="F1904" s="116">
        <v>3347.05</v>
      </c>
      <c r="G1904">
        <v>187839</v>
      </c>
      <c r="H1904" s="116"/>
      <c r="I1904" s="116"/>
      <c r="L1904" s="170">
        <v>44809</v>
      </c>
      <c r="M1904" s="116">
        <v>3244.4302288620502</v>
      </c>
      <c r="N1904" s="116">
        <v>3327.0788302606502</v>
      </c>
      <c r="O1904" s="116">
        <v>3211.9040050858198</v>
      </c>
      <c r="P1904" s="116">
        <v>3271.1395422759101</v>
      </c>
      <c r="Q1904" s="116">
        <v>3346.55</v>
      </c>
      <c r="R1904">
        <v>3686950</v>
      </c>
    </row>
    <row r="1905" spans="1:18" x14ac:dyDescent="0.25">
      <c r="A1905" s="170">
        <v>44810</v>
      </c>
      <c r="B1905" s="116">
        <v>3341.8097558172199</v>
      </c>
      <c r="C1905" s="116">
        <v>3331.0000143674501</v>
      </c>
      <c r="D1905" s="116">
        <v>3257.6585847104802</v>
      </c>
      <c r="E1905" s="116">
        <v>3257.6585847104802</v>
      </c>
      <c r="F1905" s="116">
        <v>3435.85</v>
      </c>
      <c r="G1905">
        <v>133000</v>
      </c>
      <c r="H1905" s="116"/>
      <c r="I1905" s="116"/>
      <c r="L1905" s="170">
        <v>44810</v>
      </c>
      <c r="M1905" s="116">
        <v>3330.95677050223</v>
      </c>
      <c r="N1905" s="116">
        <v>3342.39669421488</v>
      </c>
      <c r="O1905" s="116">
        <v>3252.6223776223801</v>
      </c>
      <c r="P1905" s="116">
        <v>3267.1646535282898</v>
      </c>
      <c r="Q1905" s="116">
        <v>3435.8</v>
      </c>
      <c r="R1905">
        <v>2580772</v>
      </c>
    </row>
    <row r="1906" spans="1:18" x14ac:dyDescent="0.25">
      <c r="A1906" s="170">
        <v>44811</v>
      </c>
      <c r="B1906" s="116">
        <v>3381.5585808791602</v>
      </c>
      <c r="C1906" s="116">
        <v>3367.8403888151001</v>
      </c>
      <c r="D1906" s="116">
        <v>3310.8347567750502</v>
      </c>
      <c r="E1906" s="116">
        <v>3338.31961508007</v>
      </c>
      <c r="F1906" s="116">
        <v>3473.85</v>
      </c>
      <c r="G1906">
        <v>114449</v>
      </c>
      <c r="H1906" s="116"/>
      <c r="I1906" s="116"/>
      <c r="L1906" s="170">
        <v>44811</v>
      </c>
      <c r="M1906" s="116">
        <v>3367.7487285441798</v>
      </c>
      <c r="N1906" s="116">
        <v>3381.5154164017799</v>
      </c>
      <c r="O1906" s="116">
        <v>3302.1630642085202</v>
      </c>
      <c r="P1906" s="116">
        <v>3330.95677050223</v>
      </c>
      <c r="Q1906" s="116">
        <v>3473.75</v>
      </c>
      <c r="R1906">
        <v>2188110</v>
      </c>
    </row>
    <row r="1907" spans="1:18" x14ac:dyDescent="0.25">
      <c r="A1907" s="170">
        <v>44812</v>
      </c>
      <c r="B1907" s="116">
        <v>3396.87642078108</v>
      </c>
      <c r="C1907" s="116">
        <v>3356.3035347117602</v>
      </c>
      <c r="D1907" s="116">
        <v>3344.7182064315102</v>
      </c>
      <c r="E1907" s="116">
        <v>3392.2228997982202</v>
      </c>
      <c r="F1907" s="116">
        <v>3461.95</v>
      </c>
      <c r="G1907">
        <v>109924</v>
      </c>
      <c r="H1907" s="116"/>
      <c r="I1907" s="116"/>
      <c r="L1907" s="170">
        <v>44812</v>
      </c>
      <c r="M1907" s="116">
        <v>3357.1328671328702</v>
      </c>
      <c r="N1907" s="116">
        <v>3394.6519389701202</v>
      </c>
      <c r="O1907" s="116">
        <v>3344.7234583598201</v>
      </c>
      <c r="P1907" s="116">
        <v>3392.22822631914</v>
      </c>
      <c r="Q1907" s="116">
        <v>3462.8</v>
      </c>
      <c r="R1907">
        <v>1560414</v>
      </c>
    </row>
    <row r="1908" spans="1:18" x14ac:dyDescent="0.25">
      <c r="A1908" s="170">
        <v>44813</v>
      </c>
      <c r="B1908" s="116">
        <v>3399.1062329186998</v>
      </c>
      <c r="C1908" s="116">
        <v>3345.3483707312698</v>
      </c>
      <c r="D1908" s="116">
        <v>3311.7557661362398</v>
      </c>
      <c r="E1908" s="116">
        <v>3364.1078771934299</v>
      </c>
      <c r="F1908" s="116">
        <v>3450.65</v>
      </c>
      <c r="G1908">
        <v>58794</v>
      </c>
      <c r="H1908" s="116"/>
      <c r="I1908" s="116"/>
      <c r="L1908" s="170">
        <v>44813</v>
      </c>
      <c r="M1908" s="116">
        <v>3345.8868404322898</v>
      </c>
      <c r="N1908" s="116">
        <v>3400.90511760966</v>
      </c>
      <c r="O1908" s="116">
        <v>3310.9369040050901</v>
      </c>
      <c r="P1908" s="116">
        <v>3372.83852511125</v>
      </c>
      <c r="Q1908" s="116">
        <v>3451.2</v>
      </c>
      <c r="R1908">
        <v>1614634</v>
      </c>
    </row>
    <row r="1909" spans="1:18" x14ac:dyDescent="0.25">
      <c r="A1909" s="170">
        <v>44816</v>
      </c>
      <c r="B1909" s="116">
        <v>3388.3449656458301</v>
      </c>
      <c r="C1909" s="116">
        <v>3355.7218445888998</v>
      </c>
      <c r="D1909" s="116">
        <v>3350.7290043676999</v>
      </c>
      <c r="E1909" s="116">
        <v>3354.4130418124701</v>
      </c>
      <c r="F1909" s="116">
        <v>3461.35</v>
      </c>
      <c r="G1909">
        <v>44955</v>
      </c>
      <c r="H1909" s="116"/>
      <c r="I1909" s="116"/>
      <c r="L1909" s="170">
        <v>44816</v>
      </c>
      <c r="M1909" s="116">
        <v>3358.1023521932598</v>
      </c>
      <c r="N1909" s="116">
        <v>3388.8350286077598</v>
      </c>
      <c r="O1909" s="116">
        <v>3352.3823903369398</v>
      </c>
      <c r="P1909" s="116">
        <v>3359.2657342657299</v>
      </c>
      <c r="Q1909" s="116">
        <v>3463.8</v>
      </c>
      <c r="R1909">
        <v>1647756</v>
      </c>
    </row>
    <row r="1910" spans="1:18" x14ac:dyDescent="0.25">
      <c r="A1910" s="170">
        <v>44817</v>
      </c>
      <c r="B1910" s="116">
        <v>3458.7779446885102</v>
      </c>
      <c r="C1910" s="116">
        <v>3447.6288840004099</v>
      </c>
      <c r="D1910" s="116">
        <v>3317.5726673648201</v>
      </c>
      <c r="E1910" s="116">
        <v>3378.6501302648699</v>
      </c>
      <c r="F1910" s="116">
        <v>3556.15</v>
      </c>
      <c r="G1910">
        <v>86789</v>
      </c>
      <c r="H1910" s="116"/>
      <c r="I1910" s="116"/>
      <c r="L1910" s="170">
        <v>44817</v>
      </c>
      <c r="M1910" s="116">
        <v>3447.2949777495201</v>
      </c>
      <c r="N1910" s="116">
        <v>3459.9952320406901</v>
      </c>
      <c r="O1910" s="116">
        <v>3316.8992371265099</v>
      </c>
      <c r="P1910" s="116">
        <v>3371.8690400508599</v>
      </c>
      <c r="Q1910" s="116">
        <v>3555.8</v>
      </c>
      <c r="R1910">
        <v>3479669</v>
      </c>
    </row>
    <row r="1911" spans="1:18" x14ac:dyDescent="0.25">
      <c r="A1911" s="170">
        <v>44818</v>
      </c>
      <c r="B1911" s="116">
        <v>3500.8050560649799</v>
      </c>
      <c r="C1911" s="116">
        <v>3462.6558788409002</v>
      </c>
      <c r="D1911" s="116">
        <v>3393.1923833363098</v>
      </c>
      <c r="E1911" s="116">
        <v>3393.1923833363098</v>
      </c>
      <c r="F1911" s="116">
        <v>3571.65</v>
      </c>
      <c r="G1911">
        <v>114480</v>
      </c>
      <c r="H1911" s="116"/>
      <c r="I1911" s="116"/>
      <c r="L1911" s="170">
        <v>44818</v>
      </c>
      <c r="M1911" s="116">
        <v>3463.0975842339499</v>
      </c>
      <c r="N1911" s="116">
        <v>3497.9020979021002</v>
      </c>
      <c r="O1911" s="116">
        <v>3403.86204704387</v>
      </c>
      <c r="P1911" s="116">
        <v>3410.6484424666201</v>
      </c>
      <c r="Q1911" s="116">
        <v>3572.1</v>
      </c>
      <c r="R1911">
        <v>2740337</v>
      </c>
    </row>
    <row r="1912" spans="1:18" x14ac:dyDescent="0.25">
      <c r="A1912" s="170">
        <v>44819</v>
      </c>
      <c r="B1912" s="116">
        <v>3651.0265302929702</v>
      </c>
      <c r="C1912" s="116">
        <v>3634.7392068529498</v>
      </c>
      <c r="D1912" s="116">
        <v>3470.7510663839998</v>
      </c>
      <c r="E1912" s="116">
        <v>3498.8660889887901</v>
      </c>
      <c r="F1912" s="116">
        <v>3749.15</v>
      </c>
      <c r="G1912">
        <v>125869</v>
      </c>
      <c r="H1912" s="116"/>
      <c r="I1912" s="116"/>
      <c r="L1912" s="170">
        <v>44819</v>
      </c>
      <c r="M1912" s="116">
        <v>3634.3086458995499</v>
      </c>
      <c r="N1912" s="116">
        <v>3652.9712333121402</v>
      </c>
      <c r="O1912" s="116">
        <v>3465.9090909090901</v>
      </c>
      <c r="P1912" s="116">
        <v>3480.4513668149998</v>
      </c>
      <c r="Q1912" s="116">
        <v>3748.7</v>
      </c>
      <c r="R1912">
        <v>4716688</v>
      </c>
    </row>
    <row r="1913" spans="1:18" x14ac:dyDescent="0.25">
      <c r="A1913" s="170">
        <v>44820</v>
      </c>
      <c r="B1913" s="116">
        <v>3747.6355648642402</v>
      </c>
      <c r="C1913" s="116">
        <v>3588.9311096779102</v>
      </c>
      <c r="D1913" s="116">
        <v>3504.3921451559299</v>
      </c>
      <c r="E1913" s="116">
        <v>3649.9116242241598</v>
      </c>
      <c r="F1913" s="116">
        <v>3701.9</v>
      </c>
      <c r="G1913">
        <v>297234</v>
      </c>
      <c r="H1913" s="116"/>
      <c r="I1913" s="116"/>
      <c r="L1913" s="170">
        <v>44820</v>
      </c>
      <c r="M1913" s="116">
        <v>3589.2275905912302</v>
      </c>
      <c r="N1913" s="116">
        <v>3748.95025429116</v>
      </c>
      <c r="O1913" s="116">
        <v>3504.3006993007002</v>
      </c>
      <c r="P1913" s="116">
        <v>3640.4164017800399</v>
      </c>
      <c r="Q1913" s="116">
        <v>3702.2</v>
      </c>
      <c r="R1913">
        <v>5687429</v>
      </c>
    </row>
    <row r="1914" spans="1:18" x14ac:dyDescent="0.25">
      <c r="A1914" s="170">
        <v>44823</v>
      </c>
      <c r="B1914" s="116">
        <v>3684.0374447651402</v>
      </c>
      <c r="C1914" s="116">
        <v>3663.5813421113098</v>
      </c>
      <c r="D1914" s="116">
        <v>3567.40857513218</v>
      </c>
      <c r="E1914" s="116">
        <v>3633.6243007841399</v>
      </c>
      <c r="F1914" s="116">
        <v>3778.9</v>
      </c>
      <c r="G1914">
        <v>338215</v>
      </c>
      <c r="H1914" s="116"/>
      <c r="I1914" s="116"/>
      <c r="L1914" s="170">
        <v>44823</v>
      </c>
      <c r="M1914" s="116">
        <v>3663.34472345836</v>
      </c>
      <c r="N1914" s="116">
        <v>3685.9337253655399</v>
      </c>
      <c r="O1914" s="116">
        <v>3568.4321360457702</v>
      </c>
      <c r="P1914" s="116">
        <v>3605.4664653528298</v>
      </c>
      <c r="Q1914" s="116">
        <v>3778.65</v>
      </c>
      <c r="R1914">
        <v>3092486</v>
      </c>
    </row>
    <row r="1915" spans="1:18" x14ac:dyDescent="0.25">
      <c r="A1915" s="170">
        <v>44824</v>
      </c>
      <c r="B1915" s="116">
        <v>3765.1832169037798</v>
      </c>
      <c r="C1915" s="116">
        <v>3718.7449554289801</v>
      </c>
      <c r="D1915" s="116">
        <v>3692.6658482541998</v>
      </c>
      <c r="E1915" s="116">
        <v>3705.3660826032501</v>
      </c>
      <c r="F1915" s="116">
        <v>3835.8</v>
      </c>
      <c r="G1915">
        <v>135711</v>
      </c>
      <c r="H1915" s="116"/>
      <c r="I1915" s="116"/>
      <c r="L1915" s="170">
        <v>44824</v>
      </c>
      <c r="M1915" s="116">
        <v>3717.53893833439</v>
      </c>
      <c r="N1915" s="116">
        <v>3766.4494596312802</v>
      </c>
      <c r="O1915" s="116">
        <v>3695.6770502224999</v>
      </c>
      <c r="P1915" s="116">
        <v>3702.46344564526</v>
      </c>
      <c r="Q1915" s="116">
        <v>3834.55</v>
      </c>
      <c r="R1915">
        <v>3338704</v>
      </c>
    </row>
    <row r="1916" spans="1:18" x14ac:dyDescent="0.25">
      <c r="A1916" s="170">
        <v>44825</v>
      </c>
      <c r="B1916" s="116">
        <v>3744.3393208347202</v>
      </c>
      <c r="C1916" s="116">
        <v>3530.3258298000101</v>
      </c>
      <c r="D1916" s="116">
        <v>3463.6253623789898</v>
      </c>
      <c r="E1916" s="116">
        <v>3714.0914344461198</v>
      </c>
      <c r="F1916" s="116">
        <v>3641.45</v>
      </c>
      <c r="G1916">
        <v>284028</v>
      </c>
      <c r="H1916" s="116"/>
      <c r="I1916" s="116"/>
      <c r="L1916" s="170">
        <v>44825</v>
      </c>
      <c r="M1916" s="116">
        <v>3529.0225683407498</v>
      </c>
      <c r="N1916" s="116">
        <v>3744.92689129053</v>
      </c>
      <c r="O1916" s="116">
        <v>3462.27352193261</v>
      </c>
      <c r="P1916" s="116">
        <v>3720.5443420216102</v>
      </c>
      <c r="Q1916" s="116">
        <v>3640.1</v>
      </c>
      <c r="R1916">
        <v>6089846</v>
      </c>
    </row>
    <row r="1917" spans="1:18" x14ac:dyDescent="0.25">
      <c r="A1917" s="170">
        <v>44826</v>
      </c>
      <c r="B1917" s="116">
        <v>3622.2813433884198</v>
      </c>
      <c r="C1917" s="116">
        <v>3603.2794660417399</v>
      </c>
      <c r="D1917" s="116">
        <v>3461.05623100304</v>
      </c>
      <c r="E1917" s="116">
        <v>3530.3258298000101</v>
      </c>
      <c r="F1917" s="116">
        <v>3716.7</v>
      </c>
      <c r="G1917">
        <v>200018</v>
      </c>
      <c r="H1917" s="116"/>
      <c r="I1917" s="116"/>
      <c r="L1917" s="170">
        <v>44826</v>
      </c>
      <c r="M1917" s="116">
        <v>3602.8973299427798</v>
      </c>
      <c r="N1917" s="116">
        <v>3621.9477113795301</v>
      </c>
      <c r="O1917" s="116">
        <v>3497.95057215512</v>
      </c>
      <c r="P1917" s="116">
        <v>3527.9561347743202</v>
      </c>
      <c r="Q1917" s="116">
        <v>3716.3</v>
      </c>
      <c r="R1917">
        <v>3490772</v>
      </c>
    </row>
    <row r="1918" spans="1:18" x14ac:dyDescent="0.25">
      <c r="A1918" s="170">
        <v>44827</v>
      </c>
      <c r="B1918" s="116">
        <v>3625.8684324793699</v>
      </c>
      <c r="C1918" s="116">
        <v>3561.78557061122</v>
      </c>
      <c r="D1918" s="116">
        <v>3542.0081064340602</v>
      </c>
      <c r="E1918" s="116">
        <v>3613.2651464841301</v>
      </c>
      <c r="F1918" s="116">
        <v>3673.9</v>
      </c>
      <c r="G1918">
        <v>111854</v>
      </c>
      <c r="H1918" s="116"/>
      <c r="I1918" s="116"/>
      <c r="L1918" s="170">
        <v>44827</v>
      </c>
      <c r="M1918" s="116">
        <v>3562.17895740623</v>
      </c>
      <c r="N1918" s="116">
        <v>3623.8382072473</v>
      </c>
      <c r="O1918" s="116">
        <v>3543.46789574062</v>
      </c>
      <c r="P1918" s="116">
        <v>3618.1182453909701</v>
      </c>
      <c r="Q1918" s="116">
        <v>3674.3</v>
      </c>
      <c r="R1918">
        <v>3001474</v>
      </c>
    </row>
    <row r="1919" spans="1:18" x14ac:dyDescent="0.25">
      <c r="A1919" s="170">
        <v>44830</v>
      </c>
      <c r="B1919" s="116">
        <v>3546.1768856478802</v>
      </c>
      <c r="C1919" s="116">
        <v>3480.2035308804402</v>
      </c>
      <c r="D1919" s="116">
        <v>3424.9914433858698</v>
      </c>
      <c r="E1919" s="116">
        <v>3535.7064634364401</v>
      </c>
      <c r="F1919" s="116">
        <v>3589.75</v>
      </c>
      <c r="G1919">
        <v>104378</v>
      </c>
      <c r="H1919" s="116"/>
      <c r="I1919" s="116"/>
      <c r="L1919" s="170">
        <v>44830</v>
      </c>
      <c r="M1919" s="116">
        <v>3476.76732358551</v>
      </c>
      <c r="N1919" s="116">
        <v>3546.3763509218102</v>
      </c>
      <c r="O1919" s="116">
        <v>3424.2212333121402</v>
      </c>
      <c r="P1919" s="116">
        <v>3535.0333757151898</v>
      </c>
      <c r="Q1919" s="116">
        <v>3586.2</v>
      </c>
      <c r="R1919">
        <v>3123908</v>
      </c>
    </row>
    <row r="1920" spans="1:18" x14ac:dyDescent="0.25">
      <c r="A1920" s="170">
        <v>44831</v>
      </c>
      <c r="B1920" s="116">
        <v>3519.2252432887999</v>
      </c>
      <c r="C1920" s="116">
        <v>3449.13158348446</v>
      </c>
      <c r="D1920" s="116">
        <v>3377.9230176113001</v>
      </c>
      <c r="E1920" s="116">
        <v>3490.14073714592</v>
      </c>
      <c r="F1920" s="116">
        <v>3557.7</v>
      </c>
      <c r="G1920">
        <v>152763</v>
      </c>
      <c r="H1920" s="116"/>
      <c r="I1920" s="116"/>
      <c r="L1920" s="170">
        <v>44831</v>
      </c>
      <c r="M1920" s="116">
        <v>3450.4942784488198</v>
      </c>
      <c r="N1920" s="116">
        <v>3518.7945009535902</v>
      </c>
      <c r="O1920" s="116">
        <v>3379.4794977749498</v>
      </c>
      <c r="P1920" s="116">
        <v>3486.2682771773698</v>
      </c>
      <c r="Q1920" s="116">
        <v>3559.1</v>
      </c>
      <c r="R1920">
        <v>3546332</v>
      </c>
    </row>
    <row r="1921" spans="1:18" x14ac:dyDescent="0.25">
      <c r="A1921" s="170">
        <v>44832</v>
      </c>
      <c r="B1921" s="116">
        <v>3485.2933194554398</v>
      </c>
      <c r="C1921" s="116">
        <v>3440.7940250568299</v>
      </c>
      <c r="D1921" s="116">
        <v>3398.0882752037001</v>
      </c>
      <c r="E1921" s="116">
        <v>3422.2768894791998</v>
      </c>
      <c r="F1921" s="116">
        <v>3549.1</v>
      </c>
      <c r="G1921">
        <v>69060</v>
      </c>
      <c r="H1921" s="116"/>
      <c r="I1921" s="116"/>
      <c r="L1921" s="170">
        <v>44832</v>
      </c>
      <c r="M1921" s="116">
        <v>3440.4601080737398</v>
      </c>
      <c r="N1921" s="116">
        <v>3487.1892879847401</v>
      </c>
      <c r="O1921" s="116">
        <v>3396.1061665607099</v>
      </c>
      <c r="P1921" s="116">
        <v>3420.3432930705699</v>
      </c>
      <c r="Q1921" s="116">
        <v>3548.75</v>
      </c>
      <c r="R1921">
        <v>2259832</v>
      </c>
    </row>
    <row r="1922" spans="1:18" x14ac:dyDescent="0.25">
      <c r="A1922" s="170">
        <v>44833</v>
      </c>
      <c r="B1922" s="116">
        <v>3550.4910873924</v>
      </c>
      <c r="C1922" s="116">
        <v>3366.0468442696201</v>
      </c>
      <c r="D1922" s="116">
        <v>3321.7414465786301</v>
      </c>
      <c r="E1922" s="116">
        <v>3467.8426157697099</v>
      </c>
      <c r="F1922" s="116">
        <v>3472</v>
      </c>
      <c r="G1922">
        <v>241104</v>
      </c>
      <c r="H1922" s="116"/>
      <c r="I1922" s="116"/>
      <c r="L1922" s="170">
        <v>44833</v>
      </c>
      <c r="M1922" s="116">
        <v>3364.7917991099798</v>
      </c>
      <c r="N1922" s="116">
        <v>3552.92037507947</v>
      </c>
      <c r="O1922" s="116">
        <v>3338.5187539733001</v>
      </c>
      <c r="P1922" s="116">
        <v>3474.1497139224398</v>
      </c>
      <c r="Q1922" s="116">
        <v>3470.7</v>
      </c>
      <c r="R1922">
        <v>15060223</v>
      </c>
    </row>
    <row r="1923" spans="1:18" x14ac:dyDescent="0.25">
      <c r="A1923" s="170">
        <v>44834</v>
      </c>
      <c r="B1923" s="116">
        <v>3416.45998825062</v>
      </c>
      <c r="C1923" s="116">
        <v>3345.6876899695999</v>
      </c>
      <c r="D1923" s="116">
        <v>3267.59579097596</v>
      </c>
      <c r="E1923" s="116">
        <v>3345.6876899695999</v>
      </c>
      <c r="F1923" s="116">
        <v>3451</v>
      </c>
      <c r="G1923">
        <v>333007</v>
      </c>
      <c r="H1923" s="116"/>
      <c r="I1923" s="116"/>
      <c r="L1923" s="170">
        <v>44834</v>
      </c>
      <c r="M1923" s="116">
        <v>3350.2979974570899</v>
      </c>
      <c r="N1923" s="116">
        <v>3416.27145581691</v>
      </c>
      <c r="O1923" s="116">
        <v>3268.2310870947199</v>
      </c>
      <c r="P1923" s="116">
        <v>3342.7360139860102</v>
      </c>
      <c r="Q1923" s="116">
        <v>3455.75</v>
      </c>
      <c r="R1923">
        <v>4307707</v>
      </c>
    </row>
    <row r="1924" spans="1:18" x14ac:dyDescent="0.25">
      <c r="A1924" s="170">
        <v>44837</v>
      </c>
      <c r="B1924" s="116">
        <v>3353.49203245128</v>
      </c>
      <c r="C1924" s="116">
        <v>3060.80495230007</v>
      </c>
      <c r="D1924" s="116">
        <v>3011.1189209726399</v>
      </c>
      <c r="E1924" s="116">
        <v>3348.5961405838898</v>
      </c>
      <c r="F1924" s="116">
        <v>3157.15</v>
      </c>
      <c r="G1924">
        <v>285344</v>
      </c>
      <c r="H1924" s="116"/>
      <c r="I1924" s="116"/>
      <c r="L1924" s="170">
        <v>44837</v>
      </c>
      <c r="M1924" s="116">
        <v>3060.9551811824499</v>
      </c>
      <c r="N1924" s="116">
        <v>3354.4667832167802</v>
      </c>
      <c r="O1924" s="116">
        <v>3015.2924348378901</v>
      </c>
      <c r="P1924" s="116">
        <v>3335.0286077558799</v>
      </c>
      <c r="Q1924" s="116">
        <v>3157.3</v>
      </c>
      <c r="R1924">
        <v>7578847</v>
      </c>
    </row>
    <row r="1925" spans="1:18" x14ac:dyDescent="0.25">
      <c r="A1925" s="170">
        <v>44838</v>
      </c>
      <c r="B1925" s="116">
        <v>3189.6008403361302</v>
      </c>
      <c r="C1925" s="116">
        <v>3139.57548977038</v>
      </c>
      <c r="D1925" s="116">
        <v>3030.5570659114701</v>
      </c>
      <c r="E1925" s="116">
        <v>3135.3097622027499</v>
      </c>
      <c r="F1925" s="116">
        <v>3238.4</v>
      </c>
      <c r="G1925">
        <v>170082</v>
      </c>
      <c r="H1925" s="116"/>
      <c r="I1925" s="116"/>
      <c r="L1925" s="170">
        <v>44838</v>
      </c>
      <c r="M1925" s="116">
        <v>3138.9017800381398</v>
      </c>
      <c r="N1925" s="116">
        <v>3190.76923076923</v>
      </c>
      <c r="O1925" s="116">
        <v>3029.6408137317198</v>
      </c>
      <c r="P1925" s="116">
        <v>3131.4367450731102</v>
      </c>
      <c r="Q1925" s="116">
        <v>3237.7</v>
      </c>
      <c r="R1925">
        <v>5642467</v>
      </c>
    </row>
    <row r="1926" spans="1:18" x14ac:dyDescent="0.25">
      <c r="A1926" s="170">
        <v>44840</v>
      </c>
      <c r="B1926" s="116">
        <v>3216.2616376337801</v>
      </c>
      <c r="C1926" s="116">
        <v>3185.62595782994</v>
      </c>
      <c r="D1926" s="116">
        <v>3109.4730259124899</v>
      </c>
      <c r="E1926" s="116">
        <v>3161.4858177313499</v>
      </c>
      <c r="F1926" s="116">
        <v>3285.9</v>
      </c>
      <c r="G1926">
        <v>169021</v>
      </c>
      <c r="H1926" s="116"/>
      <c r="I1926" s="116"/>
      <c r="L1926" s="170">
        <v>44840</v>
      </c>
      <c r="M1926" s="116">
        <v>3184.75842339479</v>
      </c>
      <c r="N1926" s="116">
        <v>3217.5270184361102</v>
      </c>
      <c r="O1926" s="116">
        <v>3110.1565479974602</v>
      </c>
      <c r="P1926" s="116">
        <v>3170.2161474888699</v>
      </c>
      <c r="Q1926" s="116">
        <v>3285</v>
      </c>
      <c r="R1926">
        <v>2845165</v>
      </c>
    </row>
    <row r="1927" spans="1:18" x14ac:dyDescent="0.25">
      <c r="A1927" s="170">
        <v>44841</v>
      </c>
      <c r="B1927" s="116">
        <v>3207.87560502925</v>
      </c>
      <c r="C1927" s="116">
        <v>3177.4822961099298</v>
      </c>
      <c r="D1927" s="116">
        <v>3129.0565933820299</v>
      </c>
      <c r="E1927" s="116">
        <v>3184.7534226456501</v>
      </c>
      <c r="F1927" s="116">
        <v>3277.5</v>
      </c>
      <c r="G1927">
        <v>88156</v>
      </c>
      <c r="H1927" s="116"/>
      <c r="I1927" s="116"/>
      <c r="L1927" s="170">
        <v>44841</v>
      </c>
      <c r="M1927" s="116">
        <v>3177.58423394787</v>
      </c>
      <c r="N1927" s="116">
        <v>3209.9165607120099</v>
      </c>
      <c r="O1927" s="116">
        <v>3129.6431977113798</v>
      </c>
      <c r="P1927" s="116">
        <v>3179.9109980928201</v>
      </c>
      <c r="Q1927" s="116">
        <v>3277.6</v>
      </c>
      <c r="R1927">
        <v>1930275</v>
      </c>
    </row>
    <row r="1928" spans="1:18" x14ac:dyDescent="0.25">
      <c r="A1928" s="170">
        <v>44844</v>
      </c>
      <c r="B1928" s="116">
        <v>3177.87008952517</v>
      </c>
      <c r="C1928" s="116">
        <v>3148.3008416132402</v>
      </c>
      <c r="D1928" s="116">
        <v>3117.85905851702</v>
      </c>
      <c r="E1928" s="116">
        <v>3136.27924574085</v>
      </c>
      <c r="F1928" s="116">
        <v>3247.4</v>
      </c>
      <c r="G1928">
        <v>45433</v>
      </c>
      <c r="H1928" s="116"/>
      <c r="I1928" s="116"/>
      <c r="L1928" s="170">
        <v>44844</v>
      </c>
      <c r="M1928" s="116">
        <v>3147.1908773045102</v>
      </c>
      <c r="N1928" s="116">
        <v>3178.6991417673198</v>
      </c>
      <c r="O1928" s="116">
        <v>3116.2643038779402</v>
      </c>
      <c r="P1928" s="116">
        <v>3135.31468531469</v>
      </c>
      <c r="Q1928" s="116">
        <v>3246.25</v>
      </c>
      <c r="R1928">
        <v>1590792</v>
      </c>
    </row>
    <row r="1929" spans="1:18" x14ac:dyDescent="0.25">
      <c r="A1929" s="170">
        <v>44845</v>
      </c>
      <c r="B1929" s="116">
        <v>3236.13605016475</v>
      </c>
      <c r="C1929" s="116">
        <v>3173.4589394268301</v>
      </c>
      <c r="D1929" s="116">
        <v>3151.3547147582399</v>
      </c>
      <c r="E1929" s="116">
        <v>3153.8753719572901</v>
      </c>
      <c r="F1929" s="116">
        <v>3273.35</v>
      </c>
      <c r="G1929">
        <v>97671</v>
      </c>
      <c r="H1929" s="116"/>
      <c r="I1929" s="116"/>
      <c r="L1929" s="170">
        <v>44845</v>
      </c>
      <c r="M1929" s="116">
        <v>3174.0456134774299</v>
      </c>
      <c r="N1929" s="116">
        <v>3236.1411315956798</v>
      </c>
      <c r="O1929" s="116">
        <v>3149.8569612206002</v>
      </c>
      <c r="P1929" s="116">
        <v>3158.1460584869701</v>
      </c>
      <c r="Q1929" s="116">
        <v>3273.95</v>
      </c>
      <c r="R1929">
        <v>2544394</v>
      </c>
    </row>
    <row r="1930" spans="1:18" x14ac:dyDescent="0.25">
      <c r="A1930" s="170">
        <v>44846</v>
      </c>
      <c r="B1930" s="116">
        <v>3208.9905110980599</v>
      </c>
      <c r="C1930" s="116">
        <v>3125.85729770632</v>
      </c>
      <c r="D1930" s="116">
        <v>3045.2447415136298</v>
      </c>
      <c r="E1930" s="116">
        <v>3208.9905110980599</v>
      </c>
      <c r="F1930" s="116">
        <v>3224.25</v>
      </c>
      <c r="G1930">
        <v>98788</v>
      </c>
      <c r="H1930" s="116"/>
      <c r="I1930" s="116"/>
      <c r="L1930" s="170">
        <v>44846</v>
      </c>
      <c r="M1930" s="116">
        <v>3125.2805149396099</v>
      </c>
      <c r="N1930" s="116">
        <v>3196.39224411952</v>
      </c>
      <c r="O1930" s="116">
        <v>3049.0305149396099</v>
      </c>
      <c r="P1930" s="116">
        <v>3196.39224411952</v>
      </c>
      <c r="Q1930" s="116">
        <v>3223.65</v>
      </c>
      <c r="R1930">
        <v>2972601</v>
      </c>
    </row>
    <row r="1931" spans="1:18" x14ac:dyDescent="0.25">
      <c r="A1931" s="170">
        <v>44847</v>
      </c>
      <c r="B1931" s="116">
        <v>3162.45530126944</v>
      </c>
      <c r="C1931" s="116">
        <v>3134.9219687875102</v>
      </c>
      <c r="D1931" s="116">
        <v>3091.68300298843</v>
      </c>
      <c r="E1931" s="116">
        <v>3121.4946217848801</v>
      </c>
      <c r="F1931" s="116">
        <v>3233.6</v>
      </c>
      <c r="G1931">
        <v>96086</v>
      </c>
      <c r="H1931" s="116"/>
      <c r="I1931" s="116"/>
      <c r="L1931" s="170">
        <v>44847</v>
      </c>
      <c r="M1931" s="116">
        <v>3134.9753655435502</v>
      </c>
      <c r="N1931" s="116">
        <v>3163.2358550540398</v>
      </c>
      <c r="O1931" s="116">
        <v>3091.6878575969499</v>
      </c>
      <c r="P1931" s="116">
        <v>3119.8029243483802</v>
      </c>
      <c r="Q1931" s="116">
        <v>3233.65</v>
      </c>
      <c r="R1931">
        <v>1840193</v>
      </c>
    </row>
    <row r="1932" spans="1:18" x14ac:dyDescent="0.25">
      <c r="A1932" s="170">
        <v>44848</v>
      </c>
      <c r="B1932" s="116">
        <v>3203.6583516385299</v>
      </c>
      <c r="C1932" s="116">
        <v>3110.10319021226</v>
      </c>
      <c r="D1932" s="116">
        <v>3096.6273690327198</v>
      </c>
      <c r="E1932" s="116">
        <v>3161.53429190825</v>
      </c>
      <c r="F1932" s="116">
        <v>3208</v>
      </c>
      <c r="G1932">
        <v>47570</v>
      </c>
      <c r="H1932" s="116"/>
      <c r="I1932" s="116"/>
      <c r="L1932" s="170">
        <v>44848</v>
      </c>
      <c r="M1932" s="116">
        <v>3111.56230133503</v>
      </c>
      <c r="N1932" s="116">
        <v>3204.1481246026701</v>
      </c>
      <c r="O1932" s="116">
        <v>3097.3593452002501</v>
      </c>
      <c r="P1932" s="116">
        <v>3172.15511760966</v>
      </c>
      <c r="Q1932" s="116">
        <v>3209.5</v>
      </c>
      <c r="R1932">
        <v>1344415</v>
      </c>
    </row>
    <row r="1933" spans="1:18" x14ac:dyDescent="0.25">
      <c r="A1933" s="170">
        <v>44851</v>
      </c>
      <c r="B1933" s="116">
        <v>3136.2307715639399</v>
      </c>
      <c r="C1933" s="116">
        <v>3114.0780727184501</v>
      </c>
      <c r="D1933" s="116">
        <v>3042.2393425455298</v>
      </c>
      <c r="E1933" s="116">
        <v>3111.5574155193999</v>
      </c>
      <c r="F1933" s="116">
        <v>3212.1</v>
      </c>
      <c r="G1933">
        <v>429616</v>
      </c>
      <c r="H1933" s="116"/>
      <c r="I1933" s="116"/>
      <c r="L1933" s="170">
        <v>44851</v>
      </c>
      <c r="M1933" s="116">
        <v>3114.5677050222498</v>
      </c>
      <c r="N1933" s="116">
        <v>3136.2841703750801</v>
      </c>
      <c r="O1933" s="116">
        <v>3040.4020979021002</v>
      </c>
      <c r="P1933" s="116">
        <v>3113.0165289256202</v>
      </c>
      <c r="Q1933" s="116">
        <v>3212.6</v>
      </c>
      <c r="R1933">
        <v>1985298</v>
      </c>
    </row>
    <row r="1934" spans="1:18" x14ac:dyDescent="0.25">
      <c r="A1934" s="170">
        <v>44852</v>
      </c>
      <c r="B1934" s="116">
        <v>3196.3872251028101</v>
      </c>
      <c r="C1934" s="116">
        <v>3184.7534226456501</v>
      </c>
      <c r="D1934" s="116">
        <v>3126.5359361829801</v>
      </c>
      <c r="E1934" s="116">
        <v>3170.16269539731</v>
      </c>
      <c r="F1934" s="116">
        <v>3285</v>
      </c>
      <c r="G1934">
        <v>57034</v>
      </c>
      <c r="H1934" s="116"/>
      <c r="I1934" s="116"/>
      <c r="L1934" s="170">
        <v>44852</v>
      </c>
      <c r="M1934" s="116">
        <v>3184.07978385251</v>
      </c>
      <c r="N1934" s="116">
        <v>3197.3617291799101</v>
      </c>
      <c r="O1934" s="116">
        <v>3127.6557533375699</v>
      </c>
      <c r="P1934" s="116">
        <v>3149.8569612206002</v>
      </c>
      <c r="Q1934" s="116">
        <v>3284.3</v>
      </c>
      <c r="R1934">
        <v>1635079</v>
      </c>
    </row>
    <row r="1935" spans="1:18" x14ac:dyDescent="0.25">
      <c r="A1935" s="170">
        <v>44853</v>
      </c>
      <c r="B1935" s="116">
        <v>3212.8199710735398</v>
      </c>
      <c r="C1935" s="116">
        <v>3176.99755434089</v>
      </c>
      <c r="D1935" s="116">
        <v>3158.6258412939601</v>
      </c>
      <c r="E1935" s="116">
        <v>3212.8199710735398</v>
      </c>
      <c r="F1935" s="116">
        <v>3277</v>
      </c>
      <c r="G1935">
        <v>112817</v>
      </c>
      <c r="H1935" s="116"/>
      <c r="I1935" s="116"/>
      <c r="L1935" s="170">
        <v>44853</v>
      </c>
      <c r="M1935" s="116">
        <v>3177.2449141767302</v>
      </c>
      <c r="N1935" s="116">
        <v>3208.99554990464</v>
      </c>
      <c r="O1935" s="116">
        <v>3160.1819771137998</v>
      </c>
      <c r="P1935" s="116">
        <v>3199.3006993007002</v>
      </c>
      <c r="Q1935" s="116">
        <v>3277.25</v>
      </c>
      <c r="R1935">
        <v>1396513</v>
      </c>
    </row>
    <row r="1936" spans="1:18" x14ac:dyDescent="0.25">
      <c r="A1936" s="170">
        <v>44854</v>
      </c>
      <c r="B1936" s="116">
        <v>3262.9907441700102</v>
      </c>
      <c r="C1936" s="116">
        <v>3254.84708245</v>
      </c>
      <c r="D1936" s="116">
        <v>3146.94356465991</v>
      </c>
      <c r="E1936" s="116">
        <v>3156.6384000408698</v>
      </c>
      <c r="F1936" s="116">
        <v>3357.3</v>
      </c>
      <c r="G1936">
        <v>91140</v>
      </c>
      <c r="H1936" s="116"/>
      <c r="I1936" s="116"/>
      <c r="L1936" s="170">
        <v>44854</v>
      </c>
      <c r="M1936" s="116">
        <v>3254.6582962491998</v>
      </c>
      <c r="N1936" s="116">
        <v>3262.3172282263199</v>
      </c>
      <c r="O1936" s="116">
        <v>3145.9790209790199</v>
      </c>
      <c r="P1936" s="116">
        <v>3160.5212968849301</v>
      </c>
      <c r="Q1936" s="116">
        <v>3357.1</v>
      </c>
      <c r="R1936">
        <v>2211287</v>
      </c>
    </row>
    <row r="1937" spans="1:18" x14ac:dyDescent="0.25">
      <c r="A1937" s="170">
        <v>44855</v>
      </c>
      <c r="B1937" s="116">
        <v>3277.09672964931</v>
      </c>
      <c r="C1937" s="116">
        <v>3209.9115204592499</v>
      </c>
      <c r="D1937" s="116">
        <v>3186.2561221297001</v>
      </c>
      <c r="E1937" s="116">
        <v>3276.2726686419301</v>
      </c>
      <c r="F1937" s="116">
        <v>3310.95</v>
      </c>
      <c r="G1937">
        <v>66336</v>
      </c>
      <c r="H1937" s="116"/>
      <c r="I1937" s="116"/>
      <c r="L1937" s="170">
        <v>44855</v>
      </c>
      <c r="M1937" s="116">
        <v>3210.8375715193902</v>
      </c>
      <c r="N1937" s="116">
        <v>3278.7984742530198</v>
      </c>
      <c r="O1937" s="116">
        <v>3186.6973935155802</v>
      </c>
      <c r="P1937" s="116">
        <v>3271.9151303242202</v>
      </c>
      <c r="Q1937" s="116">
        <v>3311.9</v>
      </c>
      <c r="R1937">
        <v>1120790</v>
      </c>
    </row>
    <row r="1938" spans="1:18" x14ac:dyDescent="0.25">
      <c r="A1938" s="170">
        <v>44858</v>
      </c>
      <c r="B1938" s="116">
        <v>3237.1055337028401</v>
      </c>
      <c r="C1938" s="116">
        <v>3208.6027176828202</v>
      </c>
      <c r="D1938" s="116">
        <v>3191.1035398201798</v>
      </c>
      <c r="E1938" s="116">
        <v>3237.1055337028401</v>
      </c>
      <c r="F1938" s="116">
        <v>3309.6</v>
      </c>
      <c r="G1938">
        <v>5654</v>
      </c>
      <c r="H1938" s="116"/>
      <c r="I1938" s="116"/>
      <c r="L1938" s="170">
        <v>44858</v>
      </c>
      <c r="M1938" s="116">
        <v>3208.80165289256</v>
      </c>
      <c r="N1938" s="116">
        <v>3238.1770502224999</v>
      </c>
      <c r="O1938" s="116">
        <v>3187.0851875397302</v>
      </c>
      <c r="P1938" s="116">
        <v>3223.5378258105502</v>
      </c>
      <c r="Q1938" s="116">
        <v>3309.8</v>
      </c>
      <c r="R1938">
        <v>248249</v>
      </c>
    </row>
    <row r="1939" spans="1:18" x14ac:dyDescent="0.25">
      <c r="A1939" s="170">
        <v>44859</v>
      </c>
      <c r="B1939" s="116">
        <v>3243.8919184695201</v>
      </c>
      <c r="C1939" s="116">
        <v>3199.2956757171</v>
      </c>
      <c r="D1939" s="116">
        <v>3194.1574129651899</v>
      </c>
      <c r="E1939" s="116">
        <v>3213.83792878854</v>
      </c>
      <c r="F1939" s="116">
        <v>3300</v>
      </c>
      <c r="G1939">
        <v>24727</v>
      </c>
      <c r="H1939" s="116"/>
      <c r="I1939" s="116"/>
      <c r="L1939" s="170">
        <v>44859</v>
      </c>
      <c r="M1939" s="116">
        <v>3199.7854418308998</v>
      </c>
      <c r="N1939" s="116">
        <v>3242.9275270184398</v>
      </c>
      <c r="O1939" s="116">
        <v>3193.4837889383298</v>
      </c>
      <c r="P1939" s="116">
        <v>3220.5808963763502</v>
      </c>
      <c r="Q1939" s="116">
        <v>3300.5</v>
      </c>
      <c r="R1939">
        <v>879424</v>
      </c>
    </row>
    <row r="1940" spans="1:18" x14ac:dyDescent="0.25">
      <c r="A1940" s="170">
        <v>44861</v>
      </c>
      <c r="B1940" s="116">
        <v>3250.67830323619</v>
      </c>
      <c r="C1940" s="116">
        <v>3223.4358158156901</v>
      </c>
      <c r="D1940" s="116">
        <v>3197.21128611019</v>
      </c>
      <c r="E1940" s="116">
        <v>3209.4752528671002</v>
      </c>
      <c r="F1940" s="116">
        <v>3324.9</v>
      </c>
      <c r="G1940">
        <v>88497</v>
      </c>
      <c r="H1940" s="116"/>
      <c r="I1940" s="116"/>
      <c r="L1940" s="170">
        <v>44861</v>
      </c>
      <c r="M1940" s="116">
        <v>3223.5378258105502</v>
      </c>
      <c r="N1940" s="116">
        <v>3252.6223776223801</v>
      </c>
      <c r="O1940" s="116">
        <v>3196.39224411952</v>
      </c>
      <c r="P1940" s="116">
        <v>3218.5449777495201</v>
      </c>
      <c r="Q1940" s="116">
        <v>3325</v>
      </c>
      <c r="R1940">
        <v>1106870</v>
      </c>
    </row>
    <row r="1941" spans="1:18" x14ac:dyDescent="0.25">
      <c r="A1941" s="170">
        <v>44862</v>
      </c>
      <c r="B1941" s="116">
        <v>3282.6712599933599</v>
      </c>
      <c r="C1941" s="116">
        <v>3224.1629284692599</v>
      </c>
      <c r="D1941" s="116">
        <v>3199.24720154019</v>
      </c>
      <c r="E1941" s="116">
        <v>3231.7249000664101</v>
      </c>
      <c r="F1941" s="116">
        <v>3325.65</v>
      </c>
      <c r="G1941">
        <v>218409</v>
      </c>
      <c r="H1941" s="116"/>
      <c r="I1941" s="116"/>
      <c r="L1941" s="170">
        <v>44862</v>
      </c>
      <c r="M1941" s="116">
        <v>3221.8897012078801</v>
      </c>
      <c r="N1941" s="116">
        <v>3284.56691036236</v>
      </c>
      <c r="O1941" s="116">
        <v>3197.0224094087698</v>
      </c>
      <c r="P1941" s="116">
        <v>3220.62937062937</v>
      </c>
      <c r="Q1941" s="116">
        <v>3323.3</v>
      </c>
      <c r="R1941">
        <v>1323334</v>
      </c>
    </row>
    <row r="1942" spans="1:18" x14ac:dyDescent="0.25">
      <c r="A1942" s="170">
        <v>44865</v>
      </c>
      <c r="B1942" s="116">
        <v>3257.4646880028599</v>
      </c>
      <c r="C1942" s="116">
        <v>3244.2312377078501</v>
      </c>
      <c r="D1942" s="116">
        <v>3225.5686795994998</v>
      </c>
      <c r="E1942" s="116">
        <v>3233.2275995504601</v>
      </c>
      <c r="F1942" s="116">
        <v>3346.35</v>
      </c>
      <c r="G1942">
        <v>35373</v>
      </c>
      <c r="H1942" s="116"/>
      <c r="I1942" s="116"/>
      <c r="L1942" s="170">
        <v>44865</v>
      </c>
      <c r="M1942" s="116">
        <v>3245.3027654163998</v>
      </c>
      <c r="N1942" s="116">
        <v>3257.46980292435</v>
      </c>
      <c r="O1942" s="116">
        <v>3224.6042593769898</v>
      </c>
      <c r="P1942" s="116">
        <v>3238.0316274634501</v>
      </c>
      <c r="Q1942" s="116">
        <v>3347.45</v>
      </c>
      <c r="R1942">
        <v>575722</v>
      </c>
    </row>
    <row r="1943" spans="1:18" x14ac:dyDescent="0.25">
      <c r="A1943" s="170">
        <v>44866</v>
      </c>
      <c r="B1943" s="116">
        <v>3494.9881548364001</v>
      </c>
      <c r="C1943" s="116">
        <v>3466.4853388163801</v>
      </c>
      <c r="D1943" s="116">
        <v>3248.8362845138099</v>
      </c>
      <c r="E1943" s="116">
        <v>3248.8362845138099</v>
      </c>
      <c r="F1943" s="116">
        <v>3575.6</v>
      </c>
      <c r="G1943">
        <v>142943</v>
      </c>
      <c r="H1943" s="116"/>
      <c r="I1943" s="116"/>
      <c r="L1943" s="170">
        <v>44866</v>
      </c>
      <c r="M1943" s="116">
        <v>3466.5877304513701</v>
      </c>
      <c r="N1943" s="116">
        <v>3497.3688811188799</v>
      </c>
      <c r="O1943" s="116">
        <v>3249.7139224411899</v>
      </c>
      <c r="P1943" s="116">
        <v>3259.3118245391001</v>
      </c>
      <c r="Q1943" s="116">
        <v>3575.7</v>
      </c>
      <c r="R1943">
        <v>4393335</v>
      </c>
    </row>
    <row r="1944" spans="1:18" x14ac:dyDescent="0.25">
      <c r="A1944" s="170">
        <v>44867</v>
      </c>
      <c r="B1944" s="116">
        <v>3514.3778255983202</v>
      </c>
      <c r="C1944" s="116">
        <v>3468.8120993078101</v>
      </c>
      <c r="D1944" s="116">
        <v>3418.3989553268102</v>
      </c>
      <c r="E1944" s="116">
        <v>3466.4853388163801</v>
      </c>
      <c r="F1944" s="116">
        <v>3578</v>
      </c>
      <c r="G1944">
        <v>82645</v>
      </c>
      <c r="H1944" s="116"/>
      <c r="I1944" s="116"/>
      <c r="L1944" s="170">
        <v>44867</v>
      </c>
      <c r="M1944" s="116">
        <v>3471.43515575334</v>
      </c>
      <c r="N1944" s="116">
        <v>3514.5287666878598</v>
      </c>
      <c r="O1944" s="116">
        <v>3418.4043229497802</v>
      </c>
      <c r="P1944" s="116">
        <v>3470.75651621106</v>
      </c>
      <c r="Q1944" s="116">
        <v>3580.7</v>
      </c>
      <c r="R1944">
        <v>2534755</v>
      </c>
    </row>
    <row r="1945" spans="1:18" x14ac:dyDescent="0.25">
      <c r="A1945" s="170">
        <v>44868</v>
      </c>
      <c r="B1945" s="116">
        <v>3502.8409714949798</v>
      </c>
      <c r="C1945" s="116">
        <v>3481.5123336568699</v>
      </c>
      <c r="D1945" s="116">
        <v>3432.9412083982502</v>
      </c>
      <c r="E1945" s="116">
        <v>3432.9412083982502</v>
      </c>
      <c r="F1945" s="116">
        <v>3591.1</v>
      </c>
      <c r="G1945">
        <v>51974</v>
      </c>
      <c r="H1945" s="116"/>
      <c r="I1945" s="116"/>
      <c r="L1945" s="170">
        <v>44868</v>
      </c>
      <c r="M1945" s="116">
        <v>3480.8391608391598</v>
      </c>
      <c r="N1945" s="116">
        <v>3504.3976478067402</v>
      </c>
      <c r="O1945" s="116">
        <v>3434.3523521932598</v>
      </c>
      <c r="P1945" s="116">
        <v>3441.6719643992401</v>
      </c>
      <c r="Q1945" s="116">
        <v>3590.4</v>
      </c>
      <c r="R1945">
        <v>1275216</v>
      </c>
    </row>
    <row r="1946" spans="1:18" x14ac:dyDescent="0.25">
      <c r="A1946" s="170">
        <v>44869</v>
      </c>
      <c r="B1946" s="116">
        <v>3732.5116216699398</v>
      </c>
      <c r="C1946" s="116">
        <v>3715.40023722255</v>
      </c>
      <c r="D1946" s="116">
        <v>3457.3721935582698</v>
      </c>
      <c r="E1946" s="116">
        <v>3519.2252432887999</v>
      </c>
      <c r="F1946" s="116">
        <v>3832.35</v>
      </c>
      <c r="G1946">
        <v>308319</v>
      </c>
      <c r="H1946" s="116"/>
      <c r="I1946" s="116"/>
      <c r="L1946" s="170">
        <v>44869</v>
      </c>
      <c r="M1946" s="116">
        <v>3716.2786077558799</v>
      </c>
      <c r="N1946" s="116">
        <v>3732.3235855053999</v>
      </c>
      <c r="O1946" s="116">
        <v>3457.9108391608402</v>
      </c>
      <c r="P1946" s="116">
        <v>3530.8645899554999</v>
      </c>
      <c r="Q1946" s="116">
        <v>3833.25</v>
      </c>
      <c r="R1946">
        <v>6112097</v>
      </c>
    </row>
    <row r="1947" spans="1:18" x14ac:dyDescent="0.25">
      <c r="A1947" s="170">
        <v>44872</v>
      </c>
      <c r="B1947" s="116">
        <v>3892.4764054558</v>
      </c>
      <c r="C1947" s="116">
        <v>3840.2697169293301</v>
      </c>
      <c r="D1947" s="116">
        <v>3704.0088056499199</v>
      </c>
      <c r="E1947" s="116">
        <v>3722.9622088197002</v>
      </c>
      <c r="F1947" s="116">
        <v>3961.15</v>
      </c>
      <c r="G1947">
        <v>231469</v>
      </c>
      <c r="H1947" s="116"/>
      <c r="I1947" s="116"/>
      <c r="L1947" s="170">
        <v>44872</v>
      </c>
      <c r="M1947" s="116">
        <v>3839.7425301970802</v>
      </c>
      <c r="N1947" s="116">
        <v>3891.222186904</v>
      </c>
      <c r="O1947" s="116">
        <v>3703.4329307056601</v>
      </c>
      <c r="P1947" s="116">
        <v>3734.8927209154499</v>
      </c>
      <c r="Q1947" s="116">
        <v>3960.6</v>
      </c>
      <c r="R1947">
        <v>5985652</v>
      </c>
    </row>
    <row r="1948" spans="1:18" x14ac:dyDescent="0.25">
      <c r="A1948" s="170">
        <v>44874</v>
      </c>
      <c r="B1948" s="116">
        <v>3923.7422495594001</v>
      </c>
      <c r="C1948" s="116">
        <v>3875.1711243007799</v>
      </c>
      <c r="D1948" s="116">
        <v>3823.0129099512101</v>
      </c>
      <c r="E1948" s="116">
        <v>3848.8981204183801</v>
      </c>
      <c r="F1948" s="116">
        <v>3997.15</v>
      </c>
      <c r="G1948">
        <v>198050</v>
      </c>
      <c r="H1948" s="116"/>
      <c r="I1948" s="116"/>
      <c r="L1948" s="170">
        <v>44874</v>
      </c>
      <c r="M1948" s="116">
        <v>3875.2256834075001</v>
      </c>
      <c r="N1948" s="116">
        <v>3924.4755244755202</v>
      </c>
      <c r="O1948" s="116">
        <v>3822.7280673871601</v>
      </c>
      <c r="P1948" s="116">
        <v>3855.64208518754</v>
      </c>
      <c r="Q1948" s="116">
        <v>3997.2</v>
      </c>
      <c r="R1948">
        <v>3732472</v>
      </c>
    </row>
    <row r="1949" spans="1:18" x14ac:dyDescent="0.25">
      <c r="A1949" s="170">
        <v>44875</v>
      </c>
      <c r="B1949" s="116">
        <v>3905.0796914510502</v>
      </c>
      <c r="C1949" s="116">
        <v>3871.0508192638799</v>
      </c>
      <c r="D1949" s="116">
        <v>3841.8208905902802</v>
      </c>
      <c r="E1949" s="116">
        <v>3875.1711243007799</v>
      </c>
      <c r="F1949" s="116">
        <v>3992.9</v>
      </c>
      <c r="G1949">
        <v>73105</v>
      </c>
      <c r="H1949" s="116"/>
      <c r="I1949" s="116"/>
      <c r="L1949" s="170">
        <v>44875</v>
      </c>
      <c r="M1949" s="116">
        <v>3870.42673235855</v>
      </c>
      <c r="N1949" s="116">
        <v>3907.0247933884302</v>
      </c>
      <c r="O1949" s="116">
        <v>3841.2452320406901</v>
      </c>
      <c r="P1949" s="116">
        <v>3873.09281627463</v>
      </c>
      <c r="Q1949" s="116">
        <v>3992.25</v>
      </c>
      <c r="R1949">
        <v>2313795</v>
      </c>
    </row>
    <row r="1950" spans="1:18" x14ac:dyDescent="0.25">
      <c r="A1950" s="170">
        <v>44876</v>
      </c>
      <c r="B1950" s="116">
        <v>3925.4388457510699</v>
      </c>
      <c r="C1950" s="116">
        <v>3886.3686591657902</v>
      </c>
      <c r="D1950" s="116">
        <v>3853.7455381088598</v>
      </c>
      <c r="E1950" s="116">
        <v>3925.4388457510699</v>
      </c>
      <c r="F1950" s="116">
        <v>4008.7</v>
      </c>
      <c r="G1950">
        <v>78668</v>
      </c>
      <c r="H1950" s="116"/>
      <c r="I1950" s="116"/>
      <c r="L1950" s="170">
        <v>44876</v>
      </c>
      <c r="M1950" s="116">
        <v>3886.5201843610898</v>
      </c>
      <c r="N1950" s="116">
        <v>3925.3965352829</v>
      </c>
      <c r="O1950" s="116">
        <v>3853.8485378258101</v>
      </c>
      <c r="P1950" s="116">
        <v>3916.71964399237</v>
      </c>
      <c r="Q1950" s="116">
        <v>4008.85</v>
      </c>
      <c r="R1950">
        <v>1476875</v>
      </c>
    </row>
    <row r="1951" spans="1:18" x14ac:dyDescent="0.25">
      <c r="A1951" s="170">
        <v>44879</v>
      </c>
      <c r="B1951" s="116">
        <v>3953.2630232944198</v>
      </c>
      <c r="C1951" s="116">
        <v>3898.3417808612799</v>
      </c>
      <c r="D1951" s="116">
        <v>3873.0867346938799</v>
      </c>
      <c r="E1951" s="116">
        <v>3875.0741759469702</v>
      </c>
      <c r="F1951" s="116">
        <v>4021.05</v>
      </c>
      <c r="G1951">
        <v>57502</v>
      </c>
      <c r="H1951" s="116"/>
      <c r="I1951" s="116"/>
      <c r="L1951" s="170">
        <v>44879</v>
      </c>
      <c r="M1951" s="116">
        <v>3899.8021296884899</v>
      </c>
      <c r="N1951" s="116">
        <v>3953.5600762873501</v>
      </c>
      <c r="O1951" s="116">
        <v>3868.2453909726601</v>
      </c>
      <c r="P1951" s="116">
        <v>3876.9707565162098</v>
      </c>
      <c r="Q1951" s="116">
        <v>4022.55</v>
      </c>
      <c r="R1951">
        <v>1803092</v>
      </c>
    </row>
    <row r="1952" spans="1:18" x14ac:dyDescent="0.25">
      <c r="A1952" s="170">
        <v>44880</v>
      </c>
      <c r="B1952" s="116">
        <v>3940.9505823606</v>
      </c>
      <c r="C1952" s="116">
        <v>3933.7279300017899</v>
      </c>
      <c r="D1952" s="116">
        <v>3899.2627902224699</v>
      </c>
      <c r="E1952" s="116">
        <v>3899.2627902224699</v>
      </c>
      <c r="F1952" s="116">
        <v>4057.55</v>
      </c>
      <c r="G1952">
        <v>60100</v>
      </c>
      <c r="H1952" s="116"/>
      <c r="I1952" s="116"/>
      <c r="L1952" s="170">
        <v>44880</v>
      </c>
      <c r="M1952" s="116">
        <v>3933.97647806739</v>
      </c>
      <c r="N1952" s="116">
        <v>3940.95677050222</v>
      </c>
      <c r="O1952" s="116">
        <v>3899.2689129052801</v>
      </c>
      <c r="P1952" s="116">
        <v>3902.2258423394801</v>
      </c>
      <c r="Q1952" s="116">
        <v>4057.8</v>
      </c>
      <c r="R1952">
        <v>1065546</v>
      </c>
    </row>
    <row r="1953" spans="1:18" x14ac:dyDescent="0.25">
      <c r="A1953" s="170">
        <v>44881</v>
      </c>
      <c r="B1953" s="116">
        <v>3973.04048747158</v>
      </c>
      <c r="C1953" s="116">
        <v>3835.71314430027</v>
      </c>
      <c r="D1953" s="116">
        <v>3746.90845221067</v>
      </c>
      <c r="E1953" s="116">
        <v>3944.8285165129901</v>
      </c>
      <c r="F1953" s="116">
        <v>3956.45</v>
      </c>
      <c r="G1953">
        <v>85505</v>
      </c>
      <c r="H1953" s="116"/>
      <c r="I1953" s="116"/>
      <c r="L1953" s="170">
        <v>44881</v>
      </c>
      <c r="M1953" s="116">
        <v>3835.8645899554999</v>
      </c>
      <c r="N1953" s="116">
        <v>3971.01080737444</v>
      </c>
      <c r="O1953" s="116">
        <v>3745.6540050858198</v>
      </c>
      <c r="P1953" s="116">
        <v>3933.4917355371899</v>
      </c>
      <c r="Q1953" s="116">
        <v>3956.6</v>
      </c>
      <c r="R1953">
        <v>3059841</v>
      </c>
    </row>
    <row r="1954" spans="1:18" x14ac:dyDescent="0.25">
      <c r="A1954" s="170">
        <v>44882</v>
      </c>
      <c r="B1954" s="116">
        <v>3908.9576256034302</v>
      </c>
      <c r="C1954" s="116">
        <v>3895.0455368317498</v>
      </c>
      <c r="D1954" s="116">
        <v>3781.1312211054601</v>
      </c>
      <c r="E1954" s="116">
        <v>3858.5444816224399</v>
      </c>
      <c r="F1954" s="116">
        <v>4017.65</v>
      </c>
      <c r="G1954">
        <v>64000</v>
      </c>
      <c r="H1954" s="116"/>
      <c r="I1954" s="116"/>
      <c r="L1954" s="170">
        <v>44882</v>
      </c>
      <c r="M1954" s="116">
        <v>3895.5363954227601</v>
      </c>
      <c r="N1954" s="116">
        <v>3909.93324856961</v>
      </c>
      <c r="O1954" s="116">
        <v>3780.9917355371899</v>
      </c>
      <c r="P1954" s="116">
        <v>3848.85568976478</v>
      </c>
      <c r="Q1954" s="116">
        <v>4018.15</v>
      </c>
      <c r="R1954">
        <v>2266112</v>
      </c>
    </row>
    <row r="1955" spans="1:18" x14ac:dyDescent="0.25">
      <c r="A1955" s="170">
        <v>44883</v>
      </c>
      <c r="B1955" s="116">
        <v>3936.1031646701199</v>
      </c>
      <c r="C1955" s="116">
        <v>3897.1784006155699</v>
      </c>
      <c r="D1955" s="116">
        <v>3863.7796927281602</v>
      </c>
      <c r="E1955" s="116">
        <v>3936.1031646701199</v>
      </c>
      <c r="F1955" s="116">
        <v>4019.85</v>
      </c>
      <c r="G1955">
        <v>36718</v>
      </c>
      <c r="H1955" s="116"/>
      <c r="I1955" s="116"/>
      <c r="L1955" s="170">
        <v>44883</v>
      </c>
      <c r="M1955" s="116">
        <v>3897.1360457724099</v>
      </c>
      <c r="N1955" s="116">
        <v>3919.6280991735498</v>
      </c>
      <c r="O1955" s="116">
        <v>3862.4284806103001</v>
      </c>
      <c r="P1955" s="116">
        <v>3905.4251430387799</v>
      </c>
      <c r="Q1955" s="116">
        <v>4019.8</v>
      </c>
      <c r="R1955">
        <v>1440776</v>
      </c>
    </row>
    <row r="1956" spans="1:18" x14ac:dyDescent="0.25">
      <c r="A1956" s="170">
        <v>44886</v>
      </c>
      <c r="B1956" s="116">
        <v>3894.4153725319902</v>
      </c>
      <c r="C1956" s="116">
        <v>3879.0005842762598</v>
      </c>
      <c r="D1956" s="116">
        <v>3801.1510561671498</v>
      </c>
      <c r="E1956" s="116">
        <v>3894.4153725319902</v>
      </c>
      <c r="F1956" s="116">
        <v>4001.1</v>
      </c>
      <c r="G1956">
        <v>63917</v>
      </c>
      <c r="H1956" s="116"/>
      <c r="I1956" s="116"/>
      <c r="L1956" s="170">
        <v>44886</v>
      </c>
      <c r="M1956" s="116">
        <v>3879.7337889383298</v>
      </c>
      <c r="N1956" s="116">
        <v>3897.2814685314702</v>
      </c>
      <c r="O1956" s="116">
        <v>3802.2719326128399</v>
      </c>
      <c r="P1956" s="116">
        <v>3897.2814685314702</v>
      </c>
      <c r="Q1956" s="116">
        <v>4001.85</v>
      </c>
      <c r="R1956">
        <v>1492003</v>
      </c>
    </row>
    <row r="1957" spans="1:18" x14ac:dyDescent="0.25">
      <c r="A1957" s="170">
        <v>44887</v>
      </c>
      <c r="B1957" s="116">
        <v>3932.2252305177399</v>
      </c>
      <c r="C1957" s="116">
        <v>3912.4477663405801</v>
      </c>
      <c r="D1957" s="116">
        <v>3865.6217114505398</v>
      </c>
      <c r="E1957" s="116">
        <v>3891.5069219176999</v>
      </c>
      <c r="F1957" s="116">
        <v>4035.6</v>
      </c>
      <c r="G1957">
        <v>41648</v>
      </c>
      <c r="H1957" s="116"/>
      <c r="I1957" s="116"/>
      <c r="L1957" s="170">
        <v>44887</v>
      </c>
      <c r="M1957" s="116">
        <v>3910.9027336300101</v>
      </c>
      <c r="N1957" s="116">
        <v>3932.2314049586798</v>
      </c>
      <c r="O1957" s="116">
        <v>3866.3064208518699</v>
      </c>
      <c r="P1957" s="116">
        <v>3879.7337889383298</v>
      </c>
      <c r="Q1957" s="116">
        <v>4034</v>
      </c>
      <c r="R1957">
        <v>1705043</v>
      </c>
    </row>
    <row r="1958" spans="1:18" x14ac:dyDescent="0.25">
      <c r="A1958" s="170">
        <v>44888</v>
      </c>
      <c r="B1958" s="116">
        <v>3936.1031646701199</v>
      </c>
      <c r="C1958" s="116">
        <v>3784.5244134887998</v>
      </c>
      <c r="D1958" s="116">
        <v>3754.8582172230599</v>
      </c>
      <c r="E1958" s="116">
        <v>3924.56631056678</v>
      </c>
      <c r="F1958" s="116">
        <v>3903.65</v>
      </c>
      <c r="G1958">
        <v>131366</v>
      </c>
      <c r="H1958" s="116"/>
      <c r="I1958" s="116"/>
      <c r="L1958" s="170">
        <v>44888</v>
      </c>
      <c r="M1958" s="116">
        <v>3784.1910362364902</v>
      </c>
      <c r="N1958" s="116">
        <v>3937.90289256198</v>
      </c>
      <c r="O1958" s="116">
        <v>3754.8156389065498</v>
      </c>
      <c r="P1958" s="116">
        <v>3926.4144945963099</v>
      </c>
      <c r="Q1958" s="116">
        <v>3903.3</v>
      </c>
      <c r="R1958">
        <v>2861156</v>
      </c>
    </row>
    <row r="1959" spans="1:18" x14ac:dyDescent="0.25">
      <c r="A1959" s="170">
        <v>44889</v>
      </c>
      <c r="B1959" s="116">
        <v>3814.91772240811</v>
      </c>
      <c r="C1959" s="116">
        <v>3802.3144364128598</v>
      </c>
      <c r="D1959" s="116">
        <v>3705.3660826032501</v>
      </c>
      <c r="E1959" s="116">
        <v>3792.8134977395198</v>
      </c>
      <c r="F1959" s="116">
        <v>3922</v>
      </c>
      <c r="G1959">
        <v>109450</v>
      </c>
      <c r="H1959" s="116"/>
      <c r="I1959" s="116"/>
      <c r="L1959" s="170">
        <v>44889</v>
      </c>
      <c r="M1959" s="116">
        <v>3801.4478703115101</v>
      </c>
      <c r="N1959" s="116">
        <v>3814.9237126509902</v>
      </c>
      <c r="O1959" s="116">
        <v>3704.4024157660501</v>
      </c>
      <c r="P1959" s="116">
        <v>3790.6865861411302</v>
      </c>
      <c r="Q1959" s="116">
        <v>3921.1</v>
      </c>
      <c r="R1959">
        <v>2797181</v>
      </c>
    </row>
    <row r="1960" spans="1:18" x14ac:dyDescent="0.25">
      <c r="A1960" s="170">
        <v>44890</v>
      </c>
      <c r="B1960" s="116">
        <v>3830.38098484074</v>
      </c>
      <c r="C1960" s="116">
        <v>3784.2335684273698</v>
      </c>
      <c r="D1960" s="116">
        <v>3729.8455419401798</v>
      </c>
      <c r="E1960" s="116">
        <v>3805.2713612040602</v>
      </c>
      <c r="F1960" s="116">
        <v>3903.35</v>
      </c>
      <c r="G1960">
        <v>84085</v>
      </c>
      <c r="H1960" s="116"/>
      <c r="I1960" s="116"/>
      <c r="L1960" s="170">
        <v>44890</v>
      </c>
      <c r="M1960" s="116">
        <v>3782.05816910362</v>
      </c>
      <c r="N1960" s="116">
        <v>3829.3690400508599</v>
      </c>
      <c r="O1960" s="116">
        <v>3727.9609027336301</v>
      </c>
      <c r="P1960" s="116">
        <v>3809.1068022886202</v>
      </c>
      <c r="Q1960" s="116">
        <v>3901.1</v>
      </c>
      <c r="R1960">
        <v>2506346</v>
      </c>
    </row>
    <row r="1961" spans="1:18" x14ac:dyDescent="0.25">
      <c r="A1961" s="170">
        <v>44893</v>
      </c>
      <c r="B1961" s="116">
        <v>3805.2228870271501</v>
      </c>
      <c r="C1961" s="116">
        <v>3766.6859163878298</v>
      </c>
      <c r="D1961" s="116">
        <v>3753.16162103139</v>
      </c>
      <c r="E1961" s="116">
        <v>3773.2299302699798</v>
      </c>
      <c r="F1961" s="116">
        <v>3885.25</v>
      </c>
      <c r="G1961">
        <v>54084</v>
      </c>
      <c r="H1961" s="116"/>
      <c r="I1961" s="116"/>
      <c r="L1961" s="170">
        <v>44893</v>
      </c>
      <c r="M1961" s="116">
        <v>3767.5643674507301</v>
      </c>
      <c r="N1961" s="116">
        <v>3805.2288620470399</v>
      </c>
      <c r="O1961" s="116">
        <v>3753.2644628099201</v>
      </c>
      <c r="P1961" s="116">
        <v>3780.4100445009499</v>
      </c>
      <c r="Q1961" s="116">
        <v>3886.15</v>
      </c>
      <c r="R1961">
        <v>1119166</v>
      </c>
    </row>
    <row r="1962" spans="1:18" x14ac:dyDescent="0.25">
      <c r="A1962" s="170">
        <v>44894</v>
      </c>
      <c r="B1962" s="116">
        <v>3796.6914318919098</v>
      </c>
      <c r="C1962" s="116">
        <v>3760.8205409823499</v>
      </c>
      <c r="D1962" s="116">
        <v>3746.8115038568599</v>
      </c>
      <c r="E1962" s="116">
        <v>3761.5961278128302</v>
      </c>
      <c r="F1962" s="116">
        <v>3879.2</v>
      </c>
      <c r="G1962">
        <v>38066</v>
      </c>
      <c r="H1962" s="116"/>
      <c r="I1962" s="116"/>
      <c r="L1962" s="170">
        <v>44894</v>
      </c>
      <c r="M1962" s="116">
        <v>3760.0508582326802</v>
      </c>
      <c r="N1962" s="116">
        <v>3795.5340114431001</v>
      </c>
      <c r="O1962" s="116">
        <v>3746.1387476160198</v>
      </c>
      <c r="P1962" s="116">
        <v>3766.4494596312802</v>
      </c>
      <c r="Q1962" s="116">
        <v>3878.4</v>
      </c>
      <c r="R1962">
        <v>1513444</v>
      </c>
    </row>
    <row r="1963" spans="1:18" x14ac:dyDescent="0.25">
      <c r="A1963" s="170">
        <v>44895</v>
      </c>
      <c r="B1963" s="116">
        <v>3819.42582086026</v>
      </c>
      <c r="C1963" s="116">
        <v>3800.4239435135801</v>
      </c>
      <c r="D1963" s="116">
        <v>3748.7504709330501</v>
      </c>
      <c r="E1963" s="116">
        <v>3789.66267624071</v>
      </c>
      <c r="F1963" s="116">
        <v>3920.05</v>
      </c>
      <c r="G1963">
        <v>108200</v>
      </c>
      <c r="H1963" s="116"/>
      <c r="I1963" s="116"/>
      <c r="L1963" s="170">
        <v>44895</v>
      </c>
      <c r="M1963" s="116">
        <v>3798.3455181182499</v>
      </c>
      <c r="N1963" s="116">
        <v>3819.6741894469201</v>
      </c>
      <c r="O1963" s="116">
        <v>3748.9987285441798</v>
      </c>
      <c r="P1963" s="116">
        <v>3778.8588684043202</v>
      </c>
      <c r="Q1963" s="116">
        <v>3917.9</v>
      </c>
      <c r="R1963">
        <v>1968428</v>
      </c>
    </row>
    <row r="1964" spans="1:18" x14ac:dyDescent="0.25">
      <c r="A1964" s="170">
        <v>44896</v>
      </c>
      <c r="B1964" s="116">
        <v>3824.17629019693</v>
      </c>
      <c r="C1964" s="116">
        <v>3795.4311032923802</v>
      </c>
      <c r="D1964" s="116">
        <v>3783.3610332430799</v>
      </c>
      <c r="E1964" s="116">
        <v>3817.8261730223999</v>
      </c>
      <c r="F1964" s="116">
        <v>3914.9</v>
      </c>
      <c r="G1964">
        <v>43890</v>
      </c>
      <c r="H1964" s="116"/>
      <c r="I1964" s="116"/>
      <c r="L1964" s="170">
        <v>44896</v>
      </c>
      <c r="M1964" s="116">
        <v>3795.6309599491401</v>
      </c>
      <c r="N1964" s="116">
        <v>3824.5700890019102</v>
      </c>
      <c r="O1964" s="116">
        <v>3783.3669739351599</v>
      </c>
      <c r="P1964" s="116">
        <v>3817.3474253019699</v>
      </c>
      <c r="Q1964" s="116">
        <v>3915.1</v>
      </c>
      <c r="R1964">
        <v>945838</v>
      </c>
    </row>
    <row r="1965" spans="1:18" x14ac:dyDescent="0.25">
      <c r="A1965" s="170">
        <v>44897</v>
      </c>
      <c r="B1965" s="116">
        <v>3840.1242943986099</v>
      </c>
      <c r="C1965" s="116">
        <v>3801.7812204669099</v>
      </c>
      <c r="D1965" s="116">
        <v>3767.2191323337802</v>
      </c>
      <c r="E1965" s="116">
        <v>3781.95528211285</v>
      </c>
      <c r="F1965" s="116">
        <v>3921.45</v>
      </c>
      <c r="G1965">
        <v>36469</v>
      </c>
      <c r="H1965" s="116"/>
      <c r="I1965" s="116"/>
      <c r="L1965" s="170">
        <v>44897</v>
      </c>
      <c r="M1965" s="116">
        <v>3802.8051493960602</v>
      </c>
      <c r="N1965" s="116">
        <v>3842.84488239034</v>
      </c>
      <c r="O1965" s="116">
        <v>3766.4494596312802</v>
      </c>
      <c r="P1965" s="116">
        <v>3785.8391608391598</v>
      </c>
      <c r="Q1965" s="116">
        <v>3922.5</v>
      </c>
      <c r="R1965">
        <v>1297832</v>
      </c>
    </row>
    <row r="1966" spans="1:18" x14ac:dyDescent="0.25">
      <c r="A1966" s="170">
        <v>44900</v>
      </c>
      <c r="B1966" s="116">
        <v>3816.8566894843002</v>
      </c>
      <c r="C1966" s="116">
        <v>3809.6340371254901</v>
      </c>
      <c r="D1966" s="116">
        <v>3693.97465103063</v>
      </c>
      <c r="E1966" s="116">
        <v>3805.2228870271501</v>
      </c>
      <c r="F1966" s="116">
        <v>3929.55</v>
      </c>
      <c r="G1966">
        <v>76258</v>
      </c>
      <c r="H1966" s="116"/>
      <c r="I1966" s="116"/>
      <c r="L1966" s="170">
        <v>44900</v>
      </c>
      <c r="M1966" s="116">
        <v>3810.4640813731698</v>
      </c>
      <c r="N1966" s="116">
        <v>3818.80165289256</v>
      </c>
      <c r="O1966" s="116">
        <v>3693.78655435474</v>
      </c>
      <c r="P1966" s="116">
        <v>3809.0098537825802</v>
      </c>
      <c r="Q1966" s="116">
        <v>3930.4</v>
      </c>
      <c r="R1966">
        <v>2392866</v>
      </c>
    </row>
    <row r="1967" spans="1:18" x14ac:dyDescent="0.25">
      <c r="A1967" s="170">
        <v>44901</v>
      </c>
      <c r="B1967" s="116">
        <v>3933.5340332941701</v>
      </c>
      <c r="C1967" s="116">
        <v>3907.9881420653401</v>
      </c>
      <c r="D1967" s="116">
        <v>3793.0558686240502</v>
      </c>
      <c r="E1967" s="116">
        <v>3795.5280516461899</v>
      </c>
      <c r="F1967" s="116">
        <v>4031</v>
      </c>
      <c r="G1967">
        <v>92271</v>
      </c>
      <c r="H1967" s="116"/>
      <c r="I1967" s="116"/>
      <c r="L1967" s="170">
        <v>44901</v>
      </c>
      <c r="M1967" s="116">
        <v>3908.7698664971399</v>
      </c>
      <c r="N1967" s="116">
        <v>3933.2008900190699</v>
      </c>
      <c r="O1967" s="116">
        <v>3789.7171010807401</v>
      </c>
      <c r="P1967" s="116">
        <v>3800.38143674507</v>
      </c>
      <c r="Q1967" s="116">
        <v>4031.8</v>
      </c>
      <c r="R1967">
        <v>2962621</v>
      </c>
    </row>
    <row r="1968" spans="1:18" x14ac:dyDescent="0.25">
      <c r="A1968" s="170">
        <v>44902</v>
      </c>
      <c r="B1968" s="116">
        <v>3932.7584464636898</v>
      </c>
      <c r="C1968" s="116">
        <v>3876.2860303695902</v>
      </c>
      <c r="D1968" s="116">
        <v>3863.68274437435</v>
      </c>
      <c r="E1968" s="116">
        <v>3903.1407243748599</v>
      </c>
      <c r="F1968" s="116">
        <v>3998.3</v>
      </c>
      <c r="G1968">
        <v>36742</v>
      </c>
      <c r="H1968" s="116"/>
      <c r="I1968" s="116"/>
      <c r="L1968" s="170">
        <v>44902</v>
      </c>
      <c r="M1968" s="116">
        <v>3877.2616020343298</v>
      </c>
      <c r="N1968" s="116">
        <v>3934.07342657343</v>
      </c>
      <c r="O1968" s="116">
        <v>3862.9616973935199</v>
      </c>
      <c r="P1968" s="116">
        <v>3907.9942784488198</v>
      </c>
      <c r="Q1968" s="116">
        <v>3999.3</v>
      </c>
      <c r="R1968">
        <v>1257261</v>
      </c>
    </row>
    <row r="1969" spans="1:18" x14ac:dyDescent="0.25">
      <c r="A1969" s="170">
        <v>44903</v>
      </c>
      <c r="B1969" s="116">
        <v>3922.5788693136801</v>
      </c>
      <c r="C1969" s="116">
        <v>3902.7044567827102</v>
      </c>
      <c r="D1969" s="116">
        <v>3879.8731194605498</v>
      </c>
      <c r="E1969" s="116">
        <v>3879.8731194605498</v>
      </c>
      <c r="F1969" s="116">
        <v>4025.55</v>
      </c>
      <c r="G1969">
        <v>28026</v>
      </c>
      <c r="H1969" s="116"/>
      <c r="I1969" s="116"/>
      <c r="L1969" s="170">
        <v>44903</v>
      </c>
      <c r="M1969" s="116">
        <v>3902.1773680864599</v>
      </c>
      <c r="N1969" s="116">
        <v>3921.5670692943399</v>
      </c>
      <c r="O1969" s="116">
        <v>3881.1880165289299</v>
      </c>
      <c r="P1969" s="116">
        <v>3887.6350921805501</v>
      </c>
      <c r="Q1969" s="116">
        <v>4025</v>
      </c>
      <c r="R1969">
        <v>895075</v>
      </c>
    </row>
    <row r="1970" spans="1:18" x14ac:dyDescent="0.25">
      <c r="A1970" s="170">
        <v>44904</v>
      </c>
      <c r="B1970" s="116">
        <v>3968.0961214272902</v>
      </c>
      <c r="C1970" s="116">
        <v>3873.8623215243501</v>
      </c>
      <c r="D1970" s="116">
        <v>3824.12781602003</v>
      </c>
      <c r="E1970" s="116">
        <v>3921.5609115986799</v>
      </c>
      <c r="F1970" s="116">
        <v>3995.8</v>
      </c>
      <c r="G1970">
        <v>99343</v>
      </c>
      <c r="H1970" s="116"/>
      <c r="I1970" s="116"/>
      <c r="L1970" s="170">
        <v>44904</v>
      </c>
      <c r="M1970" s="116">
        <v>3874.8378893833401</v>
      </c>
      <c r="N1970" s="116">
        <v>3969.0718372536498</v>
      </c>
      <c r="O1970" s="116">
        <v>3821.2253655435502</v>
      </c>
      <c r="P1970" s="116">
        <v>3920.5975842339499</v>
      </c>
      <c r="Q1970" s="116">
        <v>3996.8</v>
      </c>
      <c r="R1970">
        <v>2129800</v>
      </c>
    </row>
    <row r="1971" spans="1:18" x14ac:dyDescent="0.25">
      <c r="A1971" s="170">
        <v>44907</v>
      </c>
      <c r="B1971" s="116">
        <v>3907.8911937115299</v>
      </c>
      <c r="C1971" s="116">
        <v>3894.0275791167501</v>
      </c>
      <c r="D1971" s="116">
        <v>3848.8496462414801</v>
      </c>
      <c r="E1971" s="116">
        <v>3877.93415238436</v>
      </c>
      <c r="F1971" s="116">
        <v>4016.6</v>
      </c>
      <c r="G1971">
        <v>28866</v>
      </c>
      <c r="H1971" s="116"/>
      <c r="I1971" s="116"/>
      <c r="L1971" s="170">
        <v>44907</v>
      </c>
      <c r="M1971" s="116">
        <v>3894.1306420851902</v>
      </c>
      <c r="N1971" s="116">
        <v>3908.8668150031799</v>
      </c>
      <c r="O1971" s="116">
        <v>3847.6438334392901</v>
      </c>
      <c r="P1971" s="116">
        <v>3875.0317863954201</v>
      </c>
      <c r="Q1971" s="116">
        <v>4016.7</v>
      </c>
      <c r="R1971">
        <v>802499</v>
      </c>
    </row>
    <row r="1972" spans="1:18" x14ac:dyDescent="0.25">
      <c r="A1972" s="170">
        <v>44908</v>
      </c>
      <c r="B1972" s="116">
        <v>3948.5610281346599</v>
      </c>
      <c r="C1972" s="116">
        <v>3934.98825860131</v>
      </c>
      <c r="D1972" s="116">
        <v>3889.1801614262699</v>
      </c>
      <c r="E1972" s="116">
        <v>3914.77452683201</v>
      </c>
      <c r="F1972" s="116">
        <v>4058.85</v>
      </c>
      <c r="G1972">
        <v>23269</v>
      </c>
      <c r="H1972" s="116"/>
      <c r="I1972" s="116"/>
      <c r="L1972" s="170">
        <v>44908</v>
      </c>
      <c r="M1972" s="116">
        <v>3936.3032422123301</v>
      </c>
      <c r="N1972" s="116">
        <v>3947.7431659249801</v>
      </c>
      <c r="O1972" s="116">
        <v>3889.1862682771798</v>
      </c>
      <c r="P1972" s="116">
        <v>3904.8919262555601</v>
      </c>
      <c r="Q1972" s="116">
        <v>4060.2</v>
      </c>
      <c r="R1972">
        <v>1215308</v>
      </c>
    </row>
    <row r="1973" spans="1:18" x14ac:dyDescent="0.25">
      <c r="A1973" s="170">
        <v>44909</v>
      </c>
      <c r="B1973" s="116">
        <v>3966.5449477663401</v>
      </c>
      <c r="C1973" s="116">
        <v>3932.61302393298</v>
      </c>
      <c r="D1973" s="116">
        <v>3920.4944797067801</v>
      </c>
      <c r="E1973" s="116">
        <v>3965.1391966361002</v>
      </c>
      <c r="F1973" s="116">
        <v>4056.4</v>
      </c>
      <c r="G1973">
        <v>26723</v>
      </c>
      <c r="H1973" s="116"/>
      <c r="I1973" s="116"/>
      <c r="L1973" s="170">
        <v>44909</v>
      </c>
      <c r="M1973" s="116">
        <v>3932.0375079465998</v>
      </c>
      <c r="N1973" s="116">
        <v>3967.1813413858899</v>
      </c>
      <c r="O1973" s="116">
        <v>3916.71964399237</v>
      </c>
      <c r="P1973" s="116">
        <v>3951.6211061665599</v>
      </c>
      <c r="Q1973" s="116">
        <v>4055.8</v>
      </c>
      <c r="R1973">
        <v>1114492</v>
      </c>
    </row>
    <row r="1974" spans="1:18" x14ac:dyDescent="0.25">
      <c r="A1974" s="170">
        <v>44910</v>
      </c>
      <c r="B1974" s="116">
        <v>3945.9918967587</v>
      </c>
      <c r="C1974" s="116">
        <v>3919.6704186993902</v>
      </c>
      <c r="D1974" s="116">
        <v>3903.18919855176</v>
      </c>
      <c r="E1974" s="116">
        <v>3924.56631056678</v>
      </c>
      <c r="F1974" s="116">
        <v>4043.05</v>
      </c>
      <c r="G1974">
        <v>43241</v>
      </c>
      <c r="H1974" s="116"/>
      <c r="I1974" s="116"/>
      <c r="L1974" s="170">
        <v>44910</v>
      </c>
      <c r="M1974" s="116">
        <v>3920.3552129688501</v>
      </c>
      <c r="N1974" s="116">
        <v>3948.7611252383999</v>
      </c>
      <c r="O1974" s="116">
        <v>3902.1773680864599</v>
      </c>
      <c r="P1974" s="116">
        <v>3932.0375079465998</v>
      </c>
      <c r="Q1974" s="116">
        <v>4043.75</v>
      </c>
      <c r="R1974">
        <v>866138</v>
      </c>
    </row>
    <row r="1975" spans="1:18" x14ac:dyDescent="0.25">
      <c r="A1975" s="170">
        <v>44911</v>
      </c>
      <c r="B1975" s="116">
        <v>3923.4998786748702</v>
      </c>
      <c r="C1975" s="116">
        <v>3857.6719464381499</v>
      </c>
      <c r="D1975" s="116">
        <v>3825.5820413271699</v>
      </c>
      <c r="E1975" s="116">
        <v>3878.9521100993602</v>
      </c>
      <c r="F1975" s="116">
        <v>3979.1</v>
      </c>
      <c r="G1975">
        <v>35649</v>
      </c>
      <c r="H1975" s="116"/>
      <c r="I1975" s="116"/>
      <c r="L1975" s="170">
        <v>44911</v>
      </c>
      <c r="M1975" s="116">
        <v>3859.3261284170399</v>
      </c>
      <c r="N1975" s="116">
        <v>3924.3785759694802</v>
      </c>
      <c r="O1975" s="116">
        <v>3823.6975524475502</v>
      </c>
      <c r="P1975" s="116">
        <v>3896.2635092180499</v>
      </c>
      <c r="Q1975" s="116">
        <v>3980.8</v>
      </c>
      <c r="R1975">
        <v>1598960</v>
      </c>
    </row>
    <row r="1976" spans="1:18" x14ac:dyDescent="0.25">
      <c r="A1976" s="170">
        <v>44914</v>
      </c>
      <c r="B1976" s="116">
        <v>3979.2936562923001</v>
      </c>
      <c r="C1976" s="116">
        <v>3956.7531640315701</v>
      </c>
      <c r="D1976" s="116">
        <v>3851.75809685576</v>
      </c>
      <c r="E1976" s="116">
        <v>3872.1172511557802</v>
      </c>
      <c r="F1976" s="116">
        <v>4081.3</v>
      </c>
      <c r="G1976">
        <v>29508</v>
      </c>
      <c r="H1976" s="116"/>
      <c r="I1976" s="116"/>
      <c r="L1976" s="170">
        <v>44914</v>
      </c>
      <c r="M1976" s="116">
        <v>3950.9424666242799</v>
      </c>
      <c r="N1976" s="116">
        <v>3978.7666878576001</v>
      </c>
      <c r="O1976" s="116">
        <v>3850.2614431023499</v>
      </c>
      <c r="P1976" s="116">
        <v>3866.3064208518699</v>
      </c>
      <c r="Q1976" s="116">
        <v>4075.3</v>
      </c>
      <c r="R1976">
        <v>1643404</v>
      </c>
    </row>
    <row r="1977" spans="1:18" x14ac:dyDescent="0.25">
      <c r="A1977" s="170">
        <v>44915</v>
      </c>
      <c r="B1977" s="116">
        <v>4045.5578561211701</v>
      </c>
      <c r="C1977" s="116">
        <v>4037.17182351664</v>
      </c>
      <c r="D1977" s="116">
        <v>3941.9200658987002</v>
      </c>
      <c r="E1977" s="116">
        <v>3973.91302265587</v>
      </c>
      <c r="F1977" s="116">
        <v>4164.25</v>
      </c>
      <c r="G1977">
        <v>120005</v>
      </c>
      <c r="H1977" s="116"/>
      <c r="I1977" s="116"/>
      <c r="L1977" s="170">
        <v>44915</v>
      </c>
      <c r="M1977" s="116">
        <v>4038.19612205976</v>
      </c>
      <c r="N1977" s="116">
        <v>4044.6916719644</v>
      </c>
      <c r="O1977" s="116">
        <v>3942.3140495867801</v>
      </c>
      <c r="P1977" s="116">
        <v>3970.0413223140499</v>
      </c>
      <c r="Q1977" s="116">
        <v>4165.3</v>
      </c>
      <c r="R1977">
        <v>3778426</v>
      </c>
    </row>
    <row r="1978" spans="1:18" x14ac:dyDescent="0.25">
      <c r="A1978" s="170">
        <v>44916</v>
      </c>
      <c r="B1978" s="116">
        <v>4061.6997570304702</v>
      </c>
      <c r="C1978" s="116">
        <v>3783.8457750121302</v>
      </c>
      <c r="D1978" s="116">
        <v>3764.9408460192599</v>
      </c>
      <c r="E1978" s="116">
        <v>4044.6853209368901</v>
      </c>
      <c r="F1978" s="116">
        <v>3902.95</v>
      </c>
      <c r="G1978">
        <v>127404</v>
      </c>
      <c r="H1978" s="116"/>
      <c r="I1978" s="116"/>
      <c r="L1978" s="170">
        <v>44916</v>
      </c>
      <c r="M1978" s="116">
        <v>3782.8822314049598</v>
      </c>
      <c r="N1978" s="116">
        <v>4062.14240305149</v>
      </c>
      <c r="O1978" s="116">
        <v>3764.7528607755899</v>
      </c>
      <c r="P1978" s="116">
        <v>4047.6001271455798</v>
      </c>
      <c r="Q1978" s="116">
        <v>3901.95</v>
      </c>
      <c r="R1978">
        <v>3585883</v>
      </c>
    </row>
    <row r="1979" spans="1:18" x14ac:dyDescent="0.25">
      <c r="A1979" s="170">
        <v>44917</v>
      </c>
      <c r="B1979" s="116">
        <v>3824.5156094352601</v>
      </c>
      <c r="C1979" s="116">
        <v>3749.0897901713902</v>
      </c>
      <c r="D1979" s="116">
        <v>3701.5850968046798</v>
      </c>
      <c r="E1979" s="116">
        <v>3798.7273473219102</v>
      </c>
      <c r="F1979" s="116">
        <v>3867.1</v>
      </c>
      <c r="G1979">
        <v>148443</v>
      </c>
      <c r="H1979" s="116"/>
      <c r="I1979" s="116"/>
      <c r="L1979" s="170">
        <v>44917</v>
      </c>
      <c r="M1979" s="116">
        <v>3750.5014303877902</v>
      </c>
      <c r="N1979" s="116">
        <v>3827.5270184361102</v>
      </c>
      <c r="O1979" s="116">
        <v>3700.5729497775001</v>
      </c>
      <c r="P1979" s="116">
        <v>3827.5270184361102</v>
      </c>
      <c r="Q1979" s="116">
        <v>3868.55</v>
      </c>
      <c r="R1979">
        <v>2879658</v>
      </c>
    </row>
    <row r="1980" spans="1:18" x14ac:dyDescent="0.25">
      <c r="A1980" s="170">
        <v>44918</v>
      </c>
      <c r="B1980" s="116">
        <v>3729.3123259942299</v>
      </c>
      <c r="C1980" s="116">
        <v>3529.8410880309598</v>
      </c>
      <c r="D1980" s="116">
        <v>3506.6219572935602</v>
      </c>
      <c r="E1980" s="116">
        <v>3696.6407307603899</v>
      </c>
      <c r="F1980" s="116">
        <v>3640.95</v>
      </c>
      <c r="G1980">
        <v>126632</v>
      </c>
      <c r="H1980" s="116"/>
      <c r="I1980" s="116"/>
      <c r="L1980" s="170">
        <v>44918</v>
      </c>
      <c r="M1980" s="116">
        <v>3531.0584869675799</v>
      </c>
      <c r="N1980" s="116">
        <v>3730.5785123966898</v>
      </c>
      <c r="O1980" s="116">
        <v>3506.4335664335699</v>
      </c>
      <c r="P1980" s="116">
        <v>3705.3719008264502</v>
      </c>
      <c r="Q1980" s="116">
        <v>3642.2</v>
      </c>
      <c r="R1980">
        <v>3036157</v>
      </c>
    </row>
    <row r="1981" spans="1:18" x14ac:dyDescent="0.25">
      <c r="A1981" s="170">
        <v>44921</v>
      </c>
      <c r="B1981" s="116">
        <v>3630.71585016986</v>
      </c>
      <c r="C1981" s="116">
        <v>3602.2615083267401</v>
      </c>
      <c r="D1981" s="116">
        <v>3510.0151496768899</v>
      </c>
      <c r="E1981" s="116">
        <v>3535.7064634364401</v>
      </c>
      <c r="F1981" s="116">
        <v>3715.65</v>
      </c>
      <c r="G1981">
        <v>59522</v>
      </c>
      <c r="H1981" s="116"/>
      <c r="I1981" s="116"/>
      <c r="L1981" s="170">
        <v>44921</v>
      </c>
      <c r="M1981" s="116">
        <v>3603.3335982199601</v>
      </c>
      <c r="N1981" s="116">
        <v>3630.6246026700601</v>
      </c>
      <c r="O1981" s="116">
        <v>3509.5359186268302</v>
      </c>
      <c r="P1981" s="116">
        <v>3541.5289256198298</v>
      </c>
      <c r="Q1981" s="116">
        <v>3716.75</v>
      </c>
      <c r="R1981">
        <v>2162662</v>
      </c>
    </row>
    <row r="1982" spans="1:18" x14ac:dyDescent="0.25">
      <c r="A1982" s="170">
        <v>44922</v>
      </c>
      <c r="B1982" s="116">
        <v>3680.93509744323</v>
      </c>
      <c r="C1982" s="116">
        <v>3654.6136193839202</v>
      </c>
      <c r="D1982" s="116">
        <v>3585.0531755255302</v>
      </c>
      <c r="E1982" s="116">
        <v>3623.9294654031801</v>
      </c>
      <c r="F1982" s="116">
        <v>3769.65</v>
      </c>
      <c r="G1982">
        <v>49689</v>
      </c>
      <c r="H1982" s="116"/>
      <c r="I1982" s="116"/>
      <c r="L1982" s="170">
        <v>44922</v>
      </c>
      <c r="M1982" s="116">
        <v>3654.6193579148098</v>
      </c>
      <c r="N1982" s="116">
        <v>3682.0073108709498</v>
      </c>
      <c r="O1982" s="116">
        <v>3582.2957724094099</v>
      </c>
      <c r="P1982" s="116">
        <v>3618.5545136681499</v>
      </c>
      <c r="Q1982" s="116">
        <v>3769.65</v>
      </c>
      <c r="R1982">
        <v>1804911</v>
      </c>
    </row>
    <row r="1983" spans="1:18" x14ac:dyDescent="0.25">
      <c r="A1983" s="170">
        <v>44923</v>
      </c>
      <c r="B1983" s="116">
        <v>3708.2260590406399</v>
      </c>
      <c r="C1983" s="116">
        <v>3681.0805199739498</v>
      </c>
      <c r="D1983" s="116">
        <v>3631.87923041557</v>
      </c>
      <c r="E1983" s="116">
        <v>3647.1001219636801</v>
      </c>
      <c r="F1983" s="116">
        <v>3796.95</v>
      </c>
      <c r="G1983">
        <v>51895</v>
      </c>
      <c r="H1983" s="116"/>
      <c r="I1983" s="116"/>
      <c r="L1983" s="170">
        <v>44923</v>
      </c>
      <c r="M1983" s="116">
        <v>3681.8134138588698</v>
      </c>
      <c r="N1983" s="116">
        <v>3708.28035600763</v>
      </c>
      <c r="O1983" s="116">
        <v>3630.7215511761001</v>
      </c>
      <c r="P1983" s="116">
        <v>3641.4343610934502</v>
      </c>
      <c r="Q1983" s="116">
        <v>3797.7</v>
      </c>
      <c r="R1983">
        <v>1377950</v>
      </c>
    </row>
    <row r="1984" spans="1:18" x14ac:dyDescent="0.25">
      <c r="A1984" s="170">
        <v>44924</v>
      </c>
      <c r="B1984" s="116">
        <v>3708.27453321754</v>
      </c>
      <c r="C1984" s="116">
        <v>3693.7322801461</v>
      </c>
      <c r="D1984" s="116">
        <v>3635.5632678603401</v>
      </c>
      <c r="E1984" s="116">
        <v>3678.2205435365599</v>
      </c>
      <c r="F1984" s="116">
        <v>3810</v>
      </c>
      <c r="G1984">
        <v>39597</v>
      </c>
      <c r="H1984" s="116"/>
      <c r="I1984" s="116"/>
      <c r="L1984" s="170">
        <v>44924</v>
      </c>
      <c r="M1984" s="116">
        <v>3694.3197711379498</v>
      </c>
      <c r="N1984" s="116">
        <v>3708.28035600763</v>
      </c>
      <c r="O1984" s="116">
        <v>3633.7269548633199</v>
      </c>
      <c r="P1984" s="116">
        <v>3674.3483788938302</v>
      </c>
      <c r="Q1984" s="116">
        <v>3810.6</v>
      </c>
      <c r="R1984">
        <v>1531692</v>
      </c>
    </row>
    <row r="1985" spans="1:18" x14ac:dyDescent="0.25">
      <c r="A1985" s="170">
        <v>44925</v>
      </c>
      <c r="B1985" s="116">
        <v>3780.3071600980802</v>
      </c>
      <c r="C1985" s="116">
        <v>3741.57629275114</v>
      </c>
      <c r="D1985" s="116">
        <v>3695.7681955761</v>
      </c>
      <c r="E1985" s="116">
        <v>3695.7681955761</v>
      </c>
      <c r="F1985" s="116">
        <v>3859.35</v>
      </c>
      <c r="G1985">
        <v>40484</v>
      </c>
      <c r="H1985" s="116"/>
      <c r="I1985" s="116"/>
      <c r="L1985" s="170">
        <v>44925</v>
      </c>
      <c r="M1985" s="116">
        <v>3740.6126827717699</v>
      </c>
      <c r="N1985" s="116">
        <v>3779.0527654163998</v>
      </c>
      <c r="O1985" s="116">
        <v>3705.42037507947</v>
      </c>
      <c r="P1985" s="116">
        <v>3712.8369357914798</v>
      </c>
      <c r="Q1985" s="116">
        <v>3858.35</v>
      </c>
      <c r="R1985">
        <v>1528747</v>
      </c>
    </row>
    <row r="1986" spans="1:18" x14ac:dyDescent="0.25">
      <c r="A1986" s="170">
        <v>44928</v>
      </c>
      <c r="B1986" s="116">
        <v>3756.4578650609201</v>
      </c>
      <c r="C1986" s="116">
        <v>3723.4954247656501</v>
      </c>
      <c r="D1986" s="116">
        <v>3704.39659906516</v>
      </c>
      <c r="E1986" s="116">
        <v>3756.4578650609201</v>
      </c>
      <c r="F1986" s="116">
        <v>3840.7</v>
      </c>
      <c r="G1986">
        <v>37446</v>
      </c>
      <c r="H1986" s="116"/>
      <c r="I1986" s="116"/>
      <c r="L1986" s="170">
        <v>44928</v>
      </c>
      <c r="M1986" s="116">
        <v>3723.9860139860102</v>
      </c>
      <c r="N1986" s="116">
        <v>3755.7851239669399</v>
      </c>
      <c r="O1986" s="116">
        <v>3705.90511760966</v>
      </c>
      <c r="P1986" s="116">
        <v>3751.90718372537</v>
      </c>
      <c r="Q1986" s="116">
        <v>3841.2</v>
      </c>
      <c r="R1986">
        <v>923051</v>
      </c>
    </row>
    <row r="1987" spans="1:18" x14ac:dyDescent="0.25">
      <c r="A1987" s="170">
        <v>44929</v>
      </c>
      <c r="B1987" s="116">
        <v>3735.27464975352</v>
      </c>
      <c r="C1987" s="116">
        <v>3713.4612701463602</v>
      </c>
      <c r="D1987" s="116">
        <v>3675.31209292228</v>
      </c>
      <c r="E1987" s="116">
        <v>3718.9388521366</v>
      </c>
      <c r="F1987" s="116">
        <v>3830.35</v>
      </c>
      <c r="G1987">
        <v>18280</v>
      </c>
      <c r="H1987" s="116"/>
      <c r="I1987" s="116"/>
      <c r="L1987" s="170">
        <v>44929</v>
      </c>
      <c r="M1987" s="116">
        <v>3714.0487921169702</v>
      </c>
      <c r="N1987" s="116">
        <v>3735.2805149396099</v>
      </c>
      <c r="O1987" s="116">
        <v>3675.3178639542298</v>
      </c>
      <c r="P1987" s="116">
        <v>3724.6646535282898</v>
      </c>
      <c r="Q1987" s="116">
        <v>3830.95</v>
      </c>
      <c r="R1987">
        <v>799905</v>
      </c>
    </row>
    <row r="1988" spans="1:18" x14ac:dyDescent="0.25">
      <c r="A1988" s="170">
        <v>44930</v>
      </c>
      <c r="B1988" s="116">
        <v>3756.2639683532998</v>
      </c>
      <c r="C1988" s="116">
        <v>3710.7467162396902</v>
      </c>
      <c r="D1988" s="116">
        <v>3688.8848624556199</v>
      </c>
      <c r="E1988" s="116">
        <v>3716.1273498761202</v>
      </c>
      <c r="F1988" s="116">
        <v>3827.55</v>
      </c>
      <c r="G1988">
        <v>26349</v>
      </c>
      <c r="H1988" s="116"/>
      <c r="I1988" s="116"/>
      <c r="L1988" s="170">
        <v>44930</v>
      </c>
      <c r="M1988" s="116">
        <v>3710.2678003814399</v>
      </c>
      <c r="N1988" s="116">
        <v>3756.7061347743202</v>
      </c>
      <c r="O1988" s="116">
        <v>3687.5333757151898</v>
      </c>
      <c r="P1988" s="116">
        <v>3721.8531468531501</v>
      </c>
      <c r="Q1988" s="116">
        <v>3827.05</v>
      </c>
      <c r="R1988">
        <v>1028377</v>
      </c>
    </row>
    <row r="1989" spans="1:18" x14ac:dyDescent="0.25">
      <c r="A1989" s="170">
        <v>44931</v>
      </c>
      <c r="B1989" s="116">
        <v>3724.7557533651802</v>
      </c>
      <c r="C1989" s="116">
        <v>3712.2494157237402</v>
      </c>
      <c r="D1989" s="116">
        <v>3644.2886197031999</v>
      </c>
      <c r="E1989" s="116">
        <v>3717.8724202446901</v>
      </c>
      <c r="F1989" s="116">
        <v>3829.1</v>
      </c>
      <c r="G1989">
        <v>35948</v>
      </c>
      <c r="H1989" s="116"/>
      <c r="I1989" s="116"/>
      <c r="L1989" s="170">
        <v>44931</v>
      </c>
      <c r="M1989" s="116">
        <v>3712.9338842975199</v>
      </c>
      <c r="N1989" s="116">
        <v>3725.1493960584899</v>
      </c>
      <c r="O1989" s="116">
        <v>3642.25842339479</v>
      </c>
      <c r="P1989" s="116">
        <v>3710.2678003814399</v>
      </c>
      <c r="Q1989" s="116">
        <v>3829.8</v>
      </c>
      <c r="R1989">
        <v>997006</v>
      </c>
    </row>
    <row r="1990" spans="1:18" x14ac:dyDescent="0.25">
      <c r="A1990" s="170">
        <v>44932</v>
      </c>
      <c r="B1990" s="116">
        <v>3749.9623253556701</v>
      </c>
      <c r="C1990" s="116">
        <v>3707.64436891778</v>
      </c>
      <c r="D1990" s="116">
        <v>3683.6496513499001</v>
      </c>
      <c r="E1990" s="116">
        <v>3712.2494157237402</v>
      </c>
      <c r="F1990" s="116">
        <v>3824.35</v>
      </c>
      <c r="G1990">
        <v>33126</v>
      </c>
      <c r="H1990" s="116"/>
      <c r="I1990" s="116"/>
      <c r="L1990" s="170">
        <v>44932</v>
      </c>
      <c r="M1990" s="116">
        <v>3707.5532422123301</v>
      </c>
      <c r="N1990" s="116">
        <v>3750.2105848696801</v>
      </c>
      <c r="O1990" s="116">
        <v>3681.18324856961</v>
      </c>
      <c r="P1990" s="116">
        <v>3712.1582962491998</v>
      </c>
      <c r="Q1990" s="116">
        <v>3824.25</v>
      </c>
      <c r="R1990">
        <v>912159</v>
      </c>
    </row>
    <row r="1991" spans="1:18" x14ac:dyDescent="0.25">
      <c r="A1991" s="170">
        <v>44935</v>
      </c>
      <c r="B1991" s="116">
        <v>3760.6266442747301</v>
      </c>
      <c r="C1991" s="116">
        <v>3736.5834525299501</v>
      </c>
      <c r="D1991" s="116">
        <v>3696.8831016449099</v>
      </c>
      <c r="E1991" s="116">
        <v>3715.10939216112</v>
      </c>
      <c r="F1991" s="116">
        <v>3854.2</v>
      </c>
      <c r="G1991">
        <v>45973</v>
      </c>
      <c r="H1991" s="116"/>
      <c r="I1991" s="116"/>
      <c r="L1991" s="170">
        <v>44935</v>
      </c>
      <c r="M1991" s="116">
        <v>3737.6557533375699</v>
      </c>
      <c r="N1991" s="116">
        <v>3761.6020343293098</v>
      </c>
      <c r="O1991" s="116">
        <v>3694.9499364272101</v>
      </c>
      <c r="P1991" s="116">
        <v>3725.7310870947199</v>
      </c>
      <c r="Q1991" s="116">
        <v>3855.3</v>
      </c>
      <c r="R1991">
        <v>753981</v>
      </c>
    </row>
    <row r="1992" spans="1:18" x14ac:dyDescent="0.25">
      <c r="A1992" s="170">
        <v>44936</v>
      </c>
      <c r="B1992" s="116">
        <v>3744.2908466578101</v>
      </c>
      <c r="C1992" s="116">
        <v>3535.90036014406</v>
      </c>
      <c r="D1992" s="116">
        <v>3445.8353394549299</v>
      </c>
      <c r="E1992" s="116">
        <v>3740.2674899747099</v>
      </c>
      <c r="F1992" s="116">
        <v>3647.2</v>
      </c>
      <c r="G1992">
        <v>111428</v>
      </c>
      <c r="H1992" s="116"/>
      <c r="I1992" s="116"/>
      <c r="L1992" s="170">
        <v>44936</v>
      </c>
      <c r="M1992" s="116">
        <v>3535.6150667514298</v>
      </c>
      <c r="N1992" s="116">
        <v>3744.1997774952301</v>
      </c>
      <c r="O1992" s="116">
        <v>3446.51938970121</v>
      </c>
      <c r="P1992" s="116">
        <v>3741.2428480610301</v>
      </c>
      <c r="Q1992" s="116">
        <v>3646.9</v>
      </c>
      <c r="R1992">
        <v>3595798</v>
      </c>
    </row>
    <row r="1993" spans="1:18" x14ac:dyDescent="0.25">
      <c r="A1993" s="170">
        <v>44937</v>
      </c>
      <c r="B1993" s="116">
        <v>3551.7514159919301</v>
      </c>
      <c r="C1993" s="116">
        <v>3524.2665576868999</v>
      </c>
      <c r="D1993" s="116">
        <v>3449.4224285458899</v>
      </c>
      <c r="E1993" s="116">
        <v>3548.3097494316899</v>
      </c>
      <c r="F1993" s="116">
        <v>3635.2</v>
      </c>
      <c r="G1993">
        <v>118498</v>
      </c>
      <c r="H1993" s="116"/>
      <c r="I1993" s="116"/>
      <c r="L1993" s="170">
        <v>44937</v>
      </c>
      <c r="M1993" s="116">
        <v>3524.8537825810499</v>
      </c>
      <c r="N1993" s="116">
        <v>3552.6780038143702</v>
      </c>
      <c r="O1993" s="116">
        <v>3451.4637635092199</v>
      </c>
      <c r="P1993" s="116">
        <v>3548.3153210425899</v>
      </c>
      <c r="Q1993" s="116">
        <v>3635.8</v>
      </c>
      <c r="R1993">
        <v>2226506</v>
      </c>
    </row>
    <row r="1994" spans="1:18" x14ac:dyDescent="0.25">
      <c r="A1994" s="170">
        <v>44938</v>
      </c>
      <c r="B1994" s="116">
        <v>3567.11773007075</v>
      </c>
      <c r="C1994" s="116">
        <v>3534.1068155985799</v>
      </c>
      <c r="D1994" s="116">
        <v>3502.7440231411701</v>
      </c>
      <c r="E1994" s="116">
        <v>3525.0421445173802</v>
      </c>
      <c r="F1994" s="116">
        <v>3645.35</v>
      </c>
      <c r="G1994">
        <v>33421</v>
      </c>
      <c r="H1994" s="116"/>
      <c r="I1994" s="116"/>
      <c r="L1994" s="170">
        <v>44938</v>
      </c>
      <c r="M1994" s="116">
        <v>3535.9059122695498</v>
      </c>
      <c r="N1994" s="116">
        <v>3566.7355371900799</v>
      </c>
      <c r="O1994" s="116">
        <v>3501.78003814367</v>
      </c>
      <c r="P1994" s="116">
        <v>3531.3493324857</v>
      </c>
      <c r="Q1994" s="116">
        <v>3647.2</v>
      </c>
      <c r="R1994">
        <v>1199785</v>
      </c>
    </row>
    <row r="1995" spans="1:18" x14ac:dyDescent="0.25">
      <c r="A1995" s="170">
        <v>44939</v>
      </c>
      <c r="B1995" s="116">
        <v>3622.1843950346101</v>
      </c>
      <c r="C1995" s="116">
        <v>3607.83603867079</v>
      </c>
      <c r="D1995" s="116">
        <v>3531.78005510715</v>
      </c>
      <c r="E1995" s="116">
        <v>3542.49284820311</v>
      </c>
      <c r="F1995" s="116">
        <v>3721.4</v>
      </c>
      <c r="G1995">
        <v>42252</v>
      </c>
      <c r="H1995" s="116"/>
      <c r="I1995" s="116"/>
      <c r="L1995" s="170">
        <v>44939</v>
      </c>
      <c r="M1995" s="116">
        <v>3607.5993324857</v>
      </c>
      <c r="N1995" s="116">
        <v>3622.0446598855701</v>
      </c>
      <c r="O1995" s="116">
        <v>3531.0584869675799</v>
      </c>
      <c r="P1995" s="116">
        <v>3539.7838525111201</v>
      </c>
      <c r="Q1995" s="116">
        <v>3721.15</v>
      </c>
      <c r="R1995">
        <v>1364712</v>
      </c>
    </row>
    <row r="1996" spans="1:18" x14ac:dyDescent="0.25">
      <c r="A1996" s="170">
        <v>44942</v>
      </c>
      <c r="B1996" s="116">
        <v>3624.8989489412802</v>
      </c>
      <c r="C1996" s="116">
        <v>3508.56092436975</v>
      </c>
      <c r="D1996" s="116">
        <v>3488.8319343694902</v>
      </c>
      <c r="E1996" s="116">
        <v>3608.41772879365</v>
      </c>
      <c r="F1996" s="116">
        <v>3619</v>
      </c>
      <c r="G1996">
        <v>75078</v>
      </c>
      <c r="H1996" s="116"/>
      <c r="I1996" s="116"/>
      <c r="L1996" s="170">
        <v>44942</v>
      </c>
      <c r="M1996" s="116">
        <v>3509.3420216147501</v>
      </c>
      <c r="N1996" s="116">
        <v>3625.82565162111</v>
      </c>
      <c r="O1996" s="116">
        <v>3490.1462174189401</v>
      </c>
      <c r="P1996" s="116">
        <v>3606.4844246662401</v>
      </c>
      <c r="Q1996" s="116">
        <v>3619.8</v>
      </c>
      <c r="R1996">
        <v>1863848</v>
      </c>
    </row>
    <row r="1997" spans="1:18" x14ac:dyDescent="0.25">
      <c r="A1997" s="170">
        <v>44943</v>
      </c>
      <c r="B1997" s="116">
        <v>3537.69390468954</v>
      </c>
      <c r="C1997" s="116">
        <v>3527.8051726009598</v>
      </c>
      <c r="D1997" s="116">
        <v>3451.4098697989798</v>
      </c>
      <c r="E1997" s="116">
        <v>3501.0474269494998</v>
      </c>
      <c r="F1997" s="116">
        <v>3638.85</v>
      </c>
      <c r="G1997">
        <v>42123</v>
      </c>
      <c r="H1997" s="116"/>
      <c r="I1997" s="116"/>
      <c r="L1997" s="170">
        <v>44943</v>
      </c>
      <c r="M1997" s="116">
        <v>3528.29545454545</v>
      </c>
      <c r="N1997" s="116">
        <v>3538.23267641449</v>
      </c>
      <c r="O1997" s="116">
        <v>3451.5607120152599</v>
      </c>
      <c r="P1997" s="116">
        <v>3509.5359186268302</v>
      </c>
      <c r="Q1997" s="116">
        <v>3639.35</v>
      </c>
      <c r="R1997">
        <v>1668381</v>
      </c>
    </row>
    <row r="1998" spans="1:18" x14ac:dyDescent="0.25">
      <c r="A1998" s="170">
        <v>44944</v>
      </c>
      <c r="B1998" s="116">
        <v>3536.3851019131098</v>
      </c>
      <c r="C1998" s="116">
        <v>3485.6326386937799</v>
      </c>
      <c r="D1998" s="116">
        <v>3420.9680867027701</v>
      </c>
      <c r="E1998" s="116">
        <v>3530.85904574596</v>
      </c>
      <c r="F1998" s="116">
        <v>3595.35</v>
      </c>
      <c r="G1998">
        <v>89673</v>
      </c>
      <c r="H1998" s="116"/>
      <c r="I1998" s="116"/>
      <c r="L1998" s="170">
        <v>44944</v>
      </c>
      <c r="M1998" s="116">
        <v>3486.9469167196398</v>
      </c>
      <c r="N1998" s="116">
        <v>3536.6815003178599</v>
      </c>
      <c r="O1998" s="116">
        <v>3419.4707565162098</v>
      </c>
      <c r="P1998" s="116">
        <v>3536.6815003178599</v>
      </c>
      <c r="Q1998" s="116">
        <v>3596.7</v>
      </c>
      <c r="R1998">
        <v>3652240</v>
      </c>
    </row>
    <row r="1999" spans="1:18" x14ac:dyDescent="0.25">
      <c r="A1999" s="170">
        <v>44945</v>
      </c>
      <c r="B1999" s="116">
        <v>3429.8873352532501</v>
      </c>
      <c r="C1999" s="116">
        <v>3355.9642154734202</v>
      </c>
      <c r="D1999" s="116">
        <v>3322.4685592321998</v>
      </c>
      <c r="E1999" s="116">
        <v>3357.8062341958098</v>
      </c>
      <c r="F1999" s="116">
        <v>3461.6</v>
      </c>
      <c r="G1999">
        <v>111715</v>
      </c>
      <c r="H1999" s="116"/>
      <c r="I1999" s="116"/>
      <c r="L1999" s="170">
        <v>44945</v>
      </c>
      <c r="M1999" s="116">
        <v>3357.85998092816</v>
      </c>
      <c r="N1999" s="116">
        <v>3429.7472981563901</v>
      </c>
      <c r="O1999" s="116">
        <v>3322.1344564526398</v>
      </c>
      <c r="P1999" s="116">
        <v>3364.1131595677002</v>
      </c>
      <c r="Q1999" s="116">
        <v>3463.55</v>
      </c>
      <c r="R1999">
        <v>3696319</v>
      </c>
    </row>
    <row r="2000" spans="1:18" x14ac:dyDescent="0.25">
      <c r="A2000" s="170">
        <v>44946</v>
      </c>
      <c r="B2000" s="116">
        <v>3370.8457877832002</v>
      </c>
      <c r="C2000" s="116">
        <v>3350.9229010753202</v>
      </c>
      <c r="D2000" s="116">
        <v>3334.9264226967398</v>
      </c>
      <c r="E2000" s="116">
        <v>3349.5656241219899</v>
      </c>
      <c r="F2000" s="116">
        <v>3456.4</v>
      </c>
      <c r="G2000">
        <v>40698</v>
      </c>
      <c r="H2000" s="116"/>
      <c r="I2000" s="116"/>
      <c r="L2000" s="170">
        <v>44946</v>
      </c>
      <c r="M2000" s="116">
        <v>3350.6857914812499</v>
      </c>
      <c r="N2000" s="116">
        <v>3371.2388747616001</v>
      </c>
      <c r="O2000" s="116">
        <v>3335.9496185632502</v>
      </c>
      <c r="P2000" s="116">
        <v>3344.7234583598201</v>
      </c>
      <c r="Q2000" s="116">
        <v>3456.15</v>
      </c>
      <c r="R2000">
        <v>1510258</v>
      </c>
    </row>
    <row r="2001" spans="1:18" x14ac:dyDescent="0.25">
      <c r="A2001" s="170">
        <v>44949</v>
      </c>
      <c r="B2001" s="116">
        <v>3354.36456763556</v>
      </c>
      <c r="C2001" s="116">
        <v>3329.69121159102</v>
      </c>
      <c r="D2001" s="116">
        <v>3309.81679906005</v>
      </c>
      <c r="E2001" s="116">
        <v>3349.32325323747</v>
      </c>
      <c r="F2001" s="116">
        <v>3434.5</v>
      </c>
      <c r="G2001">
        <v>51149</v>
      </c>
      <c r="H2001" s="116"/>
      <c r="I2001" s="116"/>
      <c r="L2001" s="170">
        <v>44949</v>
      </c>
      <c r="M2001" s="116">
        <v>3331.4899872854398</v>
      </c>
      <c r="N2001" s="116">
        <v>3354.41830896376</v>
      </c>
      <c r="O2001" s="116">
        <v>3308.4162428480599</v>
      </c>
      <c r="P2001" s="116">
        <v>3337.9855371900799</v>
      </c>
      <c r="Q2001" s="116">
        <v>3436.35</v>
      </c>
      <c r="R2001">
        <v>974857</v>
      </c>
    </row>
    <row r="2002" spans="1:18" x14ac:dyDescent="0.25">
      <c r="A2002" s="170">
        <v>44950</v>
      </c>
      <c r="B2002" s="116">
        <v>3399.6394488646501</v>
      </c>
      <c r="C2002" s="116">
        <v>3337.6894507803099</v>
      </c>
      <c r="D2002" s="116">
        <v>3324.4075263084001</v>
      </c>
      <c r="E2002" s="116">
        <v>3335.1203194043601</v>
      </c>
      <c r="F2002" s="116">
        <v>3442.75</v>
      </c>
      <c r="G2002">
        <v>48027</v>
      </c>
      <c r="H2002" s="116"/>
      <c r="I2002" s="116"/>
      <c r="L2002" s="170">
        <v>44950</v>
      </c>
      <c r="M2002" s="116">
        <v>3336.96757787667</v>
      </c>
      <c r="N2002" s="116">
        <v>3400.9535918626798</v>
      </c>
      <c r="O2002" s="116">
        <v>3325.3337571519401</v>
      </c>
      <c r="P2002" s="116">
        <v>3342.2512714558202</v>
      </c>
      <c r="Q2002" s="116">
        <v>3442</v>
      </c>
      <c r="R2002">
        <v>1518123</v>
      </c>
    </row>
    <row r="2003" spans="1:18" x14ac:dyDescent="0.25">
      <c r="A2003" s="170">
        <v>44951</v>
      </c>
      <c r="B2003" s="116">
        <v>3320.19027291768</v>
      </c>
      <c r="C2003" s="116">
        <v>3286.4037716150301</v>
      </c>
      <c r="D2003" s="116">
        <v>3214.5165672652001</v>
      </c>
      <c r="E2003" s="116">
        <v>3315.6337002886298</v>
      </c>
      <c r="F2003" s="116">
        <v>3389.85</v>
      </c>
      <c r="G2003">
        <v>120627</v>
      </c>
      <c r="H2003" s="116"/>
      <c r="I2003" s="116"/>
      <c r="L2003" s="170">
        <v>44951</v>
      </c>
      <c r="M2003" s="116">
        <v>3285.5363954227601</v>
      </c>
      <c r="N2003" s="116">
        <v>3323.3947870311499</v>
      </c>
      <c r="O2003" s="116">
        <v>3213.8429752066099</v>
      </c>
      <c r="P2003" s="116">
        <v>3317.5778766687899</v>
      </c>
      <c r="Q2003" s="116">
        <v>3388.95</v>
      </c>
      <c r="R2003">
        <v>3686439</v>
      </c>
    </row>
    <row r="2004" spans="1:18" x14ac:dyDescent="0.25">
      <c r="A2004" s="170">
        <v>44953</v>
      </c>
      <c r="B2004" s="116">
        <v>3240.25635520166</v>
      </c>
      <c r="C2004" s="116">
        <v>2677.8589547521101</v>
      </c>
      <c r="D2004" s="116">
        <v>2629.2393553165898</v>
      </c>
      <c r="E2004" s="116">
        <v>3199.2956757171</v>
      </c>
      <c r="F2004" s="116">
        <v>2762.15</v>
      </c>
      <c r="G2004">
        <v>872950</v>
      </c>
      <c r="H2004" s="116"/>
      <c r="I2004" s="116"/>
      <c r="L2004" s="170">
        <v>44953</v>
      </c>
      <c r="M2004" s="116">
        <v>2677.1845200254302</v>
      </c>
      <c r="N2004" s="116">
        <v>3244.3817546090299</v>
      </c>
      <c r="O2004" s="116">
        <v>2629.24348378894</v>
      </c>
      <c r="P2004" s="116">
        <v>3233.23267641449</v>
      </c>
      <c r="Q2004" s="116">
        <v>2761.45</v>
      </c>
      <c r="R2004">
        <v>14764368</v>
      </c>
    </row>
    <row r="2005" spans="1:18" x14ac:dyDescent="0.25">
      <c r="A2005" s="170">
        <v>44956</v>
      </c>
      <c r="B2005" s="116">
        <v>2945.6303079742502</v>
      </c>
      <c r="C2005" s="116">
        <v>2790.6583644095899</v>
      </c>
      <c r="D2005" s="116">
        <v>2584.6431125641702</v>
      </c>
      <c r="E2005" s="116">
        <v>2686.4873582411701</v>
      </c>
      <c r="F2005" s="116">
        <v>2878.5</v>
      </c>
      <c r="G2005">
        <v>1747957</v>
      </c>
      <c r="H2005" s="116"/>
      <c r="I2005" s="116"/>
      <c r="L2005" s="170">
        <v>44956</v>
      </c>
      <c r="M2005" s="116">
        <v>2804.5748569612201</v>
      </c>
      <c r="N2005" s="116">
        <v>2944.8593452002501</v>
      </c>
      <c r="O2005" s="116">
        <v>2583.6776859504098</v>
      </c>
      <c r="P2005" s="116">
        <v>2763.03242212333</v>
      </c>
      <c r="Q2005" s="116">
        <v>2892.85</v>
      </c>
      <c r="R2005">
        <v>20947906</v>
      </c>
    </row>
    <row r="2006" spans="1:18" x14ac:dyDescent="0.25">
      <c r="A2006" s="170">
        <v>44957</v>
      </c>
      <c r="B2006" s="116">
        <v>2979.1744383923801</v>
      </c>
      <c r="C2006" s="116">
        <v>2884.2135258358699</v>
      </c>
      <c r="D2006" s="116">
        <v>2829.5346542872499</v>
      </c>
      <c r="E2006" s="116">
        <v>2889.06094352635</v>
      </c>
      <c r="F2006" s="116">
        <v>2975</v>
      </c>
      <c r="G2006">
        <v>568974</v>
      </c>
      <c r="H2006" s="116"/>
      <c r="I2006" s="116"/>
      <c r="L2006" s="170">
        <v>44957</v>
      </c>
      <c r="M2006" s="116">
        <v>2883.1516211061698</v>
      </c>
      <c r="N2006" s="116">
        <v>2979.8092816274602</v>
      </c>
      <c r="O2006" s="116">
        <v>2817.3235855053999</v>
      </c>
      <c r="P2006" s="116">
        <v>2889.0654799745698</v>
      </c>
      <c r="Q2006" s="116">
        <v>2973.9</v>
      </c>
      <c r="R2006">
        <v>11568020</v>
      </c>
    </row>
    <row r="2007" spans="1:18" x14ac:dyDescent="0.25">
      <c r="A2007" s="170">
        <v>44958</v>
      </c>
      <c r="B2007" s="116">
        <v>2937.5351204311501</v>
      </c>
      <c r="C2007" s="116">
        <v>2063.7396075451502</v>
      </c>
      <c r="D2007" s="116">
        <v>1882.7370309826099</v>
      </c>
      <c r="E2007" s="116">
        <v>2937.5351204311501</v>
      </c>
      <c r="F2007" s="116">
        <v>2128.6999999999998</v>
      </c>
      <c r="G2007">
        <v>967171</v>
      </c>
      <c r="H2007" s="116"/>
      <c r="I2007" s="116"/>
      <c r="L2007" s="170">
        <v>44958</v>
      </c>
      <c r="M2007" s="116">
        <v>2070.1899237126499</v>
      </c>
      <c r="N2007" s="116">
        <v>2918.87714558169</v>
      </c>
      <c r="O2007" s="116">
        <v>1881.96439923713</v>
      </c>
      <c r="P2007" s="116">
        <v>2903.60775588048</v>
      </c>
      <c r="Q2007" s="116">
        <v>2135.35</v>
      </c>
      <c r="R2007">
        <v>13525314</v>
      </c>
    </row>
    <row r="2008" spans="1:18" x14ac:dyDescent="0.25">
      <c r="A2008" s="170">
        <v>44959</v>
      </c>
      <c r="B2008" s="116">
        <v>2270.0941786289</v>
      </c>
      <c r="C2008" s="116">
        <v>1516.9508920589501</v>
      </c>
      <c r="D2008" s="116">
        <v>1467.70112832367</v>
      </c>
      <c r="E2008" s="116">
        <v>2270.0941786289</v>
      </c>
      <c r="F2008" s="116">
        <v>1564.7</v>
      </c>
      <c r="G2008">
        <v>2007736</v>
      </c>
      <c r="H2008" s="116"/>
      <c r="I2008" s="116"/>
      <c r="L2008" s="170">
        <v>44959</v>
      </c>
      <c r="M2008" s="116">
        <v>1517.4864907819499</v>
      </c>
      <c r="N2008" s="116">
        <v>2277.1749841067999</v>
      </c>
      <c r="O2008" s="116">
        <v>1449.13779402416</v>
      </c>
      <c r="P2008" s="116">
        <v>2277.1749841067999</v>
      </c>
      <c r="Q2008" s="116">
        <v>1565.25</v>
      </c>
      <c r="R2008">
        <v>34474080</v>
      </c>
    </row>
    <row r="2009" spans="1:18" x14ac:dyDescent="0.25">
      <c r="A2009" s="170">
        <v>44960</v>
      </c>
      <c r="B2009" s="116">
        <v>1627.6659121095199</v>
      </c>
      <c r="C2009" s="116">
        <v>1535.8558210518199</v>
      </c>
      <c r="D2009" s="116">
        <v>986.06170659753298</v>
      </c>
      <c r="E2009" s="116">
        <v>1453.2558236060399</v>
      </c>
      <c r="F2009" s="116">
        <v>1584.2</v>
      </c>
      <c r="G2009">
        <v>2407391</v>
      </c>
      <c r="H2009" s="116"/>
      <c r="I2009" s="116"/>
      <c r="L2009" s="170">
        <v>44960</v>
      </c>
      <c r="M2009" s="116">
        <v>1538.3788938334401</v>
      </c>
      <c r="N2009" s="116">
        <v>1628.63795295613</v>
      </c>
      <c r="O2009" s="116">
        <v>986.40257469802896</v>
      </c>
      <c r="P2009" s="116">
        <v>1444.5327399872899</v>
      </c>
      <c r="Q2009" s="116">
        <v>1586.8</v>
      </c>
      <c r="R2009">
        <v>43885579</v>
      </c>
    </row>
    <row r="2010" spans="1:18" x14ac:dyDescent="0.25">
      <c r="A2010" s="170">
        <v>44963</v>
      </c>
      <c r="B2010" s="116">
        <v>1563.67999859518</v>
      </c>
      <c r="C2010" s="116">
        <v>1524.4159153022899</v>
      </c>
      <c r="D2010" s="116">
        <v>1389.85160021455</v>
      </c>
      <c r="E2010" s="116">
        <v>1549.1862197006501</v>
      </c>
      <c r="F2010" s="116">
        <v>1572.4</v>
      </c>
      <c r="G2010">
        <v>1198814</v>
      </c>
      <c r="H2010" s="116"/>
      <c r="I2010" s="116"/>
      <c r="L2010" s="170">
        <v>44963</v>
      </c>
      <c r="M2010" s="116">
        <v>1524.70915448188</v>
      </c>
      <c r="N2010" s="116">
        <v>1565.7183725365501</v>
      </c>
      <c r="O2010" s="116">
        <v>1391.40495867769</v>
      </c>
      <c r="P2010" s="116">
        <v>1526.9389701207899</v>
      </c>
      <c r="Q2010" s="116">
        <v>1572.7</v>
      </c>
      <c r="R2010">
        <v>19308603</v>
      </c>
    </row>
    <row r="2011" spans="1:18" x14ac:dyDescent="0.25">
      <c r="A2011" s="170">
        <v>44964</v>
      </c>
      <c r="B2011" s="116">
        <v>1905.51989412786</v>
      </c>
      <c r="C2011" s="116">
        <v>1747.4940774182</v>
      </c>
      <c r="D2011" s="116">
        <v>1478.5108697734399</v>
      </c>
      <c r="E2011" s="116">
        <v>1520.1986619115701</v>
      </c>
      <c r="F2011" s="116">
        <v>1802.5</v>
      </c>
      <c r="G2011">
        <v>1224629</v>
      </c>
      <c r="H2011" s="116"/>
      <c r="I2011" s="116"/>
      <c r="L2011" s="170">
        <v>44964</v>
      </c>
      <c r="M2011" s="116">
        <v>1747.93308963764</v>
      </c>
      <c r="N2011" s="116">
        <v>1902.8083280356</v>
      </c>
      <c r="O2011" s="116">
        <v>1479.04640813732</v>
      </c>
      <c r="P2011" s="116">
        <v>1523.0610298792101</v>
      </c>
      <c r="Q2011" s="116">
        <v>1802.95</v>
      </c>
      <c r="R2011">
        <v>19188072</v>
      </c>
    </row>
    <row r="2012" spans="1:18" x14ac:dyDescent="0.25">
      <c r="A2012" s="170">
        <v>44965</v>
      </c>
      <c r="B2012" s="116">
        <v>2153.1259897576101</v>
      </c>
      <c r="C2012" s="116">
        <v>2092.7756395111201</v>
      </c>
      <c r="D2012" s="116">
        <v>1787.6306958953801</v>
      </c>
      <c r="E2012" s="116">
        <v>1812.9342162396899</v>
      </c>
      <c r="F2012" s="116">
        <v>2158.65</v>
      </c>
      <c r="G2012">
        <v>1231884</v>
      </c>
      <c r="H2012" s="116"/>
      <c r="I2012" s="116"/>
      <c r="L2012" s="170">
        <v>44965</v>
      </c>
      <c r="M2012" s="116">
        <v>2098.2080419580402</v>
      </c>
      <c r="N2012" s="116">
        <v>2154.3412269548598</v>
      </c>
      <c r="O2012" s="116">
        <v>1784.67657342657</v>
      </c>
      <c r="P2012" s="116">
        <v>1812.7916401780001</v>
      </c>
      <c r="Q2012" s="116">
        <v>2164.25</v>
      </c>
      <c r="R2012">
        <v>19173006</v>
      </c>
    </row>
    <row r="2013" spans="1:18" x14ac:dyDescent="0.25">
      <c r="A2013" s="170">
        <v>44966</v>
      </c>
      <c r="B2013" s="116">
        <v>2132.8637838114</v>
      </c>
      <c r="C2013" s="116">
        <v>1868.4856229725899</v>
      </c>
      <c r="D2013" s="116">
        <v>1674.24959611504</v>
      </c>
      <c r="E2013" s="116">
        <v>2132.8637838114</v>
      </c>
      <c r="F2013" s="116">
        <v>1927.3</v>
      </c>
      <c r="G2013">
        <v>1205512</v>
      </c>
      <c r="H2013" s="116"/>
      <c r="I2013" s="116"/>
      <c r="L2013" s="170">
        <v>44966</v>
      </c>
      <c r="M2013" s="116">
        <v>1866.93738080102</v>
      </c>
      <c r="N2013" s="116">
        <v>2101.8436109345198</v>
      </c>
      <c r="O2013" s="116">
        <v>1678.5664335664301</v>
      </c>
      <c r="P2013" s="116">
        <v>2101.8436109345198</v>
      </c>
      <c r="Q2013" s="116">
        <v>1925.7</v>
      </c>
      <c r="R2013">
        <v>18279862</v>
      </c>
    </row>
    <row r="2014" spans="1:18" x14ac:dyDescent="0.25">
      <c r="A2014" s="170">
        <v>44967</v>
      </c>
      <c r="B2014" s="116">
        <v>1929.2722408112199</v>
      </c>
      <c r="C2014" s="116">
        <v>1790.97541410181</v>
      </c>
      <c r="D2014" s="116">
        <v>1681.66614518148</v>
      </c>
      <c r="E2014" s="116">
        <v>1711.1384447395999</v>
      </c>
      <c r="F2014" s="116">
        <v>1847.35</v>
      </c>
      <c r="G2014">
        <v>902453</v>
      </c>
      <c r="H2014" s="116"/>
      <c r="I2014" s="116"/>
      <c r="L2014" s="170">
        <v>44967</v>
      </c>
      <c r="M2014" s="116">
        <v>1790.59043229498</v>
      </c>
      <c r="N2014" s="116">
        <v>1929.2752701843599</v>
      </c>
      <c r="O2014" s="116">
        <v>1680.26303242212</v>
      </c>
      <c r="P2014" s="116">
        <v>1715.0190718372501</v>
      </c>
      <c r="Q2014" s="116">
        <v>1846.95</v>
      </c>
      <c r="R2014">
        <v>11334878</v>
      </c>
    </row>
    <row r="2015" spans="1:18" x14ac:dyDescent="0.25">
      <c r="A2015" s="170">
        <v>44970</v>
      </c>
      <c r="B2015" s="116">
        <v>1862.3778766825901</v>
      </c>
      <c r="C2015" s="116">
        <v>1665.13645085694</v>
      </c>
      <c r="D2015" s="116">
        <v>1611.9118046154599</v>
      </c>
      <c r="E2015" s="116">
        <v>1790.97541410181</v>
      </c>
      <c r="F2015" s="116">
        <v>1717.55</v>
      </c>
      <c r="G2015">
        <v>1130582</v>
      </c>
      <c r="H2015" s="116"/>
      <c r="I2015" s="116"/>
      <c r="L2015" s="170">
        <v>44970</v>
      </c>
      <c r="M2015" s="116">
        <v>1665.23601398601</v>
      </c>
      <c r="N2015" s="116">
        <v>1863.05944055944</v>
      </c>
      <c r="O2015" s="116">
        <v>1611.5265416401801</v>
      </c>
      <c r="P2015" s="116">
        <v>1793.54736172918</v>
      </c>
      <c r="Q2015" s="116">
        <v>1717.65</v>
      </c>
      <c r="R2015">
        <v>12210940</v>
      </c>
    </row>
    <row r="2016" spans="1:18" x14ac:dyDescent="0.25">
      <c r="A2016" s="170">
        <v>44971</v>
      </c>
      <c r="B2016" s="116">
        <v>1831.3544034635099</v>
      </c>
      <c r="C2016" s="116">
        <v>1696.8870367295899</v>
      </c>
      <c r="D2016" s="116">
        <v>1562.1288249342299</v>
      </c>
      <c r="E2016" s="116">
        <v>1677.20652090623</v>
      </c>
      <c r="F2016" s="116">
        <v>1750.3</v>
      </c>
      <c r="G2016">
        <v>787056</v>
      </c>
      <c r="H2016" s="116"/>
      <c r="I2016" s="116"/>
      <c r="L2016" s="170">
        <v>44971</v>
      </c>
      <c r="M2016" s="116">
        <v>1696.30801017165</v>
      </c>
      <c r="N2016" s="116">
        <v>1831.3572790845501</v>
      </c>
      <c r="O2016" s="116">
        <v>1562.17975206612</v>
      </c>
      <c r="P2016" s="116">
        <v>1682.0565797838501</v>
      </c>
      <c r="Q2016" s="116">
        <v>1749.7</v>
      </c>
      <c r="R2016">
        <v>14579030</v>
      </c>
    </row>
    <row r="2017" spans="1:18" x14ac:dyDescent="0.25">
      <c r="A2017" s="170">
        <v>44972</v>
      </c>
      <c r="B2017" s="116">
        <v>1769.30745702536</v>
      </c>
      <c r="C2017" s="116">
        <v>1724.1779983269901</v>
      </c>
      <c r="D2017" s="116">
        <v>1696.8870367295899</v>
      </c>
      <c r="E2017" s="116">
        <v>1729.5586319634201</v>
      </c>
      <c r="F2017" s="116">
        <v>1778.45</v>
      </c>
      <c r="G2017">
        <v>594354</v>
      </c>
      <c r="H2017" s="116"/>
      <c r="I2017" s="116"/>
      <c r="L2017" s="170">
        <v>44972</v>
      </c>
      <c r="M2017" s="116">
        <v>1724.8108709472299</v>
      </c>
      <c r="N2017" s="116">
        <v>1768.72854418309</v>
      </c>
      <c r="O2017" s="116">
        <v>1696.5988556897601</v>
      </c>
      <c r="P2017" s="116">
        <v>1725.68340750159</v>
      </c>
      <c r="Q2017" s="116">
        <v>1779.1</v>
      </c>
      <c r="R2017">
        <v>7636578</v>
      </c>
    </row>
    <row r="2018" spans="1:18" x14ac:dyDescent="0.25">
      <c r="A2018" s="170">
        <v>44973</v>
      </c>
      <c r="B2018" s="116">
        <v>1816.71520203826</v>
      </c>
      <c r="C2018" s="116">
        <v>1741.4832794820099</v>
      </c>
      <c r="D2018" s="116">
        <v>1735.9087491379501</v>
      </c>
      <c r="E2018" s="116">
        <v>1764.4600393348801</v>
      </c>
      <c r="F2018" s="116">
        <v>1796.3</v>
      </c>
      <c r="G2018">
        <v>310819</v>
      </c>
      <c r="H2018" s="116"/>
      <c r="I2018" s="116"/>
      <c r="L2018" s="170">
        <v>44973</v>
      </c>
      <c r="M2018" s="116">
        <v>1741.77685950413</v>
      </c>
      <c r="N2018" s="116">
        <v>1817.73601398601</v>
      </c>
      <c r="O2018" s="116">
        <v>1735.37825810553</v>
      </c>
      <c r="P2018" s="116">
        <v>1764.4628099173599</v>
      </c>
      <c r="Q2018" s="116">
        <v>1796.6</v>
      </c>
      <c r="R2018">
        <v>5578515</v>
      </c>
    </row>
    <row r="2019" spans="1:18" x14ac:dyDescent="0.25">
      <c r="A2019" s="170">
        <v>44974</v>
      </c>
      <c r="B2019" s="116">
        <v>1759.6126216444</v>
      </c>
      <c r="C2019" s="116">
        <v>1669.2082817169401</v>
      </c>
      <c r="D2019" s="116">
        <v>1652.96943245383</v>
      </c>
      <c r="E2019" s="116">
        <v>1757.6736545682099</v>
      </c>
      <c r="F2019" s="116">
        <v>1721.75</v>
      </c>
      <c r="G2019">
        <v>308300</v>
      </c>
      <c r="H2019" s="116"/>
      <c r="I2019" s="116"/>
      <c r="L2019" s="170">
        <v>44974</v>
      </c>
      <c r="M2019" s="116">
        <v>1670.1319135409999</v>
      </c>
      <c r="N2019" s="116">
        <v>1760.43944691672</v>
      </c>
      <c r="O2019" s="116">
        <v>1651.2269548633201</v>
      </c>
      <c r="P2019" s="116">
        <v>1745.07310870947</v>
      </c>
      <c r="Q2019" s="116">
        <v>1722.7</v>
      </c>
      <c r="R2019">
        <v>5392513</v>
      </c>
    </row>
    <row r="2020" spans="1:18" x14ac:dyDescent="0.25">
      <c r="A2020" s="170">
        <v>44977</v>
      </c>
      <c r="B2020" s="116">
        <v>1633.5797616919101</v>
      </c>
      <c r="C2020" s="116">
        <v>1570.1270641235201</v>
      </c>
      <c r="D2020" s="116">
        <v>1513.46075132181</v>
      </c>
      <c r="E2020" s="116">
        <v>1590.9224860156801</v>
      </c>
      <c r="F2020" s="116">
        <v>1619.55</v>
      </c>
      <c r="G2020">
        <v>307074</v>
      </c>
      <c r="H2020" s="116"/>
      <c r="I2020" s="116"/>
      <c r="L2020" s="170">
        <v>44977</v>
      </c>
      <c r="M2020" s="116">
        <v>1571.9715511761001</v>
      </c>
      <c r="N2020" s="116">
        <v>1633.5823267641399</v>
      </c>
      <c r="O2020" s="116">
        <v>1512.88143674507</v>
      </c>
      <c r="P2020" s="116">
        <v>1599.6503496503501</v>
      </c>
      <c r="Q2020" s="116">
        <v>1621.45</v>
      </c>
      <c r="R2020">
        <v>6762330</v>
      </c>
    </row>
    <row r="2021" spans="1:18" x14ac:dyDescent="0.25">
      <c r="A2021" s="170">
        <v>44978</v>
      </c>
      <c r="B2021" s="116">
        <v>1594.1702558683</v>
      </c>
      <c r="C2021" s="116">
        <v>1520.5379811499099</v>
      </c>
      <c r="D2021" s="116">
        <v>1502.6994840489399</v>
      </c>
      <c r="E2021" s="116">
        <v>1570.5633317156701</v>
      </c>
      <c r="F2021" s="116">
        <v>1568.4</v>
      </c>
      <c r="G2021">
        <v>272056</v>
      </c>
      <c r="H2021" s="116"/>
      <c r="I2021" s="116"/>
      <c r="L2021" s="170">
        <v>44978</v>
      </c>
      <c r="M2021" s="116">
        <v>1523.1579783852501</v>
      </c>
      <c r="N2021" s="116">
        <v>1594.2697075651599</v>
      </c>
      <c r="O2021" s="116">
        <v>1513.6570247933901</v>
      </c>
      <c r="P2021" s="116">
        <v>1576.38270820089</v>
      </c>
      <c r="Q2021" s="116">
        <v>1571.1</v>
      </c>
      <c r="R2021">
        <v>5571915</v>
      </c>
    </row>
    <row r="2022" spans="1:18" x14ac:dyDescent="0.25">
      <c r="A2022" s="170">
        <v>44979</v>
      </c>
      <c r="B2022" s="116">
        <v>1512.3943194299</v>
      </c>
      <c r="C2022" s="116">
        <v>1361.9789484942901</v>
      </c>
      <c r="D2022" s="116">
        <v>1338.9052402876</v>
      </c>
      <c r="E2022" s="116">
        <v>1492.7138036065501</v>
      </c>
      <c r="F2022" s="116">
        <v>1404.85</v>
      </c>
      <c r="G2022">
        <v>614801</v>
      </c>
      <c r="H2022" s="116"/>
      <c r="I2022" s="116"/>
      <c r="L2022" s="170">
        <v>44979</v>
      </c>
      <c r="M2022" s="116">
        <v>1361.9810870947199</v>
      </c>
      <c r="N2022" s="116">
        <v>1512.39669421488</v>
      </c>
      <c r="O2022" s="116">
        <v>1339.0527654164</v>
      </c>
      <c r="P2022" s="116">
        <v>1488.15956770502</v>
      </c>
      <c r="Q2022" s="116">
        <v>1404.85</v>
      </c>
      <c r="R2022">
        <v>10606476</v>
      </c>
    </row>
    <row r="2023" spans="1:18" x14ac:dyDescent="0.25">
      <c r="A2023" s="170">
        <v>44980</v>
      </c>
      <c r="B2023" s="116">
        <v>1395.1352854971799</v>
      </c>
      <c r="C2023" s="116">
        <v>1341.3774233097499</v>
      </c>
      <c r="D2023" s="116">
        <v>1308.8027764297201</v>
      </c>
      <c r="E2023" s="116">
        <v>1333.0398648821199</v>
      </c>
      <c r="F2023" s="116">
        <v>1383.6</v>
      </c>
      <c r="G2023">
        <v>722478</v>
      </c>
      <c r="H2023" s="116"/>
      <c r="I2023" s="116"/>
      <c r="L2023" s="170">
        <v>44980</v>
      </c>
      <c r="M2023" s="116">
        <v>1340.4585187539701</v>
      </c>
      <c r="N2023" s="116">
        <v>1394.11951684679</v>
      </c>
      <c r="O2023" s="116">
        <v>1308.8048315321</v>
      </c>
      <c r="P2023" s="116">
        <v>1337.8893833439299</v>
      </c>
      <c r="Q2023" s="116">
        <v>1382.65</v>
      </c>
      <c r="R2023">
        <v>8907540</v>
      </c>
    </row>
    <row r="2024" spans="1:18" x14ac:dyDescent="0.25">
      <c r="A2024" s="170">
        <v>44981</v>
      </c>
      <c r="B2024" s="116">
        <v>1383.4045346862099</v>
      </c>
      <c r="C2024" s="116">
        <v>1274.6284817118301</v>
      </c>
      <c r="D2024" s="116">
        <v>1222.56721571607</v>
      </c>
      <c r="E2024" s="116">
        <v>1362.1243710250101</v>
      </c>
      <c r="F2024" s="116">
        <v>1314.75</v>
      </c>
      <c r="G2024">
        <v>865620</v>
      </c>
      <c r="H2024" s="116"/>
      <c r="I2024" s="116"/>
      <c r="L2024" s="170">
        <v>44981</v>
      </c>
      <c r="M2024" s="116">
        <v>1275.50301970757</v>
      </c>
      <c r="N2024" s="116">
        <v>1383.4551811824499</v>
      </c>
      <c r="O2024" s="116">
        <v>1223.10235219326</v>
      </c>
      <c r="P2024" s="116">
        <v>1366.97393515575</v>
      </c>
      <c r="Q2024" s="116">
        <v>1315.65</v>
      </c>
      <c r="R2024">
        <v>8736727</v>
      </c>
    </row>
    <row r="2025" spans="1:18" x14ac:dyDescent="0.25">
      <c r="A2025" s="170">
        <v>44984</v>
      </c>
      <c r="B2025" s="116">
        <v>1272.93188552017</v>
      </c>
      <c r="C2025" s="116">
        <v>1157.7572411943499</v>
      </c>
      <c r="D2025" s="116">
        <v>1121.69245357718</v>
      </c>
      <c r="E2025" s="116">
        <v>1264.2065336773001</v>
      </c>
      <c r="F2025" s="116">
        <v>1194.2</v>
      </c>
      <c r="G2025">
        <v>651629</v>
      </c>
      <c r="H2025" s="116"/>
      <c r="I2025" s="116"/>
      <c r="L2025" s="170">
        <v>44984</v>
      </c>
      <c r="M2025" s="116">
        <v>1157.0804195804201</v>
      </c>
      <c r="N2025" s="116">
        <v>1273.7094723458399</v>
      </c>
      <c r="O2025" s="116">
        <v>1096.5360775587999</v>
      </c>
      <c r="P2025" s="116">
        <v>1260.3305785124001</v>
      </c>
      <c r="Q2025" s="116">
        <v>1193.5</v>
      </c>
      <c r="R2025">
        <v>10271008</v>
      </c>
    </row>
    <row r="2026" spans="1:18" x14ac:dyDescent="0.25">
      <c r="A2026" s="170">
        <v>44985</v>
      </c>
      <c r="B2026" s="116">
        <v>1378.55711699573</v>
      </c>
      <c r="C2026" s="116">
        <v>1322.42402013997</v>
      </c>
      <c r="D2026" s="116">
        <v>1069.3403425199899</v>
      </c>
      <c r="E2026" s="116">
        <v>1103.27226635335</v>
      </c>
      <c r="F2026" s="116">
        <v>1364.05</v>
      </c>
      <c r="G2026">
        <v>2070706</v>
      </c>
      <c r="H2026" s="116"/>
      <c r="I2026" s="116"/>
      <c r="L2026" s="170">
        <v>44985</v>
      </c>
      <c r="M2026" s="116">
        <v>1322.2321996185599</v>
      </c>
      <c r="N2026" s="116">
        <v>1355.3401144310201</v>
      </c>
      <c r="O2026" s="116">
        <v>1070.06913541004</v>
      </c>
      <c r="P2026" s="116">
        <v>1110.0603941513</v>
      </c>
      <c r="Q2026" s="116">
        <v>1363.85</v>
      </c>
      <c r="R2026">
        <v>33948366</v>
      </c>
    </row>
    <row r="2027" spans="1:18" x14ac:dyDescent="0.25">
      <c r="A2027" s="170">
        <v>44986</v>
      </c>
      <c r="B2027" s="116">
        <v>1531.7839901918201</v>
      </c>
      <c r="C2027" s="116">
        <v>1516.8054695282401</v>
      </c>
      <c r="D2027" s="116">
        <v>1366.97178871549</v>
      </c>
      <c r="E2027" s="116">
        <v>1374.72765702025</v>
      </c>
      <c r="F2027" s="116">
        <v>1564.55</v>
      </c>
      <c r="G2027">
        <v>1736654</v>
      </c>
      <c r="H2027" s="116"/>
      <c r="I2027" s="116"/>
      <c r="L2027" s="170">
        <v>44986</v>
      </c>
      <c r="M2027" s="116">
        <v>1516.5654799745701</v>
      </c>
      <c r="N2027" s="116">
        <v>1531.7863954227601</v>
      </c>
      <c r="O2027" s="116">
        <v>1367.9434202161499</v>
      </c>
      <c r="P2027" s="116">
        <v>1380.5467260012699</v>
      </c>
      <c r="Q2027" s="116">
        <v>1564.3</v>
      </c>
      <c r="R2027">
        <v>20114340</v>
      </c>
    </row>
    <row r="2028" spans="1:18" x14ac:dyDescent="0.25">
      <c r="A2028" s="170">
        <v>44987</v>
      </c>
      <c r="B2028" s="116">
        <v>1595.76990370616</v>
      </c>
      <c r="C2028" s="116">
        <v>1557.6692006589899</v>
      </c>
      <c r="D2028" s="116">
        <v>1365.1297699930999</v>
      </c>
      <c r="E2028" s="116">
        <v>1455.19479068223</v>
      </c>
      <c r="F2028" s="116">
        <v>1606.7</v>
      </c>
      <c r="G2028">
        <v>41017916</v>
      </c>
      <c r="H2028" s="116"/>
      <c r="I2028" s="116"/>
      <c r="L2028" s="170">
        <v>44987</v>
      </c>
      <c r="M2028" s="116">
        <v>1558.2048633185</v>
      </c>
      <c r="N2028" s="116">
        <v>1595.77240940877</v>
      </c>
      <c r="O2028" s="116">
        <v>1364.9380165289299</v>
      </c>
      <c r="P2028" s="116">
        <v>1454.1306420851899</v>
      </c>
      <c r="Q2028" s="116">
        <v>1607.25</v>
      </c>
      <c r="R2028">
        <v>26970925</v>
      </c>
    </row>
    <row r="2029" spans="1:18" x14ac:dyDescent="0.25">
      <c r="A2029" s="170">
        <v>44988</v>
      </c>
      <c r="B2029" s="116">
        <v>1846.86614007305</v>
      </c>
      <c r="C2029" s="116">
        <v>1821.9988873208899</v>
      </c>
      <c r="D2029" s="116">
        <v>1638.7664986207201</v>
      </c>
      <c r="E2029" s="116">
        <v>1647.15253122526</v>
      </c>
      <c r="F2029" s="116">
        <v>1879.35</v>
      </c>
      <c r="G2029">
        <v>1413077</v>
      </c>
      <c r="H2029" s="116"/>
      <c r="I2029" s="116"/>
      <c r="L2029" s="170">
        <v>44988</v>
      </c>
      <c r="M2029" s="116">
        <v>1822.1471710108101</v>
      </c>
      <c r="N2029" s="116">
        <v>1847.79005085823</v>
      </c>
      <c r="O2029" s="116">
        <v>1634.0670692943399</v>
      </c>
      <c r="P2029" s="116">
        <v>1637.31484424666</v>
      </c>
      <c r="Q2029" s="116">
        <v>1879.5</v>
      </c>
      <c r="R2029">
        <v>22888891</v>
      </c>
    </row>
    <row r="2030" spans="1:18" x14ac:dyDescent="0.25">
      <c r="A2030" s="170">
        <v>44991</v>
      </c>
      <c r="B2030" s="116">
        <v>2069.84735383515</v>
      </c>
      <c r="C2030" s="116">
        <v>1922.34043351383</v>
      </c>
      <c r="D2030" s="116">
        <v>1798.44043734515</v>
      </c>
      <c r="E2030" s="116">
        <v>1938.96707619218</v>
      </c>
      <c r="F2030" s="116">
        <v>1982.85</v>
      </c>
      <c r="G2030">
        <v>1758460</v>
      </c>
      <c r="H2030" s="116"/>
      <c r="I2030" s="116"/>
      <c r="L2030" s="170">
        <v>44991</v>
      </c>
      <c r="M2030" s="116">
        <v>1922.3919262555601</v>
      </c>
      <c r="N2030" s="116">
        <v>2069.8506039415101</v>
      </c>
      <c r="O2030" s="116">
        <v>1798.3947870311499</v>
      </c>
      <c r="P2030" s="116">
        <v>1906.68626827718</v>
      </c>
      <c r="Q2030" s="116">
        <v>1982.9</v>
      </c>
      <c r="R2030">
        <v>27180456</v>
      </c>
    </row>
    <row r="2031" spans="1:18" x14ac:dyDescent="0.25">
      <c r="A2031" s="170">
        <v>44993</v>
      </c>
      <c r="B2031" s="116">
        <v>2021.8094445224899</v>
      </c>
      <c r="C2031" s="116">
        <v>1977.4070984776899</v>
      </c>
      <c r="D2031" s="116">
        <v>1882.83397933642</v>
      </c>
      <c r="E2031" s="116">
        <v>1977.74641771602</v>
      </c>
      <c r="F2031" s="116">
        <v>2039.65</v>
      </c>
      <c r="G2031">
        <v>835151</v>
      </c>
      <c r="H2031" s="116"/>
      <c r="I2031" s="116"/>
      <c r="L2031" s="170">
        <v>44993</v>
      </c>
      <c r="M2031" s="116">
        <v>1977.4102034329301</v>
      </c>
      <c r="N2031" s="116">
        <v>2024.2848061029899</v>
      </c>
      <c r="O2031" s="116">
        <v>1881.77050222505</v>
      </c>
      <c r="P2031" s="116">
        <v>1977.7495232040701</v>
      </c>
      <c r="Q2031" s="116">
        <v>2039.65</v>
      </c>
      <c r="R2031">
        <v>13568243</v>
      </c>
    </row>
    <row r="2032" spans="1:18" x14ac:dyDescent="0.25">
      <c r="A2032" s="170">
        <v>44994</v>
      </c>
      <c r="B2032" s="116">
        <v>2005.6190694362899</v>
      </c>
      <c r="C2032" s="116">
        <v>1893.49829825547</v>
      </c>
      <c r="D2032" s="116">
        <v>1845.7512340042399</v>
      </c>
      <c r="E2032" s="116">
        <v>1981.72130022222</v>
      </c>
      <c r="F2032" s="116">
        <v>1953.1</v>
      </c>
      <c r="G2032">
        <v>1333387</v>
      </c>
      <c r="H2032" s="116"/>
      <c r="I2032" s="116"/>
      <c r="L2032" s="170">
        <v>44994</v>
      </c>
      <c r="M2032" s="116">
        <v>1893.54974570884</v>
      </c>
      <c r="N2032" s="116">
        <v>2005.7191671964399</v>
      </c>
      <c r="O2032" s="116">
        <v>1847.2083598219999</v>
      </c>
      <c r="P2032" s="116">
        <v>1987.2504767959299</v>
      </c>
      <c r="Q2032" s="116">
        <v>1953.15</v>
      </c>
      <c r="R2032">
        <v>12627794</v>
      </c>
    </row>
    <row r="2033" spans="1:18" x14ac:dyDescent="0.25">
      <c r="A2033" s="170">
        <v>44995</v>
      </c>
      <c r="B2033" s="116">
        <v>1879.8770545452201</v>
      </c>
      <c r="C2033" s="116">
        <v>1838.5770558223301</v>
      </c>
      <c r="D2033" s="116">
        <v>1765.42952287298</v>
      </c>
      <c r="E2033" s="116">
        <v>1815.8911410308799</v>
      </c>
      <c r="F2033" s="116">
        <v>1896.45</v>
      </c>
      <c r="G2033">
        <v>483722</v>
      </c>
      <c r="H2033" s="116"/>
      <c r="I2033" s="116"/>
      <c r="L2033" s="170">
        <v>44995</v>
      </c>
      <c r="M2033" s="116">
        <v>1838.3375715193899</v>
      </c>
      <c r="N2033" s="116">
        <v>1880.8010171646499</v>
      </c>
      <c r="O2033" s="116">
        <v>1765.0445009535899</v>
      </c>
      <c r="P2033" s="116">
        <v>1812.9370629370601</v>
      </c>
      <c r="Q2033" s="116">
        <v>1896.2</v>
      </c>
      <c r="R2033">
        <v>9419942</v>
      </c>
    </row>
    <row r="2034" spans="1:18" x14ac:dyDescent="0.25">
      <c r="A2034" s="170">
        <v>44998</v>
      </c>
      <c r="B2034" s="116">
        <v>1924.42482312074</v>
      </c>
      <c r="C2034" s="116">
        <v>1816.42435697683</v>
      </c>
      <c r="D2034" s="116">
        <v>1799.16754999872</v>
      </c>
      <c r="E2034" s="116">
        <v>1843.9576894587599</v>
      </c>
      <c r="F2034" s="116">
        <v>1873.6</v>
      </c>
      <c r="G2034">
        <v>761268</v>
      </c>
      <c r="H2034" s="116"/>
      <c r="I2034" s="116"/>
      <c r="L2034" s="170">
        <v>44998</v>
      </c>
      <c r="M2034" s="116">
        <v>1817.2027972028</v>
      </c>
      <c r="N2034" s="116">
        <v>1924.42784488239</v>
      </c>
      <c r="O2034" s="116">
        <v>1800.7215511761001</v>
      </c>
      <c r="P2034" s="116">
        <v>1858.5028607755901</v>
      </c>
      <c r="Q2034" s="116">
        <v>1874.4</v>
      </c>
      <c r="R2034">
        <v>7572604</v>
      </c>
    </row>
    <row r="2035" spans="1:18" x14ac:dyDescent="0.25">
      <c r="A2035" s="170">
        <v>44999</v>
      </c>
      <c r="B2035" s="116">
        <v>1816.7636762151701</v>
      </c>
      <c r="C2035" s="116">
        <v>1684.7200183264799</v>
      </c>
      <c r="D2035" s="116">
        <v>1624.27271972619</v>
      </c>
      <c r="E2035" s="116">
        <v>1814.8731833158799</v>
      </c>
      <c r="F2035" s="116">
        <v>1737.75</v>
      </c>
      <c r="G2035">
        <v>683891</v>
      </c>
      <c r="H2035" s="116"/>
      <c r="I2035" s="116"/>
      <c r="L2035" s="170">
        <v>44999</v>
      </c>
      <c r="M2035" s="116">
        <v>1685.1589319771099</v>
      </c>
      <c r="N2035" s="116">
        <v>1817.63906547997</v>
      </c>
      <c r="O2035" s="116">
        <v>1600.95915448188</v>
      </c>
      <c r="P2035" s="116">
        <v>1816.8150031786399</v>
      </c>
      <c r="Q2035" s="116">
        <v>1738.2</v>
      </c>
      <c r="R2035">
        <v>12679663</v>
      </c>
    </row>
    <row r="2036" spans="1:18" x14ac:dyDescent="0.25">
      <c r="A2036" s="170">
        <v>45000</v>
      </c>
      <c r="B2036" s="116">
        <v>1833.3903188935101</v>
      </c>
      <c r="C2036" s="116">
        <v>1782.68632985109</v>
      </c>
      <c r="D2036" s="116">
        <v>1674.8797604148001</v>
      </c>
      <c r="E2036" s="116">
        <v>1711.1384447395999</v>
      </c>
      <c r="F2036" s="116">
        <v>1838.8</v>
      </c>
      <c r="G2036">
        <v>571867</v>
      </c>
      <c r="H2036" s="116"/>
      <c r="I2036" s="116"/>
      <c r="L2036" s="170">
        <v>45000</v>
      </c>
      <c r="M2036" s="116">
        <v>1782.8830260648399</v>
      </c>
      <c r="N2036" s="116">
        <v>1833.7325174825201</v>
      </c>
      <c r="O2036" s="116">
        <v>1675.3671328671301</v>
      </c>
      <c r="P2036" s="116">
        <v>1707.1662428480599</v>
      </c>
      <c r="Q2036" s="116">
        <v>1839</v>
      </c>
      <c r="R2036">
        <v>12296703</v>
      </c>
    </row>
    <row r="2037" spans="1:18" x14ac:dyDescent="0.25">
      <c r="A2037" s="170">
        <v>45001</v>
      </c>
      <c r="B2037" s="116">
        <v>1817.8301081070699</v>
      </c>
      <c r="C2037" s="116">
        <v>1786.37036729585</v>
      </c>
      <c r="D2037" s="116">
        <v>1739.447364052</v>
      </c>
      <c r="E2037" s="116">
        <v>1803.2393808587301</v>
      </c>
      <c r="F2037" s="116">
        <v>1842.6</v>
      </c>
      <c r="G2037">
        <v>300822</v>
      </c>
      <c r="H2037" s="116"/>
      <c r="I2037" s="116"/>
      <c r="L2037" s="170">
        <v>45001</v>
      </c>
      <c r="M2037" s="116">
        <v>1787.53655435474</v>
      </c>
      <c r="N2037" s="116">
        <v>1817.78448823903</v>
      </c>
      <c r="O2037" s="116">
        <v>1740.2256834074999</v>
      </c>
      <c r="P2037" s="116">
        <v>1804.2116973935199</v>
      </c>
      <c r="Q2037" s="116">
        <v>1843.8</v>
      </c>
      <c r="R2037">
        <v>6509495</v>
      </c>
    </row>
    <row r="2038" spans="1:18" x14ac:dyDescent="0.25">
      <c r="A2038" s="170">
        <v>45002</v>
      </c>
      <c r="B2038" s="116">
        <v>1861.0690739061599</v>
      </c>
      <c r="C2038" s="116">
        <v>1819.8660235370701</v>
      </c>
      <c r="D2038" s="116">
        <v>1788.6971277872899</v>
      </c>
      <c r="E2038" s="116">
        <v>1845.8966565349499</v>
      </c>
      <c r="F2038" s="116">
        <v>1877.15</v>
      </c>
      <c r="G2038">
        <v>298111</v>
      </c>
      <c r="H2038" s="116"/>
      <c r="I2038" s="116"/>
      <c r="L2038" s="170">
        <v>45002</v>
      </c>
      <c r="M2038" s="116">
        <v>1819.2871900826401</v>
      </c>
      <c r="N2038" s="116">
        <v>1860.29640813732</v>
      </c>
      <c r="O2038" s="116">
        <v>1788.6999364272101</v>
      </c>
      <c r="P2038" s="116">
        <v>1842.9910998092801</v>
      </c>
      <c r="Q2038" s="116">
        <v>1876.55</v>
      </c>
      <c r="R2038">
        <v>5969594</v>
      </c>
    </row>
    <row r="2039" spans="1:18" x14ac:dyDescent="0.25">
      <c r="A2039" s="170">
        <v>45005</v>
      </c>
      <c r="B2039" s="116">
        <v>1786.806634888</v>
      </c>
      <c r="C2039" s="116">
        <v>1750.01473461725</v>
      </c>
      <c r="D2039" s="116">
        <v>1717.44008773722</v>
      </c>
      <c r="E2039" s="116">
        <v>1782.9287007356099</v>
      </c>
      <c r="F2039" s="116">
        <v>1805.1</v>
      </c>
      <c r="G2039">
        <v>480336</v>
      </c>
      <c r="H2039" s="116"/>
      <c r="I2039" s="116"/>
      <c r="L2039" s="170">
        <v>45005</v>
      </c>
      <c r="M2039" s="116">
        <v>1749.8720597584199</v>
      </c>
      <c r="N2039" s="116">
        <v>1793.49888747616</v>
      </c>
      <c r="O2039" s="116">
        <v>1723.16274634456</v>
      </c>
      <c r="P2039" s="116">
        <v>1780.94405594406</v>
      </c>
      <c r="Q2039" s="116">
        <v>1804.95</v>
      </c>
      <c r="R2039">
        <v>5168139</v>
      </c>
    </row>
    <row r="2040" spans="1:18" x14ac:dyDescent="0.25">
      <c r="A2040" s="170">
        <v>45006</v>
      </c>
      <c r="B2040" s="116">
        <v>1803.2393808587301</v>
      </c>
      <c r="C2040" s="116">
        <v>1768.58034437179</v>
      </c>
      <c r="D2040" s="116">
        <v>1749.5299928482</v>
      </c>
      <c r="E2040" s="116">
        <v>1779.97177594442</v>
      </c>
      <c r="F2040" s="116">
        <v>1824.25</v>
      </c>
      <c r="G2040">
        <v>384697</v>
      </c>
      <c r="H2040" s="116"/>
      <c r="I2040" s="116"/>
      <c r="L2040" s="170">
        <v>45006</v>
      </c>
      <c r="M2040" s="116">
        <v>1768.58312142403</v>
      </c>
      <c r="N2040" s="116">
        <v>1804.2116973935199</v>
      </c>
      <c r="O2040" s="116">
        <v>1749.8720597584199</v>
      </c>
      <c r="P2040" s="116">
        <v>1780.89558169104</v>
      </c>
      <c r="Q2040" s="116">
        <v>1824.25</v>
      </c>
      <c r="R2040">
        <v>4094018</v>
      </c>
    </row>
    <row r="2041" spans="1:18" x14ac:dyDescent="0.25">
      <c r="A2041" s="170">
        <v>45007</v>
      </c>
      <c r="B2041" s="116">
        <v>1793.54454547777</v>
      </c>
      <c r="C2041" s="116">
        <v>1758.8370348139299</v>
      </c>
      <c r="D2041" s="116">
        <v>1736.9751810298601</v>
      </c>
      <c r="E2041" s="116">
        <v>1776.0938417920399</v>
      </c>
      <c r="F2041" s="116">
        <v>1814.2</v>
      </c>
      <c r="G2041">
        <v>351958</v>
      </c>
      <c r="H2041" s="116"/>
      <c r="I2041" s="116"/>
      <c r="L2041" s="170">
        <v>45007</v>
      </c>
      <c r="M2041" s="116">
        <v>1760.00317863954</v>
      </c>
      <c r="N2041" s="116">
        <v>1793.54736172918</v>
      </c>
      <c r="O2041" s="116">
        <v>1751.0354418309</v>
      </c>
      <c r="P2041" s="116">
        <v>1778.03560076287</v>
      </c>
      <c r="Q2041" s="116">
        <v>1815.4</v>
      </c>
      <c r="R2041">
        <v>3248124</v>
      </c>
    </row>
    <row r="2042" spans="1:18" x14ac:dyDescent="0.25">
      <c r="A2042" s="170">
        <v>45008</v>
      </c>
      <c r="B2042" s="116">
        <v>1778.4690764603699</v>
      </c>
      <c r="C2042" s="116">
        <v>1737.8961903910499</v>
      </c>
      <c r="D2042" s="116">
        <v>1725.6806978110401</v>
      </c>
      <c r="E2042" s="116">
        <v>1740.2229508824801</v>
      </c>
      <c r="F2042" s="116">
        <v>1792.6</v>
      </c>
      <c r="G2042">
        <v>255728</v>
      </c>
      <c r="H2042" s="116"/>
      <c r="I2042" s="116"/>
      <c r="L2042" s="170">
        <v>45008</v>
      </c>
      <c r="M2042" s="116">
        <v>1739.2561983471101</v>
      </c>
      <c r="N2042" s="116">
        <v>1778.03560076287</v>
      </c>
      <c r="O2042" s="116">
        <v>1725.68340750159</v>
      </c>
      <c r="P2042" s="116">
        <v>1739.2561983471101</v>
      </c>
      <c r="Q2042" s="116">
        <v>1794</v>
      </c>
      <c r="R2042">
        <v>4108804</v>
      </c>
    </row>
    <row r="2043" spans="1:18" x14ac:dyDescent="0.25">
      <c r="A2043" s="170">
        <v>45009</v>
      </c>
      <c r="B2043" s="116">
        <v>1767.36848994917</v>
      </c>
      <c r="C2043" s="116">
        <v>1687.43457223315</v>
      </c>
      <c r="D2043" s="116">
        <v>1643.32307124978</v>
      </c>
      <c r="E2043" s="116">
        <v>1740.4168475900999</v>
      </c>
      <c r="F2043" s="116">
        <v>1740.55</v>
      </c>
      <c r="G2043">
        <v>339616</v>
      </c>
      <c r="H2043" s="116"/>
      <c r="I2043" s="116"/>
      <c r="L2043" s="170">
        <v>45009</v>
      </c>
      <c r="M2043" s="116">
        <v>1687.5341703750801</v>
      </c>
      <c r="N2043" s="116">
        <v>1767.3712650985401</v>
      </c>
      <c r="O2043" s="116">
        <v>1643.51954863318</v>
      </c>
      <c r="P2043" s="116">
        <v>1741.1951684679</v>
      </c>
      <c r="Q2043" s="116">
        <v>1740.65</v>
      </c>
      <c r="R2043">
        <v>6187968</v>
      </c>
    </row>
    <row r="2044" spans="1:18" x14ac:dyDescent="0.25">
      <c r="A2044" s="170">
        <v>45012</v>
      </c>
      <c r="B2044" s="116">
        <v>1704.20663744221</v>
      </c>
      <c r="C2044" s="116">
        <v>1670.7109812009901</v>
      </c>
      <c r="D2044" s="116">
        <v>1630.67131107762</v>
      </c>
      <c r="E2044" s="116">
        <v>1684.7200183264799</v>
      </c>
      <c r="F2044" s="116">
        <v>1723.3</v>
      </c>
      <c r="G2044">
        <v>270842</v>
      </c>
      <c r="H2044" s="116"/>
      <c r="I2044" s="116"/>
      <c r="L2044" s="170">
        <v>45012</v>
      </c>
      <c r="M2044" s="116">
        <v>1670.4712333121399</v>
      </c>
      <c r="N2044" s="116">
        <v>1703.7730451366799</v>
      </c>
      <c r="O2044" s="116">
        <v>1630.6738715829599</v>
      </c>
      <c r="P2044" s="116">
        <v>1687.5341703750801</v>
      </c>
      <c r="Q2044" s="116">
        <v>1723.05</v>
      </c>
      <c r="R2044">
        <v>5053055</v>
      </c>
    </row>
    <row r="2045" spans="1:18" x14ac:dyDescent="0.25">
      <c r="A2045" s="170">
        <v>45013</v>
      </c>
      <c r="B2045" s="116">
        <v>1680.4058165819499</v>
      </c>
      <c r="C2045" s="116">
        <v>1552.67636043779</v>
      </c>
      <c r="D2045" s="116">
        <v>1524.9976054251499</v>
      </c>
      <c r="E2045" s="116">
        <v>1672.9407933386101</v>
      </c>
      <c r="F2045" s="116">
        <v>1601.55</v>
      </c>
      <c r="G2045">
        <v>727298</v>
      </c>
      <c r="H2045" s="116"/>
      <c r="I2045" s="116"/>
      <c r="L2045" s="170">
        <v>45013</v>
      </c>
      <c r="M2045" s="116">
        <v>1552.00015893198</v>
      </c>
      <c r="N2045" s="116">
        <v>1680.11760966306</v>
      </c>
      <c r="O2045" s="116">
        <v>1525</v>
      </c>
      <c r="P2045" s="116">
        <v>1675.2217101080701</v>
      </c>
      <c r="Q2045" s="116">
        <v>1600.85</v>
      </c>
      <c r="R2045">
        <v>8144878</v>
      </c>
    </row>
    <row r="2046" spans="1:18" x14ac:dyDescent="0.25">
      <c r="A2046" s="170">
        <v>45014</v>
      </c>
      <c r="B2046" s="116">
        <v>1701.4436093586401</v>
      </c>
      <c r="C2046" s="116">
        <v>1688.50100412505</v>
      </c>
      <c r="D2046" s="116">
        <v>1541.86661898802</v>
      </c>
      <c r="E2046" s="116">
        <v>1546.32624326326</v>
      </c>
      <c r="F2046" s="116">
        <v>1741.65</v>
      </c>
      <c r="G2046">
        <v>783405</v>
      </c>
      <c r="H2046" s="116"/>
      <c r="I2046" s="116"/>
      <c r="L2046" s="170">
        <v>45014</v>
      </c>
      <c r="M2046" s="116">
        <v>1687.29179910998</v>
      </c>
      <c r="N2046" s="116">
        <v>1702.41576605213</v>
      </c>
      <c r="O2046" s="116">
        <v>1542.5476795931299</v>
      </c>
      <c r="P2046" s="116">
        <v>1554.0360775587999</v>
      </c>
      <c r="Q2046" s="116">
        <v>1740.4</v>
      </c>
      <c r="R2046">
        <v>9332702</v>
      </c>
    </row>
    <row r="2047" spans="1:18" x14ac:dyDescent="0.25">
      <c r="A2047" s="170">
        <v>45016</v>
      </c>
      <c r="B2047" s="116">
        <v>1769.0650861408401</v>
      </c>
      <c r="C2047" s="116">
        <v>1696.5961916681599</v>
      </c>
      <c r="D2047" s="116">
        <v>1685.9318727491</v>
      </c>
      <c r="E2047" s="116">
        <v>1724.71121427294</v>
      </c>
      <c r="F2047" s="116">
        <v>1750</v>
      </c>
      <c r="G2047">
        <v>459249</v>
      </c>
      <c r="H2047" s="116"/>
      <c r="I2047" s="116"/>
      <c r="L2047" s="170">
        <v>45016</v>
      </c>
      <c r="M2047" s="116">
        <v>1697.0351239669401</v>
      </c>
      <c r="N2047" s="116">
        <v>1769.31023521933</v>
      </c>
      <c r="O2047" s="116">
        <v>1686.90400508582</v>
      </c>
      <c r="P2047" s="116">
        <v>1733.4392879847401</v>
      </c>
      <c r="Q2047" s="116">
        <v>1750.45</v>
      </c>
      <c r="R2047">
        <v>4893249</v>
      </c>
    </row>
    <row r="2048" spans="1:18" x14ac:dyDescent="0.25">
      <c r="A2048" s="170">
        <v>45019</v>
      </c>
      <c r="B2048" s="116">
        <v>1699.2137972210201</v>
      </c>
      <c r="C2048" s="116">
        <v>1665.13645085694</v>
      </c>
      <c r="D2048" s="116">
        <v>1644.0017097264399</v>
      </c>
      <c r="E2048" s="116">
        <v>1694.6572245919599</v>
      </c>
      <c r="F2048" s="116">
        <v>1717.55</v>
      </c>
      <c r="G2048">
        <v>164552</v>
      </c>
      <c r="H2048" s="116"/>
      <c r="I2048" s="116"/>
      <c r="L2048" s="170">
        <v>45019</v>
      </c>
      <c r="M2048" s="116">
        <v>1665.04211697394</v>
      </c>
      <c r="N2048" s="116">
        <v>1701.39780673872</v>
      </c>
      <c r="O2048" s="116">
        <v>1643.76191989828</v>
      </c>
      <c r="P2048" s="116">
        <v>1697.0351239669401</v>
      </c>
      <c r="Q2048" s="116">
        <v>1717.45</v>
      </c>
      <c r="R2048">
        <v>3445796</v>
      </c>
    </row>
    <row r="2049" spans="1:18" x14ac:dyDescent="0.25">
      <c r="A2049" s="170">
        <v>45021</v>
      </c>
      <c r="B2049" s="116">
        <v>1684.8169666802901</v>
      </c>
      <c r="C2049" s="116">
        <v>1646.0860993333499</v>
      </c>
      <c r="D2049" s="116">
        <v>1620.87952734285</v>
      </c>
      <c r="E2049" s="116">
        <v>1660.38598152027</v>
      </c>
      <c r="F2049" s="116">
        <v>1697.9</v>
      </c>
      <c r="G2049">
        <v>298447</v>
      </c>
      <c r="H2049" s="116"/>
      <c r="I2049" s="116"/>
      <c r="L2049" s="170">
        <v>45021</v>
      </c>
      <c r="M2049" s="116">
        <v>1646.1856325492699</v>
      </c>
      <c r="N2049" s="116">
        <v>1684.9165607120201</v>
      </c>
      <c r="O2049" s="116">
        <v>1620.5427527018401</v>
      </c>
      <c r="P2049" s="116">
        <v>1665.04211697394</v>
      </c>
      <c r="Q2049" s="116">
        <v>1698</v>
      </c>
      <c r="R2049">
        <v>3690559</v>
      </c>
    </row>
    <row r="2050" spans="1:18" x14ac:dyDescent="0.25">
      <c r="A2050" s="170">
        <v>45022</v>
      </c>
      <c r="B2050" s="116">
        <v>1738.2839838062901</v>
      </c>
      <c r="C2050" s="116">
        <v>1699.45616810554</v>
      </c>
      <c r="D2050" s="116">
        <v>1637.1668507828699</v>
      </c>
      <c r="E2050" s="116">
        <v>1654.90839953002</v>
      </c>
      <c r="F2050" s="116">
        <v>1752.95</v>
      </c>
      <c r="G2050">
        <v>270986</v>
      </c>
      <c r="H2050" s="116"/>
      <c r="I2050" s="116"/>
      <c r="L2050" s="170">
        <v>45022</v>
      </c>
      <c r="M2050" s="116">
        <v>1700.5252701843599</v>
      </c>
      <c r="N2050" s="116">
        <v>1738.91687857597</v>
      </c>
      <c r="O2050" s="116">
        <v>1636.6362047043899</v>
      </c>
      <c r="P2050" s="116">
        <v>1652.97202797203</v>
      </c>
      <c r="Q2050" s="116">
        <v>1754.05</v>
      </c>
      <c r="R2050">
        <v>6012473</v>
      </c>
    </row>
    <row r="2051" spans="1:18" x14ac:dyDescent="0.25">
      <c r="A2051" s="170">
        <v>45026</v>
      </c>
      <c r="B2051" s="116">
        <v>1756.70417103011</v>
      </c>
      <c r="C2051" s="116">
        <v>1742.4527630201001</v>
      </c>
      <c r="D2051" s="116">
        <v>1709.1510034865</v>
      </c>
      <c r="E2051" s="116">
        <v>1714.0953695307901</v>
      </c>
      <c r="F2051" s="116">
        <v>1797.3</v>
      </c>
      <c r="G2051">
        <v>207749</v>
      </c>
      <c r="H2051" s="116"/>
      <c r="I2051" s="116"/>
      <c r="L2051" s="170">
        <v>45026</v>
      </c>
      <c r="M2051" s="116">
        <v>1742.4070247933901</v>
      </c>
      <c r="N2051" s="116">
        <v>1757.38556897648</v>
      </c>
      <c r="O2051" s="116">
        <v>1706.8753973299399</v>
      </c>
      <c r="P2051" s="116">
        <v>1719.86649713922</v>
      </c>
      <c r="Q2051" s="116">
        <v>1797.25</v>
      </c>
      <c r="R2051">
        <v>4197975</v>
      </c>
    </row>
    <row r="2052" spans="1:18" x14ac:dyDescent="0.25">
      <c r="A2052" s="170">
        <v>45027</v>
      </c>
      <c r="B2052" s="116">
        <v>1772.7975977625099</v>
      </c>
      <c r="C2052" s="116">
        <v>1747.30018071058</v>
      </c>
      <c r="D2052" s="116">
        <v>1737.3145002681899</v>
      </c>
      <c r="E2052" s="116">
        <v>1749.96626044035</v>
      </c>
      <c r="F2052" s="116">
        <v>1802.3</v>
      </c>
      <c r="G2052">
        <v>273309</v>
      </c>
      <c r="H2052" s="116"/>
      <c r="I2052" s="116"/>
      <c r="L2052" s="170">
        <v>45027</v>
      </c>
      <c r="M2052" s="116">
        <v>1748.12698664971</v>
      </c>
      <c r="N2052" s="116">
        <v>1773.1881754609001</v>
      </c>
      <c r="O2052" s="116">
        <v>1738.14129052765</v>
      </c>
      <c r="P2052" s="116">
        <v>1754.7679593134101</v>
      </c>
      <c r="Q2052" s="116">
        <v>1803.15</v>
      </c>
      <c r="R2052">
        <v>2883672</v>
      </c>
    </row>
    <row r="2053" spans="1:18" x14ac:dyDescent="0.25">
      <c r="A2053" s="170">
        <v>45028</v>
      </c>
      <c r="B2053" s="116">
        <v>1801.7366813746801</v>
      </c>
      <c r="C2053" s="116">
        <v>1790.9269399249099</v>
      </c>
      <c r="D2053" s="116">
        <v>1742.0649696048599</v>
      </c>
      <c r="E2053" s="116">
        <v>1754.86215230773</v>
      </c>
      <c r="F2053" s="116">
        <v>1847.3</v>
      </c>
      <c r="G2053">
        <v>203558</v>
      </c>
      <c r="H2053" s="116"/>
      <c r="I2053" s="116"/>
      <c r="L2053" s="170">
        <v>45028</v>
      </c>
      <c r="M2053" s="116">
        <v>1790.8812778131</v>
      </c>
      <c r="N2053" s="116">
        <v>1802.03035600763</v>
      </c>
      <c r="O2053" s="116">
        <v>1742.21312778131</v>
      </c>
      <c r="P2053" s="116">
        <v>1758.6458995549899</v>
      </c>
      <c r="Q2053" s="116">
        <v>1847.25</v>
      </c>
      <c r="R2053">
        <v>4809035</v>
      </c>
    </row>
    <row r="2054" spans="1:18" x14ac:dyDescent="0.25">
      <c r="A2054" s="170">
        <v>45029</v>
      </c>
      <c r="B2054" s="116">
        <v>1827.08867589589</v>
      </c>
      <c r="C2054" s="116">
        <v>1812.98269041659</v>
      </c>
      <c r="D2054" s="116">
        <v>1769.9860955020299</v>
      </c>
      <c r="E2054" s="116">
        <v>1797.4224796301501</v>
      </c>
      <c r="F2054" s="116">
        <v>1870.05</v>
      </c>
      <c r="G2054">
        <v>345592</v>
      </c>
      <c r="H2054" s="116"/>
      <c r="I2054" s="116"/>
      <c r="L2054" s="170">
        <v>45029</v>
      </c>
      <c r="M2054" s="116">
        <v>1813.6641767323599</v>
      </c>
      <c r="N2054" s="116">
        <v>1827.47933884298</v>
      </c>
      <c r="O2054" s="116">
        <v>1770.3281945327401</v>
      </c>
      <c r="P2054" s="116">
        <v>1798.3947870311499</v>
      </c>
      <c r="Q2054" s="116">
        <v>1870.75</v>
      </c>
      <c r="R2054">
        <v>3402280</v>
      </c>
    </row>
    <row r="2055" spans="1:18" x14ac:dyDescent="0.25">
      <c r="A2055" s="170">
        <v>45033</v>
      </c>
      <c r="B2055" s="116">
        <v>1846.86614007305</v>
      </c>
      <c r="C2055" s="116">
        <v>1821.9504131439801</v>
      </c>
      <c r="D2055" s="116">
        <v>1790.6360948634799</v>
      </c>
      <c r="E2055" s="116">
        <v>1804.2573385737301</v>
      </c>
      <c r="F2055" s="116">
        <v>1879.3</v>
      </c>
      <c r="G2055">
        <v>131744</v>
      </c>
      <c r="H2055" s="116"/>
      <c r="I2055" s="116"/>
      <c r="L2055" s="170">
        <v>45033</v>
      </c>
      <c r="M2055" s="116">
        <v>1821.42005721551</v>
      </c>
      <c r="N2055" s="116">
        <v>1846.7720915448199</v>
      </c>
      <c r="O2055" s="116">
        <v>1790.638906548</v>
      </c>
      <c r="P2055" s="116">
        <v>1813.6641767323599</v>
      </c>
      <c r="Q2055" s="116">
        <v>1878.75</v>
      </c>
      <c r="R2055">
        <v>2983032</v>
      </c>
    </row>
    <row r="2056" spans="1:18" x14ac:dyDescent="0.25">
      <c r="A2056" s="170">
        <v>45034</v>
      </c>
      <c r="B2056" s="116">
        <v>1843.90921528186</v>
      </c>
      <c r="C2056" s="116">
        <v>1794.0292872468101</v>
      </c>
      <c r="D2056" s="116">
        <v>1774.1548747158399</v>
      </c>
      <c r="E2056" s="116">
        <v>1829.4154363873199</v>
      </c>
      <c r="F2056" s="116">
        <v>1850.5</v>
      </c>
      <c r="G2056">
        <v>233141</v>
      </c>
      <c r="H2056" s="116"/>
      <c r="I2056" s="116"/>
      <c r="L2056" s="170">
        <v>45034</v>
      </c>
      <c r="M2056" s="116">
        <v>1794.4683725365501</v>
      </c>
      <c r="N2056" s="116">
        <v>1844.68769866497</v>
      </c>
      <c r="O2056" s="116">
        <v>1774.1576605212999</v>
      </c>
      <c r="P2056" s="116">
        <v>1834.2657342657301</v>
      </c>
      <c r="Q2056" s="116">
        <v>1850.95</v>
      </c>
      <c r="R2056">
        <v>2542401</v>
      </c>
    </row>
    <row r="2057" spans="1:18" x14ac:dyDescent="0.25">
      <c r="A2057" s="170">
        <v>45035</v>
      </c>
      <c r="B2057" s="116">
        <v>1820.54466201374</v>
      </c>
      <c r="C2057" s="116">
        <v>1796.6953669765801</v>
      </c>
      <c r="D2057" s="116">
        <v>1779.09924076013</v>
      </c>
      <c r="E2057" s="116">
        <v>1786.806634888</v>
      </c>
      <c r="F2057" s="116">
        <v>1853.25</v>
      </c>
      <c r="G2057">
        <v>117863</v>
      </c>
      <c r="H2057" s="116"/>
      <c r="I2057" s="116"/>
      <c r="L2057" s="170">
        <v>45035</v>
      </c>
      <c r="M2057" s="116">
        <v>1797.2798792117001</v>
      </c>
      <c r="N2057" s="116">
        <v>1820.4020979021</v>
      </c>
      <c r="O2057" s="116">
        <v>1779.0050858232701</v>
      </c>
      <c r="P2057" s="116">
        <v>1790.638906548</v>
      </c>
      <c r="Q2057" s="116">
        <v>1853.85</v>
      </c>
      <c r="R2057">
        <v>2455884</v>
      </c>
    </row>
    <row r="2058" spans="1:18" x14ac:dyDescent="0.25">
      <c r="A2058" s="170">
        <v>45036</v>
      </c>
      <c r="B2058" s="116">
        <v>1821.61109390565</v>
      </c>
      <c r="C2058" s="116">
        <v>1786.6127381803799</v>
      </c>
      <c r="D2058" s="116">
        <v>1780.6504144210901</v>
      </c>
      <c r="E2058" s="116">
        <v>1796.6953669765801</v>
      </c>
      <c r="F2058" s="116">
        <v>1842.85</v>
      </c>
      <c r="G2058">
        <v>88663</v>
      </c>
      <c r="H2058" s="116"/>
      <c r="I2058" s="116"/>
      <c r="L2058" s="170">
        <v>45036</v>
      </c>
      <c r="M2058" s="116">
        <v>1786.66401780038</v>
      </c>
      <c r="N2058" s="116">
        <v>1821.5654799745701</v>
      </c>
      <c r="O2058" s="116">
        <v>1780.798633185</v>
      </c>
      <c r="P2058" s="116">
        <v>1798.3947870311499</v>
      </c>
      <c r="Q2058" s="116">
        <v>1842.9</v>
      </c>
      <c r="R2058">
        <v>2016823</v>
      </c>
    </row>
    <row r="2059" spans="1:18" x14ac:dyDescent="0.25">
      <c r="A2059" s="170">
        <v>45037</v>
      </c>
      <c r="B2059" s="116">
        <v>1795.62893508467</v>
      </c>
      <c r="C2059" s="116">
        <v>1747.3486548874901</v>
      </c>
      <c r="D2059" s="116">
        <v>1741.82259872034</v>
      </c>
      <c r="E2059" s="116">
        <v>1791.60557840157</v>
      </c>
      <c r="F2059" s="116">
        <v>1802.35</v>
      </c>
      <c r="G2059">
        <v>98433</v>
      </c>
      <c r="H2059" s="116"/>
      <c r="I2059" s="116"/>
      <c r="L2059" s="170">
        <v>45037</v>
      </c>
      <c r="M2059" s="116">
        <v>1747.98156389065</v>
      </c>
      <c r="N2059" s="116">
        <v>1796.69818817546</v>
      </c>
      <c r="O2059" s="116">
        <v>1741.24364272092</v>
      </c>
      <c r="P2059" s="116">
        <v>1789.6694214875999</v>
      </c>
      <c r="Q2059" s="116">
        <v>1803</v>
      </c>
      <c r="R2059">
        <v>2090833</v>
      </c>
    </row>
    <row r="2060" spans="1:18" x14ac:dyDescent="0.25">
      <c r="A2060" s="170">
        <v>45040</v>
      </c>
      <c r="B2060" s="116">
        <v>1761.84243378202</v>
      </c>
      <c r="C2060" s="116">
        <v>1747.30018071058</v>
      </c>
      <c r="D2060" s="116">
        <v>1721.60886695104</v>
      </c>
      <c r="E2060" s="116">
        <v>1746.0398521110601</v>
      </c>
      <c r="F2060" s="116">
        <v>1802.3</v>
      </c>
      <c r="G2060">
        <v>92752</v>
      </c>
      <c r="H2060" s="116"/>
      <c r="I2060" s="116"/>
      <c r="L2060" s="170">
        <v>45040</v>
      </c>
      <c r="M2060" s="116">
        <v>1746.9636045772399</v>
      </c>
      <c r="N2060" s="116">
        <v>1761.9421487603299</v>
      </c>
      <c r="O2060" s="116">
        <v>1721.6115702479301</v>
      </c>
      <c r="P2060" s="116">
        <v>1748.9510489510501</v>
      </c>
      <c r="Q2060" s="116">
        <v>1801.95</v>
      </c>
      <c r="R2060">
        <v>1963582</v>
      </c>
    </row>
    <row r="2061" spans="1:18" x14ac:dyDescent="0.25">
      <c r="A2061" s="170">
        <v>45041</v>
      </c>
      <c r="B2061" s="116">
        <v>1855.20369850068</v>
      </c>
      <c r="C2061" s="116">
        <v>1789.1333953794301</v>
      </c>
      <c r="D2061" s="116">
        <v>1747.30018071058</v>
      </c>
      <c r="E2061" s="116">
        <v>1747.9788191872501</v>
      </c>
      <c r="F2061" s="116">
        <v>1845.45</v>
      </c>
      <c r="G2061">
        <v>462780</v>
      </c>
      <c r="H2061" s="116"/>
      <c r="I2061" s="116"/>
      <c r="L2061" s="170">
        <v>45041</v>
      </c>
      <c r="M2061" s="116">
        <v>1788.3121424030501</v>
      </c>
      <c r="N2061" s="116">
        <v>1855.3520343293101</v>
      </c>
      <c r="O2061" s="116">
        <v>1746.8181818181799</v>
      </c>
      <c r="P2061" s="116">
        <v>1750.89001907184</v>
      </c>
      <c r="Q2061" s="116">
        <v>1844.6</v>
      </c>
      <c r="R2061">
        <v>5364841</v>
      </c>
    </row>
    <row r="2062" spans="1:18" x14ac:dyDescent="0.25">
      <c r="A2062" s="170">
        <v>45042</v>
      </c>
      <c r="B2062" s="116">
        <v>1816.66672786136</v>
      </c>
      <c r="C2062" s="116">
        <v>1791.60557840157</v>
      </c>
      <c r="D2062" s="116">
        <v>1770.8586306863201</v>
      </c>
      <c r="E2062" s="116">
        <v>1795.4835125539601</v>
      </c>
      <c r="F2062" s="116">
        <v>1848</v>
      </c>
      <c r="G2062">
        <v>277719</v>
      </c>
      <c r="H2062" s="116"/>
      <c r="I2062" s="116"/>
      <c r="L2062" s="170">
        <v>45042</v>
      </c>
      <c r="M2062" s="116">
        <v>1791.5114431023501</v>
      </c>
      <c r="N2062" s="116">
        <v>1816.8150031786399</v>
      </c>
      <c r="O2062" s="116">
        <v>1770.6675143038799</v>
      </c>
      <c r="P2062" s="116">
        <v>1797.4253019707601</v>
      </c>
      <c r="Q2062" s="116">
        <v>1847.9</v>
      </c>
      <c r="R2062">
        <v>2422711</v>
      </c>
    </row>
    <row r="2063" spans="1:18" x14ac:dyDescent="0.25">
      <c r="A2063" s="170">
        <v>45043</v>
      </c>
      <c r="B2063" s="116">
        <v>1807.1173150111099</v>
      </c>
      <c r="C2063" s="116">
        <v>1796.1136768537201</v>
      </c>
      <c r="D2063" s="116">
        <v>1777.93586051442</v>
      </c>
      <c r="E2063" s="116">
        <v>1788.6971277872899</v>
      </c>
      <c r="F2063" s="116">
        <v>1852.65</v>
      </c>
      <c r="G2063">
        <v>153147</v>
      </c>
      <c r="H2063" s="116"/>
      <c r="I2063" s="116"/>
      <c r="L2063" s="170">
        <v>45043</v>
      </c>
      <c r="M2063" s="116">
        <v>1796.50429116338</v>
      </c>
      <c r="N2063" s="116">
        <v>1808.04116338207</v>
      </c>
      <c r="O2063" s="116">
        <v>1776.6298474253001</v>
      </c>
      <c r="P2063" s="116">
        <v>1791.6083916083901</v>
      </c>
      <c r="Q2063" s="116">
        <v>1853.05</v>
      </c>
      <c r="R2063">
        <v>1782360</v>
      </c>
    </row>
    <row r="2064" spans="1:18" x14ac:dyDescent="0.25">
      <c r="A2064" s="170">
        <v>45044</v>
      </c>
      <c r="B2064" s="116">
        <v>1884.57904970499</v>
      </c>
      <c r="C2064" s="116">
        <v>1865.1893789430701</v>
      </c>
      <c r="D2064" s="116">
        <v>1801.8821039053901</v>
      </c>
      <c r="E2064" s="116">
        <v>1803.2878550356299</v>
      </c>
      <c r="F2064" s="116">
        <v>1923.9</v>
      </c>
      <c r="G2064">
        <v>294066</v>
      </c>
      <c r="H2064" s="116"/>
      <c r="I2064" s="116"/>
      <c r="L2064" s="170">
        <v>45044</v>
      </c>
      <c r="M2064" s="116">
        <v>1866.21026700572</v>
      </c>
      <c r="N2064" s="116">
        <v>1884.67895740623</v>
      </c>
      <c r="O2064" s="116">
        <v>1800.4791799110001</v>
      </c>
      <c r="P2064" s="116">
        <v>1811.0465670692899</v>
      </c>
      <c r="Q2064" s="116">
        <v>1924.95</v>
      </c>
      <c r="R2064">
        <v>6159130</v>
      </c>
    </row>
    <row r="2065" spans="1:18" x14ac:dyDescent="0.25">
      <c r="A2065" s="170">
        <v>45048</v>
      </c>
      <c r="B2065" s="116">
        <v>1905.71379083548</v>
      </c>
      <c r="C2065" s="116">
        <v>1861.4568673214001</v>
      </c>
      <c r="D2065" s="116">
        <v>1849.3383230951999</v>
      </c>
      <c r="E2065" s="116">
        <v>1874.5933692625999</v>
      </c>
      <c r="F2065" s="116">
        <v>1920.05</v>
      </c>
      <c r="G2065">
        <v>240923</v>
      </c>
      <c r="H2065" s="116"/>
      <c r="I2065" s="116"/>
      <c r="L2065" s="170">
        <v>45048</v>
      </c>
      <c r="M2065" s="116">
        <v>1861.2658931977101</v>
      </c>
      <c r="N2065" s="116">
        <v>1906.0076287349</v>
      </c>
      <c r="O2065" s="116">
        <v>1849.7774952320401</v>
      </c>
      <c r="P2065" s="116">
        <v>1875.95359186268</v>
      </c>
      <c r="Q2065" s="116">
        <v>1919.85</v>
      </c>
      <c r="R2065">
        <v>3813963</v>
      </c>
    </row>
    <row r="2066" spans="1:18" x14ac:dyDescent="0.25">
      <c r="A2066" s="170">
        <v>45049</v>
      </c>
      <c r="B2066" s="116">
        <v>1879.82858036832</v>
      </c>
      <c r="C2066" s="116">
        <v>1782.4439589665701</v>
      </c>
      <c r="D2066" s="116">
        <v>1731.59454739343</v>
      </c>
      <c r="E2066" s="116">
        <v>1862.42635085949</v>
      </c>
      <c r="F2066" s="116">
        <v>1838.55</v>
      </c>
      <c r="G2066">
        <v>656054</v>
      </c>
      <c r="H2066" s="116"/>
      <c r="I2066" s="116"/>
      <c r="L2066" s="170">
        <v>45049</v>
      </c>
      <c r="M2066" s="116">
        <v>1782.8830260648399</v>
      </c>
      <c r="N2066" s="116">
        <v>1880.8010171646499</v>
      </c>
      <c r="O2066" s="116">
        <v>1730.8701525746999</v>
      </c>
      <c r="P2066" s="116">
        <v>1860.44183089638</v>
      </c>
      <c r="Q2066" s="116">
        <v>1839</v>
      </c>
      <c r="R2066">
        <v>5849432</v>
      </c>
    </row>
    <row r="2067" spans="1:18" x14ac:dyDescent="0.25">
      <c r="A2067" s="170">
        <v>45050</v>
      </c>
      <c r="B2067" s="116">
        <v>1875.95064621593</v>
      </c>
      <c r="C2067" s="116">
        <v>1851.03491928686</v>
      </c>
      <c r="D2067" s="116">
        <v>1784.8191936349001</v>
      </c>
      <c r="E2067" s="116">
        <v>1793.49607130086</v>
      </c>
      <c r="F2067" s="116">
        <v>1909.3</v>
      </c>
      <c r="G2067">
        <v>294131</v>
      </c>
      <c r="H2067" s="116"/>
      <c r="I2067" s="116"/>
      <c r="L2067" s="170">
        <v>45050</v>
      </c>
      <c r="M2067" s="116">
        <v>1852.9283216783199</v>
      </c>
      <c r="N2067" s="116">
        <v>1875.95359186268</v>
      </c>
      <c r="O2067" s="116">
        <v>1782.9315003178599</v>
      </c>
      <c r="P2067" s="116">
        <v>1782.9315003178599</v>
      </c>
      <c r="Q2067" s="116">
        <v>1911.25</v>
      </c>
      <c r="R2067">
        <v>4842127</v>
      </c>
    </row>
    <row r="2068" spans="1:18" x14ac:dyDescent="0.25">
      <c r="A2068" s="170">
        <v>45051</v>
      </c>
      <c r="B2068" s="116">
        <v>1905.0351523588199</v>
      </c>
      <c r="C2068" s="116">
        <v>1862.42635085949</v>
      </c>
      <c r="D2068" s="116">
        <v>1845.2664922351901</v>
      </c>
      <c r="E2068" s="116">
        <v>1905.0351523588199</v>
      </c>
      <c r="F2068" s="116">
        <v>1921.05</v>
      </c>
      <c r="G2068">
        <v>413670</v>
      </c>
      <c r="H2068" s="116"/>
      <c r="I2068" s="116"/>
      <c r="L2068" s="170">
        <v>45051</v>
      </c>
      <c r="M2068" s="116">
        <v>1861.7021614748901</v>
      </c>
      <c r="N2068" s="116">
        <v>1895.3432930705701</v>
      </c>
      <c r="O2068" s="116">
        <v>1845.07549268913</v>
      </c>
      <c r="P2068" s="116">
        <v>1895.1493960584901</v>
      </c>
      <c r="Q2068" s="116">
        <v>1920.3</v>
      </c>
      <c r="R2068">
        <v>6137744</v>
      </c>
    </row>
    <row r="2069" spans="1:18" x14ac:dyDescent="0.25">
      <c r="A2069" s="170">
        <v>45054</v>
      </c>
      <c r="B2069" s="116">
        <v>1866.2558108349699</v>
      </c>
      <c r="C2069" s="116">
        <v>1830.04560068708</v>
      </c>
      <c r="D2069" s="116">
        <v>1817.7816339301701</v>
      </c>
      <c r="E2069" s="116">
        <v>1866.2558108349699</v>
      </c>
      <c r="F2069" s="116">
        <v>1887.65</v>
      </c>
      <c r="G2069">
        <v>315301</v>
      </c>
      <c r="H2069" s="116"/>
      <c r="I2069" s="116"/>
      <c r="L2069" s="170">
        <v>45054</v>
      </c>
      <c r="M2069" s="116">
        <v>1829.90305149396</v>
      </c>
      <c r="N2069" s="116">
        <v>1868.1007628734901</v>
      </c>
      <c r="O2069" s="116">
        <v>1818.7539732994301</v>
      </c>
      <c r="P2069" s="116">
        <v>1861.7021614748901</v>
      </c>
      <c r="Q2069" s="116">
        <v>1887.5</v>
      </c>
      <c r="R2069">
        <v>2835197</v>
      </c>
    </row>
    <row r="2070" spans="1:18" x14ac:dyDescent="0.25">
      <c r="A2070" s="170">
        <v>45055</v>
      </c>
      <c r="B2070" s="116">
        <v>1871.05475434855</v>
      </c>
      <c r="C2070" s="116">
        <v>1837.3167272228</v>
      </c>
      <c r="D2070" s="116">
        <v>1831.11203257899</v>
      </c>
      <c r="E2070" s="116">
        <v>1837.51062393042</v>
      </c>
      <c r="F2070" s="116">
        <v>1895.15</v>
      </c>
      <c r="G2070">
        <v>306783</v>
      </c>
      <c r="H2070" s="116"/>
      <c r="I2070" s="116"/>
      <c r="L2070" s="170">
        <v>45055</v>
      </c>
      <c r="M2070" s="116">
        <v>1838.2406230133499</v>
      </c>
      <c r="N2070" s="116">
        <v>1871.1061665607101</v>
      </c>
      <c r="O2070" s="116">
        <v>1831.4542275905901</v>
      </c>
      <c r="P2070" s="116">
        <v>1842.02161474889</v>
      </c>
      <c r="Q2070" s="116">
        <v>1896.1</v>
      </c>
      <c r="R2070">
        <v>2700563</v>
      </c>
    </row>
    <row r="2071" spans="1:18" x14ac:dyDescent="0.25">
      <c r="A2071" s="170">
        <v>45056</v>
      </c>
      <c r="B2071" s="116">
        <v>1856.3186045694899</v>
      </c>
      <c r="C2071" s="116">
        <v>1834.35980243161</v>
      </c>
      <c r="D2071" s="116">
        <v>1826.65240830375</v>
      </c>
      <c r="E2071" s="116">
        <v>1844.8786988199499</v>
      </c>
      <c r="F2071" s="116">
        <v>1892.1</v>
      </c>
      <c r="G2071">
        <v>125260</v>
      </c>
      <c r="H2071" s="116"/>
      <c r="I2071" s="116"/>
      <c r="L2071" s="170">
        <v>45056</v>
      </c>
      <c r="M2071" s="116">
        <v>1834.4111570247901</v>
      </c>
      <c r="N2071" s="116">
        <v>1856.4669421487599</v>
      </c>
      <c r="O2071" s="116">
        <v>1826.46137952956</v>
      </c>
      <c r="P2071" s="116">
        <v>1841.0521296884899</v>
      </c>
      <c r="Q2071" s="116">
        <v>1892.15</v>
      </c>
      <c r="R2071">
        <v>1970906</v>
      </c>
    </row>
    <row r="2072" spans="1:18" x14ac:dyDescent="0.25">
      <c r="A2072" s="170">
        <v>45057</v>
      </c>
      <c r="B2072" s="116">
        <v>1952.05510395648</v>
      </c>
      <c r="C2072" s="116">
        <v>1924.0370297054999</v>
      </c>
      <c r="D2072" s="116">
        <v>1858.16062329187</v>
      </c>
      <c r="E2072" s="116">
        <v>1864.3168437587799</v>
      </c>
      <c r="F2072" s="116">
        <v>1984.6</v>
      </c>
      <c r="G2072">
        <v>438941</v>
      </c>
      <c r="H2072" s="116"/>
      <c r="I2072" s="116"/>
      <c r="L2072" s="170">
        <v>45057</v>
      </c>
      <c r="M2072" s="116">
        <v>1924.08852511125</v>
      </c>
      <c r="N2072" s="116">
        <v>1952.30054036872</v>
      </c>
      <c r="O2072" s="116">
        <v>1851.71646535283</v>
      </c>
      <c r="P2072" s="116">
        <v>1866.25874125874</v>
      </c>
      <c r="Q2072" s="116">
        <v>1984.65</v>
      </c>
      <c r="R2072">
        <v>8835941</v>
      </c>
    </row>
    <row r="2073" spans="1:18" x14ac:dyDescent="0.25">
      <c r="A2073" s="170">
        <v>45058</v>
      </c>
      <c r="B2073" s="116">
        <v>1950.4554561186201</v>
      </c>
      <c r="C2073" s="116">
        <v>1904.8412556512001</v>
      </c>
      <c r="D2073" s="116">
        <v>1888.02071626523</v>
      </c>
      <c r="E2073" s="116">
        <v>1948.6619115731401</v>
      </c>
      <c r="F2073" s="116">
        <v>1964.8</v>
      </c>
      <c r="G2073">
        <v>235433</v>
      </c>
      <c r="H2073" s="116"/>
      <c r="I2073" s="116"/>
      <c r="L2073" s="170">
        <v>45058</v>
      </c>
      <c r="M2073" s="116">
        <v>1904.7472981563899</v>
      </c>
      <c r="N2073" s="116">
        <v>1948.66497139224</v>
      </c>
      <c r="O2073" s="116">
        <v>1887.1511443102299</v>
      </c>
      <c r="P2073" s="116">
        <v>1947.6954863318499</v>
      </c>
      <c r="Q2073" s="116">
        <v>1964.7</v>
      </c>
      <c r="R2073">
        <v>3816201</v>
      </c>
    </row>
    <row r="2074" spans="1:18" x14ac:dyDescent="0.25">
      <c r="A2074" s="170">
        <v>45061</v>
      </c>
      <c r="B2074" s="116">
        <v>1904.06566882072</v>
      </c>
      <c r="C2074" s="116">
        <v>1857.2880881075801</v>
      </c>
      <c r="D2074" s="116">
        <v>1821.5626197287399</v>
      </c>
      <c r="E2074" s="116">
        <v>1904.06566882072</v>
      </c>
      <c r="F2074" s="116">
        <v>1915.75</v>
      </c>
      <c r="G2074">
        <v>462850</v>
      </c>
      <c r="H2074" s="116"/>
      <c r="I2074" s="116"/>
      <c r="L2074" s="170">
        <v>45061</v>
      </c>
      <c r="M2074" s="116">
        <v>1857.58184996821</v>
      </c>
      <c r="N2074" s="116">
        <v>1904.7472981563899</v>
      </c>
      <c r="O2074" s="116">
        <v>1822.6319135409999</v>
      </c>
      <c r="P2074" s="116">
        <v>1900.0937698665</v>
      </c>
      <c r="Q2074" s="116">
        <v>1916.05</v>
      </c>
      <c r="R2074">
        <v>4836782</v>
      </c>
    </row>
    <row r="2075" spans="1:18" x14ac:dyDescent="0.25">
      <c r="A2075" s="170">
        <v>45062</v>
      </c>
      <c r="B2075" s="116">
        <v>1875.7567495083099</v>
      </c>
      <c r="C2075" s="116">
        <v>1830.1910232178</v>
      </c>
      <c r="D2075" s="116">
        <v>1823.0168450358899</v>
      </c>
      <c r="E2075" s="116">
        <v>1870.1337449873599</v>
      </c>
      <c r="F2075" s="116">
        <v>1887.8</v>
      </c>
      <c r="G2075">
        <v>262694</v>
      </c>
      <c r="H2075" s="116"/>
      <c r="I2075" s="116"/>
      <c r="L2075" s="170">
        <v>45062</v>
      </c>
      <c r="M2075" s="116">
        <v>1831.5027018436101</v>
      </c>
      <c r="N2075" s="116">
        <v>1875.95359186268</v>
      </c>
      <c r="O2075" s="116">
        <v>1823.6013986014</v>
      </c>
      <c r="P2075" s="116">
        <v>1868.1977113795299</v>
      </c>
      <c r="Q2075" s="116">
        <v>1889.15</v>
      </c>
      <c r="R2075">
        <v>3058799</v>
      </c>
    </row>
    <row r="2076" spans="1:18" x14ac:dyDescent="0.25">
      <c r="A2076" s="170">
        <v>45063</v>
      </c>
      <c r="B2076" s="116">
        <v>1861.40839314449</v>
      </c>
      <c r="C2076" s="116">
        <v>1841.63092896733</v>
      </c>
      <c r="D2076" s="116">
        <v>1802.2214231437299</v>
      </c>
      <c r="E2076" s="116">
        <v>1834.4082766085201</v>
      </c>
      <c r="F2076" s="116">
        <v>1899.6</v>
      </c>
      <c r="G2076">
        <v>259730</v>
      </c>
      <c r="H2076" s="116"/>
      <c r="I2076" s="116"/>
      <c r="L2076" s="170">
        <v>45063</v>
      </c>
      <c r="M2076" s="116">
        <v>1841.53687221869</v>
      </c>
      <c r="N2076" s="116">
        <v>1861.3628417037501</v>
      </c>
      <c r="O2076" s="116">
        <v>1801.0608709472299</v>
      </c>
      <c r="P2076" s="116">
        <v>1842.02161474889</v>
      </c>
      <c r="Q2076" s="116">
        <v>1899.5</v>
      </c>
      <c r="R2076">
        <v>3632797</v>
      </c>
    </row>
    <row r="2077" spans="1:18" x14ac:dyDescent="0.25">
      <c r="A2077" s="170">
        <v>45064</v>
      </c>
      <c r="B2077" s="116">
        <v>1861.3114447906801</v>
      </c>
      <c r="C2077" s="116">
        <v>1830.4333941023201</v>
      </c>
      <c r="D2077" s="116">
        <v>1823.5985351587401</v>
      </c>
      <c r="E2077" s="116">
        <v>1859.3724777144901</v>
      </c>
      <c r="F2077" s="116">
        <v>1888.05</v>
      </c>
      <c r="G2077">
        <v>249195</v>
      </c>
      <c r="H2077" s="116"/>
      <c r="I2077" s="116"/>
      <c r="L2077" s="170">
        <v>45064</v>
      </c>
      <c r="M2077" s="116">
        <v>1832.3267641449499</v>
      </c>
      <c r="N2077" s="116">
        <v>1865.2892561983499</v>
      </c>
      <c r="O2077" s="116">
        <v>1819.9173553718999</v>
      </c>
      <c r="P2077" s="116">
        <v>1851.76493960585</v>
      </c>
      <c r="Q2077" s="116">
        <v>1890</v>
      </c>
      <c r="R2077">
        <v>2437396</v>
      </c>
    </row>
    <row r="2078" spans="1:18" x14ac:dyDescent="0.25">
      <c r="A2078" s="170">
        <v>45065</v>
      </c>
      <c r="B2078" s="116">
        <v>1921.85569174478</v>
      </c>
      <c r="C2078" s="116">
        <v>1897.1823357002399</v>
      </c>
      <c r="D2078" s="116">
        <v>1816.42435697683</v>
      </c>
      <c r="E2078" s="116">
        <v>1834.2628540778001</v>
      </c>
      <c r="F2078" s="116">
        <v>1956.9</v>
      </c>
      <c r="G2078">
        <v>453823</v>
      </c>
      <c r="H2078" s="116"/>
      <c r="I2078" s="116"/>
      <c r="L2078" s="170">
        <v>45065</v>
      </c>
      <c r="M2078" s="116">
        <v>1896.3612523839799</v>
      </c>
      <c r="N2078" s="116">
        <v>1922.4888747616001</v>
      </c>
      <c r="O2078" s="116">
        <v>1814.97298156389</v>
      </c>
      <c r="P2078" s="116">
        <v>1830.38779402416</v>
      </c>
      <c r="Q2078" s="116">
        <v>1956.05</v>
      </c>
      <c r="R2078">
        <v>7541150</v>
      </c>
    </row>
    <row r="2079" spans="1:18" x14ac:dyDescent="0.25">
      <c r="A2079" s="170">
        <v>45068</v>
      </c>
      <c r="B2079" s="116">
        <v>2272.9541550662798</v>
      </c>
      <c r="C2079" s="116">
        <v>2254.5824420193599</v>
      </c>
      <c r="D2079" s="116">
        <v>1924.42482312074</v>
      </c>
      <c r="E2079" s="116">
        <v>1955.44829633981</v>
      </c>
      <c r="F2079" s="116">
        <v>2325.5500000000002</v>
      </c>
      <c r="G2079">
        <v>3189754</v>
      </c>
      <c r="H2079" s="116"/>
      <c r="I2079" s="116"/>
      <c r="L2079" s="170">
        <v>45068</v>
      </c>
      <c r="M2079" s="116">
        <v>2255.1191989828299</v>
      </c>
      <c r="N2079" s="116">
        <v>2275.38143674507</v>
      </c>
      <c r="O2079" s="116">
        <v>1922.8766687857601</v>
      </c>
      <c r="P2079" s="116">
        <v>1948.66497139224</v>
      </c>
      <c r="Q2079" s="116">
        <v>2326.1</v>
      </c>
      <c r="R2079">
        <v>26311368</v>
      </c>
    </row>
    <row r="2080" spans="1:18" x14ac:dyDescent="0.25">
      <c r="A2080" s="170">
        <v>45069</v>
      </c>
      <c r="B2080" s="116">
        <v>2652.6523827616202</v>
      </c>
      <c r="C2080" s="116">
        <v>2551.9230431534302</v>
      </c>
      <c r="D2080" s="116">
        <v>2326.90591396133</v>
      </c>
      <c r="E2080" s="116">
        <v>2352.9365469592099</v>
      </c>
      <c r="F2080" s="116">
        <v>2632.25</v>
      </c>
      <c r="G2080">
        <v>2033861</v>
      </c>
      <c r="H2080" s="116"/>
      <c r="I2080" s="116"/>
      <c r="L2080" s="170">
        <v>45069</v>
      </c>
      <c r="M2080" s="116">
        <v>2553.3328035600798</v>
      </c>
      <c r="N2080" s="116">
        <v>2675.24554990464</v>
      </c>
      <c r="O2080" s="116">
        <v>2326.7641449459602</v>
      </c>
      <c r="P2080" s="116">
        <v>2337.3315321042601</v>
      </c>
      <c r="Q2080" s="116">
        <v>2633.7</v>
      </c>
      <c r="R2080">
        <v>28432888</v>
      </c>
    </row>
    <row r="2081" spans="1:18" x14ac:dyDescent="0.25">
      <c r="A2081" s="170">
        <v>45070</v>
      </c>
      <c r="B2081" s="116">
        <v>2667.2915841868698</v>
      </c>
      <c r="C2081" s="116">
        <v>2401.3137755101998</v>
      </c>
      <c r="D2081" s="116">
        <v>2351.8216408904</v>
      </c>
      <c r="E2081" s="116">
        <v>2641.84264131184</v>
      </c>
      <c r="F2081" s="116">
        <v>2476.9</v>
      </c>
      <c r="G2081">
        <v>1929079</v>
      </c>
      <c r="H2081" s="116"/>
      <c r="I2081" s="116"/>
      <c r="L2081" s="170">
        <v>45070</v>
      </c>
      <c r="M2081" s="116">
        <v>2400.0572155117602</v>
      </c>
      <c r="N2081" s="116">
        <v>2666.08391608392</v>
      </c>
      <c r="O2081" s="116">
        <v>2351.34059122695</v>
      </c>
      <c r="P2081" s="116">
        <v>2626.3350286077598</v>
      </c>
      <c r="Q2081" s="116">
        <v>2475.6</v>
      </c>
      <c r="R2081">
        <v>23465761</v>
      </c>
    </row>
    <row r="2082" spans="1:18" x14ac:dyDescent="0.25">
      <c r="A2082" s="170">
        <v>45071</v>
      </c>
      <c r="B2082" s="116">
        <v>2480.9083739878902</v>
      </c>
      <c r="C2082" s="116">
        <v>2458.7072009654898</v>
      </c>
      <c r="D2082" s="116">
        <v>2312.5575575975099</v>
      </c>
      <c r="E2082" s="116">
        <v>2362.6313823401701</v>
      </c>
      <c r="F2082" s="116">
        <v>2536.1</v>
      </c>
      <c r="G2082">
        <v>835480</v>
      </c>
      <c r="H2082" s="116"/>
      <c r="I2082" s="116"/>
      <c r="L2082" s="170">
        <v>45071</v>
      </c>
      <c r="M2082" s="116">
        <v>2460.0198664971399</v>
      </c>
      <c r="N2082" s="116">
        <v>2480.7183725365499</v>
      </c>
      <c r="O2082" s="116">
        <v>2313.8215193896999</v>
      </c>
      <c r="P2082" s="116">
        <v>2365.5435473617299</v>
      </c>
      <c r="Q2082" s="116">
        <v>2537.4499999999998</v>
      </c>
      <c r="R2082">
        <v>8434009</v>
      </c>
    </row>
    <row r="2083" spans="1:18" x14ac:dyDescent="0.25">
      <c r="A2083" s="170">
        <v>45072</v>
      </c>
      <c r="B2083" s="116">
        <v>2520.6571990498301</v>
      </c>
      <c r="C2083" s="116">
        <v>2465.7359566166901</v>
      </c>
      <c r="D2083" s="116">
        <v>2456.1865437664401</v>
      </c>
      <c r="E2083" s="116">
        <v>2485.7557916783699</v>
      </c>
      <c r="F2083" s="116">
        <v>2543.35</v>
      </c>
      <c r="G2083">
        <v>174248</v>
      </c>
      <c r="H2083" s="116"/>
      <c r="I2083" s="116"/>
      <c r="L2083" s="170">
        <v>45072</v>
      </c>
      <c r="M2083" s="116">
        <v>2466.7093134138599</v>
      </c>
      <c r="N2083" s="116">
        <v>2520.6126827717699</v>
      </c>
      <c r="O2083" s="116">
        <v>2457.7900508582302</v>
      </c>
      <c r="P2083" s="116">
        <v>2486.7291799109998</v>
      </c>
      <c r="Q2083" s="116">
        <v>2544.35</v>
      </c>
      <c r="R2083">
        <v>3963515</v>
      </c>
    </row>
    <row r="2084" spans="1:18" x14ac:dyDescent="0.25">
      <c r="A2084" s="170">
        <v>45075</v>
      </c>
      <c r="B2084" s="116">
        <v>2504.6607206712501</v>
      </c>
      <c r="C2084" s="116">
        <v>2456.2834921202498</v>
      </c>
      <c r="D2084" s="116">
        <v>2447.9459336926302</v>
      </c>
      <c r="E2084" s="116">
        <v>2477.0789140124102</v>
      </c>
      <c r="F2084" s="116">
        <v>2533.6</v>
      </c>
      <c r="G2084">
        <v>125716</v>
      </c>
      <c r="H2084" s="116"/>
      <c r="I2084" s="116"/>
      <c r="L2084" s="170">
        <v>45075</v>
      </c>
      <c r="M2084" s="116">
        <v>2456.7236172918001</v>
      </c>
      <c r="N2084" s="116">
        <v>2504.6646535282898</v>
      </c>
      <c r="O2084" s="116">
        <v>2446.01080737444</v>
      </c>
      <c r="P2084" s="116">
        <v>2491.5766052129702</v>
      </c>
      <c r="Q2084" s="116">
        <v>2534.0500000000002</v>
      </c>
      <c r="R2084">
        <v>2779432</v>
      </c>
    </row>
    <row r="2085" spans="1:18" x14ac:dyDescent="0.25">
      <c r="A2085" s="170">
        <v>45076</v>
      </c>
      <c r="B2085" s="116">
        <v>2474.5097826364599</v>
      </c>
      <c r="C2085" s="116">
        <v>2419.2492209649799</v>
      </c>
      <c r="D2085" s="116">
        <v>2400.1019210875802</v>
      </c>
      <c r="E2085" s="116">
        <v>2458.6102526116802</v>
      </c>
      <c r="F2085" s="116">
        <v>2495.4</v>
      </c>
      <c r="G2085">
        <v>74028</v>
      </c>
      <c r="H2085" s="116"/>
      <c r="I2085" s="116"/>
      <c r="L2085" s="170">
        <v>45076</v>
      </c>
      <c r="M2085" s="116">
        <v>2420.2709790209801</v>
      </c>
      <c r="N2085" s="116">
        <v>2476.2102670057202</v>
      </c>
      <c r="O2085" s="116">
        <v>2399.6209472345799</v>
      </c>
      <c r="P2085" s="116">
        <v>2452.11856325493</v>
      </c>
      <c r="Q2085" s="116">
        <v>2496.4499999999998</v>
      </c>
      <c r="R2085">
        <v>1736953</v>
      </c>
    </row>
    <row r="2086" spans="1:18" x14ac:dyDescent="0.25">
      <c r="A2086" s="170">
        <v>45077</v>
      </c>
      <c r="B2086" s="116">
        <v>2494.48114352124</v>
      </c>
      <c r="C2086" s="116">
        <v>2418.1343148961701</v>
      </c>
      <c r="D2086" s="116">
        <v>2353.2758661975399</v>
      </c>
      <c r="E2086" s="116">
        <v>2406.5489866159201</v>
      </c>
      <c r="F2086" s="116">
        <v>2494.25</v>
      </c>
      <c r="G2086">
        <v>190746</v>
      </c>
      <c r="H2086" s="116"/>
      <c r="I2086" s="116"/>
      <c r="L2086" s="170">
        <v>45077</v>
      </c>
      <c r="M2086" s="116">
        <v>2417.2655753337599</v>
      </c>
      <c r="N2086" s="116">
        <v>2494.48506039415</v>
      </c>
      <c r="O2086" s="116">
        <v>2353.9097266369999</v>
      </c>
      <c r="P2086" s="116">
        <v>2406.2619198982802</v>
      </c>
      <c r="Q2086" s="116">
        <v>2493.35</v>
      </c>
      <c r="R2086">
        <v>4268439</v>
      </c>
    </row>
    <row r="2087" spans="1:18" x14ac:dyDescent="0.25">
      <c r="A2087" s="170">
        <v>45078</v>
      </c>
      <c r="B2087" s="116">
        <v>2458.3194075502502</v>
      </c>
      <c r="C2087" s="116">
        <v>2416.1953478199798</v>
      </c>
      <c r="D2087" s="116">
        <v>2408.9242212842601</v>
      </c>
      <c r="E2087" s="116">
        <v>2418.8614275497398</v>
      </c>
      <c r="F2087" s="116">
        <v>2492.25</v>
      </c>
      <c r="G2087">
        <v>165318</v>
      </c>
      <c r="H2087" s="116"/>
      <c r="I2087" s="116"/>
      <c r="L2087" s="170">
        <v>45078</v>
      </c>
      <c r="M2087" s="116">
        <v>2416.1021932612798</v>
      </c>
      <c r="N2087" s="116">
        <v>2481.8817546090299</v>
      </c>
      <c r="O2087" s="116">
        <v>2409.46122059758</v>
      </c>
      <c r="P2087" s="116">
        <v>2423.6157024793401</v>
      </c>
      <c r="Q2087" s="116">
        <v>2492.15</v>
      </c>
      <c r="R2087">
        <v>1704946</v>
      </c>
    </row>
    <row r="2088" spans="1:18" x14ac:dyDescent="0.25">
      <c r="A2088" s="170">
        <v>45079</v>
      </c>
      <c r="B2088" s="116">
        <v>2457.64076907359</v>
      </c>
      <c r="C2088" s="116">
        <v>2370.3387764680301</v>
      </c>
      <c r="D2088" s="116">
        <v>2351.7731667134899</v>
      </c>
      <c r="E2088" s="116">
        <v>2447.9944078695298</v>
      </c>
      <c r="F2088" s="116">
        <v>2444.9499999999998</v>
      </c>
      <c r="G2088">
        <v>297089</v>
      </c>
      <c r="H2088" s="116"/>
      <c r="I2088" s="116"/>
      <c r="L2088" s="170">
        <v>45079</v>
      </c>
      <c r="M2088" s="116">
        <v>2370.43944691672</v>
      </c>
      <c r="N2088" s="116">
        <v>2461.4256198347098</v>
      </c>
      <c r="O2088" s="116">
        <v>2351.0012714558202</v>
      </c>
      <c r="P2088" s="116">
        <v>2457.6446280991699</v>
      </c>
      <c r="Q2088" s="116">
        <v>2445.0500000000002</v>
      </c>
      <c r="R2088">
        <v>5543791</v>
      </c>
    </row>
    <row r="2089" spans="1:18" x14ac:dyDescent="0.25">
      <c r="A2089" s="170">
        <v>45082</v>
      </c>
      <c r="B2089" s="116">
        <v>2437.2816147735698</v>
      </c>
      <c r="C2089" s="116">
        <v>2359.6744575489802</v>
      </c>
      <c r="D2089" s="116">
        <v>2353.90603049731</v>
      </c>
      <c r="E2089" s="116">
        <v>2389.7769214068599</v>
      </c>
      <c r="F2089" s="116">
        <v>2433.9499999999998</v>
      </c>
      <c r="G2089">
        <v>116192</v>
      </c>
      <c r="H2089" s="116"/>
      <c r="I2089" s="116"/>
      <c r="L2089" s="170">
        <v>45082</v>
      </c>
      <c r="M2089" s="116">
        <v>2359.6781627463401</v>
      </c>
      <c r="N2089" s="116">
        <v>2437.2854418308998</v>
      </c>
      <c r="O2089" s="116">
        <v>2353.9097266369999</v>
      </c>
      <c r="P2089" s="116">
        <v>2388.0356007628702</v>
      </c>
      <c r="Q2089" s="116">
        <v>2433.9499999999998</v>
      </c>
      <c r="R2089">
        <v>2956768</v>
      </c>
    </row>
    <row r="2090" spans="1:18" x14ac:dyDescent="0.25">
      <c r="A2090" s="170">
        <v>45083</v>
      </c>
      <c r="B2090" s="116">
        <v>2430.4952300068999</v>
      </c>
      <c r="C2090" s="116">
        <v>2359.4320866644498</v>
      </c>
      <c r="D2090" s="116">
        <v>2352.5002793670701</v>
      </c>
      <c r="E2090" s="116">
        <v>2395.1575550432899</v>
      </c>
      <c r="F2090" s="116">
        <v>2433.6999999999998</v>
      </c>
      <c r="G2090">
        <v>292511</v>
      </c>
      <c r="H2090" s="116"/>
      <c r="I2090" s="116"/>
      <c r="L2090" s="170">
        <v>45083</v>
      </c>
      <c r="M2090" s="116">
        <v>2359.3873172282301</v>
      </c>
      <c r="N2090" s="116">
        <v>2430.45057215512</v>
      </c>
      <c r="O2090" s="116">
        <v>2351.8738080101698</v>
      </c>
      <c r="P2090" s="116">
        <v>2399.4755244755202</v>
      </c>
      <c r="Q2090" s="116">
        <v>2433.65</v>
      </c>
      <c r="R2090">
        <v>6473608</v>
      </c>
    </row>
    <row r="2091" spans="1:18" x14ac:dyDescent="0.25">
      <c r="A2091" s="170">
        <v>45084</v>
      </c>
      <c r="B2091" s="116">
        <v>2391.95825936758</v>
      </c>
      <c r="C2091" s="116">
        <v>2365.3459362468402</v>
      </c>
      <c r="D2091" s="116">
        <v>2360.6924152639799</v>
      </c>
      <c r="E2091" s="116">
        <v>2370.4357248218398</v>
      </c>
      <c r="F2091" s="116">
        <v>2439.8000000000002</v>
      </c>
      <c r="G2091">
        <v>262295</v>
      </c>
      <c r="H2091" s="116"/>
      <c r="I2091" s="116"/>
      <c r="L2091" s="170">
        <v>45084</v>
      </c>
      <c r="M2091" s="116">
        <v>2365.1072790845501</v>
      </c>
      <c r="N2091" s="116">
        <v>2391.6711697393498</v>
      </c>
      <c r="O2091" s="116">
        <v>2360.69612205976</v>
      </c>
      <c r="P2091" s="116">
        <v>2378.1468531468499</v>
      </c>
      <c r="Q2091" s="116">
        <v>2439.5500000000002</v>
      </c>
      <c r="R2091">
        <v>2522516</v>
      </c>
    </row>
    <row r="2092" spans="1:18" x14ac:dyDescent="0.25">
      <c r="A2092" s="170">
        <v>45085</v>
      </c>
      <c r="B2092" s="116">
        <v>2399.4717567878201</v>
      </c>
      <c r="C2092" s="116">
        <v>2354.7300915046899</v>
      </c>
      <c r="D2092" s="116">
        <v>2297.9183561722598</v>
      </c>
      <c r="E2092" s="116">
        <v>2378.1431189497098</v>
      </c>
      <c r="F2092" s="116">
        <v>2428.85</v>
      </c>
      <c r="G2092">
        <v>383627</v>
      </c>
      <c r="H2092" s="116"/>
      <c r="I2092" s="116"/>
      <c r="L2092" s="170">
        <v>45085</v>
      </c>
      <c r="M2092" s="116">
        <v>2355.0246344564498</v>
      </c>
      <c r="N2092" s="116">
        <v>2400.3480610298798</v>
      </c>
      <c r="O2092" s="116">
        <v>2296.75858232676</v>
      </c>
      <c r="P2092" s="116">
        <v>2375.2383979656702</v>
      </c>
      <c r="Q2092" s="116">
        <v>2429.15</v>
      </c>
      <c r="R2092">
        <v>3781621</v>
      </c>
    </row>
    <row r="2093" spans="1:18" x14ac:dyDescent="0.25">
      <c r="A2093" s="170">
        <v>45086</v>
      </c>
      <c r="B2093" s="116">
        <v>2383.32985587852</v>
      </c>
      <c r="C2093" s="116">
        <v>2376.1072035197099</v>
      </c>
      <c r="D2093" s="116">
        <v>2353.90603049731</v>
      </c>
      <c r="E2093" s="116">
        <v>2365.6367813082702</v>
      </c>
      <c r="F2093" s="116">
        <v>2450.9</v>
      </c>
      <c r="G2093">
        <v>104778</v>
      </c>
      <c r="H2093" s="116"/>
      <c r="I2093" s="116"/>
      <c r="L2093" s="170">
        <v>45086</v>
      </c>
      <c r="M2093" s="116">
        <v>2376.35330578512</v>
      </c>
      <c r="N2093" s="116">
        <v>2383.8668150031799</v>
      </c>
      <c r="O2093" s="116">
        <v>2353.9097266369999</v>
      </c>
      <c r="P2093" s="116">
        <v>2373.2509535918598</v>
      </c>
      <c r="Q2093" s="116">
        <v>2451.15</v>
      </c>
      <c r="R2093">
        <v>1948506</v>
      </c>
    </row>
    <row r="2094" spans="1:18" x14ac:dyDescent="0.25">
      <c r="A2094" s="170">
        <v>45089</v>
      </c>
      <c r="B2094" s="116">
        <v>2428.5077887538</v>
      </c>
      <c r="C2094" s="116">
        <v>2410.3299724144999</v>
      </c>
      <c r="D2094" s="116">
        <v>2359.1412416030198</v>
      </c>
      <c r="E2094" s="116">
        <v>2386.86847079257</v>
      </c>
      <c r="F2094" s="116">
        <v>2486.1999999999998</v>
      </c>
      <c r="G2094">
        <v>127510</v>
      </c>
      <c r="H2094" s="116"/>
      <c r="I2094" s="116"/>
      <c r="L2094" s="170">
        <v>45089</v>
      </c>
      <c r="M2094" s="116">
        <v>2408.97647806739</v>
      </c>
      <c r="N2094" s="116">
        <v>2428.5600762873501</v>
      </c>
      <c r="O2094" s="116">
        <v>2358.3693579148098</v>
      </c>
      <c r="P2094" s="116">
        <v>2384.93324856961</v>
      </c>
      <c r="Q2094" s="116">
        <v>2484.8000000000002</v>
      </c>
      <c r="R2094">
        <v>2804898</v>
      </c>
    </row>
    <row r="2095" spans="1:18" x14ac:dyDescent="0.25">
      <c r="A2095" s="170">
        <v>45090</v>
      </c>
      <c r="B2095" s="116">
        <v>2428.2654178692801</v>
      </c>
      <c r="C2095" s="116">
        <v>2387.2562642078101</v>
      </c>
      <c r="D2095" s="116">
        <v>2368.49675774565</v>
      </c>
      <c r="E2095" s="116">
        <v>2420.80039462594</v>
      </c>
      <c r="F2095" s="116">
        <v>2462.4</v>
      </c>
      <c r="G2095">
        <v>203732</v>
      </c>
      <c r="H2095" s="116"/>
      <c r="I2095" s="116"/>
      <c r="L2095" s="170">
        <v>45090</v>
      </c>
      <c r="M2095" s="116">
        <v>2387.4054354736199</v>
      </c>
      <c r="N2095" s="116">
        <v>2428.5600762873501</v>
      </c>
      <c r="O2095" s="116">
        <v>2367.6764144946001</v>
      </c>
      <c r="P2095" s="116">
        <v>2422.7431659249801</v>
      </c>
      <c r="Q2095" s="116">
        <v>2462.5500000000002</v>
      </c>
      <c r="R2095">
        <v>2210990</v>
      </c>
    </row>
    <row r="2096" spans="1:18" x14ac:dyDescent="0.25">
      <c r="A2096" s="170">
        <v>45091</v>
      </c>
      <c r="B2096" s="116">
        <v>2408.1971086306899</v>
      </c>
      <c r="C2096" s="116">
        <v>2381.9725789251902</v>
      </c>
      <c r="D2096" s="116">
        <v>2378.1431189497098</v>
      </c>
      <c r="E2096" s="116">
        <v>2388.0318510382899</v>
      </c>
      <c r="F2096" s="116">
        <v>2456.9499999999998</v>
      </c>
      <c r="G2096">
        <v>84039</v>
      </c>
      <c r="H2096" s="116"/>
      <c r="I2096" s="116"/>
      <c r="L2096" s="170">
        <v>45091</v>
      </c>
      <c r="M2096" s="116">
        <v>2382.17021614749</v>
      </c>
      <c r="N2096" s="116">
        <v>2408.97647806739</v>
      </c>
      <c r="O2096" s="116">
        <v>2377.5166878576001</v>
      </c>
      <c r="P2096" s="116">
        <v>2394.5311506675098</v>
      </c>
      <c r="Q2096" s="116">
        <v>2457.15</v>
      </c>
      <c r="R2096">
        <v>1364403</v>
      </c>
    </row>
    <row r="2097" spans="1:18" x14ac:dyDescent="0.25">
      <c r="A2097" s="170">
        <v>45092</v>
      </c>
      <c r="B2097" s="116">
        <v>2450.6120134223902</v>
      </c>
      <c r="C2097" s="116">
        <v>2409.45743723021</v>
      </c>
      <c r="D2097" s="116">
        <v>2386.7715224387598</v>
      </c>
      <c r="E2097" s="116">
        <v>2389.8253955837699</v>
      </c>
      <c r="F2097" s="116">
        <v>2485.3000000000002</v>
      </c>
      <c r="G2097">
        <v>170371</v>
      </c>
      <c r="H2097" s="116"/>
      <c r="I2097" s="116"/>
      <c r="L2097" s="170">
        <v>45092</v>
      </c>
      <c r="M2097" s="116">
        <v>2409.8005403687198</v>
      </c>
      <c r="N2097" s="116">
        <v>2449.8887476160198</v>
      </c>
      <c r="O2097" s="116">
        <v>2387.7447552447602</v>
      </c>
      <c r="P2097" s="116">
        <v>2393.6586141131602</v>
      </c>
      <c r="Q2097" s="116">
        <v>2485.65</v>
      </c>
      <c r="R2097">
        <v>3744029</v>
      </c>
    </row>
    <row r="2098" spans="1:18" x14ac:dyDescent="0.25">
      <c r="A2098" s="170">
        <v>45093</v>
      </c>
      <c r="B2098" s="116">
        <v>2447.8489853388201</v>
      </c>
      <c r="C2098" s="116">
        <v>2430.1559107685598</v>
      </c>
      <c r="D2098" s="116">
        <v>2411.2994559525901</v>
      </c>
      <c r="E2098" s="116">
        <v>2419.8309110878399</v>
      </c>
      <c r="F2098" s="116">
        <v>2506.65</v>
      </c>
      <c r="G2098">
        <v>168867</v>
      </c>
      <c r="H2098" s="116"/>
      <c r="I2098" s="116"/>
      <c r="L2098" s="170">
        <v>45093</v>
      </c>
      <c r="M2098" s="116">
        <v>2433.0197075651599</v>
      </c>
      <c r="N2098" s="116">
        <v>2449.7917991099798</v>
      </c>
      <c r="O2098" s="116">
        <v>2411.4971392244101</v>
      </c>
      <c r="P2098" s="116">
        <v>2422.9370629370601</v>
      </c>
      <c r="Q2098" s="116">
        <v>2509.6</v>
      </c>
      <c r="R2098">
        <v>7999982</v>
      </c>
    </row>
    <row r="2099" spans="1:18" x14ac:dyDescent="0.25">
      <c r="A2099" s="170">
        <v>45096</v>
      </c>
      <c r="B2099" s="116">
        <v>2444.6012154861901</v>
      </c>
      <c r="C2099" s="116">
        <v>2330.44452887538</v>
      </c>
      <c r="D2099" s="116">
        <v>2278.2863145258102</v>
      </c>
      <c r="E2099" s="116">
        <v>2428.5562629307001</v>
      </c>
      <c r="F2099" s="116">
        <v>2403.8000000000002</v>
      </c>
      <c r="G2099">
        <v>342489</v>
      </c>
      <c r="H2099" s="116"/>
      <c r="I2099" s="116"/>
      <c r="L2099" s="170">
        <v>45096</v>
      </c>
      <c r="M2099" s="116">
        <v>2328.1214240305098</v>
      </c>
      <c r="N2099" s="116">
        <v>2444.6535282898899</v>
      </c>
      <c r="O2099" s="116">
        <v>2278.2898919262602</v>
      </c>
      <c r="P2099" s="116">
        <v>2427.59059122695</v>
      </c>
      <c r="Q2099" s="116">
        <v>2401.4</v>
      </c>
      <c r="R2099">
        <v>11475674</v>
      </c>
    </row>
    <row r="2100" spans="1:18" x14ac:dyDescent="0.25">
      <c r="A2100" s="170">
        <v>45097</v>
      </c>
      <c r="B2100" s="116">
        <v>2359.5290350182599</v>
      </c>
      <c r="C2100" s="116">
        <v>2339.8969933718199</v>
      </c>
      <c r="D2100" s="116">
        <v>2316.5324401037001</v>
      </c>
      <c r="E2100" s="116">
        <v>2355.6511008658799</v>
      </c>
      <c r="F2100" s="116">
        <v>2413.5500000000002</v>
      </c>
      <c r="G2100">
        <v>207783</v>
      </c>
      <c r="H2100" s="116"/>
      <c r="I2100" s="116"/>
      <c r="L2100" s="170">
        <v>45097</v>
      </c>
      <c r="M2100" s="116">
        <v>2341.1125238397999</v>
      </c>
      <c r="N2100" s="116">
        <v>2360.69612205976</v>
      </c>
      <c r="O2100" s="116">
        <v>2317.0692943420199</v>
      </c>
      <c r="P2100" s="116">
        <v>2360.69612205976</v>
      </c>
      <c r="Q2100" s="116">
        <v>2414.8000000000002</v>
      </c>
      <c r="R2100">
        <v>2479711</v>
      </c>
    </row>
    <row r="2101" spans="1:18" x14ac:dyDescent="0.25">
      <c r="A2101" s="170">
        <v>45098</v>
      </c>
      <c r="B2101" s="116">
        <v>2366.5577906694598</v>
      </c>
      <c r="C2101" s="116">
        <v>2333.4984020203801</v>
      </c>
      <c r="D2101" s="116">
        <v>2320.94359020204</v>
      </c>
      <c r="E2101" s="116">
        <v>2346.19863636944</v>
      </c>
      <c r="F2101" s="116">
        <v>2406.9499999999998</v>
      </c>
      <c r="G2101">
        <v>114745</v>
      </c>
      <c r="H2101" s="116"/>
      <c r="I2101" s="116"/>
      <c r="L2101" s="170">
        <v>45098</v>
      </c>
      <c r="M2101" s="116">
        <v>2332.5325810553099</v>
      </c>
      <c r="N2101" s="116">
        <v>2365.5435473617299</v>
      </c>
      <c r="O2101" s="116">
        <v>2320.0746980292402</v>
      </c>
      <c r="P2101" s="116">
        <v>2352.6493960584899</v>
      </c>
      <c r="Q2101" s="116">
        <v>2405.9499999999998</v>
      </c>
      <c r="R2101">
        <v>7418013</v>
      </c>
    </row>
    <row r="2102" spans="1:18" x14ac:dyDescent="0.25">
      <c r="A2102" s="170">
        <v>45099</v>
      </c>
      <c r="B2102" s="116">
        <v>2373.7804430282699</v>
      </c>
      <c r="C2102" s="116">
        <v>2322.7856089244201</v>
      </c>
      <c r="D2102" s="116">
        <v>2287.98114990677</v>
      </c>
      <c r="E2102" s="116">
        <v>2341.3996928558699</v>
      </c>
      <c r="F2102" s="116">
        <v>2395.9</v>
      </c>
      <c r="G2102">
        <v>306669</v>
      </c>
      <c r="H2102" s="116"/>
      <c r="I2102" s="116"/>
      <c r="L2102" s="170">
        <v>45099</v>
      </c>
      <c r="M2102" s="116">
        <v>2324.0980610298798</v>
      </c>
      <c r="N2102" s="116">
        <v>2375.1899237126499</v>
      </c>
      <c r="O2102" s="116">
        <v>2287.9847425302</v>
      </c>
      <c r="P2102" s="116">
        <v>2351.0982199618602</v>
      </c>
      <c r="Q2102" s="116">
        <v>2397.25</v>
      </c>
      <c r="R2102">
        <v>8459191</v>
      </c>
    </row>
    <row r="2103" spans="1:18" x14ac:dyDescent="0.25">
      <c r="A2103" s="170">
        <v>45100</v>
      </c>
      <c r="B2103" s="116">
        <v>2319.0046231258498</v>
      </c>
      <c r="C2103" s="116">
        <v>2164.95368892238</v>
      </c>
      <c r="D2103" s="116">
        <v>2096.8474703711299</v>
      </c>
      <c r="E2103" s="116">
        <v>2319.0046231258498</v>
      </c>
      <c r="F2103" s="116">
        <v>2233.1</v>
      </c>
      <c r="G2103">
        <v>874859</v>
      </c>
      <c r="H2103" s="116"/>
      <c r="I2103" s="116"/>
      <c r="L2103" s="170">
        <v>45100</v>
      </c>
      <c r="M2103" s="116">
        <v>2165.3933566433602</v>
      </c>
      <c r="N2103" s="116">
        <v>2319.2991099809301</v>
      </c>
      <c r="O2103" s="116">
        <v>2097.2870311506699</v>
      </c>
      <c r="P2103" s="116">
        <v>2319.2991099809301</v>
      </c>
      <c r="Q2103" s="116">
        <v>2233.5500000000002</v>
      </c>
      <c r="R2103">
        <v>15213238</v>
      </c>
    </row>
    <row r="2104" spans="1:18" x14ac:dyDescent="0.25">
      <c r="A2104" s="170">
        <v>45103</v>
      </c>
      <c r="B2104" s="116">
        <v>2265.34370929223</v>
      </c>
      <c r="C2104" s="116">
        <v>2225.6433584071901</v>
      </c>
      <c r="D2104" s="116">
        <v>2106.1545123368501</v>
      </c>
      <c r="E2104" s="116">
        <v>2154.7256375954598</v>
      </c>
      <c r="F2104" s="116">
        <v>2295.6999999999998</v>
      </c>
      <c r="G2104">
        <v>476066</v>
      </c>
      <c r="H2104" s="116"/>
      <c r="I2104" s="116"/>
      <c r="L2104" s="170">
        <v>45103</v>
      </c>
      <c r="M2104" s="116">
        <v>2225.5499046408099</v>
      </c>
      <c r="N2104" s="116">
        <v>2265.1533693579099</v>
      </c>
      <c r="O2104" s="116">
        <v>2106.7395104895099</v>
      </c>
      <c r="P2104" s="116">
        <v>2142.6104577240899</v>
      </c>
      <c r="Q2104" s="116">
        <v>2295.6</v>
      </c>
      <c r="R2104">
        <v>7847341</v>
      </c>
    </row>
    <row r="2105" spans="1:18" x14ac:dyDescent="0.25">
      <c r="A2105" s="170">
        <v>45104</v>
      </c>
      <c r="B2105" s="116">
        <v>2272.7602583586599</v>
      </c>
      <c r="C2105" s="116">
        <v>2212.1190630507499</v>
      </c>
      <c r="D2105" s="116">
        <v>2201.1154248933599</v>
      </c>
      <c r="E2105" s="116">
        <v>2259.9146014788898</v>
      </c>
      <c r="F2105" s="116">
        <v>2281.75</v>
      </c>
      <c r="G2105">
        <v>337015</v>
      </c>
      <c r="H2105" s="116"/>
      <c r="I2105" s="116"/>
      <c r="L2105" s="170">
        <v>45104</v>
      </c>
      <c r="M2105" s="116">
        <v>2214.7401462174198</v>
      </c>
      <c r="N2105" s="116">
        <v>2272.32755880483</v>
      </c>
      <c r="O2105" s="116">
        <v>2201.70057215512</v>
      </c>
      <c r="P2105" s="116">
        <v>2257.8822314049598</v>
      </c>
      <c r="Q2105" s="116">
        <v>2284.4499999999998</v>
      </c>
      <c r="R2105">
        <v>3361053</v>
      </c>
    </row>
    <row r="2106" spans="1:18" x14ac:dyDescent="0.25">
      <c r="A2106" s="170">
        <v>45105</v>
      </c>
      <c r="B2106" s="116">
        <v>2345.1806786544398</v>
      </c>
      <c r="C2106" s="116">
        <v>2330.2991063446698</v>
      </c>
      <c r="D2106" s="116">
        <v>2222.88033032362</v>
      </c>
      <c r="E2106" s="116">
        <v>2245.2754000536402</v>
      </c>
      <c r="F2106" s="116">
        <v>2403.65</v>
      </c>
      <c r="G2106">
        <v>440819</v>
      </c>
      <c r="H2106" s="116"/>
      <c r="I2106" s="116"/>
      <c r="L2106" s="170">
        <v>45105</v>
      </c>
      <c r="M2106" s="116">
        <v>2328.7031150667499</v>
      </c>
      <c r="N2106" s="116">
        <v>2344.7965670692902</v>
      </c>
      <c r="O2106" s="116">
        <v>2223.85330578512</v>
      </c>
      <c r="P2106" s="116">
        <v>2229.8156389065498</v>
      </c>
      <c r="Q2106" s="116">
        <v>2402</v>
      </c>
      <c r="R2106">
        <v>28353193</v>
      </c>
    </row>
    <row r="2107" spans="1:18" x14ac:dyDescent="0.25">
      <c r="A2107" s="170">
        <v>45107</v>
      </c>
      <c r="B2107" s="116">
        <v>2369.36929292994</v>
      </c>
      <c r="C2107" s="116">
        <v>2310.86096140584</v>
      </c>
      <c r="D2107" s="116">
        <v>2278.3347887027198</v>
      </c>
      <c r="E2107" s="116">
        <v>2369.36929292994</v>
      </c>
      <c r="F2107" s="116">
        <v>2383.6</v>
      </c>
      <c r="G2107">
        <v>639544</v>
      </c>
      <c r="H2107" s="116"/>
      <c r="I2107" s="116"/>
      <c r="L2107" s="170">
        <v>45107</v>
      </c>
      <c r="M2107" s="116">
        <v>2315.17879847425</v>
      </c>
      <c r="N2107" s="116">
        <v>2363.55610298792</v>
      </c>
      <c r="O2107" s="116">
        <v>2278.2898919262602</v>
      </c>
      <c r="P2107" s="116">
        <v>2363.55610298792</v>
      </c>
      <c r="Q2107" s="116">
        <v>2388.0500000000002</v>
      </c>
      <c r="R2107">
        <v>5125497</v>
      </c>
    </row>
    <row r="2108" spans="1:18" x14ac:dyDescent="0.25">
      <c r="A2108" s="170">
        <v>45110</v>
      </c>
      <c r="B2108" s="116">
        <v>2343.24171157825</v>
      </c>
      <c r="C2108" s="116">
        <v>2311.2972289979798</v>
      </c>
      <c r="D2108" s="116">
        <v>2300.4874875482101</v>
      </c>
      <c r="E2108" s="116">
        <v>2326.7604914306098</v>
      </c>
      <c r="F2108" s="116">
        <v>2384.0500000000002</v>
      </c>
      <c r="G2108">
        <v>114244</v>
      </c>
      <c r="H2108" s="116"/>
      <c r="I2108" s="116"/>
      <c r="L2108" s="170">
        <v>45110</v>
      </c>
      <c r="M2108" s="116">
        <v>2312.7066115702501</v>
      </c>
      <c r="N2108" s="116">
        <v>2344.0694532739999</v>
      </c>
      <c r="O2108" s="116">
        <v>2300.7819453274001</v>
      </c>
      <c r="P2108" s="116">
        <v>2331.6115702479301</v>
      </c>
      <c r="Q2108" s="116">
        <v>2385.5</v>
      </c>
      <c r="R2108">
        <v>2662358</v>
      </c>
    </row>
    <row r="2109" spans="1:18" x14ac:dyDescent="0.25">
      <c r="A2109" s="170">
        <v>45111</v>
      </c>
      <c r="B2109" s="116">
        <v>2340.3332609639601</v>
      </c>
      <c r="C2109" s="116">
        <v>2314.8358439120302</v>
      </c>
      <c r="D2109" s="116">
        <v>2301.3600227325001</v>
      </c>
      <c r="E2109" s="116">
        <v>2324.82152435442</v>
      </c>
      <c r="F2109" s="116">
        <v>2387.6999999999998</v>
      </c>
      <c r="G2109">
        <v>100983</v>
      </c>
      <c r="H2109" s="116"/>
      <c r="I2109" s="116"/>
      <c r="L2109" s="170">
        <v>45111</v>
      </c>
      <c r="M2109" s="116">
        <v>2314.8394787031102</v>
      </c>
      <c r="N2109" s="116">
        <v>2340.3369357914798</v>
      </c>
      <c r="O2109" s="116">
        <v>2300.6365225683398</v>
      </c>
      <c r="P2109" s="116">
        <v>2323.85568976478</v>
      </c>
      <c r="Q2109" s="116">
        <v>2387.6999999999998</v>
      </c>
      <c r="R2109">
        <v>2308684</v>
      </c>
    </row>
    <row r="2110" spans="1:18" x14ac:dyDescent="0.25">
      <c r="A2110" s="170">
        <v>45112</v>
      </c>
      <c r="B2110" s="116">
        <v>2338.3942938877699</v>
      </c>
      <c r="C2110" s="116">
        <v>2325.7425337156101</v>
      </c>
      <c r="D2110" s="116">
        <v>2301.3600227325001</v>
      </c>
      <c r="E2110" s="116">
        <v>2314.8358439120302</v>
      </c>
      <c r="F2110" s="116">
        <v>2398.9499999999998</v>
      </c>
      <c r="G2110">
        <v>162243</v>
      </c>
      <c r="H2110" s="116"/>
      <c r="I2110" s="116"/>
      <c r="L2110" s="170">
        <v>45112</v>
      </c>
      <c r="M2110" s="116">
        <v>2325.9400826446299</v>
      </c>
      <c r="N2110" s="116">
        <v>2338.4464399237099</v>
      </c>
      <c r="O2110" s="116">
        <v>2301.5575333757201</v>
      </c>
      <c r="P2110" s="116">
        <v>2318.03877940242</v>
      </c>
      <c r="Q2110" s="116">
        <v>2399.15</v>
      </c>
      <c r="R2110">
        <v>2198481</v>
      </c>
    </row>
    <row r="2111" spans="1:18" x14ac:dyDescent="0.25">
      <c r="A2111" s="170">
        <v>45113</v>
      </c>
      <c r="B2111" s="116">
        <v>2353.90603049731</v>
      </c>
      <c r="C2111" s="116">
        <v>2330.0567354601399</v>
      </c>
      <c r="D2111" s="116">
        <v>2317.1141302265601</v>
      </c>
      <c r="E2111" s="116">
        <v>2325.7425337156101</v>
      </c>
      <c r="F2111" s="116">
        <v>2403.4</v>
      </c>
      <c r="G2111">
        <v>99082</v>
      </c>
      <c r="H2111" s="116"/>
      <c r="I2111" s="116"/>
      <c r="L2111" s="170">
        <v>45113</v>
      </c>
      <c r="M2111" s="116">
        <v>2329.57565162111</v>
      </c>
      <c r="N2111" s="116">
        <v>2353.5219326128399</v>
      </c>
      <c r="O2111" s="116">
        <v>2317.0692943420199</v>
      </c>
      <c r="P2111" s="116">
        <v>2325.9400826446299</v>
      </c>
      <c r="Q2111" s="116">
        <v>2402.9</v>
      </c>
      <c r="R2111">
        <v>2476366</v>
      </c>
    </row>
    <row r="2112" spans="1:18" x14ac:dyDescent="0.25">
      <c r="A2112" s="170">
        <v>45114</v>
      </c>
      <c r="B2112" s="116">
        <v>2336.40685263467</v>
      </c>
      <c r="C2112" s="116">
        <v>2306.4013371306</v>
      </c>
      <c r="D2112" s="116">
        <v>2295.68854403464</v>
      </c>
      <c r="E2112" s="116">
        <v>2320.94359020204</v>
      </c>
      <c r="F2112" s="116">
        <v>2379</v>
      </c>
      <c r="G2112">
        <v>156433</v>
      </c>
      <c r="H2112" s="116"/>
      <c r="I2112" s="116"/>
      <c r="L2112" s="170">
        <v>45114</v>
      </c>
      <c r="M2112" s="116">
        <v>2306.9866497139201</v>
      </c>
      <c r="N2112" s="116">
        <v>2336.4105212968798</v>
      </c>
      <c r="O2112" s="116">
        <v>2295.8375715193902</v>
      </c>
      <c r="P2112" s="116">
        <v>2321.9167196439898</v>
      </c>
      <c r="Q2112" s="116">
        <v>2379.6</v>
      </c>
      <c r="R2112">
        <v>1823645</v>
      </c>
    </row>
    <row r="2113" spans="1:18" x14ac:dyDescent="0.25">
      <c r="A2113" s="170">
        <v>45117</v>
      </c>
      <c r="B2113" s="116">
        <v>2386.7715224387598</v>
      </c>
      <c r="C2113" s="116">
        <v>2336.6007493422899</v>
      </c>
      <c r="D2113" s="116">
        <v>2283.1337322162899</v>
      </c>
      <c r="E2113" s="116">
        <v>2315.1266889734602</v>
      </c>
      <c r="F2113" s="116">
        <v>2410.15</v>
      </c>
      <c r="G2113">
        <v>155009</v>
      </c>
      <c r="H2113" s="116"/>
      <c r="I2113" s="116"/>
      <c r="L2113" s="170">
        <v>45117</v>
      </c>
      <c r="M2113" s="116">
        <v>2336.7013668149998</v>
      </c>
      <c r="N2113" s="116">
        <v>2387.5508582326802</v>
      </c>
      <c r="O2113" s="116">
        <v>2283.1373172282301</v>
      </c>
      <c r="P2113" s="116">
        <v>2319.7838525111301</v>
      </c>
      <c r="Q2113" s="116">
        <v>2410.25</v>
      </c>
      <c r="R2113">
        <v>3771285</v>
      </c>
    </row>
    <row r="2114" spans="1:18" x14ac:dyDescent="0.25">
      <c r="A2114" s="170">
        <v>45118</v>
      </c>
      <c r="B2114" s="116">
        <v>2369.9025088758899</v>
      </c>
      <c r="C2114" s="116">
        <v>2347.8952325611099</v>
      </c>
      <c r="D2114" s="116">
        <v>2315.4175340348902</v>
      </c>
      <c r="E2114" s="116">
        <v>2346.1501621925399</v>
      </c>
      <c r="F2114" s="116">
        <v>2421.8000000000002</v>
      </c>
      <c r="G2114">
        <v>94403</v>
      </c>
      <c r="H2114" s="116"/>
      <c r="I2114" s="116"/>
      <c r="L2114" s="170">
        <v>45118</v>
      </c>
      <c r="M2114" s="116">
        <v>2348.96535282899</v>
      </c>
      <c r="N2114" s="116">
        <v>2370.34249841068</v>
      </c>
      <c r="O2114" s="116">
        <v>2315.1303242212298</v>
      </c>
      <c r="P2114" s="116">
        <v>2349.7894151303199</v>
      </c>
      <c r="Q2114" s="116">
        <v>2422.9</v>
      </c>
      <c r="R2114">
        <v>2247776</v>
      </c>
    </row>
    <row r="2115" spans="1:18" x14ac:dyDescent="0.25">
      <c r="A2115" s="170">
        <v>45119</v>
      </c>
      <c r="B2115" s="116">
        <v>2357.78396464969</v>
      </c>
      <c r="C2115" s="116">
        <v>2315.9507499808401</v>
      </c>
      <c r="D2115" s="116">
        <v>2308.3403042067898</v>
      </c>
      <c r="E2115" s="116">
        <v>2352.0155375980198</v>
      </c>
      <c r="F2115" s="116">
        <v>2388.85</v>
      </c>
      <c r="G2115">
        <v>75466</v>
      </c>
      <c r="H2115" s="116"/>
      <c r="I2115" s="116"/>
      <c r="L2115" s="170">
        <v>45119</v>
      </c>
      <c r="M2115" s="116">
        <v>2315.0333757151898</v>
      </c>
      <c r="N2115" s="116">
        <v>2357.7876668785798</v>
      </c>
      <c r="O2115" s="116">
        <v>2307.8107120152599</v>
      </c>
      <c r="P2115" s="116">
        <v>2355.7517482517501</v>
      </c>
      <c r="Q2115" s="116">
        <v>2387.9</v>
      </c>
      <c r="R2115">
        <v>1445282</v>
      </c>
    </row>
    <row r="2116" spans="1:18" x14ac:dyDescent="0.25">
      <c r="A2116" s="170">
        <v>45120</v>
      </c>
      <c r="B2116" s="116">
        <v>2332.5773926591901</v>
      </c>
      <c r="C2116" s="116">
        <v>2290.5502812827299</v>
      </c>
      <c r="D2116" s="116">
        <v>2284.0547415774799</v>
      </c>
      <c r="E2116" s="116">
        <v>2317.1141302265601</v>
      </c>
      <c r="F2116" s="116">
        <v>2362.65</v>
      </c>
      <c r="G2116">
        <v>187964</v>
      </c>
      <c r="H2116" s="116"/>
      <c r="I2116" s="116"/>
      <c r="L2116" s="170">
        <v>45120</v>
      </c>
      <c r="M2116" s="116">
        <v>2289.97218690401</v>
      </c>
      <c r="N2116" s="116">
        <v>2332.2902097902102</v>
      </c>
      <c r="O2116" s="116">
        <v>2283.6705340114399</v>
      </c>
      <c r="P2116" s="116">
        <v>2323.85568976478</v>
      </c>
      <c r="Q2116" s="116">
        <v>2362.0500000000002</v>
      </c>
      <c r="R2116">
        <v>1247741</v>
      </c>
    </row>
    <row r="2117" spans="1:18" x14ac:dyDescent="0.25">
      <c r="A2117" s="170">
        <v>45121</v>
      </c>
      <c r="B2117" s="116">
        <v>2311.73349659013</v>
      </c>
      <c r="C2117" s="116">
        <v>2304.31694752369</v>
      </c>
      <c r="D2117" s="116">
        <v>2268.5914791448499</v>
      </c>
      <c r="E2117" s="116">
        <v>2305.9165953615502</v>
      </c>
      <c r="F2117" s="116">
        <v>2376.85</v>
      </c>
      <c r="G2117">
        <v>150909</v>
      </c>
      <c r="H2117" s="116"/>
      <c r="I2117" s="116"/>
      <c r="L2117" s="170">
        <v>45121</v>
      </c>
      <c r="M2117" s="116">
        <v>2303.5934520025398</v>
      </c>
      <c r="N2117" s="116">
        <v>2312.22186904005</v>
      </c>
      <c r="O2117" s="116">
        <v>2268.59504132231</v>
      </c>
      <c r="P2117" s="116">
        <v>2302.5270184361102</v>
      </c>
      <c r="Q2117" s="116">
        <v>2376.1</v>
      </c>
      <c r="R2117">
        <v>1353535</v>
      </c>
    </row>
    <row r="2118" spans="1:18" x14ac:dyDescent="0.25">
      <c r="A2118" s="170">
        <v>45124</v>
      </c>
      <c r="B2118" s="116">
        <v>2383.96002017828</v>
      </c>
      <c r="C2118" s="116">
        <v>2334.8072047968099</v>
      </c>
      <c r="D2118" s="116">
        <v>2317.1141302265601</v>
      </c>
      <c r="E2118" s="116">
        <v>2317.1141302265601</v>
      </c>
      <c r="F2118" s="116">
        <v>2408.3000000000002</v>
      </c>
      <c r="G2118">
        <v>349216</v>
      </c>
      <c r="H2118" s="116"/>
      <c r="I2118" s="116"/>
      <c r="L2118" s="170">
        <v>45124</v>
      </c>
      <c r="M2118" s="116">
        <v>2335.0532422123301</v>
      </c>
      <c r="N2118" s="116">
        <v>2384.44850603942</v>
      </c>
      <c r="O2118" s="116">
        <v>2318.32962492053</v>
      </c>
      <c r="P2118" s="116">
        <v>2326.6671964399202</v>
      </c>
      <c r="Q2118" s="116">
        <v>2408.5500000000002</v>
      </c>
      <c r="R2118">
        <v>3090373</v>
      </c>
    </row>
    <row r="2119" spans="1:18" x14ac:dyDescent="0.25">
      <c r="A2119" s="170">
        <v>45125</v>
      </c>
      <c r="B2119" s="116">
        <v>2433.4036806211798</v>
      </c>
      <c r="C2119" s="116">
        <v>2342.4661247477702</v>
      </c>
      <c r="D2119" s="116">
        <v>2331.4140124134801</v>
      </c>
      <c r="E2119" s="116">
        <v>2338.3942938877699</v>
      </c>
      <c r="F2119" s="116">
        <v>2416.1999999999998</v>
      </c>
      <c r="G2119">
        <v>335742</v>
      </c>
      <c r="H2119" s="116"/>
      <c r="I2119" s="116"/>
      <c r="L2119" s="170">
        <v>45125</v>
      </c>
      <c r="M2119" s="116">
        <v>2343.1484424666201</v>
      </c>
      <c r="N2119" s="116">
        <v>2433.40750158932</v>
      </c>
      <c r="O2119" s="116">
        <v>2331.8054672600101</v>
      </c>
      <c r="P2119" s="116">
        <v>2341.3064208518799</v>
      </c>
      <c r="Q2119" s="116">
        <v>2416.9</v>
      </c>
      <c r="R2119">
        <v>5978272</v>
      </c>
    </row>
    <row r="2120" spans="1:18" x14ac:dyDescent="0.25">
      <c r="A2120" s="170">
        <v>45126</v>
      </c>
      <c r="B2120" s="116">
        <v>2367.3333774999401</v>
      </c>
      <c r="C2120" s="116">
        <v>2349.73725128349</v>
      </c>
      <c r="D2120" s="116">
        <v>2342.95086651682</v>
      </c>
      <c r="E2120" s="116">
        <v>2357.78396464969</v>
      </c>
      <c r="F2120" s="116">
        <v>2423.6999999999998</v>
      </c>
      <c r="G2120">
        <v>79392</v>
      </c>
      <c r="H2120" s="116"/>
      <c r="I2120" s="116"/>
      <c r="L2120" s="170">
        <v>45126</v>
      </c>
      <c r="M2120" s="116">
        <v>2349.7894151303199</v>
      </c>
      <c r="N2120" s="116">
        <v>2368.4520025429101</v>
      </c>
      <c r="O2120" s="116">
        <v>2343.1484424666201</v>
      </c>
      <c r="P2120" s="116">
        <v>2354.5398919262602</v>
      </c>
      <c r="Q2120" s="116">
        <v>2423.75</v>
      </c>
      <c r="R2120">
        <v>1637260</v>
      </c>
    </row>
    <row r="2121" spans="1:18" x14ac:dyDescent="0.25">
      <c r="A2121" s="170">
        <v>45127</v>
      </c>
      <c r="B2121" s="116">
        <v>2358.7534481877901</v>
      </c>
      <c r="C2121" s="116">
        <v>2345.7138946003902</v>
      </c>
      <c r="D2121" s="116">
        <v>2326.7604914306098</v>
      </c>
      <c r="E2121" s="116">
        <v>2349.8341996373001</v>
      </c>
      <c r="F2121" s="116">
        <v>2419.5500000000002</v>
      </c>
      <c r="G2121">
        <v>78449</v>
      </c>
      <c r="H2121" s="116"/>
      <c r="I2121" s="116"/>
      <c r="L2121" s="170">
        <v>45127</v>
      </c>
      <c r="M2121" s="116">
        <v>2345.91147488875</v>
      </c>
      <c r="N2121" s="116">
        <v>2359.6296884933199</v>
      </c>
      <c r="O2121" s="116">
        <v>2326.7641449459602</v>
      </c>
      <c r="P2121" s="116">
        <v>2354.8307374443698</v>
      </c>
      <c r="Q2121" s="116">
        <v>2419.75</v>
      </c>
      <c r="R2121">
        <v>1564275</v>
      </c>
    </row>
    <row r="2122" spans="1:18" x14ac:dyDescent="0.25">
      <c r="A2122" s="170">
        <v>45128</v>
      </c>
      <c r="B2122" s="116">
        <v>2382.4088465173299</v>
      </c>
      <c r="C2122" s="116">
        <v>2342.90239233992</v>
      </c>
      <c r="D2122" s="116">
        <v>2326.7604914306098</v>
      </c>
      <c r="E2122" s="116">
        <v>2332.6258668361002</v>
      </c>
      <c r="F2122" s="116">
        <v>2416.65</v>
      </c>
      <c r="G2122">
        <v>105905</v>
      </c>
      <c r="H2122" s="116"/>
      <c r="I2122" s="116"/>
      <c r="L2122" s="170">
        <v>45128</v>
      </c>
      <c r="M2122" s="116">
        <v>2342.56675143039</v>
      </c>
      <c r="N2122" s="116">
        <v>2382.8488556897601</v>
      </c>
      <c r="O2122" s="116">
        <v>2322.2075651621099</v>
      </c>
      <c r="P2122" s="116">
        <v>2336.4589955499</v>
      </c>
      <c r="Q2122" s="116">
        <v>2416.3000000000002</v>
      </c>
      <c r="R2122">
        <v>2280563</v>
      </c>
    </row>
    <row r="2123" spans="1:18" x14ac:dyDescent="0.25">
      <c r="A2123" s="170">
        <v>45131</v>
      </c>
      <c r="B2123" s="116">
        <v>2364.5703494163599</v>
      </c>
      <c r="C2123" s="116">
        <v>2344.5505143546802</v>
      </c>
      <c r="D2123" s="116">
        <v>2338.44276806467</v>
      </c>
      <c r="E2123" s="116">
        <v>2348.1376034456298</v>
      </c>
      <c r="F2123" s="116">
        <v>2418.35</v>
      </c>
      <c r="G2123">
        <v>126966</v>
      </c>
      <c r="H2123" s="116"/>
      <c r="I2123" s="116"/>
      <c r="L2123" s="170">
        <v>45131</v>
      </c>
      <c r="M2123" s="116">
        <v>2344.4087730451402</v>
      </c>
      <c r="N2123" s="116">
        <v>2364.9618563254899</v>
      </c>
      <c r="O2123" s="116">
        <v>2338.4464399237099</v>
      </c>
      <c r="P2123" s="116">
        <v>2355.8486967577901</v>
      </c>
      <c r="Q2123" s="116">
        <v>2418.1999999999998</v>
      </c>
      <c r="R2123">
        <v>1113193</v>
      </c>
    </row>
    <row r="2124" spans="1:18" x14ac:dyDescent="0.25">
      <c r="A2124" s="170">
        <v>45132</v>
      </c>
      <c r="B2124" s="116">
        <v>2403.0103717018701</v>
      </c>
      <c r="C2124" s="116">
        <v>2390.1162406451899</v>
      </c>
      <c r="D2124" s="116">
        <v>2343.24171157825</v>
      </c>
      <c r="E2124" s="116">
        <v>2346.19863636944</v>
      </c>
      <c r="F2124" s="116">
        <v>2465.35</v>
      </c>
      <c r="G2124">
        <v>261478</v>
      </c>
      <c r="H2124" s="116"/>
      <c r="I2124" s="116"/>
      <c r="L2124" s="170">
        <v>45132</v>
      </c>
      <c r="M2124" s="116">
        <v>2391.3803242212298</v>
      </c>
      <c r="N2124" s="116">
        <v>2403.3534647171</v>
      </c>
      <c r="O2124" s="116">
        <v>2342.27590591227</v>
      </c>
      <c r="P2124" s="116">
        <v>2353.9097266369999</v>
      </c>
      <c r="Q2124" s="116">
        <v>2466.65</v>
      </c>
      <c r="R2124">
        <v>3017555</v>
      </c>
    </row>
    <row r="2125" spans="1:18" x14ac:dyDescent="0.25">
      <c r="A2125" s="170">
        <v>45133</v>
      </c>
      <c r="B2125" s="116">
        <v>2429.2833755842798</v>
      </c>
      <c r="C2125" s="116">
        <v>2393.75180391305</v>
      </c>
      <c r="D2125" s="116">
        <v>2371.4052083599399</v>
      </c>
      <c r="E2125" s="116">
        <v>2392.7823203749599</v>
      </c>
      <c r="F2125" s="116">
        <v>2469.1</v>
      </c>
      <c r="G2125">
        <v>185563</v>
      </c>
      <c r="H2125" s="116"/>
      <c r="I2125" s="116"/>
      <c r="L2125" s="170">
        <v>45133</v>
      </c>
      <c r="M2125" s="116">
        <v>2395.3552129688501</v>
      </c>
      <c r="N2125" s="116">
        <v>2429.5295613477401</v>
      </c>
      <c r="O2125" s="116">
        <v>2371.3604577240899</v>
      </c>
      <c r="P2125" s="116">
        <v>2397.0033375715202</v>
      </c>
      <c r="Q2125" s="116">
        <v>2470.75</v>
      </c>
      <c r="R2125">
        <v>4021773</v>
      </c>
    </row>
    <row r="2126" spans="1:18" x14ac:dyDescent="0.25">
      <c r="A2126" s="170">
        <v>45134</v>
      </c>
      <c r="B2126" s="116">
        <v>2410.1360757068801</v>
      </c>
      <c r="C2126" s="116">
        <v>2355.11788491993</v>
      </c>
      <c r="D2126" s="116">
        <v>2341.7390120942</v>
      </c>
      <c r="E2126" s="116">
        <v>2391.7158884830501</v>
      </c>
      <c r="F2126" s="116">
        <v>2429.25</v>
      </c>
      <c r="G2126">
        <v>137670</v>
      </c>
      <c r="H2126" s="116"/>
      <c r="I2126" s="116"/>
      <c r="L2126" s="170">
        <v>45134</v>
      </c>
      <c r="M2126" s="116">
        <v>2354.29752066116</v>
      </c>
      <c r="N2126" s="116">
        <v>2409.17037507947</v>
      </c>
      <c r="O2126" s="116">
        <v>2341.3064208518799</v>
      </c>
      <c r="P2126" s="116">
        <v>2395.3552129688501</v>
      </c>
      <c r="Q2126" s="116">
        <v>2428.4</v>
      </c>
      <c r="R2126">
        <v>2243944</v>
      </c>
    </row>
    <row r="2127" spans="1:18" x14ac:dyDescent="0.25">
      <c r="A2127" s="170">
        <v>45135</v>
      </c>
      <c r="B2127" s="116">
        <v>2404.3191744782998</v>
      </c>
      <c r="C2127" s="116">
        <v>2386.91694496948</v>
      </c>
      <c r="D2127" s="116">
        <v>2348.5253968608699</v>
      </c>
      <c r="E2127" s="116">
        <v>2365.78220383898</v>
      </c>
      <c r="F2127" s="116">
        <v>2462.0500000000002</v>
      </c>
      <c r="G2127">
        <v>247102</v>
      </c>
      <c r="H2127" s="116"/>
      <c r="I2127" s="116"/>
      <c r="L2127" s="170">
        <v>45135</v>
      </c>
      <c r="M2127" s="116">
        <v>2388.0356007628702</v>
      </c>
      <c r="N2127" s="116">
        <v>2405.92260012715</v>
      </c>
      <c r="O2127" s="116">
        <v>2356.9151303242202</v>
      </c>
      <c r="P2127" s="116">
        <v>2362.6350921805501</v>
      </c>
      <c r="Q2127" s="116">
        <v>2463.1999999999998</v>
      </c>
      <c r="R2127">
        <v>2339800</v>
      </c>
    </row>
    <row r="2128" spans="1:18" x14ac:dyDescent="0.25">
      <c r="A2128" s="170">
        <v>45138</v>
      </c>
      <c r="B2128" s="116">
        <v>2441.1595489259498</v>
      </c>
      <c r="C2128" s="116">
        <v>2415.7590802278401</v>
      </c>
      <c r="D2128" s="116">
        <v>2391.2796208909099</v>
      </c>
      <c r="E2128" s="116">
        <v>2394.62433909734</v>
      </c>
      <c r="F2128" s="116">
        <v>2491.8000000000002</v>
      </c>
      <c r="G2128">
        <v>149330</v>
      </c>
      <c r="H2128" s="116"/>
      <c r="I2128" s="116"/>
      <c r="L2128" s="170">
        <v>45138</v>
      </c>
      <c r="M2128" s="116">
        <v>2416.1506675143</v>
      </c>
      <c r="N2128" s="116">
        <v>2441.1633820724701</v>
      </c>
      <c r="O2128" s="116">
        <v>2391.71964399237</v>
      </c>
      <c r="P2128" s="116">
        <v>2401.4144945963099</v>
      </c>
      <c r="Q2128" s="116">
        <v>2492.1999999999998</v>
      </c>
      <c r="R2128">
        <v>3359974</v>
      </c>
    </row>
    <row r="2129" spans="1:18" x14ac:dyDescent="0.25">
      <c r="A2129" s="170">
        <v>45139</v>
      </c>
      <c r="B2129" s="116">
        <v>2439.22058184976</v>
      </c>
      <c r="C2129" s="116">
        <v>2405.2886580163999</v>
      </c>
      <c r="D2129" s="116">
        <v>2381.0515695640001</v>
      </c>
      <c r="E2129" s="116">
        <v>2423.7088452402199</v>
      </c>
      <c r="F2129" s="116">
        <v>2481</v>
      </c>
      <c r="G2129">
        <v>100613</v>
      </c>
      <c r="H2129" s="116"/>
      <c r="I2129" s="116"/>
      <c r="L2129" s="170">
        <v>45139</v>
      </c>
      <c r="M2129" s="116">
        <v>2405.3893833439301</v>
      </c>
      <c r="N2129" s="116">
        <v>2437.2854418308998</v>
      </c>
      <c r="O2129" s="116">
        <v>2380.3281945327399</v>
      </c>
      <c r="P2129" s="116">
        <v>2428.4146535282898</v>
      </c>
      <c r="Q2129" s="116">
        <v>2481.1</v>
      </c>
      <c r="R2129">
        <v>1575727</v>
      </c>
    </row>
    <row r="2130" spans="1:18" x14ac:dyDescent="0.25">
      <c r="A2130" s="170">
        <v>45140</v>
      </c>
      <c r="B2130" s="116">
        <v>2437.2816147735698</v>
      </c>
      <c r="C2130" s="116">
        <v>2397.8236347730599</v>
      </c>
      <c r="D2130" s="116">
        <v>2376.3980485811298</v>
      </c>
      <c r="E2130" s="116">
        <v>2405.6764514316401</v>
      </c>
      <c r="F2130" s="116">
        <v>2473.3000000000002</v>
      </c>
      <c r="G2130">
        <v>133560</v>
      </c>
      <c r="H2130" s="116"/>
      <c r="I2130" s="116"/>
      <c r="L2130" s="170">
        <v>45140</v>
      </c>
      <c r="M2130" s="116">
        <v>2398.0697711379498</v>
      </c>
      <c r="N2130" s="116">
        <v>2437.2854418308998</v>
      </c>
      <c r="O2130" s="116">
        <v>2376.2078830260598</v>
      </c>
      <c r="P2130" s="116">
        <v>2416.9262555626201</v>
      </c>
      <c r="Q2130" s="116">
        <v>2473.5500000000002</v>
      </c>
      <c r="R2130">
        <v>2506971</v>
      </c>
    </row>
    <row r="2131" spans="1:18" x14ac:dyDescent="0.25">
      <c r="A2131" s="170">
        <v>45141</v>
      </c>
      <c r="B2131" s="116">
        <v>2472.18302214503</v>
      </c>
      <c r="C2131" s="116">
        <v>2454.63537010549</v>
      </c>
      <c r="D2131" s="116">
        <v>2386.33525484662</v>
      </c>
      <c r="E2131" s="116">
        <v>2398.4537990728199</v>
      </c>
      <c r="F2131" s="116">
        <v>2531.9</v>
      </c>
      <c r="G2131">
        <v>184016</v>
      </c>
      <c r="H2131" s="116"/>
      <c r="I2131" s="116"/>
      <c r="L2131" s="170">
        <v>45141</v>
      </c>
      <c r="M2131" s="116">
        <v>2455.3178639542298</v>
      </c>
      <c r="N2131" s="116">
        <v>2472.1869040050901</v>
      </c>
      <c r="O2131" s="116">
        <v>2386.8722186904001</v>
      </c>
      <c r="P2131" s="116">
        <v>2394.5311506675098</v>
      </c>
      <c r="Q2131" s="116">
        <v>2532.6</v>
      </c>
      <c r="R2131">
        <v>4720470</v>
      </c>
    </row>
    <row r="2132" spans="1:18" x14ac:dyDescent="0.25">
      <c r="A2132" s="170">
        <v>45142</v>
      </c>
      <c r="B2132" s="116">
        <v>2480.2782096881301</v>
      </c>
      <c r="C2132" s="116">
        <v>2462.8275060023998</v>
      </c>
      <c r="D2132" s="116">
        <v>2426.6172958545098</v>
      </c>
      <c r="E2132" s="116">
        <v>2467.3356044545499</v>
      </c>
      <c r="F2132" s="116">
        <v>2540.35</v>
      </c>
      <c r="G2132">
        <v>132072</v>
      </c>
      <c r="H2132" s="116"/>
      <c r="I2132" s="116"/>
      <c r="L2132" s="170">
        <v>45142</v>
      </c>
      <c r="M2132" s="116">
        <v>2464.23712650985</v>
      </c>
      <c r="N2132" s="116">
        <v>2479.8458359821998</v>
      </c>
      <c r="O2132" s="116">
        <v>2425.6516211061698</v>
      </c>
      <c r="P2132" s="116">
        <v>2467.6303242212298</v>
      </c>
      <c r="Q2132" s="116">
        <v>2541.8000000000002</v>
      </c>
      <c r="R2132">
        <v>3294056</v>
      </c>
    </row>
    <row r="2133" spans="1:18" x14ac:dyDescent="0.25">
      <c r="A2133" s="170">
        <v>45145</v>
      </c>
      <c r="B2133" s="116">
        <v>2490.60320936885</v>
      </c>
      <c r="C2133" s="116">
        <v>2472.8616606217001</v>
      </c>
      <c r="D2133" s="116">
        <v>2440.7717555107101</v>
      </c>
      <c r="E2133" s="116">
        <v>2463.4576703021598</v>
      </c>
      <c r="F2133" s="116">
        <v>2550.6999999999998</v>
      </c>
      <c r="G2133">
        <v>87241</v>
      </c>
      <c r="H2133" s="116"/>
      <c r="I2133" s="116"/>
      <c r="L2133" s="170">
        <v>45145</v>
      </c>
      <c r="M2133" s="116">
        <v>2472.6716465352802</v>
      </c>
      <c r="N2133" s="116">
        <v>2490.6071201525701</v>
      </c>
      <c r="O2133" s="116">
        <v>2439.61220597584</v>
      </c>
      <c r="P2133" s="116">
        <v>2473.10791481246</v>
      </c>
      <c r="Q2133" s="116">
        <v>2550.5</v>
      </c>
      <c r="R2133">
        <v>4684333</v>
      </c>
    </row>
    <row r="2134" spans="1:18" x14ac:dyDescent="0.25">
      <c r="A2134" s="170">
        <v>45146</v>
      </c>
      <c r="B2134" s="116">
        <v>2482.3625992950401</v>
      </c>
      <c r="C2134" s="116">
        <v>2399.6171793185399</v>
      </c>
      <c r="D2134" s="116">
        <v>2386.86847079257</v>
      </c>
      <c r="E2134" s="116">
        <v>2477.1758623662199</v>
      </c>
      <c r="F2134" s="116">
        <v>2475.15</v>
      </c>
      <c r="G2134">
        <v>303522</v>
      </c>
      <c r="H2134" s="116"/>
      <c r="I2134" s="116"/>
      <c r="L2134" s="170">
        <v>45146</v>
      </c>
      <c r="M2134" s="116">
        <v>2399.0392561983499</v>
      </c>
      <c r="N2134" s="116">
        <v>2485.0325810553099</v>
      </c>
      <c r="O2134" s="116">
        <v>2386.1935791481201</v>
      </c>
      <c r="P2134" s="116">
        <v>2485.0325810553099</v>
      </c>
      <c r="Q2134" s="116">
        <v>2474.5500000000002</v>
      </c>
      <c r="R2134">
        <v>6127920</v>
      </c>
    </row>
    <row r="2135" spans="1:18" x14ac:dyDescent="0.25">
      <c r="A2135" s="170">
        <v>45147</v>
      </c>
      <c r="B2135" s="116">
        <v>2439.22058184976</v>
      </c>
      <c r="C2135" s="116">
        <v>2430.1559107685598</v>
      </c>
      <c r="D2135" s="116">
        <v>2396.5633061735298</v>
      </c>
      <c r="E2135" s="116">
        <v>2414.0140098592601</v>
      </c>
      <c r="F2135" s="116">
        <v>2506.65</v>
      </c>
      <c r="G2135">
        <v>185255</v>
      </c>
      <c r="H2135" s="116"/>
      <c r="I2135" s="116"/>
      <c r="L2135" s="170">
        <v>45147</v>
      </c>
      <c r="M2135" s="116">
        <v>2430.5959949141802</v>
      </c>
      <c r="N2135" s="116">
        <v>2440.09694850604</v>
      </c>
      <c r="O2135" s="116">
        <v>2396.5670692943399</v>
      </c>
      <c r="P2135" s="116">
        <v>2412.41815003179</v>
      </c>
      <c r="Q2135" s="116">
        <v>2507.1</v>
      </c>
      <c r="R2135">
        <v>5781400</v>
      </c>
    </row>
    <row r="2136" spans="1:18" x14ac:dyDescent="0.25">
      <c r="A2136" s="170">
        <v>45148</v>
      </c>
      <c r="B2136" s="116">
        <v>2499.1831386809999</v>
      </c>
      <c r="C2136" s="116">
        <v>2474.2189375750299</v>
      </c>
      <c r="D2136" s="116">
        <v>2431.0284459528498</v>
      </c>
      <c r="E2136" s="116">
        <v>2431.0284459528498</v>
      </c>
      <c r="F2136" s="116">
        <v>2552.1</v>
      </c>
      <c r="G2136">
        <v>217830</v>
      </c>
      <c r="H2136" s="116"/>
      <c r="I2136" s="116"/>
      <c r="L2136" s="170">
        <v>45148</v>
      </c>
      <c r="M2136" s="116">
        <v>2474.5136681500298</v>
      </c>
      <c r="N2136" s="116">
        <v>2498.8477431659198</v>
      </c>
      <c r="O2136" s="116">
        <v>2433.40750158932</v>
      </c>
      <c r="P2136" s="116">
        <v>2433.40750158932</v>
      </c>
      <c r="Q2136" s="116">
        <v>2552.4</v>
      </c>
      <c r="R2136">
        <v>8140756</v>
      </c>
    </row>
    <row r="2137" spans="1:18" x14ac:dyDescent="0.25">
      <c r="A2137" s="170">
        <v>45149</v>
      </c>
      <c r="B2137" s="116">
        <v>2490.4577868381398</v>
      </c>
      <c r="C2137" s="116">
        <v>2460.9854872800202</v>
      </c>
      <c r="D2137" s="116">
        <v>2440.5778588030998</v>
      </c>
      <c r="E2137" s="116">
        <v>2478.9209327347999</v>
      </c>
      <c r="F2137" s="116">
        <v>2538.4499999999998</v>
      </c>
      <c r="G2137">
        <v>140349</v>
      </c>
      <c r="H2137" s="116"/>
      <c r="I2137" s="116"/>
      <c r="L2137" s="170">
        <v>45149</v>
      </c>
      <c r="M2137" s="116">
        <v>2462.0073108709498</v>
      </c>
      <c r="N2137" s="116">
        <v>2489.7830578512398</v>
      </c>
      <c r="O2137" s="116">
        <v>2441.3572790845501</v>
      </c>
      <c r="P2137" s="116">
        <v>2472.2353782581099</v>
      </c>
      <c r="Q2137" s="116">
        <v>2539.5</v>
      </c>
      <c r="R2137">
        <v>7157372</v>
      </c>
    </row>
    <row r="2138" spans="1:18" x14ac:dyDescent="0.25">
      <c r="A2138" s="170">
        <v>45152</v>
      </c>
      <c r="B2138" s="116">
        <v>2412.0750427830699</v>
      </c>
      <c r="C2138" s="116">
        <v>2380.7607245025702</v>
      </c>
      <c r="D2138" s="116">
        <v>2327.8269233225201</v>
      </c>
      <c r="E2138" s="116">
        <v>2412.0750427830699</v>
      </c>
      <c r="F2138" s="116">
        <v>2455.6999999999998</v>
      </c>
      <c r="G2138">
        <v>291557</v>
      </c>
      <c r="H2138" s="116"/>
      <c r="I2138" s="116"/>
      <c r="L2138" s="170">
        <v>45152</v>
      </c>
      <c r="M2138" s="116">
        <v>2381.0553083280402</v>
      </c>
      <c r="N2138" s="116">
        <v>2409.1219008264502</v>
      </c>
      <c r="O2138" s="116">
        <v>2326.81261919898</v>
      </c>
      <c r="P2138" s="116">
        <v>2404.3229497775001</v>
      </c>
      <c r="Q2138" s="116">
        <v>2456</v>
      </c>
      <c r="R2138">
        <v>9786919</v>
      </c>
    </row>
    <row r="2139" spans="1:18" x14ac:dyDescent="0.25">
      <c r="A2139" s="170">
        <v>45154</v>
      </c>
      <c r="B2139" s="116">
        <v>2390.0192922913802</v>
      </c>
      <c r="C2139" s="116">
        <v>2369.4177671068401</v>
      </c>
      <c r="D2139" s="116">
        <v>2346.1501621925399</v>
      </c>
      <c r="E2139" s="116">
        <v>2375.2346683354199</v>
      </c>
      <c r="F2139" s="116">
        <v>2444</v>
      </c>
      <c r="G2139">
        <v>87276</v>
      </c>
      <c r="H2139" s="116"/>
      <c r="I2139" s="116"/>
      <c r="L2139" s="170">
        <v>45154</v>
      </c>
      <c r="M2139" s="116">
        <v>2370.4879211697398</v>
      </c>
      <c r="N2139" s="116">
        <v>2389.7806738715799</v>
      </c>
      <c r="O2139" s="116">
        <v>2346.1538461538498</v>
      </c>
      <c r="P2139" s="116">
        <v>2375.2383979656702</v>
      </c>
      <c r="Q2139" s="116">
        <v>2445.1</v>
      </c>
      <c r="R2139">
        <v>7084828</v>
      </c>
    </row>
    <row r="2140" spans="1:18" x14ac:dyDescent="0.25">
      <c r="A2140" s="170">
        <v>45155</v>
      </c>
      <c r="B2140" s="116">
        <v>2409.16659216878</v>
      </c>
      <c r="C2140" s="116">
        <v>2403.8829068861601</v>
      </c>
      <c r="D2140" s="116">
        <v>2369.4662412837502</v>
      </c>
      <c r="E2140" s="116">
        <v>2369.4662412837502</v>
      </c>
      <c r="F2140" s="116">
        <v>2479.5500000000002</v>
      </c>
      <c r="G2140">
        <v>89239</v>
      </c>
      <c r="H2140" s="116"/>
      <c r="I2140" s="116"/>
      <c r="L2140" s="170">
        <v>45155</v>
      </c>
      <c r="M2140" s="116">
        <v>2404.03210425938</v>
      </c>
      <c r="N2140" s="116">
        <v>2411.3032422123301</v>
      </c>
      <c r="O2140" s="116">
        <v>2367.5309917355398</v>
      </c>
      <c r="P2140" s="116">
        <v>2380.0373490146198</v>
      </c>
      <c r="Q2140" s="116">
        <v>2479.6999999999998</v>
      </c>
      <c r="R2140">
        <v>7769452</v>
      </c>
    </row>
    <row r="2141" spans="1:18" x14ac:dyDescent="0.25">
      <c r="A2141" s="170">
        <v>45156</v>
      </c>
      <c r="B2141" s="116">
        <v>2583.6736290260801</v>
      </c>
      <c r="C2141" s="116">
        <v>2498.4560260274302</v>
      </c>
      <c r="D2141" s="116">
        <v>2386.0928839621001</v>
      </c>
      <c r="E2141" s="116">
        <v>2409.1181179918799</v>
      </c>
      <c r="F2141" s="116">
        <v>2577.1</v>
      </c>
      <c r="G2141">
        <v>515878</v>
      </c>
      <c r="H2141" s="116"/>
      <c r="I2141" s="116"/>
      <c r="L2141" s="170">
        <v>45156</v>
      </c>
      <c r="M2141" s="116">
        <v>2498.7507946598898</v>
      </c>
      <c r="N2141" s="116">
        <v>2584.5986967577901</v>
      </c>
      <c r="O2141" s="116">
        <v>2386.1935791481201</v>
      </c>
      <c r="P2141" s="116">
        <v>2401.8992371265099</v>
      </c>
      <c r="Q2141" s="116">
        <v>2577.4</v>
      </c>
      <c r="R2141">
        <v>14679923</v>
      </c>
    </row>
    <row r="2142" spans="1:18" x14ac:dyDescent="0.25">
      <c r="A2142" s="170">
        <v>45159</v>
      </c>
      <c r="B2142" s="116">
        <v>2574.36658706036</v>
      </c>
      <c r="C2142" s="116">
        <v>2558.07926362034</v>
      </c>
      <c r="D2142" s="116">
        <v>2502.47938271053</v>
      </c>
      <c r="E2142" s="116">
        <v>2502.47938271053</v>
      </c>
      <c r="F2142" s="116">
        <v>2638.6</v>
      </c>
      <c r="G2142">
        <v>217662</v>
      </c>
      <c r="H2142" s="116"/>
      <c r="I2142" s="116"/>
      <c r="L2142" s="170">
        <v>45159</v>
      </c>
      <c r="M2142" s="116">
        <v>2559.19818817546</v>
      </c>
      <c r="N2142" s="116">
        <v>2573.98283534647</v>
      </c>
      <c r="O2142" s="116">
        <v>2501.7561983471101</v>
      </c>
      <c r="P2142" s="116">
        <v>2509.0273363000601</v>
      </c>
      <c r="Q2142" s="116">
        <v>2639.75</v>
      </c>
      <c r="R2142">
        <v>10479200</v>
      </c>
    </row>
    <row r="2143" spans="1:18" x14ac:dyDescent="0.25">
      <c r="A2143" s="170">
        <v>45160</v>
      </c>
      <c r="B2143" s="116">
        <v>2637.6253879211299</v>
      </c>
      <c r="C2143" s="116">
        <v>2615.37574072182</v>
      </c>
      <c r="D2143" s="116">
        <v>2577.5658827360699</v>
      </c>
      <c r="E2143" s="116">
        <v>2589.9752720237002</v>
      </c>
      <c r="F2143" s="116">
        <v>2697.7</v>
      </c>
      <c r="G2143">
        <v>255546</v>
      </c>
      <c r="H2143" s="116"/>
      <c r="I2143" s="116"/>
      <c r="L2143" s="170">
        <v>45160</v>
      </c>
      <c r="M2143" s="116">
        <v>2615.7191671964401</v>
      </c>
      <c r="N2143" s="116">
        <v>2637.9688493324902</v>
      </c>
      <c r="O2143" s="116">
        <v>2573.1102987921199</v>
      </c>
      <c r="P2143" s="116">
        <v>2587.4102034329298</v>
      </c>
      <c r="Q2143" s="116">
        <v>2698.05</v>
      </c>
      <c r="R2143">
        <v>10291468</v>
      </c>
    </row>
    <row r="2144" spans="1:18" x14ac:dyDescent="0.25">
      <c r="A2144" s="170">
        <v>45161</v>
      </c>
      <c r="B2144" s="116">
        <v>2639.6613033511298</v>
      </c>
      <c r="C2144" s="116">
        <v>2452.89029973692</v>
      </c>
      <c r="D2144" s="116">
        <v>2414.0624840361702</v>
      </c>
      <c r="E2144" s="116">
        <v>2633.1657636458799</v>
      </c>
      <c r="F2144" s="116">
        <v>2530.1</v>
      </c>
      <c r="G2144">
        <v>274429</v>
      </c>
      <c r="H2144" s="116"/>
      <c r="I2144" s="116"/>
      <c r="L2144" s="170">
        <v>45161</v>
      </c>
      <c r="M2144" s="116">
        <v>2453.0880483153201</v>
      </c>
      <c r="N2144" s="116">
        <v>2639.3261284170399</v>
      </c>
      <c r="O2144" s="116">
        <v>2412.90289256198</v>
      </c>
      <c r="P2144" s="116">
        <v>2636.9993642720901</v>
      </c>
      <c r="Q2144" s="116">
        <v>2530.3000000000002</v>
      </c>
      <c r="R2144">
        <v>5251316</v>
      </c>
    </row>
    <row r="2145" spans="1:18" x14ac:dyDescent="0.25">
      <c r="A2145" s="170">
        <v>45162</v>
      </c>
      <c r="B2145" s="116">
        <v>2534.0360718755601</v>
      </c>
      <c r="C2145" s="116">
        <v>2461.7610741105</v>
      </c>
      <c r="D2145" s="116">
        <v>2454.7323184593001</v>
      </c>
      <c r="E2145" s="116">
        <v>2508.9749224157699</v>
      </c>
      <c r="F2145" s="116">
        <v>2539.25</v>
      </c>
      <c r="G2145">
        <v>220925</v>
      </c>
      <c r="H2145" s="116"/>
      <c r="I2145" s="116"/>
      <c r="L2145" s="170">
        <v>45162</v>
      </c>
      <c r="M2145" s="116">
        <v>2462.0557851239701</v>
      </c>
      <c r="N2145" s="116">
        <v>2533.2644628099201</v>
      </c>
      <c r="O2145" s="116">
        <v>2453.8636363636401</v>
      </c>
      <c r="P2145" s="116">
        <v>2501.27145581691</v>
      </c>
      <c r="Q2145" s="116">
        <v>2539.5500000000002</v>
      </c>
      <c r="R2145">
        <v>4558367</v>
      </c>
    </row>
    <row r="2146" spans="1:18" x14ac:dyDescent="0.25">
      <c r="A2146" s="170">
        <v>45163</v>
      </c>
      <c r="B2146" s="116">
        <v>2471.3589611376501</v>
      </c>
      <c r="C2146" s="116">
        <v>2418.71600501903</v>
      </c>
      <c r="D2146" s="116">
        <v>2411.1540334218798</v>
      </c>
      <c r="E2146" s="116">
        <v>2465.4451115552602</v>
      </c>
      <c r="F2146" s="116">
        <v>2494.85</v>
      </c>
      <c r="G2146">
        <v>136986</v>
      </c>
      <c r="H2146" s="116"/>
      <c r="I2146" s="116"/>
      <c r="L2146" s="170">
        <v>45163</v>
      </c>
      <c r="M2146" s="116">
        <v>2419.5923394787001</v>
      </c>
      <c r="N2146" s="116">
        <v>2471.2174189446901</v>
      </c>
      <c r="O2146" s="116">
        <v>2410.13986013986</v>
      </c>
      <c r="P2146" s="116">
        <v>2471.2174189446901</v>
      </c>
      <c r="Q2146" s="116">
        <v>2495.75</v>
      </c>
      <c r="R2146">
        <v>2808721</v>
      </c>
    </row>
    <row r="2147" spans="1:18" x14ac:dyDescent="0.25">
      <c r="A2147" s="170">
        <v>45166</v>
      </c>
      <c r="B2147" s="116">
        <v>2501.26752828791</v>
      </c>
      <c r="C2147" s="116">
        <v>2396.41788364282</v>
      </c>
      <c r="D2147" s="116">
        <v>2380.7607245025702</v>
      </c>
      <c r="E2147" s="116">
        <v>2466.56001762407</v>
      </c>
      <c r="F2147" s="116">
        <v>2471.85</v>
      </c>
      <c r="G2147">
        <v>210472</v>
      </c>
      <c r="H2147" s="116"/>
      <c r="I2147" s="116"/>
      <c r="L2147" s="170">
        <v>45166</v>
      </c>
      <c r="M2147" s="116">
        <v>2397.0033375715202</v>
      </c>
      <c r="N2147" s="116">
        <v>2503.2104259377002</v>
      </c>
      <c r="O2147" s="116">
        <v>2380.7159885568999</v>
      </c>
      <c r="P2147" s="116">
        <v>2472.1869040050901</v>
      </c>
      <c r="Q2147" s="116">
        <v>2472.4499999999998</v>
      </c>
      <c r="R2147">
        <v>4457038</v>
      </c>
    </row>
    <row r="2148" spans="1:18" x14ac:dyDescent="0.25">
      <c r="A2148" s="170">
        <v>45167</v>
      </c>
      <c r="B2148" s="116">
        <v>2457.64076907359</v>
      </c>
      <c r="C2148" s="116">
        <v>2429.3318497611799</v>
      </c>
      <c r="D2148" s="116">
        <v>2370.4357248218398</v>
      </c>
      <c r="E2148" s="116">
        <v>2396.41788364282</v>
      </c>
      <c r="F2148" s="116">
        <v>2505.8000000000002</v>
      </c>
      <c r="G2148">
        <v>190657</v>
      </c>
      <c r="H2148" s="116"/>
      <c r="I2148" s="116"/>
      <c r="L2148" s="170">
        <v>45167</v>
      </c>
      <c r="M2148" s="116">
        <v>2429.9658296249199</v>
      </c>
      <c r="N2148" s="116">
        <v>2459.2442784488198</v>
      </c>
      <c r="O2148" s="116">
        <v>2370.3909726636998</v>
      </c>
      <c r="P2148" s="116">
        <v>2396.66401780038</v>
      </c>
      <c r="Q2148" s="116">
        <v>2506.4499999999998</v>
      </c>
      <c r="R2148">
        <v>4802150</v>
      </c>
    </row>
    <row r="2149" spans="1:18" x14ac:dyDescent="0.25">
      <c r="A2149" s="170">
        <v>45168</v>
      </c>
      <c r="B2149" s="116">
        <v>2464.3786796633499</v>
      </c>
      <c r="C2149" s="116">
        <v>2436.8938213583301</v>
      </c>
      <c r="D2149" s="116">
        <v>2417.0678830042698</v>
      </c>
      <c r="E2149" s="116">
        <v>2447.8974595157201</v>
      </c>
      <c r="F2149" s="116">
        <v>2513.6</v>
      </c>
      <c r="G2149">
        <v>101737</v>
      </c>
      <c r="H2149" s="116"/>
      <c r="I2149" s="116"/>
      <c r="L2149" s="170">
        <v>45168</v>
      </c>
      <c r="M2149" s="116">
        <v>2436.4129052765402</v>
      </c>
      <c r="N2149" s="116">
        <v>2465.4005085823301</v>
      </c>
      <c r="O2149" s="116">
        <v>2416.3445645263801</v>
      </c>
      <c r="P2149" s="116">
        <v>2440.19389701208</v>
      </c>
      <c r="Q2149" s="116">
        <v>2513.1</v>
      </c>
      <c r="R2149">
        <v>6484593</v>
      </c>
    </row>
    <row r="2150" spans="1:18" x14ac:dyDescent="0.25">
      <c r="A2150" s="170">
        <v>45169</v>
      </c>
      <c r="B2150" s="116">
        <v>2412.5113103752101</v>
      </c>
      <c r="C2150" s="116">
        <v>2344.98678194682</v>
      </c>
      <c r="D2150" s="116">
        <v>2312.2182383591698</v>
      </c>
      <c r="E2150" s="116">
        <v>2378.7732832494698</v>
      </c>
      <c r="F2150" s="116">
        <v>2418.8000000000002</v>
      </c>
      <c r="G2150">
        <v>514332</v>
      </c>
      <c r="H2150" s="116"/>
      <c r="I2150" s="116"/>
      <c r="L2150" s="170">
        <v>45169</v>
      </c>
      <c r="M2150" s="116">
        <v>2345.42673235855</v>
      </c>
      <c r="N2150" s="116">
        <v>2413.9693261284201</v>
      </c>
      <c r="O2150" s="116">
        <v>2311.0100127145602</v>
      </c>
      <c r="P2150" s="116">
        <v>2375.1899237126499</v>
      </c>
      <c r="Q2150" s="116">
        <v>2419.25</v>
      </c>
      <c r="R2150">
        <v>6230369</v>
      </c>
    </row>
    <row r="2151" spans="1:18" x14ac:dyDescent="0.25">
      <c r="A2151" s="170">
        <v>45170</v>
      </c>
      <c r="B2151" s="116">
        <v>2390.3586115297198</v>
      </c>
      <c r="C2151" s="116">
        <v>2375.33161668923</v>
      </c>
      <c r="D2151" s="116">
        <v>2306.11049206917</v>
      </c>
      <c r="E2151" s="116">
        <v>2308.3403042067898</v>
      </c>
      <c r="F2151" s="116">
        <v>2450.1</v>
      </c>
      <c r="G2151">
        <v>234407</v>
      </c>
      <c r="H2151" s="116"/>
      <c r="I2151" s="116"/>
      <c r="L2151" s="170">
        <v>45170</v>
      </c>
      <c r="M2151" s="116">
        <v>2375.28687221869</v>
      </c>
      <c r="N2151" s="116">
        <v>2390.3138906548002</v>
      </c>
      <c r="O2151" s="116">
        <v>2307.3744437380801</v>
      </c>
      <c r="P2151" s="116">
        <v>2308.3439287984702</v>
      </c>
      <c r="Q2151" s="116">
        <v>2450.0500000000002</v>
      </c>
      <c r="R2151">
        <v>6764397</v>
      </c>
    </row>
    <row r="2152" spans="1:18" x14ac:dyDescent="0.25">
      <c r="A2152" s="170">
        <v>45173</v>
      </c>
      <c r="B2152" s="116">
        <v>2404.2222261244901</v>
      </c>
      <c r="C2152" s="116">
        <v>2395.6907709892498</v>
      </c>
      <c r="D2152" s="116">
        <v>2375.4285650430402</v>
      </c>
      <c r="E2152" s="116">
        <v>2375.4285650430402</v>
      </c>
      <c r="F2152" s="116">
        <v>2471.1</v>
      </c>
      <c r="G2152">
        <v>165100</v>
      </c>
      <c r="H2152" s="116"/>
      <c r="I2152" s="116"/>
      <c r="L2152" s="170">
        <v>45173</v>
      </c>
      <c r="M2152" s="116">
        <v>2395.2097902097898</v>
      </c>
      <c r="N2152" s="116">
        <v>2404.3229497775001</v>
      </c>
      <c r="O2152" s="116">
        <v>2375.28687221869</v>
      </c>
      <c r="P2152" s="116">
        <v>2379.11633820725</v>
      </c>
      <c r="Q2152" s="116">
        <v>2470.6</v>
      </c>
      <c r="R2152">
        <v>5998454</v>
      </c>
    </row>
    <row r="2153" spans="1:18" x14ac:dyDescent="0.25">
      <c r="A2153" s="170">
        <v>45174</v>
      </c>
      <c r="B2153" s="116">
        <v>2424.9691738397501</v>
      </c>
      <c r="C2153" s="116">
        <v>2418.7644791959301</v>
      </c>
      <c r="D2153" s="116">
        <v>2388.8074378687602</v>
      </c>
      <c r="E2153" s="116">
        <v>2400.4897145028199</v>
      </c>
      <c r="F2153" s="116">
        <v>2494.9</v>
      </c>
      <c r="G2153">
        <v>179309</v>
      </c>
      <c r="H2153" s="116"/>
      <c r="I2153" s="116"/>
      <c r="L2153" s="170">
        <v>45174</v>
      </c>
      <c r="M2153" s="116">
        <v>2417.9442148760299</v>
      </c>
      <c r="N2153" s="116">
        <v>2425.0699300699298</v>
      </c>
      <c r="O2153" s="116">
        <v>2388.8111888111898</v>
      </c>
      <c r="P2153" s="116">
        <v>2406.2619198982802</v>
      </c>
      <c r="Q2153" s="116">
        <v>2494.0500000000002</v>
      </c>
      <c r="R2153">
        <v>6489319</v>
      </c>
    </row>
    <row r="2154" spans="1:18" x14ac:dyDescent="0.25">
      <c r="A2154" s="170">
        <v>45175</v>
      </c>
      <c r="B2154" s="116">
        <v>2426.6172958545098</v>
      </c>
      <c r="C2154" s="116">
        <v>2419.1037984342702</v>
      </c>
      <c r="D2154" s="116">
        <v>2395.3514517509102</v>
      </c>
      <c r="E2154" s="116">
        <v>2415.0804417511699</v>
      </c>
      <c r="F2154" s="116">
        <v>2495.25</v>
      </c>
      <c r="G2154">
        <v>253186</v>
      </c>
      <c r="H2154" s="116"/>
      <c r="I2154" s="116"/>
      <c r="L2154" s="170">
        <v>45175</v>
      </c>
      <c r="M2154" s="116">
        <v>2420.3194532739999</v>
      </c>
      <c r="N2154" s="116">
        <v>2427.59059122695</v>
      </c>
      <c r="O2154" s="116">
        <v>2395.5975842339499</v>
      </c>
      <c r="P2154" s="116">
        <v>2417.9442148760299</v>
      </c>
      <c r="Q2154" s="116">
        <v>2496.5</v>
      </c>
      <c r="R2154">
        <v>7416248</v>
      </c>
    </row>
    <row r="2155" spans="1:18" x14ac:dyDescent="0.25">
      <c r="A2155" s="170">
        <v>45176</v>
      </c>
      <c r="B2155" s="116">
        <v>2442.46835170238</v>
      </c>
      <c r="C2155" s="116">
        <v>2431.9494553140398</v>
      </c>
      <c r="D2155" s="116">
        <v>2408.8272729304499</v>
      </c>
      <c r="E2155" s="116">
        <v>2420.3156528568902</v>
      </c>
      <c r="F2155" s="116">
        <v>2508.5</v>
      </c>
      <c r="G2155">
        <v>62894</v>
      </c>
      <c r="H2155" s="116"/>
      <c r="I2155" s="116"/>
      <c r="L2155" s="170">
        <v>45176</v>
      </c>
      <c r="M2155" s="116">
        <v>2432.9227590591199</v>
      </c>
      <c r="N2155" s="116">
        <v>2443.1023521932598</v>
      </c>
      <c r="O2155" s="116">
        <v>2409.17037507947</v>
      </c>
      <c r="P2155" s="116">
        <v>2421.77368086459</v>
      </c>
      <c r="Q2155" s="116">
        <v>2509.5</v>
      </c>
      <c r="R2155">
        <v>4298988</v>
      </c>
    </row>
    <row r="2156" spans="1:18" x14ac:dyDescent="0.25">
      <c r="A2156" s="170">
        <v>45177</v>
      </c>
      <c r="B2156" s="116">
        <v>2460.88853892621</v>
      </c>
      <c r="C2156" s="116">
        <v>2443.2924127097599</v>
      </c>
      <c r="D2156" s="116">
        <v>2429.5257464688002</v>
      </c>
      <c r="E2156" s="116">
        <v>2432.4826712599902</v>
      </c>
      <c r="F2156" s="116">
        <v>2520.1999999999998</v>
      </c>
      <c r="G2156">
        <v>79465</v>
      </c>
      <c r="H2156" s="116"/>
      <c r="I2156" s="116"/>
      <c r="L2156" s="170">
        <v>45177</v>
      </c>
      <c r="M2156" s="116">
        <v>2442.4237126509902</v>
      </c>
      <c r="N2156" s="116">
        <v>2461.1347743165902</v>
      </c>
      <c r="O2156" s="116">
        <v>2429.6265098537801</v>
      </c>
      <c r="P2156" s="116">
        <v>2437.0915448188198</v>
      </c>
      <c r="Q2156" s="116">
        <v>2519.3000000000002</v>
      </c>
      <c r="R2156">
        <v>5640973</v>
      </c>
    </row>
    <row r="2157" spans="1:18" x14ac:dyDescent="0.25">
      <c r="A2157" s="170">
        <v>45180</v>
      </c>
      <c r="B2157" s="116">
        <v>2549.74170519272</v>
      </c>
      <c r="C2157" s="116">
        <v>2534.7631845291298</v>
      </c>
      <c r="D2157" s="116">
        <v>2468.30508799264</v>
      </c>
      <c r="E2157" s="116">
        <v>2482.89581524099</v>
      </c>
      <c r="F2157" s="116">
        <v>2614.5500000000002</v>
      </c>
      <c r="G2157">
        <v>424845</v>
      </c>
      <c r="H2157" s="116"/>
      <c r="I2157" s="116"/>
      <c r="L2157" s="170">
        <v>45180</v>
      </c>
      <c r="M2157" s="116">
        <v>2535.15495867769</v>
      </c>
      <c r="N2157" s="116">
        <v>2549.9880801017198</v>
      </c>
      <c r="O2157" s="116">
        <v>2468.3089637635098</v>
      </c>
      <c r="P2157" s="116">
        <v>2486.7291799109998</v>
      </c>
      <c r="Q2157" s="116">
        <v>2614.9499999999998</v>
      </c>
      <c r="R2157">
        <v>9148241</v>
      </c>
    </row>
    <row r="2158" spans="1:18" x14ac:dyDescent="0.25">
      <c r="A2158" s="170">
        <v>45181</v>
      </c>
      <c r="B2158" s="116">
        <v>2544.8942875022299</v>
      </c>
      <c r="C2158" s="116">
        <v>2454.5868959285799</v>
      </c>
      <c r="D2158" s="116">
        <v>2441.1110747490502</v>
      </c>
      <c r="E2158" s="116">
        <v>2540.0953439886598</v>
      </c>
      <c r="F2158" s="116">
        <v>2531.85</v>
      </c>
      <c r="G2158">
        <v>133849</v>
      </c>
      <c r="H2158" s="116"/>
      <c r="I2158" s="116"/>
      <c r="L2158" s="170">
        <v>45181</v>
      </c>
      <c r="M2158" s="116">
        <v>2458.32326764145</v>
      </c>
      <c r="N2158" s="116">
        <v>2546.4494596312802</v>
      </c>
      <c r="O2158" s="116">
        <v>2452.7972027972</v>
      </c>
      <c r="P2158" s="116">
        <v>2542.4260966306401</v>
      </c>
      <c r="Q2158" s="116">
        <v>2535.6999999999998</v>
      </c>
      <c r="R2158">
        <v>5658774</v>
      </c>
    </row>
    <row r="2159" spans="1:18" x14ac:dyDescent="0.25">
      <c r="A2159" s="170">
        <v>45182</v>
      </c>
      <c r="B2159" s="116">
        <v>2499.2800870348101</v>
      </c>
      <c r="C2159" s="116">
        <v>2439.4144785573799</v>
      </c>
      <c r="D2159" s="116">
        <v>2419.8309110878399</v>
      </c>
      <c r="E2159" s="116">
        <v>2499.2800870348101</v>
      </c>
      <c r="F2159" s="116">
        <v>2516.1999999999998</v>
      </c>
      <c r="G2159">
        <v>115861</v>
      </c>
      <c r="H2159" s="116"/>
      <c r="I2159" s="116"/>
      <c r="L2159" s="170">
        <v>45182</v>
      </c>
      <c r="M2159" s="116">
        <v>2442.0359186268302</v>
      </c>
      <c r="N2159" s="116">
        <v>2488.6196757787702</v>
      </c>
      <c r="O2159" s="116">
        <v>2419.8347107437999</v>
      </c>
      <c r="P2159" s="116">
        <v>2468.0181182453898</v>
      </c>
      <c r="Q2159" s="116">
        <v>2518.9</v>
      </c>
      <c r="R2159">
        <v>1780068</v>
      </c>
    </row>
    <row r="2160" spans="1:18" x14ac:dyDescent="0.25">
      <c r="A2160" s="170">
        <v>45183</v>
      </c>
      <c r="B2160" s="116">
        <v>2471.1650644300298</v>
      </c>
      <c r="C2160" s="116">
        <v>2442.6137742330998</v>
      </c>
      <c r="D2160" s="116">
        <v>2429.6226948226099</v>
      </c>
      <c r="E2160" s="116">
        <v>2471.1650644300298</v>
      </c>
      <c r="F2160" s="116">
        <v>2519.5</v>
      </c>
      <c r="G2160">
        <v>52659</v>
      </c>
      <c r="H2160" s="116"/>
      <c r="I2160" s="116"/>
      <c r="L2160" s="170">
        <v>45183</v>
      </c>
      <c r="M2160" s="116">
        <v>2442.9084551811802</v>
      </c>
      <c r="N2160" s="116">
        <v>2467.3394787031102</v>
      </c>
      <c r="O2160" s="116">
        <v>2429.5780356007599</v>
      </c>
      <c r="P2160" s="116">
        <v>2464.2856007628702</v>
      </c>
      <c r="Q2160" s="116">
        <v>2519.8000000000002</v>
      </c>
      <c r="R2160">
        <v>1218481</v>
      </c>
    </row>
    <row r="2161" spans="1:18" x14ac:dyDescent="0.25">
      <c r="A2161" s="170">
        <v>45184</v>
      </c>
      <c r="B2161" s="116">
        <v>2478.43619096575</v>
      </c>
      <c r="C2161" s="116">
        <v>2461.4217548721599</v>
      </c>
      <c r="D2161" s="116">
        <v>2437.3300889504699</v>
      </c>
      <c r="E2161" s="116">
        <v>2462.2458158795398</v>
      </c>
      <c r="F2161" s="116">
        <v>2538.9</v>
      </c>
      <c r="G2161">
        <v>42694</v>
      </c>
      <c r="H2161" s="116"/>
      <c r="I2161" s="116"/>
      <c r="L2161" s="170">
        <v>45184</v>
      </c>
      <c r="M2161" s="116">
        <v>2462.5405276541601</v>
      </c>
      <c r="N2161" s="116">
        <v>2479.9427844882398</v>
      </c>
      <c r="O2161" s="116">
        <v>2437.4793388429698</v>
      </c>
      <c r="P2161" s="116">
        <v>2442.9084551811802</v>
      </c>
      <c r="Q2161" s="116">
        <v>2540.0500000000002</v>
      </c>
      <c r="R2161">
        <v>1547001</v>
      </c>
    </row>
    <row r="2162" spans="1:18" x14ac:dyDescent="0.25">
      <c r="A2162" s="170">
        <v>45187</v>
      </c>
      <c r="B2162" s="116">
        <v>2477.1273881893198</v>
      </c>
      <c r="C2162" s="116">
        <v>2426.5688216776098</v>
      </c>
      <c r="D2162" s="116">
        <v>2416.04992528926</v>
      </c>
      <c r="E2162" s="116">
        <v>2472.18302214503</v>
      </c>
      <c r="F2162" s="116">
        <v>2502.9499999999998</v>
      </c>
      <c r="G2162">
        <v>40911</v>
      </c>
      <c r="H2162" s="116"/>
      <c r="I2162" s="116"/>
      <c r="L2162" s="170">
        <v>45187</v>
      </c>
      <c r="M2162" s="116">
        <v>2426.0878893833401</v>
      </c>
      <c r="N2162" s="116">
        <v>2477.03432930706</v>
      </c>
      <c r="O2162" s="116">
        <v>2414.98728544183</v>
      </c>
      <c r="P2162" s="116">
        <v>2474.1258741258698</v>
      </c>
      <c r="Q2162" s="116">
        <v>2502.4499999999998</v>
      </c>
      <c r="R2162">
        <v>861677</v>
      </c>
    </row>
    <row r="2163" spans="1:18" x14ac:dyDescent="0.25">
      <c r="A2163" s="170">
        <v>45189</v>
      </c>
      <c r="B2163" s="116">
        <v>2454.7323184593001</v>
      </c>
      <c r="C2163" s="116">
        <v>2395.9816160506798</v>
      </c>
      <c r="D2163" s="116">
        <v>2384.1539168858999</v>
      </c>
      <c r="E2163" s="116">
        <v>2420.8488688028401</v>
      </c>
      <c r="F2163" s="116">
        <v>2471.4</v>
      </c>
      <c r="G2163">
        <v>124405</v>
      </c>
      <c r="H2163" s="116"/>
      <c r="I2163" s="116"/>
      <c r="L2163" s="170">
        <v>45189</v>
      </c>
      <c r="M2163" s="116">
        <v>2394.9189446916698</v>
      </c>
      <c r="N2163" s="116">
        <v>2456.3358232676401</v>
      </c>
      <c r="O2163" s="116">
        <v>2383.8668150031799</v>
      </c>
      <c r="P2163" s="116">
        <v>2426.0394151303199</v>
      </c>
      <c r="Q2163" s="116">
        <v>2470.3000000000002</v>
      </c>
      <c r="R2163">
        <v>1203019</v>
      </c>
    </row>
    <row r="2164" spans="1:18" x14ac:dyDescent="0.25">
      <c r="A2164" s="170">
        <v>45190</v>
      </c>
      <c r="B2164" s="116">
        <v>2426.42339914689</v>
      </c>
      <c r="C2164" s="116">
        <v>2404.9008646011598</v>
      </c>
      <c r="D2164" s="116">
        <v>2385.8989872544798</v>
      </c>
      <c r="E2164" s="116">
        <v>2400.9744562718702</v>
      </c>
      <c r="F2164" s="116">
        <v>2480.6</v>
      </c>
      <c r="G2164">
        <v>106406</v>
      </c>
      <c r="H2164" s="116"/>
      <c r="I2164" s="116"/>
      <c r="L2164" s="170">
        <v>45190</v>
      </c>
      <c r="M2164" s="116">
        <v>2403.5958359821998</v>
      </c>
      <c r="N2164" s="116">
        <v>2427.39669421488</v>
      </c>
      <c r="O2164" s="116">
        <v>2385.9027336300101</v>
      </c>
      <c r="P2164" s="116">
        <v>2404.1290527654201</v>
      </c>
      <c r="Q2164" s="116">
        <v>2479.25</v>
      </c>
      <c r="R2164">
        <v>1279908</v>
      </c>
    </row>
    <row r="2165" spans="1:18" x14ac:dyDescent="0.25">
      <c r="A2165" s="170">
        <v>45191</v>
      </c>
      <c r="B2165" s="116">
        <v>2421.3336105718899</v>
      </c>
      <c r="C2165" s="116">
        <v>2389.7284472299598</v>
      </c>
      <c r="D2165" s="116">
        <v>2385.123400424</v>
      </c>
      <c r="E2165" s="116">
        <v>2410.1845498837802</v>
      </c>
      <c r="F2165" s="116">
        <v>2464.9499999999998</v>
      </c>
      <c r="G2165">
        <v>72654</v>
      </c>
      <c r="H2165" s="116"/>
      <c r="I2165" s="116"/>
      <c r="L2165" s="170">
        <v>45191</v>
      </c>
      <c r="M2165" s="116">
        <v>2389.6837253655399</v>
      </c>
      <c r="N2165" s="116">
        <v>2421.77368086459</v>
      </c>
      <c r="O2165" s="116">
        <v>2384.93324856961</v>
      </c>
      <c r="P2165" s="116">
        <v>2413.9693261284201</v>
      </c>
      <c r="Q2165" s="116">
        <v>2464.9</v>
      </c>
      <c r="R2165">
        <v>865589</v>
      </c>
    </row>
    <row r="2166" spans="1:18" x14ac:dyDescent="0.25">
      <c r="A2166" s="170">
        <v>45194</v>
      </c>
      <c r="B2166" s="116">
        <v>2412.9475779673598</v>
      </c>
      <c r="C2166" s="116">
        <v>2406.20966737759</v>
      </c>
      <c r="D2166" s="116">
        <v>2350.9975798830201</v>
      </c>
      <c r="E2166" s="116">
        <v>2400.0534469106801</v>
      </c>
      <c r="F2166" s="116">
        <v>2481.9499999999998</v>
      </c>
      <c r="G2166">
        <v>96800</v>
      </c>
      <c r="H2166" s="116"/>
      <c r="I2166" s="116"/>
      <c r="L2166" s="170">
        <v>45194</v>
      </c>
      <c r="M2166" s="116">
        <v>2406.3588684043202</v>
      </c>
      <c r="N2166" s="116">
        <v>2413.0483153210398</v>
      </c>
      <c r="O2166" s="116">
        <v>2350.0317863954201</v>
      </c>
      <c r="P2166" s="116">
        <v>2404.2744755244798</v>
      </c>
      <c r="Q2166" s="116">
        <v>2482.1</v>
      </c>
      <c r="R2166">
        <v>1216898</v>
      </c>
    </row>
    <row r="2167" spans="1:18" x14ac:dyDescent="0.25">
      <c r="A2167" s="170">
        <v>45195</v>
      </c>
      <c r="B2167" s="116">
        <v>2422.6424133483201</v>
      </c>
      <c r="C2167" s="116">
        <v>2381.9241047482801</v>
      </c>
      <c r="D2167" s="116">
        <v>2378.3370156573301</v>
      </c>
      <c r="E2167" s="116">
        <v>2409.16659216878</v>
      </c>
      <c r="F2167" s="116">
        <v>2456.9</v>
      </c>
      <c r="G2167">
        <v>55387</v>
      </c>
      <c r="H2167" s="116"/>
      <c r="I2167" s="116"/>
      <c r="L2167" s="170">
        <v>45195</v>
      </c>
      <c r="M2167" s="116">
        <v>2382.9458041958001</v>
      </c>
      <c r="N2167" s="116">
        <v>2422.7431659249801</v>
      </c>
      <c r="O2167" s="116">
        <v>2377.7590591226999</v>
      </c>
      <c r="P2167" s="116">
        <v>2414.98728544183</v>
      </c>
      <c r="Q2167" s="116">
        <v>2457.9499999999998</v>
      </c>
      <c r="R2167">
        <v>698863</v>
      </c>
    </row>
    <row r="2168" spans="1:18" x14ac:dyDescent="0.25">
      <c r="A2168" s="170">
        <v>45196</v>
      </c>
      <c r="B2168" s="116">
        <v>2420.9458171566498</v>
      </c>
      <c r="C2168" s="116">
        <v>2406.83983167735</v>
      </c>
      <c r="D2168" s="116">
        <v>2371.16283747542</v>
      </c>
      <c r="E2168" s="116">
        <v>2382.0695272789999</v>
      </c>
      <c r="F2168" s="116">
        <v>2482.6</v>
      </c>
      <c r="G2168">
        <v>32434</v>
      </c>
      <c r="H2168" s="116"/>
      <c r="I2168" s="116"/>
      <c r="L2168" s="170">
        <v>45196</v>
      </c>
      <c r="M2168" s="116">
        <v>2407.5222504767999</v>
      </c>
      <c r="N2168" s="116">
        <v>2421.77368086459</v>
      </c>
      <c r="O2168" s="116">
        <v>2370.4879211697398</v>
      </c>
      <c r="P2168" s="116">
        <v>2384.93324856961</v>
      </c>
      <c r="Q2168" s="116">
        <v>2483.3000000000002</v>
      </c>
      <c r="R2168">
        <v>1077373</v>
      </c>
    </row>
    <row r="2169" spans="1:18" x14ac:dyDescent="0.25">
      <c r="A2169" s="170">
        <v>45197</v>
      </c>
      <c r="B2169" s="116">
        <v>2433.4036806211798</v>
      </c>
      <c r="C2169" s="116">
        <v>2396.4663578197201</v>
      </c>
      <c r="D2169" s="116">
        <v>2372.0838468366101</v>
      </c>
      <c r="E2169" s="116">
        <v>2414.9350192204502</v>
      </c>
      <c r="F2169" s="116">
        <v>2471.9</v>
      </c>
      <c r="G2169">
        <v>48724</v>
      </c>
      <c r="H2169" s="116"/>
      <c r="I2169" s="116"/>
      <c r="L2169" s="170">
        <v>45197</v>
      </c>
      <c r="M2169" s="116">
        <v>2399.71789574062</v>
      </c>
      <c r="N2169" s="116">
        <v>2434.37698664971</v>
      </c>
      <c r="O2169" s="116">
        <v>2372.0390972663699</v>
      </c>
      <c r="P2169" s="116">
        <v>2413.9693261284201</v>
      </c>
      <c r="Q2169" s="116">
        <v>2475.25</v>
      </c>
      <c r="R2169">
        <v>2225560</v>
      </c>
    </row>
    <row r="2170" spans="1:18" x14ac:dyDescent="0.25">
      <c r="A2170" s="170">
        <v>45198</v>
      </c>
      <c r="B2170" s="116">
        <v>2404.3676486552099</v>
      </c>
      <c r="C2170" s="116">
        <v>2338.5397164184801</v>
      </c>
      <c r="D2170" s="116">
        <v>2332.7712893668099</v>
      </c>
      <c r="E2170" s="116">
        <v>2389.7769214068599</v>
      </c>
      <c r="F2170" s="116">
        <v>2412.15</v>
      </c>
      <c r="G2170">
        <v>92022</v>
      </c>
      <c r="H2170" s="116"/>
      <c r="I2170" s="116"/>
      <c r="L2170" s="170">
        <v>45198</v>
      </c>
      <c r="M2170" s="116">
        <v>2340.2399872854398</v>
      </c>
      <c r="N2170" s="116">
        <v>2403.8866815003198</v>
      </c>
      <c r="O2170" s="116">
        <v>2331.6600445009499</v>
      </c>
      <c r="P2170" s="116">
        <v>2386.9206929434199</v>
      </c>
      <c r="Q2170" s="116">
        <v>2413.9</v>
      </c>
      <c r="R2170">
        <v>1689201</v>
      </c>
    </row>
    <row r="2171" spans="1:18" x14ac:dyDescent="0.25">
      <c r="A2171" s="170">
        <v>45202</v>
      </c>
      <c r="B2171" s="116">
        <v>2350.8036831753998</v>
      </c>
      <c r="C2171" s="116">
        <v>2314.69042138132</v>
      </c>
      <c r="D2171" s="116">
        <v>2301.3600227325001</v>
      </c>
      <c r="E2171" s="116">
        <v>2341.3512186789599</v>
      </c>
      <c r="F2171" s="116">
        <v>2387.5500000000002</v>
      </c>
      <c r="G2171">
        <v>63146</v>
      </c>
      <c r="H2171" s="116"/>
      <c r="I2171" s="116"/>
      <c r="L2171" s="170">
        <v>45202</v>
      </c>
      <c r="M2171" s="116">
        <v>2314.40321042594</v>
      </c>
      <c r="N2171" s="116">
        <v>2350.9043229497802</v>
      </c>
      <c r="O2171" s="116">
        <v>2299.61856325493</v>
      </c>
      <c r="P2171" s="116">
        <v>2344.2148760330601</v>
      </c>
      <c r="Q2171" s="116">
        <v>2387.25</v>
      </c>
      <c r="R2171">
        <v>2019899</v>
      </c>
    </row>
    <row r="2172" spans="1:18" x14ac:dyDescent="0.25">
      <c r="A2172" s="170">
        <v>45203</v>
      </c>
      <c r="B2172" s="116">
        <v>2425.0661221935602</v>
      </c>
      <c r="C2172" s="116">
        <v>2389.1952312839999</v>
      </c>
      <c r="D2172" s="116">
        <v>2318.0836137646602</v>
      </c>
      <c r="E2172" s="116">
        <v>2330.6384255829998</v>
      </c>
      <c r="F2172" s="116">
        <v>2464.4</v>
      </c>
      <c r="G2172">
        <v>301974</v>
      </c>
      <c r="H2172" s="116"/>
      <c r="I2172" s="116"/>
      <c r="L2172" s="170">
        <v>45203</v>
      </c>
      <c r="M2172" s="116">
        <v>2389.7321996185601</v>
      </c>
      <c r="N2172" s="116">
        <v>2426.3787349014601</v>
      </c>
      <c r="O2172" s="116">
        <v>2319.2506357279099</v>
      </c>
      <c r="P2172" s="116">
        <v>2328.8970120788299</v>
      </c>
      <c r="Q2172" s="116">
        <v>2464.9499999999998</v>
      </c>
      <c r="R2172">
        <v>2857377</v>
      </c>
    </row>
    <row r="2173" spans="1:18" x14ac:dyDescent="0.25">
      <c r="A2173" s="170">
        <v>45204</v>
      </c>
      <c r="B2173" s="116">
        <v>2411.1055592449702</v>
      </c>
      <c r="C2173" s="116">
        <v>2391.1826725371002</v>
      </c>
      <c r="D2173" s="116">
        <v>2371.9868984827999</v>
      </c>
      <c r="E2173" s="116">
        <v>2405.2401838394899</v>
      </c>
      <c r="F2173" s="116">
        <v>2466.4499999999998</v>
      </c>
      <c r="G2173">
        <v>52786</v>
      </c>
      <c r="H2173" s="116"/>
      <c r="I2173" s="116"/>
      <c r="L2173" s="170">
        <v>45204</v>
      </c>
      <c r="M2173" s="116">
        <v>2391.0894787031102</v>
      </c>
      <c r="N2173" s="116">
        <v>2410.6246026700601</v>
      </c>
      <c r="O2173" s="116">
        <v>2371.7482517482499</v>
      </c>
      <c r="P2173" s="116">
        <v>2402.3355054036901</v>
      </c>
      <c r="Q2173" s="116">
        <v>2466.35</v>
      </c>
      <c r="R2173">
        <v>1132455</v>
      </c>
    </row>
    <row r="2174" spans="1:18" x14ac:dyDescent="0.25">
      <c r="A2174" s="170">
        <v>45205</v>
      </c>
      <c r="B2174" s="116">
        <v>2438.2510983116599</v>
      </c>
      <c r="C2174" s="116">
        <v>2401.5076722178201</v>
      </c>
      <c r="D2174" s="116">
        <v>2391.1826725371002</v>
      </c>
      <c r="E2174" s="116">
        <v>2391.1826725371002</v>
      </c>
      <c r="F2174" s="116">
        <v>2477.1</v>
      </c>
      <c r="G2174">
        <v>122739</v>
      </c>
      <c r="H2174" s="116"/>
      <c r="I2174" s="116"/>
      <c r="L2174" s="170">
        <v>45205</v>
      </c>
      <c r="M2174" s="116">
        <v>2402.4809281627499</v>
      </c>
      <c r="N2174" s="116">
        <v>2438.2064526382701</v>
      </c>
      <c r="O2174" s="116">
        <v>2390.7986331850002</v>
      </c>
      <c r="P2174" s="116">
        <v>2391.0894787031102</v>
      </c>
      <c r="Q2174" s="116">
        <v>2478.1</v>
      </c>
      <c r="R2174">
        <v>1510035</v>
      </c>
    </row>
    <row r="2175" spans="1:18" x14ac:dyDescent="0.25">
      <c r="A2175" s="170">
        <v>45208</v>
      </c>
      <c r="B2175" s="116">
        <v>2384.0569685320902</v>
      </c>
      <c r="C2175" s="116">
        <v>2367.0425324385101</v>
      </c>
      <c r="D2175" s="116">
        <v>2338.44276806467</v>
      </c>
      <c r="E2175" s="116">
        <v>2375.1861941585098</v>
      </c>
      <c r="F2175" s="116">
        <v>2441.5500000000002</v>
      </c>
      <c r="G2175">
        <v>60083</v>
      </c>
      <c r="H2175" s="116"/>
      <c r="I2175" s="116"/>
      <c r="L2175" s="170">
        <v>45208</v>
      </c>
      <c r="M2175" s="116">
        <v>2368.0642085187501</v>
      </c>
      <c r="N2175" s="116">
        <v>2384.64240305149</v>
      </c>
      <c r="O2175" s="116">
        <v>2337.7193261284201</v>
      </c>
      <c r="P2175" s="116">
        <v>2365.5435473617299</v>
      </c>
      <c r="Q2175" s="116">
        <v>2442.6</v>
      </c>
      <c r="R2175">
        <v>1408224</v>
      </c>
    </row>
    <row r="2176" spans="1:18" x14ac:dyDescent="0.25">
      <c r="A2176" s="170">
        <v>45209</v>
      </c>
      <c r="B2176" s="116">
        <v>2440.7717555107101</v>
      </c>
      <c r="C2176" s="116">
        <v>2421.4305589257001</v>
      </c>
      <c r="D2176" s="116">
        <v>2366.5093164925502</v>
      </c>
      <c r="E2176" s="116">
        <v>2366.5093164925502</v>
      </c>
      <c r="F2176" s="116">
        <v>2497.65</v>
      </c>
      <c r="G2176">
        <v>84619</v>
      </c>
      <c r="H2176" s="116"/>
      <c r="I2176" s="116"/>
      <c r="L2176" s="170">
        <v>45209</v>
      </c>
      <c r="M2176" s="116">
        <v>2422.06452638271</v>
      </c>
      <c r="N2176" s="116">
        <v>2441.1149078194499</v>
      </c>
      <c r="O2176" s="116">
        <v>2368.4520025429101</v>
      </c>
      <c r="P2176" s="116">
        <v>2368.4520025429101</v>
      </c>
      <c r="Q2176" s="116">
        <v>2498.3000000000002</v>
      </c>
      <c r="R2176">
        <v>1771910</v>
      </c>
    </row>
    <row r="2177" spans="1:18" x14ac:dyDescent="0.25">
      <c r="A2177" s="170">
        <v>45210</v>
      </c>
      <c r="B2177" s="116">
        <v>2459.5797361497798</v>
      </c>
      <c r="C2177" s="116">
        <v>2412.12351695998</v>
      </c>
      <c r="D2177" s="116">
        <v>2408.9726954611601</v>
      </c>
      <c r="E2177" s="116">
        <v>2457.64076907359</v>
      </c>
      <c r="F2177" s="116">
        <v>2488.0500000000002</v>
      </c>
      <c r="G2177">
        <v>93974</v>
      </c>
      <c r="H2177" s="116"/>
      <c r="I2177" s="116"/>
      <c r="L2177" s="170">
        <v>45210</v>
      </c>
      <c r="M2177" s="116">
        <v>2412.6605212968798</v>
      </c>
      <c r="N2177" s="116">
        <v>2460.5530832803602</v>
      </c>
      <c r="O2177" s="116">
        <v>2406.7466624284798</v>
      </c>
      <c r="P2177" s="116">
        <v>2456.5781945327399</v>
      </c>
      <c r="Q2177" s="116">
        <v>2488.6</v>
      </c>
      <c r="R2177">
        <v>1627836</v>
      </c>
    </row>
    <row r="2178" spans="1:18" x14ac:dyDescent="0.25">
      <c r="A2178" s="170">
        <v>45211</v>
      </c>
      <c r="B2178" s="116">
        <v>2443.97105118643</v>
      </c>
      <c r="C2178" s="116">
        <v>2429.8165915302302</v>
      </c>
      <c r="D2178" s="116">
        <v>2414.9834933973598</v>
      </c>
      <c r="E2178" s="116">
        <v>2419.87938526474</v>
      </c>
      <c r="F2178" s="116">
        <v>2506.3000000000002</v>
      </c>
      <c r="G2178">
        <v>73533</v>
      </c>
      <c r="H2178" s="116"/>
      <c r="I2178" s="116"/>
      <c r="L2178" s="170">
        <v>45211</v>
      </c>
      <c r="M2178" s="116">
        <v>2429.8688811188799</v>
      </c>
      <c r="N2178" s="116">
        <v>2444.7989510489501</v>
      </c>
      <c r="O2178" s="116">
        <v>2414.6479656706902</v>
      </c>
      <c r="P2178" s="116">
        <v>2423.6157024793401</v>
      </c>
      <c r="Q2178" s="116">
        <v>2506.35</v>
      </c>
      <c r="R2178">
        <v>1804818</v>
      </c>
    </row>
    <row r="2179" spans="1:18" x14ac:dyDescent="0.25">
      <c r="A2179" s="170">
        <v>45212</v>
      </c>
      <c r="B2179" s="116">
        <v>2415.9529769354499</v>
      </c>
      <c r="C2179" s="116">
        <v>2379.74276678757</v>
      </c>
      <c r="D2179" s="116">
        <v>2349.0101386299202</v>
      </c>
      <c r="E2179" s="116">
        <v>2414.0140098592601</v>
      </c>
      <c r="F2179" s="116">
        <v>2454.65</v>
      </c>
      <c r="G2179">
        <v>131922</v>
      </c>
      <c r="H2179" s="116"/>
      <c r="I2179" s="116"/>
      <c r="L2179" s="170">
        <v>45212</v>
      </c>
      <c r="M2179" s="116">
        <v>2379.6495549904598</v>
      </c>
      <c r="N2179" s="116">
        <v>2418.8652256834098</v>
      </c>
      <c r="O2179" s="116">
        <v>2348.4321360457702</v>
      </c>
      <c r="P2179" s="116">
        <v>2412.9513668149998</v>
      </c>
      <c r="Q2179" s="116">
        <v>2454.5500000000002</v>
      </c>
      <c r="R2179">
        <v>2278682</v>
      </c>
    </row>
    <row r="2180" spans="1:18" x14ac:dyDescent="0.25">
      <c r="A2180" s="170">
        <v>45215</v>
      </c>
      <c r="B2180" s="116">
        <v>2389.0498087532901</v>
      </c>
      <c r="C2180" s="116">
        <v>2355.5541525120698</v>
      </c>
      <c r="D2180" s="116">
        <v>2348.6223452146801</v>
      </c>
      <c r="E2180" s="116">
        <v>2379.74276678757</v>
      </c>
      <c r="F2180" s="116">
        <v>2429.6999999999998</v>
      </c>
      <c r="G2180">
        <v>111073</v>
      </c>
      <c r="H2180" s="116"/>
      <c r="I2180" s="116"/>
      <c r="L2180" s="170">
        <v>45215</v>
      </c>
      <c r="M2180" s="116">
        <v>2355.2185314685298</v>
      </c>
      <c r="N2180" s="116">
        <v>2389.4898283534599</v>
      </c>
      <c r="O2180" s="116">
        <v>2347.9473935155802</v>
      </c>
      <c r="P2180" s="116">
        <v>2379.6495549904598</v>
      </c>
      <c r="Q2180" s="116">
        <v>2429.35</v>
      </c>
      <c r="R2180">
        <v>803856</v>
      </c>
    </row>
    <row r="2181" spans="1:18" x14ac:dyDescent="0.25">
      <c r="A2181" s="170">
        <v>45216</v>
      </c>
      <c r="B2181" s="116">
        <v>2385.3657713085199</v>
      </c>
      <c r="C2181" s="116">
        <v>2354.19687555873</v>
      </c>
      <c r="D2181" s="116">
        <v>2350.2219930525398</v>
      </c>
      <c r="E2181" s="116">
        <v>2381.1485179178098</v>
      </c>
      <c r="F2181" s="116">
        <v>2428.3000000000002</v>
      </c>
      <c r="G2181">
        <v>81533</v>
      </c>
      <c r="H2181" s="116"/>
      <c r="I2181" s="116"/>
      <c r="L2181" s="170">
        <v>45216</v>
      </c>
      <c r="M2181" s="116">
        <v>2354.29752066116</v>
      </c>
      <c r="N2181" s="116">
        <v>2386.8722186904001</v>
      </c>
      <c r="O2181" s="116">
        <v>2349.5470438652301</v>
      </c>
      <c r="P2181" s="116">
        <v>2384.8847743165902</v>
      </c>
      <c r="Q2181" s="116">
        <v>2428.4</v>
      </c>
      <c r="R2181">
        <v>707543</v>
      </c>
    </row>
    <row r="2182" spans="1:18" x14ac:dyDescent="0.25">
      <c r="A2182" s="170">
        <v>45217</v>
      </c>
      <c r="B2182" s="116">
        <v>2368.0120159766002</v>
      </c>
      <c r="C2182" s="116">
        <v>2331.9957025363301</v>
      </c>
      <c r="D2182" s="116">
        <v>2326.1303271308502</v>
      </c>
      <c r="E2182" s="116">
        <v>2362.6798565170802</v>
      </c>
      <c r="F2182" s="116">
        <v>2405.4</v>
      </c>
      <c r="G2182">
        <v>46665</v>
      </c>
      <c r="H2182" s="116"/>
      <c r="I2182" s="116"/>
      <c r="L2182" s="170">
        <v>45217</v>
      </c>
      <c r="M2182" s="116">
        <v>2332.92037507947</v>
      </c>
      <c r="N2182" s="116">
        <v>2367.2401462174198</v>
      </c>
      <c r="O2182" s="116">
        <v>2327.78210425938</v>
      </c>
      <c r="P2182" s="116">
        <v>2365.5435473617299</v>
      </c>
      <c r="Q2182" s="116">
        <v>2406.35</v>
      </c>
      <c r="R2182">
        <v>776977</v>
      </c>
    </row>
    <row r="2183" spans="1:18" x14ac:dyDescent="0.25">
      <c r="A2183" s="170">
        <v>45218</v>
      </c>
      <c r="B2183" s="116">
        <v>2341.15732197134</v>
      </c>
      <c r="C2183" s="116">
        <v>2328.6025101529999</v>
      </c>
      <c r="D2183" s="116">
        <v>2310.2792712829801</v>
      </c>
      <c r="E2183" s="116">
        <v>2317.64734617251</v>
      </c>
      <c r="F2183" s="116">
        <v>2401.9</v>
      </c>
      <c r="G2183">
        <v>35807</v>
      </c>
      <c r="H2183" s="116"/>
      <c r="I2183" s="116"/>
      <c r="L2183" s="170">
        <v>45218</v>
      </c>
      <c r="M2183" s="116">
        <v>2328.8970120788299</v>
      </c>
      <c r="N2183" s="116">
        <v>2341.0155753337599</v>
      </c>
      <c r="O2183" s="116">
        <v>2309.8466306420901</v>
      </c>
      <c r="P2183" s="116">
        <v>2326.7641449459602</v>
      </c>
      <c r="Q2183" s="116">
        <v>2402.1999999999998</v>
      </c>
      <c r="R2183">
        <v>1168822</v>
      </c>
    </row>
    <row r="2184" spans="1:18" x14ac:dyDescent="0.25">
      <c r="A2184" s="170">
        <v>45219</v>
      </c>
      <c r="B2184" s="116">
        <v>2368.44828356875</v>
      </c>
      <c r="C2184" s="116">
        <v>2320.2164775484698</v>
      </c>
      <c r="D2184" s="116">
        <v>2311.2487548210802</v>
      </c>
      <c r="E2184" s="116">
        <v>2331.5594349441899</v>
      </c>
      <c r="F2184" s="116">
        <v>2393.25</v>
      </c>
      <c r="G2184">
        <v>45255</v>
      </c>
      <c r="H2184" s="116"/>
      <c r="I2184" s="116"/>
      <c r="L2184" s="170">
        <v>45219</v>
      </c>
      <c r="M2184" s="116">
        <v>2320.7048633185</v>
      </c>
      <c r="N2184" s="116">
        <v>2369.37301335029</v>
      </c>
      <c r="O2184" s="116">
        <v>2309.36188811189</v>
      </c>
      <c r="P2184" s="116">
        <v>2324.8736490781898</v>
      </c>
      <c r="Q2184" s="116">
        <v>2393.75</v>
      </c>
      <c r="R2184">
        <v>1240350</v>
      </c>
    </row>
    <row r="2185" spans="1:18" x14ac:dyDescent="0.25">
      <c r="A2185" s="170">
        <v>45222</v>
      </c>
      <c r="B2185" s="116">
        <v>2337.1339652882398</v>
      </c>
      <c r="C2185" s="116">
        <v>2238.7798603483898</v>
      </c>
      <c r="D2185" s="116">
        <v>2230.3938277438601</v>
      </c>
      <c r="E2185" s="116">
        <v>2300.6329100789299</v>
      </c>
      <c r="F2185" s="116">
        <v>2309.25</v>
      </c>
      <c r="G2185">
        <v>84496</v>
      </c>
      <c r="H2185" s="116"/>
      <c r="I2185" s="116"/>
      <c r="L2185" s="170">
        <v>45222</v>
      </c>
      <c r="M2185" s="116">
        <v>2238.2016846789602</v>
      </c>
      <c r="N2185" s="116">
        <v>2338.73728544183</v>
      </c>
      <c r="O2185" s="116">
        <v>2231.5607120152599</v>
      </c>
      <c r="P2185" s="116">
        <v>2324.6312778131</v>
      </c>
      <c r="Q2185" s="116">
        <v>2308.65</v>
      </c>
      <c r="R2185">
        <v>1483549</v>
      </c>
    </row>
    <row r="2186" spans="1:18" x14ac:dyDescent="0.25">
      <c r="A2186" s="170">
        <v>45224</v>
      </c>
      <c r="B2186" s="116">
        <v>2275.0385446731898</v>
      </c>
      <c r="C2186" s="116">
        <v>2189.1423031978802</v>
      </c>
      <c r="D2186" s="116">
        <v>2166.8441818216702</v>
      </c>
      <c r="E2186" s="116">
        <v>2238.8283345252999</v>
      </c>
      <c r="F2186" s="116">
        <v>2258.0500000000002</v>
      </c>
      <c r="G2186">
        <v>149880</v>
      </c>
      <c r="H2186" s="116"/>
      <c r="I2186" s="116"/>
      <c r="L2186" s="170">
        <v>45224</v>
      </c>
      <c r="M2186" s="116">
        <v>2188.1277813095999</v>
      </c>
      <c r="N2186" s="116">
        <v>2276.3993960584899</v>
      </c>
      <c r="O2186" s="116">
        <v>2167.0899554990501</v>
      </c>
      <c r="P2186" s="116">
        <v>2249.2053401144299</v>
      </c>
      <c r="Q2186" s="116">
        <v>2257</v>
      </c>
      <c r="R2186">
        <v>1540819</v>
      </c>
    </row>
    <row r="2187" spans="1:18" x14ac:dyDescent="0.25">
      <c r="A2187" s="170">
        <v>45225</v>
      </c>
      <c r="B2187" s="116">
        <v>2180.1261062935801</v>
      </c>
      <c r="C2187" s="116">
        <v>2135.6752860718798</v>
      </c>
      <c r="D2187" s="116">
        <v>2100.6769303466099</v>
      </c>
      <c r="E2187" s="116">
        <v>2176.53901720263</v>
      </c>
      <c r="F2187" s="116">
        <v>2202.9</v>
      </c>
      <c r="G2187">
        <v>268652</v>
      </c>
      <c r="H2187" s="116"/>
      <c r="I2187" s="116"/>
      <c r="L2187" s="170">
        <v>45225</v>
      </c>
      <c r="M2187" s="116">
        <v>2135.9694850603901</v>
      </c>
      <c r="N2187" s="116">
        <v>2180.3719008264502</v>
      </c>
      <c r="O2187" s="116">
        <v>2100.92260012715</v>
      </c>
      <c r="P2187" s="116">
        <v>2180.3719008264502</v>
      </c>
      <c r="Q2187" s="116">
        <v>2203.1999999999998</v>
      </c>
      <c r="R2187">
        <v>2226073</v>
      </c>
    </row>
    <row r="2188" spans="1:18" x14ac:dyDescent="0.25">
      <c r="A2188" s="170">
        <v>45226</v>
      </c>
      <c r="B2188" s="116">
        <v>2205.5750491685999</v>
      </c>
      <c r="C2188" s="116">
        <v>2191.7599087507301</v>
      </c>
      <c r="D2188" s="116">
        <v>2144.5460604454602</v>
      </c>
      <c r="E2188" s="116">
        <v>2147.6484077673599</v>
      </c>
      <c r="F2188" s="116">
        <v>2260.75</v>
      </c>
      <c r="G2188">
        <v>72945</v>
      </c>
      <c r="H2188" s="116"/>
      <c r="I2188" s="116"/>
      <c r="L2188" s="170">
        <v>45226</v>
      </c>
      <c r="M2188" s="116">
        <v>2192.6843610934502</v>
      </c>
      <c r="N2188" s="116">
        <v>2205.5785123966898</v>
      </c>
      <c r="O2188" s="116">
        <v>2144.5009535918598</v>
      </c>
      <c r="P2188" s="116">
        <v>2154.1958041958001</v>
      </c>
      <c r="Q2188" s="116">
        <v>2261.6999999999998</v>
      </c>
      <c r="R2188">
        <v>1244293</v>
      </c>
    </row>
    <row r="2189" spans="1:18" x14ac:dyDescent="0.25">
      <c r="A2189" s="170">
        <v>45229</v>
      </c>
      <c r="B2189" s="116">
        <v>2234.6595553114898</v>
      </c>
      <c r="C2189" s="116">
        <v>2229.4728183826701</v>
      </c>
      <c r="D2189" s="116">
        <v>2181.3379607162001</v>
      </c>
      <c r="E2189" s="116">
        <v>2193.3110824116902</v>
      </c>
      <c r="F2189" s="116">
        <v>2299.65</v>
      </c>
      <c r="G2189">
        <v>44148</v>
      </c>
      <c r="H2189" s="116"/>
      <c r="I2189" s="116"/>
      <c r="L2189" s="170">
        <v>45229</v>
      </c>
      <c r="M2189" s="116">
        <v>2228.9431023521902</v>
      </c>
      <c r="N2189" s="116">
        <v>2234.6630642085202</v>
      </c>
      <c r="O2189" s="116">
        <v>2181.3413858868398</v>
      </c>
      <c r="P2189" s="116">
        <v>2191.0847107437999</v>
      </c>
      <c r="Q2189" s="116">
        <v>2299.1</v>
      </c>
      <c r="R2189">
        <v>996448</v>
      </c>
    </row>
    <row r="2190" spans="1:18" x14ac:dyDescent="0.25">
      <c r="A2190" s="170">
        <v>45230</v>
      </c>
      <c r="B2190" s="116">
        <v>2249.3957050905501</v>
      </c>
      <c r="C2190" s="116">
        <v>2223.8498138617101</v>
      </c>
      <c r="D2190" s="116">
        <v>2205.8658942300299</v>
      </c>
      <c r="E2190" s="116">
        <v>2244.4028648693502</v>
      </c>
      <c r="F2190" s="116">
        <v>2293.85</v>
      </c>
      <c r="G2190">
        <v>61573</v>
      </c>
      <c r="H2190" s="116"/>
      <c r="I2190" s="116"/>
      <c r="L2190" s="170">
        <v>45230</v>
      </c>
      <c r="M2190" s="116">
        <v>2224.6288938334401</v>
      </c>
      <c r="N2190" s="116">
        <v>2249.2053401144299</v>
      </c>
      <c r="O2190" s="116">
        <v>2206.5479974570899</v>
      </c>
      <c r="P2190" s="116">
        <v>2249.2053401144299</v>
      </c>
      <c r="Q2190" s="116">
        <v>2294.65</v>
      </c>
      <c r="R2190">
        <v>1155280</v>
      </c>
    </row>
    <row r="2191" spans="1:18" x14ac:dyDescent="0.25">
      <c r="A2191" s="170">
        <v>45231</v>
      </c>
      <c r="B2191" s="116">
        <v>2242.4154236162499</v>
      </c>
      <c r="C2191" s="116">
        <v>2150.2175391433202</v>
      </c>
      <c r="D2191" s="116">
        <v>2138.0020465633102</v>
      </c>
      <c r="E2191" s="116">
        <v>2225.6918325841002</v>
      </c>
      <c r="F2191" s="116">
        <v>2217.9</v>
      </c>
      <c r="G2191">
        <v>54097</v>
      </c>
      <c r="H2191" s="116"/>
      <c r="I2191" s="116"/>
      <c r="L2191" s="170">
        <v>45231</v>
      </c>
      <c r="M2191" s="116">
        <v>2149.6392244119502</v>
      </c>
      <c r="N2191" s="116">
        <v>2241.69183089638</v>
      </c>
      <c r="O2191" s="116">
        <v>2139.6535282898899</v>
      </c>
      <c r="P2191" s="116">
        <v>2228.8461538461502</v>
      </c>
      <c r="Q2191" s="116">
        <v>2217.3000000000002</v>
      </c>
      <c r="R2191">
        <v>1666579</v>
      </c>
    </row>
    <row r="2192" spans="1:18" x14ac:dyDescent="0.25">
      <c r="A2192" s="170">
        <v>45232</v>
      </c>
      <c r="B2192" s="116">
        <v>2226.758264476</v>
      </c>
      <c r="C2192" s="116">
        <v>2147.3090885290299</v>
      </c>
      <c r="D2192" s="116">
        <v>2136.74171796378</v>
      </c>
      <c r="E2192" s="116">
        <v>2179.3989936400098</v>
      </c>
      <c r="F2192" s="116">
        <v>2214.9</v>
      </c>
      <c r="G2192">
        <v>151993</v>
      </c>
      <c r="H2192" s="116"/>
      <c r="I2192" s="116"/>
      <c r="L2192" s="170">
        <v>45232</v>
      </c>
      <c r="M2192" s="116">
        <v>2147.70025429116</v>
      </c>
      <c r="N2192" s="116">
        <v>2227.8281945327399</v>
      </c>
      <c r="O2192" s="116">
        <v>2136.9389701207901</v>
      </c>
      <c r="P2192" s="116">
        <v>2178.4329307056601</v>
      </c>
      <c r="Q2192" s="116">
        <v>2215.3000000000002</v>
      </c>
      <c r="R2192">
        <v>2340997</v>
      </c>
    </row>
    <row r="2193" spans="1:18" x14ac:dyDescent="0.25">
      <c r="A2193" s="170">
        <v>45233</v>
      </c>
      <c r="B2193" s="116">
        <v>2208.4834997828898</v>
      </c>
      <c r="C2193" s="116">
        <v>2160.7364355316599</v>
      </c>
      <c r="D2193" s="116">
        <v>2147.40603688284</v>
      </c>
      <c r="E2193" s="116">
        <v>2147.40603688284</v>
      </c>
      <c r="F2193" s="116">
        <v>2228.75</v>
      </c>
      <c r="G2193">
        <v>62548</v>
      </c>
      <c r="H2193" s="116"/>
      <c r="I2193" s="116"/>
      <c r="L2193" s="170">
        <v>45233</v>
      </c>
      <c r="M2193" s="116">
        <v>2161.8062619199</v>
      </c>
      <c r="N2193" s="116">
        <v>2209.4564526382701</v>
      </c>
      <c r="O2193" s="116">
        <v>2147.40940877305</v>
      </c>
      <c r="P2193" s="116">
        <v>2147.70025429116</v>
      </c>
      <c r="Q2193" s="116">
        <v>2229.85</v>
      </c>
      <c r="R2193">
        <v>1853300</v>
      </c>
    </row>
    <row r="2194" spans="1:18" x14ac:dyDescent="0.25">
      <c r="A2194" s="170">
        <v>45236</v>
      </c>
      <c r="B2194" s="116">
        <v>2190.6450026819198</v>
      </c>
      <c r="C2194" s="116">
        <v>2177.7508716252501</v>
      </c>
      <c r="D2194" s="116">
        <v>2164.8082663916598</v>
      </c>
      <c r="E2194" s="116">
        <v>2181.1440640085798</v>
      </c>
      <c r="F2194" s="116">
        <v>2246.3000000000002</v>
      </c>
      <c r="G2194">
        <v>115770</v>
      </c>
      <c r="H2194" s="116"/>
      <c r="I2194" s="116"/>
      <c r="L2194" s="170">
        <v>45236</v>
      </c>
      <c r="M2194" s="116">
        <v>2177.46344564526</v>
      </c>
      <c r="N2194" s="116">
        <v>2191.0362364907801</v>
      </c>
      <c r="O2194" s="116">
        <v>2164.86013986014</v>
      </c>
      <c r="P2194" s="116">
        <v>2185.1708518753999</v>
      </c>
      <c r="Q2194" s="116">
        <v>2246</v>
      </c>
      <c r="R2194">
        <v>770061</v>
      </c>
    </row>
    <row r="2195" spans="1:18" x14ac:dyDescent="0.25">
      <c r="A2195" s="170">
        <v>45237</v>
      </c>
      <c r="B2195" s="116">
        <v>2191.0327960971599</v>
      </c>
      <c r="C2195" s="116">
        <v>2164.4689471533302</v>
      </c>
      <c r="D2195" s="116">
        <v>2158.3612008633199</v>
      </c>
      <c r="E2195" s="116">
        <v>2184.2948855073901</v>
      </c>
      <c r="F2195" s="116">
        <v>2232.6</v>
      </c>
      <c r="G2195">
        <v>95047</v>
      </c>
      <c r="H2195" s="116"/>
      <c r="I2195" s="116"/>
      <c r="L2195" s="170">
        <v>45237</v>
      </c>
      <c r="M2195" s="116">
        <v>2165.1994596312802</v>
      </c>
      <c r="N2195" s="116">
        <v>2191.0362364907801</v>
      </c>
      <c r="O2195" s="116">
        <v>2158.7039097266402</v>
      </c>
      <c r="P2195" s="116">
        <v>2188.1277813095999</v>
      </c>
      <c r="Q2195" s="116">
        <v>2233.35</v>
      </c>
      <c r="R2195">
        <v>641554</v>
      </c>
    </row>
    <row r="2196" spans="1:18" x14ac:dyDescent="0.25">
      <c r="A2196" s="170">
        <v>45238</v>
      </c>
      <c r="B2196" s="116">
        <v>2227.8246963679098</v>
      </c>
      <c r="C2196" s="116">
        <v>2189.1423031978802</v>
      </c>
      <c r="D2196" s="116">
        <v>2171.6431253352398</v>
      </c>
      <c r="E2196" s="116">
        <v>2173.6305665883401</v>
      </c>
      <c r="F2196" s="116">
        <v>2258.0500000000002</v>
      </c>
      <c r="G2196">
        <v>105387</v>
      </c>
      <c r="H2196" s="116"/>
      <c r="I2196" s="116"/>
      <c r="L2196" s="170">
        <v>45238</v>
      </c>
      <c r="M2196" s="116">
        <v>2190.9877622377599</v>
      </c>
      <c r="N2196" s="116">
        <v>2227.8766687857601</v>
      </c>
      <c r="O2196" s="116">
        <v>2166.7991099809301</v>
      </c>
      <c r="P2196" s="116">
        <v>2176.7848061029899</v>
      </c>
      <c r="Q2196" s="116">
        <v>2259.9499999999998</v>
      </c>
      <c r="R2196">
        <v>1169180</v>
      </c>
    </row>
    <row r="2197" spans="1:18" x14ac:dyDescent="0.25">
      <c r="A2197" s="170">
        <v>45239</v>
      </c>
      <c r="B2197" s="116">
        <v>2204.0238755076498</v>
      </c>
      <c r="C2197" s="116">
        <v>2146.0972341064098</v>
      </c>
      <c r="D2197" s="116">
        <v>2143.52810273045</v>
      </c>
      <c r="E2197" s="116">
        <v>2191.95380545835</v>
      </c>
      <c r="F2197" s="116">
        <v>2213.65</v>
      </c>
      <c r="G2197">
        <v>45327</v>
      </c>
      <c r="H2197" s="116"/>
      <c r="I2197" s="116"/>
      <c r="L2197" s="170">
        <v>45239</v>
      </c>
      <c r="M2197" s="116">
        <v>2147.0700890019102</v>
      </c>
      <c r="N2197" s="116">
        <v>2203.2517482517501</v>
      </c>
      <c r="O2197" s="116">
        <v>2142.6589319771101</v>
      </c>
      <c r="P2197" s="116">
        <v>2199.7616020343298</v>
      </c>
      <c r="Q2197" s="116">
        <v>2214.65</v>
      </c>
      <c r="R2197">
        <v>1267890</v>
      </c>
    </row>
    <row r="2198" spans="1:18" x14ac:dyDescent="0.25">
      <c r="A2198" s="170">
        <v>45240</v>
      </c>
      <c r="B2198" s="116">
        <v>2169.0255197823799</v>
      </c>
      <c r="C2198" s="116">
        <v>2138.0989949171199</v>
      </c>
      <c r="D2198" s="116">
        <v>2132.0881969809202</v>
      </c>
      <c r="E2198" s="116">
        <v>2158.0218816249899</v>
      </c>
      <c r="F2198" s="116">
        <v>2205.4</v>
      </c>
      <c r="G2198">
        <v>99841</v>
      </c>
      <c r="H2198" s="116"/>
      <c r="I2198" s="116"/>
      <c r="L2198" s="170">
        <v>45240</v>
      </c>
      <c r="M2198" s="116">
        <v>2137.8115066751402</v>
      </c>
      <c r="N2198" s="116">
        <v>2168.7380801017198</v>
      </c>
      <c r="O2198" s="116">
        <v>2131.4129052765402</v>
      </c>
      <c r="P2198" s="116">
        <v>2152.4992053401102</v>
      </c>
      <c r="Q2198" s="116">
        <v>2205.1</v>
      </c>
      <c r="R2198">
        <v>1072597</v>
      </c>
    </row>
    <row r="2199" spans="1:18" x14ac:dyDescent="0.25">
      <c r="A2199" s="170">
        <v>45242</v>
      </c>
      <c r="B2199" s="116">
        <v>2158.6520459247499</v>
      </c>
      <c r="C2199" s="116">
        <v>2145.8063890449798</v>
      </c>
      <c r="D2199" s="116">
        <v>2137.8566240325899</v>
      </c>
      <c r="E2199" s="116">
        <v>2157.1008722637998</v>
      </c>
      <c r="F2199" s="116">
        <v>2213.35</v>
      </c>
      <c r="G2199">
        <v>19229</v>
      </c>
      <c r="H2199" s="116"/>
      <c r="I2199" s="116"/>
      <c r="L2199" s="170">
        <v>45242</v>
      </c>
      <c r="M2199" s="116">
        <v>2143.87078830261</v>
      </c>
      <c r="N2199" s="116">
        <v>2158.0737444373799</v>
      </c>
      <c r="O2199" s="116">
        <v>2137.8115066751402</v>
      </c>
      <c r="P2199" s="116">
        <v>2151.9659885568999</v>
      </c>
      <c r="Q2199" s="116">
        <v>2211.35</v>
      </c>
      <c r="R2199">
        <v>148320</v>
      </c>
    </row>
    <row r="2200" spans="1:18" x14ac:dyDescent="0.25">
      <c r="A2200" s="170">
        <v>45243</v>
      </c>
      <c r="B2200" s="116">
        <v>2172.6126088733399</v>
      </c>
      <c r="C2200" s="116">
        <v>2145.6609665142701</v>
      </c>
      <c r="D2200" s="116">
        <v>2128.2587370054398</v>
      </c>
      <c r="E2200" s="116">
        <v>2151.2354968583199</v>
      </c>
      <c r="F2200" s="116">
        <v>2213.1999999999998</v>
      </c>
      <c r="G2200">
        <v>75864</v>
      </c>
      <c r="H2200" s="116"/>
      <c r="I2200" s="116"/>
      <c r="L2200" s="170">
        <v>45243</v>
      </c>
      <c r="M2200" s="116">
        <v>2146.1006039415101</v>
      </c>
      <c r="N2200" s="116">
        <v>2173.4885568976501</v>
      </c>
      <c r="O2200" s="116">
        <v>2128.5529243483802</v>
      </c>
      <c r="P2200" s="116">
        <v>2147.8941513032401</v>
      </c>
      <c r="Q2200" s="116">
        <v>2213.65</v>
      </c>
      <c r="R2200">
        <v>853633</v>
      </c>
    </row>
    <row r="2201" spans="1:18" x14ac:dyDescent="0.25">
      <c r="A2201" s="170">
        <v>45245</v>
      </c>
      <c r="B2201" s="116">
        <v>2182.3074442543002</v>
      </c>
      <c r="C2201" s="116">
        <v>2156.61613049475</v>
      </c>
      <c r="D2201" s="116">
        <v>2152.73819634237</v>
      </c>
      <c r="E2201" s="116">
        <v>2170.4797450895298</v>
      </c>
      <c r="F2201" s="116">
        <v>2224.5</v>
      </c>
      <c r="G2201">
        <v>23060</v>
      </c>
      <c r="H2201" s="116"/>
      <c r="I2201" s="116"/>
      <c r="L2201" s="170">
        <v>45245</v>
      </c>
      <c r="M2201" s="116">
        <v>2157.4920534011399</v>
      </c>
      <c r="N2201" s="116">
        <v>2181.3413858868398</v>
      </c>
      <c r="O2201" s="116">
        <v>2152.74157660521</v>
      </c>
      <c r="P2201" s="116">
        <v>2171.6465352829</v>
      </c>
      <c r="Q2201" s="116">
        <v>2225.4</v>
      </c>
      <c r="R2201">
        <v>696475</v>
      </c>
    </row>
    <row r="2202" spans="1:18" x14ac:dyDescent="0.25">
      <c r="A2202" s="170">
        <v>45246</v>
      </c>
      <c r="B2202" s="116">
        <v>2165.6323273990402</v>
      </c>
      <c r="C2202" s="116">
        <v>2137.7112015018802</v>
      </c>
      <c r="D2202" s="116">
        <v>2129.9553331971101</v>
      </c>
      <c r="E2202" s="116">
        <v>2162.86929931547</v>
      </c>
      <c r="F2202" s="116">
        <v>2205</v>
      </c>
      <c r="G2202">
        <v>39401</v>
      </c>
      <c r="H2202" s="116"/>
      <c r="I2202" s="116"/>
      <c r="L2202" s="170">
        <v>45246</v>
      </c>
      <c r="M2202" s="116">
        <v>2138.5870947234598</v>
      </c>
      <c r="N2202" s="116">
        <v>2164.6662428480599</v>
      </c>
      <c r="O2202" s="116">
        <v>2129.0861411316</v>
      </c>
      <c r="P2202" s="116">
        <v>2158.0737444373799</v>
      </c>
      <c r="Q2202" s="116">
        <v>2205.9</v>
      </c>
      <c r="R2202">
        <v>1307584</v>
      </c>
    </row>
    <row r="2203" spans="1:18" x14ac:dyDescent="0.25">
      <c r="A2203" s="170">
        <v>45247</v>
      </c>
      <c r="B2203" s="116">
        <v>2167.7651911828598</v>
      </c>
      <c r="C2203" s="116">
        <v>2140.9589713545001</v>
      </c>
      <c r="D2203" s="116">
        <v>2133.9302157032998</v>
      </c>
      <c r="E2203" s="116">
        <v>2146.3880791678398</v>
      </c>
      <c r="F2203" s="116">
        <v>2208.35</v>
      </c>
      <c r="G2203">
        <v>120804</v>
      </c>
      <c r="H2203" s="116"/>
      <c r="I2203" s="116"/>
      <c r="L2203" s="170">
        <v>45247</v>
      </c>
      <c r="M2203" s="116">
        <v>2141.3986013986</v>
      </c>
      <c r="N2203" s="116">
        <v>2169.6590909090901</v>
      </c>
      <c r="O2203" s="116">
        <v>2133.8366179275299</v>
      </c>
      <c r="P2203" s="116">
        <v>2138.5870947234598</v>
      </c>
      <c r="Q2203" s="116">
        <v>2208.8000000000002</v>
      </c>
      <c r="R2203">
        <v>916518</v>
      </c>
    </row>
    <row r="2204" spans="1:18" x14ac:dyDescent="0.25">
      <c r="A2204" s="170">
        <v>45250</v>
      </c>
      <c r="B2204" s="116">
        <v>2150.3144874971299</v>
      </c>
      <c r="C2204" s="116">
        <v>2083.3716491915902</v>
      </c>
      <c r="D2204" s="116">
        <v>2076.9245836632499</v>
      </c>
      <c r="E2204" s="116">
        <v>2141.49218730045</v>
      </c>
      <c r="F2204" s="116">
        <v>2148.9499999999998</v>
      </c>
      <c r="G2204">
        <v>62117</v>
      </c>
      <c r="H2204" s="116"/>
      <c r="I2204" s="116"/>
      <c r="L2204" s="170">
        <v>45250</v>
      </c>
      <c r="M2204" s="116">
        <v>2084.2474570883701</v>
      </c>
      <c r="N2204" s="116">
        <v>2150.8026064844198</v>
      </c>
      <c r="O2204" s="116">
        <v>2076.6369993642702</v>
      </c>
      <c r="P2204" s="116">
        <v>2143.5314685314702</v>
      </c>
      <c r="Q2204" s="116">
        <v>2149.85</v>
      </c>
      <c r="R2204">
        <v>1577213</v>
      </c>
    </row>
    <row r="2205" spans="1:18" x14ac:dyDescent="0.25">
      <c r="A2205" s="170">
        <v>45251</v>
      </c>
      <c r="B2205" s="116">
        <v>2163.8872570304702</v>
      </c>
      <c r="C2205" s="116">
        <v>2128.1617886516301</v>
      </c>
      <c r="D2205" s="116">
        <v>2092.14547521136</v>
      </c>
      <c r="E2205" s="116">
        <v>2092.14547521136</v>
      </c>
      <c r="F2205" s="116">
        <v>2195.15</v>
      </c>
      <c r="G2205">
        <v>144118</v>
      </c>
      <c r="H2205" s="116"/>
      <c r="I2205" s="116"/>
      <c r="L2205" s="170">
        <v>45251</v>
      </c>
      <c r="M2205" s="116">
        <v>2129.6193579148098</v>
      </c>
      <c r="N2205" s="116">
        <v>2164.4238715829601</v>
      </c>
      <c r="O2205" s="116">
        <v>2092.4880801017198</v>
      </c>
      <c r="P2205" s="116">
        <v>2094.0877304513701</v>
      </c>
      <c r="Q2205" s="116">
        <v>2196.65</v>
      </c>
      <c r="R2205">
        <v>1839502</v>
      </c>
    </row>
    <row r="2206" spans="1:18" x14ac:dyDescent="0.25">
      <c r="A2206" s="170">
        <v>45252</v>
      </c>
      <c r="B2206" s="116">
        <v>2151.0416001507001</v>
      </c>
      <c r="C2206" s="116">
        <v>2105.9606156292298</v>
      </c>
      <c r="D2206" s="116">
        <v>2087.5889025823099</v>
      </c>
      <c r="E2206" s="116">
        <v>2132.8637838114</v>
      </c>
      <c r="F2206" s="116">
        <v>2172.25</v>
      </c>
      <c r="G2206">
        <v>106746</v>
      </c>
      <c r="H2206" s="116"/>
      <c r="I2206" s="116"/>
      <c r="L2206" s="170">
        <v>45252</v>
      </c>
      <c r="M2206" s="116">
        <v>2106.3517164653499</v>
      </c>
      <c r="N2206" s="116">
        <v>2157.1042593769898</v>
      </c>
      <c r="O2206" s="116">
        <v>2087.7860775588001</v>
      </c>
      <c r="P2206" s="116">
        <v>2137.85998092816</v>
      </c>
      <c r="Q2206" s="116">
        <v>2172.65</v>
      </c>
      <c r="R2206">
        <v>1247205</v>
      </c>
    </row>
    <row r="2207" spans="1:18" x14ac:dyDescent="0.25">
      <c r="A2207" s="170">
        <v>45253</v>
      </c>
      <c r="B2207" s="116">
        <v>2123.1689484304402</v>
      </c>
      <c r="C2207" s="116">
        <v>2107.9480568823301</v>
      </c>
      <c r="D2207" s="116">
        <v>2095.5386675947002</v>
      </c>
      <c r="E2207" s="116">
        <v>2123.1689484304402</v>
      </c>
      <c r="F2207" s="116">
        <v>2174.3000000000002</v>
      </c>
      <c r="G2207">
        <v>24401</v>
      </c>
      <c r="H2207" s="116"/>
      <c r="I2207" s="116"/>
      <c r="L2207" s="170">
        <v>45253</v>
      </c>
      <c r="M2207" s="116">
        <v>2108.8723776223801</v>
      </c>
      <c r="N2207" s="116">
        <v>2123.17228226319</v>
      </c>
      <c r="O2207" s="116">
        <v>2094.6694214876002</v>
      </c>
      <c r="P2207" s="116">
        <v>2123.17228226319</v>
      </c>
      <c r="Q2207" s="116">
        <v>2175.25</v>
      </c>
      <c r="R2207">
        <v>729114</v>
      </c>
    </row>
    <row r="2208" spans="1:18" x14ac:dyDescent="0.25">
      <c r="A2208" s="170">
        <v>45254</v>
      </c>
      <c r="B2208" s="116">
        <v>2181.3379607162001</v>
      </c>
      <c r="C2208" s="116">
        <v>2162.3845575464202</v>
      </c>
      <c r="D2208" s="116">
        <v>2095.10240000255</v>
      </c>
      <c r="E2208" s="116">
        <v>2113.4741130494699</v>
      </c>
      <c r="F2208" s="116">
        <v>2230.4499999999998</v>
      </c>
      <c r="G2208">
        <v>68124</v>
      </c>
      <c r="H2208" s="116"/>
      <c r="I2208" s="116"/>
      <c r="L2208" s="170">
        <v>45254</v>
      </c>
      <c r="M2208" s="116">
        <v>2157.5405276541601</v>
      </c>
      <c r="N2208" s="116">
        <v>2183.2318817546102</v>
      </c>
      <c r="O2208" s="116">
        <v>2094.9602670057202</v>
      </c>
      <c r="P2208" s="116">
        <v>2112.5079465988601</v>
      </c>
      <c r="Q2208" s="116">
        <v>2225.4499999999998</v>
      </c>
      <c r="R2208">
        <v>1946259</v>
      </c>
    </row>
    <row r="2209" spans="1:18" x14ac:dyDescent="0.25">
      <c r="A2209" s="170">
        <v>45258</v>
      </c>
      <c r="B2209" s="116">
        <v>2413.04452632117</v>
      </c>
      <c r="C2209" s="116">
        <v>2349.73725128349</v>
      </c>
      <c r="D2209" s="116">
        <v>2201.5032183086</v>
      </c>
      <c r="E2209" s="116">
        <v>2215.2698845495602</v>
      </c>
      <c r="F2209" s="116">
        <v>2423.6999999999998</v>
      </c>
      <c r="G2209">
        <v>1136626</v>
      </c>
      <c r="H2209" s="116"/>
      <c r="I2209" s="116"/>
      <c r="L2209" s="170">
        <v>45258</v>
      </c>
      <c r="M2209" s="116">
        <v>2349.5470438652301</v>
      </c>
      <c r="N2209" s="116">
        <v>2435.7342657342701</v>
      </c>
      <c r="O2209" s="116">
        <v>2205.5785123966898</v>
      </c>
      <c r="P2209" s="116">
        <v>2230.7851239669399</v>
      </c>
      <c r="Q2209" s="116">
        <v>2423.5</v>
      </c>
      <c r="R2209">
        <v>11972275</v>
      </c>
    </row>
    <row r="2210" spans="1:18" x14ac:dyDescent="0.25">
      <c r="A2210" s="170">
        <v>45259</v>
      </c>
      <c r="B2210" s="116">
        <v>2401.1198788025799</v>
      </c>
      <c r="C2210" s="116">
        <v>2323.5611957548999</v>
      </c>
      <c r="D2210" s="116">
        <v>2317.06565604965</v>
      </c>
      <c r="E2210" s="116">
        <v>2400.4412403259198</v>
      </c>
      <c r="F2210" s="116">
        <v>2396.6999999999998</v>
      </c>
      <c r="G2210">
        <v>461532</v>
      </c>
      <c r="H2210" s="116"/>
      <c r="I2210" s="116"/>
      <c r="L2210" s="170">
        <v>45259</v>
      </c>
      <c r="M2210" s="116">
        <v>2323.46789574062</v>
      </c>
      <c r="N2210" s="116">
        <v>2402.0446598855701</v>
      </c>
      <c r="O2210" s="116">
        <v>2317.0692943420199</v>
      </c>
      <c r="P2210" s="116">
        <v>2393.3677685950402</v>
      </c>
      <c r="Q2210" s="116">
        <v>2396.6</v>
      </c>
      <c r="R2210">
        <v>4561574</v>
      </c>
    </row>
    <row r="2211" spans="1:18" x14ac:dyDescent="0.25">
      <c r="A2211" s="170">
        <v>45260</v>
      </c>
      <c r="B2211" s="116">
        <v>2334.5163597353799</v>
      </c>
      <c r="C2211" s="116">
        <v>2287.4964081377202</v>
      </c>
      <c r="D2211" s="116">
        <v>2271.2575588746099</v>
      </c>
      <c r="E2211" s="116">
        <v>2331.5594349441899</v>
      </c>
      <c r="F2211" s="116">
        <v>2359.5</v>
      </c>
      <c r="G2211">
        <v>242033</v>
      </c>
      <c r="H2211" s="116"/>
      <c r="I2211" s="116"/>
      <c r="L2211" s="170">
        <v>45260</v>
      </c>
      <c r="M2211" s="116">
        <v>2286.5789891926302</v>
      </c>
      <c r="N2211" s="116">
        <v>2335.4895104895099</v>
      </c>
      <c r="O2211" s="116">
        <v>2271.5519707565199</v>
      </c>
      <c r="P2211" s="116">
        <v>2326.81261919898</v>
      </c>
      <c r="Q2211" s="116">
        <v>2358.5500000000002</v>
      </c>
      <c r="R2211">
        <v>2983879</v>
      </c>
    </row>
    <row r="2212" spans="1:18" x14ac:dyDescent="0.25">
      <c r="A2212" s="170">
        <v>45261</v>
      </c>
      <c r="B2212" s="116">
        <v>2328.6994585068101</v>
      </c>
      <c r="C2212" s="116">
        <v>2290.2109620443898</v>
      </c>
      <c r="D2212" s="116">
        <v>2283.4245772777199</v>
      </c>
      <c r="E2212" s="116">
        <v>2301.5054452632098</v>
      </c>
      <c r="F2212" s="116">
        <v>2362.3000000000002</v>
      </c>
      <c r="G2212">
        <v>176125</v>
      </c>
      <c r="H2212" s="116"/>
      <c r="I2212" s="116"/>
      <c r="L2212" s="170">
        <v>45261</v>
      </c>
      <c r="M2212" s="116">
        <v>2290.6023521932598</v>
      </c>
      <c r="N2212" s="116">
        <v>2330.0119198982802</v>
      </c>
      <c r="O2212" s="116">
        <v>2282.2647806738701</v>
      </c>
      <c r="P2212" s="116">
        <v>2297.6795931341399</v>
      </c>
      <c r="Q2212" s="116">
        <v>2362.6999999999998</v>
      </c>
      <c r="R2212">
        <v>1792983</v>
      </c>
    </row>
    <row r="2213" spans="1:18" x14ac:dyDescent="0.25">
      <c r="A2213" s="170">
        <v>45264</v>
      </c>
      <c r="B2213" s="116">
        <v>2519.2029737426901</v>
      </c>
      <c r="C2213" s="116">
        <v>2452.1147129064402</v>
      </c>
      <c r="D2213" s="116">
        <v>2412.4143620213999</v>
      </c>
      <c r="E2213" s="116">
        <v>2462.5366609409698</v>
      </c>
      <c r="F2213" s="116">
        <v>2529.3000000000002</v>
      </c>
      <c r="G2213">
        <v>318155</v>
      </c>
      <c r="H2213" s="116"/>
      <c r="I2213" s="116"/>
      <c r="L2213" s="170">
        <v>45264</v>
      </c>
      <c r="M2213" s="116">
        <v>2453.9605848696801</v>
      </c>
      <c r="N2213" s="116">
        <v>2515.8137317228202</v>
      </c>
      <c r="O2213" s="116">
        <v>2411.5456134774299</v>
      </c>
      <c r="P2213" s="116">
        <v>2472.1384297520699</v>
      </c>
      <c r="Q2213" s="116">
        <v>2531.1999999999998</v>
      </c>
      <c r="R2213">
        <v>5681516</v>
      </c>
    </row>
    <row r="2214" spans="1:18" x14ac:dyDescent="0.25">
      <c r="A2214" s="170">
        <v>45265</v>
      </c>
      <c r="B2214" s="116">
        <v>2904.3787834282698</v>
      </c>
      <c r="C2214" s="116">
        <v>2869.76822111823</v>
      </c>
      <c r="D2214" s="116">
        <v>2455.7018019973898</v>
      </c>
      <c r="E2214" s="116">
        <v>2458.51330425787</v>
      </c>
      <c r="F2214" s="116">
        <v>2960.1</v>
      </c>
      <c r="G2214">
        <v>1412595</v>
      </c>
      <c r="H2214" s="116"/>
      <c r="I2214" s="116"/>
      <c r="L2214" s="170">
        <v>45265</v>
      </c>
      <c r="M2214" s="116">
        <v>2869.0456134774299</v>
      </c>
      <c r="N2214" s="116">
        <v>2908.3582326764099</v>
      </c>
      <c r="O2214" s="116">
        <v>2453.9605848696801</v>
      </c>
      <c r="P2214" s="116">
        <v>2453.9605848696801</v>
      </c>
      <c r="Q2214" s="116">
        <v>2959.35</v>
      </c>
      <c r="R2214">
        <v>22879079</v>
      </c>
    </row>
    <row r="2215" spans="1:18" x14ac:dyDescent="0.25">
      <c r="A2215" s="170">
        <v>45266</v>
      </c>
      <c r="B2215" s="116">
        <v>3058.72056269316</v>
      </c>
      <c r="C2215" s="116">
        <v>2797.1539041148399</v>
      </c>
      <c r="D2215" s="116">
        <v>2756.7264405762298</v>
      </c>
      <c r="E2215" s="116">
        <v>2998.9519025695399</v>
      </c>
      <c r="F2215" s="116">
        <v>2885.2</v>
      </c>
      <c r="G2215">
        <v>1993811</v>
      </c>
      <c r="H2215" s="116"/>
      <c r="I2215" s="116"/>
      <c r="L2215" s="170">
        <v>45266</v>
      </c>
      <c r="M2215" s="116">
        <v>2795.9464399237099</v>
      </c>
      <c r="N2215" s="116">
        <v>3058.2890972663699</v>
      </c>
      <c r="O2215" s="116">
        <v>2758.0395740622998</v>
      </c>
      <c r="P2215" s="116">
        <v>2986.0139860139898</v>
      </c>
      <c r="Q2215" s="116">
        <v>2883.95</v>
      </c>
      <c r="R2215">
        <v>19355777</v>
      </c>
    </row>
    <row r="2216" spans="1:18" x14ac:dyDescent="0.25">
      <c r="A2216" s="170">
        <v>45267</v>
      </c>
      <c r="B2216" s="116">
        <v>2855.80765816965</v>
      </c>
      <c r="C2216" s="116">
        <v>2798.2688101836502</v>
      </c>
      <c r="D2216" s="116">
        <v>2763.4158769890901</v>
      </c>
      <c r="E2216" s="116">
        <v>2816.3496781691401</v>
      </c>
      <c r="F2216" s="116">
        <v>2886.35</v>
      </c>
      <c r="G2216">
        <v>586754</v>
      </c>
      <c r="H2216" s="116"/>
      <c r="I2216" s="116"/>
      <c r="L2216" s="170">
        <v>45267</v>
      </c>
      <c r="M2216" s="116">
        <v>2799.0487921169702</v>
      </c>
      <c r="N2216" s="116">
        <v>2856.0060394151301</v>
      </c>
      <c r="O2216" s="116">
        <v>2765.98935155753</v>
      </c>
      <c r="P2216" s="116">
        <v>2811.50667514304</v>
      </c>
      <c r="Q2216" s="116">
        <v>2887.15</v>
      </c>
      <c r="R2216">
        <v>6325887</v>
      </c>
    </row>
    <row r="2217" spans="1:18" x14ac:dyDescent="0.25">
      <c r="A2217" s="170">
        <v>45268</v>
      </c>
      <c r="B2217" s="116">
        <v>2836.9512033536798</v>
      </c>
      <c r="C2217" s="116">
        <v>2735.3493285612099</v>
      </c>
      <c r="D2217" s="116">
        <v>2676.7440486833002</v>
      </c>
      <c r="E2217" s="116">
        <v>2820.7608282674801</v>
      </c>
      <c r="F2217" s="116">
        <v>2821.45</v>
      </c>
      <c r="G2217">
        <v>373620</v>
      </c>
      <c r="H2217" s="116"/>
      <c r="I2217" s="116"/>
      <c r="L2217" s="170">
        <v>45268</v>
      </c>
      <c r="M2217" s="116">
        <v>2736.03226319135</v>
      </c>
      <c r="N2217" s="116">
        <v>2837.6827717736801</v>
      </c>
      <c r="O2217" s="116">
        <v>2675.7787666878598</v>
      </c>
      <c r="P2217" s="116">
        <v>2814.1242848061001</v>
      </c>
      <c r="Q2217" s="116">
        <v>2822.15</v>
      </c>
      <c r="R2217">
        <v>6959428</v>
      </c>
    </row>
    <row r="2218" spans="1:18" x14ac:dyDescent="0.25">
      <c r="A2218" s="170">
        <v>45271</v>
      </c>
      <c r="B2218" s="116">
        <v>2829.7770251717702</v>
      </c>
      <c r="C2218" s="116">
        <v>2768.7965106255301</v>
      </c>
      <c r="D2218" s="116">
        <v>2726.3816058338198</v>
      </c>
      <c r="E2218" s="116">
        <v>2747.5648211412199</v>
      </c>
      <c r="F2218" s="116">
        <v>2855.95</v>
      </c>
      <c r="G2218">
        <v>225160</v>
      </c>
      <c r="H2218" s="116"/>
      <c r="I2218" s="116"/>
      <c r="L2218" s="170">
        <v>45271</v>
      </c>
      <c r="M2218" s="116">
        <v>2768.6554354736199</v>
      </c>
      <c r="N2218" s="116">
        <v>2830.79942784488</v>
      </c>
      <c r="O2218" s="116">
        <v>2725.2709790209801</v>
      </c>
      <c r="P2218" s="116">
        <v>2750.4775905912302</v>
      </c>
      <c r="Q2218" s="116">
        <v>2855.8</v>
      </c>
      <c r="R2218">
        <v>5064123</v>
      </c>
    </row>
    <row r="2219" spans="1:18" x14ac:dyDescent="0.25">
      <c r="A2219" s="170">
        <v>45272</v>
      </c>
      <c r="B2219" s="116">
        <v>2806.5094202574601</v>
      </c>
      <c r="C2219" s="116">
        <v>2770.2507359326701</v>
      </c>
      <c r="D2219" s="116">
        <v>2753.3332481928901</v>
      </c>
      <c r="E2219" s="116">
        <v>2777.6188108222</v>
      </c>
      <c r="F2219" s="116">
        <v>2857.45</v>
      </c>
      <c r="G2219">
        <v>226532</v>
      </c>
      <c r="H2219" s="116"/>
      <c r="I2219" s="116"/>
      <c r="L2219" s="170">
        <v>45272</v>
      </c>
      <c r="M2219" s="116">
        <v>2770.4489828353499</v>
      </c>
      <c r="N2219" s="116">
        <v>2807.5802606484399</v>
      </c>
      <c r="O2219" s="116">
        <v>2753.87078830261</v>
      </c>
      <c r="P2219" s="116">
        <v>2781.54958677686</v>
      </c>
      <c r="Q2219" s="116">
        <v>2857.65</v>
      </c>
      <c r="R2219">
        <v>2017772</v>
      </c>
    </row>
    <row r="2220" spans="1:18" x14ac:dyDescent="0.25">
      <c r="A2220" s="170">
        <v>45273</v>
      </c>
      <c r="B2220" s="116">
        <v>2810.5327769405599</v>
      </c>
      <c r="C2220" s="116">
        <v>2788.04075885673</v>
      </c>
      <c r="D2220" s="116">
        <v>2720.56470460525</v>
      </c>
      <c r="E2220" s="116">
        <v>2770.2507359326701</v>
      </c>
      <c r="F2220" s="116">
        <v>2875.8</v>
      </c>
      <c r="G2220">
        <v>128054</v>
      </c>
      <c r="H2220" s="116"/>
      <c r="I2220" s="116"/>
      <c r="L2220" s="170">
        <v>45273</v>
      </c>
      <c r="M2220" s="116">
        <v>2787.3180228862002</v>
      </c>
      <c r="N2220" s="116">
        <v>2810.6341385886799</v>
      </c>
      <c r="O2220" s="116">
        <v>2719.4055944055899</v>
      </c>
      <c r="P2220" s="116">
        <v>2772.7272727272698</v>
      </c>
      <c r="Q2220" s="116">
        <v>2875.05</v>
      </c>
      <c r="R2220">
        <v>2805832</v>
      </c>
    </row>
    <row r="2221" spans="1:18" x14ac:dyDescent="0.25">
      <c r="A2221" s="170">
        <v>45274</v>
      </c>
      <c r="B2221" s="116">
        <v>2841.5562501596401</v>
      </c>
      <c r="C2221" s="116">
        <v>2805.7823076038899</v>
      </c>
      <c r="D2221" s="116">
        <v>2799.8684580215099</v>
      </c>
      <c r="E2221" s="116">
        <v>2811.50226047866</v>
      </c>
      <c r="F2221" s="116">
        <v>2894.1</v>
      </c>
      <c r="G2221">
        <v>309483</v>
      </c>
      <c r="H2221" s="116"/>
      <c r="I2221" s="116"/>
      <c r="L2221" s="170">
        <v>45274</v>
      </c>
      <c r="M2221" s="116">
        <v>2805.7382390336902</v>
      </c>
      <c r="N2221" s="116">
        <v>2843.4512078830298</v>
      </c>
      <c r="O2221" s="116">
        <v>2798.9033693579099</v>
      </c>
      <c r="P2221" s="116">
        <v>2812.4276859504098</v>
      </c>
      <c r="Q2221" s="116">
        <v>2894.05</v>
      </c>
      <c r="R2221">
        <v>3224681</v>
      </c>
    </row>
    <row r="2222" spans="1:18" x14ac:dyDescent="0.25">
      <c r="A2222" s="170">
        <v>45275</v>
      </c>
      <c r="B2222" s="116">
        <v>2907.9658725192198</v>
      </c>
      <c r="C2222" s="116">
        <v>2898.9981497918302</v>
      </c>
      <c r="D2222" s="116">
        <v>2803.9402888815098</v>
      </c>
      <c r="E2222" s="116">
        <v>2819.83981890629</v>
      </c>
      <c r="F2222" s="116">
        <v>2990.25</v>
      </c>
      <c r="G2222">
        <v>624056</v>
      </c>
      <c r="H2222" s="116"/>
      <c r="I2222" s="116"/>
      <c r="L2222" s="170">
        <v>45275</v>
      </c>
      <c r="M2222" s="116">
        <v>2900.5054036872202</v>
      </c>
      <c r="N2222" s="116">
        <v>2908.4551811824499</v>
      </c>
      <c r="O2222" s="116">
        <v>2805.59281627463</v>
      </c>
      <c r="P2222" s="116">
        <v>2823.1889701207901</v>
      </c>
      <c r="Q2222" s="116">
        <v>2991.8</v>
      </c>
      <c r="R2222">
        <v>4921484</v>
      </c>
    </row>
    <row r="2223" spans="1:18" x14ac:dyDescent="0.25">
      <c r="A2223" s="170">
        <v>45278</v>
      </c>
      <c r="B2223" s="116">
        <v>2934.3842989323398</v>
      </c>
      <c r="C2223" s="116">
        <v>2888.3338308727698</v>
      </c>
      <c r="D2223" s="116">
        <v>2869.9136436489498</v>
      </c>
      <c r="E2223" s="116">
        <v>2905.5421636739802</v>
      </c>
      <c r="F2223" s="116">
        <v>2979.25</v>
      </c>
      <c r="G2223">
        <v>145531</v>
      </c>
      <c r="H2223" s="116"/>
      <c r="I2223" s="116"/>
      <c r="L2223" s="170">
        <v>45278</v>
      </c>
      <c r="M2223" s="116">
        <v>2889.6471710108099</v>
      </c>
      <c r="N2223" s="116">
        <v>2935.3583916083899</v>
      </c>
      <c r="O2223" s="116">
        <v>2870.7422123331198</v>
      </c>
      <c r="P2223" s="116">
        <v>2902.5897965670702</v>
      </c>
      <c r="Q2223" s="116">
        <v>2980.6</v>
      </c>
      <c r="R2223">
        <v>2315922</v>
      </c>
    </row>
    <row r="2224" spans="1:18" x14ac:dyDescent="0.25">
      <c r="A2224" s="170">
        <v>45279</v>
      </c>
      <c r="B2224" s="116">
        <v>2902.1004971137399</v>
      </c>
      <c r="C2224" s="116">
        <v>2851.2995597175</v>
      </c>
      <c r="D2224" s="116">
        <v>2826.1414619039101</v>
      </c>
      <c r="E2224" s="116">
        <v>2894.0537837475399</v>
      </c>
      <c r="F2224" s="116">
        <v>2941.05</v>
      </c>
      <c r="G2224">
        <v>111079</v>
      </c>
      <c r="H2224" s="116"/>
      <c r="I2224" s="116"/>
      <c r="L2224" s="170">
        <v>45279</v>
      </c>
      <c r="M2224" s="116">
        <v>2851.4979338843</v>
      </c>
      <c r="N2224" s="116">
        <v>2902.9775905912302</v>
      </c>
      <c r="O2224" s="116">
        <v>2826.0489510489501</v>
      </c>
      <c r="P2224" s="116">
        <v>2897.59694850604</v>
      </c>
      <c r="Q2224" s="116">
        <v>2941.25</v>
      </c>
      <c r="R2224">
        <v>1741493</v>
      </c>
    </row>
    <row r="2225" spans="1:18" x14ac:dyDescent="0.25">
      <c r="A2225" s="170">
        <v>45280</v>
      </c>
      <c r="B2225" s="116">
        <v>2877.4271410691899</v>
      </c>
      <c r="C2225" s="116">
        <v>2700.5448695435598</v>
      </c>
      <c r="D2225" s="116">
        <v>2684.4029686342601</v>
      </c>
      <c r="E2225" s="116">
        <v>2859.9764373834601</v>
      </c>
      <c r="F2225" s="116">
        <v>2785.55</v>
      </c>
      <c r="G2225">
        <v>155510</v>
      </c>
      <c r="H2225" s="116"/>
      <c r="I2225" s="116"/>
      <c r="L2225" s="170">
        <v>45280</v>
      </c>
      <c r="M2225" s="116">
        <v>2698.90098537826</v>
      </c>
      <c r="N2225" s="116">
        <v>2877.4316592498399</v>
      </c>
      <c r="O2225" s="116">
        <v>2681.7895740622998</v>
      </c>
      <c r="P2225" s="116">
        <v>2856.1029879211701</v>
      </c>
      <c r="Q2225" s="116">
        <v>2783.85</v>
      </c>
      <c r="R2225">
        <v>3417739</v>
      </c>
    </row>
    <row r="2226" spans="1:18" x14ac:dyDescent="0.25">
      <c r="A2226" s="170">
        <v>45281</v>
      </c>
      <c r="B2226" s="116">
        <v>2735.3008543843098</v>
      </c>
      <c r="C2226" s="116">
        <v>2716.10508033</v>
      </c>
      <c r="D2226" s="116">
        <v>2639.9521484125598</v>
      </c>
      <c r="E2226" s="116">
        <v>2661.8140021966201</v>
      </c>
      <c r="F2226" s="116">
        <v>2801.6</v>
      </c>
      <c r="G2226">
        <v>237420</v>
      </c>
      <c r="H2226" s="116"/>
      <c r="I2226" s="116"/>
      <c r="L2226" s="170">
        <v>45281</v>
      </c>
      <c r="M2226" s="116">
        <v>2714.3157978385202</v>
      </c>
      <c r="N2226" s="116">
        <v>2735.83836617928</v>
      </c>
      <c r="O2226" s="116">
        <v>2641.84678957406</v>
      </c>
      <c r="P2226" s="116">
        <v>2666.08391608392</v>
      </c>
      <c r="Q2226" s="116">
        <v>2799.75</v>
      </c>
      <c r="R2226">
        <v>2678577</v>
      </c>
    </row>
    <row r="2227" spans="1:18" x14ac:dyDescent="0.25">
      <c r="A2227" s="170">
        <v>45282</v>
      </c>
      <c r="B2227" s="116">
        <v>2761.0891164976601</v>
      </c>
      <c r="C2227" s="116">
        <v>2721.7280848509599</v>
      </c>
      <c r="D2227" s="116">
        <v>2706.1678740645202</v>
      </c>
      <c r="E2227" s="116">
        <v>2731.0351268166801</v>
      </c>
      <c r="F2227" s="116">
        <v>2807.4</v>
      </c>
      <c r="G2227">
        <v>133933</v>
      </c>
      <c r="H2227" s="116"/>
      <c r="I2227" s="116"/>
      <c r="L2227" s="170">
        <v>45282</v>
      </c>
      <c r="M2227" s="116">
        <v>2722.6533693579099</v>
      </c>
      <c r="N2227" s="116">
        <v>2760.7056579783798</v>
      </c>
      <c r="O2227" s="116">
        <v>2706.2205975842298</v>
      </c>
      <c r="P2227" s="116">
        <v>2730.02145581691</v>
      </c>
      <c r="Q2227" s="116">
        <v>2808.35</v>
      </c>
      <c r="R2227">
        <v>1513956</v>
      </c>
    </row>
    <row r="2228" spans="1:18" x14ac:dyDescent="0.25">
      <c r="A2228" s="170">
        <v>45286</v>
      </c>
      <c r="B2228" s="116">
        <v>2804.6189273581799</v>
      </c>
      <c r="C2228" s="116">
        <v>2781.2543740900601</v>
      </c>
      <c r="D2228" s="116">
        <v>2714.2630616076199</v>
      </c>
      <c r="E2228" s="116">
        <v>2731.0351268166801</v>
      </c>
      <c r="F2228" s="116">
        <v>2868.8</v>
      </c>
      <c r="G2228">
        <v>76342</v>
      </c>
      <c r="H2228" s="116"/>
      <c r="I2228" s="116"/>
      <c r="L2228" s="170">
        <v>45286</v>
      </c>
      <c r="M2228" s="116">
        <v>2778.01096630642</v>
      </c>
      <c r="N2228" s="116">
        <v>2805.4473935155802</v>
      </c>
      <c r="O2228" s="116">
        <v>2714.65511760966</v>
      </c>
      <c r="P2228" s="116">
        <v>2731.0394151303199</v>
      </c>
      <c r="Q2228" s="116">
        <v>2865.45</v>
      </c>
      <c r="R2228">
        <v>2048484</v>
      </c>
    </row>
    <row r="2229" spans="1:18" x14ac:dyDescent="0.25">
      <c r="A2229" s="170">
        <v>45287</v>
      </c>
      <c r="B2229" s="116">
        <v>2807.5758521493699</v>
      </c>
      <c r="C2229" s="116">
        <v>2756.0478020995602</v>
      </c>
      <c r="D2229" s="116">
        <v>2748.48583050241</v>
      </c>
      <c r="E2229" s="116">
        <v>2792.1125897167399</v>
      </c>
      <c r="F2229" s="116">
        <v>2842.8</v>
      </c>
      <c r="G2229">
        <v>126454</v>
      </c>
      <c r="H2229" s="116"/>
      <c r="I2229" s="116"/>
      <c r="L2229" s="170">
        <v>45287</v>
      </c>
      <c r="M2229" s="116">
        <v>2756.5853464717102</v>
      </c>
      <c r="N2229" s="116">
        <v>2806.46535282899</v>
      </c>
      <c r="O2229" s="116">
        <v>2747.1328671328702</v>
      </c>
      <c r="P2229" s="116">
        <v>2792.7956134774299</v>
      </c>
      <c r="Q2229" s="116">
        <v>2843.35</v>
      </c>
      <c r="R2229">
        <v>1698325</v>
      </c>
    </row>
    <row r="2230" spans="1:18" x14ac:dyDescent="0.25">
      <c r="A2230" s="170">
        <v>45288</v>
      </c>
      <c r="B2230" s="116">
        <v>2779.9455713136299</v>
      </c>
      <c r="C2230" s="116">
        <v>2726.6724508952502</v>
      </c>
      <c r="D2230" s="116">
        <v>2715.9111836223901</v>
      </c>
      <c r="E2230" s="116">
        <v>2765.9850083650499</v>
      </c>
      <c r="F2230" s="116">
        <v>2812.5</v>
      </c>
      <c r="G2230">
        <v>75717</v>
      </c>
      <c r="H2230" s="116"/>
      <c r="I2230" s="116"/>
      <c r="L2230" s="170">
        <v>45288</v>
      </c>
      <c r="M2230" s="116">
        <v>2724.1560712015298</v>
      </c>
      <c r="N2230" s="116">
        <v>2779.8529879211701</v>
      </c>
      <c r="O2230" s="116">
        <v>2714.65511760966</v>
      </c>
      <c r="P2230" s="116">
        <v>2767.8798474252999</v>
      </c>
      <c r="Q2230" s="116">
        <v>2809.9</v>
      </c>
      <c r="R2230">
        <v>4102912</v>
      </c>
    </row>
    <row r="2231" spans="1:18" x14ac:dyDescent="0.25">
      <c r="A2231" s="170">
        <v>45289</v>
      </c>
      <c r="B2231" s="116">
        <v>2774.66188603101</v>
      </c>
      <c r="C2231" s="116">
        <v>2762.0586000357598</v>
      </c>
      <c r="D2231" s="116">
        <v>2717.4623572833402</v>
      </c>
      <c r="E2231" s="116">
        <v>2734.1859483154999</v>
      </c>
      <c r="F2231" s="116">
        <v>2849</v>
      </c>
      <c r="G2231">
        <v>173611</v>
      </c>
      <c r="H2231" s="116"/>
      <c r="I2231" s="116"/>
      <c r="L2231" s="170">
        <v>45289</v>
      </c>
      <c r="M2231" s="116">
        <v>2762.0144628099201</v>
      </c>
      <c r="N2231" s="116">
        <v>2775.92657342657</v>
      </c>
      <c r="O2231" s="116">
        <v>2717.32120152575</v>
      </c>
      <c r="P2231" s="116">
        <v>2737.7288620470399</v>
      </c>
      <c r="Q2231" s="116">
        <v>2848.95</v>
      </c>
      <c r="R2231">
        <v>1507086</v>
      </c>
    </row>
    <row r="2232" spans="1:18" x14ac:dyDescent="0.25">
      <c r="A2232" s="170">
        <v>45292</v>
      </c>
      <c r="B2232" s="116">
        <v>2857.84357359965</v>
      </c>
      <c r="C2232" s="116">
        <v>2827.8865322724801</v>
      </c>
      <c r="D2232" s="116">
        <v>2755.32068944599</v>
      </c>
      <c r="E2232" s="116">
        <v>2763.0280835738499</v>
      </c>
      <c r="F2232" s="116">
        <v>2916.9</v>
      </c>
      <c r="G2232">
        <v>314472</v>
      </c>
      <c r="H2232" s="116"/>
      <c r="I2232" s="116"/>
      <c r="L2232" s="170">
        <v>45292</v>
      </c>
      <c r="M2232" s="116">
        <v>2828.1818181818198</v>
      </c>
      <c r="N2232" s="116">
        <v>2857.0724729815602</v>
      </c>
      <c r="O2232" s="116">
        <v>2755.3250158932001</v>
      </c>
      <c r="P2232" s="116">
        <v>2765.2622377622401</v>
      </c>
      <c r="Q2232" s="116">
        <v>2917.2</v>
      </c>
      <c r="R2232">
        <v>2898619</v>
      </c>
    </row>
    <row r="2233" spans="1:18" x14ac:dyDescent="0.25">
      <c r="A2233" s="170">
        <v>45293</v>
      </c>
      <c r="B2233" s="116">
        <v>2857.0679867691802</v>
      </c>
      <c r="C2233" s="116">
        <v>2842.5742078746398</v>
      </c>
      <c r="D2233" s="116">
        <v>2755.2722152690899</v>
      </c>
      <c r="E2233" s="116">
        <v>2838.9871187836802</v>
      </c>
      <c r="F2233" s="116">
        <v>2932.05</v>
      </c>
      <c r="G2233">
        <v>130160</v>
      </c>
      <c r="H2233" s="116"/>
      <c r="I2233" s="116"/>
      <c r="L2233" s="170">
        <v>45293</v>
      </c>
      <c r="M2233" s="116">
        <v>2842.91799109981</v>
      </c>
      <c r="N2233" s="116">
        <v>2858.2358550540398</v>
      </c>
      <c r="O2233" s="116">
        <v>2754.3070565797798</v>
      </c>
      <c r="P2233" s="116">
        <v>2832.8353464717102</v>
      </c>
      <c r="Q2233" s="116">
        <v>2932.4</v>
      </c>
      <c r="R2233">
        <v>2671368</v>
      </c>
    </row>
    <row r="2234" spans="1:18" x14ac:dyDescent="0.25">
      <c r="A2234" s="170">
        <v>45294</v>
      </c>
      <c r="B2234" s="116">
        <v>3101.81410596153</v>
      </c>
      <c r="C2234" s="116">
        <v>2912.2800742637501</v>
      </c>
      <c r="D2234" s="116">
        <v>2866.8112963270401</v>
      </c>
      <c r="E2234" s="116">
        <v>2955.9553076549801</v>
      </c>
      <c r="F2234" s="116">
        <v>3003.95</v>
      </c>
      <c r="G2234">
        <v>1114801</v>
      </c>
      <c r="H2234" s="116"/>
      <c r="I2234" s="116"/>
      <c r="L2234" s="170">
        <v>45294</v>
      </c>
      <c r="M2234" s="116">
        <v>2911.3636363636401</v>
      </c>
      <c r="N2234" s="116">
        <v>3101.3827082008902</v>
      </c>
      <c r="O2234" s="116">
        <v>2865.4100445009499</v>
      </c>
      <c r="P2234" s="116">
        <v>2954.0209790209801</v>
      </c>
      <c r="Q2234" s="116">
        <v>3003</v>
      </c>
      <c r="R2234">
        <v>19725411</v>
      </c>
    </row>
    <row r="2235" spans="1:18" x14ac:dyDescent="0.25">
      <c r="A2235" s="170">
        <v>45295</v>
      </c>
      <c r="B2235" s="116">
        <v>2951.8350026180701</v>
      </c>
      <c r="C2235" s="116">
        <v>2907.0933373349299</v>
      </c>
      <c r="D2235" s="116">
        <v>2899.77373662231</v>
      </c>
      <c r="E2235" s="116">
        <v>2942.3340639447301</v>
      </c>
      <c r="F2235" s="116">
        <v>2998.6</v>
      </c>
      <c r="G2235">
        <v>310738</v>
      </c>
      <c r="H2235" s="116"/>
      <c r="I2235" s="116"/>
      <c r="L2235" s="170">
        <v>45295</v>
      </c>
      <c r="M2235" s="116">
        <v>2906.8070565797798</v>
      </c>
      <c r="N2235" s="116">
        <v>2951.5487921169702</v>
      </c>
      <c r="O2235" s="116">
        <v>2898.7603305785101</v>
      </c>
      <c r="P2235" s="116">
        <v>2946.65289256198</v>
      </c>
      <c r="Q2235" s="116">
        <v>2998.3</v>
      </c>
      <c r="R2235">
        <v>2975620</v>
      </c>
    </row>
    <row r="2236" spans="1:18" x14ac:dyDescent="0.25">
      <c r="A2236" s="170">
        <v>45296</v>
      </c>
      <c r="B2236" s="116">
        <v>2970.6429832571298</v>
      </c>
      <c r="C2236" s="116">
        <v>2914.9461539935101</v>
      </c>
      <c r="D2236" s="116">
        <v>2890.9999106025398</v>
      </c>
      <c r="E2236" s="116">
        <v>2908.4506142882701</v>
      </c>
      <c r="F2236" s="116">
        <v>3006.7</v>
      </c>
      <c r="G2236">
        <v>369900</v>
      </c>
      <c r="H2236" s="116"/>
      <c r="I2236" s="116"/>
      <c r="L2236" s="170">
        <v>45296</v>
      </c>
      <c r="M2236" s="116">
        <v>2914.8537825810499</v>
      </c>
      <c r="N2236" s="116">
        <v>2973.3137317228202</v>
      </c>
      <c r="O2236" s="116">
        <v>2890.1319135409999</v>
      </c>
      <c r="P2236" s="116">
        <v>2918.1015575333799</v>
      </c>
      <c r="Q2236" s="116">
        <v>3006.6</v>
      </c>
      <c r="R2236">
        <v>3219949</v>
      </c>
    </row>
    <row r="2237" spans="1:18" x14ac:dyDescent="0.25">
      <c r="A2237" s="170">
        <v>45299</v>
      </c>
      <c r="B2237" s="116">
        <v>2932.15448679472</v>
      </c>
      <c r="C2237" s="116">
        <v>2873.1129393246702</v>
      </c>
      <c r="D2237" s="116">
        <v>2862.7394654670402</v>
      </c>
      <c r="E2237" s="116">
        <v>2924.8833602589998</v>
      </c>
      <c r="F2237" s="116">
        <v>2963.55</v>
      </c>
      <c r="G2237">
        <v>187111</v>
      </c>
      <c r="H2237" s="116"/>
      <c r="I2237" s="116"/>
      <c r="L2237" s="170">
        <v>45299</v>
      </c>
      <c r="M2237" s="116">
        <v>2873.06897647807</v>
      </c>
      <c r="N2237" s="116">
        <v>2934.6312778131</v>
      </c>
      <c r="O2237" s="116">
        <v>2862.8409090909099</v>
      </c>
      <c r="P2237" s="116">
        <v>2927.84488239034</v>
      </c>
      <c r="Q2237" s="116">
        <v>2963.5</v>
      </c>
      <c r="R2237">
        <v>1849061</v>
      </c>
    </row>
    <row r="2238" spans="1:18" x14ac:dyDescent="0.25">
      <c r="A2238" s="170">
        <v>45300</v>
      </c>
      <c r="B2238" s="116">
        <v>2973.8422789328501</v>
      </c>
      <c r="C2238" s="116">
        <v>2922.8959190058999</v>
      </c>
      <c r="D2238" s="116">
        <v>2892.7449809711102</v>
      </c>
      <c r="E2238" s="116">
        <v>2898.7557789073098</v>
      </c>
      <c r="F2238" s="116">
        <v>3014.9</v>
      </c>
      <c r="G2238">
        <v>338539</v>
      </c>
      <c r="H2238" s="116"/>
      <c r="I2238" s="116"/>
      <c r="L2238" s="170">
        <v>45300</v>
      </c>
      <c r="M2238" s="116">
        <v>2922.6096630642101</v>
      </c>
      <c r="N2238" s="116">
        <v>2975.1557533375699</v>
      </c>
      <c r="O2238" s="116">
        <v>2889.0654799745698</v>
      </c>
      <c r="P2238" s="116">
        <v>2899.4389701207901</v>
      </c>
      <c r="Q2238" s="116">
        <v>3014.6</v>
      </c>
      <c r="R2238">
        <v>2885706</v>
      </c>
    </row>
    <row r="2239" spans="1:18" x14ac:dyDescent="0.25">
      <c r="A2239" s="170">
        <v>45301</v>
      </c>
      <c r="B2239" s="116">
        <v>3016.8873480243201</v>
      </c>
      <c r="C2239" s="116">
        <v>3004.5749070904999</v>
      </c>
      <c r="D2239" s="116">
        <v>2927.8402850501898</v>
      </c>
      <c r="E2239" s="116">
        <v>2928.9551911190001</v>
      </c>
      <c r="F2239" s="116">
        <v>3099.15</v>
      </c>
      <c r="G2239">
        <v>464391</v>
      </c>
      <c r="H2239" s="116"/>
      <c r="I2239" s="116"/>
      <c r="L2239" s="170">
        <v>45301</v>
      </c>
      <c r="M2239" s="116">
        <v>3003.6586141131602</v>
      </c>
      <c r="N2239" s="116">
        <v>3017.0375079465998</v>
      </c>
      <c r="O2239" s="116">
        <v>2927.8933566433602</v>
      </c>
      <c r="P2239" s="116">
        <v>2931.7228226319098</v>
      </c>
      <c r="Q2239" s="116">
        <v>3098.2</v>
      </c>
      <c r="R2239">
        <v>3590297</v>
      </c>
    </row>
    <row r="2240" spans="1:18" x14ac:dyDescent="0.25">
      <c r="A2240" s="170">
        <v>45302</v>
      </c>
      <c r="B2240" s="116">
        <v>3033.5139907026601</v>
      </c>
      <c r="C2240" s="116">
        <v>2986.4455649280999</v>
      </c>
      <c r="D2240" s="116">
        <v>2971.4670442645102</v>
      </c>
      <c r="E2240" s="116">
        <v>3028.2787795969498</v>
      </c>
      <c r="F2240" s="116">
        <v>3080.45</v>
      </c>
      <c r="G2240">
        <v>171033</v>
      </c>
      <c r="H2240" s="116"/>
      <c r="I2240" s="116"/>
      <c r="L2240" s="170">
        <v>45302</v>
      </c>
      <c r="M2240" s="116">
        <v>2986.8865225683398</v>
      </c>
      <c r="N2240" s="116">
        <v>3033.5187539733001</v>
      </c>
      <c r="O2240" s="116">
        <v>2971.4717101080701</v>
      </c>
      <c r="P2240" s="116">
        <v>3024.7933884297499</v>
      </c>
      <c r="Q2240" s="116">
        <v>3080.9</v>
      </c>
      <c r="R2240">
        <v>2008103</v>
      </c>
    </row>
    <row r="2241" spans="1:18" x14ac:dyDescent="0.25">
      <c r="A2241" s="170">
        <v>45303</v>
      </c>
      <c r="B2241" s="116">
        <v>3029.1028406043301</v>
      </c>
      <c r="C2241" s="116">
        <v>3009.5192731347902</v>
      </c>
      <c r="D2241" s="116">
        <v>2976.3144619549898</v>
      </c>
      <c r="E2241" s="116">
        <v>3004.4294845597801</v>
      </c>
      <c r="F2241" s="116">
        <v>3104.25</v>
      </c>
      <c r="G2241">
        <v>89005</v>
      </c>
      <c r="H2241" s="116"/>
      <c r="I2241" s="116"/>
      <c r="L2241" s="170">
        <v>45303</v>
      </c>
      <c r="M2241" s="116">
        <v>3009.3785759694802</v>
      </c>
      <c r="N2241" s="116">
        <v>3029.6408137317198</v>
      </c>
      <c r="O2241" s="116">
        <v>2974.5740623013298</v>
      </c>
      <c r="P2241" s="116">
        <v>3001.8650667514298</v>
      </c>
      <c r="Q2241" s="116">
        <v>3104.1</v>
      </c>
      <c r="R2241">
        <v>1795933</v>
      </c>
    </row>
    <row r="2242" spans="1:18" x14ac:dyDescent="0.25">
      <c r="A2242" s="170">
        <v>45306</v>
      </c>
      <c r="B2242" s="116">
        <v>3037.4403990319502</v>
      </c>
      <c r="C2242" s="116">
        <v>2995.2193909478701</v>
      </c>
      <c r="D2242" s="116">
        <v>2974.3754948788001</v>
      </c>
      <c r="E2242" s="116">
        <v>3037.4403990319502</v>
      </c>
      <c r="F2242" s="116">
        <v>3089.5</v>
      </c>
      <c r="G2242">
        <v>146828</v>
      </c>
      <c r="H2242" s="116"/>
      <c r="I2242" s="116"/>
      <c r="L2242" s="170">
        <v>45306</v>
      </c>
      <c r="M2242" s="116">
        <v>2995.22409408773</v>
      </c>
      <c r="N2242" s="116">
        <v>3034.4882390336902</v>
      </c>
      <c r="O2242" s="116">
        <v>2973.84694850604</v>
      </c>
      <c r="P2242" s="116">
        <v>3031.57978385251</v>
      </c>
      <c r="Q2242" s="116">
        <v>3089.5</v>
      </c>
      <c r="R2242">
        <v>1407007</v>
      </c>
    </row>
    <row r="2243" spans="1:18" x14ac:dyDescent="0.25">
      <c r="A2243" s="170">
        <v>45307</v>
      </c>
      <c r="B2243" s="116">
        <v>3009.8585923731198</v>
      </c>
      <c r="C2243" s="116">
        <v>2964.0020210211701</v>
      </c>
      <c r="D2243" s="116">
        <v>2942.4794864754399</v>
      </c>
      <c r="E2243" s="116">
        <v>3000.5515504074001</v>
      </c>
      <c r="F2243" s="116">
        <v>3057.3</v>
      </c>
      <c r="G2243">
        <v>127860</v>
      </c>
      <c r="H2243" s="116"/>
      <c r="I2243" s="116"/>
      <c r="L2243" s="170">
        <v>45307</v>
      </c>
      <c r="M2243" s="116">
        <v>2963.2310870947199</v>
      </c>
      <c r="N2243" s="116">
        <v>3009.7663699936402</v>
      </c>
      <c r="O2243" s="116">
        <v>2942.3871582962502</v>
      </c>
      <c r="P2243" s="116">
        <v>3000.5562619199</v>
      </c>
      <c r="Q2243" s="116">
        <v>3056.5</v>
      </c>
      <c r="R2243">
        <v>2515564</v>
      </c>
    </row>
    <row r="2244" spans="1:18" x14ac:dyDescent="0.25">
      <c r="A2244" s="170">
        <v>45308</v>
      </c>
      <c r="B2244" s="116">
        <v>2949.41129377283</v>
      </c>
      <c r="C2244" s="116">
        <v>2880.0932207989599</v>
      </c>
      <c r="D2244" s="116">
        <v>2856.2923999386999</v>
      </c>
      <c r="E2244" s="116">
        <v>2937.9713880232898</v>
      </c>
      <c r="F2244" s="116">
        <v>2970.75</v>
      </c>
      <c r="G2244">
        <v>167751</v>
      </c>
      <c r="H2244" s="116"/>
      <c r="I2244" s="116"/>
      <c r="L2244" s="170">
        <v>45308</v>
      </c>
      <c r="M2244" s="116">
        <v>2880.3885886840399</v>
      </c>
      <c r="N2244" s="116">
        <v>2952.08200890019</v>
      </c>
      <c r="O2244" s="116">
        <v>2856.3938334392901</v>
      </c>
      <c r="P2244" s="116">
        <v>2940.44818817546</v>
      </c>
      <c r="Q2244" s="116">
        <v>2971.05</v>
      </c>
      <c r="R2244">
        <v>2897218</v>
      </c>
    </row>
    <row r="2245" spans="1:18" x14ac:dyDescent="0.25">
      <c r="A2245" s="170">
        <v>45309</v>
      </c>
      <c r="B2245" s="116">
        <v>2893.9083612168301</v>
      </c>
      <c r="C2245" s="116">
        <v>2829.4861801103398</v>
      </c>
      <c r="D2245" s="116">
        <v>2799.8684580215099</v>
      </c>
      <c r="E2245" s="116">
        <v>2888.0914599882499</v>
      </c>
      <c r="F2245" s="116">
        <v>2918.55</v>
      </c>
      <c r="G2245">
        <v>97243</v>
      </c>
      <c r="H2245" s="116"/>
      <c r="I2245" s="116"/>
      <c r="L2245" s="170">
        <v>45309</v>
      </c>
      <c r="M2245" s="116">
        <v>2829.82994278449</v>
      </c>
      <c r="N2245" s="116">
        <v>2893.9129052765402</v>
      </c>
      <c r="O2245" s="116">
        <v>2797.0613477431698</v>
      </c>
      <c r="P2245" s="116">
        <v>2884.7512714558202</v>
      </c>
      <c r="Q2245" s="116">
        <v>2918.9</v>
      </c>
      <c r="R2245">
        <v>2552342</v>
      </c>
    </row>
    <row r="2246" spans="1:18" x14ac:dyDescent="0.25">
      <c r="A2246" s="170">
        <v>45310</v>
      </c>
      <c r="B2246" s="116">
        <v>2859.92796320656</v>
      </c>
      <c r="C2246" s="116">
        <v>2826.96552291129</v>
      </c>
      <c r="D2246" s="116">
        <v>2815.6225655155699</v>
      </c>
      <c r="E2246" s="116">
        <v>2858.8130571377501</v>
      </c>
      <c r="F2246" s="116">
        <v>2915.95</v>
      </c>
      <c r="G2246">
        <v>49968</v>
      </c>
      <c r="H2246" s="116"/>
      <c r="I2246" s="116"/>
      <c r="L2246" s="170">
        <v>45310</v>
      </c>
      <c r="M2246" s="116">
        <v>2826.67911633821</v>
      </c>
      <c r="N2246" s="116">
        <v>2859.4477113795301</v>
      </c>
      <c r="O2246" s="116">
        <v>2814.4636045772399</v>
      </c>
      <c r="P2246" s="116">
        <v>2855.4728226319098</v>
      </c>
      <c r="Q2246" s="116">
        <v>2915.65</v>
      </c>
      <c r="R2246">
        <v>2014096</v>
      </c>
    </row>
    <row r="2247" spans="1:18" x14ac:dyDescent="0.25">
      <c r="A2247" s="170">
        <v>45311</v>
      </c>
      <c r="B2247" s="116">
        <v>2921.9749096447099</v>
      </c>
      <c r="C2247" s="116">
        <v>2896.76833765421</v>
      </c>
      <c r="D2247" s="116">
        <v>2802.00132180532</v>
      </c>
      <c r="E2247" s="116">
        <v>2843.4467430589302</v>
      </c>
      <c r="F2247" s="116">
        <v>2987.95</v>
      </c>
      <c r="G2247">
        <v>111112</v>
      </c>
      <c r="H2247" s="116"/>
      <c r="I2247" s="116"/>
      <c r="L2247" s="170">
        <v>45311</v>
      </c>
      <c r="M2247" s="116">
        <v>2896.7244119516799</v>
      </c>
      <c r="N2247" s="116">
        <v>2923.8215193896999</v>
      </c>
      <c r="O2247" s="116">
        <v>2802.2965670692902</v>
      </c>
      <c r="P2247" s="116">
        <v>2840.5912269548598</v>
      </c>
      <c r="Q2247" s="116">
        <v>2987.9</v>
      </c>
      <c r="R2247">
        <v>1878793</v>
      </c>
    </row>
    <row r="2248" spans="1:18" x14ac:dyDescent="0.25">
      <c r="A2248" s="170">
        <v>45314</v>
      </c>
      <c r="B2248" s="116">
        <v>2920.1813650992299</v>
      </c>
      <c r="C2248" s="116">
        <v>2808.8361807489</v>
      </c>
      <c r="D2248" s="116">
        <v>2797.1539041148399</v>
      </c>
      <c r="E2248" s="116">
        <v>2920.0844167454202</v>
      </c>
      <c r="F2248" s="116">
        <v>2897.25</v>
      </c>
      <c r="G2248">
        <v>144412</v>
      </c>
      <c r="H2248" s="116"/>
      <c r="I2248" s="116"/>
      <c r="L2248" s="170">
        <v>45314</v>
      </c>
      <c r="M2248" s="116">
        <v>2808.1619516846799</v>
      </c>
      <c r="N2248" s="116">
        <v>2922.9489828353499</v>
      </c>
      <c r="O2248" s="116">
        <v>2797.4491417673198</v>
      </c>
      <c r="P2248" s="116">
        <v>2922.9489828353499</v>
      </c>
      <c r="Q2248" s="116">
        <v>2896.55</v>
      </c>
      <c r="R2248">
        <v>1827002</v>
      </c>
    </row>
    <row r="2249" spans="1:18" x14ac:dyDescent="0.25">
      <c r="A2249" s="170">
        <v>45315</v>
      </c>
      <c r="B2249" s="116">
        <v>2839.5688089065402</v>
      </c>
      <c r="C2249" s="116">
        <v>2813.9259693239001</v>
      </c>
      <c r="D2249" s="116">
        <v>2783.4357120507798</v>
      </c>
      <c r="E2249" s="116">
        <v>2821.0516733289101</v>
      </c>
      <c r="F2249" s="116">
        <v>2902.5</v>
      </c>
      <c r="G2249">
        <v>120363</v>
      </c>
      <c r="H2249" s="116"/>
      <c r="I2249" s="116"/>
      <c r="L2249" s="170">
        <v>45315</v>
      </c>
      <c r="M2249" s="116">
        <v>2814.8513986014</v>
      </c>
      <c r="N2249" s="116">
        <v>2839.7186904005098</v>
      </c>
      <c r="O2249" s="116">
        <v>2783.6339796567099</v>
      </c>
      <c r="P2249" s="116">
        <v>2812.47616020343</v>
      </c>
      <c r="Q2249" s="116">
        <v>2903.45</v>
      </c>
      <c r="R2249">
        <v>5807940</v>
      </c>
    </row>
    <row r="2250" spans="1:18" x14ac:dyDescent="0.25">
      <c r="A2250" s="170">
        <v>45316</v>
      </c>
      <c r="B2250" s="116">
        <v>2837.0966258844001</v>
      </c>
      <c r="C2250" s="116">
        <v>2806.2185751960401</v>
      </c>
      <c r="D2250" s="116">
        <v>2719.4497985364401</v>
      </c>
      <c r="E2250" s="116">
        <v>2816.25272981533</v>
      </c>
      <c r="F2250" s="116">
        <v>2894.55</v>
      </c>
      <c r="G2250">
        <v>92059</v>
      </c>
      <c r="H2250" s="116"/>
      <c r="I2250" s="116"/>
      <c r="L2250" s="170">
        <v>45316</v>
      </c>
      <c r="M2250" s="116">
        <v>2805.3019707565199</v>
      </c>
      <c r="N2250" s="116">
        <v>2837.0526064844198</v>
      </c>
      <c r="O2250" s="116">
        <v>2718.8239033693599</v>
      </c>
      <c r="P2250" s="116">
        <v>2814.8513986014</v>
      </c>
      <c r="Q2250" s="116">
        <v>2893.6</v>
      </c>
      <c r="R2250">
        <v>2601969</v>
      </c>
    </row>
    <row r="2251" spans="1:18" x14ac:dyDescent="0.25">
      <c r="A2251" s="170">
        <v>45320</v>
      </c>
      <c r="B2251" s="116">
        <v>2997.6430997931102</v>
      </c>
      <c r="C2251" s="116">
        <v>2970.6914574340399</v>
      </c>
      <c r="D2251" s="116">
        <v>2838.6477995453502</v>
      </c>
      <c r="E2251" s="116">
        <v>2839.6172830834498</v>
      </c>
      <c r="F2251" s="116">
        <v>3064.2</v>
      </c>
      <c r="G2251">
        <v>397179</v>
      </c>
      <c r="H2251" s="116"/>
      <c r="I2251" s="116"/>
      <c r="L2251" s="170">
        <v>45320</v>
      </c>
      <c r="M2251" s="116">
        <v>2971.1323903369398</v>
      </c>
      <c r="N2251" s="116">
        <v>2998.3264462809898</v>
      </c>
      <c r="O2251" s="116">
        <v>2833.85330578512</v>
      </c>
      <c r="P2251" s="116">
        <v>2839.6217418944698</v>
      </c>
      <c r="Q2251" s="116">
        <v>3064.65</v>
      </c>
      <c r="R2251">
        <v>4402976</v>
      </c>
    </row>
    <row r="2252" spans="1:18" x14ac:dyDescent="0.25">
      <c r="A2252" s="170">
        <v>45321</v>
      </c>
      <c r="B2252" s="116">
        <v>3033.9987324717099</v>
      </c>
      <c r="C2252" s="116">
        <v>2997.20683220097</v>
      </c>
      <c r="D2252" s="116">
        <v>2929.77925212638</v>
      </c>
      <c r="E2252" s="116">
        <v>2994.5892266481101</v>
      </c>
      <c r="F2252" s="116">
        <v>3091.55</v>
      </c>
      <c r="G2252">
        <v>138104</v>
      </c>
      <c r="H2252" s="116"/>
      <c r="I2252" s="116"/>
      <c r="L2252" s="170">
        <v>45321</v>
      </c>
      <c r="M2252" s="116">
        <v>2996.7752701843601</v>
      </c>
      <c r="N2252" s="116">
        <v>3034.3912905276502</v>
      </c>
      <c r="O2252" s="116">
        <v>2928.7174189446901</v>
      </c>
      <c r="P2252" s="116">
        <v>2986.9834710743798</v>
      </c>
      <c r="Q2252" s="116">
        <v>3091.1</v>
      </c>
      <c r="R2252">
        <v>3115506</v>
      </c>
    </row>
    <row r="2253" spans="1:18" x14ac:dyDescent="0.25">
      <c r="A2253" s="170">
        <v>45322</v>
      </c>
      <c r="B2253" s="116">
        <v>3054.26093841792</v>
      </c>
      <c r="C2253" s="116">
        <v>3045.2447415136298</v>
      </c>
      <c r="D2253" s="116">
        <v>2978.6412224464302</v>
      </c>
      <c r="E2253" s="116">
        <v>2997.20683220097</v>
      </c>
      <c r="F2253" s="116">
        <v>3141.1</v>
      </c>
      <c r="G2253">
        <v>221273</v>
      </c>
      <c r="H2253" s="116"/>
      <c r="I2253" s="116"/>
      <c r="L2253" s="170">
        <v>45322</v>
      </c>
      <c r="M2253" s="116">
        <v>3046.1220597584202</v>
      </c>
      <c r="N2253" s="116">
        <v>3055.52606484425</v>
      </c>
      <c r="O2253" s="116">
        <v>2978.6458995549901</v>
      </c>
      <c r="P2253" s="116">
        <v>2998.37492053401</v>
      </c>
      <c r="Q2253" s="116">
        <v>3142</v>
      </c>
      <c r="R2253">
        <v>2671051</v>
      </c>
    </row>
    <row r="2254" spans="1:18" x14ac:dyDescent="0.25">
      <c r="A2254" s="170">
        <v>45323</v>
      </c>
      <c r="B2254" s="116">
        <v>3137.7819452249</v>
      </c>
      <c r="C2254" s="116">
        <v>3056.0544829634</v>
      </c>
      <c r="D2254" s="116">
        <v>2990.66281831882</v>
      </c>
      <c r="E2254" s="116">
        <v>3064.34356721412</v>
      </c>
      <c r="F2254" s="116">
        <v>3152.25</v>
      </c>
      <c r="G2254">
        <v>169940</v>
      </c>
      <c r="H2254" s="116"/>
      <c r="I2254" s="116"/>
      <c r="L2254" s="170">
        <v>45323</v>
      </c>
      <c r="M2254" s="116">
        <v>3057.2711379529601</v>
      </c>
      <c r="N2254" s="116">
        <v>3138.17466624285</v>
      </c>
      <c r="O2254" s="116">
        <v>2988.9709154481902</v>
      </c>
      <c r="P2254" s="116">
        <v>3060.5673871582999</v>
      </c>
      <c r="Q2254" s="116">
        <v>3153.5</v>
      </c>
      <c r="R2254">
        <v>4686595</v>
      </c>
    </row>
    <row r="2255" spans="1:18" x14ac:dyDescent="0.25">
      <c r="A2255" s="170">
        <v>45324</v>
      </c>
      <c r="B2255" s="116">
        <v>3110.10319021226</v>
      </c>
      <c r="C2255" s="116">
        <v>3059.4961495236398</v>
      </c>
      <c r="D2255" s="116">
        <v>3045.1962673367202</v>
      </c>
      <c r="E2255" s="116">
        <v>3093.9128151260502</v>
      </c>
      <c r="F2255" s="116">
        <v>3155.8</v>
      </c>
      <c r="G2255">
        <v>115063</v>
      </c>
      <c r="H2255" s="116"/>
      <c r="I2255" s="116"/>
      <c r="L2255" s="170">
        <v>45324</v>
      </c>
      <c r="M2255" s="116">
        <v>3061.1006039415101</v>
      </c>
      <c r="N2255" s="116">
        <v>3110.59281627463</v>
      </c>
      <c r="O2255" s="116">
        <v>3044.18308963764</v>
      </c>
      <c r="P2255" s="116">
        <v>3087.7614431023499</v>
      </c>
      <c r="Q2255" s="116">
        <v>3157.45</v>
      </c>
      <c r="R2255">
        <v>2708695</v>
      </c>
    </row>
    <row r="2256" spans="1:18" x14ac:dyDescent="0.25">
      <c r="A2256" s="170">
        <v>45327</v>
      </c>
      <c r="B2256" s="116">
        <v>3130.94708628132</v>
      </c>
      <c r="C2256" s="116">
        <v>3075.97736967127</v>
      </c>
      <c r="D2256" s="116">
        <v>3058.72056269316</v>
      </c>
      <c r="E2256" s="116">
        <v>3063.9557737988798</v>
      </c>
      <c r="F2256" s="116">
        <v>3172.8</v>
      </c>
      <c r="G2256">
        <v>79471</v>
      </c>
      <c r="H2256" s="116"/>
      <c r="I2256" s="116"/>
      <c r="L2256" s="170">
        <v>45327</v>
      </c>
      <c r="M2256" s="116">
        <v>3076.6123649078199</v>
      </c>
      <c r="N2256" s="116">
        <v>3130.8550540368701</v>
      </c>
      <c r="O2256" s="116">
        <v>3055.2836935791502</v>
      </c>
      <c r="P2256" s="116">
        <v>3073.2676414494599</v>
      </c>
      <c r="Q2256" s="116">
        <v>3173.45</v>
      </c>
      <c r="R2256">
        <v>2191195</v>
      </c>
    </row>
    <row r="2257" spans="1:18" x14ac:dyDescent="0.25">
      <c r="A2257" s="170">
        <v>45328</v>
      </c>
      <c r="B2257" s="116">
        <v>3129.2504900896502</v>
      </c>
      <c r="C2257" s="116">
        <v>3106.6615236520101</v>
      </c>
      <c r="D2257" s="116">
        <v>3064.4405155679301</v>
      </c>
      <c r="E2257" s="116">
        <v>3080.1946230619901</v>
      </c>
      <c r="F2257" s="116">
        <v>3204.45</v>
      </c>
      <c r="G2257">
        <v>71677</v>
      </c>
      <c r="H2257" s="116"/>
      <c r="I2257" s="116"/>
      <c r="L2257" s="170">
        <v>45328</v>
      </c>
      <c r="M2257" s="116">
        <v>3105.9877622377599</v>
      </c>
      <c r="N2257" s="116">
        <v>3129.6916719644</v>
      </c>
      <c r="O2257" s="116">
        <v>3063.5727908455201</v>
      </c>
      <c r="P2257" s="116">
        <v>3086.74348378894</v>
      </c>
      <c r="Q2257" s="116">
        <v>3203.75</v>
      </c>
      <c r="R2257">
        <v>2078891</v>
      </c>
    </row>
    <row r="2258" spans="1:18" x14ac:dyDescent="0.25">
      <c r="A2258" s="170">
        <v>45329</v>
      </c>
      <c r="B2258" s="116">
        <v>3175.0585872646898</v>
      </c>
      <c r="C2258" s="116">
        <v>3130.5592928660799</v>
      </c>
      <c r="D2258" s="116">
        <v>3112.0421572884502</v>
      </c>
      <c r="E2258" s="116">
        <v>3130.4138703353701</v>
      </c>
      <c r="F2258" s="116">
        <v>3229.1</v>
      </c>
      <c r="G2258">
        <v>164513</v>
      </c>
      <c r="H2258" s="116"/>
      <c r="I2258" s="116"/>
      <c r="L2258" s="170">
        <v>45329</v>
      </c>
      <c r="M2258" s="116">
        <v>3131.2913223140499</v>
      </c>
      <c r="N2258" s="116">
        <v>3177.9235537190102</v>
      </c>
      <c r="O2258" s="116">
        <v>3112.0470438652301</v>
      </c>
      <c r="P2258" s="116">
        <v>3121.7903687221901</v>
      </c>
      <c r="Q2258" s="116">
        <v>3229.85</v>
      </c>
      <c r="R2258">
        <v>2095911</v>
      </c>
    </row>
    <row r="2259" spans="1:18" x14ac:dyDescent="0.25">
      <c r="A2259" s="170">
        <v>45330</v>
      </c>
      <c r="B2259" s="116">
        <v>3145.9740811218098</v>
      </c>
      <c r="C2259" s="116">
        <v>3071.9540129881698</v>
      </c>
      <c r="D2259" s="116">
        <v>3050.0436850271999</v>
      </c>
      <c r="E2259" s="116">
        <v>3145.9740811218098</v>
      </c>
      <c r="F2259" s="116">
        <v>3168.65</v>
      </c>
      <c r="G2259">
        <v>52051</v>
      </c>
      <c r="H2259" s="116"/>
      <c r="I2259" s="116"/>
      <c r="L2259" s="170">
        <v>45330</v>
      </c>
      <c r="M2259" s="116">
        <v>3071.9103623649098</v>
      </c>
      <c r="N2259" s="116">
        <v>3146.5607120152599</v>
      </c>
      <c r="O2259" s="116">
        <v>3050.09694850604</v>
      </c>
      <c r="P2259" s="116">
        <v>3146.5607120152599</v>
      </c>
      <c r="Q2259" s="116">
        <v>3168.6</v>
      </c>
      <c r="R2259">
        <v>1679004</v>
      </c>
    </row>
    <row r="2260" spans="1:18" x14ac:dyDescent="0.25">
      <c r="A2260" s="170">
        <v>45331</v>
      </c>
      <c r="B2260" s="116">
        <v>3126.3905136522699</v>
      </c>
      <c r="C2260" s="116">
        <v>3115.8716172639301</v>
      </c>
      <c r="D2260" s="116">
        <v>3024.7886388597999</v>
      </c>
      <c r="E2260" s="116">
        <v>3086.8355852979498</v>
      </c>
      <c r="F2260" s="116">
        <v>3213.95</v>
      </c>
      <c r="G2260">
        <v>206724</v>
      </c>
      <c r="H2260" s="116"/>
      <c r="I2260" s="116"/>
      <c r="L2260" s="170">
        <v>45331</v>
      </c>
      <c r="M2260" s="116">
        <v>3117.08836617928</v>
      </c>
      <c r="N2260" s="116">
        <v>3126.54084551812</v>
      </c>
      <c r="O2260" s="116">
        <v>3025.95677050222</v>
      </c>
      <c r="P2260" s="116">
        <v>3087.2767005721498</v>
      </c>
      <c r="Q2260" s="116">
        <v>3215.2</v>
      </c>
      <c r="R2260">
        <v>1572789</v>
      </c>
    </row>
    <row r="2261" spans="1:18" x14ac:dyDescent="0.25">
      <c r="A2261" s="170">
        <v>45334</v>
      </c>
      <c r="B2261" s="116">
        <v>3141.5629310234699</v>
      </c>
      <c r="C2261" s="116">
        <v>3071.4207970422199</v>
      </c>
      <c r="D2261" s="116">
        <v>3063.0347644376898</v>
      </c>
      <c r="E2261" s="116">
        <v>3123.9183306301202</v>
      </c>
      <c r="F2261" s="116">
        <v>3168.1</v>
      </c>
      <c r="G2261">
        <v>50936</v>
      </c>
      <c r="H2261" s="116"/>
      <c r="I2261" s="116"/>
      <c r="L2261" s="170">
        <v>45334</v>
      </c>
      <c r="M2261" s="116">
        <v>3073.0252701843601</v>
      </c>
      <c r="N2261" s="116">
        <v>3143.0220915448199</v>
      </c>
      <c r="O2261" s="116">
        <v>3063.5727908455201</v>
      </c>
      <c r="P2261" s="116">
        <v>3130.4672600127101</v>
      </c>
      <c r="Q2261" s="116">
        <v>3169.75</v>
      </c>
      <c r="R2261">
        <v>1083138</v>
      </c>
    </row>
    <row r="2262" spans="1:18" x14ac:dyDescent="0.25">
      <c r="A2262" s="170">
        <v>45335</v>
      </c>
      <c r="B2262" s="116">
        <v>3096.3365239712898</v>
      </c>
      <c r="C2262" s="116">
        <v>3081.8427450767499</v>
      </c>
      <c r="D2262" s="116">
        <v>2999.7274894000202</v>
      </c>
      <c r="E2262" s="116">
        <v>3079.1281911700898</v>
      </c>
      <c r="F2262" s="116">
        <v>3178.85</v>
      </c>
      <c r="G2262">
        <v>56164</v>
      </c>
      <c r="H2262" s="116"/>
      <c r="I2262" s="116"/>
      <c r="L2262" s="170">
        <v>45335</v>
      </c>
      <c r="M2262" s="116">
        <v>3081.4597902097898</v>
      </c>
      <c r="N2262" s="116">
        <v>3096.5352828989198</v>
      </c>
      <c r="O2262" s="116">
        <v>2997.69628099174</v>
      </c>
      <c r="P2262" s="116">
        <v>3082.9624920534002</v>
      </c>
      <c r="Q2262" s="116">
        <v>3178.45</v>
      </c>
      <c r="R2262">
        <v>1225207</v>
      </c>
    </row>
    <row r="2263" spans="1:18" x14ac:dyDescent="0.25">
      <c r="A2263" s="170">
        <v>45336</v>
      </c>
      <c r="B2263" s="116">
        <v>3154.6509587877699</v>
      </c>
      <c r="C2263" s="116">
        <v>3110.73335451202</v>
      </c>
      <c r="D2263" s="116">
        <v>3070.7421585655502</v>
      </c>
      <c r="E2263" s="116">
        <v>3084.1210313912802</v>
      </c>
      <c r="F2263" s="116">
        <v>3208.65</v>
      </c>
      <c r="G2263">
        <v>161018</v>
      </c>
      <c r="H2263" s="116"/>
      <c r="I2263" s="116"/>
      <c r="L2263" s="170">
        <v>45336</v>
      </c>
      <c r="M2263" s="116">
        <v>3109.3324856961199</v>
      </c>
      <c r="N2263" s="116">
        <v>3155.9162428480599</v>
      </c>
      <c r="O2263" s="116">
        <v>3073.1222186904001</v>
      </c>
      <c r="P2263" s="116">
        <v>3086.84043229498</v>
      </c>
      <c r="Q2263" s="116">
        <v>3207.2</v>
      </c>
      <c r="R2263">
        <v>1741264</v>
      </c>
    </row>
    <row r="2264" spans="1:18" x14ac:dyDescent="0.25">
      <c r="A2264" s="170">
        <v>45337</v>
      </c>
      <c r="B2264" s="116">
        <v>3150.82149881229</v>
      </c>
      <c r="C2264" s="116">
        <v>3096.6758432096199</v>
      </c>
      <c r="D2264" s="116">
        <v>3088.7745523741401</v>
      </c>
      <c r="E2264" s="116">
        <v>3118.2953261091702</v>
      </c>
      <c r="F2264" s="116">
        <v>3194.15</v>
      </c>
      <c r="G2264">
        <v>125093</v>
      </c>
      <c r="H2264" s="116"/>
      <c r="I2264" s="116"/>
      <c r="L2264" s="170">
        <v>45337</v>
      </c>
      <c r="M2264" s="116">
        <v>3096.3413858868398</v>
      </c>
      <c r="N2264" s="116">
        <v>3153.4925301970802</v>
      </c>
      <c r="O2264" s="116">
        <v>3086.8889065479998</v>
      </c>
      <c r="P2264" s="116">
        <v>3121.5964717101101</v>
      </c>
      <c r="Q2264" s="116">
        <v>3193.8</v>
      </c>
      <c r="R2264">
        <v>2035204</v>
      </c>
    </row>
    <row r="2265" spans="1:18" x14ac:dyDescent="0.25">
      <c r="A2265" s="170">
        <v>45338</v>
      </c>
      <c r="B2265" s="116">
        <v>3150.82149881229</v>
      </c>
      <c r="C2265" s="116">
        <v>3124.6454432836999</v>
      </c>
      <c r="D2265" s="116">
        <v>3095.4639887869998</v>
      </c>
      <c r="E2265" s="116">
        <v>3114.0780727184501</v>
      </c>
      <c r="F2265" s="116">
        <v>3223</v>
      </c>
      <c r="G2265">
        <v>140804</v>
      </c>
      <c r="H2265" s="116"/>
      <c r="I2265" s="116"/>
      <c r="L2265" s="170">
        <v>45338</v>
      </c>
      <c r="M2265" s="116">
        <v>3125.2320406865902</v>
      </c>
      <c r="N2265" s="116">
        <v>3153.0562619199</v>
      </c>
      <c r="O2265" s="116">
        <v>3095.22647806739</v>
      </c>
      <c r="P2265" s="116">
        <v>3115.9249841067999</v>
      </c>
      <c r="Q2265" s="116">
        <v>3223.6</v>
      </c>
      <c r="R2265">
        <v>2193673</v>
      </c>
    </row>
    <row r="2266" spans="1:18" x14ac:dyDescent="0.25">
      <c r="A2266" s="170">
        <v>45341</v>
      </c>
      <c r="B2266" s="116">
        <v>3207.87560502925</v>
      </c>
      <c r="C2266" s="116">
        <v>3158.7712638246799</v>
      </c>
      <c r="D2266" s="116">
        <v>3137.9758419325199</v>
      </c>
      <c r="E2266" s="116">
        <v>3160.4678600163502</v>
      </c>
      <c r="F2266" s="116">
        <v>3258.2</v>
      </c>
      <c r="G2266">
        <v>73348</v>
      </c>
      <c r="H2266" s="116"/>
      <c r="I2266" s="116"/>
      <c r="L2266" s="170">
        <v>45341</v>
      </c>
      <c r="M2266" s="116">
        <v>3159.35791481246</v>
      </c>
      <c r="N2266" s="116">
        <v>3207.6382708200899</v>
      </c>
      <c r="O2266" s="116">
        <v>3137.0597584233901</v>
      </c>
      <c r="P2266" s="116">
        <v>3141.13159567705</v>
      </c>
      <c r="Q2266" s="116">
        <v>3258.8</v>
      </c>
      <c r="R2266">
        <v>1779444</v>
      </c>
    </row>
    <row r="2267" spans="1:18" x14ac:dyDescent="0.25">
      <c r="A2267" s="170">
        <v>45342</v>
      </c>
      <c r="B2267" s="116">
        <v>3168.65999591326</v>
      </c>
      <c r="C2267" s="116">
        <v>3130.1230252739401</v>
      </c>
      <c r="D2267" s="116">
        <v>3113.3024858879699</v>
      </c>
      <c r="E2267" s="116">
        <v>3163.4732589844398</v>
      </c>
      <c r="F2267" s="116">
        <v>3228.65</v>
      </c>
      <c r="G2267">
        <v>100632</v>
      </c>
      <c r="H2267" s="116"/>
      <c r="I2267" s="116"/>
      <c r="L2267" s="170">
        <v>45342</v>
      </c>
      <c r="M2267" s="116">
        <v>3130.0794659885601</v>
      </c>
      <c r="N2267" s="116">
        <v>3170.0222504767999</v>
      </c>
      <c r="O2267" s="116">
        <v>3112.1924666242799</v>
      </c>
      <c r="P2267" s="116">
        <v>3167.3076923076901</v>
      </c>
      <c r="Q2267" s="116">
        <v>3228.6</v>
      </c>
      <c r="R2267">
        <v>1467630</v>
      </c>
    </row>
    <row r="2268" spans="1:18" x14ac:dyDescent="0.25">
      <c r="A2268" s="170">
        <v>45343</v>
      </c>
      <c r="B2268" s="116">
        <v>3199.24720154019</v>
      </c>
      <c r="C2268" s="116">
        <v>3125.0817108758401</v>
      </c>
      <c r="D2268" s="116">
        <v>3106.85542035963</v>
      </c>
      <c r="E2268" s="116">
        <v>3139.0907480013302</v>
      </c>
      <c r="F2268" s="116">
        <v>3223.45</v>
      </c>
      <c r="G2268">
        <v>160301</v>
      </c>
      <c r="H2268" s="116"/>
      <c r="I2268" s="116"/>
      <c r="L2268" s="170">
        <v>45343</v>
      </c>
      <c r="M2268" s="116">
        <v>3124.8442466624301</v>
      </c>
      <c r="N2268" s="116">
        <v>3199.3006993007002</v>
      </c>
      <c r="O2268" s="116">
        <v>3107.1996185632502</v>
      </c>
      <c r="P2268" s="116">
        <v>3139.1926255562598</v>
      </c>
      <c r="Q2268" s="116">
        <v>3223.2</v>
      </c>
      <c r="R2268">
        <v>1657021</v>
      </c>
    </row>
    <row r="2269" spans="1:18" x14ac:dyDescent="0.25">
      <c r="A2269" s="170">
        <v>45344</v>
      </c>
      <c r="B2269" s="116">
        <v>3172.1986108273099</v>
      </c>
      <c r="C2269" s="116">
        <v>3163.5217331613499</v>
      </c>
      <c r="D2269" s="116">
        <v>3112.7692699420199</v>
      </c>
      <c r="E2269" s="116">
        <v>3132.0619923501299</v>
      </c>
      <c r="F2269" s="116">
        <v>3263.1</v>
      </c>
      <c r="G2269">
        <v>79657</v>
      </c>
      <c r="H2269" s="116"/>
      <c r="I2269" s="116"/>
      <c r="L2269" s="170">
        <v>45344</v>
      </c>
      <c r="M2269" s="116">
        <v>3163.47822631914</v>
      </c>
      <c r="N2269" s="116">
        <v>3174.0940877304502</v>
      </c>
      <c r="O2269" s="116">
        <v>3112.5317863954201</v>
      </c>
      <c r="P2269" s="116">
        <v>3140.1621106166599</v>
      </c>
      <c r="Q2269" s="116">
        <v>3263.05</v>
      </c>
      <c r="R2269">
        <v>1138722</v>
      </c>
    </row>
    <row r="2270" spans="1:18" x14ac:dyDescent="0.25">
      <c r="A2270" s="170">
        <v>45345</v>
      </c>
      <c r="B2270" s="116">
        <v>3217.4734920564001</v>
      </c>
      <c r="C2270" s="116">
        <v>3166.4786579525398</v>
      </c>
      <c r="D2270" s="116">
        <v>3126.6813587136999</v>
      </c>
      <c r="E2270" s="116">
        <v>3163.4247848075402</v>
      </c>
      <c r="F2270" s="116">
        <v>3266.15</v>
      </c>
      <c r="G2270">
        <v>288039</v>
      </c>
      <c r="H2270" s="116"/>
      <c r="I2270" s="116"/>
      <c r="L2270" s="170">
        <v>45345</v>
      </c>
      <c r="M2270" s="116">
        <v>3173.4154481881801</v>
      </c>
      <c r="N2270" s="116">
        <v>3218.6419262555601</v>
      </c>
      <c r="O2270" s="116">
        <v>3126.6862682771798</v>
      </c>
      <c r="P2270" s="116">
        <v>3163.47822631914</v>
      </c>
      <c r="Q2270" s="116">
        <v>3273.3</v>
      </c>
      <c r="R2270">
        <v>1975035</v>
      </c>
    </row>
    <row r="2271" spans="1:18" x14ac:dyDescent="0.25">
      <c r="A2271" s="170">
        <v>45348</v>
      </c>
      <c r="B2271" s="116">
        <v>3242.04989974713</v>
      </c>
      <c r="C2271" s="116">
        <v>3226.00494719164</v>
      </c>
      <c r="D2271" s="116">
        <v>3166.3332354218301</v>
      </c>
      <c r="E2271" s="116">
        <v>3173.1196201885</v>
      </c>
      <c r="F2271" s="116">
        <v>3327.55</v>
      </c>
      <c r="G2271">
        <v>66245</v>
      </c>
      <c r="H2271" s="116"/>
      <c r="I2271" s="116"/>
      <c r="L2271" s="170">
        <v>45348</v>
      </c>
      <c r="M2271" s="116">
        <v>3226.2039097266402</v>
      </c>
      <c r="N2271" s="116">
        <v>3241.9580419580402</v>
      </c>
      <c r="O2271" s="116">
        <v>3163.4297520661198</v>
      </c>
      <c r="P2271" s="116">
        <v>3172.15511760966</v>
      </c>
      <c r="Q2271" s="116">
        <v>3327.75</v>
      </c>
      <c r="R2271">
        <v>1695378</v>
      </c>
    </row>
    <row r="2272" spans="1:18" x14ac:dyDescent="0.25">
      <c r="A2272" s="170">
        <v>45349</v>
      </c>
      <c r="B2272" s="116">
        <v>3241.8075288626101</v>
      </c>
      <c r="C2272" s="116">
        <v>3199.7319433092398</v>
      </c>
      <c r="D2272" s="116">
        <v>3174.0891037266001</v>
      </c>
      <c r="E2272" s="116">
        <v>3241.8075288626101</v>
      </c>
      <c r="F2272" s="116">
        <v>3300.45</v>
      </c>
      <c r="G2272">
        <v>39010</v>
      </c>
      <c r="H2272" s="116"/>
      <c r="I2272" s="116"/>
      <c r="L2272" s="170">
        <v>45349</v>
      </c>
      <c r="M2272" s="116">
        <v>3201.5305149396099</v>
      </c>
      <c r="N2272" s="116">
        <v>3238.0801017164599</v>
      </c>
      <c r="O2272" s="116">
        <v>3173.1246026700601</v>
      </c>
      <c r="P2272" s="116">
        <v>3237.1106166560699</v>
      </c>
      <c r="Q2272" s="116">
        <v>3302.3</v>
      </c>
      <c r="R2272">
        <v>1125570</v>
      </c>
    </row>
    <row r="2273" spans="1:18" x14ac:dyDescent="0.25">
      <c r="A2273" s="170">
        <v>45350</v>
      </c>
      <c r="B2273" s="116">
        <v>3218.6853464790202</v>
      </c>
      <c r="C2273" s="116">
        <v>3118.7800678782201</v>
      </c>
      <c r="D2273" s="116">
        <v>3109.23065502797</v>
      </c>
      <c r="E2273" s="116">
        <v>3204.1915675844798</v>
      </c>
      <c r="F2273" s="116">
        <v>3216.95</v>
      </c>
      <c r="G2273">
        <v>46713</v>
      </c>
      <c r="H2273" s="116"/>
      <c r="I2273" s="116"/>
      <c r="L2273" s="170">
        <v>45350</v>
      </c>
      <c r="M2273" s="116">
        <v>3120.7724094087698</v>
      </c>
      <c r="N2273" s="116">
        <v>3217.5270184361102</v>
      </c>
      <c r="O2273" s="116">
        <v>3109.6233312142399</v>
      </c>
      <c r="P2273" s="116">
        <v>3208.21996185633</v>
      </c>
      <c r="Q2273" s="116">
        <v>3219</v>
      </c>
      <c r="R2273">
        <v>1358879</v>
      </c>
    </row>
    <row r="2274" spans="1:18" x14ac:dyDescent="0.25">
      <c r="A2274" s="170">
        <v>45351</v>
      </c>
      <c r="B2274" s="116">
        <v>3204.1430934075802</v>
      </c>
      <c r="C2274" s="116">
        <v>3189.9401595744698</v>
      </c>
      <c r="D2274" s="116">
        <v>3107.9218522515398</v>
      </c>
      <c r="E2274" s="116">
        <v>3125.5179784679799</v>
      </c>
      <c r="F2274" s="116">
        <v>3290.35</v>
      </c>
      <c r="G2274">
        <v>44031</v>
      </c>
      <c r="H2274" s="116"/>
      <c r="I2274" s="116"/>
      <c r="L2274" s="170">
        <v>45351</v>
      </c>
      <c r="M2274" s="116">
        <v>3185.1462174189401</v>
      </c>
      <c r="N2274" s="116">
        <v>3203.9057533375699</v>
      </c>
      <c r="O2274" s="116">
        <v>3107.53893833439</v>
      </c>
      <c r="P2274" s="116">
        <v>3121.7903687221901</v>
      </c>
      <c r="Q2274" s="116">
        <v>3285.4</v>
      </c>
      <c r="R2274">
        <v>1352988</v>
      </c>
    </row>
    <row r="2275" spans="1:18" x14ac:dyDescent="0.25">
      <c r="A2275" s="170">
        <v>45352</v>
      </c>
      <c r="B2275" s="116">
        <v>3242.92243493142</v>
      </c>
      <c r="C2275" s="116">
        <v>3216.5524826952101</v>
      </c>
      <c r="D2275" s="116">
        <v>3181.8449720313702</v>
      </c>
      <c r="E2275" s="116">
        <v>3213.6925062578198</v>
      </c>
      <c r="F2275" s="116">
        <v>3317.8</v>
      </c>
      <c r="G2275">
        <v>113715</v>
      </c>
      <c r="H2275" s="116"/>
      <c r="I2275" s="116"/>
      <c r="L2275" s="170">
        <v>45352</v>
      </c>
      <c r="M2275" s="116">
        <v>3217.47854418309</v>
      </c>
      <c r="N2275" s="116">
        <v>3243.8970120788299</v>
      </c>
      <c r="O2275" s="116">
        <v>3181.6560712015298</v>
      </c>
      <c r="P2275" s="116">
        <v>3208.8501271455798</v>
      </c>
      <c r="Q2275" s="116">
        <v>3318.75</v>
      </c>
      <c r="R2275">
        <v>1161067</v>
      </c>
    </row>
    <row r="2276" spans="1:18" x14ac:dyDescent="0.25">
      <c r="A2276" s="170">
        <v>45353</v>
      </c>
      <c r="B2276" s="116">
        <v>3244.3766602385599</v>
      </c>
      <c r="C2276" s="116">
        <v>3232.2096418354599</v>
      </c>
      <c r="D2276" s="116">
        <v>3216.5524826952101</v>
      </c>
      <c r="E2276" s="116">
        <v>3223.5812383463999</v>
      </c>
      <c r="F2276" s="116">
        <v>3333.95</v>
      </c>
      <c r="G2276">
        <v>4429</v>
      </c>
      <c r="H2276" s="116"/>
      <c r="I2276" s="116"/>
      <c r="L2276" s="170">
        <v>45353</v>
      </c>
      <c r="M2276" s="116">
        <v>3231.5360775588001</v>
      </c>
      <c r="N2276" s="116">
        <v>3246.5146217418901</v>
      </c>
      <c r="O2276" s="116">
        <v>3220.1446280991699</v>
      </c>
      <c r="P2276" s="116">
        <v>3230.3242212333098</v>
      </c>
      <c r="Q2276" s="116">
        <v>3333.25</v>
      </c>
      <c r="R2276">
        <v>119511</v>
      </c>
    </row>
    <row r="2277" spans="1:18" x14ac:dyDescent="0.25">
      <c r="A2277" s="170">
        <v>45355</v>
      </c>
      <c r="B2277" s="116">
        <v>3247.13968832214</v>
      </c>
      <c r="C2277" s="116">
        <v>3215.0982573880601</v>
      </c>
      <c r="D2277" s="116">
        <v>3209.3298303363899</v>
      </c>
      <c r="E2277" s="116">
        <v>3233.3730220811699</v>
      </c>
      <c r="F2277" s="116">
        <v>3316.3</v>
      </c>
      <c r="G2277">
        <v>50142</v>
      </c>
      <c r="H2277" s="116"/>
      <c r="I2277" s="116"/>
      <c r="L2277" s="170">
        <v>45355</v>
      </c>
      <c r="M2277" s="116">
        <v>3215.9273680864599</v>
      </c>
      <c r="N2277" s="116">
        <v>3247.7749523204102</v>
      </c>
      <c r="O2277" s="116">
        <v>3209.0440241576598</v>
      </c>
      <c r="P2277" s="116">
        <v>3233.23267641449</v>
      </c>
      <c r="Q2277" s="116">
        <v>3317.15</v>
      </c>
      <c r="R2277">
        <v>1061244</v>
      </c>
    </row>
    <row r="2278" spans="1:18" x14ac:dyDescent="0.25">
      <c r="A2278" s="170">
        <v>45356</v>
      </c>
      <c r="B2278" s="116">
        <v>3232.25811601236</v>
      </c>
      <c r="C2278" s="116">
        <v>3207.7301824985302</v>
      </c>
      <c r="D2278" s="116">
        <v>3194.7391030880399</v>
      </c>
      <c r="E2278" s="116">
        <v>3216.5524826952101</v>
      </c>
      <c r="F2278" s="116">
        <v>3308.7</v>
      </c>
      <c r="G2278">
        <v>25554</v>
      </c>
      <c r="H2278" s="116"/>
      <c r="I2278" s="116"/>
      <c r="L2278" s="170">
        <v>45356</v>
      </c>
      <c r="M2278" s="116">
        <v>3209.18944691672</v>
      </c>
      <c r="N2278" s="116">
        <v>3232.2631913540999</v>
      </c>
      <c r="O2278" s="116">
        <v>3194.5017482517501</v>
      </c>
      <c r="P2278" s="116">
        <v>3223.8286713286702</v>
      </c>
      <c r="Q2278" s="116">
        <v>3310.2</v>
      </c>
      <c r="R2278">
        <v>1190416</v>
      </c>
    </row>
    <row r="2279" spans="1:18" x14ac:dyDescent="0.25">
      <c r="A2279" s="170">
        <v>45357</v>
      </c>
      <c r="B2279" s="116">
        <v>3223.5327641694998</v>
      </c>
      <c r="C2279" s="116">
        <v>3134.7280720798999</v>
      </c>
      <c r="D2279" s="116">
        <v>3085.9145759367598</v>
      </c>
      <c r="E2279" s="116">
        <v>3223.5327641694998</v>
      </c>
      <c r="F2279" s="116">
        <v>3233.4</v>
      </c>
      <c r="G2279">
        <v>62094</v>
      </c>
      <c r="H2279" s="116"/>
      <c r="I2279" s="116"/>
      <c r="L2279" s="170">
        <v>45357</v>
      </c>
      <c r="M2279" s="116">
        <v>3135.2662110616702</v>
      </c>
      <c r="N2279" s="116">
        <v>3221.5988556897601</v>
      </c>
      <c r="O2279" s="116">
        <v>3086.0163699936402</v>
      </c>
      <c r="P2279" s="116">
        <v>3221.5988556897601</v>
      </c>
      <c r="Q2279" s="116">
        <v>3233.95</v>
      </c>
      <c r="R2279">
        <v>1935203</v>
      </c>
    </row>
    <row r="2280" spans="1:18" x14ac:dyDescent="0.25">
      <c r="A2280" s="170">
        <v>45358</v>
      </c>
      <c r="B2280" s="116">
        <v>3164.78206176087</v>
      </c>
      <c r="C2280" s="116">
        <v>3127.7962647825102</v>
      </c>
      <c r="D2280" s="116">
        <v>3122.7064762075001</v>
      </c>
      <c r="E2280" s="116">
        <v>3157.5594094020598</v>
      </c>
      <c r="F2280" s="116">
        <v>3226.25</v>
      </c>
      <c r="G2280">
        <v>34890</v>
      </c>
      <c r="H2280" s="116"/>
      <c r="I2280" s="116"/>
      <c r="L2280" s="170">
        <v>45358</v>
      </c>
      <c r="M2280" s="116">
        <v>3128.0920216147501</v>
      </c>
      <c r="N2280" s="116">
        <v>3162.4602670057202</v>
      </c>
      <c r="O2280" s="116">
        <v>3121.7418944691699</v>
      </c>
      <c r="P2280" s="116">
        <v>3141.13159567705</v>
      </c>
      <c r="Q2280" s="116">
        <v>3226.55</v>
      </c>
      <c r="R2280">
        <v>856328</v>
      </c>
    </row>
    <row r="2281" spans="1:18" x14ac:dyDescent="0.25">
      <c r="A2281" s="170">
        <v>45362</v>
      </c>
      <c r="B2281" s="116">
        <v>3159.7892215396801</v>
      </c>
      <c r="C2281" s="116">
        <v>3109.1337066741598</v>
      </c>
      <c r="D2281" s="116">
        <v>3103.02596038415</v>
      </c>
      <c r="E2281" s="116">
        <v>3139.52701559347</v>
      </c>
      <c r="F2281" s="116">
        <v>3207</v>
      </c>
      <c r="G2281">
        <v>34094</v>
      </c>
      <c r="H2281" s="116"/>
      <c r="I2281" s="116"/>
      <c r="L2281" s="170">
        <v>45362</v>
      </c>
      <c r="M2281" s="116">
        <v>3109.4779084551801</v>
      </c>
      <c r="N2281" s="116">
        <v>3159.55181182454</v>
      </c>
      <c r="O2281" s="116">
        <v>3102.3521932612798</v>
      </c>
      <c r="P2281" s="116">
        <v>3142.2949777495201</v>
      </c>
      <c r="Q2281" s="116">
        <v>3207.35</v>
      </c>
      <c r="R2281">
        <v>738851</v>
      </c>
    </row>
    <row r="2282" spans="1:18" x14ac:dyDescent="0.25">
      <c r="A2282" s="170">
        <v>45363</v>
      </c>
      <c r="B2282" s="116">
        <v>3121.73699266941</v>
      </c>
      <c r="C2282" s="116">
        <v>3025.41880315956</v>
      </c>
      <c r="D2282" s="116">
        <v>3017.0327705550299</v>
      </c>
      <c r="E2282" s="116">
        <v>3109.1821808510599</v>
      </c>
      <c r="F2282" s="116">
        <v>3120.65</v>
      </c>
      <c r="G2282">
        <v>54874</v>
      </c>
      <c r="H2282" s="116"/>
      <c r="I2282" s="116"/>
      <c r="L2282" s="170">
        <v>45363</v>
      </c>
      <c r="M2282" s="116">
        <v>3027.2171010807401</v>
      </c>
      <c r="N2282" s="116">
        <v>3124.3595041322301</v>
      </c>
      <c r="O2282" s="116">
        <v>3016.0680228862002</v>
      </c>
      <c r="P2282" s="116">
        <v>3109.4779084551801</v>
      </c>
      <c r="Q2282" s="116">
        <v>3122.5</v>
      </c>
      <c r="R2282">
        <v>1199487</v>
      </c>
    </row>
    <row r="2283" spans="1:18" x14ac:dyDescent="0.25">
      <c r="A2283" s="170">
        <v>45364</v>
      </c>
      <c r="B2283" s="116">
        <v>3043.2088260836199</v>
      </c>
      <c r="C2283" s="116">
        <v>2816.3012039922401</v>
      </c>
      <c r="D2283" s="116">
        <v>2763.99756711195</v>
      </c>
      <c r="E2283" s="116">
        <v>3033.8048357640901</v>
      </c>
      <c r="F2283" s="116">
        <v>2904.95</v>
      </c>
      <c r="G2283">
        <v>153050</v>
      </c>
      <c r="H2283" s="116"/>
      <c r="I2283" s="116"/>
      <c r="L2283" s="170">
        <v>45364</v>
      </c>
      <c r="M2283" s="116">
        <v>2817.5174825174799</v>
      </c>
      <c r="N2283" s="116">
        <v>3042.2925937698701</v>
      </c>
      <c r="O2283" s="116">
        <v>2763.1778448823902</v>
      </c>
      <c r="P2283" s="116">
        <v>3029.6408137317198</v>
      </c>
      <c r="Q2283" s="116">
        <v>2906.2</v>
      </c>
      <c r="R2283">
        <v>3407040</v>
      </c>
    </row>
    <row r="2284" spans="1:18" x14ac:dyDescent="0.25">
      <c r="A2284" s="170">
        <v>45365</v>
      </c>
      <c r="B2284" s="116">
        <v>3004.4294845597801</v>
      </c>
      <c r="C2284" s="116">
        <v>2993.4743205793002</v>
      </c>
      <c r="D2284" s="116">
        <v>2790.9007352941198</v>
      </c>
      <c r="E2284" s="116">
        <v>2822.21505357462</v>
      </c>
      <c r="F2284" s="116">
        <v>3087.7</v>
      </c>
      <c r="G2284">
        <v>125889</v>
      </c>
      <c r="H2284" s="116"/>
      <c r="I2284" s="116"/>
      <c r="L2284" s="170">
        <v>45365</v>
      </c>
      <c r="M2284" s="116">
        <v>2993.2366497139201</v>
      </c>
      <c r="N2284" s="116">
        <v>3006.5670692943399</v>
      </c>
      <c r="O2284" s="116">
        <v>2792.1169739351599</v>
      </c>
      <c r="P2284" s="116">
        <v>2838.1190400508599</v>
      </c>
      <c r="Q2284" s="116">
        <v>3087.45</v>
      </c>
      <c r="R2284">
        <v>3759100</v>
      </c>
    </row>
    <row r="2285" spans="1:18" x14ac:dyDescent="0.25">
      <c r="A2285" s="170">
        <v>45366</v>
      </c>
      <c r="B2285" s="116">
        <v>3045.1962673367202</v>
      </c>
      <c r="C2285" s="116">
        <v>3036.9071830859998</v>
      </c>
      <c r="D2285" s="116">
        <v>2966.5711523971299</v>
      </c>
      <c r="E2285" s="116">
        <v>3013.1548364026498</v>
      </c>
      <c r="F2285" s="116">
        <v>3132.5</v>
      </c>
      <c r="G2285">
        <v>132896</v>
      </c>
      <c r="H2285" s="116"/>
      <c r="I2285" s="116"/>
      <c r="L2285" s="170">
        <v>45366</v>
      </c>
      <c r="M2285" s="116">
        <v>3036.6211061665599</v>
      </c>
      <c r="N2285" s="116">
        <v>3047.4793388429698</v>
      </c>
      <c r="O2285" s="116">
        <v>2967.8361411316</v>
      </c>
      <c r="P2285" s="116">
        <v>3016.0680228862002</v>
      </c>
      <c r="Q2285" s="116">
        <v>3132.2</v>
      </c>
      <c r="R2285">
        <v>2199094</v>
      </c>
    </row>
    <row r="2286" spans="1:18" x14ac:dyDescent="0.25">
      <c r="A2286" s="170">
        <v>45369</v>
      </c>
      <c r="B2286" s="116">
        <v>3026.4852350514702</v>
      </c>
      <c r="C2286" s="116">
        <v>3015.4815968940802</v>
      </c>
      <c r="D2286" s="116">
        <v>2885.18300937396</v>
      </c>
      <c r="E2286" s="116">
        <v>2942.4310122985398</v>
      </c>
      <c r="F2286" s="116">
        <v>3110.4</v>
      </c>
      <c r="G2286">
        <v>223743</v>
      </c>
      <c r="H2286" s="116"/>
      <c r="I2286" s="116"/>
      <c r="L2286" s="170">
        <v>45369</v>
      </c>
      <c r="M2286" s="116">
        <v>3016.7951366815</v>
      </c>
      <c r="N2286" s="116">
        <v>3028.6713286713298</v>
      </c>
      <c r="O2286" s="116">
        <v>2885.2360139860102</v>
      </c>
      <c r="P2286" s="116">
        <v>2957.0263827081999</v>
      </c>
      <c r="Q2286" s="116">
        <v>3111.75</v>
      </c>
      <c r="R2286">
        <v>3042515</v>
      </c>
    </row>
    <row r="2287" spans="1:18" x14ac:dyDescent="0.25">
      <c r="A2287" s="170">
        <v>45370</v>
      </c>
      <c r="B2287" s="116">
        <v>3068.0760788357902</v>
      </c>
      <c r="C2287" s="116">
        <v>2959.3485000383098</v>
      </c>
      <c r="D2287" s="116">
        <v>2948.7326552961599</v>
      </c>
      <c r="E2287" s="116">
        <v>3031.5750236264698</v>
      </c>
      <c r="F2287" s="116">
        <v>3052.5</v>
      </c>
      <c r="G2287">
        <v>61585</v>
      </c>
      <c r="H2287" s="116"/>
      <c r="I2287" s="116"/>
      <c r="L2287" s="170">
        <v>45370</v>
      </c>
      <c r="M2287" s="116">
        <v>2959.5470438652301</v>
      </c>
      <c r="N2287" s="116">
        <v>3068.22631913541</v>
      </c>
      <c r="O2287" s="116">
        <v>2949.02813095995</v>
      </c>
      <c r="P2287" s="116">
        <v>3030.6102987921199</v>
      </c>
      <c r="Q2287" s="116">
        <v>3052.7</v>
      </c>
      <c r="R2287">
        <v>1460452</v>
      </c>
    </row>
    <row r="2288" spans="1:18" x14ac:dyDescent="0.25">
      <c r="A2288" s="170">
        <v>45371</v>
      </c>
      <c r="B2288" s="116">
        <v>2986.6879358126198</v>
      </c>
      <c r="C2288" s="116">
        <v>2958.1366456156902</v>
      </c>
      <c r="D2288" s="116">
        <v>2929.77925212638</v>
      </c>
      <c r="E2288" s="116">
        <v>2972.0002602104701</v>
      </c>
      <c r="F2288" s="116">
        <v>3051.25</v>
      </c>
      <c r="G2288">
        <v>45644</v>
      </c>
      <c r="H2288" s="116"/>
      <c r="I2288" s="116"/>
      <c r="L2288" s="170">
        <v>45371</v>
      </c>
      <c r="M2288" s="116">
        <v>2958.3351875397302</v>
      </c>
      <c r="N2288" s="116">
        <v>2989.11633820725</v>
      </c>
      <c r="O2288" s="116">
        <v>2928.9113159567701</v>
      </c>
      <c r="P2288" s="116">
        <v>2981.1665607120099</v>
      </c>
      <c r="Q2288" s="116">
        <v>3051.45</v>
      </c>
      <c r="R2288">
        <v>966481</v>
      </c>
    </row>
    <row r="2289" spans="1:18" x14ac:dyDescent="0.25">
      <c r="A2289" s="170">
        <v>45372</v>
      </c>
      <c r="B2289" s="116">
        <v>3011.21586932645</v>
      </c>
      <c r="C2289" s="116">
        <v>2971.95178603356</v>
      </c>
      <c r="D2289" s="116">
        <v>2965.6501430359399</v>
      </c>
      <c r="E2289" s="116">
        <v>3000.0183344614402</v>
      </c>
      <c r="F2289" s="116">
        <v>3065.5</v>
      </c>
      <c r="G2289">
        <v>36536</v>
      </c>
      <c r="H2289" s="116"/>
      <c r="I2289" s="116"/>
      <c r="L2289" s="170">
        <v>45372</v>
      </c>
      <c r="M2289" s="116">
        <v>2972.9259376986602</v>
      </c>
      <c r="N2289" s="116">
        <v>3012.2870311506699</v>
      </c>
      <c r="O2289" s="116">
        <v>2966.2364907819501</v>
      </c>
      <c r="P2289" s="116">
        <v>2995.2725683407498</v>
      </c>
      <c r="Q2289" s="116">
        <v>3066.5</v>
      </c>
      <c r="R2289">
        <v>1175751</v>
      </c>
    </row>
    <row r="2290" spans="1:18" x14ac:dyDescent="0.25">
      <c r="A2290" s="170">
        <v>45373</v>
      </c>
      <c r="B2290" s="116">
        <v>3032.8838264029</v>
      </c>
      <c r="C2290" s="116">
        <v>3010.6826533805001</v>
      </c>
      <c r="D2290" s="116">
        <v>2960.2210352226002</v>
      </c>
      <c r="E2290" s="116">
        <v>2984.0218560828598</v>
      </c>
      <c r="F2290" s="116">
        <v>3105.45</v>
      </c>
      <c r="G2290">
        <v>38834</v>
      </c>
      <c r="H2290" s="116"/>
      <c r="I2290" s="116"/>
      <c r="L2290" s="170">
        <v>45373</v>
      </c>
      <c r="M2290" s="116">
        <v>3012.8687221869</v>
      </c>
      <c r="N2290" s="116">
        <v>3033.4702797202799</v>
      </c>
      <c r="O2290" s="116">
        <v>2955.03893833439</v>
      </c>
      <c r="P2290" s="116">
        <v>2972.9744119516799</v>
      </c>
      <c r="Q2290" s="116">
        <v>3107.7</v>
      </c>
      <c r="R2290">
        <v>951557</v>
      </c>
    </row>
    <row r="2291" spans="1:18" x14ac:dyDescent="0.25">
      <c r="A2291" s="170">
        <v>45377</v>
      </c>
      <c r="B2291" s="116">
        <v>3074.47467018722</v>
      </c>
      <c r="C2291" s="116">
        <v>3011.79755944931</v>
      </c>
      <c r="D2291" s="116">
        <v>2996.4312453704902</v>
      </c>
      <c r="E2291" s="116">
        <v>3010.1009632576402</v>
      </c>
      <c r="F2291" s="116">
        <v>3106.6</v>
      </c>
      <c r="G2291">
        <v>30294</v>
      </c>
      <c r="H2291" s="116"/>
      <c r="I2291" s="116"/>
      <c r="L2291" s="170">
        <v>45377</v>
      </c>
      <c r="M2291" s="116">
        <v>3015.0500635727899</v>
      </c>
      <c r="N2291" s="116">
        <v>3075.1581373172298</v>
      </c>
      <c r="O2291" s="116">
        <v>2994.83630006357</v>
      </c>
      <c r="P2291" s="116">
        <v>3005.8884297520699</v>
      </c>
      <c r="Q2291" s="116">
        <v>3109.95</v>
      </c>
      <c r="R2291">
        <v>937103</v>
      </c>
    </row>
    <row r="2292" spans="1:18" x14ac:dyDescent="0.25">
      <c r="A2292" s="170">
        <v>45378</v>
      </c>
      <c r="B2292" s="116">
        <v>3043.30577443743</v>
      </c>
      <c r="C2292" s="116">
        <v>3026.9699768205201</v>
      </c>
      <c r="D2292" s="116">
        <v>3013.1548364026498</v>
      </c>
      <c r="E2292" s="116">
        <v>3016.1117611938398</v>
      </c>
      <c r="F2292" s="116">
        <v>3122.25</v>
      </c>
      <c r="G2292">
        <v>24261</v>
      </c>
      <c r="H2292" s="116"/>
      <c r="I2292" s="116"/>
      <c r="L2292" s="170">
        <v>45378</v>
      </c>
      <c r="M2292" s="116">
        <v>3026.8293070565801</v>
      </c>
      <c r="N2292" s="116">
        <v>3042.6803877940201</v>
      </c>
      <c r="O2292" s="116">
        <v>3011.4629688493301</v>
      </c>
      <c r="P2292" s="116">
        <v>3019.94596312778</v>
      </c>
      <c r="Q2292" s="116">
        <v>3122.1</v>
      </c>
      <c r="R2292">
        <v>900231</v>
      </c>
    </row>
    <row r="2293" spans="1:18" x14ac:dyDescent="0.25">
      <c r="A2293" s="170">
        <v>45379</v>
      </c>
      <c r="B2293" s="116">
        <v>3136.57009080228</v>
      </c>
      <c r="C2293" s="116">
        <v>3096.0941530867699</v>
      </c>
      <c r="D2293" s="116">
        <v>3003.6538977292998</v>
      </c>
      <c r="E2293" s="116">
        <v>3028.1818312431401</v>
      </c>
      <c r="F2293" s="116">
        <v>3193.55</v>
      </c>
      <c r="G2293">
        <v>153143</v>
      </c>
      <c r="H2293" s="116"/>
      <c r="I2293" s="116"/>
      <c r="L2293" s="170">
        <v>45379</v>
      </c>
      <c r="M2293" s="116">
        <v>3099.5406865861401</v>
      </c>
      <c r="N2293" s="116">
        <v>3138.2231404958702</v>
      </c>
      <c r="O2293" s="116">
        <v>3002.2528607755899</v>
      </c>
      <c r="P2293" s="116">
        <v>3038.36617927527</v>
      </c>
      <c r="Q2293" s="116">
        <v>3197.1</v>
      </c>
      <c r="R2293">
        <v>2327053</v>
      </c>
    </row>
    <row r="2294" spans="1:18" x14ac:dyDescent="0.25">
      <c r="A2294" s="170">
        <v>45383</v>
      </c>
      <c r="B2294" s="116">
        <v>3189.6008403361302</v>
      </c>
      <c r="C2294" s="116">
        <v>3151.8394565272902</v>
      </c>
      <c r="D2294" s="116">
        <v>3112.0421572884502</v>
      </c>
      <c r="E2294" s="116">
        <v>3122.3671569691701</v>
      </c>
      <c r="F2294" s="116">
        <v>3251.05</v>
      </c>
      <c r="G2294">
        <v>47654</v>
      </c>
      <c r="H2294" s="116"/>
      <c r="I2294" s="116"/>
      <c r="L2294" s="170">
        <v>45383</v>
      </c>
      <c r="M2294" s="116">
        <v>3152.8623649078199</v>
      </c>
      <c r="N2294" s="116">
        <v>3191.3509218054701</v>
      </c>
      <c r="O2294" s="116">
        <v>3109.9626509853802</v>
      </c>
      <c r="P2294" s="116">
        <v>3131.6306420851902</v>
      </c>
      <c r="Q2294" s="116">
        <v>3252.1</v>
      </c>
      <c r="R2294">
        <v>1292646</v>
      </c>
    </row>
    <row r="2295" spans="1:18" x14ac:dyDescent="0.25">
      <c r="A2295" s="170">
        <v>45384</v>
      </c>
      <c r="B2295" s="116">
        <v>3183.2022489847</v>
      </c>
      <c r="C2295" s="116">
        <v>3167.9328832596898</v>
      </c>
      <c r="D2295" s="116">
        <v>3141.1266634313301</v>
      </c>
      <c r="E2295" s="116">
        <v>3164.83053593778</v>
      </c>
      <c r="F2295" s="116">
        <v>3267.65</v>
      </c>
      <c r="G2295">
        <v>28814</v>
      </c>
      <c r="H2295" s="116"/>
      <c r="I2295" s="116"/>
      <c r="L2295" s="170">
        <v>45384</v>
      </c>
      <c r="M2295" s="116">
        <v>3169.00429116338</v>
      </c>
      <c r="N2295" s="116">
        <v>3184.75842339479</v>
      </c>
      <c r="O2295" s="116">
        <v>3141.13159567705</v>
      </c>
      <c r="P2295" s="116">
        <v>3159.5033375715202</v>
      </c>
      <c r="Q2295" s="116">
        <v>3268.75</v>
      </c>
      <c r="R2295">
        <v>868829</v>
      </c>
    </row>
    <row r="2296" spans="1:18" x14ac:dyDescent="0.25">
      <c r="A2296" s="170">
        <v>45385</v>
      </c>
      <c r="B2296" s="116">
        <v>3160.37091166254</v>
      </c>
      <c r="C2296" s="116">
        <v>3136.6670391560901</v>
      </c>
      <c r="D2296" s="116">
        <v>3122.7549503844102</v>
      </c>
      <c r="E2296" s="116">
        <v>3160.37091166254</v>
      </c>
      <c r="F2296" s="116">
        <v>3235.4</v>
      </c>
      <c r="G2296">
        <v>30633</v>
      </c>
      <c r="H2296" s="116"/>
      <c r="I2296" s="116"/>
      <c r="L2296" s="170">
        <v>45385</v>
      </c>
      <c r="M2296" s="116">
        <v>3134.7814685314702</v>
      </c>
      <c r="N2296" s="116">
        <v>3160.6667196439898</v>
      </c>
      <c r="O2296" s="116">
        <v>3123.68086458996</v>
      </c>
      <c r="P2296" s="116">
        <v>3150.8264462809898</v>
      </c>
      <c r="Q2296" s="116">
        <v>3233.45</v>
      </c>
      <c r="R2296">
        <v>1153109</v>
      </c>
    </row>
    <row r="2297" spans="1:18" x14ac:dyDescent="0.25">
      <c r="A2297" s="170">
        <v>45386</v>
      </c>
      <c r="B2297" s="116">
        <v>3173.7982586651701</v>
      </c>
      <c r="C2297" s="116">
        <v>3113.10858918035</v>
      </c>
      <c r="D2297" s="116">
        <v>3104.2862889836802</v>
      </c>
      <c r="E2297" s="116">
        <v>3141.1751376082302</v>
      </c>
      <c r="F2297" s="116">
        <v>3211.1</v>
      </c>
      <c r="G2297">
        <v>79821</v>
      </c>
      <c r="H2297" s="116"/>
      <c r="I2297" s="116"/>
      <c r="L2297" s="170">
        <v>45386</v>
      </c>
      <c r="M2297" s="116">
        <v>3112.8226319135401</v>
      </c>
      <c r="N2297" s="116">
        <v>3173.1246026700601</v>
      </c>
      <c r="O2297" s="116">
        <v>3104.0003178639499</v>
      </c>
      <c r="P2297" s="116">
        <v>3150.8264462809898</v>
      </c>
      <c r="Q2297" s="116">
        <v>3210.8</v>
      </c>
      <c r="R2297">
        <v>1403826</v>
      </c>
    </row>
    <row r="2298" spans="1:18" x14ac:dyDescent="0.25">
      <c r="A2298" s="170">
        <v>45387</v>
      </c>
      <c r="B2298" s="116">
        <v>3134.8734946106101</v>
      </c>
      <c r="C2298" s="116">
        <v>3123.53053721489</v>
      </c>
      <c r="D2298" s="116">
        <v>3081.01868406937</v>
      </c>
      <c r="E2298" s="116">
        <v>3113.10858918035</v>
      </c>
      <c r="F2298" s="116">
        <v>3221.85</v>
      </c>
      <c r="G2298">
        <v>62445</v>
      </c>
      <c r="H2298" s="116"/>
      <c r="I2298" s="116"/>
      <c r="L2298" s="170">
        <v>45387</v>
      </c>
      <c r="M2298" s="116">
        <v>3126.3954227590598</v>
      </c>
      <c r="N2298" s="116">
        <v>3135.31468531469</v>
      </c>
      <c r="O2298" s="116">
        <v>3081.9445327399899</v>
      </c>
      <c r="P2298" s="116">
        <v>3113.1134774316602</v>
      </c>
      <c r="Q2298" s="116">
        <v>3224.8</v>
      </c>
      <c r="R2298">
        <v>755607</v>
      </c>
    </row>
    <row r="2299" spans="1:18" x14ac:dyDescent="0.25">
      <c r="A2299" s="170">
        <v>45390</v>
      </c>
      <c r="B2299" s="116">
        <v>3149.8035410972898</v>
      </c>
      <c r="C2299" s="116">
        <v>3125.6634009987001</v>
      </c>
      <c r="D2299" s="116">
        <v>3100.7961482465298</v>
      </c>
      <c r="E2299" s="116">
        <v>3149.8035410972898</v>
      </c>
      <c r="F2299" s="116">
        <v>3224.05</v>
      </c>
      <c r="G2299">
        <v>24479</v>
      </c>
      <c r="H2299" s="116"/>
      <c r="I2299" s="116"/>
      <c r="L2299" s="170">
        <v>45390</v>
      </c>
      <c r="M2299" s="116">
        <v>3126.15305149396</v>
      </c>
      <c r="N2299" s="116">
        <v>3144.5247933884302</v>
      </c>
      <c r="O2299" s="116">
        <v>3099.6376350921801</v>
      </c>
      <c r="P2299" s="116">
        <v>3142.0526064844198</v>
      </c>
      <c r="Q2299" s="116">
        <v>3224.55</v>
      </c>
      <c r="R2299">
        <v>577440</v>
      </c>
    </row>
    <row r="2300" spans="1:18" x14ac:dyDescent="0.25">
      <c r="A2300" s="170">
        <v>45391</v>
      </c>
      <c r="B2300" s="116">
        <v>3150.82149881229</v>
      </c>
      <c r="C2300" s="116">
        <v>3099.4873454701001</v>
      </c>
      <c r="D2300" s="116">
        <v>3088.7745523741401</v>
      </c>
      <c r="E2300" s="116">
        <v>3135.4551847334701</v>
      </c>
      <c r="F2300" s="116">
        <v>3197.05</v>
      </c>
      <c r="G2300">
        <v>25870</v>
      </c>
      <c r="H2300" s="116"/>
      <c r="I2300" s="116"/>
      <c r="L2300" s="170">
        <v>45391</v>
      </c>
      <c r="M2300" s="116">
        <v>3100.8494914176699</v>
      </c>
      <c r="N2300" s="116">
        <v>3151.7959313413899</v>
      </c>
      <c r="O2300" s="116">
        <v>3087.8099173553701</v>
      </c>
      <c r="P2300" s="116">
        <v>3141.81023521933</v>
      </c>
      <c r="Q2300" s="116">
        <v>3198.45</v>
      </c>
      <c r="R2300">
        <v>833679</v>
      </c>
    </row>
    <row r="2301" spans="1:18" x14ac:dyDescent="0.25">
      <c r="A2301" s="170">
        <v>45392</v>
      </c>
      <c r="B2301" s="116">
        <v>3154.3601137263399</v>
      </c>
      <c r="C2301" s="116">
        <v>3143.2110530382402</v>
      </c>
      <c r="D2301" s="116">
        <v>3095.7548338484298</v>
      </c>
      <c r="E2301" s="116">
        <v>3110.6364061582099</v>
      </c>
      <c r="F2301" s="116">
        <v>3242.15</v>
      </c>
      <c r="G2301">
        <v>21775</v>
      </c>
      <c r="H2301" s="116"/>
      <c r="I2301" s="116"/>
      <c r="L2301" s="170">
        <v>45392</v>
      </c>
      <c r="M2301" s="116">
        <v>3143.0705657978401</v>
      </c>
      <c r="N2301" s="116">
        <v>3155.2860775588001</v>
      </c>
      <c r="O2301" s="116">
        <v>3095.0810553083302</v>
      </c>
      <c r="P2301" s="116">
        <v>3102.3521932612798</v>
      </c>
      <c r="Q2301" s="116">
        <v>3242</v>
      </c>
      <c r="R2301">
        <v>1441138</v>
      </c>
    </row>
    <row r="2302" spans="1:18" x14ac:dyDescent="0.25">
      <c r="A2302" s="170">
        <v>45394</v>
      </c>
      <c r="B2302" s="116">
        <v>3147.9130481980001</v>
      </c>
      <c r="C2302" s="116">
        <v>3110.8303028658302</v>
      </c>
      <c r="D2302" s="116">
        <v>3106.4676269443898</v>
      </c>
      <c r="E2302" s="116">
        <v>3107.8249038977301</v>
      </c>
      <c r="F2302" s="116">
        <v>3208.75</v>
      </c>
      <c r="G2302">
        <v>49223</v>
      </c>
      <c r="H2302" s="116"/>
      <c r="I2302" s="116"/>
      <c r="L2302" s="170">
        <v>45394</v>
      </c>
      <c r="M2302" s="116">
        <v>3111.9500953591901</v>
      </c>
      <c r="N2302" s="116">
        <v>3148.4027336300101</v>
      </c>
      <c r="O2302" s="116">
        <v>3107.4904640813702</v>
      </c>
      <c r="P2302" s="116">
        <v>3112.0470438652301</v>
      </c>
      <c r="Q2302" s="116">
        <v>3209.9</v>
      </c>
      <c r="R2302">
        <v>705173</v>
      </c>
    </row>
    <row r="2303" spans="1:18" x14ac:dyDescent="0.25">
      <c r="A2303" s="170">
        <v>45397</v>
      </c>
      <c r="B2303" s="116">
        <v>3082.9576511455598</v>
      </c>
      <c r="C2303" s="116">
        <v>3052.51586804935</v>
      </c>
      <c r="D2303" s="116">
        <v>3008.3074187121701</v>
      </c>
      <c r="E2303" s="116">
        <v>3048.63793389696</v>
      </c>
      <c r="F2303" s="116">
        <v>3148.6</v>
      </c>
      <c r="G2303">
        <v>107061</v>
      </c>
      <c r="H2303" s="116"/>
      <c r="I2303" s="116"/>
      <c r="L2303" s="170">
        <v>45397</v>
      </c>
      <c r="M2303" s="116">
        <v>3051.4057533375699</v>
      </c>
      <c r="N2303" s="116">
        <v>3083.2533375715202</v>
      </c>
      <c r="O2303" s="116">
        <v>3008.5060394151301</v>
      </c>
      <c r="P2303" s="116">
        <v>3053.8779402415798</v>
      </c>
      <c r="Q2303" s="116">
        <v>3147.45</v>
      </c>
      <c r="R2303">
        <v>1035378</v>
      </c>
    </row>
    <row r="2304" spans="1:18" x14ac:dyDescent="0.25">
      <c r="A2304" s="170">
        <v>45398</v>
      </c>
      <c r="B2304" s="116">
        <v>3053.8731450026798</v>
      </c>
      <c r="C2304" s="116">
        <v>3011.16739514955</v>
      </c>
      <c r="D2304" s="116">
        <v>3003.7023719062099</v>
      </c>
      <c r="E2304" s="116">
        <v>3015.04532930193</v>
      </c>
      <c r="F2304" s="116">
        <v>3105.95</v>
      </c>
      <c r="G2304">
        <v>87573</v>
      </c>
      <c r="H2304" s="116"/>
      <c r="I2304" s="116"/>
      <c r="L2304" s="170">
        <v>45398</v>
      </c>
      <c r="M2304" s="116">
        <v>3011.6083916083899</v>
      </c>
      <c r="N2304" s="116">
        <v>3053.1023521932598</v>
      </c>
      <c r="O2304" s="116">
        <v>3005.4036872218699</v>
      </c>
      <c r="P2304" s="116">
        <v>3006.3731722822599</v>
      </c>
      <c r="Q2304" s="116">
        <v>3106.4</v>
      </c>
      <c r="R2304">
        <v>1134184</v>
      </c>
    </row>
    <row r="2305" spans="1:18" x14ac:dyDescent="0.25">
      <c r="A2305" s="170">
        <v>45400</v>
      </c>
      <c r="B2305" s="116">
        <v>3049.0742014891098</v>
      </c>
      <c r="C2305" s="116">
        <v>2927.8402850501898</v>
      </c>
      <c r="D2305" s="116">
        <v>2918.1454496692299</v>
      </c>
      <c r="E2305" s="116">
        <v>3033.75636158719</v>
      </c>
      <c r="F2305" s="116">
        <v>3020</v>
      </c>
      <c r="G2305">
        <v>94139</v>
      </c>
      <c r="H2305" s="116"/>
      <c r="I2305" s="116"/>
      <c r="L2305" s="170">
        <v>45400</v>
      </c>
      <c r="M2305" s="116">
        <v>2927.1662428480599</v>
      </c>
      <c r="N2305" s="116">
        <v>3049.0305149396099</v>
      </c>
      <c r="O2305" s="116">
        <v>2916.5019071837301</v>
      </c>
      <c r="P2305" s="116">
        <v>3029.7862364907801</v>
      </c>
      <c r="Q2305" s="116">
        <v>3019.3</v>
      </c>
      <c r="R2305">
        <v>1703646</v>
      </c>
    </row>
    <row r="2306" spans="1:18" x14ac:dyDescent="0.25">
      <c r="A2306" s="170">
        <v>45401</v>
      </c>
      <c r="B2306" s="116">
        <v>2962.9840633061699</v>
      </c>
      <c r="C2306" s="116">
        <v>2933.3663412173401</v>
      </c>
      <c r="D2306" s="116">
        <v>2870.34991124109</v>
      </c>
      <c r="E2306" s="116">
        <v>2914.7522572858902</v>
      </c>
      <c r="F2306" s="116">
        <v>3025.7</v>
      </c>
      <c r="G2306">
        <v>103856</v>
      </c>
      <c r="H2306" s="116"/>
      <c r="I2306" s="116"/>
      <c r="L2306" s="170">
        <v>45401</v>
      </c>
      <c r="M2306" s="116">
        <v>2934.5828035600798</v>
      </c>
      <c r="N2306" s="116">
        <v>2963.7643038779402</v>
      </c>
      <c r="O2306" s="116">
        <v>2872.0994914176699</v>
      </c>
      <c r="P2306" s="116">
        <v>2908.4551811824499</v>
      </c>
      <c r="Q2306" s="116">
        <v>3026.95</v>
      </c>
      <c r="R2306">
        <v>1727317</v>
      </c>
    </row>
    <row r="2307" spans="1:18" x14ac:dyDescent="0.25">
      <c r="A2307" s="170">
        <v>45404</v>
      </c>
      <c r="B2307" s="116">
        <v>2983.5855884907201</v>
      </c>
      <c r="C2307" s="116">
        <v>2971.07925084928</v>
      </c>
      <c r="D2307" s="116">
        <v>2933.3663412173401</v>
      </c>
      <c r="E2307" s="116">
        <v>2966.0864106280801</v>
      </c>
      <c r="F2307" s="116">
        <v>3064.6</v>
      </c>
      <c r="G2307">
        <v>82564</v>
      </c>
      <c r="H2307" s="116"/>
      <c r="I2307" s="116"/>
      <c r="L2307" s="170">
        <v>45404</v>
      </c>
      <c r="M2307" s="116">
        <v>2969.8720597584202</v>
      </c>
      <c r="N2307" s="116">
        <v>2983.5902733630001</v>
      </c>
      <c r="O2307" s="116">
        <v>2932.6923076923099</v>
      </c>
      <c r="P2307" s="116">
        <v>2959.8378893833401</v>
      </c>
      <c r="Q2307" s="116">
        <v>3063.35</v>
      </c>
      <c r="R2307">
        <v>993929</v>
      </c>
    </row>
    <row r="2308" spans="1:18" x14ac:dyDescent="0.25">
      <c r="A2308" s="170">
        <v>45405</v>
      </c>
      <c r="B2308" s="116">
        <v>2997.2553063778701</v>
      </c>
      <c r="C2308" s="116">
        <v>2969.7704480728498</v>
      </c>
      <c r="D2308" s="116">
        <v>2950.6231481954501</v>
      </c>
      <c r="E2308" s="116">
        <v>2962.1115281218899</v>
      </c>
      <c r="F2308" s="116">
        <v>3063.25</v>
      </c>
      <c r="G2308">
        <v>64147</v>
      </c>
      <c r="H2308" s="116"/>
      <c r="I2308" s="116"/>
      <c r="L2308" s="170">
        <v>45405</v>
      </c>
      <c r="M2308" s="116">
        <v>2971.5686586141101</v>
      </c>
      <c r="N2308" s="116">
        <v>2996.6783216783201</v>
      </c>
      <c r="O2308" s="116">
        <v>2950.2399872854398</v>
      </c>
      <c r="P2308" s="116">
        <v>2965.6547997457101</v>
      </c>
      <c r="Q2308" s="116">
        <v>3065.1</v>
      </c>
      <c r="R2308">
        <v>1654272</v>
      </c>
    </row>
    <row r="2309" spans="1:18" x14ac:dyDescent="0.25">
      <c r="A2309" s="170">
        <v>45406</v>
      </c>
      <c r="B2309" s="116">
        <v>2993.6197431100099</v>
      </c>
      <c r="C2309" s="116">
        <v>2949.99298389569</v>
      </c>
      <c r="D2309" s="116">
        <v>2947.6662234042601</v>
      </c>
      <c r="E2309" s="116">
        <v>2971.8063635028502</v>
      </c>
      <c r="F2309" s="116">
        <v>3042.85</v>
      </c>
      <c r="G2309">
        <v>22535</v>
      </c>
      <c r="H2309" s="116"/>
      <c r="I2309" s="116"/>
      <c r="L2309" s="170">
        <v>45406</v>
      </c>
      <c r="M2309" s="116">
        <v>2950.6762555626201</v>
      </c>
      <c r="N2309" s="116">
        <v>2993.6244437380801</v>
      </c>
      <c r="O2309" s="116">
        <v>2947.2345835982201</v>
      </c>
      <c r="P2309" s="116">
        <v>2978.2096312778099</v>
      </c>
      <c r="Q2309" s="116">
        <v>3043.55</v>
      </c>
      <c r="R2309">
        <v>605917</v>
      </c>
    </row>
    <row r="2310" spans="1:18" x14ac:dyDescent="0.25">
      <c r="A2310" s="170">
        <v>45407</v>
      </c>
      <c r="B2310" s="116">
        <v>3026.0974416362301</v>
      </c>
      <c r="C2310" s="116">
        <v>3021.29849812265</v>
      </c>
      <c r="D2310" s="116">
        <v>2934.4327731092399</v>
      </c>
      <c r="E2310" s="116">
        <v>2952.4166927409301</v>
      </c>
      <c r="F2310" s="116">
        <v>3116.4</v>
      </c>
      <c r="G2310">
        <v>40285</v>
      </c>
      <c r="H2310" s="116"/>
      <c r="I2310" s="116"/>
      <c r="L2310" s="170">
        <v>45407</v>
      </c>
      <c r="M2310" s="116">
        <v>3020.1883343928798</v>
      </c>
      <c r="N2310" s="116">
        <v>3025.66592498411</v>
      </c>
      <c r="O2310" s="116">
        <v>2933.3224729815602</v>
      </c>
      <c r="P2310" s="116">
        <v>2956.9294342021599</v>
      </c>
      <c r="Q2310" s="116">
        <v>3115.25</v>
      </c>
      <c r="R2310">
        <v>1515529</v>
      </c>
    </row>
    <row r="2311" spans="1:18" x14ac:dyDescent="0.25">
      <c r="A2311" s="170">
        <v>45408</v>
      </c>
      <c r="B2311" s="116">
        <v>3035.0166901867101</v>
      </c>
      <c r="C2311" s="116">
        <v>2985.91234898215</v>
      </c>
      <c r="D2311" s="116">
        <v>2972.7758470409399</v>
      </c>
      <c r="E2311" s="116">
        <v>3006.41692581288</v>
      </c>
      <c r="F2311" s="116">
        <v>3079.9</v>
      </c>
      <c r="G2311">
        <v>60459</v>
      </c>
      <c r="H2311" s="116"/>
      <c r="I2311" s="116"/>
      <c r="L2311" s="170">
        <v>45408</v>
      </c>
      <c r="M2311" s="116">
        <v>2986.4017800381398</v>
      </c>
      <c r="N2311" s="116">
        <v>3034.3912905276502</v>
      </c>
      <c r="O2311" s="116">
        <v>2972.4896694214899</v>
      </c>
      <c r="P2311" s="116">
        <v>3024.6964399237099</v>
      </c>
      <c r="Q2311" s="116">
        <v>3080.4</v>
      </c>
      <c r="R2311">
        <v>662764</v>
      </c>
    </row>
    <row r="2312" spans="1:18" x14ac:dyDescent="0.25">
      <c r="A2312" s="170">
        <v>45411</v>
      </c>
      <c r="B2312" s="116">
        <v>3023.8191553216998</v>
      </c>
      <c r="C2312" s="116">
        <v>2985.5730297438099</v>
      </c>
      <c r="D2312" s="116">
        <v>2958.86375826927</v>
      </c>
      <c r="E2312" s="116">
        <v>3023.8191553216998</v>
      </c>
      <c r="F2312" s="116">
        <v>3079.55</v>
      </c>
      <c r="G2312">
        <v>29658</v>
      </c>
      <c r="H2312" s="116"/>
      <c r="I2312" s="116"/>
      <c r="L2312" s="170">
        <v>45411</v>
      </c>
      <c r="M2312" s="116">
        <v>2987.1773680864599</v>
      </c>
      <c r="N2312" s="116">
        <v>3015.5832803560102</v>
      </c>
      <c r="O2312" s="116">
        <v>2958.38366179275</v>
      </c>
      <c r="P2312" s="116">
        <v>3015.0985378258101</v>
      </c>
      <c r="Q2312" s="116">
        <v>3081.2</v>
      </c>
      <c r="R2312">
        <v>648544</v>
      </c>
    </row>
    <row r="2313" spans="1:18" x14ac:dyDescent="0.25">
      <c r="A2313" s="170">
        <v>45412</v>
      </c>
      <c r="B2313" s="116">
        <v>3013.1548364026498</v>
      </c>
      <c r="C2313" s="116">
        <v>2961.0935704068902</v>
      </c>
      <c r="D2313" s="116">
        <v>2952.1743218564002</v>
      </c>
      <c r="E2313" s="116">
        <v>3003.3145784909698</v>
      </c>
      <c r="F2313" s="116">
        <v>3054.3</v>
      </c>
      <c r="G2313">
        <v>28585</v>
      </c>
      <c r="H2313" s="116"/>
      <c r="I2313" s="116"/>
      <c r="L2313" s="170">
        <v>45412</v>
      </c>
      <c r="M2313" s="116">
        <v>2961.4860139860102</v>
      </c>
      <c r="N2313" s="116">
        <v>3013.5958359821998</v>
      </c>
      <c r="O2313" s="116">
        <v>2952.08200890019</v>
      </c>
      <c r="P2313" s="116">
        <v>2999.5867768594999</v>
      </c>
      <c r="Q2313" s="116">
        <v>3054.7</v>
      </c>
      <c r="R2313">
        <v>804552</v>
      </c>
    </row>
    <row r="2314" spans="1:18" x14ac:dyDescent="0.25">
      <c r="A2314" s="170">
        <v>45414</v>
      </c>
      <c r="B2314" s="116">
        <v>3024.3523712676601</v>
      </c>
      <c r="C2314" s="116">
        <v>2944.4669277285402</v>
      </c>
      <c r="D2314" s="116">
        <v>2923.4291349518498</v>
      </c>
      <c r="E2314" s="116">
        <v>2975.19955588618</v>
      </c>
      <c r="F2314" s="116">
        <v>3037.15</v>
      </c>
      <c r="G2314">
        <v>82362</v>
      </c>
      <c r="H2314" s="116"/>
      <c r="I2314" s="116"/>
      <c r="L2314" s="170">
        <v>45414</v>
      </c>
      <c r="M2314" s="116">
        <v>2946.84678957406</v>
      </c>
      <c r="N2314" s="116">
        <v>3024.6479656706902</v>
      </c>
      <c r="O2314" s="116">
        <v>2923.0459313413899</v>
      </c>
      <c r="P2314" s="116">
        <v>2978.2096312778099</v>
      </c>
      <c r="Q2314" s="116">
        <v>3039.6</v>
      </c>
      <c r="R2314">
        <v>2219085</v>
      </c>
    </row>
    <row r="2315" spans="1:18" x14ac:dyDescent="0.25">
      <c r="A2315" s="170">
        <v>45415</v>
      </c>
      <c r="B2315" s="116">
        <v>2951.2533124952101</v>
      </c>
      <c r="C2315" s="116">
        <v>2901.9550745830202</v>
      </c>
      <c r="D2315" s="116">
        <v>2885.18300937396</v>
      </c>
      <c r="E2315" s="116">
        <v>2941.9947447063901</v>
      </c>
      <c r="F2315" s="116">
        <v>2993.3</v>
      </c>
      <c r="G2315">
        <v>81367</v>
      </c>
      <c r="H2315" s="116"/>
      <c r="I2315" s="116"/>
      <c r="L2315" s="170">
        <v>45415</v>
      </c>
      <c r="M2315" s="116">
        <v>2901.9111570247901</v>
      </c>
      <c r="N2315" s="116">
        <v>2952.08200890019</v>
      </c>
      <c r="O2315" s="116">
        <v>2884.3150031786399</v>
      </c>
      <c r="P2315" s="116">
        <v>2937.5397329942798</v>
      </c>
      <c r="Q2315" s="116">
        <v>2993.25</v>
      </c>
      <c r="R2315">
        <v>1472168</v>
      </c>
    </row>
    <row r="2316" spans="1:18" x14ac:dyDescent="0.25">
      <c r="A2316" s="170">
        <v>45418</v>
      </c>
      <c r="B2316" s="116">
        <v>2904.5726801358801</v>
      </c>
      <c r="C2316" s="116">
        <v>2787.41059455697</v>
      </c>
      <c r="D2316" s="116">
        <v>2763.0280835738499</v>
      </c>
      <c r="E2316" s="116">
        <v>2899.19204649945</v>
      </c>
      <c r="F2316" s="116">
        <v>2875.15</v>
      </c>
      <c r="G2316">
        <v>223282</v>
      </c>
      <c r="H2316" s="116"/>
      <c r="I2316" s="116"/>
      <c r="L2316" s="170">
        <v>45418</v>
      </c>
      <c r="M2316" s="116">
        <v>2786.9302288620502</v>
      </c>
      <c r="N2316" s="116">
        <v>2908.6490781945299</v>
      </c>
      <c r="O2316" s="116">
        <v>2763.03242212333</v>
      </c>
      <c r="P2316" s="116">
        <v>2901.9111570247901</v>
      </c>
      <c r="Q2316" s="116">
        <v>2874.65</v>
      </c>
      <c r="R2316">
        <v>2377944</v>
      </c>
    </row>
    <row r="2317" spans="1:18" x14ac:dyDescent="0.25">
      <c r="A2317" s="170">
        <v>45419</v>
      </c>
      <c r="B2317" s="116">
        <v>2816.3496781691401</v>
      </c>
      <c r="C2317" s="116">
        <v>2748.8736239176501</v>
      </c>
      <c r="D2317" s="116">
        <v>2735.9794928609699</v>
      </c>
      <c r="E2317" s="116">
        <v>2798.8989744834098</v>
      </c>
      <c r="F2317" s="116">
        <v>2835.4</v>
      </c>
      <c r="G2317">
        <v>116682</v>
      </c>
      <c r="H2317" s="116"/>
      <c r="I2317" s="116"/>
      <c r="L2317" s="170">
        <v>45419</v>
      </c>
      <c r="M2317" s="116">
        <v>2749.4111570247901</v>
      </c>
      <c r="N2317" s="116">
        <v>2816.6934202161501</v>
      </c>
      <c r="O2317" s="116">
        <v>2735.8868404322898</v>
      </c>
      <c r="P2317" s="116">
        <v>2801.7633502860799</v>
      </c>
      <c r="Q2317" s="116">
        <v>2835.95</v>
      </c>
      <c r="R2317">
        <v>1262311</v>
      </c>
    </row>
    <row r="2318" spans="1:18" x14ac:dyDescent="0.25">
      <c r="A2318" s="170">
        <v>45420</v>
      </c>
      <c r="B2318" s="116">
        <v>2802.6799602819901</v>
      </c>
      <c r="C2318" s="116">
        <v>2772.8198673086299</v>
      </c>
      <c r="D2318" s="116">
        <v>2734.9130609690701</v>
      </c>
      <c r="E2318" s="116">
        <v>2776.45543057649</v>
      </c>
      <c r="F2318" s="116">
        <v>2860.1</v>
      </c>
      <c r="G2318">
        <v>41253</v>
      </c>
      <c r="H2318" s="116"/>
      <c r="I2318" s="116"/>
      <c r="L2318" s="170">
        <v>45420</v>
      </c>
      <c r="M2318" s="116">
        <v>2773.2604895104901</v>
      </c>
      <c r="N2318" s="116">
        <v>2802.6843610934502</v>
      </c>
      <c r="O2318" s="116">
        <v>2733.9478703115101</v>
      </c>
      <c r="P2318" s="116">
        <v>2763.03242212333</v>
      </c>
      <c r="Q2318" s="116">
        <v>2860.55</v>
      </c>
      <c r="R2318">
        <v>951411</v>
      </c>
    </row>
    <row r="2319" spans="1:18" x14ac:dyDescent="0.25">
      <c r="A2319" s="170">
        <v>45421</v>
      </c>
      <c r="B2319" s="116">
        <v>2810.04803517152</v>
      </c>
      <c r="C2319" s="116">
        <v>2682.3185790273601</v>
      </c>
      <c r="D2319" s="116">
        <v>2673.4962788306798</v>
      </c>
      <c r="E2319" s="116">
        <v>2810.04803517152</v>
      </c>
      <c r="F2319" s="116">
        <v>2766.75</v>
      </c>
      <c r="G2319">
        <v>62503</v>
      </c>
      <c r="H2319" s="116"/>
      <c r="I2319" s="116"/>
      <c r="L2319" s="170">
        <v>45421</v>
      </c>
      <c r="M2319" s="116">
        <v>2682.2258423394801</v>
      </c>
      <c r="N2319" s="116">
        <v>2795.6555944055899</v>
      </c>
      <c r="O2319" s="116">
        <v>2671.90082644628</v>
      </c>
      <c r="P2319" s="116">
        <v>2777.3808010171601</v>
      </c>
      <c r="Q2319" s="116">
        <v>2766.65</v>
      </c>
      <c r="R2319">
        <v>1485510</v>
      </c>
    </row>
    <row r="2320" spans="1:18" x14ac:dyDescent="0.25">
      <c r="A2320" s="170">
        <v>45422</v>
      </c>
      <c r="B2320" s="116">
        <v>2724.2002678731101</v>
      </c>
      <c r="C2320" s="116">
        <v>2713.77831983857</v>
      </c>
      <c r="D2320" s="116">
        <v>2676.7925228602098</v>
      </c>
      <c r="E2320" s="116">
        <v>2706.0709257107101</v>
      </c>
      <c r="F2320" s="116">
        <v>2799.2</v>
      </c>
      <c r="G2320">
        <v>71900</v>
      </c>
      <c r="H2320" s="116"/>
      <c r="I2320" s="116"/>
      <c r="L2320" s="170">
        <v>45422</v>
      </c>
      <c r="M2320" s="116">
        <v>2711.89208518754</v>
      </c>
      <c r="N2320" s="116">
        <v>2723.2835346471702</v>
      </c>
      <c r="O2320" s="116">
        <v>2676.2150349650301</v>
      </c>
      <c r="P2320" s="116">
        <v>2709.6622695486299</v>
      </c>
      <c r="Q2320" s="116">
        <v>2797.25</v>
      </c>
      <c r="R2320">
        <v>2354794</v>
      </c>
    </row>
    <row r="2321" spans="1:18" x14ac:dyDescent="0.25">
      <c r="A2321" s="170">
        <v>45425</v>
      </c>
      <c r="B2321" s="116">
        <v>2800.8379415596</v>
      </c>
      <c r="C2321" s="116">
        <v>2792.5973314857902</v>
      </c>
      <c r="D2321" s="116">
        <v>2705.73160647238</v>
      </c>
      <c r="E2321" s="116">
        <v>2727.7873569640601</v>
      </c>
      <c r="F2321" s="116">
        <v>2880.5</v>
      </c>
      <c r="G2321">
        <v>110417</v>
      </c>
      <c r="H2321" s="116"/>
      <c r="I2321" s="116"/>
      <c r="L2321" s="170">
        <v>45425</v>
      </c>
      <c r="M2321" s="116">
        <v>2791.7291799109998</v>
      </c>
      <c r="N2321" s="116">
        <v>2801.8118245391001</v>
      </c>
      <c r="O2321" s="116">
        <v>2705.3480610298798</v>
      </c>
      <c r="P2321" s="116">
        <v>2717.4666242848102</v>
      </c>
      <c r="Q2321" s="116">
        <v>2879.6</v>
      </c>
      <c r="R2321">
        <v>3784373</v>
      </c>
    </row>
    <row r="2322" spans="1:18" x14ac:dyDescent="0.25">
      <c r="A2322" s="170">
        <v>45426</v>
      </c>
      <c r="B2322" s="116">
        <v>2952.07737350259</v>
      </c>
      <c r="C2322" s="116">
        <v>2944.3699793747301</v>
      </c>
      <c r="D2322" s="116">
        <v>2788.2346555643499</v>
      </c>
      <c r="E2322" s="116">
        <v>2809.41787087175</v>
      </c>
      <c r="F2322" s="116">
        <v>3037.05</v>
      </c>
      <c r="G2322">
        <v>224335</v>
      </c>
      <c r="H2322" s="116"/>
      <c r="I2322" s="116"/>
      <c r="L2322" s="170">
        <v>45426</v>
      </c>
      <c r="M2322" s="116">
        <v>2944.8593452002501</v>
      </c>
      <c r="N2322" s="116">
        <v>2953.05149396058</v>
      </c>
      <c r="O2322" s="116">
        <v>2786.8332803560102</v>
      </c>
      <c r="P2322" s="116">
        <v>2806.6107755880498</v>
      </c>
      <c r="Q2322" s="116">
        <v>3037.55</v>
      </c>
      <c r="R2322">
        <v>5725807</v>
      </c>
    </row>
    <row r="2323" spans="1:18" x14ac:dyDescent="0.25">
      <c r="A2323" s="170">
        <v>45427</v>
      </c>
      <c r="B2323" s="116">
        <v>3023.33441355266</v>
      </c>
      <c r="C2323" s="116">
        <v>2959.4454483921199</v>
      </c>
      <c r="D2323" s="116">
        <v>2947.2299558121099</v>
      </c>
      <c r="E2323" s="116">
        <v>2949.7990871880702</v>
      </c>
      <c r="F2323" s="116">
        <v>3052.6</v>
      </c>
      <c r="G2323">
        <v>113373</v>
      </c>
      <c r="H2323" s="116"/>
      <c r="I2323" s="116"/>
      <c r="L2323" s="170">
        <v>45427</v>
      </c>
      <c r="M2323" s="116">
        <v>2956.6870629370601</v>
      </c>
      <c r="N2323" s="116">
        <v>3023.6784806103001</v>
      </c>
      <c r="O2323" s="116">
        <v>2944.9078194532699</v>
      </c>
      <c r="P2323" s="116">
        <v>2953.7786077558799</v>
      </c>
      <c r="Q2323" s="116">
        <v>3049.75</v>
      </c>
      <c r="R2323">
        <v>1688836</v>
      </c>
    </row>
    <row r="2324" spans="1:18" x14ac:dyDescent="0.25">
      <c r="A2324" s="170">
        <v>45428</v>
      </c>
      <c r="B2324" s="116">
        <v>2983.7794851983299</v>
      </c>
      <c r="C2324" s="116">
        <v>2948.1024909963999</v>
      </c>
      <c r="D2324" s="116">
        <v>2885.0375868432502</v>
      </c>
      <c r="E2324" s="116">
        <v>2960.8511995223598</v>
      </c>
      <c r="F2324" s="116">
        <v>3040.9</v>
      </c>
      <c r="G2324">
        <v>132328</v>
      </c>
      <c r="H2324" s="116"/>
      <c r="I2324" s="116"/>
      <c r="L2324" s="170">
        <v>45428</v>
      </c>
      <c r="M2324" s="116">
        <v>2948.83423394787</v>
      </c>
      <c r="N2324" s="116">
        <v>2983.0570565797798</v>
      </c>
      <c r="O2324" s="116">
        <v>2884.1695804195801</v>
      </c>
      <c r="P2324" s="116">
        <v>2971.4717101080701</v>
      </c>
      <c r="Q2324" s="116">
        <v>3041.65</v>
      </c>
      <c r="R2324">
        <v>1835312</v>
      </c>
    </row>
    <row r="2325" spans="1:18" x14ac:dyDescent="0.25">
      <c r="A2325" s="170">
        <v>45429</v>
      </c>
      <c r="B2325" s="116">
        <v>2995.3163393016798</v>
      </c>
      <c r="C2325" s="116">
        <v>2966.8619974585599</v>
      </c>
      <c r="D2325" s="116">
        <v>2923.6715058363802</v>
      </c>
      <c r="E2325" s="116">
        <v>2952.02889932569</v>
      </c>
      <c r="F2325" s="116">
        <v>3060.25</v>
      </c>
      <c r="G2325">
        <v>42412</v>
      </c>
      <c r="H2325" s="116"/>
      <c r="I2325" s="116"/>
      <c r="L2325" s="170">
        <v>45429</v>
      </c>
      <c r="M2325" s="116">
        <v>2967.1090273363002</v>
      </c>
      <c r="N2325" s="116">
        <v>2996.6783216783201</v>
      </c>
      <c r="O2325" s="116">
        <v>2923.4821996185601</v>
      </c>
      <c r="P2325" s="116">
        <v>2948.2525429116299</v>
      </c>
      <c r="Q2325" s="116">
        <v>3060.5</v>
      </c>
      <c r="R2325">
        <v>825436</v>
      </c>
    </row>
    <row r="2326" spans="1:18" x14ac:dyDescent="0.25">
      <c r="A2326" s="170">
        <v>45430</v>
      </c>
      <c r="B2326" s="116">
        <v>2995.6556585400099</v>
      </c>
      <c r="C2326" s="116">
        <v>2967.0558941661802</v>
      </c>
      <c r="D2326" s="116">
        <v>2836.0786681693999</v>
      </c>
      <c r="E2326" s="116">
        <v>2995.6556585400099</v>
      </c>
      <c r="F2326" s="116">
        <v>3060.45</v>
      </c>
      <c r="G2326">
        <v>4711</v>
      </c>
      <c r="H2326" s="116"/>
      <c r="I2326" s="116"/>
      <c r="L2326" s="170">
        <v>45430</v>
      </c>
      <c r="M2326" s="116">
        <v>2966.3819135409999</v>
      </c>
      <c r="N2326" s="116">
        <v>2980.1970756516198</v>
      </c>
      <c r="O2326" s="116">
        <v>2961.7768595041298</v>
      </c>
      <c r="P2326" s="116">
        <v>2980.1970756516198</v>
      </c>
      <c r="Q2326" s="116">
        <v>3059.75</v>
      </c>
      <c r="R2326">
        <v>74336</v>
      </c>
    </row>
    <row r="2327" spans="1:18" x14ac:dyDescent="0.25">
      <c r="A2327" s="170">
        <v>45433</v>
      </c>
      <c r="B2327" s="116">
        <v>3077.8678625705602</v>
      </c>
      <c r="C2327" s="116">
        <v>3020.66833382289</v>
      </c>
      <c r="D2327" s="116">
        <v>2942.3340639447301</v>
      </c>
      <c r="E2327" s="116">
        <v>2966.6681007509401</v>
      </c>
      <c r="F2327" s="116">
        <v>3115.75</v>
      </c>
      <c r="G2327">
        <v>238452</v>
      </c>
      <c r="H2327" s="116"/>
      <c r="I2327" s="116"/>
      <c r="L2327" s="170">
        <v>45433</v>
      </c>
      <c r="M2327" s="116">
        <v>3022.3696757787702</v>
      </c>
      <c r="N2327" s="116">
        <v>3078.1150667514298</v>
      </c>
      <c r="O2327" s="116">
        <v>2941.9024157660501</v>
      </c>
      <c r="P2327" s="116">
        <v>2974.2832167832198</v>
      </c>
      <c r="Q2327" s="116">
        <v>3117.5</v>
      </c>
      <c r="R2327">
        <v>3091659</v>
      </c>
    </row>
    <row r="2328" spans="1:18" x14ac:dyDescent="0.25">
      <c r="A2328" s="170">
        <v>45434</v>
      </c>
      <c r="B2328" s="116">
        <v>3049.0257273122002</v>
      </c>
      <c r="C2328" s="116">
        <v>3043.7905162064799</v>
      </c>
      <c r="D2328" s="116">
        <v>2981.16187964548</v>
      </c>
      <c r="E2328" s="116">
        <v>3034.4834742407602</v>
      </c>
      <c r="F2328" s="116">
        <v>3139.6</v>
      </c>
      <c r="G2328">
        <v>47214</v>
      </c>
      <c r="H2328" s="116"/>
      <c r="I2328" s="116"/>
      <c r="L2328" s="170">
        <v>45434</v>
      </c>
      <c r="M2328" s="116">
        <v>3045.1041004450099</v>
      </c>
      <c r="N2328" s="116">
        <v>3049.0305149396099</v>
      </c>
      <c r="O2328" s="116">
        <v>2979.7123331214202</v>
      </c>
      <c r="P2328" s="116">
        <v>3034.43976478067</v>
      </c>
      <c r="Q2328" s="116">
        <v>3140.95</v>
      </c>
      <c r="R2328">
        <v>3371077</v>
      </c>
    </row>
    <row r="2329" spans="1:18" x14ac:dyDescent="0.25">
      <c r="A2329" s="170">
        <v>45435</v>
      </c>
      <c r="B2329" s="116">
        <v>3305.0178555464699</v>
      </c>
      <c r="C2329" s="116">
        <v>3287.7125743914598</v>
      </c>
      <c r="D2329" s="116">
        <v>3040.00953040791</v>
      </c>
      <c r="E2329" s="116">
        <v>3054.0185675334001</v>
      </c>
      <c r="F2329" s="116">
        <v>3391.2</v>
      </c>
      <c r="G2329">
        <v>337401</v>
      </c>
      <c r="H2329" s="116"/>
      <c r="I2329" s="116"/>
      <c r="L2329" s="170">
        <v>45435</v>
      </c>
      <c r="M2329" s="116">
        <v>3283.9367450731102</v>
      </c>
      <c r="N2329" s="116">
        <v>3302.0661157024801</v>
      </c>
      <c r="O2329" s="116">
        <v>3039.8688811188799</v>
      </c>
      <c r="P2329" s="116">
        <v>3060.3734901462199</v>
      </c>
      <c r="Q2329" s="116">
        <v>3387.3</v>
      </c>
      <c r="R2329">
        <v>6979082</v>
      </c>
    </row>
    <row r="2330" spans="1:18" x14ac:dyDescent="0.25">
      <c r="A2330" s="170">
        <v>45436</v>
      </c>
      <c r="B2330" s="116">
        <v>3350.7774785446099</v>
      </c>
      <c r="C2330" s="116">
        <v>3281.3624572169301</v>
      </c>
      <c r="D2330" s="116">
        <v>3253.1020120814301</v>
      </c>
      <c r="E2330" s="116">
        <v>3299.1524801409901</v>
      </c>
      <c r="F2330" s="116">
        <v>3384.65</v>
      </c>
      <c r="G2330">
        <v>341745</v>
      </c>
      <c r="H2330" s="116"/>
      <c r="I2330" s="116"/>
      <c r="L2330" s="170">
        <v>45436</v>
      </c>
      <c r="M2330" s="116">
        <v>3281.6584551811802</v>
      </c>
      <c r="N2330" s="116">
        <v>3352.33391608392</v>
      </c>
      <c r="O2330" s="116">
        <v>3253.2040686586101</v>
      </c>
      <c r="P2330" s="116">
        <v>3302.0661157024801</v>
      </c>
      <c r="Q2330" s="116">
        <v>3384.95</v>
      </c>
      <c r="R2330">
        <v>3473668</v>
      </c>
    </row>
    <row r="2331" spans="1:18" x14ac:dyDescent="0.25">
      <c r="A2331" s="170">
        <v>45439</v>
      </c>
      <c r="B2331" s="116">
        <v>3262.26363151644</v>
      </c>
      <c r="C2331" s="116">
        <v>3187.7588216137501</v>
      </c>
      <c r="D2331" s="116">
        <v>3168.2237283211198</v>
      </c>
      <c r="E2331" s="116">
        <v>3262.26363151644</v>
      </c>
      <c r="F2331" s="116">
        <v>3288.1</v>
      </c>
      <c r="G2331">
        <v>127720</v>
      </c>
      <c r="H2331" s="116"/>
      <c r="I2331" s="116"/>
      <c r="L2331" s="170">
        <v>45439</v>
      </c>
      <c r="M2331" s="116">
        <v>3188.6848378893801</v>
      </c>
      <c r="N2331" s="116">
        <v>3255.5308328035599</v>
      </c>
      <c r="O2331" s="116">
        <v>3167.3561665607099</v>
      </c>
      <c r="P2331" s="116">
        <v>3255.5308328035599</v>
      </c>
      <c r="Q2331" s="116">
        <v>3289.05</v>
      </c>
      <c r="R2331">
        <v>2582485</v>
      </c>
    </row>
    <row r="2332" spans="1:18" x14ac:dyDescent="0.25">
      <c r="A2332" s="170">
        <v>45440</v>
      </c>
      <c r="B2332" s="116">
        <v>3227.21680161426</v>
      </c>
      <c r="C2332" s="116">
        <v>3145.3439168220498</v>
      </c>
      <c r="D2332" s="116">
        <v>3132.3043632346598</v>
      </c>
      <c r="E2332" s="116">
        <v>3212.7714968966302</v>
      </c>
      <c r="F2332" s="116">
        <v>3244.35</v>
      </c>
      <c r="G2332">
        <v>79442</v>
      </c>
      <c r="H2332" s="116"/>
      <c r="I2332" s="116"/>
      <c r="L2332" s="170">
        <v>45440</v>
      </c>
      <c r="M2332" s="116">
        <v>3145.05801017165</v>
      </c>
      <c r="N2332" s="116">
        <v>3227.9005085823301</v>
      </c>
      <c r="O2332" s="116">
        <v>3130.5157342657299</v>
      </c>
      <c r="P2332" s="116">
        <v>3208.6562301334998</v>
      </c>
      <c r="Q2332" s="116">
        <v>3244.05</v>
      </c>
      <c r="R2332">
        <v>1621168</v>
      </c>
    </row>
    <row r="2333" spans="1:18" x14ac:dyDescent="0.25">
      <c r="A2333" s="170">
        <v>45441</v>
      </c>
      <c r="B2333" s="116">
        <v>3219.6548300171098</v>
      </c>
      <c r="C2333" s="116">
        <v>3159.74074736277</v>
      </c>
      <c r="D2333" s="116">
        <v>3113.6418051263099</v>
      </c>
      <c r="E2333" s="116">
        <v>3145.3439168220498</v>
      </c>
      <c r="F2333" s="116">
        <v>3259.2</v>
      </c>
      <c r="G2333">
        <v>126174</v>
      </c>
      <c r="H2333" s="116"/>
      <c r="I2333" s="116"/>
      <c r="L2333" s="170">
        <v>45441</v>
      </c>
      <c r="M2333" s="116">
        <v>3159.35791481246</v>
      </c>
      <c r="N2333" s="116">
        <v>3221.5019071837301</v>
      </c>
      <c r="O2333" s="116">
        <v>3113.9860139860102</v>
      </c>
      <c r="P2333" s="116">
        <v>3150.8264462809898</v>
      </c>
      <c r="Q2333" s="116">
        <v>3258.8</v>
      </c>
      <c r="R2333">
        <v>1910729</v>
      </c>
    </row>
    <row r="2334" spans="1:18" x14ac:dyDescent="0.25">
      <c r="A2334" s="170">
        <v>45442</v>
      </c>
      <c r="B2334" s="116">
        <v>3174.0891037266001</v>
      </c>
      <c r="C2334" s="116">
        <v>3095.6578854946201</v>
      </c>
      <c r="D2334" s="116">
        <v>3078.1102334550801</v>
      </c>
      <c r="E2334" s="116">
        <v>3160.4678600163502</v>
      </c>
      <c r="F2334" s="116">
        <v>3193.1</v>
      </c>
      <c r="G2334">
        <v>128929</v>
      </c>
      <c r="H2334" s="116"/>
      <c r="I2334" s="116"/>
      <c r="L2334" s="170">
        <v>45442</v>
      </c>
      <c r="M2334" s="116">
        <v>3096.7776541640201</v>
      </c>
      <c r="N2334" s="116">
        <v>3174.3849332485702</v>
      </c>
      <c r="O2334" s="116">
        <v>3077.6303242212298</v>
      </c>
      <c r="P2334" s="116">
        <v>3154.7043865225701</v>
      </c>
      <c r="Q2334" s="116">
        <v>3194.25</v>
      </c>
      <c r="R2334">
        <v>1990208</v>
      </c>
    </row>
    <row r="2335" spans="1:18" x14ac:dyDescent="0.25">
      <c r="A2335" s="170">
        <v>45443</v>
      </c>
      <c r="B2335" s="116">
        <v>3326.7827609767301</v>
      </c>
      <c r="C2335" s="116">
        <v>3307.3446160378999</v>
      </c>
      <c r="D2335" s="116">
        <v>3124.2576498684598</v>
      </c>
      <c r="E2335" s="116">
        <v>3127.2630488365598</v>
      </c>
      <c r="F2335" s="116">
        <v>3411.45</v>
      </c>
      <c r="G2335">
        <v>351787</v>
      </c>
      <c r="H2335" s="116"/>
      <c r="I2335" s="116"/>
      <c r="L2335" s="170">
        <v>45443</v>
      </c>
      <c r="M2335" s="116">
        <v>3307.2528607755899</v>
      </c>
      <c r="N2335" s="116">
        <v>3329.6479656706902</v>
      </c>
      <c r="O2335" s="116">
        <v>3126.83169103624</v>
      </c>
      <c r="P2335" s="116">
        <v>3126.83169103624</v>
      </c>
      <c r="Q2335" s="116">
        <v>3411.35</v>
      </c>
      <c r="R2335">
        <v>6384589</v>
      </c>
    </row>
    <row r="2336" spans="1:18" x14ac:dyDescent="0.25">
      <c r="A2336" s="170">
        <v>45446</v>
      </c>
      <c r="B2336" s="116">
        <v>3628.7768830936602</v>
      </c>
      <c r="C2336" s="116">
        <v>3534.1068155985799</v>
      </c>
      <c r="D2336" s="116">
        <v>3477.5859253275798</v>
      </c>
      <c r="E2336" s="116">
        <v>3628.7768830936602</v>
      </c>
      <c r="F2336" s="116">
        <v>3645.35</v>
      </c>
      <c r="G2336">
        <v>668847</v>
      </c>
      <c r="H2336" s="116"/>
      <c r="I2336" s="116"/>
      <c r="L2336" s="170">
        <v>45446</v>
      </c>
      <c r="M2336" s="116">
        <v>3534.0154164017799</v>
      </c>
      <c r="N2336" s="116">
        <v>3629.65511760966</v>
      </c>
      <c r="O2336" s="116">
        <v>3476.6219008264502</v>
      </c>
      <c r="P2336" s="116">
        <v>3611.33184996821</v>
      </c>
      <c r="Q2336" s="116">
        <v>3645.25</v>
      </c>
      <c r="R2336">
        <v>8511359</v>
      </c>
    </row>
    <row r="2337" spans="1:18" x14ac:dyDescent="0.25">
      <c r="A2337" s="170">
        <v>45447</v>
      </c>
      <c r="B2337" s="116">
        <v>3441.6665602411199</v>
      </c>
      <c r="C2337" s="116">
        <v>2850.2331278256001</v>
      </c>
      <c r="D2337" s="116">
        <v>2650.6164673316098</v>
      </c>
      <c r="E2337" s="116">
        <v>3441.6665602411199</v>
      </c>
      <c r="F2337" s="116">
        <v>2939.95</v>
      </c>
      <c r="G2337">
        <v>2137243</v>
      </c>
      <c r="H2337" s="116"/>
      <c r="I2337" s="116"/>
      <c r="L2337" s="170">
        <v>45447</v>
      </c>
      <c r="M2337" s="116">
        <v>2851.4979338843</v>
      </c>
      <c r="N2337" s="116">
        <v>3412.5874125874102</v>
      </c>
      <c r="O2337" s="116">
        <v>2650.52368086459</v>
      </c>
      <c r="P2337" s="116">
        <v>3412.5874125874102</v>
      </c>
      <c r="Q2337" s="116">
        <v>2941.25</v>
      </c>
      <c r="R2337">
        <v>20306909</v>
      </c>
    </row>
    <row r="2338" spans="1:18" x14ac:dyDescent="0.25">
      <c r="A2338" s="170">
        <v>45448</v>
      </c>
      <c r="B2338" s="116">
        <v>3056.2483796710198</v>
      </c>
      <c r="C2338" s="116">
        <v>3021.9286624224201</v>
      </c>
      <c r="D2338" s="116">
        <v>2666.0797297642498</v>
      </c>
      <c r="E2338" s="116">
        <v>2936.5656368930499</v>
      </c>
      <c r="F2338" s="116">
        <v>3117.05</v>
      </c>
      <c r="G2338">
        <v>576710</v>
      </c>
      <c r="H2338" s="116"/>
      <c r="I2338" s="116"/>
      <c r="L2338" s="170">
        <v>45448</v>
      </c>
      <c r="M2338" s="116">
        <v>3020.2852828989198</v>
      </c>
      <c r="N2338" s="116">
        <v>3053.8779402415798</v>
      </c>
      <c r="O2338" s="116">
        <v>2666.08391608392</v>
      </c>
      <c r="P2338" s="116">
        <v>2937.5397329942798</v>
      </c>
      <c r="Q2338" s="116">
        <v>3115.35</v>
      </c>
      <c r="R2338">
        <v>8778345</v>
      </c>
    </row>
    <row r="2339" spans="1:18" x14ac:dyDescent="0.25">
      <c r="A2339" s="170">
        <v>45449</v>
      </c>
      <c r="B2339" s="116">
        <v>3122.7064762075001</v>
      </c>
      <c r="C2339" s="116">
        <v>3086.2054209981902</v>
      </c>
      <c r="D2339" s="116">
        <v>3041.80307495339</v>
      </c>
      <c r="E2339" s="116">
        <v>3096.48194650201</v>
      </c>
      <c r="F2339" s="116">
        <v>3183.35</v>
      </c>
      <c r="G2339">
        <v>465504</v>
      </c>
      <c r="H2339" s="116"/>
      <c r="I2339" s="116"/>
      <c r="L2339" s="170">
        <v>45449</v>
      </c>
      <c r="M2339" s="116">
        <v>3088.4400826446299</v>
      </c>
      <c r="N2339" s="116">
        <v>3124.0686586141101</v>
      </c>
      <c r="O2339" s="116">
        <v>3041.42005721551</v>
      </c>
      <c r="P2339" s="116">
        <v>3086.84043229498</v>
      </c>
      <c r="Q2339" s="116">
        <v>3185.65</v>
      </c>
      <c r="R2339">
        <v>5873271</v>
      </c>
    </row>
    <row r="2340" spans="1:18" x14ac:dyDescent="0.25">
      <c r="A2340" s="170">
        <v>45450</v>
      </c>
      <c r="B2340" s="116">
        <v>3135.06739131823</v>
      </c>
      <c r="C2340" s="116">
        <v>3120.4766640698799</v>
      </c>
      <c r="D2340" s="116">
        <v>3055.9090604326798</v>
      </c>
      <c r="E2340" s="116">
        <v>3073.2628157646</v>
      </c>
      <c r="F2340" s="116">
        <v>3218.7</v>
      </c>
      <c r="G2340">
        <v>117840</v>
      </c>
      <c r="H2340" s="116"/>
      <c r="I2340" s="116"/>
      <c r="L2340" s="170">
        <v>45450</v>
      </c>
      <c r="M2340" s="116">
        <v>3121.3056261919901</v>
      </c>
      <c r="N2340" s="116">
        <v>3135.0723140495902</v>
      </c>
      <c r="O2340" s="116">
        <v>3055.42911633821</v>
      </c>
      <c r="P2340" s="116">
        <v>3073.6554354736199</v>
      </c>
      <c r="Q2340" s="116">
        <v>3219.55</v>
      </c>
      <c r="R2340">
        <v>4740455</v>
      </c>
    </row>
    <row r="2341" spans="1:18" x14ac:dyDescent="0.25">
      <c r="A2341" s="170">
        <v>45453</v>
      </c>
      <c r="B2341" s="116">
        <v>3194.4482580266099</v>
      </c>
      <c r="C2341" s="116">
        <v>3120.23429318536</v>
      </c>
      <c r="D2341" s="116">
        <v>3106.4191527674898</v>
      </c>
      <c r="E2341" s="116">
        <v>3190.2794788127999</v>
      </c>
      <c r="F2341" s="116">
        <v>3218.45</v>
      </c>
      <c r="G2341">
        <v>126675</v>
      </c>
      <c r="H2341" s="116"/>
      <c r="I2341" s="116"/>
      <c r="L2341" s="170">
        <v>45453</v>
      </c>
      <c r="M2341" s="116">
        <v>3121.8388429752099</v>
      </c>
      <c r="N2341" s="116">
        <v>3184.17673235855</v>
      </c>
      <c r="O2341" s="116">
        <v>3107.6843610934502</v>
      </c>
      <c r="P2341" s="116">
        <v>3167.3076923076901</v>
      </c>
      <c r="Q2341" s="116">
        <v>3220.1</v>
      </c>
      <c r="R2341">
        <v>4935698</v>
      </c>
    </row>
    <row r="2342" spans="1:18" x14ac:dyDescent="0.25">
      <c r="A2342" s="170">
        <v>45454</v>
      </c>
      <c r="B2342" s="116">
        <v>3165.0729068223</v>
      </c>
      <c r="C2342" s="116">
        <v>3123.6274855687002</v>
      </c>
      <c r="D2342" s="116">
        <v>3100.02056141606</v>
      </c>
      <c r="E2342" s="116">
        <v>3126.5844103598902</v>
      </c>
      <c r="F2342" s="116">
        <v>3221.95</v>
      </c>
      <c r="G2342">
        <v>104900</v>
      </c>
      <c r="H2342" s="116"/>
      <c r="I2342" s="116"/>
      <c r="L2342" s="170">
        <v>45454</v>
      </c>
      <c r="M2342" s="116">
        <v>3122.9537507946602</v>
      </c>
      <c r="N2342" s="116">
        <v>3165.3687221869</v>
      </c>
      <c r="O2342" s="116">
        <v>3097.5532422123301</v>
      </c>
      <c r="P2342" s="116">
        <v>3125.6198347107402</v>
      </c>
      <c r="Q2342" s="116">
        <v>3221.25</v>
      </c>
      <c r="R2342">
        <v>4173692</v>
      </c>
    </row>
    <row r="2343" spans="1:18" x14ac:dyDescent="0.25">
      <c r="A2343" s="170">
        <v>45455</v>
      </c>
      <c r="B2343" s="116">
        <v>3145.7317102372899</v>
      </c>
      <c r="C2343" s="116">
        <v>3117.5197392786899</v>
      </c>
      <c r="D2343" s="116">
        <v>3109.3760775586802</v>
      </c>
      <c r="E2343" s="116">
        <v>3123.6274855687002</v>
      </c>
      <c r="F2343" s="116">
        <v>3215.65</v>
      </c>
      <c r="G2343">
        <v>142666</v>
      </c>
      <c r="H2343" s="116"/>
      <c r="I2343" s="116"/>
      <c r="L2343" s="170">
        <v>45455</v>
      </c>
      <c r="M2343" s="116">
        <v>3120.82088366179</v>
      </c>
      <c r="N2343" s="116">
        <v>3145.9790209790199</v>
      </c>
      <c r="O2343" s="116">
        <v>3110.1080737444399</v>
      </c>
      <c r="P2343" s="116">
        <v>3126.4923712650998</v>
      </c>
      <c r="Q2343" s="116">
        <v>3219.05</v>
      </c>
      <c r="R2343">
        <v>3022477</v>
      </c>
    </row>
    <row r="2344" spans="1:18" x14ac:dyDescent="0.25">
      <c r="A2344" s="170">
        <v>45456</v>
      </c>
      <c r="B2344" s="116">
        <v>3153.7299494265799</v>
      </c>
      <c r="C2344" s="116">
        <v>3125.61492682179</v>
      </c>
      <c r="D2344" s="116">
        <v>3109.1337066741598</v>
      </c>
      <c r="E2344" s="116">
        <v>3137.6849968710899</v>
      </c>
      <c r="F2344" s="116">
        <v>3224</v>
      </c>
      <c r="G2344">
        <v>52840</v>
      </c>
      <c r="H2344" s="116"/>
      <c r="I2344" s="116"/>
      <c r="L2344" s="170">
        <v>45456</v>
      </c>
      <c r="M2344" s="116">
        <v>3126.3954227590598</v>
      </c>
      <c r="N2344" s="116">
        <v>3154.7043865225701</v>
      </c>
      <c r="O2344" s="116">
        <v>3109.3809599491401</v>
      </c>
      <c r="P2344" s="116">
        <v>3131.4367450731102</v>
      </c>
      <c r="Q2344" s="116">
        <v>3224.8</v>
      </c>
      <c r="R2344">
        <v>3202978</v>
      </c>
    </row>
    <row r="2345" spans="1:18" x14ac:dyDescent="0.25">
      <c r="A2345" s="170">
        <v>45457</v>
      </c>
      <c r="B2345" s="116">
        <v>3175.0585872646898</v>
      </c>
      <c r="C2345" s="116">
        <v>3163.90952657659</v>
      </c>
      <c r="D2345" s="116">
        <v>3123.6759597455998</v>
      </c>
      <c r="E2345" s="116">
        <v>3125.61492682179</v>
      </c>
      <c r="F2345" s="116">
        <v>3263.5</v>
      </c>
      <c r="G2345">
        <v>68430</v>
      </c>
      <c r="H2345" s="116"/>
      <c r="I2345" s="116"/>
      <c r="L2345" s="170">
        <v>45457</v>
      </c>
      <c r="M2345" s="116">
        <v>3162.21789574062</v>
      </c>
      <c r="N2345" s="116">
        <v>3175.0635727908498</v>
      </c>
      <c r="O2345" s="116">
        <v>3122.8083280356</v>
      </c>
      <c r="P2345" s="116">
        <v>3126.5893197711398</v>
      </c>
      <c r="Q2345" s="116">
        <v>3261.75</v>
      </c>
      <c r="R2345">
        <v>4224855</v>
      </c>
    </row>
    <row r="2346" spans="1:18" x14ac:dyDescent="0.25">
      <c r="A2346" s="170">
        <v>45461</v>
      </c>
      <c r="B2346" s="116">
        <v>3248.7393361600002</v>
      </c>
      <c r="C2346" s="116">
        <v>3206.9545956680499</v>
      </c>
      <c r="D2346" s="116">
        <v>3185.2381644146999</v>
      </c>
      <c r="E2346" s="116">
        <v>3199.2956757171</v>
      </c>
      <c r="F2346" s="116">
        <v>3307.9</v>
      </c>
      <c r="G2346">
        <v>164381</v>
      </c>
      <c r="H2346" s="116"/>
      <c r="I2346" s="116"/>
      <c r="L2346" s="170">
        <v>45461</v>
      </c>
      <c r="M2346" s="116">
        <v>3208.0745390972702</v>
      </c>
      <c r="N2346" s="116">
        <v>3242.9275270184398</v>
      </c>
      <c r="O2346" s="116">
        <v>3186.8912905276502</v>
      </c>
      <c r="P2346" s="116">
        <v>3208.99554990464</v>
      </c>
      <c r="Q2346" s="116">
        <v>3309.05</v>
      </c>
      <c r="R2346">
        <v>1755612</v>
      </c>
    </row>
    <row r="2347" spans="1:18" x14ac:dyDescent="0.25">
      <c r="A2347" s="170">
        <v>45462</v>
      </c>
      <c r="B2347" s="116">
        <v>3215.3891024494901</v>
      </c>
      <c r="C2347" s="116">
        <v>3161.0495501392002</v>
      </c>
      <c r="D2347" s="116">
        <v>3127.8447389594098</v>
      </c>
      <c r="E2347" s="116">
        <v>3209.5237270440098</v>
      </c>
      <c r="F2347" s="116">
        <v>3260.55</v>
      </c>
      <c r="G2347">
        <v>61402</v>
      </c>
      <c r="H2347" s="116"/>
      <c r="I2347" s="116"/>
      <c r="L2347" s="170">
        <v>45462</v>
      </c>
      <c r="M2347" s="116">
        <v>3162.3633184996802</v>
      </c>
      <c r="N2347" s="116">
        <v>3212.8734901462199</v>
      </c>
      <c r="O2347" s="116">
        <v>3127.8496503496499</v>
      </c>
      <c r="P2347" s="116">
        <v>3212.8734901462199</v>
      </c>
      <c r="Q2347" s="116">
        <v>3261.9</v>
      </c>
      <c r="R2347">
        <v>1419264</v>
      </c>
    </row>
    <row r="2348" spans="1:18" x14ac:dyDescent="0.25">
      <c r="A2348" s="170">
        <v>45463</v>
      </c>
      <c r="B2348" s="116">
        <v>3214.3711447344899</v>
      </c>
      <c r="C2348" s="116">
        <v>3158.8197380015799</v>
      </c>
      <c r="D2348" s="116">
        <v>3142.6778370922798</v>
      </c>
      <c r="E2348" s="116">
        <v>3170.16269539731</v>
      </c>
      <c r="F2348" s="116">
        <v>3258.25</v>
      </c>
      <c r="G2348">
        <v>42838</v>
      </c>
      <c r="H2348" s="116"/>
      <c r="I2348" s="116"/>
      <c r="L2348" s="170">
        <v>45463</v>
      </c>
      <c r="M2348" s="116">
        <v>3159.9880801017198</v>
      </c>
      <c r="N2348" s="116">
        <v>3213.8429752066099</v>
      </c>
      <c r="O2348" s="116">
        <v>3141.13159567705</v>
      </c>
      <c r="P2348" s="116">
        <v>3164.3022886204699</v>
      </c>
      <c r="Q2348" s="116">
        <v>3259.45</v>
      </c>
      <c r="R2348">
        <v>1366545</v>
      </c>
    </row>
    <row r="2349" spans="1:18" x14ac:dyDescent="0.25">
      <c r="A2349" s="170">
        <v>45464</v>
      </c>
      <c r="B2349" s="116">
        <v>3176.36739004112</v>
      </c>
      <c r="C2349" s="116">
        <v>3090.6650452734302</v>
      </c>
      <c r="D2349" s="116">
        <v>3080.38851976961</v>
      </c>
      <c r="E2349" s="116">
        <v>3165.4607002375401</v>
      </c>
      <c r="F2349" s="116">
        <v>3187.95</v>
      </c>
      <c r="G2349">
        <v>65686</v>
      </c>
      <c r="H2349" s="116"/>
      <c r="I2349" s="116"/>
      <c r="L2349" s="170">
        <v>45464</v>
      </c>
      <c r="M2349" s="116">
        <v>3091.9787031150699</v>
      </c>
      <c r="N2349" s="116">
        <v>3177.0994914176699</v>
      </c>
      <c r="O2349" s="116">
        <v>3079.4723458359799</v>
      </c>
      <c r="P2349" s="116">
        <v>3165.4171964399202</v>
      </c>
      <c r="Q2349" s="116">
        <v>3189.3</v>
      </c>
      <c r="R2349">
        <v>4697655</v>
      </c>
    </row>
    <row r="2350" spans="1:18" x14ac:dyDescent="0.25">
      <c r="A2350" s="170">
        <v>45467</v>
      </c>
      <c r="B2350" s="116">
        <v>3115.9200914408302</v>
      </c>
      <c r="C2350" s="116">
        <v>3097.0151624479599</v>
      </c>
      <c r="D2350" s="116">
        <v>3039.42784028505</v>
      </c>
      <c r="E2350" s="116">
        <v>3096.48194650201</v>
      </c>
      <c r="F2350" s="116">
        <v>3194.5</v>
      </c>
      <c r="G2350">
        <v>54113</v>
      </c>
      <c r="H2350" s="116"/>
      <c r="I2350" s="116"/>
      <c r="L2350" s="170">
        <v>45467</v>
      </c>
      <c r="M2350" s="116">
        <v>3097.1169739351599</v>
      </c>
      <c r="N2350" s="116">
        <v>3116.70057215512</v>
      </c>
      <c r="O2350" s="116">
        <v>3039.3356643356601</v>
      </c>
      <c r="P2350" s="116">
        <v>3088.5370311506699</v>
      </c>
      <c r="Q2350" s="116">
        <v>3194.6</v>
      </c>
      <c r="R2350">
        <v>3261647</v>
      </c>
    </row>
    <row r="2351" spans="1:18" x14ac:dyDescent="0.25">
      <c r="A2351" s="170">
        <v>45468</v>
      </c>
      <c r="B2351" s="116">
        <v>3111.9936831115401</v>
      </c>
      <c r="C2351" s="116">
        <v>3072.68112564175</v>
      </c>
      <c r="D2351" s="116">
        <v>3060.6595297693498</v>
      </c>
      <c r="E2351" s="116">
        <v>3111.9936831115401</v>
      </c>
      <c r="F2351" s="116">
        <v>3169.4</v>
      </c>
      <c r="G2351">
        <v>29852</v>
      </c>
      <c r="H2351" s="116"/>
      <c r="I2351" s="116"/>
      <c r="L2351" s="170">
        <v>45468</v>
      </c>
      <c r="M2351" s="116">
        <v>3074.33407501589</v>
      </c>
      <c r="N2351" s="116">
        <v>3110.5443420216102</v>
      </c>
      <c r="O2351" s="116">
        <v>3060.0341703750801</v>
      </c>
      <c r="P2351" s="116">
        <v>3106.9572472981599</v>
      </c>
      <c r="Q2351" s="116">
        <v>3171.1</v>
      </c>
      <c r="R2351">
        <v>1694962</v>
      </c>
    </row>
    <row r="2352" spans="1:18" x14ac:dyDescent="0.25">
      <c r="A2352" s="170">
        <v>45469</v>
      </c>
      <c r="B2352" s="116">
        <v>3090.7135194503298</v>
      </c>
      <c r="C2352" s="116">
        <v>3072.6326514648399</v>
      </c>
      <c r="D2352" s="116">
        <v>3068.4153980741198</v>
      </c>
      <c r="E2352" s="116">
        <v>3074.5716185410301</v>
      </c>
      <c r="F2352" s="116">
        <v>3169.35</v>
      </c>
      <c r="G2352">
        <v>28515</v>
      </c>
      <c r="H2352" s="116"/>
      <c r="I2352" s="116"/>
      <c r="L2352" s="170">
        <v>45469</v>
      </c>
      <c r="M2352" s="116">
        <v>3073.75238397966</v>
      </c>
      <c r="N2352" s="116">
        <v>3090.4275270184398</v>
      </c>
      <c r="O2352" s="116">
        <v>3067.3537825810499</v>
      </c>
      <c r="P2352" s="116">
        <v>3072.3466306420901</v>
      </c>
      <c r="Q2352" s="116">
        <v>3170.5</v>
      </c>
      <c r="R2352">
        <v>2142889</v>
      </c>
    </row>
    <row r="2353" spans="1:18" x14ac:dyDescent="0.25">
      <c r="A2353" s="170">
        <v>45470</v>
      </c>
      <c r="B2353" s="116">
        <v>3105.2557725217698</v>
      </c>
      <c r="C2353" s="116">
        <v>3077.9648109243699</v>
      </c>
      <c r="D2353" s="116">
        <v>3054.26093841792</v>
      </c>
      <c r="E2353" s="116">
        <v>3074.3777218334099</v>
      </c>
      <c r="F2353" s="116">
        <v>3174.85</v>
      </c>
      <c r="G2353">
        <v>35262</v>
      </c>
      <c r="H2353" s="116"/>
      <c r="I2353" s="116"/>
      <c r="L2353" s="170">
        <v>45470</v>
      </c>
      <c r="M2353" s="116">
        <v>3078.2604895104901</v>
      </c>
      <c r="N2353" s="116">
        <v>3104.5335346471702</v>
      </c>
      <c r="O2353" s="116">
        <v>3053.8779402415798</v>
      </c>
      <c r="P2353" s="116">
        <v>3080.05403687222</v>
      </c>
      <c r="Q2353" s="116">
        <v>3175.15</v>
      </c>
      <c r="R2353">
        <v>5114980</v>
      </c>
    </row>
    <row r="2354" spans="1:18" x14ac:dyDescent="0.25">
      <c r="A2354" s="170">
        <v>45471</v>
      </c>
      <c r="B2354" s="116">
        <v>3113.39943424178</v>
      </c>
      <c r="C2354" s="116">
        <v>3078.64344940104</v>
      </c>
      <c r="D2354" s="116">
        <v>3061.0473231845899</v>
      </c>
      <c r="E2354" s="116">
        <v>3083.5878154453299</v>
      </c>
      <c r="F2354" s="116">
        <v>3175.55</v>
      </c>
      <c r="G2354">
        <v>28571</v>
      </c>
      <c r="H2354" s="116"/>
      <c r="I2354" s="116"/>
      <c r="L2354" s="170">
        <v>45471</v>
      </c>
      <c r="M2354" s="116">
        <v>3080.1994596312802</v>
      </c>
      <c r="N2354" s="116">
        <v>3113.93753973299</v>
      </c>
      <c r="O2354" s="116">
        <v>3060.6643356643399</v>
      </c>
      <c r="P2354" s="116">
        <v>3092.65734265734</v>
      </c>
      <c r="Q2354" s="116">
        <v>3177.15</v>
      </c>
      <c r="R2354">
        <v>960905</v>
      </c>
    </row>
    <row r="2355" spans="1:18" x14ac:dyDescent="0.25">
      <c r="A2355" s="170">
        <v>45474</v>
      </c>
      <c r="B2355" s="116">
        <v>3095.5124629639099</v>
      </c>
      <c r="C2355" s="116">
        <v>3085.7206792291399</v>
      </c>
      <c r="D2355" s="116">
        <v>3060.7080039462599</v>
      </c>
      <c r="E2355" s="116">
        <v>3078.64344940104</v>
      </c>
      <c r="F2355" s="116">
        <v>3182.85</v>
      </c>
      <c r="G2355">
        <v>34352</v>
      </c>
      <c r="H2355" s="116"/>
      <c r="I2355" s="116"/>
      <c r="L2355" s="170">
        <v>45474</v>
      </c>
      <c r="M2355" s="116">
        <v>3086.6465352829</v>
      </c>
      <c r="N2355" s="116">
        <v>3095.71122059758</v>
      </c>
      <c r="O2355" s="116">
        <v>3061.1975524475502</v>
      </c>
      <c r="P2355" s="116">
        <v>3082.91401780038</v>
      </c>
      <c r="Q2355" s="116">
        <v>3183.8</v>
      </c>
      <c r="R2355">
        <v>832170</v>
      </c>
    </row>
    <row r="2356" spans="1:18" x14ac:dyDescent="0.25">
      <c r="A2356" s="170">
        <v>45475</v>
      </c>
      <c r="B2356" s="116">
        <v>3109.6669226201102</v>
      </c>
      <c r="C2356" s="116">
        <v>3054.4548351255398</v>
      </c>
      <c r="D2356" s="116">
        <v>3034.67737094838</v>
      </c>
      <c r="E2356" s="116">
        <v>3074.3777218334099</v>
      </c>
      <c r="F2356" s="116">
        <v>3150.6</v>
      </c>
      <c r="G2356">
        <v>63110</v>
      </c>
      <c r="H2356" s="116"/>
      <c r="I2356" s="116"/>
      <c r="L2356" s="170">
        <v>45475</v>
      </c>
      <c r="M2356" s="116">
        <v>3056.9802924348401</v>
      </c>
      <c r="N2356" s="116">
        <v>3109.9141767323599</v>
      </c>
      <c r="O2356" s="116">
        <v>3035.5061983471101</v>
      </c>
      <c r="P2356" s="116">
        <v>3082.8170692943399</v>
      </c>
      <c r="Q2356" s="116">
        <v>3153.2</v>
      </c>
      <c r="R2356">
        <v>1490844</v>
      </c>
    </row>
    <row r="2357" spans="1:18" x14ac:dyDescent="0.25">
      <c r="A2357" s="170">
        <v>45476</v>
      </c>
      <c r="B2357" s="116">
        <v>3096.6758432096199</v>
      </c>
      <c r="C2357" s="116">
        <v>3092.31316728819</v>
      </c>
      <c r="D2357" s="116">
        <v>3051.9341779264901</v>
      </c>
      <c r="E2357" s="116">
        <v>3055.2304219560201</v>
      </c>
      <c r="F2357" s="116">
        <v>3189.65</v>
      </c>
      <c r="G2357">
        <v>28748</v>
      </c>
      <c r="H2357" s="116"/>
      <c r="I2357" s="116"/>
      <c r="L2357" s="170">
        <v>45476</v>
      </c>
      <c r="M2357" s="116">
        <v>3093.5783534647198</v>
      </c>
      <c r="N2357" s="116">
        <v>3097.0684996821401</v>
      </c>
      <c r="O2357" s="116">
        <v>3051.6965988556899</v>
      </c>
      <c r="P2357" s="116">
        <v>3061.63382072473</v>
      </c>
      <c r="Q2357" s="116">
        <v>3190.95</v>
      </c>
      <c r="R2357">
        <v>1152522</v>
      </c>
    </row>
    <row r="2358" spans="1:18" x14ac:dyDescent="0.25">
      <c r="A2358" s="170">
        <v>45477</v>
      </c>
      <c r="B2358" s="116">
        <v>3092.31316728819</v>
      </c>
      <c r="C2358" s="116">
        <v>3048.9772531353001</v>
      </c>
      <c r="D2358" s="116">
        <v>3044.2752579755302</v>
      </c>
      <c r="E2358" s="116">
        <v>3091.68300298843</v>
      </c>
      <c r="F2358" s="116">
        <v>3144.95</v>
      </c>
      <c r="G2358">
        <v>33711</v>
      </c>
      <c r="H2358" s="116"/>
      <c r="I2358" s="116"/>
      <c r="L2358" s="170">
        <v>45477</v>
      </c>
      <c r="M2358" s="116">
        <v>3048.3034011443101</v>
      </c>
      <c r="N2358" s="116">
        <v>3096.9715511761001</v>
      </c>
      <c r="O2358" s="116">
        <v>3042.2925937698701</v>
      </c>
      <c r="P2358" s="116">
        <v>3094.5963127781301</v>
      </c>
      <c r="Q2358" s="116">
        <v>3144.25</v>
      </c>
      <c r="R2358">
        <v>1055391</v>
      </c>
    </row>
    <row r="2359" spans="1:18" x14ac:dyDescent="0.25">
      <c r="A2359" s="170">
        <v>45478</v>
      </c>
      <c r="B2359" s="116">
        <v>3061.6290133074499</v>
      </c>
      <c r="C2359" s="116">
        <v>3051.4979103343499</v>
      </c>
      <c r="D2359" s="116">
        <v>3027.8909861817101</v>
      </c>
      <c r="E2359" s="116">
        <v>3046.1172766979098</v>
      </c>
      <c r="F2359" s="116">
        <v>3147.55</v>
      </c>
      <c r="G2359">
        <v>89990</v>
      </c>
      <c r="H2359" s="116"/>
      <c r="I2359" s="116"/>
      <c r="L2359" s="170">
        <v>45478</v>
      </c>
      <c r="M2359" s="116">
        <v>3051.8420216147501</v>
      </c>
      <c r="N2359" s="116">
        <v>3062.1670375079502</v>
      </c>
      <c r="O2359" s="116">
        <v>3028.62285441831</v>
      </c>
      <c r="P2359" s="116">
        <v>3047.9640813731698</v>
      </c>
      <c r="Q2359" s="116">
        <v>3147.9</v>
      </c>
      <c r="R2359">
        <v>663988</v>
      </c>
    </row>
    <row r="2360" spans="1:18" x14ac:dyDescent="0.25">
      <c r="A2360" s="170">
        <v>45481</v>
      </c>
      <c r="B2360" s="116">
        <v>3061.8229100150702</v>
      </c>
      <c r="C2360" s="116">
        <v>3017.5175123240801</v>
      </c>
      <c r="D2360" s="116">
        <v>2979.70765433833</v>
      </c>
      <c r="E2360" s="116">
        <v>3051.4979103343499</v>
      </c>
      <c r="F2360" s="116">
        <v>3112.5</v>
      </c>
      <c r="G2360">
        <v>64530</v>
      </c>
      <c r="H2360" s="116"/>
      <c r="I2360" s="116"/>
      <c r="L2360" s="170">
        <v>45481</v>
      </c>
      <c r="M2360" s="116">
        <v>3018.5886840432299</v>
      </c>
      <c r="N2360" s="116">
        <v>3061.82771773681</v>
      </c>
      <c r="O2360" s="116">
        <v>2981.1665607120099</v>
      </c>
      <c r="P2360" s="116">
        <v>3051.8420216147501</v>
      </c>
      <c r="Q2360" s="116">
        <v>3113.6</v>
      </c>
      <c r="R2360">
        <v>1155112</v>
      </c>
    </row>
    <row r="2361" spans="1:18" x14ac:dyDescent="0.25">
      <c r="A2361" s="170">
        <v>45482</v>
      </c>
      <c r="B2361" s="116">
        <v>3061.6290133074499</v>
      </c>
      <c r="C2361" s="116">
        <v>3014.0273715869298</v>
      </c>
      <c r="D2361" s="116">
        <v>3004.96270050573</v>
      </c>
      <c r="E2361" s="116">
        <v>3015.1422776557401</v>
      </c>
      <c r="F2361" s="116">
        <v>3108.9</v>
      </c>
      <c r="G2361">
        <v>48796</v>
      </c>
      <c r="H2361" s="116"/>
      <c r="I2361" s="116"/>
      <c r="L2361" s="170">
        <v>45482</v>
      </c>
      <c r="M2361" s="116">
        <v>3015.82565162111</v>
      </c>
      <c r="N2361" s="116">
        <v>3061.63382072473</v>
      </c>
      <c r="O2361" s="116">
        <v>3005.8884297520699</v>
      </c>
      <c r="P2361" s="116">
        <v>3020.8669739351599</v>
      </c>
      <c r="Q2361" s="116">
        <v>3110.75</v>
      </c>
      <c r="R2361">
        <v>922403</v>
      </c>
    </row>
    <row r="2362" spans="1:18" x14ac:dyDescent="0.25">
      <c r="A2362" s="170">
        <v>45483</v>
      </c>
      <c r="B2362" s="116">
        <v>3031.5750236264698</v>
      </c>
      <c r="C2362" s="116">
        <v>3003.0722076064499</v>
      </c>
      <c r="D2362" s="116">
        <v>2971.4670442645102</v>
      </c>
      <c r="E2362" s="116">
        <v>3024.7886388597999</v>
      </c>
      <c r="F2362" s="116">
        <v>3097.6</v>
      </c>
      <c r="G2362">
        <v>28289</v>
      </c>
      <c r="H2362" s="116"/>
      <c r="I2362" s="116"/>
      <c r="L2362" s="170">
        <v>45483</v>
      </c>
      <c r="M2362" s="116">
        <v>3001.52574698029</v>
      </c>
      <c r="N2362" s="116">
        <v>3031.8221551176098</v>
      </c>
      <c r="O2362" s="116">
        <v>2969.9205340114399</v>
      </c>
      <c r="P2362" s="116">
        <v>3024.8903369357899</v>
      </c>
      <c r="Q2362" s="116">
        <v>3096</v>
      </c>
      <c r="R2362">
        <v>586710</v>
      </c>
    </row>
    <row r="2363" spans="1:18" x14ac:dyDescent="0.25">
      <c r="A2363" s="170">
        <v>45484</v>
      </c>
      <c r="B2363" s="116">
        <v>3033.5139907026601</v>
      </c>
      <c r="C2363" s="116">
        <v>2984.0218560828598</v>
      </c>
      <c r="D2363" s="116">
        <v>2979.3198609230899</v>
      </c>
      <c r="E2363" s="116">
        <v>3010.8280759112199</v>
      </c>
      <c r="F2363" s="116">
        <v>3077.95</v>
      </c>
      <c r="G2363">
        <v>66896</v>
      </c>
      <c r="H2363" s="116"/>
      <c r="I2363" s="116"/>
      <c r="L2363" s="170">
        <v>45484</v>
      </c>
      <c r="M2363" s="116">
        <v>2984.3658614113201</v>
      </c>
      <c r="N2363" s="116">
        <v>3034.2943420216102</v>
      </c>
      <c r="O2363" s="116">
        <v>2980.2940241576598</v>
      </c>
      <c r="P2363" s="116">
        <v>3023.5330578512398</v>
      </c>
      <c r="Q2363" s="116">
        <v>3078.3</v>
      </c>
      <c r="R2363">
        <v>899781</v>
      </c>
    </row>
    <row r="2364" spans="1:18" x14ac:dyDescent="0.25">
      <c r="A2364" s="170">
        <v>45485</v>
      </c>
      <c r="B2364" s="116">
        <v>3003.46000102169</v>
      </c>
      <c r="C2364" s="116">
        <v>2970.44908654951</v>
      </c>
      <c r="D2364" s="116">
        <v>2965.6501430359399</v>
      </c>
      <c r="E2364" s="116">
        <v>2991.7292502107198</v>
      </c>
      <c r="F2364" s="116">
        <v>3063.95</v>
      </c>
      <c r="G2364">
        <v>24375</v>
      </c>
      <c r="H2364" s="116"/>
      <c r="I2364" s="116"/>
      <c r="L2364" s="170">
        <v>45485</v>
      </c>
      <c r="M2364" s="116">
        <v>2971.9079783852499</v>
      </c>
      <c r="N2364" s="116">
        <v>3004.2403051493998</v>
      </c>
      <c r="O2364" s="116">
        <v>2965.0246344564498</v>
      </c>
      <c r="P2364" s="116">
        <v>2995.70883661793</v>
      </c>
      <c r="Q2364" s="116">
        <v>3065.45</v>
      </c>
      <c r="R2364">
        <v>756036</v>
      </c>
    </row>
    <row r="2365" spans="1:18" x14ac:dyDescent="0.25">
      <c r="A2365" s="170">
        <v>45488</v>
      </c>
      <c r="B2365" s="116">
        <v>3008.50131541978</v>
      </c>
      <c r="C2365" s="116">
        <v>2995.8010810707301</v>
      </c>
      <c r="D2365" s="116">
        <v>2964.9230303823701</v>
      </c>
      <c r="E2365" s="116">
        <v>2971.4670442645102</v>
      </c>
      <c r="F2365" s="116">
        <v>3090.1</v>
      </c>
      <c r="G2365">
        <v>20725</v>
      </c>
      <c r="H2365" s="116"/>
      <c r="I2365" s="116"/>
      <c r="L2365" s="170">
        <v>45488</v>
      </c>
      <c r="M2365" s="116">
        <v>2996.0966306420901</v>
      </c>
      <c r="N2365" s="116">
        <v>3008.7968849332501</v>
      </c>
      <c r="O2365" s="116">
        <v>2965.0246344564498</v>
      </c>
      <c r="P2365" s="116">
        <v>2972.5381436745101</v>
      </c>
      <c r="Q2365" s="116">
        <v>3090.4</v>
      </c>
      <c r="R2365">
        <v>724174</v>
      </c>
    </row>
    <row r="2366" spans="1:18" x14ac:dyDescent="0.25">
      <c r="A2366" s="170">
        <v>45489</v>
      </c>
      <c r="B2366" s="116">
        <v>3042.2393425455298</v>
      </c>
      <c r="C2366" s="116">
        <v>3015.0938034788401</v>
      </c>
      <c r="D2366" s="116">
        <v>3002.4420433066798</v>
      </c>
      <c r="E2366" s="116">
        <v>3032.6899296952802</v>
      </c>
      <c r="F2366" s="116">
        <v>3110</v>
      </c>
      <c r="G2366">
        <v>44798</v>
      </c>
      <c r="H2366" s="116"/>
      <c r="I2366" s="116"/>
      <c r="L2366" s="170">
        <v>45489</v>
      </c>
      <c r="M2366" s="116">
        <v>3014.4198982835301</v>
      </c>
      <c r="N2366" s="116">
        <v>3042.0017482517501</v>
      </c>
      <c r="O2366" s="116">
        <v>3001.62269548633</v>
      </c>
      <c r="P2366" s="116">
        <v>3015.0985378258101</v>
      </c>
      <c r="Q2366" s="116">
        <v>3109.3</v>
      </c>
      <c r="R2366">
        <v>988357</v>
      </c>
    </row>
    <row r="2367" spans="1:18" x14ac:dyDescent="0.25">
      <c r="A2367" s="170">
        <v>45491</v>
      </c>
      <c r="B2367" s="116">
        <v>3016.0148128400301</v>
      </c>
      <c r="C2367" s="116">
        <v>2996.2373486628699</v>
      </c>
      <c r="D2367" s="116">
        <v>2964.2443919057</v>
      </c>
      <c r="E2367" s="116">
        <v>2996.7220904319202</v>
      </c>
      <c r="F2367" s="116">
        <v>3090.55</v>
      </c>
      <c r="G2367">
        <v>66396</v>
      </c>
      <c r="H2367" s="116"/>
      <c r="I2367" s="116"/>
      <c r="L2367" s="170">
        <v>45491</v>
      </c>
      <c r="M2367" s="116">
        <v>2997.8417037507902</v>
      </c>
      <c r="N2367" s="116">
        <v>3016.0680228862002</v>
      </c>
      <c r="O2367" s="116">
        <v>2963.8612523839802</v>
      </c>
      <c r="P2367" s="116">
        <v>3011.2205975842298</v>
      </c>
      <c r="Q2367" s="116">
        <v>3092.2</v>
      </c>
      <c r="R2367">
        <v>1021653</v>
      </c>
    </row>
    <row r="2368" spans="1:18" x14ac:dyDescent="0.25">
      <c r="A2368" s="170">
        <v>45492</v>
      </c>
      <c r="B2368" s="116">
        <v>2999.5820668693</v>
      </c>
      <c r="C2368" s="116">
        <v>2914.31598969375</v>
      </c>
      <c r="D2368" s="116">
        <v>2908.4506142882701</v>
      </c>
      <c r="E2368" s="116">
        <v>2996.2373486628699</v>
      </c>
      <c r="F2368" s="116">
        <v>3006.05</v>
      </c>
      <c r="G2368">
        <v>28876</v>
      </c>
      <c r="H2368" s="116"/>
      <c r="I2368" s="116"/>
      <c r="L2368" s="170">
        <v>45492</v>
      </c>
      <c r="M2368" s="116">
        <v>2913.9812460266999</v>
      </c>
      <c r="N2368" s="116">
        <v>3000.0715193896999</v>
      </c>
      <c r="O2368" s="116">
        <v>2908.4551811824499</v>
      </c>
      <c r="P2368" s="116">
        <v>2997.6478067387202</v>
      </c>
      <c r="Q2368" s="116">
        <v>3005.7</v>
      </c>
      <c r="R2368">
        <v>1026941</v>
      </c>
    </row>
    <row r="2369" spans="1:18" x14ac:dyDescent="0.25">
      <c r="A2369" s="170">
        <v>45495</v>
      </c>
      <c r="B2369" s="116">
        <v>2933.65718627877</v>
      </c>
      <c r="C2369" s="116">
        <v>2908.5960368189799</v>
      </c>
      <c r="D2369" s="116">
        <v>2881.5474461060999</v>
      </c>
      <c r="E2369" s="116">
        <v>2908.4990884651702</v>
      </c>
      <c r="F2369" s="116">
        <v>3000.15</v>
      </c>
      <c r="G2369">
        <v>66725</v>
      </c>
      <c r="H2369" s="116"/>
      <c r="I2369" s="116"/>
      <c r="L2369" s="170">
        <v>45495</v>
      </c>
      <c r="M2369" s="116">
        <v>2909.2792434837902</v>
      </c>
      <c r="N2369" s="116">
        <v>2934.53432930706</v>
      </c>
      <c r="O2369" s="116">
        <v>2881.4550222504799</v>
      </c>
      <c r="P2369" s="116">
        <v>2913.9812460266999</v>
      </c>
      <c r="Q2369" s="116">
        <v>3000.85</v>
      </c>
      <c r="R2369">
        <v>662085</v>
      </c>
    </row>
    <row r="2370" spans="1:18" x14ac:dyDescent="0.25">
      <c r="A2370" s="170">
        <v>45496</v>
      </c>
      <c r="B2370" s="116">
        <v>2945.1455662052099</v>
      </c>
      <c r="C2370" s="116">
        <v>2895.02326728564</v>
      </c>
      <c r="D2370" s="116">
        <v>2801.4681058593701</v>
      </c>
      <c r="E2370" s="116">
        <v>2909.4685720032699</v>
      </c>
      <c r="F2370" s="116">
        <v>2986.15</v>
      </c>
      <c r="G2370">
        <v>81057</v>
      </c>
      <c r="H2370" s="116"/>
      <c r="I2370" s="116"/>
      <c r="L2370" s="170">
        <v>45496</v>
      </c>
      <c r="M2370" s="116">
        <v>2903.9470756516198</v>
      </c>
      <c r="N2370" s="116">
        <v>2945.2956134774299</v>
      </c>
      <c r="O2370" s="116">
        <v>2798.2732040686601</v>
      </c>
      <c r="P2370" s="116">
        <v>2927.84488239034</v>
      </c>
      <c r="Q2370" s="116">
        <v>2995.35</v>
      </c>
      <c r="R2370">
        <v>1443331</v>
      </c>
    </row>
    <row r="2371" spans="1:18" x14ac:dyDescent="0.25">
      <c r="A2371" s="170">
        <v>45497</v>
      </c>
      <c r="B2371" s="116">
        <v>2915.23699905494</v>
      </c>
      <c r="C2371" s="116">
        <v>2878.2512020765798</v>
      </c>
      <c r="D2371" s="116">
        <v>2869.6712727644199</v>
      </c>
      <c r="E2371" s="116">
        <v>2898.8042530842099</v>
      </c>
      <c r="F2371" s="116">
        <v>2968.85</v>
      </c>
      <c r="G2371">
        <v>22531</v>
      </c>
      <c r="H2371" s="116"/>
      <c r="I2371" s="116"/>
      <c r="L2371" s="170">
        <v>45497</v>
      </c>
      <c r="M2371" s="116">
        <v>2880.0492689129001</v>
      </c>
      <c r="N2371" s="116">
        <v>2915.72631913541</v>
      </c>
      <c r="O2371" s="116">
        <v>2868.9971392244101</v>
      </c>
      <c r="P2371" s="116">
        <v>2903.9470756516198</v>
      </c>
      <c r="Q2371" s="116">
        <v>2970.7</v>
      </c>
      <c r="R2371">
        <v>693702</v>
      </c>
    </row>
    <row r="2372" spans="1:18" x14ac:dyDescent="0.25">
      <c r="A2372" s="170">
        <v>45498</v>
      </c>
      <c r="B2372" s="116">
        <v>2924.5440410206602</v>
      </c>
      <c r="C2372" s="116">
        <v>2884.6982676049101</v>
      </c>
      <c r="D2372" s="116">
        <v>2854.5473295701299</v>
      </c>
      <c r="E2372" s="116">
        <v>2877.6695119537198</v>
      </c>
      <c r="F2372" s="116">
        <v>2975.5</v>
      </c>
      <c r="G2372">
        <v>35080</v>
      </c>
      <c r="H2372" s="116"/>
      <c r="I2372" s="116"/>
      <c r="L2372" s="170">
        <v>45498</v>
      </c>
      <c r="M2372" s="116">
        <v>2882.7638270820098</v>
      </c>
      <c r="N2372" s="116">
        <v>2925.56659249841</v>
      </c>
      <c r="O2372" s="116">
        <v>2855.23045136681</v>
      </c>
      <c r="P2372" s="116">
        <v>2870.3544183089598</v>
      </c>
      <c r="Q2372" s="116">
        <v>2973.5</v>
      </c>
      <c r="R2372">
        <v>1105721</v>
      </c>
    </row>
    <row r="2373" spans="1:18" x14ac:dyDescent="0.25">
      <c r="A2373" s="170">
        <v>45499</v>
      </c>
      <c r="B2373" s="116">
        <v>3014.12431994074</v>
      </c>
      <c r="C2373" s="116">
        <v>2987.3181001123899</v>
      </c>
      <c r="D2373" s="116">
        <v>2890.0789012413502</v>
      </c>
      <c r="E2373" s="116">
        <v>2890.0789012413502</v>
      </c>
      <c r="F2373" s="116">
        <v>3081.35</v>
      </c>
      <c r="G2373">
        <v>174872</v>
      </c>
      <c r="H2373" s="116"/>
      <c r="I2373" s="116"/>
      <c r="L2373" s="170">
        <v>45499</v>
      </c>
      <c r="M2373" s="116">
        <v>2986.4987285441798</v>
      </c>
      <c r="N2373" s="116">
        <v>3014.1290527654201</v>
      </c>
      <c r="O2373" s="116">
        <v>2896.91830896376</v>
      </c>
      <c r="P2373" s="116">
        <v>2903.60775588048</v>
      </c>
      <c r="Q2373" s="116">
        <v>3080.5</v>
      </c>
      <c r="R2373">
        <v>1942427</v>
      </c>
    </row>
    <row r="2374" spans="1:18" x14ac:dyDescent="0.25">
      <c r="A2374" s="170">
        <v>45502</v>
      </c>
      <c r="B2374" s="116">
        <v>3024.7886388597999</v>
      </c>
      <c r="C2374" s="116">
        <v>2994.4922782942999</v>
      </c>
      <c r="D2374" s="116">
        <v>2980.6286636995201</v>
      </c>
      <c r="E2374" s="116">
        <v>3003.4115268447799</v>
      </c>
      <c r="F2374" s="116">
        <v>3088.75</v>
      </c>
      <c r="G2374">
        <v>75730</v>
      </c>
      <c r="H2374" s="116"/>
      <c r="I2374" s="116"/>
      <c r="L2374" s="170">
        <v>45502</v>
      </c>
      <c r="M2374" s="116">
        <v>2995.0786713286702</v>
      </c>
      <c r="N2374" s="116">
        <v>3025.1327082008902</v>
      </c>
      <c r="O2374" s="116">
        <v>2980.1970756516198</v>
      </c>
      <c r="P2374" s="116">
        <v>2999.8776223776199</v>
      </c>
      <c r="Q2374" s="116">
        <v>3089.35</v>
      </c>
      <c r="R2374">
        <v>1037474</v>
      </c>
    </row>
    <row r="2375" spans="1:18" x14ac:dyDescent="0.25">
      <c r="A2375" s="170">
        <v>45503</v>
      </c>
      <c r="B2375" s="116">
        <v>3059.6900462312601</v>
      </c>
      <c r="C2375" s="116">
        <v>3033.0777231105199</v>
      </c>
      <c r="D2375" s="116">
        <v>2974.3754948788001</v>
      </c>
      <c r="E2375" s="116">
        <v>3005.3504939209702</v>
      </c>
      <c r="F2375" s="116">
        <v>3128.55</v>
      </c>
      <c r="G2375">
        <v>40974</v>
      </c>
      <c r="H2375" s="116"/>
      <c r="I2375" s="116"/>
      <c r="L2375" s="170">
        <v>45503</v>
      </c>
      <c r="M2375" s="116">
        <v>3033.2763827081999</v>
      </c>
      <c r="N2375" s="116">
        <v>3058.7253655435502</v>
      </c>
      <c r="O2375" s="116">
        <v>2973.0713604577199</v>
      </c>
      <c r="P2375" s="116">
        <v>2997.6478067387202</v>
      </c>
      <c r="Q2375" s="116">
        <v>3128.75</v>
      </c>
      <c r="R2375">
        <v>1647048</v>
      </c>
    </row>
    <row r="2376" spans="1:18" x14ac:dyDescent="0.25">
      <c r="A2376" s="170">
        <v>45504</v>
      </c>
      <c r="B2376" s="116">
        <v>3099.4388712932</v>
      </c>
      <c r="C2376" s="116">
        <v>3072.39028058032</v>
      </c>
      <c r="D2376" s="116">
        <v>3044.17830962172</v>
      </c>
      <c r="E2376" s="116">
        <v>3044.17830962172</v>
      </c>
      <c r="F2376" s="116">
        <v>3169.1</v>
      </c>
      <c r="G2376">
        <v>55621</v>
      </c>
      <c r="H2376" s="116"/>
      <c r="I2376" s="116"/>
      <c r="L2376" s="170">
        <v>45504</v>
      </c>
      <c r="M2376" s="116">
        <v>3072.6859504132199</v>
      </c>
      <c r="N2376" s="116">
        <v>3099.9284806103001</v>
      </c>
      <c r="O2376" s="116">
        <v>3039.3356643356601</v>
      </c>
      <c r="P2376" s="116">
        <v>3045.1525746980301</v>
      </c>
      <c r="Q2376" s="116">
        <v>3169.4</v>
      </c>
      <c r="R2376">
        <v>2414005</v>
      </c>
    </row>
    <row r="2377" spans="1:18" x14ac:dyDescent="0.25">
      <c r="A2377" s="170">
        <v>45505</v>
      </c>
      <c r="B2377" s="116">
        <v>3158.9651605323002</v>
      </c>
      <c r="C2377" s="116">
        <v>3120.52513824679</v>
      </c>
      <c r="D2377" s="116">
        <v>3056.7815956169702</v>
      </c>
      <c r="E2377" s="116">
        <v>3080.0492005312799</v>
      </c>
      <c r="F2377" s="116">
        <v>3218.75</v>
      </c>
      <c r="G2377">
        <v>155543</v>
      </c>
      <c r="H2377" s="116"/>
      <c r="I2377" s="116"/>
      <c r="L2377" s="170">
        <v>45505</v>
      </c>
      <c r="M2377" s="116">
        <v>3119.0758105530799</v>
      </c>
      <c r="N2377" s="116">
        <v>3158.5823267641399</v>
      </c>
      <c r="O2377" s="116">
        <v>3055.52606484425</v>
      </c>
      <c r="P2377" s="116">
        <v>3082.9624920534002</v>
      </c>
      <c r="Q2377" s="116">
        <v>3217.25</v>
      </c>
      <c r="R2377">
        <v>6149883</v>
      </c>
    </row>
    <row r="2378" spans="1:18" x14ac:dyDescent="0.25">
      <c r="A2378" s="170">
        <v>45506</v>
      </c>
      <c r="B2378" s="116">
        <v>3116.8895749789299</v>
      </c>
      <c r="C2378" s="116">
        <v>3064.1981446834102</v>
      </c>
      <c r="D2378" s="116">
        <v>3018.7293667467002</v>
      </c>
      <c r="E2378" s="116">
        <v>3111.89673475773</v>
      </c>
      <c r="F2378" s="116">
        <v>3160.65</v>
      </c>
      <c r="G2378">
        <v>199872</v>
      </c>
      <c r="H2378" s="116"/>
      <c r="I2378" s="116"/>
      <c r="L2378" s="170">
        <v>45506</v>
      </c>
      <c r="M2378" s="116">
        <v>3064.4453273998702</v>
      </c>
      <c r="N2378" s="116">
        <v>3116.8944691672</v>
      </c>
      <c r="O2378" s="116">
        <v>3016.0680228862002</v>
      </c>
      <c r="P2378" s="116">
        <v>3102.3521932612798</v>
      </c>
      <c r="Q2378" s="116">
        <v>3160.9</v>
      </c>
      <c r="R2378">
        <v>3360209</v>
      </c>
    </row>
    <row r="2379" spans="1:18" x14ac:dyDescent="0.25">
      <c r="A2379" s="170">
        <v>45509</v>
      </c>
      <c r="B2379" s="116">
        <v>3036.6648122014799</v>
      </c>
      <c r="C2379" s="116">
        <v>2943.3035474828198</v>
      </c>
      <c r="D2379" s="116">
        <v>2905.68758620469</v>
      </c>
      <c r="E2379" s="116">
        <v>2948.3448618809198</v>
      </c>
      <c r="F2379" s="116">
        <v>3035.95</v>
      </c>
      <c r="G2379">
        <v>93365</v>
      </c>
      <c r="H2379" s="116"/>
      <c r="I2379" s="116"/>
      <c r="L2379" s="170">
        <v>45509</v>
      </c>
      <c r="M2379" s="116">
        <v>2945.4895104895099</v>
      </c>
      <c r="N2379" s="116">
        <v>3037.4451684679002</v>
      </c>
      <c r="O2379" s="116">
        <v>2904.8680864590001</v>
      </c>
      <c r="P2379" s="116">
        <v>2990.8614113159601</v>
      </c>
      <c r="Q2379" s="116">
        <v>3038.2</v>
      </c>
      <c r="R2379">
        <v>2238921</v>
      </c>
    </row>
    <row r="2380" spans="1:18" x14ac:dyDescent="0.25">
      <c r="A2380" s="170">
        <v>45510</v>
      </c>
      <c r="B2380" s="116">
        <v>3047.0867602360099</v>
      </c>
      <c r="C2380" s="116">
        <v>2981.0649312916698</v>
      </c>
      <c r="D2380" s="116">
        <v>2965.8440397435602</v>
      </c>
      <c r="E2380" s="116">
        <v>2977.33241967</v>
      </c>
      <c r="F2380" s="116">
        <v>3074.9</v>
      </c>
      <c r="G2380">
        <v>68507</v>
      </c>
      <c r="H2380" s="116"/>
      <c r="I2380" s="116"/>
      <c r="L2380" s="170">
        <v>45510</v>
      </c>
      <c r="M2380" s="116">
        <v>2978.9367450731102</v>
      </c>
      <c r="N2380" s="116">
        <v>3046.8976478067402</v>
      </c>
      <c r="O2380" s="116">
        <v>2963.9582008900202</v>
      </c>
      <c r="P2380" s="116">
        <v>2989.8919262555601</v>
      </c>
      <c r="Q2380" s="116">
        <v>3072.7</v>
      </c>
      <c r="R2380">
        <v>2125201</v>
      </c>
    </row>
    <row r="2381" spans="1:18" x14ac:dyDescent="0.25">
      <c r="A2381" s="170">
        <v>45511</v>
      </c>
      <c r="B2381" s="116">
        <v>3092.60401234962</v>
      </c>
      <c r="C2381" s="116">
        <v>3088.0474397205699</v>
      </c>
      <c r="D2381" s="116">
        <v>2997.0614096702502</v>
      </c>
      <c r="E2381" s="116">
        <v>2997.0614096702502</v>
      </c>
      <c r="F2381" s="116">
        <v>3185.25</v>
      </c>
      <c r="G2381">
        <v>151809</v>
      </c>
      <c r="H2381" s="116"/>
      <c r="I2381" s="116"/>
      <c r="L2381" s="170">
        <v>45511</v>
      </c>
      <c r="M2381" s="116">
        <v>3088.7309281627499</v>
      </c>
      <c r="N2381" s="116">
        <v>3092.65734265734</v>
      </c>
      <c r="O2381" s="116">
        <v>3017.0375079465998</v>
      </c>
      <c r="P2381" s="116">
        <v>3022.8544183089598</v>
      </c>
      <c r="Q2381" s="116">
        <v>3185.95</v>
      </c>
      <c r="R2381">
        <v>1868169</v>
      </c>
    </row>
    <row r="2382" spans="1:18" x14ac:dyDescent="0.25">
      <c r="A2382" s="170">
        <v>45512</v>
      </c>
      <c r="B2382" s="116">
        <v>3142.7263112691899</v>
      </c>
      <c r="C2382" s="116">
        <v>3069.09403655079</v>
      </c>
      <c r="D2382" s="116">
        <v>3061.5805391305498</v>
      </c>
      <c r="E2382" s="116">
        <v>3107.0493170672498</v>
      </c>
      <c r="F2382" s="116">
        <v>3165.7</v>
      </c>
      <c r="G2382">
        <v>76339</v>
      </c>
      <c r="H2382" s="116"/>
      <c r="I2382" s="116"/>
      <c r="L2382" s="170">
        <v>45512</v>
      </c>
      <c r="M2382" s="116">
        <v>3070.89240305149</v>
      </c>
      <c r="N2382" s="116">
        <v>3143.7007310870899</v>
      </c>
      <c r="O2382" s="116">
        <v>3060.2280673871601</v>
      </c>
      <c r="P2382" s="116">
        <v>3093.1905594405598</v>
      </c>
      <c r="Q2382" s="116">
        <v>3167.55</v>
      </c>
      <c r="R2382">
        <v>2139376</v>
      </c>
    </row>
    <row r="2383" spans="1:18" x14ac:dyDescent="0.25">
      <c r="A2383" s="170">
        <v>45513</v>
      </c>
      <c r="B2383" s="116">
        <v>3117.0349975096401</v>
      </c>
      <c r="C2383" s="116">
        <v>3089.5501392046199</v>
      </c>
      <c r="D2383" s="116">
        <v>3075.2017828408002</v>
      </c>
      <c r="E2383" s="116">
        <v>3115.3868754948799</v>
      </c>
      <c r="F2383" s="116">
        <v>3186.8</v>
      </c>
      <c r="G2383">
        <v>30280</v>
      </c>
      <c r="H2383" s="116"/>
      <c r="I2383" s="116"/>
      <c r="L2383" s="170">
        <v>45513</v>
      </c>
      <c r="M2383" s="116">
        <v>3090.28210425938</v>
      </c>
      <c r="N2383" s="116">
        <v>3121.0632549268898</v>
      </c>
      <c r="O2383" s="116">
        <v>3074.2856007628702</v>
      </c>
      <c r="P2383" s="116">
        <v>3111.07755880483</v>
      </c>
      <c r="Q2383" s="116">
        <v>3187.55</v>
      </c>
      <c r="R2383">
        <v>760165</v>
      </c>
    </row>
    <row r="2384" spans="1:18" x14ac:dyDescent="0.25">
      <c r="A2384" s="170">
        <v>45516</v>
      </c>
      <c r="B2384" s="116">
        <v>3072.2933322265098</v>
      </c>
      <c r="C2384" s="116">
        <v>3055.8121120788701</v>
      </c>
      <c r="D2384" s="116">
        <v>2921.5386420525701</v>
      </c>
      <c r="E2384" s="116">
        <v>2968.8009645347502</v>
      </c>
      <c r="F2384" s="116">
        <v>3152</v>
      </c>
      <c r="G2384">
        <v>360405</v>
      </c>
      <c r="H2384" s="116"/>
      <c r="I2384" s="116"/>
      <c r="L2384" s="170">
        <v>45516</v>
      </c>
      <c r="M2384" s="116">
        <v>3055.5745390972702</v>
      </c>
      <c r="N2384" s="116">
        <v>3073.1222186904001</v>
      </c>
      <c r="O2384" s="116">
        <v>2922.02797202797</v>
      </c>
      <c r="P2384" s="116">
        <v>3005.4036872218699</v>
      </c>
      <c r="Q2384" s="116">
        <v>3151.75</v>
      </c>
      <c r="R2384">
        <v>10307245</v>
      </c>
    </row>
    <row r="2385" spans="1:18" x14ac:dyDescent="0.25">
      <c r="A2385" s="170">
        <v>45517</v>
      </c>
      <c r="B2385" s="116">
        <v>3081.7942708998498</v>
      </c>
      <c r="C2385" s="116">
        <v>2997.0614096702502</v>
      </c>
      <c r="D2385" s="116">
        <v>2986.0577715128602</v>
      </c>
      <c r="E2385" s="116">
        <v>3068.4153980741198</v>
      </c>
      <c r="F2385" s="116">
        <v>3091.4</v>
      </c>
      <c r="G2385">
        <v>128167</v>
      </c>
      <c r="H2385" s="116"/>
      <c r="I2385" s="116"/>
      <c r="L2385" s="170">
        <v>45517</v>
      </c>
      <c r="M2385" s="116">
        <v>2997.8417037507902</v>
      </c>
      <c r="N2385" s="116">
        <v>3081.12047043865</v>
      </c>
      <c r="O2385" s="116">
        <v>2987.7105848696801</v>
      </c>
      <c r="P2385" s="116">
        <v>3073.3161157024801</v>
      </c>
      <c r="Q2385" s="116">
        <v>3092.2</v>
      </c>
      <c r="R2385">
        <v>2192588</v>
      </c>
    </row>
    <row r="2386" spans="1:18" x14ac:dyDescent="0.25">
      <c r="A2386" s="170">
        <v>45518</v>
      </c>
      <c r="B2386" s="116">
        <v>2995.6556585400099</v>
      </c>
      <c r="C2386" s="116">
        <v>2946.5513173354402</v>
      </c>
      <c r="D2386" s="116">
        <v>2936.6625852468601</v>
      </c>
      <c r="E2386" s="116">
        <v>2995.6556585400099</v>
      </c>
      <c r="F2386" s="116">
        <v>3039.3</v>
      </c>
      <c r="G2386">
        <v>39672</v>
      </c>
      <c r="H2386" s="116"/>
      <c r="I2386" s="116"/>
      <c r="L2386" s="170">
        <v>45518</v>
      </c>
      <c r="M2386" s="116">
        <v>2947.3315321042601</v>
      </c>
      <c r="N2386" s="116">
        <v>2991.5400508582302</v>
      </c>
      <c r="O2386" s="116">
        <v>2935.3583916083899</v>
      </c>
      <c r="P2386" s="116">
        <v>2991.5400508582302</v>
      </c>
      <c r="Q2386" s="116">
        <v>3040.1</v>
      </c>
      <c r="R2386">
        <v>1232383</v>
      </c>
    </row>
    <row r="2387" spans="1:18" x14ac:dyDescent="0.25">
      <c r="A2387" s="170">
        <v>45520</v>
      </c>
      <c r="B2387" s="116">
        <v>3025.7581223979</v>
      </c>
      <c r="C2387" s="116">
        <v>3013.2033105795499</v>
      </c>
      <c r="D2387" s="116">
        <v>2947.1330074583002</v>
      </c>
      <c r="E2387" s="116">
        <v>2980.8225604071399</v>
      </c>
      <c r="F2387" s="116">
        <v>3108.05</v>
      </c>
      <c r="G2387">
        <v>43959</v>
      </c>
      <c r="H2387" s="116"/>
      <c r="I2387" s="116"/>
      <c r="L2387" s="170">
        <v>45520</v>
      </c>
      <c r="M2387" s="116">
        <v>3013.93515575334</v>
      </c>
      <c r="N2387" s="116">
        <v>3026.3445645263801</v>
      </c>
      <c r="O2387" s="116">
        <v>2946.6044183089598</v>
      </c>
      <c r="P2387" s="116">
        <v>2976.31913541004</v>
      </c>
      <c r="Q2387" s="116">
        <v>3108.8</v>
      </c>
      <c r="R2387">
        <v>970067</v>
      </c>
    </row>
    <row r="2388" spans="1:18" x14ac:dyDescent="0.25">
      <c r="A2388" s="170">
        <v>45523</v>
      </c>
      <c r="B2388" s="116">
        <v>3037.7797182702898</v>
      </c>
      <c r="C2388" s="116">
        <v>3007.4348835278802</v>
      </c>
      <c r="D2388" s="116">
        <v>2997.2553063778701</v>
      </c>
      <c r="E2388" s="116">
        <v>3033.3200939950402</v>
      </c>
      <c r="F2388" s="116">
        <v>3102.1</v>
      </c>
      <c r="G2388">
        <v>22000</v>
      </c>
      <c r="H2388" s="116"/>
      <c r="I2388" s="116"/>
      <c r="L2388" s="170">
        <v>45523</v>
      </c>
      <c r="M2388" s="116">
        <v>3007.8758741258698</v>
      </c>
      <c r="N2388" s="116">
        <v>3038.6570247933901</v>
      </c>
      <c r="O2388" s="116">
        <v>2998.56881754609</v>
      </c>
      <c r="P2388" s="116">
        <v>3026.7808328035599</v>
      </c>
      <c r="Q2388" s="116">
        <v>3102.55</v>
      </c>
      <c r="R2388">
        <v>557265</v>
      </c>
    </row>
    <row r="2389" spans="1:18" x14ac:dyDescent="0.25">
      <c r="A2389" s="170">
        <v>45524</v>
      </c>
      <c r="B2389" s="116">
        <v>3032.4960329876599</v>
      </c>
      <c r="C2389" s="116">
        <v>2977.4778422007098</v>
      </c>
      <c r="D2389" s="116">
        <v>2966.61962657403</v>
      </c>
      <c r="E2389" s="116">
        <v>3015.4331227171701</v>
      </c>
      <c r="F2389" s="116">
        <v>3071.2</v>
      </c>
      <c r="G2389">
        <v>29019</v>
      </c>
      <c r="H2389" s="116"/>
      <c r="I2389" s="116"/>
      <c r="L2389" s="170">
        <v>45524</v>
      </c>
      <c r="M2389" s="116">
        <v>2976.9493006992998</v>
      </c>
      <c r="N2389" s="116">
        <v>3030.6102987921199</v>
      </c>
      <c r="O2389" s="116">
        <v>2965.5093769866498</v>
      </c>
      <c r="P2389" s="116">
        <v>3023.7754291163401</v>
      </c>
      <c r="Q2389" s="116">
        <v>3070.65</v>
      </c>
      <c r="R2389">
        <v>662263</v>
      </c>
    </row>
    <row r="2390" spans="1:18" x14ac:dyDescent="0.25">
      <c r="A2390" s="170">
        <v>45525</v>
      </c>
      <c r="B2390" s="116">
        <v>3056.2968538479199</v>
      </c>
      <c r="C2390" s="116">
        <v>3020.4744371152701</v>
      </c>
      <c r="D2390" s="116">
        <v>2973.5514338714202</v>
      </c>
      <c r="E2390" s="116">
        <v>2990.8082408495302</v>
      </c>
      <c r="F2390" s="116">
        <v>3115.55</v>
      </c>
      <c r="G2390">
        <v>78779</v>
      </c>
      <c r="H2390" s="116"/>
      <c r="I2390" s="116"/>
      <c r="L2390" s="170">
        <v>45525</v>
      </c>
      <c r="M2390" s="116">
        <v>3020.6246026700601</v>
      </c>
      <c r="N2390" s="116">
        <v>3057.0772409408801</v>
      </c>
      <c r="O2390" s="116">
        <v>2974.7679593134098</v>
      </c>
      <c r="P2390" s="116">
        <v>2976.9493006992998</v>
      </c>
      <c r="Q2390" s="116">
        <v>3115.7</v>
      </c>
      <c r="R2390">
        <v>1379240</v>
      </c>
    </row>
    <row r="2391" spans="1:18" x14ac:dyDescent="0.25">
      <c r="A2391" s="170">
        <v>45526</v>
      </c>
      <c r="B2391" s="116">
        <v>3053.5338257643498</v>
      </c>
      <c r="C2391" s="116">
        <v>3005.0111746826401</v>
      </c>
      <c r="D2391" s="116">
        <v>2997.6430997931102</v>
      </c>
      <c r="E2391" s="116">
        <v>3025.8065965748001</v>
      </c>
      <c r="F2391" s="116">
        <v>3099.6</v>
      </c>
      <c r="G2391">
        <v>30504</v>
      </c>
      <c r="H2391" s="116"/>
      <c r="I2391" s="116"/>
      <c r="L2391" s="170">
        <v>45526</v>
      </c>
      <c r="M2391" s="116">
        <v>3004.48267641449</v>
      </c>
      <c r="N2391" s="116">
        <v>3053.8779402415798</v>
      </c>
      <c r="O2391" s="116">
        <v>2996.6783216783201</v>
      </c>
      <c r="P2391" s="116">
        <v>3035.21535282899</v>
      </c>
      <c r="Q2391" s="116">
        <v>3099.05</v>
      </c>
      <c r="R2391">
        <v>1378912</v>
      </c>
    </row>
    <row r="2392" spans="1:18" x14ac:dyDescent="0.25">
      <c r="A2392" s="170">
        <v>45527</v>
      </c>
      <c r="B2392" s="116">
        <v>3024.9825355674202</v>
      </c>
      <c r="C2392" s="116">
        <v>2982.08288900667</v>
      </c>
      <c r="D2392" s="116">
        <v>2973.7938047559501</v>
      </c>
      <c r="E2392" s="116">
        <v>3005.3989680978798</v>
      </c>
      <c r="F2392" s="116">
        <v>3075.95</v>
      </c>
      <c r="G2392">
        <v>48322</v>
      </c>
      <c r="H2392" s="116"/>
      <c r="I2392" s="116"/>
      <c r="L2392" s="170">
        <v>45527</v>
      </c>
      <c r="M2392" s="116">
        <v>2982.4753655435502</v>
      </c>
      <c r="N2392" s="116">
        <v>3027.7018436109302</v>
      </c>
      <c r="O2392" s="116">
        <v>2973.9923712650998</v>
      </c>
      <c r="P2392" s="116">
        <v>3006.3731722822599</v>
      </c>
      <c r="Q2392" s="116">
        <v>3076.35</v>
      </c>
      <c r="R2392">
        <v>1375224</v>
      </c>
    </row>
    <row r="2393" spans="1:18" x14ac:dyDescent="0.25">
      <c r="A2393" s="170">
        <v>45530</v>
      </c>
      <c r="B2393" s="116">
        <v>3000.5515504074001</v>
      </c>
      <c r="C2393" s="116">
        <v>2975.24803006309</v>
      </c>
      <c r="D2393" s="116">
        <v>2961.7722088835499</v>
      </c>
      <c r="E2393" s="116">
        <v>3000.5515504074001</v>
      </c>
      <c r="F2393" s="116">
        <v>3068.9</v>
      </c>
      <c r="G2393">
        <v>32295</v>
      </c>
      <c r="H2393" s="116"/>
      <c r="I2393" s="116"/>
      <c r="L2393" s="170">
        <v>45530</v>
      </c>
      <c r="M2393" s="116">
        <v>2975.3496503496499</v>
      </c>
      <c r="N2393" s="116">
        <v>2995.70883661793</v>
      </c>
      <c r="O2393" s="116">
        <v>2961.7768595041298</v>
      </c>
      <c r="P2393" s="116">
        <v>2993.7698664971399</v>
      </c>
      <c r="Q2393" s="116">
        <v>3069</v>
      </c>
      <c r="R2393">
        <v>1632446</v>
      </c>
    </row>
    <row r="2394" spans="1:18" x14ac:dyDescent="0.25">
      <c r="A2394" s="170">
        <v>45531</v>
      </c>
      <c r="B2394" s="116">
        <v>2999.5820668693</v>
      </c>
      <c r="C2394" s="116">
        <v>2973.3575371637999</v>
      </c>
      <c r="D2394" s="116">
        <v>2970.49756072642</v>
      </c>
      <c r="E2394" s="116">
        <v>2975.9751427166598</v>
      </c>
      <c r="F2394" s="116">
        <v>3066.95</v>
      </c>
      <c r="G2394">
        <v>14428</v>
      </c>
      <c r="H2394" s="116"/>
      <c r="I2394" s="116"/>
      <c r="L2394" s="170">
        <v>45531</v>
      </c>
      <c r="M2394" s="116">
        <v>2973.5076287349002</v>
      </c>
      <c r="N2394" s="116">
        <v>3001.2833757151898</v>
      </c>
      <c r="O2394" s="116">
        <v>2970.50222504768</v>
      </c>
      <c r="P2394" s="116">
        <v>2978.4520025429101</v>
      </c>
      <c r="Q2394" s="116">
        <v>3067.1</v>
      </c>
      <c r="R2394">
        <v>1310440</v>
      </c>
    </row>
    <row r="2395" spans="1:18" x14ac:dyDescent="0.25">
      <c r="A2395" s="170">
        <v>45532</v>
      </c>
      <c r="B2395" s="116">
        <v>2989.1601188347699</v>
      </c>
      <c r="C2395" s="116">
        <v>2930.5063647799502</v>
      </c>
      <c r="D2395" s="116">
        <v>2919.06645903042</v>
      </c>
      <c r="E2395" s="116">
        <v>2989.1601188347699</v>
      </c>
      <c r="F2395" s="116">
        <v>3022.75</v>
      </c>
      <c r="G2395">
        <v>33312</v>
      </c>
      <c r="H2395" s="116"/>
      <c r="I2395" s="116"/>
      <c r="L2395" s="170">
        <v>45532</v>
      </c>
      <c r="M2395" s="116">
        <v>2935.6007628734901</v>
      </c>
      <c r="N2395" s="116">
        <v>2984.0750158932001</v>
      </c>
      <c r="O2395" s="116">
        <v>2929.8808010171601</v>
      </c>
      <c r="P2395" s="116">
        <v>2984.0750158932001</v>
      </c>
      <c r="Q2395" s="116">
        <v>3028</v>
      </c>
      <c r="R2395">
        <v>1569652</v>
      </c>
    </row>
    <row r="2396" spans="1:18" x14ac:dyDescent="0.25">
      <c r="A2396" s="170">
        <v>45533</v>
      </c>
      <c r="B2396" s="116">
        <v>2951.9319509718798</v>
      </c>
      <c r="C2396" s="116">
        <v>2929.5368812418601</v>
      </c>
      <c r="D2396" s="116">
        <v>2890.85448807182</v>
      </c>
      <c r="E2396" s="116">
        <v>2951.9319509718798</v>
      </c>
      <c r="F2396" s="116">
        <v>3021.75</v>
      </c>
      <c r="G2396">
        <v>38793</v>
      </c>
      <c r="H2396" s="116"/>
      <c r="I2396" s="116"/>
      <c r="L2396" s="170">
        <v>45533</v>
      </c>
      <c r="M2396" s="116">
        <v>2927.9903051493998</v>
      </c>
      <c r="N2396" s="116">
        <v>2949.12507946599</v>
      </c>
      <c r="O2396" s="116">
        <v>2890.3258105530799</v>
      </c>
      <c r="P2396" s="116">
        <v>2937.5397329942798</v>
      </c>
      <c r="Q2396" s="116">
        <v>3020.15</v>
      </c>
      <c r="R2396">
        <v>1853966</v>
      </c>
    </row>
    <row r="2397" spans="1:18" x14ac:dyDescent="0.25">
      <c r="A2397" s="170">
        <v>45534</v>
      </c>
      <c r="B2397" s="116">
        <v>2950.9624674337801</v>
      </c>
      <c r="C2397" s="116">
        <v>2927.7433366963801</v>
      </c>
      <c r="D2397" s="116">
        <v>2914.02514463232</v>
      </c>
      <c r="E2397" s="116">
        <v>2950.9624674337801</v>
      </c>
      <c r="F2397" s="116">
        <v>3019.9</v>
      </c>
      <c r="G2397">
        <v>43563</v>
      </c>
      <c r="H2397" s="116"/>
      <c r="I2397" s="116"/>
      <c r="L2397" s="170">
        <v>45534</v>
      </c>
      <c r="M2397" s="116">
        <v>2927.2147171010802</v>
      </c>
      <c r="N2397" s="116">
        <v>2945.8288302606502</v>
      </c>
      <c r="O2397" s="116">
        <v>2911.6544818817501</v>
      </c>
      <c r="P2397" s="116">
        <v>2937.5397329942798</v>
      </c>
      <c r="Q2397" s="116">
        <v>3019.35</v>
      </c>
      <c r="R2397">
        <v>3509174</v>
      </c>
    </row>
    <row r="2398" spans="1:18" x14ac:dyDescent="0.25">
      <c r="A2398" s="170">
        <v>45537</v>
      </c>
      <c r="B2398" s="116">
        <v>2964.6806594978402</v>
      </c>
      <c r="C2398" s="116">
        <v>2951.0109416106902</v>
      </c>
      <c r="D2398" s="116">
        <v>2906.5116472120799</v>
      </c>
      <c r="E2398" s="116">
        <v>2926.8708015120901</v>
      </c>
      <c r="F2398" s="116">
        <v>3043.9</v>
      </c>
      <c r="G2398">
        <v>86687</v>
      </c>
      <c r="H2398" s="116"/>
      <c r="I2398" s="116"/>
      <c r="L2398" s="170">
        <v>45537</v>
      </c>
      <c r="M2398" s="116">
        <v>2949.31897647807</v>
      </c>
      <c r="N2398" s="116">
        <v>2965.8002225047699</v>
      </c>
      <c r="O2398" s="116">
        <v>2906.1284170375102</v>
      </c>
      <c r="P2398" s="116">
        <v>2928.9113159567701</v>
      </c>
      <c r="Q2398" s="116">
        <v>3042.15</v>
      </c>
      <c r="R2398">
        <v>1842658</v>
      </c>
    </row>
    <row r="2399" spans="1:18" x14ac:dyDescent="0.25">
      <c r="A2399" s="170">
        <v>45538</v>
      </c>
      <c r="B2399" s="116">
        <v>2959.2515516845001</v>
      </c>
      <c r="C2399" s="116">
        <v>2943.8852376056798</v>
      </c>
      <c r="D2399" s="116">
        <v>2930.65178731067</v>
      </c>
      <c r="E2399" s="116">
        <v>2946.2604722740198</v>
      </c>
      <c r="F2399" s="116">
        <v>3036.55</v>
      </c>
      <c r="G2399">
        <v>41443</v>
      </c>
      <c r="H2399" s="116"/>
      <c r="I2399" s="116"/>
      <c r="L2399" s="170">
        <v>45538</v>
      </c>
      <c r="M2399" s="116">
        <v>2943.4535918626798</v>
      </c>
      <c r="N2399" s="116">
        <v>2959.8863636363599</v>
      </c>
      <c r="O2399" s="116">
        <v>2931.5289256198298</v>
      </c>
      <c r="P2399" s="116">
        <v>2944.3261284170399</v>
      </c>
      <c r="Q2399" s="116">
        <v>3036.1</v>
      </c>
      <c r="R2399">
        <v>1371577</v>
      </c>
    </row>
    <row r="2400" spans="1:18" x14ac:dyDescent="0.25">
      <c r="A2400" s="170">
        <v>45539</v>
      </c>
      <c r="B2400" s="116">
        <v>2932.6877027406699</v>
      </c>
      <c r="C2400" s="116">
        <v>2920.56915851447</v>
      </c>
      <c r="D2400" s="116">
        <v>2868.1200991034698</v>
      </c>
      <c r="E2400" s="116">
        <v>2915.23699905494</v>
      </c>
      <c r="F2400" s="116">
        <v>3012.5</v>
      </c>
      <c r="G2400">
        <v>59680</v>
      </c>
      <c r="H2400" s="116"/>
      <c r="I2400" s="116"/>
      <c r="L2400" s="170">
        <v>45539</v>
      </c>
      <c r="M2400" s="116">
        <v>2920.4283216783201</v>
      </c>
      <c r="N2400" s="116">
        <v>2932.6923076923099</v>
      </c>
      <c r="O2400" s="116">
        <v>2865.0222504767999</v>
      </c>
      <c r="P2400" s="116">
        <v>2918.1500317864002</v>
      </c>
      <c r="Q2400" s="116">
        <v>3012.35</v>
      </c>
      <c r="R2400">
        <v>1212270</v>
      </c>
    </row>
    <row r="2401" spans="1:18" x14ac:dyDescent="0.25">
      <c r="A2401" s="170">
        <v>45540</v>
      </c>
      <c r="B2401" s="116">
        <v>2944.32150519782</v>
      </c>
      <c r="C2401" s="116">
        <v>2922.8474448289999</v>
      </c>
      <c r="D2401" s="116">
        <v>2911.35906490256</v>
      </c>
      <c r="E2401" s="116">
        <v>2932.6877027406699</v>
      </c>
      <c r="F2401" s="116">
        <v>3014.85</v>
      </c>
      <c r="G2401">
        <v>40836</v>
      </c>
      <c r="H2401" s="116"/>
      <c r="I2401" s="116"/>
      <c r="L2401" s="170">
        <v>45540</v>
      </c>
      <c r="M2401" s="116">
        <v>2923.3367768594999</v>
      </c>
      <c r="N2401" s="116">
        <v>2945.1986649713899</v>
      </c>
      <c r="O2401" s="116">
        <v>2910.3941513032401</v>
      </c>
      <c r="P2401" s="116">
        <v>2932.6923076923099</v>
      </c>
      <c r="Q2401" s="116">
        <v>3015.35</v>
      </c>
      <c r="R2401">
        <v>734273</v>
      </c>
    </row>
    <row r="2402" spans="1:18" x14ac:dyDescent="0.25">
      <c r="A2402" s="170">
        <v>45541</v>
      </c>
      <c r="B2402" s="116">
        <v>2932.6877027406699</v>
      </c>
      <c r="C2402" s="116">
        <v>2886.0070703813399</v>
      </c>
      <c r="D2402" s="116">
        <v>2878.3966246072901</v>
      </c>
      <c r="E2402" s="116">
        <v>2932.6877027406699</v>
      </c>
      <c r="F2402" s="116">
        <v>2976.85</v>
      </c>
      <c r="G2402">
        <v>38285</v>
      </c>
      <c r="H2402" s="116"/>
      <c r="I2402" s="116"/>
      <c r="L2402" s="170">
        <v>45541</v>
      </c>
      <c r="M2402" s="116">
        <v>2884.6543229497802</v>
      </c>
      <c r="N2402" s="116">
        <v>2932.6923076923099</v>
      </c>
      <c r="O2402" s="116">
        <v>2877.4316592498399</v>
      </c>
      <c r="P2402" s="116">
        <v>2926.8753973299399</v>
      </c>
      <c r="Q2402" s="116">
        <v>2975.45</v>
      </c>
      <c r="R2402">
        <v>1251165</v>
      </c>
    </row>
    <row r="2403" spans="1:18" x14ac:dyDescent="0.25">
      <c r="A2403" s="170">
        <v>45544</v>
      </c>
      <c r="B2403" s="116">
        <v>2884.4074225434902</v>
      </c>
      <c r="C2403" s="116">
        <v>2874.17937121657</v>
      </c>
      <c r="D2403" s="116">
        <v>2837.33899676892</v>
      </c>
      <c r="E2403" s="116">
        <v>2884.4074225434902</v>
      </c>
      <c r="F2403" s="116">
        <v>2964.65</v>
      </c>
      <c r="G2403">
        <v>51376</v>
      </c>
      <c r="H2403" s="116"/>
      <c r="I2403" s="116"/>
      <c r="L2403" s="170">
        <v>45544</v>
      </c>
      <c r="M2403" s="116">
        <v>2873.6991417673198</v>
      </c>
      <c r="N2403" s="116">
        <v>2881.7943420216102</v>
      </c>
      <c r="O2403" s="116">
        <v>2837.9736172918001</v>
      </c>
      <c r="P2403" s="116">
        <v>2881.4065479974602</v>
      </c>
      <c r="Q2403" s="116">
        <v>2964.15</v>
      </c>
      <c r="R2403">
        <v>1523581</v>
      </c>
    </row>
    <row r="2404" spans="1:18" x14ac:dyDescent="0.25">
      <c r="A2404" s="170">
        <v>45545</v>
      </c>
      <c r="B2404" s="116">
        <v>2914.7522572858902</v>
      </c>
      <c r="C2404" s="116">
        <v>2894.73242222421</v>
      </c>
      <c r="D2404" s="116">
        <v>2857.0679867691802</v>
      </c>
      <c r="E2404" s="116">
        <v>2876.1183382927602</v>
      </c>
      <c r="F2404" s="116">
        <v>2985.85</v>
      </c>
      <c r="G2404">
        <v>57810</v>
      </c>
      <c r="H2404" s="116"/>
      <c r="I2404" s="116"/>
      <c r="L2404" s="170">
        <v>45545</v>
      </c>
      <c r="M2404" s="116">
        <v>2895.2701843610898</v>
      </c>
      <c r="N2404" s="116">
        <v>2915.62937062937</v>
      </c>
      <c r="O2404" s="116">
        <v>2857.6541640178002</v>
      </c>
      <c r="P2404" s="116">
        <v>2880.9218054672601</v>
      </c>
      <c r="Q2404" s="116">
        <v>2986.4</v>
      </c>
      <c r="R2404">
        <v>803782</v>
      </c>
    </row>
    <row r="2405" spans="1:18" x14ac:dyDescent="0.25">
      <c r="A2405" s="170">
        <v>45546</v>
      </c>
      <c r="B2405" s="116">
        <v>2906.3662246813601</v>
      </c>
      <c r="C2405" s="116">
        <v>2847.7124706265499</v>
      </c>
      <c r="D2405" s="116">
        <v>2839.6172830834498</v>
      </c>
      <c r="E2405" s="116">
        <v>2906.3662246813601</v>
      </c>
      <c r="F2405" s="116">
        <v>2937.35</v>
      </c>
      <c r="G2405">
        <v>27276</v>
      </c>
      <c r="H2405" s="116"/>
      <c r="I2405" s="116"/>
      <c r="L2405" s="170">
        <v>45546</v>
      </c>
      <c r="M2405" s="116">
        <v>2848.2016846789602</v>
      </c>
      <c r="N2405" s="116">
        <v>2901.6203115066701</v>
      </c>
      <c r="O2405" s="116">
        <v>2838.6522568340702</v>
      </c>
      <c r="P2405" s="116">
        <v>2893.9129052765402</v>
      </c>
      <c r="Q2405" s="116">
        <v>2937.85</v>
      </c>
      <c r="R2405">
        <v>888628</v>
      </c>
    </row>
    <row r="2406" spans="1:18" x14ac:dyDescent="0.25">
      <c r="A2406" s="170">
        <v>45547</v>
      </c>
      <c r="B2406" s="116">
        <v>2906.5116472120799</v>
      </c>
      <c r="C2406" s="116">
        <v>2900.1130558606401</v>
      </c>
      <c r="D2406" s="116">
        <v>2828.0319548031998</v>
      </c>
      <c r="E2406" s="116">
        <v>2848.4880574570302</v>
      </c>
      <c r="F2406" s="116">
        <v>2991.4</v>
      </c>
      <c r="G2406">
        <v>31273</v>
      </c>
      <c r="H2406" s="116"/>
      <c r="I2406" s="116"/>
      <c r="L2406" s="170">
        <v>45547</v>
      </c>
      <c r="M2406" s="116">
        <v>2899.7298156389102</v>
      </c>
      <c r="N2406" s="116">
        <v>2908.4551811824499</v>
      </c>
      <c r="O2406" s="116">
        <v>2828.1333439288001</v>
      </c>
      <c r="P2406" s="116">
        <v>2859.9809281627499</v>
      </c>
      <c r="Q2406" s="116">
        <v>2991</v>
      </c>
      <c r="R2406">
        <v>1314173</v>
      </c>
    </row>
    <row r="2407" spans="1:18" x14ac:dyDescent="0.25">
      <c r="A2407" s="170">
        <v>45548</v>
      </c>
      <c r="B2407" s="116">
        <v>2908.4506142882701</v>
      </c>
      <c r="C2407" s="116">
        <v>2878.0088311920499</v>
      </c>
      <c r="D2407" s="116">
        <v>2865.89028696585</v>
      </c>
      <c r="E2407" s="116">
        <v>2870.5438079487099</v>
      </c>
      <c r="F2407" s="116">
        <v>2968.6</v>
      </c>
      <c r="G2407">
        <v>59230</v>
      </c>
      <c r="H2407" s="116"/>
      <c r="I2407" s="116"/>
      <c r="L2407" s="170">
        <v>45548</v>
      </c>
      <c r="M2407" s="116">
        <v>2877.7709790209801</v>
      </c>
      <c r="N2407" s="116">
        <v>2910.3456770502198</v>
      </c>
      <c r="O2407" s="116">
        <v>2865.8463127781301</v>
      </c>
      <c r="P2407" s="116">
        <v>2881.3095994914202</v>
      </c>
      <c r="Q2407" s="116">
        <v>2968.35</v>
      </c>
      <c r="R2407">
        <v>815948</v>
      </c>
    </row>
    <row r="2408" spans="1:18" x14ac:dyDescent="0.25">
      <c r="A2408" s="170">
        <v>45551</v>
      </c>
      <c r="B2408" s="116">
        <v>2932.6877027406699</v>
      </c>
      <c r="C2408" s="116">
        <v>2893.4720936246799</v>
      </c>
      <c r="D2408" s="116">
        <v>2881.4020235753901</v>
      </c>
      <c r="E2408" s="116">
        <v>2892.0663424944401</v>
      </c>
      <c r="F2408" s="116">
        <v>2984.55</v>
      </c>
      <c r="G2408">
        <v>67687</v>
      </c>
      <c r="H2408" s="116"/>
      <c r="I2408" s="116"/>
      <c r="L2408" s="170">
        <v>45551</v>
      </c>
      <c r="M2408" s="116">
        <v>2893.8159567705002</v>
      </c>
      <c r="N2408" s="116">
        <v>2934.04958677686</v>
      </c>
      <c r="O2408" s="116">
        <v>2881.3095994914202</v>
      </c>
      <c r="P2408" s="116">
        <v>2881.3095994914202</v>
      </c>
      <c r="Q2408" s="116">
        <v>2984.9</v>
      </c>
      <c r="R2408">
        <v>695162</v>
      </c>
    </row>
    <row r="2409" spans="1:18" x14ac:dyDescent="0.25">
      <c r="A2409" s="170">
        <v>45552</v>
      </c>
      <c r="B2409" s="116">
        <v>2902.1004971137399</v>
      </c>
      <c r="C2409" s="116">
        <v>2883.9226807744399</v>
      </c>
      <c r="D2409" s="116">
        <v>2862.88488799775</v>
      </c>
      <c r="E2409" s="116">
        <v>2902.1004971137399</v>
      </c>
      <c r="F2409" s="116">
        <v>2974.7</v>
      </c>
      <c r="G2409">
        <v>17244</v>
      </c>
      <c r="H2409" s="116"/>
      <c r="I2409" s="116"/>
      <c r="L2409" s="170">
        <v>45552</v>
      </c>
      <c r="M2409" s="116">
        <v>2884.4119516846799</v>
      </c>
      <c r="N2409" s="116">
        <v>2904.4802924348401</v>
      </c>
      <c r="O2409" s="116">
        <v>2862.4046408137301</v>
      </c>
      <c r="P2409" s="116">
        <v>2898.8088048315299</v>
      </c>
      <c r="Q2409" s="116">
        <v>2975.2</v>
      </c>
      <c r="R2409">
        <v>698700</v>
      </c>
    </row>
    <row r="2410" spans="1:18" x14ac:dyDescent="0.25">
      <c r="A2410" s="170">
        <v>45553</v>
      </c>
      <c r="B2410" s="116">
        <v>2892.9873518556401</v>
      </c>
      <c r="C2410" s="116">
        <v>2863.9513198896602</v>
      </c>
      <c r="D2410" s="116">
        <v>2845.4341843120201</v>
      </c>
      <c r="E2410" s="116">
        <v>2883.2440422977702</v>
      </c>
      <c r="F2410" s="116">
        <v>2954.1</v>
      </c>
      <c r="G2410">
        <v>20851</v>
      </c>
      <c r="H2410" s="116"/>
      <c r="I2410" s="116"/>
      <c r="L2410" s="170">
        <v>45553</v>
      </c>
      <c r="M2410" s="116">
        <v>2866.0886840432299</v>
      </c>
      <c r="N2410" s="116">
        <v>2893.6705340114399</v>
      </c>
      <c r="O2410" s="116">
        <v>2845.4386522568302</v>
      </c>
      <c r="P2410" s="116">
        <v>2885.18753973299</v>
      </c>
      <c r="Q2410" s="116">
        <v>2956.3</v>
      </c>
      <c r="R2410">
        <v>831891</v>
      </c>
    </row>
    <row r="2411" spans="1:18" x14ac:dyDescent="0.25">
      <c r="A2411" s="170">
        <v>45554</v>
      </c>
      <c r="B2411" s="116">
        <v>2887.5582440423</v>
      </c>
      <c r="C2411" s="116">
        <v>2852.5598883170301</v>
      </c>
      <c r="D2411" s="116">
        <v>2803.7463921738899</v>
      </c>
      <c r="E2411" s="116">
        <v>2887.5582440423</v>
      </c>
      <c r="F2411" s="116">
        <v>2942.35</v>
      </c>
      <c r="G2411">
        <v>27005</v>
      </c>
      <c r="H2411" s="116"/>
      <c r="I2411" s="116"/>
      <c r="L2411" s="170">
        <v>45554</v>
      </c>
      <c r="M2411" s="116">
        <v>2853.3399554990501</v>
      </c>
      <c r="N2411" s="116">
        <v>2884.4604259377002</v>
      </c>
      <c r="O2411" s="116">
        <v>2802.1511443102299</v>
      </c>
      <c r="P2411" s="116">
        <v>2884.2665289256202</v>
      </c>
      <c r="Q2411" s="116">
        <v>2943.15</v>
      </c>
      <c r="R2411">
        <v>1655401</v>
      </c>
    </row>
    <row r="2412" spans="1:18" x14ac:dyDescent="0.25">
      <c r="A2412" s="170">
        <v>45555</v>
      </c>
      <c r="B2412" s="116">
        <v>2931.8151675563799</v>
      </c>
      <c r="C2412" s="116">
        <v>2916.6427501851799</v>
      </c>
      <c r="D2412" s="116">
        <v>2853.67479438584</v>
      </c>
      <c r="E2412" s="116">
        <v>2859.8794890296499</v>
      </c>
      <c r="F2412" s="116">
        <v>3008.45</v>
      </c>
      <c r="G2412">
        <v>26944</v>
      </c>
      <c r="H2412" s="116"/>
      <c r="I2412" s="116"/>
      <c r="L2412" s="170">
        <v>45555</v>
      </c>
      <c r="M2412" s="116">
        <v>2916.6958041958001</v>
      </c>
      <c r="N2412" s="116">
        <v>2932.6923076923099</v>
      </c>
      <c r="O2412" s="116">
        <v>2852.27352193261</v>
      </c>
      <c r="P2412" s="116">
        <v>2858.18738080102</v>
      </c>
      <c r="Q2412" s="116">
        <v>3008.5</v>
      </c>
      <c r="R2412">
        <v>1787210</v>
      </c>
    </row>
    <row r="2413" spans="1:18" x14ac:dyDescent="0.25">
      <c r="A2413" s="170">
        <v>45558</v>
      </c>
      <c r="B2413" s="116">
        <v>2976.3144619549898</v>
      </c>
      <c r="C2413" s="116">
        <v>2951.1078899644999</v>
      </c>
      <c r="D2413" s="116">
        <v>2918.19392384613</v>
      </c>
      <c r="E2413" s="116">
        <v>2918.19392384613</v>
      </c>
      <c r="F2413" s="116">
        <v>3044</v>
      </c>
      <c r="G2413">
        <v>26109</v>
      </c>
      <c r="H2413" s="116"/>
      <c r="I2413" s="116"/>
      <c r="L2413" s="170">
        <v>45558</v>
      </c>
      <c r="M2413" s="116">
        <v>2951.0640495867801</v>
      </c>
      <c r="N2413" s="116">
        <v>2976.31913541004</v>
      </c>
      <c r="O2413" s="116">
        <v>2923.2398283534599</v>
      </c>
      <c r="P2413" s="116">
        <v>2927.84488239034</v>
      </c>
      <c r="Q2413" s="116">
        <v>3043.95</v>
      </c>
      <c r="R2413">
        <v>897314</v>
      </c>
    </row>
    <row r="2414" spans="1:18" x14ac:dyDescent="0.25">
      <c r="A2414" s="170">
        <v>45559</v>
      </c>
      <c r="B2414" s="116">
        <v>3004.91422632883</v>
      </c>
      <c r="C2414" s="116">
        <v>2998.0308932083499</v>
      </c>
      <c r="D2414" s="116">
        <v>2946.3089464509198</v>
      </c>
      <c r="E2414" s="116">
        <v>2953.2892279252101</v>
      </c>
      <c r="F2414" s="116">
        <v>3092.4</v>
      </c>
      <c r="G2414">
        <v>93211</v>
      </c>
      <c r="H2414" s="116"/>
      <c r="I2414" s="116"/>
      <c r="L2414" s="170">
        <v>45559</v>
      </c>
      <c r="M2414" s="116">
        <v>2999.4898283534599</v>
      </c>
      <c r="N2414" s="116">
        <v>3006.3731722822599</v>
      </c>
      <c r="O2414" s="116">
        <v>2947.4769548633199</v>
      </c>
      <c r="P2414" s="116">
        <v>2961.7768595041298</v>
      </c>
      <c r="Q2414" s="116">
        <v>3093.9</v>
      </c>
      <c r="R2414">
        <v>1021918</v>
      </c>
    </row>
    <row r="2415" spans="1:18" x14ac:dyDescent="0.25">
      <c r="A2415" s="170">
        <v>45560</v>
      </c>
      <c r="B2415" s="116">
        <v>3028.6665730121799</v>
      </c>
      <c r="C2415" s="116">
        <v>3010.00401490383</v>
      </c>
      <c r="D2415" s="116">
        <v>2987.70589352762</v>
      </c>
      <c r="E2415" s="116">
        <v>3010.4887566728798</v>
      </c>
      <c r="F2415" s="116">
        <v>3104.75</v>
      </c>
      <c r="G2415">
        <v>31482</v>
      </c>
      <c r="H2415" s="116"/>
      <c r="I2415" s="116"/>
      <c r="L2415" s="170">
        <v>45560</v>
      </c>
      <c r="M2415" s="116">
        <v>3010.3480610298798</v>
      </c>
      <c r="N2415" s="116">
        <v>3028.5743801652902</v>
      </c>
      <c r="O2415" s="116">
        <v>2986.2078830260598</v>
      </c>
      <c r="P2415" s="116">
        <v>3013.15956770502</v>
      </c>
      <c r="Q2415" s="116">
        <v>3105.1</v>
      </c>
      <c r="R2415">
        <v>913008</v>
      </c>
    </row>
    <row r="2416" spans="1:18" x14ac:dyDescent="0.25">
      <c r="A2416" s="170">
        <v>45561</v>
      </c>
      <c r="B2416" s="116">
        <v>3050.38300426554</v>
      </c>
      <c r="C2416" s="116">
        <v>3025.9035449286098</v>
      </c>
      <c r="D2416" s="116">
        <v>2993.7651656407202</v>
      </c>
      <c r="E2416" s="116">
        <v>2999.5335926923999</v>
      </c>
      <c r="F2416" s="116">
        <v>3121.15</v>
      </c>
      <c r="G2416">
        <v>26568</v>
      </c>
      <c r="H2416" s="116"/>
      <c r="I2416" s="116"/>
      <c r="L2416" s="170">
        <v>45561</v>
      </c>
      <c r="M2416" s="116">
        <v>3027.3625238397999</v>
      </c>
      <c r="N2416" s="116">
        <v>3051.9389701207901</v>
      </c>
      <c r="O2416" s="116">
        <v>2990.8614113159601</v>
      </c>
      <c r="P2416" s="116">
        <v>2990.8614113159601</v>
      </c>
      <c r="Q2416" s="116">
        <v>3122.65</v>
      </c>
      <c r="R2416">
        <v>1548019</v>
      </c>
    </row>
    <row r="2417" spans="1:18" x14ac:dyDescent="0.25">
      <c r="A2417" s="170">
        <v>45562</v>
      </c>
      <c r="B2417" s="116">
        <v>3081.4064774846101</v>
      </c>
      <c r="C2417" s="116">
        <v>3035.5983803095701</v>
      </c>
      <c r="D2417" s="116">
        <v>3020.6198596459899</v>
      </c>
      <c r="E2417" s="116">
        <v>3029.63605655028</v>
      </c>
      <c r="F2417" s="116">
        <v>3131.15</v>
      </c>
      <c r="G2417">
        <v>27395</v>
      </c>
      <c r="H2417" s="116"/>
      <c r="I2417" s="116"/>
      <c r="L2417" s="170">
        <v>45562</v>
      </c>
      <c r="M2417" s="116">
        <v>3034.7790845518098</v>
      </c>
      <c r="N2417" s="116">
        <v>3081.9930069930101</v>
      </c>
      <c r="O2417" s="116">
        <v>3020.9154481881801</v>
      </c>
      <c r="P2417" s="116">
        <v>3026.7323585505401</v>
      </c>
      <c r="Q2417" s="116">
        <v>3130.3</v>
      </c>
      <c r="R2417">
        <v>2297441</v>
      </c>
    </row>
    <row r="2418" spans="1:18" x14ac:dyDescent="0.25">
      <c r="A2418" s="170">
        <v>45565</v>
      </c>
      <c r="B2418" s="116">
        <v>3109.9577676815402</v>
      </c>
      <c r="C2418" s="116">
        <v>3039.08852104672</v>
      </c>
      <c r="D2418" s="116">
        <v>3019.9412211693202</v>
      </c>
      <c r="E2418" s="116">
        <v>3035.4529577788599</v>
      </c>
      <c r="F2418" s="116">
        <v>3134.75</v>
      </c>
      <c r="G2418">
        <v>124988</v>
      </c>
      <c r="H2418" s="116"/>
      <c r="I2418" s="116"/>
      <c r="L2418" s="170">
        <v>45565</v>
      </c>
      <c r="M2418" s="116">
        <v>3040.1597266369999</v>
      </c>
      <c r="N2418" s="116">
        <v>3111.9500953591901</v>
      </c>
      <c r="O2418" s="116">
        <v>3025.18118245391</v>
      </c>
      <c r="P2418" s="116">
        <v>3033.5187539733001</v>
      </c>
      <c r="Q2418" s="116">
        <v>3135.85</v>
      </c>
      <c r="R2418">
        <v>1607429</v>
      </c>
    </row>
    <row r="2419" spans="1:18" x14ac:dyDescent="0.25">
      <c r="A2419" s="170">
        <v>45566</v>
      </c>
      <c r="B2419" s="116">
        <v>3094.4945052489102</v>
      </c>
      <c r="C2419" s="116">
        <v>3087.6111721284301</v>
      </c>
      <c r="D2419" s="116">
        <v>3011.74908527241</v>
      </c>
      <c r="E2419" s="116">
        <v>3039.13699522362</v>
      </c>
      <c r="F2419" s="116">
        <v>3184.8</v>
      </c>
      <c r="G2419">
        <v>38893</v>
      </c>
      <c r="H2419" s="116"/>
      <c r="I2419" s="116"/>
      <c r="L2419" s="170">
        <v>45566</v>
      </c>
      <c r="M2419" s="116">
        <v>3088.8763509218102</v>
      </c>
      <c r="N2419" s="116">
        <v>3094.5963127781301</v>
      </c>
      <c r="O2419" s="116">
        <v>3012.1900826446299</v>
      </c>
      <c r="P2419" s="116">
        <v>3040.5959949141802</v>
      </c>
      <c r="Q2419" s="116">
        <v>3186.1</v>
      </c>
      <c r="R2419">
        <v>1367116</v>
      </c>
    </row>
    <row r="2420" spans="1:18" x14ac:dyDescent="0.25">
      <c r="A2420" s="170">
        <v>45568</v>
      </c>
      <c r="B2420" s="116">
        <v>3098.3724394012902</v>
      </c>
      <c r="C2420" s="116">
        <v>3021.7347657147998</v>
      </c>
      <c r="D2420" s="116">
        <v>2990.8567150264398</v>
      </c>
      <c r="E2420" s="116">
        <v>3036.47091549386</v>
      </c>
      <c r="F2420" s="116">
        <v>3116.85</v>
      </c>
      <c r="G2420">
        <v>41963</v>
      </c>
      <c r="H2420" s="116"/>
      <c r="I2420" s="116"/>
      <c r="L2420" s="170">
        <v>45568</v>
      </c>
      <c r="M2420" s="116">
        <v>3020.9154481881801</v>
      </c>
      <c r="N2420" s="116">
        <v>3098.8135727908498</v>
      </c>
      <c r="O2420" s="116">
        <v>2989.9888747616001</v>
      </c>
      <c r="P2420" s="116">
        <v>3053.8779402415798</v>
      </c>
      <c r="Q2420" s="116">
        <v>3116</v>
      </c>
      <c r="R2420">
        <v>1309703</v>
      </c>
    </row>
    <row r="2421" spans="1:18" x14ac:dyDescent="0.25">
      <c r="A2421" s="170">
        <v>45569</v>
      </c>
      <c r="B2421" s="116">
        <v>3052.9036614645902</v>
      </c>
      <c r="C2421" s="116">
        <v>3014.8514325943102</v>
      </c>
      <c r="D2421" s="116">
        <v>2975.1026075323698</v>
      </c>
      <c r="E2421" s="116">
        <v>3024.7886388597999</v>
      </c>
      <c r="F2421" s="116">
        <v>3109.75</v>
      </c>
      <c r="G2421">
        <v>66852</v>
      </c>
      <c r="H2421" s="116"/>
      <c r="I2421" s="116"/>
      <c r="L2421" s="170">
        <v>45569</v>
      </c>
      <c r="M2421" s="116">
        <v>3015.7287031150699</v>
      </c>
      <c r="N2421" s="116">
        <v>3053.3931977113798</v>
      </c>
      <c r="O2421" s="116">
        <v>2976.31913541004</v>
      </c>
      <c r="P2421" s="116">
        <v>3024.6964399237099</v>
      </c>
      <c r="Q2421" s="116">
        <v>3110.65</v>
      </c>
      <c r="R2421">
        <v>987583</v>
      </c>
    </row>
    <row r="2422" spans="1:18" x14ac:dyDescent="0.25">
      <c r="A2422" s="170">
        <v>45572</v>
      </c>
      <c r="B2422" s="116">
        <v>3031.5750236264698</v>
      </c>
      <c r="C2422" s="116">
        <v>2924.3501443130399</v>
      </c>
      <c r="D2422" s="116">
        <v>2890.4182204796798</v>
      </c>
      <c r="E2422" s="116">
        <v>3005.4959164516899</v>
      </c>
      <c r="F2422" s="116">
        <v>3016.4</v>
      </c>
      <c r="G2422">
        <v>44043</v>
      </c>
      <c r="H2422" s="116"/>
      <c r="I2422" s="116"/>
      <c r="L2422" s="170">
        <v>45572</v>
      </c>
      <c r="M2422" s="116">
        <v>2925.9059122695498</v>
      </c>
      <c r="N2422" s="116">
        <v>3033.0340114431001</v>
      </c>
      <c r="O2422" s="116">
        <v>2889.5017482517501</v>
      </c>
      <c r="P2422" s="116">
        <v>3015.7287031150699</v>
      </c>
      <c r="Q2422" s="116">
        <v>3018</v>
      </c>
      <c r="R2422">
        <v>1743454</v>
      </c>
    </row>
    <row r="2423" spans="1:18" x14ac:dyDescent="0.25">
      <c r="A2423" s="170">
        <v>45573</v>
      </c>
      <c r="B2423" s="116">
        <v>3081.2610549538999</v>
      </c>
      <c r="C2423" s="116">
        <v>3069.5303041429302</v>
      </c>
      <c r="D2423" s="116">
        <v>2865.89028696585</v>
      </c>
      <c r="E2423" s="116">
        <v>2865.89028696585</v>
      </c>
      <c r="F2423" s="116">
        <v>3166.15</v>
      </c>
      <c r="G2423">
        <v>37532</v>
      </c>
      <c r="H2423" s="116"/>
      <c r="I2423" s="116"/>
      <c r="L2423" s="170">
        <v>45573</v>
      </c>
      <c r="M2423" s="116">
        <v>3064.2514303877902</v>
      </c>
      <c r="N2423" s="116">
        <v>3073.2676414494599</v>
      </c>
      <c r="O2423" s="116">
        <v>2903.4623331214202</v>
      </c>
      <c r="P2423" s="116">
        <v>2926.3906547997499</v>
      </c>
      <c r="Q2423" s="116">
        <v>3160.7</v>
      </c>
      <c r="R2423">
        <v>1776511</v>
      </c>
    </row>
    <row r="2424" spans="1:18" x14ac:dyDescent="0.25">
      <c r="A2424" s="170">
        <v>45574</v>
      </c>
      <c r="B2424" s="116">
        <v>3080.1946230619901</v>
      </c>
      <c r="C2424" s="116">
        <v>3056.6846472631601</v>
      </c>
      <c r="D2424" s="116">
        <v>3039.3308919312399</v>
      </c>
      <c r="E2424" s="116">
        <v>3068.4153980741198</v>
      </c>
      <c r="F2424" s="116">
        <v>3152.9</v>
      </c>
      <c r="G2424">
        <v>47667</v>
      </c>
      <c r="H2424" s="116"/>
      <c r="I2424" s="116"/>
      <c r="L2424" s="170">
        <v>45574</v>
      </c>
      <c r="M2424" s="116">
        <v>3057.5135092180499</v>
      </c>
      <c r="N2424" s="116">
        <v>3082.91401780038</v>
      </c>
      <c r="O2424" s="116">
        <v>3038.7539732994301</v>
      </c>
      <c r="P2424" s="116">
        <v>3078.1150667514298</v>
      </c>
      <c r="Q2424" s="116">
        <v>3153.75</v>
      </c>
      <c r="R2424">
        <v>897335</v>
      </c>
    </row>
    <row r="2425" spans="1:18" x14ac:dyDescent="0.25">
      <c r="A2425" s="170">
        <v>45575</v>
      </c>
      <c r="B2425" s="116">
        <v>3110.9272512196399</v>
      </c>
      <c r="C2425" s="116">
        <v>3076.4621114403199</v>
      </c>
      <c r="D2425" s="116">
        <v>2965.6501430359399</v>
      </c>
      <c r="E2425" s="116">
        <v>3055.76363790197</v>
      </c>
      <c r="F2425" s="116">
        <v>3173.3</v>
      </c>
      <c r="G2425">
        <v>61618</v>
      </c>
      <c r="H2425" s="116"/>
      <c r="I2425" s="116"/>
      <c r="L2425" s="170">
        <v>45575</v>
      </c>
      <c r="M2425" s="116">
        <v>3077.3394787031102</v>
      </c>
      <c r="N2425" s="116">
        <v>3113.0165289256202</v>
      </c>
      <c r="O2425" s="116">
        <v>2962.8432930705699</v>
      </c>
      <c r="P2425" s="116">
        <v>3044.18308963764</v>
      </c>
      <c r="Q2425" s="116">
        <v>3174.2</v>
      </c>
      <c r="R2425">
        <v>2905725</v>
      </c>
    </row>
    <row r="2426" spans="1:18" x14ac:dyDescent="0.25">
      <c r="A2426" s="170">
        <v>45576</v>
      </c>
      <c r="B2426" s="116">
        <v>3091.68300298843</v>
      </c>
      <c r="C2426" s="116">
        <v>3041.51222989196</v>
      </c>
      <c r="D2426" s="116">
        <v>3020.42596293837</v>
      </c>
      <c r="E2426" s="116">
        <v>3076.4621114403199</v>
      </c>
      <c r="F2426" s="116">
        <v>3137.25</v>
      </c>
      <c r="G2426">
        <v>35806</v>
      </c>
      <c r="H2426" s="116"/>
      <c r="I2426" s="116"/>
      <c r="L2426" s="170">
        <v>45576</v>
      </c>
      <c r="M2426" s="116">
        <v>3041.4685314685298</v>
      </c>
      <c r="N2426" s="116">
        <v>3092.65734265734</v>
      </c>
      <c r="O2426" s="116">
        <v>3020.9154481881801</v>
      </c>
      <c r="P2426" s="116">
        <v>3077.3394787031102</v>
      </c>
      <c r="Q2426" s="116">
        <v>3137.2</v>
      </c>
      <c r="R2426">
        <v>1035260</v>
      </c>
    </row>
    <row r="2427" spans="1:18" x14ac:dyDescent="0.25">
      <c r="A2427" s="170">
        <v>45579</v>
      </c>
      <c r="B2427" s="116">
        <v>3053.8731450026798</v>
      </c>
      <c r="C2427" s="116">
        <v>3003.9932169676399</v>
      </c>
      <c r="D2427" s="116">
        <v>2996.8190387857298</v>
      </c>
      <c r="E2427" s="116">
        <v>3049.0257273122002</v>
      </c>
      <c r="F2427" s="116">
        <v>3098.55</v>
      </c>
      <c r="G2427">
        <v>43042</v>
      </c>
      <c r="H2427" s="116"/>
      <c r="I2427" s="116"/>
      <c r="L2427" s="170">
        <v>45579</v>
      </c>
      <c r="M2427" s="116">
        <v>3006.4701207882999</v>
      </c>
      <c r="N2427" s="116">
        <v>3053.9748887476198</v>
      </c>
      <c r="O2427" s="116">
        <v>2998.47186904005</v>
      </c>
      <c r="P2427" s="116">
        <v>3049.0305149396099</v>
      </c>
      <c r="Q2427" s="116">
        <v>3101.1</v>
      </c>
      <c r="R2427">
        <v>437728</v>
      </c>
    </row>
    <row r="2428" spans="1:18" x14ac:dyDescent="0.25">
      <c r="A2428" s="170">
        <v>45580</v>
      </c>
      <c r="B2428" s="116">
        <v>3032.1082395724202</v>
      </c>
      <c r="C2428" s="116">
        <v>3009.4707989578801</v>
      </c>
      <c r="D2428" s="116">
        <v>2997.7400481469199</v>
      </c>
      <c r="E2428" s="116">
        <v>3019.9896953462198</v>
      </c>
      <c r="F2428" s="116">
        <v>3104.2</v>
      </c>
      <c r="G2428">
        <v>22803</v>
      </c>
      <c r="H2428" s="116"/>
      <c r="I2428" s="116"/>
      <c r="L2428" s="170">
        <v>45580</v>
      </c>
      <c r="M2428" s="116">
        <v>3009.9602670057202</v>
      </c>
      <c r="N2428" s="116">
        <v>3032.5492689129101</v>
      </c>
      <c r="O2428" s="116">
        <v>2997.1630642085202</v>
      </c>
      <c r="P2428" s="116">
        <v>3028.6713286713298</v>
      </c>
      <c r="Q2428" s="116">
        <v>3104.7</v>
      </c>
      <c r="R2428">
        <v>371613</v>
      </c>
    </row>
    <row r="2429" spans="1:18" x14ac:dyDescent="0.25">
      <c r="A2429" s="170">
        <v>45581</v>
      </c>
      <c r="B2429" s="116">
        <v>3019.4564794002699</v>
      </c>
      <c r="C2429" s="116">
        <v>2991.3414567954801</v>
      </c>
      <c r="D2429" s="116">
        <v>2967.6860584659398</v>
      </c>
      <c r="E2429" s="116">
        <v>3009.2284280733602</v>
      </c>
      <c r="F2429" s="116">
        <v>3085.5</v>
      </c>
      <c r="G2429">
        <v>19056</v>
      </c>
      <c r="H2429" s="116"/>
      <c r="I2429" s="116"/>
      <c r="L2429" s="170">
        <v>45581</v>
      </c>
      <c r="M2429" s="116">
        <v>2991.7339478703102</v>
      </c>
      <c r="N2429" s="116">
        <v>3020.3337571519401</v>
      </c>
      <c r="O2429" s="116">
        <v>2967.5937698665002</v>
      </c>
      <c r="P2429" s="116">
        <v>3003.4647171010802</v>
      </c>
      <c r="Q2429" s="116">
        <v>3085.9</v>
      </c>
      <c r="R2429">
        <v>543476</v>
      </c>
    </row>
    <row r="2430" spans="1:18" x14ac:dyDescent="0.25">
      <c r="A2430" s="170">
        <v>45582</v>
      </c>
      <c r="B2430" s="116">
        <v>3005.0596488595402</v>
      </c>
      <c r="C2430" s="116">
        <v>2920.27831345304</v>
      </c>
      <c r="D2430" s="116">
        <v>2902.0520229368299</v>
      </c>
      <c r="E2430" s="116">
        <v>3005.0596488595402</v>
      </c>
      <c r="F2430" s="116">
        <v>3012.2</v>
      </c>
      <c r="G2430">
        <v>41437</v>
      </c>
      <c r="H2430" s="116"/>
      <c r="I2430" s="116"/>
      <c r="L2430" s="170">
        <v>45582</v>
      </c>
      <c r="M2430" s="116">
        <v>2921.7856007628702</v>
      </c>
      <c r="N2430" s="116">
        <v>3005.4036872218699</v>
      </c>
      <c r="O2430" s="116">
        <v>2901.6687857596899</v>
      </c>
      <c r="P2430" s="116">
        <v>2995.6603623649098</v>
      </c>
      <c r="Q2430" s="116">
        <v>3013.75</v>
      </c>
      <c r="R2430">
        <v>2655289</v>
      </c>
    </row>
    <row r="2431" spans="1:18" x14ac:dyDescent="0.25">
      <c r="A2431" s="170">
        <v>45583</v>
      </c>
      <c r="B2431" s="116">
        <v>2939.1832424459099</v>
      </c>
      <c r="C2431" s="116">
        <v>2912.6678676789902</v>
      </c>
      <c r="D2431" s="116">
        <v>2878.5905213149099</v>
      </c>
      <c r="E2431" s="116">
        <v>2907.4326565732699</v>
      </c>
      <c r="F2431" s="116">
        <v>3004.35</v>
      </c>
      <c r="G2431">
        <v>25637</v>
      </c>
      <c r="H2431" s="116"/>
      <c r="I2431" s="116"/>
      <c r="L2431" s="170">
        <v>45583</v>
      </c>
      <c r="M2431" s="116">
        <v>2910.3941513032401</v>
      </c>
      <c r="N2431" s="116">
        <v>2939.1878575969499</v>
      </c>
      <c r="O2431" s="116">
        <v>2877.5286077558799</v>
      </c>
      <c r="P2431" s="116">
        <v>2898.7603305785101</v>
      </c>
      <c r="Q2431" s="116">
        <v>3002</v>
      </c>
      <c r="R2431">
        <v>796339</v>
      </c>
    </row>
    <row r="2432" spans="1:18" x14ac:dyDescent="0.25">
      <c r="A2432" s="170">
        <v>45586</v>
      </c>
      <c r="B2432" s="116">
        <v>2921.9749096447099</v>
      </c>
      <c r="C2432" s="116">
        <v>2846.7429870884498</v>
      </c>
      <c r="D2432" s="116">
        <v>2829.2922834027199</v>
      </c>
      <c r="E2432" s="116">
        <v>2921.9749096447099</v>
      </c>
      <c r="F2432" s="116">
        <v>2936.35</v>
      </c>
      <c r="G2432">
        <v>60211</v>
      </c>
      <c r="H2432" s="116"/>
      <c r="I2432" s="116"/>
      <c r="L2432" s="170">
        <v>45586</v>
      </c>
      <c r="M2432" s="116">
        <v>2848.0077876668802</v>
      </c>
      <c r="N2432" s="116">
        <v>2922.9489828353499</v>
      </c>
      <c r="O2432" s="116">
        <v>2827.93944691672</v>
      </c>
      <c r="P2432" s="116">
        <v>2913.4480292434801</v>
      </c>
      <c r="Q2432" s="116">
        <v>2937.65</v>
      </c>
      <c r="R2432">
        <v>1051690</v>
      </c>
    </row>
    <row r="2433" spans="1:18" x14ac:dyDescent="0.25">
      <c r="A2433" s="170">
        <v>45587</v>
      </c>
      <c r="B2433" s="116">
        <v>2861.9638786365599</v>
      </c>
      <c r="C2433" s="116">
        <v>2738.1608308216901</v>
      </c>
      <c r="D2433" s="116">
        <v>2728.8053146790598</v>
      </c>
      <c r="E2433" s="116">
        <v>2850.2816020025002</v>
      </c>
      <c r="F2433" s="116">
        <v>2824.35</v>
      </c>
      <c r="G2433">
        <v>52090</v>
      </c>
      <c r="H2433" s="116"/>
      <c r="I2433" s="116"/>
      <c r="L2433" s="170">
        <v>45587</v>
      </c>
      <c r="M2433" s="116">
        <v>2737.6319135409999</v>
      </c>
      <c r="N2433" s="116">
        <v>2864.8283534647198</v>
      </c>
      <c r="O2433" s="116">
        <v>2732.0089001907199</v>
      </c>
      <c r="P2433" s="116">
        <v>2848.34710743802</v>
      </c>
      <c r="Q2433" s="116">
        <v>2823.8</v>
      </c>
      <c r="R2433">
        <v>1209732</v>
      </c>
    </row>
    <row r="2434" spans="1:18" x14ac:dyDescent="0.25">
      <c r="A2434" s="170">
        <v>45588</v>
      </c>
      <c r="B2434" s="116">
        <v>2790.1736226405501</v>
      </c>
      <c r="C2434" s="116">
        <v>2749.2614173328898</v>
      </c>
      <c r="D2434" s="116">
        <v>2737.53066652193</v>
      </c>
      <c r="E2434" s="116">
        <v>2753.2362998390799</v>
      </c>
      <c r="F2434" s="116">
        <v>2835.8</v>
      </c>
      <c r="G2434">
        <v>49313</v>
      </c>
      <c r="H2434" s="116"/>
      <c r="I2434" s="116"/>
      <c r="L2434" s="170">
        <v>45588</v>
      </c>
      <c r="M2434" s="116">
        <v>2749.0233630006401</v>
      </c>
      <c r="N2434" s="116">
        <v>2791.1474888747598</v>
      </c>
      <c r="O2434" s="116">
        <v>2734.0448188175501</v>
      </c>
      <c r="P2434" s="116">
        <v>2754.16163382072</v>
      </c>
      <c r="Q2434" s="116">
        <v>2835.55</v>
      </c>
      <c r="R2434">
        <v>1270530</v>
      </c>
    </row>
    <row r="2435" spans="1:18" x14ac:dyDescent="0.25">
      <c r="A2435" s="170">
        <v>45589</v>
      </c>
      <c r="B2435" s="116">
        <v>2787.2651720262602</v>
      </c>
      <c r="C2435" s="116">
        <v>2742.0387649740701</v>
      </c>
      <c r="D2435" s="116">
        <v>2722.5036716814402</v>
      </c>
      <c r="E2435" s="116">
        <v>2757.2111823452801</v>
      </c>
      <c r="F2435" s="116">
        <v>2828.35</v>
      </c>
      <c r="G2435">
        <v>43263</v>
      </c>
      <c r="H2435" s="116"/>
      <c r="I2435" s="116"/>
      <c r="L2435" s="170">
        <v>45589</v>
      </c>
      <c r="M2435" s="116">
        <v>2743.8366179275299</v>
      </c>
      <c r="N2435" s="116">
        <v>2787.4149713922402</v>
      </c>
      <c r="O2435" s="116">
        <v>2722.2171010807401</v>
      </c>
      <c r="P2435" s="116">
        <v>2754.3555308328</v>
      </c>
      <c r="Q2435" s="116">
        <v>2830.2</v>
      </c>
      <c r="R2435">
        <v>942066</v>
      </c>
    </row>
    <row r="2436" spans="1:18" x14ac:dyDescent="0.25">
      <c r="A2436" s="170">
        <v>45590</v>
      </c>
      <c r="B2436" s="116">
        <v>2762.0586000357598</v>
      </c>
      <c r="C2436" s="116">
        <v>2611.4978065694399</v>
      </c>
      <c r="D2436" s="116">
        <v>2574.36658706036</v>
      </c>
      <c r="E2436" s="116">
        <v>2743.6868869888399</v>
      </c>
      <c r="F2436" s="116">
        <v>2693.7</v>
      </c>
      <c r="G2436">
        <v>71762</v>
      </c>
      <c r="H2436" s="116"/>
      <c r="I2436" s="116"/>
      <c r="L2436" s="170">
        <v>45590</v>
      </c>
      <c r="M2436" s="116">
        <v>2611.2595359186298</v>
      </c>
      <c r="N2436" s="116">
        <v>2760.1239669421502</v>
      </c>
      <c r="O2436" s="116">
        <v>2573.69198982835</v>
      </c>
      <c r="P2436" s="116">
        <v>2758.1849968213601</v>
      </c>
      <c r="Q2436" s="116">
        <v>2693.45</v>
      </c>
      <c r="R2436">
        <v>1954174</v>
      </c>
    </row>
    <row r="2437" spans="1:18" x14ac:dyDescent="0.25">
      <c r="A2437" s="170">
        <v>45593</v>
      </c>
      <c r="B2437" s="116">
        <v>2735.8825445071602</v>
      </c>
      <c r="C2437" s="116">
        <v>2714.9901742611901</v>
      </c>
      <c r="D2437" s="116">
        <v>2589.2966335470401</v>
      </c>
      <c r="E2437" s="116">
        <v>2621.4350128349201</v>
      </c>
      <c r="F2437" s="116">
        <v>2800.45</v>
      </c>
      <c r="G2437">
        <v>95526</v>
      </c>
      <c r="H2437" s="116"/>
      <c r="I2437" s="116"/>
      <c r="L2437" s="170">
        <v>45593</v>
      </c>
      <c r="M2437" s="116">
        <v>2713.2493642720901</v>
      </c>
      <c r="N2437" s="116">
        <v>2736.2746344564498</v>
      </c>
      <c r="O2437" s="116">
        <v>2590.5610298792099</v>
      </c>
      <c r="P2437" s="116">
        <v>2618.6760966306401</v>
      </c>
      <c r="Q2437" s="116">
        <v>2798.65</v>
      </c>
      <c r="R2437">
        <v>1385033</v>
      </c>
    </row>
    <row r="2438" spans="1:18" x14ac:dyDescent="0.25">
      <c r="A2438" s="170">
        <v>45594</v>
      </c>
      <c r="B2438" s="116">
        <v>2775.0012052693401</v>
      </c>
      <c r="C2438" s="116">
        <v>2754.73899932313</v>
      </c>
      <c r="D2438" s="116">
        <v>2650.5679931547102</v>
      </c>
      <c r="E2438" s="116">
        <v>2722.3097749738199</v>
      </c>
      <c r="F2438" s="116">
        <v>2841.45</v>
      </c>
      <c r="G2438">
        <v>316252</v>
      </c>
      <c r="H2438" s="116"/>
      <c r="I2438" s="116"/>
      <c r="L2438" s="170">
        <v>45594</v>
      </c>
      <c r="M2438" s="116">
        <v>2761.6751430387799</v>
      </c>
      <c r="N2438" s="116">
        <v>2775.6842021614698</v>
      </c>
      <c r="O2438" s="116">
        <v>2649.4572472981599</v>
      </c>
      <c r="P2438" s="116">
        <v>2717.4666242848102</v>
      </c>
      <c r="Q2438" s="116">
        <v>2848.6</v>
      </c>
      <c r="R2438">
        <v>1529844</v>
      </c>
    </row>
    <row r="2439" spans="1:18" x14ac:dyDescent="0.25">
      <c r="A2439" s="170">
        <v>45595</v>
      </c>
      <c r="B2439" s="116">
        <v>2906.5116472120799</v>
      </c>
      <c r="C2439" s="116">
        <v>2877.0878218308599</v>
      </c>
      <c r="D2439" s="116">
        <v>2731.90766200097</v>
      </c>
      <c r="E2439" s="116">
        <v>2772.7713931317198</v>
      </c>
      <c r="F2439" s="116">
        <v>2967.65</v>
      </c>
      <c r="G2439">
        <v>149478</v>
      </c>
      <c r="H2439" s="116"/>
      <c r="I2439" s="116"/>
      <c r="L2439" s="170">
        <v>45595</v>
      </c>
      <c r="M2439" s="116">
        <v>2878.69198982835</v>
      </c>
      <c r="N2439" s="116">
        <v>2905.6921487603299</v>
      </c>
      <c r="O2439" s="116">
        <v>2729.14891926256</v>
      </c>
      <c r="P2439" s="116">
        <v>2776.6052129688501</v>
      </c>
      <c r="Q2439" s="116">
        <v>2969.3</v>
      </c>
      <c r="R2439">
        <v>2884272</v>
      </c>
    </row>
    <row r="2440" spans="1:18" x14ac:dyDescent="0.25">
      <c r="A2440" s="170">
        <v>45596</v>
      </c>
      <c r="B2440" s="116">
        <v>2887.3158731577701</v>
      </c>
      <c r="C2440" s="116">
        <v>2856.7286675308401</v>
      </c>
      <c r="D2440" s="116">
        <v>2844.46470077393</v>
      </c>
      <c r="E2440" s="116">
        <v>2882.80777470563</v>
      </c>
      <c r="F2440" s="116">
        <v>2946.65</v>
      </c>
      <c r="G2440">
        <v>23233</v>
      </c>
      <c r="H2440" s="116"/>
      <c r="I2440" s="116"/>
      <c r="L2440" s="170">
        <v>45596</v>
      </c>
      <c r="M2440" s="116">
        <v>2857.31484424666</v>
      </c>
      <c r="N2440" s="116">
        <v>2885.67228226319</v>
      </c>
      <c r="O2440" s="116">
        <v>2844.3237444373799</v>
      </c>
      <c r="P2440" s="116">
        <v>2877.3347107437999</v>
      </c>
      <c r="Q2440" s="116">
        <v>2947.25</v>
      </c>
      <c r="R2440">
        <v>1156390</v>
      </c>
    </row>
    <row r="2441" spans="1:18" x14ac:dyDescent="0.25">
      <c r="A2441" s="170">
        <v>45597</v>
      </c>
      <c r="B2441" s="116">
        <v>2885.1345351970599</v>
      </c>
      <c r="C2441" s="116">
        <v>2858.42526372251</v>
      </c>
      <c r="D2441" s="116">
        <v>2841.0230342136902</v>
      </c>
      <c r="E2441" s="116">
        <v>2885.1345351970599</v>
      </c>
      <c r="F2441" s="116">
        <v>2948.4</v>
      </c>
      <c r="G2441">
        <v>9770</v>
      </c>
      <c r="H2441" s="116"/>
      <c r="I2441" s="116"/>
      <c r="L2441" s="170">
        <v>45597</v>
      </c>
      <c r="M2441" s="116">
        <v>2859.4961856325499</v>
      </c>
      <c r="N2441" s="116">
        <v>2884.79974570884</v>
      </c>
      <c r="O2441" s="116">
        <v>2839.0400508582302</v>
      </c>
      <c r="P2441" s="116">
        <v>2869.6757787666902</v>
      </c>
      <c r="Q2441" s="116">
        <v>2949.5</v>
      </c>
      <c r="R2441">
        <v>304673</v>
      </c>
    </row>
    <row r="2442" spans="1:18" x14ac:dyDescent="0.25">
      <c r="A2442" s="170">
        <v>45600</v>
      </c>
      <c r="B2442" s="116">
        <v>2851.63887895584</v>
      </c>
      <c r="C2442" s="116">
        <v>2807.96364556461</v>
      </c>
      <c r="D2442" s="116">
        <v>2772.6744447779101</v>
      </c>
      <c r="E2442" s="116">
        <v>2849.1182217567898</v>
      </c>
      <c r="F2442" s="116">
        <v>2896.35</v>
      </c>
      <c r="G2442">
        <v>23486</v>
      </c>
      <c r="H2442" s="116"/>
      <c r="I2442" s="116"/>
      <c r="L2442" s="170">
        <v>45600</v>
      </c>
      <c r="M2442" s="116">
        <v>2808.9860139860102</v>
      </c>
      <c r="N2442" s="116">
        <v>2853.1945327399899</v>
      </c>
      <c r="O2442" s="116">
        <v>2770.5459313413899</v>
      </c>
      <c r="P2442" s="116">
        <v>2845.4386522568302</v>
      </c>
      <c r="Q2442" s="116">
        <v>2897.4</v>
      </c>
      <c r="R2442">
        <v>1059384</v>
      </c>
    </row>
    <row r="2443" spans="1:18" x14ac:dyDescent="0.25">
      <c r="A2443" s="170">
        <v>45601</v>
      </c>
      <c r="B2443" s="116">
        <v>2833.9942785624899</v>
      </c>
      <c r="C2443" s="116">
        <v>2824.4933398891499</v>
      </c>
      <c r="D2443" s="116">
        <v>2783.3872378738702</v>
      </c>
      <c r="E2443" s="116">
        <v>2808.4968615105599</v>
      </c>
      <c r="F2443" s="116">
        <v>2913.4</v>
      </c>
      <c r="G2443">
        <v>25976</v>
      </c>
      <c r="H2443" s="116"/>
      <c r="I2443" s="116"/>
      <c r="L2443" s="170">
        <v>45601</v>
      </c>
      <c r="M2443" s="116">
        <v>2826.5821678321699</v>
      </c>
      <c r="N2443" s="116">
        <v>2834.7743165924999</v>
      </c>
      <c r="O2443" s="116">
        <v>2782.4221233312101</v>
      </c>
      <c r="P2443" s="116">
        <v>2808.9860139860102</v>
      </c>
      <c r="Q2443" s="116">
        <v>2915.55</v>
      </c>
      <c r="R2443">
        <v>752303</v>
      </c>
    </row>
    <row r="2444" spans="1:18" x14ac:dyDescent="0.25">
      <c r="A2444" s="170">
        <v>45602</v>
      </c>
      <c r="B2444" s="116">
        <v>2976.1690394242801</v>
      </c>
      <c r="C2444" s="116">
        <v>2953.53159880974</v>
      </c>
      <c r="D2444" s="116">
        <v>2827.0139970882001</v>
      </c>
      <c r="E2444" s="116">
        <v>2827.0139970882001</v>
      </c>
      <c r="F2444" s="116">
        <v>3046.5</v>
      </c>
      <c r="G2444">
        <v>49573</v>
      </c>
      <c r="H2444" s="116"/>
      <c r="I2444" s="116"/>
      <c r="L2444" s="170">
        <v>45602</v>
      </c>
      <c r="M2444" s="116">
        <v>2953.2938652256798</v>
      </c>
      <c r="N2444" s="116">
        <v>2976.31913541004</v>
      </c>
      <c r="O2444" s="116">
        <v>2828.9574062301299</v>
      </c>
      <c r="P2444" s="116">
        <v>2828.9574062301299</v>
      </c>
      <c r="Q2444" s="116">
        <v>3046.25</v>
      </c>
      <c r="R2444">
        <v>1676755</v>
      </c>
    </row>
    <row r="2445" spans="1:18" x14ac:dyDescent="0.25">
      <c r="A2445" s="170">
        <v>45603</v>
      </c>
      <c r="B2445" s="116">
        <v>2956.8763170161701</v>
      </c>
      <c r="C2445" s="116">
        <v>2878.63899549181</v>
      </c>
      <c r="D2445" s="116">
        <v>2853.3354751475099</v>
      </c>
      <c r="E2445" s="116">
        <v>2956.8763170161701</v>
      </c>
      <c r="F2445" s="116">
        <v>2969.25</v>
      </c>
      <c r="G2445">
        <v>336084</v>
      </c>
      <c r="H2445" s="116"/>
      <c r="I2445" s="116"/>
      <c r="L2445" s="170">
        <v>45603</v>
      </c>
      <c r="M2445" s="116">
        <v>2879.46757787667</v>
      </c>
      <c r="N2445" s="116">
        <v>2952.08200890019</v>
      </c>
      <c r="O2445" s="116">
        <v>2853.2430069930101</v>
      </c>
      <c r="P2445" s="116">
        <v>2952.08200890019</v>
      </c>
      <c r="Q2445" s="116">
        <v>2970.1</v>
      </c>
      <c r="R2445">
        <v>1285585</v>
      </c>
    </row>
    <row r="2446" spans="1:18" x14ac:dyDescent="0.25">
      <c r="A2446" s="170">
        <v>45604</v>
      </c>
      <c r="B2446" s="116">
        <v>2903.60319659779</v>
      </c>
      <c r="C2446" s="116">
        <v>2839.47186055273</v>
      </c>
      <c r="D2446" s="116">
        <v>2824.4933398891499</v>
      </c>
      <c r="E2446" s="116">
        <v>2878.5905213149099</v>
      </c>
      <c r="F2446" s="116">
        <v>2928.85</v>
      </c>
      <c r="G2446">
        <v>22959</v>
      </c>
      <c r="H2446" s="116"/>
      <c r="I2446" s="116"/>
      <c r="L2446" s="170">
        <v>45604</v>
      </c>
      <c r="M2446" s="116">
        <v>2839.7186904005098</v>
      </c>
      <c r="N2446" s="116">
        <v>2903.60775588048</v>
      </c>
      <c r="O2446" s="116">
        <v>2822.4133820724701</v>
      </c>
      <c r="P2446" s="116">
        <v>2874.6201525747001</v>
      </c>
      <c r="Q2446" s="116">
        <v>2929.1</v>
      </c>
      <c r="R2446">
        <v>835641</v>
      </c>
    </row>
    <row r="2447" spans="1:18" x14ac:dyDescent="0.25">
      <c r="A2447" s="170">
        <v>45607</v>
      </c>
      <c r="B2447" s="116">
        <v>2855.80765816965</v>
      </c>
      <c r="C2447" s="116">
        <v>2815.0408753927099</v>
      </c>
      <c r="D2447" s="116">
        <v>2796.96000740722</v>
      </c>
      <c r="E2447" s="116">
        <v>2840.5867666215399</v>
      </c>
      <c r="F2447" s="116">
        <v>2903.65</v>
      </c>
      <c r="G2447">
        <v>22989</v>
      </c>
      <c r="H2447" s="116"/>
      <c r="I2447" s="116"/>
      <c r="L2447" s="170">
        <v>45607</v>
      </c>
      <c r="M2447" s="116">
        <v>2815.04529561348</v>
      </c>
      <c r="N2447" s="116">
        <v>2856.8785759694902</v>
      </c>
      <c r="O2447" s="116">
        <v>2799.87285441831</v>
      </c>
      <c r="P2447" s="116">
        <v>2838.6522568340702</v>
      </c>
      <c r="Q2447" s="116">
        <v>2903.65</v>
      </c>
      <c r="R2447">
        <v>584144</v>
      </c>
    </row>
    <row r="2448" spans="1:18" x14ac:dyDescent="0.25">
      <c r="A2448" s="170">
        <v>45608</v>
      </c>
      <c r="B2448" s="116">
        <v>2842.9135271129699</v>
      </c>
      <c r="C2448" s="116">
        <v>2779.1699844831601</v>
      </c>
      <c r="D2448" s="116">
        <v>2768.11787214886</v>
      </c>
      <c r="E2448" s="116">
        <v>2814.4107110929499</v>
      </c>
      <c r="F2448" s="116">
        <v>2866.65</v>
      </c>
      <c r="G2448">
        <v>37755</v>
      </c>
      <c r="H2448" s="116"/>
      <c r="I2448" s="116"/>
      <c r="L2448" s="170">
        <v>45608</v>
      </c>
      <c r="M2448" s="116">
        <v>2782.4221233312101</v>
      </c>
      <c r="N2448" s="116">
        <v>2841.0274952320401</v>
      </c>
      <c r="O2448" s="116">
        <v>2767.8798474252999</v>
      </c>
      <c r="P2448" s="116">
        <v>2821.2015257469802</v>
      </c>
      <c r="Q2448" s="116">
        <v>2870</v>
      </c>
      <c r="R2448">
        <v>597231</v>
      </c>
    </row>
    <row r="2449" spans="1:18" x14ac:dyDescent="0.25">
      <c r="A2449" s="170">
        <v>45609</v>
      </c>
      <c r="B2449" s="116">
        <v>2800.20777725984</v>
      </c>
      <c r="C2449" s="116">
        <v>2732.0530845316898</v>
      </c>
      <c r="D2449" s="116">
        <v>2723.9094228116801</v>
      </c>
      <c r="E2449" s="116">
        <v>2778.4913460064899</v>
      </c>
      <c r="F2449" s="116">
        <v>2818.05</v>
      </c>
      <c r="G2449">
        <v>35341</v>
      </c>
      <c r="H2449" s="116"/>
      <c r="I2449" s="116"/>
      <c r="L2449" s="170">
        <v>45609</v>
      </c>
      <c r="M2449" s="116">
        <v>2730.7485696122098</v>
      </c>
      <c r="N2449" s="116">
        <v>2800.8423394787001</v>
      </c>
      <c r="O2449" s="116">
        <v>2722.3140495867801</v>
      </c>
      <c r="P2449" s="116">
        <v>2772.7272727272698</v>
      </c>
      <c r="Q2449" s="116">
        <v>2816.7</v>
      </c>
      <c r="R2449">
        <v>890146</v>
      </c>
    </row>
    <row r="2450" spans="1:18" x14ac:dyDescent="0.25">
      <c r="A2450" s="170">
        <v>45610</v>
      </c>
      <c r="B2450" s="116">
        <v>2757.5020274067101</v>
      </c>
      <c r="C2450" s="116">
        <v>2739.6635303057401</v>
      </c>
      <c r="D2450" s="116">
        <v>2716.4928737452401</v>
      </c>
      <c r="E2450" s="116">
        <v>2752.8969806007499</v>
      </c>
      <c r="F2450" s="116">
        <v>2825.9</v>
      </c>
      <c r="G2450">
        <v>38021</v>
      </c>
      <c r="H2450" s="116"/>
      <c r="I2450" s="116"/>
      <c r="L2450" s="170">
        <v>45610</v>
      </c>
      <c r="M2450" s="116">
        <v>2740.5403687221901</v>
      </c>
      <c r="N2450" s="116">
        <v>2757.9910998092801</v>
      </c>
      <c r="O2450" s="116">
        <v>2715.5276541640201</v>
      </c>
      <c r="P2450" s="116">
        <v>2737.8258105530799</v>
      </c>
      <c r="Q2450" s="116">
        <v>2826.8</v>
      </c>
      <c r="R2450">
        <v>646797</v>
      </c>
    </row>
    <row r="2451" spans="1:18" x14ac:dyDescent="0.25">
      <c r="A2451" s="170">
        <v>45614</v>
      </c>
      <c r="B2451" s="116">
        <v>2770.6870035248098</v>
      </c>
      <c r="C2451" s="116">
        <v>2734.28289666931</v>
      </c>
      <c r="D2451" s="116">
        <v>2708.7370054404701</v>
      </c>
      <c r="E2451" s="116">
        <v>2739.7604786595498</v>
      </c>
      <c r="F2451" s="116">
        <v>2820.35</v>
      </c>
      <c r="G2451">
        <v>21885</v>
      </c>
      <c r="H2451" s="116"/>
      <c r="I2451" s="116"/>
      <c r="L2451" s="170">
        <v>45614</v>
      </c>
      <c r="M2451" s="116">
        <v>2732.68753973299</v>
      </c>
      <c r="N2451" s="116">
        <v>2771.4184678957399</v>
      </c>
      <c r="O2451" s="116">
        <v>2708.06261919898</v>
      </c>
      <c r="P2451" s="116">
        <v>2740.5403687221901</v>
      </c>
      <c r="Q2451" s="116">
        <v>2818.7</v>
      </c>
      <c r="R2451">
        <v>489692</v>
      </c>
    </row>
    <row r="2452" spans="1:18" x14ac:dyDescent="0.25">
      <c r="A2452" s="170">
        <v>45615</v>
      </c>
      <c r="B2452" s="116">
        <v>2805.6853592500802</v>
      </c>
      <c r="C2452" s="116">
        <v>2734.1374741385898</v>
      </c>
      <c r="D2452" s="116">
        <v>2725.2182255881098</v>
      </c>
      <c r="E2452" s="116">
        <v>2734.3313708462101</v>
      </c>
      <c r="F2452" s="116">
        <v>2820.2</v>
      </c>
      <c r="G2452">
        <v>35926</v>
      </c>
      <c r="H2452" s="116"/>
      <c r="I2452" s="116"/>
      <c r="L2452" s="170">
        <v>45615</v>
      </c>
      <c r="M2452" s="116">
        <v>2735.4020979021002</v>
      </c>
      <c r="N2452" s="116">
        <v>2806.46535282899</v>
      </c>
      <c r="O2452" s="116">
        <v>2724.0591226954898</v>
      </c>
      <c r="P2452" s="116">
        <v>2744.61220597584</v>
      </c>
      <c r="Q2452" s="116">
        <v>2821.5</v>
      </c>
      <c r="R2452">
        <v>536296</v>
      </c>
    </row>
    <row r="2453" spans="1:18" x14ac:dyDescent="0.25">
      <c r="A2453" s="170">
        <v>45617</v>
      </c>
      <c r="B2453" s="116">
        <v>2460.7431163954898</v>
      </c>
      <c r="C2453" s="116">
        <v>2115.9462960716201</v>
      </c>
      <c r="D2453" s="116">
        <v>2089.2370245970701</v>
      </c>
      <c r="E2453" s="116">
        <v>2460.7431163954898</v>
      </c>
      <c r="F2453" s="116">
        <v>2182.5500000000002</v>
      </c>
      <c r="G2453">
        <v>1051374</v>
      </c>
      <c r="H2453" s="116"/>
      <c r="I2453" s="116"/>
      <c r="L2453" s="170">
        <v>45617</v>
      </c>
      <c r="M2453" s="116">
        <v>2117.0160521296898</v>
      </c>
      <c r="N2453" s="116">
        <v>2461.86188811189</v>
      </c>
      <c r="O2453" s="116">
        <v>2089.28877940242</v>
      </c>
      <c r="P2453" s="116">
        <v>2461.86188811189</v>
      </c>
      <c r="Q2453" s="116">
        <v>2183.65</v>
      </c>
      <c r="R2453">
        <v>21796668</v>
      </c>
    </row>
    <row r="2454" spans="1:18" x14ac:dyDescent="0.25">
      <c r="A2454" s="170">
        <v>45618</v>
      </c>
      <c r="B2454" s="116">
        <v>2219.1478187019502</v>
      </c>
      <c r="C2454" s="116">
        <v>2161.6089707159499</v>
      </c>
      <c r="D2454" s="116">
        <v>1968.0515823350599</v>
      </c>
      <c r="E2454" s="116">
        <v>2026.31754297464</v>
      </c>
      <c r="F2454" s="116">
        <v>2229.65</v>
      </c>
      <c r="G2454">
        <v>1162049</v>
      </c>
      <c r="H2454" s="116"/>
      <c r="I2454" s="116"/>
      <c r="L2454" s="170">
        <v>45618</v>
      </c>
      <c r="M2454" s="116">
        <v>2160.01271455817</v>
      </c>
      <c r="N2454" s="116">
        <v>2219.82994278449</v>
      </c>
      <c r="O2454" s="116">
        <v>1963.2072472981599</v>
      </c>
      <c r="P2454" s="116">
        <v>2036.88811188811</v>
      </c>
      <c r="Q2454" s="116">
        <v>2228</v>
      </c>
      <c r="R2454">
        <v>20939196</v>
      </c>
    </row>
    <row r="2455" spans="1:18" x14ac:dyDescent="0.25">
      <c r="A2455" s="170">
        <v>45621</v>
      </c>
      <c r="B2455" s="116">
        <v>2261.80509437818</v>
      </c>
      <c r="C2455" s="116">
        <v>2188.7545097826401</v>
      </c>
      <c r="D2455" s="116">
        <v>2169.4617873745201</v>
      </c>
      <c r="E2455" s="116">
        <v>2239.50697300197</v>
      </c>
      <c r="F2455" s="116">
        <v>2257.65</v>
      </c>
      <c r="G2455">
        <v>564482</v>
      </c>
      <c r="H2455" s="116"/>
      <c r="I2455" s="116"/>
      <c r="L2455" s="170">
        <v>45621</v>
      </c>
      <c r="M2455" s="116">
        <v>2188.6125238397999</v>
      </c>
      <c r="N2455" s="116">
        <v>2262.4388111888102</v>
      </c>
      <c r="O2455" s="116">
        <v>2169.7075651621099</v>
      </c>
      <c r="P2455" s="116">
        <v>2244.35791481246</v>
      </c>
      <c r="Q2455" s="116">
        <v>2257.5</v>
      </c>
      <c r="R2455">
        <v>7466733</v>
      </c>
    </row>
    <row r="2456" spans="1:18" x14ac:dyDescent="0.25">
      <c r="A2456" s="170">
        <v>45622</v>
      </c>
      <c r="B2456" s="116">
        <v>2222.5410110852899</v>
      </c>
      <c r="C2456" s="116">
        <v>2084.1957101989701</v>
      </c>
      <c r="D2456" s="116">
        <v>2070.6229406656298</v>
      </c>
      <c r="E2456" s="116">
        <v>2200.4852605935998</v>
      </c>
      <c r="F2456" s="116">
        <v>2149.8000000000002</v>
      </c>
      <c r="G2456">
        <v>547066</v>
      </c>
      <c r="H2456" s="116"/>
      <c r="I2456" s="116"/>
      <c r="L2456" s="170">
        <v>45622</v>
      </c>
      <c r="M2456" s="116">
        <v>2084.8776223776199</v>
      </c>
      <c r="N2456" s="116">
        <v>2222.88382072473</v>
      </c>
      <c r="O2456" s="116">
        <v>2070.8200890019102</v>
      </c>
      <c r="P2456" s="116">
        <v>2196.46535282899</v>
      </c>
      <c r="Q2456" s="116">
        <v>2150.5</v>
      </c>
      <c r="R2456">
        <v>7723187</v>
      </c>
    </row>
    <row r="2457" spans="1:18" x14ac:dyDescent="0.25">
      <c r="A2457" s="170">
        <v>45623</v>
      </c>
      <c r="B2457" s="116">
        <v>2343.8718758780101</v>
      </c>
      <c r="C2457" s="116">
        <v>2325.1608435927601</v>
      </c>
      <c r="D2457" s="116">
        <v>2076.7306869556301</v>
      </c>
      <c r="E2457" s="116">
        <v>2099.9498176930301</v>
      </c>
      <c r="F2457" s="116">
        <v>2398.35</v>
      </c>
      <c r="G2457">
        <v>967142</v>
      </c>
      <c r="H2457" s="116"/>
      <c r="I2457" s="116"/>
      <c r="L2457" s="170">
        <v>45623</v>
      </c>
      <c r="M2457" s="116">
        <v>2324.6312778131</v>
      </c>
      <c r="N2457" s="116">
        <v>2344.2148760330601</v>
      </c>
      <c r="O2457" s="116">
        <v>2076.78242212333</v>
      </c>
      <c r="P2457" s="116">
        <v>2113.4774316592502</v>
      </c>
      <c r="Q2457" s="116">
        <v>2397.8000000000002</v>
      </c>
      <c r="R2457">
        <v>17502156</v>
      </c>
    </row>
    <row r="2458" spans="1:18" x14ac:dyDescent="0.25">
      <c r="A2458" s="170">
        <v>45624</v>
      </c>
      <c r="B2458" s="116">
        <v>2448.9154172307199</v>
      </c>
      <c r="C2458" s="116">
        <v>2363.0676499323099</v>
      </c>
      <c r="D2458" s="116">
        <v>2326.7604914306098</v>
      </c>
      <c r="E2458" s="116">
        <v>2371.6960534213699</v>
      </c>
      <c r="F2458" s="116">
        <v>2437.4499999999998</v>
      </c>
      <c r="G2458">
        <v>1176137</v>
      </c>
      <c r="H2458" s="116"/>
      <c r="I2458" s="116"/>
      <c r="L2458" s="170">
        <v>45624</v>
      </c>
      <c r="M2458" s="116">
        <v>2362.7320406865902</v>
      </c>
      <c r="N2458" s="116">
        <v>2449.2101080737398</v>
      </c>
      <c r="O2458" s="116">
        <v>2326.7641449459602</v>
      </c>
      <c r="P2458" s="116">
        <v>2365.5435473617299</v>
      </c>
      <c r="Q2458" s="116">
        <v>2437.1</v>
      </c>
      <c r="R2458">
        <v>14445549</v>
      </c>
    </row>
    <row r="2459" spans="1:18" x14ac:dyDescent="0.25">
      <c r="A2459" s="170">
        <v>45625</v>
      </c>
      <c r="B2459" s="116">
        <v>2442.5168258792901</v>
      </c>
      <c r="C2459" s="116">
        <v>2387.1108416770999</v>
      </c>
      <c r="D2459" s="116">
        <v>2326.7604914306098</v>
      </c>
      <c r="E2459" s="116">
        <v>2394.4304423897202</v>
      </c>
      <c r="F2459" s="116">
        <v>2462.25</v>
      </c>
      <c r="G2459">
        <v>839511</v>
      </c>
      <c r="H2459" s="116"/>
      <c r="I2459" s="116"/>
      <c r="L2459" s="170">
        <v>45625</v>
      </c>
      <c r="M2459" s="116">
        <v>2387.98712650985</v>
      </c>
      <c r="N2459" s="116">
        <v>2443.1023521932598</v>
      </c>
      <c r="O2459" s="116">
        <v>2326.7641449459602</v>
      </c>
      <c r="P2459" s="116">
        <v>2388.8596630642101</v>
      </c>
      <c r="Q2459" s="116">
        <v>2463.15</v>
      </c>
      <c r="R2459">
        <v>8191680</v>
      </c>
    </row>
    <row r="2460" spans="1:18" x14ac:dyDescent="0.25">
      <c r="A2460" s="170">
        <v>45628</v>
      </c>
      <c r="B2460" s="116">
        <v>2428.5077887538</v>
      </c>
      <c r="C2460" s="116">
        <v>2380.3244569104199</v>
      </c>
      <c r="D2460" s="116">
        <v>2352.16096012873</v>
      </c>
      <c r="E2460" s="116">
        <v>2428.5077887538</v>
      </c>
      <c r="F2460" s="116">
        <v>2455.25</v>
      </c>
      <c r="G2460">
        <v>229694</v>
      </c>
      <c r="H2460" s="116"/>
      <c r="I2460" s="116"/>
      <c r="L2460" s="170">
        <v>45628</v>
      </c>
      <c r="M2460" s="116">
        <v>2382.07326764145</v>
      </c>
      <c r="N2460" s="116">
        <v>2431.4685314685298</v>
      </c>
      <c r="O2460" s="116">
        <v>2352.5524475524498</v>
      </c>
      <c r="P2460" s="116">
        <v>2415.3266052129702</v>
      </c>
      <c r="Q2460" s="116">
        <v>2457.0500000000002</v>
      </c>
      <c r="R2460">
        <v>3807565</v>
      </c>
    </row>
    <row r="2461" spans="1:18" x14ac:dyDescent="0.25">
      <c r="A2461" s="170">
        <v>45629</v>
      </c>
      <c r="B2461" s="116">
        <v>2480.2782096881301</v>
      </c>
      <c r="C2461" s="116">
        <v>2435.7789152895198</v>
      </c>
      <c r="D2461" s="116">
        <v>2389.7769214068599</v>
      </c>
      <c r="E2461" s="116">
        <v>2394.0911231513901</v>
      </c>
      <c r="F2461" s="116">
        <v>2512.4499999999998</v>
      </c>
      <c r="G2461">
        <v>182121</v>
      </c>
      <c r="H2461" s="116"/>
      <c r="I2461" s="116"/>
      <c r="L2461" s="170">
        <v>45629</v>
      </c>
      <c r="M2461" s="116">
        <v>2437.4793388429698</v>
      </c>
      <c r="N2461" s="116">
        <v>2479.9427844882398</v>
      </c>
      <c r="O2461" s="116">
        <v>2386.9206929434199</v>
      </c>
      <c r="P2461" s="116">
        <v>2388.8111888111898</v>
      </c>
      <c r="Q2461" s="116">
        <v>2514.1999999999998</v>
      </c>
      <c r="R2461">
        <v>4070042</v>
      </c>
    </row>
    <row r="2462" spans="1:18" x14ac:dyDescent="0.25">
      <c r="A2462" s="170">
        <v>45630</v>
      </c>
      <c r="B2462" s="116">
        <v>2456.6228113585898</v>
      </c>
      <c r="C2462" s="116">
        <v>2419.9763336185501</v>
      </c>
      <c r="D2462" s="116">
        <v>2393.75180391305</v>
      </c>
      <c r="E2462" s="116">
        <v>2456.6228113585898</v>
      </c>
      <c r="F2462" s="116">
        <v>2496.15</v>
      </c>
      <c r="G2462">
        <v>109871</v>
      </c>
      <c r="H2462" s="116"/>
      <c r="I2462" s="116"/>
      <c r="L2462" s="170">
        <v>45630</v>
      </c>
      <c r="M2462" s="116">
        <v>2418.62285441831</v>
      </c>
      <c r="N2462" s="116">
        <v>2452.8456770502198</v>
      </c>
      <c r="O2462" s="116">
        <v>2394.7250476795898</v>
      </c>
      <c r="P2462" s="116">
        <v>2450.8582326764099</v>
      </c>
      <c r="Q2462" s="116">
        <v>2494.75</v>
      </c>
      <c r="R2462">
        <v>2344949</v>
      </c>
    </row>
    <row r="2463" spans="1:18" x14ac:dyDescent="0.25">
      <c r="A2463" s="170">
        <v>45631</v>
      </c>
      <c r="B2463" s="116">
        <v>2460.30684880335</v>
      </c>
      <c r="C2463" s="116">
        <v>2445.3768023166699</v>
      </c>
      <c r="D2463" s="116">
        <v>2393.12163961329</v>
      </c>
      <c r="E2463" s="116">
        <v>2424.7268029552201</v>
      </c>
      <c r="F2463" s="116">
        <v>2522.35</v>
      </c>
      <c r="G2463">
        <v>224588</v>
      </c>
      <c r="H2463" s="116"/>
      <c r="I2463" s="116"/>
      <c r="L2463" s="170">
        <v>45631</v>
      </c>
      <c r="M2463" s="116">
        <v>2445.5745390972702</v>
      </c>
      <c r="N2463" s="116">
        <v>2460.69850603942</v>
      </c>
      <c r="O2463" s="116">
        <v>2394.87047043865</v>
      </c>
      <c r="P2463" s="116">
        <v>2428.5600762873501</v>
      </c>
      <c r="Q2463" s="116">
        <v>2522.5500000000002</v>
      </c>
      <c r="R2463">
        <v>3333144</v>
      </c>
    </row>
    <row r="2464" spans="1:18" x14ac:dyDescent="0.25">
      <c r="A2464" s="170">
        <v>45632</v>
      </c>
      <c r="B2464" s="116">
        <v>2457.64076907359</v>
      </c>
      <c r="C2464" s="116">
        <v>2429.08947887666</v>
      </c>
      <c r="D2464" s="116">
        <v>2424.6783287783201</v>
      </c>
      <c r="E2464" s="116">
        <v>2445.9584924395299</v>
      </c>
      <c r="F2464" s="116">
        <v>2505.5500000000002</v>
      </c>
      <c r="G2464">
        <v>46435</v>
      </c>
      <c r="H2464" s="116"/>
      <c r="I2464" s="116"/>
      <c r="L2464" s="170">
        <v>45632</v>
      </c>
      <c r="M2464" s="116">
        <v>2429.9173553719002</v>
      </c>
      <c r="N2464" s="116">
        <v>2457.6446280991699</v>
      </c>
      <c r="O2464" s="116">
        <v>2426.1363636363599</v>
      </c>
      <c r="P2464" s="116">
        <v>2443.1023521932598</v>
      </c>
      <c r="Q2464" s="116">
        <v>2506.4</v>
      </c>
      <c r="R2464">
        <v>1240437</v>
      </c>
    </row>
    <row r="2465" spans="1:18" x14ac:dyDescent="0.25">
      <c r="A2465" s="170">
        <v>45635</v>
      </c>
      <c r="B2465" s="116">
        <v>2448.6730463462</v>
      </c>
      <c r="C2465" s="116">
        <v>2420.6549720952198</v>
      </c>
      <c r="D2465" s="116">
        <v>2408.4879536921198</v>
      </c>
      <c r="E2465" s="116">
        <v>2447.3642435697702</v>
      </c>
      <c r="F2465" s="116">
        <v>2496.85</v>
      </c>
      <c r="G2465">
        <v>51868</v>
      </c>
      <c r="H2465" s="116"/>
      <c r="I2465" s="116"/>
      <c r="L2465" s="170">
        <v>45635</v>
      </c>
      <c r="M2465" s="116">
        <v>2419.6892879847401</v>
      </c>
      <c r="N2465" s="116">
        <v>2448.9192625556302</v>
      </c>
      <c r="O2465" s="116">
        <v>2407.3768277177401</v>
      </c>
      <c r="P2465" s="116">
        <v>2431.3715829624898</v>
      </c>
      <c r="Q2465" s="116">
        <v>2495.85</v>
      </c>
      <c r="R2465">
        <v>958369</v>
      </c>
    </row>
    <row r="2466" spans="1:18" x14ac:dyDescent="0.25">
      <c r="A2466" s="170">
        <v>45636</v>
      </c>
      <c r="B2466" s="116">
        <v>2425.5993381395101</v>
      </c>
      <c r="C2466" s="116">
        <v>2390.8433532987701</v>
      </c>
      <c r="D2466" s="116">
        <v>2380.0820860259</v>
      </c>
      <c r="E2466" s="116">
        <v>2423.7088452402199</v>
      </c>
      <c r="F2466" s="116">
        <v>2466.1</v>
      </c>
      <c r="G2466">
        <v>116362</v>
      </c>
      <c r="H2466" s="116"/>
      <c r="I2466" s="116"/>
      <c r="L2466" s="170">
        <v>45636</v>
      </c>
      <c r="M2466" s="116">
        <v>2391.9135410044501</v>
      </c>
      <c r="N2466" s="116">
        <v>2424.6821360457702</v>
      </c>
      <c r="O2466" s="116">
        <v>2380.0858232676401</v>
      </c>
      <c r="P2466" s="116">
        <v>2424.6821360457702</v>
      </c>
      <c r="Q2466" s="116">
        <v>2467.1999999999998</v>
      </c>
      <c r="R2466">
        <v>1119844</v>
      </c>
    </row>
    <row r="2467" spans="1:18" x14ac:dyDescent="0.25">
      <c r="A2467" s="170">
        <v>45637</v>
      </c>
      <c r="B2467" s="116">
        <v>2404.2222261244901</v>
      </c>
      <c r="C2467" s="116">
        <v>2380.0820860259</v>
      </c>
      <c r="D2467" s="116">
        <v>2376.3011002273201</v>
      </c>
      <c r="E2467" s="116">
        <v>2391.1826725371002</v>
      </c>
      <c r="F2467" s="116">
        <v>2455</v>
      </c>
      <c r="G2467">
        <v>31834</v>
      </c>
      <c r="H2467" s="116"/>
      <c r="I2467" s="116"/>
      <c r="L2467" s="170">
        <v>45637</v>
      </c>
      <c r="M2467" s="116">
        <v>2382.26716465353</v>
      </c>
      <c r="N2467" s="116">
        <v>2404.3229497775001</v>
      </c>
      <c r="O2467" s="116">
        <v>2376.2078830260598</v>
      </c>
      <c r="P2467" s="116">
        <v>2393.6586141131602</v>
      </c>
      <c r="Q2467" s="116">
        <v>2457.25</v>
      </c>
      <c r="R2467">
        <v>712674</v>
      </c>
    </row>
    <row r="2468" spans="1:18" x14ac:dyDescent="0.25">
      <c r="A2468" s="170">
        <v>45638</v>
      </c>
      <c r="B2468" s="116">
        <v>2456.7682338893001</v>
      </c>
      <c r="C2468" s="116">
        <v>2427.58677939261</v>
      </c>
      <c r="D2468" s="116">
        <v>2371.5506308906502</v>
      </c>
      <c r="E2468" s="116">
        <v>2380.0820860259</v>
      </c>
      <c r="F2468" s="116">
        <v>2504</v>
      </c>
      <c r="G2468">
        <v>106220</v>
      </c>
      <c r="H2468" s="116"/>
      <c r="I2468" s="116"/>
      <c r="L2468" s="170">
        <v>45638</v>
      </c>
      <c r="M2468" s="116">
        <v>2427.68753973299</v>
      </c>
      <c r="N2468" s="116">
        <v>2457.4507310870899</v>
      </c>
      <c r="O2468" s="116">
        <v>2371.6028289891901</v>
      </c>
      <c r="P2468" s="116">
        <v>2382.0247933884302</v>
      </c>
      <c r="Q2468" s="116">
        <v>2504.1</v>
      </c>
      <c r="R2468">
        <v>2579624</v>
      </c>
    </row>
    <row r="2469" spans="1:18" x14ac:dyDescent="0.25">
      <c r="A2469" s="170">
        <v>45639</v>
      </c>
      <c r="B2469" s="116">
        <v>2466.6084918009801</v>
      </c>
      <c r="C2469" s="116">
        <v>2452.1631870833398</v>
      </c>
      <c r="D2469" s="116">
        <v>2404.3191744782998</v>
      </c>
      <c r="E2469" s="116">
        <v>2428.5562629307001</v>
      </c>
      <c r="F2469" s="116">
        <v>2529.35</v>
      </c>
      <c r="G2469">
        <v>75422</v>
      </c>
      <c r="H2469" s="116"/>
      <c r="I2469" s="116"/>
      <c r="L2469" s="170">
        <v>45639</v>
      </c>
      <c r="M2469" s="116">
        <v>2450.4219643992401</v>
      </c>
      <c r="N2469" s="116">
        <v>2467.3394787031102</v>
      </c>
      <c r="O2469" s="116">
        <v>2403.4019389701202</v>
      </c>
      <c r="P2469" s="116">
        <v>2427.59059122695</v>
      </c>
      <c r="Q2469" s="116">
        <v>2527.5500000000002</v>
      </c>
      <c r="R2469">
        <v>1940935</v>
      </c>
    </row>
    <row r="2470" spans="1:18" x14ac:dyDescent="0.25">
      <c r="A2470" s="170">
        <v>45642</v>
      </c>
      <c r="B2470" s="116">
        <v>2459.96752956502</v>
      </c>
      <c r="C2470" s="116">
        <v>2435.1002768128501</v>
      </c>
      <c r="D2470" s="116">
        <v>2428.5562629307001</v>
      </c>
      <c r="E2470" s="116">
        <v>2452.7933513831099</v>
      </c>
      <c r="F2470" s="116">
        <v>2511.75</v>
      </c>
      <c r="G2470">
        <v>60371</v>
      </c>
      <c r="H2470" s="116"/>
      <c r="I2470" s="116"/>
      <c r="L2470" s="170">
        <v>45642</v>
      </c>
      <c r="M2470" s="116">
        <v>2435.7342657342701</v>
      </c>
      <c r="N2470" s="116">
        <v>2460.0683407501601</v>
      </c>
      <c r="O2470" s="116">
        <v>2426.6211061665599</v>
      </c>
      <c r="P2470" s="116">
        <v>2452.7972027972</v>
      </c>
      <c r="Q2470" s="116">
        <v>2512.4</v>
      </c>
      <c r="R2470">
        <v>654321</v>
      </c>
    </row>
    <row r="2471" spans="1:18" x14ac:dyDescent="0.25">
      <c r="A2471" s="170">
        <v>45643</v>
      </c>
      <c r="B2471" s="116">
        <v>2448.0428820464399</v>
      </c>
      <c r="C2471" s="116">
        <v>2411.4933526602099</v>
      </c>
      <c r="D2471" s="116">
        <v>2407.71236686164</v>
      </c>
      <c r="E2471" s="116">
        <v>2435.1002768128501</v>
      </c>
      <c r="F2471" s="116">
        <v>2487.4</v>
      </c>
      <c r="G2471">
        <v>30315</v>
      </c>
      <c r="H2471" s="116"/>
      <c r="I2471" s="116"/>
      <c r="L2471" s="170">
        <v>45643</v>
      </c>
      <c r="M2471" s="116">
        <v>2411.6910362364902</v>
      </c>
      <c r="N2471" s="116">
        <v>2447.9497774952301</v>
      </c>
      <c r="O2471" s="116">
        <v>2405.0500635727899</v>
      </c>
      <c r="P2471" s="116">
        <v>2435.3464717101101</v>
      </c>
      <c r="Q2471" s="116">
        <v>2487.6</v>
      </c>
      <c r="R2471">
        <v>1061891</v>
      </c>
    </row>
    <row r="2472" spans="1:18" x14ac:dyDescent="0.25">
      <c r="A2472" s="170">
        <v>45644</v>
      </c>
      <c r="B2472" s="116">
        <v>2418.7644791959301</v>
      </c>
      <c r="C2472" s="116">
        <v>2380.9061470332799</v>
      </c>
      <c r="D2472" s="116">
        <v>2375.7678842813698</v>
      </c>
      <c r="E2472" s="116">
        <v>2411.4933526602099</v>
      </c>
      <c r="F2472" s="116">
        <v>2455.85</v>
      </c>
      <c r="G2472">
        <v>23099</v>
      </c>
      <c r="H2472" s="116"/>
      <c r="I2472" s="116"/>
      <c r="L2472" s="170">
        <v>45644</v>
      </c>
      <c r="M2472" s="116">
        <v>2382.4125874125898</v>
      </c>
      <c r="N2472" s="116">
        <v>2420.4164017800399</v>
      </c>
      <c r="O2472" s="116">
        <v>2377.1773680864599</v>
      </c>
      <c r="P2472" s="116">
        <v>2413.0483153210398</v>
      </c>
      <c r="Q2472" s="116">
        <v>2457.4</v>
      </c>
      <c r="R2472">
        <v>990217</v>
      </c>
    </row>
    <row r="2473" spans="1:18" x14ac:dyDescent="0.25">
      <c r="A2473" s="170">
        <v>45645</v>
      </c>
      <c r="B2473" s="116">
        <v>2365.3459362468402</v>
      </c>
      <c r="C2473" s="116">
        <v>2345.8108429541999</v>
      </c>
      <c r="D2473" s="116">
        <v>2324.82152435442</v>
      </c>
      <c r="E2473" s="116">
        <v>2365.3459362468402</v>
      </c>
      <c r="F2473" s="116">
        <v>2419.65</v>
      </c>
      <c r="G2473">
        <v>32829</v>
      </c>
      <c r="H2473" s="116"/>
      <c r="I2473" s="116"/>
      <c r="L2473" s="170">
        <v>45645</v>
      </c>
      <c r="M2473" s="116">
        <v>2345.52368086459</v>
      </c>
      <c r="N2473" s="116">
        <v>2359.7266369993599</v>
      </c>
      <c r="O2473" s="116">
        <v>2323.95263827082</v>
      </c>
      <c r="P2473" s="116">
        <v>2354.87921169739</v>
      </c>
      <c r="Q2473" s="116">
        <v>2419.35</v>
      </c>
      <c r="R2473">
        <v>1181898</v>
      </c>
    </row>
    <row r="2474" spans="1:18" x14ac:dyDescent="0.25">
      <c r="A2474" s="170">
        <v>45646</v>
      </c>
      <c r="B2474" s="116">
        <v>2379.0641283108998</v>
      </c>
      <c r="C2474" s="116">
        <v>2273.3419484815199</v>
      </c>
      <c r="D2474" s="116">
        <v>2263.59863892365</v>
      </c>
      <c r="E2474" s="116">
        <v>2365.1035653623198</v>
      </c>
      <c r="F2474" s="116">
        <v>2344.9</v>
      </c>
      <c r="G2474">
        <v>81123</v>
      </c>
      <c r="H2474" s="116"/>
      <c r="I2474" s="116"/>
      <c r="L2474" s="170">
        <v>45646</v>
      </c>
      <c r="M2474" s="116">
        <v>2273.3939923712601</v>
      </c>
      <c r="N2474" s="116">
        <v>2378.9709154481902</v>
      </c>
      <c r="O2474" s="116">
        <v>2261.8086458995499</v>
      </c>
      <c r="P2474" s="116">
        <v>2354.87921169739</v>
      </c>
      <c r="Q2474" s="116">
        <v>2344.9499999999998</v>
      </c>
      <c r="R2474">
        <v>1337016</v>
      </c>
    </row>
    <row r="2475" spans="1:18" x14ac:dyDescent="0.25">
      <c r="A2475" s="170">
        <v>45649</v>
      </c>
      <c r="B2475" s="116">
        <v>2307.85556243774</v>
      </c>
      <c r="C2475" s="116">
        <v>2270.4819720441401</v>
      </c>
      <c r="D2475" s="116">
        <v>2263.2108455084199</v>
      </c>
      <c r="E2475" s="116">
        <v>2281.38866184772</v>
      </c>
      <c r="F2475" s="116">
        <v>2341.9499999999998</v>
      </c>
      <c r="G2475">
        <v>30348</v>
      </c>
      <c r="H2475" s="116"/>
      <c r="I2475" s="116"/>
      <c r="L2475" s="170">
        <v>45649</v>
      </c>
      <c r="M2475" s="116">
        <v>2267.5770820089001</v>
      </c>
      <c r="N2475" s="116">
        <v>2306.8897012078801</v>
      </c>
      <c r="O2475" s="116">
        <v>2261.5662746344601</v>
      </c>
      <c r="P2475" s="116">
        <v>2301.5090591226899</v>
      </c>
      <c r="Q2475" s="116">
        <v>2338.9499999999998</v>
      </c>
      <c r="R2475">
        <v>758920</v>
      </c>
    </row>
    <row r="2476" spans="1:18" x14ac:dyDescent="0.25">
      <c r="A2476" s="170">
        <v>45650</v>
      </c>
      <c r="B2476" s="116">
        <v>2337.4248103496702</v>
      </c>
      <c r="C2476" s="116">
        <v>2300.14816830988</v>
      </c>
      <c r="D2476" s="116">
        <v>2268.5914791448499</v>
      </c>
      <c r="E2476" s="116">
        <v>2280.4191783096198</v>
      </c>
      <c r="F2476" s="116">
        <v>2372.5500000000002</v>
      </c>
      <c r="G2476">
        <v>79527</v>
      </c>
      <c r="H2476" s="116"/>
      <c r="I2476" s="116"/>
      <c r="L2476" s="170">
        <v>45650</v>
      </c>
      <c r="M2476" s="116">
        <v>2300.0548315320998</v>
      </c>
      <c r="N2476" s="116">
        <v>2339.2705022250502</v>
      </c>
      <c r="O2476" s="116">
        <v>2268.59504132231</v>
      </c>
      <c r="P2476" s="116">
        <v>2283.3312142403001</v>
      </c>
      <c r="Q2476" s="116">
        <v>2372.4499999999998</v>
      </c>
      <c r="R2476">
        <v>1156186</v>
      </c>
    </row>
    <row r="2477" spans="1:18" x14ac:dyDescent="0.25">
      <c r="A2477" s="170">
        <v>45652</v>
      </c>
      <c r="B2477" s="116">
        <v>2337.27938781896</v>
      </c>
      <c r="C2477" s="116">
        <v>2328.5540359760898</v>
      </c>
      <c r="D2477" s="116">
        <v>2295.97938909606</v>
      </c>
      <c r="E2477" s="116">
        <v>2311.2002806441701</v>
      </c>
      <c r="F2477" s="116">
        <v>2401.85</v>
      </c>
      <c r="G2477">
        <v>69878</v>
      </c>
      <c r="H2477" s="116"/>
      <c r="I2477" s="116"/>
      <c r="L2477" s="170">
        <v>45652</v>
      </c>
      <c r="M2477" s="116">
        <v>2327.00651621106</v>
      </c>
      <c r="N2477" s="116">
        <v>2336.4589955499</v>
      </c>
      <c r="O2477" s="116">
        <v>2295.7406230133502</v>
      </c>
      <c r="P2477" s="116">
        <v>2305.4839478703102</v>
      </c>
      <c r="Q2477" s="116">
        <v>2400.25</v>
      </c>
      <c r="R2477">
        <v>895785</v>
      </c>
    </row>
    <row r="2478" spans="1:18" x14ac:dyDescent="0.25">
      <c r="A2478" s="170">
        <v>45653</v>
      </c>
      <c r="B2478" s="116">
        <v>2370.3872506449402</v>
      </c>
      <c r="C2478" s="116">
        <v>2335.7282141579999</v>
      </c>
      <c r="D2478" s="116">
        <v>2318.8107264182299</v>
      </c>
      <c r="E2478" s="116">
        <v>2341.5935895634898</v>
      </c>
      <c r="F2478" s="116">
        <v>2409.25</v>
      </c>
      <c r="G2478">
        <v>94078</v>
      </c>
      <c r="H2478" s="116"/>
      <c r="I2478" s="116"/>
      <c r="L2478" s="170">
        <v>45653</v>
      </c>
      <c r="M2478" s="116">
        <v>2336.4105212968798</v>
      </c>
      <c r="N2478" s="116">
        <v>2371.5058804831501</v>
      </c>
      <c r="O2478" s="116">
        <v>2317.55403687222</v>
      </c>
      <c r="P2478" s="116">
        <v>2341.3064208518799</v>
      </c>
      <c r="Q2478" s="116">
        <v>2409.9499999999998</v>
      </c>
      <c r="R2478">
        <v>1982291</v>
      </c>
    </row>
    <row r="2479" spans="1:18" x14ac:dyDescent="0.25">
      <c r="A2479" s="170">
        <v>45656</v>
      </c>
      <c r="B2479" s="116">
        <v>2530.2066119000801</v>
      </c>
      <c r="C2479" s="116">
        <v>2514.3070818752999</v>
      </c>
      <c r="D2479" s="116">
        <v>2351.9670634211102</v>
      </c>
      <c r="E2479" s="116">
        <v>2351.9670634211102</v>
      </c>
      <c r="F2479" s="116">
        <v>2593.4499999999998</v>
      </c>
      <c r="G2479">
        <v>279723</v>
      </c>
      <c r="H2479" s="116"/>
      <c r="I2479" s="116"/>
      <c r="L2479" s="170">
        <v>45656</v>
      </c>
      <c r="M2479" s="116">
        <v>2513.2445963127798</v>
      </c>
      <c r="N2479" s="116">
        <v>2530.3560076287299</v>
      </c>
      <c r="O2479" s="116">
        <v>2348.0443420216102</v>
      </c>
      <c r="P2479" s="116">
        <v>2351.0012714558202</v>
      </c>
      <c r="Q2479" s="116">
        <v>2592.35</v>
      </c>
      <c r="R2479">
        <v>7825097</v>
      </c>
    </row>
    <row r="2480" spans="1:18" x14ac:dyDescent="0.25">
      <c r="A2480" s="170">
        <v>45657</v>
      </c>
      <c r="B2480" s="116">
        <v>2505.0969882633899</v>
      </c>
      <c r="C2480" s="116">
        <v>2451.8723420219198</v>
      </c>
      <c r="D2480" s="116">
        <v>2431.1253943066599</v>
      </c>
      <c r="E2480" s="116">
        <v>2505.0969882633899</v>
      </c>
      <c r="F2480" s="116">
        <v>2529.0500000000002</v>
      </c>
      <c r="G2480">
        <v>132004</v>
      </c>
      <c r="H2480" s="116"/>
      <c r="I2480" s="116"/>
      <c r="L2480" s="170">
        <v>45657</v>
      </c>
      <c r="M2480" s="116">
        <v>2451.4883979656702</v>
      </c>
      <c r="N2480" s="116">
        <v>2499.0901144310201</v>
      </c>
      <c r="O2480" s="116">
        <v>2430.93531468531</v>
      </c>
      <c r="P2480" s="116">
        <v>2496.4240305149401</v>
      </c>
      <c r="Q2480" s="116">
        <v>2528.65</v>
      </c>
      <c r="R2480">
        <v>2745674</v>
      </c>
    </row>
    <row r="2481" spans="1:18" x14ac:dyDescent="0.25">
      <c r="A2481" s="170">
        <v>45658</v>
      </c>
      <c r="B2481" s="116">
        <v>2525.5046167403102</v>
      </c>
      <c r="C2481" s="116">
        <v>2477.9999233735998</v>
      </c>
      <c r="D2481" s="116">
        <v>2441.1595489259498</v>
      </c>
      <c r="E2481" s="116">
        <v>2451.9208161988199</v>
      </c>
      <c r="F2481" s="116">
        <v>2556</v>
      </c>
      <c r="G2481">
        <v>144570</v>
      </c>
      <c r="H2481" s="116"/>
      <c r="I2481" s="116"/>
      <c r="L2481" s="170">
        <v>45658</v>
      </c>
      <c r="M2481" s="116">
        <v>2476.8889065479998</v>
      </c>
      <c r="N2481" s="116">
        <v>2563.5123966942101</v>
      </c>
      <c r="O2481" s="116">
        <v>2441.4057533375699</v>
      </c>
      <c r="P2481" s="116">
        <v>2458.61411315957</v>
      </c>
      <c r="Q2481" s="116">
        <v>2554.85</v>
      </c>
      <c r="R2481">
        <v>2875721</v>
      </c>
    </row>
    <row r="2482" spans="1:18" x14ac:dyDescent="0.25">
      <c r="A2482" s="170">
        <v>45659</v>
      </c>
      <c r="B2482" s="116">
        <v>2521.6266825879302</v>
      </c>
      <c r="C2482" s="116">
        <v>2517.5548517279299</v>
      </c>
      <c r="D2482" s="116">
        <v>2459.6282103266799</v>
      </c>
      <c r="E2482" s="116">
        <v>2491.5242187300501</v>
      </c>
      <c r="F2482" s="116">
        <v>2596.8000000000002</v>
      </c>
      <c r="G2482">
        <v>108314</v>
      </c>
      <c r="H2482" s="116"/>
      <c r="I2482" s="116"/>
      <c r="L2482" s="170">
        <v>45659</v>
      </c>
      <c r="M2482" s="116">
        <v>2518.4313413858899</v>
      </c>
      <c r="N2482" s="116">
        <v>2522.6001271455798</v>
      </c>
      <c r="O2482" s="116">
        <v>2459.5835982199601</v>
      </c>
      <c r="P2482" s="116">
        <v>2487.4078194532699</v>
      </c>
      <c r="Q2482" s="116">
        <v>2597.6999999999998</v>
      </c>
      <c r="R2482">
        <v>1167236</v>
      </c>
    </row>
    <row r="2483" spans="1:18" x14ac:dyDescent="0.25">
      <c r="A2483" s="170">
        <v>45660</v>
      </c>
      <c r="B2483" s="116">
        <v>2539.90144728104</v>
      </c>
      <c r="C2483" s="116">
        <v>2486.2890076243302</v>
      </c>
      <c r="D2483" s="116">
        <v>2479.9388904498001</v>
      </c>
      <c r="E2483" s="116">
        <v>2498.1651809660002</v>
      </c>
      <c r="F2483" s="116">
        <v>2564.5500000000002</v>
      </c>
      <c r="G2483">
        <v>46072</v>
      </c>
      <c r="H2483" s="116"/>
      <c r="I2483" s="116"/>
      <c r="L2483" s="170">
        <v>45660</v>
      </c>
      <c r="M2483" s="116">
        <v>2486.3413858868398</v>
      </c>
      <c r="N2483" s="116">
        <v>2539.0813731722801</v>
      </c>
      <c r="O2483" s="116">
        <v>2478.5855054036901</v>
      </c>
      <c r="P2483" s="116">
        <v>2501.27145581691</v>
      </c>
      <c r="Q2483" s="116">
        <v>2564.6</v>
      </c>
      <c r="R2483">
        <v>932795</v>
      </c>
    </row>
    <row r="2484" spans="1:18" x14ac:dyDescent="0.25">
      <c r="A2484" s="170">
        <v>45663</v>
      </c>
      <c r="B2484" s="116">
        <v>2489.6337258307599</v>
      </c>
      <c r="C2484" s="116">
        <v>2397.6782122423401</v>
      </c>
      <c r="D2484" s="116">
        <v>2389.7769214068599</v>
      </c>
      <c r="E2484" s="116">
        <v>2486.6768010395599</v>
      </c>
      <c r="F2484" s="116">
        <v>2473.15</v>
      </c>
      <c r="G2484">
        <v>49187</v>
      </c>
      <c r="H2484" s="116"/>
      <c r="I2484" s="116"/>
      <c r="L2484" s="170">
        <v>45663</v>
      </c>
      <c r="M2484" s="116">
        <v>2398.9423076923099</v>
      </c>
      <c r="N2484" s="116">
        <v>2490.4616973935199</v>
      </c>
      <c r="O2484" s="116">
        <v>2388.3264462809898</v>
      </c>
      <c r="P2484" s="116">
        <v>2479.6034647171</v>
      </c>
      <c r="Q2484" s="116">
        <v>2474.4499999999998</v>
      </c>
      <c r="R2484">
        <v>1121398</v>
      </c>
    </row>
    <row r="2485" spans="1:18" x14ac:dyDescent="0.25">
      <c r="A2485" s="170">
        <v>45664</v>
      </c>
      <c r="B2485" s="116">
        <v>2450.9998068376299</v>
      </c>
      <c r="C2485" s="116">
        <v>2446.6371309162</v>
      </c>
      <c r="D2485" s="116">
        <v>2395.8846676968701</v>
      </c>
      <c r="E2485" s="116">
        <v>2395.8846676968701</v>
      </c>
      <c r="F2485" s="116">
        <v>2523.65</v>
      </c>
      <c r="G2485">
        <v>61160</v>
      </c>
      <c r="H2485" s="116"/>
      <c r="I2485" s="116"/>
      <c r="L2485" s="170">
        <v>45664</v>
      </c>
      <c r="M2485" s="116">
        <v>2443.63556897648</v>
      </c>
      <c r="N2485" s="116">
        <v>2447.9497774952301</v>
      </c>
      <c r="O2485" s="116">
        <v>2399.1362047043899</v>
      </c>
      <c r="P2485" s="116">
        <v>2399.1362047043899</v>
      </c>
      <c r="Q2485" s="116">
        <v>2520.5500000000002</v>
      </c>
      <c r="R2485">
        <v>1019131</v>
      </c>
    </row>
    <row r="2486" spans="1:18" x14ac:dyDescent="0.25">
      <c r="A2486" s="170">
        <v>45665</v>
      </c>
      <c r="B2486" s="116">
        <v>2452.7933513831099</v>
      </c>
      <c r="C2486" s="116">
        <v>2436.5545021200001</v>
      </c>
      <c r="D2486" s="116">
        <v>2414.0140098592601</v>
      </c>
      <c r="E2486" s="116">
        <v>2439.1236334959499</v>
      </c>
      <c r="F2486" s="116">
        <v>2513.25</v>
      </c>
      <c r="G2486">
        <v>66446</v>
      </c>
      <c r="H2486" s="116"/>
      <c r="I2486" s="116"/>
      <c r="L2486" s="170">
        <v>45665</v>
      </c>
      <c r="M2486" s="116">
        <v>2438.4972981563901</v>
      </c>
      <c r="N2486" s="116">
        <v>2452.7972027972</v>
      </c>
      <c r="O2486" s="116">
        <v>2414.0178003814399</v>
      </c>
      <c r="P2486" s="116">
        <v>2443.63556897648</v>
      </c>
      <c r="Q2486" s="116">
        <v>2515.25</v>
      </c>
      <c r="R2486">
        <v>879641</v>
      </c>
    </row>
    <row r="2487" spans="1:18" x14ac:dyDescent="0.25">
      <c r="A2487" s="170">
        <v>45666</v>
      </c>
      <c r="B2487" s="116">
        <v>2440.67480715691</v>
      </c>
      <c r="C2487" s="116">
        <v>2406.7428833235399</v>
      </c>
      <c r="D2487" s="116">
        <v>2395.4484001047199</v>
      </c>
      <c r="E2487" s="116">
        <v>2439.22058184976</v>
      </c>
      <c r="F2487" s="116">
        <v>2482.5</v>
      </c>
      <c r="G2487">
        <v>29795</v>
      </c>
      <c r="H2487" s="116"/>
      <c r="I2487" s="116"/>
      <c r="L2487" s="170">
        <v>45666</v>
      </c>
      <c r="M2487" s="116">
        <v>2402.2870311506699</v>
      </c>
      <c r="N2487" s="116">
        <v>2440.7271137952998</v>
      </c>
      <c r="O2487" s="116">
        <v>2394.1433566433602</v>
      </c>
      <c r="P2487" s="116">
        <v>2440.19389701208</v>
      </c>
      <c r="Q2487" s="116">
        <v>2477.9</v>
      </c>
      <c r="R2487">
        <v>705838</v>
      </c>
    </row>
    <row r="2488" spans="1:18" x14ac:dyDescent="0.25">
      <c r="A2488" s="170">
        <v>45667</v>
      </c>
      <c r="B2488" s="116">
        <v>2404.6100195397298</v>
      </c>
      <c r="C2488" s="116">
        <v>2301.5539194401199</v>
      </c>
      <c r="D2488" s="116">
        <v>2295.4946473270202</v>
      </c>
      <c r="E2488" s="116">
        <v>2404.5615453628302</v>
      </c>
      <c r="F2488" s="116">
        <v>2374</v>
      </c>
      <c r="G2488">
        <v>146090</v>
      </c>
      <c r="H2488" s="116"/>
      <c r="I2488" s="116"/>
      <c r="L2488" s="170">
        <v>45667</v>
      </c>
      <c r="M2488" s="116">
        <v>2301.9453273998702</v>
      </c>
      <c r="N2488" s="116">
        <v>2408.7825810553099</v>
      </c>
      <c r="O2488" s="116">
        <v>2295.98299427845</v>
      </c>
      <c r="P2488" s="116">
        <v>2404.3229497775001</v>
      </c>
      <c r="Q2488" s="116">
        <v>2374.4</v>
      </c>
      <c r="R2488">
        <v>1418808</v>
      </c>
    </row>
    <row r="2489" spans="1:18" x14ac:dyDescent="0.25">
      <c r="A2489" s="170">
        <v>45670</v>
      </c>
      <c r="B2489" s="116">
        <v>2287.3025114300999</v>
      </c>
      <c r="C2489" s="116">
        <v>2155.9859661949899</v>
      </c>
      <c r="D2489" s="116">
        <v>2149.6843231973598</v>
      </c>
      <c r="E2489" s="116">
        <v>2278.8195304717601</v>
      </c>
      <c r="F2489" s="116">
        <v>2223.85</v>
      </c>
      <c r="G2489">
        <v>85370</v>
      </c>
      <c r="H2489" s="116"/>
      <c r="I2489" s="116"/>
      <c r="L2489" s="170">
        <v>45670</v>
      </c>
      <c r="M2489" s="116">
        <v>2157.2496821360501</v>
      </c>
      <c r="N2489" s="116">
        <v>2292.8321678321699</v>
      </c>
      <c r="O2489" s="116">
        <v>2149.2514303877902</v>
      </c>
      <c r="P2489" s="116">
        <v>2292.8321678321699</v>
      </c>
      <c r="Q2489" s="116">
        <v>2225.15</v>
      </c>
      <c r="R2489">
        <v>1559903</v>
      </c>
    </row>
    <row r="2490" spans="1:18" x14ac:dyDescent="0.25">
      <c r="A2490" s="170">
        <v>45671</v>
      </c>
      <c r="B2490" s="116">
        <v>2348.1860776225399</v>
      </c>
      <c r="C2490" s="116">
        <v>2309.4552102756002</v>
      </c>
      <c r="D2490" s="116">
        <v>2179.3505194631002</v>
      </c>
      <c r="E2490" s="116">
        <v>2190.9843219202598</v>
      </c>
      <c r="F2490" s="116">
        <v>2382.15</v>
      </c>
      <c r="G2490">
        <v>136499</v>
      </c>
      <c r="H2490" s="116"/>
      <c r="I2490" s="116"/>
      <c r="L2490" s="170">
        <v>45671</v>
      </c>
      <c r="M2490" s="116">
        <v>2307.9076605212999</v>
      </c>
      <c r="N2490" s="116">
        <v>2348.96535282899</v>
      </c>
      <c r="O2490" s="116">
        <v>2173.1007628734901</v>
      </c>
      <c r="P2490" s="116">
        <v>2173.1007628734901</v>
      </c>
      <c r="Q2490" s="116">
        <v>2380.5500000000002</v>
      </c>
      <c r="R2490">
        <v>4120705</v>
      </c>
    </row>
    <row r="2491" spans="1:18" x14ac:dyDescent="0.25">
      <c r="A2491" s="170">
        <v>45672</v>
      </c>
      <c r="B2491" s="116">
        <v>2348.2345517994399</v>
      </c>
      <c r="C2491" s="116">
        <v>2312.7514543051302</v>
      </c>
      <c r="D2491" s="116">
        <v>2299.85732324845</v>
      </c>
      <c r="E2491" s="116">
        <v>2340.2847867870601</v>
      </c>
      <c r="F2491" s="116">
        <v>2385.5500000000002</v>
      </c>
      <c r="G2491">
        <v>104685</v>
      </c>
      <c r="H2491" s="116"/>
      <c r="I2491" s="116"/>
      <c r="L2491" s="170">
        <v>45672</v>
      </c>
      <c r="M2491" s="116">
        <v>2315.27574698029</v>
      </c>
      <c r="N2491" s="116">
        <v>2348.0443420216102</v>
      </c>
      <c r="O2491" s="116">
        <v>2300.2487285441798</v>
      </c>
      <c r="P2491" s="116">
        <v>2325.7946598855701</v>
      </c>
      <c r="Q2491" s="116">
        <v>2388.15</v>
      </c>
      <c r="R2491">
        <v>1421437</v>
      </c>
    </row>
    <row r="2492" spans="1:18" x14ac:dyDescent="0.25">
      <c r="A2492" s="170">
        <v>45673</v>
      </c>
      <c r="B2492" s="116">
        <v>2491.4272703762399</v>
      </c>
      <c r="C2492" s="116">
        <v>2352.9365469592099</v>
      </c>
      <c r="D2492" s="116">
        <v>2344.7928852392001</v>
      </c>
      <c r="E2492" s="116">
        <v>2430.8345492452299</v>
      </c>
      <c r="F2492" s="116">
        <v>2427</v>
      </c>
      <c r="G2492">
        <v>108395</v>
      </c>
      <c r="H2492" s="116"/>
      <c r="I2492" s="116"/>
      <c r="L2492" s="170">
        <v>45673</v>
      </c>
      <c r="M2492" s="116">
        <v>2353.7643038779402</v>
      </c>
      <c r="N2492" s="116">
        <v>2491.5766052129702</v>
      </c>
      <c r="O2492" s="116">
        <v>2345.03893833439</v>
      </c>
      <c r="P2492" s="116">
        <v>2423.7126509853802</v>
      </c>
      <c r="Q2492" s="116">
        <v>2427.85</v>
      </c>
      <c r="R2492">
        <v>2841803</v>
      </c>
    </row>
    <row r="2493" spans="1:18" x14ac:dyDescent="0.25">
      <c r="A2493" s="170">
        <v>45674</v>
      </c>
      <c r="B2493" s="116">
        <v>2384.7356070087599</v>
      </c>
      <c r="C2493" s="116">
        <v>2324.2398342315701</v>
      </c>
      <c r="D2493" s="116">
        <v>2309.01894268346</v>
      </c>
      <c r="E2493" s="116">
        <v>2384.7356070087599</v>
      </c>
      <c r="F2493" s="116">
        <v>2397.4</v>
      </c>
      <c r="G2493">
        <v>57629</v>
      </c>
      <c r="H2493" s="116"/>
      <c r="I2493" s="116"/>
      <c r="L2493" s="170">
        <v>45674</v>
      </c>
      <c r="M2493" s="116">
        <v>2326.5702479338802</v>
      </c>
      <c r="N2493" s="116">
        <v>2375.2383979656702</v>
      </c>
      <c r="O2493" s="116">
        <v>2307.4229179910999</v>
      </c>
      <c r="P2493" s="116">
        <v>2375.2383979656702</v>
      </c>
      <c r="Q2493" s="116">
        <v>2399.8000000000002</v>
      </c>
      <c r="R2493">
        <v>1122205</v>
      </c>
    </row>
    <row r="2494" spans="1:18" x14ac:dyDescent="0.25">
      <c r="A2494" s="170">
        <v>45677</v>
      </c>
      <c r="B2494" s="116">
        <v>2379.1126024877999</v>
      </c>
      <c r="C2494" s="116">
        <v>2363.7947625858901</v>
      </c>
      <c r="D2494" s="116">
        <v>2318.0351395877501</v>
      </c>
      <c r="E2494" s="116">
        <v>2347.3135424382499</v>
      </c>
      <c r="F2494" s="116">
        <v>2438.1999999999998</v>
      </c>
      <c r="G2494">
        <v>53587</v>
      </c>
      <c r="H2494" s="116"/>
      <c r="I2494" s="116"/>
      <c r="L2494" s="170">
        <v>45677</v>
      </c>
      <c r="M2494" s="116">
        <v>2368.2581055308301</v>
      </c>
      <c r="N2494" s="116">
        <v>2379.11633820725</v>
      </c>
      <c r="O2494" s="116">
        <v>2317.0692943420199</v>
      </c>
      <c r="P2494" s="116">
        <v>2340.0945645263801</v>
      </c>
      <c r="Q2494" s="116">
        <v>2442.8000000000002</v>
      </c>
      <c r="R2494">
        <v>1039435</v>
      </c>
    </row>
    <row r="2495" spans="1:18" x14ac:dyDescent="0.25">
      <c r="A2495" s="170">
        <v>45678</v>
      </c>
      <c r="B2495" s="116">
        <v>2368.8845511608902</v>
      </c>
      <c r="C2495" s="116">
        <v>2312.2667125360799</v>
      </c>
      <c r="D2495" s="116">
        <v>2302.52340297821</v>
      </c>
      <c r="E2495" s="116">
        <v>2365.5398329544601</v>
      </c>
      <c r="F2495" s="116">
        <v>2385.0500000000002</v>
      </c>
      <c r="G2495">
        <v>29706</v>
      </c>
      <c r="H2495" s="116"/>
      <c r="I2495" s="116"/>
      <c r="L2495" s="170">
        <v>45678</v>
      </c>
      <c r="M2495" s="116">
        <v>2311.54322949778</v>
      </c>
      <c r="N2495" s="116">
        <v>2367.2401462174198</v>
      </c>
      <c r="O2495" s="116">
        <v>2301.2182136045799</v>
      </c>
      <c r="P2495" s="116">
        <v>2367.2401462174198</v>
      </c>
      <c r="Q2495" s="116">
        <v>2384.3000000000002</v>
      </c>
      <c r="R2495">
        <v>1206512</v>
      </c>
    </row>
    <row r="2496" spans="1:18" x14ac:dyDescent="0.25">
      <c r="A2496" s="170">
        <v>45679</v>
      </c>
      <c r="B2496" s="116">
        <v>2327.0028623151402</v>
      </c>
      <c r="C2496" s="116">
        <v>2303.7352574008301</v>
      </c>
      <c r="D2496" s="116">
        <v>2255.0187096115001</v>
      </c>
      <c r="E2496" s="116">
        <v>2317.1141302265601</v>
      </c>
      <c r="F2496" s="116">
        <v>2376.25</v>
      </c>
      <c r="G2496">
        <v>82693</v>
      </c>
      <c r="H2496" s="116"/>
      <c r="I2496" s="116"/>
      <c r="L2496" s="170">
        <v>45679</v>
      </c>
      <c r="M2496" s="116">
        <v>2304.0297202797201</v>
      </c>
      <c r="N2496" s="116">
        <v>2325.7946598855701</v>
      </c>
      <c r="O2496" s="116">
        <v>2254.19818817546</v>
      </c>
      <c r="P2496" s="116">
        <v>2325.7946598855701</v>
      </c>
      <c r="Q2496" s="116">
        <v>2376.5500000000002</v>
      </c>
      <c r="R2496">
        <v>1147334</v>
      </c>
    </row>
    <row r="2497" spans="1:18" x14ac:dyDescent="0.25">
      <c r="A2497" s="170">
        <v>45680</v>
      </c>
      <c r="B2497" s="116">
        <v>2327.8269233225201</v>
      </c>
      <c r="C2497" s="116">
        <v>2315.8053274501299</v>
      </c>
      <c r="D2497" s="116">
        <v>2284.10321575439</v>
      </c>
      <c r="E2497" s="116">
        <v>2315.1266889734602</v>
      </c>
      <c r="F2497" s="116">
        <v>2388.6999999999998</v>
      </c>
      <c r="G2497">
        <v>29730</v>
      </c>
      <c r="H2497" s="116"/>
      <c r="I2497" s="116"/>
      <c r="L2497" s="170">
        <v>45680</v>
      </c>
      <c r="M2497" s="116">
        <v>2312.22186904005</v>
      </c>
      <c r="N2497" s="116">
        <v>2331.7569930069899</v>
      </c>
      <c r="O2497" s="116">
        <v>2283.1373172282301</v>
      </c>
      <c r="P2497" s="116">
        <v>2310.2828989192599</v>
      </c>
      <c r="Q2497" s="116">
        <v>2385</v>
      </c>
      <c r="R2497">
        <v>826721</v>
      </c>
    </row>
    <row r="2498" spans="1:18" x14ac:dyDescent="0.25">
      <c r="A2498" s="170">
        <v>45681</v>
      </c>
      <c r="B2498" s="116">
        <v>2332.6743410129998</v>
      </c>
      <c r="C2498" s="116">
        <v>2247.26284130674</v>
      </c>
      <c r="D2498" s="116">
        <v>2231.3633112819598</v>
      </c>
      <c r="E2498" s="116">
        <v>2312.2182383591698</v>
      </c>
      <c r="F2498" s="116">
        <v>2318</v>
      </c>
      <c r="G2498">
        <v>83255</v>
      </c>
      <c r="H2498" s="116"/>
      <c r="I2498" s="116"/>
      <c r="L2498" s="170">
        <v>45681</v>
      </c>
      <c r="M2498" s="116">
        <v>2244.4548633185</v>
      </c>
      <c r="N2498" s="116">
        <v>2332.5810553083302</v>
      </c>
      <c r="O2498" s="116">
        <v>2229.2339478703102</v>
      </c>
      <c r="P2498" s="116">
        <v>2314.88795295613</v>
      </c>
      <c r="Q2498" s="116">
        <v>2315.1</v>
      </c>
      <c r="R2498">
        <v>1388583</v>
      </c>
    </row>
    <row r="2499" spans="1:18" x14ac:dyDescent="0.25">
      <c r="A2499" s="170">
        <v>45684</v>
      </c>
      <c r="B2499" s="116">
        <v>2246.7780995376902</v>
      </c>
      <c r="C2499" s="116">
        <v>2190.5480543281101</v>
      </c>
      <c r="D2499" s="116">
        <v>2182.6467634926298</v>
      </c>
      <c r="E2499" s="116">
        <v>2243.96659727721</v>
      </c>
      <c r="F2499" s="116">
        <v>2259.5</v>
      </c>
      <c r="G2499">
        <v>121684</v>
      </c>
      <c r="H2499" s="116"/>
      <c r="I2499" s="116"/>
      <c r="L2499" s="170">
        <v>45684</v>
      </c>
      <c r="M2499" s="116">
        <v>2190.7453909726601</v>
      </c>
      <c r="N2499" s="116">
        <v>2247.3633184996802</v>
      </c>
      <c r="O2499" s="116">
        <v>2181.38986013986</v>
      </c>
      <c r="P2499" s="116">
        <v>2239.5589637635098</v>
      </c>
      <c r="Q2499" s="116">
        <v>2259.6999999999998</v>
      </c>
      <c r="R2499">
        <v>1032995</v>
      </c>
    </row>
    <row r="2500" spans="1:18" x14ac:dyDescent="0.25">
      <c r="A2500" s="170">
        <v>45685</v>
      </c>
      <c r="B2500" s="116">
        <v>2244.3543906924501</v>
      </c>
      <c r="C2500" s="116">
        <v>2217.0634290950402</v>
      </c>
      <c r="D2500" s="116">
        <v>2173.58209241143</v>
      </c>
      <c r="E2500" s="116">
        <v>2200.7761056550298</v>
      </c>
      <c r="F2500" s="116">
        <v>2286.85</v>
      </c>
      <c r="G2500">
        <v>42380</v>
      </c>
      <c r="H2500" s="116"/>
      <c r="I2500" s="116"/>
      <c r="L2500" s="170">
        <v>45685</v>
      </c>
      <c r="M2500" s="116">
        <v>2216.2913223140499</v>
      </c>
      <c r="N2500" s="116">
        <v>2245.1819771137898</v>
      </c>
      <c r="O2500" s="116">
        <v>2173.5855054036901</v>
      </c>
      <c r="P2500" s="116">
        <v>2204.8029243483802</v>
      </c>
      <c r="Q2500" s="116">
        <v>2286.0500000000002</v>
      </c>
      <c r="R2500">
        <v>966497</v>
      </c>
    </row>
    <row r="2501" spans="1:18" x14ac:dyDescent="0.25">
      <c r="A2501" s="170">
        <v>45686</v>
      </c>
      <c r="B2501" s="116">
        <v>2254.5824420193599</v>
      </c>
      <c r="C2501" s="116">
        <v>2247.9899539603098</v>
      </c>
      <c r="D2501" s="116">
        <v>2212.3129597583702</v>
      </c>
      <c r="E2501" s="116">
        <v>2229.6667150902899</v>
      </c>
      <c r="F2501" s="116">
        <v>2318.75</v>
      </c>
      <c r="G2501">
        <v>56008</v>
      </c>
      <c r="H2501" s="116"/>
      <c r="I2501" s="116"/>
      <c r="L2501" s="170">
        <v>45686</v>
      </c>
      <c r="M2501" s="116">
        <v>2247.8480610298798</v>
      </c>
      <c r="N2501" s="116">
        <v>2255.2646217418901</v>
      </c>
      <c r="O2501" s="116">
        <v>2212.9465988556899</v>
      </c>
      <c r="P2501" s="116">
        <v>2226.90718372537</v>
      </c>
      <c r="Q2501" s="116">
        <v>2318.6</v>
      </c>
      <c r="R2501">
        <v>785220</v>
      </c>
    </row>
    <row r="2502" spans="1:18" x14ac:dyDescent="0.25">
      <c r="A2502" s="170">
        <v>45687</v>
      </c>
      <c r="B2502" s="116">
        <v>2279.8859623636699</v>
      </c>
      <c r="C2502" s="116">
        <v>2183.9070920921599</v>
      </c>
      <c r="D2502" s="116">
        <v>2134.8027508875898</v>
      </c>
      <c r="E2502" s="116">
        <v>2255.0187096115001</v>
      </c>
      <c r="F2502" s="116">
        <v>2252.65</v>
      </c>
      <c r="G2502">
        <v>203298</v>
      </c>
      <c r="H2502" s="116"/>
      <c r="I2502" s="116"/>
      <c r="L2502" s="170">
        <v>45687</v>
      </c>
      <c r="M2502" s="116">
        <v>2183.86204704387</v>
      </c>
      <c r="N2502" s="116">
        <v>2279.7441195168499</v>
      </c>
      <c r="O2502" s="116">
        <v>2134.1274634456499</v>
      </c>
      <c r="P2502" s="116">
        <v>2254.0527654163998</v>
      </c>
      <c r="Q2502" s="116">
        <v>2252.6</v>
      </c>
      <c r="R2502">
        <v>2601625</v>
      </c>
    </row>
    <row r="2503" spans="1:18" x14ac:dyDescent="0.25">
      <c r="A2503" s="170">
        <v>45688</v>
      </c>
      <c r="B2503" s="116">
        <v>2244.3543906924501</v>
      </c>
      <c r="C2503" s="116">
        <v>2220.21425059385</v>
      </c>
      <c r="D2503" s="116">
        <v>2146.8728209368901</v>
      </c>
      <c r="E2503" s="116">
        <v>2152.5442996347501</v>
      </c>
      <c r="F2503" s="116">
        <v>2290.1</v>
      </c>
      <c r="G2503">
        <v>122500</v>
      </c>
      <c r="H2503" s="116"/>
      <c r="I2503" s="116"/>
      <c r="L2503" s="170">
        <v>45688</v>
      </c>
      <c r="M2503" s="116">
        <v>2217.9879211697398</v>
      </c>
      <c r="N2503" s="116">
        <v>2244.3094405594402</v>
      </c>
      <c r="O2503" s="116">
        <v>2146.1975524475502</v>
      </c>
      <c r="P2503" s="116">
        <v>2170.5316274634501</v>
      </c>
      <c r="Q2503" s="116">
        <v>2287.8000000000002</v>
      </c>
      <c r="R2503">
        <v>2013345</v>
      </c>
    </row>
    <row r="2504" spans="1:18" x14ac:dyDescent="0.25">
      <c r="A2504" s="170">
        <v>45689</v>
      </c>
      <c r="B2504" s="116">
        <v>2280.1768074250999</v>
      </c>
      <c r="C2504" s="116">
        <v>2199.1764578171701</v>
      </c>
      <c r="D2504" s="116">
        <v>2169.1709423131001</v>
      </c>
      <c r="E2504" s="116">
        <v>2229.7636634441001</v>
      </c>
      <c r="F2504" s="116">
        <v>2268.4</v>
      </c>
      <c r="G2504">
        <v>79141</v>
      </c>
      <c r="H2504" s="116"/>
      <c r="I2504" s="116"/>
      <c r="L2504" s="170">
        <v>45689</v>
      </c>
      <c r="M2504" s="116">
        <v>2200.7310870947199</v>
      </c>
      <c r="N2504" s="116">
        <v>2279.6956452638301</v>
      </c>
      <c r="O2504" s="116">
        <v>2169.2712968849301</v>
      </c>
      <c r="P2504" s="116">
        <v>2226.90718372537</v>
      </c>
      <c r="Q2504" s="116">
        <v>2270</v>
      </c>
      <c r="R2504">
        <v>987362</v>
      </c>
    </row>
    <row r="2505" spans="1:18" x14ac:dyDescent="0.25">
      <c r="A2505" s="170">
        <v>45691</v>
      </c>
      <c r="B2505" s="116">
        <v>2208.33807725218</v>
      </c>
      <c r="C2505" s="116">
        <v>2192.7778664657399</v>
      </c>
      <c r="D2505" s="116">
        <v>2147.2606143521198</v>
      </c>
      <c r="E2505" s="116">
        <v>2199.7581479400301</v>
      </c>
      <c r="F2505" s="116">
        <v>2261.8000000000002</v>
      </c>
      <c r="G2505">
        <v>39082</v>
      </c>
      <c r="H2505" s="116"/>
      <c r="I2505" s="116"/>
      <c r="L2505" s="170">
        <v>45691</v>
      </c>
      <c r="M2505" s="116">
        <v>2192.82978385251</v>
      </c>
      <c r="N2505" s="116">
        <v>2209.4564526382701</v>
      </c>
      <c r="O2505" s="116">
        <v>2146.3429752066099</v>
      </c>
      <c r="P2505" s="116">
        <v>2197.5802606484399</v>
      </c>
      <c r="Q2505" s="116">
        <v>2261.85</v>
      </c>
      <c r="R2505">
        <v>824942</v>
      </c>
    </row>
    <row r="2506" spans="1:18" x14ac:dyDescent="0.25">
      <c r="A2506" s="170">
        <v>45692</v>
      </c>
      <c r="B2506" s="116">
        <v>2241.00967248602</v>
      </c>
      <c r="C2506" s="116">
        <v>2232.2358464662502</v>
      </c>
      <c r="D2506" s="116">
        <v>2200.6791573012201</v>
      </c>
      <c r="E2506" s="116">
        <v>2228.9396024367202</v>
      </c>
      <c r="F2506" s="116">
        <v>2302.5</v>
      </c>
      <c r="G2506">
        <v>29170</v>
      </c>
      <c r="H2506" s="116"/>
      <c r="I2506" s="116"/>
      <c r="L2506" s="170">
        <v>45692</v>
      </c>
      <c r="M2506" s="116">
        <v>2231.2698664971399</v>
      </c>
      <c r="N2506" s="116">
        <v>2241.4494596312802</v>
      </c>
      <c r="O2506" s="116">
        <v>2198.3558486967599</v>
      </c>
      <c r="P2506" s="116">
        <v>2209.3595041322301</v>
      </c>
      <c r="Q2506" s="116">
        <v>2301.5</v>
      </c>
      <c r="R2506">
        <v>691187</v>
      </c>
    </row>
    <row r="2507" spans="1:18" x14ac:dyDescent="0.25">
      <c r="A2507" s="170">
        <v>45693</v>
      </c>
      <c r="B2507" s="116">
        <v>2277.7046244029498</v>
      </c>
      <c r="C2507" s="116">
        <v>2253.80685518888</v>
      </c>
      <c r="D2507" s="116">
        <v>2232.3327948200599</v>
      </c>
      <c r="E2507" s="116">
        <v>2232.3327948200599</v>
      </c>
      <c r="F2507" s="116">
        <v>2324.75</v>
      </c>
      <c r="G2507">
        <v>68069</v>
      </c>
      <c r="H2507" s="116"/>
      <c r="I2507" s="116"/>
      <c r="L2507" s="170">
        <v>45693</v>
      </c>
      <c r="M2507" s="116">
        <v>2253.6649713922402</v>
      </c>
      <c r="N2507" s="116">
        <v>2277.7082008900202</v>
      </c>
      <c r="O2507" s="116">
        <v>2238.5894787031202</v>
      </c>
      <c r="P2507" s="116">
        <v>2244.3094405594402</v>
      </c>
      <c r="Q2507" s="116">
        <v>2324.6</v>
      </c>
      <c r="R2507">
        <v>560940</v>
      </c>
    </row>
    <row r="2508" spans="1:18" x14ac:dyDescent="0.25">
      <c r="A2508" s="170">
        <v>45694</v>
      </c>
      <c r="B2508" s="116">
        <v>2263.7925356312699</v>
      </c>
      <c r="C2508" s="116">
        <v>2240.4764565400601</v>
      </c>
      <c r="D2508" s="116">
        <v>2228.55180902148</v>
      </c>
      <c r="E2508" s="116">
        <v>2259.0420662945999</v>
      </c>
      <c r="F2508" s="116">
        <v>2311</v>
      </c>
      <c r="G2508">
        <v>58266</v>
      </c>
      <c r="H2508" s="116"/>
      <c r="I2508" s="116"/>
      <c r="L2508" s="170">
        <v>45694</v>
      </c>
      <c r="M2508" s="116">
        <v>2241.88572790846</v>
      </c>
      <c r="N2508" s="116">
        <v>2268.59504132231</v>
      </c>
      <c r="O2508" s="116">
        <v>2228.0705657978401</v>
      </c>
      <c r="P2508" s="116">
        <v>2268.59504132231</v>
      </c>
      <c r="Q2508" s="116">
        <v>2312.4499999999998</v>
      </c>
      <c r="R2508">
        <v>680544</v>
      </c>
    </row>
    <row r="2509" spans="1:18" x14ac:dyDescent="0.25">
      <c r="A2509" s="170">
        <v>45695</v>
      </c>
      <c r="B2509" s="116">
        <v>2302.2810320936901</v>
      </c>
      <c r="C2509" s="116">
        <v>2267.13725383771</v>
      </c>
      <c r="D2509" s="116">
        <v>2238.2466444024399</v>
      </c>
      <c r="E2509" s="116">
        <v>2241.4459400781602</v>
      </c>
      <c r="F2509" s="116">
        <v>2338.5</v>
      </c>
      <c r="G2509">
        <v>37003</v>
      </c>
      <c r="H2509" s="116"/>
      <c r="I2509" s="116"/>
      <c r="L2509" s="170">
        <v>45695</v>
      </c>
      <c r="M2509" s="116">
        <v>2267.4316592498399</v>
      </c>
      <c r="N2509" s="116">
        <v>2302.4300699300702</v>
      </c>
      <c r="O2509" s="116">
        <v>2236.9413541004401</v>
      </c>
      <c r="P2509" s="116">
        <v>2241.88572790846</v>
      </c>
      <c r="Q2509" s="116">
        <v>2338.8000000000002</v>
      </c>
      <c r="R2509">
        <v>892900</v>
      </c>
    </row>
    <row r="2510" spans="1:18" x14ac:dyDescent="0.25">
      <c r="A2510" s="170">
        <v>45698</v>
      </c>
      <c r="B2510" s="116">
        <v>2280.6130750172401</v>
      </c>
      <c r="C2510" s="116">
        <v>2220.8444148936201</v>
      </c>
      <c r="D2510" s="116">
        <v>2212.3614339352798</v>
      </c>
      <c r="E2510" s="116">
        <v>2273.4388968353301</v>
      </c>
      <c r="F2510" s="116">
        <v>2290.75</v>
      </c>
      <c r="G2510">
        <v>20254</v>
      </c>
      <c r="H2510" s="116"/>
      <c r="I2510" s="116"/>
      <c r="L2510" s="170">
        <v>45698</v>
      </c>
      <c r="M2510" s="116">
        <v>2220.89637635092</v>
      </c>
      <c r="N2510" s="116">
        <v>2279.2109027336301</v>
      </c>
      <c r="O2510" s="116">
        <v>2210.5228862047002</v>
      </c>
      <c r="P2510" s="116">
        <v>2278.2898919262602</v>
      </c>
      <c r="Q2510" s="116">
        <v>2290.8000000000002</v>
      </c>
      <c r="R2510">
        <v>739708</v>
      </c>
    </row>
    <row r="2511" spans="1:18" x14ac:dyDescent="0.25">
      <c r="A2511" s="170">
        <v>45699</v>
      </c>
      <c r="B2511" s="116">
        <v>2323.8520408163299</v>
      </c>
      <c r="C2511" s="116">
        <v>2251.2377238129302</v>
      </c>
      <c r="D2511" s="116">
        <v>2229.7636634441001</v>
      </c>
      <c r="E2511" s="116">
        <v>2229.7636634441001</v>
      </c>
      <c r="F2511" s="116">
        <v>2322.1</v>
      </c>
      <c r="G2511">
        <v>136584</v>
      </c>
      <c r="H2511" s="116"/>
      <c r="I2511" s="116"/>
      <c r="L2511" s="170">
        <v>45699</v>
      </c>
      <c r="M2511" s="116">
        <v>2250.9019389701202</v>
      </c>
      <c r="N2511" s="116">
        <v>2323.85568976478</v>
      </c>
      <c r="O2511" s="116">
        <v>2235.6325492689102</v>
      </c>
      <c r="P2511" s="116">
        <v>2241.4494596312802</v>
      </c>
      <c r="Q2511" s="116">
        <v>2321.75</v>
      </c>
      <c r="R2511">
        <v>4895456</v>
      </c>
    </row>
    <row r="2512" spans="1:18" x14ac:dyDescent="0.25">
      <c r="A2512" s="170">
        <v>45700</v>
      </c>
      <c r="B2512" s="116">
        <v>2305.4318535924999</v>
      </c>
      <c r="C2512" s="116">
        <v>2281.3401876708099</v>
      </c>
      <c r="D2512" s="116">
        <v>2210.5678893897998</v>
      </c>
      <c r="E2512" s="116">
        <v>2271.4514555822302</v>
      </c>
      <c r="F2512" s="116">
        <v>2353.15</v>
      </c>
      <c r="G2512">
        <v>139026</v>
      </c>
      <c r="H2512" s="116"/>
      <c r="I2512" s="116"/>
      <c r="L2512" s="170">
        <v>45700</v>
      </c>
      <c r="M2512" s="116">
        <v>2281.6346153846098</v>
      </c>
      <c r="N2512" s="116">
        <v>2305.8717418944698</v>
      </c>
      <c r="O2512" s="116">
        <v>2211.3954227590598</v>
      </c>
      <c r="P2512" s="116">
        <v>2254.0527654163998</v>
      </c>
      <c r="Q2512" s="116">
        <v>2353.4499999999998</v>
      </c>
      <c r="R2512">
        <v>1933098</v>
      </c>
    </row>
    <row r="2513" spans="1:18" x14ac:dyDescent="0.25">
      <c r="A2513" s="170">
        <v>45701</v>
      </c>
      <c r="B2513" s="116">
        <v>2300.72985843274</v>
      </c>
      <c r="C2513" s="116">
        <v>2176.82986226405</v>
      </c>
      <c r="D2513" s="116">
        <v>2164.8082663916598</v>
      </c>
      <c r="E2513" s="116">
        <v>2297.6759852877299</v>
      </c>
      <c r="F2513" s="116">
        <v>2245.35</v>
      </c>
      <c r="G2513">
        <v>83584</v>
      </c>
      <c r="H2513" s="116"/>
      <c r="I2513" s="116"/>
      <c r="L2513" s="170">
        <v>45701</v>
      </c>
      <c r="M2513" s="116">
        <v>2176.2031150667499</v>
      </c>
      <c r="N2513" s="116">
        <v>2300.3456770502198</v>
      </c>
      <c r="O2513" s="116">
        <v>2165.2479338843</v>
      </c>
      <c r="P2513" s="116">
        <v>2282.1678321678301</v>
      </c>
      <c r="Q2513" s="116">
        <v>2244.6999999999998</v>
      </c>
      <c r="R2513">
        <v>2551940</v>
      </c>
    </row>
    <row r="2514" spans="1:18" x14ac:dyDescent="0.25">
      <c r="A2514" s="170">
        <v>45702</v>
      </c>
      <c r="B2514" s="116">
        <v>2182.74371184644</v>
      </c>
      <c r="C2514" s="116">
        <v>2087.10416081326</v>
      </c>
      <c r="D2514" s="116">
        <v>2060.1525184541902</v>
      </c>
      <c r="E2514" s="116">
        <v>2180.3200030011999</v>
      </c>
      <c r="F2514" s="116">
        <v>2152.8000000000002</v>
      </c>
      <c r="G2514">
        <v>94393</v>
      </c>
      <c r="H2514" s="116"/>
      <c r="I2514" s="116"/>
      <c r="L2514" s="170">
        <v>45702</v>
      </c>
      <c r="M2514" s="116">
        <v>2086.9620152574698</v>
      </c>
      <c r="N2514" s="116">
        <v>2180.6627463445602</v>
      </c>
      <c r="O2514" s="116">
        <v>2059.7194850603901</v>
      </c>
      <c r="P2514" s="116">
        <v>2177.17260012715</v>
      </c>
      <c r="Q2514" s="116">
        <v>2152.65</v>
      </c>
      <c r="R2514">
        <v>2550043</v>
      </c>
    </row>
    <row r="2515" spans="1:18" x14ac:dyDescent="0.25">
      <c r="A2515" s="170">
        <v>45705</v>
      </c>
      <c r="B2515" s="116">
        <v>2171.6431253352398</v>
      </c>
      <c r="C2515" s="116">
        <v>2157.53713985594</v>
      </c>
      <c r="D2515" s="116">
        <v>2046.5797489208401</v>
      </c>
      <c r="E2515" s="116">
        <v>2079.5906633930199</v>
      </c>
      <c r="F2515" s="116">
        <v>2225.4499999999998</v>
      </c>
      <c r="G2515">
        <v>143443</v>
      </c>
      <c r="H2515" s="116"/>
      <c r="I2515" s="116"/>
      <c r="L2515" s="170">
        <v>45705</v>
      </c>
      <c r="M2515" s="116">
        <v>2155.8439287984702</v>
      </c>
      <c r="N2515" s="116">
        <v>2172.03432930706</v>
      </c>
      <c r="O2515" s="116">
        <v>2046.24364272092</v>
      </c>
      <c r="P2515" s="116">
        <v>2086.9620152574698</v>
      </c>
      <c r="Q2515" s="116">
        <v>2223.6999999999998</v>
      </c>
      <c r="R2515">
        <v>1400160</v>
      </c>
    </row>
    <row r="2516" spans="1:18" x14ac:dyDescent="0.25">
      <c r="A2516" s="170">
        <v>45706</v>
      </c>
      <c r="B2516" s="116">
        <v>2179.3505194631002</v>
      </c>
      <c r="C2516" s="116">
        <v>2151.7202386273698</v>
      </c>
      <c r="D2516" s="116">
        <v>2100.6284561696998</v>
      </c>
      <c r="E2516" s="116">
        <v>2179.3505194631002</v>
      </c>
      <c r="F2516" s="116">
        <v>2219.4499999999998</v>
      </c>
      <c r="G2516">
        <v>154026</v>
      </c>
      <c r="H2516" s="116"/>
      <c r="I2516" s="116"/>
      <c r="L2516" s="170">
        <v>45706</v>
      </c>
      <c r="M2516" s="116">
        <v>2152.5476795931299</v>
      </c>
      <c r="N2516" s="116">
        <v>2171.6465352829</v>
      </c>
      <c r="O2516" s="116">
        <v>2099.9531150667499</v>
      </c>
      <c r="P2516" s="116">
        <v>2171.6465352829</v>
      </c>
      <c r="Q2516" s="116">
        <v>2220.3000000000002</v>
      </c>
      <c r="R2516">
        <v>1138090</v>
      </c>
    </row>
    <row r="2517" spans="1:18" x14ac:dyDescent="0.25">
      <c r="A2517" s="170">
        <v>45707</v>
      </c>
      <c r="B2517" s="116">
        <v>2151.1870226814099</v>
      </c>
      <c r="C2517" s="116">
        <v>2113.3771646956702</v>
      </c>
      <c r="D2517" s="116">
        <v>2059.13456073919</v>
      </c>
      <c r="E2517" s="116">
        <v>2101.8403105923198</v>
      </c>
      <c r="F2517" s="116">
        <v>2179.9</v>
      </c>
      <c r="G2517">
        <v>66353</v>
      </c>
      <c r="H2517" s="116"/>
      <c r="I2517" s="116"/>
      <c r="L2517" s="170">
        <v>45707</v>
      </c>
      <c r="M2517" s="116">
        <v>2114.2530197075698</v>
      </c>
      <c r="N2517" s="116">
        <v>2151.6751430387799</v>
      </c>
      <c r="O2517" s="116">
        <v>2062.09472345836</v>
      </c>
      <c r="P2517" s="116">
        <v>2099.9046408137301</v>
      </c>
      <c r="Q2517" s="116">
        <v>2180.8000000000002</v>
      </c>
      <c r="R2517">
        <v>1203163</v>
      </c>
    </row>
    <row r="2518" spans="1:18" x14ac:dyDescent="0.25">
      <c r="A2518" s="170">
        <v>45708</v>
      </c>
      <c r="B2518" s="116">
        <v>2147.9392528287899</v>
      </c>
      <c r="C2518" s="116">
        <v>2112.1653102730502</v>
      </c>
      <c r="D2518" s="116">
        <v>2091.3214142039801</v>
      </c>
      <c r="E2518" s="116">
        <v>2113.4741130494699</v>
      </c>
      <c r="F2518" s="116">
        <v>2178.65</v>
      </c>
      <c r="G2518">
        <v>36314</v>
      </c>
      <c r="H2518" s="116"/>
      <c r="I2518" s="116"/>
      <c r="L2518" s="170">
        <v>45708</v>
      </c>
      <c r="M2518" s="116">
        <v>2112.5079465988601</v>
      </c>
      <c r="N2518" s="116">
        <v>2148.7182136045799</v>
      </c>
      <c r="O2518" s="116">
        <v>2090.9853782581099</v>
      </c>
      <c r="P2518" s="116">
        <v>2114.2530197075698</v>
      </c>
      <c r="Q2518" s="116">
        <v>2179</v>
      </c>
      <c r="R2518">
        <v>1086670</v>
      </c>
    </row>
    <row r="2519" spans="1:18" x14ac:dyDescent="0.25">
      <c r="A2519" s="170">
        <v>45709</v>
      </c>
      <c r="B2519" s="116">
        <v>2143.4796285535499</v>
      </c>
      <c r="C2519" s="116">
        <v>2070.2351472503901</v>
      </c>
      <c r="D2519" s="116">
        <v>2055.30510076371</v>
      </c>
      <c r="E2519" s="116">
        <v>2143.4796285535499</v>
      </c>
      <c r="F2519" s="116">
        <v>2135.4</v>
      </c>
      <c r="G2519">
        <v>90526</v>
      </c>
      <c r="H2519" s="116"/>
      <c r="I2519" s="116"/>
      <c r="L2519" s="170">
        <v>45709</v>
      </c>
      <c r="M2519" s="116">
        <v>2068.00858232676</v>
      </c>
      <c r="N2519" s="116">
        <v>2132.4793388429698</v>
      </c>
      <c r="O2519" s="116">
        <v>2052.25445009536</v>
      </c>
      <c r="P2519" s="116">
        <v>2123.6085505403698</v>
      </c>
      <c r="Q2519" s="116">
        <v>2133.1</v>
      </c>
      <c r="R2519">
        <v>1540308</v>
      </c>
    </row>
    <row r="2520" spans="1:18" x14ac:dyDescent="0.25">
      <c r="A2520" s="170">
        <v>45712</v>
      </c>
      <c r="B2520" s="116">
        <v>2073.0466495108699</v>
      </c>
      <c r="C2520" s="116">
        <v>2050.9424248422802</v>
      </c>
      <c r="D2520" s="116">
        <v>2033.58866951036</v>
      </c>
      <c r="E2520" s="116">
        <v>2068.8778702970499</v>
      </c>
      <c r="F2520" s="116">
        <v>2115.5</v>
      </c>
      <c r="G2520">
        <v>90599</v>
      </c>
      <c r="H2520" s="116"/>
      <c r="I2520" s="116"/>
      <c r="L2520" s="170">
        <v>45712</v>
      </c>
      <c r="M2520" s="116">
        <v>2050.6063254926898</v>
      </c>
      <c r="N2520" s="116">
        <v>2073.2438016528899</v>
      </c>
      <c r="O2520" s="116">
        <v>2032.7193261284201</v>
      </c>
      <c r="P2520" s="116">
        <v>2063.9852193261299</v>
      </c>
      <c r="Q2520" s="116">
        <v>2115.15</v>
      </c>
      <c r="R2520">
        <v>1032294</v>
      </c>
    </row>
    <row r="2521" spans="1:18" x14ac:dyDescent="0.25">
      <c r="A2521" s="170">
        <v>45713</v>
      </c>
      <c r="B2521" s="116">
        <v>2092.0970010344599</v>
      </c>
      <c r="C2521" s="116">
        <v>2065.0484103215799</v>
      </c>
      <c r="D2521" s="116">
        <v>2041.15064110751</v>
      </c>
      <c r="E2521" s="116">
        <v>2050.9424248422802</v>
      </c>
      <c r="F2521" s="116">
        <v>2130.0500000000002</v>
      </c>
      <c r="G2521">
        <v>85648</v>
      </c>
      <c r="H2521" s="116"/>
      <c r="I2521" s="116"/>
      <c r="L2521" s="170">
        <v>45713</v>
      </c>
      <c r="M2521" s="116">
        <v>2064.85775588048</v>
      </c>
      <c r="N2521" s="116">
        <v>2092.4396058487</v>
      </c>
      <c r="O2521" s="116">
        <v>2037.85759694851</v>
      </c>
      <c r="P2521" s="116">
        <v>2050.6063254926898</v>
      </c>
      <c r="Q2521" s="116">
        <v>2129.85</v>
      </c>
      <c r="R2521">
        <v>802131</v>
      </c>
    </row>
    <row r="2522" spans="1:18" x14ac:dyDescent="0.25">
      <c r="A2522" s="170">
        <v>45715</v>
      </c>
      <c r="B2522" s="116">
        <v>2081.3357337615898</v>
      </c>
      <c r="C2522" s="116">
        <v>2045.46484285203</v>
      </c>
      <c r="D2522" s="116">
        <v>2037.8543970779799</v>
      </c>
      <c r="E2522" s="116">
        <v>2075.7127292406299</v>
      </c>
      <c r="F2522" s="116">
        <v>2109.85</v>
      </c>
      <c r="G2522">
        <v>66115</v>
      </c>
      <c r="H2522" s="116"/>
      <c r="I2522" s="116"/>
      <c r="L2522" s="170">
        <v>45715</v>
      </c>
      <c r="M2522" s="116">
        <v>2046.53448823903</v>
      </c>
      <c r="N2522" s="116">
        <v>2083.5203432930698</v>
      </c>
      <c r="O2522" s="116">
        <v>2038.3423394787001</v>
      </c>
      <c r="P2522" s="116">
        <v>2078.3335982199601</v>
      </c>
      <c r="Q2522" s="116">
        <v>2110.9499999999998</v>
      </c>
      <c r="R2522">
        <v>941950</v>
      </c>
    </row>
    <row r="2523" spans="1:18" x14ac:dyDescent="0.25">
      <c r="A2523" s="170">
        <v>45716</v>
      </c>
      <c r="B2523" s="116">
        <v>2050.21531218871</v>
      </c>
      <c r="C2523" s="116">
        <v>2029.17751941202</v>
      </c>
      <c r="D2523" s="116">
        <v>2009.25463270415</v>
      </c>
      <c r="E2523" s="116">
        <v>2050.21531218871</v>
      </c>
      <c r="F2523" s="116">
        <v>2093.0500000000002</v>
      </c>
      <c r="G2523">
        <v>41490</v>
      </c>
      <c r="H2523" s="116"/>
      <c r="I2523" s="116"/>
      <c r="L2523" s="170">
        <v>45716</v>
      </c>
      <c r="M2523" s="116">
        <v>2032.0406865861401</v>
      </c>
      <c r="N2523" s="116">
        <v>2046.92228226319</v>
      </c>
      <c r="O2523" s="116">
        <v>2008.7730451366799</v>
      </c>
      <c r="P2523" s="116">
        <v>2042.7050222504799</v>
      </c>
      <c r="Q2523" s="116">
        <v>2096</v>
      </c>
      <c r="R2523">
        <v>2373922</v>
      </c>
    </row>
    <row r="2524" spans="1:18" x14ac:dyDescent="0.25">
      <c r="A2524" s="170">
        <v>45719</v>
      </c>
      <c r="B2524" s="116">
        <v>2060.63726022324</v>
      </c>
      <c r="C2524" s="116">
        <v>2052.2512276187099</v>
      </c>
      <c r="D2524" s="116">
        <v>1965.0461833669599</v>
      </c>
      <c r="E2524" s="116">
        <v>2035.9154300017899</v>
      </c>
      <c r="F2524" s="116">
        <v>2116.85</v>
      </c>
      <c r="G2524">
        <v>105280</v>
      </c>
      <c r="H2524" s="116"/>
      <c r="I2524" s="116"/>
      <c r="L2524" s="170">
        <v>45719</v>
      </c>
      <c r="M2524" s="116">
        <v>2052.4968213604602</v>
      </c>
      <c r="N2524" s="116">
        <v>2062.3370947234598</v>
      </c>
      <c r="O2524" s="116">
        <v>1964.70994914177</v>
      </c>
      <c r="P2524" s="116">
        <v>2044.6439923712601</v>
      </c>
      <c r="Q2524" s="116">
        <v>2117.1</v>
      </c>
      <c r="R2524">
        <v>1592611</v>
      </c>
    </row>
    <row r="2525" spans="1:18" x14ac:dyDescent="0.25">
      <c r="A2525" s="170">
        <v>45720</v>
      </c>
      <c r="B2525" s="116">
        <v>2089.6732921892199</v>
      </c>
      <c r="C2525" s="116">
        <v>2081.1903112308801</v>
      </c>
      <c r="D2525" s="116">
        <v>2017.4952427779599</v>
      </c>
      <c r="E2525" s="116">
        <v>2040.71437351536</v>
      </c>
      <c r="F2525" s="116">
        <v>2146.6999999999998</v>
      </c>
      <c r="G2525">
        <v>36580</v>
      </c>
      <c r="H2525" s="116"/>
      <c r="I2525" s="116"/>
      <c r="L2525" s="170">
        <v>45720</v>
      </c>
      <c r="M2525" s="116">
        <v>2079.3515575333799</v>
      </c>
      <c r="N2525" s="116">
        <v>2088.2708200890002</v>
      </c>
      <c r="O2525" s="116">
        <v>2016.52892561983</v>
      </c>
      <c r="P2525" s="116">
        <v>2021.4732994278399</v>
      </c>
      <c r="Q2525" s="116">
        <v>2144.8000000000002</v>
      </c>
      <c r="R2525">
        <v>852978</v>
      </c>
    </row>
    <row r="2526" spans="1:18" x14ac:dyDescent="0.25">
      <c r="A2526" s="170">
        <v>45721</v>
      </c>
      <c r="B2526" s="116">
        <v>2189.4331482593002</v>
      </c>
      <c r="C2526" s="116">
        <v>2176.3451204950102</v>
      </c>
      <c r="D2526" s="116">
        <v>2083.1292783070699</v>
      </c>
      <c r="E2526" s="116">
        <v>2083.1292783070699</v>
      </c>
      <c r="F2526" s="116">
        <v>2244.85</v>
      </c>
      <c r="G2526">
        <v>8580165</v>
      </c>
      <c r="H2526" s="116"/>
      <c r="I2526" s="116"/>
      <c r="L2526" s="170">
        <v>45721</v>
      </c>
      <c r="M2526" s="116">
        <v>2177.3180228862002</v>
      </c>
      <c r="N2526" s="116">
        <v>2189.48506039415</v>
      </c>
      <c r="O2526" s="116">
        <v>2082.50238397966</v>
      </c>
      <c r="P2526" s="116">
        <v>2088.2223458359799</v>
      </c>
      <c r="Q2526" s="116">
        <v>2245.85</v>
      </c>
      <c r="R2526">
        <v>1370106</v>
      </c>
    </row>
    <row r="2527" spans="1:18" x14ac:dyDescent="0.25">
      <c r="A2527" s="170">
        <v>45722</v>
      </c>
      <c r="B2527" s="116">
        <v>2214.25192683456</v>
      </c>
      <c r="C2527" s="116">
        <v>2184.3918338612002</v>
      </c>
      <c r="D2527" s="116">
        <v>2159.0398393399901</v>
      </c>
      <c r="E2527" s="116">
        <v>2214.25192683456</v>
      </c>
      <c r="F2527" s="116">
        <v>2253.15</v>
      </c>
      <c r="G2527">
        <v>49432</v>
      </c>
      <c r="H2527" s="116"/>
      <c r="I2527" s="116"/>
      <c r="L2527" s="170">
        <v>45722</v>
      </c>
      <c r="M2527" s="116">
        <v>2184.1044183089598</v>
      </c>
      <c r="N2527" s="116">
        <v>2199.6646535282898</v>
      </c>
      <c r="O2527" s="116">
        <v>2158.2191671964401</v>
      </c>
      <c r="P2527" s="116">
        <v>2191.0362364907801</v>
      </c>
      <c r="Q2527" s="116">
        <v>2252.85</v>
      </c>
      <c r="R2527">
        <v>890270</v>
      </c>
    </row>
    <row r="2528" spans="1:18" x14ac:dyDescent="0.25">
      <c r="A2528" s="170">
        <v>45723</v>
      </c>
      <c r="B2528" s="116">
        <v>2197.7222325100302</v>
      </c>
      <c r="C2528" s="116">
        <v>2178.2356133942899</v>
      </c>
      <c r="D2528" s="116">
        <v>2159.2337360476099</v>
      </c>
      <c r="E2528" s="116">
        <v>2174.5515759495302</v>
      </c>
      <c r="F2528" s="116">
        <v>2246.8000000000002</v>
      </c>
      <c r="G2528">
        <v>79547</v>
      </c>
      <c r="H2528" s="116"/>
      <c r="I2528" s="116"/>
      <c r="L2528" s="170">
        <v>45723</v>
      </c>
      <c r="M2528" s="116">
        <v>2178.9176732358501</v>
      </c>
      <c r="N2528" s="116">
        <v>2198.4527972028</v>
      </c>
      <c r="O2528" s="116">
        <v>2159.04322949778</v>
      </c>
      <c r="P2528" s="116">
        <v>2181.29291163382</v>
      </c>
      <c r="Q2528" s="116">
        <v>2247.5</v>
      </c>
      <c r="R2528">
        <v>818806</v>
      </c>
    </row>
    <row r="2529" spans="1:18" x14ac:dyDescent="0.25">
      <c r="A2529" s="170">
        <v>45726</v>
      </c>
      <c r="B2529" s="116">
        <v>2217.5966450410001</v>
      </c>
      <c r="C2529" s="116">
        <v>2161.2696514776098</v>
      </c>
      <c r="D2529" s="116">
        <v>2155.16190518761</v>
      </c>
      <c r="E2529" s="116">
        <v>2177.8962941559598</v>
      </c>
      <c r="F2529" s="116">
        <v>2229.3000000000002</v>
      </c>
      <c r="G2529">
        <v>65244</v>
      </c>
      <c r="H2529" s="116"/>
      <c r="I2529" s="116"/>
      <c r="L2529" s="170">
        <v>45726</v>
      </c>
      <c r="M2529" s="116">
        <v>2160.3035600762901</v>
      </c>
      <c r="N2529" s="116">
        <v>2218.1818181818198</v>
      </c>
      <c r="O2529" s="116">
        <v>2152.2568340750199</v>
      </c>
      <c r="P2529" s="116">
        <v>2176.4939605848699</v>
      </c>
      <c r="Q2529" s="116">
        <v>2228.3000000000002</v>
      </c>
      <c r="R2529">
        <v>940113</v>
      </c>
    </row>
    <row r="2530" spans="1:18" x14ac:dyDescent="0.25">
      <c r="A2530" s="170">
        <v>45727</v>
      </c>
      <c r="B2530" s="116">
        <v>2197.7222325100302</v>
      </c>
      <c r="C2530" s="116">
        <v>2181.6772799545301</v>
      </c>
      <c r="D2530" s="116">
        <v>2139.9894878164</v>
      </c>
      <c r="E2530" s="116">
        <v>2147.40603688284</v>
      </c>
      <c r="F2530" s="116">
        <v>2250.35</v>
      </c>
      <c r="G2530">
        <v>83276</v>
      </c>
      <c r="H2530" s="116"/>
      <c r="I2530" s="116"/>
      <c r="L2530" s="170">
        <v>45727</v>
      </c>
      <c r="M2530" s="116">
        <v>2181.9230769230799</v>
      </c>
      <c r="N2530" s="116">
        <v>2198.64669421488</v>
      </c>
      <c r="O2530" s="116">
        <v>2140.9138588684</v>
      </c>
      <c r="P2530" s="116">
        <v>2155.3107120152599</v>
      </c>
      <c r="Q2530" s="116">
        <v>2250.6</v>
      </c>
      <c r="R2530">
        <v>947079</v>
      </c>
    </row>
    <row r="2531" spans="1:18" x14ac:dyDescent="0.25">
      <c r="A2531" s="170">
        <v>45728</v>
      </c>
      <c r="B2531" s="116">
        <v>2209.4529833209899</v>
      </c>
      <c r="C2531" s="116">
        <v>2173.1942989961899</v>
      </c>
      <c r="D2531" s="116">
        <v>2115.3646059487601</v>
      </c>
      <c r="E2531" s="116">
        <v>2207.2231711833701</v>
      </c>
      <c r="F2531" s="116">
        <v>2241.6</v>
      </c>
      <c r="G2531">
        <v>43197</v>
      </c>
      <c r="H2531" s="116"/>
      <c r="I2531" s="116"/>
      <c r="L2531" s="170">
        <v>45728</v>
      </c>
      <c r="M2531" s="116">
        <v>2173.3916083916101</v>
      </c>
      <c r="N2531" s="116">
        <v>2210.4259376986602</v>
      </c>
      <c r="O2531" s="116">
        <v>2114.3984424666201</v>
      </c>
      <c r="P2531" s="116">
        <v>2200.7310870947199</v>
      </c>
      <c r="Q2531" s="116">
        <v>2241.8000000000002</v>
      </c>
      <c r="R2531">
        <v>1049076</v>
      </c>
    </row>
    <row r="2532" spans="1:18" x14ac:dyDescent="0.25">
      <c r="A2532" s="170">
        <v>45729</v>
      </c>
      <c r="B2532" s="116">
        <v>2202.66659855432</v>
      </c>
      <c r="C2532" s="116">
        <v>2154.1439474726099</v>
      </c>
      <c r="D2532" s="116">
        <v>2148.1816237133198</v>
      </c>
      <c r="E2532" s="116">
        <v>2173.9214116497701</v>
      </c>
      <c r="F2532" s="116">
        <v>2221.9499999999998</v>
      </c>
      <c r="G2532">
        <v>28345</v>
      </c>
      <c r="H2532" s="116"/>
      <c r="I2532" s="116"/>
      <c r="L2532" s="170">
        <v>45729</v>
      </c>
      <c r="M2532" s="116">
        <v>2153.32326764145</v>
      </c>
      <c r="N2532" s="116">
        <v>2203.6395422759101</v>
      </c>
      <c r="O2532" s="116">
        <v>2147.9910998092801</v>
      </c>
      <c r="P2532" s="116">
        <v>2180.3719008264502</v>
      </c>
      <c r="Q2532" s="116">
        <v>2221.1</v>
      </c>
      <c r="R2532">
        <v>750310</v>
      </c>
    </row>
    <row r="2533" spans="1:18" x14ac:dyDescent="0.25">
      <c r="A2533" s="170">
        <v>45733</v>
      </c>
      <c r="B2533" s="116">
        <v>2215.8031004955201</v>
      </c>
      <c r="C2533" s="116">
        <v>2183.2769277923899</v>
      </c>
      <c r="D2533" s="116">
        <v>2133.8332673494901</v>
      </c>
      <c r="E2533" s="116">
        <v>2144.4975862685501</v>
      </c>
      <c r="F2533" s="116">
        <v>2252</v>
      </c>
      <c r="G2533">
        <v>67252</v>
      </c>
      <c r="H2533" s="116"/>
      <c r="I2533" s="116"/>
      <c r="L2533" s="170">
        <v>45733</v>
      </c>
      <c r="M2533" s="116">
        <v>2183.9589955499</v>
      </c>
      <c r="N2533" s="116">
        <v>2217.1153846153802</v>
      </c>
      <c r="O2533" s="116">
        <v>2130.9281627463401</v>
      </c>
      <c r="P2533" s="116">
        <v>2132.8671328671298</v>
      </c>
      <c r="Q2533" s="116">
        <v>2252.6999999999998</v>
      </c>
      <c r="R2533">
        <v>927737</v>
      </c>
    </row>
    <row r="2534" spans="1:18" x14ac:dyDescent="0.25">
      <c r="A2534" s="170">
        <v>45734</v>
      </c>
      <c r="B2534" s="116">
        <v>2243.3364329774499</v>
      </c>
      <c r="C2534" s="116">
        <v>2238.1981702255398</v>
      </c>
      <c r="D2534" s="116">
        <v>2190.9843219202598</v>
      </c>
      <c r="E2534" s="116">
        <v>2208.04723219075</v>
      </c>
      <c r="F2534" s="116">
        <v>2308.65</v>
      </c>
      <c r="G2534">
        <v>47015</v>
      </c>
      <c r="H2534" s="116"/>
      <c r="I2534" s="116"/>
      <c r="L2534" s="170">
        <v>45734</v>
      </c>
      <c r="M2534" s="116">
        <v>2238.0562619199</v>
      </c>
      <c r="N2534" s="116">
        <v>2243.5823267641399</v>
      </c>
      <c r="O2534" s="116">
        <v>2190.7938652256798</v>
      </c>
      <c r="P2534" s="116">
        <v>2204.6090273363002</v>
      </c>
      <c r="Q2534" s="116">
        <v>2308.5</v>
      </c>
      <c r="R2534">
        <v>878007</v>
      </c>
    </row>
    <row r="2535" spans="1:18" x14ac:dyDescent="0.25">
      <c r="A2535" s="170">
        <v>45735</v>
      </c>
      <c r="B2535" s="116">
        <v>2269.56096268295</v>
      </c>
      <c r="C2535" s="116">
        <v>2250.3167144517402</v>
      </c>
      <c r="D2535" s="116">
        <v>2240.08866312482</v>
      </c>
      <c r="E2535" s="116">
        <v>2255.26108049603</v>
      </c>
      <c r="F2535" s="116">
        <v>2321.15</v>
      </c>
      <c r="G2535">
        <v>51386</v>
      </c>
      <c r="H2535" s="116"/>
      <c r="I2535" s="116"/>
      <c r="L2535" s="170">
        <v>45735</v>
      </c>
      <c r="M2535" s="116">
        <v>2247.8965352829</v>
      </c>
      <c r="N2535" s="116">
        <v>2270.5340114431001</v>
      </c>
      <c r="O2535" s="116">
        <v>2240.5284488238999</v>
      </c>
      <c r="P2535" s="116">
        <v>2249.1568658614101</v>
      </c>
      <c r="Q2535" s="116">
        <v>2318.65</v>
      </c>
      <c r="R2535">
        <v>1030345</v>
      </c>
    </row>
    <row r="2536" spans="1:18" x14ac:dyDescent="0.25">
      <c r="A2536" s="170">
        <v>45736</v>
      </c>
      <c r="B2536" s="116">
        <v>2287.98114990677</v>
      </c>
      <c r="C2536" s="116">
        <v>2267.6704697836599</v>
      </c>
      <c r="D2536" s="116">
        <v>2228.84265408291</v>
      </c>
      <c r="E2536" s="116">
        <v>2287.98114990677</v>
      </c>
      <c r="F2536" s="116">
        <v>2339.0500000000002</v>
      </c>
      <c r="G2536">
        <v>89206</v>
      </c>
      <c r="H2536" s="116"/>
      <c r="I2536" s="116"/>
      <c r="L2536" s="170">
        <v>45736</v>
      </c>
      <c r="M2536" s="116">
        <v>2267.9164017800399</v>
      </c>
      <c r="N2536" s="116">
        <v>2276.3509218054701</v>
      </c>
      <c r="O2536" s="116">
        <v>2228.8461538461502</v>
      </c>
      <c r="P2536" s="116">
        <v>2276.3509218054701</v>
      </c>
      <c r="Q2536" s="116">
        <v>2339.3000000000002</v>
      </c>
      <c r="R2536">
        <v>2587051</v>
      </c>
    </row>
    <row r="2537" spans="1:18" x14ac:dyDescent="0.25">
      <c r="A2537" s="170">
        <v>45737</v>
      </c>
      <c r="B2537" s="116">
        <v>2315.1266889734602</v>
      </c>
      <c r="C2537" s="116">
        <v>2291.1804455824899</v>
      </c>
      <c r="D2537" s="116">
        <v>2267.6219956067498</v>
      </c>
      <c r="E2537" s="116">
        <v>2285.3150701770101</v>
      </c>
      <c r="F2537" s="116">
        <v>2363.3000000000002</v>
      </c>
      <c r="G2537">
        <v>36313</v>
      </c>
      <c r="H2537" s="116"/>
      <c r="I2537" s="116"/>
      <c r="L2537" s="170">
        <v>45737</v>
      </c>
      <c r="M2537" s="116">
        <v>2290.6993006992998</v>
      </c>
      <c r="N2537" s="116">
        <v>2316.6330260648401</v>
      </c>
      <c r="O2537" s="116">
        <v>2266.6560712015298</v>
      </c>
      <c r="P2537" s="116">
        <v>2272.2790845518098</v>
      </c>
      <c r="Q2537" s="116">
        <v>2362.8000000000002</v>
      </c>
      <c r="R2537">
        <v>1101418</v>
      </c>
    </row>
    <row r="2538" spans="1:18" x14ac:dyDescent="0.25">
      <c r="A2538" s="170">
        <v>45740</v>
      </c>
      <c r="B2538" s="116">
        <v>2322.8340831013302</v>
      </c>
      <c r="C2538" s="116">
        <v>2297.43361440321</v>
      </c>
      <c r="D2538" s="116">
        <v>2288.2235207913</v>
      </c>
      <c r="E2538" s="116">
        <v>2307.3223464917901</v>
      </c>
      <c r="F2538" s="116">
        <v>2369.75</v>
      </c>
      <c r="G2538">
        <v>56655</v>
      </c>
      <c r="H2538" s="116"/>
      <c r="I2538" s="116"/>
      <c r="L2538" s="170">
        <v>45740</v>
      </c>
      <c r="M2538" s="116">
        <v>2296.4192625556302</v>
      </c>
      <c r="N2538" s="116">
        <v>2321.9167196439898</v>
      </c>
      <c r="O2538" s="116">
        <v>2289.0511760966301</v>
      </c>
      <c r="P2538" s="116">
        <v>2297.6795931341399</v>
      </c>
      <c r="Q2538" s="116">
        <v>2368.6999999999998</v>
      </c>
      <c r="R2538">
        <v>1010184</v>
      </c>
    </row>
    <row r="2539" spans="1:18" x14ac:dyDescent="0.25">
      <c r="A2539" s="170">
        <v>45741</v>
      </c>
      <c r="B2539" s="116">
        <v>2321.8645995632301</v>
      </c>
      <c r="C2539" s="116">
        <v>2249.00791167531</v>
      </c>
      <c r="D2539" s="116">
        <v>2244.4998132231599</v>
      </c>
      <c r="E2539" s="116">
        <v>2321.8645995632301</v>
      </c>
      <c r="F2539" s="116">
        <v>2319.8000000000002</v>
      </c>
      <c r="G2539">
        <v>79939</v>
      </c>
      <c r="H2539" s="116"/>
      <c r="I2539" s="116"/>
      <c r="L2539" s="170">
        <v>45741</v>
      </c>
      <c r="M2539" s="116">
        <v>2249.5446598855701</v>
      </c>
      <c r="N2539" s="116">
        <v>2314.7910044501</v>
      </c>
      <c r="O2539" s="116">
        <v>2244.4548633185</v>
      </c>
      <c r="P2539" s="116">
        <v>2312.22186904005</v>
      </c>
      <c r="Q2539" s="116">
        <v>2320.35</v>
      </c>
      <c r="R2539">
        <v>763065</v>
      </c>
    </row>
    <row r="2540" spans="1:18" x14ac:dyDescent="0.25">
      <c r="A2540" s="170">
        <v>45742</v>
      </c>
      <c r="B2540" s="116">
        <v>2287.3025114300999</v>
      </c>
      <c r="C2540" s="116">
        <v>2241.8822076703</v>
      </c>
      <c r="D2540" s="116">
        <v>2237.0347899798198</v>
      </c>
      <c r="E2540" s="116">
        <v>2249.3957050905501</v>
      </c>
      <c r="F2540" s="116">
        <v>2312.4499999999998</v>
      </c>
      <c r="G2540">
        <v>29177</v>
      </c>
      <c r="H2540" s="116"/>
      <c r="I2540" s="116"/>
      <c r="L2540" s="170">
        <v>45742</v>
      </c>
      <c r="M2540" s="116">
        <v>2242.0311506675098</v>
      </c>
      <c r="N2540" s="116">
        <v>2287.8393197711398</v>
      </c>
      <c r="O2540" s="116">
        <v>2237.6199936427201</v>
      </c>
      <c r="P2540" s="116">
        <v>2253.9558169103602</v>
      </c>
      <c r="Q2540" s="116">
        <v>2312.6</v>
      </c>
      <c r="R2540">
        <v>1078870</v>
      </c>
    </row>
    <row r="2541" spans="1:18" x14ac:dyDescent="0.25">
      <c r="A2541" s="170">
        <v>45743</v>
      </c>
      <c r="B2541" s="116">
        <v>2302.52340297821</v>
      </c>
      <c r="C2541" s="116">
        <v>2287.7872531991502</v>
      </c>
      <c r="D2541" s="116">
        <v>2223.2196495619501</v>
      </c>
      <c r="E2541" s="116">
        <v>2229.8121376210102</v>
      </c>
      <c r="F2541" s="116">
        <v>2359.8000000000002</v>
      </c>
      <c r="G2541">
        <v>43412</v>
      </c>
      <c r="H2541" s="116"/>
      <c r="I2541" s="116"/>
      <c r="L2541" s="170">
        <v>45743</v>
      </c>
      <c r="M2541" s="116">
        <v>2291.2325174825201</v>
      </c>
      <c r="N2541" s="116">
        <v>2301.4605848696801</v>
      </c>
      <c r="O2541" s="116">
        <v>2221.6719643992401</v>
      </c>
      <c r="P2541" s="116">
        <v>2239.5104895104901</v>
      </c>
      <c r="Q2541" s="116">
        <v>2363.35</v>
      </c>
      <c r="R2541">
        <v>1696042</v>
      </c>
    </row>
    <row r="2542" spans="1:18" x14ac:dyDescent="0.25">
      <c r="A2542" s="170">
        <v>45744</v>
      </c>
      <c r="B2542" s="116">
        <v>2312.7999284820298</v>
      </c>
      <c r="C2542" s="116">
        <v>2250.8984045746001</v>
      </c>
      <c r="D2542" s="116">
        <v>2226.758264476</v>
      </c>
      <c r="E2542" s="116">
        <v>2287.3994597839101</v>
      </c>
      <c r="F2542" s="116">
        <v>2321.75</v>
      </c>
      <c r="G2542">
        <v>48736</v>
      </c>
      <c r="H2542" s="116"/>
      <c r="I2542" s="116"/>
      <c r="L2542" s="170">
        <v>45744</v>
      </c>
      <c r="M2542" s="116">
        <v>2245.13350286078</v>
      </c>
      <c r="N2542" s="116">
        <v>2314.1123649078199</v>
      </c>
      <c r="O2542" s="116">
        <v>2223.7078830260598</v>
      </c>
      <c r="P2542" s="116">
        <v>2303.4965034964998</v>
      </c>
      <c r="Q2542" s="116">
        <v>2315.8000000000002</v>
      </c>
      <c r="R2542">
        <v>1838836</v>
      </c>
    </row>
    <row r="2543" spans="1:18" x14ac:dyDescent="0.25">
      <c r="A2543" s="170">
        <v>45748</v>
      </c>
      <c r="B2543" s="116">
        <v>2286.6238729534398</v>
      </c>
      <c r="C2543" s="116">
        <v>2264.2772774003201</v>
      </c>
      <c r="D2543" s="116">
        <v>2230.8300953360099</v>
      </c>
      <c r="E2543" s="116">
        <v>2249.05638585221</v>
      </c>
      <c r="F2543" s="116">
        <v>2335.5500000000002</v>
      </c>
      <c r="G2543">
        <v>46768</v>
      </c>
      <c r="H2543" s="116"/>
      <c r="I2543" s="116"/>
      <c r="L2543" s="170">
        <v>45748</v>
      </c>
      <c r="M2543" s="116">
        <v>2263.9899872854398</v>
      </c>
      <c r="N2543" s="116">
        <v>2286.9667832167802</v>
      </c>
      <c r="O2543" s="116">
        <v>2230.7851239669399</v>
      </c>
      <c r="P2543" s="116">
        <v>2241.4494596312802</v>
      </c>
      <c r="Q2543" s="116">
        <v>2335.25</v>
      </c>
      <c r="R2543">
        <v>501942</v>
      </c>
    </row>
    <row r="2544" spans="1:18" x14ac:dyDescent="0.25">
      <c r="A2544" s="170">
        <v>45749</v>
      </c>
      <c r="B2544" s="116">
        <v>2305.9165953615502</v>
      </c>
      <c r="C2544" s="116">
        <v>2296.9003984572601</v>
      </c>
      <c r="D2544" s="116">
        <v>2244.0635456310201</v>
      </c>
      <c r="E2544" s="116">
        <v>2264.2772774003201</v>
      </c>
      <c r="F2544" s="116">
        <v>2369.1999999999998</v>
      </c>
      <c r="G2544">
        <v>37025</v>
      </c>
      <c r="H2544" s="116"/>
      <c r="I2544" s="116"/>
      <c r="L2544" s="170">
        <v>45749</v>
      </c>
      <c r="M2544" s="116">
        <v>2297.0979020978998</v>
      </c>
      <c r="N2544" s="116">
        <v>2306.2595359186298</v>
      </c>
      <c r="O2544" s="116">
        <v>2243.9216465352802</v>
      </c>
      <c r="P2544" s="116">
        <v>2268.3526700572202</v>
      </c>
      <c r="Q2544" s="116">
        <v>2369.4</v>
      </c>
      <c r="R2544">
        <v>573928</v>
      </c>
    </row>
    <row r="2545" spans="1:18" x14ac:dyDescent="0.25">
      <c r="A2545" s="170">
        <v>45750</v>
      </c>
      <c r="B2545" s="116">
        <v>2355.4572041582601</v>
      </c>
      <c r="C2545" s="116">
        <v>2338.2488713570501</v>
      </c>
      <c r="D2545" s="116">
        <v>2264.2772774003201</v>
      </c>
      <c r="E2545" s="116">
        <v>2264.2772774003201</v>
      </c>
      <c r="F2545" s="116">
        <v>2411.85</v>
      </c>
      <c r="G2545">
        <v>46513</v>
      </c>
      <c r="H2545" s="116"/>
      <c r="I2545" s="116"/>
      <c r="L2545" s="170">
        <v>45750</v>
      </c>
      <c r="M2545" s="116">
        <v>2337.2345835982201</v>
      </c>
      <c r="N2545" s="116">
        <v>2355.7517482517501</v>
      </c>
      <c r="O2545" s="116">
        <v>2268.3041958041999</v>
      </c>
      <c r="P2545" s="116">
        <v>2268.3526700572202</v>
      </c>
      <c r="Q2545" s="116">
        <v>2410.8000000000002</v>
      </c>
      <c r="R2545">
        <v>1023200</v>
      </c>
    </row>
    <row r="2546" spans="1:18" x14ac:dyDescent="0.25">
      <c r="A2546" s="170">
        <v>45751</v>
      </c>
      <c r="B2546" s="116">
        <v>2332.0441767132402</v>
      </c>
      <c r="C2546" s="116">
        <v>2263.3562680391301</v>
      </c>
      <c r="D2546" s="116">
        <v>2245.7116676457799</v>
      </c>
      <c r="E2546" s="116">
        <v>2317.3080269341799</v>
      </c>
      <c r="F2546" s="116">
        <v>2334.6</v>
      </c>
      <c r="G2546">
        <v>48906</v>
      </c>
      <c r="H2546" s="116"/>
      <c r="I2546" s="116"/>
      <c r="L2546" s="170">
        <v>45751</v>
      </c>
      <c r="M2546" s="116">
        <v>2263.4082962492098</v>
      </c>
      <c r="N2546" s="116">
        <v>2336.5074698029198</v>
      </c>
      <c r="O2546" s="116">
        <v>2244.84265734266</v>
      </c>
      <c r="P2546" s="116">
        <v>2321.8682453909701</v>
      </c>
      <c r="Q2546" s="116">
        <v>2334.65</v>
      </c>
      <c r="R2546">
        <v>1219733</v>
      </c>
    </row>
    <row r="2547" spans="1:18" x14ac:dyDescent="0.25">
      <c r="A2547" s="170">
        <v>45754</v>
      </c>
      <c r="B2547" s="116">
        <v>2170.4797450895298</v>
      </c>
      <c r="C2547" s="116">
        <v>2145.7579148680802</v>
      </c>
      <c r="D2547" s="116">
        <v>2084.38960690659</v>
      </c>
      <c r="E2547" s="116">
        <v>2132.8637838114</v>
      </c>
      <c r="F2547" s="116">
        <v>2213.3000000000002</v>
      </c>
      <c r="G2547">
        <v>71323</v>
      </c>
      <c r="H2547" s="116"/>
      <c r="I2547" s="116"/>
      <c r="L2547" s="170">
        <v>45754</v>
      </c>
      <c r="M2547" s="116">
        <v>2145.1795931341399</v>
      </c>
      <c r="N2547" s="116">
        <v>2170.6770502224999</v>
      </c>
      <c r="O2547" s="116">
        <v>2079.54545454545</v>
      </c>
      <c r="P2547" s="116">
        <v>2084.4413541004501</v>
      </c>
      <c r="Q2547" s="116">
        <v>2212.6999999999998</v>
      </c>
      <c r="R2547">
        <v>1567177</v>
      </c>
    </row>
    <row r="2548" spans="1:18" x14ac:dyDescent="0.25">
      <c r="A2548" s="170">
        <v>45755</v>
      </c>
      <c r="B2548" s="116">
        <v>2229.6182409133899</v>
      </c>
      <c r="C2548" s="116">
        <v>2215.9969972031399</v>
      </c>
      <c r="D2548" s="116">
        <v>2157.5856140328501</v>
      </c>
      <c r="E2548" s="116">
        <v>2196.3164813797898</v>
      </c>
      <c r="F2548" s="116">
        <v>2285.75</v>
      </c>
      <c r="G2548">
        <v>65027</v>
      </c>
      <c r="H2548" s="116"/>
      <c r="I2548" s="116"/>
      <c r="L2548" s="170">
        <v>45755</v>
      </c>
      <c r="M2548" s="116">
        <v>2215.9520025429101</v>
      </c>
      <c r="N2548" s="116">
        <v>2230.7851239669399</v>
      </c>
      <c r="O2548" s="116">
        <v>2157.1042593769898</v>
      </c>
      <c r="P2548" s="116">
        <v>2200.7310870947199</v>
      </c>
      <c r="Q2548" s="116">
        <v>2285.6999999999998</v>
      </c>
      <c r="R2548">
        <v>1224362</v>
      </c>
    </row>
    <row r="2549" spans="1:18" x14ac:dyDescent="0.25">
      <c r="A2549" s="170">
        <v>45756</v>
      </c>
      <c r="B2549" s="116">
        <v>2207.3685937140799</v>
      </c>
      <c r="C2549" s="116">
        <v>2169.1709423131001</v>
      </c>
      <c r="D2549" s="116">
        <v>2148.32704624403</v>
      </c>
      <c r="E2549" s="116">
        <v>2198.9825611095498</v>
      </c>
      <c r="F2549" s="116">
        <v>2237.4499999999998</v>
      </c>
      <c r="G2549">
        <v>46983</v>
      </c>
      <c r="H2549" s="116"/>
      <c r="I2549" s="116"/>
      <c r="L2549" s="170">
        <v>45756</v>
      </c>
      <c r="M2549" s="116">
        <v>2168.6411315956798</v>
      </c>
      <c r="N2549" s="116">
        <v>2209.9896694214899</v>
      </c>
      <c r="O2549" s="116">
        <v>2147.60330578512</v>
      </c>
      <c r="P2549" s="116">
        <v>2196.56230133503</v>
      </c>
      <c r="Q2549" s="116">
        <v>2236.9</v>
      </c>
      <c r="R2549">
        <v>1001633</v>
      </c>
    </row>
    <row r="2550" spans="1:18" x14ac:dyDescent="0.25">
      <c r="A2550" s="170">
        <v>45758</v>
      </c>
      <c r="B2550" s="116">
        <v>2271.2090846977098</v>
      </c>
      <c r="C2550" s="116">
        <v>2250.8984045746001</v>
      </c>
      <c r="D2550" s="116">
        <v>2212.5553306429001</v>
      </c>
      <c r="E2550" s="116">
        <v>2216.33631644147</v>
      </c>
      <c r="F2550" s="116">
        <v>2321.75</v>
      </c>
      <c r="G2550">
        <v>111663</v>
      </c>
      <c r="H2550" s="116"/>
      <c r="I2550" s="116"/>
      <c r="L2550" s="170">
        <v>45758</v>
      </c>
      <c r="M2550" s="116">
        <v>2250.56261919898</v>
      </c>
      <c r="N2550" s="116">
        <v>2271.9882390336902</v>
      </c>
      <c r="O2550" s="116">
        <v>2211.3954227590598</v>
      </c>
      <c r="P2550" s="116">
        <v>2232.7725683407498</v>
      </c>
      <c r="Q2550" s="116">
        <v>2321.4</v>
      </c>
      <c r="R2550">
        <v>981463</v>
      </c>
    </row>
    <row r="2551" spans="1:18" x14ac:dyDescent="0.25">
      <c r="A2551" s="170">
        <v>45762</v>
      </c>
      <c r="B2551" s="116">
        <v>2364.61882359327</v>
      </c>
      <c r="C2551" s="116">
        <v>2344.8898335930098</v>
      </c>
      <c r="D2551" s="116">
        <v>2285.2665960001</v>
      </c>
      <c r="E2551" s="116">
        <v>2297.6759852877299</v>
      </c>
      <c r="F2551" s="116">
        <v>2418.6999999999998</v>
      </c>
      <c r="G2551">
        <v>108553</v>
      </c>
      <c r="H2551" s="116"/>
      <c r="I2551" s="116"/>
      <c r="L2551" s="170">
        <v>45762</v>
      </c>
      <c r="M2551" s="116">
        <v>2344.4087730451402</v>
      </c>
      <c r="N2551" s="116">
        <v>2365.5435473617299</v>
      </c>
      <c r="O2551" s="116">
        <v>2287.0152574698</v>
      </c>
      <c r="P2551" s="116">
        <v>2302.5270184361102</v>
      </c>
      <c r="Q2551" s="116">
        <v>2418.1999999999998</v>
      </c>
      <c r="R2551">
        <v>1145125</v>
      </c>
    </row>
    <row r="2552" spans="1:18" x14ac:dyDescent="0.25">
      <c r="A2552" s="170">
        <v>45763</v>
      </c>
      <c r="B2552" s="116">
        <v>2352.7911244284901</v>
      </c>
      <c r="C2552" s="116">
        <v>2341.44816703277</v>
      </c>
      <c r="D2552" s="116">
        <v>2311.2487548210802</v>
      </c>
      <c r="E2552" s="116">
        <v>2331.6079091211</v>
      </c>
      <c r="F2552" s="116">
        <v>2415.15</v>
      </c>
      <c r="G2552">
        <v>63819</v>
      </c>
      <c r="H2552" s="116"/>
      <c r="I2552" s="116"/>
      <c r="L2552" s="170">
        <v>45763</v>
      </c>
      <c r="M2552" s="116">
        <v>2341.88811188811</v>
      </c>
      <c r="N2552" s="116">
        <v>2353.9097266369999</v>
      </c>
      <c r="O2552" s="116">
        <v>2310.1859504132199</v>
      </c>
      <c r="P2552" s="116">
        <v>2326.7641449459602</v>
      </c>
      <c r="Q2552" s="116">
        <v>2415.6</v>
      </c>
      <c r="R2552">
        <v>889949</v>
      </c>
    </row>
    <row r="2553" spans="1:18" x14ac:dyDescent="0.25">
      <c r="A2553" s="170">
        <v>45764</v>
      </c>
      <c r="B2553" s="116">
        <v>2373.8773913820801</v>
      </c>
      <c r="C2553" s="116">
        <v>2344.2596692932502</v>
      </c>
      <c r="D2553" s="116">
        <v>2319.9741066639399</v>
      </c>
      <c r="E2553" s="116">
        <v>2342.32070221706</v>
      </c>
      <c r="F2553" s="116">
        <v>2418.0500000000002</v>
      </c>
      <c r="G2553">
        <v>36834</v>
      </c>
      <c r="H2553" s="116"/>
      <c r="I2553" s="116"/>
      <c r="L2553" s="170">
        <v>45764</v>
      </c>
      <c r="M2553" s="116">
        <v>2344.3118245391001</v>
      </c>
      <c r="N2553" s="116">
        <v>2373.8811188811201</v>
      </c>
      <c r="O2553" s="116">
        <v>2319.0082644628101</v>
      </c>
      <c r="P2553" s="116">
        <v>2344.2148760330601</v>
      </c>
      <c r="Q2553" s="116">
        <v>2418.1</v>
      </c>
      <c r="R2553">
        <v>1054797</v>
      </c>
    </row>
    <row r="2554" spans="1:18" x14ac:dyDescent="0.25">
      <c r="A2554" s="170">
        <v>45768</v>
      </c>
      <c r="B2554" s="116">
        <v>2387.78948015376</v>
      </c>
      <c r="C2554" s="116">
        <v>2368.15743850732</v>
      </c>
      <c r="D2554" s="116">
        <v>2323.3672990472801</v>
      </c>
      <c r="E2554" s="116">
        <v>2359.8198800796899</v>
      </c>
      <c r="F2554" s="116">
        <v>2442.6999999999998</v>
      </c>
      <c r="G2554">
        <v>34565</v>
      </c>
      <c r="H2554" s="116"/>
      <c r="I2554" s="116"/>
      <c r="L2554" s="170">
        <v>45768</v>
      </c>
      <c r="M2554" s="116">
        <v>2368.1611570247901</v>
      </c>
      <c r="N2554" s="116">
        <v>2389.6837253655399</v>
      </c>
      <c r="O2554" s="116">
        <v>2322.4014621741899</v>
      </c>
      <c r="P2554" s="116">
        <v>2352.0677050222498</v>
      </c>
      <c r="Q2554" s="116">
        <v>2442.6999999999998</v>
      </c>
      <c r="R2554">
        <v>782559</v>
      </c>
    </row>
    <row r="2555" spans="1:18" x14ac:dyDescent="0.25">
      <c r="A2555" s="170">
        <v>45769</v>
      </c>
      <c r="B2555" s="116">
        <v>2407.8577893923498</v>
      </c>
      <c r="C2555" s="116">
        <v>2370.1448797604098</v>
      </c>
      <c r="D2555" s="116">
        <v>2366.5577906694598</v>
      </c>
      <c r="E2555" s="116">
        <v>2375.4285650430402</v>
      </c>
      <c r="F2555" s="116">
        <v>2444.75</v>
      </c>
      <c r="G2555">
        <v>60207</v>
      </c>
      <c r="H2555" s="116"/>
      <c r="I2555" s="116"/>
      <c r="L2555" s="170">
        <v>45769</v>
      </c>
      <c r="M2555" s="116">
        <v>2370.8757151938999</v>
      </c>
      <c r="N2555" s="116">
        <v>2407.6191989828399</v>
      </c>
      <c r="O2555" s="116">
        <v>2366.51303242212</v>
      </c>
      <c r="P2555" s="116">
        <v>2383.8668150031799</v>
      </c>
      <c r="Q2555" s="116">
        <v>2445.5</v>
      </c>
      <c r="R2555">
        <v>766567</v>
      </c>
    </row>
    <row r="2556" spans="1:18" x14ac:dyDescent="0.25">
      <c r="A2556" s="170">
        <v>45770</v>
      </c>
      <c r="B2556" s="116">
        <v>2397.4843155347198</v>
      </c>
      <c r="C2556" s="116">
        <v>2378.4339640111398</v>
      </c>
      <c r="D2556" s="116">
        <v>2347.41049079206</v>
      </c>
      <c r="E2556" s="116">
        <v>2375.5255133968499</v>
      </c>
      <c r="F2556" s="116">
        <v>2453.3000000000002</v>
      </c>
      <c r="G2556">
        <v>39690</v>
      </c>
      <c r="H2556" s="116"/>
      <c r="I2556" s="116"/>
      <c r="L2556" s="170">
        <v>45770</v>
      </c>
      <c r="M2556" s="116">
        <v>2378.72854418309</v>
      </c>
      <c r="N2556" s="116">
        <v>2398.3121424030501</v>
      </c>
      <c r="O2556" s="116">
        <v>2347.3172282263199</v>
      </c>
      <c r="P2556" s="116">
        <v>2384.93324856961</v>
      </c>
      <c r="Q2556" s="116">
        <v>2453.6</v>
      </c>
      <c r="R2556">
        <v>672262</v>
      </c>
    </row>
    <row r="2557" spans="1:18" x14ac:dyDescent="0.25">
      <c r="A2557" s="170">
        <v>45771</v>
      </c>
      <c r="B2557" s="116">
        <v>2384.9295037163802</v>
      </c>
      <c r="C2557" s="116">
        <v>2367.0425324385101</v>
      </c>
      <c r="D2557" s="116">
        <v>2352.9365469592099</v>
      </c>
      <c r="E2557" s="116">
        <v>2377.9492222420899</v>
      </c>
      <c r="F2557" s="116">
        <v>2441.5500000000002</v>
      </c>
      <c r="G2557">
        <v>26695</v>
      </c>
      <c r="H2557" s="116"/>
      <c r="I2557" s="116"/>
      <c r="L2557" s="170">
        <v>45771</v>
      </c>
      <c r="M2557" s="116">
        <v>2367.9672600127101</v>
      </c>
      <c r="N2557" s="116">
        <v>2386.2905276541601</v>
      </c>
      <c r="O2557" s="116">
        <v>2351.0982199618602</v>
      </c>
      <c r="P2557" s="116">
        <v>2375.2383979656702</v>
      </c>
      <c r="Q2557" s="116">
        <v>2442.5</v>
      </c>
      <c r="R2557">
        <v>596696</v>
      </c>
    </row>
    <row r="2558" spans="1:18" x14ac:dyDescent="0.25">
      <c r="A2558" s="170">
        <v>45772</v>
      </c>
      <c r="B2558" s="116">
        <v>2383.6691751168601</v>
      </c>
      <c r="C2558" s="116">
        <v>2279.5466431253399</v>
      </c>
      <c r="D2558" s="116">
        <v>2254.04922607341</v>
      </c>
      <c r="E2558" s="116">
        <v>2373.2957012592301</v>
      </c>
      <c r="F2558" s="116">
        <v>2351.3000000000002</v>
      </c>
      <c r="G2558">
        <v>53445</v>
      </c>
      <c r="H2558" s="116"/>
      <c r="I2558" s="116"/>
      <c r="L2558" s="170">
        <v>45772</v>
      </c>
      <c r="M2558" s="116">
        <v>2282.4586776859501</v>
      </c>
      <c r="N2558" s="116">
        <v>2384.44850603942</v>
      </c>
      <c r="O2558" s="116">
        <v>2252.5985378258101</v>
      </c>
      <c r="P2558" s="116">
        <v>2375.3353464717102</v>
      </c>
      <c r="Q2558" s="116">
        <v>2354.3000000000002</v>
      </c>
      <c r="R2558">
        <v>1414809</v>
      </c>
    </row>
    <row r="2559" spans="1:18" x14ac:dyDescent="0.25">
      <c r="A2559" s="170">
        <v>45775</v>
      </c>
      <c r="B2559" s="116">
        <v>2328.06929420704</v>
      </c>
      <c r="C2559" s="116">
        <v>2297.0458209879698</v>
      </c>
      <c r="D2559" s="116">
        <v>2259.13901464841</v>
      </c>
      <c r="E2559" s="116">
        <v>2259.13901464841</v>
      </c>
      <c r="F2559" s="116">
        <v>2369.35</v>
      </c>
      <c r="G2559">
        <v>27469</v>
      </c>
      <c r="H2559" s="116"/>
      <c r="I2559" s="116"/>
      <c r="L2559" s="170">
        <v>45775</v>
      </c>
      <c r="M2559" s="116">
        <v>2297.4856961220598</v>
      </c>
      <c r="N2559" s="116">
        <v>2328.7031150667499</v>
      </c>
      <c r="O2559" s="116">
        <v>2266.2682771773698</v>
      </c>
      <c r="P2559" s="116">
        <v>2274.4119516846799</v>
      </c>
      <c r="Q2559" s="116">
        <v>2369.8000000000002</v>
      </c>
      <c r="R2559">
        <v>681421</v>
      </c>
    </row>
    <row r="2560" spans="1:18" x14ac:dyDescent="0.25">
      <c r="A2560" s="170">
        <v>45776</v>
      </c>
      <c r="B2560" s="116">
        <v>2326.7604914306098</v>
      </c>
      <c r="C2560" s="116">
        <v>2259.8176531250801</v>
      </c>
      <c r="D2560" s="116">
        <v>2255.0187096115001</v>
      </c>
      <c r="E2560" s="116">
        <v>2307.6131915532201</v>
      </c>
      <c r="F2560" s="116">
        <v>2330.9499999999998</v>
      </c>
      <c r="G2560">
        <v>29850</v>
      </c>
      <c r="H2560" s="116"/>
      <c r="I2560" s="116"/>
      <c r="L2560" s="170">
        <v>45776</v>
      </c>
      <c r="M2560" s="116">
        <v>2259.4818817546102</v>
      </c>
      <c r="N2560" s="116">
        <v>2326.7641449459602</v>
      </c>
      <c r="O2560" s="116">
        <v>2254.6344564526398</v>
      </c>
      <c r="P2560" s="116">
        <v>2319.0082644628101</v>
      </c>
      <c r="Q2560" s="116">
        <v>2330.6</v>
      </c>
      <c r="R2560">
        <v>670730</v>
      </c>
    </row>
    <row r="2561" spans="1:18" x14ac:dyDescent="0.25">
      <c r="A2561" s="170">
        <v>45777</v>
      </c>
      <c r="B2561" s="116">
        <v>2268.3975824372301</v>
      </c>
      <c r="C2561" s="116">
        <v>2227.5823254833799</v>
      </c>
      <c r="D2561" s="116">
        <v>2219.1478187019502</v>
      </c>
      <c r="E2561" s="116">
        <v>2258.8966437638901</v>
      </c>
      <c r="F2561" s="116">
        <v>2297.6999999999998</v>
      </c>
      <c r="G2561">
        <v>56414</v>
      </c>
      <c r="H2561" s="116"/>
      <c r="I2561" s="116"/>
      <c r="L2561" s="170">
        <v>45777</v>
      </c>
      <c r="M2561" s="116">
        <v>2231.0759694850599</v>
      </c>
      <c r="N2561" s="116">
        <v>2268.59504132231</v>
      </c>
      <c r="O2561" s="116">
        <v>2215.2733630006401</v>
      </c>
      <c r="P2561" s="116">
        <v>2260.2574698029198</v>
      </c>
      <c r="Q2561" s="116">
        <v>2301.3000000000002</v>
      </c>
      <c r="R2561">
        <v>837464</v>
      </c>
    </row>
    <row r="2562" spans="1:18" x14ac:dyDescent="0.25">
      <c r="A2562" s="170">
        <v>45779</v>
      </c>
      <c r="B2562" s="116">
        <v>2297.6759852877299</v>
      </c>
      <c r="C2562" s="116">
        <v>2223.17117538505</v>
      </c>
      <c r="D2562" s="116">
        <v>2220.1173022400399</v>
      </c>
      <c r="E2562" s="116">
        <v>2287.98114990677</v>
      </c>
      <c r="F2562" s="116">
        <v>2293.15</v>
      </c>
      <c r="G2562">
        <v>85963</v>
      </c>
      <c r="H2562" s="116"/>
      <c r="I2562" s="116"/>
      <c r="L2562" s="170">
        <v>45779</v>
      </c>
      <c r="M2562" s="116">
        <v>2224.1926255562598</v>
      </c>
      <c r="N2562" s="116">
        <v>2300.00635727908</v>
      </c>
      <c r="O2562" s="116">
        <v>2219.5390972663699</v>
      </c>
      <c r="P2562" s="116">
        <v>2278.1929434202202</v>
      </c>
      <c r="Q2562" s="116">
        <v>2294.1999999999998</v>
      </c>
      <c r="R2562">
        <v>1958739</v>
      </c>
    </row>
    <row r="2563" spans="1:18" x14ac:dyDescent="0.25">
      <c r="A2563" s="170">
        <v>45782</v>
      </c>
      <c r="B2563" s="116">
        <v>2420.7034462721299</v>
      </c>
      <c r="C2563" s="116">
        <v>2377.8522738882798</v>
      </c>
      <c r="D2563" s="116">
        <v>2229.3758700288599</v>
      </c>
      <c r="E2563" s="116">
        <v>2230.92704368982</v>
      </c>
      <c r="F2563" s="116">
        <v>2452.6999999999998</v>
      </c>
      <c r="G2563">
        <v>216943</v>
      </c>
      <c r="H2563" s="116"/>
      <c r="I2563" s="116"/>
      <c r="L2563" s="170">
        <v>45782</v>
      </c>
      <c r="M2563" s="116">
        <v>2380.5705657978401</v>
      </c>
      <c r="N2563" s="116">
        <v>2420.8041958041999</v>
      </c>
      <c r="O2563" s="116">
        <v>2227.6827717736801</v>
      </c>
      <c r="P2563" s="116">
        <v>2242.0311506675098</v>
      </c>
      <c r="Q2563" s="116">
        <v>2455.5</v>
      </c>
      <c r="R2563">
        <v>4227194</v>
      </c>
    </row>
    <row r="2564" spans="1:18" x14ac:dyDescent="0.25">
      <c r="A2564" s="170">
        <v>45783</v>
      </c>
      <c r="B2564" s="116">
        <v>2387.8379543306701</v>
      </c>
      <c r="C2564" s="116">
        <v>2281.4856102015301</v>
      </c>
      <c r="D2564" s="116">
        <v>2273.4388968353301</v>
      </c>
      <c r="E2564" s="116">
        <v>2380.0820860259</v>
      </c>
      <c r="F2564" s="116">
        <v>2353.3000000000002</v>
      </c>
      <c r="G2564">
        <v>64269</v>
      </c>
      <c r="H2564" s="116"/>
      <c r="I2564" s="116"/>
      <c r="L2564" s="170">
        <v>45783</v>
      </c>
      <c r="M2564" s="116">
        <v>2282.1678321678301</v>
      </c>
      <c r="N2564" s="116">
        <v>2388.0356007628702</v>
      </c>
      <c r="O2564" s="116">
        <v>2271.9882390336902</v>
      </c>
      <c r="P2564" s="116">
        <v>2379.11633820725</v>
      </c>
      <c r="Q2564" s="116">
        <v>2354</v>
      </c>
      <c r="R2564">
        <v>1524692</v>
      </c>
    </row>
    <row r="2565" spans="1:18" x14ac:dyDescent="0.25">
      <c r="A2565" s="170">
        <v>45784</v>
      </c>
      <c r="B2565" s="116">
        <v>2306.2074404229802</v>
      </c>
      <c r="C2565" s="116">
        <v>2283.5699998084301</v>
      </c>
      <c r="D2565" s="116">
        <v>2200.3398380628801</v>
      </c>
      <c r="E2565" s="116">
        <v>2200.3398380628801</v>
      </c>
      <c r="F2565" s="116">
        <v>2355.4499999999998</v>
      </c>
      <c r="G2565">
        <v>48477</v>
      </c>
      <c r="H2565" s="116"/>
      <c r="I2565" s="116"/>
      <c r="L2565" s="170">
        <v>45784</v>
      </c>
      <c r="M2565" s="116">
        <v>2281.29529561348</v>
      </c>
      <c r="N2565" s="116">
        <v>2306.8897012078801</v>
      </c>
      <c r="O2565" s="116">
        <v>2244.35791481246</v>
      </c>
      <c r="P2565" s="116">
        <v>2244.35791481246</v>
      </c>
      <c r="Q2565" s="116">
        <v>2353.1</v>
      </c>
      <c r="R2565">
        <v>1012640</v>
      </c>
    </row>
    <row r="2566" spans="1:18" x14ac:dyDescent="0.25">
      <c r="A2566" s="170">
        <v>45785</v>
      </c>
      <c r="B2566" s="116">
        <v>2294.9614313810598</v>
      </c>
      <c r="C2566" s="116">
        <v>2215.75462631861</v>
      </c>
      <c r="D2566" s="116">
        <v>2192.0507538121601</v>
      </c>
      <c r="E2566" s="116">
        <v>2281.6795069091499</v>
      </c>
      <c r="F2566" s="116">
        <v>2285.5</v>
      </c>
      <c r="G2566">
        <v>82102</v>
      </c>
      <c r="H2566" s="116"/>
      <c r="I2566" s="116"/>
      <c r="L2566" s="170">
        <v>45785</v>
      </c>
      <c r="M2566" s="116">
        <v>2215.5642085187501</v>
      </c>
      <c r="N2566" s="116">
        <v>2295.5467260012701</v>
      </c>
      <c r="O2566" s="116">
        <v>2191.0362364907801</v>
      </c>
      <c r="P2566" s="116">
        <v>2289.9237126509902</v>
      </c>
      <c r="Q2566" s="116">
        <v>2285.3000000000002</v>
      </c>
      <c r="R2566">
        <v>1380069</v>
      </c>
    </row>
    <row r="2567" spans="1:18" x14ac:dyDescent="0.25">
      <c r="A2567" s="170">
        <v>45786</v>
      </c>
      <c r="B2567" s="116">
        <v>2201.6971150162199</v>
      </c>
      <c r="C2567" s="116">
        <v>2183.03455690787</v>
      </c>
      <c r="D2567" s="116">
        <v>2162.1421866618998</v>
      </c>
      <c r="E2567" s="116">
        <v>2162.1421866618998</v>
      </c>
      <c r="F2567" s="116">
        <v>2251.75</v>
      </c>
      <c r="G2567">
        <v>89386</v>
      </c>
      <c r="H2567" s="116"/>
      <c r="I2567" s="116"/>
      <c r="L2567" s="170">
        <v>45786</v>
      </c>
      <c r="M2567" s="116">
        <v>2182.3108709472299</v>
      </c>
      <c r="N2567" s="116">
        <v>2203.7364907819501</v>
      </c>
      <c r="O2567" s="116">
        <v>2164.86013986014</v>
      </c>
      <c r="P2567" s="116">
        <v>2171.6465352829</v>
      </c>
      <c r="Q2567" s="116">
        <v>2251</v>
      </c>
      <c r="R2567">
        <v>1006000</v>
      </c>
    </row>
    <row r="2568" spans="1:18" x14ac:dyDescent="0.25">
      <c r="A2568" s="170">
        <v>45789</v>
      </c>
      <c r="B2568" s="116">
        <v>2358.94734489541</v>
      </c>
      <c r="C2568" s="116">
        <v>2350.65826064468</v>
      </c>
      <c r="D2568" s="116">
        <v>2258.21800528722</v>
      </c>
      <c r="E2568" s="116">
        <v>2279.2557980639099</v>
      </c>
      <c r="F2568" s="116">
        <v>2424.65</v>
      </c>
      <c r="G2568">
        <v>213149</v>
      </c>
      <c r="H2568" s="116"/>
      <c r="I2568" s="116"/>
      <c r="L2568" s="170">
        <v>45789</v>
      </c>
      <c r="M2568" s="116">
        <v>2351.2921169739402</v>
      </c>
      <c r="N2568" s="116">
        <v>2359.0479974570899</v>
      </c>
      <c r="O2568" s="116">
        <v>2244.35791481246</v>
      </c>
      <c r="P2568" s="116">
        <v>2278.2898919262602</v>
      </c>
      <c r="Q2568" s="116">
        <v>2425.3000000000002</v>
      </c>
      <c r="R2568">
        <v>2147039</v>
      </c>
    </row>
    <row r="2569" spans="1:18" x14ac:dyDescent="0.25">
      <c r="A2569" s="170">
        <v>45790</v>
      </c>
      <c r="B2569" s="116">
        <v>2379.9366634951898</v>
      </c>
      <c r="C2569" s="116">
        <v>2366.41236813875</v>
      </c>
      <c r="D2569" s="116">
        <v>2330.2506321677602</v>
      </c>
      <c r="E2569" s="116">
        <v>2341.6420637403899</v>
      </c>
      <c r="F2569" s="116">
        <v>2440.9</v>
      </c>
      <c r="G2569">
        <v>60425</v>
      </c>
      <c r="H2569" s="116"/>
      <c r="I2569" s="116"/>
      <c r="L2569" s="170">
        <v>45790</v>
      </c>
      <c r="M2569" s="116">
        <v>2366.7069294342</v>
      </c>
      <c r="N2569" s="116">
        <v>2379.9888747616001</v>
      </c>
      <c r="O2569" s="116">
        <v>2331.6115702479301</v>
      </c>
      <c r="P2569" s="116">
        <v>2351.0012714558202</v>
      </c>
      <c r="Q2569" s="116">
        <v>2441.1999999999998</v>
      </c>
      <c r="R2569">
        <v>1815179</v>
      </c>
    </row>
    <row r="2570" spans="1:18" x14ac:dyDescent="0.25">
      <c r="A2570" s="170">
        <v>45791</v>
      </c>
      <c r="B2570" s="116">
        <v>2405.2401838394899</v>
      </c>
      <c r="C2570" s="116">
        <v>2386.0444097851901</v>
      </c>
      <c r="D2570" s="116">
        <v>2358.7534481877901</v>
      </c>
      <c r="E2570" s="116">
        <v>2367.0910066154102</v>
      </c>
      <c r="F2570" s="116">
        <v>2461.15</v>
      </c>
      <c r="G2570">
        <v>32633</v>
      </c>
      <c r="H2570" s="116"/>
      <c r="I2570" s="116"/>
      <c r="L2570" s="170">
        <v>45791</v>
      </c>
      <c r="M2570" s="116">
        <v>2386.7752701843601</v>
      </c>
      <c r="N2570" s="116">
        <v>2406.1649713922402</v>
      </c>
      <c r="O2570" s="116">
        <v>2355.9456452638301</v>
      </c>
      <c r="P2570" s="116">
        <v>2370.2940241576598</v>
      </c>
      <c r="Q2570" s="116">
        <v>2461.9</v>
      </c>
      <c r="R2570">
        <v>774441</v>
      </c>
    </row>
    <row r="2571" spans="1:18" x14ac:dyDescent="0.25">
      <c r="A2571" s="170">
        <v>45792</v>
      </c>
      <c r="B2571" s="116">
        <v>2449.7394782381002</v>
      </c>
      <c r="C2571" s="116">
        <v>2441.7897132257199</v>
      </c>
      <c r="D2571" s="116">
        <v>2377.1736354116101</v>
      </c>
      <c r="E2571" s="116">
        <v>2386.7715224387598</v>
      </c>
      <c r="F2571" s="116">
        <v>2518.65</v>
      </c>
      <c r="G2571">
        <v>87467</v>
      </c>
      <c r="H2571" s="116"/>
      <c r="I2571" s="116"/>
      <c r="L2571" s="170">
        <v>45792</v>
      </c>
      <c r="M2571" s="116">
        <v>2443.1023521932598</v>
      </c>
      <c r="N2571" s="116">
        <v>2449.6948506039398</v>
      </c>
      <c r="O2571" s="116">
        <v>2375.9170375079502</v>
      </c>
      <c r="P2571" s="116">
        <v>2388.2294977749498</v>
      </c>
      <c r="Q2571" s="116">
        <v>2520</v>
      </c>
      <c r="R2571">
        <v>1554801</v>
      </c>
    </row>
    <row r="2572" spans="1:18" x14ac:dyDescent="0.25">
      <c r="A2572" s="170">
        <v>45793</v>
      </c>
      <c r="B2572" s="116">
        <v>2505.48478167863</v>
      </c>
      <c r="C2572" s="116">
        <v>2477.22433654313</v>
      </c>
      <c r="D2572" s="116">
        <v>2441.7897132257199</v>
      </c>
      <c r="E2572" s="116">
        <v>2443.2924127097599</v>
      </c>
      <c r="F2572" s="116">
        <v>2555.1999999999998</v>
      </c>
      <c r="G2572">
        <v>57836</v>
      </c>
      <c r="H2572" s="116"/>
      <c r="I2572" s="116"/>
      <c r="L2572" s="170">
        <v>45793</v>
      </c>
      <c r="M2572" s="116">
        <v>2477.03432930706</v>
      </c>
      <c r="N2572" s="116">
        <v>2505.3432930705699</v>
      </c>
      <c r="O2572" s="116">
        <v>2439.41830896376</v>
      </c>
      <c r="P2572" s="116">
        <v>2451.82771773681</v>
      </c>
      <c r="Q2572" s="116">
        <v>2555</v>
      </c>
      <c r="R2572">
        <v>1641135</v>
      </c>
    </row>
    <row r="2573" spans="1:18" x14ac:dyDescent="0.25">
      <c r="A2573" s="170">
        <v>45796</v>
      </c>
      <c r="B2573" s="116">
        <v>2499.3285612117202</v>
      </c>
      <c r="C2573" s="116">
        <v>2462.7305576485901</v>
      </c>
      <c r="D2573" s="116">
        <v>2459.6282103266799</v>
      </c>
      <c r="E2573" s="116">
        <v>2493.5116599831399</v>
      </c>
      <c r="F2573" s="116">
        <v>2540.25</v>
      </c>
      <c r="G2573">
        <v>70363</v>
      </c>
      <c r="H2573" s="116"/>
      <c r="I2573" s="116"/>
      <c r="L2573" s="170">
        <v>45796</v>
      </c>
      <c r="M2573" s="116">
        <v>2463.0737444373799</v>
      </c>
      <c r="N2573" s="116">
        <v>2500.1080737444399</v>
      </c>
      <c r="O2573" s="116">
        <v>2458.61411315957</v>
      </c>
      <c r="P2573" s="116">
        <v>2492.8369357914798</v>
      </c>
      <c r="Q2573" s="116">
        <v>2540.6</v>
      </c>
      <c r="R2573">
        <v>681000</v>
      </c>
    </row>
    <row r="2574" spans="1:18" x14ac:dyDescent="0.25">
      <c r="A2574" s="170">
        <v>45797</v>
      </c>
      <c r="B2574" s="116">
        <v>2486.72527521647</v>
      </c>
      <c r="C2574" s="116">
        <v>2423.8057935940301</v>
      </c>
      <c r="D2574" s="116">
        <v>2416.34077035069</v>
      </c>
      <c r="E2574" s="116">
        <v>2467.2871302776398</v>
      </c>
      <c r="F2574" s="116">
        <v>2500.1</v>
      </c>
      <c r="G2574">
        <v>37316</v>
      </c>
      <c r="H2574" s="116"/>
      <c r="I2574" s="116"/>
      <c r="L2574" s="170">
        <v>45797</v>
      </c>
      <c r="M2574" s="116">
        <v>2425.2638270820098</v>
      </c>
      <c r="N2574" s="116">
        <v>2486.5352828989198</v>
      </c>
      <c r="O2574" s="116">
        <v>2416.4415130324201</v>
      </c>
      <c r="P2574" s="116">
        <v>2467.3394787031102</v>
      </c>
      <c r="Q2574" s="116">
        <v>2501.6</v>
      </c>
      <c r="R2574">
        <v>628023</v>
      </c>
    </row>
    <row r="2575" spans="1:18" x14ac:dyDescent="0.25">
      <c r="A2575" s="170">
        <v>45798</v>
      </c>
      <c r="B2575" s="116">
        <v>2446.7340792700102</v>
      </c>
      <c r="C2575" s="116">
        <v>2424.4359578938002</v>
      </c>
      <c r="D2575" s="116">
        <v>2409.0696438149698</v>
      </c>
      <c r="E2575" s="116">
        <v>2428.9440563459402</v>
      </c>
      <c r="F2575" s="116">
        <v>2500.75</v>
      </c>
      <c r="G2575">
        <v>33855</v>
      </c>
      <c r="H2575" s="116"/>
      <c r="I2575" s="116"/>
      <c r="L2575" s="170">
        <v>45798</v>
      </c>
      <c r="M2575" s="116">
        <v>2424.1004450095402</v>
      </c>
      <c r="N2575" s="116">
        <v>2447.4650349650301</v>
      </c>
      <c r="O2575" s="116">
        <v>2407.9100445009499</v>
      </c>
      <c r="P2575" s="116">
        <v>2433.1166560711999</v>
      </c>
      <c r="Q2575" s="116">
        <v>2500.4</v>
      </c>
      <c r="R2575">
        <v>529234</v>
      </c>
    </row>
    <row r="2576" spans="1:18" x14ac:dyDescent="0.25">
      <c r="A2576" s="170">
        <v>45799</v>
      </c>
      <c r="B2576" s="116">
        <v>2444.0679995402402</v>
      </c>
      <c r="C2576" s="116">
        <v>2408.9726954611601</v>
      </c>
      <c r="D2576" s="116">
        <v>2390.74640494496</v>
      </c>
      <c r="E2576" s="116">
        <v>2424.1935870092698</v>
      </c>
      <c r="F2576" s="116">
        <v>2484.8000000000002</v>
      </c>
      <c r="G2576">
        <v>50833</v>
      </c>
      <c r="H2576" s="116"/>
      <c r="I2576" s="116"/>
      <c r="L2576" s="170">
        <v>45799</v>
      </c>
      <c r="M2576" s="116">
        <v>2411.6910362364902</v>
      </c>
      <c r="N2576" s="116">
        <v>2444.9443738080099</v>
      </c>
      <c r="O2576" s="116">
        <v>2390.0715193896999</v>
      </c>
      <c r="P2576" s="116">
        <v>2424.1004450095402</v>
      </c>
      <c r="Q2576" s="116">
        <v>2487.6</v>
      </c>
      <c r="R2576">
        <v>906909</v>
      </c>
    </row>
    <row r="2577" spans="1:18" x14ac:dyDescent="0.25">
      <c r="A2577" s="170">
        <v>45800</v>
      </c>
      <c r="B2577" s="116">
        <v>2470.1471067150301</v>
      </c>
      <c r="C2577" s="116">
        <v>2461.5187032259701</v>
      </c>
      <c r="D2577" s="116">
        <v>2417.9888923654598</v>
      </c>
      <c r="E2577" s="116">
        <v>2419.2007467880799</v>
      </c>
      <c r="F2577" s="116">
        <v>2539</v>
      </c>
      <c r="G2577">
        <v>28083</v>
      </c>
      <c r="H2577" s="116"/>
      <c r="I2577" s="116"/>
      <c r="L2577" s="170">
        <v>45800</v>
      </c>
      <c r="M2577" s="116">
        <v>2462.4920534011399</v>
      </c>
      <c r="N2577" s="116">
        <v>2470.34488239034</v>
      </c>
      <c r="O2577" s="116">
        <v>2414.5025429116299</v>
      </c>
      <c r="P2577" s="116">
        <v>2422.7431659249801</v>
      </c>
      <c r="Q2577" s="116">
        <v>2540</v>
      </c>
      <c r="R2577">
        <v>968415</v>
      </c>
    </row>
    <row r="2578" spans="1:18" x14ac:dyDescent="0.25">
      <c r="A2578" s="170">
        <v>45803</v>
      </c>
      <c r="B2578" s="116">
        <v>2490.60320936885</v>
      </c>
      <c r="C2578" s="116">
        <v>2468.5474588771699</v>
      </c>
      <c r="D2578" s="116">
        <v>2464.18478295574</v>
      </c>
      <c r="E2578" s="116">
        <v>2481.8293833490802</v>
      </c>
      <c r="F2578" s="116">
        <v>2546.25</v>
      </c>
      <c r="G2578">
        <v>27877</v>
      </c>
      <c r="H2578" s="116"/>
      <c r="I2578" s="116"/>
      <c r="L2578" s="170">
        <v>45803</v>
      </c>
      <c r="M2578" s="116">
        <v>2469.95708836618</v>
      </c>
      <c r="N2578" s="116">
        <v>2490.5101716465401</v>
      </c>
      <c r="O2578" s="116">
        <v>2463.75238397966</v>
      </c>
      <c r="P2578" s="116">
        <v>2471.3143674507301</v>
      </c>
      <c r="Q2578" s="116">
        <v>2547.6999999999998</v>
      </c>
      <c r="R2578">
        <v>552912</v>
      </c>
    </row>
    <row r="2579" spans="1:18" x14ac:dyDescent="0.25">
      <c r="A2579" s="170">
        <v>45804</v>
      </c>
      <c r="B2579" s="116">
        <v>2490.1184675998102</v>
      </c>
      <c r="C2579" s="116">
        <v>2463.2152994176399</v>
      </c>
      <c r="D2579" s="116">
        <v>2449.5455815304799</v>
      </c>
      <c r="E2579" s="116">
        <v>2466.4145950933598</v>
      </c>
      <c r="F2579" s="116">
        <v>2540.75</v>
      </c>
      <c r="G2579">
        <v>17836</v>
      </c>
      <c r="H2579" s="116"/>
      <c r="I2579" s="116"/>
      <c r="L2579" s="170">
        <v>45804</v>
      </c>
      <c r="M2579" s="116">
        <v>2462.7828989192599</v>
      </c>
      <c r="N2579" s="116">
        <v>2490.7040686586101</v>
      </c>
      <c r="O2579" s="116">
        <v>2449.0162110616702</v>
      </c>
      <c r="P2579" s="116">
        <v>2468.2120152574698</v>
      </c>
      <c r="Q2579" s="116">
        <v>2540.3000000000002</v>
      </c>
      <c r="R2579">
        <v>514936</v>
      </c>
    </row>
    <row r="2580" spans="1:18" x14ac:dyDescent="0.25">
      <c r="A2580" s="170">
        <v>45805</v>
      </c>
      <c r="B2580" s="116">
        <v>2480.9083739878902</v>
      </c>
      <c r="C2580" s="116">
        <v>2437.71788236571</v>
      </c>
      <c r="D2580" s="116">
        <v>2433.8884223902301</v>
      </c>
      <c r="E2580" s="116">
        <v>2480.9083739878902</v>
      </c>
      <c r="F2580" s="116">
        <v>2514.4499999999998</v>
      </c>
      <c r="G2580">
        <v>40516</v>
      </c>
      <c r="H2580" s="116"/>
      <c r="I2580" s="116"/>
      <c r="L2580" s="170">
        <v>45805</v>
      </c>
      <c r="M2580" s="116">
        <v>2438.2549268912899</v>
      </c>
      <c r="N2580" s="116">
        <v>2480.9122695486299</v>
      </c>
      <c r="O2580" s="116">
        <v>2433.40750158932</v>
      </c>
      <c r="P2580" s="116">
        <v>2480.9122695486299</v>
      </c>
      <c r="Q2580" s="116">
        <v>2515</v>
      </c>
      <c r="R2580">
        <v>575989</v>
      </c>
    </row>
    <row r="2581" spans="1:18" x14ac:dyDescent="0.25">
      <c r="A2581" s="170">
        <v>45806</v>
      </c>
      <c r="B2581" s="116">
        <v>2481.68396081837</v>
      </c>
      <c r="C2581" s="116">
        <v>2462.7305576485901</v>
      </c>
      <c r="D2581" s="116">
        <v>2434.3731641592799</v>
      </c>
      <c r="E2581" s="116">
        <v>2462.2942900564499</v>
      </c>
      <c r="F2581" s="116">
        <v>2540.25</v>
      </c>
      <c r="G2581">
        <v>21089</v>
      </c>
      <c r="H2581" s="116"/>
      <c r="I2581" s="116"/>
      <c r="L2581" s="170">
        <v>45806</v>
      </c>
      <c r="M2581" s="116">
        <v>2463.2676414494599</v>
      </c>
      <c r="N2581" s="116">
        <v>2480.9122695486299</v>
      </c>
      <c r="O2581" s="116">
        <v>2434.37698664971</v>
      </c>
      <c r="P2581" s="116">
        <v>2459.2927527018401</v>
      </c>
      <c r="Q2581" s="116">
        <v>2540.8000000000002</v>
      </c>
      <c r="R2581">
        <v>802317</v>
      </c>
    </row>
    <row r="2582" spans="1:18" x14ac:dyDescent="0.25">
      <c r="A2582" s="170">
        <v>45807</v>
      </c>
      <c r="B2582" s="116">
        <v>2486.6768010395599</v>
      </c>
      <c r="C2582" s="116">
        <v>2442.7107225869099</v>
      </c>
      <c r="D2582" s="116">
        <v>2437.3785631273799</v>
      </c>
      <c r="E2582" s="116">
        <v>2473.39487656765</v>
      </c>
      <c r="F2582" s="116">
        <v>2519.6</v>
      </c>
      <c r="G2582">
        <v>20387</v>
      </c>
      <c r="H2582" s="116"/>
      <c r="I2582" s="116"/>
      <c r="L2582" s="170">
        <v>45807</v>
      </c>
      <c r="M2582" s="116">
        <v>2443.0054036872202</v>
      </c>
      <c r="N2582" s="116">
        <v>2485.7596948506002</v>
      </c>
      <c r="O2582" s="116">
        <v>2437.0915448188198</v>
      </c>
      <c r="P2582" s="116">
        <v>2472.1869040050901</v>
      </c>
      <c r="Q2582" s="116">
        <v>2519.9</v>
      </c>
      <c r="R2582">
        <v>684592</v>
      </c>
    </row>
    <row r="2583" spans="1:18" x14ac:dyDescent="0.25">
      <c r="A2583" s="170">
        <v>45810</v>
      </c>
      <c r="B2583" s="116">
        <v>2483.6714020714699</v>
      </c>
      <c r="C2583" s="116">
        <v>2442.2744549947602</v>
      </c>
      <c r="D2583" s="116">
        <v>2433.5975773288001</v>
      </c>
      <c r="E2583" s="116">
        <v>2433.5975773288001</v>
      </c>
      <c r="F2583" s="116">
        <v>2519.15</v>
      </c>
      <c r="G2583">
        <v>29950</v>
      </c>
      <c r="H2583" s="116"/>
      <c r="I2583" s="116"/>
      <c r="L2583" s="170">
        <v>45810</v>
      </c>
      <c r="M2583" s="116">
        <v>2441.9389701207901</v>
      </c>
      <c r="N2583" s="116">
        <v>2485.7596948506002</v>
      </c>
      <c r="O2583" s="116">
        <v>2438.1579783852499</v>
      </c>
      <c r="P2583" s="116">
        <v>2449.8887476160198</v>
      </c>
      <c r="Q2583" s="116">
        <v>2518.8000000000002</v>
      </c>
      <c r="R2583">
        <v>1008716</v>
      </c>
    </row>
    <row r="2584" spans="1:18" x14ac:dyDescent="0.25">
      <c r="A2584" s="170">
        <v>45811</v>
      </c>
      <c r="B2584" s="116">
        <v>2435.1972251666598</v>
      </c>
      <c r="C2584" s="116">
        <v>2396.1755127582901</v>
      </c>
      <c r="D2584" s="116">
        <v>2377.8522738882798</v>
      </c>
      <c r="E2584" s="116">
        <v>2434.5670608669002</v>
      </c>
      <c r="F2584" s="116">
        <v>2471.6</v>
      </c>
      <c r="G2584">
        <v>78545</v>
      </c>
      <c r="H2584" s="116"/>
      <c r="I2584" s="116"/>
      <c r="L2584" s="170">
        <v>45811</v>
      </c>
      <c r="M2584" s="116">
        <v>2395.5006357279099</v>
      </c>
      <c r="N2584" s="116">
        <v>2435.8312142403101</v>
      </c>
      <c r="O2584" s="116">
        <v>2377.1773680864599</v>
      </c>
      <c r="P2584" s="116">
        <v>2434.37698664971</v>
      </c>
      <c r="Q2584" s="116">
        <v>2470.9</v>
      </c>
      <c r="R2584">
        <v>962708</v>
      </c>
    </row>
    <row r="2585" spans="1:18" x14ac:dyDescent="0.25">
      <c r="A2585" s="170">
        <v>45812</v>
      </c>
      <c r="B2585" s="116">
        <v>2426.9566150928499</v>
      </c>
      <c r="C2585" s="116">
        <v>2415.2743384587902</v>
      </c>
      <c r="D2585" s="116">
        <v>2366.9455840846999</v>
      </c>
      <c r="E2585" s="116">
        <v>2413.7231647978301</v>
      </c>
      <c r="F2585" s="116">
        <v>2491.3000000000002</v>
      </c>
      <c r="G2585">
        <v>51623</v>
      </c>
      <c r="H2585" s="116"/>
      <c r="I2585" s="116"/>
      <c r="L2585" s="170">
        <v>45812</v>
      </c>
      <c r="M2585" s="116">
        <v>2413.4361093451998</v>
      </c>
      <c r="N2585" s="116">
        <v>2426.6211061665599</v>
      </c>
      <c r="O2585" s="116">
        <v>2366.60998092816</v>
      </c>
      <c r="P2585" s="116">
        <v>2404.3229497775001</v>
      </c>
      <c r="Q2585" s="116">
        <v>2489.4</v>
      </c>
      <c r="R2585">
        <v>552667</v>
      </c>
    </row>
    <row r="2586" spans="1:18" x14ac:dyDescent="0.25">
      <c r="A2586" s="170">
        <v>45813</v>
      </c>
      <c r="B2586" s="116">
        <v>2451.6784453143</v>
      </c>
      <c r="C2586" s="116">
        <v>2427.5383052156999</v>
      </c>
      <c r="D2586" s="116">
        <v>2414.0140098592601</v>
      </c>
      <c r="E2586" s="116">
        <v>2423.2241034711801</v>
      </c>
      <c r="F2586" s="116">
        <v>2503.9499999999998</v>
      </c>
      <c r="G2586">
        <v>56591</v>
      </c>
      <c r="H2586" s="116"/>
      <c r="I2586" s="116"/>
      <c r="L2586" s="170">
        <v>45813</v>
      </c>
      <c r="M2586" s="116">
        <v>2427.97838525111</v>
      </c>
      <c r="N2586" s="116">
        <v>2452.8941513032401</v>
      </c>
      <c r="O2586" s="116">
        <v>2411.5940877304502</v>
      </c>
      <c r="P2586" s="116">
        <v>2418.8652256834098</v>
      </c>
      <c r="Q2586" s="116">
        <v>2504.4</v>
      </c>
      <c r="R2586">
        <v>673209</v>
      </c>
    </row>
    <row r="2587" spans="1:18" x14ac:dyDescent="0.25">
      <c r="A2587" s="170">
        <v>45814</v>
      </c>
      <c r="B2587" s="116">
        <v>2475.0914727593199</v>
      </c>
      <c r="C2587" s="116">
        <v>2457.64076907359</v>
      </c>
      <c r="D2587" s="116">
        <v>2428.5562629307001</v>
      </c>
      <c r="E2587" s="116">
        <v>2435.1972251666598</v>
      </c>
      <c r="F2587" s="116">
        <v>2535</v>
      </c>
      <c r="G2587">
        <v>30160</v>
      </c>
      <c r="H2587" s="116"/>
      <c r="I2587" s="116"/>
      <c r="L2587" s="170">
        <v>45814</v>
      </c>
      <c r="M2587" s="116">
        <v>2456.8690400508599</v>
      </c>
      <c r="N2587" s="116">
        <v>2475.3862047043899</v>
      </c>
      <c r="O2587" s="116">
        <v>2427.59059122695</v>
      </c>
      <c r="P2587" s="116">
        <v>2438.1579783852499</v>
      </c>
      <c r="Q2587" s="116">
        <v>2534.1999999999998</v>
      </c>
      <c r="R2587">
        <v>640680</v>
      </c>
    </row>
    <row r="2588" spans="1:18" x14ac:dyDescent="0.25">
      <c r="A2588" s="170">
        <v>45817</v>
      </c>
      <c r="B2588" s="116">
        <v>2525.65003927103</v>
      </c>
      <c r="C2588" s="116">
        <v>2503.1580211872001</v>
      </c>
      <c r="D2588" s="116">
        <v>2447.8489853388201</v>
      </c>
      <c r="E2588" s="116">
        <v>2459.7736328574001</v>
      </c>
      <c r="F2588" s="116">
        <v>2581.9499999999998</v>
      </c>
      <c r="G2588">
        <v>111779</v>
      </c>
      <c r="H2588" s="116"/>
      <c r="I2588" s="116"/>
      <c r="L2588" s="170">
        <v>45817</v>
      </c>
      <c r="M2588" s="116">
        <v>2503.3073744437402</v>
      </c>
      <c r="N2588" s="116">
        <v>2524.6360457724099</v>
      </c>
      <c r="O2588" s="116">
        <v>2447.4650349650301</v>
      </c>
      <c r="P2588" s="116">
        <v>2467.3394787031102</v>
      </c>
      <c r="Q2588" s="116">
        <v>2582.1</v>
      </c>
      <c r="R2588">
        <v>1711167</v>
      </c>
    </row>
    <row r="2589" spans="1:18" x14ac:dyDescent="0.25">
      <c r="A2589" s="170">
        <v>45818</v>
      </c>
      <c r="B2589" s="116">
        <v>2581.7346619498899</v>
      </c>
      <c r="C2589" s="116">
        <v>2533.9391235217499</v>
      </c>
      <c r="D2589" s="116">
        <v>2500.73431234196</v>
      </c>
      <c r="E2589" s="116">
        <v>2519.68771551174</v>
      </c>
      <c r="F2589" s="116">
        <v>2613.6999999999998</v>
      </c>
      <c r="G2589">
        <v>73635</v>
      </c>
      <c r="H2589" s="116"/>
      <c r="I2589" s="116"/>
      <c r="L2589" s="170">
        <v>45818</v>
      </c>
      <c r="M2589" s="116">
        <v>2533.3614113159601</v>
      </c>
      <c r="N2589" s="116">
        <v>2581.9326128417001</v>
      </c>
      <c r="O2589" s="116">
        <v>2499.0416401779999</v>
      </c>
      <c r="P2589" s="116">
        <v>2520.6611570247901</v>
      </c>
      <c r="Q2589" s="116">
        <v>2613.1</v>
      </c>
      <c r="R2589">
        <v>2084054</v>
      </c>
    </row>
    <row r="2590" spans="1:18" x14ac:dyDescent="0.25">
      <c r="A2590" s="170">
        <v>45819</v>
      </c>
      <c r="B2590" s="116">
        <v>2547.5603672319999</v>
      </c>
      <c r="C2590" s="116">
        <v>2502.2370118260101</v>
      </c>
      <c r="D2590" s="116">
        <v>2485.7557916783699</v>
      </c>
      <c r="E2590" s="116">
        <v>2544.8942875022299</v>
      </c>
      <c r="F2590" s="116">
        <v>2581</v>
      </c>
      <c r="G2590">
        <v>59128</v>
      </c>
      <c r="H2590" s="116"/>
      <c r="I2590" s="116"/>
      <c r="L2590" s="170">
        <v>45819</v>
      </c>
      <c r="M2590" s="116">
        <v>2502.4348378893801</v>
      </c>
      <c r="N2590" s="116">
        <v>2550.6182453909701</v>
      </c>
      <c r="O2590" s="116">
        <v>2484.8871582962502</v>
      </c>
      <c r="P2590" s="116">
        <v>2549.74570883662</v>
      </c>
      <c r="Q2590" s="116">
        <v>2581.1999999999998</v>
      </c>
      <c r="R2590">
        <v>745432</v>
      </c>
    </row>
    <row r="2591" spans="1:18" x14ac:dyDescent="0.25">
      <c r="A2591" s="170">
        <v>45820</v>
      </c>
      <c r="B2591" s="116">
        <v>2520.89956993436</v>
      </c>
      <c r="C2591" s="116">
        <v>2463.6030928328801</v>
      </c>
      <c r="D2591" s="116">
        <v>2452.0177645526301</v>
      </c>
      <c r="E2591" s="116">
        <v>2510.9623636688698</v>
      </c>
      <c r="F2591" s="116">
        <v>2541.15</v>
      </c>
      <c r="G2591">
        <v>34561</v>
      </c>
      <c r="H2591" s="116"/>
      <c r="I2591" s="116"/>
      <c r="L2591" s="170">
        <v>45820</v>
      </c>
      <c r="M2591" s="116">
        <v>2466.0791481246001</v>
      </c>
      <c r="N2591" s="116">
        <v>2522.4062301334998</v>
      </c>
      <c r="O2591" s="116">
        <v>2452.7972027972</v>
      </c>
      <c r="P2591" s="116">
        <v>2512.4205340114399</v>
      </c>
      <c r="Q2591" s="116">
        <v>2543.6999999999998</v>
      </c>
      <c r="R2591">
        <v>955097</v>
      </c>
    </row>
    <row r="2592" spans="1:18" x14ac:dyDescent="0.25">
      <c r="A2592" s="170">
        <v>45821</v>
      </c>
      <c r="B2592" s="116">
        <v>2442.1290324640499</v>
      </c>
      <c r="C2592" s="116">
        <v>2430.1559107685598</v>
      </c>
      <c r="D2592" s="116">
        <v>2394.1880715051998</v>
      </c>
      <c r="E2592" s="116">
        <v>2423.7088452402199</v>
      </c>
      <c r="F2592" s="116">
        <v>2506.65</v>
      </c>
      <c r="G2592">
        <v>35256</v>
      </c>
      <c r="H2592" s="116"/>
      <c r="I2592" s="116"/>
      <c r="L2592" s="170">
        <v>45821</v>
      </c>
      <c r="M2592" s="116">
        <v>2431.3715829624898</v>
      </c>
      <c r="N2592" s="116">
        <v>2439.2244119516799</v>
      </c>
      <c r="O2592" s="116">
        <v>2384.93324856961</v>
      </c>
      <c r="P2592" s="116">
        <v>2421.77368086459</v>
      </c>
      <c r="Q2592" s="116">
        <v>2507.9</v>
      </c>
      <c r="R2592">
        <v>695869</v>
      </c>
    </row>
    <row r="2593" spans="1:18" x14ac:dyDescent="0.25">
      <c r="A2593" s="170">
        <v>45824</v>
      </c>
      <c r="B2593" s="116">
        <v>2483.8652987790902</v>
      </c>
      <c r="C2593" s="116">
        <v>2469.22609735384</v>
      </c>
      <c r="D2593" s="116">
        <v>2388.0318510382899</v>
      </c>
      <c r="E2593" s="116">
        <v>2405.3371321933</v>
      </c>
      <c r="F2593" s="116">
        <v>2546.9499999999998</v>
      </c>
      <c r="G2593">
        <v>38820</v>
      </c>
      <c r="H2593" s="116"/>
      <c r="I2593" s="116"/>
      <c r="L2593" s="170">
        <v>45824</v>
      </c>
      <c r="M2593" s="116">
        <v>2466.3699936427201</v>
      </c>
      <c r="N2593" s="116">
        <v>2485.0810553083302</v>
      </c>
      <c r="O2593" s="116">
        <v>2386.8722186904001</v>
      </c>
      <c r="P2593" s="116">
        <v>2423.7126509853802</v>
      </c>
      <c r="Q2593" s="116">
        <v>2544</v>
      </c>
      <c r="R2593">
        <v>956459</v>
      </c>
    </row>
    <row r="2594" spans="1:18" x14ac:dyDescent="0.25">
      <c r="A2594" s="170">
        <v>45825</v>
      </c>
      <c r="B2594" s="116">
        <v>2469.17762317693</v>
      </c>
      <c r="C2594" s="116">
        <v>2411.9780944292602</v>
      </c>
      <c r="D2594" s="116">
        <v>2403.54358764783</v>
      </c>
      <c r="E2594" s="116">
        <v>2469.17762317693</v>
      </c>
      <c r="F2594" s="116">
        <v>2487.9</v>
      </c>
      <c r="G2594">
        <v>37304</v>
      </c>
      <c r="H2594" s="116"/>
      <c r="I2594" s="116"/>
      <c r="L2594" s="170">
        <v>45825</v>
      </c>
      <c r="M2594" s="116">
        <v>2412.5635727908498</v>
      </c>
      <c r="N2594" s="116">
        <v>2462.1042593769898</v>
      </c>
      <c r="O2594" s="116">
        <v>2403.3534647171</v>
      </c>
      <c r="P2594" s="116">
        <v>2457.6446280991699</v>
      </c>
      <c r="Q2594" s="116">
        <v>2488.5</v>
      </c>
      <c r="R2594">
        <v>703343</v>
      </c>
    </row>
    <row r="2595" spans="1:18" x14ac:dyDescent="0.25">
      <c r="A2595" s="170">
        <v>45826</v>
      </c>
      <c r="B2595" s="116">
        <v>2418.4736341345001</v>
      </c>
      <c r="C2595" s="116">
        <v>2383.2813817016199</v>
      </c>
      <c r="D2595" s="116">
        <v>2372.32621772113</v>
      </c>
      <c r="E2595" s="116">
        <v>2412.2689394906902</v>
      </c>
      <c r="F2595" s="116">
        <v>2458.3000000000002</v>
      </c>
      <c r="G2595">
        <v>32796</v>
      </c>
      <c r="H2595" s="116"/>
      <c r="I2595" s="116"/>
      <c r="L2595" s="170">
        <v>45826</v>
      </c>
      <c r="M2595" s="116">
        <v>2384.0607120152599</v>
      </c>
      <c r="N2595" s="116">
        <v>2419.7377622377599</v>
      </c>
      <c r="O2595" s="116">
        <v>2370.7787666878598</v>
      </c>
      <c r="P2595" s="116">
        <v>2415.85982199619</v>
      </c>
      <c r="Q2595" s="116">
        <v>2459.1</v>
      </c>
      <c r="R2595">
        <v>667044</v>
      </c>
    </row>
    <row r="2596" spans="1:18" x14ac:dyDescent="0.25">
      <c r="A2596" s="170">
        <v>45827</v>
      </c>
      <c r="B2596" s="116">
        <v>2394.4789165666298</v>
      </c>
      <c r="C2596" s="116">
        <v>2345.3745753620601</v>
      </c>
      <c r="D2596" s="116">
        <v>2332.7712893668099</v>
      </c>
      <c r="E2596" s="116">
        <v>2394.4789165666298</v>
      </c>
      <c r="F2596" s="116">
        <v>2419.1999999999998</v>
      </c>
      <c r="G2596">
        <v>15359</v>
      </c>
      <c r="H2596" s="116"/>
      <c r="I2596" s="116"/>
      <c r="L2596" s="170">
        <v>45827</v>
      </c>
      <c r="M2596" s="116">
        <v>2346.7355371900799</v>
      </c>
      <c r="N2596" s="116">
        <v>2393.5616656071202</v>
      </c>
      <c r="O2596" s="116">
        <v>2331.7085187539701</v>
      </c>
      <c r="P2596" s="116">
        <v>2391.0410044501</v>
      </c>
      <c r="Q2596" s="116">
        <v>2420.6</v>
      </c>
      <c r="R2596">
        <v>688209</v>
      </c>
    </row>
    <row r="2597" spans="1:18" x14ac:dyDescent="0.25">
      <c r="A2597" s="170">
        <v>45828</v>
      </c>
      <c r="B2597" s="116">
        <v>2385.41424548543</v>
      </c>
      <c r="C2597" s="116">
        <v>2374.3621331511299</v>
      </c>
      <c r="D2597" s="116">
        <v>2343.24171157825</v>
      </c>
      <c r="E2597" s="116">
        <v>2352.11248595183</v>
      </c>
      <c r="F2597" s="116">
        <v>2449.1</v>
      </c>
      <c r="G2597">
        <v>19382</v>
      </c>
      <c r="H2597" s="116"/>
      <c r="I2597" s="116"/>
      <c r="L2597" s="170">
        <v>45828</v>
      </c>
      <c r="M2597" s="116">
        <v>2373.6872218690401</v>
      </c>
      <c r="N2597" s="116">
        <v>2386.1935791481201</v>
      </c>
      <c r="O2597" s="116">
        <v>2341.3064208518799</v>
      </c>
      <c r="P2597" s="116">
        <v>2353.9097266369999</v>
      </c>
      <c r="Q2597" s="116">
        <v>2448.4</v>
      </c>
      <c r="R2597">
        <v>3002549</v>
      </c>
    </row>
    <row r="2598" spans="1:18" x14ac:dyDescent="0.25">
      <c r="A2598" s="170">
        <v>45831</v>
      </c>
      <c r="B2598" s="116">
        <v>2415.5167093433101</v>
      </c>
      <c r="C2598" s="116">
        <v>2395.9816160506798</v>
      </c>
      <c r="D2598" s="116">
        <v>2351.1430024137298</v>
      </c>
      <c r="E2598" s="116">
        <v>2356.57211022707</v>
      </c>
      <c r="F2598" s="116">
        <v>2471.4</v>
      </c>
      <c r="G2598">
        <v>55762</v>
      </c>
      <c r="H2598" s="116"/>
      <c r="I2598" s="116"/>
      <c r="L2598" s="170">
        <v>45831</v>
      </c>
      <c r="M2598" s="116">
        <v>2396.5670692943399</v>
      </c>
      <c r="N2598" s="116">
        <v>2416.5384615384601</v>
      </c>
      <c r="O2598" s="116">
        <v>2347.1233312142399</v>
      </c>
      <c r="P2598" s="116">
        <v>2363.6045772409402</v>
      </c>
      <c r="Q2598" s="116">
        <v>2472</v>
      </c>
      <c r="R2598">
        <v>790535</v>
      </c>
    </row>
    <row r="2599" spans="1:18" x14ac:dyDescent="0.25">
      <c r="A2599" s="170">
        <v>45832</v>
      </c>
      <c r="B2599" s="116">
        <v>2466.6084918009801</v>
      </c>
      <c r="C2599" s="116">
        <v>2430.4467558299898</v>
      </c>
      <c r="D2599" s="116">
        <v>2424.0966386554601</v>
      </c>
      <c r="E2599" s="116">
        <v>2433.4036806211798</v>
      </c>
      <c r="F2599" s="116">
        <v>2506.9499999999998</v>
      </c>
      <c r="G2599">
        <v>35905</v>
      </c>
      <c r="H2599" s="116"/>
      <c r="I2599" s="116"/>
      <c r="L2599" s="170">
        <v>45832</v>
      </c>
      <c r="M2599" s="116">
        <v>2429.1417673235901</v>
      </c>
      <c r="N2599" s="116">
        <v>2466.9516846789602</v>
      </c>
      <c r="O2599" s="116">
        <v>2423.9065479974602</v>
      </c>
      <c r="P2599" s="116">
        <v>2427.59059122695</v>
      </c>
      <c r="Q2599" s="116">
        <v>2505.6</v>
      </c>
      <c r="R2599">
        <v>996405</v>
      </c>
    </row>
    <row r="2600" spans="1:18" x14ac:dyDescent="0.25">
      <c r="A2600" s="170">
        <v>45833</v>
      </c>
      <c r="B2600" s="116">
        <v>2465.1057923169301</v>
      </c>
      <c r="C2600" s="116">
        <v>2449.7879524150098</v>
      </c>
      <c r="D2600" s="116">
        <v>2439.2690560266701</v>
      </c>
      <c r="E2600" s="116">
        <v>2440.3354879185699</v>
      </c>
      <c r="F2600" s="116">
        <v>2526.9</v>
      </c>
      <c r="G2600">
        <v>32204</v>
      </c>
      <c r="H2600" s="116"/>
      <c r="I2600" s="116"/>
      <c r="L2600" s="170">
        <v>45833</v>
      </c>
      <c r="M2600" s="116">
        <v>2450.0826446280998</v>
      </c>
      <c r="N2600" s="116">
        <v>2464.04322949777</v>
      </c>
      <c r="O2600" s="116">
        <v>2435.4434202161501</v>
      </c>
      <c r="P2600" s="116">
        <v>2443.0054036872202</v>
      </c>
      <c r="Q2600" s="116">
        <v>2527.1999999999998</v>
      </c>
      <c r="R2600">
        <v>921346</v>
      </c>
    </row>
    <row r="2601" spans="1:18" x14ac:dyDescent="0.25">
      <c r="A2601" s="170">
        <v>45834</v>
      </c>
      <c r="B2601" s="116">
        <v>2511.9318472069699</v>
      </c>
      <c r="C2601" s="116">
        <v>2507.0844295164902</v>
      </c>
      <c r="D2601" s="116">
        <v>2446.9764501545301</v>
      </c>
      <c r="E2601" s="116">
        <v>2496.3716364205302</v>
      </c>
      <c r="F2601" s="116">
        <v>2586</v>
      </c>
      <c r="G2601">
        <v>39254</v>
      </c>
      <c r="H2601" s="116"/>
      <c r="I2601" s="116"/>
      <c r="L2601" s="170">
        <v>45834</v>
      </c>
      <c r="M2601" s="116">
        <v>2507.28226319135</v>
      </c>
      <c r="N2601" s="116">
        <v>2514.4564526382701</v>
      </c>
      <c r="O2601" s="116">
        <v>2445.2352193261299</v>
      </c>
      <c r="P2601" s="116">
        <v>2457.6446280991699</v>
      </c>
      <c r="Q2601" s="116">
        <v>2586.1999999999998</v>
      </c>
      <c r="R2601">
        <v>1339627</v>
      </c>
    </row>
    <row r="2602" spans="1:18" x14ac:dyDescent="0.25">
      <c r="A2602" s="170">
        <v>45835</v>
      </c>
      <c r="B2602" s="116">
        <v>2599.5731590508499</v>
      </c>
      <c r="C2602" s="116">
        <v>2567.53172811678</v>
      </c>
      <c r="D2602" s="116">
        <v>2504.3214014329101</v>
      </c>
      <c r="E2602" s="116">
        <v>2510.9623636688698</v>
      </c>
      <c r="F2602" s="116">
        <v>2648.35</v>
      </c>
      <c r="G2602">
        <v>143192</v>
      </c>
      <c r="H2602" s="116"/>
      <c r="I2602" s="116"/>
      <c r="L2602" s="170">
        <v>45835</v>
      </c>
      <c r="M2602" s="116">
        <v>2565.5483153210398</v>
      </c>
      <c r="N2602" s="116">
        <v>2599.7711379529601</v>
      </c>
      <c r="O2602" s="116">
        <v>2503.2104259377002</v>
      </c>
      <c r="P2602" s="116">
        <v>2508.7364907819501</v>
      </c>
      <c r="Q2602" s="116">
        <v>2646.3</v>
      </c>
      <c r="R2602">
        <v>4049316</v>
      </c>
    </row>
    <row r="2603" spans="1:18" x14ac:dyDescent="0.25">
      <c r="A2603" s="170">
        <v>45838</v>
      </c>
      <c r="B2603" s="116">
        <v>2571.2157655615401</v>
      </c>
      <c r="C2603" s="116">
        <v>2538.8834895660402</v>
      </c>
      <c r="D2603" s="116">
        <v>2526.4741002784099</v>
      </c>
      <c r="E2603" s="116">
        <v>2558.7094279201001</v>
      </c>
      <c r="F2603" s="116">
        <v>2618.8000000000002</v>
      </c>
      <c r="G2603">
        <v>50414</v>
      </c>
      <c r="H2603" s="116"/>
      <c r="I2603" s="116"/>
      <c r="L2603" s="170">
        <v>45838</v>
      </c>
      <c r="M2603" s="116">
        <v>2539.4691671964401</v>
      </c>
      <c r="N2603" s="116">
        <v>2572.9164017800399</v>
      </c>
      <c r="O2603" s="116">
        <v>2526.3811188811201</v>
      </c>
      <c r="P2603" s="116">
        <v>2569.1354100445001</v>
      </c>
      <c r="Q2603" s="116">
        <v>2619.4</v>
      </c>
      <c r="R2603">
        <v>694815</v>
      </c>
    </row>
    <row r="2604" spans="1:18" x14ac:dyDescent="0.25">
      <c r="A2604" s="170">
        <v>45839</v>
      </c>
      <c r="B2604" s="116">
        <v>2564.2354840872499</v>
      </c>
      <c r="C2604" s="116">
        <v>2540.24076651937</v>
      </c>
      <c r="D2604" s="116">
        <v>2525.5046167403102</v>
      </c>
      <c r="E2604" s="116">
        <v>2549.6932310158099</v>
      </c>
      <c r="F2604" s="116">
        <v>2620.1999999999998</v>
      </c>
      <c r="G2604">
        <v>25183</v>
      </c>
      <c r="H2604" s="116"/>
      <c r="I2604" s="116"/>
      <c r="L2604" s="170">
        <v>45839</v>
      </c>
      <c r="M2604" s="116">
        <v>2541.7959313413899</v>
      </c>
      <c r="N2604" s="116">
        <v>2564.2879847425302</v>
      </c>
      <c r="O2604" s="116">
        <v>2523.5696122059799</v>
      </c>
      <c r="P2604" s="116">
        <v>2544.8013350286101</v>
      </c>
      <c r="Q2604" s="116">
        <v>2621.8</v>
      </c>
      <c r="R2604">
        <v>729197</v>
      </c>
    </row>
    <row r="2605" spans="1:18" x14ac:dyDescent="0.25">
      <c r="A2605" s="170">
        <v>45840</v>
      </c>
      <c r="B2605" s="116">
        <v>2569.1313759546401</v>
      </c>
      <c r="C2605" s="116">
        <v>2547.5603672319999</v>
      </c>
      <c r="D2605" s="116">
        <v>2535.3448746519898</v>
      </c>
      <c r="E2605" s="116">
        <v>2540.24076651937</v>
      </c>
      <c r="F2605" s="116">
        <v>2627.75</v>
      </c>
      <c r="G2605">
        <v>24306</v>
      </c>
      <c r="H2605" s="116"/>
      <c r="I2605" s="116"/>
      <c r="L2605" s="170">
        <v>45840</v>
      </c>
      <c r="M2605" s="116">
        <v>2549.9396058487</v>
      </c>
      <c r="N2605" s="116">
        <v>2565.2574698029198</v>
      </c>
      <c r="O2605" s="116">
        <v>2533.8461538461502</v>
      </c>
      <c r="P2605" s="116">
        <v>2553.6236490781898</v>
      </c>
      <c r="Q2605" s="116">
        <v>2630.2</v>
      </c>
      <c r="R2605">
        <v>621409</v>
      </c>
    </row>
    <row r="2606" spans="1:18" x14ac:dyDescent="0.25">
      <c r="A2606" s="170">
        <v>45841</v>
      </c>
      <c r="B2606" s="116">
        <v>2561.90872359582</v>
      </c>
      <c r="C2606" s="116">
        <v>2531.5638888534099</v>
      </c>
      <c r="D2606" s="116">
        <v>2526.0863068631702</v>
      </c>
      <c r="E2606" s="116">
        <v>2548.2874798855701</v>
      </c>
      <c r="F2606" s="116">
        <v>2611.25</v>
      </c>
      <c r="G2606">
        <v>21906</v>
      </c>
      <c r="H2606" s="116"/>
      <c r="I2606" s="116"/>
      <c r="L2606" s="170">
        <v>45841</v>
      </c>
      <c r="M2606" s="116">
        <v>2531.51938970121</v>
      </c>
      <c r="N2606" s="116">
        <v>2563.3184996821401</v>
      </c>
      <c r="O2606" s="116">
        <v>2525.6055308328</v>
      </c>
      <c r="P2606" s="116">
        <v>2553.6236490781898</v>
      </c>
      <c r="Q2606" s="116">
        <v>2611.1999999999998</v>
      </c>
      <c r="R2606">
        <v>502724</v>
      </c>
    </row>
    <row r="2607" spans="1:18" x14ac:dyDescent="0.25">
      <c r="A2607" s="170">
        <v>45842</v>
      </c>
      <c r="B2607" s="116">
        <v>2538.9804379198499</v>
      </c>
      <c r="C2607" s="116">
        <v>2519.6392413348299</v>
      </c>
      <c r="D2607" s="116">
        <v>2503.2064953641002</v>
      </c>
      <c r="E2607" s="116">
        <v>2535.19945212127</v>
      </c>
      <c r="F2607" s="116">
        <v>2598.9499999999998</v>
      </c>
      <c r="G2607">
        <v>38102</v>
      </c>
      <c r="H2607" s="116"/>
      <c r="I2607" s="116"/>
      <c r="L2607" s="170">
        <v>45842</v>
      </c>
      <c r="M2607" s="116">
        <v>2519.78862047044</v>
      </c>
      <c r="N2607" s="116">
        <v>2537.14240305149</v>
      </c>
      <c r="O2607" s="116">
        <v>2503.4043229497802</v>
      </c>
      <c r="P2607" s="116">
        <v>2537.14240305149</v>
      </c>
      <c r="Q2607" s="116">
        <v>2599.1</v>
      </c>
      <c r="R2607">
        <v>370305</v>
      </c>
    </row>
    <row r="2608" spans="1:18" x14ac:dyDescent="0.25">
      <c r="A2608" s="170">
        <v>45845</v>
      </c>
      <c r="B2608" s="116">
        <v>2533.11506251437</v>
      </c>
      <c r="C2608" s="116">
        <v>2494.9174111133798</v>
      </c>
      <c r="D2608" s="116">
        <v>2485.0771532017102</v>
      </c>
      <c r="E2608" s="116">
        <v>2533.11506251437</v>
      </c>
      <c r="F2608" s="116">
        <v>2573.4499999999998</v>
      </c>
      <c r="G2608">
        <v>26796</v>
      </c>
      <c r="H2608" s="116"/>
      <c r="I2608" s="116"/>
      <c r="L2608" s="170">
        <v>45845</v>
      </c>
      <c r="M2608" s="116">
        <v>2497.4904640813702</v>
      </c>
      <c r="N2608" s="116">
        <v>2525.89637635092</v>
      </c>
      <c r="O2608" s="116">
        <v>2493.5155753337599</v>
      </c>
      <c r="P2608" s="116">
        <v>2522.6001271455798</v>
      </c>
      <c r="Q2608" s="116">
        <v>2576.1</v>
      </c>
      <c r="R2608">
        <v>412159</v>
      </c>
    </row>
    <row r="2609" spans="1:18" x14ac:dyDescent="0.25">
      <c r="A2609" s="170">
        <v>45846</v>
      </c>
      <c r="B2609" s="116">
        <v>2520.6571990498301</v>
      </c>
      <c r="C2609" s="116">
        <v>2512.2711664453</v>
      </c>
      <c r="D2609" s="116">
        <v>2494.6265660519498</v>
      </c>
      <c r="E2609" s="116">
        <v>2495.4506270593301</v>
      </c>
      <c r="F2609" s="116">
        <v>2591.35</v>
      </c>
      <c r="G2609">
        <v>17113</v>
      </c>
      <c r="H2609" s="116"/>
      <c r="I2609" s="116"/>
      <c r="L2609" s="170">
        <v>45846</v>
      </c>
      <c r="M2609" s="116">
        <v>2512.2266369993599</v>
      </c>
      <c r="N2609" s="116">
        <v>2520.6611570247901</v>
      </c>
      <c r="O2609" s="116">
        <v>2494.48506039415</v>
      </c>
      <c r="P2609" s="116">
        <v>2507.08836617928</v>
      </c>
      <c r="Q2609" s="116">
        <v>2591.3000000000002</v>
      </c>
      <c r="R2609">
        <v>357701</v>
      </c>
    </row>
    <row r="2610" spans="1:18" x14ac:dyDescent="0.25">
      <c r="A2610" s="170">
        <v>45847</v>
      </c>
      <c r="B2610" s="116">
        <v>2529.3340767157902</v>
      </c>
      <c r="C2610" s="116">
        <v>2503.5458146024398</v>
      </c>
      <c r="D2610" s="116">
        <v>2492.5421764450498</v>
      </c>
      <c r="E2610" s="116">
        <v>2513.9677626369698</v>
      </c>
      <c r="F2610" s="116">
        <v>2582.35</v>
      </c>
      <c r="G2610">
        <v>26002</v>
      </c>
      <c r="H2610" s="116"/>
      <c r="I2610" s="116"/>
      <c r="L2610" s="170">
        <v>45847</v>
      </c>
      <c r="M2610" s="116">
        <v>2504.1799109980898</v>
      </c>
      <c r="N2610" s="116">
        <v>2530.2590591226999</v>
      </c>
      <c r="O2610" s="116">
        <v>2491.5766052129702</v>
      </c>
      <c r="P2610" s="116">
        <v>2519.6916719644</v>
      </c>
      <c r="Q2610" s="116">
        <v>2583</v>
      </c>
      <c r="R2610">
        <v>396880</v>
      </c>
    </row>
    <row r="2611" spans="1:18" x14ac:dyDescent="0.25">
      <c r="A2611" s="170">
        <v>45848</v>
      </c>
      <c r="B2611" s="116">
        <v>2524.48665902531</v>
      </c>
      <c r="C2611" s="116">
        <v>2500.97668322648</v>
      </c>
      <c r="D2611" s="116">
        <v>2497.1956974279101</v>
      </c>
      <c r="E2611" s="116">
        <v>2519.6392413348299</v>
      </c>
      <c r="F2611" s="116">
        <v>2579.6999999999998</v>
      </c>
      <c r="G2611">
        <v>11610</v>
      </c>
      <c r="H2611" s="116"/>
      <c r="I2611" s="116"/>
      <c r="L2611" s="170">
        <v>45848</v>
      </c>
      <c r="M2611" s="116">
        <v>2502.2409408773001</v>
      </c>
      <c r="N2611" s="116">
        <v>2524.5390972663699</v>
      </c>
      <c r="O2611" s="116">
        <v>2496.4240305149401</v>
      </c>
      <c r="P2611" s="116">
        <v>2511.9357914812499</v>
      </c>
      <c r="Q2611" s="116">
        <v>2581</v>
      </c>
      <c r="R2611">
        <v>306565</v>
      </c>
    </row>
    <row r="2612" spans="1:18" x14ac:dyDescent="0.25">
      <c r="A2612" s="170">
        <v>45849</v>
      </c>
      <c r="B2612" s="116">
        <v>2510.9623636688698</v>
      </c>
      <c r="C2612" s="116">
        <v>2484.1561438405101</v>
      </c>
      <c r="D2612" s="116">
        <v>2474.4613084595499</v>
      </c>
      <c r="E2612" s="116">
        <v>2494.77198858267</v>
      </c>
      <c r="F2612" s="116">
        <v>2562.35</v>
      </c>
      <c r="G2612">
        <v>6641</v>
      </c>
      <c r="H2612" s="116"/>
      <c r="I2612" s="116"/>
      <c r="L2612" s="170">
        <v>45849</v>
      </c>
      <c r="M2612" s="116">
        <v>2480.6214240305098</v>
      </c>
      <c r="N2612" s="116">
        <v>2512.8083280356</v>
      </c>
      <c r="O2612" s="116">
        <v>2474.0289256198298</v>
      </c>
      <c r="P2612" s="116">
        <v>2496.4240305149401</v>
      </c>
      <c r="Q2612" s="116">
        <v>2558.6999999999998</v>
      </c>
      <c r="R2612">
        <v>390645</v>
      </c>
    </row>
    <row r="2613" spans="1:18" x14ac:dyDescent="0.25">
      <c r="A2613" s="170">
        <v>45852</v>
      </c>
      <c r="B2613" s="116">
        <v>2524.5351332022201</v>
      </c>
      <c r="C2613" s="116">
        <v>2504.6607206712501</v>
      </c>
      <c r="D2613" s="116">
        <v>2465.1542664938302</v>
      </c>
      <c r="E2613" s="116">
        <v>2475.1884211131301</v>
      </c>
      <c r="F2613" s="116">
        <v>2583.5</v>
      </c>
      <c r="G2613">
        <v>42718</v>
      </c>
      <c r="H2613" s="116"/>
      <c r="I2613" s="116"/>
      <c r="L2613" s="170">
        <v>45852</v>
      </c>
      <c r="M2613" s="116">
        <v>2502.5317863954201</v>
      </c>
      <c r="N2613" s="116">
        <v>2525.31468531469</v>
      </c>
      <c r="O2613" s="116">
        <v>2465.8852511125201</v>
      </c>
      <c r="P2613" s="116">
        <v>2477.03432930706</v>
      </c>
      <c r="Q2613" s="116">
        <v>2581.3000000000002</v>
      </c>
      <c r="R2613">
        <v>536585</v>
      </c>
    </row>
    <row r="2614" spans="1:18" x14ac:dyDescent="0.25">
      <c r="A2614" s="170">
        <v>45853</v>
      </c>
      <c r="B2614" s="116">
        <v>2525.98935850936</v>
      </c>
      <c r="C2614" s="116">
        <v>2520.7056732267401</v>
      </c>
      <c r="D2614" s="116">
        <v>2496.80790401267</v>
      </c>
      <c r="E2614" s="116">
        <v>2497.4865424893401</v>
      </c>
      <c r="F2614" s="116">
        <v>2600.0500000000002</v>
      </c>
      <c r="G2614">
        <v>36060</v>
      </c>
      <c r="H2614" s="116"/>
      <c r="I2614" s="116"/>
      <c r="L2614" s="170">
        <v>45853</v>
      </c>
      <c r="M2614" s="116">
        <v>2518.91608391608</v>
      </c>
      <c r="N2614" s="116">
        <v>2527.3506039415101</v>
      </c>
      <c r="O2614" s="116">
        <v>2497.3935155753302</v>
      </c>
      <c r="P2614" s="116">
        <v>2509.0273363000601</v>
      </c>
      <c r="Q2614" s="116">
        <v>2598.1999999999998</v>
      </c>
      <c r="R2614">
        <v>379425</v>
      </c>
    </row>
    <row r="2615" spans="1:18" x14ac:dyDescent="0.25">
      <c r="A2615" s="170">
        <v>45854</v>
      </c>
      <c r="B2615" s="116">
        <v>2539.5136538657998</v>
      </c>
      <c r="C2615" s="116">
        <v>2527.44358381651</v>
      </c>
      <c r="D2615" s="116">
        <v>2517.7972226124498</v>
      </c>
      <c r="E2615" s="116">
        <v>2525.5046167403102</v>
      </c>
      <c r="F2615" s="116">
        <v>2607</v>
      </c>
      <c r="G2615">
        <v>42472</v>
      </c>
      <c r="H2615" s="116"/>
      <c r="I2615" s="116"/>
      <c r="L2615" s="170">
        <v>45854</v>
      </c>
      <c r="M2615" s="116">
        <v>2528.9017800381398</v>
      </c>
      <c r="N2615" s="116">
        <v>2539.5661157024801</v>
      </c>
      <c r="O2615" s="116">
        <v>2516.2984742530198</v>
      </c>
      <c r="P2615" s="116">
        <v>2523.0848696757798</v>
      </c>
      <c r="Q2615" s="116">
        <v>2608.5</v>
      </c>
      <c r="R2615">
        <v>686644</v>
      </c>
    </row>
    <row r="2616" spans="1:18" x14ac:dyDescent="0.25">
      <c r="A2616" s="170">
        <v>45855</v>
      </c>
      <c r="B2616" s="116">
        <v>2573.0093101070202</v>
      </c>
      <c r="C2616" s="116">
        <v>2537.0899450205602</v>
      </c>
      <c r="D2616" s="116">
        <v>2526.57104863222</v>
      </c>
      <c r="E2616" s="116">
        <v>2534.2299685831799</v>
      </c>
      <c r="F2616" s="116">
        <v>2616.9499999999998</v>
      </c>
      <c r="G2616">
        <v>34192</v>
      </c>
      <c r="H2616" s="116"/>
      <c r="I2616" s="116"/>
      <c r="L2616" s="170">
        <v>45855</v>
      </c>
      <c r="M2616" s="116">
        <v>2536.7546090273399</v>
      </c>
      <c r="N2616" s="116">
        <v>2573.4980928162699</v>
      </c>
      <c r="O2616" s="116">
        <v>2525.79942784488</v>
      </c>
      <c r="P2616" s="116">
        <v>2532.2949777495201</v>
      </c>
      <c r="Q2616" s="116">
        <v>2616.6</v>
      </c>
      <c r="R2616">
        <v>785771</v>
      </c>
    </row>
    <row r="2617" spans="1:18" x14ac:dyDescent="0.25">
      <c r="A2617" s="170">
        <v>45856</v>
      </c>
      <c r="B2617" s="116">
        <v>2547.2210479936698</v>
      </c>
      <c r="C2617" s="116">
        <v>2517.02163578197</v>
      </c>
      <c r="D2617" s="116">
        <v>2505.3393591479098</v>
      </c>
      <c r="E2617" s="116">
        <v>2530.3520344307899</v>
      </c>
      <c r="F2617" s="116">
        <v>2596.25</v>
      </c>
      <c r="G2617">
        <v>40249</v>
      </c>
      <c r="H2617" s="116"/>
      <c r="I2617" s="116"/>
      <c r="L2617" s="170">
        <v>45856</v>
      </c>
      <c r="M2617" s="116">
        <v>2516.8801652892598</v>
      </c>
      <c r="N2617" s="116">
        <v>2546.5464081373202</v>
      </c>
      <c r="O2617" s="116">
        <v>2505.3432930705699</v>
      </c>
      <c r="P2617" s="116">
        <v>2532.2949777495201</v>
      </c>
      <c r="Q2617" s="116">
        <v>2596.1</v>
      </c>
      <c r="R2617">
        <v>479942</v>
      </c>
    </row>
    <row r="2618" spans="1:18" x14ac:dyDescent="0.25">
      <c r="A2618" s="170">
        <v>45859</v>
      </c>
      <c r="B2618" s="116">
        <v>2544.3125973793799</v>
      </c>
      <c r="C2618" s="116">
        <v>2538.73806703533</v>
      </c>
      <c r="D2618" s="116">
        <v>2496.4201105974298</v>
      </c>
      <c r="E2618" s="116">
        <v>2511.2047345534002</v>
      </c>
      <c r="F2618" s="116">
        <v>2618.65</v>
      </c>
      <c r="G2618">
        <v>42362</v>
      </c>
      <c r="H2618" s="116"/>
      <c r="I2618" s="116"/>
      <c r="L2618" s="170">
        <v>45859</v>
      </c>
      <c r="M2618" s="116">
        <v>2539.5661157024801</v>
      </c>
      <c r="N2618" s="116">
        <v>2544.8013350286101</v>
      </c>
      <c r="O2618" s="116">
        <v>2506.1188811188799</v>
      </c>
      <c r="P2618" s="116">
        <v>2517.0740623013298</v>
      </c>
      <c r="Q2618" s="116">
        <v>2619.5</v>
      </c>
      <c r="R2618">
        <v>369782</v>
      </c>
    </row>
    <row r="2619" spans="1:18" x14ac:dyDescent="0.25">
      <c r="A2619" s="170">
        <v>45860</v>
      </c>
      <c r="B2619" s="116">
        <v>2548.6267991239001</v>
      </c>
      <c r="C2619" s="116">
        <v>2508.9264482388699</v>
      </c>
      <c r="D2619" s="116">
        <v>2503.4973404255302</v>
      </c>
      <c r="E2619" s="116">
        <v>2538.9319637429398</v>
      </c>
      <c r="F2619" s="116">
        <v>2587.9</v>
      </c>
      <c r="G2619">
        <v>22062</v>
      </c>
      <c r="H2619" s="116"/>
      <c r="I2619" s="116"/>
      <c r="L2619" s="170">
        <v>45860</v>
      </c>
      <c r="M2619" s="116">
        <v>2508.8334392879801</v>
      </c>
      <c r="N2619" s="116">
        <v>2549.74570883662</v>
      </c>
      <c r="O2619" s="116">
        <v>2502.8226319135401</v>
      </c>
      <c r="P2619" s="116">
        <v>2545.8677685950402</v>
      </c>
      <c r="Q2619" s="116">
        <v>2587.8000000000002</v>
      </c>
      <c r="R2619">
        <v>387055</v>
      </c>
    </row>
    <row r="2620" spans="1:18" x14ac:dyDescent="0.25">
      <c r="A2620" s="170">
        <v>45861</v>
      </c>
      <c r="B2620" s="116">
        <v>2545.28208091747</v>
      </c>
      <c r="C2620" s="116">
        <v>2534.6662361753201</v>
      </c>
      <c r="D2620" s="116">
        <v>2515.4704621210199</v>
      </c>
      <c r="E2620" s="116">
        <v>2515.4704621210199</v>
      </c>
      <c r="F2620" s="116">
        <v>2614.4499999999998</v>
      </c>
      <c r="G2620">
        <v>37709</v>
      </c>
      <c r="H2620" s="116"/>
      <c r="I2620" s="116"/>
      <c r="L2620" s="170">
        <v>45861</v>
      </c>
      <c r="M2620" s="116">
        <v>2534.7186904005098</v>
      </c>
      <c r="N2620" s="116">
        <v>2545.7708200890002</v>
      </c>
      <c r="O2620" s="116">
        <v>2514.3595041322301</v>
      </c>
      <c r="P2620" s="116">
        <v>2521.3397965670702</v>
      </c>
      <c r="Q2620" s="116">
        <v>2614.5</v>
      </c>
      <c r="R2620">
        <v>316424</v>
      </c>
    </row>
    <row r="2621" spans="1:18" x14ac:dyDescent="0.25">
      <c r="A2621" s="170">
        <v>45862</v>
      </c>
      <c r="B2621" s="116">
        <v>2544.5549682638998</v>
      </c>
      <c r="C2621" s="116">
        <v>2528.02527393936</v>
      </c>
      <c r="D2621" s="116">
        <v>2515.8097813593499</v>
      </c>
      <c r="E2621" s="116">
        <v>2544.0217523179499</v>
      </c>
      <c r="F2621" s="116">
        <v>2607.6</v>
      </c>
      <c r="G2621">
        <v>10385</v>
      </c>
      <c r="H2621" s="116"/>
      <c r="I2621" s="116"/>
      <c r="L2621" s="170">
        <v>45862</v>
      </c>
      <c r="M2621" s="116">
        <v>2528.8048315320998</v>
      </c>
      <c r="N2621" s="116">
        <v>2544.12269548633</v>
      </c>
      <c r="O2621" s="116">
        <v>2515.8137317228202</v>
      </c>
      <c r="P2621" s="116">
        <v>2535.5912269548598</v>
      </c>
      <c r="Q2621" s="116">
        <v>2608.4</v>
      </c>
      <c r="R2621">
        <v>253782</v>
      </c>
    </row>
    <row r="2622" spans="1:18" x14ac:dyDescent="0.25">
      <c r="A2622" s="170">
        <v>45863</v>
      </c>
      <c r="B2622" s="116">
        <v>2536.1689356593702</v>
      </c>
      <c r="C2622" s="116">
        <v>2472.1345479681199</v>
      </c>
      <c r="D2622" s="116">
        <v>2467.3356044545499</v>
      </c>
      <c r="E2622" s="116">
        <v>2528.1222222931701</v>
      </c>
      <c r="F2622" s="116">
        <v>2549.9499999999998</v>
      </c>
      <c r="G2622">
        <v>18990</v>
      </c>
      <c r="H2622" s="116"/>
      <c r="I2622" s="116"/>
      <c r="L2622" s="170">
        <v>45863</v>
      </c>
      <c r="M2622" s="116">
        <v>2472.2838525111301</v>
      </c>
      <c r="N2622" s="116">
        <v>2537.14240305149</v>
      </c>
      <c r="O2622" s="116">
        <v>2466.4669421487602</v>
      </c>
      <c r="P2622" s="116">
        <v>2525.50858232676</v>
      </c>
      <c r="Q2622" s="116">
        <v>2550.1</v>
      </c>
      <c r="R2622">
        <v>424612</v>
      </c>
    </row>
    <row r="2623" spans="1:18" x14ac:dyDescent="0.25">
      <c r="A2623" s="170">
        <v>45866</v>
      </c>
      <c r="B2623" s="116">
        <v>2506.4057910398201</v>
      </c>
      <c r="C2623" s="116">
        <v>2445.2313797859601</v>
      </c>
      <c r="D2623" s="116">
        <v>2436.0697603509502</v>
      </c>
      <c r="E2623" s="116">
        <v>2470.2440550688402</v>
      </c>
      <c r="F2623" s="116">
        <v>2522.1999999999998</v>
      </c>
      <c r="G2623">
        <v>12054</v>
      </c>
      <c r="H2623" s="116"/>
      <c r="I2623" s="116"/>
      <c r="L2623" s="170">
        <v>45866</v>
      </c>
      <c r="M2623" s="116">
        <v>2445.3321678321699</v>
      </c>
      <c r="N2623" s="116">
        <v>2506.1188811188799</v>
      </c>
      <c r="O2623" s="116">
        <v>2435.9281627463401</v>
      </c>
      <c r="P2623" s="116">
        <v>2471.2174189446901</v>
      </c>
      <c r="Q2623" s="116">
        <v>2522.3000000000002</v>
      </c>
      <c r="R2623">
        <v>428409</v>
      </c>
    </row>
    <row r="2624" spans="1:18" x14ac:dyDescent="0.25">
      <c r="A2624" s="170">
        <v>45867</v>
      </c>
      <c r="B2624" s="116">
        <v>2477.9999233735998</v>
      </c>
      <c r="C2624" s="116">
        <v>2470.4379517764601</v>
      </c>
      <c r="D2624" s="116">
        <v>2430.30133329928</v>
      </c>
      <c r="E2624" s="116">
        <v>2446.8795018007199</v>
      </c>
      <c r="F2624" s="116">
        <v>2548.1999999999998</v>
      </c>
      <c r="G2624">
        <v>32475</v>
      </c>
      <c r="H2624" s="116"/>
      <c r="I2624" s="116"/>
      <c r="L2624" s="170">
        <v>45867</v>
      </c>
      <c r="M2624" s="116">
        <v>2470.15098537826</v>
      </c>
      <c r="N2624" s="116">
        <v>2479.3610934520002</v>
      </c>
      <c r="O2624" s="116">
        <v>2430.9837889383298</v>
      </c>
      <c r="P2624" s="116">
        <v>2451.82771773681</v>
      </c>
      <c r="Q2624" s="116">
        <v>2547.9</v>
      </c>
      <c r="R2624">
        <v>424781</v>
      </c>
    </row>
    <row r="2625" spans="1:18" x14ac:dyDescent="0.25">
      <c r="A2625" s="170">
        <v>45868</v>
      </c>
      <c r="B2625" s="116">
        <v>2474.4613084595499</v>
      </c>
      <c r="C2625" s="116">
        <v>2454.8292668131098</v>
      </c>
      <c r="D2625" s="116">
        <v>2448.9154172307199</v>
      </c>
      <c r="E2625" s="116">
        <v>2469.4684682383599</v>
      </c>
      <c r="F2625" s="116">
        <v>2532.1</v>
      </c>
      <c r="G2625">
        <v>18804</v>
      </c>
      <c r="H2625" s="116"/>
      <c r="I2625" s="116"/>
      <c r="L2625" s="170">
        <v>45868</v>
      </c>
      <c r="M2625" s="116">
        <v>2455.6087094723498</v>
      </c>
      <c r="N2625" s="116">
        <v>2474.7075651621099</v>
      </c>
      <c r="O2625" s="116">
        <v>2447.9497774952301</v>
      </c>
      <c r="P2625" s="116">
        <v>2470.15098537826</v>
      </c>
      <c r="Q2625" s="116">
        <v>2532.9</v>
      </c>
      <c r="R2625">
        <v>262063</v>
      </c>
    </row>
    <row r="2626" spans="1:18" x14ac:dyDescent="0.25">
      <c r="A2626" s="170">
        <v>45869</v>
      </c>
      <c r="B2626" s="116">
        <v>2442.2744549947602</v>
      </c>
      <c r="C2626" s="116">
        <v>2356.7660069346898</v>
      </c>
      <c r="D2626" s="116">
        <v>2348.4284485070598</v>
      </c>
      <c r="E2626" s="116">
        <v>2423.8057935940301</v>
      </c>
      <c r="F2626" s="116">
        <v>2430.9499999999998</v>
      </c>
      <c r="G2626">
        <v>101950</v>
      </c>
      <c r="H2626" s="116"/>
      <c r="I2626" s="116"/>
      <c r="L2626" s="170">
        <v>45869</v>
      </c>
      <c r="M2626" s="116">
        <v>2356.5273363000601</v>
      </c>
      <c r="N2626" s="116">
        <v>2443.1023521932598</v>
      </c>
      <c r="O2626" s="116">
        <v>2348.67450731087</v>
      </c>
      <c r="P2626" s="116">
        <v>2433.31055308328</v>
      </c>
      <c r="Q2626" s="116">
        <v>2430.6999999999998</v>
      </c>
      <c r="R2626">
        <v>1457616</v>
      </c>
    </row>
    <row r="2627" spans="1:18" x14ac:dyDescent="0.25">
      <c r="A2627" s="170">
        <v>45870</v>
      </c>
      <c r="B2627" s="116">
        <v>2370.3872506449402</v>
      </c>
      <c r="C2627" s="116">
        <v>2278.8195304717601</v>
      </c>
      <c r="D2627" s="116">
        <v>2268.5914791448499</v>
      </c>
      <c r="E2627" s="116">
        <v>2353.8575563203999</v>
      </c>
      <c r="F2627" s="116">
        <v>2350.5500000000002</v>
      </c>
      <c r="G2627">
        <v>75473</v>
      </c>
      <c r="H2627" s="116"/>
      <c r="I2627" s="116"/>
      <c r="L2627" s="170">
        <v>45870</v>
      </c>
      <c r="M2627" s="116">
        <v>2279.1624284806098</v>
      </c>
      <c r="N2627" s="116">
        <v>2370.2940241576598</v>
      </c>
      <c r="O2627" s="116">
        <v>2261.8086458995499</v>
      </c>
      <c r="P2627" s="116">
        <v>2351.0012714558202</v>
      </c>
      <c r="Q2627" s="116">
        <v>2350.9</v>
      </c>
      <c r="R2627">
        <v>976341</v>
      </c>
    </row>
    <row r="2628" spans="1:18" x14ac:dyDescent="0.25">
      <c r="A2628" s="170">
        <v>45873</v>
      </c>
      <c r="B2628" s="116">
        <v>2301.5539194401199</v>
      </c>
      <c r="C2628" s="116">
        <v>2292.10145494368</v>
      </c>
      <c r="D2628" s="116">
        <v>2268.0582631989</v>
      </c>
      <c r="E2628" s="116">
        <v>2301.31154855559</v>
      </c>
      <c r="F2628" s="116">
        <v>2364.25</v>
      </c>
      <c r="G2628">
        <v>57713</v>
      </c>
      <c r="H2628" s="116"/>
      <c r="I2628" s="116"/>
      <c r="L2628" s="170">
        <v>45873</v>
      </c>
      <c r="M2628" s="116">
        <v>2291.4748887476198</v>
      </c>
      <c r="N2628" s="116">
        <v>2302.2361729179902</v>
      </c>
      <c r="O2628" s="116">
        <v>2266.8499682135998</v>
      </c>
      <c r="P2628" s="116">
        <v>2287.9847425302</v>
      </c>
      <c r="Q2628" s="116">
        <v>2363.6</v>
      </c>
      <c r="R2628">
        <v>576426</v>
      </c>
    </row>
    <row r="2629" spans="1:18" x14ac:dyDescent="0.25">
      <c r="A2629" s="170">
        <v>45874</v>
      </c>
      <c r="B2629" s="116">
        <v>2298.5000462951102</v>
      </c>
      <c r="C2629" s="116">
        <v>2258.9935921176998</v>
      </c>
      <c r="D2629" s="116">
        <v>2247.26284130674</v>
      </c>
      <c r="E2629" s="116">
        <v>2297.6759852877299</v>
      </c>
      <c r="F2629" s="116">
        <v>2330.1</v>
      </c>
      <c r="G2629">
        <v>42455</v>
      </c>
      <c r="H2629" s="116"/>
      <c r="I2629" s="116"/>
      <c r="L2629" s="170">
        <v>45874</v>
      </c>
      <c r="M2629" s="116">
        <v>2257.15511760966</v>
      </c>
      <c r="N2629" s="116">
        <v>2297.6795931341399</v>
      </c>
      <c r="O2629" s="116">
        <v>2245.32739987285</v>
      </c>
      <c r="P2629" s="116">
        <v>2297.6795931341399</v>
      </c>
      <c r="Q2629" s="116">
        <v>2328.1999999999998</v>
      </c>
      <c r="R2629">
        <v>576742</v>
      </c>
    </row>
    <row r="2630" spans="1:18" x14ac:dyDescent="0.25">
      <c r="A2630" s="170">
        <v>45875</v>
      </c>
      <c r="B2630" s="116">
        <v>2275.7171831498599</v>
      </c>
      <c r="C2630" s="116">
        <v>2230.1999310362398</v>
      </c>
      <c r="D2630" s="116">
        <v>2226.0311518224298</v>
      </c>
      <c r="E2630" s="116">
        <v>2259.1874888253201</v>
      </c>
      <c r="F2630" s="116">
        <v>2300.4</v>
      </c>
      <c r="G2630">
        <v>61849</v>
      </c>
      <c r="H2630" s="116"/>
      <c r="I2630" s="116"/>
      <c r="L2630" s="170">
        <v>45875</v>
      </c>
      <c r="M2630" s="116">
        <v>2230.1064844246698</v>
      </c>
      <c r="N2630" s="116">
        <v>2276.2539732994301</v>
      </c>
      <c r="O2630" s="116">
        <v>2225.93769866497</v>
      </c>
      <c r="P2630" s="116">
        <v>2262.68118245391</v>
      </c>
      <c r="Q2630" s="116">
        <v>2300.3000000000002</v>
      </c>
      <c r="R2630">
        <v>631582</v>
      </c>
    </row>
    <row r="2631" spans="1:18" x14ac:dyDescent="0.25">
      <c r="A2631" s="170">
        <v>45876</v>
      </c>
      <c r="B2631" s="116">
        <v>2225.3040391688601</v>
      </c>
      <c r="C2631" s="116">
        <v>2180.9501673009599</v>
      </c>
      <c r="D2631" s="116">
        <v>2136.69324378688</v>
      </c>
      <c r="E2631" s="116">
        <v>2219.1478187019502</v>
      </c>
      <c r="F2631" s="116">
        <v>2249.6</v>
      </c>
      <c r="G2631">
        <v>132703</v>
      </c>
      <c r="H2631" s="116"/>
      <c r="I2631" s="116"/>
      <c r="L2631" s="170">
        <v>45876</v>
      </c>
      <c r="M2631" s="116">
        <v>2181.1474888747598</v>
      </c>
      <c r="N2631" s="116">
        <v>2224.9682136045799</v>
      </c>
      <c r="O2631" s="116">
        <v>2135.58169103624</v>
      </c>
      <c r="P2631" s="116">
        <v>2220.12078830261</v>
      </c>
      <c r="Q2631" s="116">
        <v>2249.8000000000002</v>
      </c>
      <c r="R2631">
        <v>1529410</v>
      </c>
    </row>
    <row r="2632" spans="1:18" x14ac:dyDescent="0.25">
      <c r="A2632" s="170">
        <v>45877</v>
      </c>
      <c r="B2632" s="116">
        <v>2191.95380545835</v>
      </c>
      <c r="C2632" s="116">
        <v>2111.5836201501902</v>
      </c>
      <c r="D2632" s="116">
        <v>2098.9318599780299</v>
      </c>
      <c r="E2632" s="116">
        <v>2180.36847717811</v>
      </c>
      <c r="F2632" s="116">
        <v>2178.0500000000002</v>
      </c>
      <c r="G2632">
        <v>74237</v>
      </c>
      <c r="H2632" s="116"/>
      <c r="I2632" s="116"/>
      <c r="L2632" s="170">
        <v>45877</v>
      </c>
      <c r="M2632" s="116">
        <v>2111.6354100445001</v>
      </c>
      <c r="N2632" s="116">
        <v>2191.9087730451402</v>
      </c>
      <c r="O2632" s="116">
        <v>2098.74125874126</v>
      </c>
      <c r="P2632" s="116">
        <v>2178.4329307056601</v>
      </c>
      <c r="Q2632" s="116">
        <v>2178.1</v>
      </c>
      <c r="R2632">
        <v>2552736</v>
      </c>
    </row>
    <row r="2633" spans="1:18" x14ac:dyDescent="0.25">
      <c r="A2633" s="170">
        <v>45880</v>
      </c>
      <c r="B2633" s="116">
        <v>2230.87856951291</v>
      </c>
      <c r="C2633" s="116">
        <v>2213.6217625347999</v>
      </c>
      <c r="D2633" s="116">
        <v>2116.4310378406699</v>
      </c>
      <c r="E2633" s="116">
        <v>2131.5065068580602</v>
      </c>
      <c r="F2633" s="116">
        <v>2283.3000000000002</v>
      </c>
      <c r="G2633">
        <v>208017</v>
      </c>
      <c r="H2633" s="116"/>
      <c r="I2633" s="116"/>
      <c r="L2633" s="170">
        <v>45880</v>
      </c>
      <c r="M2633" s="116">
        <v>2213.72218690401</v>
      </c>
      <c r="N2633" s="116">
        <v>2231.7546090273399</v>
      </c>
      <c r="O2633" s="116">
        <v>2116.38588684043</v>
      </c>
      <c r="P2633" s="116">
        <v>2128.98919262556</v>
      </c>
      <c r="Q2633" s="116">
        <v>2283.4</v>
      </c>
      <c r="R2633">
        <v>2376286</v>
      </c>
    </row>
    <row r="2634" spans="1:18" x14ac:dyDescent="0.25">
      <c r="A2634" s="170">
        <v>45881</v>
      </c>
      <c r="B2634" s="116">
        <v>2243.38490715435</v>
      </c>
      <c r="C2634" s="116">
        <v>2221.1352599550501</v>
      </c>
      <c r="D2634" s="116">
        <v>2197.1890165640698</v>
      </c>
      <c r="E2634" s="116">
        <v>2217.9844384562298</v>
      </c>
      <c r="F2634" s="116">
        <v>2291.0500000000002</v>
      </c>
      <c r="G2634">
        <v>56228</v>
      </c>
      <c r="H2634" s="116"/>
      <c r="I2634" s="116"/>
      <c r="L2634" s="170">
        <v>45881</v>
      </c>
      <c r="M2634" s="116">
        <v>2218.3757151938999</v>
      </c>
      <c r="N2634" s="116">
        <v>2244.0670692943399</v>
      </c>
      <c r="O2634" s="116">
        <v>2197.8226319135401</v>
      </c>
      <c r="P2634" s="116">
        <v>2210.5228862047002</v>
      </c>
      <c r="Q2634" s="116">
        <v>2288.1999999999998</v>
      </c>
      <c r="R2634">
        <v>1075526</v>
      </c>
    </row>
    <row r="2635" spans="1:18" x14ac:dyDescent="0.25">
      <c r="A2635" s="170">
        <v>45882</v>
      </c>
      <c r="B2635" s="116">
        <v>2244.3543906924501</v>
      </c>
      <c r="C2635" s="116">
        <v>2211.29500204337</v>
      </c>
      <c r="D2635" s="116">
        <v>2177.8478199790602</v>
      </c>
      <c r="E2635" s="116">
        <v>2224.96471993053</v>
      </c>
      <c r="F2635" s="116">
        <v>2280.9</v>
      </c>
      <c r="G2635">
        <v>60175</v>
      </c>
      <c r="H2635" s="116"/>
      <c r="I2635" s="116"/>
      <c r="L2635" s="170">
        <v>45882</v>
      </c>
      <c r="M2635" s="116">
        <v>2210.5228862047002</v>
      </c>
      <c r="N2635" s="116">
        <v>2244.26096630642</v>
      </c>
      <c r="O2635" s="116">
        <v>2176.8817546090299</v>
      </c>
      <c r="P2635" s="116">
        <v>2228.8461538461502</v>
      </c>
      <c r="Q2635" s="116">
        <v>2280.1</v>
      </c>
      <c r="R2635">
        <v>833679</v>
      </c>
    </row>
    <row r="2636" spans="1:18" x14ac:dyDescent="0.25">
      <c r="A2636" s="170">
        <v>45883</v>
      </c>
      <c r="B2636" s="116">
        <v>2233.3507525350601</v>
      </c>
      <c r="C2636" s="116">
        <v>2212.4099081121799</v>
      </c>
      <c r="D2636" s="116">
        <v>2198.8856127557401</v>
      </c>
      <c r="E2636" s="116">
        <v>2213.37939165028</v>
      </c>
      <c r="F2636" s="116">
        <v>2282.0500000000002</v>
      </c>
      <c r="G2636">
        <v>55587</v>
      </c>
      <c r="H2636" s="116"/>
      <c r="I2636" s="116"/>
      <c r="L2636" s="170">
        <v>45883</v>
      </c>
      <c r="M2636" s="116">
        <v>2211.9771137952998</v>
      </c>
      <c r="N2636" s="116">
        <v>2233.6935791481201</v>
      </c>
      <c r="O2636" s="116">
        <v>2198.5012714558202</v>
      </c>
      <c r="P2636" s="116">
        <v>2218.1818181818198</v>
      </c>
      <c r="Q2636" s="116">
        <v>2281.6</v>
      </c>
      <c r="R2636">
        <v>998109</v>
      </c>
    </row>
    <row r="2637" spans="1:18" x14ac:dyDescent="0.25">
      <c r="A2637" s="170">
        <v>45887</v>
      </c>
      <c r="B2637" s="116">
        <v>2287.06014054558</v>
      </c>
      <c r="C2637" s="116">
        <v>2263.0654229777001</v>
      </c>
      <c r="D2637" s="116">
        <v>2233.6900717733902</v>
      </c>
      <c r="E2637" s="116">
        <v>2235.8229355571998</v>
      </c>
      <c r="F2637" s="116">
        <v>2334.3000000000002</v>
      </c>
      <c r="G2637">
        <v>101417</v>
      </c>
      <c r="H2637" s="116"/>
      <c r="I2637" s="116"/>
      <c r="L2637" s="170">
        <v>45887</v>
      </c>
      <c r="M2637" s="116">
        <v>2262.3903369357899</v>
      </c>
      <c r="N2637" s="116">
        <v>2287.9847425302</v>
      </c>
      <c r="O2637" s="116">
        <v>2229.8156389065498</v>
      </c>
      <c r="P2637" s="116">
        <v>2239.12269548633</v>
      </c>
      <c r="Q2637" s="116">
        <v>2333.6</v>
      </c>
      <c r="R2637">
        <v>988629</v>
      </c>
    </row>
    <row r="2638" spans="1:18" x14ac:dyDescent="0.25">
      <c r="A2638" s="170">
        <v>45888</v>
      </c>
      <c r="B2638" s="116">
        <v>2321.3798577941802</v>
      </c>
      <c r="C2638" s="116">
        <v>2312.89687683584</v>
      </c>
      <c r="D2638" s="116">
        <v>2244.9360808153001</v>
      </c>
      <c r="E2638" s="116">
        <v>2263.1138971546102</v>
      </c>
      <c r="F2638" s="116">
        <v>2385.6999999999998</v>
      </c>
      <c r="G2638">
        <v>61671</v>
      </c>
      <c r="H2638" s="116"/>
      <c r="I2638" s="116"/>
      <c r="L2638" s="170">
        <v>45888</v>
      </c>
      <c r="M2638" s="116">
        <v>2315.5181182453898</v>
      </c>
      <c r="N2638" s="116">
        <v>2322.4984106802299</v>
      </c>
      <c r="O2638" s="116">
        <v>2243.4853782581099</v>
      </c>
      <c r="P2638" s="116">
        <v>2268.4980928162699</v>
      </c>
      <c r="Q2638" s="116">
        <v>2388.4</v>
      </c>
      <c r="R2638">
        <v>1069432</v>
      </c>
    </row>
    <row r="2639" spans="1:18" x14ac:dyDescent="0.25">
      <c r="A2639" s="170">
        <v>45889</v>
      </c>
      <c r="B2639" s="116">
        <v>2332.4319701284799</v>
      </c>
      <c r="C2639" s="116">
        <v>2314.1572054353701</v>
      </c>
      <c r="D2639" s="116">
        <v>2303.3474639855899</v>
      </c>
      <c r="E2639" s="116">
        <v>2304.3654217006001</v>
      </c>
      <c r="F2639" s="116">
        <v>2387</v>
      </c>
      <c r="G2639">
        <v>33533</v>
      </c>
      <c r="H2639" s="116"/>
      <c r="I2639" s="116"/>
      <c r="L2639" s="170">
        <v>45889</v>
      </c>
      <c r="M2639" s="116">
        <v>2314.2577876668802</v>
      </c>
      <c r="N2639" s="116">
        <v>2332.5810553083302</v>
      </c>
      <c r="O2639" s="116">
        <v>2299.71551176097</v>
      </c>
      <c r="P2639" s="116">
        <v>2307.3744437380801</v>
      </c>
      <c r="Q2639" s="116">
        <v>2387.1</v>
      </c>
      <c r="R2639">
        <v>780025</v>
      </c>
    </row>
    <row r="2640" spans="1:18" x14ac:dyDescent="0.25">
      <c r="A2640" s="170">
        <v>45890</v>
      </c>
      <c r="B2640" s="116">
        <v>2325.7425337156101</v>
      </c>
      <c r="C2640" s="116">
        <v>2305.1410085310699</v>
      </c>
      <c r="D2640" s="116">
        <v>2298.6939430027301</v>
      </c>
      <c r="E2640" s="116">
        <v>2325.7425337156101</v>
      </c>
      <c r="F2640" s="116">
        <v>2377.6999999999998</v>
      </c>
      <c r="G2640">
        <v>18214</v>
      </c>
      <c r="H2640" s="116"/>
      <c r="I2640" s="116"/>
      <c r="L2640" s="170">
        <v>45890</v>
      </c>
      <c r="M2640" s="116">
        <v>2304.6598855689799</v>
      </c>
      <c r="N2640" s="116">
        <v>2323.85568976478</v>
      </c>
      <c r="O2640" s="116">
        <v>2299.03687221869</v>
      </c>
      <c r="P2640" s="116">
        <v>2314.2577876668802</v>
      </c>
      <c r="Q2640" s="116">
        <v>2377.1999999999998</v>
      </c>
      <c r="R2640">
        <v>441867</v>
      </c>
    </row>
    <row r="2641" spans="1:18" x14ac:dyDescent="0.25">
      <c r="A2641" s="170">
        <v>45891</v>
      </c>
      <c r="B2641" s="116">
        <v>2303.9291541084499</v>
      </c>
      <c r="C2641" s="116">
        <v>2253.7099068350699</v>
      </c>
      <c r="D2641" s="116">
        <v>2249.7350243288802</v>
      </c>
      <c r="E2641" s="116">
        <v>2303.9291541084499</v>
      </c>
      <c r="F2641" s="116">
        <v>2324.65</v>
      </c>
      <c r="G2641">
        <v>56967</v>
      </c>
      <c r="H2641" s="116"/>
      <c r="I2641" s="116"/>
      <c r="L2641" s="170">
        <v>45891</v>
      </c>
      <c r="M2641" s="116">
        <v>2253.9558169103602</v>
      </c>
      <c r="N2641" s="116">
        <v>2303.7873490146198</v>
      </c>
      <c r="O2641" s="116">
        <v>2250.1748251748199</v>
      </c>
      <c r="P2641" s="116">
        <v>2297.5826446280998</v>
      </c>
      <c r="Q2641" s="116">
        <v>2324.9</v>
      </c>
      <c r="R2641">
        <v>584211</v>
      </c>
    </row>
    <row r="2642" spans="1:18" x14ac:dyDescent="0.25">
      <c r="A2642" s="170">
        <v>45894</v>
      </c>
      <c r="B2642" s="116">
        <v>2275.3778639115199</v>
      </c>
      <c r="C2642" s="116">
        <v>2231.7026305202899</v>
      </c>
      <c r="D2642" s="116">
        <v>2228.6487573752902</v>
      </c>
      <c r="E2642" s="116">
        <v>2256.0366673265098</v>
      </c>
      <c r="F2642" s="116">
        <v>2301.9499999999998</v>
      </c>
      <c r="G2642">
        <v>27777</v>
      </c>
      <c r="H2642" s="116"/>
      <c r="I2642" s="116"/>
      <c r="L2642" s="170">
        <v>45894</v>
      </c>
      <c r="M2642" s="116">
        <v>2232.62714558169</v>
      </c>
      <c r="N2642" s="116">
        <v>2276.7387158296201</v>
      </c>
      <c r="O2642" s="116">
        <v>2229.8156389065498</v>
      </c>
      <c r="P2642" s="116">
        <v>2264.4262555626201</v>
      </c>
      <c r="Q2642" s="116">
        <v>2302.9</v>
      </c>
      <c r="R2642">
        <v>542455</v>
      </c>
    </row>
    <row r="2643" spans="1:18" x14ac:dyDescent="0.25">
      <c r="A2643" s="170">
        <v>45895</v>
      </c>
      <c r="B2643" s="116">
        <v>2239.3130762943501</v>
      </c>
      <c r="C2643" s="116">
        <v>2203.1028661464602</v>
      </c>
      <c r="D2643" s="116">
        <v>2182.3074442543002</v>
      </c>
      <c r="E2643" s="116">
        <v>2239.3130762943501</v>
      </c>
      <c r="F2643" s="116">
        <v>2272.4499999999998</v>
      </c>
      <c r="G2643">
        <v>37477</v>
      </c>
      <c r="H2643" s="116"/>
      <c r="I2643" s="116"/>
      <c r="L2643" s="170">
        <v>45895</v>
      </c>
      <c r="M2643" s="116">
        <v>2202.67005721551</v>
      </c>
      <c r="N2643" s="116">
        <v>2238.83184996821</v>
      </c>
      <c r="O2643" s="116">
        <v>2180.7596948506002</v>
      </c>
      <c r="P2643" s="116">
        <v>2233.6935791481201</v>
      </c>
      <c r="Q2643" s="116">
        <v>2272</v>
      </c>
      <c r="R2643">
        <v>1071550</v>
      </c>
    </row>
    <row r="2644" spans="1:18" x14ac:dyDescent="0.25">
      <c r="A2644" s="170">
        <v>45897</v>
      </c>
      <c r="B2644" s="116">
        <v>2255.89124479579</v>
      </c>
      <c r="C2644" s="116">
        <v>2204.3631947459799</v>
      </c>
      <c r="D2644" s="116">
        <v>2185.40979157621</v>
      </c>
      <c r="E2644" s="116">
        <v>2185.40979157621</v>
      </c>
      <c r="F2644" s="116">
        <v>2273.75</v>
      </c>
      <c r="G2644">
        <v>102136</v>
      </c>
      <c r="H2644" s="116"/>
      <c r="I2644" s="116"/>
      <c r="L2644" s="170">
        <v>45897</v>
      </c>
      <c r="M2644" s="116">
        <v>2205.7724094087698</v>
      </c>
      <c r="N2644" s="116">
        <v>2256.86427209154</v>
      </c>
      <c r="O2644" s="116">
        <v>2186.1888111888102</v>
      </c>
      <c r="P2644" s="116">
        <v>2202.57310870947</v>
      </c>
      <c r="Q2644" s="116">
        <v>2275.1999999999998</v>
      </c>
      <c r="R2644">
        <v>907868</v>
      </c>
    </row>
    <row r="2645" spans="1:18" x14ac:dyDescent="0.25">
      <c r="A2645" s="170">
        <v>45898</v>
      </c>
      <c r="B2645" s="116">
        <v>2221.668475901</v>
      </c>
      <c r="C2645" s="116">
        <v>2175.8603787259599</v>
      </c>
      <c r="D2645" s="116">
        <v>2171.3038060969102</v>
      </c>
      <c r="E2645" s="116">
        <v>2210.71331192051</v>
      </c>
      <c r="F2645" s="116">
        <v>2244.35</v>
      </c>
      <c r="G2645">
        <v>37605</v>
      </c>
      <c r="H2645" s="116"/>
      <c r="I2645" s="116"/>
      <c r="L2645" s="170">
        <v>45898</v>
      </c>
      <c r="M2645" s="116">
        <v>2176.2031150667499</v>
      </c>
      <c r="N2645" s="116">
        <v>2219.82994278449</v>
      </c>
      <c r="O2645" s="116">
        <v>2171.6465352829</v>
      </c>
      <c r="P2645" s="116">
        <v>2213.3343928798499</v>
      </c>
      <c r="Q2645" s="116">
        <v>2244.6999999999998</v>
      </c>
      <c r="R2645">
        <v>795699</v>
      </c>
    </row>
    <row r="2646" spans="1:18" x14ac:dyDescent="0.25">
      <c r="A2646" s="170">
        <v>45901</v>
      </c>
      <c r="B2646" s="116">
        <v>2218.5661285790902</v>
      </c>
      <c r="C2646" s="116">
        <v>2213.3309174733699</v>
      </c>
      <c r="D2646" s="116">
        <v>2185.2158948685901</v>
      </c>
      <c r="E2646" s="116">
        <v>2197.1890165640698</v>
      </c>
      <c r="F2646" s="116">
        <v>2283</v>
      </c>
      <c r="G2646">
        <v>27230</v>
      </c>
      <c r="H2646" s="116"/>
      <c r="I2646" s="116"/>
      <c r="L2646" s="170">
        <v>45901</v>
      </c>
      <c r="M2646" s="116">
        <v>2214.49777495232</v>
      </c>
      <c r="N2646" s="116">
        <v>2218.1818181818198</v>
      </c>
      <c r="O2646" s="116">
        <v>2183.37730451367</v>
      </c>
      <c r="P2646" s="116">
        <v>2190.06675143039</v>
      </c>
      <c r="Q2646" s="116">
        <v>2284.1999999999998</v>
      </c>
      <c r="R2646">
        <v>425639</v>
      </c>
    </row>
    <row r="2647" spans="1:18" x14ac:dyDescent="0.25">
      <c r="A2647" s="170">
        <v>45902</v>
      </c>
      <c r="B2647" s="116">
        <v>2229.9575601517199</v>
      </c>
      <c r="C2647" s="116">
        <v>2204.2177722152701</v>
      </c>
      <c r="D2647" s="116">
        <v>2195.2985236647901</v>
      </c>
      <c r="E2647" s="116">
        <v>2211.4404245740898</v>
      </c>
      <c r="F2647" s="116">
        <v>2273.6</v>
      </c>
      <c r="G2647">
        <v>21316</v>
      </c>
      <c r="H2647" s="116"/>
      <c r="I2647" s="116"/>
      <c r="L2647" s="170">
        <v>45902</v>
      </c>
      <c r="M2647" s="116">
        <v>2204.8029243483802</v>
      </c>
      <c r="N2647" s="116">
        <v>2231.7546090273399</v>
      </c>
      <c r="O2647" s="116">
        <v>2194.9141767323599</v>
      </c>
      <c r="P2647" s="116">
        <v>2221.0902733630001</v>
      </c>
      <c r="Q2647" s="116">
        <v>2274.1999999999998</v>
      </c>
      <c r="R2647">
        <v>481894</v>
      </c>
    </row>
    <row r="2648" spans="1:18" x14ac:dyDescent="0.25">
      <c r="A2648" s="170">
        <v>45903</v>
      </c>
      <c r="B2648" s="116">
        <v>2223.2196495619501</v>
      </c>
      <c r="C2648" s="116">
        <v>2217.7420675717099</v>
      </c>
      <c r="D2648" s="116">
        <v>2195.1046269571698</v>
      </c>
      <c r="E2648" s="116">
        <v>2219.632560471</v>
      </c>
      <c r="F2648" s="116">
        <v>2287.5500000000002</v>
      </c>
      <c r="G2648">
        <v>31204</v>
      </c>
      <c r="H2648" s="116"/>
      <c r="I2648" s="116"/>
      <c r="L2648" s="170">
        <v>45903</v>
      </c>
      <c r="M2648" s="116">
        <v>2218.8604577240899</v>
      </c>
      <c r="N2648" s="116">
        <v>2223.0292434837902</v>
      </c>
      <c r="O2648" s="116">
        <v>2194.0416401779999</v>
      </c>
      <c r="P2648" s="116">
        <v>2215.2733630006401</v>
      </c>
      <c r="Q2648" s="116">
        <v>2288.6999999999998</v>
      </c>
      <c r="R2648">
        <v>443629</v>
      </c>
    </row>
    <row r="2649" spans="1:18" x14ac:dyDescent="0.25">
      <c r="A2649" s="170">
        <v>45904</v>
      </c>
      <c r="B2649" s="116">
        <v>2247.5052121912599</v>
      </c>
      <c r="C2649" s="116">
        <v>2208.91976737504</v>
      </c>
      <c r="D2649" s="116">
        <v>2205.91436840694</v>
      </c>
      <c r="E2649" s="116">
        <v>2234.6595553114898</v>
      </c>
      <c r="F2649" s="116">
        <v>2278.4499999999998</v>
      </c>
      <c r="G2649">
        <v>30301</v>
      </c>
      <c r="H2649" s="116"/>
      <c r="I2649" s="116"/>
      <c r="L2649" s="170">
        <v>45904</v>
      </c>
      <c r="M2649" s="116">
        <v>2209.2625556261901</v>
      </c>
      <c r="N2649" s="116">
        <v>2246.5877304513701</v>
      </c>
      <c r="O2649" s="116">
        <v>2205.5785123966898</v>
      </c>
      <c r="P2649" s="116">
        <v>2239.4135410044501</v>
      </c>
      <c r="Q2649" s="116">
        <v>2278.8000000000002</v>
      </c>
      <c r="R2649">
        <v>392697</v>
      </c>
    </row>
    <row r="2650" spans="1:18" x14ac:dyDescent="0.25">
      <c r="A2650" s="170">
        <v>45905</v>
      </c>
      <c r="B2650" s="116">
        <v>2228.6972315521998</v>
      </c>
      <c r="C2650" s="116">
        <v>2213.4278658271801</v>
      </c>
      <c r="D2650" s="116">
        <v>2181.3379607162001</v>
      </c>
      <c r="E2650" s="116">
        <v>2228.6972315521998</v>
      </c>
      <c r="F2650" s="116">
        <v>2283.1</v>
      </c>
      <c r="G2650">
        <v>25194</v>
      </c>
      <c r="H2650" s="116"/>
      <c r="I2650" s="116"/>
      <c r="L2650" s="170">
        <v>45905</v>
      </c>
      <c r="M2650" s="116">
        <v>2211.7832167832198</v>
      </c>
      <c r="N2650" s="116">
        <v>2223.5139860139898</v>
      </c>
      <c r="O2650" s="116">
        <v>2179.4024157660501</v>
      </c>
      <c r="P2650" s="116">
        <v>2205.5785123966898</v>
      </c>
      <c r="Q2650" s="116">
        <v>2281.4</v>
      </c>
      <c r="R2650">
        <v>443010</v>
      </c>
    </row>
    <row r="2651" spans="1:18" x14ac:dyDescent="0.25">
      <c r="A2651" s="170">
        <v>45908</v>
      </c>
      <c r="B2651" s="116">
        <v>2260.8356108400799</v>
      </c>
      <c r="C2651" s="116">
        <v>2239.7493438864899</v>
      </c>
      <c r="D2651" s="116">
        <v>2210.5678893897998</v>
      </c>
      <c r="E2651" s="116">
        <v>2210.5678893897998</v>
      </c>
      <c r="F2651" s="116">
        <v>2310.25</v>
      </c>
      <c r="G2651">
        <v>38595</v>
      </c>
      <c r="H2651" s="116"/>
      <c r="I2651" s="116"/>
      <c r="L2651" s="170">
        <v>45908</v>
      </c>
      <c r="M2651" s="116">
        <v>2240.3830260648401</v>
      </c>
      <c r="N2651" s="116">
        <v>2262.68118245391</v>
      </c>
      <c r="O2651" s="116">
        <v>2216.2428480610301</v>
      </c>
      <c r="P2651" s="116">
        <v>2220.12078830261</v>
      </c>
      <c r="Q2651" s="116">
        <v>2310.9</v>
      </c>
      <c r="R2651">
        <v>542811</v>
      </c>
    </row>
    <row r="2652" spans="1:18" x14ac:dyDescent="0.25">
      <c r="A2652" s="170">
        <v>45909</v>
      </c>
      <c r="B2652" s="116">
        <v>2253.9522777195998</v>
      </c>
      <c r="C2652" s="116">
        <v>2241.2520433705399</v>
      </c>
      <c r="D2652" s="116">
        <v>2227.8731705448099</v>
      </c>
      <c r="E2652" s="116">
        <v>2240.5734048938698</v>
      </c>
      <c r="F2652" s="116">
        <v>2311.8000000000002</v>
      </c>
      <c r="G2652">
        <v>13342</v>
      </c>
      <c r="H2652" s="116"/>
      <c r="I2652" s="116"/>
      <c r="L2652" s="170">
        <v>45909</v>
      </c>
      <c r="M2652" s="116">
        <v>2241.0616656071202</v>
      </c>
      <c r="N2652" s="116">
        <v>2254.0527654163998</v>
      </c>
      <c r="O2652" s="116">
        <v>2226.90718372537</v>
      </c>
      <c r="P2652" s="116">
        <v>2249.2053401144299</v>
      </c>
      <c r="Q2652" s="116">
        <v>2311.6</v>
      </c>
      <c r="R2652">
        <v>369431</v>
      </c>
    </row>
    <row r="2653" spans="1:18" x14ac:dyDescent="0.25">
      <c r="A2653" s="170">
        <v>45910</v>
      </c>
      <c r="B2653" s="116">
        <v>2276.2988732727099</v>
      </c>
      <c r="C2653" s="116">
        <v>2268.7369016755601</v>
      </c>
      <c r="D2653" s="116">
        <v>2254.4370194886501</v>
      </c>
      <c r="E2653" s="116">
        <v>2276.2988732727099</v>
      </c>
      <c r="F2653" s="116">
        <v>2340.15</v>
      </c>
      <c r="G2653">
        <v>43339</v>
      </c>
      <c r="H2653" s="116"/>
      <c r="I2653" s="116"/>
      <c r="L2653" s="170">
        <v>45910</v>
      </c>
      <c r="M2653" s="116">
        <v>2268.78893833439</v>
      </c>
      <c r="N2653" s="116">
        <v>2274.3150031786399</v>
      </c>
      <c r="O2653" s="116">
        <v>2254.1497139224398</v>
      </c>
      <c r="P2653" s="116">
        <v>2258.9001907183701</v>
      </c>
      <c r="Q2653" s="116">
        <v>2340.1999999999998</v>
      </c>
      <c r="R2653">
        <v>390490</v>
      </c>
    </row>
    <row r="2654" spans="1:18" x14ac:dyDescent="0.25">
      <c r="A2654" s="170">
        <v>45911</v>
      </c>
      <c r="B2654" s="116">
        <v>2344.0172984087299</v>
      </c>
      <c r="C2654" s="116">
        <v>2327.0028623151402</v>
      </c>
      <c r="D2654" s="116">
        <v>2271.59687811295</v>
      </c>
      <c r="E2654" s="116">
        <v>2276.34734744962</v>
      </c>
      <c r="F2654" s="116">
        <v>2400.25</v>
      </c>
      <c r="G2654">
        <v>77016</v>
      </c>
      <c r="H2654" s="116"/>
      <c r="I2654" s="116"/>
      <c r="L2654" s="170">
        <v>45911</v>
      </c>
      <c r="M2654" s="116">
        <v>2325.6007628734901</v>
      </c>
      <c r="N2654" s="116">
        <v>2344.8935155753302</v>
      </c>
      <c r="O2654" s="116">
        <v>2268.78893833439</v>
      </c>
      <c r="P2654" s="116">
        <v>2276.3509218054701</v>
      </c>
      <c r="Q2654" s="116">
        <v>2398.8000000000002</v>
      </c>
      <c r="R2654">
        <v>2111888</v>
      </c>
    </row>
    <row r="2655" spans="1:18" x14ac:dyDescent="0.25">
      <c r="A2655" s="170">
        <v>45912</v>
      </c>
      <c r="B2655" s="116">
        <v>2346.2471105463501</v>
      </c>
      <c r="C2655" s="116">
        <v>2318.1320879415598</v>
      </c>
      <c r="D2655" s="116">
        <v>2314.1572054353701</v>
      </c>
      <c r="E2655" s="116">
        <v>2336.4553268115801</v>
      </c>
      <c r="F2655" s="116">
        <v>2391.1</v>
      </c>
      <c r="G2655">
        <v>43438</v>
      </c>
      <c r="H2655" s="116"/>
      <c r="I2655" s="116"/>
      <c r="L2655" s="170">
        <v>45912</v>
      </c>
      <c r="M2655" s="116">
        <v>2319.0082644628101</v>
      </c>
      <c r="N2655" s="116">
        <v>2347.7050222504799</v>
      </c>
      <c r="O2655" s="116">
        <v>2314.2577876668802</v>
      </c>
      <c r="P2655" s="116">
        <v>2343.1484424666201</v>
      </c>
      <c r="Q2655" s="116">
        <v>2392</v>
      </c>
      <c r="R2655">
        <v>533971</v>
      </c>
    </row>
    <row r="2656" spans="1:18" x14ac:dyDescent="0.25">
      <c r="A2656" s="170">
        <v>45915</v>
      </c>
      <c r="B2656" s="116">
        <v>2330.0567354601399</v>
      </c>
      <c r="C2656" s="116">
        <v>2310.3762196367902</v>
      </c>
      <c r="D2656" s="116">
        <v>2305.6257503001202</v>
      </c>
      <c r="E2656" s="116">
        <v>2315.6599049194101</v>
      </c>
      <c r="F2656" s="116">
        <v>2383.1</v>
      </c>
      <c r="G2656">
        <v>19070</v>
      </c>
      <c r="H2656" s="116"/>
      <c r="I2656" s="116"/>
      <c r="L2656" s="170">
        <v>45915</v>
      </c>
      <c r="M2656" s="116">
        <v>2310.6706929434199</v>
      </c>
      <c r="N2656" s="116">
        <v>2329.4787031150699</v>
      </c>
      <c r="O2656" s="116">
        <v>2305.53242212333</v>
      </c>
      <c r="P2656" s="116">
        <v>2319.0082644628101</v>
      </c>
      <c r="Q2656" s="116">
        <v>2383.4</v>
      </c>
      <c r="R2656">
        <v>298129</v>
      </c>
    </row>
    <row r="2657" spans="1:18" x14ac:dyDescent="0.25">
      <c r="A2657" s="170">
        <v>45916</v>
      </c>
      <c r="B2657" s="116">
        <v>2345.7623687772998</v>
      </c>
      <c r="C2657" s="116">
        <v>2326.5181205460899</v>
      </c>
      <c r="D2657" s="116">
        <v>2315.90227580394</v>
      </c>
      <c r="E2657" s="116">
        <v>2345.7623687772998</v>
      </c>
      <c r="F2657" s="116">
        <v>2399.75</v>
      </c>
      <c r="G2657">
        <v>53374</v>
      </c>
      <c r="H2657" s="116"/>
      <c r="I2657" s="116"/>
      <c r="L2657" s="170">
        <v>45916</v>
      </c>
      <c r="M2657" s="116">
        <v>2326.1824539097302</v>
      </c>
      <c r="N2657" s="116">
        <v>2342.08200890019</v>
      </c>
      <c r="O2657" s="116">
        <v>2315.1303242212298</v>
      </c>
      <c r="P2657" s="116">
        <v>2336.4589955499</v>
      </c>
      <c r="Q2657" s="116">
        <v>2399.4</v>
      </c>
      <c r="R2657">
        <v>752979</v>
      </c>
    </row>
    <row r="2658" spans="1:18" x14ac:dyDescent="0.25">
      <c r="A2658" s="170">
        <v>45917</v>
      </c>
      <c r="B2658" s="116">
        <v>2342.2722280401499</v>
      </c>
      <c r="C2658" s="116">
        <v>2329.28114862966</v>
      </c>
      <c r="D2658" s="116">
        <v>2317.8897170570399</v>
      </c>
      <c r="E2658" s="116">
        <v>2342.2722280401499</v>
      </c>
      <c r="F2658" s="116">
        <v>2402.6</v>
      </c>
      <c r="G2658">
        <v>27824</v>
      </c>
      <c r="H2658" s="116"/>
      <c r="I2658" s="116"/>
      <c r="L2658" s="170">
        <v>45917</v>
      </c>
      <c r="M2658" s="116">
        <v>2328.7031150667499</v>
      </c>
      <c r="N2658" s="116">
        <v>2343.2453909726601</v>
      </c>
      <c r="O2658" s="116">
        <v>2318.03877940242</v>
      </c>
      <c r="P2658" s="116">
        <v>2343.2453909726601</v>
      </c>
      <c r="Q2658" s="116">
        <v>2402</v>
      </c>
      <c r="R2658">
        <v>514354</v>
      </c>
    </row>
    <row r="2659" spans="1:18" x14ac:dyDescent="0.25">
      <c r="A2659" s="170">
        <v>45918</v>
      </c>
      <c r="B2659" s="116">
        <v>2363.11612410922</v>
      </c>
      <c r="C2659" s="116">
        <v>2328.5540359760898</v>
      </c>
      <c r="D2659" s="116">
        <v>2315.1751631503698</v>
      </c>
      <c r="E2659" s="116">
        <v>2343.24171157825</v>
      </c>
      <c r="F2659" s="116">
        <v>2401.85</v>
      </c>
      <c r="G2659">
        <v>45517</v>
      </c>
      <c r="H2659" s="116"/>
      <c r="I2659" s="116"/>
      <c r="L2659" s="170">
        <v>45918</v>
      </c>
      <c r="M2659" s="116">
        <v>2328.7031150667499</v>
      </c>
      <c r="N2659" s="116">
        <v>2363.6045772409402</v>
      </c>
      <c r="O2659" s="116">
        <v>2315.5181182453898</v>
      </c>
      <c r="P2659" s="116">
        <v>2340.8216783216799</v>
      </c>
      <c r="Q2659" s="116">
        <v>2402</v>
      </c>
      <c r="R2659">
        <v>703730</v>
      </c>
    </row>
    <row r="2660" spans="1:18" x14ac:dyDescent="0.25">
      <c r="A2660" s="170">
        <v>45919</v>
      </c>
      <c r="B2660" s="116">
        <v>2500.68583816505</v>
      </c>
      <c r="C2660" s="116">
        <v>2445.9100182626198</v>
      </c>
      <c r="D2660" s="116">
        <v>2393.8002780899601</v>
      </c>
      <c r="E2660" s="116">
        <v>2417.8919440116501</v>
      </c>
      <c r="F2660" s="116">
        <v>2522.9</v>
      </c>
      <c r="G2660">
        <v>455062</v>
      </c>
      <c r="H2660" s="116"/>
      <c r="I2660" s="116"/>
      <c r="L2660" s="170">
        <v>45919</v>
      </c>
      <c r="M2660" s="116">
        <v>2446.9802924348401</v>
      </c>
      <c r="N2660" s="116">
        <v>2500.3019707565199</v>
      </c>
      <c r="O2660" s="116">
        <v>2390.84710743802</v>
      </c>
      <c r="P2660" s="116">
        <v>2418.8652256834098</v>
      </c>
      <c r="Q2660" s="116">
        <v>2524</v>
      </c>
      <c r="R2660">
        <v>7965135</v>
      </c>
    </row>
    <row r="2661" spans="1:18" x14ac:dyDescent="0.25">
      <c r="A2661" s="170">
        <v>45922</v>
      </c>
      <c r="B2661" s="116">
        <v>2578.0506245051201</v>
      </c>
      <c r="C2661" s="116">
        <v>2549.6932310158099</v>
      </c>
      <c r="D2661" s="116">
        <v>2446.9764501545301</v>
      </c>
      <c r="E2661" s="116">
        <v>2457.64076907359</v>
      </c>
      <c r="F2661" s="116">
        <v>2629.95</v>
      </c>
      <c r="G2661">
        <v>277222</v>
      </c>
      <c r="H2661" s="116"/>
      <c r="I2661" s="116"/>
      <c r="L2661" s="170">
        <v>45922</v>
      </c>
      <c r="M2661" s="116">
        <v>2549.26096630642</v>
      </c>
      <c r="N2661" s="116">
        <v>2577.8607755880498</v>
      </c>
      <c r="O2661" s="116">
        <v>2445.1382708200899</v>
      </c>
      <c r="P2661" s="116">
        <v>2457.6446280991699</v>
      </c>
      <c r="Q2661" s="116">
        <v>2629.5</v>
      </c>
      <c r="R2661">
        <v>7022985</v>
      </c>
    </row>
    <row r="2662" spans="1:18" x14ac:dyDescent="0.25">
      <c r="A2662" s="170">
        <v>45923</v>
      </c>
      <c r="B2662" s="116">
        <v>2612.7581351689601</v>
      </c>
      <c r="C2662" s="116">
        <v>2592.3989808689398</v>
      </c>
      <c r="D2662" s="116">
        <v>2512.3681147991101</v>
      </c>
      <c r="E2662" s="116">
        <v>2559.4365405736798</v>
      </c>
      <c r="F2662" s="116">
        <v>2674</v>
      </c>
      <c r="G2662">
        <v>362156</v>
      </c>
      <c r="H2662" s="116"/>
      <c r="I2662" s="116"/>
      <c r="L2662" s="170">
        <v>45923</v>
      </c>
      <c r="M2662" s="116">
        <v>2594.7298156389102</v>
      </c>
      <c r="N2662" s="116">
        <v>2612.7622377622401</v>
      </c>
      <c r="O2662" s="116">
        <v>2513.87476160203</v>
      </c>
      <c r="P2662" s="116">
        <v>2561.96122059758</v>
      </c>
      <c r="Q2662" s="116">
        <v>2676.4</v>
      </c>
      <c r="R2662">
        <v>5610022</v>
      </c>
    </row>
    <row r="2663" spans="1:18" x14ac:dyDescent="0.25">
      <c r="A2663" s="170">
        <v>45924</v>
      </c>
      <c r="B2663" s="116">
        <v>2593.3684644070399</v>
      </c>
      <c r="C2663" s="116">
        <v>2540.3377148731802</v>
      </c>
      <c r="D2663" s="116">
        <v>2534.27844276008</v>
      </c>
      <c r="E2663" s="116">
        <v>2569.1313759546401</v>
      </c>
      <c r="F2663" s="116">
        <v>2620.3000000000002</v>
      </c>
      <c r="G2663">
        <v>85168</v>
      </c>
      <c r="H2663" s="116"/>
      <c r="I2663" s="116"/>
      <c r="L2663" s="170">
        <v>45924</v>
      </c>
      <c r="M2663" s="116">
        <v>2539.8569612206002</v>
      </c>
      <c r="N2663" s="116">
        <v>2594.3420216147501</v>
      </c>
      <c r="O2663" s="116">
        <v>2534.6217418944698</v>
      </c>
      <c r="P2663" s="116">
        <v>2573.98283534647</v>
      </c>
      <c r="Q2663" s="116">
        <v>2619.8000000000002</v>
      </c>
      <c r="R2663">
        <v>1720785</v>
      </c>
    </row>
    <row r="2664" spans="1:18" x14ac:dyDescent="0.25">
      <c r="A2664" s="170">
        <v>45925</v>
      </c>
      <c r="B2664" s="116">
        <v>2565.78665774821</v>
      </c>
      <c r="C2664" s="116">
        <v>2496.4685847743399</v>
      </c>
      <c r="D2664" s="116">
        <v>2489.1489840617101</v>
      </c>
      <c r="E2664" s="116">
        <v>2541.7434660034201</v>
      </c>
      <c r="F2664" s="116">
        <v>2575.0500000000002</v>
      </c>
      <c r="G2664">
        <v>86792</v>
      </c>
      <c r="H2664" s="116"/>
      <c r="I2664" s="116"/>
      <c r="L2664" s="170">
        <v>45925</v>
      </c>
      <c r="M2664" s="116">
        <v>2497.7813095994902</v>
      </c>
      <c r="N2664" s="116">
        <v>2567.0994914176699</v>
      </c>
      <c r="O2664" s="116">
        <v>2488.66815003179</v>
      </c>
      <c r="P2664" s="116">
        <v>2544.8982835346501</v>
      </c>
      <c r="Q2664" s="116">
        <v>2576.4</v>
      </c>
      <c r="R2664">
        <v>1489682</v>
      </c>
    </row>
    <row r="2665" spans="1:18" x14ac:dyDescent="0.25">
      <c r="A2665" s="170">
        <v>45926</v>
      </c>
      <c r="B2665" s="116">
        <v>2525.6985134479301</v>
      </c>
      <c r="C2665" s="116">
        <v>2465.5420599090698</v>
      </c>
      <c r="D2665" s="116">
        <v>2457.64076907359</v>
      </c>
      <c r="E2665" s="116">
        <v>2497.147223251</v>
      </c>
      <c r="F2665" s="116">
        <v>2543.15</v>
      </c>
      <c r="G2665">
        <v>66389</v>
      </c>
      <c r="H2665" s="116"/>
      <c r="I2665" s="116"/>
      <c r="L2665" s="170">
        <v>45926</v>
      </c>
      <c r="M2665" s="116">
        <v>2466.0791481246001</v>
      </c>
      <c r="N2665" s="116">
        <v>2525.50858232676</v>
      </c>
      <c r="O2665" s="116">
        <v>2457.6446280991699</v>
      </c>
      <c r="P2665" s="116">
        <v>2494.29116338207</v>
      </c>
      <c r="Q2665" s="116">
        <v>2543.6999999999998</v>
      </c>
      <c r="R2665">
        <v>1037808</v>
      </c>
    </row>
    <row r="2666" spans="1:18" x14ac:dyDescent="0.25">
      <c r="A2666" s="170">
        <v>45929</v>
      </c>
      <c r="B2666" s="116">
        <v>2478.2907684350298</v>
      </c>
      <c r="C2666" s="116">
        <v>2432.2403003754698</v>
      </c>
      <c r="D2666" s="116">
        <v>2428.6532112845098</v>
      </c>
      <c r="E2666" s="116">
        <v>2471.8921770836</v>
      </c>
      <c r="F2666" s="116">
        <v>2508.8000000000002</v>
      </c>
      <c r="G2666">
        <v>40872</v>
      </c>
      <c r="H2666" s="116"/>
      <c r="I2666" s="116"/>
      <c r="L2666" s="170">
        <v>45929</v>
      </c>
      <c r="M2666" s="116">
        <v>2432.9227590591199</v>
      </c>
      <c r="N2666" s="116">
        <v>2477.03432930706</v>
      </c>
      <c r="O2666" s="116">
        <v>2428.5600762873501</v>
      </c>
      <c r="P2666" s="116">
        <v>2466.0791481246001</v>
      </c>
      <c r="Q2666" s="116">
        <v>2509.5</v>
      </c>
      <c r="R2666">
        <v>1012402</v>
      </c>
    </row>
    <row r="2667" spans="1:18" x14ac:dyDescent="0.25">
      <c r="A2667" s="170">
        <v>45930</v>
      </c>
      <c r="B2667" s="116">
        <v>2465.1542664938302</v>
      </c>
      <c r="C2667" s="116">
        <v>2429.4772722919001</v>
      </c>
      <c r="D2667" s="116">
        <v>2416.34077035069</v>
      </c>
      <c r="E2667" s="116">
        <v>2465.1542664938302</v>
      </c>
      <c r="F2667" s="116">
        <v>2505.9499999999998</v>
      </c>
      <c r="G2667">
        <v>19946</v>
      </c>
      <c r="H2667" s="116"/>
      <c r="I2667" s="116"/>
      <c r="L2667" s="170">
        <v>45930</v>
      </c>
      <c r="M2667" s="116">
        <v>2429.4326128417001</v>
      </c>
      <c r="N2667" s="116">
        <v>2457.6446280991699</v>
      </c>
      <c r="O2667" s="116">
        <v>2414.5994914176699</v>
      </c>
      <c r="P2667" s="116">
        <v>2445.0413223140499</v>
      </c>
      <c r="Q2667" s="116">
        <v>2505.9</v>
      </c>
      <c r="R2667">
        <v>712592</v>
      </c>
    </row>
    <row r="2668" spans="1:18" x14ac:dyDescent="0.25">
      <c r="A2668" s="170">
        <v>45931</v>
      </c>
      <c r="B2668" s="116">
        <v>2523.27480460269</v>
      </c>
      <c r="C2668" s="116">
        <v>2512.4650631529198</v>
      </c>
      <c r="D2668" s="116">
        <v>2397.8236347730599</v>
      </c>
      <c r="E2668" s="116">
        <v>2438.59041755</v>
      </c>
      <c r="F2668" s="116">
        <v>2591.5500000000002</v>
      </c>
      <c r="G2668">
        <v>101790</v>
      </c>
      <c r="H2668" s="116"/>
      <c r="I2668" s="116"/>
      <c r="L2668" s="170">
        <v>45931</v>
      </c>
      <c r="M2668" s="116">
        <v>2513.58391608392</v>
      </c>
      <c r="N2668" s="116">
        <v>2523.9574062301299</v>
      </c>
      <c r="O2668" s="116">
        <v>2396.66401780038</v>
      </c>
      <c r="P2668" s="116">
        <v>2441.5511760966301</v>
      </c>
      <c r="Q2668" s="116">
        <v>2592.6999999999998</v>
      </c>
      <c r="R2668">
        <v>1573485</v>
      </c>
    </row>
    <row r="2669" spans="1:18" x14ac:dyDescent="0.25">
      <c r="A2669" s="170">
        <v>45933</v>
      </c>
      <c r="B2669" s="116">
        <v>2532.3394756838902</v>
      </c>
      <c r="C2669" s="116">
        <v>2510.1383026614899</v>
      </c>
      <c r="D2669" s="116">
        <v>2487.35543951623</v>
      </c>
      <c r="E2669" s="116">
        <v>2512.7559082143498</v>
      </c>
      <c r="F2669" s="116">
        <v>2589.15</v>
      </c>
      <c r="G2669">
        <v>44749</v>
      </c>
      <c r="H2669" s="116"/>
      <c r="I2669" s="116"/>
      <c r="L2669" s="170">
        <v>45933</v>
      </c>
      <c r="M2669" s="116">
        <v>2510.8693579148098</v>
      </c>
      <c r="N2669" s="116">
        <v>2533.1675143038801</v>
      </c>
      <c r="O2669" s="116">
        <v>2486.1474888747598</v>
      </c>
      <c r="P2669" s="116">
        <v>2515.8137317228202</v>
      </c>
      <c r="Q2669" s="116">
        <v>2589.9</v>
      </c>
      <c r="R2669">
        <v>917651</v>
      </c>
    </row>
    <row r="2670" spans="1:18" x14ac:dyDescent="0.25">
      <c r="A2670" s="170">
        <v>45936</v>
      </c>
      <c r="B2670" s="116">
        <v>2520.2694056345899</v>
      </c>
      <c r="C2670" s="116">
        <v>2494.2872468136202</v>
      </c>
      <c r="D2670" s="116">
        <v>2484.8832564940899</v>
      </c>
      <c r="E2670" s="116">
        <v>2518.1850160276899</v>
      </c>
      <c r="F2670" s="116">
        <v>2572.8000000000002</v>
      </c>
      <c r="G2670">
        <v>27393</v>
      </c>
      <c r="H2670" s="116"/>
      <c r="I2670" s="116"/>
      <c r="L2670" s="170">
        <v>45936</v>
      </c>
      <c r="M2670" s="116">
        <v>2494.96980292435</v>
      </c>
      <c r="N2670" s="116">
        <v>2520.4672600127101</v>
      </c>
      <c r="O2670" s="116">
        <v>2484.4024157660501</v>
      </c>
      <c r="P2670" s="116">
        <v>2510.0937698665002</v>
      </c>
      <c r="Q2670" s="116">
        <v>2573.5</v>
      </c>
      <c r="R2670">
        <v>654955</v>
      </c>
    </row>
    <row r="2671" spans="1:18" x14ac:dyDescent="0.25">
      <c r="A2671" s="170">
        <v>45937</v>
      </c>
      <c r="B2671" s="116">
        <v>2536.94452248985</v>
      </c>
      <c r="C2671" s="116">
        <v>2465.2512148476399</v>
      </c>
      <c r="D2671" s="116">
        <v>2456.9136564200098</v>
      </c>
      <c r="E2671" s="116">
        <v>2510.3806735460098</v>
      </c>
      <c r="F2671" s="116">
        <v>2542.85</v>
      </c>
      <c r="G2671">
        <v>35213</v>
      </c>
      <c r="H2671" s="116"/>
      <c r="I2671" s="116"/>
      <c r="L2671" s="170">
        <v>45937</v>
      </c>
      <c r="M2671" s="116">
        <v>2464.62492053401</v>
      </c>
      <c r="N2671" s="116">
        <v>2537.43324856961</v>
      </c>
      <c r="O2671" s="116">
        <v>2455.8026064844198</v>
      </c>
      <c r="P2671" s="116">
        <v>2501.9500953591901</v>
      </c>
      <c r="Q2671" s="116">
        <v>2542.1999999999998</v>
      </c>
      <c r="R2671">
        <v>1120230</v>
      </c>
    </row>
    <row r="2672" spans="1:18" x14ac:dyDescent="0.25">
      <c r="A2672" s="170">
        <v>45938</v>
      </c>
      <c r="B2672" s="116">
        <v>2488.1310263467099</v>
      </c>
      <c r="C2672" s="116">
        <v>2446.1523891471502</v>
      </c>
      <c r="D2672" s="116">
        <v>2422.7393617021298</v>
      </c>
      <c r="E2672" s="116">
        <v>2488.1310263467099</v>
      </c>
      <c r="F2672" s="116">
        <v>2523.15</v>
      </c>
      <c r="G2672">
        <v>52268</v>
      </c>
      <c r="H2672" s="116"/>
      <c r="I2672" s="116"/>
      <c r="L2672" s="170">
        <v>45938</v>
      </c>
      <c r="M2672" s="116">
        <v>2447.0772409408801</v>
      </c>
      <c r="N2672" s="116">
        <v>2486.7291799109998</v>
      </c>
      <c r="O2672" s="116">
        <v>2423.7126509853802</v>
      </c>
      <c r="P2672" s="116">
        <v>2483.8207247298201</v>
      </c>
      <c r="Q2672" s="116">
        <v>2524.1</v>
      </c>
      <c r="R2672">
        <v>1063357</v>
      </c>
    </row>
    <row r="2673" spans="1:18" x14ac:dyDescent="0.25">
      <c r="A2673" s="170">
        <v>45939</v>
      </c>
      <c r="B2673" s="116">
        <v>2480.9083739878902</v>
      </c>
      <c r="C2673" s="116">
        <v>2464.5725763709702</v>
      </c>
      <c r="D2673" s="116">
        <v>2446.00696661643</v>
      </c>
      <c r="E2673" s="116">
        <v>2448.13983040025</v>
      </c>
      <c r="F2673" s="116">
        <v>2542.15</v>
      </c>
      <c r="G2673">
        <v>29976</v>
      </c>
      <c r="H2673" s="116"/>
      <c r="I2673" s="116"/>
      <c r="L2673" s="170">
        <v>45939</v>
      </c>
      <c r="M2673" s="116">
        <v>2464.81881754609</v>
      </c>
      <c r="N2673" s="116">
        <v>2480.9122695486299</v>
      </c>
      <c r="O2673" s="116">
        <v>2445.2352193261299</v>
      </c>
      <c r="P2673" s="116">
        <v>2457.6446280991699</v>
      </c>
      <c r="Q2673" s="116">
        <v>2542.4</v>
      </c>
      <c r="R2673">
        <v>651703</v>
      </c>
    </row>
    <row r="2674" spans="1:18" x14ac:dyDescent="0.25">
      <c r="A2674" s="170">
        <v>45940</v>
      </c>
      <c r="B2674" s="116">
        <v>2487.4039136931401</v>
      </c>
      <c r="C2674" s="116">
        <v>2472.76471226789</v>
      </c>
      <c r="D2674" s="116">
        <v>2460.6461680416801</v>
      </c>
      <c r="E2674" s="116">
        <v>2487.4039136931401</v>
      </c>
      <c r="F2674" s="116">
        <v>2550.6</v>
      </c>
      <c r="G2674">
        <v>21179</v>
      </c>
      <c r="H2674" s="116"/>
      <c r="I2674" s="116"/>
      <c r="L2674" s="170">
        <v>45940</v>
      </c>
      <c r="M2674" s="116">
        <v>2473.0594405594402</v>
      </c>
      <c r="N2674" s="116">
        <v>2486.7291799109998</v>
      </c>
      <c r="O2674" s="116">
        <v>2461.3286713286702</v>
      </c>
      <c r="P2674" s="116">
        <v>2474.1258741258698</v>
      </c>
      <c r="Q2674" s="116">
        <v>2550.9</v>
      </c>
      <c r="R2674">
        <v>690142</v>
      </c>
    </row>
    <row r="2675" spans="1:18" x14ac:dyDescent="0.25">
      <c r="A2675" s="170">
        <v>45943</v>
      </c>
      <c r="B2675" s="116">
        <v>2462.4881867640702</v>
      </c>
      <c r="C2675" s="116">
        <v>2449.59405570739</v>
      </c>
      <c r="D2675" s="116">
        <v>2428.16846951547</v>
      </c>
      <c r="E2675" s="116">
        <v>2460.30684880335</v>
      </c>
      <c r="F2675" s="116">
        <v>2526.6999999999998</v>
      </c>
      <c r="G2675">
        <v>34567</v>
      </c>
      <c r="H2675" s="116"/>
      <c r="I2675" s="116"/>
      <c r="L2675" s="170">
        <v>45943</v>
      </c>
      <c r="M2675" s="116">
        <v>2450.2765416401799</v>
      </c>
      <c r="N2675" s="116">
        <v>2464.52797202797</v>
      </c>
      <c r="O2675" s="116">
        <v>2427.59059122695</v>
      </c>
      <c r="P2675" s="116">
        <v>2451.92466624285</v>
      </c>
      <c r="Q2675" s="116">
        <v>2527.4</v>
      </c>
      <c r="R2675">
        <v>645483</v>
      </c>
    </row>
    <row r="2676" spans="1:18" x14ac:dyDescent="0.25">
      <c r="A2676" s="170">
        <v>45944</v>
      </c>
      <c r="B2676" s="116">
        <v>2461.3248065183502</v>
      </c>
      <c r="C2676" s="116">
        <v>2439.2690560266701</v>
      </c>
      <c r="D2676" s="116">
        <v>2409.74828229164</v>
      </c>
      <c r="E2676" s="116">
        <v>2449.9333749457201</v>
      </c>
      <c r="F2676" s="116">
        <v>2516.0500000000002</v>
      </c>
      <c r="G2676">
        <v>21740</v>
      </c>
      <c r="H2676" s="116"/>
      <c r="I2676" s="116"/>
      <c r="L2676" s="170">
        <v>45944</v>
      </c>
      <c r="M2676" s="116">
        <v>2440.19389701208</v>
      </c>
      <c r="N2676" s="116">
        <v>2461.4256198347098</v>
      </c>
      <c r="O2676" s="116">
        <v>2409.36427209154</v>
      </c>
      <c r="P2676" s="116">
        <v>2461.4256198347098</v>
      </c>
      <c r="Q2676" s="116">
        <v>2517</v>
      </c>
      <c r="R2676">
        <v>673048</v>
      </c>
    </row>
    <row r="2677" spans="1:18" x14ac:dyDescent="0.25">
      <c r="A2677" s="170">
        <v>45945</v>
      </c>
      <c r="B2677" s="116">
        <v>2481.8778575259898</v>
      </c>
      <c r="C2677" s="116">
        <v>2457.3983981890601</v>
      </c>
      <c r="D2677" s="116">
        <v>2451.1452293683401</v>
      </c>
      <c r="E2677" s="116">
        <v>2462.1488675257301</v>
      </c>
      <c r="F2677" s="116">
        <v>2534.75</v>
      </c>
      <c r="G2677">
        <v>24867</v>
      </c>
      <c r="H2677" s="116"/>
      <c r="I2677" s="116"/>
      <c r="L2677" s="170">
        <v>45945</v>
      </c>
      <c r="M2677" s="116">
        <v>2455.5117609663098</v>
      </c>
      <c r="N2677" s="116">
        <v>2483.23903369358</v>
      </c>
      <c r="O2677" s="116">
        <v>2450.1795931341399</v>
      </c>
      <c r="P2677" s="116">
        <v>2457.6446280991699</v>
      </c>
      <c r="Q2677" s="116">
        <v>2532.8000000000002</v>
      </c>
      <c r="R2677">
        <v>759772</v>
      </c>
    </row>
    <row r="2678" spans="1:18" x14ac:dyDescent="0.25">
      <c r="A2678" s="170">
        <v>45946</v>
      </c>
      <c r="B2678" s="116">
        <v>2500.97668322648</v>
      </c>
      <c r="C2678" s="116">
        <v>2478.6300876733699</v>
      </c>
      <c r="D2678" s="116">
        <v>2463.0214027100201</v>
      </c>
      <c r="E2678" s="116">
        <v>2475.8670595897902</v>
      </c>
      <c r="F2678" s="116">
        <v>2556.65</v>
      </c>
      <c r="G2678">
        <v>82753</v>
      </c>
      <c r="H2678" s="116"/>
      <c r="I2678" s="116"/>
      <c r="L2678" s="170">
        <v>45946</v>
      </c>
      <c r="M2678" s="116">
        <v>2479.5549904640802</v>
      </c>
      <c r="N2678" s="116">
        <v>2500.98061029879</v>
      </c>
      <c r="O2678" s="116">
        <v>2463.3645899554999</v>
      </c>
      <c r="P2678" s="116">
        <v>2467.1455816910402</v>
      </c>
      <c r="Q2678" s="116">
        <v>2557.6</v>
      </c>
      <c r="R2678">
        <v>1020102</v>
      </c>
    </row>
    <row r="2679" spans="1:18" x14ac:dyDescent="0.25">
      <c r="A2679" s="170">
        <v>45947</v>
      </c>
      <c r="B2679" s="116">
        <v>2498.35907767362</v>
      </c>
      <c r="C2679" s="116">
        <v>2471.7952287297899</v>
      </c>
      <c r="D2679" s="116">
        <v>2465.2512148476399</v>
      </c>
      <c r="E2679" s="116">
        <v>2479.2117777962198</v>
      </c>
      <c r="F2679" s="116">
        <v>2549.6</v>
      </c>
      <c r="G2679">
        <v>18756</v>
      </c>
      <c r="H2679" s="116"/>
      <c r="I2679" s="116"/>
      <c r="L2679" s="170">
        <v>45947</v>
      </c>
      <c r="M2679" s="116">
        <v>2471.6052129688501</v>
      </c>
      <c r="N2679" s="116">
        <v>2498.5568976478098</v>
      </c>
      <c r="O2679" s="116">
        <v>2465.4974570883701</v>
      </c>
      <c r="P2679" s="116">
        <v>2481.8817546090299</v>
      </c>
      <c r="Q2679" s="116">
        <v>2549.4</v>
      </c>
      <c r="R2679">
        <v>682968</v>
      </c>
    </row>
    <row r="2680" spans="1:18" x14ac:dyDescent="0.25">
      <c r="A2680" s="170">
        <v>45950</v>
      </c>
      <c r="B2680" s="116">
        <v>2500.73431234196</v>
      </c>
      <c r="C2680" s="116">
        <v>2471.4559094914598</v>
      </c>
      <c r="D2680" s="116">
        <v>2458.8041493193</v>
      </c>
      <c r="E2680" s="116">
        <v>2481.8778575259898</v>
      </c>
      <c r="F2680" s="116">
        <v>2549.25</v>
      </c>
      <c r="G2680">
        <v>36809</v>
      </c>
      <c r="H2680" s="116"/>
      <c r="I2680" s="116"/>
      <c r="L2680" s="170">
        <v>45950</v>
      </c>
      <c r="M2680" s="116">
        <v>2470.34488239034</v>
      </c>
      <c r="N2680" s="116">
        <v>2500.3019707565199</v>
      </c>
      <c r="O2680" s="116">
        <v>2459.6805467260001</v>
      </c>
      <c r="P2680" s="116">
        <v>2483.14208518754</v>
      </c>
      <c r="Q2680" s="116">
        <v>2548.1</v>
      </c>
      <c r="R2680">
        <v>747349</v>
      </c>
    </row>
    <row r="2681" spans="1:18" x14ac:dyDescent="0.25">
      <c r="A2681" s="170">
        <v>45951</v>
      </c>
      <c r="B2681" s="116">
        <v>2484.35004054813</v>
      </c>
      <c r="C2681" s="116">
        <v>2472.1345479681199</v>
      </c>
      <c r="D2681" s="116">
        <v>2467.5779753390698</v>
      </c>
      <c r="E2681" s="116">
        <v>2472.2314963219301</v>
      </c>
      <c r="F2681" s="116">
        <v>2549.9499999999998</v>
      </c>
      <c r="G2681">
        <v>15104</v>
      </c>
      <c r="H2681" s="116"/>
      <c r="I2681" s="116"/>
      <c r="L2681" s="170">
        <v>45951</v>
      </c>
      <c r="M2681" s="116">
        <v>2472.0899554990501</v>
      </c>
      <c r="N2681" s="116">
        <v>2483.8207247298201</v>
      </c>
      <c r="O2681" s="116">
        <v>2464.72186904005</v>
      </c>
      <c r="P2681" s="116">
        <v>2476.93738080102</v>
      </c>
      <c r="Q2681" s="116">
        <v>2549.9</v>
      </c>
      <c r="R2681">
        <v>101019</v>
      </c>
    </row>
    <row r="2682" spans="1:18" x14ac:dyDescent="0.25">
      <c r="A2682" s="170">
        <v>45953</v>
      </c>
      <c r="B2682" s="116">
        <v>2499.23161285791</v>
      </c>
      <c r="C2682" s="116">
        <v>2469.17762317693</v>
      </c>
      <c r="D2682" s="116">
        <v>2463.3607219483501</v>
      </c>
      <c r="E2682" s="116">
        <v>2472.3769188526499</v>
      </c>
      <c r="F2682" s="116">
        <v>2546.9</v>
      </c>
      <c r="G2682">
        <v>71101</v>
      </c>
      <c r="H2682" s="116"/>
      <c r="I2682" s="116"/>
      <c r="L2682" s="170">
        <v>45953</v>
      </c>
      <c r="M2682" s="116">
        <v>2468.1150667514298</v>
      </c>
      <c r="N2682" s="116">
        <v>2499.1385886840399</v>
      </c>
      <c r="O2682" s="116">
        <v>2463.3645899554999</v>
      </c>
      <c r="P2682" s="116">
        <v>2481.7848061029899</v>
      </c>
      <c r="Q2682" s="116">
        <v>2545.8000000000002</v>
      </c>
      <c r="R2682">
        <v>852445</v>
      </c>
    </row>
    <row r="2683" spans="1:18" x14ac:dyDescent="0.25">
      <c r="A2683" s="170">
        <v>45954</v>
      </c>
      <c r="B2683" s="116">
        <v>2477.9514491967002</v>
      </c>
      <c r="C2683" s="116">
        <v>2427.4413568618902</v>
      </c>
      <c r="D2683" s="116">
        <v>2422.4485166406998</v>
      </c>
      <c r="E2683" s="116">
        <v>2458.22245919644</v>
      </c>
      <c r="F2683" s="116">
        <v>2503.85</v>
      </c>
      <c r="G2683">
        <v>42720</v>
      </c>
      <c r="H2683" s="116"/>
      <c r="I2683" s="116"/>
      <c r="L2683" s="170">
        <v>45954</v>
      </c>
      <c r="M2683" s="116">
        <v>2427.78448823903</v>
      </c>
      <c r="N2683" s="116">
        <v>2476.84043229498</v>
      </c>
      <c r="O2683" s="116">
        <v>2421.48283534647</v>
      </c>
      <c r="P2683" s="116">
        <v>2476.84043229498</v>
      </c>
      <c r="Q2683" s="116">
        <v>2504.1999999999998</v>
      </c>
      <c r="R2683">
        <v>473765</v>
      </c>
    </row>
    <row r="2684" spans="1:18" x14ac:dyDescent="0.25">
      <c r="A2684" s="170">
        <v>45957</v>
      </c>
      <c r="B2684" s="116">
        <v>2439.0266851421402</v>
      </c>
      <c r="C2684" s="116">
        <v>2417.0194088273602</v>
      </c>
      <c r="D2684" s="116">
        <v>2411.3964043064002</v>
      </c>
      <c r="E2684" s="116">
        <v>2427.4413568618902</v>
      </c>
      <c r="F2684" s="116">
        <v>2493.1</v>
      </c>
      <c r="G2684">
        <v>24894</v>
      </c>
      <c r="H2684" s="116"/>
      <c r="I2684" s="116"/>
      <c r="L2684" s="170">
        <v>45957</v>
      </c>
      <c r="M2684" s="116">
        <v>2416.7323585505401</v>
      </c>
      <c r="N2684" s="116">
        <v>2437.8671328671298</v>
      </c>
      <c r="O2684" s="116">
        <v>2411.2062937062901</v>
      </c>
      <c r="P2684" s="116">
        <v>2427.78448823903</v>
      </c>
      <c r="Q2684" s="116">
        <v>2492.8000000000002</v>
      </c>
      <c r="R2684">
        <v>478055</v>
      </c>
    </row>
    <row r="2685" spans="1:18" x14ac:dyDescent="0.25">
      <c r="A2685" s="170">
        <v>45958</v>
      </c>
      <c r="B2685" s="116">
        <v>2438.9782109652401</v>
      </c>
      <c r="C2685" s="116">
        <v>2417.6495731271202</v>
      </c>
      <c r="D2685" s="116">
        <v>2404.3191744782998</v>
      </c>
      <c r="E2685" s="116">
        <v>2417.0194088273602</v>
      </c>
      <c r="F2685" s="116">
        <v>2493.75</v>
      </c>
      <c r="G2685">
        <v>30423</v>
      </c>
      <c r="H2685" s="116"/>
      <c r="I2685" s="116"/>
      <c r="L2685" s="170">
        <v>45958</v>
      </c>
      <c r="M2685" s="116">
        <v>2418.2835346471702</v>
      </c>
      <c r="N2685" s="116">
        <v>2439.2244119516799</v>
      </c>
      <c r="O2685" s="116">
        <v>2403.45041322314</v>
      </c>
      <c r="P2685" s="116">
        <v>2418.8652256834098</v>
      </c>
      <c r="Q2685" s="116">
        <v>2494.4</v>
      </c>
      <c r="R2685">
        <v>626988</v>
      </c>
    </row>
    <row r="2686" spans="1:18" x14ac:dyDescent="0.25">
      <c r="A2686" s="170">
        <v>45959</v>
      </c>
      <c r="B2686" s="116">
        <v>2519.68771551174</v>
      </c>
      <c r="C2686" s="116">
        <v>2457.4468723659702</v>
      </c>
      <c r="D2686" s="116">
        <v>2419.2492209649799</v>
      </c>
      <c r="E2686" s="116">
        <v>2419.2492209649799</v>
      </c>
      <c r="F2686" s="116">
        <v>2534.8000000000002</v>
      </c>
      <c r="G2686">
        <v>79870</v>
      </c>
      <c r="H2686" s="116"/>
      <c r="I2686" s="116"/>
      <c r="L2686" s="170">
        <v>45959</v>
      </c>
      <c r="M2686" s="116">
        <v>2459.9713922441201</v>
      </c>
      <c r="N2686" s="116">
        <v>2520.6611570247901</v>
      </c>
      <c r="O2686" s="116">
        <v>2419.3499682135998</v>
      </c>
      <c r="P2686" s="116">
        <v>2423.7126509853802</v>
      </c>
      <c r="Q2686" s="116">
        <v>2537.4</v>
      </c>
      <c r="R2686">
        <v>1526734</v>
      </c>
    </row>
    <row r="2687" spans="1:18" x14ac:dyDescent="0.25">
      <c r="A2687" s="170">
        <v>45960</v>
      </c>
      <c r="B2687" s="116">
        <v>2479.9388904498001</v>
      </c>
      <c r="C2687" s="116">
        <v>2450.3696425378698</v>
      </c>
      <c r="D2687" s="116">
        <v>2435.8758636433299</v>
      </c>
      <c r="E2687" s="116">
        <v>2467.4810269852601</v>
      </c>
      <c r="F2687" s="116">
        <v>2527.5</v>
      </c>
      <c r="G2687">
        <v>19850</v>
      </c>
      <c r="H2687" s="116"/>
      <c r="I2687" s="116"/>
      <c r="L2687" s="170">
        <v>45960</v>
      </c>
      <c r="M2687" s="116">
        <v>2449.7917991099798</v>
      </c>
      <c r="N2687" s="116">
        <v>2481.3000635727899</v>
      </c>
      <c r="O2687" s="116">
        <v>2435.1525746980301</v>
      </c>
      <c r="P2687" s="116">
        <v>2472.1869040050901</v>
      </c>
      <c r="Q2687" s="116">
        <v>2526.9</v>
      </c>
      <c r="R2687">
        <v>783328</v>
      </c>
    </row>
    <row r="2688" spans="1:18" x14ac:dyDescent="0.25">
      <c r="A2688" s="170">
        <v>45961</v>
      </c>
      <c r="B2688" s="116">
        <v>2465.0088439631199</v>
      </c>
      <c r="C2688" s="116">
        <v>2405.7249256085402</v>
      </c>
      <c r="D2688" s="116">
        <v>2397.0965221194901</v>
      </c>
      <c r="E2688" s="116">
        <v>2453.8113090981101</v>
      </c>
      <c r="F2688" s="116">
        <v>2481.4499999999998</v>
      </c>
      <c r="G2688">
        <v>42028</v>
      </c>
      <c r="H2688" s="116"/>
      <c r="I2688" s="116"/>
      <c r="L2688" s="170">
        <v>45961</v>
      </c>
      <c r="M2688" s="116">
        <v>2405.2924348378901</v>
      </c>
      <c r="N2688" s="116">
        <v>2465.8852511125201</v>
      </c>
      <c r="O2688" s="116">
        <v>2389.6837253655399</v>
      </c>
      <c r="P2688" s="116">
        <v>2457.6446280991699</v>
      </c>
      <c r="Q2688" s="116">
        <v>2481</v>
      </c>
      <c r="R2688">
        <v>848642</v>
      </c>
    </row>
    <row r="2689" spans="1:18" x14ac:dyDescent="0.25">
      <c r="A2689" s="170">
        <v>45964</v>
      </c>
      <c r="B2689" s="116">
        <v>2425.6478123164202</v>
      </c>
      <c r="C2689" s="116">
        <v>2394.1880715051998</v>
      </c>
      <c r="D2689" s="116">
        <v>2384.20239106281</v>
      </c>
      <c r="E2689" s="116">
        <v>2405.7249256085402</v>
      </c>
      <c r="F2689" s="116">
        <v>2469.5500000000002</v>
      </c>
      <c r="G2689">
        <v>47005</v>
      </c>
      <c r="H2689" s="116"/>
      <c r="I2689" s="116"/>
      <c r="L2689" s="170">
        <v>45964</v>
      </c>
      <c r="M2689" s="116">
        <v>2391.71964399237</v>
      </c>
      <c r="N2689" s="116">
        <v>2425.5546726001298</v>
      </c>
      <c r="O2689" s="116">
        <v>2382.5095359186298</v>
      </c>
      <c r="P2689" s="116">
        <v>2408.2008900190699</v>
      </c>
      <c r="Q2689" s="116">
        <v>2467</v>
      </c>
      <c r="R2689">
        <v>731108</v>
      </c>
    </row>
    <row r="2690" spans="1:18" x14ac:dyDescent="0.25">
      <c r="A2690" s="170">
        <v>45965</v>
      </c>
      <c r="B2690" s="116">
        <v>2412.6082587290198</v>
      </c>
      <c r="C2690" s="116">
        <v>2345.0837303006301</v>
      </c>
      <c r="D2690" s="116">
        <v>2318.27751047227</v>
      </c>
      <c r="E2690" s="116">
        <v>2406.6944091466398</v>
      </c>
      <c r="F2690" s="116">
        <v>2418.9</v>
      </c>
      <c r="G2690">
        <v>93585</v>
      </c>
      <c r="H2690" s="116"/>
      <c r="I2690" s="116"/>
      <c r="L2690" s="170">
        <v>45965</v>
      </c>
      <c r="M2690" s="116">
        <v>2345.9599491417698</v>
      </c>
      <c r="N2690" s="116">
        <v>2412.9513668149998</v>
      </c>
      <c r="O2690" s="116">
        <v>2317.65098537826</v>
      </c>
      <c r="P2690" s="116">
        <v>2404.1290527654201</v>
      </c>
      <c r="Q2690" s="116">
        <v>2419.8000000000002</v>
      </c>
      <c r="R2690">
        <v>2072668</v>
      </c>
    </row>
    <row r="2691" spans="1:18" x14ac:dyDescent="0.25">
      <c r="A2691" s="170">
        <v>45967</v>
      </c>
      <c r="B2691" s="116">
        <v>2353.5667112589699</v>
      </c>
      <c r="C2691" s="116">
        <v>2243.1910104467302</v>
      </c>
      <c r="D2691" s="116">
        <v>2239.4584988250599</v>
      </c>
      <c r="E2691" s="116">
        <v>2353.5667112589699</v>
      </c>
      <c r="F2691" s="116">
        <v>2313.8000000000002</v>
      </c>
      <c r="G2691">
        <v>82351</v>
      </c>
      <c r="H2691" s="116"/>
      <c r="I2691" s="116"/>
      <c r="L2691" s="170">
        <v>45967</v>
      </c>
      <c r="M2691" s="116">
        <v>2243.6792752701799</v>
      </c>
      <c r="N2691" s="116">
        <v>2353.0371900826399</v>
      </c>
      <c r="O2691" s="116">
        <v>2237.1837253655399</v>
      </c>
      <c r="P2691" s="116">
        <v>2351.0982199618602</v>
      </c>
      <c r="Q2691" s="116">
        <v>2314.3000000000002</v>
      </c>
      <c r="R2691">
        <v>1978147</v>
      </c>
    </row>
    <row r="2692" spans="1:18" x14ac:dyDescent="0.25">
      <c r="A2692" s="170">
        <v>45968</v>
      </c>
      <c r="B2692" s="116">
        <v>2330.3960546984699</v>
      </c>
      <c r="C2692" s="116">
        <v>2297.77293364154</v>
      </c>
      <c r="D2692" s="116">
        <v>2222.0562693162401</v>
      </c>
      <c r="E2692" s="116">
        <v>2252.88584582769</v>
      </c>
      <c r="F2692" s="116">
        <v>2370.1</v>
      </c>
      <c r="G2692">
        <v>61261</v>
      </c>
      <c r="H2692" s="116"/>
      <c r="I2692" s="116"/>
      <c r="L2692" s="170">
        <v>45968</v>
      </c>
      <c r="M2692" s="116">
        <v>2297.0979020978998</v>
      </c>
      <c r="N2692" s="116">
        <v>2329.1878575969499</v>
      </c>
      <c r="O2692" s="116">
        <v>2221.4780673871601</v>
      </c>
      <c r="P2692" s="116">
        <v>2244.35791481246</v>
      </c>
      <c r="Q2692" s="116">
        <v>2369.4</v>
      </c>
      <c r="R2692">
        <v>2232889</v>
      </c>
    </row>
    <row r="2693" spans="1:18" x14ac:dyDescent="0.25">
      <c r="A2693" s="170">
        <v>45971</v>
      </c>
      <c r="B2693" s="116">
        <v>2315.0782147965601</v>
      </c>
      <c r="C2693" s="116">
        <v>2296.7549759265398</v>
      </c>
      <c r="D2693" s="116">
        <v>2290.3079103982</v>
      </c>
      <c r="E2693" s="116">
        <v>2303.0081447472598</v>
      </c>
      <c r="F2693" s="116">
        <v>2369.0500000000002</v>
      </c>
      <c r="G2693">
        <v>45508</v>
      </c>
      <c r="H2693" s="116"/>
      <c r="I2693" s="116"/>
      <c r="L2693" s="170">
        <v>45971</v>
      </c>
      <c r="M2693" s="116">
        <v>2298.3582326764099</v>
      </c>
      <c r="N2693" s="116">
        <v>2315.1303242212298</v>
      </c>
      <c r="O2693" s="116">
        <v>2291.8626827717699</v>
      </c>
      <c r="P2693" s="116">
        <v>2308.2469802924302</v>
      </c>
      <c r="Q2693" s="116">
        <v>2370.6999999999998</v>
      </c>
      <c r="R2693">
        <v>559808</v>
      </c>
    </row>
    <row r="2694" spans="1:18" x14ac:dyDescent="0.25">
      <c r="A2694" s="170">
        <v>45972</v>
      </c>
      <c r="B2694" s="116">
        <v>2306.35286295369</v>
      </c>
      <c r="C2694" s="116">
        <v>2294.0888961967798</v>
      </c>
      <c r="D2694" s="116">
        <v>2268.5914791448499</v>
      </c>
      <c r="E2694" s="116">
        <v>2296.4641308651098</v>
      </c>
      <c r="F2694" s="116">
        <v>2366.3000000000002</v>
      </c>
      <c r="G2694">
        <v>19616</v>
      </c>
      <c r="H2694" s="116"/>
      <c r="I2694" s="116"/>
      <c r="L2694" s="170">
        <v>45972</v>
      </c>
      <c r="M2694" s="116">
        <v>2294.5772409408801</v>
      </c>
      <c r="N2694" s="116">
        <v>2306.30801017165</v>
      </c>
      <c r="O2694" s="116">
        <v>2267.1408137317198</v>
      </c>
      <c r="P2694" s="116">
        <v>2295.7406230133502</v>
      </c>
      <c r="Q2694" s="116">
        <v>2366.8000000000002</v>
      </c>
      <c r="R2694">
        <v>634172</v>
      </c>
    </row>
    <row r="2695" spans="1:18" x14ac:dyDescent="0.25">
      <c r="A2695" s="170">
        <v>45973</v>
      </c>
      <c r="B2695" s="116">
        <v>2439.22058184976</v>
      </c>
      <c r="C2695" s="116">
        <v>2408.2940569845</v>
      </c>
      <c r="D2695" s="116">
        <v>2291.9075582360601</v>
      </c>
      <c r="E2695" s="116">
        <v>2325.40321447728</v>
      </c>
      <c r="F2695" s="116">
        <v>2484.1</v>
      </c>
      <c r="G2695">
        <v>188882</v>
      </c>
      <c r="H2695" s="116"/>
      <c r="I2695" s="116"/>
      <c r="L2695" s="170">
        <v>45973</v>
      </c>
      <c r="M2695" s="116">
        <v>2408.6856325492699</v>
      </c>
      <c r="N2695" s="116">
        <v>2440.6786395422801</v>
      </c>
      <c r="O2695" s="116">
        <v>2288.9542275905901</v>
      </c>
      <c r="P2695" s="116">
        <v>2311.25238397966</v>
      </c>
      <c r="Q2695" s="116">
        <v>2484.5</v>
      </c>
      <c r="R2695">
        <v>6685426</v>
      </c>
    </row>
    <row r="2696" spans="1:18" x14ac:dyDescent="0.25">
      <c r="A2696" s="170">
        <v>45974</v>
      </c>
      <c r="B2696" s="116">
        <v>2446.7825534469098</v>
      </c>
      <c r="C2696" s="116">
        <v>2408.9242212842601</v>
      </c>
      <c r="D2696" s="116">
        <v>2392.53994949043</v>
      </c>
      <c r="E2696" s="116">
        <v>2423.7088452402199</v>
      </c>
      <c r="F2696" s="116">
        <v>2484.75</v>
      </c>
      <c r="G2696">
        <v>70226</v>
      </c>
      <c r="H2696" s="116"/>
      <c r="I2696" s="116"/>
      <c r="L2696" s="170">
        <v>45974</v>
      </c>
      <c r="M2696" s="116">
        <v>2412.2727272727302</v>
      </c>
      <c r="N2696" s="116">
        <v>2447.9497774952301</v>
      </c>
      <c r="O2696" s="116">
        <v>2392.7860775588001</v>
      </c>
      <c r="P2696" s="116">
        <v>2425.6516211061698</v>
      </c>
      <c r="Q2696" s="116">
        <v>2488.1999999999998</v>
      </c>
      <c r="R2696">
        <v>2706326</v>
      </c>
    </row>
    <row r="2697" spans="1:18" x14ac:dyDescent="0.25">
      <c r="A2697" s="170">
        <v>45975</v>
      </c>
      <c r="B2697" s="116">
        <v>2475.0914727593199</v>
      </c>
      <c r="C2697" s="116">
        <v>2440.0446428571399</v>
      </c>
      <c r="D2697" s="116">
        <v>2408.9242212842601</v>
      </c>
      <c r="E2697" s="116">
        <v>2428.2654178692801</v>
      </c>
      <c r="F2697" s="116">
        <v>2516.85</v>
      </c>
      <c r="G2697">
        <v>91259</v>
      </c>
      <c r="H2697" s="116"/>
      <c r="I2697" s="116"/>
      <c r="L2697" s="170">
        <v>45975</v>
      </c>
      <c r="M2697" s="116">
        <v>2440</v>
      </c>
      <c r="N2697" s="116">
        <v>2475.7739987285399</v>
      </c>
      <c r="O2697" s="116">
        <v>2405.2924348378901</v>
      </c>
      <c r="P2697" s="116">
        <v>2423.7126509853802</v>
      </c>
      <c r="Q2697" s="116">
        <v>2516.8000000000002</v>
      </c>
      <c r="R2697">
        <v>4496233</v>
      </c>
    </row>
    <row r="2698" spans="1:18" x14ac:dyDescent="0.25">
      <c r="A2698" s="170">
        <v>45978</v>
      </c>
      <c r="B2698" s="116">
        <v>2474.8000000000002</v>
      </c>
      <c r="C2698" s="116">
        <v>2464.9</v>
      </c>
      <c r="D2698" s="116">
        <v>2421.1</v>
      </c>
      <c r="E2698" s="116">
        <v>2462</v>
      </c>
      <c r="F2698" s="116">
        <v>2464.9</v>
      </c>
      <c r="G2698">
        <v>92931</v>
      </c>
      <c r="H2698" s="116"/>
      <c r="I2698" s="116"/>
      <c r="L2698" s="170">
        <v>45978</v>
      </c>
      <c r="M2698" s="116">
        <v>2462</v>
      </c>
      <c r="N2698" s="116">
        <v>2474.9</v>
      </c>
      <c r="O2698" s="116">
        <v>2421</v>
      </c>
      <c r="P2698" s="116">
        <v>2460</v>
      </c>
      <c r="Q2698" s="116">
        <v>2462</v>
      </c>
      <c r="R2698">
        <v>2672697</v>
      </c>
    </row>
    <row r="2699" spans="1:18" x14ac:dyDescent="0.25">
      <c r="A2699" s="170">
        <v>45979</v>
      </c>
      <c r="B2699" s="116">
        <v>2478.4499999999998</v>
      </c>
      <c r="C2699" s="116">
        <v>2436.5500000000002</v>
      </c>
      <c r="D2699" s="116">
        <v>2433.35</v>
      </c>
      <c r="E2699" s="116">
        <v>2460</v>
      </c>
      <c r="F2699" s="116">
        <v>2436.5500000000002</v>
      </c>
      <c r="G2699">
        <v>78095</v>
      </c>
      <c r="H2699" s="116"/>
      <c r="I2699" s="116"/>
      <c r="L2699" s="170">
        <v>45979</v>
      </c>
      <c r="M2699" s="116">
        <v>2436.8000000000002</v>
      </c>
      <c r="N2699" s="116">
        <v>2478.6</v>
      </c>
      <c r="O2699" s="116">
        <v>2434.3000000000002</v>
      </c>
      <c r="P2699" s="116">
        <v>2462</v>
      </c>
      <c r="Q2699" s="116">
        <v>2436.8000000000002</v>
      </c>
      <c r="R2699">
        <v>1245215</v>
      </c>
    </row>
    <row r="2700" spans="1:18" x14ac:dyDescent="0.25">
      <c r="A2700" s="170">
        <v>45980</v>
      </c>
      <c r="B2700" s="116">
        <v>2449.4499999999998</v>
      </c>
      <c r="C2700" s="116">
        <v>2431.3000000000002</v>
      </c>
      <c r="D2700" s="116">
        <v>2415</v>
      </c>
      <c r="E2700" s="116">
        <v>2440.5500000000002</v>
      </c>
      <c r="F2700" s="116">
        <v>2431.3000000000002</v>
      </c>
      <c r="G2700">
        <v>33303</v>
      </c>
      <c r="H2700" s="116"/>
      <c r="I2700" s="116"/>
      <c r="L2700" s="170">
        <v>45980</v>
      </c>
      <c r="M2700" s="116">
        <v>2433.1</v>
      </c>
      <c r="N2700" s="116">
        <v>2449.9</v>
      </c>
      <c r="O2700" s="116">
        <v>2413.9</v>
      </c>
      <c r="P2700" s="116">
        <v>2446.5</v>
      </c>
      <c r="Q2700" s="116">
        <v>2433.1</v>
      </c>
      <c r="R2700">
        <v>774785</v>
      </c>
    </row>
    <row r="2701" spans="1:18" x14ac:dyDescent="0.25">
      <c r="A2701" s="170">
        <v>45981</v>
      </c>
      <c r="B2701" s="116">
        <v>2479.85</v>
      </c>
      <c r="C2701" s="116">
        <v>2445.4</v>
      </c>
      <c r="D2701" s="116">
        <v>2440.4</v>
      </c>
      <c r="E2701" s="116">
        <v>2458.8000000000002</v>
      </c>
      <c r="F2701" s="116">
        <v>2445.4</v>
      </c>
      <c r="G2701">
        <v>54746</v>
      </c>
      <c r="H2701" s="116"/>
      <c r="I2701" s="116"/>
      <c r="L2701" s="170">
        <v>45981</v>
      </c>
      <c r="M2701" s="116">
        <v>2446.1</v>
      </c>
      <c r="N2701" s="116">
        <v>2478.9</v>
      </c>
      <c r="O2701" s="116">
        <v>2440.4</v>
      </c>
      <c r="P2701" s="116">
        <v>2450.1</v>
      </c>
      <c r="Q2701" s="116">
        <v>2446.1</v>
      </c>
      <c r="R2701">
        <v>1526556</v>
      </c>
    </row>
    <row r="2702" spans="1:18" x14ac:dyDescent="0.25">
      <c r="A2702" s="170">
        <v>45982</v>
      </c>
      <c r="B2702" s="116">
        <v>2455.65</v>
      </c>
      <c r="C2702" s="116">
        <v>2421.6</v>
      </c>
      <c r="D2702" s="116">
        <v>2418.4499999999998</v>
      </c>
      <c r="E2702" s="116">
        <v>2446.3000000000002</v>
      </c>
      <c r="F2702" s="116">
        <v>2421.6</v>
      </c>
      <c r="G2702">
        <v>14897</v>
      </c>
      <c r="H2702" s="116"/>
      <c r="I2702" s="116"/>
      <c r="L2702" s="170">
        <v>45982</v>
      </c>
      <c r="M2702" s="116">
        <v>2422.3000000000002</v>
      </c>
      <c r="N2702" s="116">
        <v>2456.1999999999998</v>
      </c>
      <c r="O2702" s="116">
        <v>2418</v>
      </c>
      <c r="P2702" s="116">
        <v>2450</v>
      </c>
      <c r="Q2702" s="116">
        <v>2422.3000000000002</v>
      </c>
      <c r="R2702">
        <v>547541</v>
      </c>
    </row>
    <row r="2703" spans="1:18" x14ac:dyDescent="0.25">
      <c r="A2703" s="170">
        <v>45985</v>
      </c>
      <c r="B2703" s="116">
        <v>2431.9499999999998</v>
      </c>
      <c r="C2703" s="116">
        <v>2398.75</v>
      </c>
      <c r="D2703" s="116">
        <v>2393.1999999999998</v>
      </c>
      <c r="E2703" s="116">
        <v>2424</v>
      </c>
      <c r="F2703" s="116">
        <v>2398.75</v>
      </c>
      <c r="G2703">
        <v>22220</v>
      </c>
      <c r="H2703" s="116"/>
      <c r="I2703" s="116"/>
      <c r="L2703" s="170">
        <v>45985</v>
      </c>
      <c r="M2703" s="116">
        <v>2399.1999999999998</v>
      </c>
      <c r="N2703" s="116">
        <v>2432.3000000000002</v>
      </c>
      <c r="O2703" s="116">
        <v>2393.1</v>
      </c>
      <c r="P2703" s="116">
        <v>2426.1999999999998</v>
      </c>
      <c r="Q2703" s="116">
        <v>2399.1999999999998</v>
      </c>
      <c r="R2703">
        <v>691419</v>
      </c>
    </row>
    <row r="2704" spans="1:18" x14ac:dyDescent="0.25">
      <c r="A2704" s="170">
        <v>45986</v>
      </c>
      <c r="B2704" s="116">
        <v>2401</v>
      </c>
      <c r="C2704" s="116">
        <v>2333.6999999999998</v>
      </c>
      <c r="D2704" s="116">
        <v>2326.75</v>
      </c>
      <c r="E2704" s="116">
        <v>2400.35</v>
      </c>
      <c r="F2704" s="116">
        <v>2333.6999999999998</v>
      </c>
      <c r="G2704">
        <v>48334</v>
      </c>
      <c r="H2704" s="116"/>
      <c r="I2704" s="116"/>
      <c r="L2704" s="170">
        <v>45986</v>
      </c>
      <c r="M2704" s="116">
        <v>2332.9</v>
      </c>
      <c r="N2704" s="116">
        <v>2407.6999999999998</v>
      </c>
      <c r="O2704" s="116">
        <v>2325.3000000000002</v>
      </c>
      <c r="P2704" s="116">
        <v>2400.9</v>
      </c>
      <c r="Q2704" s="116">
        <v>2332.9</v>
      </c>
      <c r="R2704">
        <v>2223715</v>
      </c>
    </row>
    <row r="2705" spans="1:18" x14ac:dyDescent="0.25">
      <c r="A2705" s="170">
        <v>45987</v>
      </c>
      <c r="B2705" s="116">
        <v>2356.4499999999998</v>
      </c>
      <c r="C2705" s="116">
        <v>2317.0500000000002</v>
      </c>
      <c r="D2705" s="116">
        <v>2311.1</v>
      </c>
      <c r="E2705" s="116">
        <v>2329.9499999999998</v>
      </c>
      <c r="F2705" s="116">
        <v>2317.0500000000002</v>
      </c>
      <c r="G2705">
        <v>57161</v>
      </c>
      <c r="H2705" s="116"/>
      <c r="I2705" s="116"/>
      <c r="L2705" s="170">
        <v>45987</v>
      </c>
      <c r="M2705" s="116">
        <v>2315</v>
      </c>
      <c r="N2705" s="116">
        <v>2357</v>
      </c>
      <c r="O2705" s="116">
        <v>2310</v>
      </c>
      <c r="P2705" s="116">
        <v>2321.1999999999998</v>
      </c>
      <c r="Q2705" s="116">
        <v>2315</v>
      </c>
      <c r="R2705">
        <v>1026965</v>
      </c>
    </row>
    <row r="2706" spans="1:18" x14ac:dyDescent="0.25">
      <c r="A2706" s="170">
        <v>45988</v>
      </c>
      <c r="B2706" s="116">
        <v>2320.6999999999998</v>
      </c>
      <c r="C2706" s="116">
        <v>2249.9</v>
      </c>
      <c r="D2706" s="116">
        <v>2229.65</v>
      </c>
      <c r="E2706" s="116">
        <v>2314.9</v>
      </c>
      <c r="F2706" s="116">
        <v>2249.9</v>
      </c>
      <c r="G2706">
        <v>101476</v>
      </c>
      <c r="H2706" s="116"/>
      <c r="I2706" s="116"/>
      <c r="L2706" s="170">
        <v>45988</v>
      </c>
      <c r="M2706" s="116">
        <v>2255</v>
      </c>
      <c r="N2706" s="116">
        <v>2320.5</v>
      </c>
      <c r="O2706" s="116">
        <v>2243</v>
      </c>
      <c r="P2706" s="116">
        <v>2310</v>
      </c>
      <c r="Q2706" s="116">
        <v>2255</v>
      </c>
      <c r="R2706">
        <v>1474038</v>
      </c>
    </row>
    <row r="2707" spans="1:18" x14ac:dyDescent="0.25">
      <c r="A2707" s="170">
        <v>45989</v>
      </c>
      <c r="B2707" s="116">
        <v>2330.0500000000002</v>
      </c>
      <c r="C2707" s="116">
        <v>2281.0500000000002</v>
      </c>
      <c r="D2707" s="116">
        <v>2247.25</v>
      </c>
      <c r="E2707" s="116">
        <v>2283.15</v>
      </c>
      <c r="F2707" s="116">
        <v>2281.0500000000002</v>
      </c>
      <c r="G2707">
        <v>121161</v>
      </c>
      <c r="H2707" s="116"/>
      <c r="I2707" s="116"/>
      <c r="L2707" s="170">
        <v>45989</v>
      </c>
      <c r="M2707" s="116">
        <v>2280.1999999999998</v>
      </c>
      <c r="N2707" s="116">
        <v>2331</v>
      </c>
      <c r="O2707" s="116">
        <v>2247.8000000000002</v>
      </c>
      <c r="P2707" s="116">
        <v>2267.1</v>
      </c>
      <c r="Q2707" s="116">
        <v>2280.1999999999998</v>
      </c>
      <c r="R2707">
        <v>3037620</v>
      </c>
    </row>
    <row r="2708" spans="1:18" x14ac:dyDescent="0.25">
      <c r="A2708" s="170">
        <v>45992</v>
      </c>
      <c r="B2708" s="116">
        <v>2305.0500000000002</v>
      </c>
      <c r="C2708" s="116">
        <v>2262.5500000000002</v>
      </c>
      <c r="D2708" s="116">
        <v>2258</v>
      </c>
      <c r="E2708" s="116">
        <v>2299.9499999999998</v>
      </c>
      <c r="F2708" s="116">
        <v>2262.5500000000002</v>
      </c>
      <c r="G2708">
        <v>60789</v>
      </c>
      <c r="H2708" s="116"/>
      <c r="I2708" s="116"/>
      <c r="L2708" s="170">
        <v>45992</v>
      </c>
      <c r="M2708" s="116">
        <v>2262</v>
      </c>
      <c r="N2708" s="116">
        <v>2304</v>
      </c>
      <c r="O2708" s="116">
        <v>2257</v>
      </c>
      <c r="P2708" s="116">
        <v>2300</v>
      </c>
      <c r="Q2708" s="116">
        <v>2262</v>
      </c>
      <c r="R2708">
        <v>1313265</v>
      </c>
    </row>
    <row r="2709" spans="1:18" x14ac:dyDescent="0.25">
      <c r="A2709" s="170">
        <v>45993</v>
      </c>
      <c r="B2709">
        <v>2267.5</v>
      </c>
      <c r="C2709">
        <v>2239.5</v>
      </c>
      <c r="D2709">
        <v>2227.85</v>
      </c>
      <c r="E2709">
        <v>2259.9</v>
      </c>
      <c r="F2709">
        <v>2239.5</v>
      </c>
      <c r="G2709">
        <v>71781</v>
      </c>
      <c r="H2709" s="116"/>
      <c r="I2709" s="116"/>
      <c r="L2709" s="170">
        <v>45993</v>
      </c>
      <c r="M2709" s="116">
        <v>2239.6</v>
      </c>
      <c r="N2709" s="116">
        <v>2267.1999999999998</v>
      </c>
      <c r="O2709" s="116">
        <v>2232.1999999999998</v>
      </c>
      <c r="P2709" s="116">
        <v>2255</v>
      </c>
      <c r="Q2709" s="116">
        <v>2239.6</v>
      </c>
      <c r="R2709">
        <v>1035354</v>
      </c>
    </row>
    <row r="2710" spans="1:18" x14ac:dyDescent="0.25">
      <c r="A2710" s="170">
        <v>45994</v>
      </c>
      <c r="B2710">
        <v>2244.5500000000002</v>
      </c>
      <c r="C2710">
        <v>2188.9499999999998</v>
      </c>
      <c r="D2710">
        <v>2172.1</v>
      </c>
      <c r="E2710">
        <v>2240</v>
      </c>
      <c r="F2710">
        <v>2188.9499999999998</v>
      </c>
      <c r="G2710">
        <v>74515</v>
      </c>
      <c r="H2710" s="116"/>
      <c r="I2710" s="116"/>
      <c r="L2710" s="170">
        <v>45994</v>
      </c>
      <c r="M2710" s="116">
        <v>2189.8000000000002</v>
      </c>
      <c r="N2710" s="116">
        <v>2245</v>
      </c>
      <c r="O2710" s="116">
        <v>2172.1999999999998</v>
      </c>
      <c r="P2710" s="116">
        <v>2240</v>
      </c>
      <c r="Q2710" s="116">
        <v>2189.8000000000002</v>
      </c>
      <c r="R2710">
        <v>1643852</v>
      </c>
    </row>
    <row r="2711" spans="1:18" x14ac:dyDescent="0.25">
      <c r="A2711" s="170">
        <v>45995</v>
      </c>
      <c r="B2711">
        <v>2231.15</v>
      </c>
      <c r="C2711">
        <v>2218.8000000000002</v>
      </c>
      <c r="D2711">
        <v>2185</v>
      </c>
      <c r="E2711">
        <v>2194.25</v>
      </c>
      <c r="F2711">
        <v>2218.8000000000002</v>
      </c>
      <c r="G2711">
        <v>42399</v>
      </c>
      <c r="H2711" s="116"/>
      <c r="I2711" s="116"/>
      <c r="L2711" s="170">
        <v>45995</v>
      </c>
      <c r="M2711" s="116">
        <v>2217.9</v>
      </c>
      <c r="N2711" s="116">
        <v>2231.6999999999998</v>
      </c>
      <c r="O2711" s="116">
        <v>2183.4</v>
      </c>
      <c r="P2711" s="116">
        <v>2188</v>
      </c>
      <c r="Q2711" s="116">
        <v>2217.9</v>
      </c>
      <c r="R2711">
        <v>2522821</v>
      </c>
    </row>
    <row r="2712" spans="1:18" x14ac:dyDescent="0.25">
      <c r="A2712" s="170">
        <v>45996</v>
      </c>
      <c r="B2712">
        <v>2268</v>
      </c>
      <c r="C2712">
        <v>2265.1</v>
      </c>
      <c r="D2712">
        <v>2204</v>
      </c>
      <c r="E2712">
        <v>2213.65</v>
      </c>
      <c r="F2712">
        <v>2265.1</v>
      </c>
      <c r="G2712">
        <v>139848</v>
      </c>
      <c r="H2712" s="116"/>
      <c r="I2712" s="116"/>
      <c r="L2712" s="170">
        <v>45996</v>
      </c>
      <c r="M2712" s="116">
        <v>2265.4</v>
      </c>
      <c r="N2712" s="116">
        <v>2268.6</v>
      </c>
      <c r="O2712" s="116">
        <v>2202.9</v>
      </c>
      <c r="P2712" s="116">
        <v>2217.9</v>
      </c>
      <c r="Q2712" s="116">
        <v>2265.4</v>
      </c>
      <c r="R2712">
        <v>2400781</v>
      </c>
    </row>
    <row r="2713" spans="1:18" x14ac:dyDescent="0.25">
      <c r="A2713" s="170">
        <v>45999</v>
      </c>
      <c r="B2713">
        <v>2271.85</v>
      </c>
      <c r="C2713">
        <v>2215.5</v>
      </c>
      <c r="D2713">
        <v>2205.0500000000002</v>
      </c>
      <c r="E2713">
        <v>2261.1999999999998</v>
      </c>
      <c r="F2713">
        <v>2215.5</v>
      </c>
      <c r="G2713">
        <v>35753</v>
      </c>
      <c r="H2713" s="116"/>
      <c r="I2713" s="116"/>
      <c r="L2713" s="170">
        <v>45999</v>
      </c>
      <c r="M2713" s="116">
        <v>2216.1999999999998</v>
      </c>
      <c r="N2713" s="116">
        <v>2270.4</v>
      </c>
      <c r="O2713" s="116">
        <v>2205</v>
      </c>
      <c r="P2713" s="116">
        <v>2265.4</v>
      </c>
      <c r="Q2713" s="116">
        <v>2216.1999999999998</v>
      </c>
      <c r="R2713">
        <v>939764</v>
      </c>
    </row>
    <row r="2714" spans="1:18" x14ac:dyDescent="0.25">
      <c r="A2714" s="170">
        <v>46000</v>
      </c>
      <c r="B2714">
        <v>2257.9</v>
      </c>
      <c r="C2714">
        <v>2247.65</v>
      </c>
      <c r="D2714">
        <v>2178.5500000000002</v>
      </c>
      <c r="E2714">
        <v>2215.5</v>
      </c>
      <c r="F2714">
        <v>2247.65</v>
      </c>
      <c r="G2714">
        <v>56305</v>
      </c>
      <c r="H2714" s="116"/>
      <c r="I2714" s="116"/>
      <c r="L2714" s="170">
        <v>46000</v>
      </c>
      <c r="M2714" s="116">
        <v>2245.1999999999998</v>
      </c>
      <c r="N2714" s="116">
        <v>2257</v>
      </c>
      <c r="O2714" s="116">
        <v>2178.4</v>
      </c>
      <c r="P2714" s="116">
        <v>2216.1999999999998</v>
      </c>
      <c r="Q2714" s="116">
        <v>2245.1999999999998</v>
      </c>
      <c r="R2714">
        <v>1227728</v>
      </c>
    </row>
    <row r="2715" spans="1:18" x14ac:dyDescent="0.25">
      <c r="A2715" s="170">
        <v>46001</v>
      </c>
      <c r="B2715">
        <v>2268.1999999999998</v>
      </c>
      <c r="C2715">
        <v>2210.25</v>
      </c>
      <c r="D2715">
        <v>2205.15</v>
      </c>
      <c r="E2715">
        <v>2255.75</v>
      </c>
      <c r="F2715">
        <v>2210.25</v>
      </c>
      <c r="G2715">
        <v>66541</v>
      </c>
      <c r="H2715" s="116"/>
      <c r="I2715" s="116"/>
      <c r="L2715" s="170">
        <v>46001</v>
      </c>
      <c r="M2715" s="116">
        <v>2211.6</v>
      </c>
      <c r="N2715" s="116">
        <v>2267.5</v>
      </c>
      <c r="O2715" s="116">
        <v>2204.1</v>
      </c>
      <c r="P2715" s="116">
        <v>2255.8000000000002</v>
      </c>
      <c r="Q2715" s="116">
        <v>2211.6</v>
      </c>
      <c r="R2715">
        <v>935149</v>
      </c>
    </row>
    <row r="2716" spans="1:18" x14ac:dyDescent="0.25">
      <c r="A2716" s="170">
        <v>46002</v>
      </c>
      <c r="B2716">
        <v>2292.75</v>
      </c>
      <c r="C2716">
        <v>2276.65</v>
      </c>
      <c r="D2716">
        <v>2191.4</v>
      </c>
      <c r="E2716">
        <v>2211.85</v>
      </c>
      <c r="F2716">
        <v>2276.65</v>
      </c>
      <c r="G2716">
        <v>54019</v>
      </c>
      <c r="H2716" s="116"/>
      <c r="I2716" s="116"/>
      <c r="L2716" s="170">
        <v>46002</v>
      </c>
      <c r="M2716" s="116">
        <v>2277.6999999999998</v>
      </c>
      <c r="N2716" s="116">
        <v>2293.9</v>
      </c>
      <c r="O2716" s="116">
        <v>2192.4</v>
      </c>
      <c r="P2716" s="116">
        <v>2225</v>
      </c>
      <c r="Q2716" s="116">
        <v>2277.6999999999998</v>
      </c>
      <c r="R2716">
        <v>1519832</v>
      </c>
    </row>
    <row r="2717" spans="1:18" x14ac:dyDescent="0.25">
      <c r="A2717" s="170">
        <v>46003</v>
      </c>
      <c r="B2717">
        <v>2296</v>
      </c>
      <c r="C2717">
        <v>2281.85</v>
      </c>
      <c r="D2717">
        <v>2270</v>
      </c>
      <c r="E2717">
        <v>2277.6999999999998</v>
      </c>
      <c r="F2717">
        <v>2281.85</v>
      </c>
      <c r="G2717">
        <v>31644</v>
      </c>
      <c r="H2717" s="116"/>
      <c r="I2717" s="116"/>
      <c r="L2717" s="170">
        <v>46003</v>
      </c>
      <c r="M2717" s="116">
        <v>2282.4</v>
      </c>
      <c r="N2717" s="116">
        <v>2296.8000000000002</v>
      </c>
      <c r="O2717" s="116">
        <v>2270.1999999999998</v>
      </c>
      <c r="P2717" s="116">
        <v>2277.6999999999998</v>
      </c>
      <c r="Q2717" s="116">
        <v>2282.4</v>
      </c>
      <c r="R2717">
        <v>929199</v>
      </c>
    </row>
    <row r="2718" spans="1:18" x14ac:dyDescent="0.25">
      <c r="A2718" s="170">
        <v>46006</v>
      </c>
      <c r="B2718">
        <v>2300</v>
      </c>
      <c r="C2718">
        <v>2279.6</v>
      </c>
      <c r="D2718">
        <v>2275</v>
      </c>
      <c r="E2718">
        <v>2280.1999999999998</v>
      </c>
      <c r="F2718">
        <v>2279.6</v>
      </c>
      <c r="G2718">
        <v>24069</v>
      </c>
      <c r="H2718" s="116"/>
      <c r="I2718" s="116"/>
      <c r="L2718" s="170">
        <v>46006</v>
      </c>
      <c r="M2718" s="116">
        <v>2278.9</v>
      </c>
      <c r="N2718" s="116">
        <v>2300</v>
      </c>
      <c r="O2718" s="116">
        <v>2273</v>
      </c>
      <c r="P2718" s="116">
        <v>2282.4</v>
      </c>
      <c r="Q2718" s="116">
        <v>2278.9</v>
      </c>
      <c r="R2718">
        <v>573027</v>
      </c>
    </row>
    <row r="2719" spans="1:18" x14ac:dyDescent="0.25">
      <c r="A2719" s="170">
        <v>46007</v>
      </c>
      <c r="B2719">
        <v>2277.1</v>
      </c>
      <c r="C2719">
        <v>2246.3000000000002</v>
      </c>
      <c r="D2719">
        <v>2233</v>
      </c>
      <c r="E2719">
        <v>2265.0500000000002</v>
      </c>
      <c r="F2719">
        <v>2246.3000000000002</v>
      </c>
      <c r="G2719">
        <v>43532</v>
      </c>
      <c r="H2719" s="116"/>
      <c r="I2719" s="116"/>
      <c r="L2719" s="170">
        <v>46007</v>
      </c>
      <c r="M2719" s="116">
        <v>2247.9</v>
      </c>
      <c r="N2719" s="116">
        <v>2276.8000000000002</v>
      </c>
      <c r="O2719" s="116">
        <v>2232.1</v>
      </c>
      <c r="P2719" s="116">
        <v>2270</v>
      </c>
      <c r="Q2719" s="116">
        <v>2247.9</v>
      </c>
      <c r="R2719">
        <v>654714</v>
      </c>
    </row>
    <row r="2720" spans="1:18" x14ac:dyDescent="0.25">
      <c r="A2720" s="170">
        <v>46008</v>
      </c>
      <c r="B2720">
        <v>2255</v>
      </c>
      <c r="C2720">
        <v>2232.0500000000002</v>
      </c>
      <c r="D2720">
        <v>2221.5</v>
      </c>
      <c r="E2720">
        <v>2246.5</v>
      </c>
      <c r="F2720">
        <v>2232.0500000000002</v>
      </c>
      <c r="G2720">
        <v>23617</v>
      </c>
      <c r="H2720" s="116"/>
      <c r="I2720" s="116"/>
      <c r="L2720" s="170">
        <v>46008</v>
      </c>
      <c r="M2720" s="116">
        <v>2232.5</v>
      </c>
      <c r="N2720" s="116">
        <v>2255</v>
      </c>
      <c r="O2720" s="116">
        <v>2221</v>
      </c>
      <c r="P2720" s="116">
        <v>2247.6</v>
      </c>
      <c r="Q2720" s="116">
        <v>2232.5</v>
      </c>
      <c r="R2720">
        <v>651509</v>
      </c>
    </row>
    <row r="2721" spans="1:18" x14ac:dyDescent="0.25">
      <c r="A2721" s="170">
        <v>46009</v>
      </c>
      <c r="B2721">
        <v>2244.8000000000002</v>
      </c>
      <c r="C2721">
        <v>2228.4499999999998</v>
      </c>
      <c r="D2721">
        <v>2211.5</v>
      </c>
      <c r="E2721">
        <v>2227.1999999999998</v>
      </c>
      <c r="F2721">
        <v>2228.4499999999998</v>
      </c>
      <c r="G2721">
        <v>15750</v>
      </c>
      <c r="H2721" s="116"/>
      <c r="I2721" s="116"/>
      <c r="L2721" s="170">
        <v>46009</v>
      </c>
      <c r="M2721" s="116">
        <v>2229.3000000000002</v>
      </c>
      <c r="N2721" s="116">
        <v>2245</v>
      </c>
      <c r="O2721" s="116">
        <v>2211.1</v>
      </c>
      <c r="P2721" s="116">
        <v>2236.4</v>
      </c>
      <c r="Q2721" s="116">
        <v>2229.3000000000002</v>
      </c>
      <c r="R2721">
        <v>508238</v>
      </c>
    </row>
    <row r="2722" spans="1:18" x14ac:dyDescent="0.25">
      <c r="A2722" s="170">
        <v>46010</v>
      </c>
      <c r="B2722">
        <v>2250.4</v>
      </c>
      <c r="C2722">
        <v>2239.0500000000002</v>
      </c>
      <c r="D2722">
        <v>2210</v>
      </c>
      <c r="E2722">
        <v>2230.65</v>
      </c>
      <c r="F2722">
        <v>2239.0500000000002</v>
      </c>
      <c r="G2722">
        <v>18173</v>
      </c>
      <c r="H2722" s="116"/>
      <c r="I2722" s="116"/>
      <c r="L2722" s="170">
        <v>46010</v>
      </c>
      <c r="M2722" s="116">
        <v>2239</v>
      </c>
      <c r="N2722" s="116">
        <v>2250</v>
      </c>
      <c r="O2722" s="116">
        <v>2210</v>
      </c>
      <c r="P2722" s="116">
        <v>2249</v>
      </c>
      <c r="Q2722" s="116">
        <v>2239</v>
      </c>
      <c r="R2722">
        <v>880005</v>
      </c>
    </row>
    <row r="2723" spans="1:18" x14ac:dyDescent="0.25">
      <c r="A2723" s="170">
        <v>46013</v>
      </c>
      <c r="B2723">
        <v>2273.9499999999998</v>
      </c>
      <c r="C2723">
        <v>2265.15</v>
      </c>
      <c r="D2723">
        <v>2244.9499999999998</v>
      </c>
      <c r="E2723">
        <v>2255.0500000000002</v>
      </c>
      <c r="F2723">
        <v>2265.15</v>
      </c>
      <c r="G2723">
        <v>51949</v>
      </c>
      <c r="H2723" s="116"/>
      <c r="I2723" s="116"/>
      <c r="L2723" s="170">
        <v>46013</v>
      </c>
      <c r="M2723" s="116">
        <v>2263.5</v>
      </c>
      <c r="N2723" s="116">
        <v>2274</v>
      </c>
      <c r="O2723" s="116">
        <v>2245.9</v>
      </c>
      <c r="P2723" s="116">
        <v>2260</v>
      </c>
      <c r="Q2723" s="116">
        <v>2263.5</v>
      </c>
      <c r="R2723">
        <v>599195</v>
      </c>
    </row>
    <row r="2724" spans="1:18" x14ac:dyDescent="0.25">
      <c r="A2724" s="170">
        <v>46014</v>
      </c>
      <c r="B2724">
        <v>2271.1999999999998</v>
      </c>
      <c r="C2724">
        <v>2247.85</v>
      </c>
      <c r="D2724">
        <v>2244.0500000000002</v>
      </c>
      <c r="E2724">
        <v>2265.1999999999998</v>
      </c>
      <c r="F2724">
        <v>2247.85</v>
      </c>
      <c r="G2724">
        <v>28547</v>
      </c>
      <c r="H2724" s="116"/>
      <c r="I2724" s="116"/>
      <c r="L2724" s="170">
        <v>46014</v>
      </c>
      <c r="M2724" s="116">
        <v>2248.8000000000002</v>
      </c>
      <c r="N2724" s="116">
        <v>2273.6</v>
      </c>
      <c r="O2724" s="116">
        <v>2245</v>
      </c>
      <c r="P2724" s="116">
        <v>2272.5</v>
      </c>
      <c r="Q2724" s="116">
        <v>2248.8000000000002</v>
      </c>
      <c r="R2724">
        <v>450112</v>
      </c>
    </row>
    <row r="2725" spans="1:18" x14ac:dyDescent="0.25">
      <c r="A2725" s="170">
        <v>46015</v>
      </c>
      <c r="B2725">
        <v>2258.75</v>
      </c>
      <c r="C2725">
        <v>2221.5500000000002</v>
      </c>
      <c r="D2725">
        <v>2218</v>
      </c>
      <c r="E2725">
        <v>2247.85</v>
      </c>
      <c r="F2725">
        <v>2221.5500000000002</v>
      </c>
      <c r="G2725">
        <v>29446</v>
      </c>
      <c r="H2725" s="116"/>
      <c r="I2725" s="116"/>
      <c r="L2725" s="170">
        <v>46015</v>
      </c>
      <c r="M2725" s="116">
        <v>2222.6999999999998</v>
      </c>
      <c r="N2725" s="116">
        <v>2258.8000000000002</v>
      </c>
      <c r="O2725" s="116">
        <v>2217.4</v>
      </c>
      <c r="P2725" s="116">
        <v>2250</v>
      </c>
      <c r="Q2725" s="116">
        <v>2222.6999999999998</v>
      </c>
      <c r="R2725">
        <v>825693</v>
      </c>
    </row>
    <row r="2726" spans="1:18" x14ac:dyDescent="0.25">
      <c r="A2726" s="170">
        <v>46017</v>
      </c>
      <c r="B2726">
        <v>2250.1999999999998</v>
      </c>
      <c r="C2726">
        <v>2231.85</v>
      </c>
      <c r="D2726">
        <v>2220</v>
      </c>
      <c r="E2726">
        <v>2237.9</v>
      </c>
      <c r="F2726">
        <v>2231.85</v>
      </c>
      <c r="G2726">
        <v>38384</v>
      </c>
      <c r="H2726" s="116"/>
      <c r="I2726" s="116"/>
      <c r="L2726" s="170">
        <v>46017</v>
      </c>
      <c r="M2726" s="116">
        <v>2229.9</v>
      </c>
      <c r="N2726" s="116">
        <v>2250.9</v>
      </c>
      <c r="O2726" s="116">
        <v>2218</v>
      </c>
      <c r="P2726" s="116">
        <v>2229.3000000000002</v>
      </c>
      <c r="Q2726" s="116">
        <v>2229.9</v>
      </c>
      <c r="R2726">
        <v>566237</v>
      </c>
    </row>
    <row r="2727" spans="1:18" x14ac:dyDescent="0.25">
      <c r="A2727" s="170">
        <v>46020</v>
      </c>
      <c r="B2727">
        <v>2238.9499999999998</v>
      </c>
      <c r="C2727">
        <v>2203</v>
      </c>
      <c r="D2727">
        <v>2196.85</v>
      </c>
      <c r="E2727">
        <v>2230</v>
      </c>
      <c r="F2727">
        <v>2203</v>
      </c>
      <c r="G2727">
        <v>55116</v>
      </c>
      <c r="H2727" s="116"/>
      <c r="I2727" s="116"/>
      <c r="L2727" s="170">
        <v>46020</v>
      </c>
      <c r="M2727" s="116">
        <v>2203.1999999999998</v>
      </c>
      <c r="N2727" s="116">
        <v>2238.1999999999998</v>
      </c>
      <c r="O2727" s="116">
        <v>2196</v>
      </c>
      <c r="P2727" s="116">
        <v>2232</v>
      </c>
      <c r="Q2727" s="116">
        <v>2203.1999999999998</v>
      </c>
      <c r="R2727">
        <v>690691</v>
      </c>
    </row>
    <row r="2728" spans="1:18" x14ac:dyDescent="0.25">
      <c r="A2728" s="170">
        <v>46021</v>
      </c>
      <c r="B2728">
        <v>2219.1</v>
      </c>
      <c r="C2728">
        <v>2215.1</v>
      </c>
      <c r="D2728">
        <v>2196</v>
      </c>
      <c r="E2728">
        <v>2203.25</v>
      </c>
      <c r="F2728">
        <v>2215.1</v>
      </c>
      <c r="G2728">
        <v>42389</v>
      </c>
      <c r="H2728" s="116"/>
      <c r="I2728" s="116"/>
      <c r="L2728" s="170">
        <v>46021</v>
      </c>
      <c r="M2728" s="116">
        <v>2214.6999999999998</v>
      </c>
      <c r="N2728" s="116">
        <v>2219</v>
      </c>
      <c r="O2728" s="116">
        <v>2195</v>
      </c>
      <c r="P2728" s="116">
        <v>2204.8000000000002</v>
      </c>
      <c r="Q2728" s="116">
        <v>2214.6999999999998</v>
      </c>
      <c r="R2728">
        <v>935026</v>
      </c>
    </row>
    <row r="2729" spans="1:18" x14ac:dyDescent="0.25">
      <c r="A2729" s="170">
        <v>46022</v>
      </c>
      <c r="B2729">
        <v>2246</v>
      </c>
      <c r="C2729">
        <v>2239.5</v>
      </c>
      <c r="D2729">
        <v>2215.1</v>
      </c>
      <c r="E2729">
        <v>2215.1</v>
      </c>
      <c r="F2729">
        <v>2239.5</v>
      </c>
      <c r="G2729">
        <v>82262</v>
      </c>
      <c r="H2729" s="116"/>
      <c r="I2729" s="116"/>
      <c r="L2729" s="170">
        <v>46022</v>
      </c>
      <c r="M2729" s="116">
        <v>2239.6999999999998</v>
      </c>
      <c r="N2729" s="116">
        <v>2246.4</v>
      </c>
      <c r="O2729" s="116">
        <v>2216.3000000000002</v>
      </c>
      <c r="P2729" s="116">
        <v>2216.3000000000002</v>
      </c>
      <c r="Q2729" s="116">
        <v>2239.6999999999998</v>
      </c>
      <c r="R2729">
        <v>779141</v>
      </c>
    </row>
    <row r="2730" spans="1:18" x14ac:dyDescent="0.25">
      <c r="A2730" s="170">
        <v>46023</v>
      </c>
      <c r="B2730">
        <v>2286.9499999999998</v>
      </c>
      <c r="C2730">
        <v>2257.75</v>
      </c>
      <c r="D2730">
        <v>2240.0500000000002</v>
      </c>
      <c r="E2730">
        <v>2246.6</v>
      </c>
      <c r="F2730">
        <v>2257.75</v>
      </c>
      <c r="G2730">
        <v>36331</v>
      </c>
      <c r="H2730" s="116"/>
      <c r="I2730" s="116"/>
      <c r="L2730" s="170">
        <v>46023</v>
      </c>
      <c r="M2730" s="116">
        <v>2260</v>
      </c>
      <c r="N2730" s="116">
        <v>2287.4</v>
      </c>
      <c r="O2730" s="116">
        <v>2241</v>
      </c>
      <c r="P2730" s="116">
        <v>2249</v>
      </c>
      <c r="Q2730" s="116">
        <v>2260</v>
      </c>
      <c r="R2730">
        <v>1046220</v>
      </c>
    </row>
    <row r="2731" spans="1:18" x14ac:dyDescent="0.25">
      <c r="A2731" s="170">
        <v>46024</v>
      </c>
      <c r="B2731">
        <v>2283</v>
      </c>
      <c r="C2731">
        <v>2280.5</v>
      </c>
      <c r="D2731">
        <v>2259</v>
      </c>
      <c r="E2731">
        <v>2262</v>
      </c>
      <c r="F2731">
        <v>2280.5</v>
      </c>
      <c r="G2731">
        <v>25850</v>
      </c>
      <c r="H2731" s="116"/>
      <c r="I2731" s="116"/>
      <c r="L2731" s="170">
        <v>46024</v>
      </c>
      <c r="M2731" s="116">
        <v>2279.8000000000002</v>
      </c>
      <c r="N2731" s="116">
        <v>2283.6999999999998</v>
      </c>
      <c r="O2731" s="116">
        <v>2259</v>
      </c>
      <c r="P2731" s="116">
        <v>2260</v>
      </c>
      <c r="Q2731" s="116">
        <v>2279.8000000000002</v>
      </c>
      <c r="R2731">
        <v>715242</v>
      </c>
    </row>
    <row r="2732" spans="1:18" x14ac:dyDescent="0.25">
      <c r="A2732" s="170">
        <v>46027</v>
      </c>
      <c r="B2732">
        <v>2303</v>
      </c>
      <c r="C2732">
        <v>2279.35</v>
      </c>
      <c r="D2732">
        <v>2274.0500000000002</v>
      </c>
      <c r="E2732">
        <v>2281.1999999999998</v>
      </c>
      <c r="F2732">
        <v>2279.35</v>
      </c>
      <c r="G2732">
        <v>64496</v>
      </c>
      <c r="H2732" s="116"/>
      <c r="I2732" s="116"/>
      <c r="L2732" s="170">
        <v>46027</v>
      </c>
      <c r="M2732" s="116">
        <v>2279.5</v>
      </c>
      <c r="N2732" s="116">
        <v>2303.9</v>
      </c>
      <c r="O2732" s="116">
        <v>2274.3000000000002</v>
      </c>
      <c r="P2732" s="116">
        <v>2287</v>
      </c>
      <c r="Q2732" s="116">
        <v>2279.5</v>
      </c>
      <c r="R2732">
        <v>696380</v>
      </c>
    </row>
    <row r="2733" spans="1:18" x14ac:dyDescent="0.25">
      <c r="A2733" s="170">
        <v>46028</v>
      </c>
      <c r="B2733">
        <v>2290.15</v>
      </c>
      <c r="C2733">
        <v>2258.8000000000002</v>
      </c>
      <c r="D2733">
        <v>2248.65</v>
      </c>
      <c r="E2733">
        <v>2280.6999999999998</v>
      </c>
      <c r="F2733">
        <v>2258.8000000000002</v>
      </c>
      <c r="G2733">
        <v>21223</v>
      </c>
      <c r="H2733" s="116"/>
      <c r="I2733" s="116"/>
      <c r="L2733" s="170">
        <v>46028</v>
      </c>
      <c r="M2733" s="116">
        <v>2259.1</v>
      </c>
      <c r="N2733" s="116">
        <v>2290.4</v>
      </c>
      <c r="O2733" s="116">
        <v>2248.1</v>
      </c>
      <c r="P2733" s="116">
        <v>2288.9</v>
      </c>
      <c r="Q2733" s="116">
        <v>2259.1</v>
      </c>
      <c r="R2733">
        <v>698294</v>
      </c>
    </row>
    <row r="2734" spans="1:18" x14ac:dyDescent="0.25">
      <c r="A2734" s="170">
        <v>46029</v>
      </c>
      <c r="B2734">
        <v>2283</v>
      </c>
      <c r="C2734">
        <v>2274.5</v>
      </c>
      <c r="D2734">
        <v>2243.4499999999998</v>
      </c>
      <c r="E2734">
        <v>2259</v>
      </c>
      <c r="F2734">
        <v>2274.5</v>
      </c>
      <c r="G2734">
        <v>19302</v>
      </c>
      <c r="H2734" s="116"/>
      <c r="I2734" s="116"/>
      <c r="L2734" s="170">
        <v>46029</v>
      </c>
      <c r="M2734" s="116">
        <v>2274.1</v>
      </c>
      <c r="N2734" s="116">
        <v>2284</v>
      </c>
      <c r="O2734" s="116">
        <v>2243</v>
      </c>
      <c r="P2734" s="116">
        <v>2265</v>
      </c>
      <c r="Q2734" s="116">
        <v>2274.1</v>
      </c>
      <c r="R2734">
        <v>529451</v>
      </c>
    </row>
    <row r="2735" spans="1:18" x14ac:dyDescent="0.25">
      <c r="A2735" s="170">
        <v>46030</v>
      </c>
      <c r="B2735">
        <v>2278.9499999999998</v>
      </c>
      <c r="C2735">
        <v>2215</v>
      </c>
      <c r="D2735">
        <v>2206</v>
      </c>
      <c r="E2735">
        <v>2278.9499999999998</v>
      </c>
      <c r="F2735">
        <v>2215</v>
      </c>
      <c r="G2735">
        <v>86164</v>
      </c>
      <c r="H2735" s="116"/>
      <c r="I2735" s="116"/>
      <c r="L2735" s="170">
        <v>46030</v>
      </c>
      <c r="M2735" s="116">
        <v>2214</v>
      </c>
      <c r="N2735" s="116">
        <v>2275.9</v>
      </c>
      <c r="O2735" s="116">
        <v>2205</v>
      </c>
      <c r="P2735" s="116">
        <v>2275</v>
      </c>
      <c r="Q2735" s="116">
        <v>2214</v>
      </c>
      <c r="R2735">
        <v>792800</v>
      </c>
    </row>
    <row r="2736" spans="1:18" x14ac:dyDescent="0.25">
      <c r="A2736" s="170">
        <v>46031</v>
      </c>
      <c r="B2736">
        <v>2215</v>
      </c>
      <c r="C2736">
        <v>2153.1999999999998</v>
      </c>
      <c r="D2736">
        <v>2145</v>
      </c>
      <c r="E2736">
        <v>2202.6</v>
      </c>
      <c r="F2736">
        <v>2153.1999999999998</v>
      </c>
      <c r="G2736">
        <v>145112</v>
      </c>
      <c r="H2736" s="116"/>
      <c r="I2736" s="116"/>
      <c r="L2736" s="170">
        <v>46031</v>
      </c>
      <c r="M2736" s="116">
        <v>2153.6999999999998</v>
      </c>
      <c r="N2736" s="116">
        <v>2216</v>
      </c>
      <c r="O2736" s="116">
        <v>2145</v>
      </c>
      <c r="P2736" s="116">
        <v>2214.1</v>
      </c>
      <c r="Q2736" s="116">
        <v>2153.6999999999998</v>
      </c>
      <c r="R2736">
        <v>1570376</v>
      </c>
    </row>
    <row r="2737" spans="1:18" x14ac:dyDescent="0.25">
      <c r="A2737" s="170">
        <v>46034</v>
      </c>
      <c r="B2737">
        <v>2180</v>
      </c>
      <c r="C2737">
        <v>2171.4499999999998</v>
      </c>
      <c r="D2737">
        <v>2119.5500000000002</v>
      </c>
      <c r="E2737">
        <v>2159.8000000000002</v>
      </c>
      <c r="F2737">
        <v>2171.4499999999998</v>
      </c>
      <c r="G2737">
        <v>72478</v>
      </c>
      <c r="H2737" s="116"/>
      <c r="I2737" s="116"/>
      <c r="L2737" s="170">
        <v>46034</v>
      </c>
      <c r="M2737" s="116">
        <v>2171.6</v>
      </c>
      <c r="N2737" s="116">
        <v>2180</v>
      </c>
      <c r="O2737" s="116">
        <v>2119</v>
      </c>
      <c r="P2737" s="116">
        <v>2156.6</v>
      </c>
      <c r="Q2737" s="116">
        <v>2171.6</v>
      </c>
      <c r="R2737">
        <v>1257197</v>
      </c>
    </row>
    <row r="2738" spans="1:18" x14ac:dyDescent="0.25">
      <c r="A2738" s="170">
        <v>46035</v>
      </c>
      <c r="B2738">
        <v>2198.25</v>
      </c>
      <c r="C2738">
        <v>2157.6999999999998</v>
      </c>
      <c r="D2738">
        <v>2142</v>
      </c>
      <c r="E2738">
        <v>2198.25</v>
      </c>
      <c r="F2738">
        <v>2157.6999999999998</v>
      </c>
      <c r="G2738">
        <v>49711</v>
      </c>
      <c r="H2738" s="116"/>
      <c r="I2738" s="116"/>
      <c r="L2738" s="170">
        <v>46035</v>
      </c>
      <c r="M2738" s="116">
        <v>2158.5</v>
      </c>
      <c r="N2738" s="116">
        <v>2187.8000000000002</v>
      </c>
      <c r="O2738" s="116">
        <v>2141.1</v>
      </c>
      <c r="P2738" s="116">
        <v>2187.8000000000002</v>
      </c>
      <c r="Q2738" s="116">
        <v>2158.5</v>
      </c>
      <c r="R2738">
        <v>791556</v>
      </c>
    </row>
    <row r="2739" spans="1:18" x14ac:dyDescent="0.25">
      <c r="A2739" s="170">
        <v>46036</v>
      </c>
      <c r="B2739">
        <v>2168.9</v>
      </c>
      <c r="C2739">
        <v>2154</v>
      </c>
      <c r="D2739">
        <v>2143</v>
      </c>
      <c r="E2739">
        <v>2157.6999999999998</v>
      </c>
      <c r="F2739">
        <v>2154</v>
      </c>
      <c r="G2739">
        <v>39208</v>
      </c>
      <c r="H2739" s="116"/>
      <c r="I2739" s="116"/>
      <c r="L2739" s="170">
        <v>46036</v>
      </c>
      <c r="M2739" s="116">
        <v>2153.3000000000002</v>
      </c>
      <c r="N2739" s="116">
        <v>2169</v>
      </c>
      <c r="O2739" s="116">
        <v>2142</v>
      </c>
      <c r="P2739" s="116">
        <v>2156</v>
      </c>
      <c r="Q2739" s="116">
        <v>2153.3000000000002</v>
      </c>
      <c r="R2739">
        <v>618139</v>
      </c>
    </row>
    <row r="2740" spans="1:18" x14ac:dyDescent="0.25">
      <c r="A2740" s="170">
        <v>46038</v>
      </c>
      <c r="B2740">
        <v>2193.4499999999998</v>
      </c>
      <c r="C2740">
        <v>2156.6999999999998</v>
      </c>
      <c r="D2740">
        <v>2150.6999999999998</v>
      </c>
      <c r="E2740">
        <v>2155.6</v>
      </c>
      <c r="F2740">
        <v>2156.6999999999998</v>
      </c>
      <c r="G2740">
        <v>94959</v>
      </c>
      <c r="H2740" s="116"/>
      <c r="I2740" s="116"/>
      <c r="L2740" s="170">
        <v>46038</v>
      </c>
      <c r="M2740" s="116">
        <v>2157.3000000000002</v>
      </c>
      <c r="N2740" s="116">
        <v>2193.9</v>
      </c>
      <c r="O2740" s="116">
        <v>2152.1</v>
      </c>
      <c r="P2740" s="116">
        <v>2162.8000000000002</v>
      </c>
      <c r="Q2740" s="116">
        <v>2157.3000000000002</v>
      </c>
      <c r="R2740">
        <v>758469</v>
      </c>
    </row>
    <row r="2741" spans="1:18" x14ac:dyDescent="0.25">
      <c r="A2741" s="170">
        <v>46041</v>
      </c>
      <c r="B2741">
        <v>2156.0500000000002</v>
      </c>
      <c r="C2741">
        <v>2137.25</v>
      </c>
      <c r="D2741">
        <v>2124</v>
      </c>
      <c r="E2741">
        <v>2154.8000000000002</v>
      </c>
      <c r="F2741">
        <v>2137.25</v>
      </c>
      <c r="G2741">
        <v>42940</v>
      </c>
      <c r="H2741" s="116"/>
      <c r="I2741" s="116"/>
      <c r="L2741" s="170">
        <v>46041</v>
      </c>
      <c r="M2741" s="116">
        <v>2134.6</v>
      </c>
      <c r="N2741" s="116">
        <v>2156.8000000000002</v>
      </c>
      <c r="O2741" s="116">
        <v>2123</v>
      </c>
      <c r="P2741" s="116">
        <v>2155</v>
      </c>
      <c r="Q2741" s="116">
        <v>2134.6</v>
      </c>
      <c r="R2741">
        <v>749495</v>
      </c>
    </row>
    <row r="2742" spans="1:18" x14ac:dyDescent="0.25">
      <c r="A2742" s="170">
        <v>46042</v>
      </c>
      <c r="B2742">
        <v>2140</v>
      </c>
      <c r="C2742">
        <v>2056.0500000000002</v>
      </c>
      <c r="D2742">
        <v>2041.05</v>
      </c>
      <c r="E2742">
        <v>2136.5</v>
      </c>
      <c r="F2742">
        <v>2056.0500000000002</v>
      </c>
      <c r="G2742">
        <v>114467</v>
      </c>
      <c r="H2742" s="116"/>
      <c r="I2742" s="116"/>
      <c r="L2742" s="170">
        <v>46042</v>
      </c>
      <c r="M2742" s="116">
        <v>2055.1</v>
      </c>
      <c r="N2742" s="116">
        <v>2139.9</v>
      </c>
      <c r="O2742" s="116">
        <v>2040</v>
      </c>
      <c r="P2742" s="116">
        <v>2134</v>
      </c>
      <c r="Q2742" s="116">
        <v>2055.1</v>
      </c>
      <c r="R2742">
        <v>1160975</v>
      </c>
    </row>
    <row r="2743" spans="1:18" x14ac:dyDescent="0.25">
      <c r="A2743" s="170">
        <v>46043</v>
      </c>
      <c r="B2743">
        <v>2068.9499999999998</v>
      </c>
      <c r="C2743">
        <v>2033</v>
      </c>
      <c r="D2743">
        <v>2005.45</v>
      </c>
      <c r="E2743">
        <v>2059.9499999999998</v>
      </c>
      <c r="F2743">
        <v>2033</v>
      </c>
      <c r="G2743">
        <v>81778</v>
      </c>
      <c r="H2743" s="116"/>
      <c r="I2743" s="116"/>
      <c r="L2743" s="170">
        <v>46043</v>
      </c>
      <c r="M2743" s="116">
        <v>2032.2</v>
      </c>
      <c r="N2743" s="116">
        <v>2068.1999999999998</v>
      </c>
      <c r="O2743" s="116">
        <v>2004.1</v>
      </c>
      <c r="P2743" s="116">
        <v>2056.5</v>
      </c>
      <c r="Q2743" s="116">
        <v>2032.2</v>
      </c>
      <c r="R2743">
        <v>1354644</v>
      </c>
    </row>
    <row r="2744" spans="1:18" x14ac:dyDescent="0.25">
      <c r="A2744" s="170">
        <v>46044</v>
      </c>
      <c r="B2744">
        <v>2102.1999999999998</v>
      </c>
      <c r="C2744">
        <v>2087.5</v>
      </c>
      <c r="D2744">
        <v>2043.2</v>
      </c>
      <c r="E2744">
        <v>2043.2</v>
      </c>
      <c r="F2744">
        <v>2087.5</v>
      </c>
      <c r="G2744">
        <v>61314</v>
      </c>
      <c r="H2744" s="116"/>
      <c r="I2744" s="116"/>
      <c r="L2744" s="170">
        <v>46044</v>
      </c>
      <c r="M2744" s="116">
        <v>2086.4</v>
      </c>
      <c r="N2744" s="116">
        <v>2102.9</v>
      </c>
      <c r="O2744" s="116">
        <v>2051</v>
      </c>
      <c r="P2744" s="116">
        <v>2055.9</v>
      </c>
      <c r="Q2744" s="116">
        <v>2086.4</v>
      </c>
      <c r="R2744">
        <v>942721</v>
      </c>
    </row>
    <row r="2745" spans="1:18" x14ac:dyDescent="0.25">
      <c r="A2745" s="170">
        <v>46045</v>
      </c>
      <c r="B2745">
        <v>2085.9499999999998</v>
      </c>
      <c r="C2745">
        <v>1862.8</v>
      </c>
      <c r="D2745">
        <v>1850</v>
      </c>
      <c r="E2745">
        <v>2060.6999999999998</v>
      </c>
      <c r="F2745">
        <v>1862.8</v>
      </c>
      <c r="G2745">
        <v>536013</v>
      </c>
      <c r="H2745" s="116"/>
      <c r="I2745" s="116"/>
      <c r="L2745" s="170">
        <v>46045</v>
      </c>
      <c r="M2745" s="116">
        <v>1864.2</v>
      </c>
      <c r="N2745" s="116">
        <v>2082.5</v>
      </c>
      <c r="O2745" s="116">
        <v>1848</v>
      </c>
      <c r="P2745" s="116">
        <v>2080.5</v>
      </c>
      <c r="Q2745" s="116">
        <v>1864.2</v>
      </c>
      <c r="R2745">
        <v>7492631</v>
      </c>
    </row>
    <row r="2746" spans="1:18" x14ac:dyDescent="0.25">
      <c r="A2746" s="170">
        <v>46049</v>
      </c>
      <c r="B2746">
        <v>1973.65</v>
      </c>
      <c r="C2746">
        <v>1960.35</v>
      </c>
      <c r="D2746">
        <v>1892.5</v>
      </c>
      <c r="E2746">
        <v>1908.4</v>
      </c>
      <c r="F2746">
        <v>1960.35</v>
      </c>
      <c r="G2746">
        <v>313342</v>
      </c>
      <c r="H2746" s="116"/>
      <c r="I2746" s="116"/>
      <c r="L2746" s="170">
        <v>46049</v>
      </c>
      <c r="M2746" s="116">
        <v>1959.5</v>
      </c>
      <c r="N2746" s="116">
        <v>1973.9</v>
      </c>
      <c r="O2746" s="116">
        <v>1893</v>
      </c>
      <c r="P2746" s="116">
        <v>1909</v>
      </c>
      <c r="Q2746" s="116">
        <v>1959.5</v>
      </c>
      <c r="R2746">
        <v>5449633</v>
      </c>
    </row>
    <row r="2747" spans="1:18" x14ac:dyDescent="0.25">
      <c r="A2747" s="170">
        <v>46050</v>
      </c>
      <c r="B2747">
        <v>2004</v>
      </c>
      <c r="C2747">
        <v>1995.65</v>
      </c>
      <c r="D2747">
        <v>1951.95</v>
      </c>
      <c r="E2747">
        <v>1980.05</v>
      </c>
      <c r="F2747">
        <v>1995.65</v>
      </c>
      <c r="G2747">
        <v>142151</v>
      </c>
      <c r="H2747" s="116"/>
      <c r="I2747" s="116"/>
      <c r="L2747" s="170">
        <v>46050</v>
      </c>
      <c r="M2747" s="116">
        <v>1994.7</v>
      </c>
      <c r="N2747" s="116">
        <v>2004</v>
      </c>
      <c r="O2747" s="116">
        <v>1952</v>
      </c>
      <c r="P2747" s="116">
        <v>1985</v>
      </c>
      <c r="Q2747" s="116">
        <v>1994.7</v>
      </c>
      <c r="R2747">
        <v>2073198</v>
      </c>
    </row>
    <row r="2748" spans="1:18" x14ac:dyDescent="0.25">
      <c r="A2748" s="170">
        <v>46051</v>
      </c>
      <c r="B2748">
        <v>2028.8</v>
      </c>
      <c r="C2748">
        <v>2018.2</v>
      </c>
      <c r="D2748">
        <v>1971.9</v>
      </c>
      <c r="E2748">
        <v>2000.5</v>
      </c>
      <c r="F2748">
        <v>2018.2</v>
      </c>
      <c r="G2748">
        <v>128215</v>
      </c>
      <c r="H2748" s="116"/>
      <c r="I2748" s="116"/>
      <c r="L2748" s="170">
        <v>46051</v>
      </c>
      <c r="M2748" s="116">
        <v>2019.2</v>
      </c>
      <c r="N2748" s="116">
        <v>2029.1</v>
      </c>
      <c r="O2748" s="116">
        <v>1972</v>
      </c>
      <c r="P2748" s="116">
        <v>1999.8</v>
      </c>
      <c r="Q2748" s="116">
        <v>2019.2</v>
      </c>
      <c r="R2748">
        <v>1391239</v>
      </c>
    </row>
    <row r="2749" spans="1:18" x14ac:dyDescent="0.25">
      <c r="A2749" s="170">
        <v>46052</v>
      </c>
      <c r="B2749">
        <v>2038.4</v>
      </c>
      <c r="C2749">
        <v>2019.4</v>
      </c>
      <c r="D2749">
        <v>1994</v>
      </c>
      <c r="E2749">
        <v>2003.6</v>
      </c>
      <c r="F2749">
        <v>2019.4</v>
      </c>
      <c r="G2749">
        <v>73791</v>
      </c>
      <c r="H2749" s="116"/>
      <c r="I2749" s="116"/>
      <c r="L2749" s="170">
        <v>46052</v>
      </c>
      <c r="M2749" s="116">
        <v>2020.4</v>
      </c>
      <c r="N2749" s="116">
        <v>2038.8</v>
      </c>
      <c r="O2749" s="116">
        <v>1992.2</v>
      </c>
      <c r="P2749" s="116">
        <v>2005</v>
      </c>
      <c r="Q2749" s="116">
        <v>2020.4</v>
      </c>
      <c r="R2749">
        <v>1230915</v>
      </c>
    </row>
    <row r="2750" spans="1:18" x14ac:dyDescent="0.25">
      <c r="A2750" s="170">
        <v>46054</v>
      </c>
      <c r="B2750">
        <v>2039.4</v>
      </c>
      <c r="C2750">
        <v>1941.85</v>
      </c>
      <c r="D2750">
        <v>1932.65</v>
      </c>
      <c r="E2750">
        <v>2019.4</v>
      </c>
      <c r="F2750">
        <v>1941.85</v>
      </c>
      <c r="G2750">
        <v>96939</v>
      </c>
      <c r="H2750" s="116"/>
      <c r="I2750" s="116"/>
      <c r="L2750" s="170">
        <v>46054</v>
      </c>
      <c r="M2750" s="116">
        <v>1942.8</v>
      </c>
      <c r="N2750" s="116">
        <v>2039.8</v>
      </c>
      <c r="O2750" s="116">
        <v>1931</v>
      </c>
      <c r="P2750" s="116">
        <v>2021</v>
      </c>
      <c r="Q2750" s="116">
        <v>1942.8</v>
      </c>
      <c r="R2750">
        <v>1802165</v>
      </c>
    </row>
    <row r="2751" spans="1:18" x14ac:dyDescent="0.25">
      <c r="A2751" s="170">
        <v>46055</v>
      </c>
      <c r="B2751">
        <v>2001.8</v>
      </c>
      <c r="C2751">
        <v>1994.7</v>
      </c>
      <c r="D2751">
        <v>1934.6</v>
      </c>
      <c r="E2751">
        <v>1980.15</v>
      </c>
      <c r="F2751">
        <v>1994.7</v>
      </c>
      <c r="G2751">
        <v>53094</v>
      </c>
      <c r="H2751" s="116"/>
      <c r="I2751" s="116"/>
      <c r="L2751" s="170">
        <v>46055</v>
      </c>
      <c r="M2751" s="116">
        <v>1995.4</v>
      </c>
      <c r="N2751" s="116">
        <v>2002.2</v>
      </c>
      <c r="O2751" s="116">
        <v>1934</v>
      </c>
      <c r="P2751" s="116">
        <v>1956.6</v>
      </c>
      <c r="Q2751" s="116">
        <v>1995.4</v>
      </c>
      <c r="R2751">
        <v>1229270</v>
      </c>
    </row>
    <row r="2752" spans="1:18" x14ac:dyDescent="0.25">
      <c r="A2752" s="170">
        <v>46056</v>
      </c>
      <c r="B2752">
        <v>2232</v>
      </c>
      <c r="C2752">
        <v>2201.6999999999998</v>
      </c>
      <c r="D2752">
        <v>2141.1</v>
      </c>
      <c r="E2752">
        <v>2167.4499999999998</v>
      </c>
      <c r="F2752">
        <v>2201.6999999999998</v>
      </c>
      <c r="G2752">
        <v>390678</v>
      </c>
      <c r="H2752" s="116"/>
      <c r="I2752" s="116"/>
      <c r="L2752" s="170">
        <v>46056</v>
      </c>
      <c r="M2752" s="116">
        <v>2202.6</v>
      </c>
      <c r="N2752" s="116">
        <v>2233.4</v>
      </c>
      <c r="O2752" s="116">
        <v>2131.1</v>
      </c>
      <c r="P2752" s="116">
        <v>2150</v>
      </c>
      <c r="Q2752" s="116">
        <v>2202.6</v>
      </c>
      <c r="R2752">
        <v>6918581</v>
      </c>
    </row>
    <row r="2753" spans="1:18" x14ac:dyDescent="0.25">
      <c r="A2753" s="170">
        <v>46057</v>
      </c>
      <c r="B2753">
        <v>2245</v>
      </c>
      <c r="C2753">
        <v>2228.85</v>
      </c>
      <c r="D2753">
        <v>2189.9</v>
      </c>
      <c r="E2753">
        <v>2229.8000000000002</v>
      </c>
      <c r="F2753">
        <v>2228.85</v>
      </c>
      <c r="G2753">
        <v>127131</v>
      </c>
      <c r="H2753" s="116"/>
      <c r="I2753" s="116"/>
      <c r="L2753" s="170">
        <v>46057</v>
      </c>
      <c r="M2753" s="116">
        <v>2228.1999999999998</v>
      </c>
      <c r="N2753" s="116">
        <v>2246</v>
      </c>
      <c r="O2753" s="116">
        <v>2189.1999999999998</v>
      </c>
      <c r="P2753" s="116">
        <v>2220</v>
      </c>
      <c r="Q2753" s="116">
        <v>2228.1999999999998</v>
      </c>
      <c r="R2753">
        <v>2051918</v>
      </c>
    </row>
    <row r="2754" spans="1:18" x14ac:dyDescent="0.25">
      <c r="A2754" s="170">
        <v>46058</v>
      </c>
      <c r="B2754">
        <v>2241</v>
      </c>
      <c r="C2754">
        <v>2236.35</v>
      </c>
      <c r="D2754">
        <v>2210</v>
      </c>
      <c r="E2754">
        <v>2229.0500000000002</v>
      </c>
      <c r="F2754">
        <v>2236.35</v>
      </c>
      <c r="G2754">
        <v>91972</v>
      </c>
      <c r="H2754" s="116"/>
      <c r="I2754" s="116"/>
      <c r="L2754" s="170">
        <v>46058</v>
      </c>
      <c r="M2754" s="116">
        <v>2236.6</v>
      </c>
      <c r="N2754" s="116">
        <v>2243.6999999999998</v>
      </c>
      <c r="O2754" s="116">
        <v>2210</v>
      </c>
      <c r="P2754" s="116">
        <v>2232</v>
      </c>
      <c r="Q2754" s="116">
        <v>2236.6</v>
      </c>
      <c r="R2754">
        <v>992382</v>
      </c>
    </row>
    <row r="2755" spans="1:18" x14ac:dyDescent="0.25">
      <c r="A2755" s="170">
        <v>46059</v>
      </c>
      <c r="B2755">
        <v>2238.9499999999998</v>
      </c>
      <c r="C2755">
        <v>2226.5500000000002</v>
      </c>
      <c r="D2755">
        <v>2201.6999999999998</v>
      </c>
      <c r="E2755">
        <v>2234.9</v>
      </c>
      <c r="F2755">
        <v>2226.5500000000002</v>
      </c>
      <c r="G2755">
        <v>53938</v>
      </c>
      <c r="H2755" s="116"/>
      <c r="I2755" s="116"/>
      <c r="L2755" s="170">
        <v>46059</v>
      </c>
      <c r="M2755" s="116">
        <v>2226.4</v>
      </c>
      <c r="N2755" s="116">
        <v>2238</v>
      </c>
      <c r="O2755" s="116">
        <v>2200.4</v>
      </c>
      <c r="P2755" s="116">
        <v>2226.1</v>
      </c>
      <c r="Q2755" s="116">
        <v>2226.4</v>
      </c>
      <c r="R2755">
        <v>933650</v>
      </c>
    </row>
    <row r="2756" spans="1:18" x14ac:dyDescent="0.25">
      <c r="A2756" s="170">
        <v>46062</v>
      </c>
      <c r="B2756">
        <v>2288</v>
      </c>
      <c r="C2756">
        <v>2249.8000000000002</v>
      </c>
      <c r="D2756">
        <v>2241.25</v>
      </c>
      <c r="E2756">
        <v>2241.25</v>
      </c>
      <c r="F2756">
        <v>2249.8000000000002</v>
      </c>
      <c r="G2756">
        <v>117188</v>
      </c>
      <c r="H2756" s="116"/>
      <c r="I2756" s="116"/>
      <c r="L2756" s="170">
        <v>46062</v>
      </c>
      <c r="M2756" s="116">
        <v>2250.1</v>
      </c>
      <c r="N2756" s="116">
        <v>2288</v>
      </c>
      <c r="O2756" s="116">
        <v>2240</v>
      </c>
      <c r="P2756" s="116">
        <v>2250</v>
      </c>
      <c r="Q2756" s="116">
        <v>2250.1</v>
      </c>
      <c r="R2756">
        <v>1650899</v>
      </c>
    </row>
    <row r="2757" spans="1:18" x14ac:dyDescent="0.25">
      <c r="A2757" s="170">
        <v>46063</v>
      </c>
      <c r="B2757">
        <v>2267.9</v>
      </c>
      <c r="C2757">
        <v>2227.5500000000002</v>
      </c>
      <c r="D2757">
        <v>2172.75</v>
      </c>
      <c r="E2757">
        <v>2253.35</v>
      </c>
      <c r="F2757">
        <v>2227.5500000000002</v>
      </c>
      <c r="G2757">
        <v>119694</v>
      </c>
      <c r="H2757" s="116"/>
      <c r="I2757" s="116"/>
      <c r="L2757" s="170">
        <v>46063</v>
      </c>
      <c r="M2757" s="116">
        <v>2228.4</v>
      </c>
      <c r="N2757" s="116">
        <v>2268.3000000000002</v>
      </c>
      <c r="O2757" s="116">
        <v>2171</v>
      </c>
      <c r="P2757" s="116">
        <v>2259</v>
      </c>
      <c r="Q2757" s="116">
        <v>2228.4</v>
      </c>
      <c r="R2757">
        <v>1670672</v>
      </c>
    </row>
    <row r="2758" spans="1:18" x14ac:dyDescent="0.25">
      <c r="A2758" s="170">
        <v>46064</v>
      </c>
      <c r="B2758">
        <v>2236.8000000000002</v>
      </c>
      <c r="C2758">
        <v>2234.4</v>
      </c>
      <c r="D2758">
        <v>2193.6</v>
      </c>
      <c r="E2758">
        <v>2193.6</v>
      </c>
      <c r="F2758">
        <v>2234.4</v>
      </c>
      <c r="G2758">
        <v>45878</v>
      </c>
      <c r="H2758" s="116"/>
      <c r="I2758" s="116"/>
      <c r="L2758" s="170">
        <v>46064</v>
      </c>
      <c r="M2758" s="116">
        <v>2234.4</v>
      </c>
      <c r="N2758" s="116">
        <v>2237.6999999999998</v>
      </c>
      <c r="O2758" s="116">
        <v>2215.1</v>
      </c>
      <c r="P2758" s="116">
        <v>2232.9</v>
      </c>
      <c r="Q2758" s="116">
        <v>2234.4</v>
      </c>
      <c r="R2758">
        <v>682320</v>
      </c>
    </row>
    <row r="2759" spans="1:18" x14ac:dyDescent="0.25">
      <c r="A2759" s="170">
        <v>46065</v>
      </c>
      <c r="B2759">
        <v>2233.75</v>
      </c>
      <c r="C2759">
        <v>2211.6999999999998</v>
      </c>
      <c r="D2759">
        <v>2201.1</v>
      </c>
      <c r="E2759">
        <v>2233.75</v>
      </c>
      <c r="F2759">
        <v>2211.6999999999998</v>
      </c>
      <c r="G2759">
        <v>73221</v>
      </c>
      <c r="H2759" s="116"/>
      <c r="I2759" s="116"/>
      <c r="L2759" s="170">
        <v>46065</v>
      </c>
      <c r="M2759" s="116">
        <v>2211.8000000000002</v>
      </c>
      <c r="N2759" s="116">
        <v>2229.5</v>
      </c>
      <c r="O2759" s="116">
        <v>2201</v>
      </c>
      <c r="P2759" s="116">
        <v>2229</v>
      </c>
      <c r="Q2759" s="116">
        <v>2211.8000000000002</v>
      </c>
      <c r="R2759">
        <v>649585</v>
      </c>
    </row>
    <row r="2760" spans="1:18" x14ac:dyDescent="0.25">
      <c r="A2760" s="170">
        <v>46066</v>
      </c>
      <c r="B2760">
        <v>2206.3000000000002</v>
      </c>
      <c r="C2760">
        <v>2141.35</v>
      </c>
      <c r="D2760">
        <v>2125</v>
      </c>
      <c r="E2760">
        <v>2200.1</v>
      </c>
      <c r="F2760">
        <v>2141.35</v>
      </c>
      <c r="G2760">
        <v>70168</v>
      </c>
      <c r="H2760" s="116"/>
      <c r="I2760" s="116"/>
      <c r="L2760" s="170">
        <v>46066</v>
      </c>
      <c r="M2760" s="116">
        <v>2136.6</v>
      </c>
      <c r="N2760" s="116">
        <v>2210</v>
      </c>
      <c r="O2760" s="116">
        <v>2124.1999999999998</v>
      </c>
      <c r="P2760" s="116">
        <v>2210</v>
      </c>
      <c r="Q2760" s="116">
        <v>2136.6</v>
      </c>
      <c r="R2760">
        <v>1489548</v>
      </c>
    </row>
    <row r="2761" spans="1:18" x14ac:dyDescent="0.25">
      <c r="A2761" s="170">
        <v>46069</v>
      </c>
      <c r="B2761">
        <v>2189</v>
      </c>
      <c r="C2761">
        <v>2184.65</v>
      </c>
      <c r="D2761">
        <v>2103.9499999999998</v>
      </c>
      <c r="E2761">
        <v>2112.1</v>
      </c>
      <c r="F2761">
        <v>2184.65</v>
      </c>
      <c r="G2761">
        <v>66255</v>
      </c>
      <c r="H2761" s="116"/>
      <c r="I2761" s="116"/>
      <c r="L2761" s="170">
        <v>46069</v>
      </c>
      <c r="M2761" s="116">
        <v>2184.6</v>
      </c>
      <c r="N2761" s="116">
        <v>2190.9</v>
      </c>
      <c r="O2761" s="116">
        <v>2103.1999999999998</v>
      </c>
      <c r="P2761" s="116">
        <v>2124.1999999999998</v>
      </c>
      <c r="Q2761" s="116">
        <v>2184.6</v>
      </c>
      <c r="R2761">
        <v>1824808</v>
      </c>
    </row>
    <row r="2762" spans="1:18" x14ac:dyDescent="0.25">
      <c r="A2762" s="170">
        <v>46070</v>
      </c>
      <c r="B2762">
        <v>2252.6</v>
      </c>
      <c r="C2762">
        <v>2242.25</v>
      </c>
      <c r="D2762">
        <v>2171.1</v>
      </c>
      <c r="E2762">
        <v>2173.9499999999998</v>
      </c>
      <c r="F2762">
        <v>2242.25</v>
      </c>
      <c r="G2762">
        <v>110614</v>
      </c>
      <c r="H2762" s="116"/>
      <c r="I2762" s="116"/>
      <c r="L2762" s="170">
        <v>46070</v>
      </c>
      <c r="M2762" s="116">
        <v>2242.9</v>
      </c>
      <c r="N2762" s="116">
        <v>2252</v>
      </c>
      <c r="O2762" s="116">
        <v>2170</v>
      </c>
      <c r="P2762" s="116">
        <v>2170</v>
      </c>
      <c r="Q2762" s="116">
        <v>2242.9</v>
      </c>
      <c r="R2762">
        <v>1931699</v>
      </c>
    </row>
    <row r="2763" spans="1:18" x14ac:dyDescent="0.25">
      <c r="A2763" s="170">
        <v>46071</v>
      </c>
      <c r="B2763">
        <v>2255</v>
      </c>
      <c r="C2763">
        <v>2210.8000000000002</v>
      </c>
      <c r="D2763">
        <v>2189</v>
      </c>
      <c r="E2763">
        <v>2250.1999999999998</v>
      </c>
      <c r="F2763">
        <v>2210.8000000000002</v>
      </c>
      <c r="G2763">
        <v>60426</v>
      </c>
      <c r="H2763" s="116"/>
      <c r="I2763" s="116"/>
      <c r="L2763" s="170">
        <v>46071</v>
      </c>
      <c r="M2763" s="116">
        <v>2211.1999999999998</v>
      </c>
      <c r="N2763" s="116">
        <v>2254</v>
      </c>
      <c r="O2763" s="116">
        <v>2188.1</v>
      </c>
      <c r="P2763" s="116">
        <v>2254</v>
      </c>
      <c r="Q2763" s="116">
        <v>2211.1999999999998</v>
      </c>
      <c r="R2763">
        <v>1149398</v>
      </c>
    </row>
    <row r="2764" spans="1:18" x14ac:dyDescent="0.25">
      <c r="A2764" s="170">
        <v>46072</v>
      </c>
      <c r="B2764">
        <v>2221.4499999999998</v>
      </c>
      <c r="C2764">
        <v>2155.65</v>
      </c>
      <c r="D2764">
        <v>2150.65</v>
      </c>
      <c r="E2764">
        <v>2221.4499999999998</v>
      </c>
      <c r="F2764">
        <v>2155.65</v>
      </c>
      <c r="G2764">
        <v>51199</v>
      </c>
      <c r="H2764" s="116"/>
      <c r="I2764" s="116"/>
      <c r="L2764" s="170">
        <v>46072</v>
      </c>
      <c r="M2764" s="116">
        <v>2156.6999999999998</v>
      </c>
      <c r="N2764" s="116">
        <v>2218.9</v>
      </c>
      <c r="O2764" s="116">
        <v>2151</v>
      </c>
      <c r="P2764" s="116">
        <v>2218.9</v>
      </c>
      <c r="Q2764" s="116">
        <v>2156.6999999999998</v>
      </c>
      <c r="R2764">
        <v>1101633</v>
      </c>
    </row>
    <row r="2765" spans="1:18" x14ac:dyDescent="0.25">
      <c r="A2765" s="170">
        <v>46073</v>
      </c>
      <c r="B2765">
        <v>2174.65</v>
      </c>
      <c r="C2765">
        <v>2160.4499999999998</v>
      </c>
      <c r="D2765">
        <v>2152.0500000000002</v>
      </c>
      <c r="E2765">
        <v>2168.9</v>
      </c>
      <c r="F2765">
        <v>2160.4499999999998</v>
      </c>
      <c r="G2765">
        <v>29136</v>
      </c>
      <c r="H2765" s="116"/>
      <c r="I2765" s="116"/>
      <c r="L2765" s="170">
        <v>46073</v>
      </c>
      <c r="M2765" s="116">
        <v>2160.8000000000002</v>
      </c>
      <c r="N2765" s="116">
        <v>2174.4</v>
      </c>
      <c r="O2765" s="116">
        <v>2152.1</v>
      </c>
      <c r="P2765" s="116">
        <v>2160</v>
      </c>
      <c r="Q2765" s="116">
        <v>2160.8000000000002</v>
      </c>
      <c r="R2765">
        <v>738454</v>
      </c>
    </row>
    <row r="2766" spans="1:18" x14ac:dyDescent="0.25">
      <c r="A2766" s="170">
        <v>46076</v>
      </c>
      <c r="B2766">
        <v>2203.1</v>
      </c>
      <c r="C2766">
        <v>2188.0500000000002</v>
      </c>
      <c r="D2766">
        <v>2156.1999999999998</v>
      </c>
      <c r="E2766">
        <v>2186.1</v>
      </c>
      <c r="F2766">
        <v>2188.0500000000002</v>
      </c>
      <c r="G2766">
        <v>48483</v>
      </c>
      <c r="H2766" s="116"/>
      <c r="I2766" s="116"/>
      <c r="L2766" s="170">
        <v>46076</v>
      </c>
      <c r="M2766" s="116">
        <v>2191</v>
      </c>
      <c r="N2766" s="116">
        <v>2203</v>
      </c>
      <c r="O2766" s="116">
        <v>2155.3000000000002</v>
      </c>
      <c r="P2766" s="116">
        <v>2180</v>
      </c>
      <c r="Q2766" s="116">
        <v>2191</v>
      </c>
      <c r="R2766">
        <v>1103960</v>
      </c>
    </row>
    <row r="2767" spans="1:18" x14ac:dyDescent="0.25">
      <c r="A2767" s="170">
        <v>46077</v>
      </c>
      <c r="B2767">
        <v>2201.85</v>
      </c>
      <c r="C2767">
        <v>2182.35</v>
      </c>
      <c r="D2767">
        <v>2163</v>
      </c>
      <c r="E2767">
        <v>2170.0500000000002</v>
      </c>
      <c r="F2767">
        <v>2182.35</v>
      </c>
      <c r="G2767">
        <v>50543</v>
      </c>
      <c r="H2767" s="116"/>
      <c r="I2767" s="116"/>
      <c r="L2767" s="170">
        <v>46077</v>
      </c>
      <c r="M2767" s="116">
        <v>2183</v>
      </c>
      <c r="N2767" s="116">
        <v>2204.6999999999998</v>
      </c>
      <c r="O2767" s="116">
        <v>2162.1999999999998</v>
      </c>
      <c r="P2767" s="116">
        <v>2168.6</v>
      </c>
      <c r="Q2767" s="116">
        <v>2183</v>
      </c>
      <c r="R2767">
        <v>1152423</v>
      </c>
    </row>
    <row r="2768" spans="1:18" x14ac:dyDescent="0.25">
      <c r="A2768" s="170">
        <v>46078</v>
      </c>
      <c r="B2768">
        <v>2237.4499999999998</v>
      </c>
      <c r="C2768">
        <v>2231.85</v>
      </c>
      <c r="D2768">
        <v>2180.25</v>
      </c>
      <c r="E2768">
        <v>2197.9</v>
      </c>
      <c r="F2768">
        <v>2231.85</v>
      </c>
      <c r="G2768">
        <v>58954</v>
      </c>
      <c r="H2768" s="116"/>
      <c r="I2768" s="116"/>
      <c r="L2768" s="170">
        <v>46078</v>
      </c>
      <c r="M2768" s="116">
        <v>2231.6999999999998</v>
      </c>
      <c r="N2768" s="116">
        <v>2237.3000000000002</v>
      </c>
      <c r="O2768" s="116">
        <v>2180.1</v>
      </c>
      <c r="P2768" s="116">
        <v>2193.1999999999998</v>
      </c>
      <c r="Q2768" s="116">
        <v>2231.6999999999998</v>
      </c>
      <c r="R2768">
        <v>1474187</v>
      </c>
    </row>
    <row r="2769" spans="1:18" x14ac:dyDescent="0.25">
      <c r="A2769" s="170">
        <v>46079</v>
      </c>
      <c r="B2769">
        <v>2232.0500000000002</v>
      </c>
      <c r="C2769">
        <v>2214.9499999999998</v>
      </c>
      <c r="D2769">
        <v>2200</v>
      </c>
      <c r="E2769">
        <v>2231.9</v>
      </c>
      <c r="F2769">
        <v>2214.9499999999998</v>
      </c>
      <c r="G2769">
        <v>54645</v>
      </c>
      <c r="H2769" s="116"/>
      <c r="I2769" s="116"/>
      <c r="L2769" s="170">
        <v>46079</v>
      </c>
      <c r="M2769" s="116">
        <v>2216.4</v>
      </c>
      <c r="N2769" s="116">
        <v>2232.4</v>
      </c>
      <c r="O2769" s="116">
        <v>2200.1</v>
      </c>
      <c r="P2769" s="116">
        <v>2230</v>
      </c>
      <c r="Q2769" s="116">
        <v>2216.4</v>
      </c>
      <c r="R2769">
        <v>915342</v>
      </c>
    </row>
    <row r="2770" spans="1:18" x14ac:dyDescent="0.25">
      <c r="A2770" s="170">
        <v>46080</v>
      </c>
      <c r="B2770">
        <v>2215.0500000000002</v>
      </c>
      <c r="C2770">
        <v>2164.8000000000002</v>
      </c>
      <c r="D2770">
        <v>2152.35</v>
      </c>
      <c r="E2770">
        <v>2202.0500000000002</v>
      </c>
      <c r="F2770">
        <v>2164.8000000000002</v>
      </c>
      <c r="G2770">
        <v>30931</v>
      </c>
      <c r="H2770" s="116"/>
      <c r="I2770" s="116"/>
      <c r="L2770" s="170">
        <v>46080</v>
      </c>
      <c r="M2770" s="116">
        <v>2161.8000000000002</v>
      </c>
      <c r="N2770" s="116">
        <v>2216.4</v>
      </c>
      <c r="O2770" s="116">
        <v>2153</v>
      </c>
      <c r="P2770" s="116">
        <v>2210</v>
      </c>
      <c r="Q2770" s="116">
        <v>2161.8000000000002</v>
      </c>
      <c r="R2770">
        <v>1433096</v>
      </c>
    </row>
    <row r="2771" spans="1:18" x14ac:dyDescent="0.25">
      <c r="A2771" s="170">
        <v>46083</v>
      </c>
      <c r="B2771">
        <v>2149</v>
      </c>
      <c r="C2771">
        <v>2123.25</v>
      </c>
      <c r="D2771">
        <v>2040.05</v>
      </c>
      <c r="E2771">
        <v>2040.05</v>
      </c>
      <c r="F2771">
        <v>2123.25</v>
      </c>
      <c r="G2771">
        <v>146271</v>
      </c>
      <c r="H2771" s="116"/>
      <c r="I2771" s="116"/>
      <c r="L2771" s="170">
        <v>46083</v>
      </c>
      <c r="M2771" s="116">
        <v>2124.6</v>
      </c>
      <c r="N2771" s="116">
        <v>2147.9</v>
      </c>
      <c r="O2771" s="116">
        <v>2073.6999999999998</v>
      </c>
      <c r="P2771" s="116">
        <v>2093</v>
      </c>
      <c r="Q2771" s="116">
        <v>2124.6</v>
      </c>
      <c r="R2771">
        <v>2134522</v>
      </c>
    </row>
    <row r="2772" spans="1:18" x14ac:dyDescent="0.25">
      <c r="A2772" s="170">
        <v>46085</v>
      </c>
      <c r="B2772">
        <v>2104.65</v>
      </c>
      <c r="C2772">
        <v>2075.6</v>
      </c>
      <c r="D2772">
        <v>2038</v>
      </c>
      <c r="E2772">
        <v>2100.0500000000002</v>
      </c>
      <c r="F2772">
        <v>2075.6</v>
      </c>
      <c r="G2772">
        <v>70165</v>
      </c>
      <c r="H2772" s="116"/>
      <c r="I2772" s="116"/>
      <c r="L2772" s="170">
        <v>46085</v>
      </c>
      <c r="M2772" s="116">
        <v>2076.5</v>
      </c>
      <c r="N2772" s="116">
        <v>2104.6</v>
      </c>
      <c r="O2772" s="116">
        <v>2037.5</v>
      </c>
      <c r="P2772" s="116">
        <v>2104.6</v>
      </c>
      <c r="Q2772" s="116">
        <v>2076.5</v>
      </c>
      <c r="R2772">
        <v>1585848</v>
      </c>
    </row>
    <row r="2773" spans="1:18" x14ac:dyDescent="0.25">
      <c r="A2773" s="170">
        <v>46086</v>
      </c>
      <c r="B2773">
        <v>2100</v>
      </c>
      <c r="C2773">
        <v>2088.4499999999998</v>
      </c>
      <c r="D2773">
        <v>2040.8</v>
      </c>
      <c r="E2773">
        <v>2078.35</v>
      </c>
      <c r="F2773">
        <v>2088.4499999999998</v>
      </c>
      <c r="G2773">
        <v>74467</v>
      </c>
      <c r="H2773" s="116"/>
      <c r="I2773" s="116"/>
      <c r="L2773" s="170">
        <v>46086</v>
      </c>
      <c r="M2773" s="116">
        <v>2089.1999999999998</v>
      </c>
      <c r="N2773" s="116">
        <v>2100</v>
      </c>
      <c r="O2773" s="116">
        <v>2040</v>
      </c>
      <c r="P2773" s="116">
        <v>2094</v>
      </c>
      <c r="Q2773" s="116">
        <v>2089.1999999999998</v>
      </c>
      <c r="R2773">
        <v>1231524</v>
      </c>
    </row>
    <row r="2774" spans="1:18" x14ac:dyDescent="0.25">
      <c r="A2774" s="170">
        <v>46087</v>
      </c>
      <c r="B2774">
        <v>2089.6999999999998</v>
      </c>
      <c r="C2774">
        <v>2038.8</v>
      </c>
      <c r="D2774">
        <v>2033.45</v>
      </c>
      <c r="E2774">
        <v>2085</v>
      </c>
      <c r="F2774">
        <v>2038.8</v>
      </c>
      <c r="G2774">
        <v>50131</v>
      </c>
      <c r="H2774" s="116"/>
      <c r="I2774" s="116"/>
      <c r="L2774" s="170">
        <v>46087</v>
      </c>
      <c r="M2774" s="116">
        <v>2039.9</v>
      </c>
      <c r="N2774" s="116">
        <v>2090</v>
      </c>
      <c r="O2774" s="116">
        <v>2030.2</v>
      </c>
      <c r="P2774" s="116">
        <v>2079.1</v>
      </c>
      <c r="Q2774" s="116">
        <v>2039.9</v>
      </c>
      <c r="R2774">
        <v>1696027</v>
      </c>
    </row>
    <row r="2775" spans="1:18" x14ac:dyDescent="0.25">
      <c r="A2775" s="170">
        <v>46090</v>
      </c>
      <c r="B2775">
        <v>2005.85</v>
      </c>
      <c r="C2775">
        <v>1999.65</v>
      </c>
      <c r="D2775">
        <v>1941.5</v>
      </c>
      <c r="E2775">
        <v>1990</v>
      </c>
      <c r="F2775">
        <v>1999.65</v>
      </c>
      <c r="G2775">
        <v>66158</v>
      </c>
      <c r="H2775" s="116"/>
      <c r="I2775" s="116"/>
      <c r="L2775" s="170">
        <v>46090</v>
      </c>
      <c r="M2775" s="116">
        <v>1999.2</v>
      </c>
      <c r="N2775" s="116">
        <v>2006</v>
      </c>
      <c r="O2775" s="116">
        <v>1940.4</v>
      </c>
      <c r="P2775" s="116">
        <v>1985</v>
      </c>
      <c r="Q2775" s="116">
        <v>1999.2</v>
      </c>
      <c r="R2775">
        <v>1305447</v>
      </c>
    </row>
    <row r="2776" spans="1:18" x14ac:dyDescent="0.25">
      <c r="A2776" s="170">
        <v>46091</v>
      </c>
      <c r="B2776">
        <v>2031.6</v>
      </c>
      <c r="C2776">
        <v>1998.15</v>
      </c>
      <c r="D2776">
        <v>1982.55</v>
      </c>
      <c r="E2776">
        <v>2022.95</v>
      </c>
      <c r="F2776">
        <v>1998.15</v>
      </c>
      <c r="G2776">
        <v>63022</v>
      </c>
      <c r="H2776" s="116"/>
      <c r="I2776" s="116"/>
      <c r="L2776" s="170">
        <v>46091</v>
      </c>
      <c r="M2776" s="116">
        <v>1996.5</v>
      </c>
      <c r="N2776" s="116">
        <v>2030</v>
      </c>
      <c r="O2776" s="116">
        <v>1982.2</v>
      </c>
      <c r="P2776" s="116">
        <v>2030</v>
      </c>
      <c r="Q2776" s="116">
        <v>1996.5</v>
      </c>
      <c r="R2776">
        <v>1680405</v>
      </c>
    </row>
    <row r="2777" spans="1:18" x14ac:dyDescent="0.25">
      <c r="A2777" s="170">
        <v>46092</v>
      </c>
      <c r="B2777">
        <v>2025.9</v>
      </c>
      <c r="C2777">
        <v>1975.3</v>
      </c>
      <c r="D2777">
        <v>1970.9</v>
      </c>
      <c r="E2777">
        <v>2000.9</v>
      </c>
      <c r="F2777">
        <v>1975.3</v>
      </c>
      <c r="G2777">
        <v>1385021</v>
      </c>
      <c r="H2777" s="116"/>
      <c r="I2777" s="116"/>
      <c r="L2777" s="170">
        <v>46092</v>
      </c>
      <c r="M2777" s="116">
        <v>1974.7</v>
      </c>
      <c r="N2777" s="116">
        <v>2027.4</v>
      </c>
      <c r="O2777" s="116">
        <v>1970</v>
      </c>
      <c r="P2777" s="116">
        <v>2006.6</v>
      </c>
      <c r="Q2777" s="116">
        <v>1974.7</v>
      </c>
      <c r="R2777">
        <v>1088294</v>
      </c>
    </row>
    <row r="2778" spans="1:18" x14ac:dyDescent="0.25">
      <c r="A2778" s="170">
        <v>46093</v>
      </c>
      <c r="B2778">
        <v>2026.2</v>
      </c>
      <c r="C2778">
        <v>2002.15</v>
      </c>
      <c r="D2778">
        <v>1946.85</v>
      </c>
      <c r="E2778">
        <v>1967.95</v>
      </c>
      <c r="F2778">
        <v>2002.15</v>
      </c>
      <c r="G2778">
        <v>99615</v>
      </c>
      <c r="H2778" s="116"/>
      <c r="I2778" s="116"/>
      <c r="L2778" s="170">
        <v>46093</v>
      </c>
      <c r="M2778" s="116">
        <v>2002</v>
      </c>
      <c r="N2778" s="116">
        <v>2026</v>
      </c>
      <c r="O2778" s="116">
        <v>1947.1</v>
      </c>
      <c r="P2778" s="116">
        <v>1960</v>
      </c>
      <c r="Q2778" s="116">
        <v>2002</v>
      </c>
      <c r="R2778">
        <v>1473773</v>
      </c>
    </row>
    <row r="2779" spans="1:18" x14ac:dyDescent="0.25">
      <c r="A2779" s="170">
        <v>46094</v>
      </c>
      <c r="B2779">
        <v>2008.05</v>
      </c>
      <c r="C2779">
        <v>1960.3</v>
      </c>
      <c r="D2779">
        <v>1945.6</v>
      </c>
      <c r="E2779">
        <v>2001</v>
      </c>
      <c r="F2779">
        <v>1960.3</v>
      </c>
      <c r="G2779">
        <v>82260</v>
      </c>
      <c r="H2779" s="116"/>
      <c r="I2779" s="116"/>
      <c r="L2779" s="170">
        <v>46094</v>
      </c>
      <c r="M2779" s="116">
        <v>1961.1</v>
      </c>
      <c r="N2779" s="116">
        <v>2008.6</v>
      </c>
      <c r="O2779" s="116">
        <v>1945</v>
      </c>
      <c r="P2779" s="116">
        <v>1999.9</v>
      </c>
      <c r="Q2779" s="116">
        <v>1961.1</v>
      </c>
      <c r="R2779">
        <v>1195448</v>
      </c>
    </row>
    <row r="2780" spans="1:18" x14ac:dyDescent="0.25">
      <c r="A2780" s="170">
        <v>46097</v>
      </c>
      <c r="B2780">
        <v>1994</v>
      </c>
      <c r="C2780">
        <v>1975.6</v>
      </c>
      <c r="D2780">
        <v>1946.7</v>
      </c>
      <c r="E2780">
        <v>1964.8</v>
      </c>
      <c r="F2780">
        <v>1975.6</v>
      </c>
      <c r="G2780">
        <v>47472</v>
      </c>
      <c r="H2780" s="116"/>
      <c r="I2780" s="116"/>
      <c r="L2780" s="170">
        <v>46097</v>
      </c>
      <c r="M2780" s="116">
        <v>1978</v>
      </c>
      <c r="N2780" s="116">
        <v>1994.8</v>
      </c>
      <c r="O2780" s="116">
        <v>1946.6</v>
      </c>
      <c r="P2780" s="116">
        <v>1961</v>
      </c>
      <c r="Q2780" s="116">
        <v>1978</v>
      </c>
      <c r="R2780">
        <v>1465828</v>
      </c>
    </row>
    <row r="2781" spans="1:18" x14ac:dyDescent="0.25">
      <c r="A2781" s="170">
        <v>46098</v>
      </c>
      <c r="B2781">
        <v>1996.85</v>
      </c>
      <c r="C2781">
        <v>1975.3</v>
      </c>
      <c r="D2781">
        <v>1945</v>
      </c>
      <c r="E2781">
        <v>1996.85</v>
      </c>
      <c r="F2781">
        <v>1975.3</v>
      </c>
      <c r="G2781">
        <v>42696</v>
      </c>
      <c r="H2781" s="116"/>
      <c r="I2781" s="116"/>
      <c r="L2781" s="170">
        <v>46098</v>
      </c>
      <c r="M2781" s="116">
        <v>1975.4</v>
      </c>
      <c r="N2781" s="116">
        <v>1990</v>
      </c>
      <c r="O2781" s="116">
        <v>1945</v>
      </c>
      <c r="P2781" s="116">
        <v>1989.9</v>
      </c>
      <c r="Q2781" s="116">
        <v>1975.4</v>
      </c>
      <c r="R2781">
        <v>1268988</v>
      </c>
    </row>
    <row r="2782" spans="1:18" x14ac:dyDescent="0.25">
      <c r="A2782" s="170">
        <v>46099</v>
      </c>
      <c r="B2782">
        <v>2026.75</v>
      </c>
      <c r="C2782">
        <v>2007.55</v>
      </c>
      <c r="D2782">
        <v>1982.25</v>
      </c>
      <c r="E2782">
        <v>1994.45</v>
      </c>
      <c r="F2782">
        <v>2007.55</v>
      </c>
      <c r="G2782">
        <v>49283</v>
      </c>
      <c r="H2782" s="116"/>
      <c r="I2782" s="116"/>
      <c r="L2782" s="170">
        <v>46099</v>
      </c>
      <c r="M2782" s="116">
        <v>2007.2</v>
      </c>
      <c r="N2782" s="116">
        <v>2027</v>
      </c>
      <c r="O2782" s="116">
        <v>1982.2</v>
      </c>
      <c r="P2782" s="116">
        <v>1988.9</v>
      </c>
      <c r="Q2782" s="116">
        <v>2007.2</v>
      </c>
      <c r="R2782">
        <v>1041095</v>
      </c>
    </row>
    <row r="2783" spans="1:18" x14ac:dyDescent="0.25">
      <c r="A2783" s="170">
        <v>46100</v>
      </c>
      <c r="B2783">
        <v>1989.1</v>
      </c>
      <c r="C2783">
        <v>1936.95</v>
      </c>
      <c r="D2783">
        <v>1930</v>
      </c>
      <c r="E2783">
        <v>1980.1</v>
      </c>
      <c r="F2783">
        <v>1936.95</v>
      </c>
      <c r="G2783">
        <v>105586</v>
      </c>
      <c r="H2783" s="116"/>
      <c r="I2783" s="116"/>
      <c r="L2783" s="170">
        <v>46100</v>
      </c>
      <c r="M2783" s="116">
        <v>1936.8</v>
      </c>
      <c r="N2783" s="116">
        <v>1988.6</v>
      </c>
      <c r="O2783" s="116">
        <v>1930</v>
      </c>
      <c r="P2783" s="116">
        <v>1984</v>
      </c>
      <c r="Q2783" s="116">
        <v>1936.8</v>
      </c>
      <c r="R2783">
        <v>1510588</v>
      </c>
    </row>
    <row r="2784" spans="1:18" x14ac:dyDescent="0.25">
      <c r="A2784" s="170">
        <v>46101</v>
      </c>
      <c r="B2784">
        <v>1974.15</v>
      </c>
      <c r="C2784">
        <v>1927.35</v>
      </c>
      <c r="D2784">
        <v>1921.35</v>
      </c>
      <c r="E2784">
        <v>1952</v>
      </c>
      <c r="F2784">
        <v>1927.35</v>
      </c>
      <c r="G2784">
        <v>167674</v>
      </c>
      <c r="H2784" s="116"/>
      <c r="I2784" s="116"/>
      <c r="L2784" s="170">
        <v>46101</v>
      </c>
      <c r="M2784" s="116">
        <v>1927.1</v>
      </c>
      <c r="N2784" s="116">
        <v>1974.4</v>
      </c>
      <c r="O2784" s="116">
        <v>1919.9</v>
      </c>
      <c r="P2784" s="116">
        <v>1951</v>
      </c>
      <c r="Q2784" s="116">
        <v>1927.1</v>
      </c>
      <c r="R2784">
        <v>1175662</v>
      </c>
    </row>
    <row r="2785" spans="1:18" x14ac:dyDescent="0.25">
      <c r="A2785" s="170">
        <v>46104</v>
      </c>
      <c r="B2785">
        <v>1912.05</v>
      </c>
      <c r="C2785">
        <v>1832.3</v>
      </c>
      <c r="D2785">
        <v>1820.9</v>
      </c>
      <c r="E2785">
        <v>1912</v>
      </c>
      <c r="F2785">
        <v>1832.3</v>
      </c>
      <c r="G2785">
        <v>177337</v>
      </c>
      <c r="H2785" s="116"/>
      <c r="I2785" s="116"/>
      <c r="L2785" s="170">
        <v>46104</v>
      </c>
      <c r="M2785" s="116">
        <v>1833</v>
      </c>
      <c r="N2785" s="116">
        <v>1910.1</v>
      </c>
      <c r="O2785" s="116">
        <v>1820.5</v>
      </c>
      <c r="P2785" s="116">
        <v>1910</v>
      </c>
      <c r="Q2785" s="116">
        <v>1833</v>
      </c>
      <c r="R2785">
        <v>2370668</v>
      </c>
    </row>
    <row r="2786" spans="1:18" x14ac:dyDescent="0.25">
      <c r="A2786" s="170">
        <v>46105</v>
      </c>
      <c r="B2786">
        <v>1899.65</v>
      </c>
      <c r="C2786">
        <v>1818.9</v>
      </c>
      <c r="D2786">
        <v>1814.05</v>
      </c>
      <c r="E2786">
        <v>1899.65</v>
      </c>
      <c r="F2786">
        <v>1818.9</v>
      </c>
      <c r="G2786">
        <v>5727072</v>
      </c>
      <c r="H2786" s="116"/>
      <c r="I2786" s="116"/>
      <c r="L2786" s="170">
        <v>46105</v>
      </c>
      <c r="M2786" s="116">
        <v>1817.9</v>
      </c>
      <c r="N2786" s="116">
        <v>1893</v>
      </c>
      <c r="O2786" s="116">
        <v>1813.7</v>
      </c>
      <c r="P2786" s="116">
        <v>1892.7</v>
      </c>
      <c r="Q2786" s="116">
        <v>1817.9</v>
      </c>
      <c r="R2786">
        <v>11211381</v>
      </c>
    </row>
    <row r="2787" spans="1:18" x14ac:dyDescent="0.25">
      <c r="A2787" s="170">
        <v>46106</v>
      </c>
      <c r="B2787">
        <v>1910.7</v>
      </c>
      <c r="C2787">
        <v>1886.05</v>
      </c>
      <c r="D2787">
        <v>1837.55</v>
      </c>
      <c r="E2787">
        <v>1841.1</v>
      </c>
      <c r="F2787">
        <v>1886.05</v>
      </c>
      <c r="G2787">
        <v>250834</v>
      </c>
      <c r="H2787" s="116"/>
      <c r="I2787" s="116"/>
      <c r="L2787" s="170">
        <v>46106</v>
      </c>
      <c r="M2787" s="116">
        <v>1886.6</v>
      </c>
      <c r="N2787" s="116">
        <v>1911</v>
      </c>
      <c r="O2787" s="116">
        <v>1839.2</v>
      </c>
      <c r="P2787" s="116">
        <v>1847.9</v>
      </c>
      <c r="Q2787" s="116">
        <v>1886.6</v>
      </c>
      <c r="R2787">
        <v>2537690</v>
      </c>
    </row>
    <row r="2788" spans="1:18" x14ac:dyDescent="0.25">
      <c r="A2788" s="170">
        <v>46108</v>
      </c>
      <c r="B2788">
        <v>1885.5</v>
      </c>
      <c r="C2788">
        <v>1822.85</v>
      </c>
      <c r="D2788">
        <v>1817.35</v>
      </c>
      <c r="E2788">
        <v>1885.5</v>
      </c>
      <c r="F2788">
        <v>1822.85</v>
      </c>
      <c r="G2788">
        <v>89841</v>
      </c>
      <c r="H2788" s="116"/>
      <c r="I2788" s="116"/>
      <c r="L2788" s="170">
        <v>46108</v>
      </c>
      <c r="M2788" s="116">
        <v>1823</v>
      </c>
      <c r="N2788" s="116">
        <v>1883.2</v>
      </c>
      <c r="O2788" s="116">
        <v>1816.5</v>
      </c>
      <c r="P2788" s="116">
        <v>1880</v>
      </c>
      <c r="Q2788" s="116">
        <v>1823</v>
      </c>
      <c r="R2788">
        <v>2585257</v>
      </c>
    </row>
    <row r="2789" spans="1:18" x14ac:dyDescent="0.25">
      <c r="A2789" s="170">
        <v>46111</v>
      </c>
      <c r="B2789">
        <v>1837.85</v>
      </c>
      <c r="C2789">
        <v>1759.65</v>
      </c>
      <c r="D2789">
        <v>1753.45</v>
      </c>
      <c r="E2789">
        <v>1818.9</v>
      </c>
      <c r="F2789">
        <v>1759.65</v>
      </c>
      <c r="G2789">
        <v>147642</v>
      </c>
      <c r="H2789" s="116"/>
      <c r="I2789" s="116"/>
      <c r="L2789" s="170">
        <v>46111</v>
      </c>
      <c r="M2789" s="116">
        <v>1758.8</v>
      </c>
      <c r="N2789" s="116">
        <v>1837.8</v>
      </c>
      <c r="O2789" s="116">
        <v>1753</v>
      </c>
      <c r="P2789" s="116">
        <v>1810</v>
      </c>
      <c r="Q2789" s="116">
        <v>1758.8</v>
      </c>
      <c r="R2789">
        <v>2825299</v>
      </c>
    </row>
    <row r="2790" spans="1:18" x14ac:dyDescent="0.25">
      <c r="A2790" s="170">
        <v>46113</v>
      </c>
      <c r="B2790">
        <v>1869.45</v>
      </c>
      <c r="C2790">
        <v>1842.5</v>
      </c>
      <c r="D2790">
        <v>1802.55</v>
      </c>
      <c r="E2790">
        <v>1836.8</v>
      </c>
      <c r="F2790">
        <v>1842.5</v>
      </c>
      <c r="G2790">
        <v>210121</v>
      </c>
      <c r="H2790" s="116"/>
      <c r="I2790" s="116"/>
      <c r="L2790" s="170">
        <v>46113</v>
      </c>
      <c r="M2790" s="116">
        <v>1842.5</v>
      </c>
      <c r="N2790" s="116">
        <v>1870</v>
      </c>
      <c r="O2790" s="116">
        <v>1803.8</v>
      </c>
      <c r="P2790" s="116">
        <v>1825</v>
      </c>
      <c r="Q2790" s="116">
        <v>1842.5</v>
      </c>
      <c r="R2790">
        <v>2328166</v>
      </c>
    </row>
    <row r="2791" spans="1:18" x14ac:dyDescent="0.25">
      <c r="A2791" s="170">
        <v>46114</v>
      </c>
      <c r="B2791">
        <v>1843</v>
      </c>
      <c r="C2791">
        <v>1833.55</v>
      </c>
      <c r="D2791">
        <v>1771</v>
      </c>
      <c r="E2791">
        <v>1810</v>
      </c>
      <c r="F2791">
        <v>1833.55</v>
      </c>
      <c r="G2791">
        <v>110651</v>
      </c>
      <c r="H2791" s="116"/>
      <c r="I2791" s="116"/>
      <c r="L2791" s="170">
        <v>46114</v>
      </c>
      <c r="M2791" s="116">
        <v>1834.2</v>
      </c>
      <c r="N2791" s="116">
        <v>1842.9</v>
      </c>
      <c r="O2791" s="116">
        <v>1770.1</v>
      </c>
      <c r="P2791" s="116">
        <v>1805</v>
      </c>
      <c r="Q2791" s="116">
        <v>1834.2</v>
      </c>
      <c r="R2791">
        <v>1830598</v>
      </c>
    </row>
    <row r="2792" spans="1:18" x14ac:dyDescent="0.25">
      <c r="A2792" s="170">
        <v>46118</v>
      </c>
      <c r="B2792">
        <v>1908.9</v>
      </c>
      <c r="C2792">
        <v>1902.75</v>
      </c>
      <c r="D2792">
        <v>1802.1</v>
      </c>
      <c r="E2792">
        <v>1833.75</v>
      </c>
      <c r="F2792">
        <v>1902.75</v>
      </c>
      <c r="G2792">
        <v>108401</v>
      </c>
      <c r="H2792" s="116"/>
      <c r="I2792" s="116"/>
      <c r="L2792" s="170">
        <v>46118</v>
      </c>
      <c r="M2792" s="116">
        <v>1902.2</v>
      </c>
      <c r="N2792" s="116">
        <v>1909</v>
      </c>
      <c r="O2792" s="116">
        <v>1802.1</v>
      </c>
      <c r="P2792" s="116">
        <v>1836.9</v>
      </c>
      <c r="Q2792" s="116">
        <v>1902.2</v>
      </c>
      <c r="R2792">
        <v>3153437</v>
      </c>
    </row>
    <row r="2793" spans="1:18" x14ac:dyDescent="0.25">
      <c r="A2793" s="170">
        <v>46119</v>
      </c>
      <c r="B2793">
        <v>1904.05</v>
      </c>
      <c r="C2793">
        <v>1881.3</v>
      </c>
      <c r="D2793">
        <v>1865.25</v>
      </c>
      <c r="E2793">
        <v>1885.2</v>
      </c>
      <c r="F2793">
        <v>1881.3</v>
      </c>
      <c r="G2793">
        <v>116945</v>
      </c>
      <c r="H2793" s="116"/>
      <c r="I2793" s="116"/>
      <c r="L2793" s="170">
        <v>46119</v>
      </c>
      <c r="M2793" s="116">
        <v>1882.1</v>
      </c>
      <c r="N2793" s="116">
        <v>1904.6</v>
      </c>
      <c r="O2793" s="116">
        <v>1865</v>
      </c>
      <c r="P2793" s="116">
        <v>1890</v>
      </c>
      <c r="Q2793" s="116">
        <v>1882.1</v>
      </c>
      <c r="R2793">
        <v>1566909</v>
      </c>
    </row>
    <row r="2794" spans="1:18" x14ac:dyDescent="0.25">
      <c r="A2794" s="170">
        <v>46120</v>
      </c>
      <c r="B2794">
        <v>2089.8000000000002</v>
      </c>
      <c r="C2794">
        <v>2043.55</v>
      </c>
      <c r="D2794">
        <v>1975.35</v>
      </c>
      <c r="E2794">
        <v>1991.85</v>
      </c>
      <c r="F2794">
        <v>2043.55</v>
      </c>
      <c r="G2794">
        <v>216708</v>
      </c>
      <c r="H2794" s="116"/>
      <c r="I2794" s="116"/>
      <c r="L2794" s="170">
        <v>46120</v>
      </c>
      <c r="M2794" s="116">
        <v>2043.8</v>
      </c>
      <c r="N2794" s="116">
        <v>2099</v>
      </c>
      <c r="O2794" s="116">
        <v>1975.1</v>
      </c>
      <c r="P2794" s="116">
        <v>2000</v>
      </c>
      <c r="Q2794" s="116">
        <v>2043.8</v>
      </c>
      <c r="R2794">
        <v>4197831</v>
      </c>
    </row>
    <row r="2795" spans="1:18" x14ac:dyDescent="0.25">
      <c r="A2795" s="170">
        <v>46121</v>
      </c>
      <c r="B2795">
        <v>2064.75</v>
      </c>
      <c r="C2795">
        <v>2040</v>
      </c>
      <c r="D2795">
        <v>2011</v>
      </c>
      <c r="E2795">
        <v>2043.55</v>
      </c>
      <c r="F2795">
        <v>2040</v>
      </c>
      <c r="G2795">
        <v>153084</v>
      </c>
      <c r="H2795" s="116"/>
      <c r="I2795" s="116"/>
      <c r="L2795" s="170">
        <v>46121</v>
      </c>
      <c r="M2795" s="116">
        <v>2040.5</v>
      </c>
      <c r="N2795" s="116">
        <v>2065</v>
      </c>
      <c r="O2795" s="116">
        <v>2010.3</v>
      </c>
      <c r="P2795" s="116">
        <v>2039.8</v>
      </c>
      <c r="Q2795" s="116">
        <v>2040.5</v>
      </c>
      <c r="R2795">
        <v>2481188</v>
      </c>
    </row>
    <row r="2796" spans="1:18" x14ac:dyDescent="0.25">
      <c r="A2796" s="170">
        <v>46122</v>
      </c>
      <c r="B2796">
        <v>2094.5</v>
      </c>
      <c r="C2796">
        <v>2088.1999999999998</v>
      </c>
      <c r="D2796">
        <v>2041.85</v>
      </c>
      <c r="E2796">
        <v>2049.3000000000002</v>
      </c>
      <c r="F2796">
        <v>2088.1999999999998</v>
      </c>
      <c r="G2796">
        <v>126261</v>
      </c>
      <c r="H2796" s="116"/>
      <c r="I2796" s="116"/>
      <c r="L2796" s="170">
        <v>46122</v>
      </c>
      <c r="M2796" s="116">
        <v>2086.8000000000002</v>
      </c>
      <c r="N2796" s="116">
        <v>2094.6</v>
      </c>
      <c r="O2796" s="116">
        <v>2041.7</v>
      </c>
      <c r="P2796" s="116">
        <v>2043.1</v>
      </c>
      <c r="Q2796" s="116">
        <v>2086.8000000000002</v>
      </c>
      <c r="R2796">
        <v>1700162</v>
      </c>
    </row>
    <row r="2797" spans="1:18" x14ac:dyDescent="0.25">
      <c r="A2797" s="170">
        <v>46125</v>
      </c>
      <c r="B2797">
        <v>2157.1</v>
      </c>
      <c r="C2797">
        <v>2129.5500000000002</v>
      </c>
      <c r="D2797">
        <v>1963.1</v>
      </c>
      <c r="E2797">
        <v>1963.1</v>
      </c>
      <c r="F2797">
        <v>2129.5500000000002</v>
      </c>
      <c r="G2797">
        <v>293391</v>
      </c>
      <c r="H2797" s="116"/>
      <c r="I2797" s="116"/>
      <c r="L2797" s="170">
        <v>46125</v>
      </c>
      <c r="M2797" s="116">
        <v>2129</v>
      </c>
      <c r="N2797" s="116">
        <v>2159</v>
      </c>
      <c r="O2797" s="116">
        <v>2000.2</v>
      </c>
      <c r="P2797" s="116">
        <v>2010.2</v>
      </c>
      <c r="Q2797" s="116">
        <v>2129</v>
      </c>
      <c r="R2797">
        <v>3729773</v>
      </c>
    </row>
    <row r="2798" spans="1:18" x14ac:dyDescent="0.25">
      <c r="A2798" s="170">
        <v>46127</v>
      </c>
      <c r="B2798">
        <v>2199.5</v>
      </c>
      <c r="C2798">
        <v>2145.1999999999998</v>
      </c>
      <c r="D2798">
        <v>2137.4</v>
      </c>
      <c r="E2798">
        <v>2175.1</v>
      </c>
      <c r="F2798">
        <v>2145.1999999999998</v>
      </c>
      <c r="G2798">
        <v>150960</v>
      </c>
      <c r="H2798" s="116"/>
      <c r="I2798" s="116"/>
      <c r="L2798" s="170">
        <v>46127</v>
      </c>
      <c r="M2798" s="116">
        <v>2144.4</v>
      </c>
      <c r="N2798" s="116">
        <v>2200</v>
      </c>
      <c r="O2798" s="116">
        <v>2136</v>
      </c>
      <c r="P2798" s="116">
        <v>2187</v>
      </c>
      <c r="Q2798" s="116">
        <v>2144.4</v>
      </c>
      <c r="R2798">
        <v>1779015</v>
      </c>
    </row>
    <row r="2799" spans="1:18" x14ac:dyDescent="0.25">
      <c r="A2799" s="170">
        <v>46128</v>
      </c>
      <c r="B2799">
        <v>2210</v>
      </c>
      <c r="C2799">
        <v>2205</v>
      </c>
      <c r="D2799">
        <v>2162</v>
      </c>
      <c r="E2799">
        <v>2169</v>
      </c>
      <c r="F2799">
        <v>2205</v>
      </c>
      <c r="G2799">
        <v>215397</v>
      </c>
      <c r="H2799" s="116"/>
      <c r="I2799" s="116"/>
      <c r="L2799" s="170">
        <v>46128</v>
      </c>
      <c r="M2799" s="116">
        <v>2203.6999999999998</v>
      </c>
      <c r="N2799" s="116">
        <v>2210.4</v>
      </c>
      <c r="O2799" s="116">
        <v>2161.1</v>
      </c>
      <c r="P2799" s="116">
        <v>2170</v>
      </c>
      <c r="Q2799" s="116">
        <v>2203.6999999999998</v>
      </c>
      <c r="R2799">
        <v>2188912</v>
      </c>
    </row>
    <row r="2800" spans="1:18" x14ac:dyDescent="0.25">
      <c r="A2800" s="170">
        <v>46129</v>
      </c>
      <c r="B2800">
        <v>2248.9499999999998</v>
      </c>
      <c r="C2800">
        <v>2218.35</v>
      </c>
      <c r="D2800">
        <v>2186.85</v>
      </c>
      <c r="E2800">
        <v>2248.9499999999998</v>
      </c>
      <c r="F2800">
        <v>2218.35</v>
      </c>
      <c r="G2800">
        <v>217057</v>
      </c>
      <c r="H2800" s="116"/>
      <c r="I2800" s="116"/>
      <c r="L2800" s="170">
        <v>46129</v>
      </c>
      <c r="M2800" s="116">
        <v>2218.3000000000002</v>
      </c>
      <c r="N2800" s="116">
        <v>2240</v>
      </c>
      <c r="O2800" s="116">
        <v>2186.1</v>
      </c>
      <c r="P2800" s="116">
        <v>2240</v>
      </c>
      <c r="Q2800" s="116">
        <v>2218.3000000000002</v>
      </c>
      <c r="R2800">
        <v>2408901</v>
      </c>
    </row>
    <row r="2801" spans="1:18" x14ac:dyDescent="0.25">
      <c r="A2801" s="170">
        <v>46132</v>
      </c>
      <c r="B2801">
        <v>2280</v>
      </c>
      <c r="C2801">
        <v>2228</v>
      </c>
      <c r="D2801">
        <v>2201.1</v>
      </c>
      <c r="E2801">
        <v>2215.4499999999998</v>
      </c>
      <c r="F2801">
        <v>2228</v>
      </c>
      <c r="G2801">
        <v>175135</v>
      </c>
      <c r="H2801" s="116"/>
      <c r="I2801" s="116"/>
      <c r="L2801" s="170">
        <v>46132</v>
      </c>
      <c r="M2801" s="116">
        <v>2229.6</v>
      </c>
      <c r="N2801" s="116">
        <v>2280.1</v>
      </c>
      <c r="O2801" s="116">
        <v>2202.1999999999998</v>
      </c>
      <c r="P2801" s="116">
        <v>2218.3000000000002</v>
      </c>
      <c r="Q2801" s="116">
        <v>2229.6</v>
      </c>
      <c r="R2801">
        <v>1795338</v>
      </c>
    </row>
    <row r="2802" spans="1:18" x14ac:dyDescent="0.25">
      <c r="A2802" s="170">
        <v>46133</v>
      </c>
      <c r="B2802">
        <v>2254.8000000000002</v>
      </c>
      <c r="C2802">
        <v>2225.25</v>
      </c>
      <c r="D2802">
        <v>2220.1999999999998</v>
      </c>
      <c r="E2802">
        <v>2239.0500000000002</v>
      </c>
      <c r="F2802">
        <v>2225.25</v>
      </c>
      <c r="G2802">
        <v>51696</v>
      </c>
      <c r="H2802" s="116"/>
      <c r="I2802" s="116"/>
      <c r="L2802" s="170">
        <v>46133</v>
      </c>
      <c r="M2802" s="116">
        <v>2226</v>
      </c>
      <c r="N2802" s="116">
        <v>2255</v>
      </c>
      <c r="O2802" s="116">
        <v>2220</v>
      </c>
      <c r="P2802" s="116">
        <v>2229.6999999999998</v>
      </c>
      <c r="Q2802" s="116">
        <v>2226</v>
      </c>
      <c r="R2802">
        <v>1818221</v>
      </c>
    </row>
    <row r="2803" spans="1:18" x14ac:dyDescent="0.25">
      <c r="A2803" s="170">
        <v>46134</v>
      </c>
      <c r="B2803">
        <v>2277.6999999999998</v>
      </c>
      <c r="C2803">
        <v>2261.1</v>
      </c>
      <c r="D2803">
        <v>2225</v>
      </c>
      <c r="E2803">
        <v>2225.25</v>
      </c>
      <c r="F2803">
        <v>2261.1</v>
      </c>
      <c r="G2803">
        <v>62655</v>
      </c>
      <c r="H2803" s="116"/>
      <c r="I2803" s="116"/>
      <c r="L2803" s="170">
        <v>46134</v>
      </c>
      <c r="M2803" s="116">
        <v>2260.8000000000002</v>
      </c>
      <c r="N2803" s="116">
        <v>2278.6</v>
      </c>
      <c r="O2803" s="116">
        <v>2224.1</v>
      </c>
      <c r="P2803" s="116">
        <v>2229</v>
      </c>
      <c r="Q2803" s="116">
        <v>2260.8000000000002</v>
      </c>
      <c r="R2803">
        <v>3517237</v>
      </c>
    </row>
    <row r="2804" spans="1:18" x14ac:dyDescent="0.25">
      <c r="A2804" s="170">
        <v>46135</v>
      </c>
      <c r="B2804">
        <v>2333.9</v>
      </c>
      <c r="C2804">
        <v>2300.5</v>
      </c>
      <c r="D2804">
        <v>2225.6999999999998</v>
      </c>
      <c r="E2804">
        <v>2245</v>
      </c>
      <c r="F2804">
        <v>2300.5</v>
      </c>
      <c r="G2804">
        <v>263051</v>
      </c>
      <c r="H2804" s="116"/>
      <c r="I2804" s="116"/>
      <c r="L2804" s="170">
        <v>46135</v>
      </c>
      <c r="M2804" s="116">
        <v>2300</v>
      </c>
      <c r="N2804" s="116">
        <v>2333.9</v>
      </c>
      <c r="O2804" s="116">
        <v>2221.8000000000002</v>
      </c>
      <c r="P2804" s="116">
        <v>2243.5</v>
      </c>
      <c r="Q2804" s="116">
        <v>2300</v>
      </c>
      <c r="R2804">
        <v>2948009</v>
      </c>
    </row>
    <row r="2805" spans="1:18" x14ac:dyDescent="0.25">
      <c r="A2805" s="170">
        <v>46136</v>
      </c>
      <c r="B2805">
        <v>2321.25</v>
      </c>
      <c r="C2805">
        <v>2286.65</v>
      </c>
      <c r="D2805">
        <v>2227</v>
      </c>
      <c r="E2805">
        <v>2306.9499999999998</v>
      </c>
      <c r="F2805">
        <v>2286.65</v>
      </c>
      <c r="G2805">
        <v>185872</v>
      </c>
      <c r="H2805" s="116"/>
      <c r="I2805" s="116"/>
      <c r="L2805" s="170">
        <v>46136</v>
      </c>
      <c r="M2805" s="116">
        <v>2287.6</v>
      </c>
      <c r="N2805" s="116">
        <v>2321.4</v>
      </c>
      <c r="O2805" s="116">
        <v>2227</v>
      </c>
      <c r="P2805" s="116">
        <v>2310.1999999999998</v>
      </c>
      <c r="Q2805" s="116">
        <v>2287.6</v>
      </c>
      <c r="R2805">
        <v>2271317</v>
      </c>
    </row>
    <row r="2806" spans="1:18" x14ac:dyDescent="0.25">
      <c r="A2806" s="170">
        <v>46139</v>
      </c>
      <c r="B2806">
        <v>2337</v>
      </c>
      <c r="C2806">
        <v>2321.35</v>
      </c>
      <c r="D2806">
        <v>2287.5</v>
      </c>
      <c r="E2806">
        <v>2313.65</v>
      </c>
      <c r="F2806">
        <v>2321.35</v>
      </c>
      <c r="G2806">
        <v>105376</v>
      </c>
      <c r="H2806" s="116"/>
      <c r="I2806" s="116"/>
      <c r="L2806" s="170">
        <v>46139</v>
      </c>
      <c r="M2806" s="116">
        <v>2321.8000000000002</v>
      </c>
      <c r="N2806" s="116">
        <v>2337</v>
      </c>
      <c r="O2806" s="116">
        <v>2286</v>
      </c>
      <c r="P2806" s="116">
        <v>2300.1999999999998</v>
      </c>
      <c r="Q2806" s="116">
        <v>2321.8000000000002</v>
      </c>
      <c r="R2806">
        <v>1500864</v>
      </c>
    </row>
    <row r="2807" spans="1:18" x14ac:dyDescent="0.25">
      <c r="A2807" s="170">
        <v>46140</v>
      </c>
      <c r="B2807">
        <v>2420</v>
      </c>
      <c r="C2807">
        <v>2410.85</v>
      </c>
      <c r="D2807">
        <v>2321.35</v>
      </c>
      <c r="E2807">
        <v>2321.35</v>
      </c>
      <c r="F2807">
        <v>2410.85</v>
      </c>
      <c r="G2807">
        <v>217193</v>
      </c>
      <c r="H2807" s="116"/>
      <c r="I2807" s="116"/>
      <c r="L2807" s="170">
        <v>46140</v>
      </c>
      <c r="M2807" s="116">
        <v>2412.4</v>
      </c>
      <c r="N2807" s="116">
        <v>2420</v>
      </c>
      <c r="O2807" s="116">
        <v>2320.9</v>
      </c>
      <c r="P2807" s="116">
        <v>2321.8000000000002</v>
      </c>
      <c r="Q2807" s="116">
        <v>2412.4</v>
      </c>
      <c r="R2807">
        <v>4375556</v>
      </c>
    </row>
    <row r="2808" spans="1:18" x14ac:dyDescent="0.25">
      <c r="A2808" s="170">
        <v>46141</v>
      </c>
      <c r="B2808">
        <v>2443.3000000000002</v>
      </c>
      <c r="C2808">
        <v>2424.6999999999998</v>
      </c>
      <c r="D2808">
        <v>2388.25</v>
      </c>
      <c r="E2808">
        <v>2434.35</v>
      </c>
      <c r="F2808">
        <v>2424.6999999999998</v>
      </c>
      <c r="G2808">
        <v>222027</v>
      </c>
      <c r="H2808" s="116"/>
      <c r="I2808" s="116"/>
      <c r="L2808" s="170">
        <v>46141</v>
      </c>
      <c r="M2808" s="116">
        <v>2425.9</v>
      </c>
      <c r="N2808" s="116">
        <v>2443.8000000000002</v>
      </c>
      <c r="O2808" s="116">
        <v>2388</v>
      </c>
      <c r="P2808" s="116">
        <v>2427.6</v>
      </c>
      <c r="Q2808" s="116">
        <v>2425.9</v>
      </c>
      <c r="R2808">
        <v>4656967</v>
      </c>
    </row>
    <row r="2809" spans="1:18" x14ac:dyDescent="0.25">
      <c r="A2809" s="170">
        <v>46142</v>
      </c>
      <c r="B2809">
        <v>2418.75</v>
      </c>
      <c r="C2809">
        <v>2404.0500000000002</v>
      </c>
      <c r="D2809">
        <v>2327.8000000000002</v>
      </c>
      <c r="E2809">
        <v>2414.5500000000002</v>
      </c>
      <c r="F2809">
        <v>2404.0500000000002</v>
      </c>
      <c r="G2809">
        <v>361770</v>
      </c>
      <c r="H2809" s="116"/>
      <c r="I2809" s="116"/>
      <c r="L2809" s="170">
        <v>46142</v>
      </c>
      <c r="M2809" s="116">
        <v>2408.4</v>
      </c>
      <c r="N2809" s="116">
        <v>2420</v>
      </c>
      <c r="O2809" s="116">
        <v>2328.8000000000002</v>
      </c>
      <c r="P2809" s="116">
        <v>2394.9</v>
      </c>
      <c r="Q2809" s="116">
        <v>2408.4</v>
      </c>
      <c r="R2809">
        <v>3538354</v>
      </c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2026-06-15T14:10:46Z</dcterms:modified>
  <cp:category/>
  <cp:contentStatus/>
</cp:coreProperties>
</file>