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FA6A4FA-ABB7-41BE-BA18-A69D0E2CFCA2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N54" i="125" a="1"/>
  <c r="AF53" i="125" a="1"/>
  <c r="T53" i="125" a="1"/>
  <c r="H53" i="125" a="1"/>
  <c r="Z52" i="125" a="1"/>
  <c r="N52" i="125" a="1"/>
  <c r="AF51" i="125" a="1"/>
  <c r="T51" i="125" a="1"/>
  <c r="H51" i="125" a="1"/>
  <c r="Z50" i="125" a="1"/>
  <c r="N50" i="125" a="1"/>
  <c r="AF49" i="125" a="1"/>
  <c r="T49" i="125" a="1"/>
  <c r="H49" i="125" a="1"/>
  <c r="Z48" i="125" a="1"/>
  <c r="N48" i="125" a="1"/>
  <c r="AF47" i="125" a="1"/>
  <c r="T47" i="125" a="1"/>
  <c r="H47" i="125" a="1"/>
  <c r="Z46" i="125" a="1"/>
  <c r="N46" i="125" a="1"/>
  <c r="AF45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AE71" i="125" a="1"/>
  <c r="S71" i="125" a="1"/>
  <c r="G71" i="125" a="1"/>
  <c r="Y70" i="125" a="1"/>
  <c r="M70" i="125" a="1"/>
  <c r="AE69" i="125" a="1"/>
  <c r="S69" i="125" a="1"/>
  <c r="G69" i="125" a="1"/>
  <c r="Y68" i="125" a="1"/>
  <c r="M68" i="125" a="1"/>
  <c r="AE67" i="125" a="1"/>
  <c r="S67" i="125" a="1"/>
  <c r="G67" i="125" a="1"/>
  <c r="Y66" i="125" a="1"/>
  <c r="M66" i="125" a="1"/>
  <c r="AE65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L66" i="125" a="1"/>
  <c r="AD65" i="125" a="1"/>
  <c r="R65" i="125" a="1"/>
  <c r="F65" i="125" a="1"/>
  <c r="X64" i="125" a="1"/>
  <c r="L64" i="125" a="1"/>
  <c r="AD63" i="125" a="1"/>
  <c r="R63" i="125" a="1"/>
  <c r="F63" i="125" a="1"/>
  <c r="X62" i="125" a="1"/>
  <c r="L62" i="125" a="1"/>
  <c r="AD61" i="125" a="1"/>
  <c r="R61" i="125" a="1"/>
  <c r="F61" i="125" a="1"/>
  <c r="X60" i="125" a="1"/>
  <c r="L60" i="125" a="1"/>
  <c r="AD59" i="125" a="1"/>
  <c r="R59" i="125" a="1"/>
  <c r="F59" i="125" a="1"/>
  <c r="X54" i="125" a="1"/>
  <c r="L54" i="125" a="1"/>
  <c r="AD53" i="125" a="1"/>
  <c r="R53" i="125" a="1"/>
  <c r="F53" i="125" a="1"/>
  <c r="X52" i="125" a="1"/>
  <c r="L52" i="125" a="1"/>
  <c r="AD51" i="125" a="1"/>
  <c r="R51" i="125" a="1"/>
  <c r="F51" i="125" a="1"/>
  <c r="X50" i="125" a="1"/>
  <c r="L50" i="125" a="1"/>
  <c r="AD49" i="125" a="1"/>
  <c r="R49" i="125" a="1"/>
  <c r="F49" i="125" a="1"/>
  <c r="X48" i="125" a="1"/>
  <c r="L48" i="125" a="1"/>
  <c r="AD47" i="125" a="1"/>
  <c r="R47" i="125" a="1"/>
  <c r="F47" i="125" a="1"/>
  <c r="X46" i="125" a="1"/>
  <c r="L46" i="125" a="1"/>
  <c r="AD45" i="125" a="1"/>
  <c r="R45" i="125" a="1"/>
  <c r="F45" i="125" a="1"/>
  <c r="X44" i="125" a="1"/>
  <c r="L44" i="125" a="1"/>
  <c r="AD43" i="125" a="1"/>
  <c r="R43" i="125" a="1"/>
  <c r="F43" i="125" a="1"/>
  <c r="X42" i="125" a="1"/>
  <c r="L42" i="125" a="1"/>
  <c r="AD41" i="125" a="1"/>
  <c r="R41" i="125" a="1"/>
  <c r="F41" i="125" a="1"/>
  <c r="X40" i="125" a="1"/>
  <c r="L40" i="125" a="1"/>
  <c r="AD39" i="125" a="1"/>
  <c r="R39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W78" i="125" a="1"/>
  <c r="K78" i="125" a="1"/>
  <c r="AC77" i="125" a="1"/>
  <c r="Q77" i="125" a="1"/>
  <c r="E77" i="125" a="1"/>
  <c r="W76" i="125" a="1"/>
  <c r="K76" i="125" a="1"/>
  <c r="AC75" i="125" a="1"/>
  <c r="Q75" i="125" a="1"/>
  <c r="E75" i="125" a="1"/>
  <c r="W74" i="125" a="1"/>
  <c r="K74" i="125" a="1"/>
  <c r="AC73" i="125" a="1"/>
  <c r="Q73" i="125" a="1"/>
  <c r="E73" i="125" a="1"/>
  <c r="W72" i="125" a="1"/>
  <c r="K72" i="125" a="1"/>
  <c r="AC71" i="125" a="1"/>
  <c r="Q71" i="125" a="1"/>
  <c r="E71" i="125" a="1"/>
  <c r="W70" i="125" a="1"/>
  <c r="K70" i="125" a="1"/>
  <c r="AC69" i="125" a="1"/>
  <c r="Q69" i="125" a="1"/>
  <c r="E69" i="125" a="1"/>
  <c r="W68" i="125" a="1"/>
  <c r="K68" i="125" a="1"/>
  <c r="AC67" i="125" a="1"/>
  <c r="Q67" i="125" a="1"/>
  <c r="E67" i="125" a="1"/>
  <c r="W66" i="125" a="1"/>
  <c r="K66" i="125" a="1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O51" i="125" a="1"/>
  <c r="C51" i="125" a="1"/>
  <c r="U50" i="125" a="1"/>
  <c r="I50" i="125" a="1"/>
  <c r="AA49" i="125" a="1"/>
  <c r="O49" i="125" a="1"/>
  <c r="C49" i="125" a="1"/>
  <c r="U48" i="125" a="1"/>
  <c r="I48" i="125" a="1"/>
  <c r="AA47" i="125" a="1"/>
  <c r="O47" i="125" a="1"/>
  <c r="C47" i="125" a="1"/>
  <c r="U46" i="125" a="1"/>
  <c r="I46" i="125" a="1"/>
  <c r="AA45" i="125" a="1"/>
  <c r="O45" i="125" a="1"/>
  <c r="C45" i="125" a="1"/>
  <c r="U44" i="125" a="1"/>
  <c r="I44" i="125" a="1"/>
  <c r="AA43" i="125" a="1"/>
  <c r="O43" i="125" a="1"/>
  <c r="C43" i="125" a="1"/>
  <c r="U42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N67" i="125" a="1"/>
  <c r="AF66" i="125" a="1"/>
  <c r="T66" i="125" a="1"/>
  <c r="H66" i="125" a="1"/>
  <c r="Z65" i="125" a="1"/>
  <c r="N65" i="125" a="1"/>
  <c r="AF64" i="125" a="1"/>
  <c r="T64" i="125" a="1"/>
  <c r="H64" i="125" a="1"/>
  <c r="Z63" i="125" a="1"/>
  <c r="N63" i="125" a="1"/>
  <c r="AF62" i="125" a="1"/>
  <c r="T62" i="125" a="1"/>
  <c r="H62" i="125" a="1"/>
  <c r="Z61" i="125" a="1"/>
  <c r="N61" i="125" a="1"/>
  <c r="AF60" i="125" a="1"/>
  <c r="T60" i="125" a="1"/>
  <c r="H60" i="125" a="1"/>
  <c r="Z59" i="125" a="1"/>
  <c r="N59" i="125" a="1"/>
  <c r="AF54" i="125" a="1"/>
  <c r="T54" i="125" a="1"/>
  <c r="H54" i="125" a="1"/>
  <c r="Z53" i="125" a="1"/>
  <c r="N53" i="125" a="1"/>
  <c r="AF52" i="125" a="1"/>
  <c r="T52" i="125" a="1"/>
  <c r="H52" i="125" a="1"/>
  <c r="Z51" i="125" a="1"/>
  <c r="N51" i="125" a="1"/>
  <c r="AF50" i="125" a="1"/>
  <c r="T50" i="125" a="1"/>
  <c r="H50" i="125" a="1"/>
  <c r="Z49" i="125" a="1"/>
  <c r="N49" i="125" a="1"/>
  <c r="AF48" i="125" a="1"/>
  <c r="T48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Y59" i="125" a="1"/>
  <c r="M59" i="125" a="1"/>
  <c r="AE54" i="125" a="1"/>
  <c r="S54" i="125" a="1"/>
  <c r="G54" i="125" a="1"/>
  <c r="Y53" i="125" a="1"/>
  <c r="M53" i="125" a="1"/>
  <c r="AE52" i="125" a="1"/>
  <c r="S52" i="125" a="1"/>
  <c r="G52" i="125" a="1"/>
  <c r="Y51" i="125" a="1"/>
  <c r="M51" i="125" a="1"/>
  <c r="AE50" i="125" a="1"/>
  <c r="S50" i="125" a="1"/>
  <c r="G50" i="125" a="1"/>
  <c r="Y49" i="125" a="1"/>
  <c r="M49" i="125" a="1"/>
  <c r="AE48" i="125" a="1"/>
  <c r="S48" i="125" a="1"/>
  <c r="G48" i="125" a="1"/>
  <c r="Y47" i="125" a="1"/>
  <c r="M47" i="125" a="1"/>
  <c r="AE46" i="125" a="1"/>
  <c r="S46" i="125" a="1"/>
  <c r="G46" i="125" a="1"/>
  <c r="Y45" i="125" a="1"/>
  <c r="M45" i="125" a="1"/>
  <c r="AE44" i="125" a="1"/>
  <c r="S44" i="125" a="1"/>
  <c r="G44" i="125" a="1"/>
  <c r="Y43" i="125" a="1"/>
  <c r="M43" i="125" a="1"/>
  <c r="AE42" i="125" a="1"/>
  <c r="S42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J93" i="125" a="1"/>
  <c r="AB88" i="125" a="1"/>
  <c r="P86" i="125" a="1"/>
  <c r="D84" i="125" a="1"/>
  <c r="V81" i="125" a="1"/>
  <c r="J79" i="125" a="1"/>
  <c r="W77" i="125" a="1"/>
  <c r="Q76" i="125" a="1"/>
  <c r="K75" i="125" a="1"/>
  <c r="E74" i="125" a="1"/>
  <c r="AC72" i="125" a="1"/>
  <c r="W71" i="125" a="1"/>
  <c r="Q70" i="125" a="1"/>
  <c r="K69" i="125" a="1"/>
  <c r="E68" i="125" a="1"/>
  <c r="AC66" i="125" a="1"/>
  <c r="AB65" i="125" a="1"/>
  <c r="D65" i="125" a="1"/>
  <c r="J64" i="125" a="1"/>
  <c r="P63" i="125" a="1"/>
  <c r="Y62" i="125" a="1"/>
  <c r="D62" i="125" a="1"/>
  <c r="L61" i="125" a="1"/>
  <c r="W60" i="125" a="1"/>
  <c r="C60" i="125" a="1"/>
  <c r="K59" i="125" a="1"/>
  <c r="V54" i="125" a="1"/>
  <c r="AE53" i="125" a="1"/>
  <c r="J53" i="125" a="1"/>
  <c r="R52" i="125" a="1"/>
  <c r="AC51" i="125" a="1"/>
  <c r="I51" i="125" a="1"/>
  <c r="Q50" i="125" a="1"/>
  <c r="AB49" i="125" a="1"/>
  <c r="G49" i="125" a="1"/>
  <c r="P48" i="125" a="1"/>
  <c r="AB47" i="125" a="1"/>
  <c r="J47" i="125" a="1"/>
  <c r="V46" i="125" a="1"/>
  <c r="D46" i="125" a="1"/>
  <c r="Q45" i="125" a="1"/>
  <c r="AD44" i="125" a="1"/>
  <c r="O44" i="125" a="1"/>
  <c r="AC43" i="125" a="1"/>
  <c r="L43" i="125" a="1"/>
  <c r="AA42" i="125" a="1"/>
  <c r="K42" i="125" a="1"/>
  <c r="AB41" i="125" a="1"/>
  <c r="O41" i="125" a="1"/>
  <c r="AF40" i="125" a="1"/>
  <c r="S40" i="125" a="1"/>
  <c r="F40" i="125" a="1"/>
  <c r="W39" i="125" a="1"/>
  <c r="J39" i="125" a="1"/>
  <c r="AB38" i="125" a="1"/>
  <c r="P38" i="125" a="1"/>
  <c r="D38" i="125" a="1"/>
  <c r="V35" i="125" a="1"/>
  <c r="J35" i="125" a="1"/>
  <c r="AB34" i="125" a="1"/>
  <c r="P34" i="125" a="1"/>
  <c r="D34" i="125" a="1"/>
  <c r="V33" i="125" a="1"/>
  <c r="J33" i="125" a="1"/>
  <c r="AB32" i="125" a="1"/>
  <c r="P32" i="125" a="1"/>
  <c r="D32" i="125" a="1"/>
  <c r="V31" i="125" a="1"/>
  <c r="J31" i="125" a="1"/>
  <c r="AB30" i="125" a="1"/>
  <c r="P30" i="125" a="1"/>
  <c r="D30" i="125" a="1"/>
  <c r="V29" i="125" a="1"/>
  <c r="J29" i="125" a="1"/>
  <c r="AB28" i="125" a="1"/>
  <c r="P28" i="125" a="1"/>
  <c r="D28" i="125" a="1"/>
  <c r="V27" i="125" a="1"/>
  <c r="J27" i="125" a="1"/>
  <c r="AB26" i="125" a="1"/>
  <c r="P26" i="125" a="1"/>
  <c r="D26" i="125" a="1"/>
  <c r="V25" i="125" a="1"/>
  <c r="J25" i="125" a="1"/>
  <c r="AB24" i="125" a="1"/>
  <c r="P24" i="125" a="1"/>
  <c r="D24" i="125" a="1"/>
  <c r="V23" i="125" a="1"/>
  <c r="J23" i="125" a="1"/>
  <c r="AB22" i="125" a="1"/>
  <c r="P22" i="125" a="1"/>
  <c r="D22" i="125" a="1"/>
  <c r="V21" i="125" a="1"/>
  <c r="J21" i="125" a="1"/>
  <c r="AB20" i="125" a="1"/>
  <c r="P20" i="125" a="1"/>
  <c r="D20" i="125" a="1"/>
  <c r="V19" i="125" a="1"/>
  <c r="J19" i="125" a="1"/>
  <c r="AB18" i="125" a="1"/>
  <c r="AC92" i="125" a="1"/>
  <c r="Q88" i="125" a="1"/>
  <c r="E86" i="125" a="1"/>
  <c r="W83" i="125" a="1"/>
  <c r="K81" i="125" a="1"/>
  <c r="AC78" i="125" a="1"/>
  <c r="V77" i="125" a="1"/>
  <c r="P76" i="125" a="1"/>
  <c r="J75" i="125" a="1"/>
  <c r="D74" i="125" a="1"/>
  <c r="AB72" i="125" a="1"/>
  <c r="V71" i="125" a="1"/>
  <c r="P70" i="125" a="1"/>
  <c r="J69" i="125" a="1"/>
  <c r="D68" i="125" a="1"/>
  <c r="AB66" i="125" a="1"/>
  <c r="W65" i="125" a="1"/>
  <c r="AC64" i="125" a="1"/>
  <c r="E64" i="125" a="1"/>
  <c r="L63" i="125" a="1"/>
  <c r="W62" i="125" a="1"/>
  <c r="C62" i="125" a="1"/>
  <c r="K61" i="125" a="1"/>
  <c r="V60" i="125" a="1"/>
  <c r="AE59" i="125" a="1"/>
  <c r="J59" i="125" a="1"/>
  <c r="R54" i="125" a="1"/>
  <c r="AC53" i="125" a="1"/>
  <c r="I53" i="125" a="1"/>
  <c r="Q52" i="125" a="1"/>
  <c r="AB51" i="125" a="1"/>
  <c r="G51" i="125" a="1"/>
  <c r="P50" i="125" a="1"/>
  <c r="X49" i="125" a="1"/>
  <c r="E49" i="125" a="1"/>
  <c r="O48" i="125" a="1"/>
  <c r="Z47" i="125" a="1"/>
  <c r="I47" i="125" a="1"/>
  <c r="T46" i="125" a="1"/>
  <c r="C46" i="125" a="1"/>
  <c r="P45" i="125" a="1"/>
  <c r="AC44" i="125" a="1"/>
  <c r="N44" i="125" a="1"/>
  <c r="AB43" i="125" a="1"/>
  <c r="K43" i="125" a="1"/>
  <c r="Z42" i="125" a="1"/>
  <c r="J42" i="125" a="1"/>
  <c r="AA41" i="125" a="1"/>
  <c r="N41" i="125" a="1"/>
  <c r="AE40" i="125" a="1"/>
  <c r="R40" i="125" a="1"/>
  <c r="E40" i="125" a="1"/>
  <c r="V39" i="125" a="1"/>
  <c r="I39" i="125" a="1"/>
  <c r="AA38" i="125" a="1"/>
  <c r="O38" i="125" a="1"/>
  <c r="C38" i="125" a="1"/>
  <c r="U35" i="125" a="1"/>
  <c r="I35" i="125" a="1"/>
  <c r="AA34" i="125" a="1"/>
  <c r="O34" i="125" a="1"/>
  <c r="C34" i="125" a="1"/>
  <c r="U33" i="125" a="1"/>
  <c r="I33" i="125" a="1"/>
  <c r="AA32" i="125" a="1"/>
  <c r="O32" i="125" a="1"/>
  <c r="C32" i="125" a="1"/>
  <c r="U31" i="125" a="1"/>
  <c r="I31" i="125" a="1"/>
  <c r="AA30" i="125" a="1"/>
  <c r="O30" i="125" a="1"/>
  <c r="C30" i="125" a="1"/>
  <c r="U29" i="125" a="1"/>
  <c r="I29" i="125" a="1"/>
  <c r="AA28" i="125" a="1"/>
  <c r="O28" i="125" a="1"/>
  <c r="C28" i="125" a="1"/>
  <c r="U27" i="125" a="1"/>
  <c r="I27" i="125" a="1"/>
  <c r="AA26" i="125" a="1"/>
  <c r="O26" i="125" a="1"/>
  <c r="C26" i="125" a="1"/>
  <c r="U25" i="125" a="1"/>
  <c r="I25" i="125" a="1"/>
  <c r="AA24" i="125" a="1"/>
  <c r="O24" i="125" a="1"/>
  <c r="C24" i="125" a="1"/>
  <c r="U23" i="125" a="1"/>
  <c r="I23" i="125" a="1"/>
  <c r="AA22" i="125" a="1"/>
  <c r="O22" i="125" a="1"/>
  <c r="C22" i="125" a="1"/>
  <c r="U21" i="125" a="1"/>
  <c r="I21" i="125" a="1"/>
  <c r="AA20" i="125" a="1"/>
  <c r="O20" i="125" a="1"/>
  <c r="C20" i="125" a="1"/>
  <c r="U19" i="125" a="1"/>
  <c r="I19" i="125" a="1"/>
  <c r="AA18" i="125" a="1"/>
  <c r="O18" i="125" a="1"/>
  <c r="C18" i="125" a="1"/>
  <c r="U17" i="125" a="1"/>
  <c r="I17" i="125" a="1"/>
  <c r="AA16" i="125" a="1"/>
  <c r="O16" i="125" a="1"/>
  <c r="C16" i="125" a="1"/>
  <c r="U15" i="125" a="1"/>
  <c r="I15" i="125" a="1"/>
  <c r="AA14" i="125" a="1"/>
  <c r="O14" i="125" a="1"/>
  <c r="C14" i="125" a="1"/>
  <c r="U13" i="125" a="1"/>
  <c r="I13" i="125" a="1"/>
  <c r="AB92" i="125" a="1"/>
  <c r="P88" i="125" a="1"/>
  <c r="D86" i="125" a="1"/>
  <c r="V83" i="125" a="1"/>
  <c r="J81" i="125" a="1"/>
  <c r="AB78" i="125" a="1"/>
  <c r="U77" i="125" a="1"/>
  <c r="O76" i="125" a="1"/>
  <c r="I75" i="125" a="1"/>
  <c r="C74" i="125" a="1"/>
  <c r="AA72" i="125" a="1"/>
  <c r="U71" i="125" a="1"/>
  <c r="O70" i="125" a="1"/>
  <c r="I69" i="125" a="1"/>
  <c r="C68" i="125" a="1"/>
  <c r="AA66" i="125" a="1"/>
  <c r="V65" i="125" a="1"/>
  <c r="AB64" i="125" a="1"/>
  <c r="D64" i="125" a="1"/>
  <c r="K63" i="125" a="1"/>
  <c r="V62" i="125" a="1"/>
  <c r="AE61" i="125" a="1"/>
  <c r="J61" i="125" a="1"/>
  <c r="R60" i="125" a="1"/>
  <c r="AC59" i="125" a="1"/>
  <c r="I59" i="125" a="1"/>
  <c r="Q54" i="125" a="1"/>
  <c r="AB53" i="125" a="1"/>
  <c r="G53" i="125" a="1"/>
  <c r="P52" i="125" a="1"/>
  <c r="X51" i="125" a="1"/>
  <c r="E51" i="125" a="1"/>
  <c r="O50" i="125" a="1"/>
  <c r="W49" i="125" a="1"/>
  <c r="D49" i="125" a="1"/>
  <c r="M48" i="125" a="1"/>
  <c r="X47" i="125" a="1"/>
  <c r="G47" i="125" a="1"/>
  <c r="R46" i="125" a="1"/>
  <c r="AE45" i="125" a="1"/>
  <c r="N45" i="125" a="1"/>
  <c r="AB44" i="125" a="1"/>
  <c r="M44" i="125" a="1"/>
  <c r="Z43" i="125" a="1"/>
  <c r="J43" i="125" a="1"/>
  <c r="Y42" i="125" a="1"/>
  <c r="I42" i="125" a="1"/>
  <c r="Z41" i="125" a="1"/>
  <c r="M41" i="125" a="1"/>
  <c r="AD40" i="125" a="1"/>
  <c r="Q40" i="125" a="1"/>
  <c r="D40" i="125" a="1"/>
  <c r="U39" i="125" a="1"/>
  <c r="H39" i="125" a="1"/>
  <c r="Z38" i="125" a="1"/>
  <c r="N38" i="125" a="1"/>
  <c r="AF35" i="125" a="1"/>
  <c r="T35" i="125" a="1"/>
  <c r="H35" i="125" a="1"/>
  <c r="Z34" i="125" a="1"/>
  <c r="N34" i="125" a="1"/>
  <c r="AF33" i="125" a="1"/>
  <c r="T33" i="125" a="1"/>
  <c r="H33" i="125" a="1"/>
  <c r="Z32" i="125" a="1"/>
  <c r="N32" i="125" a="1"/>
  <c r="AF31" i="125" a="1"/>
  <c r="T31" i="125" a="1"/>
  <c r="H31" i="125" a="1"/>
  <c r="Z30" i="125" a="1"/>
  <c r="N30" i="125" a="1"/>
  <c r="AF29" i="125" a="1"/>
  <c r="T29" i="125" a="1"/>
  <c r="H29" i="125" a="1"/>
  <c r="Z28" i="125" a="1"/>
  <c r="N28" i="125" a="1"/>
  <c r="AF27" i="125" a="1"/>
  <c r="T27" i="125" a="1"/>
  <c r="H27" i="125" a="1"/>
  <c r="Z26" i="125" a="1"/>
  <c r="N26" i="125" a="1"/>
  <c r="AF25" i="125" a="1"/>
  <c r="T25" i="125" a="1"/>
  <c r="H25" i="125" a="1"/>
  <c r="Z24" i="125" a="1"/>
  <c r="N24" i="125" a="1"/>
  <c r="AF23" i="125" a="1"/>
  <c r="T23" i="125" a="1"/>
  <c r="H23" i="125" a="1"/>
  <c r="Z22" i="125" a="1"/>
  <c r="N22" i="125" a="1"/>
  <c r="AF21" i="125" a="1"/>
  <c r="T21" i="125" a="1"/>
  <c r="H21" i="125" a="1"/>
  <c r="Z20" i="125" a="1"/>
  <c r="N20" i="125" a="1"/>
  <c r="AF19" i="125" a="1"/>
  <c r="T19" i="125" a="1"/>
  <c r="H19" i="125" a="1"/>
  <c r="Z18" i="125" a="1"/>
  <c r="N18" i="125" a="1"/>
  <c r="AF17" i="125" a="1"/>
  <c r="T17" i="125" a="1"/>
  <c r="H17" i="125" a="1"/>
  <c r="Z16" i="125" a="1"/>
  <c r="N16" i="125" a="1"/>
  <c r="AF15" i="125" a="1"/>
  <c r="T15" i="125" a="1"/>
  <c r="H15" i="125" a="1"/>
  <c r="Z14" i="125" a="1"/>
  <c r="N14" i="125" a="1"/>
  <c r="AF13" i="125" a="1"/>
  <c r="T13" i="125" a="1"/>
  <c r="H13" i="125" a="1"/>
  <c r="Z12" i="125" a="1"/>
  <c r="N12" i="125" a="1"/>
  <c r="AF11" i="125" a="1"/>
  <c r="T11" i="125" a="1"/>
  <c r="H11" i="125" a="1"/>
  <c r="Z10" i="125" a="1"/>
  <c r="N10" i="125" a="1"/>
  <c r="AF9" i="125" a="1"/>
  <c r="T9" i="125" a="1"/>
  <c r="H9" i="125" a="1"/>
  <c r="Z8" i="125" a="1"/>
  <c r="N8" i="125" a="1"/>
  <c r="AF7" i="125" a="1"/>
  <c r="T7" i="125" a="1"/>
  <c r="AC94" i="125" a="1"/>
  <c r="Q92" i="125" a="1"/>
  <c r="E88" i="125" a="1"/>
  <c r="W85" i="125" a="1"/>
  <c r="K83" i="125" a="1"/>
  <c r="AC80" i="125" a="1"/>
  <c r="V78" i="125" a="1"/>
  <c r="P77" i="125" a="1"/>
  <c r="J76" i="125" a="1"/>
  <c r="D75" i="125" a="1"/>
  <c r="AB73" i="125" a="1"/>
  <c r="V72" i="125" a="1"/>
  <c r="P71" i="125" a="1"/>
  <c r="J70" i="125" a="1"/>
  <c r="D69" i="125" a="1"/>
  <c r="AB67" i="125" a="1"/>
  <c r="V66" i="125" a="1"/>
  <c r="U65" i="125" a="1"/>
  <c r="AA64" i="125" a="1"/>
  <c r="C64" i="125" a="1"/>
  <c r="J63" i="125" a="1"/>
  <c r="R62" i="125" a="1"/>
  <c r="AC61" i="125" a="1"/>
  <c r="I61" i="125" a="1"/>
  <c r="AB94" i="125" a="1"/>
  <c r="P92" i="125" a="1"/>
  <c r="D88" i="125" a="1"/>
  <c r="V85" i="125" a="1"/>
  <c r="J83" i="125" a="1"/>
  <c r="AB80" i="125" a="1"/>
  <c r="Q78" i="125" a="1"/>
  <c r="K77" i="125" a="1"/>
  <c r="E76" i="125" a="1"/>
  <c r="AC74" i="125" a="1"/>
  <c r="W73" i="125" a="1"/>
  <c r="Q72" i="125" a="1"/>
  <c r="K71" i="125" a="1"/>
  <c r="E70" i="125" a="1"/>
  <c r="AC68" i="125" a="1"/>
  <c r="W67" i="125" a="1"/>
  <c r="Q66" i="125" a="1"/>
  <c r="S65" i="125" a="1"/>
  <c r="Y64" i="125" a="1"/>
  <c r="AE63" i="125" a="1"/>
  <c r="I63" i="125" a="1"/>
  <c r="Q62" i="125" a="1"/>
  <c r="AB61" i="125" a="1"/>
  <c r="G61" i="125" a="1"/>
  <c r="P60" i="125" a="1"/>
  <c r="X59" i="125" a="1"/>
  <c r="E59" i="125" a="1"/>
  <c r="O54" i="125" a="1"/>
  <c r="W53" i="125" a="1"/>
  <c r="D53" i="125" a="1"/>
  <c r="M52" i="125" a="1"/>
  <c r="V51" i="125" a="1"/>
  <c r="AD50" i="125" a="1"/>
  <c r="K50" i="125" a="1"/>
  <c r="U49" i="125" a="1"/>
  <c r="AC48" i="125" a="1"/>
  <c r="J48" i="125" a="1"/>
  <c r="V47" i="125" a="1"/>
  <c r="D47" i="125" a="1"/>
  <c r="P46" i="125" a="1"/>
  <c r="AB45" i="125" a="1"/>
  <c r="K45" i="125" a="1"/>
  <c r="Z44" i="125" a="1"/>
  <c r="J44" i="125" a="1"/>
  <c r="W43" i="125" a="1"/>
  <c r="H43" i="125" a="1"/>
  <c r="V42" i="125" a="1"/>
  <c r="G42" i="125" a="1"/>
  <c r="X41" i="125" a="1"/>
  <c r="K41" i="125" a="1"/>
  <c r="AB40" i="125" a="1"/>
  <c r="O40" i="125" a="1"/>
  <c r="AF39" i="125" a="1"/>
  <c r="S39" i="125" a="1"/>
  <c r="F39" i="125" a="1"/>
  <c r="X38" i="125" a="1"/>
  <c r="L38" i="125" a="1"/>
  <c r="AD35" i="125" a="1"/>
  <c r="R35" i="125" a="1"/>
  <c r="F35" i="125" a="1"/>
  <c r="X34" i="125" a="1"/>
  <c r="L34" i="125" a="1"/>
  <c r="AD33" i="125" a="1"/>
  <c r="R33" i="125" a="1"/>
  <c r="F33" i="125" a="1"/>
  <c r="X32" i="125" a="1"/>
  <c r="L32" i="125" a="1"/>
  <c r="AD31" i="125" a="1"/>
  <c r="R31" i="125" a="1"/>
  <c r="F31" i="125" a="1"/>
  <c r="X30" i="125" a="1"/>
  <c r="L30" i="125" a="1"/>
  <c r="AD29" i="125" a="1"/>
  <c r="R29" i="125" a="1"/>
  <c r="F29" i="125" a="1"/>
  <c r="X28" i="125" a="1"/>
  <c r="L28" i="125" a="1"/>
  <c r="AD27" i="125" a="1"/>
  <c r="R27" i="125" a="1"/>
  <c r="F27" i="125" a="1"/>
  <c r="X26" i="125" a="1"/>
  <c r="L26" i="125" a="1"/>
  <c r="AD25" i="125" a="1"/>
  <c r="R25" i="125" a="1"/>
  <c r="F25" i="125" a="1"/>
  <c r="X24" i="125" a="1"/>
  <c r="L24" i="125" a="1"/>
  <c r="AD23" i="125" a="1"/>
  <c r="R23" i="125" a="1"/>
  <c r="F23" i="125" a="1"/>
  <c r="X22" i="125" a="1"/>
  <c r="L22" i="125" a="1"/>
  <c r="AD21" i="125" a="1"/>
  <c r="R21" i="125" a="1"/>
  <c r="F21" i="125" a="1"/>
  <c r="X20" i="125" a="1"/>
  <c r="L20" i="125" a="1"/>
  <c r="AD19" i="125" a="1"/>
  <c r="R19" i="125" a="1"/>
  <c r="F19" i="125" a="1"/>
  <c r="X18" i="125" a="1"/>
  <c r="L18" i="125" a="1"/>
  <c r="AD17" i="125" a="1"/>
  <c r="R17" i="125" a="1"/>
  <c r="F17" i="125" a="1"/>
  <c r="X16" i="125" a="1"/>
  <c r="L16" i="125" a="1"/>
  <c r="AD15" i="125" a="1"/>
  <c r="R15" i="125" a="1"/>
  <c r="F15" i="125" a="1"/>
  <c r="X14" i="125" a="1"/>
  <c r="L14" i="125" a="1"/>
  <c r="AD13" i="125" a="1"/>
  <c r="R13" i="125" a="1"/>
  <c r="F13" i="125" a="1"/>
  <c r="Q94" i="125" a="1"/>
  <c r="E92" i="125" a="1"/>
  <c r="W87" i="125" a="1"/>
  <c r="K85" i="125" a="1"/>
  <c r="AC82" i="125" a="1"/>
  <c r="Q80" i="125" a="1"/>
  <c r="P78" i="125" a="1"/>
  <c r="J77" i="125" a="1"/>
  <c r="D76" i="125" a="1"/>
  <c r="AB74" i="125" a="1"/>
  <c r="V73" i="125" a="1"/>
  <c r="P72" i="125" a="1"/>
  <c r="J71" i="125" a="1"/>
  <c r="D70" i="125" a="1"/>
  <c r="AB68" i="125" a="1"/>
  <c r="V67" i="125" a="1"/>
  <c r="P66" i="125" a="1"/>
  <c r="Q65" i="125" a="1"/>
  <c r="W64" i="125" a="1"/>
  <c r="AC63" i="125" a="1"/>
  <c r="G63" i="125" a="1"/>
  <c r="P62" i="125" a="1"/>
  <c r="X61" i="125" a="1"/>
  <c r="E61" i="125" a="1"/>
  <c r="O60" i="125" a="1"/>
  <c r="W59" i="125" a="1"/>
  <c r="D59" i="125" a="1"/>
  <c r="M54" i="125" a="1"/>
  <c r="V53" i="125" a="1"/>
  <c r="AD52" i="125" a="1"/>
  <c r="K52" i="125" a="1"/>
  <c r="U51" i="125" a="1"/>
  <c r="AC50" i="125" a="1"/>
  <c r="J50" i="125" a="1"/>
  <c r="S49" i="125" a="1"/>
  <c r="AB48" i="125" a="1"/>
  <c r="H48" i="125" a="1"/>
  <c r="U47" i="125" a="1"/>
  <c r="AF46" i="125" a="1"/>
  <c r="O46" i="125" a="1"/>
  <c r="Z45" i="125" a="1"/>
  <c r="J45" i="125" a="1"/>
  <c r="Y44" i="125" a="1"/>
  <c r="H44" i="125" a="1"/>
  <c r="V43" i="125" a="1"/>
  <c r="G43" i="125" a="1"/>
  <c r="T42" i="125" a="1"/>
  <c r="F42" i="125" a="1"/>
  <c r="W41" i="125" a="1"/>
  <c r="J41" i="125" a="1"/>
  <c r="AA40" i="125" a="1"/>
  <c r="N40" i="125" a="1"/>
  <c r="AE39" i="125" a="1"/>
  <c r="Q39" i="125" a="1"/>
  <c r="E39" i="125" a="1"/>
  <c r="W38" i="125" a="1"/>
  <c r="K38" i="125" a="1"/>
  <c r="AC35" i="125" a="1"/>
  <c r="Q35" i="125" a="1"/>
  <c r="E35" i="125" a="1"/>
  <c r="W34" i="125" a="1"/>
  <c r="K34" i="125" a="1"/>
  <c r="AC33" i="125" a="1"/>
  <c r="Q33" i="125" a="1"/>
  <c r="E33" i="125" a="1"/>
  <c r="W32" i="125" a="1"/>
  <c r="K32" i="125" a="1"/>
  <c r="AC31" i="125" a="1"/>
  <c r="Q31" i="125" a="1"/>
  <c r="E31" i="125" a="1"/>
  <c r="W30" i="125" a="1"/>
  <c r="K30" i="125" a="1"/>
  <c r="AC29" i="125" a="1"/>
  <c r="Q29" i="125" a="1"/>
  <c r="E29" i="125" a="1"/>
  <c r="W28" i="125" a="1"/>
  <c r="K28" i="125" a="1"/>
  <c r="AC27" i="125" a="1"/>
  <c r="Q27" i="125" a="1"/>
  <c r="E27" i="125" a="1"/>
  <c r="W26" i="125" a="1"/>
  <c r="K26" i="125" a="1"/>
  <c r="AC25" i="125" a="1"/>
  <c r="Q25" i="125" a="1"/>
  <c r="E25" i="125" a="1"/>
  <c r="W24" i="125" a="1"/>
  <c r="K24" i="125" a="1"/>
  <c r="AC23" i="125" a="1"/>
  <c r="Q23" i="125" a="1"/>
  <c r="E23" i="125" a="1"/>
  <c r="W22" i="125" a="1"/>
  <c r="K22" i="125" a="1"/>
  <c r="AC21" i="125" a="1"/>
  <c r="Q21" i="125" a="1"/>
  <c r="E21" i="125" a="1"/>
  <c r="W20" i="125" a="1"/>
  <c r="K20" i="125" a="1"/>
  <c r="AC19" i="125" a="1"/>
  <c r="Q19" i="125" a="1"/>
  <c r="E19" i="125" a="1"/>
  <c r="W18" i="125" a="1"/>
  <c r="K18" i="125" a="1"/>
  <c r="AC17" i="125" a="1"/>
  <c r="Q17" i="125" a="1"/>
  <c r="E17" i="125" a="1"/>
  <c r="W16" i="125" a="1"/>
  <c r="K16" i="125" a="1"/>
  <c r="AC15" i="125" a="1"/>
  <c r="Q15" i="125" a="1"/>
  <c r="E15" i="125" a="1"/>
  <c r="W14" i="125" a="1"/>
  <c r="K14" i="125" a="1"/>
  <c r="AC13" i="125" a="1"/>
  <c r="Q13" i="125" a="1"/>
  <c r="E13" i="125" a="1"/>
  <c r="W12" i="125" a="1"/>
  <c r="K12" i="125" a="1"/>
  <c r="AC11" i="125" a="1"/>
  <c r="Q11" i="125" a="1"/>
  <c r="E11" i="125" a="1"/>
  <c r="W10" i="125" a="1"/>
  <c r="K10" i="125" a="1"/>
  <c r="AC9" i="125" a="1"/>
  <c r="Q9" i="125" a="1"/>
  <c r="E9" i="125" a="1"/>
  <c r="W8" i="125" a="1"/>
  <c r="K8" i="125" a="1"/>
  <c r="P94" i="125" a="1"/>
  <c r="D92" i="125" a="1"/>
  <c r="V87" i="125" a="1"/>
  <c r="J85" i="125" a="1"/>
  <c r="AB82" i="125" a="1"/>
  <c r="P80" i="125" a="1"/>
  <c r="O78" i="125" a="1"/>
  <c r="I77" i="125" a="1"/>
  <c r="C76" i="125" a="1"/>
  <c r="AA74" i="125" a="1"/>
  <c r="U73" i="125" a="1"/>
  <c r="O72" i="125" a="1"/>
  <c r="I71" i="125" a="1"/>
  <c r="C70" i="125" a="1"/>
  <c r="AA68" i="125" a="1"/>
  <c r="U67" i="125" a="1"/>
  <c r="O66" i="125" a="1"/>
  <c r="P65" i="125" a="1"/>
  <c r="V64" i="125" a="1"/>
  <c r="AB63" i="125" a="1"/>
  <c r="E63" i="125" a="1"/>
  <c r="O62" i="125" a="1"/>
  <c r="W61" i="125" a="1"/>
  <c r="D61" i="125" a="1"/>
  <c r="M60" i="125" a="1"/>
  <c r="V59" i="125" a="1"/>
  <c r="AD54" i="125" a="1"/>
  <c r="K54" i="125" a="1"/>
  <c r="U53" i="125" a="1"/>
  <c r="AC52" i="125" a="1"/>
  <c r="J52" i="125" a="1"/>
  <c r="S51" i="125" a="1"/>
  <c r="AB50" i="125" a="1"/>
  <c r="F50" i="125" a="1"/>
  <c r="Q49" i="125" a="1"/>
  <c r="AA48" i="125" a="1"/>
  <c r="F48" i="125" a="1"/>
  <c r="S47" i="125" a="1"/>
  <c r="AD46" i="125" a="1"/>
  <c r="M46" i="125" a="1"/>
  <c r="X45" i="125" a="1"/>
  <c r="I45" i="125" a="1"/>
  <c r="W44" i="125" a="1"/>
  <c r="F44" i="125" a="1"/>
  <c r="U43" i="125" a="1"/>
  <c r="E43" i="125" a="1"/>
  <c r="R42" i="125" a="1"/>
  <c r="E42" i="125" a="1"/>
  <c r="V41" i="125" a="1"/>
  <c r="I41" i="125" a="1"/>
  <c r="Z40" i="125" a="1"/>
  <c r="M40" i="125" a="1"/>
  <c r="AC39" i="125" a="1"/>
  <c r="P39" i="125" a="1"/>
  <c r="D39" i="125" a="1"/>
  <c r="V38" i="125" a="1"/>
  <c r="J38" i="125" a="1"/>
  <c r="AB35" i="125" a="1"/>
  <c r="P35" i="125" a="1"/>
  <c r="E94" i="125" a="1"/>
  <c r="W91" i="125" a="1"/>
  <c r="K87" i="125" a="1"/>
  <c r="AC84" i="125" a="1"/>
  <c r="Q82" i="125" a="1"/>
  <c r="E80" i="125" a="1"/>
  <c r="J78" i="125" a="1"/>
  <c r="D77" i="125" a="1"/>
  <c r="AB75" i="125" a="1"/>
  <c r="V74" i="125" a="1"/>
  <c r="P73" i="125" a="1"/>
  <c r="J72" i="125" a="1"/>
  <c r="D71" i="125" a="1"/>
  <c r="AB69" i="125" a="1"/>
  <c r="V68" i="125" a="1"/>
  <c r="P67" i="125" a="1"/>
  <c r="J66" i="125" a="1"/>
  <c r="K65" i="125" a="1"/>
  <c r="Q64" i="125" a="1"/>
  <c r="W63" i="125" a="1"/>
  <c r="D63" i="125" a="1"/>
  <c r="M62" i="125" a="1"/>
  <c r="V61" i="125" a="1"/>
  <c r="AD60" i="125" a="1"/>
  <c r="K60" i="125" a="1"/>
  <c r="U59" i="125" a="1"/>
  <c r="AC54" i="125" a="1"/>
  <c r="J54" i="125" a="1"/>
  <c r="S53" i="125" a="1"/>
  <c r="AB52" i="125" a="1"/>
  <c r="F52" i="125" a="1"/>
  <c r="Q51" i="125" a="1"/>
  <c r="AA50" i="125" a="1"/>
  <c r="E50" i="125" a="1"/>
  <c r="P49" i="125" a="1"/>
  <c r="Y48" i="125" a="1"/>
  <c r="E48" i="125" a="1"/>
  <c r="Q47" i="125" a="1"/>
  <c r="AC46" i="125" a="1"/>
  <c r="K46" i="125" a="1"/>
  <c r="W45" i="125" a="1"/>
  <c r="H45" i="125" a="1"/>
  <c r="V44" i="125" a="1"/>
  <c r="E44" i="125" a="1"/>
  <c r="T43" i="125" a="1"/>
  <c r="D43" i="125" a="1"/>
  <c r="Q42" i="125" a="1"/>
  <c r="D42" i="125" a="1"/>
  <c r="U41" i="125" a="1"/>
  <c r="H41" i="125" a="1"/>
  <c r="Y40" i="125" a="1"/>
  <c r="K40" i="125" a="1"/>
  <c r="AB39" i="125" a="1"/>
  <c r="O39" i="125" a="1"/>
  <c r="C39" i="125" a="1"/>
  <c r="U38" i="125" a="1"/>
  <c r="I38" i="125" a="1"/>
  <c r="AA35" i="125" a="1"/>
  <c r="O35" i="125" a="1"/>
  <c r="C35" i="125" a="1"/>
  <c r="U34" i="125" a="1"/>
  <c r="I34" i="125" a="1"/>
  <c r="AA33" i="125" a="1"/>
  <c r="O33" i="125" a="1"/>
  <c r="C33" i="125" a="1"/>
  <c r="U32" i="125" a="1"/>
  <c r="I32" i="125" a="1"/>
  <c r="AA31" i="125" a="1"/>
  <c r="O31" i="125" a="1"/>
  <c r="C31" i="125" a="1"/>
  <c r="U30" i="125" a="1"/>
  <c r="I30" i="125" a="1"/>
  <c r="AA29" i="125" a="1"/>
  <c r="O29" i="125" a="1"/>
  <c r="C29" i="125" a="1"/>
  <c r="U28" i="125" a="1"/>
  <c r="I28" i="125" a="1"/>
  <c r="AA27" i="125" a="1"/>
  <c r="D94" i="125" a="1"/>
  <c r="V91" i="125" a="1"/>
  <c r="J87" i="125" a="1"/>
  <c r="AB84" i="125" a="1"/>
  <c r="P82" i="125" a="1"/>
  <c r="D80" i="125" a="1"/>
  <c r="E78" i="125" a="1"/>
  <c r="AC76" i="125" a="1"/>
  <c r="W75" i="125" a="1"/>
  <c r="Q74" i="125" a="1"/>
  <c r="K73" i="125" a="1"/>
  <c r="E72" i="125" a="1"/>
  <c r="AC70" i="125" a="1"/>
  <c r="W69" i="125" a="1"/>
  <c r="Q68" i="125" a="1"/>
  <c r="K67" i="125" a="1"/>
  <c r="E66" i="125" a="1"/>
  <c r="J65" i="125" a="1"/>
  <c r="P64" i="125" a="1"/>
  <c r="V63" i="125" a="1"/>
  <c r="AD62" i="125" a="1"/>
  <c r="K62" i="125" a="1"/>
  <c r="U61" i="125" a="1"/>
  <c r="AC60" i="125" a="1"/>
  <c r="J60" i="125" a="1"/>
  <c r="S59" i="125" a="1"/>
  <c r="AB54" i="125" a="1"/>
  <c r="F54" i="125" a="1"/>
  <c r="Q53" i="125" a="1"/>
  <c r="AA52" i="125" a="1"/>
  <c r="E52" i="125" a="1"/>
  <c r="P51" i="125" a="1"/>
  <c r="Y50" i="125" a="1"/>
  <c r="D50" i="125" a="1"/>
  <c r="L49" i="125" a="1"/>
  <c r="W48" i="125" a="1"/>
  <c r="D48" i="125" a="1"/>
  <c r="P47" i="125" a="1"/>
  <c r="AB46" i="125" a="1"/>
  <c r="J46" i="125" a="1"/>
  <c r="V45" i="125" a="1"/>
  <c r="G45" i="125" a="1"/>
  <c r="T44" i="125" a="1"/>
  <c r="D44" i="125" a="1"/>
  <c r="S43" i="125" a="1"/>
  <c r="AF42" i="125" a="1"/>
  <c r="P42" i="125" a="1"/>
  <c r="C42" i="125" a="1"/>
  <c r="T41" i="125" a="1"/>
  <c r="G41" i="125" a="1"/>
  <c r="W40" i="125" a="1"/>
  <c r="J40" i="125" a="1"/>
  <c r="AA39" i="125" a="1"/>
  <c r="N39" i="125" a="1"/>
  <c r="AF38" i="125" a="1"/>
  <c r="T38" i="125" a="1"/>
  <c r="H38" i="125" a="1"/>
  <c r="Z35" i="125" a="1"/>
  <c r="W93" i="125" a="1"/>
  <c r="K91" i="125" a="1"/>
  <c r="AC86" i="125" a="1"/>
  <c r="Q84" i="125" a="1"/>
  <c r="E82" i="125" a="1"/>
  <c r="W79" i="125" a="1"/>
  <c r="D78" i="125" a="1"/>
  <c r="AB76" i="125" a="1"/>
  <c r="V75" i="125" a="1"/>
  <c r="P74" i="125" a="1"/>
  <c r="J73" i="125" a="1"/>
  <c r="D72" i="125" a="1"/>
  <c r="AB70" i="125" a="1"/>
  <c r="V69" i="125" a="1"/>
  <c r="P68" i="125" a="1"/>
  <c r="J67" i="125" a="1"/>
  <c r="D66" i="125" a="1"/>
  <c r="I65" i="125" a="1"/>
  <c r="O64" i="125" a="1"/>
  <c r="U63" i="125" a="1"/>
  <c r="AC62" i="125" a="1"/>
  <c r="J62" i="125" a="1"/>
  <c r="S61" i="125" a="1"/>
  <c r="AB60" i="125" a="1"/>
  <c r="F60" i="125" a="1"/>
  <c r="Q59" i="125" a="1"/>
  <c r="AA54" i="125" a="1"/>
  <c r="E54" i="125" a="1"/>
  <c r="P53" i="125" a="1"/>
  <c r="Y52" i="125" a="1"/>
  <c r="D52" i="125" a="1"/>
  <c r="L51" i="125" a="1"/>
  <c r="W50" i="125" a="1"/>
  <c r="C50" i="125" a="1"/>
  <c r="K49" i="125" a="1"/>
  <c r="V48" i="125" a="1"/>
  <c r="C48" i="125" a="1"/>
  <c r="N47" i="125" a="1"/>
  <c r="AA46" i="125" a="1"/>
  <c r="H46" i="125" a="1"/>
  <c r="U45" i="125" a="1"/>
  <c r="E45" i="125" a="1"/>
  <c r="K79" i="125" a="1"/>
  <c r="AB71" i="125" a="1"/>
  <c r="E65" i="125" a="1"/>
  <c r="Y60" i="125" a="1"/>
  <c r="C54" i="125" a="1"/>
  <c r="J51" i="125" a="1"/>
  <c r="Q48" i="125" a="1"/>
  <c r="E46" i="125" a="1"/>
  <c r="C44" i="125" a="1"/>
  <c r="O42" i="125" a="1"/>
  <c r="E41" i="125" a="1"/>
  <c r="Z39" i="125" a="1"/>
  <c r="S38" i="125" a="1"/>
  <c r="N35" i="125" a="1"/>
  <c r="T34" i="125" a="1"/>
  <c r="Z33" i="125" a="1"/>
  <c r="AF32" i="125" a="1"/>
  <c r="H32" i="125" a="1"/>
  <c r="N31" i="125" a="1"/>
  <c r="T30" i="125" a="1"/>
  <c r="Z29" i="125" a="1"/>
  <c r="AF28" i="125" a="1"/>
  <c r="H28" i="125" a="1"/>
  <c r="O27" i="125" a="1"/>
  <c r="Y26" i="125" a="1"/>
  <c r="F26" i="125" a="1"/>
  <c r="N25" i="125" a="1"/>
  <c r="V24" i="125" a="1"/>
  <c r="E24" i="125" a="1"/>
  <c r="M23" i="125" a="1"/>
  <c r="U22" i="125" a="1"/>
  <c r="AE21" i="125" a="1"/>
  <c r="L21" i="125" a="1"/>
  <c r="T20" i="125" a="1"/>
  <c r="AB19" i="125" a="1"/>
  <c r="K19" i="125" a="1"/>
  <c r="S18" i="125" a="1"/>
  <c r="AE17" i="125" a="1"/>
  <c r="M17" i="125" a="1"/>
  <c r="Y16" i="125" a="1"/>
  <c r="G16" i="125" a="1"/>
  <c r="S15" i="125" a="1"/>
  <c r="AE14" i="125" a="1"/>
  <c r="M14" i="125" a="1"/>
  <c r="Y13" i="125" a="1"/>
  <c r="G13" i="125" a="1"/>
  <c r="U12" i="125" a="1"/>
  <c r="G12" i="125" a="1"/>
  <c r="W11" i="125" a="1"/>
  <c r="I11" i="125" a="1"/>
  <c r="X10" i="125" a="1"/>
  <c r="I10" i="125" a="1"/>
  <c r="V93" i="125" a="1"/>
  <c r="C78" i="125" a="1"/>
  <c r="AA70" i="125" a="1"/>
  <c r="M64" i="125" a="1"/>
  <c r="Q60" i="125" a="1"/>
  <c r="X53" i="125" a="1"/>
  <c r="D51" i="125" a="1"/>
  <c r="K48" i="125" a="1"/>
  <c r="AC45" i="125" a="1"/>
  <c r="AF43" i="125" a="1"/>
  <c r="N42" i="125" a="1"/>
  <c r="D41" i="125" a="1"/>
  <c r="Y39" i="125" a="1"/>
  <c r="R38" i="125" a="1"/>
  <c r="M35" i="125" a="1"/>
  <c r="S34" i="125" a="1"/>
  <c r="Y33" i="125" a="1"/>
  <c r="AE32" i="125" a="1"/>
  <c r="G32" i="125" a="1"/>
  <c r="M31" i="125" a="1"/>
  <c r="S30" i="125" a="1"/>
  <c r="Y29" i="125" a="1"/>
  <c r="AE28" i="125" a="1"/>
  <c r="G28" i="125" a="1"/>
  <c r="N27" i="125" a="1"/>
  <c r="V26" i="125" a="1"/>
  <c r="E26" i="125" a="1"/>
  <c r="M25" i="125" a="1"/>
  <c r="U24" i="125" a="1"/>
  <c r="AE23" i="125" a="1"/>
  <c r="L23" i="125" a="1"/>
  <c r="T22" i="125" a="1"/>
  <c r="AB21" i="125" a="1"/>
  <c r="K21" i="125" a="1"/>
  <c r="S20" i="125" a="1"/>
  <c r="AA19" i="125" a="1"/>
  <c r="G19" i="125" a="1"/>
  <c r="R18" i="125" a="1"/>
  <c r="AB17" i="125" a="1"/>
  <c r="L17" i="125" a="1"/>
  <c r="V16" i="125" a="1"/>
  <c r="F16" i="125" a="1"/>
  <c r="P15" i="125" a="1"/>
  <c r="AD14" i="125" a="1"/>
  <c r="J14" i="125" a="1"/>
  <c r="X13" i="125" a="1"/>
  <c r="D13" i="125" a="1"/>
  <c r="T12" i="125" a="1"/>
  <c r="F12" i="125" a="1"/>
  <c r="V11" i="125" a="1"/>
  <c r="G11" i="125" a="1"/>
  <c r="V10" i="125" a="1"/>
  <c r="H10" i="125" a="1"/>
  <c r="X9" i="125" a="1"/>
  <c r="J9" i="125" a="1"/>
  <c r="Y8" i="125" a="1"/>
  <c r="J8" i="125" a="1"/>
  <c r="AA7" i="125" a="1"/>
  <c r="N7" i="125" a="1"/>
  <c r="AF6" i="125" a="1"/>
  <c r="T6" i="125" a="1"/>
  <c r="H6" i="125" a="1"/>
  <c r="Y5" i="125" a="1"/>
  <c r="M5" i="125" a="1"/>
  <c r="FG5" i="132" a="1"/>
  <c r="FS5" i="132" a="1"/>
  <c r="GE5" i="132" a="1"/>
  <c r="GQ5" i="132" a="1"/>
  <c r="HC5" i="132" a="1"/>
  <c r="FM6" i="132" a="1"/>
  <c r="FY6" i="132" a="1"/>
  <c r="GK6" i="132" a="1"/>
  <c r="GW6" i="132" a="1"/>
  <c r="FG7" i="132" a="1"/>
  <c r="FS7" i="132" a="1"/>
  <c r="GE7" i="132" a="1"/>
  <c r="GQ7" i="132" a="1"/>
  <c r="HC7" i="132" a="1"/>
  <c r="FM8" i="132" a="1"/>
  <c r="FY8" i="132" a="1"/>
  <c r="GK8" i="132" a="1"/>
  <c r="GW8" i="132" a="1"/>
  <c r="FG9" i="132" a="1"/>
  <c r="FS9" i="132" a="1"/>
  <c r="GE9" i="132" a="1"/>
  <c r="GQ9" i="132" a="1"/>
  <c r="HC9" i="132" a="1"/>
  <c r="FM11" i="132" a="1"/>
  <c r="FY11" i="132" a="1"/>
  <c r="GK11" i="132" a="1"/>
  <c r="GW11" i="132" a="1"/>
  <c r="FG12" i="132" a="1"/>
  <c r="FS12" i="132" a="1"/>
  <c r="GE12" i="132" a="1"/>
  <c r="GQ12" i="132" a="1"/>
  <c r="HC12" i="132" a="1"/>
  <c r="K93" i="125" a="1"/>
  <c r="AB77" i="125" a="1"/>
  <c r="V70" i="125" a="1"/>
  <c r="K64" i="125" a="1"/>
  <c r="E60" i="125" a="1"/>
  <c r="L53" i="125" a="1"/>
  <c r="V50" i="125" a="1"/>
  <c r="AE47" i="125" a="1"/>
  <c r="T45" i="125" a="1"/>
  <c r="AE43" i="125" a="1"/>
  <c r="M42" i="125" a="1"/>
  <c r="C41" i="125" a="1"/>
  <c r="X39" i="125" a="1"/>
  <c r="Q38" i="125" a="1"/>
  <c r="L35" i="125" a="1"/>
  <c r="R34" i="125" a="1"/>
  <c r="X33" i="125" a="1"/>
  <c r="AD32" i="125" a="1"/>
  <c r="F32" i="125" a="1"/>
  <c r="L31" i="125" a="1"/>
  <c r="R30" i="125" a="1"/>
  <c r="X29" i="125" a="1"/>
  <c r="AD28" i="125" a="1"/>
  <c r="F28" i="125" a="1"/>
  <c r="M27" i="125" a="1"/>
  <c r="U26" i="125" a="1"/>
  <c r="AE25" i="125" a="1"/>
  <c r="L25" i="125" a="1"/>
  <c r="T24" i="125" a="1"/>
  <c r="AB23" i="125" a="1"/>
  <c r="K23" i="125" a="1"/>
  <c r="S22" i="125" a="1"/>
  <c r="AA21" i="125" a="1"/>
  <c r="G21" i="125" a="1"/>
  <c r="R20" i="125" a="1"/>
  <c r="Z19" i="125" a="1"/>
  <c r="D19" i="125" a="1"/>
  <c r="Q18" i="125" a="1"/>
  <c r="AA17" i="125" a="1"/>
  <c r="K17" i="125" a="1"/>
  <c r="U16" i="125" a="1"/>
  <c r="E16" i="125" a="1"/>
  <c r="O15" i="125" a="1"/>
  <c r="AC14" i="125" a="1"/>
  <c r="I14" i="125" a="1"/>
  <c r="W13" i="125" a="1"/>
  <c r="C13" i="125" a="1"/>
  <c r="S12" i="125" a="1"/>
  <c r="E12" i="125" a="1"/>
  <c r="U11" i="125" a="1"/>
  <c r="F11" i="125" a="1"/>
  <c r="U10" i="125" a="1"/>
  <c r="G10" i="125" a="1"/>
  <c r="W9" i="125" a="1"/>
  <c r="I9" i="125" a="1"/>
  <c r="X8" i="125" a="1"/>
  <c r="I8" i="125" a="1"/>
  <c r="Z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D11" i="125" a="1"/>
  <c r="T10" i="125" a="1"/>
  <c r="F10" i="125" a="1"/>
  <c r="V9" i="125" a="1"/>
  <c r="G9" i="125" a="1"/>
  <c r="V8" i="125" a="1"/>
  <c r="H8" i="125" a="1"/>
  <c r="Y7" i="125" a="1"/>
  <c r="L7" i="125" a="1"/>
  <c r="AD6" i="125" a="1"/>
  <c r="R6" i="125" a="1"/>
  <c r="F6" i="125" a="1"/>
  <c r="W5" i="125" a="1"/>
  <c r="J91" i="125" a="1"/>
  <c r="AA76" i="125" a="1"/>
  <c r="U69" i="125" a="1"/>
  <c r="S63" i="125" a="1"/>
  <c r="D60" i="125" a="1"/>
  <c r="K53" i="125" a="1"/>
  <c r="R50" i="125" a="1"/>
  <c r="AC47" i="125" a="1"/>
  <c r="S45" i="125" a="1"/>
  <c r="X43" i="125" a="1"/>
  <c r="H42" i="125" a="1"/>
  <c r="AC40" i="125" a="1"/>
  <c r="T39" i="125" a="1"/>
  <c r="M38" i="125" a="1"/>
  <c r="K35" i="125" a="1"/>
  <c r="Q34" i="125" a="1"/>
  <c r="W33" i="125" a="1"/>
  <c r="AC32" i="125" a="1"/>
  <c r="E32" i="125" a="1"/>
  <c r="K31" i="125" a="1"/>
  <c r="Q30" i="125" a="1"/>
  <c r="W29" i="125" a="1"/>
  <c r="AC28" i="125" a="1"/>
  <c r="E28" i="125" a="1"/>
  <c r="L27" i="125" a="1"/>
  <c r="T26" i="125" a="1"/>
  <c r="AB25" i="125" a="1"/>
  <c r="K25" i="125" a="1"/>
  <c r="S24" i="125" a="1"/>
  <c r="AA23" i="125" a="1"/>
  <c r="G23" i="125" a="1"/>
  <c r="R22" i="125" a="1"/>
  <c r="Z21" i="125" a="1"/>
  <c r="D21" i="125" a="1"/>
  <c r="Q20" i="125" a="1"/>
  <c r="Y19" i="125" a="1"/>
  <c r="C19" i="125" a="1"/>
  <c r="P18" i="125" a="1"/>
  <c r="Z17" i="125" a="1"/>
  <c r="J17" i="125" a="1"/>
  <c r="T16" i="125" a="1"/>
  <c r="D16" i="125" a="1"/>
  <c r="N15" i="125" a="1"/>
  <c r="AB14" i="125" a="1"/>
  <c r="H14" i="125" a="1"/>
  <c r="V13" i="125" a="1"/>
  <c r="AF12" i="125" a="1"/>
  <c r="R12" i="125" a="1"/>
  <c r="D12" i="125" a="1"/>
  <c r="S11" i="125" a="1"/>
  <c r="AB86" i="125" a="1"/>
  <c r="U75" i="125" a="1"/>
  <c r="O68" i="125" a="1"/>
  <c r="AB62" i="125" a="1"/>
  <c r="P59" i="125" a="1"/>
  <c r="W52" i="125" a="1"/>
  <c r="AE49" i="125" a="1"/>
  <c r="L47" i="125" a="1"/>
  <c r="D45" i="125" a="1"/>
  <c r="P43" i="125" a="1"/>
  <c r="AE41" i="125" a="1"/>
  <c r="U40" i="125" a="1"/>
  <c r="L39" i="125" a="1"/>
  <c r="F38" i="125" a="1"/>
  <c r="D35" i="125" a="1"/>
  <c r="J34" i="125" a="1"/>
  <c r="P33" i="125" a="1"/>
  <c r="V32" i="125" a="1"/>
  <c r="AB31" i="125" a="1"/>
  <c r="D31" i="125" a="1"/>
  <c r="J30" i="125" a="1"/>
  <c r="P29" i="125" a="1"/>
  <c r="V28" i="125" a="1"/>
  <c r="AB27" i="125" a="1"/>
  <c r="G27" i="125" a="1"/>
  <c r="R26" i="125" a="1"/>
  <c r="Z25" i="125" a="1"/>
  <c r="D25" i="125" a="1"/>
  <c r="Q24" i="125" a="1"/>
  <c r="Y23" i="125" a="1"/>
  <c r="C23" i="125" a="1"/>
  <c r="M22" i="125" a="1"/>
  <c r="X21" i="125" a="1"/>
  <c r="AF20" i="125" a="1"/>
  <c r="J20" i="125" a="1"/>
  <c r="W19" i="125" a="1"/>
  <c r="AE18" i="125" a="1"/>
  <c r="J18" i="125" a="1"/>
  <c r="X17" i="125" a="1"/>
  <c r="D17" i="125" a="1"/>
  <c r="R16" i="125" a="1"/>
  <c r="AB15" i="125" a="1"/>
  <c r="L15" i="125" a="1"/>
  <c r="V14" i="125" a="1"/>
  <c r="F14" i="125" a="1"/>
  <c r="P13" i="125" a="1"/>
  <c r="AD12" i="125" a="1"/>
  <c r="P12" i="125" a="1"/>
  <c r="AE11" i="125" a="1"/>
  <c r="P11" i="125" a="1"/>
  <c r="AF10" i="125" a="1"/>
  <c r="R10" i="125" a="1"/>
  <c r="D10" i="125" a="1"/>
  <c r="S9" i="125" a="1"/>
  <c r="D9" i="125" a="1"/>
  <c r="T8" i="125" a="1"/>
  <c r="F8" i="125" a="1"/>
  <c r="W7" i="125" a="1"/>
  <c r="J7" i="125" a="1"/>
  <c r="AB6" i="125" a="1"/>
  <c r="P6" i="125" a="1"/>
  <c r="D6" i="125" a="1"/>
  <c r="U5" i="125" a="1"/>
  <c r="I5" i="125" a="1"/>
  <c r="FK5" i="132" a="1"/>
  <c r="FW5" i="132" a="1"/>
  <c r="GI5" i="132" a="1"/>
  <c r="GU5" i="132" a="1"/>
  <c r="HG5" i="132" a="1"/>
  <c r="FQ6" i="132" a="1"/>
  <c r="GC6" i="132" a="1"/>
  <c r="GO6" i="132" a="1"/>
  <c r="HA6" i="132" a="1"/>
  <c r="FK7" i="132" a="1"/>
  <c r="FW7" i="132" a="1"/>
  <c r="GI7" i="132" a="1"/>
  <c r="GU7" i="132" a="1"/>
  <c r="HG7" i="132" a="1"/>
  <c r="FQ8" i="132" a="1"/>
  <c r="GC8" i="132" a="1"/>
  <c r="GO8" i="132" a="1"/>
  <c r="HA8" i="132" a="1"/>
  <c r="FK9" i="132" a="1"/>
  <c r="FW9" i="132" a="1"/>
  <c r="GI9" i="132" a="1"/>
  <c r="GU9" i="132" a="1"/>
  <c r="HG9" i="132" a="1"/>
  <c r="FQ11" i="132" a="1"/>
  <c r="GC11" i="132" a="1"/>
  <c r="GO11" i="132" a="1"/>
  <c r="HA11" i="132" a="1"/>
  <c r="FK12" i="132" a="1"/>
  <c r="FW12" i="132" a="1"/>
  <c r="GI12" i="132" a="1"/>
  <c r="GU12" i="132" a="1"/>
  <c r="HG12" i="132" a="1"/>
  <c r="FQ13" i="132" a="1"/>
  <c r="GC13" i="132" a="1"/>
  <c r="GO13" i="132" a="1"/>
  <c r="HA13" i="132" a="1"/>
  <c r="FK14" i="132" a="1"/>
  <c r="FW14" i="132" a="1"/>
  <c r="GI14" i="132" a="1"/>
  <c r="GU14" i="132" a="1"/>
  <c r="HG14" i="132" a="1"/>
  <c r="FQ15" i="132" a="1"/>
  <c r="GC15" i="132" a="1"/>
  <c r="GO15" i="132" a="1"/>
  <c r="HA15" i="132" a="1"/>
  <c r="FK16" i="132" a="1"/>
  <c r="FW16" i="132" a="1"/>
  <c r="GI16" i="132" a="1"/>
  <c r="GU16" i="132" a="1"/>
  <c r="HG16" i="132" a="1"/>
  <c r="Q86" i="125" a="1"/>
  <c r="P75" i="125" a="1"/>
  <c r="J68" i="125" a="1"/>
  <c r="AA62" i="125" a="1"/>
  <c r="L59" i="125" a="1"/>
  <c r="V52" i="125" a="1"/>
  <c r="AC49" i="125" a="1"/>
  <c r="K47" i="125" a="1"/>
  <c r="AF44" i="125" a="1"/>
  <c r="N43" i="125" a="1"/>
  <c r="AC41" i="125" a="1"/>
  <c r="T40" i="125" a="1"/>
  <c r="K39" i="125" a="1"/>
  <c r="E38" i="125" a="1"/>
  <c r="AF34" i="125" a="1"/>
  <c r="H34" i="125" a="1"/>
  <c r="N33" i="125" a="1"/>
  <c r="T32" i="125" a="1"/>
  <c r="Z31" i="125" a="1"/>
  <c r="AF30" i="125" a="1"/>
  <c r="H30" i="125" a="1"/>
  <c r="N29" i="125" a="1"/>
  <c r="T28" i="125" a="1"/>
  <c r="Z27" i="125" a="1"/>
  <c r="D27" i="125" a="1"/>
  <c r="Q26" i="125" a="1"/>
  <c r="Y25" i="125" a="1"/>
  <c r="C25" i="125" a="1"/>
  <c r="M24" i="125" a="1"/>
  <c r="X23" i="125" a="1"/>
  <c r="AF22" i="125" a="1"/>
  <c r="J22" i="125" a="1"/>
  <c r="W21" i="125" a="1"/>
  <c r="AE20" i="125" a="1"/>
  <c r="I20" i="125" a="1"/>
  <c r="S19" i="125" a="1"/>
  <c r="AD18" i="125" a="1"/>
  <c r="I18" i="125" a="1"/>
  <c r="W17" i="125" a="1"/>
  <c r="C17" i="125" a="1"/>
  <c r="Q16" i="125" a="1"/>
  <c r="AA15" i="125" a="1"/>
  <c r="K15" i="125" a="1"/>
  <c r="U14" i="125" a="1"/>
  <c r="E14" i="125" a="1"/>
  <c r="O13" i="125" a="1"/>
  <c r="AC12" i="125" a="1"/>
  <c r="O12" i="125" a="1"/>
  <c r="AD11" i="125" a="1"/>
  <c r="O11" i="125" a="1"/>
  <c r="AE10" i="125" a="1"/>
  <c r="Q10" i="125" a="1"/>
  <c r="C10" i="125" a="1"/>
  <c r="R9" i="125" a="1"/>
  <c r="C9" i="125" a="1"/>
  <c r="S8" i="125" a="1"/>
  <c r="E8" i="125" a="1"/>
  <c r="V7" i="125" a="1"/>
  <c r="I7" i="125" a="1"/>
  <c r="AA6" i="125" a="1"/>
  <c r="O6" i="125" a="1"/>
  <c r="C6" i="125" a="1"/>
  <c r="T5" i="125" a="1"/>
  <c r="H5" i="125" a="1"/>
  <c r="FL5" i="132" a="1"/>
  <c r="FX5" i="132" a="1"/>
  <c r="GJ5" i="132" a="1"/>
  <c r="GV5" i="132" a="1"/>
  <c r="HH5" i="132" a="1"/>
  <c r="FR6" i="132" a="1"/>
  <c r="GD6" i="132" a="1"/>
  <c r="GP6" i="132" a="1"/>
  <c r="HB6" i="132" a="1"/>
  <c r="FL7" i="132" a="1"/>
  <c r="FX7" i="132" a="1"/>
  <c r="GJ7" i="132" a="1"/>
  <c r="GV7" i="132" a="1"/>
  <c r="HH7" i="132" a="1"/>
  <c r="FR8" i="132" a="1"/>
  <c r="GD8" i="132" a="1"/>
  <c r="GP8" i="132" a="1"/>
  <c r="HB8" i="132" a="1"/>
  <c r="FL9" i="132" a="1"/>
  <c r="FX9" i="132" a="1"/>
  <c r="GJ9" i="132" a="1"/>
  <c r="GV9" i="132" a="1"/>
  <c r="HH9" i="132" a="1"/>
  <c r="FR11" i="132" a="1"/>
  <c r="GD11" i="132" a="1"/>
  <c r="GP11" i="132" a="1"/>
  <c r="HB11" i="132" a="1"/>
  <c r="FL12" i="132" a="1"/>
  <c r="FX12" i="132" a="1"/>
  <c r="GJ12" i="132" a="1"/>
  <c r="GV12" i="132" a="1"/>
  <c r="HH12" i="132" a="1"/>
  <c r="FR13" i="132" a="1"/>
  <c r="GD13" i="132" a="1"/>
  <c r="GP13" i="132" a="1"/>
  <c r="HB13" i="132" a="1"/>
  <c r="FL14" i="132" a="1"/>
  <c r="FX14" i="132" a="1"/>
  <c r="GJ14" i="132" a="1"/>
  <c r="GV14" i="132" a="1"/>
  <c r="HH14" i="132" a="1"/>
  <c r="FR15" i="132" a="1"/>
  <c r="GD15" i="132" a="1"/>
  <c r="GP15" i="132" a="1"/>
  <c r="HB15" i="132" a="1"/>
  <c r="FL16" i="132" a="1"/>
  <c r="FX16" i="132" a="1"/>
  <c r="GJ16" i="132" a="1"/>
  <c r="GV16" i="132" a="1"/>
  <c r="HH16" i="132" a="1"/>
  <c r="FD5" i="132" a="1"/>
  <c r="FE12" i="132" a="1"/>
  <c r="GW14" i="132" a="1"/>
  <c r="FS15" i="132" a="1"/>
  <c r="HC15" i="132" a="1"/>
  <c r="FM16" i="132" a="1"/>
  <c r="FY16" i="132" a="1"/>
  <c r="GK16" i="132" a="1"/>
  <c r="GL14" i="132" a="1"/>
  <c r="FT15" i="132" a="1"/>
  <c r="GF15" i="132" a="1"/>
  <c r="GR15" i="132" a="1"/>
  <c r="HD15" i="132" a="1"/>
  <c r="P84" i="125" a="1"/>
  <c r="O74" i="125" a="1"/>
  <c r="I67" i="125" a="1"/>
  <c r="F62" i="125" a="1"/>
  <c r="G59" i="125" a="1"/>
  <c r="O52" i="125" a="1"/>
  <c r="V49" i="125" a="1"/>
  <c r="E47" i="125" a="1"/>
  <c r="AA44" i="125" a="1"/>
  <c r="I43" i="125" a="1"/>
  <c r="Y41" i="125" a="1"/>
  <c r="P40" i="125" a="1"/>
  <c r="G39" i="125" a="1"/>
  <c r="AE35" i="125" a="1"/>
  <c r="AE34" i="125" a="1"/>
  <c r="G34" i="125" a="1"/>
  <c r="M33" i="125" a="1"/>
  <c r="S32" i="125" a="1"/>
  <c r="Y31" i="125" a="1"/>
  <c r="AE30" i="125" a="1"/>
  <c r="G30" i="125" a="1"/>
  <c r="M29" i="125" a="1"/>
  <c r="S28" i="125" a="1"/>
  <c r="Y27" i="125" a="1"/>
  <c r="C27" i="125" a="1"/>
  <c r="M26" i="125" a="1"/>
  <c r="X25" i="125" a="1"/>
  <c r="AF24" i="125" a="1"/>
  <c r="J24" i="125" a="1"/>
  <c r="W23" i="125" a="1"/>
  <c r="AE22" i="125" a="1"/>
  <c r="I22" i="125" a="1"/>
  <c r="S21" i="125" a="1"/>
  <c r="AD20" i="125" a="1"/>
  <c r="H20" i="125" a="1"/>
  <c r="P19" i="125" a="1"/>
  <c r="AC18" i="125" a="1"/>
  <c r="H18" i="125" a="1"/>
  <c r="V17" i="125" a="1"/>
  <c r="AF16" i="125" a="1"/>
  <c r="P16" i="125" a="1"/>
  <c r="Z15" i="125" a="1"/>
  <c r="J15" i="125" a="1"/>
  <c r="T14" i="125" a="1"/>
  <c r="D14" i="125" a="1"/>
  <c r="N13" i="125" a="1"/>
  <c r="AB12" i="125" a="1"/>
  <c r="M12" i="125" a="1"/>
  <c r="AB11" i="125" a="1"/>
  <c r="N11" i="125" a="1"/>
  <c r="AD10" i="125" a="1"/>
  <c r="P10" i="125" a="1"/>
  <c r="AE9" i="125" a="1"/>
  <c r="P9" i="125" a="1"/>
  <c r="AF8" i="125" a="1"/>
  <c r="R8" i="125" a="1"/>
  <c r="D8" i="125" a="1"/>
  <c r="U7" i="125" a="1"/>
  <c r="H7" i="125" a="1"/>
  <c r="Z6" i="125" a="1"/>
  <c r="N6" i="125" a="1"/>
  <c r="AE5" i="125" a="1"/>
  <c r="S5" i="125" a="1"/>
  <c r="G5" i="125" a="1"/>
  <c r="FM5" i="132" a="1"/>
  <c r="FY5" i="132" a="1"/>
  <c r="GK5" i="132" a="1"/>
  <c r="GW5" i="132" a="1"/>
  <c r="FG6" i="132" a="1"/>
  <c r="FS6" i="132" a="1"/>
  <c r="GE6" i="132" a="1"/>
  <c r="GQ6" i="132" a="1"/>
  <c r="HC6" i="132" a="1"/>
  <c r="FM7" i="132" a="1"/>
  <c r="FY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FG13" i="132" a="1"/>
  <c r="FS13" i="132" a="1"/>
  <c r="GE13" i="132" a="1"/>
  <c r="GQ13" i="132" a="1"/>
  <c r="HC13" i="132" a="1"/>
  <c r="FM14" i="132" a="1"/>
  <c r="FY14" i="132" a="1"/>
  <c r="GK14" i="132" a="1"/>
  <c r="FG15" i="132" a="1"/>
  <c r="GE15" i="132" a="1"/>
  <c r="GQ15" i="132" a="1"/>
  <c r="GW16" i="132" a="1"/>
  <c r="FD7" i="132" a="1"/>
  <c r="AD5" i="125" a="1"/>
  <c r="FH6" i="132" a="1"/>
  <c r="GR6" i="132" a="1"/>
  <c r="FN7" i="132" a="1"/>
  <c r="GL7" i="132" a="1"/>
  <c r="GX7" i="132" a="1"/>
  <c r="FH8" i="132" a="1"/>
  <c r="GF8" i="132" a="1"/>
  <c r="HD8" i="132" a="1"/>
  <c r="FN9" i="132" a="1"/>
  <c r="GL9" i="132" a="1"/>
  <c r="FT11" i="132" a="1"/>
  <c r="GR11" i="132" a="1"/>
  <c r="FN12" i="132" a="1"/>
  <c r="FZ12" i="132" a="1"/>
  <c r="FT13" i="132" a="1"/>
  <c r="GR13" i="132" a="1"/>
  <c r="E84" i="125" a="1"/>
  <c r="J74" i="125" a="1"/>
  <c r="D67" i="125" a="1"/>
  <c r="E62" i="125" a="1"/>
  <c r="Y54" i="125" a="1"/>
  <c r="C52" i="125" a="1"/>
  <c r="J49" i="125" a="1"/>
  <c r="Y46" i="125" a="1"/>
  <c r="R44" i="125" a="1"/>
  <c r="AD42" i="125" a="1"/>
  <c r="S41" i="125" a="1"/>
  <c r="I40" i="125" a="1"/>
  <c r="AE38" i="125" a="1"/>
  <c r="Y35" i="125" a="1"/>
  <c r="AD34" i="125" a="1"/>
  <c r="F34" i="125" a="1"/>
  <c r="L33" i="125" a="1"/>
  <c r="R32" i="125" a="1"/>
  <c r="X31" i="125" a="1"/>
  <c r="AD30" i="125" a="1"/>
  <c r="F30" i="125" a="1"/>
  <c r="L29" i="125" a="1"/>
  <c r="R28" i="125" a="1"/>
  <c r="X27" i="125" a="1"/>
  <c r="AF26" i="125" a="1"/>
  <c r="J26" i="125" a="1"/>
  <c r="W25" i="125" a="1"/>
  <c r="AE24" i="125" a="1"/>
  <c r="I24" i="125" a="1"/>
  <c r="S23" i="125" a="1"/>
  <c r="AD22" i="125" a="1"/>
  <c r="H22" i="125" a="1"/>
  <c r="P21" i="125" a="1"/>
  <c r="AC20" i="125" a="1"/>
  <c r="G20" i="125" a="1"/>
  <c r="O19" i="125" a="1"/>
  <c r="Y18" i="125" a="1"/>
  <c r="G18" i="125" a="1"/>
  <c r="S17" i="125" a="1"/>
  <c r="AE16" i="125" a="1"/>
  <c r="M16" i="125" a="1"/>
  <c r="Y15" i="125" a="1"/>
  <c r="G15" i="125" a="1"/>
  <c r="S14" i="125" a="1"/>
  <c r="AE13" i="125" a="1"/>
  <c r="M13" i="125" a="1"/>
  <c r="AA12" i="125" a="1"/>
  <c r="L12" i="125" a="1"/>
  <c r="AA11" i="125" a="1"/>
  <c r="M11" i="125" a="1"/>
  <c r="AC10" i="125" a="1"/>
  <c r="O10" i="125" a="1"/>
  <c r="AD9" i="125" a="1"/>
  <c r="O9" i="125" a="1"/>
  <c r="AE8" i="125" a="1"/>
  <c r="Q8" i="125" a="1"/>
  <c r="C8" i="125" a="1"/>
  <c r="S7" i="125" a="1"/>
  <c r="G7" i="125" a="1"/>
  <c r="Y6" i="125" a="1"/>
  <c r="M6" i="125" a="1"/>
  <c r="R5" i="125" a="1"/>
  <c r="F5" i="125" a="1"/>
  <c r="FN5" i="132" a="1"/>
  <c r="FZ5" i="132" a="1"/>
  <c r="GL5" i="132" a="1"/>
  <c r="GX5" i="132" a="1"/>
  <c r="FT6" i="132" a="1"/>
  <c r="GF6" i="132" a="1"/>
  <c r="HD6" i="132" a="1"/>
  <c r="FZ7" i="132" a="1"/>
  <c r="FT8" i="132" a="1"/>
  <c r="GR8" i="132" a="1"/>
  <c r="FZ9" i="132" a="1"/>
  <c r="GX9" i="132" a="1"/>
  <c r="FH11" i="132" a="1"/>
  <c r="GF11" i="132" a="1"/>
  <c r="HD11" i="132" a="1"/>
  <c r="GL12" i="132" a="1"/>
  <c r="GX12" i="132" a="1"/>
  <c r="FH13" i="132" a="1"/>
  <c r="GF13" i="132" a="1"/>
  <c r="HD13" i="132" a="1"/>
  <c r="FN14" i="132" a="1"/>
  <c r="FZ14" i="132" a="1"/>
  <c r="GX14" i="132" a="1"/>
  <c r="FH15" i="132" a="1"/>
  <c r="V79" i="125" a="1"/>
  <c r="C72" i="125" a="1"/>
  <c r="G65" i="125" a="1"/>
  <c r="AA60" i="125" a="1"/>
  <c r="D54" i="125" a="1"/>
  <c r="K51" i="125" a="1"/>
  <c r="R48" i="125" a="1"/>
  <c r="F46" i="125" a="1"/>
  <c r="K44" i="125" a="1"/>
  <c r="W42" i="125" a="1"/>
  <c r="L41" i="125" a="1"/>
  <c r="C40" i="125" a="1"/>
  <c r="Y38" i="125" a="1"/>
  <c r="AC88" i="125" a="1"/>
  <c r="AB59" i="125" a="1"/>
  <c r="L45" i="125" a="1"/>
  <c r="M39" i="125" a="1"/>
  <c r="E34" i="125" a="1"/>
  <c r="W31" i="125" a="1"/>
  <c r="K29" i="125" a="1"/>
  <c r="AE26" i="125" a="1"/>
  <c r="AD24" i="125" a="1"/>
  <c r="AC22" i="125" a="1"/>
  <c r="Y20" i="125" a="1"/>
  <c r="V18" i="125" a="1"/>
  <c r="AD16" i="125" a="1"/>
  <c r="D15" i="125" a="1"/>
  <c r="L13" i="125" a="1"/>
  <c r="Z11" i="125" a="1"/>
  <c r="M10" i="125" a="1"/>
  <c r="K9" i="125" a="1"/>
  <c r="AE7" i="125" a="1"/>
  <c r="D7" i="125" a="1"/>
  <c r="E6" i="125" a="1"/>
  <c r="E5" i="125" a="1"/>
  <c r="GA5" i="132" a="1"/>
  <c r="GY5" i="132" a="1"/>
  <c r="FU6" i="132" a="1"/>
  <c r="GS6" i="132" a="1"/>
  <c r="FO7" i="132" a="1"/>
  <c r="GM7" i="132" a="1"/>
  <c r="FI8" i="132" a="1"/>
  <c r="GG8" i="132" a="1"/>
  <c r="HE8" i="132" a="1"/>
  <c r="GA9" i="132" a="1"/>
  <c r="GY9" i="132" a="1"/>
  <c r="FU11" i="132" a="1"/>
  <c r="GS11" i="132" a="1"/>
  <c r="FO12" i="132" a="1"/>
  <c r="GM12" i="132" a="1"/>
  <c r="FI13" i="132" a="1"/>
  <c r="GA13" i="132" a="1"/>
  <c r="GV13" i="132" a="1"/>
  <c r="FP14" i="132" a="1"/>
  <c r="GH14" i="132" a="1"/>
  <c r="HC14" i="132" a="1"/>
  <c r="FW15" i="132" a="1"/>
  <c r="GS15" i="132" a="1"/>
  <c r="FI16" i="132" a="1"/>
  <c r="GB16" i="132" a="1"/>
  <c r="GS16" i="132" a="1"/>
  <c r="FD8" i="132" a="1"/>
  <c r="FE8" i="132" a="1"/>
  <c r="GC16" i="132" a="1"/>
  <c r="GT16" i="132" a="1"/>
  <c r="FD16" i="132" a="1"/>
  <c r="FD9" i="132" a="1"/>
  <c r="GB14" i="132" a="1"/>
  <c r="HC16" i="132" a="1"/>
  <c r="HE16" i="132" a="1"/>
  <c r="W47" i="125" a="1"/>
  <c r="O23" i="125" a="1"/>
  <c r="AA10" i="125" a="1"/>
  <c r="M8" i="125" a="1"/>
  <c r="FL6" i="132" a="1"/>
  <c r="HH6" i="132" a="1"/>
  <c r="HB7" i="132" a="1"/>
  <c r="FL11" i="132" a="1"/>
  <c r="GD12" i="132" a="1"/>
  <c r="GO16" i="132" a="1"/>
  <c r="V34" i="125" a="1"/>
  <c r="M21" i="125" a="1"/>
  <c r="FU5" i="132" a="1"/>
  <c r="HE7" i="132" a="1"/>
  <c r="GY8" i="132" a="1"/>
  <c r="GS9" i="132" a="1"/>
  <c r="GM11" i="132" a="1"/>
  <c r="GG12" i="132" a="1"/>
  <c r="FJ14" i="132" a="1"/>
  <c r="FU15" i="132" a="1"/>
  <c r="FZ16" i="132" a="1"/>
  <c r="D82" i="125" a="1"/>
  <c r="W54" i="125" a="1"/>
  <c r="Q44" i="125" a="1"/>
  <c r="AD38" i="125" a="1"/>
  <c r="AE33" i="125" a="1"/>
  <c r="S31" i="125" a="1"/>
  <c r="G29" i="125" a="1"/>
  <c r="AD26" i="125" a="1"/>
  <c r="AC24" i="125" a="1"/>
  <c r="Y22" i="125" a="1"/>
  <c r="V20" i="125" a="1"/>
  <c r="U18" i="125" a="1"/>
  <c r="AC16" i="125" a="1"/>
  <c r="C15" i="125" a="1"/>
  <c r="K13" i="125" a="1"/>
  <c r="Y11" i="125" a="1"/>
  <c r="L10" i="125" a="1"/>
  <c r="F9" i="125" a="1"/>
  <c r="AD7" i="125" a="1"/>
  <c r="C7" i="125" a="1"/>
  <c r="AC5" i="125" a="1"/>
  <c r="D5" i="125" a="1"/>
  <c r="GB5" i="132" a="1"/>
  <c r="GZ5" i="132" a="1"/>
  <c r="FV6" i="132" a="1"/>
  <c r="GT6" i="132" a="1"/>
  <c r="FP7" i="132" a="1"/>
  <c r="GN7" i="132" a="1"/>
  <c r="FJ8" i="132" a="1"/>
  <c r="GH8" i="132" a="1"/>
  <c r="HF8" i="132" a="1"/>
  <c r="GB9" i="132" a="1"/>
  <c r="GZ9" i="132" a="1"/>
  <c r="FV11" i="132" a="1"/>
  <c r="GT11" i="132" a="1"/>
  <c r="FP12" i="132" a="1"/>
  <c r="GN12" i="132" a="1"/>
  <c r="FJ13" i="132" a="1"/>
  <c r="GB13" i="132" a="1"/>
  <c r="GW13" i="132" a="1"/>
  <c r="FQ14" i="132" a="1"/>
  <c r="GM14" i="132" a="1"/>
  <c r="HE14" i="132" a="1"/>
  <c r="FX15" i="132" a="1"/>
  <c r="GT15" i="132" a="1"/>
  <c r="FJ16" i="132" a="1"/>
  <c r="GD14" i="132" a="1"/>
  <c r="HG15" i="132" a="1"/>
  <c r="HF16" i="132" a="1"/>
  <c r="Q61" i="125" a="1"/>
  <c r="L19" i="125" a="1"/>
  <c r="M9" i="125" a="1"/>
  <c r="GM6" i="132" a="1"/>
  <c r="FO11" i="132" a="1"/>
  <c r="GT13" i="132" a="1"/>
  <c r="HH15" i="132" a="1"/>
  <c r="GP16" i="132" a="1"/>
  <c r="W81" i="125" a="1"/>
  <c r="P54" i="125" a="1"/>
  <c r="P44" i="125" a="1"/>
  <c r="AC38" i="125" a="1"/>
  <c r="AB33" i="125" a="1"/>
  <c r="P31" i="125" a="1"/>
  <c r="D29" i="125" a="1"/>
  <c r="AC26" i="125" a="1"/>
  <c r="Y24" i="125" a="1"/>
  <c r="V22" i="125" a="1"/>
  <c r="U20" i="125" a="1"/>
  <c r="T18" i="125" a="1"/>
  <c r="AB16" i="125" a="1"/>
  <c r="AF14" i="125" a="1"/>
  <c r="J13" i="125" a="1"/>
  <c r="X11" i="125" a="1"/>
  <c r="J10" i="125" a="1"/>
  <c r="AD8" i="125" a="1"/>
  <c r="AC7" i="125" a="1"/>
  <c r="AC6" i="125" a="1"/>
  <c r="AB5" i="125" a="1"/>
  <c r="C5" i="125" a="1"/>
  <c r="GC5" i="132" a="1"/>
  <c r="HA5" i="132" a="1"/>
  <c r="FW6" i="132" a="1"/>
  <c r="GU6" i="132" a="1"/>
  <c r="FQ7" i="132" a="1"/>
  <c r="GO7" i="132" a="1"/>
  <c r="FK8" i="132" a="1"/>
  <c r="GI8" i="132" a="1"/>
  <c r="HG8" i="132" a="1"/>
  <c r="GC9" i="132" a="1"/>
  <c r="HA9" i="132" a="1"/>
  <c r="FW11" i="132" a="1"/>
  <c r="GU11" i="132" a="1"/>
  <c r="FQ12" i="132" a="1"/>
  <c r="GO12" i="132" a="1"/>
  <c r="FK13" i="132" a="1"/>
  <c r="GG13" i="132" a="1"/>
  <c r="GY13" i="132" a="1"/>
  <c r="FR14" i="132" a="1"/>
  <c r="GN14" i="132" a="1"/>
  <c r="HF14" i="132" a="1"/>
  <c r="FY15" i="132" a="1"/>
  <c r="GU15" i="132" a="1"/>
  <c r="FN16" i="132" a="1"/>
  <c r="GD16" i="132" a="1"/>
  <c r="GX16" i="132" a="1"/>
  <c r="FE9" i="132" a="1"/>
  <c r="FE15" i="132" a="1"/>
  <c r="HF9" i="132" a="1"/>
  <c r="GT12" i="132" a="1"/>
  <c r="GJ13" i="132" a="1"/>
  <c r="FK15" i="132" a="1"/>
  <c r="FE11" i="132" a="1"/>
  <c r="GA7" i="132" a="1"/>
  <c r="FO9" i="132" a="1"/>
  <c r="FP13" i="132" a="1"/>
  <c r="HG13" i="132" a="1"/>
  <c r="FL15" i="132" a="1"/>
  <c r="GH15" i="132" a="1"/>
  <c r="GZ15" i="132" a="1"/>
  <c r="GL16" i="132" a="1"/>
  <c r="GB7" i="132" a="1"/>
  <c r="FJ11" i="132" a="1"/>
  <c r="FS16" i="132" a="1"/>
  <c r="FU16" i="132" a="1"/>
  <c r="M32" i="125" a="1"/>
  <c r="N21" i="125" a="1"/>
  <c r="O17" i="125" a="1"/>
  <c r="AA13" i="125" a="1"/>
  <c r="K6" i="125" a="1"/>
  <c r="N23" i="125" a="1"/>
  <c r="Y10" i="125" a="1"/>
  <c r="V76" i="125" a="1"/>
  <c r="E53" i="125" a="1"/>
  <c r="Q43" i="125" a="1"/>
  <c r="G38" i="125" a="1"/>
  <c r="S33" i="125" a="1"/>
  <c r="G31" i="125" a="1"/>
  <c r="Y28" i="125" a="1"/>
  <c r="S26" i="125" a="1"/>
  <c r="R24" i="125" a="1"/>
  <c r="Q22" i="125" a="1"/>
  <c r="M20" i="125" a="1"/>
  <c r="M18" i="125" a="1"/>
  <c r="S16" i="125" a="1"/>
  <c r="Y14" i="125" a="1"/>
  <c r="AE12" i="125" a="1"/>
  <c r="R11" i="125" a="1"/>
  <c r="E10" i="125" a="1"/>
  <c r="AC8" i="125" a="1"/>
  <c r="AB7" i="125" a="1"/>
  <c r="X6" i="125" a="1"/>
  <c r="AA5" i="125" a="1"/>
  <c r="AF5" i="125" a="1"/>
  <c r="GD5" i="132" a="1"/>
  <c r="HB5" i="132" a="1"/>
  <c r="FX6" i="132" a="1"/>
  <c r="GV6" i="132" a="1"/>
  <c r="FR7" i="132" a="1"/>
  <c r="GP7" i="132" a="1"/>
  <c r="FL8" i="132" a="1"/>
  <c r="GJ8" i="132" a="1"/>
  <c r="HH8" i="132" a="1"/>
  <c r="GD9" i="132" a="1"/>
  <c r="HB9" i="132" a="1"/>
  <c r="FX11" i="132" a="1"/>
  <c r="GV11" i="132" a="1"/>
  <c r="FR12" i="132" a="1"/>
  <c r="GP12" i="132" a="1"/>
  <c r="FL13" i="132" a="1"/>
  <c r="GH13" i="132" a="1"/>
  <c r="GZ13" i="132" a="1"/>
  <c r="FS14" i="132" a="1"/>
  <c r="GO14" i="132" a="1"/>
  <c r="FI15" i="132" a="1"/>
  <c r="GA15" i="132" a="1"/>
  <c r="GV15" i="132" a="1"/>
  <c r="FO16" i="132" a="1"/>
  <c r="GE16" i="132" a="1"/>
  <c r="GY16" i="132" a="1"/>
  <c r="FE5" i="132" a="1"/>
  <c r="FD14" i="132" a="1"/>
  <c r="FE13" i="132" a="1"/>
  <c r="GZ11" i="132" a="1"/>
  <c r="HF13" i="132" a="1"/>
  <c r="GH16" i="132" a="1"/>
  <c r="GM5" i="132" a="1"/>
  <c r="HE6" i="132" a="1"/>
  <c r="FU8" i="132" a="1"/>
  <c r="GS8" i="132" a="1"/>
  <c r="GM9" i="132" a="1"/>
  <c r="GG11" i="132" a="1"/>
  <c r="GK13" i="132" a="1"/>
  <c r="GS14" i="132" a="1"/>
  <c r="FR16" i="132" a="1"/>
  <c r="FE6" i="132" a="1"/>
  <c r="FV8" i="132" a="1"/>
  <c r="FU13" i="132" a="1"/>
  <c r="GM16" i="132" a="1"/>
  <c r="Y34" i="125" a="1"/>
  <c r="GP5" i="132" a="1"/>
  <c r="GJ6" i="132" a="1"/>
  <c r="GD7" i="132" a="1"/>
  <c r="FX8" i="132" a="1"/>
  <c r="GP9" i="132" a="1"/>
  <c r="HH11" i="132" a="1"/>
  <c r="FW13" i="132" a="1"/>
  <c r="FI14" i="132" a="1"/>
  <c r="H40" i="125" a="1"/>
  <c r="O25" i="125" a="1"/>
  <c r="H12" i="125" a="1"/>
  <c r="J6" i="125" a="1"/>
  <c r="GG7" i="132" a="1"/>
  <c r="FU9" i="132" a="1"/>
  <c r="FI12" i="132" a="1"/>
  <c r="GE14" i="132" a="1"/>
  <c r="GM15" i="132" a="1"/>
  <c r="I73" i="125" a="1"/>
  <c r="AE51" i="125" a="1"/>
  <c r="AC42" i="125" a="1"/>
  <c r="X35" i="125" a="1"/>
  <c r="K33" i="125" a="1"/>
  <c r="AC30" i="125" a="1"/>
  <c r="Q28" i="125" a="1"/>
  <c r="I26" i="125" a="1"/>
  <c r="H24" i="125" a="1"/>
  <c r="G22" i="125" a="1"/>
  <c r="F20" i="125" a="1"/>
  <c r="F18" i="125" a="1"/>
  <c r="J16" i="125" a="1"/>
  <c r="R14" i="125" a="1"/>
  <c r="Y12" i="125" a="1"/>
  <c r="L11" i="125" a="1"/>
  <c r="AB9" i="125" a="1"/>
  <c r="AB8" i="125" a="1"/>
  <c r="X7" i="125" a="1"/>
  <c r="W6" i="125" a="1"/>
  <c r="Z5" i="125" a="1"/>
  <c r="FI5" i="132" a="1"/>
  <c r="GG5" i="132" a="1"/>
  <c r="HE5" i="132" a="1"/>
  <c r="GA6" i="132" a="1"/>
  <c r="GY6" i="132" a="1"/>
  <c r="FU7" i="132" a="1"/>
  <c r="GS7" i="132" a="1"/>
  <c r="FO8" i="132" a="1"/>
  <c r="GM8" i="132" a="1"/>
  <c r="FI9" i="132" a="1"/>
  <c r="GG9" i="132" a="1"/>
  <c r="HE9" i="132" a="1"/>
  <c r="GA11" i="132" a="1"/>
  <c r="GY11" i="132" a="1"/>
  <c r="FU12" i="132" a="1"/>
  <c r="GS12" i="132" a="1"/>
  <c r="FM13" i="132" a="1"/>
  <c r="GI13" i="132" a="1"/>
  <c r="HE13" i="132" a="1"/>
  <c r="FU14" i="132" a="1"/>
  <c r="GP14" i="132" a="1"/>
  <c r="FJ15" i="132" a="1"/>
  <c r="GB15" i="132" a="1"/>
  <c r="GW15" i="132" a="1"/>
  <c r="FP16" i="132" a="1"/>
  <c r="GG16" i="132" a="1"/>
  <c r="GZ16" i="132" a="1"/>
  <c r="FE7" i="132" a="1"/>
  <c r="FQ16" i="132" a="1"/>
  <c r="FI6" i="132" a="1"/>
  <c r="GY7" i="132" a="1"/>
  <c r="HE11" i="132" a="1"/>
  <c r="GA12" i="132" a="1"/>
  <c r="GY12" i="132" a="1"/>
  <c r="GT14" i="132" a="1"/>
  <c r="D73" i="125" a="1"/>
  <c r="W51" i="125" a="1"/>
  <c r="AB42" i="125" a="1"/>
  <c r="W35" i="125" a="1"/>
  <c r="G33" i="125" a="1"/>
  <c r="Y30" i="125" a="1"/>
  <c r="M28" i="125" a="1"/>
  <c r="H26" i="125" a="1"/>
  <c r="G24" i="125" a="1"/>
  <c r="F22" i="125" a="1"/>
  <c r="E20" i="125" a="1"/>
  <c r="E18" i="125" a="1"/>
  <c r="I16" i="125" a="1"/>
  <c r="Q14" i="125" a="1"/>
  <c r="X12" i="125" a="1"/>
  <c r="K11" i="125" a="1"/>
  <c r="AA9" i="125" a="1"/>
  <c r="AA8" i="125" a="1"/>
  <c r="R7" i="125" a="1"/>
  <c r="V6" i="125" a="1"/>
  <c r="V5" i="125" a="1"/>
  <c r="FJ5" i="132" a="1"/>
  <c r="GH5" i="132" a="1"/>
  <c r="HF5" i="132" a="1"/>
  <c r="GB6" i="132" a="1"/>
  <c r="GZ6" i="132" a="1"/>
  <c r="FV7" i="132" a="1"/>
  <c r="GT7" i="132" a="1"/>
  <c r="FP8" i="132" a="1"/>
  <c r="GN8" i="132" a="1"/>
  <c r="FJ9" i="132" a="1"/>
  <c r="GH9" i="132" a="1"/>
  <c r="GB11" i="132" a="1"/>
  <c r="FV12" i="132" a="1"/>
  <c r="FO13" i="132" a="1"/>
  <c r="FV14" i="132" a="1"/>
  <c r="GQ14" i="132" a="1"/>
  <c r="GG15" i="132" a="1"/>
  <c r="GY15" i="132" a="1"/>
  <c r="HA16" i="132" a="1"/>
  <c r="GG6" i="132" a="1"/>
  <c r="FI11" i="132" a="1"/>
  <c r="GA14" i="132" a="1"/>
  <c r="HB16" i="132" a="1"/>
  <c r="GT8" i="132" a="1"/>
  <c r="GN9" i="132" a="1"/>
  <c r="GZ12" i="132" a="1"/>
  <c r="HH13" i="132" a="1"/>
  <c r="GI15" i="132" a="1"/>
  <c r="FD6" i="132" a="1"/>
  <c r="FD13" i="132" a="1"/>
  <c r="AE29" i="125" a="1"/>
  <c r="M19" i="125" a="1"/>
  <c r="N9" i="125" a="1"/>
  <c r="K7" i="125" a="1"/>
  <c r="FR5" i="132" a="1"/>
  <c r="GV8" i="132" a="1"/>
  <c r="GJ11" i="132" a="1"/>
  <c r="GS13" i="132" a="1"/>
  <c r="GZ14" i="132" a="1"/>
  <c r="W46" i="125" a="1"/>
  <c r="N17" i="125" a="1"/>
  <c r="Z13" i="125" a="1"/>
  <c r="P69" i="125" a="1"/>
  <c r="M50" i="125" a="1"/>
  <c r="AF41" i="125" a="1"/>
  <c r="S35" i="125" a="1"/>
  <c r="D33" i="125" a="1"/>
  <c r="V30" i="125" a="1"/>
  <c r="J28" i="125" a="1"/>
  <c r="G26" i="125" a="1"/>
  <c r="F24" i="125" a="1"/>
  <c r="E22" i="125" a="1"/>
  <c r="AE19" i="125" a="1"/>
  <c r="D18" i="125" a="1"/>
  <c r="H16" i="125" a="1"/>
  <c r="P14" i="125" a="1"/>
  <c r="V12" i="125" a="1"/>
  <c r="J11" i="125" a="1"/>
  <c r="Z9" i="125" a="1"/>
  <c r="U8" i="125" a="1"/>
  <c r="Q7" i="125" a="1"/>
  <c r="U6" i="125" a="1"/>
  <c r="Q5" i="125" a="1"/>
  <c r="FO5" i="132" a="1"/>
  <c r="GM13" i="132" a="1"/>
  <c r="FM15" i="132" a="1"/>
  <c r="HE15" i="132" a="1"/>
  <c r="GN16" i="132" a="1"/>
  <c r="V40" i="125" a="1"/>
  <c r="P25" i="125" a="1"/>
  <c r="W15" i="125" a="1"/>
  <c r="N5" i="125" a="1"/>
  <c r="V15" i="125" a="1"/>
  <c r="FX13" i="132" a="1"/>
  <c r="HA14" i="132" a="1"/>
  <c r="C66" i="125" a="1"/>
  <c r="I49" i="125" a="1"/>
  <c r="Q41" i="125" a="1"/>
  <c r="G35" i="125" a="1"/>
  <c r="Y32" i="125" a="1"/>
  <c r="M30" i="125" a="1"/>
  <c r="AE27" i="125" a="1"/>
  <c r="AA25" i="125" a="1"/>
  <c r="Z23" i="125" a="1"/>
  <c r="Y21" i="125" a="1"/>
  <c r="X19" i="125" a="1"/>
  <c r="Y17" i="125" a="1"/>
  <c r="AE15" i="125" a="1"/>
  <c r="G14" i="125" a="1"/>
  <c r="Q12" i="125" a="1"/>
  <c r="C11" i="125" a="1"/>
  <c r="Y9" i="125" a="1"/>
  <c r="P8" i="125" a="1"/>
  <c r="P7" i="125" a="1"/>
  <c r="Q6" i="125" a="1"/>
  <c r="P5" i="125" a="1"/>
  <c r="FP5" i="132" a="1"/>
  <c r="GN5" i="132" a="1"/>
  <c r="FJ6" i="132" a="1"/>
  <c r="GH6" i="132" a="1"/>
  <c r="HF6" i="132" a="1"/>
  <c r="GZ7" i="132" a="1"/>
  <c r="FP9" i="132" a="1"/>
  <c r="GH11" i="132" a="1"/>
  <c r="HF11" i="132" a="1"/>
  <c r="GB12" i="132" a="1"/>
  <c r="S27" i="125" a="1"/>
  <c r="I12" i="125" a="1"/>
  <c r="GK15" i="132" a="1"/>
  <c r="AB29" i="125" a="1"/>
  <c r="L8" i="125" a="1"/>
  <c r="K5" i="125" a="1"/>
  <c r="GS5" i="132" a="1"/>
  <c r="AC65" i="125" a="1"/>
  <c r="AD48" i="125" a="1"/>
  <c r="P41" i="125" a="1"/>
  <c r="AC34" i="125" a="1"/>
  <c r="Q32" i="125" a="1"/>
  <c r="E30" i="125" a="1"/>
  <c r="W27" i="125" a="1"/>
  <c r="S25" i="125" a="1"/>
  <c r="P23" i="125" a="1"/>
  <c r="O21" i="125" a="1"/>
  <c r="N19" i="125" a="1"/>
  <c r="P17" i="125" a="1"/>
  <c r="X15" i="125" a="1"/>
  <c r="AB13" i="125" a="1"/>
  <c r="J12" i="125" a="1"/>
  <c r="AB10" i="125" a="1"/>
  <c r="U9" i="125" a="1"/>
  <c r="O8" i="125" a="1"/>
  <c r="O7" i="125" a="1"/>
  <c r="L6" i="125" a="1"/>
  <c r="O5" i="125" a="1"/>
  <c r="FQ5" i="132" a="1"/>
  <c r="GO5" i="132" a="1"/>
  <c r="FK6" i="132" a="1"/>
  <c r="GI6" i="132" a="1"/>
  <c r="HG6" i="132" a="1"/>
  <c r="GC7" i="132" a="1"/>
  <c r="HA7" i="132" a="1"/>
  <c r="FW8" i="132" a="1"/>
  <c r="GU8" i="132" a="1"/>
  <c r="FQ9" i="132" a="1"/>
  <c r="GO9" i="132" a="1"/>
  <c r="FK11" i="132" a="1"/>
  <c r="GI11" i="132" a="1"/>
  <c r="HG11" i="132" a="1"/>
  <c r="GC12" i="132" a="1"/>
  <c r="HA12" i="132" a="1"/>
  <c r="FV13" i="132" a="1"/>
  <c r="GN13" i="132" a="1"/>
  <c r="FG14" i="132" a="1"/>
  <c r="GC14" i="132" a="1"/>
  <c r="GY14" i="132" a="1"/>
  <c r="FO15" i="132" a="1"/>
  <c r="GJ15" i="132" a="1"/>
  <c r="HF15" i="132" a="1"/>
  <c r="Q63" i="125" a="1"/>
  <c r="FR9" i="132" a="1"/>
  <c r="FV16" i="132" a="1"/>
  <c r="P27" i="125" a="1"/>
  <c r="F7" i="125" a="1"/>
  <c r="FI7" i="132" a="1"/>
  <c r="FE16" i="132" a="1"/>
  <c r="P61" i="125" a="1"/>
  <c r="Q46" i="125" a="1"/>
  <c r="G40" i="125" a="1"/>
  <c r="M34" i="125" a="1"/>
  <c r="AE31" i="125" a="1"/>
  <c r="S29" i="125" a="1"/>
  <c r="K27" i="125" a="1"/>
  <c r="G25" i="125" a="1"/>
  <c r="D23" i="125" a="1"/>
  <c r="C21" i="125" a="1"/>
  <c r="AF18" i="125" a="1"/>
  <c r="G17" i="125" a="1"/>
  <c r="M15" i="125" a="1"/>
  <c r="S13" i="125" a="1"/>
  <c r="C12" i="125" a="1"/>
  <c r="S10" i="125" a="1"/>
  <c r="L9" i="125" a="1"/>
  <c r="G8" i="125" a="1"/>
  <c r="E7" i="125" a="1"/>
  <c r="I6" i="125" a="1"/>
  <c r="J5" i="125" a="1"/>
  <c r="FV5" i="132" a="1"/>
  <c r="GT5" i="132" a="1"/>
  <c r="FP6" i="132" a="1"/>
  <c r="GN6" i="132" a="1"/>
  <c r="FJ7" i="132" a="1"/>
  <c r="GH7" i="132" a="1"/>
  <c r="HF7" i="132" a="1"/>
  <c r="GB8" i="132" a="1"/>
  <c r="GZ8" i="132" a="1"/>
  <c r="FV9" i="132" a="1"/>
  <c r="GT9" i="132" a="1"/>
  <c r="FP11" i="132" a="1"/>
  <c r="GN11" i="132" a="1"/>
  <c r="FJ12" i="132" a="1"/>
  <c r="GH12" i="132" a="1"/>
  <c r="HF12" i="132" a="1"/>
  <c r="FY13" i="132" a="1"/>
  <c r="GU13" i="132" a="1"/>
  <c r="FO14" i="132" a="1"/>
  <c r="GG14" i="132" a="1"/>
  <c r="HB14" i="132" a="1"/>
  <c r="FV15" i="132" a="1"/>
  <c r="GN15" i="132" a="1"/>
  <c r="FG16" i="132" a="1"/>
  <c r="GA16" i="132" a="1"/>
  <c r="GQ16" i="132" a="1"/>
  <c r="FD15" i="132" a="1"/>
  <c r="HB12" i="132" a="1"/>
  <c r="FP15" i="132" a="1"/>
  <c r="FD11" i="132" a="1"/>
  <c r="J32" i="125" a="1"/>
  <c r="FO6" i="132" a="1"/>
  <c r="GA8" i="132" a="1"/>
  <c r="HE12" i="132" a="1"/>
  <c r="JW16" i="132" s="1"/>
  <c r="JT9" i="132" s="1"/>
  <c r="KF14" i="132" s="1"/>
  <c r="KD8" i="132" s="1"/>
  <c r="KF16" i="132" s="1"/>
  <c r="JY16" i="132" s="1"/>
  <c r="KG9" i="132" s="1"/>
  <c r="JY9" i="132" s="1"/>
  <c r="JQ9" i="132" s="1"/>
  <c r="JU9" i="132" s="1"/>
  <c r="KB9" i="132" s="1"/>
  <c r="KA16" i="132" s="1"/>
  <c r="JV8" i="132" s="1"/>
  <c r="JT16" i="132" s="1"/>
  <c r="KA9" i="132" s="1"/>
  <c r="KE16" i="132" s="1"/>
  <c r="JS16" i="132" s="1"/>
  <c r="KF9" i="132" s="1"/>
  <c r="KF21" i="132" s="1"/>
  <c r="JX9" i="132" s="1"/>
  <c r="JU16" i="132" s="1"/>
  <c r="JX7" i="132" s="1"/>
  <c r="JZ15" i="132" s="1"/>
  <c r="JS9" i="132" s="1"/>
  <c r="JX16" i="132" s="1"/>
  <c r="JX21" i="132" s="1"/>
  <c r="KB14" i="132" s="1"/>
  <c r="KB16" i="132" s="1"/>
  <c r="KH8" i="132" s="1"/>
  <c r="JZ8" i="132" s="1"/>
  <c r="KC9" i="132" s="1"/>
  <c r="KG16" i="132" s="1"/>
  <c r="KC16" i="132" s="1"/>
  <c r="KC21" i="132" s="1"/>
  <c r="JQ16" i="132" s="1"/>
  <c r="KE9" i="132" s="1"/>
  <c r="JW9" i="132" s="1"/>
  <c r="JY8" i="132" s="1"/>
  <c r="JQ8" i="132" s="1"/>
  <c r="KA7" i="132" s="1"/>
  <c r="KH16" i="132" s="1"/>
  <c r="KD16" i="132" s="1"/>
  <c r="JZ16" i="132" s="1"/>
  <c r="JV16" i="132" s="1"/>
  <c r="JR16" i="132" s="1"/>
  <c r="KH9" i="132" s="1"/>
  <c r="KH21" i="132" s="1"/>
  <c r="KD9" i="132" s="1"/>
  <c r="KD21" i="132" s="1"/>
  <c r="JZ9" i="132" s="1"/>
  <c r="JV9" i="132" s="1"/>
  <c r="JR9" i="132" s="1"/>
  <c r="KB15" i="132" s="1"/>
  <c r="JT15" i="132" s="1"/>
  <c r="JZ14" i="132" s="1"/>
  <c r="KH7" i="132" s="1"/>
  <c r="JW8" i="132" s="1"/>
  <c r="KG7" i="132" s="1"/>
  <c r="JQ7" i="132" s="1"/>
  <c r="AE127" i="1"/>
  <c r="AE126" i="1"/>
  <c r="AE125" i="1"/>
  <c r="AE49" i="1"/>
  <c r="AE48" i="1"/>
  <c r="AE47" i="1"/>
  <c r="AD127" i="1"/>
  <c r="AD126" i="1"/>
  <c r="AD125" i="1"/>
  <c r="AD49" i="1"/>
  <c r="AD48" i="1"/>
  <c r="AD47" i="1"/>
  <c r="AC127" i="1"/>
  <c r="AC126" i="1"/>
  <c r="AC125" i="1"/>
  <c r="AC49" i="1"/>
  <c r="AC48" i="1"/>
  <c r="AC47" i="1"/>
  <c r="AA127" i="1" l="1"/>
  <c r="AA126" i="1"/>
  <c r="AA125" i="1"/>
  <c r="AA123" i="1"/>
  <c r="AA122" i="1"/>
  <c r="AA89" i="1" s="1"/>
  <c r="AA118" i="1"/>
  <c r="AA117" i="1"/>
  <c r="AA119" i="1" s="1"/>
  <c r="AA115" i="1"/>
  <c r="AA112" i="1"/>
  <c r="AA111" i="1"/>
  <c r="AA113" i="1" s="1"/>
  <c r="AA99" i="1"/>
  <c r="AA98" i="1"/>
  <c r="AA97" i="1"/>
  <c r="AA87" i="1"/>
  <c r="AA81" i="1"/>
  <c r="AA80" i="1"/>
  <c r="AA78" i="1"/>
  <c r="AA77" i="1"/>
  <c r="AA76" i="1"/>
  <c r="AA67" i="1"/>
  <c r="AA66" i="1"/>
  <c r="AA63" i="1"/>
  <c r="AA58" i="1"/>
  <c r="AA57" i="1"/>
  <c r="AA55" i="1"/>
  <c r="AA53" i="1"/>
  <c r="AA49" i="1"/>
  <c r="AA48" i="1"/>
  <c r="AA47" i="1"/>
  <c r="AA46" i="1"/>
  <c r="AA45" i="1"/>
  <c r="AA44" i="1"/>
  <c r="AA50" i="1" s="1"/>
  <c r="AA41" i="1"/>
  <c r="AA39" i="1"/>
  <c r="AA38" i="1"/>
  <c r="AA120" i="1"/>
  <c r="AA129" i="1"/>
  <c r="AA132" i="1" s="1"/>
  <c r="AA133" i="1" s="1"/>
  <c r="AA85" i="1"/>
  <c r="AA84" i="1"/>
  <c r="AA68" i="1"/>
  <c r="AA40" i="1"/>
  <c r="JS14" i="132"/>
  <c r="KE7" i="132"/>
  <c r="KG15" i="132"/>
  <c r="KE14" i="132"/>
  <c r="JV14" i="132"/>
  <c r="JT8" i="132"/>
  <c r="KE15" i="132"/>
  <c r="KE21" i="132"/>
  <c r="JS15" i="132"/>
  <c r="KG21" i="132"/>
  <c r="JW15" i="132"/>
  <c r="JY21" i="132"/>
  <c r="JW14" i="132"/>
  <c r="JW21" i="132"/>
  <c r="KC14" i="132"/>
  <c r="KB8" i="132"/>
  <c r="KB20" i="132" s="1"/>
  <c r="KD7" i="132"/>
  <c r="JV7" i="132"/>
  <c r="JQ21" i="132"/>
  <c r="BX97" i="1" s="1"/>
  <c r="KA21" i="132"/>
  <c r="JS21" i="132"/>
  <c r="JR14" i="132"/>
  <c r="KA15" i="132"/>
  <c r="KE8" i="132"/>
  <c r="KA8" i="132"/>
  <c r="JU7" i="132"/>
  <c r="JV15" i="132"/>
  <c r="JV20" i="132" s="1"/>
  <c r="JT21" i="132"/>
  <c r="JR15" i="132"/>
  <c r="KC7" i="132"/>
  <c r="KC19" i="132" s="1"/>
  <c r="KF7" i="132"/>
  <c r="KF19" i="132" s="1"/>
  <c r="KC15" i="132"/>
  <c r="JQ15" i="132"/>
  <c r="JQ20" i="132" s="1"/>
  <c r="BX99" i="1" s="1"/>
  <c r="KA14" i="132"/>
  <c r="KA19" i="132" s="1"/>
  <c r="KC8" i="132"/>
  <c r="JU8" i="132"/>
  <c r="JR21" i="132"/>
  <c r="BY97" i="1" s="1"/>
  <c r="KF15" i="132"/>
  <c r="JZ7" i="132"/>
  <c r="JZ19" i="132" s="1"/>
  <c r="KH14" i="132"/>
  <c r="KH19" i="132" s="1"/>
  <c r="KG14" i="132"/>
  <c r="KG19" i="132" s="1"/>
  <c r="JY14" i="132"/>
  <c r="JQ14" i="132"/>
  <c r="JQ19" i="132" s="1"/>
  <c r="BX98" i="1" s="1"/>
  <c r="JU14" i="132"/>
  <c r="JV21" i="132"/>
  <c r="JY15" i="132"/>
  <c r="JY20" i="132" s="1"/>
  <c r="KG8" i="132"/>
  <c r="KH15" i="132"/>
  <c r="KH20" i="132" s="1"/>
  <c r="JT7" i="132"/>
  <c r="KD14" i="132"/>
  <c r="JS8" i="132"/>
  <c r="KF8" i="132"/>
  <c r="JZ21" i="132"/>
  <c r="JX14" i="132"/>
  <c r="JX19" i="132" s="1"/>
  <c r="KB7" i="132"/>
  <c r="KB19" i="132" s="1"/>
  <c r="JU21" i="132"/>
  <c r="JX15" i="132"/>
  <c r="JR7" i="132"/>
  <c r="JX8" i="132"/>
  <c r="JU15" i="132"/>
  <c r="JW7" i="132"/>
  <c r="JS7" i="132"/>
  <c r="JR8" i="132"/>
  <c r="JT14" i="132"/>
  <c r="KD15" i="132"/>
  <c r="KD20" i="132" s="1"/>
  <c r="KB21" i="132"/>
  <c r="JY7" i="132"/>
  <c r="JZ20" i="132"/>
  <c r="A1" i="130"/>
  <c r="JV19" i="132" l="1"/>
  <c r="KE20" i="132"/>
  <c r="AA42" i="1"/>
  <c r="AA73" i="1"/>
  <c r="AA82" i="1"/>
  <c r="KG20" i="132"/>
  <c r="JT20" i="132"/>
  <c r="KE19" i="132"/>
  <c r="JS19" i="132"/>
  <c r="KD19" i="132"/>
  <c r="JS20" i="132"/>
  <c r="JW19" i="132"/>
  <c r="JW20" i="132"/>
  <c r="KA20" i="132"/>
  <c r="JR20" i="132"/>
  <c r="BY99" i="1" s="1"/>
  <c r="KF20" i="132"/>
  <c r="JU20" i="132"/>
  <c r="JY19" i="132"/>
  <c r="JU19" i="132"/>
  <c r="JX20" i="132"/>
  <c r="JR19" i="132"/>
  <c r="BY98" i="1" s="1"/>
  <c r="KC20" i="132"/>
  <c r="JT19" i="132"/>
  <c r="AB48" i="1"/>
  <c r="AB49" i="1"/>
  <c r="AB47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Z35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E19" i="130" a="1"/>
  <c r="BG21" i="130" a="1"/>
  <c r="BI23" i="130" a="1"/>
  <c r="AY25" i="130" a="1"/>
  <c r="AT26" i="130" a="1"/>
  <c r="BA27" i="130" a="1"/>
  <c r="AV28" i="130" a="1"/>
  <c r="BC29" i="130" a="1"/>
  <c r="BE37" i="130" a="1"/>
  <c r="BC41" i="130" a="1"/>
  <c r="AS14" i="130" a="1"/>
  <c r="AS32" i="130" a="1"/>
  <c r="AU41" i="130" a="1"/>
  <c r="AY17" i="130" a="1"/>
  <c r="AV32" i="130" a="1"/>
  <c r="AX44" i="130" a="1"/>
  <c r="BI10" i="130" a="1"/>
  <c r="AT32" i="130" a="1"/>
  <c r="AY21" i="130" a="1"/>
  <c r="BC25" i="130" a="1"/>
  <c r="BE27" i="130" a="1"/>
  <c r="AT31" i="130" a="1"/>
  <c r="AS43" i="130" a="1"/>
  <c r="BD11" i="130" a="1"/>
  <c r="BA33" i="130" a="1"/>
  <c r="AX37" i="130" a="1"/>
  <c r="AX41" i="130" a="1"/>
  <c r="BI11" i="130" a="1"/>
  <c r="AW15" i="130" a="1"/>
  <c r="BC37" i="130" a="1"/>
  <c r="BJ44" i="130" a="1"/>
  <c r="BB26" i="130" a="1"/>
  <c r="BA36" i="130" a="1"/>
  <c r="BF39" i="130" a="1"/>
  <c r="BH34" i="130" a="1"/>
  <c r="BA40" i="130" a="1"/>
  <c r="BE16" i="130" a="1"/>
  <c r="AT39" i="130" a="1"/>
  <c r="BB48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AZ20" i="130" a="1"/>
  <c r="AU21" i="130" a="1"/>
  <c r="BB22" i="130" a="1"/>
  <c r="AW23" i="130" a="1"/>
  <c r="BD24" i="130" a="1"/>
  <c r="BF26" i="130" a="1"/>
  <c r="BH28" i="130" a="1"/>
  <c r="AS34" i="130" a="1"/>
  <c r="BG45" i="130" a="1"/>
  <c r="AZ10" i="130" a="1"/>
  <c r="BA17" i="130" a="1"/>
  <c r="AU36" i="130" a="1"/>
  <c r="AX45" i="130" a="1"/>
  <c r="AU10" i="130" a="1"/>
  <c r="BF13" i="130" a="1"/>
  <c r="AS36" i="130" a="1"/>
  <c r="BE39" i="130" a="1"/>
  <c r="BD14" i="130" a="1"/>
  <c r="AW33" i="130" a="1"/>
  <c r="AT46" i="130" a="1"/>
  <c r="BH42" i="130" a="1"/>
  <c r="BD42" i="130" a="1"/>
  <c r="AY45" i="130" a="1"/>
  <c r="BG36" i="130" a="1"/>
  <c r="BJ29" i="130" a="1"/>
  <c r="BD6" i="130" a="1"/>
  <c r="BG11" i="130" a="1"/>
  <c r="AV18" i="130" a="1"/>
  <c r="AX39" i="130" a="1"/>
  <c r="AS20" i="130" a="1"/>
  <c r="AW24" i="130" a="1"/>
  <c r="BD25" i="130" a="1"/>
  <c r="BF27" i="130" a="1"/>
  <c r="BI42" i="130" a="1"/>
  <c r="BI33" i="130" a="1"/>
  <c r="BE41" i="130" a="1"/>
  <c r="AT42" i="130" a="1"/>
  <c r="AZ5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BF17" i="130" a="1"/>
  <c r="AY32" i="130" a="1"/>
  <c r="AZ36" i="130" a="1"/>
  <c r="BB41" i="130" a="1"/>
  <c r="BC45" i="130" a="1"/>
  <c r="AY10" i="130" a="1"/>
  <c r="AT14" i="130" a="1"/>
  <c r="BD17" i="130" a="1"/>
  <c r="BB32" i="130" a="1"/>
  <c r="AY36" i="130" a="1"/>
  <c r="AU40" i="130" a="1"/>
  <c r="BD44" i="130" a="1"/>
  <c r="BI41" i="130" a="1"/>
  <c r="AS46" i="130" a="1"/>
  <c r="BD10" i="130" a="1"/>
  <c r="AY14" i="130" a="1"/>
  <c r="BI17" i="130" a="1"/>
  <c r="BH32" i="130" a="1"/>
  <c r="BD36" i="130" a="1"/>
  <c r="BD45" i="130" a="1"/>
  <c r="AS22" i="130" a="1"/>
  <c r="AU24" i="130" a="1"/>
  <c r="BB25" i="130" a="1"/>
  <c r="AY28" i="130" a="1"/>
  <c r="AT29" i="130" a="1"/>
  <c r="BF30" i="130" a="1"/>
  <c r="BI34" i="130" a="1"/>
  <c r="AW18" i="130" a="1"/>
  <c r="BF35" i="130" a="1"/>
  <c r="BI19" i="130" a="1"/>
  <c r="AT22" i="130" a="1"/>
  <c r="BH24" i="130" a="1"/>
  <c r="BH38" i="130" a="1"/>
  <c r="AV15" i="130" a="1"/>
  <c r="BE46" i="130" a="1"/>
  <c r="BC33" i="130" a="1"/>
  <c r="AZ46" i="130" a="1"/>
  <c r="AT15" i="130" a="1"/>
  <c r="BE40" i="130" a="1"/>
  <c r="BJ41" i="130" a="1"/>
  <c r="AT8" i="130" a="1"/>
  <c r="BA9" i="130" a="1"/>
  <c r="AT36" i="130" a="1"/>
  <c r="AX19" i="130" a="1"/>
  <c r="AZ21" i="130" a="1"/>
  <c r="AU22" i="130" a="1"/>
  <c r="AV29" i="130" a="1"/>
  <c r="BC35" i="130" a="1"/>
  <c r="AZ15" i="130" a="1"/>
  <c r="BH33" i="130" a="1"/>
  <c r="BB11" i="130" a="1"/>
  <c r="AV30" i="130" a="1"/>
  <c r="BA42" i="130" a="1"/>
  <c r="BJ20" i="130" a="1"/>
  <c r="BH15" i="130" a="1"/>
  <c r="BD29" i="130" a="1"/>
  <c r="AZ33" i="130" a="1"/>
  <c r="BC21" i="130" a="1"/>
  <c r="AW27" i="130" a="1"/>
  <c r="BD28" i="130" a="1"/>
  <c r="BA44" i="130" a="1"/>
  <c r="BH16" i="130" a="1"/>
  <c r="BH48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E36" i="130" a="1"/>
  <c r="AZ40" i="130" a="1"/>
  <c r="AX21" i="130" a="1"/>
  <c r="BE22" i="130" a="1"/>
  <c r="AZ23" i="130" a="1"/>
  <c r="AW26" i="130" a="1"/>
  <c r="BD27" i="130" a="1"/>
  <c r="BI46" i="130" a="1"/>
  <c r="BG14" i="130" a="1"/>
  <c r="AY18" i="130" a="1"/>
  <c r="AS37" i="130" a="1"/>
  <c r="AX26" i="130" a="1"/>
  <c r="AZ28" i="130" a="1"/>
  <c r="AW11" i="130" a="1"/>
  <c r="AY41" i="130" a="1"/>
  <c r="BA11" i="130" a="1"/>
  <c r="BH13" i="130" a="1"/>
  <c r="BD32" i="130" a="1"/>
  <c r="AS15" i="130" a="1"/>
  <c r="AW43" i="130" a="1"/>
  <c r="AT27" i="130" a="1"/>
  <c r="AV39" i="130" a="1"/>
  <c r="AY43" i="130" a="1"/>
  <c r="BG18" i="130" a="1"/>
  <c r="BF46" i="130" a="1"/>
  <c r="BF41" i="130" a="1"/>
  <c r="AU6" i="130" a="1"/>
  <c r="BI8" i="130" a="1"/>
  <c r="BH9" i="130" a="1"/>
  <c r="AX40" i="130" a="1"/>
  <c r="AS48" i="130" a="1"/>
  <c r="BH20" i="130" a="1"/>
  <c r="AS23" i="130" a="1"/>
  <c r="AU25" i="130" a="1"/>
  <c r="AY29" i="130" a="1"/>
  <c r="AV40" i="130" a="1"/>
  <c r="BG34" i="130" a="1"/>
  <c r="AV48" i="130" a="1"/>
  <c r="BG42" i="130" a="1"/>
  <c r="AW31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BG24" i="130" a="1"/>
  <c r="BI26" i="130" a="1"/>
  <c r="BC38" i="130" a="1"/>
  <c r="BC42" i="130" a="1"/>
  <c r="AX11" i="130" a="1"/>
  <c r="AU33" i="130" a="1"/>
  <c r="AX42" i="130" a="1"/>
  <c r="AY46" i="130" a="1"/>
  <c r="BI36" i="130" a="1"/>
  <c r="BF40" i="130" a="1"/>
  <c r="BF14" i="130" a="1"/>
  <c r="AW19" i="130" a="1"/>
  <c r="BD20" i="130" a="1"/>
  <c r="BF22" i="130" a="1"/>
  <c r="AV24" i="130" a="1"/>
  <c r="AS27" i="130" a="1"/>
  <c r="AU29" i="130" a="1"/>
  <c r="BI14" i="130" a="1"/>
  <c r="BF18" i="130" a="1"/>
  <c r="BJ17" i="130" a="1"/>
  <c r="AY7" i="130" a="1"/>
  <c r="BF8" i="130" a="1"/>
  <c r="AZ32" i="130" a="1"/>
  <c r="AU47" i="130" a="1"/>
  <c r="BE20" i="130" a="1"/>
  <c r="BG22" i="130" a="1"/>
  <c r="BB23" i="130" a="1"/>
  <c r="BI24" i="130" a="1"/>
  <c r="AY26" i="130" a="1"/>
  <c r="BA28" i="130" a="1"/>
  <c r="BB31" i="130" a="1"/>
  <c r="BC47" i="130" a="1"/>
  <c r="BH18" i="130" a="1"/>
  <c r="BB37" i="130" a="1"/>
  <c r="AT47" i="130" a="1"/>
  <c r="BB7" i="130" a="1"/>
  <c r="BA19" i="130" a="1"/>
  <c r="BE23" i="130" a="1"/>
  <c r="BG25" i="130" a="1"/>
  <c r="BI27" i="130" a="1"/>
  <c r="BC32" i="130" a="1"/>
  <c r="BE48" i="130" a="1"/>
  <c r="BC30" i="130" a="1"/>
  <c r="AS44" i="130" a="1"/>
  <c r="BH47" i="130" a="1"/>
  <c r="BC43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H17" i="130" a="1"/>
  <c r="AS39" i="130" a="1"/>
  <c r="BG46" i="130" a="1"/>
  <c r="BA23" i="130" a="1"/>
  <c r="AW35" i="130" a="1"/>
  <c r="AW47" i="130" a="1"/>
  <c r="BC18" i="130" a="1"/>
  <c r="AW37" i="130" a="1"/>
  <c r="BB18" i="130" a="1"/>
  <c r="BB33" i="130" a="1"/>
  <c r="AT10" i="130" a="1"/>
  <c r="BE17" i="130" a="1"/>
  <c r="BI44" i="130" a="1"/>
  <c r="BJ5" i="130" a="1"/>
  <c r="AW5" i="130" a="1"/>
  <c r="BI5" i="130" a="1"/>
  <c r="BJ32" i="130" a="1"/>
  <c r="BG6" i="130" a="1"/>
  <c r="AW8" i="130" a="1"/>
  <c r="BD12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AS25" i="130" a="1"/>
  <c r="BE25" i="130" a="1"/>
  <c r="AZ26" i="130" a="1"/>
  <c r="AU27" i="130" a="1"/>
  <c r="BG27" i="130" a="1"/>
  <c r="BB28" i="130" a="1"/>
  <c r="AW29" i="130" a="1"/>
  <c r="BH31" i="130" a="1"/>
  <c r="BH35" i="130" a="1"/>
  <c r="BA39" i="130" a="1"/>
  <c r="BE43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BF29" i="130" a="1"/>
  <c r="AX34" i="130" a="1"/>
  <c r="BH37" i="130" a="1"/>
  <c r="AV47" i="130" a="1"/>
  <c r="AV38" i="130" a="1"/>
  <c r="BB47" i="130" a="1"/>
  <c r="BJ8" i="130" a="1"/>
  <c r="BH36" i="130" a="1"/>
  <c r="AU44" i="130" a="1"/>
  <c r="AV20" i="130" a="1"/>
  <c r="AZ24" i="130" a="1"/>
  <c r="BF12" i="130" a="1"/>
  <c r="BD30" i="130" a="1"/>
  <c r="AY13" i="130" a="1"/>
  <c r="BA35" i="130" a="1"/>
  <c r="AU13" i="130" a="1"/>
  <c r="BA31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U20" i="130" a="1"/>
  <c r="BG20" i="130" a="1"/>
  <c r="BB21" i="130" a="1"/>
  <c r="AW22" i="130" a="1"/>
  <c r="BI22" i="130" a="1"/>
  <c r="BD23" i="130" a="1"/>
  <c r="AY24" i="130" a="1"/>
  <c r="AT25" i="130" a="1"/>
  <c r="BF25" i="130" a="1"/>
  <c r="BA26" i="130" a="1"/>
  <c r="AV27" i="130" a="1"/>
  <c r="BH27" i="130" a="1"/>
  <c r="BC28" i="130" a="1"/>
  <c r="AX29" i="130" a="1"/>
  <c r="AW32" i="130" a="1"/>
  <c r="AV36" i="130" a="1"/>
  <c r="BG39" i="130" a="1"/>
  <c r="AV44" i="130" a="1"/>
  <c r="AX48" i="130" a="1"/>
  <c r="BA12" i="130" a="1"/>
  <c r="AS16" i="130" a="1"/>
  <c r="AX30" i="130" a="1"/>
  <c r="BA34" i="130" a="1"/>
  <c r="AY39" i="130" a="1"/>
  <c r="BD43" i="130" a="1"/>
  <c r="BG47" i="130" a="1"/>
  <c r="AV12" i="130" a="1"/>
  <c r="BG15" i="130" a="1"/>
  <c r="BB34" i="130" a="1"/>
  <c r="BH45" i="130" a="1"/>
  <c r="AX22" i="130" a="1"/>
  <c r="AX16" i="130" a="1"/>
  <c r="BB12" i="130" a="1"/>
  <c r="AV16" i="130" a="1"/>
  <c r="AZ38" i="130" a="1"/>
  <c r="BE44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AA51" i="1" l="1"/>
  <c r="AA74" i="1"/>
  <c r="BY38" i="1"/>
  <c r="AY51" i="130" s="1"/>
  <c r="BY67" i="1" s="1"/>
  <c r="BY48" i="1" s="1"/>
  <c r="BY55" i="1" s="1"/>
  <c r="BX38" i="1" s="1"/>
  <c r="AX51" i="130" s="1"/>
  <c r="BY81" i="1" s="1"/>
  <c r="BX53" i="1" s="1"/>
  <c r="BI51" i="130" s="1"/>
  <c r="AW51" i="130" s="1"/>
  <c r="BJ51" i="130" s="1"/>
  <c r="BH51" i="130" s="1"/>
  <c r="AV51" i="130" s="1"/>
  <c r="BG51" i="130" s="1"/>
  <c r="AU51" i="130" s="1"/>
  <c r="BX80" i="1" s="1"/>
  <c r="BX87" i="1" s="1"/>
  <c r="BX59" i="1" s="1"/>
  <c r="BX77" i="1" s="1"/>
  <c r="BY53" i="1" s="1"/>
  <c r="BX44" i="1" s="1"/>
  <c r="BX66" i="1" s="1"/>
  <c r="BY44" i="1" s="1"/>
  <c r="BF51" i="130" s="1"/>
  <c r="AT51" i="130" s="1"/>
  <c r="BY87" i="1" s="1"/>
  <c r="BY76" i="1" s="1"/>
  <c r="BY59" i="1" s="1"/>
  <c r="BY66" i="1" s="1"/>
  <c r="BY68" i="1" s="1"/>
  <c r="BY78" i="1" s="1"/>
  <c r="BE51" i="130" s="1"/>
  <c r="AS51" i="130" s="1"/>
  <c r="AZ51" i="130" s="1"/>
  <c r="BX55" i="1" s="1"/>
  <c r="BX76" i="1" s="1"/>
  <c r="BY41" i="1" s="1"/>
  <c r="BD51" i="130" s="1"/>
  <c r="BY63" i="1" s="1"/>
  <c r="BX41" i="1" s="1"/>
  <c r="BC51" i="130" s="1"/>
  <c r="BX48" i="1" s="1"/>
  <c r="BX63" i="1" s="1"/>
  <c r="BY39" i="1" s="1"/>
  <c r="BB51" i="130" s="1"/>
  <c r="BX81" i="1" s="1"/>
  <c r="BY77" i="1" s="1"/>
  <c r="BY80" i="1" s="1"/>
  <c r="BX78" i="1" s="1"/>
  <c r="BX67" i="1" s="1"/>
  <c r="BX39" i="1" s="1"/>
  <c r="BA51" i="130" s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AK7" i="132" a="1"/>
  <c r="S5" i="132" a="1"/>
  <c r="DP5" i="132" a="1"/>
  <c r="O13" i="132" a="1"/>
  <c r="X16" i="132" a="1"/>
  <c r="AD48" i="130" a="1"/>
  <c r="AS9" i="132" a="1"/>
  <c r="J15" i="132" a="1"/>
  <c r="Z15" i="132" a="1"/>
  <c r="CB11" i="132" a="1"/>
  <c r="AN8" i="132" a="1"/>
  <c r="BO13" i="132" a="1"/>
  <c r="CA15" i="132" a="1"/>
  <c r="AK5" i="132" a="1"/>
  <c r="BL9" i="132" a="1"/>
  <c r="DB15" i="132" a="1"/>
  <c r="FC5" i="132" a="1"/>
  <c r="BT7" i="132" a="1"/>
  <c r="BM7" i="132" a="1"/>
  <c r="FF11" i="132" a="1"/>
  <c r="BO12" i="132" a="1"/>
  <c r="CV8" i="132" a="1"/>
  <c r="BY9" i="132" a="1"/>
  <c r="CI6" i="132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DB12" i="132" a="1"/>
  <c r="CT9" i="132" a="1"/>
  <c r="AP11" i="132" a="1"/>
  <c r="AA5" i="132" a="1"/>
  <c r="BQ12" i="132" a="1"/>
  <c r="AB7" i="132" a="1"/>
  <c r="DI14" i="132" a="1"/>
  <c r="CM14" i="132" a="1"/>
  <c r="AR25" i="130" a="1"/>
  <c r="T11" i="132" a="1"/>
  <c r="EU15" i="132" a="1"/>
  <c r="BK9" i="132" a="1"/>
  <c r="CM5" i="132" a="1"/>
  <c r="CA9" i="132" a="1"/>
  <c r="CH11" i="132" a="1"/>
  <c r="H8" i="132" a="1"/>
  <c r="AS8" i="132" a="1"/>
  <c r="AM5" i="132" a="1"/>
  <c r="DN9" i="132" a="1"/>
  <c r="AU16" i="132" a="1"/>
  <c r="BG8" i="132" a="1"/>
  <c r="BZ7" i="132" a="1"/>
  <c r="FA15" i="132" a="1"/>
  <c r="AZ8" i="132" a="1"/>
  <c r="DA16" i="132" a="1"/>
  <c r="EY9" i="132" a="1"/>
  <c r="EW7" i="132" a="1"/>
  <c r="DG11" i="132" a="1"/>
  <c r="CS13" i="132" a="1"/>
  <c r="AM48" i="130" a="1"/>
  <c r="H16" i="132" a="1"/>
  <c r="DK14" i="132" a="1"/>
  <c r="EC8" i="132" a="1"/>
  <c r="EH12" i="132" a="1"/>
  <c r="H5" i="132" a="1"/>
  <c r="DT11" i="132" a="1"/>
  <c r="DG12" i="132" a="1"/>
  <c r="AT5" i="132" a="1"/>
  <c r="BU14" i="132" a="1"/>
  <c r="AU11" i="132" a="1"/>
  <c r="DY11" i="132" a="1"/>
  <c r="DY14" i="132" a="1"/>
  <c r="EX14" i="132" a="1"/>
  <c r="AR12" i="132" a="1"/>
  <c r="AM7" i="132" a="1"/>
  <c r="AW9" i="132" a="1"/>
  <c r="BT12" i="132" a="1"/>
  <c r="AL14" i="132" a="1"/>
  <c r="J6" i="132" a="1"/>
  <c r="H6" i="132" a="1"/>
  <c r="DW9" i="132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V8" i="132" a="1"/>
  <c r="DR7" i="132" a="1"/>
  <c r="BS8" i="132" a="1"/>
  <c r="AB48" i="130" a="1"/>
  <c r="EL7" i="132" a="1"/>
  <c r="CJ5" i="132" a="1"/>
  <c r="FA7" i="132" a="1"/>
  <c r="DU9" i="132" a="1"/>
  <c r="AE48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F54" i="130" a="1"/>
  <c r="BG69" i="130" a="1"/>
  <c r="BG73" i="130" a="1"/>
  <c r="BG81" i="130" a="1"/>
  <c r="BH66" i="130" a="1"/>
  <c r="BH72" i="130" a="1"/>
  <c r="BI64" i="130" a="1"/>
  <c r="BI80" i="130" a="1"/>
  <c r="BI78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AG13" i="132" a="1"/>
  <c r="CK15" i="132" a="1"/>
  <c r="EA11" i="132" a="1"/>
  <c r="BD6" i="132" a="1"/>
  <c r="DX7" i="132" a="1"/>
  <c r="CN11" i="132" a="1"/>
  <c r="EQ16" i="132" a="1"/>
  <c r="EA13" i="132" a="1"/>
  <c r="ET11" i="132" a="1"/>
  <c r="DP16" i="132" a="1"/>
  <c r="BQ16" i="132" a="1"/>
  <c r="DU12" i="132" a="1"/>
  <c r="DL7" i="132" a="1"/>
  <c r="AY9" i="132" a="1"/>
  <c r="AR47" i="130" a="1"/>
  <c r="EI14" i="132" a="1"/>
  <c r="H12" i="132" a="1"/>
  <c r="CR7" i="132" a="1"/>
  <c r="CN6" i="132" a="1"/>
  <c r="BH5" i="132" a="1"/>
  <c r="DE11" i="132" a="1"/>
  <c r="CK16" i="132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E13" i="132" a="1"/>
  <c r="EQ13" i="132" a="1"/>
  <c r="EV5" i="132" a="1"/>
  <c r="X14" i="132" a="1"/>
  <c r="DE12" i="132" a="1"/>
  <c r="CL12" i="132" a="1"/>
  <c r="CM7" i="132" a="1"/>
  <c r="CB14" i="132" a="1"/>
  <c r="T16" i="132" a="1"/>
  <c r="I13" i="132" a="1"/>
  <c r="AP15" i="132" a="1"/>
  <c r="DN16" i="132" a="1"/>
  <c r="EZ11" i="132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O7" i="132" a="1"/>
  <c r="C5" i="132" a="1"/>
  <c r="X48" i="130" a="1"/>
  <c r="FC15" i="132" a="1"/>
  <c r="AX9" i="132" a="1"/>
  <c r="M48" i="130" a="1"/>
  <c r="DX9" i="132" a="1"/>
  <c r="AJ12" i="132" a="1"/>
  <c r="K16" i="132" a="1"/>
  <c r="S14" i="132" a="1"/>
  <c r="DB11" i="132" a="1"/>
  <c r="AP12" i="132" a="1"/>
  <c r="DH13" i="132" a="1"/>
  <c r="CS15" i="132" a="1"/>
  <c r="BF13" i="132" a="1"/>
  <c r="AJ9" i="132" a="1"/>
  <c r="BZ5" i="132" a="1"/>
  <c r="AJ15" i="132" a="1"/>
  <c r="EA14" i="132" a="1"/>
  <c r="W48" i="130" a="1"/>
  <c r="DG7" i="132" a="1"/>
  <c r="R8" i="132" a="1"/>
  <c r="AI7" i="132" a="1"/>
  <c r="AF8" i="132" a="1"/>
  <c r="EC6" i="132" a="1"/>
  <c r="ED8" i="132" a="1"/>
  <c r="AH14" i="132" a="1"/>
  <c r="BP7" i="132" a="1"/>
  <c r="EU16" i="132" a="1"/>
  <c r="BS12" i="132" a="1"/>
  <c r="CY16" i="132" a="1"/>
  <c r="EE14" i="132" a="1"/>
  <c r="AH15" i="132" a="1"/>
  <c r="AP13" i="132" a="1"/>
  <c r="EF12" i="132" a="1"/>
  <c r="BE13" i="132" a="1"/>
  <c r="BF12" i="132" a="1"/>
  <c r="EV13" i="132" a="1"/>
  <c r="EI7" i="132" a="1"/>
  <c r="K11" i="132" a="1"/>
  <c r="DO11" i="132" a="1"/>
  <c r="AW11" i="132" a="1"/>
  <c r="L6" i="132" a="1"/>
  <c r="P48" i="130" a="1"/>
  <c r="DC12" i="132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AT68" i="130" a="1"/>
  <c r="AV54" i="130" a="1"/>
  <c r="AX75" i="130" a="1"/>
  <c r="BA68" i="130" a="1"/>
  <c r="BC79" i="130" a="1"/>
  <c r="BD61" i="130" a="1"/>
  <c r="BF63" i="130" a="1"/>
  <c r="BG60" i="130" a="1"/>
  <c r="BI58" i="130" a="1"/>
  <c r="T8" i="132" a="1"/>
  <c r="AW14" i="132" a="1"/>
  <c r="CV5" i="132" a="1"/>
  <c r="DS9" i="132" a="1"/>
  <c r="S11" i="132" a="1"/>
  <c r="J48" i="130" a="1"/>
  <c r="BE14" i="132" a="1"/>
  <c r="AW15" i="132" a="1"/>
  <c r="AG16" i="132" a="1"/>
  <c r="DM5" i="132" a="1"/>
  <c r="Z16" i="132" a="1"/>
  <c r="O11" i="132" a="1"/>
  <c r="CI14" i="132" a="1"/>
  <c r="I16" i="132" a="1"/>
  <c r="AH48" i="130" a="1"/>
  <c r="CK11" i="132" a="1"/>
  <c r="D13" i="132" a="1"/>
  <c r="BD11" i="132" a="1"/>
  <c r="DV7" i="132" a="1"/>
  <c r="DP15" i="132" a="1"/>
  <c r="EU12" i="132" a="1"/>
  <c r="DW8" i="132" a="1"/>
  <c r="DS11" i="132" a="1"/>
  <c r="DS8" i="132" a="1"/>
  <c r="CQ6" i="132" a="1"/>
  <c r="EA12" i="132" a="1"/>
  <c r="DZ8" i="132" a="1"/>
  <c r="R15" i="132" a="1"/>
  <c r="DF14" i="132" a="1"/>
  <c r="CQ12" i="132" a="1"/>
  <c r="BZ9" i="132" a="1"/>
  <c r="BQ13" i="132" a="1"/>
  <c r="BT6" i="132" a="1"/>
  <c r="EN15" i="132" a="1"/>
  <c r="AH13" i="132" a="1"/>
  <c r="BW5" i="132" a="1"/>
  <c r="EA6" i="132" a="1"/>
  <c r="CH14" i="132" a="1"/>
  <c r="CZ15" i="132" a="1"/>
  <c r="ES7" i="132" a="1"/>
  <c r="EI16" i="132" a="1"/>
  <c r="CY12" i="132" a="1"/>
  <c r="DF15" i="132" a="1"/>
  <c r="DD12" i="132" a="1"/>
  <c r="M11" i="132" a="1"/>
  <c r="EM16" i="132" a="1"/>
  <c r="AG11" i="132" a="1"/>
  <c r="CQ5" i="132" a="1"/>
  <c r="CH15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AT59" i="130" a="1"/>
  <c r="AV81" i="130" a="1"/>
  <c r="AX69" i="130" a="1"/>
  <c r="BA62" i="130" a="1"/>
  <c r="BC80" i="130" a="1"/>
  <c r="BD59" i="130" a="1"/>
  <c r="BF60" i="130" a="1"/>
  <c r="BH78" i="130" a="1"/>
  <c r="BI54" i="130" a="1"/>
  <c r="EJ12" i="132" a="1"/>
  <c r="CR12" i="132" a="1"/>
  <c r="AR33" i="130" a="1"/>
  <c r="EP12" i="132" a="1"/>
  <c r="V16" i="132" a="1"/>
  <c r="EQ14" i="132" a="1"/>
  <c r="BR12" i="132" a="1"/>
  <c r="EG15" i="132" a="1"/>
  <c r="AC12" i="132" a="1"/>
  <c r="ES8" i="132" a="1"/>
  <c r="AM14" i="132" a="1"/>
  <c r="BS9" i="132" a="1"/>
  <c r="EJ5" i="132" a="1"/>
  <c r="DP11" i="132" a="1"/>
  <c r="EC14" i="132" a="1"/>
  <c r="ET5" i="132" a="1"/>
  <c r="BW13" i="132" a="1"/>
  <c r="DP14" i="132" a="1"/>
  <c r="AQ48" i="130" a="1"/>
  <c r="BC8" i="132" a="1"/>
  <c r="Y9" i="132" a="1"/>
  <c r="CA14" i="132" a="1"/>
  <c r="ET15" i="132" a="1"/>
  <c r="BD16" i="132" a="1"/>
  <c r="BJ12" i="132" a="1"/>
  <c r="M14" i="132" a="1"/>
  <c r="Q11" i="132" a="1"/>
  <c r="DB14" i="132" a="1"/>
  <c r="G48" i="130" a="1"/>
  <c r="EZ6" i="132" a="1"/>
  <c r="AF6" i="132" a="1"/>
  <c r="AN12" i="132" a="1"/>
  <c r="AE6" i="132" a="1"/>
  <c r="AR48" i="130" a="1"/>
  <c r="DW15" i="132" a="1"/>
  <c r="EQ12" i="132" a="1"/>
  <c r="E9" i="132" a="1"/>
  <c r="EP13" i="132" a="1"/>
  <c r="CM9" i="132" a="1"/>
  <c r="EY6" i="132" a="1"/>
  <c r="AE15" i="132" a="1"/>
  <c r="CJ15" i="132" a="1"/>
  <c r="CE9" i="132" a="1"/>
  <c r="DQ9" i="132" a="1"/>
  <c r="L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BJ55" i="130" a="1"/>
  <c r="AT64" i="130" a="1"/>
  <c r="AV79" i="130" a="1"/>
  <c r="AY66" i="130" a="1"/>
  <c r="BA66" i="130" a="1"/>
  <c r="BC73" i="130" a="1"/>
  <c r="BD56" i="130" a="1"/>
  <c r="BF58" i="130" a="1"/>
  <c r="BH77" i="130" a="1"/>
  <c r="BI83" i="130" a="1"/>
  <c r="BH7" i="132" a="1"/>
  <c r="CZ8" i="132" a="1"/>
  <c r="DW7" i="132" a="1"/>
  <c r="EQ6" i="132" a="1"/>
  <c r="ET14" i="132" a="1"/>
  <c r="AJ48" i="130" a="1"/>
  <c r="AK8" i="132" a="1"/>
  <c r="DT5" i="132" a="1"/>
  <c r="FF7" i="132" a="1"/>
  <c r="R11" i="132" a="1"/>
  <c r="AV5" i="132" a="1"/>
  <c r="AA16" i="132" a="1"/>
  <c r="BX6" i="132" a="1"/>
  <c r="EM14" i="132" a="1"/>
  <c r="AW13" i="132" a="1"/>
  <c r="AI5" i="132" a="1"/>
  <c r="M6" i="132" a="1"/>
  <c r="S13" i="132" a="1"/>
  <c r="AA6" i="132" a="1"/>
  <c r="AQ13" i="132" a="1"/>
  <c r="BI8" i="132" a="1"/>
  <c r="V14" i="132" a="1"/>
  <c r="DD14" i="132" a="1"/>
  <c r="CU15" i="132" a="1"/>
  <c r="FF16" i="132" a="1"/>
  <c r="CH16" i="132" a="1"/>
  <c r="EB8" i="132" a="1"/>
  <c r="Y12" i="132" a="1"/>
  <c r="EC5" i="132" a="1"/>
  <c r="O14" i="132" a="1"/>
  <c r="BU13" i="132" a="1"/>
  <c r="AV11" i="132" a="1"/>
  <c r="CO13" i="132" a="1"/>
  <c r="DZ9" i="132" a="1"/>
  <c r="EZ9" i="132" a="1"/>
  <c r="BQ9" i="132" a="1"/>
  <c r="AR14" i="132" a="1"/>
  <c r="BX16" i="132" a="1"/>
  <c r="AV6" i="132" a="1"/>
  <c r="AR16" i="130" a="1"/>
  <c r="CS8" i="132" a="1"/>
  <c r="BZ14" i="132" a="1"/>
  <c r="DR13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EQ8" i="132" a="1"/>
  <c r="DT13" i="132" a="1"/>
  <c r="DI5" i="132" a="1"/>
  <c r="AR8" i="130" a="1"/>
  <c r="CI16" i="132" a="1"/>
  <c r="BY5" i="132" a="1"/>
  <c r="BJ15" i="132" a="1"/>
  <c r="Z8" i="132" a="1"/>
  <c r="CM8" i="132" a="1"/>
  <c r="CA6" i="132" a="1"/>
  <c r="EI12" i="132" a="1"/>
  <c r="DK11" i="132" a="1"/>
  <c r="AP16" i="132" a="1"/>
  <c r="DF5" i="132" a="1"/>
  <c r="R13" i="132" a="1"/>
  <c r="BH9" i="132" a="1"/>
  <c r="DG15" i="132" a="1"/>
  <c r="CP5" i="132" a="1"/>
  <c r="CV9" i="132" a="1"/>
  <c r="BL16" i="132" a="1"/>
  <c r="EB16" i="132" a="1"/>
  <c r="DV6" i="132" a="1"/>
  <c r="BS15" i="132" a="1"/>
  <c r="AR21" i="130" a="1"/>
  <c r="R16" i="132" a="1"/>
  <c r="EO14" i="132" a="1"/>
  <c r="BJ79" i="130" a="1"/>
  <c r="AT53" i="130" a="1"/>
  <c r="AV78" i="130" a="1"/>
  <c r="AY55" i="130" a="1"/>
  <c r="BA83" i="130" a="1"/>
  <c r="BC74" i="130" a="1"/>
  <c r="BE54" i="130" a="1"/>
  <c r="BF57" i="130" a="1"/>
  <c r="BH70" i="130" a="1"/>
  <c r="BI63" i="130" a="1"/>
  <c r="DO9" i="132" a="1"/>
  <c r="W11" i="132" a="1"/>
  <c r="F48" i="130" a="1"/>
  <c r="M16" i="132" a="1"/>
  <c r="CU8" i="132" a="1"/>
  <c r="AM11" i="132" a="1"/>
  <c r="AB15" i="132" a="1"/>
  <c r="X8" i="132" a="1"/>
  <c r="BR6" i="132" a="1"/>
  <c r="DI15" i="132" a="1"/>
  <c r="BX7" i="132" a="1"/>
  <c r="CV16" i="132" a="1"/>
  <c r="J12" i="132" a="1"/>
  <c r="DR11" i="132" a="1"/>
  <c r="AV7" i="132" a="1"/>
  <c r="CB9" i="132" a="1"/>
  <c r="AE14" i="132" a="1"/>
  <c r="DS16" i="132" a="1"/>
  <c r="CF8" i="132" a="1"/>
  <c r="BP5" i="132" a="1"/>
  <c r="EN5" i="132" a="1"/>
  <c r="G6" i="132" a="1"/>
  <c r="BL11" i="132" a="1"/>
  <c r="P12" i="132" a="1"/>
  <c r="DM6" i="132" a="1"/>
  <c r="BN8" i="132" a="1"/>
  <c r="ET7" i="132" a="1"/>
  <c r="EV12" i="132" a="1"/>
  <c r="BM9" i="132" a="1"/>
  <c r="DM12" i="132" a="1"/>
  <c r="AG9" i="132" a="1"/>
  <c r="Y16" i="132" a="1"/>
  <c r="DR14" i="132" a="1"/>
  <c r="CD12" i="132" a="1"/>
  <c r="EX7" i="132" a="1"/>
  <c r="EF7" i="132" a="1"/>
  <c r="CT7" i="132" a="1"/>
  <c r="DF16" i="132" a="1"/>
  <c r="BL6" i="132" a="1"/>
  <c r="H15" i="132" a="1"/>
  <c r="CS12" i="132" a="1"/>
  <c r="EM8" i="132" a="1"/>
  <c r="AR6" i="132" a="1"/>
  <c r="EF6" i="132" a="1"/>
  <c r="CP12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BJ62" i="130" a="1"/>
  <c r="AT66" i="130" a="1"/>
  <c r="AW81" i="130" a="1"/>
  <c r="AY60" i="130" a="1"/>
  <c r="BA53" i="130" a="1"/>
  <c r="BC65" i="130" a="1"/>
  <c r="BE83" i="130" a="1"/>
  <c r="BF80" i="130" a="1"/>
  <c r="BH74" i="130" a="1"/>
  <c r="BI62" i="130" a="1"/>
  <c r="CS14" i="132" a="1"/>
  <c r="AF11" i="132" a="1"/>
  <c r="EU7" i="132" a="1"/>
  <c r="DY6" i="132" a="1"/>
  <c r="AR11" i="130" a="1"/>
  <c r="CY7" i="132" a="1"/>
  <c r="F13" i="132" a="1"/>
  <c r="ED13" i="132" a="1"/>
  <c r="EI9" i="132" a="1"/>
  <c r="EA8" i="132" a="1"/>
  <c r="CK9" i="132" a="1"/>
  <c r="F16" i="132" a="1"/>
  <c r="ES15" i="132" a="1"/>
  <c r="CU11" i="132" a="1"/>
  <c r="AC7" i="132" a="1"/>
  <c r="DD11" i="132" a="1"/>
  <c r="AZ14" i="132" a="1"/>
  <c r="AP9" i="132" a="1"/>
  <c r="K15" i="132" a="1"/>
  <c r="BO6" i="132" a="1"/>
  <c r="CO11" i="132" a="1"/>
  <c r="BL15" i="132" a="1"/>
  <c r="DF8" i="132" a="1"/>
  <c r="AR44" i="130" a="1"/>
  <c r="EY8" i="132" a="1"/>
  <c r="DA6" i="132" a="1"/>
  <c r="AR13" i="130" a="1"/>
  <c r="EO5" i="132" a="1"/>
  <c r="CC6" i="132" a="1"/>
  <c r="DQ13" i="132" a="1"/>
  <c r="DK7" i="132" a="1"/>
  <c r="AA48" i="130" a="1"/>
  <c r="EP8" i="132" a="1"/>
  <c r="CI11" i="132" a="1"/>
  <c r="AR7" i="130" a="1"/>
  <c r="AH5" i="132" a="1"/>
  <c r="DE9" i="132" a="1"/>
  <c r="BV15" i="132" a="1"/>
  <c r="U7" i="132" a="1"/>
  <c r="AP7" i="132" a="1"/>
  <c r="CS5" i="132" a="1"/>
  <c r="Z11" i="132" a="1"/>
  <c r="EQ15" i="132" a="1"/>
  <c r="DI9" i="132" a="1"/>
  <c r="EY13" i="132" a="1"/>
  <c r="O5" i="132" a="1"/>
  <c r="CE11" i="132" a="1"/>
  <c r="AW8" i="132" a="1"/>
  <c r="DO7" i="132" a="1"/>
  <c r="AF15" i="132" a="1"/>
  <c r="F12" i="132" a="1"/>
  <c r="CM6" i="132" a="1"/>
  <c r="DJ16" i="132" a="1"/>
  <c r="AW16" i="132" a="1"/>
  <c r="BZ15" i="132" a="1"/>
  <c r="EI8" i="132" a="1"/>
  <c r="M12" i="132" a="1"/>
  <c r="ET6" i="132" a="1"/>
  <c r="AH16" i="132" a="1"/>
  <c r="AR34" i="130" a="1"/>
  <c r="EP5" i="132" a="1"/>
  <c r="EX9" i="132" a="1"/>
  <c r="R7" i="132" a="1"/>
  <c r="CR11" i="132" a="1"/>
  <c r="AC14" i="132" a="1"/>
  <c r="EP14" i="132" a="1"/>
  <c r="CZ13" i="132" a="1"/>
  <c r="EW9" i="132" a="1"/>
  <c r="DP8" i="132" a="1"/>
  <c r="DB13" i="132" a="1"/>
  <c r="BI14" i="132" a="1"/>
  <c r="CQ11" i="132" a="1"/>
  <c r="BE12" i="132" a="1"/>
  <c r="AV15" i="132" a="1"/>
  <c r="AY6" i="132" a="1"/>
  <c r="AM9" i="132" a="1"/>
  <c r="AS12" i="132" a="1"/>
  <c r="BA15" i="132" a="1"/>
  <c r="CE12" i="132" a="1"/>
  <c r="BJ9" i="132" a="1"/>
  <c r="CG8" i="132" a="1"/>
  <c r="DU7" i="132" a="1"/>
  <c r="I7" i="132" a="1"/>
  <c r="CF16" i="132" a="1"/>
  <c r="AN14" i="132" a="1"/>
  <c r="DX8" i="132" a="1"/>
  <c r="FA14" i="132" a="1"/>
  <c r="I11" i="132" a="1"/>
  <c r="DA8" i="132" a="1"/>
  <c r="AM6" i="132" a="1"/>
  <c r="AX8" i="132" a="1"/>
  <c r="AT11" i="132" a="1"/>
  <c r="CS11" i="132" a="1"/>
  <c r="BE16" i="132" a="1"/>
  <c r="CI13" i="132" a="1"/>
  <c r="CK13" i="132" a="1"/>
  <c r="CB5" i="132" a="1"/>
  <c r="D9" i="132" a="1"/>
  <c r="BF15" i="132" a="1"/>
  <c r="X15" i="132" a="1"/>
  <c r="BM12" i="132" a="1"/>
  <c r="EV6" i="132" a="1"/>
  <c r="DI11" i="132" a="1"/>
  <c r="ED6" i="132" a="1"/>
  <c r="P13" i="132" a="1"/>
  <c r="AD8" i="132" a="1"/>
  <c r="BE7" i="132" a="1"/>
  <c r="DH11" i="132" a="1"/>
  <c r="ES16" i="132" a="1"/>
  <c r="X9" i="132" a="1"/>
  <c r="CP15" i="132" a="1"/>
  <c r="AM13" i="132" a="1"/>
  <c r="AC5" i="132" a="1"/>
  <c r="BR8" i="132" a="1"/>
  <c r="DG5" i="132" a="1"/>
  <c r="U5" i="132" a="1"/>
  <c r="EW13" i="132" a="1"/>
  <c r="BJ56" i="130" a="1"/>
  <c r="AT62" i="130" a="1"/>
  <c r="AW68" i="130" a="1"/>
  <c r="AY58" i="130" a="1"/>
  <c r="BA76" i="130" a="1"/>
  <c r="BC63" i="130" a="1"/>
  <c r="BE75" i="130" a="1"/>
  <c r="BF75" i="130" a="1"/>
  <c r="BH68" i="130" a="1"/>
  <c r="A3" i="3"/>
  <c r="CF15" i="132" a="1"/>
  <c r="AR19" i="130" a="1"/>
  <c r="EO15" i="132" a="1"/>
  <c r="K13" i="132" a="1"/>
  <c r="X7" i="132" a="1"/>
  <c r="T12" i="132" a="1"/>
  <c r="DM8" i="132" a="1"/>
  <c r="EN8" i="132" a="1"/>
  <c r="N12" i="132" a="1"/>
  <c r="AK12" i="132" a="1"/>
  <c r="F9" i="132" a="1"/>
  <c r="AO48" i="130" a="1"/>
  <c r="AQ15" i="132" a="1"/>
  <c r="DF6" i="132" a="1"/>
  <c r="EB14" i="132" a="1"/>
  <c r="DO5" i="132" a="1"/>
  <c r="AN15" i="132" a="1"/>
  <c r="DH14" i="132" a="1"/>
  <c r="J16" i="132" a="1"/>
  <c r="BX13" i="132" a="1"/>
  <c r="BB16" i="132" a="1"/>
  <c r="EX11" i="132" a="1"/>
  <c r="U16" i="132" a="1"/>
  <c r="AQ9" i="132" a="1"/>
  <c r="CH6" i="132" a="1"/>
  <c r="AX11" i="132" a="1"/>
  <c r="L16" i="132" a="1"/>
  <c r="D16" i="132" a="1"/>
  <c r="AY16" i="132" a="1"/>
  <c r="BT13" i="132" a="1"/>
  <c r="AH11" i="132" a="1"/>
  <c r="ES9" i="132" a="1"/>
  <c r="T48" i="130" a="1"/>
  <c r="CK8" i="132" a="1"/>
  <c r="AR5" i="130" a="1"/>
  <c r="EL15" i="132" a="1"/>
  <c r="CL5" i="132" a="1"/>
  <c r="EE7" i="132" a="1"/>
  <c r="EW8" i="132" a="1"/>
  <c r="ER9" i="132" a="1"/>
  <c r="BK14" i="132" a="1"/>
  <c r="AU9" i="132" a="1"/>
  <c r="BH16" i="132" a="1"/>
  <c r="CR6" i="132" a="1"/>
  <c r="DD9" i="132" a="1"/>
  <c r="C13" i="132" a="1"/>
  <c r="BI9" i="132" a="1"/>
  <c r="FA11" i="132" a="1"/>
  <c r="FF6" i="132" a="1"/>
  <c r="ER13" i="132" a="1"/>
  <c r="FF12" i="132" a="1"/>
  <c r="DR15" i="132" a="1"/>
  <c r="L8" i="132" a="1"/>
  <c r="BN11" i="132" a="1"/>
  <c r="CT16" i="132" a="1"/>
  <c r="DT6" i="132" a="1"/>
  <c r="X12" i="132" a="1"/>
  <c r="CK14" i="132" a="1"/>
  <c r="CL16" i="132" a="1"/>
  <c r="CA5" i="132" a="1"/>
  <c r="K12" i="132" a="1"/>
  <c r="DL6" i="132" a="1"/>
  <c r="DV5" i="132" a="1"/>
  <c r="FB12" i="132" a="1"/>
  <c r="AV13" i="132" a="1"/>
  <c r="AG6" i="132" a="1"/>
  <c r="DY5" i="132" a="1"/>
  <c r="S48" i="130" a="1"/>
  <c r="DH15" i="132" a="1"/>
  <c r="CV14" i="132" a="1"/>
  <c r="DN6" i="132" a="1"/>
  <c r="EZ14" i="132" a="1"/>
  <c r="Q8" i="132" a="1"/>
  <c r="BE11" i="132" a="1"/>
  <c r="BJ61" i="130" a="1"/>
  <c r="AU70" i="130" a="1"/>
  <c r="AW66" i="130" a="1"/>
  <c r="AY74" i="130" a="1"/>
  <c r="BB71" i="130" a="1"/>
  <c r="BD81" i="130" a="1"/>
  <c r="BE78" i="130" a="1"/>
  <c r="BG80" i="130" a="1"/>
  <c r="BH73" i="130" a="1"/>
  <c r="ET9" i="132" a="1"/>
  <c r="BS14" i="132" a="1"/>
  <c r="CN16" i="132" a="1"/>
  <c r="BU8" i="132" a="1"/>
  <c r="CF6" i="132" a="1"/>
  <c r="G7" i="132" a="1"/>
  <c r="BP8" i="132" a="1"/>
  <c r="ES14" i="132" a="1"/>
  <c r="CY15" i="132" a="1"/>
  <c r="BB15" i="132" a="1"/>
  <c r="ER11" i="132" a="1"/>
  <c r="AT13" i="132" a="1"/>
  <c r="G14" i="132" a="1"/>
  <c r="AR36" i="130" a="1"/>
  <c r="AT6" i="132" a="1"/>
  <c r="Z48" i="130" a="1"/>
  <c r="CP6" i="132" a="1"/>
  <c r="AS5" i="132" a="1"/>
  <c r="EH6" i="132" a="1"/>
  <c r="CC12" i="132" a="1"/>
  <c r="DG6" i="132" a="1"/>
  <c r="BW16" i="132" a="1"/>
  <c r="AZ13" i="132" a="1"/>
  <c r="AZ12" i="132" a="1"/>
  <c r="Y48" i="130" a="1"/>
  <c r="CB13" i="132" a="1"/>
  <c r="DS14" i="132" a="1"/>
  <c r="AQ6" i="132" a="1"/>
  <c r="DA9" i="132" a="1"/>
  <c r="EC9" i="132" a="1"/>
  <c r="CF5" i="132" a="1"/>
  <c r="EU14" i="132" a="1"/>
  <c r="AR37" i="130" a="1"/>
  <c r="BX12" i="132" a="1"/>
  <c r="CX15" i="132" a="1"/>
  <c r="EC12" i="132" a="1"/>
  <c r="CW13" i="132" a="1"/>
  <c r="D48" i="130" a="1"/>
  <c r="BV14" i="132" a="1"/>
  <c r="DB6" i="132" a="1"/>
  <c r="S8" i="132" a="1"/>
  <c r="AJ5" i="132" a="1"/>
  <c r="AD16" i="132" a="1"/>
  <c r="CO6" i="132" a="1"/>
  <c r="AM1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BJ57" i="130" a="1"/>
  <c r="AU63" i="130" a="1"/>
  <c r="AW62" i="130" a="1"/>
  <c r="AY69" i="130" a="1"/>
  <c r="BB69" i="130" a="1"/>
  <c r="BD77" i="130" a="1"/>
  <c r="BE55" i="130" a="1"/>
  <c r="BG82" i="130" a="1"/>
  <c r="BH53" i="130" a="1"/>
  <c r="EW15" i="132" a="1"/>
  <c r="AK15" i="132" a="1"/>
  <c r="BC5" i="132" a="1"/>
  <c r="W13" i="132" a="1"/>
  <c r="AR24" i="130" a="1"/>
  <c r="DM9" i="132" a="1"/>
  <c r="AB11" i="132" a="1"/>
  <c r="BK12" i="132" a="1"/>
  <c r="EJ9" i="132" a="1"/>
  <c r="EQ9" i="132" a="1"/>
  <c r="EK13" i="132" a="1"/>
  <c r="AR15" i="130" a="1"/>
  <c r="EW5" i="132" a="1"/>
  <c r="AK9" i="132" a="1"/>
  <c r="BP6" i="132" a="1"/>
  <c r="BK5" i="132" a="1"/>
  <c r="AC16" i="132" a="1"/>
  <c r="BH11" i="132" a="1"/>
  <c r="BG14" i="132" a="1"/>
  <c r="BL14" i="132" a="1"/>
  <c r="AZ11" i="132" a="1"/>
  <c r="AA8" i="132" a="1"/>
  <c r="DC15" i="132" a="1"/>
  <c r="DP6" i="132" a="1"/>
  <c r="CZ16" i="132" a="1"/>
  <c r="AH12" i="132" a="1"/>
  <c r="EI13" i="132" a="1"/>
  <c r="AS79" i="130" a="1"/>
  <c r="AU62" i="130" a="1"/>
  <c r="AW54" i="130" a="1"/>
  <c r="AZ74" i="130" a="1"/>
  <c r="BB66" i="130" a="1"/>
  <c r="BD63" i="130" a="1"/>
  <c r="BE73" i="130" a="1"/>
  <c r="BG59" i="130" a="1"/>
  <c r="BH80" i="130" a="1"/>
  <c r="W7" i="132" a="1"/>
  <c r="EU11" i="132" a="1"/>
  <c r="AS11" i="132" a="1"/>
  <c r="DX5" i="132" a="1"/>
  <c r="DO14" i="132" a="1"/>
  <c r="EN7" i="132" a="1"/>
  <c r="EZ13" i="132" a="1"/>
  <c r="DT9" i="132" a="1"/>
  <c r="AN7" i="132" a="1"/>
  <c r="EA7" i="132" a="1"/>
  <c r="CJ8" i="132" a="1"/>
  <c r="DC14" i="132" a="1"/>
  <c r="CN8" i="132" a="1"/>
  <c r="FC11" i="132" a="1"/>
  <c r="BD5" i="132" a="1"/>
  <c r="EY16" i="132" a="1"/>
  <c r="DM14" i="132" a="1"/>
  <c r="AJ11" i="132" a="1"/>
  <c r="DE14" i="132" a="1"/>
  <c r="CK12" i="132" a="1"/>
  <c r="BA5" i="132" a="1"/>
  <c r="EM7" i="132" a="1"/>
  <c r="CQ15" i="132" a="1"/>
  <c r="DL8" i="132" a="1"/>
  <c r="T9" i="132" a="1"/>
  <c r="CC9" i="132" a="1"/>
  <c r="EL13" i="132" a="1"/>
  <c r="BE5" i="132" a="1"/>
  <c r="U13" i="132" a="1"/>
  <c r="S7" i="132" a="1"/>
  <c r="CW6" i="132" a="1"/>
  <c r="CP9" i="132" a="1"/>
  <c r="AK13" i="132" a="1"/>
  <c r="H48" i="130" a="1"/>
  <c r="CW8" i="132" a="1"/>
  <c r="BP11" i="132" a="1"/>
  <c r="EY7" i="132" a="1"/>
  <c r="EN14" i="132" a="1"/>
  <c r="CP7" i="132" a="1"/>
  <c r="BF11" i="132" a="1"/>
  <c r="BD13" i="132" a="1"/>
  <c r="AR23" i="130" a="1"/>
  <c r="DB16" i="132" a="1"/>
  <c r="BJ5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AS78" i="130" a="1"/>
  <c r="AU57" i="130" a="1"/>
  <c r="AX77" i="130" a="1"/>
  <c r="AZ53" i="130" a="1"/>
  <c r="BB57" i="130" a="1"/>
  <c r="BD54" i="130" a="1"/>
  <c r="BE60" i="130" a="1"/>
  <c r="BG77" i="130" a="1"/>
  <c r="BI73" i="130" a="1"/>
  <c r="AC13" i="132" a="1"/>
  <c r="BP12" i="132" a="1"/>
  <c r="EG9" i="132" a="1"/>
  <c r="N11" i="132" a="1"/>
  <c r="AS15" i="132" a="1"/>
  <c r="C6" i="132" a="1"/>
  <c r="BH12" i="132" a="1"/>
  <c r="CX14" i="132" a="1"/>
  <c r="AD11" i="132" a="1"/>
  <c r="E11" i="132" a="1"/>
  <c r="BF16" i="132" a="1"/>
  <c r="BN7" i="132" a="1"/>
  <c r="CQ16" i="132" a="1"/>
  <c r="DU15" i="132" a="1"/>
  <c r="CT5" i="132" a="1"/>
  <c r="CW9" i="132" a="1"/>
  <c r="EZ5" i="132" a="1"/>
  <c r="Y7" i="132" a="1"/>
  <c r="AR15" i="132" a="1"/>
  <c r="DX16" i="132" a="1"/>
  <c r="AX14" i="132" a="1"/>
  <c r="ER5" i="132" a="1"/>
  <c r="CJ6" i="132" a="1"/>
  <c r="Q14" i="132" a="1"/>
  <c r="DJ9" i="132" a="1"/>
  <c r="DX12" i="132" a="1"/>
  <c r="AL12" i="132" a="1"/>
  <c r="P5" i="132" a="1"/>
  <c r="CQ8" i="132" a="1"/>
  <c r="AI11" i="132" a="1"/>
  <c r="BF5" i="132" a="1"/>
  <c r="CA8" i="132" a="1"/>
  <c r="DZ12" i="132" a="1"/>
  <c r="EM15" i="132" a="1"/>
  <c r="FB13" i="132" a="1"/>
  <c r="EB15" i="132" a="1"/>
  <c r="BA9" i="132" a="1"/>
  <c r="BH14" i="132" a="1"/>
  <c r="DY16" i="132" a="1"/>
  <c r="G16" i="132" a="1"/>
  <c r="AF14" i="132" a="1"/>
  <c r="EU6" i="132" a="1"/>
  <c r="DT15" i="132" a="1"/>
  <c r="ER16" i="132" a="1"/>
  <c r="EU13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AS72" i="130" a="1"/>
  <c r="AV67" i="130" a="1"/>
  <c r="AX58" i="130" a="1"/>
  <c r="AZ64" i="130" a="1"/>
  <c r="BC69" i="130" a="1"/>
  <c r="BD65" i="130" a="1"/>
  <c r="BF62" i="130" a="1"/>
  <c r="BG78" i="130" a="1"/>
  <c r="BI77" i="130" a="1"/>
  <c r="EG7" i="132" a="1"/>
  <c r="DQ7" i="132" a="1"/>
  <c r="I48" i="130" a="1"/>
  <c r="AL13" i="132" a="1"/>
  <c r="EY14" i="132" a="1"/>
  <c r="BE8" i="132" a="1"/>
  <c r="AR6" i="130" a="1"/>
  <c r="DJ11" i="132" a="1"/>
  <c r="EA15" i="132" a="1"/>
  <c r="O7" i="132" a="1"/>
  <c r="BZ6" i="132" a="1"/>
  <c r="DF9" i="132" a="1"/>
  <c r="EJ14" i="132" a="1"/>
  <c r="AH8" i="132" a="1"/>
  <c r="F15" i="132" a="1"/>
  <c r="BS7" i="132" a="1"/>
  <c r="FC8" i="132" a="1"/>
  <c r="DK16" i="132" a="1"/>
  <c r="BU11" i="132" a="1"/>
  <c r="U15" i="132" a="1"/>
  <c r="CH5" i="132" a="1"/>
  <c r="BV5" i="132" a="1"/>
  <c r="BY16" i="132" a="1"/>
  <c r="AR35" i="130" a="1"/>
  <c r="BU12" i="132" a="1"/>
  <c r="BI79" i="130" a="1"/>
  <c r="BM11" i="132" a="1"/>
  <c r="V48" i="130" a="1"/>
  <c r="BY6" i="132" a="1"/>
  <c r="CZ5" i="132" a="1"/>
  <c r="AD6" i="132" a="1"/>
  <c r="C3" i="125" a="1"/>
  <c r="DQ12" i="132" a="1"/>
  <c r="AV14" i="132" a="1"/>
  <c r="DD15" i="132" a="1"/>
  <c r="FF15" i="132" a="1"/>
  <c r="BK13" i="132" a="1"/>
  <c r="CG5" i="132" a="1"/>
  <c r="DZ6" i="132" a="1"/>
  <c r="AN9" i="132" a="1"/>
  <c r="EZ12" i="132" a="1"/>
  <c r="ED14" i="132" a="1"/>
  <c r="FF13" i="132" a="1"/>
  <c r="AT8" i="132" a="1"/>
  <c r="AZ16" i="132" a="1"/>
  <c r="I5" i="132" a="1"/>
  <c r="CK7" i="132" a="1"/>
  <c r="EG12" i="132" a="1"/>
  <c r="N13" i="132" a="1"/>
  <c r="BM5" i="132" a="1"/>
  <c r="AI15" i="132" a="1"/>
  <c r="CB6" i="132" a="1"/>
  <c r="BC16" i="132" a="1"/>
  <c r="CW7" i="132" a="1"/>
  <c r="EL5" i="132" a="1"/>
  <c r="AD9" i="132" a="1"/>
  <c r="CJ16" i="132" a="1"/>
  <c r="EV7" i="132" a="1"/>
  <c r="DZ16" i="132" a="1"/>
  <c r="Z5" i="132" a="1"/>
  <c r="FB8" i="132" a="1"/>
  <c r="AL7" i="132" a="1"/>
  <c r="CD7" i="132" a="1"/>
  <c r="I12" i="132" a="1"/>
  <c r="AD7" i="132" a="1"/>
  <c r="DU5" i="132" a="1"/>
  <c r="K8" i="132" a="1"/>
  <c r="EX13" i="132" a="1"/>
  <c r="DL14" i="132" a="1"/>
  <c r="DU6" i="132" a="1"/>
  <c r="AR29" i="130" a="1"/>
  <c r="AT14" i="132" a="1"/>
  <c r="BJ13" i="132" a="1"/>
  <c r="ET8" i="132" a="1"/>
  <c r="DV14" i="132" a="1"/>
  <c r="BI12" i="132" a="1"/>
  <c r="AZ15" i="132" a="1"/>
  <c r="DC9" i="132" a="1"/>
  <c r="EL6" i="132" a="1"/>
  <c r="DP7" i="132" a="1"/>
  <c r="U9" i="132" a="1"/>
  <c r="CF11" i="132" a="1"/>
  <c r="EB9" i="132" a="1"/>
  <c r="FB15" i="132" a="1"/>
  <c r="U11" i="132" a="1"/>
  <c r="H11" i="132" a="1"/>
  <c r="EJ11" i="132" a="1"/>
  <c r="DH8" i="132" a="1"/>
  <c r="DN5" i="132" a="1"/>
  <c r="W12" i="132" a="1"/>
  <c r="DL12" i="132" a="1"/>
  <c r="V11" i="132" a="1"/>
  <c r="DB9" i="132" a="1"/>
  <c r="AR11" i="132" a="1"/>
  <c r="S12" i="132" a="1"/>
  <c r="AU14" i="132" a="1"/>
  <c r="EF13" i="132" a="1"/>
  <c r="T13" i="132" a="1"/>
  <c r="BJ7" i="132" a="1"/>
  <c r="CU7" i="132" a="1"/>
  <c r="DN11" i="132" a="1"/>
  <c r="AQ12" i="132" a="1"/>
  <c r="EG8" i="132" a="1"/>
  <c r="CD8" i="132" a="1"/>
  <c r="CO14" i="132" a="1"/>
  <c r="CI9" i="132" a="1"/>
  <c r="G9" i="132" a="1"/>
  <c r="DK15" i="132" a="1"/>
  <c r="BA8" i="132" a="1"/>
  <c r="CS16" i="132" a="1"/>
  <c r="P11" i="132" a="1"/>
  <c r="BX11" i="132" a="1"/>
  <c r="EY5" i="132" a="1"/>
  <c r="EB6" i="132" a="1"/>
  <c r="CL9" i="132" a="1"/>
  <c r="BV11" i="132" a="1"/>
  <c r="DA13" i="132" a="1"/>
  <c r="ET16" i="132" a="1"/>
  <c r="N7" i="132" a="1"/>
  <c r="J11" i="132" a="1"/>
  <c r="EB12" i="132" a="1"/>
  <c r="AM15" i="132" a="1"/>
  <c r="BQ15" i="132" a="1"/>
  <c r="BF9" i="132" a="1"/>
  <c r="BY8" i="132" a="1"/>
  <c r="E16" i="132" a="1"/>
  <c r="AA13" i="132" a="1"/>
  <c r="L9" i="132" a="1"/>
  <c r="AE9" i="132" a="1"/>
  <c r="DT12" i="132" a="1"/>
  <c r="Y15" i="132" a="1"/>
  <c r="BT9" i="132" a="1"/>
  <c r="EC7" i="132" a="1"/>
  <c r="CT12" i="132" a="1"/>
  <c r="EN11" i="132" a="1"/>
  <c r="BW6" i="132" a="1"/>
  <c r="N48" i="130" a="1"/>
  <c r="DM13" i="132" a="1"/>
  <c r="EJ16" i="132" a="1"/>
  <c r="AC9" i="132" a="1"/>
  <c r="DL13" i="132" a="1"/>
  <c r="DC6" i="132" a="1"/>
  <c r="EF14" i="132" a="1"/>
  <c r="BX15" i="132" a="1"/>
  <c r="EO6" i="132" a="1"/>
  <c r="FF8" i="132" a="1"/>
  <c r="EW6" i="132" a="1"/>
  <c r="DK8" i="132" a="1"/>
  <c r="DK12" i="132" a="1"/>
  <c r="AZ9" i="132" a="1"/>
  <c r="BB9" i="132" a="1"/>
  <c r="DJ5" i="132" a="1"/>
  <c r="BL7" i="132" a="1"/>
  <c r="BJ11" i="132" a="1"/>
  <c r="AU12" i="132" a="1"/>
  <c r="EG16" i="132" a="1"/>
  <c r="BV9" i="132" a="1"/>
  <c r="AY8" i="132" a="1"/>
  <c r="CY5" i="132" a="1"/>
  <c r="AV9" i="132" a="1"/>
  <c r="CA13" i="132" a="1"/>
  <c r="U6" i="132" a="1"/>
  <c r="DH7" i="132" a="1"/>
  <c r="ES13" i="132" a="1"/>
  <c r="CV12" i="132" a="1"/>
  <c r="BD14" i="132" a="1"/>
  <c r="AR8" i="132" a="1"/>
  <c r="DN12" i="132" a="1"/>
  <c r="BJ6" i="132" a="1"/>
  <c r="AR7" i="132" a="1"/>
  <c r="CP13" i="132" a="1"/>
  <c r="AX13" i="132" a="1"/>
  <c r="BD12" i="132" a="1"/>
  <c r="BV7" i="132" a="1"/>
  <c r="BR16" i="132" a="1"/>
  <c r="AT16" i="132" a="1"/>
  <c r="BY15" i="132" a="1"/>
  <c r="AH6" i="132" a="1"/>
  <c r="EI5" i="132" a="1"/>
  <c r="CJ7" i="132" a="1"/>
  <c r="CT6" i="132" a="1"/>
  <c r="CU6" i="132" a="1"/>
  <c r="DD6" i="132" a="1"/>
  <c r="CZ12" i="132" a="1"/>
  <c r="CM16" i="132" a="1"/>
  <c r="BW12" i="132" a="1"/>
  <c r="Z7" i="132" a="1"/>
  <c r="O6" i="132" a="1"/>
  <c r="BY12" i="132" a="1"/>
  <c r="EL11" i="132" a="1"/>
  <c r="AY11" i="132" a="1"/>
  <c r="E7" i="132" a="1"/>
  <c r="W9" i="132" a="1"/>
  <c r="EQ7" i="132" a="1"/>
  <c r="Z6" i="132" a="1"/>
  <c r="AB9" i="132" a="1"/>
  <c r="AR41" i="130" a="1"/>
  <c r="EL14" i="132" a="1"/>
  <c r="CL8" i="132" a="1"/>
  <c r="CJ14" i="132" a="1"/>
  <c r="N16" i="132" a="1"/>
  <c r="I14" i="132" a="1"/>
  <c r="CD6" i="132" a="1"/>
  <c r="F8" i="132" a="1"/>
  <c r="EE8" i="132" a="1"/>
  <c r="AR12" i="130" a="1"/>
  <c r="CR15" i="132" a="1"/>
  <c r="DD13" i="132" a="1"/>
  <c r="BK6" i="132" a="1"/>
  <c r="DA5" i="132" a="1"/>
  <c r="CD13" i="132" a="1"/>
  <c r="FB11" i="132" a="1"/>
  <c r="EV11" i="132" a="1"/>
  <c r="E12" i="132" a="1"/>
  <c r="EZ8" i="132" a="1"/>
  <c r="AG5" i="132" a="1"/>
  <c r="AY7" i="132" a="1"/>
  <c r="EJ13" i="132" a="1"/>
  <c r="Q16" i="132" a="1"/>
  <c r="ED15" i="132" a="1"/>
  <c r="CI12" i="132" a="1"/>
  <c r="BF14" i="132" a="1"/>
  <c r="D6" i="132" a="1"/>
  <c r="AP6" i="132" a="1"/>
  <c r="DW6" i="132" a="1"/>
  <c r="AY14" i="132" a="1"/>
  <c r="CX9" i="132" a="1"/>
  <c r="DG16" i="132" a="1"/>
  <c r="ES5" i="132" a="1"/>
  <c r="DQ11" i="132" a="1"/>
  <c r="DW5" i="132" a="1"/>
  <c r="BH13" i="132" a="1"/>
  <c r="AC48" i="130" a="1"/>
  <c r="C8" i="132" a="1"/>
  <c r="ER15" i="132" a="1"/>
  <c r="EP16" i="132" a="1"/>
  <c r="DJ13" i="132" a="1"/>
  <c r="T15" i="132" a="1"/>
  <c r="DL5" i="132" a="1"/>
  <c r="CX12" i="132" a="1"/>
  <c r="DJ12" i="132" a="1"/>
  <c r="BN9" i="132" a="1"/>
  <c r="AR13" i="132" a="1"/>
  <c r="AS16" i="132" a="1"/>
  <c r="CC16" i="132" a="1"/>
  <c r="CH7" i="132" a="1"/>
  <c r="BV16" i="132" a="1"/>
  <c r="BA14" i="132" a="1"/>
  <c r="BS13" i="132" a="1"/>
  <c r="M9" i="132" a="1"/>
  <c r="DC13" i="132" a="1"/>
  <c r="CE7" i="132" a="1"/>
  <c r="DW11" i="132" a="1"/>
  <c r="DG14" i="132" a="1"/>
  <c r="G5" i="132" a="1"/>
  <c r="CB8" i="132" a="1"/>
  <c r="BK16" i="132" a="1"/>
  <c r="AZ66" i="130" a="1"/>
  <c r="R14" i="132" a="1"/>
  <c r="BB12" i="132" a="1"/>
  <c r="BQ8" i="132" a="1"/>
  <c r="S16" i="132" a="1"/>
  <c r="ER7" i="132" a="1"/>
  <c r="AE7" i="132" a="1"/>
  <c r="EE12" i="132" a="1"/>
  <c r="EI6" i="132" a="1"/>
  <c r="EH9" i="132" a="1"/>
  <c r="AR5" i="132" a="1"/>
  <c r="DF13" i="132" a="1"/>
  <c r="EA9" i="132" a="1"/>
  <c r="Q9" i="132" a="1"/>
  <c r="EW16" i="132" a="1"/>
  <c r="BC75" i="130" a="1"/>
  <c r="DQ8" i="132" a="1"/>
  <c r="EM11" i="132" a="1"/>
  <c r="BD15" i="132" a="1"/>
  <c r="Z9" i="132" a="1"/>
  <c r="ED5" i="132" a="1"/>
  <c r="EZ7" i="132" a="1"/>
  <c r="ED12" i="132" a="1"/>
  <c r="BA12" i="132" a="1"/>
  <c r="CT13" i="132" a="1"/>
  <c r="EX6" i="132" a="1"/>
  <c r="FF5" i="132" a="1"/>
  <c r="AL6" i="132" a="1"/>
  <c r="CT14" i="132" a="1"/>
  <c r="AE12" i="132" a="1"/>
  <c r="EU9" i="132" a="1"/>
  <c r="AS53" i="130" a="1"/>
  <c r="BA7" i="132" a="1"/>
  <c r="BK8" i="132" a="1"/>
  <c r="BM15" i="132" a="1"/>
  <c r="P16" i="132" a="1"/>
  <c r="CG6" i="132" a="1"/>
  <c r="H14" i="132" a="1"/>
  <c r="AQ8" i="132" a="1"/>
  <c r="CT8" i="132" a="1"/>
  <c r="CQ13" i="132" a="1"/>
  <c r="W8" i="132" a="1"/>
  <c r="EL9" i="132" a="1"/>
  <c r="BO15" i="132" a="1"/>
  <c r="K6" i="132" a="1"/>
  <c r="L14" i="132" a="1"/>
  <c r="EP9" i="132" a="1"/>
  <c r="CU12" i="132" a="1"/>
  <c r="BG5" i="132" a="1"/>
  <c r="DA11" i="132" a="1"/>
  <c r="CC7" i="132" a="1"/>
  <c r="DR12" i="132" a="1"/>
  <c r="DQ14" i="132" a="1"/>
  <c r="CD5" i="132" a="1"/>
  <c r="BO8" i="132" a="1"/>
  <c r="DI16" i="132" a="1"/>
  <c r="CP11" i="132" a="1"/>
  <c r="EE5" i="132" a="1"/>
  <c r="C16" i="132" a="1"/>
  <c r="DH5" i="132" a="1"/>
  <c r="EK9" i="132" a="1"/>
  <c r="EK6" i="132" a="1"/>
  <c r="CZ11" i="132" a="1"/>
  <c r="CX16" i="132" a="1"/>
  <c r="EO11" i="132" a="1"/>
  <c r="W15" i="132" a="1"/>
  <c r="U8" i="132" a="1"/>
  <c r="BY13" i="132" a="1"/>
  <c r="CT15" i="132" a="1"/>
  <c r="EH15" i="132" a="1"/>
  <c r="K5" i="132" a="1"/>
  <c r="BI5" i="132" a="1"/>
  <c r="CN15" i="132" a="1"/>
  <c r="ED11" i="132" a="1"/>
  <c r="AR16" i="132" a="1"/>
  <c r="H9" i="132" a="1"/>
  <c r="DO6" i="132" a="1"/>
  <c r="DV9" i="132" a="1"/>
  <c r="BL13" i="132" a="1"/>
  <c r="T5" i="132" a="1"/>
  <c r="AL11" i="132" a="1"/>
  <c r="DO8" i="132" a="1"/>
  <c r="G12" i="132" a="1"/>
  <c r="N5" i="132" a="1"/>
  <c r="Z13" i="132" a="1"/>
  <c r="CF7" i="132" a="1"/>
  <c r="BS16" i="132" a="1"/>
  <c r="Y6" i="132" a="1"/>
  <c r="AG12" i="132" a="1"/>
  <c r="DH12" i="132" a="1"/>
  <c r="FB9" i="132" a="1"/>
  <c r="EF15" i="132" a="1"/>
  <c r="AI6" i="132" a="1"/>
  <c r="EC13" i="132" a="1"/>
  <c r="DU16" i="132" a="1"/>
  <c r="BS6" i="132" a="1"/>
  <c r="CG12" i="132" a="1"/>
  <c r="FA9" i="132" a="1"/>
  <c r="EH13" i="132" a="1"/>
  <c r="BQ5" i="132" a="1"/>
  <c r="AO16" i="132" a="1"/>
  <c r="O8" i="132" a="1"/>
  <c r="CK5" i="132" a="1"/>
  <c r="BR7" i="132" a="1"/>
  <c r="AI13" i="132" a="1"/>
  <c r="CG11" i="132" a="1"/>
  <c r="O9" i="132" a="1"/>
  <c r="D15" i="132" a="1"/>
  <c r="AI12" i="132" a="1"/>
  <c r="FA5" i="132" a="1"/>
  <c r="BE9" i="132" a="1"/>
  <c r="DI8" i="132" a="1"/>
  <c r="AG14" i="132" a="1"/>
  <c r="BB7" i="132" a="1"/>
  <c r="P7" i="132" a="1"/>
  <c r="EB5" i="132" a="1"/>
  <c r="AN11" i="132" a="1"/>
  <c r="BT14" i="132" a="1"/>
  <c r="EM13" i="132" a="1"/>
  <c r="AX7" i="132" a="1"/>
  <c r="W14" i="132" a="1"/>
  <c r="EQ5" i="132" a="1"/>
  <c r="P9" i="132" a="1"/>
  <c r="P14" i="132" a="1"/>
  <c r="CD11" i="132" a="1"/>
  <c r="BO5" i="132" a="1"/>
  <c r="AV71" i="130" a="1"/>
  <c r="BO16" i="132" a="1"/>
  <c r="FA12" i="132" a="1"/>
  <c r="DV12" i="132" a="1"/>
  <c r="BP9" i="132" a="1"/>
  <c r="V6" i="132" a="1"/>
  <c r="BZ8" i="132" a="1"/>
  <c r="EC11" i="132" a="1"/>
  <c r="CO5" i="132" a="1"/>
  <c r="DW12" i="132" a="1"/>
  <c r="AR9" i="130" a="1"/>
  <c r="BZ13" i="132" a="1"/>
  <c r="AQ5" i="132" a="1"/>
  <c r="AW7" i="132" a="1"/>
  <c r="DB7" i="132" a="1"/>
  <c r="DQ15" i="132" a="1"/>
  <c r="DS13" i="132" a="1"/>
  <c r="EK16" i="132" a="1"/>
  <c r="AK16" i="132" a="1"/>
  <c r="BN13" i="132" a="1"/>
  <c r="BL8" i="132" a="1"/>
  <c r="FC9" i="132" a="1"/>
  <c r="EY12" i="132" a="1"/>
  <c r="BH6" i="132" a="1"/>
  <c r="BN16" i="132" a="1"/>
  <c r="CS7" i="132" a="1"/>
  <c r="DZ13" i="132" a="1"/>
  <c r="CA16" i="132" a="1"/>
  <c r="BU7" i="132" a="1"/>
  <c r="E15" i="132" a="1"/>
  <c r="EE15" i="132" a="1"/>
  <c r="BC11" i="132" a="1"/>
  <c r="CP8" i="132" a="1"/>
  <c r="BI15" i="132" a="1"/>
  <c r="CG9" i="132" a="1"/>
  <c r="BZ11" i="132" a="1"/>
  <c r="X6" i="132" a="1"/>
  <c r="I9" i="132" a="1"/>
  <c r="EA16" i="132" a="1"/>
  <c r="CE15" i="132" a="1"/>
  <c r="DK5" i="132" a="1"/>
  <c r="Y8" i="132" a="1"/>
  <c r="ES6" i="132" a="1"/>
  <c r="EX8" i="132" a="1"/>
  <c r="D11" i="132" a="1"/>
  <c r="CW5" i="132" a="1"/>
  <c r="ED16" i="132" a="1"/>
  <c r="BY11" i="132" a="1"/>
  <c r="AB5" i="132" a="1"/>
  <c r="P15" i="132" a="1"/>
  <c r="EN9" i="132" a="1"/>
  <c r="AX6" i="132" a="1"/>
  <c r="AI8" i="132" a="1"/>
  <c r="CY13" i="132" a="1"/>
  <c r="BG9" i="132" a="1"/>
  <c r="BT5" i="132" a="1"/>
  <c r="CF13" i="132" a="1"/>
  <c r="BN6" i="132" a="1"/>
  <c r="CH8" i="132" a="1"/>
  <c r="DY7" i="132" a="1"/>
  <c r="CQ14" i="132" a="1"/>
  <c r="ES12" i="132" a="1"/>
  <c r="CH12" i="132" a="1"/>
  <c r="AT7" i="132" a="1"/>
  <c r="AK6" i="132" a="1"/>
  <c r="EF16" i="132" a="1"/>
  <c r="AH9" i="132" a="1"/>
  <c r="T7" i="132" a="1"/>
  <c r="V15" i="132" a="1"/>
  <c r="DH9" i="132" a="1"/>
  <c r="DN7" i="132" a="1"/>
  <c r="AB13" i="132" a="1"/>
  <c r="AP8" i="132" a="1"/>
  <c r="DG9" i="132" a="1"/>
  <c r="AN6" i="132" a="1"/>
  <c r="EG5" i="132" a="1"/>
  <c r="CD14" i="132" a="1"/>
  <c r="M7" i="132" a="1"/>
  <c r="AC6" i="132" a="1"/>
  <c r="CQ9" i="132" a="1"/>
  <c r="AZ6" i="132" a="1"/>
  <c r="EW14" i="132" a="1"/>
  <c r="AD15" i="132" a="1"/>
  <c r="CT11" i="132" a="1"/>
  <c r="DP9" i="132" a="1"/>
  <c r="AW6" i="132" a="1"/>
  <c r="CI7" i="132" a="1"/>
  <c r="DJ15" i="132" a="1"/>
  <c r="AB14" i="132" a="1"/>
  <c r="AB6" i="132" a="1"/>
  <c r="DJ14" i="132" a="1"/>
  <c r="BA13" i="132" a="1"/>
  <c r="AX71" i="130" a="1"/>
  <c r="AR38" i="130" a="1"/>
  <c r="DC5" i="132" a="1"/>
  <c r="EJ7" i="132" a="1"/>
  <c r="AR14" i="130" a="1"/>
  <c r="S9" i="132" a="1"/>
  <c r="CX11" i="132" a="1"/>
  <c r="F11" i="132" a="1"/>
  <c r="BD8" i="132" a="1"/>
  <c r="EK14" i="132" a="1"/>
  <c r="AL48" i="130" a="1"/>
  <c r="D8" i="132" a="1"/>
  <c r="BG11" i="132" a="1"/>
  <c r="BB5" i="132" a="1"/>
  <c r="P6" i="132" a="1"/>
  <c r="BT8" i="132" a="1"/>
  <c r="H7" i="132" a="1"/>
  <c r="DE16" i="132" a="1"/>
  <c r="AR42" i="130" a="1"/>
  <c r="EK11" i="132" a="1"/>
  <c r="BU9" i="132" a="1"/>
  <c r="BI6" i="132" a="1"/>
  <c r="EK7" i="132" a="1"/>
  <c r="V8" i="132" a="1"/>
  <c r="CL7" i="132" a="1"/>
  <c r="AH7" i="132" a="1"/>
  <c r="DI7" i="132" a="1"/>
  <c r="ET13" i="132" a="1"/>
  <c r="DM16" i="132" a="1"/>
  <c r="AS14" i="132" a="1"/>
  <c r="FB7" i="132" a="1"/>
  <c r="DO16" i="132" a="1"/>
  <c r="CE8" i="132" a="1"/>
  <c r="EV14" i="132" a="1"/>
  <c r="EK8" i="132" a="1"/>
  <c r="DV8" i="132" a="1"/>
  <c r="BQ14" i="132" a="1"/>
  <c r="Y11" i="132" a="1"/>
  <c r="CJ9" i="132" a="1"/>
  <c r="CF9" i="132" a="1"/>
  <c r="CO9" i="132" a="1"/>
  <c r="CL15" i="132" a="1"/>
  <c r="DD16" i="132" a="1"/>
  <c r="DX15" i="132" a="1"/>
  <c r="DI6" i="132" a="1"/>
  <c r="J5" i="132" a="1"/>
  <c r="L15" i="132" a="1"/>
  <c r="DO12" i="132" a="1"/>
  <c r="DL15" i="132" a="1"/>
  <c r="D14" i="132" a="1"/>
  <c r="DH16" i="132" a="1"/>
  <c r="AX5" i="132" a="1"/>
  <c r="EI15" i="132" a="1"/>
  <c r="AZ7" i="132" a="1"/>
  <c r="AV12" i="132" a="1"/>
  <c r="V5" i="132" a="1"/>
  <c r="CX13" i="132" a="1"/>
  <c r="BV12" i="132" a="1"/>
  <c r="K14" i="132" a="1"/>
  <c r="FC13" i="132" a="1"/>
  <c r="CA7" i="132" a="1"/>
  <c r="BT16" i="132" a="1"/>
  <c r="EO13" i="132" a="1"/>
  <c r="CR9" i="132" a="1"/>
  <c r="CY14" i="132" a="1"/>
  <c r="CD16" i="132" a="1"/>
  <c r="BD67" i="130" a="1"/>
  <c r="CG16" i="132" a="1"/>
  <c r="DE13" i="132" a="1"/>
  <c r="CZ14" i="132" a="1"/>
  <c r="DU13" i="132" a="1"/>
  <c r="AN5" i="132" a="1"/>
  <c r="CR8" i="132" a="1"/>
  <c r="DL16" i="132" a="1"/>
  <c r="AO7" i="132" a="1"/>
  <c r="AN48" i="130" a="1"/>
  <c r="ER6" i="132" a="1"/>
  <c r="EK12" i="132" a="1"/>
  <c r="AL8" i="132" a="1"/>
  <c r="BJ8" i="132" a="1"/>
  <c r="AZ5" i="132" a="1"/>
  <c r="P8" i="132" a="1"/>
  <c r="DS15" i="132" a="1"/>
  <c r="EP11" i="132" a="1"/>
  <c r="EV15" i="132" a="1"/>
  <c r="AA14" i="132" a="1"/>
  <c r="W5" i="132" a="1"/>
  <c r="FB5" i="132" a="1"/>
  <c r="CG13" i="132" a="1"/>
  <c r="BI11" i="132" a="1"/>
  <c r="AF5" i="132" a="1"/>
  <c r="BK11" i="132" a="1"/>
  <c r="J7" i="132" a="1"/>
  <c r="AF13" i="132" a="1"/>
  <c r="FB14" i="132" a="1"/>
  <c r="FC14" i="132" a="1"/>
  <c r="AD13" i="132" a="1"/>
  <c r="EC16" i="132" a="1"/>
  <c r="M13" i="132" a="1"/>
  <c r="BF65" i="130" a="1"/>
  <c r="AU6" i="132" a="1"/>
  <c r="DE6" i="132" a="1"/>
  <c r="BQ11" i="132" a="1"/>
  <c r="BV6" i="132" a="1"/>
  <c r="ED7" i="132" a="1"/>
  <c r="I8" i="132" a="1"/>
  <c r="AQ7" i="132" a="1"/>
  <c r="AC11" i="132" a="1"/>
  <c r="BD7" i="132" a="1"/>
  <c r="BL12" i="132" a="1"/>
  <c r="N15" i="132" a="1"/>
  <c r="AM12" i="132" a="1"/>
  <c r="BX14" i="132" a="1"/>
  <c r="CL11" i="132" a="1"/>
  <c r="AE8" i="132" a="1"/>
  <c r="AF7" i="132" a="1"/>
  <c r="BE15" i="132" a="1"/>
  <c r="DA14" i="132" a="1"/>
  <c r="AT15" i="132" a="1"/>
  <c r="DN14" i="132" a="1"/>
  <c r="FA13" i="132" a="1"/>
  <c r="FA6" i="132" a="1"/>
  <c r="ED9" i="132" a="1"/>
  <c r="CE14" i="132" a="1"/>
  <c r="BC12" i="132" a="1"/>
  <c r="CW15" i="132" a="1"/>
  <c r="BB14" i="132" a="1"/>
  <c r="DR9" i="132" a="1"/>
  <c r="CL13" i="132" a="1"/>
  <c r="DA7" i="132" a="1"/>
  <c r="BK7" i="132" a="1"/>
  <c r="EN13" i="132" a="1"/>
  <c r="FF9" i="132" a="1"/>
  <c r="EM9" i="132" a="1"/>
  <c r="CO16" i="132" a="1"/>
  <c r="AF16" i="132" a="1"/>
  <c r="DY12" i="132" a="1"/>
  <c r="BC13" i="132" a="1"/>
  <c r="AO14" i="132" a="1"/>
  <c r="DS7" i="132" a="1"/>
  <c r="EP15" i="132" a="1"/>
  <c r="CZ6" i="132" a="1"/>
  <c r="DP12" i="132" a="1"/>
  <c r="BJ14" i="132" a="1"/>
  <c r="EF9" i="132" a="1"/>
  <c r="AO8" i="132" a="1"/>
  <c r="CE5" i="132" a="1"/>
  <c r="DC16" i="132" a="1"/>
  <c r="CY8" i="132" a="1"/>
  <c r="DM7" i="132" a="1"/>
  <c r="AA7" i="132" a="1"/>
  <c r="BG83" i="130" a="1"/>
  <c r="EX16" i="132" a="1"/>
  <c r="DQ16" i="132" a="1"/>
  <c r="BT15" i="132" a="1"/>
  <c r="CV6" i="132" a="1"/>
  <c r="BN5" i="132" a="1"/>
  <c r="EE16" i="132" a="1"/>
  <c r="CR13" i="132" a="1"/>
  <c r="R5" i="132" a="1"/>
  <c r="BU5" i="132" a="1"/>
  <c r="CL6" i="132" a="1"/>
  <c r="AL15" i="132" a="1"/>
  <c r="DQ6" i="132" a="1"/>
  <c r="AL5" i="132" a="1"/>
  <c r="AF9" i="132" a="1"/>
  <c r="EZ15" i="132" a="1"/>
  <c r="C14" i="132" a="1"/>
  <c r="CC11" i="132" a="1"/>
  <c r="L13" i="132" a="1"/>
  <c r="BX40" i="1" l="1"/>
  <c r="AA54" i="1"/>
  <c r="AA56" i="1" s="1"/>
  <c r="AA60" i="1" s="1"/>
  <c r="AA106" i="1"/>
  <c r="AA107" i="1"/>
  <c r="AA105" i="1"/>
  <c r="BY45" i="1"/>
  <c r="BY50" i="1" s="1"/>
  <c r="BX45" i="1"/>
  <c r="BY82" i="1"/>
  <c r="BY40" i="1"/>
  <c r="BX50" i="1"/>
  <c r="BY127" i="1" s="1"/>
  <c r="BY122" i="1" s="1"/>
  <c r="BY115" i="1" s="1"/>
  <c r="BX122" i="1" s="1"/>
  <c r="BY123" i="1" s="1"/>
  <c r="BY111" i="1" s="1"/>
  <c r="BY125" i="1" s="1"/>
  <c r="BX127" i="1" s="1"/>
  <c r="BX115" i="1" s="1"/>
  <c r="BX125" i="1" s="1"/>
  <c r="BX117" i="1" s="1"/>
  <c r="BY118" i="1" s="1"/>
  <c r="BX118" i="1" s="1"/>
  <c r="BX111" i="1" s="1"/>
  <c r="BY117" i="1" s="1"/>
  <c r="BY112" i="1" s="1"/>
  <c r="BX123" i="1" s="1"/>
  <c r="BX68" i="1"/>
  <c r="BX82" i="1" s="1"/>
  <c r="BX42" i="1"/>
  <c r="JL16" i="132" s="1"/>
  <c r="IG16" i="132" s="1"/>
  <c r="S76" i="1"/>
  <c r="HV9" i="132" s="1"/>
  <c r="HX9" i="132" s="1"/>
  <c r="IT9" i="132" s="1"/>
  <c r="HT16" i="132" s="1"/>
  <c r="IY9" i="132" s="1"/>
  <c r="IS16" i="132" s="1"/>
  <c r="J76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63" i="1" s="1"/>
  <c r="JB9" i="132" s="1"/>
  <c r="B76" i="1"/>
  <c r="Z46" i="1"/>
  <c r="IH9" i="132" s="1"/>
  <c r="HQ9" i="132" s="1"/>
  <c r="BW81" i="1" s="1"/>
  <c r="JF16" i="132" s="1"/>
  <c r="JP8" i="132" s="1"/>
  <c r="JA16" i="132" s="1"/>
  <c r="IP16" i="132" s="1"/>
  <c r="IO16" i="132" s="1"/>
  <c r="JD9" i="132" s="1"/>
  <c r="B46" i="1"/>
  <c r="G78" i="1"/>
  <c r="HS9" i="132" s="1"/>
  <c r="IC16" i="132" s="1"/>
  <c r="IV16" i="132" s="1"/>
  <c r="IL9" i="132" s="1"/>
  <c r="JH9" i="132" s="1"/>
  <c r="BW48" i="1" s="1"/>
  <c r="IJ9" i="132" s="1"/>
  <c r="JF9" i="132" s="1"/>
  <c r="IF9" i="132" s="1"/>
  <c r="IJ16" i="132" s="1"/>
  <c r="IQ16" i="132" s="1"/>
  <c r="C78" i="1"/>
  <c r="HU9" i="132" s="1"/>
  <c r="IL16" i="132" s="1"/>
  <c r="IA9" i="132" s="1"/>
  <c r="JO9" i="132" s="1"/>
  <c r="X46" i="1"/>
  <c r="JI16" i="132" s="1"/>
  <c r="AX87" i="1" s="1"/>
  <c r="I46" i="1"/>
  <c r="O77" i="1"/>
  <c r="JM9" i="132" s="1"/>
  <c r="BH87" i="1" s="1"/>
  <c r="IU9" i="132" s="1"/>
  <c r="Q76" i="1"/>
  <c r="BW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W78" i="1"/>
  <c r="BN87" i="1" s="1"/>
  <c r="I78" i="1"/>
  <c r="IR16" i="132" s="1"/>
  <c r="IY16" i="132" s="1"/>
  <c r="JH16" i="132" s="1"/>
  <c r="JP15" i="132" s="1"/>
  <c r="BQ87" i="1" s="1"/>
  <c r="IN16" i="132" s="1"/>
  <c r="BW39" i="1" s="1"/>
  <c r="IV9" i="132" s="1"/>
  <c r="AJ87" i="1" s="1"/>
  <c r="HS16" i="132" s="1"/>
  <c r="B77" i="1"/>
  <c r="IZ16" i="132" s="1"/>
  <c r="JG16" i="132" s="1"/>
  <c r="BS87" i="1" s="1"/>
  <c r="JE9" i="132" s="1"/>
  <c r="JJ9" i="132" s="1"/>
  <c r="HZ16" i="132" s="1"/>
  <c r="IX16" i="132" s="1"/>
  <c r="IX9" i="132" s="1"/>
  <c r="IA16" i="132" s="1"/>
  <c r="AW87" i="1" s="1"/>
  <c r="IH16" i="132" s="1"/>
  <c r="HX16" i="132" s="1"/>
  <c r="D46" i="1"/>
  <c r="Q46" i="1"/>
  <c r="V46" i="1"/>
  <c r="A1" i="1" s="1"/>
  <c r="IG9" i="132" s="1"/>
  <c r="W76" i="1"/>
  <c r="X77" i="1"/>
  <c r="JE16" i="132" s="1"/>
  <c r="AI87" i="1" s="1"/>
  <c r="IK9" i="132" s="1"/>
  <c r="AR51" i="130" s="1"/>
  <c r="BW41" i="1" s="1"/>
  <c r="JN9" i="132" s="1"/>
  <c r="BW87" i="1" s="1"/>
  <c r="Y78" i="1"/>
  <c r="ID9" i="132" s="1"/>
  <c r="AM87" i="1" s="1"/>
  <c r="AY87" i="1" s="1"/>
  <c r="F46" i="1"/>
  <c r="G76" i="1"/>
  <c r="BW77" i="1" s="1"/>
  <c r="BF87" i="1" s="1"/>
  <c r="M46" i="1"/>
  <c r="HY9" i="132" s="1"/>
  <c r="IN9" i="132" s="1"/>
  <c r="IE16" i="132" s="1"/>
  <c r="AL87" i="1" s="1"/>
  <c r="N46" i="1"/>
  <c r="IW9" i="132" s="1"/>
  <c r="IC9" i="132" s="1"/>
  <c r="AS87" i="1" s="1"/>
  <c r="AU87" i="1" s="1"/>
  <c r="HR16" i="132" s="1"/>
  <c r="BI87" i="1" s="1"/>
  <c r="BR87" i="1" s="1"/>
  <c r="HV16" i="132" s="1"/>
  <c r="IO9" i="132" s="1"/>
  <c r="V77" i="1"/>
  <c r="JP16" i="132" s="1"/>
  <c r="IZ9" i="132" s="1"/>
  <c r="D76" i="1"/>
  <c r="E78" i="1"/>
  <c r="K46" i="1"/>
  <c r="F76" i="1"/>
  <c r="BD87" i="1" s="1"/>
  <c r="V76" i="1"/>
  <c r="BA87" i="1" s="1"/>
  <c r="IW16" i="132" s="1"/>
  <c r="HU16" i="132" s="1"/>
  <c r="BU87" i="1" s="1"/>
  <c r="IE9" i="132" s="1"/>
  <c r="V78" i="1"/>
  <c r="IM16" i="132" s="1"/>
  <c r="IF16" i="132" s="1"/>
  <c r="IK16" i="132" s="1"/>
  <c r="JB16" i="132" s="1"/>
  <c r="Y46" i="1"/>
  <c r="E76" i="1"/>
  <c r="H76" i="1"/>
  <c r="BV87" i="1" s="1"/>
  <c r="K77" i="1"/>
  <c r="JK16" i="132" s="1"/>
  <c r="IB9" i="132" s="1"/>
  <c r="JC16" i="132" s="1"/>
  <c r="T46" i="1"/>
  <c r="E46" i="1"/>
  <c r="BJ87" i="1" s="1"/>
  <c r="D78" i="1"/>
  <c r="II9" i="132" s="1"/>
  <c r="BE87" i="1" s="1"/>
  <c r="P46" i="1"/>
  <c r="BG87" i="1" s="1"/>
  <c r="BM87" i="1" s="1"/>
  <c r="BW53" i="1" s="1"/>
  <c r="C77" i="1"/>
  <c r="Y77" i="1"/>
  <c r="I77" i="1"/>
  <c r="HQ16" i="132" s="1"/>
  <c r="P77" i="1"/>
  <c r="BW76" i="1" s="1"/>
  <c r="R76" i="1"/>
  <c r="BB87" i="1" s="1"/>
  <c r="J77" i="1"/>
  <c r="O78" i="1"/>
  <c r="R78" i="1"/>
  <c r="P78" i="1"/>
  <c r="Y76" i="1"/>
  <c r="BT87" i="1" s="1"/>
  <c r="HP16" i="132" s="1"/>
  <c r="HW16" i="132" s="1"/>
  <c r="BW59" i="1" s="1"/>
  <c r="HZ9" i="132" s="1"/>
  <c r="Z77" i="1"/>
  <c r="HP9" i="132" s="1"/>
  <c r="H46" i="1"/>
  <c r="U46" i="1"/>
  <c r="C76" i="1"/>
  <c r="N76" i="1"/>
  <c r="I76" i="1"/>
  <c r="L77" i="1"/>
  <c r="O76" i="1"/>
  <c r="X76" i="1"/>
  <c r="U76" i="1"/>
  <c r="E77" i="1"/>
  <c r="JG9" i="132" s="1"/>
  <c r="JK9" i="132" s="1"/>
  <c r="O46" i="1"/>
  <c r="D77" i="1"/>
  <c r="E48" i="1"/>
  <c r="C46" i="1"/>
  <c r="JP7" i="132" s="1"/>
  <c r="HY16" i="132" s="1"/>
  <c r="IT16" i="132" s="1"/>
  <c r="K76" i="1"/>
  <c r="Z76" i="1"/>
  <c r="N77" i="1"/>
  <c r="M77" i="1"/>
  <c r="L78" i="1"/>
  <c r="Q78" i="1"/>
  <c r="HW9" i="132" s="1"/>
  <c r="P76" i="1"/>
  <c r="AR87" i="1" s="1"/>
  <c r="L76" i="1"/>
  <c r="K78" i="1"/>
  <c r="G77" i="1"/>
  <c r="BW38" i="1" s="1"/>
  <c r="HR9" i="132" s="1"/>
  <c r="BC87" i="1" s="1"/>
  <c r="J78" i="1"/>
  <c r="W77" i="1"/>
  <c r="BW55" i="1" s="1"/>
  <c r="BO87" i="1" s="1"/>
  <c r="F77" i="1"/>
  <c r="J46" i="1"/>
  <c r="AO87" i="1" s="1"/>
  <c r="T78" i="1"/>
  <c r="U77" i="1"/>
  <c r="BW78" i="1" s="1"/>
  <c r="JD16" i="132" s="1"/>
  <c r="JA9" i="132" s="1"/>
  <c r="BW67" i="1" s="1"/>
  <c r="BV67" i="1" s="1"/>
  <c r="BU67" i="1" s="1"/>
  <c r="BT67" i="1" s="1"/>
  <c r="BS67" i="1" s="1"/>
  <c r="BR67" i="1" s="1"/>
  <c r="BQ67" i="1" s="1"/>
  <c r="BP67" i="1" s="1"/>
  <c r="BO67" i="1" s="1"/>
  <c r="BN67" i="1" s="1"/>
  <c r="BM67" i="1" s="1"/>
  <c r="BL67" i="1" s="1"/>
  <c r="BK67" i="1" s="1"/>
  <c r="BJ67" i="1" s="1"/>
  <c r="BI67" i="1" s="1"/>
  <c r="BH67" i="1" s="1"/>
  <c r="BG67" i="1" s="1"/>
  <c r="BF67" i="1" s="1"/>
  <c r="BE67" i="1" s="1"/>
  <c r="BD67" i="1" s="1"/>
  <c r="BC67" i="1" s="1"/>
  <c r="BB67" i="1" s="1"/>
  <c r="BA67" i="1" s="1"/>
  <c r="AZ67" i="1" s="1"/>
  <c r="AY67" i="1" s="1"/>
  <c r="AX67" i="1" s="1"/>
  <c r="AW67" i="1" s="1"/>
  <c r="AV67" i="1" s="1"/>
  <c r="AU67" i="1" s="1"/>
  <c r="AT67" i="1" s="1"/>
  <c r="P48" i="1"/>
  <c r="AP87" i="1" s="1"/>
  <c r="F78" i="1"/>
  <c r="BW44" i="1" s="1"/>
  <c r="T77" i="1"/>
  <c r="BP87" i="1" s="1"/>
  <c r="JN16" i="132" s="1"/>
  <c r="M76" i="1"/>
  <c r="R46" i="1"/>
  <c r="IM9" i="132" s="1"/>
  <c r="BW80" i="1" s="1"/>
  <c r="L46" i="1"/>
  <c r="AH87" i="1" s="1"/>
  <c r="JP14" i="132" s="1"/>
  <c r="JC9" i="132" s="1"/>
  <c r="Z78" i="1"/>
  <c r="Q77" i="1"/>
  <c r="X78" i="1"/>
  <c r="AZ87" i="1" s="1"/>
  <c r="AK87" i="1" s="1"/>
  <c r="JJ16" i="132" s="1"/>
  <c r="N48" i="1"/>
  <c r="AN87" i="1" s="1"/>
  <c r="H78" i="1"/>
  <c r="HT9" i="132" s="1"/>
  <c r="G46" i="1"/>
  <c r="AQ87" i="1" s="1"/>
  <c r="BK87" i="1" s="1"/>
  <c r="ID16" i="132" s="1"/>
  <c r="T76" i="1"/>
  <c r="W46" i="1"/>
  <c r="S78" i="1"/>
  <c r="JO16" i="132" s="1"/>
  <c r="AV87" i="1" s="1"/>
  <c r="IU16" i="132" s="1"/>
  <c r="N78" i="1"/>
  <c r="R77" i="1"/>
  <c r="B78" i="1"/>
  <c r="M78" i="1"/>
  <c r="AT87" i="1" s="1"/>
  <c r="BL87" i="1" s="1"/>
  <c r="S77" i="1"/>
  <c r="JL9" i="132" s="1"/>
  <c r="U78" i="1"/>
  <c r="H77" i="1"/>
  <c r="S46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8" i="1"/>
  <c r="AR64" i="130" a="1"/>
  <c r="AR68" i="130" a="1"/>
  <c r="AR55" i="130" a="1"/>
  <c r="AR63" i="130" a="1"/>
  <c r="AR65" i="130" a="1"/>
  <c r="AR78" i="130" a="1"/>
  <c r="AR54" i="130" a="1"/>
  <c r="AR56" i="130" a="1"/>
  <c r="AR70" i="130" a="1"/>
  <c r="AR77" i="130" a="1"/>
  <c r="AR74" i="130" a="1"/>
  <c r="AR72" i="130" a="1"/>
  <c r="AR66" i="130" a="1"/>
  <c r="AR67" i="130" a="1"/>
  <c r="AR61" i="130" a="1"/>
  <c r="AR69" i="130" a="1"/>
  <c r="AR83" i="130" a="1"/>
  <c r="AR76" i="130" a="1"/>
  <c r="AR57" i="130" a="1"/>
  <c r="AR80" i="130" a="1"/>
  <c r="AR60" i="130" a="1"/>
  <c r="AR75" i="130" a="1"/>
  <c r="AR62" i="130" a="1"/>
  <c r="AR59" i="130" a="1"/>
  <c r="AR82" i="130" a="1"/>
  <c r="AR81" i="130" a="1"/>
  <c r="AR58" i="130" a="1"/>
  <c r="AR73" i="130" a="1"/>
  <c r="AR53" i="130" a="1"/>
  <c r="AR71" i="130" a="1"/>
  <c r="AR79" i="130" a="1"/>
  <c r="AA64" i="1" l="1"/>
  <c r="AA69" i="1"/>
  <c r="AA70" i="1" s="1"/>
  <c r="AA91" i="1"/>
  <c r="BY34" i="1"/>
  <c r="BY113" i="1"/>
  <c r="BY126" i="1"/>
  <c r="BY42" i="1"/>
  <c r="BY51" i="1" s="1"/>
  <c r="BY54" i="1" s="1"/>
  <c r="BY56" i="1" s="1"/>
  <c r="BY60" i="1" s="1"/>
  <c r="BX51" i="1"/>
  <c r="BX54" i="1" s="1"/>
  <c r="BX56" i="1" s="1"/>
  <c r="BX60" i="1" s="1"/>
  <c r="BX69" i="1" s="1"/>
  <c r="IW21" i="132"/>
  <c r="BD97" i="1" s="1"/>
  <c r="BY89" i="1"/>
  <c r="BY85" i="1"/>
  <c r="BY84" i="1"/>
  <c r="BY119" i="1"/>
  <c r="BY129" i="1"/>
  <c r="BY132" i="1" s="1"/>
  <c r="BX119" i="1"/>
  <c r="BX32" i="1" s="1"/>
  <c r="BX126" i="1"/>
  <c r="BX129" i="1" s="1"/>
  <c r="BX132" i="1" s="1"/>
  <c r="BX112" i="1"/>
  <c r="BX113" i="1" s="1"/>
  <c r="IS21" i="132"/>
  <c r="AZ97" i="1" s="1"/>
  <c r="IP21" i="132"/>
  <c r="AW97" i="1" s="1"/>
  <c r="JP19" i="132"/>
  <c r="BW98" i="1" s="1"/>
  <c r="JD14" i="132"/>
  <c r="HX21" i="132"/>
  <c r="HV21" i="132"/>
  <c r="HU21" i="132"/>
  <c r="IT15" i="132"/>
  <c r="IT21" i="132"/>
  <c r="BA97" i="1" s="1"/>
  <c r="HT21" i="132"/>
  <c r="JL21" i="132"/>
  <c r="BS97" i="1" s="1"/>
  <c r="JP20" i="132"/>
  <c r="BW99" i="1" s="1"/>
  <c r="JP21" i="132"/>
  <c r="BW97" i="1" s="1"/>
  <c r="IQ21" i="132"/>
  <c r="AX97" i="1" s="1"/>
  <c r="JM14" i="132"/>
  <c r="JN8" i="132"/>
  <c r="IA21" i="132"/>
  <c r="AH97" i="1" s="1"/>
  <c r="AH105" i="1" s="1"/>
  <c r="IN21" i="132"/>
  <c r="AU97" i="1" s="1"/>
  <c r="HV14" i="132"/>
  <c r="HW8" i="132"/>
  <c r="IF21" i="132"/>
  <c r="AM97" i="1" s="1"/>
  <c r="IF7" i="132"/>
  <c r="HV15" i="132"/>
  <c r="IT8" i="132"/>
  <c r="JE21" i="132"/>
  <c r="BL97" i="1" s="1"/>
  <c r="IU7" i="132"/>
  <c r="HZ15" i="132"/>
  <c r="JC8" i="132"/>
  <c r="IH15" i="132"/>
  <c r="HP8" i="132"/>
  <c r="JM7" i="132"/>
  <c r="JJ21" i="132"/>
  <c r="BQ97" i="1" s="1"/>
  <c r="JD8" i="132"/>
  <c r="IJ8" i="132"/>
  <c r="Z48" i="1"/>
  <c r="BW45" i="1"/>
  <c r="BW50" i="1" s="1"/>
  <c r="HR8" i="132"/>
  <c r="IU21" i="132"/>
  <c r="BB97" i="1" s="1"/>
  <c r="HX14" i="132"/>
  <c r="IE7" i="132"/>
  <c r="IC21" i="132"/>
  <c r="AJ97" i="1" s="1"/>
  <c r="I48" i="1"/>
  <c r="IZ21" i="132"/>
  <c r="BG97" i="1" s="1"/>
  <c r="IF8" i="132"/>
  <c r="IQ7" i="132"/>
  <c r="B48" i="1"/>
  <c r="IR8" i="132"/>
  <c r="IZ15" i="132"/>
  <c r="JL8" i="132"/>
  <c r="JG21" i="132"/>
  <c r="BN97" i="1" s="1"/>
  <c r="IF15" i="132"/>
  <c r="HP14" i="132"/>
  <c r="HU14" i="132"/>
  <c r="IU8" i="132"/>
  <c r="HX15" i="132"/>
  <c r="IN8" i="132"/>
  <c r="IK14" i="132"/>
  <c r="HY21" i="132"/>
  <c r="HT7" i="132"/>
  <c r="BW40" i="1"/>
  <c r="BW42" i="1" s="1"/>
  <c r="C48" i="1"/>
  <c r="IV8" i="132"/>
  <c r="JK15" i="132"/>
  <c r="JC14" i="132"/>
  <c r="JI8" i="132"/>
  <c r="IO7" i="132"/>
  <c r="JE15" i="132"/>
  <c r="IP7" i="132"/>
  <c r="HT15" i="132"/>
  <c r="IE21" i="132"/>
  <c r="AL97" i="1" s="1"/>
  <c r="JF8" i="132"/>
  <c r="IG8" i="132"/>
  <c r="IX8" i="132"/>
  <c r="R48" i="1"/>
  <c r="ID15" i="132"/>
  <c r="IH8" i="132"/>
  <c r="IM14" i="132"/>
  <c r="II15" i="132"/>
  <c r="G48" i="1"/>
  <c r="IX15" i="132"/>
  <c r="IQ14" i="132"/>
  <c r="IQ19" i="132" s="1"/>
  <c r="AX98" i="1" s="1"/>
  <c r="T48" i="1"/>
  <c r="HW14" i="132"/>
  <c r="JH14" i="132"/>
  <c r="IY15" i="132"/>
  <c r="IM15" i="132"/>
  <c r="JN7" i="132"/>
  <c r="IU15" i="132"/>
  <c r="JA15" i="132"/>
  <c r="JH15" i="132"/>
  <c r="IR15" i="132"/>
  <c r="W48" i="1"/>
  <c r="IW8" i="132"/>
  <c r="HX8" i="132"/>
  <c r="HP15" i="132"/>
  <c r="JB21" i="132"/>
  <c r="BI97" i="1" s="1"/>
  <c r="IY21" i="132"/>
  <c r="BF97" i="1" s="1"/>
  <c r="HR14" i="132"/>
  <c r="IH21" i="132"/>
  <c r="AO97" i="1" s="1"/>
  <c r="HY14" i="132"/>
  <c r="JA14" i="132"/>
  <c r="II21" i="132"/>
  <c r="AP97" i="1" s="1"/>
  <c r="HQ21" i="132"/>
  <c r="IZ14" i="132"/>
  <c r="HX7" i="132"/>
  <c r="F48" i="1"/>
  <c r="K48" i="1"/>
  <c r="HZ7" i="132"/>
  <c r="IG14" i="132"/>
  <c r="HR21" i="132"/>
  <c r="JM8" i="132"/>
  <c r="HY15" i="132"/>
  <c r="JK14" i="132"/>
  <c r="JD21" i="132"/>
  <c r="BK97" i="1" s="1"/>
  <c r="JN21" i="132"/>
  <c r="BU97" i="1" s="1"/>
  <c r="IP14" i="132"/>
  <c r="JD7" i="132"/>
  <c r="JC7" i="132"/>
  <c r="JO21" i="132"/>
  <c r="BV97" i="1" s="1"/>
  <c r="HS14" i="132"/>
  <c r="JN15" i="132"/>
  <c r="IL14" i="132"/>
  <c r="HQ15" i="132"/>
  <c r="HU8" i="132"/>
  <c r="JH7" i="132"/>
  <c r="IM7" i="132"/>
  <c r="IB14" i="132"/>
  <c r="IB21" i="132"/>
  <c r="AI97" i="1" s="1"/>
  <c r="JA21" i="132"/>
  <c r="BH97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48" i="1"/>
  <c r="JG14" i="132"/>
  <c r="JJ7" i="132"/>
  <c r="JO8" i="132"/>
  <c r="JE7" i="132"/>
  <c r="JC21" i="132"/>
  <c r="BJ97" i="1" s="1"/>
  <c r="IT14" i="132"/>
  <c r="IN7" i="132"/>
  <c r="IJ15" i="132"/>
  <c r="JG15" i="132"/>
  <c r="JL7" i="132"/>
  <c r="JN14" i="132"/>
  <c r="IN14" i="132"/>
  <c r="IC8" i="132"/>
  <c r="IZ7" i="132"/>
  <c r="IX21" i="132"/>
  <c r="BE97" i="1" s="1"/>
  <c r="JJ8" i="132"/>
  <c r="IQ8" i="132"/>
  <c r="HS21" i="132"/>
  <c r="IR14" i="132"/>
  <c r="JI15" i="132"/>
  <c r="IL8" i="132"/>
  <c r="JI21" i="132"/>
  <c r="BP97" i="1" s="1"/>
  <c r="JK8" i="132"/>
  <c r="HT8" i="132"/>
  <c r="JB7" i="132"/>
  <c r="IR7" i="132"/>
  <c r="JO15" i="132"/>
  <c r="IS8" i="132"/>
  <c r="HQ7" i="132"/>
  <c r="S48" i="1"/>
  <c r="IW14" i="132"/>
  <c r="IY14" i="132"/>
  <c r="HV7" i="132"/>
  <c r="JO7" i="132"/>
  <c r="IY7" i="132"/>
  <c r="Q48" i="1"/>
  <c r="JE8" i="132"/>
  <c r="JA7" i="132"/>
  <c r="JI7" i="132"/>
  <c r="IL15" i="132"/>
  <c r="HW15" i="132"/>
  <c r="IB8" i="132"/>
  <c r="IO8" i="132"/>
  <c r="IK21" i="132"/>
  <c r="AR97" i="1" s="1"/>
  <c r="II14" i="132"/>
  <c r="HU7" i="132"/>
  <c r="JB14" i="132"/>
  <c r="IF14" i="132"/>
  <c r="HS7" i="132"/>
  <c r="JM21" i="132"/>
  <c r="BT97" i="1" s="1"/>
  <c r="JK21" i="132"/>
  <c r="BR97" i="1" s="1"/>
  <c r="IL21" i="132"/>
  <c r="AS97" i="1" s="1"/>
  <c r="IK7" i="132"/>
  <c r="HQ14" i="132"/>
  <c r="JI14" i="132"/>
  <c r="IP8" i="132"/>
  <c r="IO21" i="132"/>
  <c r="AV97" i="1" s="1"/>
  <c r="IW15" i="132"/>
  <c r="ID21" i="132"/>
  <c r="AK97" i="1" s="1"/>
  <c r="HS8" i="132"/>
  <c r="ID8" i="132"/>
  <c r="JB8" i="132"/>
  <c r="IP15" i="132"/>
  <c r="JE14" i="132"/>
  <c r="JL14" i="132"/>
  <c r="JF14" i="132"/>
  <c r="IA14" i="132"/>
  <c r="O48" i="1"/>
  <c r="IC15" i="132"/>
  <c r="IS7" i="132"/>
  <c r="IJ14" i="132"/>
  <c r="JB15" i="132"/>
  <c r="IY8" i="132"/>
  <c r="HP7" i="132"/>
  <c r="M48" i="1"/>
  <c r="HP21" i="132"/>
  <c r="HW7" i="132"/>
  <c r="IO14" i="132"/>
  <c r="J48" i="1"/>
  <c r="IV14" i="132"/>
  <c r="HQ8" i="132"/>
  <c r="IH7" i="132"/>
  <c r="IG15" i="132"/>
  <c r="IC14" i="132"/>
  <c r="IE14" i="132"/>
  <c r="ID7" i="132"/>
  <c r="IM8" i="132"/>
  <c r="U48" i="1"/>
  <c r="IA8" i="132"/>
  <c r="JA8" i="132"/>
  <c r="II7" i="132"/>
  <c r="JM15" i="132"/>
  <c r="BW118" i="1" s="1"/>
  <c r="BW117" i="1" s="1"/>
  <c r="BW115" i="1" s="1"/>
  <c r="BW123" i="1" s="1"/>
  <c r="BW122" i="1" s="1"/>
  <c r="BW111" i="1" s="1"/>
  <c r="BW127" i="1" s="1"/>
  <c r="BW125" i="1" s="1"/>
  <c r="IU14" i="132"/>
  <c r="JH8" i="132"/>
  <c r="HW21" i="132"/>
  <c r="IB7" i="132"/>
  <c r="IM21" i="132"/>
  <c r="AT97" i="1" s="1"/>
  <c r="IX14" i="132"/>
  <c r="IH14" i="132"/>
  <c r="IK8" i="132"/>
  <c r="IN15" i="132"/>
  <c r="HY7" i="132"/>
  <c r="HU15" i="132"/>
  <c r="IV7" i="132"/>
  <c r="JO14" i="132"/>
  <c r="IZ8" i="132"/>
  <c r="BV66" i="1"/>
  <c r="BU66" i="1" s="1"/>
  <c r="BT66" i="1" s="1"/>
  <c r="BS66" i="1" s="1"/>
  <c r="BR66" i="1" s="1"/>
  <c r="BQ66" i="1" s="1"/>
  <c r="BP66" i="1" s="1"/>
  <c r="BO66" i="1" s="1"/>
  <c r="BN66" i="1" s="1"/>
  <c r="BM66" i="1" s="1"/>
  <c r="BL66" i="1" s="1"/>
  <c r="BK66" i="1" s="1"/>
  <c r="BJ66" i="1" s="1"/>
  <c r="BI66" i="1" s="1"/>
  <c r="BH66" i="1" s="1"/>
  <c r="BG66" i="1" s="1"/>
  <c r="BF66" i="1" s="1"/>
  <c r="BE66" i="1" s="1"/>
  <c r="BD66" i="1" s="1"/>
  <c r="BC66" i="1" s="1"/>
  <c r="BB66" i="1" s="1"/>
  <c r="BA66" i="1" s="1"/>
  <c r="AZ66" i="1" s="1"/>
  <c r="AY66" i="1" s="1"/>
  <c r="AX66" i="1" s="1"/>
  <c r="AW66" i="1" s="1"/>
  <c r="AV66" i="1" s="1"/>
  <c r="AU66" i="1" s="1"/>
  <c r="AT66" i="1" s="1"/>
  <c r="BW68" i="1"/>
  <c r="BW82" i="1" s="1"/>
  <c r="IV21" i="132"/>
  <c r="BC97" i="1" s="1"/>
  <c r="HT14" i="132"/>
  <c r="IJ7" i="132"/>
  <c r="IG21" i="132"/>
  <c r="AN97" i="1" s="1"/>
  <c r="JD15" i="132"/>
  <c r="HS15" i="132"/>
  <c r="X48" i="1"/>
  <c r="HR15" i="132"/>
  <c r="IG7" i="132"/>
  <c r="IK15" i="132"/>
  <c r="HY8" i="132"/>
  <c r="HV8" i="132"/>
  <c r="IJ21" i="132"/>
  <c r="AQ97" i="1" s="1"/>
  <c r="JK7" i="132"/>
  <c r="IE8" i="132"/>
  <c r="JH21" i="132"/>
  <c r="BO97" i="1" s="1"/>
  <c r="IV15" i="132"/>
  <c r="ID14" i="132"/>
  <c r="IR21" i="132"/>
  <c r="AY97" i="1" s="1"/>
  <c r="JG7" i="132"/>
  <c r="L48" i="1"/>
  <c r="HR7" i="132"/>
  <c r="IA15" i="132"/>
  <c r="V48" i="1"/>
  <c r="IE15" i="132"/>
  <c r="JJ14" i="132"/>
  <c r="JJ15" i="132"/>
  <c r="IT7" i="132"/>
  <c r="H48" i="1"/>
  <c r="IQ15" i="132"/>
  <c r="D48" i="1"/>
  <c r="IS14" i="132"/>
  <c r="II8" i="132"/>
  <c r="JG8" i="132"/>
  <c r="HZ21" i="132"/>
  <c r="IS15" i="132"/>
  <c r="JC15" i="132"/>
  <c r="JF21" i="132"/>
  <c r="BM97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8" i="1"/>
  <c r="CB58" i="1" s="1"/>
  <c r="CC58" i="1" s="1"/>
  <c r="CD58" i="1" s="1"/>
  <c r="BX64" i="1" l="1"/>
  <c r="BY9" i="1"/>
  <c r="BY32" i="1"/>
  <c r="BY73" i="1"/>
  <c r="BY74" i="1" s="1"/>
  <c r="BY4" i="1"/>
  <c r="BY69" i="1"/>
  <c r="BY64" i="1"/>
  <c r="BY136" i="1"/>
  <c r="BY120" i="1"/>
  <c r="HP20" i="132"/>
  <c r="IX20" i="132"/>
  <c r="BE99" i="1" s="1"/>
  <c r="BW34" i="1"/>
  <c r="JF20" i="132"/>
  <c r="BM99" i="1" s="1"/>
  <c r="BX136" i="1"/>
  <c r="BX120" i="1"/>
  <c r="BX133" i="1" s="1"/>
  <c r="JM19" i="132"/>
  <c r="BT98" i="1" s="1"/>
  <c r="IU20" i="132"/>
  <c r="BB99" i="1" s="1"/>
  <c r="IF20" i="132"/>
  <c r="AM99" i="1" s="1"/>
  <c r="BW85" i="1"/>
  <c r="BW28" i="1"/>
  <c r="IT20" i="132"/>
  <c r="BA99" i="1" s="1"/>
  <c r="HX20" i="132"/>
  <c r="IH20" i="132"/>
  <c r="AO99" i="1" s="1"/>
  <c r="IR20" i="132"/>
  <c r="AY99" i="1" s="1"/>
  <c r="JN20" i="132"/>
  <c r="BU99" i="1" s="1"/>
  <c r="IM19" i="132"/>
  <c r="AT98" i="1" s="1"/>
  <c r="HZ19" i="132"/>
  <c r="HW20" i="132"/>
  <c r="IH19" i="132"/>
  <c r="AO98" i="1" s="1"/>
  <c r="JD19" i="132"/>
  <c r="BK98" i="1" s="1"/>
  <c r="IP19" i="132"/>
  <c r="AW98" i="1" s="1"/>
  <c r="HZ20" i="132"/>
  <c r="IU19" i="132"/>
  <c r="BB98" i="1" s="1"/>
  <c r="IN20" i="132"/>
  <c r="AU99" i="1" s="1"/>
  <c r="IZ20" i="132"/>
  <c r="BG99" i="1" s="1"/>
  <c r="JD20" i="132"/>
  <c r="BK99" i="1" s="1"/>
  <c r="HR20" i="132"/>
  <c r="HV20" i="132"/>
  <c r="IV20" i="132"/>
  <c r="BC99" i="1" s="1"/>
  <c r="HR19" i="132"/>
  <c r="JJ19" i="132"/>
  <c r="BQ98" i="1" s="1"/>
  <c r="JJ20" i="132"/>
  <c r="BQ99" i="1" s="1"/>
  <c r="JC20" i="132"/>
  <c r="BJ99" i="1" s="1"/>
  <c r="HV19" i="132"/>
  <c r="IF19" i="132"/>
  <c r="AM98" i="1" s="1"/>
  <c r="IW20" i="132"/>
  <c r="BD99" i="1" s="1"/>
  <c r="IJ20" i="132"/>
  <c r="AQ99" i="1" s="1"/>
  <c r="IN19" i="132"/>
  <c r="AU98" i="1" s="1"/>
  <c r="JI20" i="132"/>
  <c r="BP99" i="1" s="1"/>
  <c r="JK20" i="132"/>
  <c r="BR99" i="1" s="1"/>
  <c r="HT20" i="132"/>
  <c r="JO20" i="132"/>
  <c r="BV99" i="1" s="1"/>
  <c r="JA19" i="132"/>
  <c r="BH98" i="1" s="1"/>
  <c r="JF19" i="132"/>
  <c r="BM98" i="1" s="1"/>
  <c r="IC20" i="132"/>
  <c r="AJ99" i="1" s="1"/>
  <c r="IY20" i="132"/>
  <c r="BF99" i="1" s="1"/>
  <c r="HP19" i="132"/>
  <c r="IE19" i="132"/>
  <c r="AL98" i="1" s="1"/>
  <c r="JH20" i="132"/>
  <c r="BO99" i="1" s="1"/>
  <c r="IB19" i="132"/>
  <c r="AI98" i="1" s="1"/>
  <c r="IX19" i="132"/>
  <c r="BE98" i="1" s="1"/>
  <c r="HY19" i="132"/>
  <c r="JH19" i="132"/>
  <c r="BO98" i="1" s="1"/>
  <c r="IL20" i="132"/>
  <c r="AS99" i="1" s="1"/>
  <c r="JC19" i="132"/>
  <c r="BJ98" i="1" s="1"/>
  <c r="HX19" i="132"/>
  <c r="JE20" i="132"/>
  <c r="BL99" i="1" s="1"/>
  <c r="IG19" i="132"/>
  <c r="AN98" i="1" s="1"/>
  <c r="JL20" i="132"/>
  <c r="BS99" i="1" s="1"/>
  <c r="JN19" i="132"/>
  <c r="BU98" i="1" s="1"/>
  <c r="IZ19" i="132"/>
  <c r="BG98" i="1" s="1"/>
  <c r="IW19" i="132"/>
  <c r="BD98" i="1" s="1"/>
  <c r="IO20" i="132"/>
  <c r="AV99" i="1" s="1"/>
  <c r="HU19" i="132"/>
  <c r="JB19" i="132"/>
  <c r="BI98" i="1" s="1"/>
  <c r="HS19" i="132"/>
  <c r="IK19" i="132"/>
  <c r="AR98" i="1" s="1"/>
  <c r="ID20" i="132"/>
  <c r="AK99" i="1" s="1"/>
  <c r="BW51" i="1"/>
  <c r="BW54" i="1" s="1"/>
  <c r="BW56" i="1" s="1"/>
  <c r="BW60" i="1" s="1"/>
  <c r="BW69" i="1" s="1"/>
  <c r="IA19" i="132"/>
  <c r="AH98" i="1" s="1"/>
  <c r="AH106" i="1" s="1"/>
  <c r="HW19" i="132"/>
  <c r="IO19" i="132"/>
  <c r="AV98" i="1" s="1"/>
  <c r="HQ20" i="132"/>
  <c r="IG20" i="132"/>
  <c r="AN99" i="1" s="1"/>
  <c r="IC19" i="132"/>
  <c r="AJ98" i="1" s="1"/>
  <c r="IM20" i="132"/>
  <c r="AT99" i="1" s="1"/>
  <c r="JA20" i="132"/>
  <c r="BH99" i="1" s="1"/>
  <c r="JM20" i="132"/>
  <c r="BT99" i="1" s="1"/>
  <c r="HT19" i="132"/>
  <c r="HY20" i="132"/>
  <c r="JK19" i="132"/>
  <c r="BR98" i="1" s="1"/>
  <c r="IT19" i="132"/>
  <c r="BA98" i="1" s="1"/>
  <c r="IQ20" i="132"/>
  <c r="AX99" i="1" s="1"/>
  <c r="IS19" i="132"/>
  <c r="AZ98" i="1" s="1"/>
  <c r="II20" i="132"/>
  <c r="AP99" i="1" s="1"/>
  <c r="JG20" i="132"/>
  <c r="BN99" i="1" s="1"/>
  <c r="IL19" i="132"/>
  <c r="AS98" i="1" s="1"/>
  <c r="HU20" i="132"/>
  <c r="IV19" i="132"/>
  <c r="BC98" i="1" s="1"/>
  <c r="JL19" i="132"/>
  <c r="BS98" i="1" s="1"/>
  <c r="IK20" i="132"/>
  <c r="AR99" i="1" s="1"/>
  <c r="ID19" i="132"/>
  <c r="AK98" i="1" s="1"/>
  <c r="IA20" i="132"/>
  <c r="AH99" i="1" s="1"/>
  <c r="AH107" i="1" s="1"/>
  <c r="IR19" i="132"/>
  <c r="AY98" i="1" s="1"/>
  <c r="IY19" i="132"/>
  <c r="BF98" i="1" s="1"/>
  <c r="JO19" i="132"/>
  <c r="BV98" i="1" s="1"/>
  <c r="IP20" i="132"/>
  <c r="AW99" i="1" s="1"/>
  <c r="BW112" i="1"/>
  <c r="BW113" i="1" s="1"/>
  <c r="IS20" i="132"/>
  <c r="AZ99" i="1" s="1"/>
  <c r="JB20" i="132"/>
  <c r="BI99" i="1" s="1"/>
  <c r="IE20" i="132"/>
  <c r="AL99" i="1" s="1"/>
  <c r="BW89" i="1"/>
  <c r="JI19" i="132"/>
  <c r="BP98" i="1" s="1"/>
  <c r="HS20" i="132"/>
  <c r="IB20" i="132"/>
  <c r="AI99" i="1" s="1"/>
  <c r="HQ19" i="132"/>
  <c r="JG19" i="132"/>
  <c r="BN98" i="1" s="1"/>
  <c r="IJ19" i="132"/>
  <c r="AQ98" i="1" s="1"/>
  <c r="BW126" i="1"/>
  <c r="BW129" i="1" s="1"/>
  <c r="BW132" i="1" s="1"/>
  <c r="JE19" i="132"/>
  <c r="BL98" i="1" s="1"/>
  <c r="II19" i="132"/>
  <c r="AP98" i="1" s="1"/>
  <c r="BW84" i="1"/>
  <c r="BW119" i="1"/>
  <c r="BW32" i="1" s="1"/>
  <c r="CE58" i="1"/>
  <c r="CF58" i="1" s="1"/>
  <c r="CG58" i="1" s="1"/>
  <c r="CH58" i="1" s="1"/>
  <c r="AB58" i="1"/>
  <c r="BY107" i="1" l="1"/>
  <c r="BY106" i="1"/>
  <c r="BY105" i="1"/>
  <c r="BY133" i="1"/>
  <c r="BY5" i="1"/>
  <c r="BW73" i="1"/>
  <c r="BW74" i="1" s="1"/>
  <c r="BW107" i="1" s="1"/>
  <c r="BX4" i="1"/>
  <c r="BW64" i="1"/>
  <c r="BW136" i="1"/>
  <c r="BW9" i="1"/>
  <c r="BW120" i="1"/>
  <c r="BW133" i="1" s="1"/>
  <c r="AC58" i="1"/>
  <c r="CI58" i="1"/>
  <c r="CJ58" i="1" s="1"/>
  <c r="CK58" i="1" s="1"/>
  <c r="CL58" i="1" s="1"/>
  <c r="BW106" i="1" l="1"/>
  <c r="BW105" i="1"/>
  <c r="CM58" i="1"/>
  <c r="CN58" i="1" s="1"/>
  <c r="CO58" i="1" s="1"/>
  <c r="AD58" i="1"/>
  <c r="BZ57" i="1"/>
  <c r="AE58" i="1" l="1"/>
  <c r="CA57" i="1"/>
  <c r="CB57" i="1" s="1"/>
  <c r="CC57" i="1" s="1"/>
  <c r="CD57" i="1" s="1"/>
  <c r="CE57" i="1" l="1"/>
  <c r="CF57" i="1" s="1"/>
  <c r="CG57" i="1" s="1"/>
  <c r="CH57" i="1" s="1"/>
  <c r="AB57" i="1"/>
  <c r="AC57" i="1" l="1"/>
  <c r="CI57" i="1"/>
  <c r="CJ57" i="1" s="1"/>
  <c r="CK57" i="1" s="1"/>
  <c r="CL57" i="1" s="1"/>
  <c r="AY68" i="1" l="1"/>
  <c r="BF68" i="1"/>
  <c r="BJ68" i="1"/>
  <c r="BE68" i="1"/>
  <c r="BS68" i="1"/>
  <c r="AW68" i="1"/>
  <c r="BB68" i="1"/>
  <c r="BG68" i="1"/>
  <c r="AZ68" i="1"/>
  <c r="BV68" i="1"/>
  <c r="AD57" i="1"/>
  <c r="CM57" i="1"/>
  <c r="CN57" i="1" s="1"/>
  <c r="CO57" i="1" s="1"/>
  <c r="CA97" i="1"/>
  <c r="BI68" i="1" l="1"/>
  <c r="BH68" i="1"/>
  <c r="BD68" i="1"/>
  <c r="BA68" i="1"/>
  <c r="AV68" i="1"/>
  <c r="AE57" i="1"/>
  <c r="CB97" i="1"/>
  <c r="BL68" i="1"/>
  <c r="J97" i="1" l="1"/>
  <c r="B57" i="1"/>
  <c r="G57" i="1"/>
  <c r="R111" i="1"/>
  <c r="F122" i="1"/>
  <c r="I41" i="1"/>
  <c r="Z117" i="1"/>
  <c r="O49" i="1"/>
  <c r="M117" i="1"/>
  <c r="F55" i="1"/>
  <c r="G115" i="1"/>
  <c r="S127" i="1"/>
  <c r="X99" i="1"/>
  <c r="X63" i="1"/>
  <c r="W117" i="1"/>
  <c r="V118" i="1"/>
  <c r="U99" i="1"/>
  <c r="L80" i="1"/>
  <c r="Y57" i="1"/>
  <c r="Q41" i="1"/>
  <c r="Z44" i="1"/>
  <c r="G97" i="1"/>
  <c r="B47" i="1"/>
  <c r="Z98" i="1"/>
  <c r="Y98" i="1"/>
  <c r="V63" i="1"/>
  <c r="E115" i="1"/>
  <c r="W111" i="1"/>
  <c r="G53" i="1"/>
  <c r="V111" i="1"/>
  <c r="X118" i="1"/>
  <c r="T44" i="1"/>
  <c r="B122" i="1"/>
  <c r="V122" i="1"/>
  <c r="L47" i="1"/>
  <c r="K57" i="1"/>
  <c r="C58" i="1"/>
  <c r="J127" i="1"/>
  <c r="F39" i="1"/>
  <c r="T115" i="1"/>
  <c r="P63" i="1"/>
  <c r="W115" i="1"/>
  <c r="N53" i="1"/>
  <c r="F117" i="1"/>
  <c r="W57" i="1"/>
  <c r="I63" i="1"/>
  <c r="G63" i="1"/>
  <c r="X41" i="1"/>
  <c r="B55" i="1"/>
  <c r="F123" i="1"/>
  <c r="S44" i="1"/>
  <c r="P98" i="1"/>
  <c r="J63" i="1"/>
  <c r="L111" i="1"/>
  <c r="V117" i="1"/>
  <c r="R80" i="1"/>
  <c r="P39" i="1"/>
  <c r="Q81" i="1"/>
  <c r="Z41" i="1"/>
  <c r="W97" i="1"/>
  <c r="R63" i="1"/>
  <c r="R97" i="1"/>
  <c r="U111" i="1"/>
  <c r="T81" i="1"/>
  <c r="I98" i="1"/>
  <c r="I38" i="1"/>
  <c r="R53" i="1"/>
  <c r="M38" i="1"/>
  <c r="U63" i="1"/>
  <c r="N122" i="1"/>
  <c r="M123" i="1"/>
  <c r="M34" i="1" s="1"/>
  <c r="H44" i="1"/>
  <c r="P41" i="1"/>
  <c r="E97" i="1"/>
  <c r="T80" i="1"/>
  <c r="V53" i="1"/>
  <c r="M81" i="1"/>
  <c r="D118" i="1"/>
  <c r="H63" i="1"/>
  <c r="D41" i="1"/>
  <c r="D15" i="1" s="1"/>
  <c r="R57" i="1"/>
  <c r="F111" i="1"/>
  <c r="X38" i="1"/>
  <c r="I117" i="1"/>
  <c r="W122" i="1"/>
  <c r="I99" i="1"/>
  <c r="V87" i="1"/>
  <c r="P97" i="1"/>
  <c r="X115" i="1"/>
  <c r="P123" i="1"/>
  <c r="V49" i="1"/>
  <c r="H55" i="1"/>
  <c r="K111" i="1"/>
  <c r="G127" i="1"/>
  <c r="O115" i="1"/>
  <c r="U41" i="1"/>
  <c r="H41" i="1"/>
  <c r="G111" i="1"/>
  <c r="Q39" i="1"/>
  <c r="T39" i="1"/>
  <c r="Y55" i="1"/>
  <c r="G122" i="1"/>
  <c r="Z38" i="1"/>
  <c r="B87" i="1"/>
  <c r="B99" i="1"/>
  <c r="Q99" i="1"/>
  <c r="Q44" i="1"/>
  <c r="Y39" i="1"/>
  <c r="D117" i="1"/>
  <c r="C57" i="1"/>
  <c r="M99" i="1"/>
  <c r="F99" i="1"/>
  <c r="Z53" i="1"/>
  <c r="E41" i="1"/>
  <c r="G41" i="1"/>
  <c r="H117" i="1"/>
  <c r="T57" i="1"/>
  <c r="U81" i="1"/>
  <c r="K49" i="1"/>
  <c r="P44" i="1"/>
  <c r="W63" i="1"/>
  <c r="V97" i="1"/>
  <c r="J38" i="1"/>
  <c r="P57" i="1"/>
  <c r="G87" i="1"/>
  <c r="C97" i="1"/>
  <c r="O38" i="1"/>
  <c r="X127" i="1"/>
  <c r="D112" i="1"/>
  <c r="U57" i="1"/>
  <c r="K97" i="1"/>
  <c r="V39" i="1"/>
  <c r="Q53" i="1"/>
  <c r="Z66" i="1"/>
  <c r="Y66" i="1" s="1"/>
  <c r="X66" i="1" s="1"/>
  <c r="W66" i="1" s="1"/>
  <c r="D115" i="1"/>
  <c r="J49" i="1"/>
  <c r="T55" i="1"/>
  <c r="R55" i="1"/>
  <c r="J123" i="1"/>
  <c r="O123" i="1"/>
  <c r="R99" i="1"/>
  <c r="L39" i="1"/>
  <c r="C39" i="1"/>
  <c r="N115" i="1"/>
  <c r="N87" i="1"/>
  <c r="R39" i="1"/>
  <c r="O122" i="1"/>
  <c r="N111" i="1"/>
  <c r="K63" i="1"/>
  <c r="T58" i="1"/>
  <c r="O41" i="1"/>
  <c r="D127" i="1"/>
  <c r="I80" i="1"/>
  <c r="W38" i="1"/>
  <c r="Y97" i="1"/>
  <c r="X117" i="1"/>
  <c r="I58" i="1"/>
  <c r="M97" i="1"/>
  <c r="T122" i="1"/>
  <c r="K117" i="1"/>
  <c r="N63" i="1"/>
  <c r="C123" i="1"/>
  <c r="Q58" i="1"/>
  <c r="Q55" i="1"/>
  <c r="P117" i="1"/>
  <c r="O44" i="1"/>
  <c r="E81" i="1"/>
  <c r="J58" i="1"/>
  <c r="R87" i="1"/>
  <c r="Q98" i="1"/>
  <c r="F97" i="1"/>
  <c r="B44" i="1"/>
  <c r="N41" i="1"/>
  <c r="Z80" i="1"/>
  <c r="E44" i="1"/>
  <c r="C87" i="1"/>
  <c r="B49" i="1"/>
  <c r="M63" i="1"/>
  <c r="B123" i="1"/>
  <c r="G47" i="1"/>
  <c r="C47" i="1"/>
  <c r="P80" i="1"/>
  <c r="X57" i="1"/>
  <c r="Y87" i="1"/>
  <c r="H81" i="1"/>
  <c r="D123" i="1"/>
  <c r="V80" i="1"/>
  <c r="W99" i="1"/>
  <c r="N117" i="1"/>
  <c r="D98" i="1"/>
  <c r="B58" i="1"/>
  <c r="F81" i="1"/>
  <c r="M111" i="1"/>
  <c r="P118" i="1"/>
  <c r="E38" i="1"/>
  <c r="J122" i="1"/>
  <c r="C49" i="1"/>
  <c r="W81" i="1"/>
  <c r="K118" i="1"/>
  <c r="C44" i="1"/>
  <c r="S118" i="1"/>
  <c r="F118" i="1"/>
  <c r="O58" i="1"/>
  <c r="F57" i="1"/>
  <c r="V47" i="1"/>
  <c r="M80" i="1"/>
  <c r="D58" i="1"/>
  <c r="U53" i="1"/>
  <c r="R123" i="1"/>
  <c r="K55" i="1"/>
  <c r="M115" i="1"/>
  <c r="K123" i="1"/>
  <c r="S63" i="1"/>
  <c r="B118" i="1"/>
  <c r="X81" i="1"/>
  <c r="H57" i="1"/>
  <c r="H49" i="1"/>
  <c r="D49" i="1"/>
  <c r="T99" i="1"/>
  <c r="V41" i="1"/>
  <c r="K81" i="1"/>
  <c r="O39" i="1"/>
  <c r="V127" i="1"/>
  <c r="Z47" i="1"/>
  <c r="S97" i="1"/>
  <c r="F38" i="1"/>
  <c r="Y63" i="1"/>
  <c r="P115" i="1"/>
  <c r="J80" i="1"/>
  <c r="U117" i="1"/>
  <c r="W53" i="1"/>
  <c r="J39" i="1"/>
  <c r="B115" i="1"/>
  <c r="L98" i="1"/>
  <c r="C118" i="1"/>
  <c r="E63" i="1"/>
  <c r="B41" i="1"/>
  <c r="C38" i="1"/>
  <c r="F53" i="1"/>
  <c r="Q118" i="1"/>
  <c r="W80" i="1"/>
  <c r="O127" i="1"/>
  <c r="X123" i="1"/>
  <c r="T53" i="1"/>
  <c r="J55" i="1"/>
  <c r="R44" i="1"/>
  <c r="X87" i="1"/>
  <c r="Y127" i="1"/>
  <c r="V115" i="1"/>
  <c r="T97" i="1"/>
  <c r="G118" i="1"/>
  <c r="X55" i="1"/>
  <c r="C117" i="1"/>
  <c r="Y38" i="1"/>
  <c r="U123" i="1"/>
  <c r="B117" i="1"/>
  <c r="L97" i="1"/>
  <c r="N55" i="1"/>
  <c r="V55" i="1"/>
  <c r="H115" i="1"/>
  <c r="Z115" i="1"/>
  <c r="M112" i="1"/>
  <c r="S81" i="1"/>
  <c r="U44" i="1"/>
  <c r="T111" i="1"/>
  <c r="L41" i="1"/>
  <c r="O57" i="1"/>
  <c r="C111" i="1"/>
  <c r="K38" i="1"/>
  <c r="U80" i="1"/>
  <c r="T41" i="1"/>
  <c r="S55" i="1"/>
  <c r="Z39" i="1"/>
  <c r="Y44" i="1"/>
  <c r="U39" i="1"/>
  <c r="N39" i="1"/>
  <c r="W41" i="1"/>
  <c r="L127" i="1"/>
  <c r="X44" i="1"/>
  <c r="Q63" i="1"/>
  <c r="E111" i="1"/>
  <c r="S111" i="1"/>
  <c r="Q111" i="1"/>
  <c r="H99" i="1"/>
  <c r="J87" i="1"/>
  <c r="L53" i="1"/>
  <c r="I123" i="1"/>
  <c r="G98" i="1"/>
  <c r="R47" i="1"/>
  <c r="Z87" i="1"/>
  <c r="Q123" i="1"/>
  <c r="I55" i="1"/>
  <c r="W58" i="1"/>
  <c r="V99" i="1"/>
  <c r="C115" i="1"/>
  <c r="B53" i="1"/>
  <c r="U55" i="1"/>
  <c r="X58" i="1"/>
  <c r="D57" i="1"/>
  <c r="D47" i="1"/>
  <c r="W118" i="1"/>
  <c r="D99" i="1"/>
  <c r="K98" i="1"/>
  <c r="V44" i="1"/>
  <c r="Q49" i="1"/>
  <c r="O80" i="1"/>
  <c r="U49" i="1"/>
  <c r="C127" i="1"/>
  <c r="H39" i="1"/>
  <c r="N118" i="1"/>
  <c r="C53" i="1"/>
  <c r="E55" i="1"/>
  <c r="O99" i="1"/>
  <c r="I97" i="1"/>
  <c r="B97" i="1"/>
  <c r="B105" i="1" s="1"/>
  <c r="I49" i="1"/>
  <c r="I39" i="1"/>
  <c r="V57" i="1"/>
  <c r="W47" i="1"/>
  <c r="G39" i="1"/>
  <c r="E122" i="1"/>
  <c r="G123" i="1"/>
  <c r="D111" i="1"/>
  <c r="U47" i="1"/>
  <c r="U118" i="1"/>
  <c r="R98" i="1"/>
  <c r="R81" i="1"/>
  <c r="T118" i="1"/>
  <c r="U58" i="1"/>
  <c r="N98" i="1"/>
  <c r="U97" i="1"/>
  <c r="M47" i="1"/>
  <c r="M55" i="1"/>
  <c r="Z57" i="1"/>
  <c r="S39" i="1"/>
  <c r="P47" i="1"/>
  <c r="S80" i="1"/>
  <c r="Z81" i="1"/>
  <c r="K44" i="1"/>
  <c r="G81" i="1"/>
  <c r="G55" i="1"/>
  <c r="T127" i="1"/>
  <c r="R127" i="1"/>
  <c r="Z127" i="1"/>
  <c r="M122" i="1"/>
  <c r="BA48" i="1"/>
  <c r="K127" i="1"/>
  <c r="I111" i="1"/>
  <c r="C80" i="1"/>
  <c r="K122" i="1"/>
  <c r="Q115" i="1"/>
  <c r="Z111" i="1"/>
  <c r="D81" i="1"/>
  <c r="M49" i="1"/>
  <c r="T123" i="1"/>
  <c r="U87" i="1"/>
  <c r="L81" i="1"/>
  <c r="X111" i="1"/>
  <c r="T87" i="1"/>
  <c r="E47" i="1"/>
  <c r="M98" i="1"/>
  <c r="P55" i="1"/>
  <c r="H87" i="1"/>
  <c r="L55" i="1"/>
  <c r="S57" i="1"/>
  <c r="L44" i="1"/>
  <c r="V98" i="1"/>
  <c r="D63" i="1"/>
  <c r="H97" i="1"/>
  <c r="Q122" i="1"/>
  <c r="P81" i="1"/>
  <c r="B63" i="1"/>
  <c r="I122" i="1"/>
  <c r="S98" i="1"/>
  <c r="Q117" i="1"/>
  <c r="I81" i="1"/>
  <c r="P127" i="1"/>
  <c r="Z49" i="1"/>
  <c r="R118" i="1"/>
  <c r="Z97" i="1"/>
  <c r="Y53" i="1"/>
  <c r="U115" i="1"/>
  <c r="X97" i="1"/>
  <c r="H111" i="1"/>
  <c r="E123" i="1"/>
  <c r="Y118" i="1"/>
  <c r="T98" i="1"/>
  <c r="Q127" i="1"/>
  <c r="Z99" i="1"/>
  <c r="D38" i="1"/>
  <c r="D12" i="1" s="1"/>
  <c r="I118" i="1"/>
  <c r="X80" i="1"/>
  <c r="F98" i="1"/>
  <c r="L38" i="1"/>
  <c r="E127" i="1"/>
  <c r="J99" i="1"/>
  <c r="W39" i="1"/>
  <c r="K39" i="1"/>
  <c r="L123" i="1"/>
  <c r="T117" i="1"/>
  <c r="F41" i="1"/>
  <c r="V123" i="1"/>
  <c r="I47" i="1"/>
  <c r="D55" i="1"/>
  <c r="D22" i="1" s="1"/>
  <c r="B111" i="1"/>
  <c r="C81" i="1"/>
  <c r="Y111" i="1"/>
  <c r="P99" i="1"/>
  <c r="G58" i="1"/>
  <c r="I44" i="1"/>
  <c r="O63" i="1"/>
  <c r="J111" i="1"/>
  <c r="R38" i="1"/>
  <c r="R58" i="1"/>
  <c r="S122" i="1"/>
  <c r="J44" i="1"/>
  <c r="Z123" i="1"/>
  <c r="K80" i="1"/>
  <c r="S53" i="1"/>
  <c r="Z58" i="1"/>
  <c r="R117" i="1"/>
  <c r="F49" i="1"/>
  <c r="H47" i="1"/>
  <c r="N99" i="1"/>
  <c r="K53" i="1"/>
  <c r="O81" i="1"/>
  <c r="N38" i="1"/>
  <c r="D44" i="1"/>
  <c r="O97" i="1"/>
  <c r="I127" i="1"/>
  <c r="U127" i="1"/>
  <c r="F63" i="1"/>
  <c r="V81" i="1"/>
  <c r="K58" i="1"/>
  <c r="U98" i="1"/>
  <c r="S49" i="1"/>
  <c r="H123" i="1"/>
  <c r="B127" i="1"/>
  <c r="W55" i="1"/>
  <c r="Y41" i="1"/>
  <c r="G38" i="1"/>
  <c r="H127" i="1"/>
  <c r="J115" i="1"/>
  <c r="R115" i="1"/>
  <c r="P49" i="1"/>
  <c r="B98" i="1"/>
  <c r="V58" i="1"/>
  <c r="N58" i="1"/>
  <c r="Q80" i="1"/>
  <c r="L117" i="1"/>
  <c r="R41" i="1"/>
  <c r="E98" i="1"/>
  <c r="T63" i="1"/>
  <c r="M58" i="1"/>
  <c r="F47" i="1"/>
  <c r="W127" i="1"/>
  <c r="C98" i="1"/>
  <c r="R112" i="1"/>
  <c r="R113" i="1" s="1"/>
  <c r="G99" i="1"/>
  <c r="Q97" i="1"/>
  <c r="D87" i="1"/>
  <c r="H80" i="1"/>
  <c r="E53" i="1"/>
  <c r="B80" i="1"/>
  <c r="Q57" i="1"/>
  <c r="W49" i="1"/>
  <c r="L99" i="1"/>
  <c r="H58" i="1"/>
  <c r="E58" i="1"/>
  <c r="F127" i="1"/>
  <c r="L118" i="1"/>
  <c r="X49" i="1"/>
  <c r="U38" i="1"/>
  <c r="X47" i="1"/>
  <c r="K99" i="1"/>
  <c r="H53" i="1"/>
  <c r="F80" i="1"/>
  <c r="C55" i="1"/>
  <c r="P58" i="1"/>
  <c r="Q47" i="1"/>
  <c r="K115" i="1"/>
  <c r="V38" i="1"/>
  <c r="R49" i="1"/>
  <c r="S115" i="1"/>
  <c r="N57" i="1"/>
  <c r="H118" i="1"/>
  <c r="X98" i="1"/>
  <c r="W44" i="1"/>
  <c r="E80" i="1"/>
  <c r="Y122" i="1"/>
  <c r="G80" i="1"/>
  <c r="D39" i="1"/>
  <c r="D13" i="1" s="1"/>
  <c r="E117" i="1"/>
  <c r="D122" i="1"/>
  <c r="Z67" i="1"/>
  <c r="Y67" i="1" s="1"/>
  <c r="X67" i="1" s="1"/>
  <c r="W67" i="1" s="1"/>
  <c r="V67" i="1" s="1"/>
  <c r="U67" i="1" s="1"/>
  <c r="T67" i="1" s="1"/>
  <c r="S67" i="1" s="1"/>
  <c r="R67" i="1" s="1"/>
  <c r="Q67" i="1" s="1"/>
  <c r="P67" i="1" s="1"/>
  <c r="O67" i="1" s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D67" i="1" s="1"/>
  <c r="C67" i="1" s="1"/>
  <c r="B67" i="1" s="1"/>
  <c r="E87" i="1"/>
  <c r="M87" i="1"/>
  <c r="E99" i="1"/>
  <c r="S87" i="1"/>
  <c r="Y99" i="1"/>
  <c r="I87" i="1"/>
  <c r="W123" i="1"/>
  <c r="N44" i="1"/>
  <c r="O47" i="1"/>
  <c r="J98" i="1"/>
  <c r="G49" i="1"/>
  <c r="F87" i="1"/>
  <c r="N47" i="1"/>
  <c r="L58" i="1"/>
  <c r="K41" i="1"/>
  <c r="O118" i="1"/>
  <c r="E118" i="1"/>
  <c r="S38" i="1"/>
  <c r="J47" i="1"/>
  <c r="Q38" i="1"/>
  <c r="N97" i="1"/>
  <c r="H38" i="1"/>
  <c r="P53" i="1"/>
  <c r="Y123" i="1"/>
  <c r="P122" i="1"/>
  <c r="Y81" i="1"/>
  <c r="Z63" i="1"/>
  <c r="E49" i="1"/>
  <c r="O98" i="1"/>
  <c r="I115" i="1"/>
  <c r="B39" i="1"/>
  <c r="D53" i="1"/>
  <c r="D20" i="1" s="1"/>
  <c r="E39" i="1"/>
  <c r="Z118" i="1"/>
  <c r="N127" i="1"/>
  <c r="X53" i="1"/>
  <c r="J57" i="1"/>
  <c r="M44" i="1"/>
  <c r="G117" i="1"/>
  <c r="N80" i="1"/>
  <c r="Y47" i="1"/>
  <c r="O87" i="1"/>
  <c r="L87" i="1"/>
  <c r="S123" i="1"/>
  <c r="L57" i="1"/>
  <c r="Q87" i="1"/>
  <c r="Y80" i="1"/>
  <c r="P38" i="1"/>
  <c r="I57" i="1"/>
  <c r="O55" i="1"/>
  <c r="O53" i="1"/>
  <c r="J118" i="1"/>
  <c r="L63" i="1"/>
  <c r="B38" i="1"/>
  <c r="C63" i="1"/>
  <c r="S117" i="1"/>
  <c r="Y58" i="1"/>
  <c r="N123" i="1"/>
  <c r="U122" i="1"/>
  <c r="M53" i="1"/>
  <c r="K87" i="1"/>
  <c r="N81" i="1"/>
  <c r="C99" i="1"/>
  <c r="M118" i="1"/>
  <c r="F115" i="1"/>
  <c r="Y115" i="1"/>
  <c r="L49" i="1"/>
  <c r="H122" i="1"/>
  <c r="T38" i="1"/>
  <c r="S41" i="1"/>
  <c r="S47" i="1"/>
  <c r="K47" i="1"/>
  <c r="T49" i="1"/>
  <c r="W87" i="1"/>
  <c r="H98" i="1"/>
  <c r="J41" i="1"/>
  <c r="C41" i="1"/>
  <c r="M57" i="1"/>
  <c r="Y117" i="1"/>
  <c r="O111" i="1"/>
  <c r="E57" i="1"/>
  <c r="F58" i="1"/>
  <c r="S58" i="1"/>
  <c r="X39" i="1"/>
  <c r="R122" i="1"/>
  <c r="D80" i="1"/>
  <c r="Z55" i="1"/>
  <c r="P87" i="1"/>
  <c r="D97" i="1"/>
  <c r="Z122" i="1"/>
  <c r="S99" i="1"/>
  <c r="L115" i="1"/>
  <c r="I53" i="1"/>
  <c r="M127" i="1"/>
  <c r="O117" i="1"/>
  <c r="M39" i="1"/>
  <c r="L122" i="1"/>
  <c r="P111" i="1"/>
  <c r="J117" i="1"/>
  <c r="J30" i="1" s="1"/>
  <c r="C122" i="1"/>
  <c r="J53" i="1"/>
  <c r="X122" i="1"/>
  <c r="J81" i="1"/>
  <c r="B81" i="1"/>
  <c r="M41" i="1"/>
  <c r="W98" i="1"/>
  <c r="N112" i="1"/>
  <c r="CC97" i="1"/>
  <c r="BZ115" i="1"/>
  <c r="CA115" i="1" s="1"/>
  <c r="CB115" i="1" s="1"/>
  <c r="CC115" i="1" s="1"/>
  <c r="BN68" i="1"/>
  <c r="BM68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AH15" i="130" a="1"/>
  <c r="AL30" i="130" a="1"/>
  <c r="AJ37" i="130" a="1"/>
  <c r="L33" i="130" a="1"/>
  <c r="AF38" i="130" a="1"/>
  <c r="AC15" i="130" a="1"/>
  <c r="G13" i="130" a="1"/>
  <c r="AI7" i="130" a="1"/>
  <c r="Z41" i="130" a="1"/>
  <c r="AK31" i="130" a="1"/>
  <c r="AD38" i="130" a="1"/>
  <c r="D30" i="130" a="1"/>
  <c r="AK23" i="130" a="1"/>
  <c r="V22" i="130" a="1"/>
  <c r="N44" i="130" a="1"/>
  <c r="P38" i="130" a="1"/>
  <c r="E5" i="130" a="1"/>
  <c r="AK6" i="130" a="1"/>
  <c r="AL39" i="130" a="1"/>
  <c r="AQ10" i="130" a="1"/>
  <c r="J11" i="130" a="1"/>
  <c r="AD10" i="130" a="1"/>
  <c r="AL46" i="130" a="1"/>
  <c r="M38" i="130" a="1"/>
  <c r="H12" i="130" a="1"/>
  <c r="AH39" i="130" a="1"/>
  <c r="AQ44" i="130" a="1"/>
  <c r="P33" i="130" a="1"/>
  <c r="S41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M11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AJ9" i="130" a="1"/>
  <c r="E36" i="130" a="1"/>
  <c r="AB5" i="130" a="1"/>
  <c r="Q33" i="130" a="1"/>
  <c r="AP39" i="130" a="1"/>
  <c r="AN35" i="130" a="1"/>
  <c r="J18" i="130" a="1"/>
  <c r="J17" i="130" a="1"/>
  <c r="AC43" i="130" a="1"/>
  <c r="S27" i="130" a="1"/>
  <c r="I29" i="130" a="1"/>
  <c r="X35" i="130" a="1"/>
  <c r="AK47" i="130" a="1"/>
  <c r="G40" i="130" a="1"/>
  <c r="AH29" i="130" a="1"/>
  <c r="W8" i="130" a="1"/>
  <c r="AG19" i="130" a="1"/>
  <c r="V45" i="130" a="1"/>
  <c r="L47" i="130" a="1"/>
  <c r="Z28" i="130" a="1"/>
  <c r="P21" i="130" a="1"/>
  <c r="X8" i="130" a="1"/>
  <c r="P25" i="130" a="1"/>
  <c r="AF8" i="130" a="1"/>
  <c r="X24" i="130" a="1"/>
  <c r="AG11" i="130" a="1"/>
  <c r="AH31" i="130" a="1"/>
  <c r="I21" i="130" a="1"/>
  <c r="AF10" i="130" a="1"/>
  <c r="AL23" i="130" a="1"/>
  <c r="AJ38" i="130" a="1"/>
  <c r="AG42" i="130" a="1"/>
  <c r="M37" i="130" a="1"/>
  <c r="AE19" i="130" a="1"/>
  <c r="E45" i="130" a="1"/>
  <c r="I42" i="130" a="1"/>
  <c r="AF41" i="130" a="1"/>
  <c r="AL18" i="130" a="1"/>
  <c r="E28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T25" i="130" a="1"/>
  <c r="AA31" i="130" a="1"/>
  <c r="X41" i="130" a="1"/>
  <c r="P47" i="130" a="1"/>
  <c r="Q18" i="130" a="1"/>
  <c r="AM17" i="130" a="1"/>
  <c r="F24" i="130" a="1"/>
  <c r="AP23" i="130" a="1"/>
  <c r="U25" i="130" a="1"/>
  <c r="AJ35" i="130" a="1"/>
  <c r="AK18" i="130" a="1"/>
  <c r="AA19" i="130" a="1"/>
  <c r="AE10" i="130" a="1"/>
  <c r="N10" i="130" a="1"/>
  <c r="AF5" i="130" a="1"/>
  <c r="X21" i="130" a="1"/>
  <c r="AA42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AM5" i="130" a="1"/>
  <c r="AM10" i="130" a="1"/>
  <c r="R22" i="130" a="1"/>
  <c r="D35" i="130" a="1"/>
  <c r="AC46" i="130" a="1"/>
  <c r="AO9" i="130" a="1"/>
  <c r="L9" i="130" a="1"/>
  <c r="E12" i="130" a="1"/>
  <c r="V23" i="130" a="1"/>
  <c r="V47" i="130" a="1"/>
  <c r="AG13" i="130" a="1"/>
  <c r="AB31" i="130" a="1"/>
  <c r="P37" i="130" a="1"/>
  <c r="O6" i="130" a="1"/>
  <c r="F29" i="130" a="1"/>
  <c r="N16" i="130" a="1"/>
  <c r="O11" i="130" a="1"/>
  <c r="U7" i="130" a="1"/>
  <c r="I5" i="130" a="1"/>
  <c r="Z20" i="130" a="1"/>
  <c r="Z7" i="130" a="1"/>
  <c r="V20" i="130" a="1"/>
  <c r="AG18" i="130" a="1"/>
  <c r="E7" i="130" a="1"/>
  <c r="AO34" i="130" a="1"/>
  <c r="Y46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Q13" i="130" a="1"/>
  <c r="W37" i="130" a="1"/>
  <c r="AL45" i="130" a="1"/>
  <c r="G46" i="130" a="1"/>
  <c r="I31" i="130" a="1"/>
  <c r="AN42" i="130" a="1"/>
  <c r="O45" i="130" a="1"/>
  <c r="Y10" i="130" a="1"/>
  <c r="Q20" i="130" a="1"/>
  <c r="AF18" i="130" a="1"/>
  <c r="AK21" i="130" a="1"/>
  <c r="N41" i="130" a="1"/>
  <c r="X6" i="130" a="1"/>
  <c r="T28" i="130" a="1"/>
  <c r="D19" i="130" a="1"/>
  <c r="K33" i="130" a="1"/>
  <c r="M23" i="130" a="1"/>
  <c r="C6" i="130" a="1"/>
  <c r="H6" i="130" a="1"/>
  <c r="AK16" i="130" a="1"/>
  <c r="AN41" i="130" a="1"/>
  <c r="AA46" i="130" a="1"/>
  <c r="AO45" i="130" a="1"/>
  <c r="K34" i="130" a="1"/>
  <c r="AN34" i="130" a="1"/>
  <c r="W30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AJ36" i="130" a="1"/>
  <c r="R15" i="130" a="1"/>
  <c r="Y17" i="130" a="1"/>
  <c r="AB12" i="130" a="1"/>
  <c r="K20" i="130" a="1"/>
  <c r="AJ42" i="130" a="1"/>
  <c r="D9" i="130" a="1"/>
  <c r="AN46" i="130" a="1"/>
  <c r="AI47" i="130" a="1"/>
  <c r="R19" i="130" a="1"/>
  <c r="O30" i="130" a="1"/>
  <c r="AO27" i="130" a="1"/>
  <c r="AD34" i="130" a="1"/>
  <c r="AB41" i="130" a="1"/>
  <c r="AF14" i="130" a="1"/>
  <c r="Y33" i="130" a="1"/>
  <c r="T37" i="130" a="1"/>
  <c r="K37" i="130" a="1"/>
  <c r="AO24" i="130" a="1"/>
  <c r="AJ43" i="130" a="1"/>
  <c r="K15" i="130" a="1"/>
  <c r="AO6" i="130" a="1"/>
  <c r="AM12" i="130" a="1"/>
  <c r="AL22" i="130" a="1"/>
  <c r="N25" i="130" a="1"/>
  <c r="X20" i="130" a="1"/>
  <c r="C29" i="130" a="1"/>
  <c r="L18" i="130" a="1"/>
  <c r="V44" i="130" a="1"/>
  <c r="AB23" i="130" a="1"/>
  <c r="W35" i="130" a="1"/>
  <c r="F23" i="130" a="1"/>
  <c r="Y40" i="130" a="1"/>
  <c r="AE17" i="130" a="1"/>
  <c r="Z31" i="130" a="1"/>
  <c r="Y27" i="130" a="1"/>
  <c r="M19" i="130" a="1"/>
  <c r="AP6" i="130" a="1"/>
  <c r="X31" i="130" a="1"/>
  <c r="AM46" i="130" a="1"/>
  <c r="AD23" i="130" a="1"/>
  <c r="AP15" i="130" a="1"/>
  <c r="D28" i="130" a="1"/>
  <c r="W33" i="130" a="1"/>
  <c r="M12" i="130" a="1"/>
  <c r="AM34" i="130" a="1"/>
  <c r="C33" i="130" a="1"/>
  <c r="AF6" i="130" a="1"/>
  <c r="AJ11" i="130" a="1"/>
  <c r="R20" i="130" a="1"/>
  <c r="O29" i="130" a="1"/>
  <c r="AO20" i="130" a="1"/>
  <c r="Y22" i="130" a="1"/>
  <c r="AE5" i="130" a="1"/>
  <c r="Z30" i="130" a="1"/>
  <c r="AM26" i="130" a="1"/>
  <c r="L29" i="130" a="1"/>
  <c r="AQ19" i="130" a="1"/>
  <c r="AN32" i="130" a="1"/>
  <c r="K9" i="130" a="1"/>
  <c r="J28" i="130" a="1"/>
  <c r="S28" i="130" a="1"/>
  <c r="AH28" i="130" a="1"/>
  <c r="AK13" i="130" a="1"/>
  <c r="AD27" i="130" a="1"/>
  <c r="S23" i="130" a="1"/>
  <c r="S22" i="130" a="1"/>
  <c r="E30" i="130" a="1"/>
  <c r="AP30" i="130" a="1"/>
  <c r="X40" i="130" a="1"/>
  <c r="G22" i="130" a="1"/>
  <c r="AK45" i="130" a="1"/>
  <c r="AJ34" i="130" a="1"/>
  <c r="AC33" i="130" a="1"/>
  <c r="G30" i="130" a="1"/>
  <c r="P7" i="130" a="1"/>
  <c r="Q31" i="130" a="1"/>
  <c r="H34" i="130" a="1"/>
  <c r="U41" i="130" a="1"/>
  <c r="AK28" i="130" a="1"/>
  <c r="F10" i="130" a="1"/>
  <c r="AF16" i="130" a="1"/>
  <c r="W7" i="130" a="1"/>
  <c r="AB27" i="130" a="1"/>
  <c r="AN11" i="130" a="1"/>
  <c r="W21" i="130" a="1"/>
  <c r="S46" i="130" a="1"/>
  <c r="T34" i="130" a="1"/>
  <c r="AA6" i="130" a="1"/>
  <c r="AB33" i="130" a="1"/>
  <c r="Z25" i="130" a="1"/>
  <c r="K26" i="130" a="1"/>
  <c r="AL33" i="130" a="1"/>
  <c r="AH13" i="130" a="1"/>
  <c r="AD37" i="130" a="1"/>
  <c r="Z19" i="130" a="1"/>
  <c r="E9" i="130" a="1"/>
  <c r="N27" i="130" a="1"/>
  <c r="AN19" i="130" a="1"/>
  <c r="AJ33" i="130" a="1"/>
  <c r="M45" i="130" a="1"/>
  <c r="U38" i="130" a="1"/>
  <c r="AO35" i="130" a="1"/>
  <c r="F14" i="130" a="1"/>
  <c r="X18" i="130" a="1"/>
  <c r="H23" i="130" a="1"/>
  <c r="AI5" i="130" a="1"/>
  <c r="AB39" i="130" a="1"/>
  <c r="AC30" i="130" a="1"/>
  <c r="R16" i="130" a="1"/>
  <c r="AF42" i="130" a="1"/>
  <c r="H10" i="130" a="1"/>
  <c r="AE18" i="130" a="1"/>
  <c r="Z35" i="130" a="1"/>
  <c r="AL35" i="130" a="1"/>
  <c r="AD24" i="130" a="1"/>
  <c r="AA37" i="130" a="1"/>
  <c r="AE34" i="130" a="1"/>
  <c r="AH25" i="130" a="1"/>
  <c r="E27" i="130" a="1"/>
  <c r="V43" i="130" a="1"/>
  <c r="AJ47" i="130" a="1"/>
  <c r="AE25" i="130" a="1"/>
  <c r="E24" i="130" a="1"/>
  <c r="M13" i="130" a="1"/>
  <c r="Z9" i="130" a="1"/>
  <c r="E40" i="130" a="1"/>
  <c r="Z8" i="130" a="1"/>
  <c r="N46" i="130" a="1"/>
  <c r="AB38" i="130" a="1"/>
  <c r="C40" i="130" a="1"/>
  <c r="J36" i="130" a="1"/>
  <c r="J6" i="130" a="1"/>
  <c r="U47" i="130" a="1"/>
  <c r="V27" i="130" a="1"/>
  <c r="AL44" i="130" a="1"/>
  <c r="AN33" i="130" a="1"/>
  <c r="X47" i="130" a="1"/>
  <c r="V6" i="130" a="1"/>
  <c r="Z6" i="130" a="1"/>
  <c r="C13" i="130" a="1"/>
  <c r="L22" i="130" a="1"/>
  <c r="R27" i="130" a="1"/>
  <c r="M15" i="130" a="1"/>
  <c r="S24" i="130" a="1"/>
  <c r="P31" i="130" a="1"/>
  <c r="E8" i="130" a="1"/>
  <c r="N12" i="130" a="1"/>
  <c r="AB17" i="130" a="1"/>
  <c r="V25" i="130" a="1"/>
  <c r="X38" i="130" a="1"/>
  <c r="F44" i="130" a="1"/>
  <c r="AG33" i="130" a="1"/>
  <c r="F33" i="130" a="1"/>
  <c r="T29" i="130" a="1"/>
  <c r="V21" i="130" a="1"/>
  <c r="M18" i="130" a="1"/>
  <c r="S8" i="130" a="1"/>
  <c r="AN25" i="130" a="1"/>
  <c r="T12" i="130" a="1"/>
  <c r="AG28" i="130" a="1"/>
  <c r="K25" i="130" a="1"/>
  <c r="Y15" i="130" a="1"/>
  <c r="AH19" i="130" a="1"/>
  <c r="J20" i="130" a="1"/>
  <c r="T16" i="130" a="1"/>
  <c r="AM35" i="130" a="1"/>
  <c r="AH26" i="130" a="1"/>
  <c r="AB15" i="130" a="1"/>
  <c r="I41" i="130" a="1"/>
  <c r="AN29" i="130" a="1"/>
  <c r="AB18" i="130" a="1"/>
  <c r="AF22" i="130" a="1"/>
  <c r="AH5" i="130" a="1"/>
  <c r="D15" i="130" a="1"/>
  <c r="AL6" i="130" a="1"/>
  <c r="L32" i="130" a="1"/>
  <c r="AG10" i="130" a="1"/>
  <c r="J7" i="130" a="1"/>
  <c r="U42" i="130" a="1"/>
  <c r="AO22" i="130" a="1"/>
  <c r="W11" i="130" a="1"/>
  <c r="AH41" i="130" a="1"/>
  <c r="AF21" i="130" a="1"/>
  <c r="W26" i="130" a="1"/>
  <c r="AM18" i="130" a="1"/>
  <c r="V40" i="130" a="1"/>
  <c r="AQ11" i="130" a="1"/>
  <c r="AE15" i="130" a="1"/>
  <c r="AQ29" i="130" a="1"/>
  <c r="AG35" i="130" a="1"/>
  <c r="AA34" i="130" a="1"/>
  <c r="F35" i="130" a="1"/>
  <c r="E37" i="130" a="1"/>
  <c r="AB26" i="130" a="1"/>
  <c r="AM36" i="130" a="1"/>
  <c r="M11" i="130" a="1"/>
  <c r="AA13" i="130" a="1"/>
  <c r="L41" i="130" a="1"/>
  <c r="AA29" i="130" a="1"/>
  <c r="AN36" i="130" a="1"/>
  <c r="Y30" i="130" a="1"/>
  <c r="G44" i="130" a="1"/>
  <c r="AI16" i="130" a="1"/>
  <c r="M32" i="130" a="1"/>
  <c r="AG6" i="130" a="1"/>
  <c r="AP16" i="130" a="1"/>
  <c r="M24" i="130" a="1"/>
  <c r="E21" i="130" a="1"/>
  <c r="W15" i="130" a="1"/>
  <c r="N8" i="130" a="1"/>
  <c r="AO18" i="130" a="1"/>
  <c r="V17" i="130" a="1"/>
  <c r="AJ13" i="130" a="1"/>
  <c r="X17" i="130" a="1"/>
  <c r="R11" i="130" a="1"/>
  <c r="AB35" i="130" a="1"/>
  <c r="T30" i="130" a="1"/>
  <c r="AI44" i="130" a="1"/>
  <c r="AP40" i="130" a="1"/>
  <c r="Z45" i="130" a="1"/>
  <c r="M40" i="130" a="1"/>
  <c r="T10" i="130" a="1"/>
  <c r="AM29" i="130" a="1"/>
  <c r="AJ46" i="130" a="1"/>
  <c r="R24" i="130" a="1"/>
  <c r="AN6" i="130" a="1"/>
  <c r="AG38" i="130" a="1"/>
  <c r="G38" i="130" a="1"/>
  <c r="C31" i="130" a="1"/>
  <c r="H29" i="130" a="1"/>
  <c r="AD7" i="130" a="1"/>
  <c r="G28" i="130" a="1"/>
  <c r="S29" i="130" a="1"/>
  <c r="N34" i="130" a="1"/>
  <c r="R8" i="130" a="1"/>
  <c r="O5" i="130" a="1"/>
  <c r="AD32" i="130" a="1"/>
  <c r="AP12" i="130" a="1"/>
  <c r="AF37" i="130" a="1"/>
  <c r="T31" i="130" a="1"/>
  <c r="AB45" i="130" a="1"/>
  <c r="L38" i="130" a="1"/>
  <c r="W45" i="130" a="1"/>
  <c r="R39" i="130" a="1"/>
  <c r="S11" i="130" a="1"/>
  <c r="G20" i="130" a="1"/>
  <c r="I36" i="130" a="1"/>
  <c r="T7" i="130" a="1"/>
  <c r="D24" i="130" a="1"/>
  <c r="X12" i="130" a="1"/>
  <c r="S44" i="130" a="1"/>
  <c r="AB40" i="130" a="1"/>
  <c r="N24" i="130" a="1"/>
  <c r="Y44" i="130" a="1"/>
  <c r="X22" i="130" a="1"/>
  <c r="U10" i="130" a="1"/>
  <c r="AQ23" i="130" a="1"/>
  <c r="M5" i="130" a="1"/>
  <c r="W38" i="130" a="1"/>
  <c r="AP24" i="130" a="1"/>
  <c r="AD44" i="130" a="1"/>
  <c r="T23" i="130" a="1"/>
  <c r="C23" i="130" a="1"/>
  <c r="T27" i="130" a="1"/>
  <c r="AG36" i="130" a="1"/>
  <c r="K44" i="130" a="1"/>
  <c r="V42" i="130" a="1"/>
  <c r="AF27" i="130" a="1"/>
  <c r="D38" i="130" a="1"/>
  <c r="AJ21" i="130" a="1"/>
  <c r="W24" i="130" a="1"/>
  <c r="AF20" i="130" a="1"/>
  <c r="G47" i="130" a="1"/>
  <c r="L7" i="130" a="1"/>
  <c r="F25" i="130" a="1"/>
  <c r="I43" i="130" a="1"/>
  <c r="T6" i="130" a="1"/>
  <c r="N17" i="130" a="1"/>
  <c r="AN23" i="130" a="1"/>
  <c r="AI22" i="130" a="1"/>
  <c r="M26" i="130" a="1"/>
  <c r="F47" i="130" a="1"/>
  <c r="H5" i="130" a="1"/>
  <c r="AJ20" i="130" a="1"/>
  <c r="AC37" i="130" a="1"/>
  <c r="J12" i="130" a="1"/>
  <c r="AO7" i="130" a="1"/>
  <c r="H25" i="130" a="1"/>
  <c r="O42" i="130" a="1"/>
  <c r="AP13" i="130" a="1"/>
  <c r="K29" i="130" a="1"/>
  <c r="AK11" i="130" a="1"/>
  <c r="L19" i="130" a="1"/>
  <c r="C35" i="130" a="1"/>
  <c r="K7" i="130" a="1"/>
  <c r="AE47" i="130" a="1"/>
  <c r="I32" i="130" a="1"/>
  <c r="H7" i="130" a="1"/>
  <c r="I14" i="130" a="1"/>
  <c r="AA32" i="130" a="1"/>
  <c r="AE45" i="130" a="1"/>
  <c r="C32" i="130" a="1"/>
  <c r="G42" i="130" a="1"/>
  <c r="D26" i="130" a="1"/>
  <c r="Z11" i="130" a="1"/>
  <c r="W5" i="130" a="1"/>
  <c r="AP47" i="130" a="1"/>
  <c r="Y32" i="130" a="1"/>
  <c r="AG39" i="130" a="1"/>
  <c r="Y36" i="130" a="1"/>
  <c r="Q39" i="130" a="1"/>
  <c r="F30" i="130" a="1"/>
  <c r="S13" i="130" a="1"/>
  <c r="AD16" i="130" a="1"/>
  <c r="R35" i="130" a="1"/>
  <c r="Q13" i="130" a="1"/>
  <c r="AA26" i="130" a="1"/>
  <c r="O38" i="130" a="1"/>
  <c r="AG8" i="130" a="1"/>
  <c r="Y8" i="130" a="1"/>
  <c r="T32" i="130" a="1"/>
  <c r="O23" i="130" a="1"/>
  <c r="AA23" i="130" a="1"/>
  <c r="V16" i="130" a="1"/>
  <c r="AH17" i="130" a="1"/>
  <c r="J22" i="130" a="1"/>
  <c r="AE33" i="130" a="1"/>
  <c r="I27" i="130" a="1"/>
  <c r="F36" i="130" a="1"/>
  <c r="AI28" i="130" a="1"/>
  <c r="AC8" i="130" a="1"/>
  <c r="O9" i="130" a="1"/>
  <c r="AB46" i="130" a="1"/>
  <c r="AK20" i="130" a="1"/>
  <c r="R13" i="130" a="1"/>
  <c r="G8" i="130" a="1"/>
  <c r="N21" i="130" a="1"/>
  <c r="C43" i="130" a="1"/>
  <c r="AH9" i="130" a="1"/>
  <c r="AN24" i="130" a="1"/>
  <c r="AH6" i="130" a="1"/>
  <c r="J5" i="130" a="1"/>
  <c r="AE14" i="130" a="1"/>
  <c r="D5" i="130" a="1"/>
  <c r="AL12" i="130" a="1"/>
  <c r="F27" i="130" a="1"/>
  <c r="E31" i="130" a="1"/>
  <c r="AE39" i="130" a="1"/>
  <c r="Q38" i="130" a="1"/>
  <c r="AF15" i="130" a="1"/>
  <c r="AB22" i="130" a="1"/>
  <c r="AH16" i="130" a="1"/>
  <c r="AN20" i="130" a="1"/>
  <c r="AC10" i="130" a="1"/>
  <c r="F15" i="130" a="1"/>
  <c r="C26" i="130" a="1"/>
  <c r="AO43" i="130" a="1"/>
  <c r="Q8" i="130" a="1"/>
  <c r="X27" i="130" a="1"/>
  <c r="H8" i="130" a="1"/>
  <c r="AK25" i="130" a="1"/>
  <c r="AE32" i="130" a="1"/>
  <c r="Q34" i="130" a="1"/>
  <c r="S45" i="130" a="1"/>
  <c r="AO26" i="130" a="1"/>
  <c r="U27" i="130" a="1"/>
  <c r="F32" i="130" a="1"/>
  <c r="Z16" i="130" a="1"/>
  <c r="M8" i="130" a="1"/>
  <c r="AI21" i="130" a="1"/>
  <c r="G41" i="130" a="1"/>
  <c r="C18" i="130" a="1"/>
  <c r="S25" i="130" a="1"/>
  <c r="F39" i="130" a="1"/>
  <c r="S14" i="130" a="1"/>
  <c r="AA18" i="130" a="1"/>
  <c r="AQ5" i="130" a="1"/>
  <c r="AG17" i="130" a="1"/>
  <c r="K40" i="130" a="1"/>
  <c r="Q36" i="130" a="1"/>
  <c r="D14" i="130" a="1"/>
  <c r="E26" i="130" a="1"/>
  <c r="W44" i="130" a="1"/>
  <c r="H16" i="130" a="1"/>
  <c r="U20" i="130" a="1"/>
  <c r="AD17" i="130" a="1"/>
  <c r="AC32" i="130" a="1"/>
  <c r="AL26" i="130" a="1"/>
  <c r="J44" i="130" a="1"/>
  <c r="J30" i="130" a="1"/>
  <c r="AI41" i="130" a="1"/>
  <c r="AI26" i="130" a="1"/>
  <c r="AP8" i="130" a="1"/>
  <c r="AM43" i="130" a="1"/>
  <c r="G29" i="130" a="1"/>
  <c r="N31" i="130" a="1"/>
  <c r="AP27" i="130" a="1"/>
  <c r="AN10" i="130" a="1"/>
  <c r="E23" i="130" a="1"/>
  <c r="G31" i="130" a="1"/>
  <c r="D17" i="130" a="1"/>
  <c r="AJ28" i="130" a="1"/>
  <c r="AN21" i="130" a="1"/>
  <c r="Y45" i="130" a="1"/>
  <c r="T22" i="130" a="1"/>
  <c r="AN15" i="130" a="1"/>
  <c r="G6" i="130" a="1"/>
  <c r="C21" i="130" a="1"/>
  <c r="AF44" i="130" a="1"/>
  <c r="E42" i="130" a="1"/>
  <c r="F8" i="130" a="1"/>
  <c r="Q26" i="130" a="1"/>
  <c r="AM16" i="130" a="1"/>
  <c r="D21" i="130" a="1"/>
  <c r="AB11" i="130" a="1"/>
  <c r="AB32" i="130" a="1"/>
  <c r="I39" i="130" a="1"/>
  <c r="AE6" i="130" a="1"/>
  <c r="W29" i="130" a="1"/>
  <c r="D27" i="130" a="1"/>
  <c r="AB10" i="130" a="1"/>
  <c r="AN18" i="130" a="1"/>
  <c r="J19" i="130" a="1"/>
  <c r="U11" i="130" a="1"/>
  <c r="AN47" i="130" a="1"/>
  <c r="AP5" i="130" a="1"/>
  <c r="AH45" i="130" a="1"/>
  <c r="H20" i="130" a="1"/>
  <c r="F21" i="130" a="1"/>
  <c r="AK7" i="130" a="1"/>
  <c r="AQ15" i="130" a="1"/>
  <c r="X33" i="130" a="1"/>
  <c r="M9" i="130" a="1"/>
  <c r="Z38" i="130" a="1"/>
  <c r="AM28" i="130" a="1"/>
  <c r="AL32" i="130" a="1"/>
  <c r="R31" i="130" a="1"/>
  <c r="AL40" i="130" a="1"/>
  <c r="L46" i="130" a="1"/>
  <c r="S10" i="130" a="1"/>
  <c r="AQ35" i="130" a="1"/>
  <c r="Q35" i="130" a="1"/>
  <c r="AN14" i="130" a="1"/>
  <c r="H17" i="130" a="1"/>
  <c r="AG45" i="130" a="1"/>
  <c r="G11" i="130" a="1"/>
  <c r="X36" i="130" a="1"/>
  <c r="AM27" i="130" a="1"/>
  <c r="K35" i="130" a="1"/>
  <c r="E20" i="130" a="1"/>
  <c r="AJ40" i="130" a="1"/>
  <c r="AI42" i="130" a="1"/>
  <c r="AL27" i="130" a="1"/>
  <c r="AP38" i="130" a="1"/>
  <c r="K23" i="130" a="1"/>
  <c r="M36" i="130" a="1"/>
  <c r="AC35" i="130" a="1"/>
  <c r="AM13" i="130" a="1"/>
  <c r="O35" i="130" a="1"/>
  <c r="E32" i="130" a="1"/>
  <c r="AD18" i="130" a="1"/>
  <c r="AQ36" i="130" a="1"/>
  <c r="AM33" i="130" a="1"/>
  <c r="D22" i="130" a="1"/>
  <c r="AE28" i="130" a="1"/>
  <c r="N9" i="130" a="1"/>
  <c r="L45" i="130" a="1"/>
  <c r="AI10" i="130" a="1"/>
  <c r="AA35" i="130" a="1"/>
  <c r="T20" i="130" a="1"/>
  <c r="AE44" i="130" a="1"/>
  <c r="J29" i="130" a="1"/>
  <c r="K11" i="130" a="1"/>
  <c r="L5" i="130" a="1"/>
  <c r="P16" i="130" a="1"/>
  <c r="L24" i="130" a="1"/>
  <c r="AC38" i="130" a="1"/>
  <c r="Q10" i="130" a="1"/>
  <c r="AE21" i="130" a="1"/>
  <c r="E19" i="130" a="1"/>
  <c r="AP42" i="130" a="1"/>
  <c r="G25" i="130" a="1"/>
  <c r="U34" i="130" a="1"/>
  <c r="AG41" i="130" a="1"/>
  <c r="O18" i="130" a="1"/>
  <c r="AH34" i="130" a="1"/>
  <c r="E47" i="130" a="1"/>
  <c r="AE43" i="130" a="1"/>
  <c r="L31" i="130" a="1"/>
  <c r="U5" i="130" a="1"/>
  <c r="AJ44" i="130" a="1"/>
  <c r="G19" i="130" a="1"/>
  <c r="AH10" i="130" a="1"/>
  <c r="H40" i="130" a="1"/>
  <c r="W16" i="130" a="1"/>
  <c r="F13" i="130" a="1"/>
  <c r="AI20" i="130" a="1"/>
  <c r="AQ40" i="130" a="1"/>
  <c r="AC27" i="130" a="1"/>
  <c r="AL42" i="130" a="1"/>
  <c r="P30" i="130" a="1"/>
  <c r="AL19" i="130" a="1"/>
  <c r="AO47" i="130" a="1"/>
  <c r="AI36" i="130" a="1"/>
  <c r="AH32" i="130" a="1"/>
  <c r="E16" i="130" a="1"/>
  <c r="AO36" i="130" a="1"/>
  <c r="AD20" i="130" a="1"/>
  <c r="AK46" i="130" a="1"/>
  <c r="J46" i="130" a="1"/>
  <c r="AP19" i="130" a="1"/>
  <c r="K12" i="130" a="1"/>
  <c r="P44" i="130" a="1"/>
  <c r="W40" i="130" a="1"/>
  <c r="AO11" i="130" a="1"/>
  <c r="L34" i="130" a="1"/>
  <c r="AB14" i="130" a="1"/>
  <c r="AL25" i="130" a="1"/>
  <c r="C25" i="130" a="1"/>
  <c r="I34" i="130" a="1"/>
  <c r="X28" i="130" a="1"/>
  <c r="U8" i="130" a="1"/>
  <c r="Q27" i="130" a="1"/>
  <c r="C9" i="130" a="1"/>
  <c r="AD25" i="130" a="1"/>
  <c r="AN44" i="130" a="1"/>
  <c r="E17" i="130" a="1"/>
  <c r="AC24" i="130" a="1"/>
  <c r="AO25" i="130" a="1"/>
  <c r="X10" i="130" a="1"/>
  <c r="D32" i="130" a="1"/>
  <c r="X29" i="130" a="1"/>
  <c r="V19" i="130" a="1"/>
  <c r="M7" i="130" a="1"/>
  <c r="W18" i="130" a="1"/>
  <c r="AD21" i="130" a="1"/>
  <c r="W22" i="130" a="1"/>
  <c r="AM24" i="130" a="1"/>
  <c r="AP32" i="130" a="1"/>
  <c r="K21" i="130" a="1"/>
  <c r="AO19" i="130" a="1"/>
  <c r="X9" i="130" a="1"/>
  <c r="AL43" i="130" a="1"/>
  <c r="AA41" i="130" a="1"/>
  <c r="O47" i="130" a="1"/>
  <c r="C38" i="130" a="1"/>
  <c r="Y34" i="130" a="1"/>
  <c r="Z27" i="130" a="1"/>
  <c r="M25" i="130" a="1"/>
  <c r="S6" i="130" a="1"/>
  <c r="F16" i="130" a="1"/>
  <c r="U18" i="130" a="1"/>
  <c r="Z17" i="130" a="1"/>
  <c r="AH23" i="130" a="1"/>
  <c r="AB42" i="130" a="1"/>
  <c r="AH18" i="130" a="1"/>
  <c r="G16" i="130" a="1"/>
  <c r="Z40" i="130" a="1"/>
  <c r="AN8" i="130" a="1"/>
  <c r="AI38" i="130" a="1"/>
  <c r="N19" i="130" a="1"/>
  <c r="AM7" i="130" a="1"/>
  <c r="AL13" i="130" a="1"/>
  <c r="U37" i="130" a="1"/>
  <c r="O21" i="130" a="1"/>
  <c r="AH20" i="130" a="1"/>
  <c r="AF40" i="130" a="1"/>
  <c r="X14" i="130" a="1"/>
  <c r="K17" i="130" a="1"/>
  <c r="AJ8" i="130" a="1"/>
  <c r="L6" i="130" a="1"/>
  <c r="AA11" i="130" a="1"/>
  <c r="K39" i="130" a="1"/>
  <c r="AK40" i="130" a="1"/>
  <c r="J43" i="130" a="1"/>
  <c r="L36" i="130" a="1"/>
  <c r="AQ47" i="130" a="1"/>
  <c r="W17" i="130" a="1"/>
  <c r="Y43" i="130" a="1"/>
  <c r="M46" i="130" a="1"/>
  <c r="AA21" i="130" a="1"/>
  <c r="C27" i="130" a="1"/>
  <c r="AD35" i="130" a="1"/>
  <c r="AP43" i="130" a="1"/>
  <c r="L44" i="130" a="1"/>
  <c r="AC16" i="130" a="1"/>
  <c r="AC13" i="130" a="1"/>
  <c r="N15" i="130" a="1"/>
  <c r="AN16" i="130" a="1"/>
  <c r="AL38" i="130" a="1"/>
  <c r="S21" i="130" a="1"/>
  <c r="AK14" i="130" a="1"/>
  <c r="M28" i="130" a="1"/>
  <c r="T5" i="130" a="1"/>
  <c r="J15" i="130" a="1"/>
  <c r="T14" i="130" a="1"/>
  <c r="AD36" i="130" a="1"/>
  <c r="H45" i="130" a="1"/>
  <c r="AB29" i="130" a="1"/>
  <c r="T21" i="130" a="1"/>
  <c r="K28" i="130" a="1"/>
  <c r="AD12" i="130" a="1"/>
  <c r="N37" i="130" a="1"/>
  <c r="H26" i="130" a="1"/>
  <c r="M41" i="130" a="1"/>
  <c r="D29" i="130" a="1"/>
  <c r="AO23" i="130" a="1"/>
  <c r="AL14" i="130" a="1"/>
  <c r="K13" i="130" a="1"/>
  <c r="P15" i="130" a="1"/>
  <c r="I20" i="130" a="1"/>
  <c r="AE40" i="130" a="1"/>
  <c r="T26" i="130" a="1"/>
  <c r="AJ23" i="130" a="1"/>
  <c r="AE12" i="130" a="1"/>
  <c r="I28" i="130" a="1"/>
  <c r="U46" i="130" a="1"/>
  <c r="AP20" i="130" a="1"/>
  <c r="S16" i="130" a="1"/>
  <c r="AA30" i="130" a="1"/>
  <c r="N42" i="130" a="1"/>
  <c r="J47" i="130" a="1"/>
  <c r="AJ16" i="130" a="1"/>
  <c r="AL24" i="130" a="1"/>
  <c r="AI11" i="130" a="1"/>
  <c r="R37" i="130" a="1"/>
  <c r="AG23" i="130" a="1"/>
  <c r="AK27" i="130" a="1"/>
  <c r="S7" i="130" a="1"/>
  <c r="AQ12" i="130" a="1"/>
  <c r="AK44" i="130" a="1"/>
  <c r="V26" i="130" a="1"/>
  <c r="Q14" i="130" a="1"/>
  <c r="F45" i="130" a="1"/>
  <c r="Q45" i="130" a="1"/>
  <c r="T13" i="130" a="1"/>
  <c r="T11" i="130" a="1"/>
  <c r="T46" i="130" a="1"/>
  <c r="I33" i="130" a="1"/>
  <c r="M17" i="130" a="1"/>
  <c r="AB16" i="130" a="1"/>
  <c r="Y21" i="130" a="1"/>
  <c r="Y20" i="130" a="1"/>
  <c r="AM6" i="130" a="1"/>
  <c r="AO31" i="130" a="1"/>
  <c r="D43" i="130" a="1"/>
  <c r="Z47" i="130" a="1"/>
  <c r="Y23" i="130" a="1"/>
  <c r="AA22" i="130" a="1"/>
  <c r="AB25" i="130" a="1"/>
  <c r="Y38" i="130" a="1"/>
  <c r="AQ39" i="130" a="1"/>
  <c r="O28" i="130" a="1"/>
  <c r="AI29" i="130" a="1"/>
  <c r="F22" i="130" a="1"/>
  <c r="I35" i="130" a="1"/>
  <c r="L17" i="130" a="1"/>
  <c r="M35" i="130" a="1"/>
  <c r="AL21" i="130" a="1"/>
  <c r="S32" i="130" a="1"/>
  <c r="F5" i="130" a="1"/>
  <c r="G45" i="130" a="1"/>
  <c r="V30" i="130" a="1"/>
  <c r="W10" i="130" a="1"/>
  <c r="V34" i="130" a="1"/>
  <c r="C45" i="130" a="1"/>
  <c r="Y29" i="130" a="1"/>
  <c r="W14" i="130" a="1"/>
  <c r="P8" i="130" a="1"/>
  <c r="Z29" i="130" a="1"/>
  <c r="AP34" i="130" a="1"/>
  <c r="V14" i="130" a="1"/>
  <c r="D31" i="130" a="1"/>
  <c r="G9" i="130" a="1"/>
  <c r="AF24" i="130" a="1"/>
  <c r="AE29" i="130" a="1"/>
  <c r="Q29" i="130" a="1"/>
  <c r="AI8" i="130" a="1"/>
  <c r="O20" i="130" a="1"/>
  <c r="N36" i="130" a="1"/>
  <c r="L28" i="130" a="1"/>
  <c r="F20" i="130" a="1"/>
  <c r="AD29" i="130" a="1"/>
  <c r="R6" i="130" a="1"/>
  <c r="AC5" i="130" a="1"/>
  <c r="N7" i="130" a="1"/>
  <c r="V36" i="130" a="1"/>
  <c r="E14" i="130" a="1"/>
  <c r="AH44" i="130" a="1"/>
  <c r="E38" i="130" a="1"/>
  <c r="Q32" i="130" a="1"/>
  <c r="Z5" i="130" a="1"/>
  <c r="AA47" i="130" a="1"/>
  <c r="G21" i="130" a="1"/>
  <c r="Y28" i="130" a="1"/>
  <c r="L30" i="130" a="1"/>
  <c r="J39" i="130" a="1"/>
  <c r="P35" i="130" a="1"/>
  <c r="X23" i="130" a="1"/>
  <c r="L26" i="130" a="1"/>
  <c r="AC40" i="130" a="1"/>
  <c r="E15" i="130" a="1"/>
  <c r="AD13" i="130" a="1"/>
  <c r="AD6" i="130" a="1"/>
  <c r="S33" i="130" a="1"/>
  <c r="AK10" i="130" a="1"/>
  <c r="D12" i="130" a="1"/>
  <c r="AM15" i="130" a="1"/>
  <c r="AC22" i="130" a="1"/>
  <c r="T24" i="130" a="1"/>
  <c r="C44" i="130" a="1"/>
  <c r="AI35" i="130" a="1"/>
  <c r="AB21" i="130" a="1"/>
  <c r="I45" i="130" a="1"/>
  <c r="C17" i="130" a="1"/>
  <c r="E30" i="1" l="1"/>
  <c r="D89" i="1"/>
  <c r="Z30" i="1"/>
  <c r="W34" i="1"/>
  <c r="V34" i="1"/>
  <c r="Z34" i="1"/>
  <c r="N85" i="1"/>
  <c r="N34" i="1"/>
  <c r="BG63" i="1" s="1"/>
  <c r="BR59" i="1" s="1"/>
  <c r="AI48" i="1" s="1"/>
  <c r="BI38" i="1" s="1"/>
  <c r="AJ59" i="1" s="1"/>
  <c r="BH80" i="1" s="1"/>
  <c r="AQ67" i="1" s="1"/>
  <c r="AL63" i="1" s="1"/>
  <c r="Z51" i="130" s="1"/>
  <c r="AJ78" i="1" s="1"/>
  <c r="BA76" i="1" s="1"/>
  <c r="AS41" i="1" s="1"/>
  <c r="AC51" i="130" s="1"/>
  <c r="AW38" i="1" s="1"/>
  <c r="AK55" i="1" s="1"/>
  <c r="AS76" i="1" s="1"/>
  <c r="AT55" i="1" s="1"/>
  <c r="AL39" i="1" s="1"/>
  <c r="F51" i="130" s="1"/>
  <c r="BQ63" i="1" s="1"/>
  <c r="BD78" i="1" s="1"/>
  <c r="BR38" i="1" s="1"/>
  <c r="BD55" i="1" s="1"/>
  <c r="BD63" i="1" s="1"/>
  <c r="AY44" i="1" s="1"/>
  <c r="BV48" i="1" s="1"/>
  <c r="AX41" i="1" s="1"/>
  <c r="AW77" i="1" s="1"/>
  <c r="BN44" i="1" s="1"/>
  <c r="BU55" i="1" s="1"/>
  <c r="BJ48" i="1" s="1"/>
  <c r="BJ80" i="1" s="1"/>
  <c r="AN55" i="1" s="1"/>
  <c r="AU59" i="1" s="1"/>
  <c r="AI66" i="1" s="1"/>
  <c r="AR81" i="1" s="1"/>
  <c r="AS77" i="1" s="1"/>
  <c r="BI48" i="1" s="1"/>
  <c r="AY63" i="1" s="1"/>
  <c r="BI76" i="1" s="1"/>
  <c r="AO59" i="1" s="1"/>
  <c r="T51" i="130" s="1"/>
  <c r="AX63" i="1" s="1"/>
  <c r="BQ78" i="1" s="1"/>
  <c r="AS59" i="1" s="1"/>
  <c r="BF63" i="1" s="1"/>
  <c r="AQ76" i="1" s="1"/>
  <c r="BP80" i="1" s="1"/>
  <c r="BF44" i="1" s="1"/>
  <c r="AQ38" i="1" s="1"/>
  <c r="BK80" i="1" s="1"/>
  <c r="BM55" i="1" s="1"/>
  <c r="AT63" i="1" s="1"/>
  <c r="AZ77" i="1" s="1"/>
  <c r="BR41" i="1" s="1"/>
  <c r="BN78" i="1" s="1"/>
  <c r="BE80" i="1" s="1"/>
  <c r="BM53" i="1" s="1"/>
  <c r="AZ53" i="1" s="1"/>
  <c r="AX38" i="1" s="1"/>
  <c r="BF81" i="1" s="1"/>
  <c r="BF82" i="1" s="1"/>
  <c r="BC39" i="1" s="1"/>
  <c r="AP63" i="1" s="1"/>
  <c r="BI63" i="1" s="1"/>
  <c r="BB53" i="1" s="1"/>
  <c r="AR41" i="1" s="1"/>
  <c r="AH39" i="1" s="1"/>
  <c r="AH13" i="1" s="1"/>
  <c r="BT44" i="1" s="1"/>
  <c r="BB80" i="1" s="1"/>
  <c r="AP48" i="1" s="1"/>
  <c r="BI55" i="1" s="1"/>
  <c r="BT76" i="1" s="1"/>
  <c r="BN76" i="1" s="1"/>
  <c r="BV80" i="1" s="1"/>
  <c r="BN55" i="1" s="1"/>
  <c r="AM80" i="1" s="1"/>
  <c r="U51" i="130" s="1"/>
  <c r="AT53" i="1" s="1"/>
  <c r="BL81" i="1" s="1"/>
  <c r="BL82" i="1" s="1"/>
  <c r="BJ63" i="1" s="1"/>
  <c r="BH78" i="1" s="1"/>
  <c r="L51" i="130" s="1"/>
  <c r="AP44" i="1" s="1"/>
  <c r="AO66" i="1" s="1"/>
  <c r="AY55" i="1" s="1"/>
  <c r="AS39" i="1" s="1"/>
  <c r="BV76" i="1" s="1"/>
  <c r="BI53" i="1" s="1"/>
  <c r="AR76" i="1" s="1"/>
  <c r="BU78" i="1" s="1"/>
  <c r="BO80" i="1" s="1"/>
  <c r="AJ55" i="1" s="1"/>
  <c r="BC76" i="1" s="1"/>
  <c r="AL44" i="1" s="1"/>
  <c r="BQ80" i="1" s="1"/>
  <c r="BE78" i="1" s="1"/>
  <c r="AR39" i="1" s="1"/>
  <c r="BV59" i="1" s="1"/>
  <c r="BP41" i="1" s="1"/>
  <c r="AK63" i="1" s="1"/>
  <c r="AM55" i="1" s="1"/>
  <c r="AP51" i="130" s="1"/>
  <c r="AZ44" i="1" s="1"/>
  <c r="BS53" i="1" s="1"/>
  <c r="BJ38" i="1" s="1"/>
  <c r="BG44" i="1" s="1"/>
  <c r="AI63" i="1" s="1"/>
  <c r="AH63" i="1" s="1"/>
  <c r="AL38" i="1" s="1"/>
  <c r="BS59" i="1" s="1"/>
  <c r="BS63" i="1" s="1"/>
  <c r="AL66" i="1" s="1"/>
  <c r="BN81" i="1" s="1"/>
  <c r="AO67" i="1" s="1"/>
  <c r="AZ55" i="1" s="1"/>
  <c r="AV76" i="1" s="1"/>
  <c r="AP80" i="1" s="1"/>
  <c r="AQ51" i="130" s="1"/>
  <c r="BF53" i="1" s="1"/>
  <c r="AH53" i="1" s="1"/>
  <c r="AH20" i="1" s="1"/>
  <c r="AL81" i="1" s="1"/>
  <c r="BN63" i="1" s="1"/>
  <c r="AK59" i="1" s="1"/>
  <c r="BS55" i="1" s="1"/>
  <c r="BK59" i="1" s="1"/>
  <c r="AV78" i="1" s="1"/>
  <c r="BQ48" i="1" s="1"/>
  <c r="D51" i="130" s="1"/>
  <c r="J51" i="130" s="1"/>
  <c r="BM38" i="1" s="1"/>
  <c r="BM39" i="1" s="1"/>
  <c r="AS63" i="1" s="1"/>
  <c r="BP55" i="1" s="1"/>
  <c r="AT39" i="1" s="1"/>
  <c r="AK76" i="1" s="1"/>
  <c r="AT78" i="1" s="1"/>
  <c r="AK67" i="1" s="1"/>
  <c r="BD76" i="1" s="1"/>
  <c r="W51" i="130" s="1"/>
  <c r="BE44" i="1" s="1"/>
  <c r="AM41" i="1" s="1"/>
  <c r="AP41" i="1" s="1"/>
  <c r="BP44" i="1" s="1"/>
  <c r="AP66" i="1" s="1"/>
  <c r="G34" i="1"/>
  <c r="H84" i="1"/>
  <c r="Q34" i="1"/>
  <c r="I34" i="1"/>
  <c r="X34" i="1"/>
  <c r="C34" i="1"/>
  <c r="F34" i="1"/>
  <c r="B34" i="1"/>
  <c r="P34" i="1"/>
  <c r="J34" i="1"/>
  <c r="O34" i="1"/>
  <c r="D34" i="1"/>
  <c r="R34" i="1"/>
  <c r="K34" i="1"/>
  <c r="U34" i="1"/>
  <c r="T34" i="1"/>
  <c r="E34" i="1"/>
  <c r="L34" i="1"/>
  <c r="H34" i="1"/>
  <c r="Y34" i="1"/>
  <c r="S34" i="1"/>
  <c r="F89" i="1"/>
  <c r="V119" i="1"/>
  <c r="V32" i="1" s="1"/>
  <c r="Q31" i="1"/>
  <c r="V84" i="1"/>
  <c r="S125" i="1"/>
  <c r="AM45" i="1"/>
  <c r="AH45" i="1"/>
  <c r="G89" i="1"/>
  <c r="I30" i="1"/>
  <c r="N119" i="1"/>
  <c r="N32" i="1" s="1"/>
  <c r="B112" i="1"/>
  <c r="B113" i="1" s="1"/>
  <c r="C126" i="1"/>
  <c r="C129" i="1" s="1"/>
  <c r="I112" i="1"/>
  <c r="I113" i="1" s="1"/>
  <c r="P126" i="1"/>
  <c r="P129" i="1" s="1"/>
  <c r="W89" i="1"/>
  <c r="V112" i="1"/>
  <c r="V113" i="1" s="1"/>
  <c r="B125" i="1"/>
  <c r="Q85" i="1"/>
  <c r="AY45" i="1"/>
  <c r="AZ45" i="1"/>
  <c r="AL45" i="1"/>
  <c r="P31" i="1"/>
  <c r="I84" i="1"/>
  <c r="M125" i="1"/>
  <c r="M126" i="1"/>
  <c r="M129" i="1" s="1"/>
  <c r="X85" i="1"/>
  <c r="E112" i="1"/>
  <c r="E113" i="1" s="1"/>
  <c r="B119" i="1"/>
  <c r="I125" i="1"/>
  <c r="M113" i="1"/>
  <c r="S85" i="1"/>
  <c r="S84" i="1"/>
  <c r="K89" i="1"/>
  <c r="S112" i="1"/>
  <c r="S113" i="1" s="1"/>
  <c r="S4" i="1" s="1"/>
  <c r="D85" i="1"/>
  <c r="W125" i="1"/>
  <c r="P112" i="1"/>
  <c r="P113" i="1" s="1"/>
  <c r="Z84" i="1"/>
  <c r="G40" i="1"/>
  <c r="G42" i="1" s="1"/>
  <c r="Q84" i="1"/>
  <c r="Z126" i="1"/>
  <c r="Z129" i="1" s="1"/>
  <c r="B84" i="1"/>
  <c r="H119" i="1"/>
  <c r="H32" i="1" s="1"/>
  <c r="U112" i="1"/>
  <c r="U113" i="1" s="1"/>
  <c r="E84" i="1"/>
  <c r="G84" i="1"/>
  <c r="B85" i="1"/>
  <c r="BN82" i="1"/>
  <c r="H31" i="1"/>
  <c r="I31" i="1"/>
  <c r="F125" i="1"/>
  <c r="T40" i="1"/>
  <c r="T42" i="1" s="1"/>
  <c r="H126" i="1"/>
  <c r="H129" i="1" s="1"/>
  <c r="D125" i="1"/>
  <c r="T47" i="1"/>
  <c r="T45" i="1"/>
  <c r="D119" i="1"/>
  <c r="P84" i="1"/>
  <c r="G126" i="1"/>
  <c r="G129" i="1" s="1"/>
  <c r="I119" i="1"/>
  <c r="I32" i="1" s="1"/>
  <c r="K126" i="1"/>
  <c r="K129" i="1" s="1"/>
  <c r="K112" i="1"/>
  <c r="K113" i="1" s="1"/>
  <c r="O40" i="1"/>
  <c r="O42" i="1" s="1"/>
  <c r="J40" i="1"/>
  <c r="J42" i="1" s="1"/>
  <c r="W84" i="1"/>
  <c r="P85" i="1"/>
  <c r="N126" i="1"/>
  <c r="N129" i="1" s="1"/>
  <c r="I89" i="1"/>
  <c r="I85" i="1"/>
  <c r="T30" i="1"/>
  <c r="F112" i="1"/>
  <c r="F113" i="1" s="1"/>
  <c r="E119" i="1"/>
  <c r="E32" i="1" s="1"/>
  <c r="H40" i="1"/>
  <c r="H42" i="1" s="1"/>
  <c r="Y31" i="1"/>
  <c r="P89" i="1"/>
  <c r="J31" i="1"/>
  <c r="J85" i="1"/>
  <c r="L40" i="1"/>
  <c r="L42" i="1" s="1"/>
  <c r="P119" i="1"/>
  <c r="E85" i="1"/>
  <c r="K40" i="1"/>
  <c r="K42" i="1" s="1"/>
  <c r="Y126" i="1"/>
  <c r="Y129" i="1" s="1"/>
  <c r="R85" i="1"/>
  <c r="Q89" i="1"/>
  <c r="L125" i="1"/>
  <c r="S40" i="1"/>
  <c r="S42" i="1" s="1"/>
  <c r="Q126" i="1"/>
  <c r="Q129" i="1" s="1"/>
  <c r="Q125" i="1"/>
  <c r="R45" i="1"/>
  <c r="R50" i="1" s="1"/>
  <c r="C45" i="1"/>
  <c r="C50" i="1" s="1"/>
  <c r="R89" i="1"/>
  <c r="D84" i="1"/>
  <c r="O30" i="1"/>
  <c r="L89" i="1"/>
  <c r="S31" i="1"/>
  <c r="R31" i="1"/>
  <c r="U30" i="1"/>
  <c r="U119" i="1"/>
  <c r="U32" i="1" s="1"/>
  <c r="V30" i="1"/>
  <c r="F85" i="1"/>
  <c r="M84" i="1"/>
  <c r="K31" i="1"/>
  <c r="F40" i="1"/>
  <c r="F42" i="1" s="1"/>
  <c r="G112" i="1"/>
  <c r="G113" i="1" s="1"/>
  <c r="J84" i="1"/>
  <c r="L126" i="1"/>
  <c r="L129" i="1" s="1"/>
  <c r="C40" i="1"/>
  <c r="C42" i="1" s="1"/>
  <c r="Q30" i="1"/>
  <c r="W119" i="1"/>
  <c r="I40" i="1"/>
  <c r="I42" i="1" s="1"/>
  <c r="G31" i="1"/>
  <c r="O126" i="1"/>
  <c r="O129" i="1" s="1"/>
  <c r="M89" i="1"/>
  <c r="T84" i="1"/>
  <c r="W45" i="1"/>
  <c r="W50" i="1" s="1"/>
  <c r="F31" i="1"/>
  <c r="X84" i="1"/>
  <c r="M31" i="1"/>
  <c r="Q112" i="1"/>
  <c r="Q113" i="1" s="1"/>
  <c r="R4" i="1" s="1"/>
  <c r="C85" i="1"/>
  <c r="R40" i="1"/>
  <c r="Y112" i="1"/>
  <c r="Y113" i="1" s="1"/>
  <c r="H112" i="1"/>
  <c r="H113" i="1" s="1"/>
  <c r="J125" i="1"/>
  <c r="W112" i="1"/>
  <c r="W113" i="1" s="1"/>
  <c r="L119" i="1"/>
  <c r="N125" i="1"/>
  <c r="E126" i="1"/>
  <c r="E129" i="1" s="1"/>
  <c r="F84" i="1"/>
  <c r="R125" i="1"/>
  <c r="Y89" i="1"/>
  <c r="S126" i="1"/>
  <c r="S129" i="1" s="1"/>
  <c r="E40" i="1"/>
  <c r="E42" i="1" s="1"/>
  <c r="X126" i="1"/>
  <c r="X129" i="1" s="1"/>
  <c r="Z119" i="1"/>
  <c r="P125" i="1"/>
  <c r="H30" i="1"/>
  <c r="T31" i="1"/>
  <c r="Y84" i="1"/>
  <c r="P40" i="1"/>
  <c r="P42" i="1" s="1"/>
  <c r="S119" i="1"/>
  <c r="D126" i="1"/>
  <c r="D129" i="1" s="1"/>
  <c r="Z125" i="1"/>
  <c r="N31" i="1"/>
  <c r="Z112" i="1"/>
  <c r="Z113" i="1" s="1"/>
  <c r="H89" i="1"/>
  <c r="C125" i="1"/>
  <c r="R126" i="1"/>
  <c r="R129" i="1" s="1"/>
  <c r="W126" i="1"/>
  <c r="W129" i="1" s="1"/>
  <c r="X89" i="1"/>
  <c r="N113" i="1"/>
  <c r="AQ44" i="1"/>
  <c r="W68" i="1"/>
  <c r="W82" i="1" s="1"/>
  <c r="V66" i="1"/>
  <c r="L30" i="1"/>
  <c r="K119" i="1"/>
  <c r="C31" i="1"/>
  <c r="D31" i="1"/>
  <c r="BM44" i="1"/>
  <c r="C119" i="1"/>
  <c r="C32" i="1" s="1"/>
  <c r="C30" i="1"/>
  <c r="D30" i="1"/>
  <c r="G44" i="1"/>
  <c r="G45" i="1"/>
  <c r="AM44" i="1"/>
  <c r="Y125" i="1"/>
  <c r="E89" i="1"/>
  <c r="U89" i="1"/>
  <c r="O125" i="1"/>
  <c r="G125" i="1"/>
  <c r="T112" i="1"/>
  <c r="T113" i="1" s="1"/>
  <c r="N89" i="1"/>
  <c r="M40" i="1"/>
  <c r="M42" i="1" s="1"/>
  <c r="F119" i="1"/>
  <c r="F32" i="1" s="1"/>
  <c r="W30" i="1"/>
  <c r="M30" i="1"/>
  <c r="O45" i="1"/>
  <c r="O50" i="1" s="1"/>
  <c r="B40" i="1"/>
  <c r="B42" i="1" s="1"/>
  <c r="M85" i="1"/>
  <c r="S30" i="1"/>
  <c r="E31" i="1"/>
  <c r="Q45" i="1"/>
  <c r="Q50" i="1" s="1"/>
  <c r="Y85" i="1"/>
  <c r="V125" i="1"/>
  <c r="T125" i="1"/>
  <c r="G30" i="1"/>
  <c r="H125" i="1"/>
  <c r="X45" i="1"/>
  <c r="X50" i="1" s="1"/>
  <c r="R84" i="1"/>
  <c r="Q40" i="1"/>
  <c r="Q42" i="1" s="1"/>
  <c r="X31" i="1"/>
  <c r="H45" i="1"/>
  <c r="H50" i="1" s="1"/>
  <c r="C112" i="1"/>
  <c r="C113" i="1" s="1"/>
  <c r="L112" i="1"/>
  <c r="L113" i="1" s="1"/>
  <c r="J119" i="1"/>
  <c r="N84" i="1"/>
  <c r="E125" i="1"/>
  <c r="J112" i="1"/>
  <c r="J113" i="1" s="1"/>
  <c r="S89" i="1"/>
  <c r="U126" i="1"/>
  <c r="U129" i="1" s="1"/>
  <c r="I45" i="1"/>
  <c r="I50" i="1" s="1"/>
  <c r="L85" i="1"/>
  <c r="I126" i="1"/>
  <c r="I129" i="1" s="1"/>
  <c r="M119" i="1"/>
  <c r="M32" i="1" s="1"/>
  <c r="Z85" i="1"/>
  <c r="V45" i="1"/>
  <c r="V50" i="1" s="1"/>
  <c r="F30" i="1"/>
  <c r="M45" i="1"/>
  <c r="M50" i="1" s="1"/>
  <c r="J45" i="1"/>
  <c r="J50" i="1" s="1"/>
  <c r="D45" i="1"/>
  <c r="D50" i="1" s="1"/>
  <c r="D18" i="1" s="1"/>
  <c r="W31" i="1"/>
  <c r="F126" i="1"/>
  <c r="F129" i="1" s="1"/>
  <c r="Z89" i="1"/>
  <c r="AA90" i="1" s="1"/>
  <c r="AA88" i="1" s="1"/>
  <c r="K30" i="1"/>
  <c r="Z45" i="1"/>
  <c r="Z50" i="1" s="1"/>
  <c r="K85" i="1"/>
  <c r="S45" i="1"/>
  <c r="S50" i="1" s="1"/>
  <c r="U31" i="1"/>
  <c r="U85" i="1"/>
  <c r="U84" i="1"/>
  <c r="Q119" i="1"/>
  <c r="D40" i="1"/>
  <c r="D42" i="1" s="1"/>
  <c r="V85" i="1"/>
  <c r="L31" i="1"/>
  <c r="T119" i="1"/>
  <c r="T32" i="1" s="1"/>
  <c r="Y49" i="1"/>
  <c r="Y45" i="1"/>
  <c r="F44" i="1"/>
  <c r="F45" i="1"/>
  <c r="K45" i="1"/>
  <c r="K50" i="1" s="1"/>
  <c r="L45" i="1"/>
  <c r="L50" i="1" s="1"/>
  <c r="V31" i="1"/>
  <c r="L84" i="1"/>
  <c r="O119" i="1"/>
  <c r="C89" i="1"/>
  <c r="D90" i="1" s="1"/>
  <c r="P45" i="1"/>
  <c r="P50" i="1" s="1"/>
  <c r="O31" i="1"/>
  <c r="W85" i="1"/>
  <c r="U40" i="1"/>
  <c r="U42" i="1" s="1"/>
  <c r="Y119" i="1"/>
  <c r="Y30" i="1"/>
  <c r="G119" i="1"/>
  <c r="G32" i="1" s="1"/>
  <c r="P30" i="1"/>
  <c r="R30" i="1"/>
  <c r="Z31" i="1"/>
  <c r="U125" i="1"/>
  <c r="D14" i="1"/>
  <c r="D17" i="1" s="1"/>
  <c r="N49" i="1"/>
  <c r="N45" i="1"/>
  <c r="D113" i="1"/>
  <c r="T85" i="1"/>
  <c r="E45" i="1"/>
  <c r="E50" i="1" s="1"/>
  <c r="T126" i="1"/>
  <c r="T129" i="1" s="1"/>
  <c r="X68" i="1"/>
  <c r="X82" i="1" s="1"/>
  <c r="N40" i="1"/>
  <c r="N42" i="1" s="1"/>
  <c r="O84" i="1"/>
  <c r="J89" i="1"/>
  <c r="N30" i="1"/>
  <c r="C84" i="1"/>
  <c r="B126" i="1"/>
  <c r="B129" i="1" s="1"/>
  <c r="O85" i="1"/>
  <c r="V89" i="1"/>
  <c r="X125" i="1"/>
  <c r="K125" i="1"/>
  <c r="B45" i="1"/>
  <c r="B50" i="1" s="1"/>
  <c r="J126" i="1"/>
  <c r="J129" i="1" s="1"/>
  <c r="U45" i="1"/>
  <c r="U50" i="1" s="1"/>
  <c r="G85" i="1"/>
  <c r="V126" i="1"/>
  <c r="V129" i="1" s="1"/>
  <c r="T89" i="1"/>
  <c r="O89" i="1"/>
  <c r="R119" i="1"/>
  <c r="R32" i="1" s="1"/>
  <c r="K84" i="1"/>
  <c r="X112" i="1"/>
  <c r="X113" i="1" s="1"/>
  <c r="O112" i="1"/>
  <c r="O113" i="1" s="1"/>
  <c r="H85" i="1"/>
  <c r="X119" i="1"/>
  <c r="X32" i="1" s="1"/>
  <c r="X30" i="1"/>
  <c r="CD97" i="1"/>
  <c r="AB97" i="1"/>
  <c r="CD115" i="1"/>
  <c r="CE115" i="1" s="1"/>
  <c r="CF115" i="1" s="1"/>
  <c r="CG115" i="1" s="1"/>
  <c r="AB115" i="1"/>
  <c r="BO68" i="1"/>
  <c r="T71" i="130" a="1"/>
  <c r="T62" i="130" a="1"/>
  <c r="T61" i="130" a="1"/>
  <c r="T60" i="130" a="1"/>
  <c r="T57" i="130" a="1"/>
  <c r="T58" i="130" a="1"/>
  <c r="T70" i="130" a="1"/>
  <c r="T64" i="130" a="1"/>
  <c r="T65" i="130" a="1"/>
  <c r="T55" i="130" a="1"/>
  <c r="T74" i="130" a="1"/>
  <c r="T76" i="130" a="1"/>
  <c r="T83" i="130" a="1"/>
  <c r="T80" i="130" a="1"/>
  <c r="T79" i="130" a="1"/>
  <c r="T77" i="130" a="1"/>
  <c r="T82" i="130" a="1"/>
  <c r="T78" i="130" a="1"/>
  <c r="T54" i="130" a="1"/>
  <c r="T75" i="130" a="1"/>
  <c r="T53" i="130" a="1"/>
  <c r="T68" i="130" a="1"/>
  <c r="T63" i="130" a="1"/>
  <c r="T69" i="130" a="1"/>
  <c r="T56" i="130" a="1"/>
  <c r="T72" i="130" a="1"/>
  <c r="T66" i="130" a="1"/>
  <c r="T59" i="130" a="1"/>
  <c r="T81" i="130" a="1"/>
  <c r="T73" i="130" a="1"/>
  <c r="T67" i="130" a="1"/>
  <c r="L66" i="130" a="1"/>
  <c r="L67" i="130" a="1"/>
  <c r="L82" i="130" a="1"/>
  <c r="L63" i="130" a="1"/>
  <c r="L71" i="130" a="1"/>
  <c r="L65" i="130" a="1"/>
  <c r="L58" i="130" a="1"/>
  <c r="L69" i="130" a="1"/>
  <c r="L72" i="130" a="1"/>
  <c r="L62" i="130" a="1"/>
  <c r="L60" i="130" a="1"/>
  <c r="L74" i="130" a="1"/>
  <c r="L73" i="130" a="1"/>
  <c r="L70" i="130" a="1"/>
  <c r="L76" i="130" a="1"/>
  <c r="L57" i="130" a="1"/>
  <c r="L61" i="130" a="1"/>
  <c r="L79" i="130" a="1"/>
  <c r="L77" i="130" a="1"/>
  <c r="L59" i="130" a="1"/>
  <c r="L68" i="130" a="1"/>
  <c r="L80" i="130" a="1"/>
  <c r="L83" i="130" a="1"/>
  <c r="L56" i="130" a="1"/>
  <c r="L53" i="130" a="1"/>
  <c r="L55" i="130" a="1"/>
  <c r="L75" i="130" a="1"/>
  <c r="L64" i="130" a="1"/>
  <c r="L81" i="130" a="1"/>
  <c r="L54" i="130" a="1"/>
  <c r="L78" i="130" a="1"/>
  <c r="AP59" i="130" a="1"/>
  <c r="AP81" i="130" a="1"/>
  <c r="AP83" i="130" a="1"/>
  <c r="AP78" i="130" a="1"/>
  <c r="AP63" i="130" a="1"/>
  <c r="AP70" i="130" a="1"/>
  <c r="AP54" i="130" a="1"/>
  <c r="AP62" i="130" a="1"/>
  <c r="AP71" i="130" a="1"/>
  <c r="AP74" i="130" a="1"/>
  <c r="AP69" i="130" a="1"/>
  <c r="AP73" i="130" a="1"/>
  <c r="AP76" i="130" a="1"/>
  <c r="AP58" i="130" a="1"/>
  <c r="AP77" i="130" a="1"/>
  <c r="AP68" i="130" a="1"/>
  <c r="AP65" i="130" a="1"/>
  <c r="AP75" i="130" a="1"/>
  <c r="AP80" i="130" a="1"/>
  <c r="AP79" i="130" a="1"/>
  <c r="AP57" i="130" a="1"/>
  <c r="AP56" i="130" a="1"/>
  <c r="AP61" i="130" a="1"/>
  <c r="AP55" i="130" a="1"/>
  <c r="AP82" i="130" a="1"/>
  <c r="AP72" i="130" a="1"/>
  <c r="AP67" i="130" a="1"/>
  <c r="AP53" i="130" a="1"/>
  <c r="AP64" i="130" a="1"/>
  <c r="AP60" i="130" a="1"/>
  <c r="AP66" i="130" a="1"/>
  <c r="J59" i="130" a="1"/>
  <c r="J74" i="130" a="1"/>
  <c r="J58" i="130" a="1"/>
  <c r="J81" i="130" a="1"/>
  <c r="J54" i="130" a="1"/>
  <c r="J61" i="130" a="1"/>
  <c r="J68" i="130" a="1"/>
  <c r="J64" i="130" a="1"/>
  <c r="J72" i="130" a="1"/>
  <c r="J65" i="130" a="1"/>
  <c r="J71" i="130" a="1"/>
  <c r="J73" i="130" a="1"/>
  <c r="J82" i="130" a="1"/>
  <c r="J76" i="130" a="1"/>
  <c r="J70" i="130" a="1"/>
  <c r="J62" i="130" a="1"/>
  <c r="J67" i="130" a="1"/>
  <c r="J77" i="130" a="1"/>
  <c r="J75" i="130" a="1"/>
  <c r="J63" i="130" a="1"/>
  <c r="J80" i="130" a="1"/>
  <c r="J78" i="130" a="1"/>
  <c r="J79" i="130" a="1"/>
  <c r="J69" i="130" a="1"/>
  <c r="J53" i="130" a="1"/>
  <c r="J55" i="130" a="1"/>
  <c r="J66" i="130" a="1"/>
  <c r="J83" i="130" a="1"/>
  <c r="J57" i="130" a="1"/>
  <c r="J56" i="130" a="1"/>
  <c r="J60" i="130" a="1"/>
  <c r="W55" i="130" a="1"/>
  <c r="W83" i="130" a="1"/>
  <c r="W61" i="130" a="1"/>
  <c r="W80" i="130" a="1"/>
  <c r="W59" i="130" a="1"/>
  <c r="W67" i="130" a="1"/>
  <c r="W77" i="130" a="1"/>
  <c r="W68" i="130" a="1"/>
  <c r="W60" i="130" a="1"/>
  <c r="W63" i="130" a="1"/>
  <c r="W72" i="130" a="1"/>
  <c r="W82" i="130" a="1"/>
  <c r="W79" i="130" a="1"/>
  <c r="W73" i="130" a="1"/>
  <c r="W54" i="130" a="1"/>
  <c r="W53" i="130" a="1"/>
  <c r="W81" i="130" a="1"/>
  <c r="W62" i="130" a="1"/>
  <c r="W56" i="130" a="1"/>
  <c r="W58" i="130" a="1"/>
  <c r="W66" i="130" a="1"/>
  <c r="W57" i="130" a="1"/>
  <c r="W65" i="130" a="1"/>
  <c r="W69" i="130" a="1"/>
  <c r="W64" i="130" a="1"/>
  <c r="W71" i="130" a="1"/>
  <c r="W75" i="130" a="1"/>
  <c r="W78" i="130" a="1"/>
  <c r="W76" i="130" a="1"/>
  <c r="W70" i="130" a="1"/>
  <c r="W74" i="130" a="1"/>
  <c r="AQ63" i="130" a="1"/>
  <c r="AQ55" i="130" a="1"/>
  <c r="AQ57" i="130" a="1"/>
  <c r="AQ61" i="130" a="1"/>
  <c r="AQ65" i="130" a="1"/>
  <c r="AQ70" i="130" a="1"/>
  <c r="AQ54" i="130" a="1"/>
  <c r="AQ62" i="130" a="1"/>
  <c r="AQ73" i="130" a="1"/>
  <c r="AQ78" i="130" a="1"/>
  <c r="AQ81" i="130" a="1"/>
  <c r="AQ64" i="130" a="1"/>
  <c r="AQ83" i="130" a="1"/>
  <c r="AQ60" i="130" a="1"/>
  <c r="AQ79" i="130" a="1"/>
  <c r="AQ69" i="130" a="1"/>
  <c r="AQ74" i="130" a="1"/>
  <c r="AQ71" i="130" a="1"/>
  <c r="AQ72" i="130" a="1"/>
  <c r="AQ76" i="130" a="1"/>
  <c r="AQ67" i="130" a="1"/>
  <c r="AQ75" i="130" a="1"/>
  <c r="AQ53" i="130" a="1"/>
  <c r="AQ59" i="130" a="1"/>
  <c r="AQ80" i="130" a="1"/>
  <c r="AQ68" i="130" a="1"/>
  <c r="AQ77" i="130" a="1"/>
  <c r="AQ56" i="130" a="1"/>
  <c r="AQ66" i="130" a="1"/>
  <c r="AQ82" i="130" a="1"/>
  <c r="AQ58" i="130" a="1"/>
  <c r="AC65" i="130" a="1"/>
  <c r="AC59" i="130" a="1"/>
  <c r="AC71" i="130" a="1"/>
  <c r="AC81" i="130" a="1"/>
  <c r="AC72" i="130" a="1"/>
  <c r="AC63" i="130" a="1"/>
  <c r="AC77" i="130" a="1"/>
  <c r="AC73" i="130" a="1"/>
  <c r="AC56" i="130" a="1"/>
  <c r="AC69" i="130" a="1"/>
  <c r="AC78" i="130" a="1"/>
  <c r="AC76" i="130" a="1"/>
  <c r="AC68" i="130" a="1"/>
  <c r="AC64" i="130" a="1"/>
  <c r="AC60" i="130" a="1"/>
  <c r="AC62" i="130" a="1"/>
  <c r="AC83" i="130" a="1"/>
  <c r="AC75" i="130" a="1"/>
  <c r="AC80" i="130" a="1"/>
  <c r="AC70" i="130" a="1"/>
  <c r="AC58" i="130" a="1"/>
  <c r="AC53" i="130" a="1"/>
  <c r="AC61" i="130" a="1"/>
  <c r="AC54" i="130" a="1"/>
  <c r="AC67" i="130" a="1"/>
  <c r="AC55" i="130" a="1"/>
  <c r="AC66" i="130" a="1"/>
  <c r="AC79" i="130" a="1"/>
  <c r="AC82" i="130" a="1"/>
  <c r="AC57" i="130" a="1"/>
  <c r="AC74" i="130" a="1"/>
  <c r="F70" i="130" a="1"/>
  <c r="F53" i="130" a="1"/>
  <c r="F61" i="130" a="1"/>
  <c r="F66" i="130" a="1"/>
  <c r="F59" i="130" a="1"/>
  <c r="F58" i="130" a="1"/>
  <c r="F78" i="130" a="1"/>
  <c r="F79" i="130" a="1"/>
  <c r="F75" i="130" a="1"/>
  <c r="F54" i="130" a="1"/>
  <c r="F64" i="130" a="1"/>
  <c r="F63" i="130" a="1"/>
  <c r="F83" i="130" a="1"/>
  <c r="F72" i="130" a="1"/>
  <c r="F60" i="130" a="1"/>
  <c r="F67" i="130" a="1"/>
  <c r="F71" i="130" a="1"/>
  <c r="F82" i="130" a="1"/>
  <c r="F73" i="130" a="1"/>
  <c r="F74" i="130" a="1"/>
  <c r="F69" i="130" a="1"/>
  <c r="F62" i="130" a="1"/>
  <c r="F76" i="130" a="1"/>
  <c r="F77" i="130" a="1"/>
  <c r="F56" i="130" a="1"/>
  <c r="F65" i="130" a="1"/>
  <c r="F81" i="130" a="1"/>
  <c r="F68" i="130" a="1"/>
  <c r="F55" i="130" a="1"/>
  <c r="F57" i="130" a="1"/>
  <c r="F80" i="130" a="1"/>
  <c r="U62" i="130" a="1"/>
  <c r="U60" i="130" a="1"/>
  <c r="U67" i="130" a="1"/>
  <c r="U59" i="130" a="1"/>
  <c r="U80" i="130" a="1"/>
  <c r="U55" i="130" a="1"/>
  <c r="U69" i="130" a="1"/>
  <c r="U65" i="130" a="1"/>
  <c r="U78" i="130" a="1"/>
  <c r="U56" i="130" a="1"/>
  <c r="U64" i="130" a="1"/>
  <c r="U58" i="130" a="1"/>
  <c r="U82" i="130" a="1"/>
  <c r="U74" i="130" a="1"/>
  <c r="U76" i="130" a="1"/>
  <c r="U73" i="130" a="1"/>
  <c r="U83" i="130" a="1"/>
  <c r="U63" i="130" a="1"/>
  <c r="U77" i="130" a="1"/>
  <c r="U66" i="130" a="1"/>
  <c r="U54" i="130" a="1"/>
  <c r="U70" i="130" a="1"/>
  <c r="U75" i="130" a="1"/>
  <c r="U79" i="130" a="1"/>
  <c r="U68" i="130" a="1"/>
  <c r="U61" i="130" a="1"/>
  <c r="U72" i="130" a="1"/>
  <c r="U53" i="130" a="1"/>
  <c r="U57" i="130" a="1"/>
  <c r="U81" i="130" a="1"/>
  <c r="U71" i="130" a="1"/>
  <c r="Z63" i="130" a="1"/>
  <c r="Z61" i="130" a="1"/>
  <c r="Z53" i="130" a="1"/>
  <c r="Z58" i="130" a="1"/>
  <c r="Z78" i="130" a="1"/>
  <c r="Z71" i="130" a="1"/>
  <c r="Z81" i="130" a="1"/>
  <c r="Z65" i="130" a="1"/>
  <c r="Z83" i="130" a="1"/>
  <c r="Z82" i="130" a="1"/>
  <c r="Z79" i="130" a="1"/>
  <c r="Z76" i="130" a="1"/>
  <c r="Z60" i="130" a="1"/>
  <c r="Z54" i="130" a="1"/>
  <c r="Z77" i="130" a="1"/>
  <c r="Z66" i="130" a="1"/>
  <c r="Z70" i="130" a="1"/>
  <c r="Z55" i="130" a="1"/>
  <c r="Z80" i="130" a="1"/>
  <c r="Z62" i="130" a="1"/>
  <c r="Z75" i="130" a="1"/>
  <c r="Z72" i="130" a="1"/>
  <c r="Z64" i="130" a="1"/>
  <c r="Z57" i="130" a="1"/>
  <c r="Z74" i="130" a="1"/>
  <c r="Z73" i="130" a="1"/>
  <c r="Z67" i="130" a="1"/>
  <c r="Z59" i="130" a="1"/>
  <c r="Z68" i="130" a="1"/>
  <c r="Z56" i="130" a="1"/>
  <c r="Z69" i="130" a="1"/>
  <c r="D81" i="130" a="1"/>
  <c r="D57" i="130" a="1"/>
  <c r="D78" i="130" a="1"/>
  <c r="D79" i="130" a="1"/>
  <c r="D62" i="130" a="1"/>
  <c r="D65" i="130" a="1"/>
  <c r="D61" i="130" a="1"/>
  <c r="D76" i="130" a="1"/>
  <c r="D64" i="130" a="1"/>
  <c r="D63" i="130" a="1"/>
  <c r="D68" i="130" a="1"/>
  <c r="D70" i="130" a="1"/>
  <c r="D73" i="130" a="1"/>
  <c r="D54" i="130" a="1"/>
  <c r="D67" i="130" a="1"/>
  <c r="D74" i="130" a="1"/>
  <c r="D77" i="130" a="1"/>
  <c r="D56" i="130" a="1"/>
  <c r="D72" i="130" a="1"/>
  <c r="D82" i="130" a="1"/>
  <c r="D75" i="130" a="1"/>
  <c r="D83" i="130" a="1"/>
  <c r="D55" i="130" a="1"/>
  <c r="D80" i="130" a="1"/>
  <c r="D60" i="130" a="1"/>
  <c r="D53" i="130" a="1"/>
  <c r="D66" i="130" a="1"/>
  <c r="D59" i="130" a="1"/>
  <c r="D69" i="130" a="1"/>
  <c r="D58" i="130" a="1"/>
  <c r="D71" i="130" a="1"/>
  <c r="AO68" i="1" l="1"/>
  <c r="AQ45" i="1"/>
  <c r="AP45" i="1"/>
  <c r="AP50" i="1" s="1"/>
  <c r="BF45" i="1"/>
  <c r="AT45" i="1"/>
  <c r="AJ45" i="1"/>
  <c r="AK48" i="1"/>
  <c r="AK45" i="1"/>
  <c r="BB48" i="1"/>
  <c r="BB45" i="1"/>
  <c r="C51" i="1"/>
  <c r="BM40" i="1"/>
  <c r="BD45" i="1"/>
  <c r="AV45" i="1"/>
  <c r="AW45" i="1"/>
  <c r="BU45" i="1"/>
  <c r="BA45" i="1"/>
  <c r="BP45" i="1"/>
  <c r="BH45" i="1"/>
  <c r="BS45" i="1"/>
  <c r="V120" i="1"/>
  <c r="BR44" i="1"/>
  <c r="BR45" i="1"/>
  <c r="AU45" i="1"/>
  <c r="BN45" i="1"/>
  <c r="BT45" i="1"/>
  <c r="AO44" i="1"/>
  <c r="AO45" i="1"/>
  <c r="BK44" i="1"/>
  <c r="BK45" i="1"/>
  <c r="BZ67" i="1"/>
  <c r="CA67" i="1" s="1"/>
  <c r="CB67" i="1" s="1"/>
  <c r="CC67" i="1" s="1"/>
  <c r="BI45" i="1"/>
  <c r="R132" i="1"/>
  <c r="BC45" i="1"/>
  <c r="AX48" i="1"/>
  <c r="AX45" i="1"/>
  <c r="BG48" i="1"/>
  <c r="BG45" i="1"/>
  <c r="BG50" i="1" s="1"/>
  <c r="AI45" i="1"/>
  <c r="L132" i="1"/>
  <c r="BL45" i="1"/>
  <c r="AL40" i="1"/>
  <c r="G90" i="1"/>
  <c r="G88" i="1" s="1"/>
  <c r="T50" i="1"/>
  <c r="T51" i="1" s="1"/>
  <c r="M132" i="1"/>
  <c r="L43" i="1"/>
  <c r="G50" i="1"/>
  <c r="G51" i="1" s="1"/>
  <c r="G9" i="1"/>
  <c r="T90" i="1"/>
  <c r="T88" i="1" s="1"/>
  <c r="P43" i="1"/>
  <c r="G43" i="1"/>
  <c r="Q132" i="1"/>
  <c r="E132" i="1"/>
  <c r="H132" i="1"/>
  <c r="S132" i="1"/>
  <c r="F43" i="1"/>
  <c r="D132" i="1"/>
  <c r="Z132" i="1"/>
  <c r="C132" i="1"/>
  <c r="W132" i="1"/>
  <c r="N132" i="1"/>
  <c r="J4" i="1"/>
  <c r="Q90" i="1"/>
  <c r="Q88" i="1" s="1"/>
  <c r="R90" i="1"/>
  <c r="R88" i="1" s="1"/>
  <c r="J32" i="1"/>
  <c r="J120" i="1"/>
  <c r="J9" i="1"/>
  <c r="O132" i="1"/>
  <c r="T4" i="1"/>
  <c r="N90" i="1"/>
  <c r="N88" i="1" s="1"/>
  <c r="Q51" i="1"/>
  <c r="Q54" i="1" s="1"/>
  <c r="Q56" i="1" s="1"/>
  <c r="Q60" i="1" s="1"/>
  <c r="I132" i="1"/>
  <c r="F132" i="1"/>
  <c r="Z90" i="1"/>
  <c r="B132" i="1"/>
  <c r="P90" i="1"/>
  <c r="P88" i="1" s="1"/>
  <c r="W90" i="1"/>
  <c r="B32" i="1"/>
  <c r="B120" i="1"/>
  <c r="D32" i="1"/>
  <c r="D9" i="1"/>
  <c r="D120" i="1"/>
  <c r="I9" i="1"/>
  <c r="I120" i="1"/>
  <c r="P9" i="1"/>
  <c r="P32" i="1"/>
  <c r="H51" i="1"/>
  <c r="H54" i="1" s="1"/>
  <c r="H56" i="1" s="1"/>
  <c r="H60" i="1" s="1"/>
  <c r="S90" i="1"/>
  <c r="S88" i="1" s="1"/>
  <c r="G132" i="1"/>
  <c r="B51" i="1"/>
  <c r="U90" i="1"/>
  <c r="U88" i="1" s="1"/>
  <c r="V132" i="1"/>
  <c r="Y132" i="1"/>
  <c r="O51" i="1"/>
  <c r="C43" i="1"/>
  <c r="C120" i="1"/>
  <c r="I51" i="1"/>
  <c r="J51" i="1"/>
  <c r="J132" i="1"/>
  <c r="Q4" i="1"/>
  <c r="X132" i="1"/>
  <c r="Q120" i="1"/>
  <c r="L51" i="1"/>
  <c r="L54" i="1" s="1"/>
  <c r="L56" i="1" s="1"/>
  <c r="L60" i="1" s="1"/>
  <c r="L91" i="1" s="1"/>
  <c r="E51" i="1"/>
  <c r="E54" i="1" s="1"/>
  <c r="E56" i="1" s="1"/>
  <c r="E60" i="1" s="1"/>
  <c r="O43" i="1"/>
  <c r="K132" i="1"/>
  <c r="P132" i="1"/>
  <c r="W32" i="1"/>
  <c r="W120" i="1"/>
  <c r="R42" i="1"/>
  <c r="S43" i="1" s="1"/>
  <c r="I4" i="1"/>
  <c r="H120" i="1"/>
  <c r="H9" i="1"/>
  <c r="L32" i="1"/>
  <c r="L9" i="1"/>
  <c r="L120" i="1"/>
  <c r="U4" i="1"/>
  <c r="U120" i="1"/>
  <c r="U9" i="1"/>
  <c r="F120" i="1"/>
  <c r="F9" i="1"/>
  <c r="Z32" i="1"/>
  <c r="Z120" i="1"/>
  <c r="S9" i="1"/>
  <c r="S32" i="1"/>
  <c r="S120" i="1"/>
  <c r="I90" i="1"/>
  <c r="I88" i="1" s="1"/>
  <c r="H90" i="1"/>
  <c r="H88" i="1" s="1"/>
  <c r="N4" i="1"/>
  <c r="N120" i="1"/>
  <c r="N9" i="1"/>
  <c r="U66" i="1"/>
  <c r="V68" i="1"/>
  <c r="V82" i="1" s="1"/>
  <c r="K9" i="1"/>
  <c r="K32" i="1"/>
  <c r="K120" i="1"/>
  <c r="E90" i="1"/>
  <c r="E88" i="1" s="1"/>
  <c r="F90" i="1"/>
  <c r="F88" i="1" s="1"/>
  <c r="P51" i="1"/>
  <c r="T43" i="1"/>
  <c r="T132" i="1"/>
  <c r="H43" i="1"/>
  <c r="M90" i="1"/>
  <c r="M88" i="1" s="1"/>
  <c r="L90" i="1"/>
  <c r="L88" i="1" s="1"/>
  <c r="X90" i="1"/>
  <c r="Y90" i="1"/>
  <c r="E43" i="1"/>
  <c r="K51" i="1"/>
  <c r="K54" i="1" s="1"/>
  <c r="K56" i="1" s="1"/>
  <c r="K60" i="1" s="1"/>
  <c r="U132" i="1"/>
  <c r="D19" i="1"/>
  <c r="D21" i="1" s="1"/>
  <c r="D23" i="1" s="1"/>
  <c r="I43" i="1"/>
  <c r="J43" i="1"/>
  <c r="U43" i="1"/>
  <c r="D43" i="1"/>
  <c r="K43" i="1"/>
  <c r="Q43" i="1"/>
  <c r="K4" i="1"/>
  <c r="M9" i="1"/>
  <c r="M120" i="1"/>
  <c r="M51" i="1"/>
  <c r="M43" i="1"/>
  <c r="N43" i="1"/>
  <c r="F50" i="1"/>
  <c r="F51" i="1" s="1"/>
  <c r="O90" i="1"/>
  <c r="O88" i="1" s="1"/>
  <c r="BE112" i="1"/>
  <c r="X120" i="1"/>
  <c r="M4" i="1"/>
  <c r="R9" i="1"/>
  <c r="G120" i="1"/>
  <c r="P120" i="1"/>
  <c r="L4" i="1"/>
  <c r="O4" i="1"/>
  <c r="R120" i="1"/>
  <c r="T9" i="1"/>
  <c r="T120" i="1"/>
  <c r="O9" i="1"/>
  <c r="AY126" i="1"/>
  <c r="F4" i="1"/>
  <c r="E120" i="1"/>
  <c r="V90" i="1"/>
  <c r="E9" i="1"/>
  <c r="D88" i="1"/>
  <c r="P4" i="1"/>
  <c r="D4" i="1"/>
  <c r="E4" i="1"/>
  <c r="G4" i="1"/>
  <c r="K90" i="1"/>
  <c r="K88" i="1" s="1"/>
  <c r="J90" i="1"/>
  <c r="J88" i="1" s="1"/>
  <c r="S51" i="1"/>
  <c r="O120" i="1"/>
  <c r="D51" i="1"/>
  <c r="H4" i="1"/>
  <c r="Q32" i="1"/>
  <c r="Q9" i="1"/>
  <c r="Y32" i="1"/>
  <c r="Y120" i="1"/>
  <c r="O32" i="1"/>
  <c r="N50" i="1"/>
  <c r="N51" i="1" s="1"/>
  <c r="U51" i="1"/>
  <c r="Y50" i="1"/>
  <c r="CH115" i="1"/>
  <c r="CI115" i="1" s="1"/>
  <c r="CJ115" i="1" s="1"/>
  <c r="CK115" i="1" s="1"/>
  <c r="AC115" i="1"/>
  <c r="CE97" i="1"/>
  <c r="BP68" i="1"/>
  <c r="C54" i="1" l="1"/>
  <c r="C56" i="1" s="1"/>
  <c r="C60" i="1" s="1"/>
  <c r="AK126" i="1"/>
  <c r="AO126" i="1"/>
  <c r="BH112" i="1"/>
  <c r="BB112" i="1"/>
  <c r="BU126" i="1"/>
  <c r="AQ112" i="1"/>
  <c r="CD67" i="1"/>
  <c r="CE67" i="1" s="1"/>
  <c r="CF67" i="1" s="1"/>
  <c r="CG67" i="1" s="1"/>
  <c r="AB67" i="1"/>
  <c r="AQ126" i="1"/>
  <c r="BE126" i="1"/>
  <c r="AK112" i="1"/>
  <c r="AY112" i="1"/>
  <c r="BV126" i="1"/>
  <c r="BV112" i="1"/>
  <c r="BH126" i="1"/>
  <c r="BB126" i="1"/>
  <c r="AO112" i="1"/>
  <c r="V133" i="1"/>
  <c r="J5" i="1"/>
  <c r="K20" i="1" s="1"/>
  <c r="M133" i="1"/>
  <c r="BU112" i="1"/>
  <c r="AI126" i="1"/>
  <c r="N133" i="1"/>
  <c r="D133" i="1"/>
  <c r="S133" i="1"/>
  <c r="W133" i="1"/>
  <c r="E133" i="1"/>
  <c r="Z133" i="1"/>
  <c r="U133" i="1"/>
  <c r="G5" i="1"/>
  <c r="L5" i="1"/>
  <c r="K5" i="1"/>
  <c r="B133" i="1"/>
  <c r="J133" i="1"/>
  <c r="G133" i="1"/>
  <c r="I133" i="1"/>
  <c r="L133" i="1"/>
  <c r="M5" i="1"/>
  <c r="F133" i="1"/>
  <c r="K133" i="1"/>
  <c r="L52" i="1"/>
  <c r="Y133" i="1"/>
  <c r="O52" i="1"/>
  <c r="G54" i="1"/>
  <c r="G56" i="1" s="1"/>
  <c r="G60" i="1" s="1"/>
  <c r="H52" i="1"/>
  <c r="H64" i="1"/>
  <c r="H91" i="1"/>
  <c r="C52" i="1"/>
  <c r="B54" i="1"/>
  <c r="B56" i="1" s="1"/>
  <c r="B60" i="1" s="1"/>
  <c r="Q5" i="1"/>
  <c r="Q133" i="1"/>
  <c r="N5" i="1"/>
  <c r="U68" i="1"/>
  <c r="T66" i="1"/>
  <c r="C133" i="1"/>
  <c r="D5" i="1"/>
  <c r="R43" i="1"/>
  <c r="R51" i="1"/>
  <c r="S52" i="1" s="1"/>
  <c r="H133" i="1"/>
  <c r="I5" i="1"/>
  <c r="M52" i="1"/>
  <c r="X133" i="1"/>
  <c r="H5" i="1"/>
  <c r="P133" i="1"/>
  <c r="T5" i="1"/>
  <c r="O5" i="1"/>
  <c r="P52" i="1"/>
  <c r="O54" i="1"/>
  <c r="O56" i="1" s="1"/>
  <c r="O60" i="1" s="1"/>
  <c r="I52" i="1"/>
  <c r="I54" i="1"/>
  <c r="I56" i="1" s="1"/>
  <c r="I60" i="1" s="1"/>
  <c r="J52" i="1"/>
  <c r="J54" i="1"/>
  <c r="J56" i="1" s="1"/>
  <c r="J60" i="1" s="1"/>
  <c r="K61" i="1" s="1"/>
  <c r="K52" i="1"/>
  <c r="P54" i="1"/>
  <c r="P56" i="1" s="1"/>
  <c r="P60" i="1" s="1"/>
  <c r="Q52" i="1"/>
  <c r="U52" i="1"/>
  <c r="T54" i="1"/>
  <c r="T56" i="1" s="1"/>
  <c r="T60" i="1" s="1"/>
  <c r="Q91" i="1"/>
  <c r="Q64" i="1"/>
  <c r="L64" i="1"/>
  <c r="N52" i="1"/>
  <c r="M54" i="1"/>
  <c r="M56" i="1" s="1"/>
  <c r="M60" i="1" s="1"/>
  <c r="C64" i="1"/>
  <c r="F54" i="1"/>
  <c r="F56" i="1" s="1"/>
  <c r="F60" i="1" s="1"/>
  <c r="F61" i="1" s="1"/>
  <c r="G52" i="1"/>
  <c r="F52" i="1"/>
  <c r="S5" i="1"/>
  <c r="R5" i="1"/>
  <c r="R133" i="1"/>
  <c r="T52" i="1"/>
  <c r="E91" i="1"/>
  <c r="D52" i="1"/>
  <c r="E52" i="1"/>
  <c r="L61" i="1"/>
  <c r="T133" i="1"/>
  <c r="O133" i="1"/>
  <c r="U5" i="1"/>
  <c r="P5" i="1"/>
  <c r="S54" i="1"/>
  <c r="S56" i="1" s="1"/>
  <c r="S60" i="1" s="1"/>
  <c r="E64" i="1"/>
  <c r="F5" i="1"/>
  <c r="N54" i="1"/>
  <c r="N56" i="1" s="1"/>
  <c r="N60" i="1" s="1"/>
  <c r="E5" i="1"/>
  <c r="U54" i="1"/>
  <c r="U56" i="1" s="1"/>
  <c r="U60" i="1" s="1"/>
  <c r="D54" i="1"/>
  <c r="D56" i="1" s="1"/>
  <c r="D60" i="1" s="1"/>
  <c r="K91" i="1"/>
  <c r="K64" i="1"/>
  <c r="CL115" i="1"/>
  <c r="CM115" i="1" s="1"/>
  <c r="CN115" i="1" s="1"/>
  <c r="CO115" i="1" s="1"/>
  <c r="AE115" i="1" s="1"/>
  <c r="AD115" i="1"/>
  <c r="CF97" i="1"/>
  <c r="BQ68" i="1"/>
  <c r="CH67" i="1" l="1"/>
  <c r="CI67" i="1" s="1"/>
  <c r="CJ67" i="1" s="1"/>
  <c r="CK67" i="1" s="1"/>
  <c r="AC67" i="1"/>
  <c r="J7" i="1"/>
  <c r="K12" i="1"/>
  <c r="K22" i="1"/>
  <c r="K15" i="1"/>
  <c r="K18" i="1"/>
  <c r="K13" i="1"/>
  <c r="R20" i="1"/>
  <c r="R22" i="1"/>
  <c r="R13" i="1"/>
  <c r="R12" i="1"/>
  <c r="H20" i="1"/>
  <c r="H18" i="1"/>
  <c r="H15" i="1"/>
  <c r="H22" i="1"/>
  <c r="H13" i="1"/>
  <c r="H12" i="1"/>
  <c r="M22" i="1"/>
  <c r="M12" i="1"/>
  <c r="M13" i="1"/>
  <c r="M20" i="1"/>
  <c r="L7" i="1"/>
  <c r="M15" i="1"/>
  <c r="M18" i="1"/>
  <c r="R15" i="1"/>
  <c r="R18" i="1"/>
  <c r="C61" i="1"/>
  <c r="B64" i="1"/>
  <c r="O61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3" i="1"/>
  <c r="U82" i="1"/>
  <c r="T68" i="1"/>
  <c r="T73" i="1" s="1"/>
  <c r="S66" i="1"/>
  <c r="I61" i="1"/>
  <c r="J61" i="1"/>
  <c r="I64" i="1"/>
  <c r="I91" i="1"/>
  <c r="P64" i="1"/>
  <c r="Q61" i="1"/>
  <c r="P91" i="1"/>
  <c r="P61" i="1"/>
  <c r="G64" i="1"/>
  <c r="G91" i="1"/>
  <c r="H61" i="1"/>
  <c r="P22" i="1"/>
  <c r="P20" i="1"/>
  <c r="P18" i="1"/>
  <c r="P13" i="1"/>
  <c r="P15" i="1"/>
  <c r="P12" i="1"/>
  <c r="P14" i="1" s="1"/>
  <c r="O7" i="1"/>
  <c r="J64" i="1"/>
  <c r="J91" i="1"/>
  <c r="D7" i="1"/>
  <c r="E20" i="1"/>
  <c r="E13" i="1"/>
  <c r="E12" i="1"/>
  <c r="E15" i="1"/>
  <c r="E22" i="1"/>
  <c r="E18" i="1"/>
  <c r="R54" i="1"/>
  <c r="R56" i="1" s="1"/>
  <c r="R60" i="1" s="1"/>
  <c r="S61" i="1" s="1"/>
  <c r="R52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4" i="1"/>
  <c r="O91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61" i="1"/>
  <c r="M91" i="1"/>
  <c r="M64" i="1"/>
  <c r="G61" i="1"/>
  <c r="F91" i="1"/>
  <c r="F64" i="1"/>
  <c r="T64" i="1"/>
  <c r="T91" i="1"/>
  <c r="U61" i="1"/>
  <c r="N61" i="1"/>
  <c r="Q18" i="1"/>
  <c r="Q13" i="1"/>
  <c r="Q22" i="1"/>
  <c r="Q7" i="1"/>
  <c r="Q20" i="1"/>
  <c r="T61" i="1"/>
  <c r="G12" i="1"/>
  <c r="G13" i="1"/>
  <c r="G18" i="1"/>
  <c r="D61" i="1"/>
  <c r="E61" i="1"/>
  <c r="G15" i="1"/>
  <c r="F7" i="1"/>
  <c r="F20" i="1"/>
  <c r="F18" i="1"/>
  <c r="U7" i="1"/>
  <c r="V12" i="1"/>
  <c r="D64" i="1"/>
  <c r="D91" i="1"/>
  <c r="N91" i="1"/>
  <c r="N64" i="1"/>
  <c r="F15" i="1"/>
  <c r="Q12" i="1"/>
  <c r="G20" i="1"/>
  <c r="S64" i="1"/>
  <c r="S91" i="1"/>
  <c r="F13" i="1"/>
  <c r="G22" i="1"/>
  <c r="U91" i="1"/>
  <c r="U69" i="1"/>
  <c r="U70" i="1" s="1"/>
  <c r="U64" i="1"/>
  <c r="E7" i="1"/>
  <c r="Q15" i="1"/>
  <c r="G7" i="1"/>
  <c r="CG97" i="1"/>
  <c r="AC97" i="1" s="1"/>
  <c r="Y68" i="1"/>
  <c r="Y82" i="1" s="1"/>
  <c r="AD67" i="1" l="1"/>
  <c r="CL67" i="1"/>
  <c r="CM67" i="1" s="1"/>
  <c r="CN67" i="1" s="1"/>
  <c r="CO67" i="1" s="1"/>
  <c r="AE67" i="1" s="1"/>
  <c r="K14" i="1"/>
  <c r="K17" i="1" s="1"/>
  <c r="K19" i="1" s="1"/>
  <c r="K21" i="1" s="1"/>
  <c r="P17" i="1"/>
  <c r="P19" i="1" s="1"/>
  <c r="P21" i="1" s="1"/>
  <c r="P23" i="1" s="1"/>
  <c r="R14" i="1"/>
  <c r="R17" i="1" s="1"/>
  <c r="R19" i="1" s="1"/>
  <c r="R21" i="1" s="1"/>
  <c r="R23" i="1" s="1"/>
  <c r="N14" i="1"/>
  <c r="N17" i="1" s="1"/>
  <c r="N19" i="1" s="1"/>
  <c r="N21" i="1" s="1"/>
  <c r="N23" i="1" s="1"/>
  <c r="I14" i="1"/>
  <c r="I17" i="1" s="1"/>
  <c r="I19" i="1" s="1"/>
  <c r="I21" i="1" s="1"/>
  <c r="I23" i="1" s="1"/>
  <c r="G14" i="1"/>
  <c r="G17" i="1" s="1"/>
  <c r="G19" i="1" s="1"/>
  <c r="G21" i="1" s="1"/>
  <c r="G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H14" i="1"/>
  <c r="H17" i="1" s="1"/>
  <c r="H19" i="1" s="1"/>
  <c r="H21" i="1" s="1"/>
  <c r="H23" i="1" s="1"/>
  <c r="M14" i="1"/>
  <c r="M17" i="1" s="1"/>
  <c r="M19" i="1" s="1"/>
  <c r="M21" i="1" s="1"/>
  <c r="M23" i="1" s="1"/>
  <c r="S68" i="1"/>
  <c r="R66" i="1"/>
  <c r="L14" i="1"/>
  <c r="L17" i="1" s="1"/>
  <c r="L19" i="1" s="1"/>
  <c r="L21" i="1" s="1"/>
  <c r="L23" i="1" s="1"/>
  <c r="U74" i="1"/>
  <c r="T82" i="1"/>
  <c r="T74" i="1" s="1"/>
  <c r="T69" i="1"/>
  <c r="T70" i="1" s="1"/>
  <c r="F14" i="1"/>
  <c r="F17" i="1" s="1"/>
  <c r="F19" i="1" s="1"/>
  <c r="F21" i="1" s="1"/>
  <c r="F23" i="1" s="1"/>
  <c r="R91" i="1"/>
  <c r="R64" i="1"/>
  <c r="R61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H97" i="1"/>
  <c r="K23" i="1" l="1"/>
  <c r="BX9" i="1"/>
  <c r="S69" i="1"/>
  <c r="S70" i="1" s="1"/>
  <c r="S82" i="1"/>
  <c r="S73" i="1"/>
  <c r="Q66" i="1"/>
  <c r="R68" i="1"/>
  <c r="U105" i="1"/>
  <c r="U106" i="1"/>
  <c r="U107" i="1"/>
  <c r="T105" i="1"/>
  <c r="T106" i="1"/>
  <c r="T107" i="1"/>
  <c r="CI97" i="1"/>
  <c r="Z68" i="1"/>
  <c r="Z82" i="1" s="1"/>
  <c r="S74" i="1" l="1"/>
  <c r="S106" i="1" s="1"/>
  <c r="AA30" i="1"/>
  <c r="P66" i="1"/>
  <c r="Q68" i="1"/>
  <c r="R73" i="1"/>
  <c r="R82" i="1"/>
  <c r="R69" i="1"/>
  <c r="R70" i="1" s="1"/>
  <c r="CJ97" i="1"/>
  <c r="S105" i="1" l="1"/>
  <c r="S107" i="1"/>
  <c r="R74" i="1"/>
  <c r="P68" i="1"/>
  <c r="O66" i="1"/>
  <c r="O68" i="1" s="1"/>
  <c r="Q73" i="1"/>
  <c r="Q69" i="1"/>
  <c r="Q70" i="1" s="1"/>
  <c r="Q82" i="1"/>
  <c r="BZ111" i="1"/>
  <c r="BZ68" i="1" s="1"/>
  <c r="CK97" i="1"/>
  <c r="AD97" i="1" s="1"/>
  <c r="V20" i="1"/>
  <c r="V15" i="1"/>
  <c r="Q74" i="1" l="1"/>
  <c r="R106" i="1"/>
  <c r="R105" i="1"/>
  <c r="R107" i="1"/>
  <c r="P82" i="1"/>
  <c r="P69" i="1"/>
  <c r="P70" i="1" s="1"/>
  <c r="P73" i="1"/>
  <c r="N66" i="1"/>
  <c r="M66" i="1" s="1"/>
  <c r="O69" i="1"/>
  <c r="O70" i="1" s="1"/>
  <c r="O73" i="1"/>
  <c r="O82" i="1"/>
  <c r="CA111" i="1"/>
  <c r="CA68" i="1" s="1"/>
  <c r="CL97" i="1"/>
  <c r="AA32" i="1"/>
  <c r="V18" i="1"/>
  <c r="N68" i="1" l="1"/>
  <c r="N82" i="1" s="1"/>
  <c r="P74" i="1"/>
  <c r="Q105" i="1"/>
  <c r="Q107" i="1"/>
  <c r="Q106" i="1"/>
  <c r="M68" i="1"/>
  <c r="L66" i="1"/>
  <c r="O74" i="1"/>
  <c r="CB111" i="1"/>
  <c r="CB68" i="1" s="1"/>
  <c r="CM97" i="1"/>
  <c r="V13" i="1"/>
  <c r="V14" i="1" s="1"/>
  <c r="V17" i="1" s="1"/>
  <c r="V40" i="1"/>
  <c r="N73" i="1" l="1"/>
  <c r="N69" i="1"/>
  <c r="N70" i="1" s="1"/>
  <c r="P106" i="1"/>
  <c r="P105" i="1"/>
  <c r="P107" i="1"/>
  <c r="M69" i="1"/>
  <c r="M70" i="1" s="1"/>
  <c r="M73" i="1"/>
  <c r="M82" i="1"/>
  <c r="L68" i="1"/>
  <c r="K66" i="1"/>
  <c r="O105" i="1"/>
  <c r="O107" i="1"/>
  <c r="O106" i="1"/>
  <c r="CC111" i="1"/>
  <c r="AB66" i="1" s="1"/>
  <c r="AB68" i="1" s="1"/>
  <c r="CN97" i="1"/>
  <c r="V42" i="1"/>
  <c r="V88" i="1"/>
  <c r="V19" i="1"/>
  <c r="V21" i="1" s="1"/>
  <c r="N74" i="1" l="1"/>
  <c r="L73" i="1"/>
  <c r="L69" i="1"/>
  <c r="L70" i="1" s="1"/>
  <c r="L82" i="1"/>
  <c r="K68" i="1"/>
  <c r="J66" i="1"/>
  <c r="M74" i="1"/>
  <c r="V51" i="1"/>
  <c r="V54" i="1" s="1"/>
  <c r="V43" i="1"/>
  <c r="AB111" i="1"/>
  <c r="CC68" i="1"/>
  <c r="CD111" i="1"/>
  <c r="CE111" i="1" s="1"/>
  <c r="CE68" i="1" s="1"/>
  <c r="CO97" i="1"/>
  <c r="AE97" i="1" s="1"/>
  <c r="N107" i="1" l="1"/>
  <c r="N105" i="1"/>
  <c r="N106" i="1"/>
  <c r="K69" i="1"/>
  <c r="K70" i="1" s="1"/>
  <c r="K73" i="1"/>
  <c r="K82" i="1"/>
  <c r="J68" i="1"/>
  <c r="I66" i="1"/>
  <c r="M107" i="1"/>
  <c r="M105" i="1"/>
  <c r="M106" i="1"/>
  <c r="V52" i="1"/>
  <c r="L74" i="1"/>
  <c r="CD68" i="1"/>
  <c r="CF111" i="1"/>
  <c r="CF68" i="1" s="1"/>
  <c r="V22" i="1"/>
  <c r="V23" i="1" s="1"/>
  <c r="J73" i="1" l="1"/>
  <c r="J69" i="1"/>
  <c r="J70" i="1" s="1"/>
  <c r="J82" i="1"/>
  <c r="I68" i="1"/>
  <c r="H66" i="1"/>
  <c r="L107" i="1"/>
  <c r="L105" i="1"/>
  <c r="L106" i="1"/>
  <c r="K74" i="1"/>
  <c r="CG111" i="1"/>
  <c r="V56" i="1"/>
  <c r="V60" i="1" s="1"/>
  <c r="I73" i="1" l="1"/>
  <c r="I69" i="1"/>
  <c r="I70" i="1" s="1"/>
  <c r="I82" i="1"/>
  <c r="H68" i="1"/>
  <c r="G66" i="1"/>
  <c r="K105" i="1"/>
  <c r="K106" i="1"/>
  <c r="K107" i="1"/>
  <c r="J74" i="1"/>
  <c r="V91" i="1"/>
  <c r="V61" i="1"/>
  <c r="AC111" i="1"/>
  <c r="CH111" i="1"/>
  <c r="CH68" i="1" s="1"/>
  <c r="V64" i="1"/>
  <c r="V69" i="1"/>
  <c r="V70" i="1" s="1"/>
  <c r="V73" i="1"/>
  <c r="V74" i="1" s="1"/>
  <c r="V105" i="1" s="1"/>
  <c r="H69" i="1" l="1"/>
  <c r="H70" i="1" s="1"/>
  <c r="H73" i="1"/>
  <c r="H82" i="1"/>
  <c r="G68" i="1"/>
  <c r="F66" i="1"/>
  <c r="J105" i="1"/>
  <c r="J106" i="1"/>
  <c r="J107" i="1"/>
  <c r="I74" i="1"/>
  <c r="CG68" i="1"/>
  <c r="AC66" i="1"/>
  <c r="AC68" i="1" s="1"/>
  <c r="CI111" i="1"/>
  <c r="CI68" i="1" s="1"/>
  <c r="V107" i="1"/>
  <c r="V106" i="1"/>
  <c r="V4" i="1"/>
  <c r="V9" i="1"/>
  <c r="G69" i="1" l="1"/>
  <c r="G70" i="1" s="1"/>
  <c r="G73" i="1"/>
  <c r="G82" i="1"/>
  <c r="F68" i="1"/>
  <c r="E66" i="1"/>
  <c r="I106" i="1"/>
  <c r="I107" i="1"/>
  <c r="I105" i="1"/>
  <c r="H74" i="1"/>
  <c r="CJ111" i="1"/>
  <c r="CJ68" i="1" s="1"/>
  <c r="V5" i="1"/>
  <c r="V7" i="1" s="1"/>
  <c r="F69" i="1" l="1"/>
  <c r="F70" i="1" s="1"/>
  <c r="F73" i="1"/>
  <c r="F82" i="1"/>
  <c r="E68" i="1"/>
  <c r="D66" i="1"/>
  <c r="H107" i="1"/>
  <c r="H106" i="1"/>
  <c r="H105" i="1"/>
  <c r="G74" i="1"/>
  <c r="CK111" i="1"/>
  <c r="E69" i="1" l="1"/>
  <c r="E70" i="1" s="1"/>
  <c r="E73" i="1"/>
  <c r="E82" i="1"/>
  <c r="D68" i="1"/>
  <c r="C66" i="1"/>
  <c r="G107" i="1"/>
  <c r="G105" i="1"/>
  <c r="G106" i="1"/>
  <c r="F74" i="1"/>
  <c r="AD111" i="1"/>
  <c r="CL111" i="1"/>
  <c r="CL68" i="1" s="1"/>
  <c r="D69" i="1" l="1"/>
  <c r="D70" i="1" s="1"/>
  <c r="D73" i="1"/>
  <c r="D82" i="1"/>
  <c r="C68" i="1"/>
  <c r="B66" i="1"/>
  <c r="B68" i="1" s="1"/>
  <c r="F105" i="1"/>
  <c r="F107" i="1"/>
  <c r="F106" i="1"/>
  <c r="E74" i="1"/>
  <c r="CK68" i="1"/>
  <c r="AD66" i="1"/>
  <c r="AD68" i="1" s="1"/>
  <c r="CM111" i="1"/>
  <c r="CM68" i="1" s="1"/>
  <c r="C69" i="1" l="1"/>
  <c r="C73" i="1"/>
  <c r="C82" i="1"/>
  <c r="B69" i="1"/>
  <c r="B73" i="1"/>
  <c r="E107" i="1"/>
  <c r="E105" i="1"/>
  <c r="E106" i="1"/>
  <c r="D74" i="1"/>
  <c r="CN111" i="1"/>
  <c r="CN68" i="1" s="1"/>
  <c r="C106" i="1" l="1"/>
  <c r="C107" i="1"/>
  <c r="C70" i="1"/>
  <c r="B106" i="1"/>
  <c r="B107" i="1"/>
  <c r="B70" i="1"/>
  <c r="D106" i="1"/>
  <c r="D107" i="1"/>
  <c r="D105" i="1"/>
  <c r="C74" i="1"/>
  <c r="C105" i="1" s="1"/>
  <c r="CO111" i="1"/>
  <c r="AE111" i="1" s="1"/>
  <c r="CO68" i="1" l="1"/>
  <c r="W12" i="1"/>
  <c r="AE66" i="1" l="1"/>
  <c r="AE68" i="1" s="1"/>
  <c r="W40" i="1"/>
  <c r="W88" i="1" s="1"/>
  <c r="W13" i="1"/>
  <c r="W14" i="1" s="1"/>
  <c r="W15" i="1"/>
  <c r="W17" i="1" l="1"/>
  <c r="W42" i="1"/>
  <c r="W18" i="1"/>
  <c r="W43" i="1" l="1"/>
  <c r="W19" i="1"/>
  <c r="W51" i="1"/>
  <c r="W22" i="1"/>
  <c r="W52" i="1" l="1"/>
  <c r="W20" i="1"/>
  <c r="W21" i="1" s="1"/>
  <c r="W23" i="1" s="1"/>
  <c r="W54" i="1" l="1"/>
  <c r="W56" i="1" s="1"/>
  <c r="W60" i="1" s="1"/>
  <c r="W91" i="1" l="1"/>
  <c r="W61" i="1"/>
  <c r="W64" i="1"/>
  <c r="W69" i="1"/>
  <c r="W70" i="1" s="1"/>
  <c r="W73" i="1"/>
  <c r="W74" i="1" s="1"/>
  <c r="W105" i="1" s="1"/>
  <c r="W106" i="1" l="1"/>
  <c r="W107" i="1"/>
  <c r="W9" i="1"/>
  <c r="W4" i="1"/>
  <c r="W5" i="1" l="1"/>
  <c r="W7" i="1" s="1"/>
  <c r="X13" i="1" l="1"/>
  <c r="X12" i="1"/>
  <c r="X15" i="1"/>
  <c r="X14" i="1" l="1"/>
  <c r="X17" i="1" s="1"/>
  <c r="Y40" i="1"/>
  <c r="X40" i="1"/>
  <c r="X42" i="1" l="1"/>
  <c r="X88" i="1"/>
  <c r="Y42" i="1"/>
  <c r="Y88" i="1"/>
  <c r="X18" i="1"/>
  <c r="X19" i="1" s="1"/>
  <c r="X51" i="1" l="1"/>
  <c r="X54" i="1" s="1"/>
  <c r="Y43" i="1"/>
  <c r="X43" i="1"/>
  <c r="Y51" i="1"/>
  <c r="Y54" i="1" s="1"/>
  <c r="X52" i="1" l="1"/>
  <c r="Y52" i="1"/>
  <c r="X22" i="1"/>
  <c r="X20" i="1"/>
  <c r="X21" i="1" s="1"/>
  <c r="X23" i="1" l="1"/>
  <c r="X56" i="1"/>
  <c r="X60" i="1" s="1"/>
  <c r="Y56" i="1"/>
  <c r="Y60" i="1" s="1"/>
  <c r="X91" i="1" l="1"/>
  <c r="Y61" i="1"/>
  <c r="X61" i="1"/>
  <c r="Y64" i="1"/>
  <c r="Y91" i="1"/>
  <c r="X64" i="1"/>
  <c r="X69" i="1"/>
  <c r="X70" i="1" s="1"/>
  <c r="X73" i="1"/>
  <c r="X74" i="1" s="1"/>
  <c r="X105" i="1" s="1"/>
  <c r="Y69" i="1"/>
  <c r="Y70" i="1" s="1"/>
  <c r="X106" i="1" l="1"/>
  <c r="X107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73" i="1"/>
  <c r="Y74" i="1" s="1"/>
  <c r="Y105" i="1" s="1"/>
  <c r="Y106" i="1" l="1"/>
  <c r="Y107" i="1"/>
  <c r="Z40" i="1" l="1"/>
  <c r="Z42" i="1" l="1"/>
  <c r="AA43" i="1" s="1"/>
  <c r="Z88" i="1"/>
  <c r="Z43" i="1" l="1"/>
  <c r="Z51" i="1"/>
  <c r="AA52" i="1" s="1"/>
  <c r="Z52" i="1" l="1"/>
  <c r="Z54" i="1"/>
  <c r="Z56" i="1" l="1"/>
  <c r="Z60" i="1" s="1"/>
  <c r="AA61" i="1" s="1"/>
  <c r="Z91" i="1" l="1"/>
  <c r="Z61" i="1"/>
  <c r="Z64" i="1"/>
  <c r="Z69" i="1"/>
  <c r="Z70" i="1" s="1"/>
  <c r="Z9" i="1"/>
  <c r="Z73" i="1"/>
  <c r="Z74" i="1" s="1"/>
  <c r="Z105" i="1" s="1"/>
  <c r="Z106" i="1" l="1"/>
  <c r="Z107" i="1"/>
  <c r="BX73" i="1" l="1"/>
  <c r="BX74" i="1" s="1"/>
  <c r="BX5" i="1"/>
  <c r="BY12" i="1" l="1"/>
  <c r="BY22" i="1"/>
  <c r="BY20" i="1"/>
  <c r="BY15" i="1"/>
  <c r="BY13" i="1"/>
  <c r="BY18" i="1"/>
  <c r="BX106" i="1"/>
  <c r="BX105" i="1"/>
  <c r="BX107" i="1"/>
  <c r="BY14" i="1" l="1"/>
  <c r="BY17" i="1" s="1"/>
  <c r="BY19" i="1" l="1"/>
  <c r="BY21" i="1" s="1"/>
  <c r="BY23" i="1" s="1"/>
  <c r="AA9" i="1" l="1"/>
  <c r="AB45" i="1" l="1"/>
  <c r="AC45" i="1" l="1"/>
  <c r="AD45" i="1" l="1"/>
  <c r="AE45" i="1" l="1"/>
  <c r="BX85" i="1" l="1"/>
  <c r="BX89" i="1"/>
  <c r="BX84" i="1"/>
  <c r="BX28" i="1"/>
  <c r="BY28" i="1" s="1"/>
  <c r="BX34" i="1"/>
  <c r="BX90" i="1" l="1"/>
  <c r="BX88" i="1" s="1"/>
  <c r="BY90" i="1"/>
  <c r="BY88" i="1" s="1"/>
  <c r="BZ28" i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BZ85" i="1"/>
  <c r="BZ107" i="1" l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BZ106" i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A85" i="1"/>
  <c r="AA31" i="1" l="1"/>
  <c r="AA34" i="1"/>
  <c r="CB85" i="1"/>
  <c r="CC85" i="1" l="1"/>
  <c r="CD85" i="1" l="1"/>
  <c r="CE85" i="1" l="1"/>
  <c r="CF85" i="1" l="1"/>
  <c r="CG85" i="1" l="1"/>
  <c r="CH85" i="1" l="1"/>
  <c r="CI85" i="1" l="1"/>
  <c r="CJ85" i="1" l="1"/>
  <c r="CK85" i="1" l="1"/>
  <c r="CL85" i="1" l="1"/>
  <c r="CM85" i="1" l="1"/>
  <c r="CN85" i="1" l="1"/>
  <c r="CO85" i="1" l="1"/>
  <c r="BT41" i="1" l="1"/>
  <c r="AO48" i="1"/>
  <c r="BH77" i="1"/>
  <c r="BO55" i="1"/>
  <c r="H51" i="130"/>
  <c r="AY38" i="1"/>
  <c r="AQ41" i="1"/>
  <c r="BK55" i="1"/>
  <c r="BO63" i="1"/>
  <c r="AI78" i="1"/>
  <c r="BL76" i="1"/>
  <c r="BB78" i="1"/>
  <c r="M51" i="130"/>
  <c r="BG80" i="1"/>
  <c r="BC48" i="1"/>
  <c r="AY41" i="1"/>
  <c r="AN76" i="1"/>
  <c r="AL55" i="1"/>
  <c r="AX44" i="1"/>
  <c r="AQ78" i="1"/>
  <c r="BK77" i="1"/>
  <c r="BU48" i="1"/>
  <c r="O51" i="130"/>
  <c r="AX68" i="1"/>
  <c r="BI41" i="1"/>
  <c r="AM66" i="1"/>
  <c r="AL78" i="1"/>
  <c r="BL78" i="1"/>
  <c r="BS38" i="1"/>
  <c r="AR80" i="1"/>
  <c r="BU80" i="1"/>
  <c r="AW44" i="1"/>
  <c r="BT53" i="1"/>
  <c r="BB59" i="1"/>
  <c r="AJ63" i="1"/>
  <c r="BL38" i="1"/>
  <c r="BS76" i="1"/>
  <c r="AQ81" i="1"/>
  <c r="AR44" i="1"/>
  <c r="BR76" i="1"/>
  <c r="AJ77" i="1"/>
  <c r="BJ59" i="1"/>
  <c r="BV44" i="1"/>
  <c r="BA80" i="1"/>
  <c r="BR53" i="1"/>
  <c r="BK63" i="1"/>
  <c r="BM81" i="1"/>
  <c r="BB44" i="1"/>
  <c r="AO41" i="1"/>
  <c r="BQ38" i="1"/>
  <c r="AI59" i="1"/>
  <c r="AH51" i="130"/>
  <c r="BG53" i="1"/>
  <c r="AN81" i="1"/>
  <c r="BG59" i="1"/>
  <c r="AO55" i="1"/>
  <c r="BD59" i="1"/>
  <c r="AY48" i="1"/>
  <c r="AR53" i="1"/>
  <c r="BA63" i="1"/>
  <c r="BC78" i="1"/>
  <c r="AS48" i="1"/>
  <c r="AR59" i="1"/>
  <c r="BE38" i="1"/>
  <c r="BA38" i="1"/>
  <c r="AO38" i="1"/>
  <c r="AO76" i="1"/>
  <c r="AH80" i="1"/>
  <c r="BG78" i="1"/>
  <c r="AJ80" i="1"/>
  <c r="BE39" i="1"/>
  <c r="BF77" i="1"/>
  <c r="BJ53" i="1"/>
  <c r="AI51" i="130"/>
  <c r="BC53" i="1"/>
  <c r="AZ78" i="1"/>
  <c r="AJ39" i="1"/>
  <c r="BI77" i="1"/>
  <c r="BF38" i="1"/>
  <c r="BB63" i="1"/>
  <c r="BS44" i="1"/>
  <c r="BB41" i="1"/>
  <c r="AZ81" i="1"/>
  <c r="AZ82" i="1"/>
  <c r="AU41" i="1"/>
  <c r="AL67" i="1"/>
  <c r="BC80" i="1"/>
  <c r="AJ67" i="1"/>
  <c r="AP39" i="1"/>
  <c r="AQ66" i="1"/>
  <c r="AE51" i="130"/>
  <c r="BT55" i="1"/>
  <c r="AW55" i="1"/>
  <c r="BO44" i="1"/>
  <c r="BK38" i="1"/>
  <c r="AR48" i="1"/>
  <c r="BU59" i="1"/>
  <c r="BU38" i="1"/>
  <c r="BD80" i="1"/>
  <c r="AQ53" i="1"/>
  <c r="AH66" i="1"/>
  <c r="BC55" i="1"/>
  <c r="BR48" i="1"/>
  <c r="BT38" i="1"/>
  <c r="AP59" i="1"/>
  <c r="AP77" i="1"/>
  <c r="AY77" i="1"/>
  <c r="BG81" i="1"/>
  <c r="BG82" i="1"/>
  <c r="AT68" i="1"/>
  <c r="AI39" i="1"/>
  <c r="AP55" i="1"/>
  <c r="AW59" i="1"/>
  <c r="BO76" i="1"/>
  <c r="AS44" i="1"/>
  <c r="BA77" i="1"/>
  <c r="AS67" i="1"/>
  <c r="AL76" i="1"/>
  <c r="AK53" i="1"/>
  <c r="AW63" i="1"/>
  <c r="BE48" i="1"/>
  <c r="BN38" i="1"/>
  <c r="X51" i="130"/>
  <c r="BU81" i="1"/>
  <c r="BP59" i="1"/>
  <c r="R51" i="130"/>
  <c r="AX53" i="1"/>
  <c r="BT78" i="1"/>
  <c r="AR55" i="1"/>
  <c r="AK81" i="1"/>
  <c r="AY80" i="1"/>
  <c r="BS81" i="1"/>
  <c r="BS82" i="1"/>
  <c r="AM38" i="1"/>
  <c r="AH38" i="1"/>
  <c r="AH40" i="1"/>
  <c r="BC38" i="1"/>
  <c r="AS81" i="1"/>
  <c r="BP63" i="1"/>
  <c r="BK53" i="1"/>
  <c r="AV55" i="1"/>
  <c r="BB77" i="1"/>
  <c r="AI81" i="1"/>
  <c r="AI80" i="1"/>
  <c r="V51" i="130"/>
  <c r="AN78" i="1"/>
  <c r="BH55" i="1"/>
  <c r="K51" i="130"/>
  <c r="BR77" i="1"/>
  <c r="BE76" i="1"/>
  <c r="S51" i="130"/>
  <c r="BL55" i="1"/>
  <c r="BH44" i="1"/>
  <c r="BP78" i="1"/>
  <c r="BF55" i="1"/>
  <c r="BJ39" i="1"/>
  <c r="AV41" i="1"/>
  <c r="BM76" i="1"/>
  <c r="BQ59" i="1"/>
  <c r="BM80" i="1"/>
  <c r="AU44" i="1"/>
  <c r="AK51" i="130"/>
  <c r="BK48" i="1"/>
  <c r="AL77" i="1"/>
  <c r="BU76" i="1"/>
  <c r="AI77" i="1"/>
  <c r="BQ39" i="1"/>
  <c r="AK80" i="1"/>
  <c r="BF48" i="1"/>
  <c r="BK76" i="1"/>
  <c r="AN45" i="1"/>
  <c r="BJ41" i="1"/>
  <c r="AS66" i="1"/>
  <c r="AQ77" i="1"/>
  <c r="BN77" i="1"/>
  <c r="AJ41" i="1"/>
  <c r="BL53" i="1"/>
  <c r="BA55" i="1"/>
  <c r="BE41" i="1"/>
  <c r="BE55" i="1"/>
  <c r="I51" i="130"/>
  <c r="AZ41" i="1"/>
  <c r="AT44" i="1"/>
  <c r="AK66" i="1"/>
  <c r="AK68" i="1"/>
  <c r="AT38" i="1"/>
  <c r="AU77" i="1"/>
  <c r="AJ48" i="1"/>
  <c r="AQ39" i="1"/>
  <c r="AQ40" i="1"/>
  <c r="AQ42" i="1"/>
  <c r="BT39" i="1"/>
  <c r="AM51" i="130"/>
  <c r="BT68" i="1"/>
  <c r="AJ81" i="1"/>
  <c r="AM78" i="1"/>
  <c r="BT77" i="1"/>
  <c r="AV38" i="1"/>
  <c r="AM77" i="1"/>
  <c r="BG77" i="1"/>
  <c r="AN80" i="1"/>
  <c r="BD81" i="1"/>
  <c r="BD82" i="1"/>
  <c r="BM45" i="1"/>
  <c r="BK68" i="1"/>
  <c r="BM77" i="1"/>
  <c r="BE77" i="1"/>
  <c r="AQ48" i="1"/>
  <c r="AI44" i="1"/>
  <c r="BO45" i="1"/>
  <c r="AZ63" i="1"/>
  <c r="BG38" i="1"/>
  <c r="BQ55" i="1"/>
  <c r="AT77" i="1"/>
  <c r="BF39" i="1"/>
  <c r="BF40" i="1"/>
  <c r="BU41" i="1"/>
  <c r="AQ80" i="1"/>
  <c r="AI55" i="1"/>
  <c r="BS41" i="1"/>
  <c r="BV78" i="1"/>
  <c r="BV38" i="1"/>
  <c r="AY78" i="1"/>
  <c r="BH81" i="1"/>
  <c r="BH82" i="1"/>
  <c r="BH41" i="1"/>
  <c r="BC63" i="1"/>
  <c r="AF51" i="130"/>
  <c r="AS45" i="1"/>
  <c r="AS50" i="1"/>
  <c r="BJ45" i="1"/>
  <c r="BJ44" i="1"/>
  <c r="BJ50" i="1"/>
  <c r="BP53" i="1"/>
  <c r="AV53" i="1"/>
  <c r="BC81" i="1"/>
  <c r="BA44" i="1"/>
  <c r="BE53" i="1"/>
  <c r="AK38" i="1"/>
  <c r="BQ77" i="1"/>
  <c r="AX77" i="1"/>
  <c r="AI41" i="1"/>
  <c r="AZ80" i="1"/>
  <c r="AU76" i="1"/>
  <c r="AL41" i="1"/>
  <c r="BS77" i="1"/>
  <c r="AN38" i="1"/>
  <c r="AJ66" i="1"/>
  <c r="BV81" i="1"/>
  <c r="BV82" i="1"/>
  <c r="AJ44" i="1"/>
  <c r="AM76" i="1"/>
  <c r="AL48" i="1"/>
  <c r="AP67" i="1"/>
  <c r="AP78" i="1"/>
  <c r="BV41" i="1"/>
  <c r="AW81" i="1"/>
  <c r="AW82" i="1"/>
  <c r="G51" i="130"/>
  <c r="AH55" i="1"/>
  <c r="AH22" i="1"/>
  <c r="BJ76" i="1"/>
  <c r="BM48" i="1"/>
  <c r="BL63" i="1"/>
  <c r="AP53" i="1"/>
  <c r="AZ39" i="1"/>
  <c r="BO59" i="1"/>
  <c r="AX76" i="1"/>
  <c r="BQ53" i="1"/>
  <c r="BK81" i="1"/>
  <c r="AR77" i="1"/>
  <c r="BO78" i="1"/>
  <c r="AN63" i="1"/>
  <c r="BL44" i="1"/>
  <c r="AU63" i="1"/>
  <c r="AL80" i="1"/>
  <c r="AN66" i="1"/>
  <c r="AO53" i="1"/>
  <c r="AB51" i="130"/>
  <c r="AJ76" i="1"/>
  <c r="BO39" i="1"/>
  <c r="BI39" i="1"/>
  <c r="BC77" i="1"/>
  <c r="BP39" i="1"/>
  <c r="AU53" i="1"/>
  <c r="BT59" i="1"/>
  <c r="AH59" i="1"/>
  <c r="BR68" i="1"/>
  <c r="AM59" i="1"/>
  <c r="AT76" i="1"/>
  <c r="P51" i="130"/>
  <c r="BG55" i="1"/>
  <c r="Y51" i="130"/>
  <c r="BF41" i="1"/>
  <c r="BA81" i="1"/>
  <c r="BA82" i="1"/>
  <c r="AL53" i="1"/>
  <c r="AH81" i="1"/>
  <c r="BH76" i="1"/>
  <c r="AN41" i="1"/>
  <c r="AW48" i="1"/>
  <c r="BM41" i="1"/>
  <c r="BI44" i="1"/>
  <c r="AO77" i="1"/>
  <c r="AQ63" i="1"/>
  <c r="BT80" i="1"/>
  <c r="BP76" i="1"/>
  <c r="AT81" i="1"/>
  <c r="BL48" i="1"/>
  <c r="BK39" i="1"/>
  <c r="BU68" i="1"/>
  <c r="AV77" i="1"/>
  <c r="BB38" i="1"/>
  <c r="BO81" i="1"/>
  <c r="AS38" i="1"/>
  <c r="AW76" i="1"/>
  <c r="BC44" i="1"/>
  <c r="BU39" i="1"/>
  <c r="BG39" i="1"/>
  <c r="AU68" i="1"/>
  <c r="AT59" i="1"/>
  <c r="BI80" i="1"/>
  <c r="BI59" i="1"/>
  <c r="AJ38" i="1"/>
  <c r="AJ40" i="1"/>
  <c r="AO80" i="1"/>
  <c r="BA59" i="1"/>
  <c r="BK41" i="1"/>
  <c r="AD51" i="130"/>
  <c r="BN39" i="1"/>
  <c r="AU55" i="1"/>
  <c r="AM63" i="1"/>
  <c r="AP81" i="1"/>
  <c r="AL51" i="130"/>
  <c r="BC68" i="1"/>
  <c r="AU39" i="1"/>
  <c r="AR38" i="1"/>
  <c r="BJ81" i="1"/>
  <c r="BJ82" i="1"/>
  <c r="AN44" i="1"/>
  <c r="BO41" i="1"/>
  <c r="BT81" i="1"/>
  <c r="AK44" i="1"/>
  <c r="AI53" i="1"/>
  <c r="AS53" i="1"/>
  <c r="BV53" i="1"/>
  <c r="AS78" i="1"/>
  <c r="BD44" i="1"/>
  <c r="AN59" i="1"/>
  <c r="AI76" i="1"/>
  <c r="BC41" i="1"/>
  <c r="AT48" i="1"/>
  <c r="BP77" i="1"/>
  <c r="AG51" i="130"/>
  <c r="AU48" i="1"/>
  <c r="BA41" i="1"/>
  <c r="BB39" i="1"/>
  <c r="BB40" i="1"/>
  <c r="BQ41" i="1"/>
  <c r="AY81" i="1"/>
  <c r="AY82" i="1"/>
  <c r="BH39" i="1"/>
  <c r="AX55" i="1"/>
  <c r="AM53" i="1"/>
  <c r="BO48" i="1"/>
  <c r="BV39" i="1"/>
  <c r="AQ55" i="1"/>
  <c r="N51" i="130"/>
  <c r="AH41" i="1"/>
  <c r="AH15" i="1"/>
  <c r="AV63" i="1"/>
  <c r="AW78" i="1"/>
  <c r="AO81" i="1"/>
  <c r="AO63" i="1"/>
  <c r="BB76" i="1"/>
  <c r="AM39" i="1"/>
  <c r="AO78" i="1"/>
  <c r="AV81" i="1"/>
  <c r="AV82" i="1"/>
  <c r="BE45" i="1"/>
  <c r="BE50" i="1"/>
  <c r="AY76" i="1"/>
  <c r="BM63" i="1"/>
  <c r="AJ51" i="130"/>
  <c r="AU38" i="1"/>
  <c r="BS80" i="1"/>
  <c r="BO38" i="1"/>
  <c r="AN51" i="130"/>
  <c r="AV48" i="1"/>
  <c r="AY39" i="1"/>
  <c r="BQ45" i="1"/>
  <c r="BQ44" i="1"/>
  <c r="BQ50" i="1"/>
  <c r="AW41" i="1"/>
  <c r="BD53" i="1"/>
  <c r="AA51" i="130"/>
  <c r="AR45" i="1"/>
  <c r="AR50" i="1"/>
  <c r="BD39" i="1"/>
  <c r="BL41" i="1"/>
  <c r="AV80" i="1"/>
  <c r="BL59" i="1"/>
  <c r="AX59" i="1"/>
  <c r="BS78" i="1"/>
  <c r="BP48" i="1"/>
  <c r="BO53" i="1"/>
  <c r="BV55" i="1"/>
  <c r="BF76" i="1"/>
  <c r="AN53" i="1"/>
  <c r="AW53" i="1"/>
  <c r="AL59" i="1"/>
  <c r="AV44" i="1"/>
  <c r="BU77" i="1"/>
  <c r="BN80" i="1"/>
  <c r="BN59" i="1"/>
  <c r="BT48" i="1"/>
  <c r="BQ81" i="1"/>
  <c r="AM81" i="1"/>
  <c r="AS80" i="1"/>
  <c r="AI38" i="1"/>
  <c r="AI40" i="1"/>
  <c r="BL80" i="1"/>
  <c r="C51" i="130"/>
  <c r="AW80" i="1"/>
  <c r="BR80" i="1"/>
  <c r="BG76" i="1"/>
  <c r="BS48" i="1"/>
  <c r="BM78" i="1"/>
  <c r="BD38" i="1"/>
  <c r="Q51" i="130"/>
  <c r="AZ48" i="1"/>
  <c r="AQ59" i="1"/>
  <c r="BH48" i="1"/>
  <c r="AZ76" i="1"/>
  <c r="BH63" i="1"/>
  <c r="AW39" i="1"/>
  <c r="BN48" i="1"/>
  <c r="AU81" i="1"/>
  <c r="AY53" i="1"/>
  <c r="AX39" i="1"/>
  <c r="AP76" i="1"/>
  <c r="BH53" i="1"/>
  <c r="BD48" i="1"/>
  <c r="AY59" i="1"/>
  <c r="BH38" i="1"/>
  <c r="BB81" i="1"/>
  <c r="BB82" i="1"/>
  <c r="AK39" i="1"/>
  <c r="AH48" i="1"/>
  <c r="BF80" i="1"/>
  <c r="AN67" i="1"/>
  <c r="AK41" i="1"/>
  <c r="AX80" i="1"/>
  <c r="AV39" i="1"/>
  <c r="AP38" i="1"/>
  <c r="AX78" i="1"/>
  <c r="BC59" i="1"/>
  <c r="BF59" i="1"/>
  <c r="BS39" i="1"/>
  <c r="AJ53" i="1"/>
  <c r="BE59" i="1"/>
  <c r="BJ55" i="1"/>
  <c r="BR55" i="1"/>
  <c r="BJ78" i="1"/>
  <c r="AM67" i="1"/>
  <c r="BD77" i="1"/>
  <c r="AT80" i="1"/>
  <c r="BR39" i="1"/>
  <c r="BR40" i="1"/>
  <c r="AV59" i="1"/>
  <c r="AN48" i="1"/>
  <c r="AX81" i="1"/>
  <c r="AM48" i="1"/>
  <c r="AR78" i="1"/>
  <c r="BV45" i="1"/>
  <c r="BV50" i="1"/>
  <c r="BP38" i="1"/>
  <c r="BP40" i="1"/>
  <c r="E51" i="130"/>
  <c r="AU78" i="1"/>
  <c r="AI67" i="1"/>
  <c r="AI68" i="1"/>
  <c r="BI78" i="1"/>
  <c r="BE81" i="1"/>
  <c r="BE82" i="1"/>
  <c r="BN41" i="1"/>
  <c r="BH59" i="1"/>
  <c r="BK78" i="1"/>
  <c r="BO77" i="1"/>
  <c r="BM59" i="1"/>
  <c r="BR63" i="1"/>
  <c r="AN77" i="1"/>
  <c r="BV77" i="1"/>
  <c r="AR63" i="1"/>
  <c r="BL39" i="1"/>
  <c r="BL40" i="1"/>
  <c r="BA39" i="1"/>
  <c r="AH67" i="1"/>
  <c r="BU63" i="1"/>
  <c r="BN53" i="1"/>
  <c r="BA78" i="1"/>
  <c r="AR67" i="1"/>
  <c r="AS55" i="1"/>
  <c r="AT41" i="1"/>
  <c r="BV63" i="1"/>
  <c r="BB55" i="1"/>
  <c r="BD41" i="1"/>
  <c r="BR78" i="1"/>
  <c r="AN39" i="1"/>
  <c r="BL77" i="1"/>
  <c r="BE63" i="1"/>
  <c r="BQ76" i="1"/>
  <c r="BG41" i="1"/>
  <c r="BJ77" i="1"/>
  <c r="BU44" i="1"/>
  <c r="BI81" i="1"/>
  <c r="AO39" i="1"/>
  <c r="AR66" i="1"/>
  <c r="BR81" i="1"/>
  <c r="AZ38" i="1"/>
  <c r="AU80" i="1"/>
  <c r="AZ59" i="1"/>
  <c r="AO51" i="130"/>
  <c r="BT63" i="1"/>
  <c r="AK77" i="1"/>
  <c r="BA53" i="1"/>
  <c r="AK78" i="1"/>
  <c r="BU53" i="1"/>
  <c r="AH44" i="1"/>
  <c r="BF78" i="1"/>
  <c r="BP81" i="1"/>
  <c r="AW40" i="1"/>
  <c r="AW42" i="1"/>
  <c r="BM82" i="1"/>
  <c r="BT82" i="1"/>
  <c r="BU82" i="1"/>
  <c r="AH50" i="1"/>
  <c r="AY50" i="1"/>
  <c r="AO40" i="1"/>
  <c r="AT40" i="1"/>
  <c r="BU40" i="1"/>
  <c r="BI40" i="1"/>
  <c r="BS40" i="1"/>
  <c r="AY40" i="1"/>
  <c r="AY42" i="1"/>
  <c r="AJ68" i="1"/>
  <c r="AR40" i="1"/>
  <c r="AR42" i="1"/>
  <c r="BH40" i="1"/>
  <c r="BC40" i="1"/>
  <c r="BG40" i="1"/>
  <c r="AM40" i="1"/>
  <c r="H67" i="130" a="1"/>
  <c r="H60" i="130" a="1"/>
  <c r="H82" i="130" a="1"/>
  <c r="H56" i="130" a="1"/>
  <c r="H63" i="130" a="1"/>
  <c r="H58" i="130" a="1"/>
  <c r="H62" i="130" a="1"/>
  <c r="H54" i="130" a="1"/>
  <c r="H75" i="130" a="1"/>
  <c r="AF83" i="130" a="1"/>
  <c r="AF82" i="130" a="1"/>
  <c r="AF56" i="130" a="1"/>
  <c r="AF62" i="130" a="1"/>
  <c r="AF54" i="130" a="1"/>
  <c r="AF77" i="130" a="1"/>
  <c r="AF59" i="130" a="1"/>
  <c r="AF66" i="130" a="1"/>
  <c r="AF81" i="130" a="1"/>
  <c r="AF72" i="130" a="1"/>
  <c r="AF67" i="130" a="1"/>
  <c r="AB53" i="130" a="1"/>
  <c r="AB66" i="130" a="1"/>
  <c r="M65" i="130" a="1"/>
  <c r="M59" i="130" a="1"/>
  <c r="M73" i="130" a="1"/>
  <c r="M69" i="130" a="1"/>
  <c r="K62" i="130" a="1"/>
  <c r="K53" i="130" a="1"/>
  <c r="K63" i="130" a="1"/>
  <c r="K65" i="130" a="1"/>
  <c r="K81" i="130" a="1"/>
  <c r="K59" i="130" a="1"/>
  <c r="K68" i="130" a="1"/>
  <c r="AK64" i="130" a="1"/>
  <c r="AK53" i="130" a="1"/>
  <c r="AK78" i="130" a="1"/>
  <c r="AK74" i="130" a="1"/>
  <c r="AK70" i="130" a="1"/>
  <c r="AK59" i="130" a="1"/>
  <c r="AK58" i="130" a="1"/>
  <c r="AK82" i="130" a="1"/>
  <c r="AH75" i="130" a="1"/>
  <c r="AH76" i="130" a="1"/>
  <c r="AH78" i="130" a="1"/>
  <c r="AH71" i="130" a="1"/>
  <c r="AH80" i="130" a="1"/>
  <c r="AH64" i="130" a="1"/>
  <c r="AH58" i="130" a="1"/>
  <c r="AH65" i="130" a="1"/>
  <c r="AE82" i="130" a="1"/>
  <c r="AE77" i="130" a="1"/>
  <c r="AE66" i="130" a="1"/>
  <c r="AE65" i="130" a="1"/>
  <c r="AE53" i="130" a="1"/>
  <c r="AE63" i="130" a="1"/>
  <c r="AE76" i="130" a="1"/>
  <c r="AD71" i="130" a="1"/>
  <c r="AI78" i="130" a="1"/>
  <c r="AI71" i="130" a="1"/>
  <c r="AI60" i="130" a="1"/>
  <c r="AO77" i="130" a="1"/>
  <c r="AO81" i="130" a="1"/>
  <c r="AO54" i="130" a="1"/>
  <c r="AO79" i="130" a="1"/>
  <c r="AO53" i="130" a="1"/>
  <c r="AO67" i="130" a="1"/>
  <c r="R75" i="130" a="1"/>
  <c r="R67" i="130" a="1"/>
  <c r="R64" i="130" a="1"/>
  <c r="R82" i="130" a="1"/>
  <c r="R80" i="130" a="1"/>
  <c r="V57" i="130" a="1"/>
  <c r="V54" i="130" a="1"/>
  <c r="V75" i="130" a="1"/>
  <c r="V68" i="130" a="1"/>
  <c r="V81" i="130" a="1"/>
  <c r="V83" i="130" a="1"/>
  <c r="AM63" i="130" a="1"/>
  <c r="AM71" i="130" a="1"/>
  <c r="AM81" i="130" a="1"/>
  <c r="AM72" i="130" a="1"/>
  <c r="AM73" i="130" a="1"/>
  <c r="AM53" i="130" a="1"/>
  <c r="P69" i="130" a="1"/>
  <c r="AN70" i="130" a="1"/>
  <c r="H76" i="130" a="1"/>
  <c r="H83" i="130" a="1"/>
  <c r="H72" i="130" a="1"/>
  <c r="H78" i="130" a="1"/>
  <c r="H77" i="130" a="1"/>
  <c r="H69" i="130" a="1"/>
  <c r="H70" i="130" a="1"/>
  <c r="H81" i="130" a="1"/>
  <c r="H73" i="130" a="1"/>
  <c r="H79" i="130" a="1"/>
  <c r="H80" i="130" a="1"/>
  <c r="H65" i="130" a="1"/>
  <c r="AF64" i="130" a="1"/>
  <c r="AF73" i="130" a="1"/>
  <c r="AF57" i="130" a="1"/>
  <c r="AF76" i="130" a="1"/>
  <c r="AF65" i="130" a="1"/>
  <c r="AF53" i="130" a="1"/>
  <c r="AF78" i="130" a="1"/>
  <c r="AF71" i="130" a="1"/>
  <c r="AF63" i="130" a="1"/>
  <c r="AF60" i="130" a="1"/>
  <c r="AB61" i="130" a="1"/>
  <c r="AB76" i="130" a="1"/>
  <c r="AB83" i="130" a="1"/>
  <c r="M54" i="130" a="1"/>
  <c r="M78" i="130" a="1"/>
  <c r="M67" i="130" a="1"/>
  <c r="K70" i="130" a="1"/>
  <c r="K71" i="130" a="1"/>
  <c r="K66" i="130" a="1"/>
  <c r="K77" i="130" a="1"/>
  <c r="K56" i="130" a="1"/>
  <c r="K83" i="130" a="1"/>
  <c r="K54" i="130" a="1"/>
  <c r="K78" i="130" a="1"/>
  <c r="AK56" i="130" a="1"/>
  <c r="AK63" i="130" a="1"/>
  <c r="AK62" i="130" a="1"/>
  <c r="AK83" i="130" a="1"/>
  <c r="AK80" i="130" a="1"/>
  <c r="AK68" i="130" a="1"/>
  <c r="AK61" i="130" a="1"/>
  <c r="AK79" i="130" a="1"/>
  <c r="AH67" i="130" a="1"/>
  <c r="AH55" i="130" a="1"/>
  <c r="AH62" i="130" a="1"/>
  <c r="AH53" i="130" a="1"/>
  <c r="AH73" i="130" a="1"/>
  <c r="AH60" i="130" a="1"/>
  <c r="AH81" i="130" a="1"/>
  <c r="AH68" i="130" a="1"/>
  <c r="AE70" i="130" a="1"/>
  <c r="AE72" i="130" a="1"/>
  <c r="AE69" i="130" a="1"/>
  <c r="AE57" i="130" a="1"/>
  <c r="AE79" i="130" a="1"/>
  <c r="AE62" i="130" a="1"/>
  <c r="AE58" i="130" a="1"/>
  <c r="AE67" i="130" a="1"/>
  <c r="AD74" i="130" a="1"/>
  <c r="AD69" i="130" a="1"/>
  <c r="AI64" i="130" a="1"/>
  <c r="AI67" i="130" a="1"/>
  <c r="AO80" i="130" a="1"/>
  <c r="AO56" i="130" a="1"/>
  <c r="AO69" i="130" a="1"/>
  <c r="AO74" i="130" a="1"/>
  <c r="AO59" i="130" a="1"/>
  <c r="AO68" i="130" a="1"/>
  <c r="AO66" i="130" a="1"/>
  <c r="R61" i="130" a="1"/>
  <c r="R53" i="130" a="1"/>
  <c r="R74" i="130" a="1"/>
  <c r="R54" i="130" a="1"/>
  <c r="R55" i="130" a="1"/>
  <c r="R72" i="130" a="1"/>
  <c r="V67" i="130" a="1"/>
  <c r="V80" i="130" a="1"/>
  <c r="V66" i="130" a="1"/>
  <c r="V76" i="130" a="1"/>
  <c r="V62" i="130" a="1"/>
  <c r="V53" i="130" a="1"/>
  <c r="AM83" i="130" a="1"/>
  <c r="AM74" i="130" a="1"/>
  <c r="AM78" i="130" a="1"/>
  <c r="AM58" i="130" a="1"/>
  <c r="AM62" i="130" a="1"/>
  <c r="AM82" i="130" a="1"/>
  <c r="AM60" i="130" a="1"/>
  <c r="AN68" i="130" a="1"/>
  <c r="H57" i="130" a="1"/>
  <c r="H61" i="130" a="1"/>
  <c r="H68" i="130" a="1"/>
  <c r="H59" i="130" a="1"/>
  <c r="H53" i="130" a="1"/>
  <c r="H71" i="130" a="1"/>
  <c r="H64" i="130" a="1"/>
  <c r="H74" i="130" a="1"/>
  <c r="H55" i="130" a="1"/>
  <c r="H66" i="130" a="1"/>
  <c r="AF55" i="130" a="1"/>
  <c r="AF70" i="130" a="1"/>
  <c r="AF58" i="130" a="1"/>
  <c r="AF61" i="130" a="1"/>
  <c r="AF68" i="130" a="1"/>
  <c r="AF79" i="130" a="1"/>
  <c r="AF80" i="130" a="1"/>
  <c r="AF74" i="130" a="1"/>
  <c r="AF75" i="130" a="1"/>
  <c r="AF69" i="130" a="1"/>
  <c r="AB63" i="130" a="1"/>
  <c r="AB82" i="130" a="1"/>
  <c r="AB59" i="130" a="1"/>
  <c r="M71" i="130" a="1"/>
  <c r="M70" i="130" a="1"/>
  <c r="M62" i="130" a="1"/>
  <c r="K80" i="130" a="1"/>
  <c r="K64" i="130" a="1"/>
  <c r="K55" i="130" a="1"/>
  <c r="K76" i="130" a="1"/>
  <c r="K72" i="130" a="1"/>
  <c r="K58" i="130" a="1"/>
  <c r="K74" i="130" a="1"/>
  <c r="K69" i="130" a="1"/>
  <c r="AK75" i="130" a="1"/>
  <c r="AK71" i="130" a="1"/>
  <c r="AK54" i="130" a="1"/>
  <c r="AK66" i="130" a="1"/>
  <c r="AK77" i="130" a="1"/>
  <c r="AK67" i="130" a="1"/>
  <c r="AK60" i="130" a="1"/>
  <c r="AH70" i="130" a="1"/>
  <c r="AH66" i="130" a="1"/>
  <c r="AH79" i="130" a="1"/>
  <c r="AH83" i="130" a="1"/>
  <c r="AH56" i="130" a="1"/>
  <c r="AH61" i="130" a="1"/>
  <c r="AH57" i="130" a="1"/>
  <c r="AE78" i="130" a="1"/>
  <c r="AE68" i="130" a="1"/>
  <c r="AE54" i="130" a="1"/>
  <c r="AE60" i="130" a="1"/>
  <c r="AE61" i="130" a="1"/>
  <c r="AE83" i="130" a="1"/>
  <c r="AE75" i="130" a="1"/>
  <c r="AE80" i="130" a="1"/>
  <c r="AD80" i="130" a="1"/>
  <c r="AI59" i="130" a="1"/>
  <c r="AI83" i="130" a="1"/>
  <c r="AI55" i="130" a="1"/>
  <c r="AO75" i="130" a="1"/>
  <c r="AO71" i="130" a="1"/>
  <c r="AO55" i="130" a="1"/>
  <c r="AO82" i="130" a="1"/>
  <c r="AO62" i="130" a="1"/>
  <c r="AO57" i="130" a="1"/>
  <c r="R63" i="130" a="1"/>
  <c r="R70" i="130" a="1"/>
  <c r="R60" i="130" a="1"/>
  <c r="R69" i="130" a="1"/>
  <c r="R81" i="130" a="1"/>
  <c r="R76" i="130" a="1"/>
  <c r="R66" i="130" a="1"/>
  <c r="V61" i="130" a="1"/>
  <c r="V78" i="130" a="1"/>
  <c r="V64" i="130" a="1"/>
  <c r="V72" i="130" a="1"/>
  <c r="V65" i="130" a="1"/>
  <c r="V74" i="130" a="1"/>
  <c r="V58" i="130" a="1"/>
  <c r="AM80" i="130" a="1"/>
  <c r="AM55" i="130" a="1"/>
  <c r="AM66" i="130" a="1"/>
  <c r="AM69" i="130" a="1"/>
  <c r="AM70" i="130" a="1"/>
  <c r="P66" i="130" a="1"/>
  <c r="AN78" i="130" a="1"/>
  <c r="AB73" i="130" a="1"/>
  <c r="AB77" i="130" a="1"/>
  <c r="AB69" i="130" a="1"/>
  <c r="AB55" i="130" a="1"/>
  <c r="AB67" i="130" a="1"/>
  <c r="AB78" i="130" a="1"/>
  <c r="AB81" i="130" a="1"/>
  <c r="AB72" i="130" a="1"/>
  <c r="AB65" i="130" a="1"/>
  <c r="AB80" i="130" a="1"/>
  <c r="AB58" i="130" a="1"/>
  <c r="AB56" i="130" a="1"/>
  <c r="AB79" i="130" a="1"/>
  <c r="AB62" i="130" a="1"/>
  <c r="AB70" i="130" a="1"/>
  <c r="AB75" i="130" a="1"/>
  <c r="AB54" i="130" a="1"/>
  <c r="AB60" i="130" a="1"/>
  <c r="AB68" i="130" a="1"/>
  <c r="AB64" i="130" a="1"/>
  <c r="AB71" i="130" a="1"/>
  <c r="AB57" i="130" a="1"/>
  <c r="AB74" i="130" a="1"/>
  <c r="N79" i="130" a="1"/>
  <c r="N75" i="130" a="1"/>
  <c r="N73" i="130" a="1"/>
  <c r="N77" i="130" a="1"/>
  <c r="N82" i="130" a="1"/>
  <c r="N80" i="130" a="1"/>
  <c r="N61" i="130" a="1"/>
  <c r="N65" i="130" a="1"/>
  <c r="N68" i="130" a="1"/>
  <c r="N66" i="130" a="1"/>
  <c r="N55" i="130" a="1"/>
  <c r="N78" i="130" a="1"/>
  <c r="N67" i="130" a="1"/>
  <c r="N63" i="130" a="1"/>
  <c r="N69" i="130" a="1"/>
  <c r="N56" i="130" a="1"/>
  <c r="N70" i="130" a="1"/>
  <c r="N83" i="130" a="1"/>
  <c r="N81" i="130" a="1"/>
  <c r="N72" i="130" a="1"/>
  <c r="N58" i="130" a="1"/>
  <c r="N62" i="130" a="1"/>
  <c r="N59" i="130" a="1"/>
  <c r="N64" i="130" a="1"/>
  <c r="N53" i="130" a="1"/>
  <c r="N60" i="130" a="1"/>
  <c r="N57" i="130" a="1"/>
  <c r="N74" i="130" a="1"/>
  <c r="N71" i="130" a="1"/>
  <c r="N76" i="130" a="1"/>
  <c r="N54" i="130" a="1"/>
  <c r="M61" i="130" a="1"/>
  <c r="M81" i="130" a="1"/>
  <c r="M72" i="130" a="1"/>
  <c r="M58" i="130" a="1"/>
  <c r="M79" i="130" a="1"/>
  <c r="M77" i="130" a="1"/>
  <c r="M63" i="130" a="1"/>
  <c r="M76" i="130" a="1"/>
  <c r="M75" i="130" a="1"/>
  <c r="M57" i="130" a="1"/>
  <c r="M68" i="130" a="1"/>
  <c r="M64" i="130" a="1"/>
  <c r="M60" i="130" a="1"/>
  <c r="M66" i="130" a="1"/>
  <c r="M83" i="130" a="1"/>
  <c r="M82" i="130" a="1"/>
  <c r="M53" i="130" a="1"/>
  <c r="M80" i="130" a="1"/>
  <c r="M74" i="130" a="1"/>
  <c r="M55" i="130" a="1"/>
  <c r="M56" i="130" a="1"/>
  <c r="K67" i="130" a="1"/>
  <c r="K61" i="130" a="1"/>
  <c r="K82" i="130" a="1"/>
  <c r="K79" i="130" a="1"/>
  <c r="K60" i="130" a="1"/>
  <c r="K57" i="130" a="1"/>
  <c r="K75" i="130" a="1"/>
  <c r="K73" i="130" a="1"/>
  <c r="AK72" i="130" a="1"/>
  <c r="AK65" i="130" a="1"/>
  <c r="AK76" i="130" a="1"/>
  <c r="AK73" i="130" a="1"/>
  <c r="AK69" i="130" a="1"/>
  <c r="AK55" i="130" a="1"/>
  <c r="AK81" i="130" a="1"/>
  <c r="AK57" i="130" a="1"/>
  <c r="AH63" i="130" a="1"/>
  <c r="AH74" i="130" a="1"/>
  <c r="AH54" i="130" a="1"/>
  <c r="AH77" i="130" a="1"/>
  <c r="AH59" i="130" a="1"/>
  <c r="AH69" i="130" a="1"/>
  <c r="AH72" i="130" a="1"/>
  <c r="AH82" i="130" a="1"/>
  <c r="AE74" i="130" a="1"/>
  <c r="AE71" i="130" a="1"/>
  <c r="AE64" i="130" a="1"/>
  <c r="AE56" i="130" a="1"/>
  <c r="AE59" i="130" a="1"/>
  <c r="AE73" i="130" a="1"/>
  <c r="AE55" i="130" a="1"/>
  <c r="AE81" i="130" a="1"/>
  <c r="AD59" i="130" a="1"/>
  <c r="AI74" i="130" a="1"/>
  <c r="AI77" i="130" a="1"/>
  <c r="AI79" i="130" a="1"/>
  <c r="AO60" i="130" a="1"/>
  <c r="AO70" i="130" a="1"/>
  <c r="AO73" i="130" a="1"/>
  <c r="AO61" i="130" a="1"/>
  <c r="AO72" i="130" a="1"/>
  <c r="AO78" i="130" a="1"/>
  <c r="R79" i="130" a="1"/>
  <c r="R56" i="130" a="1"/>
  <c r="R83" i="130" a="1"/>
  <c r="R71" i="130" a="1"/>
  <c r="R62" i="130" a="1"/>
  <c r="R58" i="130" a="1"/>
  <c r="R78" i="130" a="1"/>
  <c r="V59" i="130" a="1"/>
  <c r="V60" i="130" a="1"/>
  <c r="V55" i="130" a="1"/>
  <c r="V77" i="130" a="1"/>
  <c r="V79" i="130" a="1"/>
  <c r="V70" i="130" a="1"/>
  <c r="AM79" i="130" a="1"/>
  <c r="AM75" i="130" a="1"/>
  <c r="AM76" i="130" a="1"/>
  <c r="AM57" i="130" a="1"/>
  <c r="AM68" i="130" a="1"/>
  <c r="AM67" i="130" a="1"/>
  <c r="AM77" i="130" a="1"/>
  <c r="AN64" i="130" a="1"/>
  <c r="AN55" i="130" a="1"/>
  <c r="AD72" i="130" a="1"/>
  <c r="AD70" i="130" a="1"/>
  <c r="AD75" i="130" a="1"/>
  <c r="AD67" i="130" a="1"/>
  <c r="AD79" i="130" a="1"/>
  <c r="AD57" i="130" a="1"/>
  <c r="AD78" i="130" a="1"/>
  <c r="AD68" i="130" a="1"/>
  <c r="AD76" i="130" a="1"/>
  <c r="AD61" i="130" a="1"/>
  <c r="AD73" i="130" a="1"/>
  <c r="AD54" i="130" a="1"/>
  <c r="AD53" i="130" a="1"/>
  <c r="AD60" i="130" a="1"/>
  <c r="AD64" i="130" a="1"/>
  <c r="AD66" i="130" a="1"/>
  <c r="AD83" i="130" a="1"/>
  <c r="AD58" i="130" a="1"/>
  <c r="AD63" i="130" a="1"/>
  <c r="AD55" i="130" a="1"/>
  <c r="AD82" i="130" a="1"/>
  <c r="AD56" i="130" a="1"/>
  <c r="AD81" i="130" a="1"/>
  <c r="AD65" i="130" a="1"/>
  <c r="AD77" i="130" a="1"/>
  <c r="AD62" i="130" a="1"/>
  <c r="X54" i="130" a="1"/>
  <c r="X65" i="130" a="1"/>
  <c r="X66" i="130" a="1"/>
  <c r="X53" i="130" a="1"/>
  <c r="X79" i="130" a="1"/>
  <c r="X72" i="130" a="1"/>
  <c r="X68" i="130" a="1"/>
  <c r="X77" i="130" a="1"/>
  <c r="X57" i="130" a="1"/>
  <c r="X78" i="130" a="1"/>
  <c r="X58" i="130" a="1"/>
  <c r="X83" i="130" a="1"/>
  <c r="X76" i="130" a="1"/>
  <c r="X60" i="130" a="1"/>
  <c r="X70" i="130" a="1"/>
  <c r="X55" i="130" a="1"/>
  <c r="X56" i="130" a="1"/>
  <c r="X71" i="130" a="1"/>
  <c r="X80" i="130" a="1"/>
  <c r="X74" i="130" a="1"/>
  <c r="X62" i="130" a="1"/>
  <c r="X82" i="130" a="1"/>
  <c r="X81" i="130" a="1"/>
  <c r="X67" i="130" a="1"/>
  <c r="X63" i="130" a="1"/>
  <c r="X69" i="130" a="1"/>
  <c r="X61" i="130" a="1"/>
  <c r="X73" i="130" a="1"/>
  <c r="X64" i="130" a="1"/>
  <c r="X75" i="130" a="1"/>
  <c r="X59" i="130" a="1"/>
  <c r="S81" i="130" a="1"/>
  <c r="S62" i="130" a="1"/>
  <c r="S58" i="130" a="1"/>
  <c r="S55" i="130" a="1"/>
  <c r="S77" i="130" a="1"/>
  <c r="S73" i="130" a="1"/>
  <c r="S61" i="130" a="1"/>
  <c r="S72" i="130" a="1"/>
  <c r="S64" i="130" a="1"/>
  <c r="S69" i="130" a="1"/>
  <c r="S79" i="130" a="1"/>
  <c r="S71" i="130" a="1"/>
  <c r="S83" i="130" a="1"/>
  <c r="S75" i="130" a="1"/>
  <c r="S74" i="130" a="1"/>
  <c r="S53" i="130" a="1"/>
  <c r="S59" i="130" a="1"/>
  <c r="S60" i="130" a="1"/>
  <c r="S66" i="130" a="1"/>
  <c r="S63" i="130" a="1"/>
  <c r="S57" i="130" a="1"/>
  <c r="S68" i="130" a="1"/>
  <c r="S80" i="130" a="1"/>
  <c r="S56" i="130" a="1"/>
  <c r="S70" i="130" a="1"/>
  <c r="S54" i="130" a="1"/>
  <c r="S76" i="130" a="1"/>
  <c r="S78" i="130" a="1"/>
  <c r="S82" i="130" a="1"/>
  <c r="S67" i="130" a="1"/>
  <c r="S65" i="130" a="1"/>
  <c r="AJ65" i="130" a="1"/>
  <c r="AJ61" i="130" a="1"/>
  <c r="AJ74" i="130" a="1"/>
  <c r="AJ60" i="130" a="1"/>
  <c r="AJ83" i="130" a="1"/>
  <c r="AJ72" i="130" a="1"/>
  <c r="AJ63" i="130" a="1"/>
  <c r="AJ78" i="130" a="1"/>
  <c r="AJ66" i="130" a="1"/>
  <c r="AJ69" i="130" a="1"/>
  <c r="AJ59" i="130" a="1"/>
  <c r="AJ68" i="130" a="1"/>
  <c r="AJ62" i="130" a="1"/>
  <c r="AJ81" i="130" a="1"/>
  <c r="AJ64" i="130" a="1"/>
  <c r="AJ67" i="130" a="1"/>
  <c r="AJ77" i="130" a="1"/>
  <c r="AJ80" i="130" a="1"/>
  <c r="AJ75" i="130" a="1"/>
  <c r="AJ82" i="130" a="1"/>
  <c r="AJ76" i="130" a="1"/>
  <c r="AJ56" i="130" a="1"/>
  <c r="AJ55" i="130" a="1"/>
  <c r="AJ71" i="130" a="1"/>
  <c r="AJ57" i="130" a="1"/>
  <c r="AJ79" i="130" a="1"/>
  <c r="AJ70" i="130" a="1"/>
  <c r="AJ58" i="130" a="1"/>
  <c r="AJ54" i="130" a="1"/>
  <c r="AJ53" i="130" a="1"/>
  <c r="AJ73" i="130" a="1"/>
  <c r="AA54" i="130" a="1"/>
  <c r="AA60" i="130" a="1"/>
  <c r="AA69" i="130" a="1"/>
  <c r="AA53" i="130" a="1"/>
  <c r="AA74" i="130" a="1"/>
  <c r="AA67" i="130" a="1"/>
  <c r="AA77" i="130" a="1"/>
  <c r="AA81" i="130" a="1"/>
  <c r="AA82" i="130" a="1"/>
  <c r="AA83" i="130" a="1"/>
  <c r="AA55" i="130" a="1"/>
  <c r="AA70" i="130" a="1"/>
  <c r="AA79" i="130" a="1"/>
  <c r="AA65" i="130" a="1"/>
  <c r="AA73" i="130" a="1"/>
  <c r="AA71" i="130" a="1"/>
  <c r="AA56" i="130" a="1"/>
  <c r="AA75" i="130" a="1"/>
  <c r="AA57" i="130" a="1"/>
  <c r="AA61" i="130" a="1"/>
  <c r="AA58" i="130" a="1"/>
  <c r="AA80" i="130" a="1"/>
  <c r="AA76" i="130" a="1"/>
  <c r="AA72" i="130" a="1"/>
  <c r="AA68" i="130" a="1"/>
  <c r="AA62" i="130" a="1"/>
  <c r="AA63" i="130" a="1"/>
  <c r="AA78" i="130" a="1"/>
  <c r="AA64" i="130" a="1"/>
  <c r="AA59" i="130" a="1"/>
  <c r="AA66" i="130" a="1"/>
  <c r="AI66" i="130" a="1"/>
  <c r="AI58" i="130" a="1"/>
  <c r="AI61" i="130" a="1"/>
  <c r="AI69" i="130" a="1"/>
  <c r="AI75" i="130" a="1"/>
  <c r="AI56" i="130" a="1"/>
  <c r="AI62" i="130" a="1"/>
  <c r="AI68" i="130" a="1"/>
  <c r="AI65" i="130" a="1"/>
  <c r="AI76" i="130" a="1"/>
  <c r="AI57" i="130" a="1"/>
  <c r="AI53" i="130" a="1"/>
  <c r="AI63" i="130" a="1"/>
  <c r="AI82" i="130" a="1"/>
  <c r="AI73" i="130" a="1"/>
  <c r="AI70" i="130" a="1"/>
  <c r="AI72" i="130" a="1"/>
  <c r="AI81" i="130" a="1"/>
  <c r="AI54" i="130" a="1"/>
  <c r="AI80" i="130" a="1"/>
  <c r="AO65" i="130" a="1"/>
  <c r="AO76" i="130" a="1"/>
  <c r="AO83" i="130" a="1"/>
  <c r="AO63" i="130" a="1"/>
  <c r="AO58" i="130" a="1"/>
  <c r="AO64" i="130" a="1"/>
  <c r="R57" i="130" a="1"/>
  <c r="R68" i="130" a="1"/>
  <c r="R77" i="130" a="1"/>
  <c r="R73" i="130" a="1"/>
  <c r="R65" i="130" a="1"/>
  <c r="R59" i="130" a="1"/>
  <c r="V69" i="130" a="1"/>
  <c r="V71" i="130" a="1"/>
  <c r="V82" i="130" a="1"/>
  <c r="V63" i="130" a="1"/>
  <c r="V73" i="130" a="1"/>
  <c r="V56" i="130" a="1"/>
  <c r="AM64" i="130" a="1"/>
  <c r="AM59" i="130" a="1"/>
  <c r="AM61" i="130" a="1"/>
  <c r="AM56" i="130" a="1"/>
  <c r="AM54" i="130" a="1"/>
  <c r="AM65" i="130" a="1"/>
  <c r="AN71" i="130" a="1"/>
  <c r="AN54" i="130" a="1"/>
  <c r="P82" i="130" a="1"/>
  <c r="P72" i="130" a="1"/>
  <c r="P68" i="130" a="1"/>
  <c r="P55" i="130" a="1"/>
  <c r="P54" i="130" a="1"/>
  <c r="P53" i="130" a="1"/>
  <c r="P63" i="130" a="1"/>
  <c r="P56" i="130" a="1"/>
  <c r="P65" i="130" a="1"/>
  <c r="P80" i="130" a="1"/>
  <c r="P57" i="130" a="1"/>
  <c r="P76" i="130" a="1"/>
  <c r="P79" i="130" a="1"/>
  <c r="P77" i="130" a="1"/>
  <c r="P81" i="130" a="1"/>
  <c r="P70" i="130" a="1"/>
  <c r="P83" i="130" a="1"/>
  <c r="P58" i="130" a="1"/>
  <c r="P67" i="130" a="1"/>
  <c r="P73" i="130" a="1"/>
  <c r="P61" i="130" a="1"/>
  <c r="P75" i="130" a="1"/>
  <c r="P59" i="130" a="1"/>
  <c r="P74" i="130" a="1"/>
  <c r="P62" i="130" a="1"/>
  <c r="P78" i="130" a="1"/>
  <c r="P60" i="130" a="1"/>
  <c r="P71" i="130" a="1"/>
  <c r="P64" i="130" a="1"/>
  <c r="O60" i="130" a="1"/>
  <c r="O54" i="130" a="1"/>
  <c r="O71" i="130" a="1"/>
  <c r="O67" i="130" a="1"/>
  <c r="O73" i="130" a="1"/>
  <c r="O58" i="130" a="1"/>
  <c r="O78" i="130" a="1"/>
  <c r="O68" i="130" a="1"/>
  <c r="O55" i="130" a="1"/>
  <c r="O64" i="130" a="1"/>
  <c r="O53" i="130" a="1"/>
  <c r="O61" i="130" a="1"/>
  <c r="O81" i="130" a="1"/>
  <c r="O75" i="130" a="1"/>
  <c r="O82" i="130" a="1"/>
  <c r="O79" i="130" a="1"/>
  <c r="O56" i="130" a="1"/>
  <c r="O59" i="130" a="1"/>
  <c r="O62" i="130" a="1"/>
  <c r="O70" i="130" a="1"/>
  <c r="O66" i="130" a="1"/>
  <c r="O57" i="130" a="1"/>
  <c r="O72" i="130" a="1"/>
  <c r="O83" i="130" a="1"/>
  <c r="O76" i="130" a="1"/>
  <c r="O74" i="130" a="1"/>
  <c r="O69" i="130" a="1"/>
  <c r="O65" i="130" a="1"/>
  <c r="O63" i="130" a="1"/>
  <c r="O77" i="130" a="1"/>
  <c r="O80" i="130" a="1"/>
  <c r="Q56" i="130" a="1"/>
  <c r="Q65" i="130" a="1"/>
  <c r="Q69" i="130" a="1"/>
  <c r="Q63" i="130" a="1"/>
  <c r="Q75" i="130" a="1"/>
  <c r="Q57" i="130" a="1"/>
  <c r="Q74" i="130" a="1"/>
  <c r="Q81" i="130" a="1"/>
  <c r="Q68" i="130" a="1"/>
  <c r="Q80" i="130" a="1"/>
  <c r="Q73" i="130" a="1"/>
  <c r="Q78" i="130" a="1"/>
  <c r="Q62" i="130" a="1"/>
  <c r="Q82" i="130" a="1"/>
  <c r="Q66" i="130" a="1"/>
  <c r="Q79" i="130" a="1"/>
  <c r="Q54" i="130" a="1"/>
  <c r="Q83" i="130" a="1"/>
  <c r="Q71" i="130" a="1"/>
  <c r="Q67" i="130" a="1"/>
  <c r="Q53" i="130" a="1"/>
  <c r="Q76" i="130" a="1"/>
  <c r="Q70" i="130" a="1"/>
  <c r="Q61" i="130" a="1"/>
  <c r="Q58" i="130" a="1"/>
  <c r="Q55" i="130" a="1"/>
  <c r="Q64" i="130" a="1"/>
  <c r="Q72" i="130" a="1"/>
  <c r="Q77" i="130" a="1"/>
  <c r="Q60" i="130" a="1"/>
  <c r="Q59" i="130" a="1"/>
  <c r="AG63" i="130" a="1"/>
  <c r="AG59" i="130" a="1"/>
  <c r="AG56" i="130" a="1"/>
  <c r="AG60" i="130" a="1"/>
  <c r="AG75" i="130" a="1"/>
  <c r="AG74" i="130" a="1"/>
  <c r="AG82" i="130" a="1"/>
  <c r="AG80" i="130" a="1"/>
  <c r="AG81" i="130" a="1"/>
  <c r="AG79" i="130" a="1"/>
  <c r="AG58" i="130" a="1"/>
  <c r="AG66" i="130" a="1"/>
  <c r="AG73" i="130" a="1"/>
  <c r="AG54" i="130" a="1"/>
  <c r="AG53" i="130" a="1"/>
  <c r="AG65" i="130" a="1"/>
  <c r="AG64" i="130" a="1"/>
  <c r="AG78" i="130" a="1"/>
  <c r="AG62" i="130" a="1"/>
  <c r="AG83" i="130" a="1"/>
  <c r="AG61" i="130" a="1"/>
  <c r="AG72" i="130" a="1"/>
  <c r="AG55" i="130" a="1"/>
  <c r="AG57" i="130" a="1"/>
  <c r="AG70" i="130" a="1"/>
  <c r="AG68" i="130" a="1"/>
  <c r="AG71" i="130" a="1"/>
  <c r="AG69" i="130" a="1"/>
  <c r="AG67" i="130" a="1"/>
  <c r="AG77" i="130" a="1"/>
  <c r="AG76" i="130" a="1"/>
  <c r="I63" i="130" a="1"/>
  <c r="I72" i="130" a="1"/>
  <c r="I83" i="130" a="1"/>
  <c r="I82" i="130" a="1"/>
  <c r="I62" i="130" a="1"/>
  <c r="I64" i="130" a="1"/>
  <c r="I69" i="130" a="1"/>
  <c r="I61" i="130" a="1"/>
  <c r="I56" i="130" a="1"/>
  <c r="I54" i="130" a="1"/>
  <c r="I60" i="130" a="1"/>
  <c r="I65" i="130" a="1"/>
  <c r="I76" i="130" a="1"/>
  <c r="I70" i="130" a="1"/>
  <c r="I55" i="130" a="1"/>
  <c r="I71" i="130" a="1"/>
  <c r="I75" i="130" a="1"/>
  <c r="I73" i="130" a="1"/>
  <c r="I80" i="130" a="1"/>
  <c r="I53" i="130" a="1"/>
  <c r="I81" i="130" a="1"/>
  <c r="I67" i="130" a="1"/>
  <c r="I74" i="130" a="1"/>
  <c r="I57" i="130" a="1"/>
  <c r="I59" i="130" a="1"/>
  <c r="I68" i="130" a="1"/>
  <c r="I66" i="130" a="1"/>
  <c r="I77" i="130" a="1"/>
  <c r="I58" i="130" a="1"/>
  <c r="I79" i="130" a="1"/>
  <c r="I78" i="130" a="1"/>
  <c r="G71" i="130" a="1"/>
  <c r="G57" i="130" a="1"/>
  <c r="G83" i="130" a="1"/>
  <c r="G74" i="130" a="1"/>
  <c r="G81" i="130" a="1"/>
  <c r="G55" i="130" a="1"/>
  <c r="G75" i="130" a="1"/>
  <c r="G69" i="130" a="1"/>
  <c r="G76" i="130" a="1"/>
  <c r="G67" i="130" a="1"/>
  <c r="G73" i="130" a="1"/>
  <c r="G79" i="130" a="1"/>
  <c r="G60" i="130" a="1"/>
  <c r="G64" i="130" a="1"/>
  <c r="G58" i="130" a="1"/>
  <c r="G72" i="130" a="1"/>
  <c r="G70" i="130" a="1"/>
  <c r="G82" i="130" a="1"/>
  <c r="G80" i="130" a="1"/>
  <c r="G77" i="130" a="1"/>
  <c r="G65" i="130" a="1"/>
  <c r="G54" i="130" a="1"/>
  <c r="G53" i="130" a="1"/>
  <c r="G78" i="130" a="1"/>
  <c r="G62" i="130" a="1"/>
  <c r="G68" i="130" a="1"/>
  <c r="G56" i="130" a="1"/>
  <c r="G61" i="130" a="1"/>
  <c r="G63" i="130" a="1"/>
  <c r="G59" i="130" a="1"/>
  <c r="G66" i="130" a="1"/>
  <c r="C53" i="130" a="1"/>
  <c r="C82" i="130" a="1"/>
  <c r="C77" i="130" a="1"/>
  <c r="C68" i="130" a="1"/>
  <c r="C59" i="130" a="1"/>
  <c r="C79" i="130" a="1"/>
  <c r="C66" i="130" a="1"/>
  <c r="C56" i="130" a="1"/>
  <c r="C64" i="130" a="1"/>
  <c r="C81" i="130" a="1"/>
  <c r="C54" i="130" a="1"/>
  <c r="C74" i="130" a="1"/>
  <c r="C73" i="130" a="1"/>
  <c r="C75" i="130" a="1"/>
  <c r="C72" i="130" a="1"/>
  <c r="C80" i="130" a="1"/>
  <c r="C67" i="130" a="1"/>
  <c r="C65" i="130" a="1"/>
  <c r="C83" i="130" a="1"/>
  <c r="C62" i="130" a="1"/>
  <c r="C61" i="130" a="1"/>
  <c r="C69" i="130" a="1"/>
  <c r="C57" i="130" a="1"/>
  <c r="C71" i="130" a="1"/>
  <c r="C78" i="130" a="1"/>
  <c r="C60" i="130" a="1"/>
  <c r="C63" i="130" a="1"/>
  <c r="C76" i="130" a="1"/>
  <c r="C55" i="130" a="1"/>
  <c r="C58" i="130" a="1"/>
  <c r="C70" i="130" a="1"/>
  <c r="E74" i="130" a="1"/>
  <c r="E53" i="130" a="1"/>
  <c r="E60" i="130" a="1"/>
  <c r="E70" i="130" a="1"/>
  <c r="E78" i="130" a="1"/>
  <c r="E83" i="130" a="1"/>
  <c r="E69" i="130" a="1"/>
  <c r="E79" i="130" a="1"/>
  <c r="E64" i="130" a="1"/>
  <c r="E62" i="130" a="1"/>
  <c r="E55" i="130" a="1"/>
  <c r="E56" i="130" a="1"/>
  <c r="E72" i="130" a="1"/>
  <c r="E61" i="130" a="1"/>
  <c r="E57" i="130" a="1"/>
  <c r="E66" i="130" a="1"/>
  <c r="E58" i="130" a="1"/>
  <c r="E76" i="130" a="1"/>
  <c r="E73" i="130" a="1"/>
  <c r="E63" i="130" a="1"/>
  <c r="E67" i="130" a="1"/>
  <c r="E65" i="130" a="1"/>
  <c r="E68" i="130" a="1"/>
  <c r="E59" i="130" a="1"/>
  <c r="E77" i="130" a="1"/>
  <c r="E71" i="130" a="1"/>
  <c r="E80" i="130" a="1"/>
  <c r="E81" i="130" a="1"/>
  <c r="E82" i="130" a="1"/>
  <c r="E75" i="130" a="1"/>
  <c r="E54" i="130" a="1"/>
  <c r="Y63" i="130" a="1"/>
  <c r="Y56" i="130" a="1"/>
  <c r="Y67" i="130" a="1"/>
  <c r="Y64" i="130" a="1"/>
  <c r="Y77" i="130" a="1"/>
  <c r="Y73" i="130" a="1"/>
  <c r="Y78" i="130" a="1"/>
  <c r="Y68" i="130" a="1"/>
  <c r="Y62" i="130" a="1"/>
  <c r="Y71" i="130" a="1"/>
  <c r="Y61" i="130" a="1"/>
  <c r="Y83" i="130" a="1"/>
  <c r="Y76" i="130" a="1"/>
  <c r="Y72" i="130" a="1"/>
  <c r="Y74" i="130" a="1"/>
  <c r="Y54" i="130" a="1"/>
  <c r="Y69" i="130" a="1"/>
  <c r="Y55" i="130" a="1"/>
  <c r="Y59" i="130" a="1"/>
  <c r="Y80" i="130" a="1"/>
  <c r="Y60" i="130" a="1"/>
  <c r="Y79" i="130" a="1"/>
  <c r="Y57" i="130" a="1"/>
  <c r="Y82" i="130" a="1"/>
  <c r="Y58" i="130" a="1"/>
  <c r="Y66" i="130" a="1"/>
  <c r="Y70" i="130" a="1"/>
  <c r="Y65" i="130" a="1"/>
  <c r="Y53" i="130" a="1"/>
  <c r="Y75" i="130" a="1"/>
  <c r="Y81" i="130" a="1"/>
  <c r="AL56" i="130" a="1"/>
  <c r="AL53" i="130" a="1"/>
  <c r="AL82" i="130" a="1"/>
  <c r="AL83" i="130" a="1"/>
  <c r="AL59" i="130" a="1"/>
  <c r="AL68" i="130" a="1"/>
  <c r="AL62" i="130" a="1"/>
  <c r="AL74" i="130" a="1"/>
  <c r="AL77" i="130" a="1"/>
  <c r="AL73" i="130" a="1"/>
  <c r="AL55" i="130" a="1"/>
  <c r="AL61" i="130" a="1"/>
  <c r="AL67" i="130" a="1"/>
  <c r="AL60" i="130" a="1"/>
  <c r="AL79" i="130" a="1"/>
  <c r="AL70" i="130" a="1"/>
  <c r="AL57" i="130" a="1"/>
  <c r="AL64" i="130" a="1"/>
  <c r="AL78" i="130" a="1"/>
  <c r="AL65" i="130" a="1"/>
  <c r="AL75" i="130" a="1"/>
  <c r="AL76" i="130" a="1"/>
  <c r="AL80" i="130" a="1"/>
  <c r="AL58" i="130" a="1"/>
  <c r="AL71" i="130" a="1"/>
  <c r="AL69" i="130" a="1"/>
  <c r="AL63" i="130" a="1"/>
  <c r="AL66" i="130" a="1"/>
  <c r="AL72" i="130" a="1"/>
  <c r="AL54" i="130" a="1"/>
  <c r="AL81" i="130" a="1"/>
  <c r="AN81" i="130" a="1"/>
  <c r="AN59" i="130" a="1"/>
  <c r="AN60" i="130" a="1"/>
  <c r="AN57" i="130" a="1"/>
  <c r="AN62" i="130" a="1"/>
  <c r="AN65" i="130" a="1"/>
  <c r="AN76" i="130" a="1"/>
  <c r="AN83" i="130" a="1"/>
  <c r="AN77" i="130" a="1"/>
  <c r="AN80" i="130" a="1"/>
  <c r="AN69" i="130" a="1"/>
  <c r="AN72" i="130" a="1"/>
  <c r="AN56" i="130" a="1"/>
  <c r="AN67" i="130" a="1"/>
  <c r="AN63" i="130" a="1"/>
  <c r="AN73" i="130" a="1"/>
  <c r="AN53" i="130" a="1"/>
  <c r="AN66" i="130" a="1"/>
  <c r="AN58" i="130" a="1"/>
  <c r="AN74" i="130" a="1"/>
  <c r="AN79" i="130" a="1"/>
  <c r="AN61" i="130" a="1"/>
  <c r="AN82" i="130" a="1"/>
  <c r="AN75" i="130" a="1"/>
  <c r="BE40" i="1"/>
  <c r="AQ68" i="1"/>
  <c r="AQ82" i="1"/>
  <c r="AH12" i="1"/>
  <c r="AH14" i="1"/>
  <c r="AQ123" i="1"/>
  <c r="AI123" i="1"/>
  <c r="AK82" i="1"/>
  <c r="BB50" i="1"/>
  <c r="AL68" i="1"/>
  <c r="AL82" i="1"/>
  <c r="AI117" i="1"/>
  <c r="AI112" i="1"/>
  <c r="AI111" i="1"/>
  <c r="AI125" i="1"/>
  <c r="AI122" i="1"/>
  <c r="AI118" i="1"/>
  <c r="AI127" i="1"/>
  <c r="AI115" i="1"/>
  <c r="BE123" i="1"/>
  <c r="BE122" i="1"/>
  <c r="BE89" i="1"/>
  <c r="BE125" i="1"/>
  <c r="BE115" i="1"/>
  <c r="BE127" i="1"/>
  <c r="BE111" i="1"/>
  <c r="BE117" i="1"/>
  <c r="BE118" i="1"/>
  <c r="AZ115" i="1"/>
  <c r="AZ122" i="1"/>
  <c r="AZ111" i="1"/>
  <c r="AZ118" i="1"/>
  <c r="AZ125" i="1"/>
  <c r="AZ117" i="1"/>
  <c r="AZ127" i="1"/>
  <c r="AZ123" i="1"/>
  <c r="AZ112" i="1"/>
  <c r="AZ113" i="1"/>
  <c r="AZ126" i="1"/>
  <c r="AZ129" i="1"/>
  <c r="AZ132" i="1"/>
  <c r="AK115" i="1"/>
  <c r="AK122" i="1"/>
  <c r="AK123" i="1"/>
  <c r="AK125" i="1"/>
  <c r="AK118" i="1"/>
  <c r="AK127" i="1"/>
  <c r="AK111" i="1"/>
  <c r="AK117" i="1"/>
  <c r="BH115" i="1"/>
  <c r="BH111" i="1"/>
  <c r="BH117" i="1"/>
  <c r="BH127" i="1"/>
  <c r="BH122" i="1"/>
  <c r="BH123" i="1"/>
  <c r="BH125" i="1"/>
  <c r="BH118" i="1"/>
  <c r="BV117" i="1"/>
  <c r="BV122" i="1"/>
  <c r="BV123" i="1"/>
  <c r="BV127" i="1"/>
  <c r="BV125" i="1"/>
  <c r="BV111" i="1"/>
  <c r="BV115" i="1"/>
  <c r="BV118" i="1"/>
  <c r="BZ118" i="1"/>
  <c r="CA118" i="1"/>
  <c r="BB127" i="1"/>
  <c r="BB123" i="1"/>
  <c r="BB84" i="1"/>
  <c r="BB115" i="1"/>
  <c r="BB117" i="1"/>
  <c r="BB111" i="1"/>
  <c r="BB125" i="1"/>
  <c r="BB118" i="1"/>
  <c r="BB122" i="1"/>
  <c r="AO115" i="1"/>
  <c r="AO123" i="1"/>
  <c r="AO118" i="1"/>
  <c r="AO125" i="1"/>
  <c r="AO127" i="1"/>
  <c r="AO122" i="1"/>
  <c r="AO111" i="1"/>
  <c r="AO117" i="1"/>
  <c r="BU127" i="1"/>
  <c r="BU115" i="1"/>
  <c r="BU122" i="1"/>
  <c r="BU117" i="1"/>
  <c r="BU125" i="1"/>
  <c r="BU123" i="1"/>
  <c r="BY31" i="1"/>
  <c r="BU111" i="1"/>
  <c r="BU118" i="1"/>
  <c r="AQ111" i="1"/>
  <c r="AQ127" i="1"/>
  <c r="AQ122" i="1"/>
  <c r="AQ115" i="1"/>
  <c r="AQ125" i="1"/>
  <c r="AQ117" i="1"/>
  <c r="AQ118" i="1"/>
  <c r="AQ119" i="1"/>
  <c r="AY125" i="1"/>
  <c r="AY123" i="1"/>
  <c r="AY118" i="1"/>
  <c r="AY122" i="1"/>
  <c r="AY111" i="1"/>
  <c r="AY127" i="1"/>
  <c r="AY117" i="1"/>
  <c r="AY115" i="1"/>
  <c r="AL50" i="1"/>
  <c r="AQ50" i="1"/>
  <c r="AQ51" i="1"/>
  <c r="BM50" i="1"/>
  <c r="AI89" i="1"/>
  <c r="BE84" i="1"/>
  <c r="AK129" i="1"/>
  <c r="BB89" i="1"/>
  <c r="AO129" i="1"/>
  <c r="AO132" i="1"/>
  <c r="AI34" i="1"/>
  <c r="AK89" i="1"/>
  <c r="BB113" i="1"/>
  <c r="AO30" i="1"/>
  <c r="BU129" i="1"/>
  <c r="BU132" i="1"/>
  <c r="AQ113" i="1"/>
  <c r="AQ34" i="1"/>
  <c r="AY119" i="1"/>
  <c r="AK85" i="1"/>
  <c r="AK84" i="1"/>
  <c r="AK34" i="1"/>
  <c r="BU89" i="1"/>
  <c r="AO50" i="1"/>
  <c r="AI113" i="1"/>
  <c r="AY89" i="1"/>
  <c r="BB119" i="1"/>
  <c r="AZ119" i="1"/>
  <c r="AZ32" i="1"/>
  <c r="AX50" i="1"/>
  <c r="BK50" i="1"/>
  <c r="BH85" i="1"/>
  <c r="AQ129" i="1"/>
  <c r="AO31" i="1"/>
  <c r="AK132" i="1"/>
  <c r="AK119" i="1"/>
  <c r="AZ34" i="1"/>
  <c r="AO34" i="1"/>
  <c r="BV119" i="1"/>
  <c r="AY129" i="1"/>
  <c r="AY132" i="1"/>
  <c r="BE129" i="1"/>
  <c r="BE132" i="1"/>
  <c r="BV85" i="1"/>
  <c r="AO85" i="1"/>
  <c r="BH84" i="1"/>
  <c r="AK113" i="1"/>
  <c r="AO119" i="1"/>
  <c r="AY113" i="1"/>
  <c r="BV129" i="1"/>
  <c r="BV132" i="1"/>
  <c r="BH89" i="1"/>
  <c r="BE113" i="1"/>
  <c r="BH119" i="1"/>
  <c r="BU84" i="1"/>
  <c r="AZ89" i="1"/>
  <c r="AO89" i="1"/>
  <c r="BU85" i="1"/>
  <c r="BU34" i="1"/>
  <c r="BV28" i="1"/>
  <c r="AI119" i="1"/>
  <c r="BV84" i="1"/>
  <c r="BU28" i="1"/>
  <c r="BB34" i="1"/>
  <c r="AZ84" i="1"/>
  <c r="BR50" i="1"/>
  <c r="AQ54" i="1"/>
  <c r="BE119" i="1"/>
  <c r="BE32" i="1"/>
  <c r="AI129" i="1"/>
  <c r="BB73" i="1"/>
  <c r="AQ9" i="1"/>
  <c r="AQ73" i="1"/>
  <c r="AQ74" i="1"/>
  <c r="AY32" i="1"/>
  <c r="AQ106" i="1"/>
  <c r="AQ105" i="1"/>
  <c r="AQ107" i="1"/>
  <c r="AI85" i="1" l="1"/>
  <c r="AZ73" i="1"/>
  <c r="AZ74" i="1" s="1"/>
  <c r="AZ106" i="1" s="1"/>
  <c r="AO32" i="1"/>
  <c r="AQ85" i="1"/>
  <c r="CB118" i="1"/>
  <c r="CC118" i="1" s="1"/>
  <c r="CD118" i="1" s="1"/>
  <c r="CE118" i="1" s="1"/>
  <c r="CF118" i="1" s="1"/>
  <c r="CG118" i="1" s="1"/>
  <c r="AP68" i="1"/>
  <c r="AZ50" i="1"/>
  <c r="BJ40" i="1"/>
  <c r="BU42" i="1"/>
  <c r="BO40" i="1"/>
  <c r="AP82" i="1"/>
  <c r="BN40" i="1"/>
  <c r="BQ40" i="1"/>
  <c r="BE42" i="1"/>
  <c r="BT40" i="1"/>
  <c r="BD40" i="1"/>
  <c r="BF50" i="1"/>
  <c r="AJ42" i="1"/>
  <c r="BV40" i="1"/>
  <c r="AI42" i="1"/>
  <c r="AJ50" i="1"/>
  <c r="AX40" i="1"/>
  <c r="AK40" i="1"/>
  <c r="AN68" i="1"/>
  <c r="AN82" i="1" s="1"/>
  <c r="AM68" i="1"/>
  <c r="AM82" i="1"/>
  <c r="AX82" i="1"/>
  <c r="BP42" i="1"/>
  <c r="BL42" i="1"/>
  <c r="BO82" i="1"/>
  <c r="AK50" i="1"/>
  <c r="AS40" i="1"/>
  <c r="AR68" i="1"/>
  <c r="AR82" i="1" s="1"/>
  <c r="AZ40" i="1"/>
  <c r="AS68" i="1"/>
  <c r="AS82" i="1" s="1"/>
  <c r="AM42" i="1"/>
  <c r="AO42" i="1"/>
  <c r="BR42" i="1"/>
  <c r="BA40" i="1"/>
  <c r="BB42" i="1"/>
  <c r="BO50" i="1"/>
  <c r="AH42" i="1"/>
  <c r="AV50" i="1"/>
  <c r="AW50" i="1"/>
  <c r="BK40" i="1"/>
  <c r="BM42" i="1"/>
  <c r="BA50" i="1"/>
  <c r="BS42" i="1"/>
  <c r="BH50" i="1"/>
  <c r="BS50" i="1"/>
  <c r="AU50" i="1"/>
  <c r="AU40" i="1"/>
  <c r="BT50" i="1"/>
  <c r="BI50" i="1"/>
  <c r="AI50" i="1"/>
  <c r="BL50" i="1"/>
  <c r="BD50" i="1"/>
  <c r="AM50" i="1"/>
  <c r="AW51" i="1"/>
  <c r="AT42" i="1"/>
  <c r="AL42" i="1"/>
  <c r="AR51" i="1"/>
  <c r="AY51" i="1"/>
  <c r="AH17" i="1"/>
  <c r="BJ123" i="1"/>
  <c r="BJ85" i="1"/>
  <c r="BD123" i="1"/>
  <c r="BD85" i="1"/>
  <c r="BF42" i="1"/>
  <c r="AQ84" i="1"/>
  <c r="BQ112" i="1"/>
  <c r="AV123" i="1"/>
  <c r="AV84" i="1"/>
  <c r="BU50" i="1"/>
  <c r="AN123" i="1"/>
  <c r="BS112" i="1"/>
  <c r="BS111" i="1"/>
  <c r="BS113" i="1" s="1"/>
  <c r="BR123" i="1"/>
  <c r="BR85" i="1"/>
  <c r="BP50" i="1"/>
  <c r="BL123" i="1"/>
  <c r="BL84" i="1"/>
  <c r="BP82" i="1"/>
  <c r="AN50" i="1"/>
  <c r="AT82" i="1"/>
  <c r="BC82" i="1"/>
  <c r="AH68" i="1"/>
  <c r="BK82" i="1"/>
  <c r="AT50" i="1"/>
  <c r="AP40" i="1"/>
  <c r="BC42" i="1"/>
  <c r="AI82" i="1"/>
  <c r="AU82" i="1"/>
  <c r="BS122" i="1"/>
  <c r="BS127" i="1"/>
  <c r="BS117" i="1"/>
  <c r="BS125" i="1"/>
  <c r="BS118" i="1"/>
  <c r="BS123" i="1"/>
  <c r="BS126" i="1"/>
  <c r="BS129" i="1" s="1"/>
  <c r="BS115" i="1"/>
  <c r="BQ111" i="1"/>
  <c r="BQ113" i="1" s="1"/>
  <c r="BQ118" i="1"/>
  <c r="BQ123" i="1"/>
  <c r="BQ117" i="1"/>
  <c r="BQ127" i="1"/>
  <c r="BQ115" i="1"/>
  <c r="BQ125" i="1"/>
  <c r="BQ122" i="1"/>
  <c r="BD117" i="1"/>
  <c r="BD115" i="1"/>
  <c r="BD111" i="1"/>
  <c r="BD122" i="1"/>
  <c r="BD125" i="1"/>
  <c r="BD127" i="1"/>
  <c r="BD112" i="1"/>
  <c r="BD118" i="1"/>
  <c r="AR115" i="1"/>
  <c r="AR117" i="1"/>
  <c r="AS115" i="1"/>
  <c r="AS117" i="1"/>
  <c r="AS118" i="1"/>
  <c r="BG115" i="1"/>
  <c r="BG127" i="1"/>
  <c r="BG111" i="1"/>
  <c r="BG112" i="1"/>
  <c r="BG123" i="1"/>
  <c r="BG125" i="1"/>
  <c r="BK118" i="1"/>
  <c r="BK111" i="1"/>
  <c r="BK117" i="1"/>
  <c r="BK127" i="1"/>
  <c r="AM125" i="1"/>
  <c r="AM117" i="1"/>
  <c r="AM112" i="1"/>
  <c r="AM126" i="1"/>
  <c r="BH42" i="1"/>
  <c r="BN50" i="1"/>
  <c r="BC50" i="1"/>
  <c r="BB85" i="1"/>
  <c r="BC112" i="1"/>
  <c r="AL112" i="1"/>
  <c r="AW112" i="1"/>
  <c r="BO126" i="1"/>
  <c r="AL126" i="1"/>
  <c r="AK73" i="1"/>
  <c r="AK74" i="1" s="1"/>
  <c r="AW126" i="1"/>
  <c r="BC43" i="1"/>
  <c r="AY73" i="1"/>
  <c r="AY74" i="1" s="1"/>
  <c r="AY105" i="1"/>
  <c r="BP126" i="1"/>
  <c r="BI126" i="1"/>
  <c r="AX126" i="1"/>
  <c r="BL112" i="1"/>
  <c r="AP126" i="1"/>
  <c r="AR126" i="1"/>
  <c r="AT126" i="1"/>
  <c r="AI32" i="1"/>
  <c r="BC126" i="1"/>
  <c r="BO112" i="1"/>
  <c r="AN40" i="1"/>
  <c r="AJ82" i="1"/>
  <c r="AJ111" i="1"/>
  <c r="AJ122" i="1"/>
  <c r="AJ118" i="1"/>
  <c r="AJ125" i="1"/>
  <c r="AJ117" i="1"/>
  <c r="AJ119" i="1" s="1"/>
  <c r="AJ115" i="1"/>
  <c r="AJ127" i="1"/>
  <c r="AJ123" i="1"/>
  <c r="AH117" i="1"/>
  <c r="AH118" i="1"/>
  <c r="AH115" i="1"/>
  <c r="AH123" i="1"/>
  <c r="AH34" i="1" s="1"/>
  <c r="AH125" i="1"/>
  <c r="AH111" i="1"/>
  <c r="AH127" i="1"/>
  <c r="AH122" i="1"/>
  <c r="AL118" i="1"/>
  <c r="AL122" i="1"/>
  <c r="AL111" i="1"/>
  <c r="AL117" i="1"/>
  <c r="AL119" i="1" s="1"/>
  <c r="AL127" i="1"/>
  <c r="AL125" i="1"/>
  <c r="AL123" i="1"/>
  <c r="AL115" i="1"/>
  <c r="AN117" i="1"/>
  <c r="AN122" i="1"/>
  <c r="AN115" i="1"/>
  <c r="AN125" i="1"/>
  <c r="AN111" i="1"/>
  <c r="AN127" i="1"/>
  <c r="AN118" i="1"/>
  <c r="BL122" i="1"/>
  <c r="BL115" i="1"/>
  <c r="BL127" i="1"/>
  <c r="BL111" i="1"/>
  <c r="BL125" i="1"/>
  <c r="BL126" i="1"/>
  <c r="BL129" i="1" s="1"/>
  <c r="BL117" i="1"/>
  <c r="BL118" i="1"/>
  <c r="AV127" i="1"/>
  <c r="AV117" i="1"/>
  <c r="AV111" i="1"/>
  <c r="AV125" i="1"/>
  <c r="AV122" i="1"/>
  <c r="AV115" i="1"/>
  <c r="AV118" i="1"/>
  <c r="AV112" i="1"/>
  <c r="AT118" i="1"/>
  <c r="AT123" i="1"/>
  <c r="AT115" i="1"/>
  <c r="AT127" i="1"/>
  <c r="AT122" i="1"/>
  <c r="AT117" i="1"/>
  <c r="AT125" i="1"/>
  <c r="AT111" i="1"/>
  <c r="AI84" i="1"/>
  <c r="BE85" i="1"/>
  <c r="AU127" i="1"/>
  <c r="AU125" i="1"/>
  <c r="AU117" i="1"/>
  <c r="AU115" i="1"/>
  <c r="AU118" i="1"/>
  <c r="AU111" i="1"/>
  <c r="AU122" i="1"/>
  <c r="AU123" i="1"/>
  <c r="BR111" i="1"/>
  <c r="BR125" i="1"/>
  <c r="BN123" i="1"/>
  <c r="BR122" i="1"/>
  <c r="BR117" i="1"/>
  <c r="BR115" i="1"/>
  <c r="BR127" i="1"/>
  <c r="BR118" i="1"/>
  <c r="BA117" i="1"/>
  <c r="BA125" i="1"/>
  <c r="BA122" i="1"/>
  <c r="BA118" i="1"/>
  <c r="BA112" i="1"/>
  <c r="BA127" i="1"/>
  <c r="BA111" i="1"/>
  <c r="BA115" i="1"/>
  <c r="BA123" i="1"/>
  <c r="BA85" i="1"/>
  <c r="AW117" i="1"/>
  <c r="AW111" i="1"/>
  <c r="AW127" i="1"/>
  <c r="AW125" i="1"/>
  <c r="AW123" i="1"/>
  <c r="AW122" i="1"/>
  <c r="AW115" i="1"/>
  <c r="AW118" i="1"/>
  <c r="BT127" i="1"/>
  <c r="BT122" i="1"/>
  <c r="BT115" i="1"/>
  <c r="BT117" i="1"/>
  <c r="BT118" i="1"/>
  <c r="BT125" i="1"/>
  <c r="BT111" i="1"/>
  <c r="BT123" i="1"/>
  <c r="BN111" i="1"/>
  <c r="BN127" i="1"/>
  <c r="BN125" i="1"/>
  <c r="BN118" i="1"/>
  <c r="BN115" i="1"/>
  <c r="BN122" i="1"/>
  <c r="BN112" i="1"/>
  <c r="BN117" i="1"/>
  <c r="BF127" i="1"/>
  <c r="BF118" i="1"/>
  <c r="BF122" i="1"/>
  <c r="BF117" i="1"/>
  <c r="BF115" i="1"/>
  <c r="BF125" i="1"/>
  <c r="BF123" i="1"/>
  <c r="BF111" i="1"/>
  <c r="BO125" i="1"/>
  <c r="BO111" i="1"/>
  <c r="BO117" i="1"/>
  <c r="BO115" i="1"/>
  <c r="BO127" i="1"/>
  <c r="BO122" i="1"/>
  <c r="BO123" i="1"/>
  <c r="BO118" i="1"/>
  <c r="AX111" i="1"/>
  <c r="AX122" i="1"/>
  <c r="AX115" i="1"/>
  <c r="AX118" i="1"/>
  <c r="AX123" i="1"/>
  <c r="AX127" i="1"/>
  <c r="AX125" i="1"/>
  <c r="AX117" i="1"/>
  <c r="BC127" i="1"/>
  <c r="BC125" i="1"/>
  <c r="BC123" i="1"/>
  <c r="BC118" i="1"/>
  <c r="BC117" i="1"/>
  <c r="BC115" i="1"/>
  <c r="BC122" i="1"/>
  <c r="BC111" i="1"/>
  <c r="BC113" i="1" s="1"/>
  <c r="BI118" i="1"/>
  <c r="BI117" i="1"/>
  <c r="BI127" i="1"/>
  <c r="BI111" i="1"/>
  <c r="BI125" i="1"/>
  <c r="BI122" i="1"/>
  <c r="BI115" i="1"/>
  <c r="BI123" i="1"/>
  <c r="BJ117" i="1"/>
  <c r="BJ125" i="1"/>
  <c r="BJ118" i="1"/>
  <c r="BJ115" i="1"/>
  <c r="BJ112" i="1"/>
  <c r="BJ111" i="1"/>
  <c r="BJ113" i="1" s="1"/>
  <c r="BJ127" i="1"/>
  <c r="BJ122" i="1"/>
  <c r="BM115" i="1"/>
  <c r="BM122" i="1"/>
  <c r="BM117" i="1"/>
  <c r="BM127" i="1"/>
  <c r="BM123" i="1"/>
  <c r="BM125" i="1"/>
  <c r="BM111" i="1"/>
  <c r="BM118" i="1"/>
  <c r="BP115" i="1"/>
  <c r="BP117" i="1"/>
  <c r="BP122" i="1"/>
  <c r="BP123" i="1"/>
  <c r="BP125" i="1"/>
  <c r="BP111" i="1"/>
  <c r="BP118" i="1"/>
  <c r="BP127" i="1"/>
  <c r="AP123" i="1"/>
  <c r="AP85" i="1"/>
  <c r="AP125" i="1"/>
  <c r="AP122" i="1"/>
  <c r="AP111" i="1"/>
  <c r="AP117" i="1"/>
  <c r="AP115" i="1"/>
  <c r="AP118" i="1"/>
  <c r="AP127" i="1"/>
  <c r="AR123" i="1"/>
  <c r="AR125" i="1"/>
  <c r="AR111" i="1"/>
  <c r="AR127" i="1"/>
  <c r="AR122" i="1"/>
  <c r="AR118" i="1"/>
  <c r="AO84" i="1"/>
  <c r="BY30" i="1"/>
  <c r="AS111" i="1"/>
  <c r="AS127" i="1"/>
  <c r="AS123" i="1"/>
  <c r="AS122" i="1"/>
  <c r="AS125" i="1"/>
  <c r="BG122" i="1"/>
  <c r="BG117" i="1"/>
  <c r="BG118" i="1"/>
  <c r="BK123" i="1"/>
  <c r="BK122" i="1"/>
  <c r="BK115" i="1"/>
  <c r="BK125" i="1"/>
  <c r="AM111" i="1"/>
  <c r="AM127" i="1"/>
  <c r="AM118" i="1"/>
  <c r="AM123" i="1"/>
  <c r="AM122" i="1"/>
  <c r="AM115" i="1"/>
  <c r="BG42" i="1"/>
  <c r="AO82" i="1"/>
  <c r="AV40" i="1"/>
  <c r="AJ112" i="1"/>
  <c r="BA126" i="1"/>
  <c r="AR112" i="1"/>
  <c r="BF112" i="1"/>
  <c r="BQ126" i="1"/>
  <c r="BD126" i="1"/>
  <c r="AN126" i="1"/>
  <c r="AN112" i="1"/>
  <c r="AT112" i="1"/>
  <c r="AU112" i="1"/>
  <c r="BR112" i="1"/>
  <c r="BN126" i="1"/>
  <c r="BF126" i="1"/>
  <c r="AX112" i="1"/>
  <c r="BI112" i="1"/>
  <c r="BM126" i="1"/>
  <c r="AP112" i="1"/>
  <c r="AS112" i="1"/>
  <c r="BK112" i="1"/>
  <c r="BQ85" i="1"/>
  <c r="AV85" i="1"/>
  <c r="BR84" i="1"/>
  <c r="AQ132" i="1"/>
  <c r="AJ126" i="1"/>
  <c r="AH126" i="1"/>
  <c r="AK32" i="1"/>
  <c r="AH112" i="1"/>
  <c r="BP85" i="1"/>
  <c r="BK126" i="1"/>
  <c r="BK129" i="1" s="1"/>
  <c r="BJ126" i="1"/>
  <c r="BT112" i="1"/>
  <c r="AQ56" i="1"/>
  <c r="AQ60" i="1" s="1"/>
  <c r="AH18" i="1"/>
  <c r="CH118" i="1"/>
  <c r="CI118" i="1" s="1"/>
  <c r="CJ118" i="1" s="1"/>
  <c r="CK118" i="1" s="1"/>
  <c r="BM112" i="1"/>
  <c r="AU126" i="1"/>
  <c r="BG126" i="1"/>
  <c r="BV113" i="1"/>
  <c r="BR126" i="1"/>
  <c r="BH129" i="1"/>
  <c r="BH132" i="1"/>
  <c r="AY84" i="1"/>
  <c r="BV34" i="1"/>
  <c r="AZ85" i="1"/>
  <c r="BE34" i="1"/>
  <c r="AZ105" i="1"/>
  <c r="AQ32" i="1"/>
  <c r="BB129" i="1"/>
  <c r="AQ89" i="1"/>
  <c r="BU119" i="1"/>
  <c r="BU32" i="1"/>
  <c r="BP112" i="1"/>
  <c r="AV126" i="1"/>
  <c r="AS126" i="1"/>
  <c r="AO113" i="1"/>
  <c r="BT126" i="1"/>
  <c r="AY34" i="1"/>
  <c r="AY85" i="1"/>
  <c r="BH34" i="1"/>
  <c r="BU113" i="1"/>
  <c r="BV89" i="1"/>
  <c r="BW90" i="1" s="1"/>
  <c r="BW88" i="1" s="1"/>
  <c r="AI132" i="1"/>
  <c r="AZ107" i="1"/>
  <c r="AI90" i="1"/>
  <c r="AC118" i="1"/>
  <c r="BQ82" i="1"/>
  <c r="AQ120" i="1"/>
  <c r="AI120" i="1"/>
  <c r="AQ136" i="1"/>
  <c r="AY120" i="1"/>
  <c r="AI73" i="1"/>
  <c r="AI74" i="1" s="1"/>
  <c r="AI9" i="1"/>
  <c r="BH113" i="1"/>
  <c r="BB136" i="1"/>
  <c r="BB9" i="1"/>
  <c r="BB32" i="1"/>
  <c r="BV32" i="1"/>
  <c r="BZ32" i="1" s="1"/>
  <c r="CA32" i="1" s="1"/>
  <c r="BV120" i="1"/>
  <c r="BW5" i="1" s="1"/>
  <c r="BV9" i="1"/>
  <c r="AO9" i="1"/>
  <c r="AK136" i="1"/>
  <c r="BH9" i="1"/>
  <c r="BE120" i="1"/>
  <c r="BE133" i="1"/>
  <c r="AZ9" i="1"/>
  <c r="BH120" i="1"/>
  <c r="BH32" i="1"/>
  <c r="AO120" i="1"/>
  <c r="AK9" i="1"/>
  <c r="AZ120" i="1"/>
  <c r="AZ136" i="1"/>
  <c r="AO136" i="1"/>
  <c r="AY9" i="1"/>
  <c r="AZ4" i="1"/>
  <c r="AY136" i="1"/>
  <c r="AK120" i="1"/>
  <c r="BV90" i="1"/>
  <c r="AZ90" i="1"/>
  <c r="BB74" i="1"/>
  <c r="BB120" i="1"/>
  <c r="AI136" i="1"/>
  <c r="BH136" i="1"/>
  <c r="AY133" i="1"/>
  <c r="BV133" i="1"/>
  <c r="BE136" i="1"/>
  <c r="BE9" i="1"/>
  <c r="BE73" i="1"/>
  <c r="BE74" i="1" s="1"/>
  <c r="BI82" i="1"/>
  <c r="BR82" i="1"/>
  <c r="BI42" i="1"/>
  <c r="AP129" i="1" l="1"/>
  <c r="BM113" i="1"/>
  <c r="BK113" i="1"/>
  <c r="AM129" i="1"/>
  <c r="BP129" i="1"/>
  <c r="AM85" i="1"/>
  <c r="AR129" i="1"/>
  <c r="BR113" i="1"/>
  <c r="AJ113" i="1"/>
  <c r="AJ4" i="1" s="1"/>
  <c r="AH119" i="1"/>
  <c r="AH113" i="1"/>
  <c r="AL113" i="1"/>
  <c r="AL4" i="1" s="1"/>
  <c r="AN113" i="1"/>
  <c r="BL113" i="1"/>
  <c r="AT113" i="1"/>
  <c r="AU113" i="1"/>
  <c r="BA113" i="1"/>
  <c r="AW113" i="1"/>
  <c r="BT113" i="1"/>
  <c r="BF113" i="1"/>
  <c r="BO113" i="1"/>
  <c r="AX113" i="1"/>
  <c r="BI113" i="1"/>
  <c r="BG129" i="1"/>
  <c r="BK85" i="1"/>
  <c r="AB118" i="1"/>
  <c r="AS129" i="1"/>
  <c r="AS85" i="1"/>
  <c r="AS84" i="1"/>
  <c r="AQ31" i="1"/>
  <c r="CB32" i="1"/>
  <c r="CC32" i="1" s="1"/>
  <c r="BJ42" i="1"/>
  <c r="BU51" i="1"/>
  <c r="BY43" i="1"/>
  <c r="BO42" i="1"/>
  <c r="BN42" i="1"/>
  <c r="BQ42" i="1"/>
  <c r="BE51" i="1"/>
  <c r="BI43" i="1"/>
  <c r="BT42" i="1"/>
  <c r="BD42" i="1"/>
  <c r="AN43" i="1"/>
  <c r="AJ51" i="1"/>
  <c r="BV88" i="1"/>
  <c r="BV42" i="1"/>
  <c r="AM43" i="1"/>
  <c r="AI51" i="1"/>
  <c r="AX42" i="1"/>
  <c r="AK42" i="1"/>
  <c r="BP51" i="1"/>
  <c r="BT43" i="1"/>
  <c r="BP43" i="1"/>
  <c r="BL51" i="1"/>
  <c r="AS42" i="1"/>
  <c r="AZ88" i="1"/>
  <c r="AZ42" i="1"/>
  <c r="AQ43" i="1"/>
  <c r="AM51" i="1"/>
  <c r="AO51" i="1"/>
  <c r="AS43" i="1"/>
  <c r="BR51" i="1"/>
  <c r="BV43" i="1"/>
  <c r="BA42" i="1"/>
  <c r="BB51" i="1"/>
  <c r="BF43" i="1"/>
  <c r="AL43" i="1"/>
  <c r="AH51" i="1"/>
  <c r="BK42" i="1"/>
  <c r="BM51" i="1"/>
  <c r="BQ43" i="1"/>
  <c r="BS51" i="1"/>
  <c r="BW43" i="1"/>
  <c r="AU42" i="1"/>
  <c r="AW54" i="1"/>
  <c r="AW56" i="1" s="1"/>
  <c r="AW60" i="1" s="1"/>
  <c r="AT51" i="1"/>
  <c r="AX43" i="1"/>
  <c r="AL51" i="1"/>
  <c r="AR54" i="1"/>
  <c r="AR56" i="1" s="1"/>
  <c r="AR60" i="1" s="1"/>
  <c r="AY54" i="1"/>
  <c r="AY56" i="1" s="1"/>
  <c r="AY60" i="1" s="1"/>
  <c r="BJ84" i="1"/>
  <c r="BJ34" i="1"/>
  <c r="BJ31" i="1"/>
  <c r="BD31" i="1"/>
  <c r="BH31" i="1"/>
  <c r="BD34" i="1"/>
  <c r="BD84" i="1"/>
  <c r="BJ43" i="1"/>
  <c r="BF51" i="1"/>
  <c r="AZ31" i="1"/>
  <c r="AV34" i="1"/>
  <c r="AV31" i="1"/>
  <c r="AN85" i="1"/>
  <c r="AN31" i="1"/>
  <c r="AN34" i="1"/>
  <c r="AN84" i="1"/>
  <c r="BT4" i="1"/>
  <c r="BS73" i="1"/>
  <c r="BS74" i="1" s="1"/>
  <c r="BR34" i="1"/>
  <c r="BV31" i="1"/>
  <c r="BR28" i="1"/>
  <c r="BR31" i="1"/>
  <c r="BL31" i="1"/>
  <c r="BL34" i="1"/>
  <c r="BL85" i="1"/>
  <c r="AP42" i="1"/>
  <c r="BC51" i="1"/>
  <c r="BG43" i="1"/>
  <c r="BS89" i="1"/>
  <c r="BS132" i="1"/>
  <c r="BS119" i="1"/>
  <c r="BS30" i="1"/>
  <c r="BW30" i="1"/>
  <c r="BS31" i="1"/>
  <c r="BS34" i="1"/>
  <c r="BS28" i="1"/>
  <c r="BS84" i="1"/>
  <c r="BS85" i="1"/>
  <c r="BW31" i="1"/>
  <c r="BR4" i="1"/>
  <c r="BQ73" i="1"/>
  <c r="BQ74" i="1" s="1"/>
  <c r="BQ28" i="1"/>
  <c r="BQ34" i="1"/>
  <c r="BQ84" i="1"/>
  <c r="BQ31" i="1"/>
  <c r="BU31" i="1"/>
  <c r="BQ119" i="1"/>
  <c r="BU30" i="1"/>
  <c r="BQ30" i="1"/>
  <c r="BQ89" i="1"/>
  <c r="BQ32" i="1"/>
  <c r="BD119" i="1"/>
  <c r="BD30" i="1"/>
  <c r="BH30" i="1"/>
  <c r="BD89" i="1"/>
  <c r="BE90" i="1" s="1"/>
  <c r="BE88" i="1" s="1"/>
  <c r="BD32" i="1"/>
  <c r="AR119" i="1"/>
  <c r="AR30" i="1"/>
  <c r="AS119" i="1"/>
  <c r="AS30" i="1"/>
  <c r="BG34" i="1"/>
  <c r="BG31" i="1"/>
  <c r="BG85" i="1"/>
  <c r="BG84" i="1"/>
  <c r="BL4" i="1"/>
  <c r="BK73" i="1"/>
  <c r="BK74" i="1" s="1"/>
  <c r="BK30" i="1"/>
  <c r="BK119" i="1"/>
  <c r="AQ30" i="1"/>
  <c r="AM119" i="1"/>
  <c r="AM30" i="1"/>
  <c r="BH51" i="1"/>
  <c r="BL43" i="1"/>
  <c r="AK105" i="1"/>
  <c r="AK107" i="1"/>
  <c r="AK106" i="1"/>
  <c r="AY107" i="1"/>
  <c r="AY106" i="1"/>
  <c r="AN42" i="1"/>
  <c r="AJ73" i="1"/>
  <c r="AJ74" i="1" s="1"/>
  <c r="AK4" i="1"/>
  <c r="AJ89" i="1"/>
  <c r="AJ32" i="1"/>
  <c r="AJ136" i="1"/>
  <c r="AJ9" i="1"/>
  <c r="AJ120" i="1"/>
  <c r="AJ85" i="1"/>
  <c r="AJ34" i="1"/>
  <c r="AJ84" i="1"/>
  <c r="AH9" i="1"/>
  <c r="AH120" i="1"/>
  <c r="AH73" i="1"/>
  <c r="AI4" i="1"/>
  <c r="AH4" i="1"/>
  <c r="AL32" i="1"/>
  <c r="AL89" i="1"/>
  <c r="AL73" i="1"/>
  <c r="AL74" i="1" s="1"/>
  <c r="AL120" i="1"/>
  <c r="AL136" i="1"/>
  <c r="AL9" i="1"/>
  <c r="AL34" i="1"/>
  <c r="AL85" i="1"/>
  <c r="AN119" i="1"/>
  <c r="AN30" i="1"/>
  <c r="AN32" i="1"/>
  <c r="AN89" i="1"/>
  <c r="AO90" i="1" s="1"/>
  <c r="AO88" i="1" s="1"/>
  <c r="AN73" i="1"/>
  <c r="AN74" i="1" s="1"/>
  <c r="AO4" i="1"/>
  <c r="BL89" i="1"/>
  <c r="BL132" i="1"/>
  <c r="BM4" i="1"/>
  <c r="BL73" i="1"/>
  <c r="BL74" i="1" s="1"/>
  <c r="BL30" i="1"/>
  <c r="BL119" i="1"/>
  <c r="AV30" i="1"/>
  <c r="AV119" i="1"/>
  <c r="AZ30" i="1"/>
  <c r="AV32" i="1"/>
  <c r="AV89" i="1"/>
  <c r="AT85" i="1"/>
  <c r="AT31" i="1"/>
  <c r="AT34" i="1"/>
  <c r="AT89" i="1"/>
  <c r="AT30" i="1"/>
  <c r="AT119" i="1"/>
  <c r="AU4" i="1"/>
  <c r="AT73" i="1"/>
  <c r="AT74" i="1" s="1"/>
  <c r="AU119" i="1"/>
  <c r="AU30" i="1"/>
  <c r="AU73" i="1"/>
  <c r="AU74" i="1" s="1"/>
  <c r="AU32" i="1"/>
  <c r="AU89" i="1"/>
  <c r="AV90" i="1" s="1"/>
  <c r="AU34" i="1"/>
  <c r="AU31" i="1"/>
  <c r="AY31" i="1"/>
  <c r="BR73" i="1"/>
  <c r="BR74" i="1" s="1"/>
  <c r="BS4" i="1"/>
  <c r="BN31" i="1"/>
  <c r="BN85" i="1"/>
  <c r="BN28" i="1"/>
  <c r="BN34" i="1"/>
  <c r="BR89" i="1"/>
  <c r="BS90" i="1" s="1"/>
  <c r="BS88" i="1" s="1"/>
  <c r="BR119" i="1"/>
  <c r="BV30" i="1"/>
  <c r="BR30" i="1"/>
  <c r="BE30" i="1"/>
  <c r="BA30" i="1"/>
  <c r="BA119" i="1"/>
  <c r="BA89" i="1"/>
  <c r="BA32" i="1"/>
  <c r="BB4" i="1"/>
  <c r="BA73" i="1"/>
  <c r="BA74" i="1" s="1"/>
  <c r="BA4" i="1"/>
  <c r="BA84" i="1"/>
  <c r="BE31" i="1"/>
  <c r="BA34" i="1"/>
  <c r="BA31" i="1"/>
  <c r="AW119" i="1"/>
  <c r="AW30" i="1"/>
  <c r="AX4" i="1"/>
  <c r="AW73" i="1"/>
  <c r="AW74" i="1" s="1"/>
  <c r="AW85" i="1"/>
  <c r="AW34" i="1"/>
  <c r="AW31" i="1"/>
  <c r="AW89" i="1"/>
  <c r="BT89" i="1"/>
  <c r="BU90" i="1" s="1"/>
  <c r="BU88" i="1" s="1"/>
  <c r="BT119" i="1"/>
  <c r="BT30" i="1"/>
  <c r="BX30" i="1"/>
  <c r="BT73" i="1"/>
  <c r="BT74" i="1" s="1"/>
  <c r="BU4" i="1"/>
  <c r="BT34" i="1"/>
  <c r="BT31" i="1"/>
  <c r="BT84" i="1"/>
  <c r="BT28" i="1"/>
  <c r="BX31" i="1"/>
  <c r="BN89" i="1"/>
  <c r="BN30" i="1"/>
  <c r="BN119" i="1"/>
  <c r="BF89" i="1"/>
  <c r="BF30" i="1"/>
  <c r="BF119" i="1"/>
  <c r="BF34" i="1"/>
  <c r="BF31" i="1"/>
  <c r="BF85" i="1"/>
  <c r="BF73" i="1"/>
  <c r="BF74" i="1" s="1"/>
  <c r="BO73" i="1"/>
  <c r="BO74" i="1" s="1"/>
  <c r="BO119" i="1"/>
  <c r="BO30" i="1"/>
  <c r="BO89" i="1"/>
  <c r="BO85" i="1"/>
  <c r="BO31" i="1"/>
  <c r="BO34" i="1"/>
  <c r="BO28" i="1"/>
  <c r="BO84" i="1"/>
  <c r="AY4" i="1"/>
  <c r="AX73" i="1"/>
  <c r="AX74" i="1" s="1"/>
  <c r="AX89" i="1"/>
  <c r="AY90" i="1" s="1"/>
  <c r="AY88" i="1" s="1"/>
  <c r="AX34" i="1"/>
  <c r="AX31" i="1"/>
  <c r="AX119" i="1"/>
  <c r="AX30" i="1"/>
  <c r="BC31" i="1"/>
  <c r="BC34" i="1"/>
  <c r="BC84" i="1"/>
  <c r="BC30" i="1"/>
  <c r="BC119" i="1"/>
  <c r="BC32" i="1"/>
  <c r="BC89" i="1"/>
  <c r="BC73" i="1"/>
  <c r="BC74" i="1" s="1"/>
  <c r="BI30" i="1"/>
  <c r="BI119" i="1"/>
  <c r="BJ4" i="1"/>
  <c r="BI73" i="1"/>
  <c r="BI74" i="1" s="1"/>
  <c r="BI32" i="1"/>
  <c r="BI89" i="1"/>
  <c r="BI34" i="1"/>
  <c r="BI84" i="1"/>
  <c r="BI31" i="1"/>
  <c r="BJ119" i="1"/>
  <c r="BJ30" i="1"/>
  <c r="BK4" i="1"/>
  <c r="BJ73" i="1"/>
  <c r="BJ74" i="1" s="1"/>
  <c r="BJ32" i="1"/>
  <c r="BJ89" i="1"/>
  <c r="BM89" i="1"/>
  <c r="BN90" i="1" s="1"/>
  <c r="BM30" i="1"/>
  <c r="BM119" i="1"/>
  <c r="BM28" i="1"/>
  <c r="BM34" i="1"/>
  <c r="BM31" i="1"/>
  <c r="BM73" i="1"/>
  <c r="BM74" i="1" s="1"/>
  <c r="BP119" i="1"/>
  <c r="BP30" i="1"/>
  <c r="BP32" i="1"/>
  <c r="BP132" i="1"/>
  <c r="BP89" i="1"/>
  <c r="BQ90" i="1" s="1"/>
  <c r="BP84" i="1"/>
  <c r="BP34" i="1"/>
  <c r="BP31" i="1"/>
  <c r="BP28" i="1"/>
  <c r="AP34" i="1"/>
  <c r="AP31" i="1"/>
  <c r="AP84" i="1"/>
  <c r="AP132" i="1"/>
  <c r="AP89" i="1"/>
  <c r="AP30" i="1"/>
  <c r="AP119" i="1"/>
  <c r="AR34" i="1"/>
  <c r="AR84" i="1"/>
  <c r="AR85" i="1"/>
  <c r="AR31" i="1"/>
  <c r="AR32" i="1"/>
  <c r="AR132" i="1"/>
  <c r="AR89" i="1"/>
  <c r="AS31" i="1"/>
  <c r="AS34" i="1"/>
  <c r="AS89" i="1"/>
  <c r="AT90" i="1" s="1"/>
  <c r="AT88" i="1" s="1"/>
  <c r="AS32" i="1"/>
  <c r="AS132" i="1"/>
  <c r="BG89" i="1"/>
  <c r="BH90" i="1" s="1"/>
  <c r="BH88" i="1" s="1"/>
  <c r="BG132" i="1"/>
  <c r="BG119" i="1"/>
  <c r="BG30" i="1"/>
  <c r="BK31" i="1"/>
  <c r="BK34" i="1"/>
  <c r="BK84" i="1"/>
  <c r="BK32" i="1"/>
  <c r="BK132" i="1"/>
  <c r="BK89" i="1"/>
  <c r="BL90" i="1" s="1"/>
  <c r="BL88" i="1" s="1"/>
  <c r="AM34" i="1"/>
  <c r="AM31" i="1"/>
  <c r="AM84" i="1"/>
  <c r="AM89" i="1"/>
  <c r="AN90" i="1" s="1"/>
  <c r="AM132" i="1"/>
  <c r="AM32" i="1"/>
  <c r="BG51" i="1"/>
  <c r="AV42" i="1"/>
  <c r="AV88" i="1"/>
  <c r="AQ69" i="1"/>
  <c r="AQ64" i="1"/>
  <c r="AD118" i="1"/>
  <c r="CL118" i="1"/>
  <c r="CM118" i="1" s="1"/>
  <c r="CN118" i="1" s="1"/>
  <c r="CO118" i="1" s="1"/>
  <c r="AE118" i="1" s="1"/>
  <c r="BV73" i="1"/>
  <c r="BV74" i="1" s="1"/>
  <c r="BW4" i="1"/>
  <c r="BU136" i="1"/>
  <c r="BU120" i="1"/>
  <c r="BU9" i="1"/>
  <c r="AO73" i="1"/>
  <c r="AO74" i="1" s="1"/>
  <c r="BV4" i="1"/>
  <c r="AA4" i="1" s="1"/>
  <c r="BU73" i="1"/>
  <c r="BU74" i="1" s="1"/>
  <c r="AI105" i="1"/>
  <c r="AI107" i="1"/>
  <c r="AI106" i="1"/>
  <c r="BI4" i="1"/>
  <c r="BH73" i="1"/>
  <c r="BH74" i="1" s="1"/>
  <c r="BX18" i="1"/>
  <c r="BX22" i="1"/>
  <c r="BX20" i="1"/>
  <c r="BX15" i="1"/>
  <c r="BX12" i="1"/>
  <c r="BX13" i="1"/>
  <c r="AO133" i="1"/>
  <c r="AZ133" i="1"/>
  <c r="BB106" i="1"/>
  <c r="BB105" i="1"/>
  <c r="BB107" i="1"/>
  <c r="BE106" i="1"/>
  <c r="BE107" i="1"/>
  <c r="BE105" i="1"/>
  <c r="BM43" i="1"/>
  <c r="BI51" i="1"/>
  <c r="AH19" i="1"/>
  <c r="AH21" i="1" s="1"/>
  <c r="AH23" i="1" s="1"/>
  <c r="BD113" i="1"/>
  <c r="BG113" i="1"/>
  <c r="AU84" i="1"/>
  <c r="BO129" i="1"/>
  <c r="BI129" i="1"/>
  <c r="AT129" i="1"/>
  <c r="AV113" i="1"/>
  <c r="AL129" i="1"/>
  <c r="AW129" i="1"/>
  <c r="AX129" i="1"/>
  <c r="BC129" i="1"/>
  <c r="BN113" i="1"/>
  <c r="BP113" i="1"/>
  <c r="AP113" i="1"/>
  <c r="AR113" i="1"/>
  <c r="AS113" i="1"/>
  <c r="AM113" i="1"/>
  <c r="BA129" i="1"/>
  <c r="AX85" i="1"/>
  <c r="AX84" i="1"/>
  <c r="BQ129" i="1"/>
  <c r="BD129" i="1"/>
  <c r="AN129" i="1"/>
  <c r="BN129" i="1"/>
  <c r="BF129" i="1"/>
  <c r="BM129" i="1"/>
  <c r="AT84" i="1"/>
  <c r="AW84" i="1"/>
  <c r="BT85" i="1"/>
  <c r="BN84" i="1"/>
  <c r="BF84" i="1"/>
  <c r="AQ133" i="1"/>
  <c r="AJ129" i="1"/>
  <c r="AH129" i="1"/>
  <c r="AH132" i="1" s="1"/>
  <c r="AH133" i="1" s="1"/>
  <c r="BJ129" i="1"/>
  <c r="AU85" i="1"/>
  <c r="AU129" i="1"/>
  <c r="BR129" i="1"/>
  <c r="BH133" i="1"/>
  <c r="BM85" i="1"/>
  <c r="AV129" i="1"/>
  <c r="BI85" i="1"/>
  <c r="AL84" i="1"/>
  <c r="BB30" i="1"/>
  <c r="AY30" i="1"/>
  <c r="BM84" i="1"/>
  <c r="BC85" i="1"/>
  <c r="AI133" i="1"/>
  <c r="AZ5" i="1"/>
  <c r="AK133" i="1"/>
  <c r="BB132" i="1"/>
  <c r="BB133" i="1" s="1"/>
  <c r="BB31" i="1"/>
  <c r="BT129" i="1"/>
  <c r="AI88" i="1"/>
  <c r="BC4" i="1"/>
  <c r="BF4" i="1"/>
  <c r="BV136" i="1"/>
  <c r="CD32" i="1" l="1"/>
  <c r="CE32" i="1"/>
  <c r="BN88" i="1"/>
  <c r="BQ88" i="1"/>
  <c r="BZ31" i="1"/>
  <c r="CA31" i="1"/>
  <c r="BZ30" i="1"/>
  <c r="BO32" i="1"/>
  <c r="AW90" i="1"/>
  <c r="AW88" i="1" s="1"/>
  <c r="BJ51" i="1"/>
  <c r="BN43" i="1"/>
  <c r="BU54" i="1"/>
  <c r="BU56" i="1" s="1"/>
  <c r="BU60" i="1" s="1"/>
  <c r="BY52" i="1"/>
  <c r="BS43" i="1"/>
  <c r="BO51" i="1"/>
  <c r="BN51" i="1"/>
  <c r="BR43" i="1"/>
  <c r="BU43" i="1"/>
  <c r="BQ51" i="1"/>
  <c r="BI52" i="1"/>
  <c r="BE54" i="1"/>
  <c r="BE56" i="1" s="1"/>
  <c r="BE60" i="1" s="1"/>
  <c r="BT51" i="1"/>
  <c r="BX43" i="1"/>
  <c r="BH43" i="1"/>
  <c r="BD51" i="1"/>
  <c r="AJ54" i="1"/>
  <c r="AJ56" i="1" s="1"/>
  <c r="AJ60" i="1" s="1"/>
  <c r="BV51" i="1"/>
  <c r="AI54" i="1"/>
  <c r="AI56" i="1" s="1"/>
  <c r="AI60" i="1" s="1"/>
  <c r="AM52" i="1"/>
  <c r="AX51" i="1"/>
  <c r="BB43" i="1"/>
  <c r="AK51" i="1"/>
  <c r="AO43" i="1"/>
  <c r="BP54" i="1"/>
  <c r="BP56" i="1" s="1"/>
  <c r="BP60" i="1" s="1"/>
  <c r="BT52" i="1"/>
  <c r="BL54" i="1"/>
  <c r="BL56" i="1" s="1"/>
  <c r="BL60" i="1" s="1"/>
  <c r="BP52" i="1"/>
  <c r="AS51" i="1"/>
  <c r="AW43" i="1"/>
  <c r="BD43" i="1"/>
  <c r="AZ51" i="1"/>
  <c r="AQ52" i="1"/>
  <c r="AM54" i="1"/>
  <c r="AM56" i="1" s="1"/>
  <c r="AM60" i="1" s="1"/>
  <c r="AO54" i="1"/>
  <c r="AO56" i="1" s="1"/>
  <c r="AO60" i="1" s="1"/>
  <c r="AS52" i="1"/>
  <c r="BV52" i="1"/>
  <c r="BR54" i="1"/>
  <c r="BR56" i="1" s="1"/>
  <c r="BR60" i="1" s="1"/>
  <c r="BA43" i="1"/>
  <c r="BA51" i="1"/>
  <c r="BE43" i="1"/>
  <c r="BF52" i="1"/>
  <c r="BB54" i="1"/>
  <c r="BB56" i="1" s="1"/>
  <c r="BB60" i="1" s="1"/>
  <c r="AL52" i="1"/>
  <c r="AH54" i="1"/>
  <c r="AH56" i="1" s="1"/>
  <c r="AH60" i="1" s="1"/>
  <c r="BK51" i="1"/>
  <c r="BO43" i="1"/>
  <c r="BQ52" i="1"/>
  <c r="BM54" i="1"/>
  <c r="BM56" i="1" s="1"/>
  <c r="BM60" i="1" s="1"/>
  <c r="BS54" i="1"/>
  <c r="BS56" i="1" s="1"/>
  <c r="BS60" i="1" s="1"/>
  <c r="BW52" i="1"/>
  <c r="AU43" i="1"/>
  <c r="AY43" i="1"/>
  <c r="AU51" i="1"/>
  <c r="AW64" i="1"/>
  <c r="AW69" i="1"/>
  <c r="AT54" i="1"/>
  <c r="AT56" i="1" s="1"/>
  <c r="AT60" i="1" s="1"/>
  <c r="AL54" i="1"/>
  <c r="AL56" i="1" s="1"/>
  <c r="AL60" i="1" s="1"/>
  <c r="AR69" i="1"/>
  <c r="AR64" i="1"/>
  <c r="AY69" i="1"/>
  <c r="AY64" i="1"/>
  <c r="BF54" i="1"/>
  <c r="BF56" i="1" s="1"/>
  <c r="BF60" i="1" s="1"/>
  <c r="BS106" i="1"/>
  <c r="BS107" i="1"/>
  <c r="BS105" i="1"/>
  <c r="BZ27" i="1"/>
  <c r="BZ123" i="1" s="1"/>
  <c r="AT43" i="1"/>
  <c r="AP51" i="1"/>
  <c r="BC54" i="1"/>
  <c r="BC56" i="1" s="1"/>
  <c r="BC60" i="1" s="1"/>
  <c r="BG52" i="1"/>
  <c r="BS136" i="1"/>
  <c r="BS120" i="1"/>
  <c r="BS9" i="1"/>
  <c r="CA27" i="1"/>
  <c r="CA123" i="1" s="1"/>
  <c r="BQ106" i="1"/>
  <c r="BQ107" i="1"/>
  <c r="BQ105" i="1"/>
  <c r="BQ9" i="1"/>
  <c r="BQ136" i="1"/>
  <c r="BQ120" i="1"/>
  <c r="BD120" i="1"/>
  <c r="BE5" i="1" s="1"/>
  <c r="BD9" i="1"/>
  <c r="BD136" i="1"/>
  <c r="AR120" i="1"/>
  <c r="AR9" i="1"/>
  <c r="AR136" i="1"/>
  <c r="AS136" i="1"/>
  <c r="AS9" i="1"/>
  <c r="AS120" i="1"/>
  <c r="BK107" i="1"/>
  <c r="BK106" i="1"/>
  <c r="BK105" i="1"/>
  <c r="BK9" i="1"/>
  <c r="BK136" i="1"/>
  <c r="BK120" i="1"/>
  <c r="AM120" i="1"/>
  <c r="AM9" i="1"/>
  <c r="AM136" i="1"/>
  <c r="BH54" i="1"/>
  <c r="BH56" i="1" s="1"/>
  <c r="BH60" i="1" s="1"/>
  <c r="BL52" i="1"/>
  <c r="AN51" i="1"/>
  <c r="AR43" i="1"/>
  <c r="AJ107" i="1"/>
  <c r="AJ105" i="1"/>
  <c r="AJ106" i="1"/>
  <c r="AJ90" i="1"/>
  <c r="AJ88" i="1" s="1"/>
  <c r="AK90" i="1"/>
  <c r="AK88" i="1" s="1"/>
  <c r="AJ5" i="1"/>
  <c r="AK5" i="1"/>
  <c r="AI5" i="1"/>
  <c r="AH5" i="1"/>
  <c r="AM90" i="1"/>
  <c r="AM88" i="1" s="1"/>
  <c r="AL90" i="1"/>
  <c r="AL88" i="1" s="1"/>
  <c r="AL107" i="1"/>
  <c r="AL106" i="1"/>
  <c r="AL105" i="1"/>
  <c r="AL5" i="1"/>
  <c r="AM5" i="1"/>
  <c r="AN120" i="1"/>
  <c r="AO5" i="1" s="1"/>
  <c r="AN136" i="1"/>
  <c r="AN9" i="1"/>
  <c r="AN107" i="1"/>
  <c r="AN105" i="1"/>
  <c r="AN106" i="1"/>
  <c r="BL107" i="1"/>
  <c r="BL106" i="1"/>
  <c r="BL105" i="1"/>
  <c r="BL136" i="1"/>
  <c r="BL9" i="1"/>
  <c r="BL120" i="1"/>
  <c r="AV9" i="1"/>
  <c r="AV136" i="1"/>
  <c r="AV120" i="1"/>
  <c r="AT9" i="1"/>
  <c r="AT136" i="1"/>
  <c r="AT120" i="1"/>
  <c r="AT107" i="1"/>
  <c r="AT106" i="1"/>
  <c r="AT105" i="1"/>
  <c r="AU120" i="1"/>
  <c r="AV5" i="1" s="1"/>
  <c r="AU9" i="1"/>
  <c r="AU136" i="1"/>
  <c r="AU107" i="1"/>
  <c r="AU106" i="1"/>
  <c r="AU105" i="1"/>
  <c r="BR107" i="1"/>
  <c r="BR106" i="1"/>
  <c r="BR105" i="1"/>
  <c r="BR136" i="1"/>
  <c r="BR9" i="1"/>
  <c r="BR120" i="1"/>
  <c r="BS5" i="1" s="1"/>
  <c r="BZ26" i="1"/>
  <c r="BZ117" i="1" s="1"/>
  <c r="BA120" i="1"/>
  <c r="BA136" i="1"/>
  <c r="BA9" i="1"/>
  <c r="BA90" i="1"/>
  <c r="BA88" i="1" s="1"/>
  <c r="BB90" i="1"/>
  <c r="BB88" i="1" s="1"/>
  <c r="BA107" i="1"/>
  <c r="BA105" i="1"/>
  <c r="BA106" i="1"/>
  <c r="AW136" i="1"/>
  <c r="AW120" i="1"/>
  <c r="AW9" i="1"/>
  <c r="AW105" i="1"/>
  <c r="AW106" i="1"/>
  <c r="AW107" i="1"/>
  <c r="BT136" i="1"/>
  <c r="BT9" i="1"/>
  <c r="BT120" i="1"/>
  <c r="BU5" i="1" s="1"/>
  <c r="BT105" i="1"/>
  <c r="BT107" i="1"/>
  <c r="BT106" i="1"/>
  <c r="BN9" i="1"/>
  <c r="BN136" i="1"/>
  <c r="BN120" i="1"/>
  <c r="BF90" i="1"/>
  <c r="BF88" i="1" s="1"/>
  <c r="BG90" i="1"/>
  <c r="BG88" i="1" s="1"/>
  <c r="BF120" i="1"/>
  <c r="BF9" i="1"/>
  <c r="BF136" i="1"/>
  <c r="BF105" i="1"/>
  <c r="BF106" i="1"/>
  <c r="BF107" i="1"/>
  <c r="BO107" i="1"/>
  <c r="BO106" i="1"/>
  <c r="BO105" i="1"/>
  <c r="BO9" i="1"/>
  <c r="BO136" i="1"/>
  <c r="BO120" i="1"/>
  <c r="AX105" i="1"/>
  <c r="AX107" i="1"/>
  <c r="AX106" i="1"/>
  <c r="AX9" i="1"/>
  <c r="AX120" i="1"/>
  <c r="AY5" i="1" s="1"/>
  <c r="AX136" i="1"/>
  <c r="BC120" i="1"/>
  <c r="BC9" i="1"/>
  <c r="BC136" i="1"/>
  <c r="BD90" i="1"/>
  <c r="BD88" i="1" s="1"/>
  <c r="BC90" i="1"/>
  <c r="BC88" i="1" s="1"/>
  <c r="BC107" i="1"/>
  <c r="BC106" i="1"/>
  <c r="BC105" i="1"/>
  <c r="BI9" i="1"/>
  <c r="BI136" i="1"/>
  <c r="BI120" i="1"/>
  <c r="BI107" i="1"/>
  <c r="BI106" i="1"/>
  <c r="BI105" i="1"/>
  <c r="BI90" i="1"/>
  <c r="BI88" i="1" s="1"/>
  <c r="BJ90" i="1"/>
  <c r="BJ88" i="1" s="1"/>
  <c r="BJ9" i="1"/>
  <c r="BJ136" i="1"/>
  <c r="BJ120" i="1"/>
  <c r="BK5" i="1" s="1"/>
  <c r="BJ107" i="1"/>
  <c r="BJ106" i="1"/>
  <c r="BJ105" i="1"/>
  <c r="BM9" i="1"/>
  <c r="BM136" i="1"/>
  <c r="BM120" i="1"/>
  <c r="BN5" i="1" s="1"/>
  <c r="BM106" i="1"/>
  <c r="BM107" i="1"/>
  <c r="BM105" i="1"/>
  <c r="BP9" i="1"/>
  <c r="BP136" i="1"/>
  <c r="BP120" i="1"/>
  <c r="AP90" i="1"/>
  <c r="AP88" i="1" s="1"/>
  <c r="AQ90" i="1"/>
  <c r="AQ88" i="1" s="1"/>
  <c r="AP9" i="1"/>
  <c r="AP136" i="1"/>
  <c r="AP120" i="1"/>
  <c r="AR90" i="1"/>
  <c r="AR88" i="1" s="1"/>
  <c r="AS90" i="1"/>
  <c r="AS88" i="1" s="1"/>
  <c r="BG9" i="1"/>
  <c r="BG120" i="1"/>
  <c r="BG136" i="1"/>
  <c r="BK52" i="1"/>
  <c r="BG54" i="1"/>
  <c r="BG56" i="1" s="1"/>
  <c r="BG60" i="1" s="1"/>
  <c r="AV43" i="1"/>
  <c r="AV51" i="1"/>
  <c r="AZ43" i="1"/>
  <c r="BV107" i="1"/>
  <c r="BV106" i="1"/>
  <c r="BV105" i="1"/>
  <c r="BU133" i="1"/>
  <c r="BV5" i="1"/>
  <c r="AO106" i="1"/>
  <c r="AO107" i="1"/>
  <c r="AO105" i="1"/>
  <c r="BU105" i="1"/>
  <c r="BU106" i="1"/>
  <c r="BU107" i="1"/>
  <c r="BH107" i="1"/>
  <c r="BH105" i="1"/>
  <c r="BH106" i="1"/>
  <c r="BX14" i="1"/>
  <c r="BX17" i="1" s="1"/>
  <c r="BX19" i="1" s="1"/>
  <c r="BX21" i="1" s="1"/>
  <c r="BX23" i="1" s="1"/>
  <c r="BM52" i="1"/>
  <c r="BI54" i="1"/>
  <c r="BI56" i="1" s="1"/>
  <c r="BI60" i="1" s="1"/>
  <c r="BD73" i="1"/>
  <c r="BD74" i="1" s="1"/>
  <c r="BE4" i="1"/>
  <c r="BH4" i="1"/>
  <c r="BG73" i="1"/>
  <c r="BG74" i="1" s="1"/>
  <c r="AV73" i="1"/>
  <c r="AV74" i="1" s="1"/>
  <c r="AW4" i="1"/>
  <c r="BN73" i="1"/>
  <c r="BN74" i="1" s="1"/>
  <c r="BO4" i="1"/>
  <c r="BQ4" i="1"/>
  <c r="BP73" i="1"/>
  <c r="BP74" i="1" s="1"/>
  <c r="AP73" i="1"/>
  <c r="AP74" i="1" s="1"/>
  <c r="AQ4" i="1"/>
  <c r="AR73" i="1"/>
  <c r="AR74" i="1" s="1"/>
  <c r="AS4" i="1"/>
  <c r="AR4" i="1"/>
  <c r="AS73" i="1"/>
  <c r="AS74" i="1" s="1"/>
  <c r="AT4" i="1"/>
  <c r="AM73" i="1"/>
  <c r="AM74" i="1" s="1"/>
  <c r="AN4" i="1"/>
  <c r="BA18" i="1"/>
  <c r="BA22" i="1"/>
  <c r="BA12" i="1"/>
  <c r="BA15" i="1"/>
  <c r="BA20" i="1"/>
  <c r="BA13" i="1"/>
  <c r="BS32" i="1"/>
  <c r="BT90" i="1"/>
  <c r="BT88" i="1" s="1"/>
  <c r="Z4" i="1"/>
  <c r="BR90" i="1"/>
  <c r="BR88" i="1" s="1"/>
  <c r="BQ132" i="1"/>
  <c r="BD132" i="1"/>
  <c r="AN88" i="1"/>
  <c r="AJ132" i="1"/>
  <c r="AJ133" i="1" s="1"/>
  <c r="AL132" i="1"/>
  <c r="AL133" i="1" s="1"/>
  <c r="AM4" i="1"/>
  <c r="AW132" i="1"/>
  <c r="BN4" i="1"/>
  <c r="AP32" i="1"/>
  <c r="BG32" i="1"/>
  <c r="AN132" i="1"/>
  <c r="BM90" i="1"/>
  <c r="BM88" i="1" s="1"/>
  <c r="BL32" i="1"/>
  <c r="AV132" i="1"/>
  <c r="AU90" i="1"/>
  <c r="AU88" i="1" s="1"/>
  <c r="AT32" i="1"/>
  <c r="AT132" i="1"/>
  <c r="AV4" i="1"/>
  <c r="AU132" i="1"/>
  <c r="BR32" i="1"/>
  <c r="BR132" i="1"/>
  <c r="BA132" i="1"/>
  <c r="BJ132" i="1"/>
  <c r="BK90" i="1"/>
  <c r="BK88" i="1" s="1"/>
  <c r="AP43" i="1"/>
  <c r="AW32" i="1"/>
  <c r="AX90" i="1"/>
  <c r="AX88" i="1" s="1"/>
  <c r="BT132" i="1"/>
  <c r="BT32" i="1"/>
  <c r="BN32" i="1"/>
  <c r="BN132" i="1"/>
  <c r="BO90" i="1"/>
  <c r="BO88" i="1" s="1"/>
  <c r="BF32" i="1"/>
  <c r="BF132" i="1"/>
  <c r="BG4" i="1"/>
  <c r="BP4" i="1"/>
  <c r="BO132" i="1"/>
  <c r="BP90" i="1"/>
  <c r="BP88" i="1" s="1"/>
  <c r="AX32" i="1"/>
  <c r="AX132" i="1"/>
  <c r="BC132" i="1"/>
  <c r="BD4" i="1"/>
  <c r="BI132" i="1"/>
  <c r="BM32" i="1"/>
  <c r="BM132" i="1"/>
  <c r="BK43" i="1"/>
  <c r="BC52" i="1"/>
  <c r="AP4" i="1"/>
  <c r="CF32" i="1" l="1"/>
  <c r="CG32" i="1" s="1"/>
  <c r="CB31" i="1"/>
  <c r="BA14" i="1"/>
  <c r="BA17" i="1" s="1"/>
  <c r="BA19" i="1" s="1"/>
  <c r="BA21" i="1" s="1"/>
  <c r="BA23" i="1" s="1"/>
  <c r="CH32" i="1"/>
  <c r="CA30" i="1"/>
  <c r="BN52" i="1"/>
  <c r="BJ54" i="1"/>
  <c r="BJ56" i="1" s="1"/>
  <c r="BJ60" i="1" s="1"/>
  <c r="BU64" i="1"/>
  <c r="BU69" i="1"/>
  <c r="BY61" i="1"/>
  <c r="BO54" i="1"/>
  <c r="BO56" i="1" s="1"/>
  <c r="BO60" i="1" s="1"/>
  <c r="BS52" i="1"/>
  <c r="BR52" i="1"/>
  <c r="BN54" i="1"/>
  <c r="BN56" i="1" s="1"/>
  <c r="BN60" i="1" s="1"/>
  <c r="BU52" i="1"/>
  <c r="BQ54" i="1"/>
  <c r="BQ56" i="1" s="1"/>
  <c r="BQ60" i="1" s="1"/>
  <c r="BE69" i="1"/>
  <c r="BI61" i="1"/>
  <c r="BE64" i="1"/>
  <c r="BT54" i="1"/>
  <c r="BT56" i="1" s="1"/>
  <c r="BT60" i="1" s="1"/>
  <c r="BX52" i="1"/>
  <c r="BH52" i="1"/>
  <c r="BD54" i="1"/>
  <c r="BD56" i="1" s="1"/>
  <c r="BD60" i="1" s="1"/>
  <c r="AJ64" i="1"/>
  <c r="AJ69" i="1"/>
  <c r="BV54" i="1"/>
  <c r="BV56" i="1" s="1"/>
  <c r="BV60" i="1" s="1"/>
  <c r="AI69" i="1"/>
  <c r="AI64" i="1"/>
  <c r="AM61" i="1"/>
  <c r="BB52" i="1"/>
  <c r="AX54" i="1"/>
  <c r="AX56" i="1" s="1"/>
  <c r="AX60" i="1" s="1"/>
  <c r="AO52" i="1"/>
  <c r="AK54" i="1"/>
  <c r="AK56" i="1" s="1"/>
  <c r="AK60" i="1" s="1"/>
  <c r="BP69" i="1"/>
  <c r="BP64" i="1"/>
  <c r="BT61" i="1"/>
  <c r="BL69" i="1"/>
  <c r="BL64" i="1"/>
  <c r="BP61" i="1"/>
  <c r="AW52" i="1"/>
  <c r="AS54" i="1"/>
  <c r="AS56" i="1" s="1"/>
  <c r="AS60" i="1" s="1"/>
  <c r="BD52" i="1"/>
  <c r="AZ54" i="1"/>
  <c r="AZ56" i="1" s="1"/>
  <c r="AZ60" i="1" s="1"/>
  <c r="AQ61" i="1"/>
  <c r="AM64" i="1"/>
  <c r="AM69" i="1"/>
  <c r="AO69" i="1"/>
  <c r="AO64" i="1"/>
  <c r="AS61" i="1"/>
  <c r="BR69" i="1"/>
  <c r="BR64" i="1"/>
  <c r="BV61" i="1"/>
  <c r="BA52" i="1"/>
  <c r="BA54" i="1"/>
  <c r="BA56" i="1" s="1"/>
  <c r="BA60" i="1" s="1"/>
  <c r="BE52" i="1"/>
  <c r="BF61" i="1"/>
  <c r="BB64" i="1"/>
  <c r="BB69" i="1"/>
  <c r="AL61" i="1"/>
  <c r="AH64" i="1"/>
  <c r="AH69" i="1"/>
  <c r="BO52" i="1"/>
  <c r="BK54" i="1"/>
  <c r="BK56" i="1" s="1"/>
  <c r="BK60" i="1" s="1"/>
  <c r="BM69" i="1"/>
  <c r="BQ61" i="1"/>
  <c r="BM64" i="1"/>
  <c r="BS69" i="1"/>
  <c r="BS64" i="1"/>
  <c r="BW61" i="1"/>
  <c r="AU52" i="1"/>
  <c r="AY52" i="1"/>
  <c r="AU54" i="1"/>
  <c r="AU56" i="1" s="1"/>
  <c r="AU60" i="1" s="1"/>
  <c r="AX61" i="1"/>
  <c r="AT64" i="1"/>
  <c r="AT69" i="1"/>
  <c r="AL69" i="1"/>
  <c r="AL64" i="1"/>
  <c r="BF69" i="1"/>
  <c r="BJ61" i="1"/>
  <c r="BF64" i="1"/>
  <c r="BZ81" i="1"/>
  <c r="BZ82" i="1" s="1"/>
  <c r="BZ34" i="1"/>
  <c r="AT52" i="1"/>
  <c r="AP54" i="1"/>
  <c r="AP56" i="1" s="1"/>
  <c r="AP60" i="1" s="1"/>
  <c r="BG61" i="1"/>
  <c r="BC69" i="1"/>
  <c r="BC64" i="1"/>
  <c r="BS133" i="1"/>
  <c r="BT5" i="1"/>
  <c r="CA81" i="1"/>
  <c r="CA82" i="1" s="1"/>
  <c r="BF13" i="1"/>
  <c r="BF15" i="1"/>
  <c r="BF18" i="1"/>
  <c r="BF20" i="1"/>
  <c r="BE7" i="1"/>
  <c r="BF12" i="1"/>
  <c r="BF14" i="1" s="1"/>
  <c r="BF17" i="1" s="1"/>
  <c r="BF19" i="1" s="1"/>
  <c r="BF21" i="1" s="1"/>
  <c r="BF22" i="1"/>
  <c r="AR133" i="1"/>
  <c r="AR5" i="1"/>
  <c r="AS5" i="1"/>
  <c r="AS133" i="1"/>
  <c r="AT5" i="1"/>
  <c r="BK133" i="1"/>
  <c r="BL5" i="1"/>
  <c r="AM133" i="1"/>
  <c r="AN5" i="1"/>
  <c r="BL61" i="1"/>
  <c r="BH69" i="1"/>
  <c r="BH64" i="1"/>
  <c r="AN54" i="1"/>
  <c r="AN56" i="1" s="1"/>
  <c r="AN60" i="1" s="1"/>
  <c r="AR52" i="1"/>
  <c r="AK18" i="1"/>
  <c r="AK22" i="1"/>
  <c r="AK20" i="1"/>
  <c r="AK12" i="1"/>
  <c r="AK15" i="1"/>
  <c r="AK13" i="1"/>
  <c r="AL15" i="1"/>
  <c r="AL18" i="1"/>
  <c r="AL22" i="1"/>
  <c r="AL20" i="1"/>
  <c r="AL12" i="1"/>
  <c r="AL13" i="1"/>
  <c r="AJ20" i="1"/>
  <c r="AJ18" i="1"/>
  <c r="AJ13" i="1"/>
  <c r="AJ12" i="1"/>
  <c r="AJ14" i="1" s="1"/>
  <c r="AJ15" i="1"/>
  <c r="AJ22" i="1"/>
  <c r="AI12" i="1"/>
  <c r="AI18" i="1"/>
  <c r="AI22" i="1"/>
  <c r="AI20" i="1"/>
  <c r="AI13" i="1"/>
  <c r="AI15" i="1"/>
  <c r="AM18" i="1"/>
  <c r="AM22" i="1"/>
  <c r="AM15" i="1"/>
  <c r="AM12" i="1"/>
  <c r="AM20" i="1"/>
  <c r="AM13" i="1"/>
  <c r="AN15" i="1"/>
  <c r="AN13" i="1"/>
  <c r="AN18" i="1"/>
  <c r="AN12" i="1"/>
  <c r="AN14" i="1" s="1"/>
  <c r="AN17" i="1" s="1"/>
  <c r="AN19" i="1" s="1"/>
  <c r="AM7" i="1"/>
  <c r="AN22" i="1"/>
  <c r="AN20" i="1"/>
  <c r="AP12" i="1"/>
  <c r="AO7" i="1"/>
  <c r="AP15" i="1"/>
  <c r="AP22" i="1"/>
  <c r="AP18" i="1"/>
  <c r="AP20" i="1"/>
  <c r="AP13" i="1"/>
  <c r="BL133" i="1"/>
  <c r="BM5" i="1"/>
  <c r="AW13" i="1"/>
  <c r="AW18" i="1"/>
  <c r="AW20" i="1"/>
  <c r="AW15" i="1"/>
  <c r="AW12" i="1"/>
  <c r="AW14" i="1" s="1"/>
  <c r="AW17" i="1" s="1"/>
  <c r="AW19" i="1" s="1"/>
  <c r="AW21" i="1" s="1"/>
  <c r="AW22" i="1"/>
  <c r="BW7" i="1"/>
  <c r="BT18" i="1"/>
  <c r="BT22" i="1"/>
  <c r="BT13" i="1"/>
  <c r="BT12" i="1"/>
  <c r="BT14" i="1" s="1"/>
  <c r="BT20" i="1"/>
  <c r="BT15" i="1"/>
  <c r="BZ119" i="1"/>
  <c r="BA5" i="1"/>
  <c r="BB5" i="1"/>
  <c r="BV15" i="1"/>
  <c r="BV13" i="1"/>
  <c r="BV18" i="1"/>
  <c r="BV20" i="1"/>
  <c r="BV22" i="1"/>
  <c r="BV12" i="1"/>
  <c r="BY7" i="1"/>
  <c r="BF5" i="1"/>
  <c r="BG5" i="1"/>
  <c r="AZ12" i="1"/>
  <c r="AZ18" i="1"/>
  <c r="AZ20" i="1"/>
  <c r="AZ22" i="1"/>
  <c r="AZ15" i="1"/>
  <c r="AZ13" i="1"/>
  <c r="BC5" i="1"/>
  <c r="BD5" i="1"/>
  <c r="BI5" i="1"/>
  <c r="BJ5" i="1"/>
  <c r="BL15" i="1"/>
  <c r="BL13" i="1"/>
  <c r="BL18" i="1"/>
  <c r="BL22" i="1"/>
  <c r="BL12" i="1"/>
  <c r="BL14" i="1" s="1"/>
  <c r="BL17" i="1" s="1"/>
  <c r="BL19" i="1" s="1"/>
  <c r="BK7" i="1"/>
  <c r="BL20" i="1"/>
  <c r="BO15" i="1"/>
  <c r="BO12" i="1"/>
  <c r="BO20" i="1"/>
  <c r="BO18" i="1"/>
  <c r="BO22" i="1"/>
  <c r="BO13" i="1"/>
  <c r="BN7" i="1"/>
  <c r="BP133" i="1"/>
  <c r="BQ5" i="1"/>
  <c r="AP133" i="1"/>
  <c r="AP5" i="1"/>
  <c r="AQ5" i="1"/>
  <c r="BG133" i="1"/>
  <c r="BH5" i="1"/>
  <c r="BG69" i="1"/>
  <c r="BG64" i="1"/>
  <c r="BK61" i="1"/>
  <c r="AV52" i="1"/>
  <c r="AV54" i="1"/>
  <c r="AV56" i="1" s="1"/>
  <c r="AV60" i="1" s="1"/>
  <c r="AZ52" i="1"/>
  <c r="AA5" i="1"/>
  <c r="BW18" i="1"/>
  <c r="BW20" i="1"/>
  <c r="BW12" i="1"/>
  <c r="BW15" i="1"/>
  <c r="BW13" i="1"/>
  <c r="BW22" i="1"/>
  <c r="BI69" i="1"/>
  <c r="BI70" i="1" s="1"/>
  <c r="BM61" i="1"/>
  <c r="BI64" i="1"/>
  <c r="BD106" i="1"/>
  <c r="BD107" i="1"/>
  <c r="BD105" i="1"/>
  <c r="BG106" i="1"/>
  <c r="BG107" i="1"/>
  <c r="BG105" i="1"/>
  <c r="AV106" i="1"/>
  <c r="AV105" i="1"/>
  <c r="AV107" i="1"/>
  <c r="BN106" i="1"/>
  <c r="BN107" i="1"/>
  <c r="BN105" i="1"/>
  <c r="BP106" i="1"/>
  <c r="BP107" i="1"/>
  <c r="BP105" i="1"/>
  <c r="AP106" i="1"/>
  <c r="AP105" i="1"/>
  <c r="AP107" i="1"/>
  <c r="AR105" i="1"/>
  <c r="AR106" i="1"/>
  <c r="AR107" i="1"/>
  <c r="AS107" i="1"/>
  <c r="AS106" i="1"/>
  <c r="AS105" i="1"/>
  <c r="AM107" i="1"/>
  <c r="AM106" i="1"/>
  <c r="AM105" i="1"/>
  <c r="AX52" i="1"/>
  <c r="AP52" i="1"/>
  <c r="BC61" i="1"/>
  <c r="BJ52" i="1"/>
  <c r="BR5" i="1"/>
  <c r="AW5" i="1"/>
  <c r="AU5" i="1"/>
  <c r="AX5" i="1"/>
  <c r="BO5" i="1"/>
  <c r="BP5" i="1"/>
  <c r="AZ7" i="1"/>
  <c r="BQ133" i="1"/>
  <c r="BD133" i="1"/>
  <c r="AW133" i="1"/>
  <c r="Y4" i="1"/>
  <c r="AN133" i="1"/>
  <c r="AV133" i="1"/>
  <c r="AT133" i="1"/>
  <c r="AU133" i="1"/>
  <c r="BR133" i="1"/>
  <c r="BA133" i="1"/>
  <c r="BJ133" i="1"/>
  <c r="BT133" i="1"/>
  <c r="BN133" i="1"/>
  <c r="BF133" i="1"/>
  <c r="BO133" i="1"/>
  <c r="AX133" i="1"/>
  <c r="BC133" i="1"/>
  <c r="BI133" i="1"/>
  <c r="BM133" i="1"/>
  <c r="AN52" i="1"/>
  <c r="CB27" i="1" l="1"/>
  <c r="CB123" i="1" s="1"/>
  <c r="CA26" i="1"/>
  <c r="CA117" i="1" s="1"/>
  <c r="CI32" i="1"/>
  <c r="CC31" i="1"/>
  <c r="CB30" i="1"/>
  <c r="AN21" i="1"/>
  <c r="AN23" i="1" s="1"/>
  <c r="BZ15" i="1"/>
  <c r="BZ13" i="1"/>
  <c r="BZ18" i="1"/>
  <c r="BZ20" i="1"/>
  <c r="BJ69" i="1"/>
  <c r="BJ70" i="1" s="1"/>
  <c r="BN61" i="1"/>
  <c r="BJ64" i="1"/>
  <c r="BO69" i="1"/>
  <c r="BS61" i="1"/>
  <c r="BO64" i="1"/>
  <c r="BN69" i="1"/>
  <c r="BR61" i="1"/>
  <c r="BN64" i="1"/>
  <c r="BQ69" i="1"/>
  <c r="BU61" i="1"/>
  <c r="BQ64" i="1"/>
  <c r="BT69" i="1"/>
  <c r="BT64" i="1"/>
  <c r="BX61" i="1"/>
  <c r="BH61" i="1"/>
  <c r="BD69" i="1"/>
  <c r="BD64" i="1"/>
  <c r="BV69" i="1"/>
  <c r="BV64" i="1"/>
  <c r="AX64" i="1"/>
  <c r="BB61" i="1"/>
  <c r="AX69" i="1"/>
  <c r="AO61" i="1"/>
  <c r="AK64" i="1"/>
  <c r="AK69" i="1"/>
  <c r="AS69" i="1"/>
  <c r="AS64" i="1"/>
  <c r="AW61" i="1"/>
  <c r="AZ64" i="1"/>
  <c r="AZ69" i="1"/>
  <c r="AZ70" i="1" s="1"/>
  <c r="BD61" i="1"/>
  <c r="BA61" i="1"/>
  <c r="BA69" i="1"/>
  <c r="BA64" i="1"/>
  <c r="BE61" i="1"/>
  <c r="BK69" i="1"/>
  <c r="BO61" i="1"/>
  <c r="BK64" i="1"/>
  <c r="AU61" i="1"/>
  <c r="AY61" i="1"/>
  <c r="AU64" i="1"/>
  <c r="AU69" i="1"/>
  <c r="AU70" i="1" s="1"/>
  <c r="AT61" i="1"/>
  <c r="AP64" i="1"/>
  <c r="AP69" i="1"/>
  <c r="BU20" i="1"/>
  <c r="BU18" i="1"/>
  <c r="BX7" i="1"/>
  <c r="BT7" i="1"/>
  <c r="BU12" i="1"/>
  <c r="BU22" i="1"/>
  <c r="BU13" i="1"/>
  <c r="BU15" i="1"/>
  <c r="AR7" i="1"/>
  <c r="AS15" i="1"/>
  <c r="AS13" i="1"/>
  <c r="AS18" i="1"/>
  <c r="AS12" i="1"/>
  <c r="AS14" i="1" s="1"/>
  <c r="AS17" i="1" s="1"/>
  <c r="AS19" i="1" s="1"/>
  <c r="AS20" i="1"/>
  <c r="AS22" i="1"/>
  <c r="AT12" i="1"/>
  <c r="AT15" i="1"/>
  <c r="AT18" i="1"/>
  <c r="AS7" i="1"/>
  <c r="AT20" i="1"/>
  <c r="AT13" i="1"/>
  <c r="AT22" i="1"/>
  <c r="AU12" i="1"/>
  <c r="AU15" i="1"/>
  <c r="AU20" i="1"/>
  <c r="AU22" i="1"/>
  <c r="AU18" i="1"/>
  <c r="AT7" i="1"/>
  <c r="AU13" i="1"/>
  <c r="BM18" i="1"/>
  <c r="BM15" i="1"/>
  <c r="BM22" i="1"/>
  <c r="BM20" i="1"/>
  <c r="BM12" i="1"/>
  <c r="BM13" i="1"/>
  <c r="BL7" i="1"/>
  <c r="AO13" i="1"/>
  <c r="AN7" i="1"/>
  <c r="AO12" i="1"/>
  <c r="AO14" i="1" s="1"/>
  <c r="AO15" i="1"/>
  <c r="AO18" i="1"/>
  <c r="AO20" i="1"/>
  <c r="AO22" i="1"/>
  <c r="AR61" i="1"/>
  <c r="AN64" i="1"/>
  <c r="AN69" i="1"/>
  <c r="BN20" i="1"/>
  <c r="BN13" i="1"/>
  <c r="BN15" i="1"/>
  <c r="BN18" i="1"/>
  <c r="BN22" i="1"/>
  <c r="BN12" i="1"/>
  <c r="BN14" i="1" s="1"/>
  <c r="BN17" i="1" s="1"/>
  <c r="BN19" i="1" s="1"/>
  <c r="BN21" i="1" s="1"/>
  <c r="BN23" i="1" s="1"/>
  <c r="BM7" i="1"/>
  <c r="BZ122" i="1"/>
  <c r="BB20" i="1"/>
  <c r="BB15" i="1"/>
  <c r="BB18" i="1"/>
  <c r="BB13" i="1"/>
  <c r="BA7" i="1"/>
  <c r="BB12" i="1"/>
  <c r="BB14" i="1" s="1"/>
  <c r="BB17" i="1" s="1"/>
  <c r="BB19" i="1" s="1"/>
  <c r="BB21" i="1" s="1"/>
  <c r="BB22" i="1"/>
  <c r="BC18" i="1"/>
  <c r="BB7" i="1"/>
  <c r="BC12" i="1"/>
  <c r="BC13" i="1"/>
  <c r="BC22" i="1"/>
  <c r="BC20" i="1"/>
  <c r="BC15" i="1"/>
  <c r="BZ41" i="1"/>
  <c r="BZ39" i="1"/>
  <c r="BZ44" i="1"/>
  <c r="BZ53" i="1"/>
  <c r="BZ12" i="1"/>
  <c r="BV14" i="1"/>
  <c r="BV17" i="1" s="1"/>
  <c r="BV19" i="1" s="1"/>
  <c r="BV21" i="1" s="1"/>
  <c r="BV23" i="1" s="1"/>
  <c r="BF7" i="1"/>
  <c r="BG20" i="1"/>
  <c r="BG18" i="1"/>
  <c r="BG15" i="1"/>
  <c r="BG22" i="1"/>
  <c r="BG13" i="1"/>
  <c r="BG12" i="1"/>
  <c r="BG14" i="1" s="1"/>
  <c r="BG17" i="1" s="1"/>
  <c r="BG19" i="1" s="1"/>
  <c r="BG21" i="1" s="1"/>
  <c r="BG23" i="1" s="1"/>
  <c r="BH20" i="1"/>
  <c r="BH12" i="1"/>
  <c r="BH18" i="1"/>
  <c r="BG7" i="1"/>
  <c r="BH15" i="1"/>
  <c r="BH22" i="1"/>
  <c r="BH13" i="1"/>
  <c r="BD18" i="1"/>
  <c r="BC7" i="1"/>
  <c r="BD13" i="1"/>
  <c r="BD22" i="1"/>
  <c r="BD20" i="1"/>
  <c r="BD12" i="1"/>
  <c r="BD15" i="1"/>
  <c r="BD7" i="1"/>
  <c r="BE15" i="1"/>
  <c r="BE13" i="1"/>
  <c r="BE22" i="1"/>
  <c r="BE18" i="1"/>
  <c r="BE12" i="1"/>
  <c r="BE14" i="1" s="1"/>
  <c r="BE17" i="1" s="1"/>
  <c r="BE19" i="1" s="1"/>
  <c r="BE21" i="1" s="1"/>
  <c r="BE23" i="1" s="1"/>
  <c r="BE20" i="1"/>
  <c r="BJ18" i="1"/>
  <c r="BI7" i="1"/>
  <c r="BJ12" i="1"/>
  <c r="BJ15" i="1"/>
  <c r="BJ13" i="1"/>
  <c r="BJ20" i="1"/>
  <c r="BJ22" i="1"/>
  <c r="BK18" i="1"/>
  <c r="BK15" i="1"/>
  <c r="BK13" i="1"/>
  <c r="BK22" i="1"/>
  <c r="BK20" i="1"/>
  <c r="BK12" i="1"/>
  <c r="BK14" i="1" s="1"/>
  <c r="BK17" i="1" s="1"/>
  <c r="BK19" i="1" s="1"/>
  <c r="BK21" i="1" s="1"/>
  <c r="BK23" i="1" s="1"/>
  <c r="BJ7" i="1"/>
  <c r="BR22" i="1"/>
  <c r="BR13" i="1"/>
  <c r="BR18" i="1"/>
  <c r="BR20" i="1"/>
  <c r="BR12" i="1"/>
  <c r="BR14" i="1" s="1"/>
  <c r="BQ7" i="1"/>
  <c r="BR15" i="1"/>
  <c r="AQ18" i="1"/>
  <c r="AQ12" i="1"/>
  <c r="AP7" i="1"/>
  <c r="AQ22" i="1"/>
  <c r="AQ13" i="1"/>
  <c r="AQ20" i="1"/>
  <c r="AQ15" i="1"/>
  <c r="AQ7" i="1"/>
  <c r="AR20" i="1"/>
  <c r="AR13" i="1"/>
  <c r="AR18" i="1"/>
  <c r="AR12" i="1"/>
  <c r="AR14" i="1" s="1"/>
  <c r="AR17" i="1" s="1"/>
  <c r="AR19" i="1" s="1"/>
  <c r="AR21" i="1" s="1"/>
  <c r="AR23" i="1" s="1"/>
  <c r="AR15" i="1"/>
  <c r="AR22" i="1"/>
  <c r="BI13" i="1"/>
  <c r="BI18" i="1"/>
  <c r="BI20" i="1"/>
  <c r="BI22" i="1"/>
  <c r="BI15" i="1"/>
  <c r="BI12" i="1"/>
  <c r="BI14" i="1" s="1"/>
  <c r="BI17" i="1" s="1"/>
  <c r="BI19" i="1" s="1"/>
  <c r="BI21" i="1" s="1"/>
  <c r="BI23" i="1" s="1"/>
  <c r="BH7" i="1"/>
  <c r="AV61" i="1"/>
  <c r="AZ61" i="1"/>
  <c r="AV64" i="1"/>
  <c r="AV69" i="1"/>
  <c r="CA12" i="1"/>
  <c r="BW14" i="1"/>
  <c r="BW17" i="1" s="1"/>
  <c r="BW19" i="1" s="1"/>
  <c r="BW21" i="1" s="1"/>
  <c r="BW23" i="1" s="1"/>
  <c r="BR7" i="1"/>
  <c r="BS12" i="1"/>
  <c r="BS15" i="1"/>
  <c r="BS20" i="1"/>
  <c r="BS22" i="1"/>
  <c r="Z5" i="1"/>
  <c r="BS18" i="1"/>
  <c r="BS13" i="1"/>
  <c r="AX20" i="1"/>
  <c r="AX15" i="1"/>
  <c r="AX12" i="1"/>
  <c r="AW7" i="1"/>
  <c r="AX18" i="1"/>
  <c r="AX22" i="1"/>
  <c r="AX13" i="1"/>
  <c r="AU7" i="1"/>
  <c r="AV18" i="1"/>
  <c r="AV15" i="1"/>
  <c r="AV13" i="1"/>
  <c r="AV12" i="1"/>
  <c r="AV14" i="1" s="1"/>
  <c r="AV17" i="1" s="1"/>
  <c r="AV19" i="1" s="1"/>
  <c r="AV22" i="1"/>
  <c r="AV20" i="1"/>
  <c r="AX7" i="1"/>
  <c r="AY12" i="1"/>
  <c r="AY14" i="1" s="1"/>
  <c r="AY17" i="1" s="1"/>
  <c r="AY19" i="1" s="1"/>
  <c r="AY21" i="1" s="1"/>
  <c r="AY23" i="1" s="1"/>
  <c r="AY15" i="1"/>
  <c r="AY22" i="1"/>
  <c r="AY13" i="1"/>
  <c r="AY20" i="1"/>
  <c r="AY18" i="1"/>
  <c r="BO7" i="1"/>
  <c r="BP13" i="1"/>
  <c r="BP15" i="1"/>
  <c r="BP20" i="1"/>
  <c r="BP22" i="1"/>
  <c r="BP18" i="1"/>
  <c r="BP12" i="1"/>
  <c r="BP14" i="1" s="1"/>
  <c r="BP17" i="1" s="1"/>
  <c r="BP19" i="1" s="1"/>
  <c r="BP21" i="1" s="1"/>
  <c r="BP23" i="1" s="1"/>
  <c r="BQ13" i="1"/>
  <c r="BQ12" i="1"/>
  <c r="BQ14" i="1" s="1"/>
  <c r="BQ20" i="1"/>
  <c r="BP7" i="1"/>
  <c r="BQ22" i="1"/>
  <c r="BQ15" i="1"/>
  <c r="BQ18" i="1"/>
  <c r="AN61" i="1"/>
  <c r="AM70" i="1"/>
  <c r="AP61" i="1"/>
  <c r="BF23" i="1"/>
  <c r="BH70" i="1"/>
  <c r="AK14" i="1"/>
  <c r="AK17" i="1" s="1"/>
  <c r="AK19" i="1" s="1"/>
  <c r="AK21" i="1" s="1"/>
  <c r="AK23" i="1" s="1"/>
  <c r="AL14" i="1"/>
  <c r="AL17" i="1" s="1"/>
  <c r="AL19" i="1" s="1"/>
  <c r="AL21" i="1" s="1"/>
  <c r="AL23" i="1" s="1"/>
  <c r="AJ17" i="1"/>
  <c r="AJ19" i="1" s="1"/>
  <c r="AJ21" i="1" s="1"/>
  <c r="AJ23" i="1" s="1"/>
  <c r="AI14" i="1"/>
  <c r="AI17" i="1" s="1"/>
  <c r="AI19" i="1" s="1"/>
  <c r="AI21" i="1" s="1"/>
  <c r="AI23" i="1" s="1"/>
  <c r="AM14" i="1"/>
  <c r="AM17" i="1" s="1"/>
  <c r="AM19" i="1" s="1"/>
  <c r="AM21" i="1" s="1"/>
  <c r="AM23" i="1" s="1"/>
  <c r="AP14" i="1"/>
  <c r="AP17" i="1" s="1"/>
  <c r="AP19" i="1" s="1"/>
  <c r="AP21" i="1" s="1"/>
  <c r="AP23" i="1" s="1"/>
  <c r="AV7" i="1"/>
  <c r="AW23" i="1"/>
  <c r="BT17" i="1"/>
  <c r="BT19" i="1" s="1"/>
  <c r="BT21" i="1" s="1"/>
  <c r="BT23" i="1" s="1"/>
  <c r="BS7" i="1"/>
  <c r="BU7" i="1"/>
  <c r="AZ14" i="1"/>
  <c r="AZ17" i="1" s="1"/>
  <c r="AZ19" i="1" s="1"/>
  <c r="AZ21" i="1" s="1"/>
  <c r="AZ23" i="1" s="1"/>
  <c r="AY7" i="1"/>
  <c r="BL21" i="1"/>
  <c r="BL23" i="1" s="1"/>
  <c r="BO14" i="1"/>
  <c r="BO17" i="1" s="1"/>
  <c r="BO19" i="1" s="1"/>
  <c r="BO21" i="1" s="1"/>
  <c r="BO23" i="1" s="1"/>
  <c r="Y5" i="1"/>
  <c r="BV7" i="1"/>
  <c r="CB81" i="1" l="1"/>
  <c r="CB82" i="1" s="1"/>
  <c r="CA34" i="1"/>
  <c r="CA119" i="1"/>
  <c r="CA122" i="1" s="1"/>
  <c r="CJ32" i="1"/>
  <c r="CC27" i="1"/>
  <c r="CC123" i="1" s="1"/>
  <c r="CB26" i="1"/>
  <c r="CB117" i="1" s="1"/>
  <c r="CA15" i="1"/>
  <c r="CA13" i="1"/>
  <c r="CA18" i="1"/>
  <c r="CA20" i="1"/>
  <c r="BD14" i="1"/>
  <c r="BD17" i="1" s="1"/>
  <c r="BD19" i="1" s="1"/>
  <c r="BD21" i="1" s="1"/>
  <c r="BD23" i="1" s="1"/>
  <c r="CD31" i="1"/>
  <c r="CC30" i="1"/>
  <c r="BM14" i="1"/>
  <c r="BM17" i="1" s="1"/>
  <c r="BM19" i="1" s="1"/>
  <c r="BM21" i="1" s="1"/>
  <c r="BM23" i="1" s="1"/>
  <c r="AO17" i="1"/>
  <c r="AO19" i="1" s="1"/>
  <c r="AO21" i="1" s="1"/>
  <c r="AO23" i="1" s="1"/>
  <c r="BB23" i="1"/>
  <c r="BR17" i="1"/>
  <c r="BR19" i="1" s="1"/>
  <c r="BR21" i="1" s="1"/>
  <c r="BR23" i="1" s="1"/>
  <c r="CB12" i="1"/>
  <c r="BP70" i="1"/>
  <c r="BO70" i="1"/>
  <c r="BS70" i="1"/>
  <c r="BR70" i="1"/>
  <c r="BQ70" i="1"/>
  <c r="BU70" i="1"/>
  <c r="BT70" i="1"/>
  <c r="BG70" i="1"/>
  <c r="BF70" i="1"/>
  <c r="BE70" i="1"/>
  <c r="BD70" i="1"/>
  <c r="BW70" i="1"/>
  <c r="BY70" i="1"/>
  <c r="BY72" i="1" s="1"/>
  <c r="BV70" i="1"/>
  <c r="BX70" i="1"/>
  <c r="AY70" i="1"/>
  <c r="AX70" i="1"/>
  <c r="AL70" i="1"/>
  <c r="AK70" i="1"/>
  <c r="AT70" i="1"/>
  <c r="AS70" i="1"/>
  <c r="BC70" i="1"/>
  <c r="BB70" i="1"/>
  <c r="BA70" i="1"/>
  <c r="BM70" i="1"/>
  <c r="BL70" i="1"/>
  <c r="BK70" i="1"/>
  <c r="AR70" i="1"/>
  <c r="AQ70" i="1"/>
  <c r="AP70" i="1"/>
  <c r="CA89" i="1"/>
  <c r="AO70" i="1"/>
  <c r="AN70" i="1"/>
  <c r="BZ89" i="1"/>
  <c r="BZ50" i="1"/>
  <c r="BZ38" i="1"/>
  <c r="BZ14" i="1"/>
  <c r="BZ17" i="1" s="1"/>
  <c r="BZ19" i="1" s="1"/>
  <c r="BZ21" i="1" s="1"/>
  <c r="AW70" i="1"/>
  <c r="AV70" i="1"/>
  <c r="CA14" i="1"/>
  <c r="CA17" i="1" s="1"/>
  <c r="CA19" i="1" s="1"/>
  <c r="CA21" i="1" s="1"/>
  <c r="AA7" i="1"/>
  <c r="AA22" i="1"/>
  <c r="AA12" i="1"/>
  <c r="AA18" i="1"/>
  <c r="AA13" i="1"/>
  <c r="AA15" i="1"/>
  <c r="AA20" i="1"/>
  <c r="Z7" i="1"/>
  <c r="Y7" i="1"/>
  <c r="Z15" i="1"/>
  <c r="Z12" i="1"/>
  <c r="Z14" i="1" s="1"/>
  <c r="Z17" i="1" s="1"/>
  <c r="Z20" i="1"/>
  <c r="Z13" i="1"/>
  <c r="Z18" i="1"/>
  <c r="Z22" i="1"/>
  <c r="BN70" i="1"/>
  <c r="BU14" i="1"/>
  <c r="BU17" i="1" s="1"/>
  <c r="BU19" i="1" s="1"/>
  <c r="BU21" i="1" s="1"/>
  <c r="BU23" i="1" s="1"/>
  <c r="AS21" i="1"/>
  <c r="AS23" i="1" s="1"/>
  <c r="AT14" i="1"/>
  <c r="AT17" i="1" s="1"/>
  <c r="AT19" i="1" s="1"/>
  <c r="AT21" i="1" s="1"/>
  <c r="AT23" i="1" s="1"/>
  <c r="AU14" i="1"/>
  <c r="AU17" i="1" s="1"/>
  <c r="AU19" i="1" s="1"/>
  <c r="AU21" i="1" s="1"/>
  <c r="AU23" i="1" s="1"/>
  <c r="BS14" i="1"/>
  <c r="BS17" i="1" s="1"/>
  <c r="BS19" i="1" s="1"/>
  <c r="BS21" i="1" s="1"/>
  <c r="BS23" i="1" s="1"/>
  <c r="AX14" i="1"/>
  <c r="AX17" i="1" s="1"/>
  <c r="AX19" i="1" s="1"/>
  <c r="AX21" i="1" s="1"/>
  <c r="AX23" i="1" s="1"/>
  <c r="AV21" i="1"/>
  <c r="AV23" i="1" s="1"/>
  <c r="BQ17" i="1"/>
  <c r="BQ19" i="1" s="1"/>
  <c r="BQ21" i="1" s="1"/>
  <c r="BQ23" i="1" s="1"/>
  <c r="BC14" i="1"/>
  <c r="BC17" i="1" s="1"/>
  <c r="BC19" i="1" s="1"/>
  <c r="BC21" i="1" s="1"/>
  <c r="BC23" i="1" s="1"/>
  <c r="BH14" i="1"/>
  <c r="BH17" i="1" s="1"/>
  <c r="BH19" i="1" s="1"/>
  <c r="BH21" i="1" s="1"/>
  <c r="BH23" i="1" s="1"/>
  <c r="BJ14" i="1"/>
  <c r="BJ17" i="1" s="1"/>
  <c r="BJ19" i="1" s="1"/>
  <c r="BJ21" i="1" s="1"/>
  <c r="BJ23" i="1" s="1"/>
  <c r="AQ14" i="1"/>
  <c r="AQ17" i="1" s="1"/>
  <c r="AQ19" i="1" s="1"/>
  <c r="AQ21" i="1" s="1"/>
  <c r="AQ23" i="1" s="1"/>
  <c r="CK32" i="1" l="1"/>
  <c r="AB123" i="1"/>
  <c r="CC81" i="1"/>
  <c r="CC82" i="1" s="1"/>
  <c r="CB119" i="1"/>
  <c r="CB122" i="1" s="1"/>
  <c r="CB89" i="1" s="1"/>
  <c r="CD15" i="1"/>
  <c r="CE15" i="1"/>
  <c r="CD13" i="1"/>
  <c r="CD18" i="1"/>
  <c r="CE18" i="1"/>
  <c r="CD20" i="1"/>
  <c r="CE20" i="1"/>
  <c r="CD27" i="1"/>
  <c r="CD123" i="1" s="1"/>
  <c r="CC26" i="1"/>
  <c r="CC117" i="1" s="1"/>
  <c r="CB14" i="1"/>
  <c r="CB17" i="1" s="1"/>
  <c r="CB19" i="1" s="1"/>
  <c r="CB21" i="1" s="1"/>
  <c r="Z19" i="1"/>
  <c r="Z21" i="1" s="1"/>
  <c r="Z23" i="1" s="1"/>
  <c r="CB34" i="1"/>
  <c r="CB15" i="1"/>
  <c r="CC15" i="1"/>
  <c r="CB13" i="1"/>
  <c r="CC13" i="1"/>
  <c r="CB18" i="1"/>
  <c r="CC18" i="1"/>
  <c r="CB20" i="1"/>
  <c r="CC20" i="1"/>
  <c r="CE31" i="1"/>
  <c r="CD30" i="1"/>
  <c r="CE30" i="1"/>
  <c r="CC12" i="1"/>
  <c r="CA90" i="1"/>
  <c r="BZ90" i="1"/>
  <c r="BZ40" i="1"/>
  <c r="AA14" i="1"/>
  <c r="AA17" i="1" s="1"/>
  <c r="AA19" i="1" s="1"/>
  <c r="AA21" i="1" s="1"/>
  <c r="AA23" i="1" s="1"/>
  <c r="CL32" i="1" l="1"/>
  <c r="CM32" i="1"/>
  <c r="AB31" i="1"/>
  <c r="CB90" i="1"/>
  <c r="CD81" i="1"/>
  <c r="CD82" i="1" s="1"/>
  <c r="AB117" i="1"/>
  <c r="CC119" i="1"/>
  <c r="CC122" i="1" s="1"/>
  <c r="CE27" i="1"/>
  <c r="CE123" i="1" s="1"/>
  <c r="CF31" i="1"/>
  <c r="CD26" i="1"/>
  <c r="CD117" i="1" s="1"/>
  <c r="CE26" i="1"/>
  <c r="CE117" i="1" s="1"/>
  <c r="CC14" i="1"/>
  <c r="CC17" i="1" s="1"/>
  <c r="CC19" i="1" s="1"/>
  <c r="CC21" i="1" s="1"/>
  <c r="CD12" i="1"/>
  <c r="CF30" i="1"/>
  <c r="CF15" i="1"/>
  <c r="CG15" i="1"/>
  <c r="CF18" i="1"/>
  <c r="CG18" i="1"/>
  <c r="CF20" i="1"/>
  <c r="CG20" i="1"/>
  <c r="CC34" i="1"/>
  <c r="CH15" i="1"/>
  <c r="CE13" i="1"/>
  <c r="CH18" i="1"/>
  <c r="CH20" i="1"/>
  <c r="BZ88" i="1"/>
  <c r="BZ42" i="1"/>
  <c r="AB30" i="1" l="1"/>
  <c r="AB119" i="1"/>
  <c r="AB122" i="1"/>
  <c r="AB32" i="1" s="1"/>
  <c r="CC89" i="1"/>
  <c r="CE81" i="1"/>
  <c r="CE82" i="1" s="1"/>
  <c r="CE34" i="1"/>
  <c r="CG31" i="1"/>
  <c r="CH31" i="1"/>
  <c r="CF27" i="1"/>
  <c r="CF123" i="1" s="1"/>
  <c r="CD119" i="1"/>
  <c r="CD122" i="1" s="1"/>
  <c r="CD89" i="1" s="1"/>
  <c r="CE119" i="1"/>
  <c r="CE122" i="1" s="1"/>
  <c r="CE89" i="1" s="1"/>
  <c r="CD14" i="1"/>
  <c r="CD17" i="1" s="1"/>
  <c r="CD19" i="1" s="1"/>
  <c r="CD21" i="1" s="1"/>
  <c r="CG30" i="1"/>
  <c r="CF26" i="1"/>
  <c r="CF117" i="1" s="1"/>
  <c r="CI15" i="1"/>
  <c r="CJ15" i="1"/>
  <c r="CI18" i="1"/>
  <c r="CJ18" i="1"/>
  <c r="CI20" i="1"/>
  <c r="CJ20" i="1"/>
  <c r="CE12" i="1"/>
  <c r="CK15" i="1"/>
  <c r="CF13" i="1"/>
  <c r="CG13" i="1"/>
  <c r="CK18" i="1"/>
  <c r="CK20" i="1"/>
  <c r="CN32" i="1"/>
  <c r="CO32" i="1" s="1"/>
  <c r="AB34" i="1"/>
  <c r="CD34" i="1"/>
  <c r="BZ43" i="1"/>
  <c r="BZ51" i="1"/>
  <c r="CC90" i="1" l="1"/>
  <c r="CD90" i="1"/>
  <c r="CG27" i="1"/>
  <c r="CG123" i="1" s="1"/>
  <c r="CH27" i="1"/>
  <c r="CH123" i="1" s="1"/>
  <c r="CF81" i="1"/>
  <c r="CF82" i="1" s="1"/>
  <c r="CF34" i="1"/>
  <c r="CH30" i="1"/>
  <c r="CG26" i="1"/>
  <c r="CG117" i="1" s="1"/>
  <c r="CF119" i="1"/>
  <c r="CF122" i="1" s="1"/>
  <c r="CF89" i="1" s="1"/>
  <c r="CL15" i="1"/>
  <c r="CM15" i="1"/>
  <c r="CL18" i="1"/>
  <c r="CM18" i="1"/>
  <c r="CL20" i="1"/>
  <c r="CM20" i="1"/>
  <c r="CE14" i="1"/>
  <c r="CE17" i="1" s="1"/>
  <c r="CE19" i="1" s="1"/>
  <c r="CE21" i="1" s="1"/>
  <c r="CE90" i="1"/>
  <c r="CF12" i="1"/>
  <c r="CN15" i="1"/>
  <c r="CN18" i="1"/>
  <c r="CN20" i="1"/>
  <c r="CH13" i="1"/>
  <c r="CI13" i="1"/>
  <c r="CG12" i="1"/>
  <c r="CJ13" i="1"/>
  <c r="CI31" i="1"/>
  <c r="BZ52" i="1"/>
  <c r="BZ54" i="1"/>
  <c r="AC123" i="1" l="1"/>
  <c r="AC31" i="1" s="1"/>
  <c r="CG81" i="1"/>
  <c r="CG82" i="1" s="1"/>
  <c r="CG34" i="1"/>
  <c r="CH81" i="1"/>
  <c r="CH82" i="1" s="1"/>
  <c r="CJ30" i="1"/>
  <c r="CH26" i="1"/>
  <c r="CH117" i="1" s="1"/>
  <c r="CG119" i="1"/>
  <c r="CG122" i="1" s="1"/>
  <c r="AC117" i="1"/>
  <c r="CF90" i="1"/>
  <c r="CF14" i="1"/>
  <c r="CF17" i="1" s="1"/>
  <c r="CF19" i="1" s="1"/>
  <c r="CF21" i="1" s="1"/>
  <c r="CK13" i="1"/>
  <c r="CL13" i="1"/>
  <c r="CG14" i="1"/>
  <c r="CG17" i="1" s="1"/>
  <c r="CG19" i="1" s="1"/>
  <c r="CG21" i="1" s="1"/>
  <c r="CI27" i="1"/>
  <c r="CI123" i="1" s="1"/>
  <c r="CI30" i="1"/>
  <c r="CJ31" i="1"/>
  <c r="CH12" i="1"/>
  <c r="CO15" i="1"/>
  <c r="CO18" i="1"/>
  <c r="CO20" i="1"/>
  <c r="CM13" i="1"/>
  <c r="BZ55" i="1"/>
  <c r="CJ26" i="1" l="1"/>
  <c r="CJ117" i="1" s="1"/>
  <c r="CH119" i="1"/>
  <c r="CH122" i="1" s="1"/>
  <c r="CH89" i="1" s="1"/>
  <c r="AC122" i="1"/>
  <c r="CG89" i="1"/>
  <c r="AC119" i="1"/>
  <c r="AC30" i="1"/>
  <c r="CN13" i="1"/>
  <c r="CO13" i="1"/>
  <c r="CI81" i="1"/>
  <c r="CI82" i="1" s="1"/>
  <c r="CI26" i="1"/>
  <c r="CI117" i="1" s="1"/>
  <c r="CK30" i="1"/>
  <c r="CJ27" i="1"/>
  <c r="CJ123" i="1" s="1"/>
  <c r="CH14" i="1"/>
  <c r="CH17" i="1" s="1"/>
  <c r="CH19" i="1" s="1"/>
  <c r="CH21" i="1" s="1"/>
  <c r="CH34" i="1"/>
  <c r="CK31" i="1"/>
  <c r="CI12" i="1"/>
  <c r="BZ56" i="1"/>
  <c r="BZ60" i="1" s="1"/>
  <c r="BZ61" i="1"/>
  <c r="BZ112" i="1"/>
  <c r="BZ69" i="1"/>
  <c r="BZ70" i="1" s="1"/>
  <c r="BZ22" i="1"/>
  <c r="BZ23" i="1" s="1"/>
  <c r="CJ119" i="1" l="1"/>
  <c r="CJ122" i="1" s="1"/>
  <c r="CJ89" i="1" s="1"/>
  <c r="CG90" i="1"/>
  <c r="CH90" i="1"/>
  <c r="CI119" i="1"/>
  <c r="CI122" i="1" s="1"/>
  <c r="CI89" i="1" s="1"/>
  <c r="CK26" i="1"/>
  <c r="CK117" i="1" s="1"/>
  <c r="CL30" i="1"/>
  <c r="CL26" i="1" s="1"/>
  <c r="CL117" i="1" s="1"/>
  <c r="CL119" i="1" s="1"/>
  <c r="CL122" i="1" s="1"/>
  <c r="CJ81" i="1"/>
  <c r="CJ82" i="1" s="1"/>
  <c r="CJ34" i="1"/>
  <c r="CK27" i="1"/>
  <c r="CK123" i="1" s="1"/>
  <c r="CI14" i="1"/>
  <c r="CI17" i="1" s="1"/>
  <c r="CI19" i="1" s="1"/>
  <c r="CI21" i="1" s="1"/>
  <c r="AC32" i="1"/>
  <c r="CI34" i="1"/>
  <c r="CK12" i="1"/>
  <c r="CL31" i="1"/>
  <c r="CM30" i="1"/>
  <c r="CJ12" i="1"/>
  <c r="BZ113" i="1"/>
  <c r="CI90" i="1" l="1"/>
  <c r="CJ90" i="1"/>
  <c r="CK119" i="1"/>
  <c r="CK122" i="1" s="1"/>
  <c r="AD117" i="1"/>
  <c r="AD123" i="1"/>
  <c r="AD31" i="1" s="1"/>
  <c r="CK81" i="1"/>
  <c r="CK82" i="1" s="1"/>
  <c r="CK34" i="1"/>
  <c r="CK14" i="1"/>
  <c r="CK17" i="1" s="1"/>
  <c r="CK19" i="1" s="1"/>
  <c r="CK21" i="1" s="1"/>
  <c r="CM31" i="1"/>
  <c r="CL27" i="1"/>
  <c r="CL123" i="1" s="1"/>
  <c r="CJ14" i="1"/>
  <c r="CJ17" i="1" s="1"/>
  <c r="CJ19" i="1" s="1"/>
  <c r="CJ21" i="1" s="1"/>
  <c r="CN30" i="1"/>
  <c r="CN26" i="1" s="1"/>
  <c r="CN117" i="1" s="1"/>
  <c r="CN119" i="1" s="1"/>
  <c r="CN122" i="1" s="1"/>
  <c r="CL12" i="1"/>
  <c r="CM26" i="1"/>
  <c r="CM117" i="1" s="1"/>
  <c r="CM119" i="1" s="1"/>
  <c r="CM122" i="1" s="1"/>
  <c r="BZ9" i="1"/>
  <c r="BZ120" i="1"/>
  <c r="BZ136" i="1"/>
  <c r="BZ73" i="1"/>
  <c r="BZ74" i="1" s="1"/>
  <c r="BZ4" i="1"/>
  <c r="AD122" i="1" l="1"/>
  <c r="CK89" i="1"/>
  <c r="AD119" i="1"/>
  <c r="AD30" i="1"/>
  <c r="CM27" i="1"/>
  <c r="CM123" i="1" s="1"/>
  <c r="CL89" i="1"/>
  <c r="CL34" i="1"/>
  <c r="CL81" i="1"/>
  <c r="CL82" i="1" s="1"/>
  <c r="CM12" i="1"/>
  <c r="CL14" i="1"/>
  <c r="CL17" i="1" s="1"/>
  <c r="CL19" i="1" s="1"/>
  <c r="CL21" i="1" s="1"/>
  <c r="CN31" i="1"/>
  <c r="CN27" i="1" s="1"/>
  <c r="CN123" i="1" s="1"/>
  <c r="CO30" i="1"/>
  <c r="CO26" i="1" s="1"/>
  <c r="CO117" i="1" s="1"/>
  <c r="BZ5" i="1"/>
  <c r="BZ129" i="1"/>
  <c r="BZ132" i="1" s="1"/>
  <c r="BZ133" i="1" s="1"/>
  <c r="BZ105" i="1"/>
  <c r="BZ99" i="1"/>
  <c r="BZ98" i="1"/>
  <c r="CK90" i="1" l="1"/>
  <c r="CL90" i="1"/>
  <c r="CM89" i="1"/>
  <c r="CM81" i="1"/>
  <c r="CM82" i="1" s="1"/>
  <c r="CM34" i="1"/>
  <c r="CN12" i="1"/>
  <c r="CN14" i="1" s="1"/>
  <c r="CN17" i="1" s="1"/>
  <c r="CN19" i="1" s="1"/>
  <c r="CN21" i="1" s="1"/>
  <c r="CM14" i="1"/>
  <c r="CM17" i="1" s="1"/>
  <c r="CM19" i="1" s="1"/>
  <c r="CM21" i="1" s="1"/>
  <c r="CN34" i="1"/>
  <c r="CN81" i="1"/>
  <c r="CN82" i="1" s="1"/>
  <c r="CN89" i="1"/>
  <c r="CO119" i="1"/>
  <c r="CO122" i="1" s="1"/>
  <c r="AE117" i="1"/>
  <c r="AD32" i="1"/>
  <c r="CO31" i="1"/>
  <c r="CO27" i="1" s="1"/>
  <c r="CO123" i="1" s="1"/>
  <c r="CA38" i="1"/>
  <c r="CA39" i="1"/>
  <c r="CA41" i="1"/>
  <c r="CA53" i="1"/>
  <c r="CA44" i="1"/>
  <c r="BZ7" i="1"/>
  <c r="BZ102" i="1"/>
  <c r="BZ101" i="1"/>
  <c r="CM90" i="1" l="1"/>
  <c r="CN90" i="1"/>
  <c r="AE122" i="1"/>
  <c r="CO89" i="1"/>
  <c r="CO90" i="1" s="1"/>
  <c r="AE30" i="1"/>
  <c r="AE119" i="1"/>
  <c r="CO34" i="1"/>
  <c r="CO81" i="1"/>
  <c r="CO82" i="1" s="1"/>
  <c r="AE123" i="1"/>
  <c r="AE31" i="1" s="1"/>
  <c r="CO12" i="1"/>
  <c r="CO14" i="1" s="1"/>
  <c r="CO17" i="1" s="1"/>
  <c r="CO19" i="1" s="1"/>
  <c r="CO21" i="1" s="1"/>
  <c r="CA50" i="1"/>
  <c r="CA40" i="1"/>
  <c r="AE32" i="1" l="1"/>
  <c r="CA88" i="1"/>
  <c r="CA42" i="1"/>
  <c r="CA51" i="1" l="1"/>
  <c r="CA43" i="1"/>
  <c r="CA54" i="1" l="1"/>
  <c r="CA52" i="1"/>
  <c r="CA55" i="1" l="1"/>
  <c r="CA22" i="1" l="1"/>
  <c r="CA23" i="1" s="1"/>
  <c r="CA56" i="1"/>
  <c r="CA60" i="1" s="1"/>
  <c r="CA61" i="1" l="1"/>
  <c r="CA69" i="1"/>
  <c r="CA112" i="1"/>
  <c r="CA70" i="1" l="1"/>
  <c r="CA113" i="1"/>
  <c r="CA4" i="1" s="1"/>
  <c r="CA120" i="1" l="1"/>
  <c r="CA5" i="1" s="1"/>
  <c r="CA9" i="1"/>
  <c r="CA136" i="1"/>
  <c r="CA73" i="1"/>
  <c r="CA74" i="1" s="1"/>
  <c r="CA7" i="1" l="1"/>
  <c r="CB53" i="1"/>
  <c r="CB39" i="1"/>
  <c r="CB44" i="1"/>
  <c r="CB38" i="1"/>
  <c r="CB41" i="1"/>
  <c r="CA129" i="1"/>
  <c r="CA132" i="1" s="1"/>
  <c r="CA133" i="1" s="1"/>
  <c r="CA105" i="1"/>
  <c r="CA99" i="1"/>
  <c r="CA98" i="1"/>
  <c r="CB50" i="1" l="1"/>
  <c r="CB40" i="1"/>
  <c r="CA102" i="1"/>
  <c r="CA101" i="1"/>
  <c r="CB42" i="1" l="1"/>
  <c r="CB88" i="1"/>
  <c r="CB51" i="1" l="1"/>
  <c r="CB43" i="1"/>
  <c r="CB54" i="1" l="1"/>
  <c r="CB52" i="1"/>
  <c r="CB55" i="1" l="1"/>
  <c r="CB22" i="1" l="1"/>
  <c r="CB23" i="1" s="1"/>
  <c r="CB56" i="1"/>
  <c r="CB60" i="1" s="1"/>
  <c r="CB61" i="1" l="1"/>
  <c r="CB69" i="1"/>
  <c r="CB70" i="1" s="1"/>
  <c r="CB112" i="1"/>
  <c r="CB113" i="1" s="1"/>
  <c r="CB73" i="1" l="1"/>
  <c r="CB74" i="1" s="1"/>
  <c r="CB9" i="1"/>
  <c r="CB120" i="1"/>
  <c r="CB136" i="1"/>
  <c r="CB4" i="1"/>
  <c r="CB99" i="1" l="1"/>
  <c r="CB105" i="1"/>
  <c r="CB98" i="1"/>
  <c r="CB129" i="1"/>
  <c r="CB132" i="1" s="1"/>
  <c r="CB133" i="1" s="1"/>
  <c r="CB5" i="1"/>
  <c r="CB102" i="1" l="1"/>
  <c r="CB101" i="1"/>
  <c r="CC41" i="1"/>
  <c r="AB41" i="1" s="1"/>
  <c r="AB15" i="1" s="1"/>
  <c r="CC44" i="1"/>
  <c r="CC53" i="1"/>
  <c r="AB53" i="1" s="1"/>
  <c r="AB20" i="1" s="1"/>
  <c r="CC39" i="1"/>
  <c r="AB39" i="1" s="1"/>
  <c r="AB13" i="1" s="1"/>
  <c r="CC38" i="1"/>
  <c r="CB7" i="1"/>
  <c r="AB44" i="1" l="1"/>
  <c r="AB50" i="1" s="1"/>
  <c r="AB18" i="1" s="1"/>
  <c r="CC50" i="1"/>
  <c r="CC40" i="1"/>
  <c r="AB38" i="1"/>
  <c r="CC88" i="1" l="1"/>
  <c r="CC42" i="1"/>
  <c r="AB12" i="1"/>
  <c r="AB14" i="1" s="1"/>
  <c r="AB17" i="1" s="1"/>
  <c r="AB19" i="1" s="1"/>
  <c r="AB21" i="1" s="1"/>
  <c r="AB40" i="1"/>
  <c r="AB42" i="1" s="1"/>
  <c r="CC51" i="1" l="1"/>
  <c r="CC43" i="1"/>
  <c r="AB43" i="1"/>
  <c r="AB51" i="1"/>
  <c r="CC52" i="1" l="1"/>
  <c r="CC54" i="1"/>
  <c r="AB52" i="1"/>
  <c r="AB54" i="1"/>
  <c r="CC56" i="1" l="1"/>
  <c r="CC60" i="1" s="1"/>
  <c r="CC55" i="1"/>
  <c r="CC61" i="1" l="1"/>
  <c r="CC112" i="1"/>
  <c r="CC69" i="1"/>
  <c r="CC70" i="1" s="1"/>
  <c r="CC72" i="1" s="1"/>
  <c r="AB55" i="1"/>
  <c r="CC22" i="1"/>
  <c r="CC23" i="1" s="1"/>
  <c r="CC113" i="1" l="1"/>
  <c r="AB112" i="1"/>
  <c r="AB113" i="1" s="1"/>
  <c r="AB56" i="1"/>
  <c r="AB60" i="1" s="1"/>
  <c r="AB22" i="1"/>
  <c r="AB23" i="1" s="1"/>
  <c r="CC73" i="1" l="1"/>
  <c r="CC74" i="1" s="1"/>
  <c r="CC136" i="1"/>
  <c r="CC120" i="1"/>
  <c r="CC9" i="1"/>
  <c r="CC4" i="1"/>
  <c r="AB4" i="1" s="1"/>
  <c r="AB73" i="1"/>
  <c r="AB74" i="1" s="1"/>
  <c r="AB105" i="1" s="1"/>
  <c r="AB9" i="1"/>
  <c r="AB120" i="1"/>
  <c r="AB61" i="1"/>
  <c r="AB69" i="1"/>
  <c r="AB70" i="1" s="1"/>
  <c r="AB91" i="1"/>
  <c r="CC105" i="1" l="1"/>
  <c r="CC98" i="1"/>
  <c r="CC99" i="1"/>
  <c r="CC129" i="1"/>
  <c r="CC5" i="1"/>
  <c r="AB98" i="1" l="1"/>
  <c r="AB106" i="1" s="1"/>
  <c r="CC101" i="1"/>
  <c r="AB99" i="1"/>
  <c r="AB107" i="1" s="1"/>
  <c r="CC102" i="1"/>
  <c r="AB129" i="1"/>
  <c r="AB132" i="1" s="1"/>
  <c r="AB133" i="1" s="1"/>
  <c r="CC132" i="1"/>
  <c r="CC133" i="1" s="1"/>
  <c r="AB5" i="1"/>
  <c r="AB7" i="1" s="1"/>
  <c r="CD41" i="1"/>
  <c r="CC7" i="1"/>
  <c r="CD38" i="1"/>
  <c r="CD53" i="1"/>
  <c r="CD44" i="1"/>
  <c r="CD39" i="1"/>
  <c r="CD40" i="1" l="1"/>
  <c r="CD50" i="1"/>
  <c r="CD42" i="1" l="1"/>
  <c r="CD88" i="1"/>
  <c r="CD51" i="1" l="1"/>
  <c r="CD43" i="1"/>
  <c r="CD54" i="1" l="1"/>
  <c r="CD52" i="1"/>
  <c r="CD55" i="1" l="1"/>
  <c r="CD22" i="1" l="1"/>
  <c r="CD23" i="1" s="1"/>
  <c r="CD56" i="1"/>
  <c r="CD60" i="1" s="1"/>
  <c r="CD61" i="1" l="1"/>
  <c r="CD69" i="1"/>
  <c r="CD70" i="1" s="1"/>
  <c r="CD112" i="1"/>
  <c r="CD113" i="1" l="1"/>
  <c r="CD4" i="1" l="1"/>
  <c r="CD9" i="1"/>
  <c r="CD120" i="1"/>
  <c r="CD136" i="1"/>
  <c r="CD73" i="1"/>
  <c r="CD74" i="1" s="1"/>
  <c r="CD5" i="1" l="1"/>
  <c r="CD129" i="1"/>
  <c r="CD132" i="1" s="1"/>
  <c r="CD133" i="1" s="1"/>
  <c r="CD105" i="1"/>
  <c r="CD98" i="1"/>
  <c r="CD99" i="1"/>
  <c r="CE38" i="1" l="1"/>
  <c r="CE39" i="1"/>
  <c r="CE41" i="1"/>
  <c r="CE53" i="1"/>
  <c r="CE44" i="1"/>
  <c r="CD7" i="1"/>
  <c r="CD101" i="1"/>
  <c r="CD102" i="1"/>
  <c r="CE40" i="1" l="1"/>
  <c r="CE50" i="1"/>
  <c r="CE42" i="1" l="1"/>
  <c r="CE88" i="1"/>
  <c r="CE51" i="1" l="1"/>
  <c r="CE43" i="1"/>
  <c r="CE54" i="1" l="1"/>
  <c r="CE52" i="1"/>
  <c r="CE55" i="1" l="1"/>
  <c r="CE22" i="1" l="1"/>
  <c r="CE23" i="1" s="1"/>
  <c r="CE56" i="1"/>
  <c r="CE60" i="1" s="1"/>
  <c r="CE61" i="1" l="1"/>
  <c r="CE69" i="1"/>
  <c r="CE70" i="1" s="1"/>
  <c r="CE112" i="1"/>
  <c r="CE113" i="1" l="1"/>
  <c r="CE4" i="1" l="1"/>
  <c r="CE73" i="1"/>
  <c r="CE74" i="1" s="1"/>
  <c r="CE9" i="1"/>
  <c r="CE120" i="1"/>
  <c r="CE136" i="1"/>
  <c r="CE99" i="1" l="1"/>
  <c r="CE98" i="1"/>
  <c r="CE105" i="1"/>
  <c r="CE5" i="1"/>
  <c r="CE129" i="1"/>
  <c r="CE132" i="1" s="1"/>
  <c r="CE133" i="1" s="1"/>
  <c r="CE102" i="1" l="1"/>
  <c r="CE101" i="1"/>
  <c r="CF38" i="1"/>
  <c r="CF39" i="1"/>
  <c r="CF53" i="1"/>
  <c r="CF44" i="1"/>
  <c r="CF41" i="1"/>
  <c r="CE7" i="1"/>
  <c r="CF40" i="1" l="1"/>
  <c r="CF50" i="1"/>
  <c r="CF88" i="1" l="1"/>
  <c r="CF42" i="1"/>
  <c r="CF51" i="1" l="1"/>
  <c r="CF43" i="1"/>
  <c r="CF54" i="1" l="1"/>
  <c r="CF52" i="1"/>
  <c r="CF55" i="1" l="1"/>
  <c r="CF56" i="1"/>
  <c r="CF60" i="1" s="1"/>
  <c r="CF22" i="1" l="1"/>
  <c r="CF23" i="1" s="1"/>
  <c r="CF112" i="1"/>
  <c r="CF69" i="1"/>
  <c r="CF70" i="1" s="1"/>
  <c r="CF61" i="1"/>
  <c r="CF113" i="1" l="1"/>
  <c r="CF4" i="1" l="1"/>
  <c r="CF136" i="1"/>
  <c r="CF9" i="1"/>
  <c r="CF73" i="1"/>
  <c r="CF74" i="1" s="1"/>
  <c r="CF120" i="1"/>
  <c r="CF98" i="1" l="1"/>
  <c r="CF99" i="1"/>
  <c r="CF105" i="1"/>
  <c r="CF5" i="1"/>
  <c r="CF129" i="1"/>
  <c r="CF132" i="1" s="1"/>
  <c r="CF133" i="1" s="1"/>
  <c r="CF101" i="1" l="1"/>
  <c r="CF102" i="1"/>
  <c r="CG44" i="1"/>
  <c r="CG53" i="1"/>
  <c r="AC53" i="1" s="1"/>
  <c r="AC20" i="1" s="1"/>
  <c r="CG41" i="1"/>
  <c r="AC41" i="1" s="1"/>
  <c r="AC15" i="1" s="1"/>
  <c r="CG38" i="1"/>
  <c r="CF7" i="1"/>
  <c r="CG39" i="1"/>
  <c r="AC39" i="1" s="1"/>
  <c r="AC13" i="1" s="1"/>
  <c r="AC44" i="1" l="1"/>
  <c r="AC50" i="1" s="1"/>
  <c r="AC18" i="1" s="1"/>
  <c r="CG50" i="1"/>
  <c r="AC38" i="1"/>
  <c r="CG40" i="1"/>
  <c r="AC40" i="1" l="1"/>
  <c r="AC42" i="1" s="1"/>
  <c r="AC12" i="1"/>
  <c r="AC14" i="1" s="1"/>
  <c r="AC17" i="1" s="1"/>
  <c r="AC19" i="1" s="1"/>
  <c r="AC21" i="1" s="1"/>
  <c r="CG42" i="1"/>
  <c r="CG88" i="1"/>
  <c r="AC43" i="1" l="1"/>
  <c r="AC51" i="1"/>
  <c r="CG51" i="1"/>
  <c r="CG43" i="1"/>
  <c r="AC52" i="1" l="1"/>
  <c r="AC54" i="1"/>
  <c r="CG54" i="1"/>
  <c r="CG52" i="1"/>
  <c r="CG55" i="1" l="1"/>
  <c r="AC55" i="1" l="1"/>
  <c r="CG22" i="1"/>
  <c r="CG23" i="1" s="1"/>
  <c r="CG56" i="1"/>
  <c r="CG60" i="1" s="1"/>
  <c r="AC56" i="1" l="1"/>
  <c r="AC60" i="1" s="1"/>
  <c r="AC22" i="1"/>
  <c r="AC23" i="1" s="1"/>
  <c r="CG61" i="1"/>
  <c r="CG69" i="1"/>
  <c r="CG70" i="1" s="1"/>
  <c r="CG72" i="1" s="1"/>
  <c r="CG112" i="1"/>
  <c r="AC61" i="1" l="1"/>
  <c r="AC69" i="1"/>
  <c r="AC70" i="1" s="1"/>
  <c r="AC112" i="1"/>
  <c r="AC113" i="1" s="1"/>
  <c r="CG113" i="1"/>
  <c r="AC9" i="1" l="1"/>
  <c r="AC73" i="1"/>
  <c r="AC74" i="1" s="1"/>
  <c r="AC105" i="1" s="1"/>
  <c r="AC120" i="1"/>
  <c r="CG4" i="1"/>
  <c r="AC4" i="1" s="1"/>
  <c r="CG73" i="1"/>
  <c r="CG74" i="1" s="1"/>
  <c r="CG136" i="1"/>
  <c r="CG9" i="1"/>
  <c r="CG120" i="1"/>
  <c r="AC91" i="1"/>
  <c r="CG98" i="1" l="1"/>
  <c r="CG105" i="1"/>
  <c r="CG99" i="1"/>
  <c r="CG5" i="1"/>
  <c r="CG129" i="1"/>
  <c r="AC98" i="1" l="1"/>
  <c r="AC106" i="1" s="1"/>
  <c r="CG101" i="1"/>
  <c r="AC99" i="1"/>
  <c r="AC107" i="1" s="1"/>
  <c r="CG102" i="1"/>
  <c r="AC5" i="1"/>
  <c r="AC7" i="1" s="1"/>
  <c r="CH39" i="1"/>
  <c r="CG7" i="1"/>
  <c r="CH38" i="1"/>
  <c r="CH53" i="1"/>
  <c r="CH44" i="1"/>
  <c r="CH41" i="1"/>
  <c r="CG132" i="1"/>
  <c r="CG133" i="1" s="1"/>
  <c r="AC129" i="1"/>
  <c r="AC132" i="1" s="1"/>
  <c r="AC133" i="1" s="1"/>
  <c r="CH40" i="1" l="1"/>
  <c r="CH50" i="1"/>
  <c r="CH88" i="1" l="1"/>
  <c r="CH42" i="1"/>
  <c r="CH51" i="1" l="1"/>
  <c r="CH43" i="1"/>
  <c r="CH54" i="1" l="1"/>
  <c r="CH52" i="1"/>
  <c r="CH55" i="1" l="1"/>
  <c r="CH22" i="1" l="1"/>
  <c r="CH23" i="1" s="1"/>
  <c r="CH56" i="1"/>
  <c r="CH60" i="1" s="1"/>
  <c r="CH61" i="1" l="1"/>
  <c r="CH69" i="1"/>
  <c r="CH70" i="1" s="1"/>
  <c r="CH112" i="1"/>
  <c r="CH113" i="1" l="1"/>
  <c r="CH4" i="1" l="1"/>
  <c r="CH73" i="1"/>
  <c r="CH74" i="1" s="1"/>
  <c r="CH136" i="1"/>
  <c r="CH120" i="1"/>
  <c r="CH9" i="1"/>
  <c r="CH98" i="1" l="1"/>
  <c r="CH105" i="1"/>
  <c r="CH99" i="1"/>
  <c r="CH5" i="1"/>
  <c r="CH129" i="1"/>
  <c r="CH132" i="1" s="1"/>
  <c r="CH133" i="1" s="1"/>
  <c r="CH101" i="1" l="1"/>
  <c r="CH102" i="1"/>
  <c r="CI38" i="1"/>
  <c r="CI41" i="1"/>
  <c r="CI53" i="1"/>
  <c r="CI39" i="1"/>
  <c r="CI44" i="1"/>
  <c r="CH7" i="1"/>
  <c r="CI40" i="1" l="1"/>
  <c r="CI50" i="1"/>
  <c r="CI42" i="1" l="1"/>
  <c r="CI88" i="1"/>
  <c r="CI51" i="1" l="1"/>
  <c r="CI43" i="1"/>
  <c r="CI54" i="1" l="1"/>
  <c r="CI52" i="1"/>
  <c r="CI56" i="1" l="1"/>
  <c r="CI60" i="1" s="1"/>
  <c r="CI55" i="1"/>
  <c r="CI112" i="1" l="1"/>
  <c r="CI69" i="1"/>
  <c r="CI70" i="1" s="1"/>
  <c r="CI61" i="1"/>
  <c r="CI22" i="1"/>
  <c r="CI23" i="1" s="1"/>
  <c r="CI113" i="1" l="1"/>
  <c r="CI4" i="1" l="1"/>
  <c r="CI120" i="1"/>
  <c r="CI73" i="1"/>
  <c r="CI74" i="1" s="1"/>
  <c r="CI136" i="1"/>
  <c r="CI9" i="1"/>
  <c r="CI5" i="1" l="1"/>
  <c r="CI129" i="1"/>
  <c r="CI132" i="1" s="1"/>
  <c r="CI133" i="1" s="1"/>
  <c r="CI99" i="1"/>
  <c r="CI105" i="1"/>
  <c r="CI98" i="1"/>
  <c r="CJ44" i="1" l="1"/>
  <c r="CI7" i="1"/>
  <c r="CJ53" i="1"/>
  <c r="CJ38" i="1"/>
  <c r="CJ39" i="1"/>
  <c r="CJ41" i="1"/>
  <c r="CI102" i="1"/>
  <c r="CI101" i="1"/>
  <c r="CJ50" i="1" l="1"/>
  <c r="CJ40" i="1"/>
  <c r="CJ42" i="1" l="1"/>
  <c r="CJ88" i="1"/>
  <c r="CJ43" i="1" l="1"/>
  <c r="CJ51" i="1"/>
  <c r="CJ52" i="1" l="1"/>
  <c r="CJ54" i="1"/>
  <c r="CJ55" i="1" l="1"/>
  <c r="CJ22" i="1" l="1"/>
  <c r="CJ23" i="1" s="1"/>
  <c r="CJ56" i="1"/>
  <c r="CJ60" i="1" s="1"/>
  <c r="CJ69" i="1" l="1"/>
  <c r="CJ70" i="1" s="1"/>
  <c r="CJ61" i="1"/>
  <c r="CJ112" i="1"/>
  <c r="CJ113" i="1" l="1"/>
  <c r="CJ4" i="1" l="1"/>
  <c r="CJ73" i="1"/>
  <c r="CJ74" i="1" s="1"/>
  <c r="CJ120" i="1"/>
  <c r="CJ136" i="1"/>
  <c r="CJ9" i="1"/>
  <c r="CJ99" i="1" l="1"/>
  <c r="CJ105" i="1"/>
  <c r="CJ98" i="1"/>
  <c r="CJ5" i="1"/>
  <c r="CJ129" i="1"/>
  <c r="CJ132" i="1" s="1"/>
  <c r="CJ133" i="1" s="1"/>
  <c r="CJ102" i="1" l="1"/>
  <c r="CJ101" i="1"/>
  <c r="CK38" i="1"/>
  <c r="CJ7" i="1"/>
  <c r="CK41" i="1"/>
  <c r="AD41" i="1" s="1"/>
  <c r="AD15" i="1" s="1"/>
  <c r="CK53" i="1"/>
  <c r="AD53" i="1" s="1"/>
  <c r="AD20" i="1" s="1"/>
  <c r="CK39" i="1"/>
  <c r="AD39" i="1" s="1"/>
  <c r="AD13" i="1" s="1"/>
  <c r="CK44" i="1"/>
  <c r="AD38" i="1" l="1"/>
  <c r="CK40" i="1"/>
  <c r="AD44" i="1"/>
  <c r="AD50" i="1" s="1"/>
  <c r="AD18" i="1" s="1"/>
  <c r="CK50" i="1"/>
  <c r="AD40" i="1" l="1"/>
  <c r="AD42" i="1" s="1"/>
  <c r="AD12" i="1"/>
  <c r="AD14" i="1" s="1"/>
  <c r="AD17" i="1" s="1"/>
  <c r="AD19" i="1" s="1"/>
  <c r="AD21" i="1" s="1"/>
  <c r="CK88" i="1"/>
  <c r="CK42" i="1"/>
  <c r="AD51" i="1" l="1"/>
  <c r="AD43" i="1"/>
  <c r="CK43" i="1"/>
  <c r="CK51" i="1"/>
  <c r="AD54" i="1" l="1"/>
  <c r="AD52" i="1"/>
  <c r="CK52" i="1"/>
  <c r="CK54" i="1"/>
  <c r="CK56" i="1" l="1"/>
  <c r="CK60" i="1" s="1"/>
  <c r="CK55" i="1"/>
  <c r="CK112" i="1" l="1"/>
  <c r="CK61" i="1"/>
  <c r="CK69" i="1"/>
  <c r="CK70" i="1" s="1"/>
  <c r="AD55" i="1"/>
  <c r="CK22" i="1"/>
  <c r="CK23" i="1" s="1"/>
  <c r="AD112" i="1" l="1"/>
  <c r="AD113" i="1" s="1"/>
  <c r="CK113" i="1"/>
  <c r="AD56" i="1"/>
  <c r="AD60" i="1" s="1"/>
  <c r="AD22" i="1"/>
  <c r="AD23" i="1" s="1"/>
  <c r="AD73" i="1" l="1"/>
  <c r="AD74" i="1" s="1"/>
  <c r="AD105" i="1" s="1"/>
  <c r="AD120" i="1"/>
  <c r="AD9" i="1"/>
  <c r="CK4" i="1"/>
  <c r="AD4" i="1" s="1"/>
  <c r="CK73" i="1"/>
  <c r="CK74" i="1" s="1"/>
  <c r="CK136" i="1"/>
  <c r="CK9" i="1"/>
  <c r="CK120" i="1"/>
  <c r="AD61" i="1"/>
  <c r="AD69" i="1"/>
  <c r="AD70" i="1" s="1"/>
  <c r="AD91" i="1"/>
  <c r="CK105" i="1" l="1"/>
  <c r="CK98" i="1"/>
  <c r="CK99" i="1"/>
  <c r="CK5" i="1"/>
  <c r="CK129" i="1"/>
  <c r="AD98" i="1" l="1"/>
  <c r="AD106" i="1" s="1"/>
  <c r="CK101" i="1"/>
  <c r="AD99" i="1"/>
  <c r="AD107" i="1" s="1"/>
  <c r="CK102" i="1"/>
  <c r="AD5" i="1"/>
  <c r="AD7" i="1" s="1"/>
  <c r="CL38" i="1"/>
  <c r="CL53" i="1"/>
  <c r="CL44" i="1"/>
  <c r="CL41" i="1"/>
  <c r="CK7" i="1"/>
  <c r="CL39" i="1"/>
  <c r="AD129" i="1"/>
  <c r="AD132" i="1" s="1"/>
  <c r="AD133" i="1" s="1"/>
  <c r="CK132" i="1"/>
  <c r="CK133" i="1" s="1"/>
  <c r="CL40" i="1" l="1"/>
  <c r="CL50" i="1"/>
  <c r="CL42" i="1" l="1"/>
  <c r="CL88" i="1"/>
  <c r="CL43" i="1" l="1"/>
  <c r="CL51" i="1"/>
  <c r="CL52" i="1" l="1"/>
  <c r="CL54" i="1"/>
  <c r="CL55" i="1" l="1"/>
  <c r="CL56" i="1"/>
  <c r="CL60" i="1" s="1"/>
  <c r="CL22" i="1" l="1"/>
  <c r="CL23" i="1" s="1"/>
  <c r="CL112" i="1"/>
  <c r="CL61" i="1"/>
  <c r="CL69" i="1"/>
  <c r="CL70" i="1" s="1"/>
  <c r="CL113" i="1" l="1"/>
  <c r="CL4" i="1" l="1"/>
  <c r="CL73" i="1"/>
  <c r="CL74" i="1" s="1"/>
  <c r="CL9" i="1"/>
  <c r="CL136" i="1"/>
  <c r="CL120" i="1"/>
  <c r="CL98" i="1" l="1"/>
  <c r="CL99" i="1"/>
  <c r="CL105" i="1"/>
  <c r="CL5" i="1"/>
  <c r="CL129" i="1"/>
  <c r="CL132" i="1" s="1"/>
  <c r="CL133" i="1" s="1"/>
  <c r="CL101" i="1" l="1"/>
  <c r="CL102" i="1"/>
  <c r="CM38" i="1"/>
  <c r="CM39" i="1"/>
  <c r="CM44" i="1"/>
  <c r="CM41" i="1"/>
  <c r="CM53" i="1"/>
  <c r="CL7" i="1"/>
  <c r="CM40" i="1" l="1"/>
  <c r="CM50" i="1"/>
  <c r="CM42" i="1" l="1"/>
  <c r="CM88" i="1"/>
  <c r="CM43" i="1" l="1"/>
  <c r="CM51" i="1"/>
  <c r="CM52" i="1" l="1"/>
  <c r="CM54" i="1"/>
  <c r="CM55" i="1" l="1"/>
  <c r="CM56" i="1"/>
  <c r="CM60" i="1" s="1"/>
  <c r="CM22" i="1" l="1"/>
  <c r="CM23" i="1" s="1"/>
  <c r="CM112" i="1"/>
  <c r="CM61" i="1"/>
  <c r="CM69" i="1"/>
  <c r="CM70" i="1" s="1"/>
  <c r="CM113" i="1" l="1"/>
  <c r="CM4" i="1" l="1"/>
  <c r="CM73" i="1"/>
  <c r="CM74" i="1" s="1"/>
  <c r="CM9" i="1"/>
  <c r="CM120" i="1"/>
  <c r="CM136" i="1"/>
  <c r="CM98" i="1" l="1"/>
  <c r="CM99" i="1"/>
  <c r="CM105" i="1"/>
  <c r="CM5" i="1"/>
  <c r="CM129" i="1"/>
  <c r="CM132" i="1" s="1"/>
  <c r="CM133" i="1" s="1"/>
  <c r="CM101" i="1" l="1"/>
  <c r="CM102" i="1"/>
  <c r="CN38" i="1"/>
  <c r="CN39" i="1"/>
  <c r="CN41" i="1"/>
  <c r="CN53" i="1"/>
  <c r="CN44" i="1"/>
  <c r="CM7" i="1"/>
  <c r="CN40" i="1" l="1"/>
  <c r="CN50" i="1"/>
  <c r="CN88" i="1" l="1"/>
  <c r="CN42" i="1"/>
  <c r="CN43" i="1" l="1"/>
  <c r="CN51" i="1"/>
  <c r="CN52" i="1" l="1"/>
  <c r="CN54" i="1"/>
  <c r="CN55" i="1" l="1"/>
  <c r="CN22" i="1" l="1"/>
  <c r="CN23" i="1" s="1"/>
  <c r="CN56" i="1"/>
  <c r="CN60" i="1" s="1"/>
  <c r="CN69" i="1" l="1"/>
  <c r="CN70" i="1" s="1"/>
  <c r="CN61" i="1"/>
  <c r="CN112" i="1"/>
  <c r="CN113" i="1" l="1"/>
  <c r="CN4" i="1" l="1"/>
  <c r="CN136" i="1"/>
  <c r="CN9" i="1"/>
  <c r="CN73" i="1"/>
  <c r="CN74" i="1" s="1"/>
  <c r="CN120" i="1"/>
  <c r="CN105" i="1" l="1"/>
  <c r="CN99" i="1"/>
  <c r="CN98" i="1"/>
  <c r="CN5" i="1"/>
  <c r="CN129" i="1"/>
  <c r="CN132" i="1" s="1"/>
  <c r="CN133" i="1" s="1"/>
  <c r="CN102" i="1" l="1"/>
  <c r="CN101" i="1"/>
  <c r="CO44" i="1"/>
  <c r="CO39" i="1"/>
  <c r="AE39" i="1" s="1"/>
  <c r="AE13" i="1" s="1"/>
  <c r="CN7" i="1"/>
  <c r="CO38" i="1"/>
  <c r="CO53" i="1"/>
  <c r="AE53" i="1" s="1"/>
  <c r="AE20" i="1" s="1"/>
  <c r="CO41" i="1"/>
  <c r="AE41" i="1" s="1"/>
  <c r="AE15" i="1" s="1"/>
  <c r="AE44" i="1" l="1"/>
  <c r="AE50" i="1" s="1"/>
  <c r="AE18" i="1" s="1"/>
  <c r="CO50" i="1"/>
  <c r="AE38" i="1"/>
  <c r="CO40" i="1"/>
  <c r="AE40" i="1" l="1"/>
  <c r="AE42" i="1" s="1"/>
  <c r="AE12" i="1"/>
  <c r="AE14" i="1" s="1"/>
  <c r="AE17" i="1" s="1"/>
  <c r="AE19" i="1" s="1"/>
  <c r="AE21" i="1" s="1"/>
  <c r="CO88" i="1"/>
  <c r="CO42" i="1"/>
  <c r="AE43" i="1" l="1"/>
  <c r="AE51" i="1"/>
  <c r="CO43" i="1"/>
  <c r="CO51" i="1"/>
  <c r="AE52" i="1" l="1"/>
  <c r="AE54" i="1"/>
  <c r="CO52" i="1"/>
  <c r="CO54" i="1"/>
  <c r="CO55" i="1" l="1"/>
  <c r="AE55" i="1" l="1"/>
  <c r="CO22" i="1"/>
  <c r="CO23" i="1" s="1"/>
  <c r="CO56" i="1"/>
  <c r="CO60" i="1" s="1"/>
  <c r="AE56" i="1" l="1"/>
  <c r="AE60" i="1" s="1"/>
  <c r="AE22" i="1"/>
  <c r="AE23" i="1" s="1"/>
  <c r="CO69" i="1"/>
  <c r="CO70" i="1" s="1"/>
  <c r="CO61" i="1"/>
  <c r="CO112" i="1"/>
  <c r="AE69" i="1" l="1"/>
  <c r="AE70" i="1" s="1"/>
  <c r="AE61" i="1"/>
  <c r="AE112" i="1"/>
  <c r="AE113" i="1" s="1"/>
  <c r="CO113" i="1"/>
  <c r="AE73" i="1" l="1"/>
  <c r="AE74" i="1" s="1"/>
  <c r="AE105" i="1" s="1"/>
  <c r="AE120" i="1"/>
  <c r="AE9" i="1"/>
  <c r="CO4" i="1"/>
  <c r="AE4" i="1" s="1"/>
  <c r="CO73" i="1"/>
  <c r="CO74" i="1" s="1"/>
  <c r="CO120" i="1"/>
  <c r="CO136" i="1"/>
  <c r="CO9" i="1"/>
  <c r="AE91" i="1"/>
  <c r="CO105" i="1" l="1"/>
  <c r="CO98" i="1"/>
  <c r="CO99" i="1"/>
  <c r="CO5" i="1"/>
  <c r="CO129" i="1"/>
  <c r="AE98" i="1" l="1"/>
  <c r="AE106" i="1" s="1"/>
  <c r="CO101" i="1"/>
  <c r="AE99" i="1"/>
  <c r="AE107" i="1" s="1"/>
  <c r="CO102" i="1"/>
  <c r="AE5" i="1"/>
  <c r="AE7" i="1" s="1"/>
  <c r="CO7" i="1"/>
  <c r="AE129" i="1"/>
  <c r="AE132" i="1" s="1"/>
  <c r="AE133" i="1" s="1"/>
  <c r="CO132" i="1"/>
  <c r="CO1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<sst xmlns="http://schemas.openxmlformats.org/spreadsheetml/2006/main" count="512" uniqueCount="402">
  <si>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</si>
  <si>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</si>
  <si>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</si>
  <si>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</si>
  <si>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</si>
  <si>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</si>
  <si>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</si>
  <si>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</si>
  <si>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</si>
  <si>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</si>
  <si>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</si>
  <si>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</si>
  <si>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</si>
  <si>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</si>
  <si>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</si>
  <si>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</si>
  <si>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</si>
  <si>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</si>
  <si>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</si>
  <si>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</si>
  <si>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</si>
  <si>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</si>
  <si>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</si>
  <si>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</si>
  <si>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</si>
  <si>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</si>
  <si>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</si>
  <si>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</si>
  <si>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</si>
  <si>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</si>
  <si>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</si>
  <si>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</si>
  <si>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</si>
  <si>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</si>
  <si>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</si>
  <si>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</si>
  <si>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</si>
  <si>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</si>
  <si>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</si>
  <si>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</si>
  <si>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</si>
  <si>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</si>
  <si>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</si>
  <si>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</si>
  <si>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</si>
  <si>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</si>
  <si>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</si>
  <si>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</si>
  <si>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</si>
  <si>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</si>
  <si>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</si>
  <si>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</si>
  <si>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</si>
  <si>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</si>
  <si>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</si>
  <si>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</si>
  <si>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</si>
  <si>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</si>
  <si>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</si>
  <si>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</si>
  <si>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</si>
  <si>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</si>
  <si>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</si>
  <si>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</si>
  <si>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</si>
  <si>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</si>
  <si>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</si>
  <si>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</si>
  <si>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</si>
  <si>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</si>
  <si>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</si>
  <si>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</si>
  <si>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</si>
  <si>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</si>
  <si>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</si>
  <si>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</si>
  <si>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</si>
  <si>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</si>
  <si>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</si>
  <si>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</si>
  <si>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</si>
  <si>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</si>
  <si>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</si>
  <si>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</si>
  <si>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</si>
  <si>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</si>
  <si>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</si>
  <si>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</si>
  <si>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</si>
  <si>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</si>
  <si>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</si>
  <si>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</si>
  <si>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</si>
  <si>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</si>
  <si>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</si>
  <si>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</si>
  <si>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</si>
  <si>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</si>
  <si>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</si>
  <si>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</si>
  <si>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</si>
  <si>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</si>
  <si>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</si>
  <si>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</si>
  <si>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</si>
  <si>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</si>
  <si>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</si>
  <si>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</si>
  <si>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</si>
  <si>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</si>
  <si>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</si>
  <si>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</si>
  <si>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</si>
  <si>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</si>
  <si>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</si>
  <si>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</si>
  <si>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</si>
  <si>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</si>
  <si>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</si>
  <si>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</si>
  <si>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</si>
  <si>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</si>
  <si>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</si>
  <si>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</si>
  <si>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</si>
  <si>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</si>
  <si>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</si>
  <si>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</si>
  <si>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</si>
  <si>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</si>
  <si>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</si>
  <si>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</si>
  <si>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</si>
  <si>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</si>
  <si>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</si>
  <si>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</si>
  <si>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</si>
  <si>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</si>
  <si>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</si>
  <si>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</si>
  <si>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</si>
  <si>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</si>
  <si>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</si>
  <si>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</si>
  <si>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</si>
  <si>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</si>
  <si>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</si>
  <si>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</si>
  <si>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</si>
  <si>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</si>
  <si>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</si>
  <si>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</si>
  <si>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</si>
  <si>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</si>
  <si>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</si>
  <si>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</si>
  <si>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</si>
  <si>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</si>
  <si>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</si>
  <si>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</si>
  <si>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</si>
  <si>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</si>
  <si>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</si>
  <si>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</si>
  <si>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</si>
  <si>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</si>
  <si>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</si>
  <si>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</si>
  <si>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</si>
  <si>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</si>
  <si>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</si>
  <si>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</si>
  <si>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</si>
  <si>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</si>
  <si>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</si>
  <si>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</si>
  <si>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</si>
  <si>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</si>
  <si>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</si>
  <si>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</si>
  <si>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</si>
  <si>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</si>
  <si>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</si>
  <si>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</si>
  <si>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</si>
  <si>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</si>
  <si>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</si>
  <si>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</si>
  <si>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</si>
  <si>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</si>
  <si>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</si>
  <si>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</si>
  <si>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</si>
  <si>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</si>
  <si>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</si>
  <si>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</si>
  <si>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</si>
  <si>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</si>
  <si>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</si>
  <si>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</si>
  <si>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</si>
  <si>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</si>
  <si>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</si>
  <si>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</si>
  <si>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</si>
  <si>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</si>
  <si>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</si>
  <si>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</si>
  <si>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</si>
  <si>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</si>
  <si>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</si>
  <si>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</si>
  <si>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</si>
  <si>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</si>
  <si>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</si>
  <si>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</si>
  <si>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</si>
  <si>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</si>
  <si>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</si>
  <si>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</si>
  <si>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</si>
  <si>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</si>
  <si>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</si>
  <si>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</si>
  <si>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</si>
  <si>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</si>
  <si>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</si>
  <si>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</si>
  <si>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</si>
  <si>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</si>
  <si>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</si>
  <si>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</si>
  <si>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</si>
  <si>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</si>
  <si>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</si>
  <si>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</si>
  <si>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</si>
  <si>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</si>
  <si>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</si>
  <si>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</si>
  <si>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</si>
  <si>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</si>
  <si>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</si>
  <si>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</si>
  <si>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</si>
  <si>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</si>
  <si>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</si>
  <si>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</si>
  <si>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</si>
  <si>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</si>
  <si>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</si>
  <si>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</si>
  <si>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</si>
  <si>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</si>
  <si>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</si>
  <si>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</si>
  <si>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</si>
  <si>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</si>
  <si>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</si>
  <si>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</si>
  <si>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</si>
  <si>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</si>
  <si>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</si>
  <si>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</si>
  <si>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</si>
  <si>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</si>
  <si>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</si>
  <si>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</si>
  <si>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</si>
  <si>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</si>
  <si>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</si>
  <si>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</si>
  <si>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</si>
  <si>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</si>
  <si>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</si>
  <si>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</si>
  <si>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</si>
  <si>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</si>
  <si>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</si>
  <si>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</si>
  <si>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</si>
  <si>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</si>
  <si>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</si>
  <si>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</si>
  <si>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</si>
  <si>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</si>
  <si>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</si>
  <si>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</si>
  <si>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</si>
  <si>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</si>
  <si>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</si>
  <si>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</si>
  <si>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</si>
  <si>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</si>
  <si>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</si>
  <si>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</si>
  <si>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</si>
  <si>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</si>
  <si>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</si>
  <si>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</si>
  <si>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</si>
  <si>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</si>
  <si>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</si>
  <si>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</si>
  <si>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</si>
  <si>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</si>
  <si>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</si>
  <si>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</si>
  <si>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</si>
  <si>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</si>
  <si>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</si>
  <si>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</si>
  <si>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</si>
  <si>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</si>
  <si>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</si>
  <si>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</si>
  <si>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</si>
  <si>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</si>
  <si>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</si>
  <si>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</si>
  <si>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</si>
  <si>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</si>
  <si>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</si>
  <si>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</si>
  <si>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</si>
  <si>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</si>
  <si>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</si>
  <si>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</si>
  <si>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</si>
  <si>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</si>
  <si>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</si>
  <si>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</si>
  <si>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</si>
  <si>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</si>
  <si>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</si>
  <si>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</si>
  <si>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</si>
  <si>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</si>
  <si>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</si>
  <si>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</si>
  <si>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</si>
  <si>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</si>
  <si>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</si>
  <si>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</si>
  <si>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</si>
  <si>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</si>
  <si>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</si>
  <si>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</si>
  <si>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</si>
  <si>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</si>
  <si>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</si>
  <si>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</si>
  <si>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</si>
  <si>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</si>
  <si>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</si>
  <si>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</si>
  <si>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</si>
  <si>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</si>
  <si>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</si>
  <si>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</si>
  <si>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</si>
  <si>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</si>
  <si>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</si>
  <si>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</si>
  <si>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</si>
  <si>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</si>
  <si>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</si>
  <si>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</si>
  <si>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</si>
  <si>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</si>
  <si>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</si>
  <si>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</si>
  <si>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</si>
  <si>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</si>
  <si>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</si>
  <si>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</si>
  <si>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</si>
  <si>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</si>
  <si>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</si>
  <si>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</si>
  <si>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</si>
  <si>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</si>
  <si>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</si>
  <si>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</si>
  <si>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</si>
  <si>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</si>
  <si>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</si>
  <si>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</si>
  <si>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Bank Of India</t>
  </si>
  <si>
    <t>DATE</t>
  </si>
  <si>
    <t>ADJHIGH</t>
  </si>
  <si>
    <t>ADJCLOSE</t>
  </si>
  <si>
    <t>ADJLOW</t>
  </si>
  <si>
    <t>ADJOPEN</t>
  </si>
  <si>
    <t>CLOSE</t>
  </si>
  <si>
    <t>VOLUME</t>
  </si>
  <si>
    <t>Preview</t>
  </si>
  <si>
    <t xml:space="preserve">Deposits </t>
  </si>
  <si>
    <t>CD Ratio</t>
  </si>
  <si>
    <t>Advances- Growth YoY %</t>
  </si>
  <si>
    <t>Deposit- Growth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</si>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</sst>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14" fillId="4" borderId="0" xfId="0" applyFont="1" applyFill="1"/>
    <xf numFmtId="17" fontId="14" fillId="4" borderId="0" xfId="0" applyNumberFormat="1" applyFont="1" applyFill="1"/>
    <xf numFmtId="17" fontId="14" fillId="3" borderId="0" xfId="0" applyNumberFormat="1" applyFont="1" applyFill="1"/>
    <xf numFmtId="0" fontId="9" fillId="4" borderId="0" xfId="0" applyFont="1" applyFill="1"/>
    <xf numFmtId="43" fontId="3" fillId="4" borderId="0" xfId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9" fontId="13" fillId="3" borderId="0" xfId="2" applyFont="1" applyFill="1" applyAlignment="1">
      <alignment horizontal="right"/>
    </xf>
    <xf numFmtId="10" fontId="6" fillId="4" borderId="0" xfId="2" applyNumberFormat="1" applyFont="1" applyFill="1" applyBorder="1"/>
    <xf numFmtId="167" fontId="9" fillId="4" borderId="0" xfId="1" applyNumberFormat="1" applyFont="1" applyFill="1"/>
    <xf numFmtId="167" fontId="9" fillId="4" borderId="0" xfId="0" applyNumberFormat="1" applyFont="1" applyFill="1"/>
    <xf numFmtId="2" fontId="13" fillId="3" borderId="0" xfId="2" applyNumberFormat="1" applyFont="1" applyFill="1" applyAlignment="1">
      <alignment horizontal="right"/>
    </xf>
    <xf numFmtId="167" fontId="9" fillId="3" borderId="0" xfId="1" applyNumberFormat="1" applyFont="1" applyFill="1"/>
    <xf numFmtId="9" fontId="13" fillId="4" borderId="0" xfId="2" applyFont="1" applyFill="1"/>
    <xf numFmtId="9" fontId="13" fillId="3" borderId="0" xfId="2" applyFont="1" applyFill="1"/>
    <xf numFmtId="9" fontId="13" fillId="7" borderId="0" xfId="2" applyFont="1" applyFill="1"/>
    <xf numFmtId="14" fontId="3" fillId="4" borderId="0" xfId="0" applyNumberFormat="1" applyFont="1" applyFill="1"/>
    <xf numFmtId="2" fontId="13" fillId="0" borderId="0" xfId="1" applyNumberFormat="1" applyFont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="110" zoomScaleNormal="110" workbookViewId="0">
      <pane xSplit="1" ySplit="1" topLeftCell="CK14" activePane="bottomRight" state="frozen"/>
      <selection pane="topRight" activeCell="B1" sqref="B1"/>
      <selection pane="bottomLeft" activeCell="A2" sqref="A2"/>
      <selection pane="bottomRight" activeCell="CT37" sqref="CT37:CT136"/>
    </sheetView>
  </sheetViews>
  <sheetFormatPr defaultColWidth="9.140625" defaultRowHeight="12" x14ac:dyDescent="0.2"/>
  <cols>
    <col min="1" max="1" width="31.28515625" style="46" bestFit="1" customWidth="1"/>
    <col min="2" max="13" width="11.28515625" style="46" customWidth="1"/>
    <col min="14" max="26" width="11" style="46" bestFit="1" customWidth="1"/>
    <col min="27" max="28" width="11" style="48" bestFit="1" customWidth="1"/>
    <col min="29" max="30" width="11" style="48" hidden="1" customWidth="1"/>
    <col min="31" max="31" width="12.28515625" style="48" hidden="1" customWidth="1"/>
    <col min="32" max="32" width="9.140625" style="46"/>
    <col min="33" max="33" width="9.140625" style="62"/>
    <col min="34" max="45" width="11.28515625" style="46" customWidth="1"/>
    <col min="46" max="77" width="11.28515625" style="46" bestFit="1" customWidth="1"/>
    <col min="78" max="93" width="12.28515625" style="48" bestFit="1" customWidth="1"/>
    <col min="94" max="16384" width="9.140625" style="46"/>
  </cols>
  <sheetData>
    <row r="1" spans="1:98" s="4" customFormat="1" x14ac:dyDescent="0.2">
      <c r="A1" s="1" t="str">
        <f>+'Annual Raw'!C3</f>
        <v>Bank Of India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40</v>
      </c>
      <c r="AH1" s="96">
        <v>42185</v>
      </c>
      <c r="AI1" s="96">
        <f t="shared" ref="AI1" si="1">+EOMONTH(AH1,3)</f>
        <v>42277</v>
      </c>
      <c r="AJ1" s="96">
        <f t="shared" ref="AJ1" si="2">+EOMONTH(AI1,3)</f>
        <v>42369</v>
      </c>
      <c r="AK1" s="96">
        <f t="shared" ref="AK1" si="3">+EOMONTH(AJ1,3)</f>
        <v>42460</v>
      </c>
      <c r="AL1" s="96">
        <f t="shared" ref="AL1" si="4">+EOMONTH(AK1,3)</f>
        <v>42551</v>
      </c>
      <c r="AM1" s="96">
        <f t="shared" ref="AM1" si="5">+EOMONTH(AL1,3)</f>
        <v>42643</v>
      </c>
      <c r="AN1" s="96">
        <f t="shared" ref="AN1" si="6">+EOMONTH(AM1,3)</f>
        <v>42735</v>
      </c>
      <c r="AO1" s="96">
        <f t="shared" ref="AO1" si="7">+EOMONTH(AN1,3)</f>
        <v>42825</v>
      </c>
      <c r="AP1" s="96">
        <f t="shared" ref="AP1" si="8">+EOMONTH(AO1,3)</f>
        <v>42916</v>
      </c>
      <c r="AQ1" s="96">
        <f t="shared" ref="AQ1" si="9">+EOMONTH(AP1,3)</f>
        <v>43008</v>
      </c>
      <c r="AR1" s="96">
        <f t="shared" ref="AR1" si="10">+EOMONTH(AQ1,3)</f>
        <v>43100</v>
      </c>
      <c r="AS1" s="96">
        <f t="shared" ref="AS1" si="11">+EOMONTH(AR1,3)</f>
        <v>43190</v>
      </c>
      <c r="AT1" s="96">
        <f t="shared" ref="AT1" si="12">+EOMONTH(AS1,3)</f>
        <v>43281</v>
      </c>
      <c r="AU1" s="96">
        <f t="shared" ref="AU1" si="13">+EOMONTH(AT1,3)</f>
        <v>43373</v>
      </c>
      <c r="AV1" s="96">
        <f t="shared" ref="AV1:CC1" si="14">+EOMONTH(AU1,3)</f>
        <v>43465</v>
      </c>
      <c r="AW1" s="96">
        <f t="shared" si="14"/>
        <v>43555</v>
      </c>
      <c r="AX1" s="96">
        <f t="shared" si="14"/>
        <v>43646</v>
      </c>
      <c r="AY1" s="96">
        <f t="shared" si="14"/>
        <v>43738</v>
      </c>
      <c r="AZ1" s="96">
        <f t="shared" si="14"/>
        <v>43830</v>
      </c>
      <c r="BA1" s="96">
        <f t="shared" si="14"/>
        <v>43921</v>
      </c>
      <c r="BB1" s="96">
        <f t="shared" si="14"/>
        <v>44012</v>
      </c>
      <c r="BC1" s="96">
        <f t="shared" si="14"/>
        <v>44104</v>
      </c>
      <c r="BD1" s="96">
        <f t="shared" si="14"/>
        <v>44196</v>
      </c>
      <c r="BE1" s="96">
        <f t="shared" si="14"/>
        <v>44286</v>
      </c>
      <c r="BF1" s="96">
        <f t="shared" si="14"/>
        <v>44377</v>
      </c>
      <c r="BG1" s="96">
        <f t="shared" si="14"/>
        <v>44469</v>
      </c>
      <c r="BH1" s="96">
        <f t="shared" si="14"/>
        <v>44561</v>
      </c>
      <c r="BI1" s="96">
        <f t="shared" si="14"/>
        <v>44651</v>
      </c>
      <c r="BJ1" s="96">
        <f t="shared" si="14"/>
        <v>44742</v>
      </c>
      <c r="BK1" s="96">
        <f t="shared" si="14"/>
        <v>44834</v>
      </c>
      <c r="BL1" s="96">
        <f t="shared" si="14"/>
        <v>44926</v>
      </c>
      <c r="BM1" s="96">
        <f t="shared" si="14"/>
        <v>45016</v>
      </c>
      <c r="BN1" s="96">
        <f t="shared" si="14"/>
        <v>45107</v>
      </c>
      <c r="BO1" s="96">
        <f t="shared" si="14"/>
        <v>45199</v>
      </c>
      <c r="BP1" s="96">
        <f t="shared" si="14"/>
        <v>45291</v>
      </c>
      <c r="BQ1" s="96">
        <f t="shared" si="14"/>
        <v>45382</v>
      </c>
      <c r="BR1" s="96">
        <f t="shared" si="14"/>
        <v>45473</v>
      </c>
      <c r="BS1" s="96">
        <f t="shared" si="14"/>
        <v>45565</v>
      </c>
      <c r="BT1" s="96">
        <f t="shared" si="14"/>
        <v>45657</v>
      </c>
      <c r="BU1" s="96">
        <f t="shared" si="14"/>
        <v>45747</v>
      </c>
      <c r="BV1" s="96">
        <f t="shared" si="14"/>
        <v>45838</v>
      </c>
      <c r="BW1" s="96">
        <f t="shared" si="14"/>
        <v>45930</v>
      </c>
      <c r="BX1" s="96">
        <f t="shared" si="14"/>
        <v>46022</v>
      </c>
      <c r="BY1" s="96">
        <f t="shared" si="14"/>
        <v>46112</v>
      </c>
      <c r="BZ1" s="97">
        <f t="shared" si="14"/>
        <v>46203</v>
      </c>
      <c r="CA1" s="97">
        <f t="shared" si="14"/>
        <v>46295</v>
      </c>
      <c r="CB1" s="97">
        <f t="shared" si="14"/>
        <v>46387</v>
      </c>
      <c r="CC1" s="97">
        <f t="shared" si="14"/>
        <v>46477</v>
      </c>
      <c r="CD1" s="97">
        <f t="shared" ref="CD1" si="15">+EOMONTH(CC1,3)</f>
        <v>46568</v>
      </c>
      <c r="CE1" s="97">
        <f t="shared" ref="CE1" si="16">+EOMONTH(CD1,3)</f>
        <v>46660</v>
      </c>
      <c r="CF1" s="97">
        <f t="shared" ref="CF1" si="17">+EOMONTH(CE1,3)</f>
        <v>46752</v>
      </c>
      <c r="CG1" s="97">
        <f t="shared" ref="CG1" si="18">+EOMONTH(CF1,3)</f>
        <v>46843</v>
      </c>
      <c r="CH1" s="97">
        <f t="shared" ref="CH1" si="19">+EOMONTH(CG1,3)</f>
        <v>46934</v>
      </c>
      <c r="CI1" s="97">
        <f t="shared" ref="CI1" si="20">+EOMONTH(CH1,3)</f>
        <v>47026</v>
      </c>
      <c r="CJ1" s="97">
        <f t="shared" ref="CJ1" si="21">+EOMONTH(CI1,3)</f>
        <v>47118</v>
      </c>
      <c r="CK1" s="97">
        <f t="shared" ref="CK1" si="22">+EOMONTH(CJ1,3)</f>
        <v>47208</v>
      </c>
      <c r="CL1" s="97">
        <f t="shared" ref="CL1" si="23">+EOMONTH(CK1,3)</f>
        <v>47299</v>
      </c>
      <c r="CM1" s="97">
        <f t="shared" ref="CM1" si="24">+EOMONTH(CL1,3)</f>
        <v>47391</v>
      </c>
      <c r="CN1" s="97">
        <f t="shared" ref="CN1" si="25">+EOMONTH(CM1,3)</f>
        <v>47483</v>
      </c>
      <c r="CO1" s="97">
        <f t="shared" ref="CO1" si="26">+EOMONTH(CN1,3)</f>
        <v>47573</v>
      </c>
      <c r="CS1" s="4" t="s">
        <v>401</v>
      </c>
      <c r="CT1" s="153">
        <v>46082</v>
      </c>
    </row>
    <row r="2" spans="1:98" s="4" customFormat="1" x14ac:dyDescent="0.2">
      <c r="A2" s="115" t="s">
        <v>357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  <c r="AB3" s="16"/>
      <c r="AC3" s="16"/>
      <c r="AD3" s="16"/>
      <c r="AE3" s="16"/>
      <c r="AG3" s="54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1:98" s="82" customFormat="1" x14ac:dyDescent="0.2">
      <c r="A4" s="80" t="s">
        <v>32</v>
      </c>
      <c r="B4" s="80"/>
      <c r="C4" s="80"/>
      <c r="D4" s="80">
        <f t="shared" ref="D4:O4" si="27">AVERAGE(C113:D113)</f>
        <v>3192.9146500000002</v>
      </c>
      <c r="E4" s="80">
        <f t="shared" si="27"/>
        <v>3775.22145</v>
      </c>
      <c r="F4" s="80">
        <f t="shared" si="27"/>
        <v>4237.2684499999996</v>
      </c>
      <c r="G4" s="80">
        <f t="shared" si="27"/>
        <v>4724.3794500000004</v>
      </c>
      <c r="H4" s="80">
        <f t="shared" si="27"/>
        <v>5439.6317999999992</v>
      </c>
      <c r="I4" s="80">
        <f t="shared" si="27"/>
        <v>8242.3831499999997</v>
      </c>
      <c r="J4" s="80">
        <f t="shared" si="27"/>
        <v>12042.156149999999</v>
      </c>
      <c r="K4" s="80">
        <f t="shared" si="27"/>
        <v>13862.457549999999</v>
      </c>
      <c r="L4" s="80">
        <f t="shared" si="27"/>
        <v>15760.33675</v>
      </c>
      <c r="M4" s="80">
        <f t="shared" si="27"/>
        <v>19126.232250000001</v>
      </c>
      <c r="N4" s="80">
        <f t="shared" si="27"/>
        <v>22439.970499999999</v>
      </c>
      <c r="O4" s="80">
        <f t="shared" si="27"/>
        <v>26920.620150000002</v>
      </c>
      <c r="P4" s="80">
        <f>AVERAGE(O113:P113)</f>
        <v>30684.91145</v>
      </c>
      <c r="Q4" s="80">
        <f t="shared" ref="Q4:T4" si="28">AVERAGE(P113:Q113)</f>
        <v>31881.979500000001</v>
      </c>
      <c r="R4" s="80">
        <f t="shared" si="28"/>
        <v>32402.147649999999</v>
      </c>
      <c r="S4" s="80">
        <f t="shared" si="28"/>
        <v>34013.860199999996</v>
      </c>
      <c r="T4" s="80">
        <f t="shared" si="28"/>
        <v>40929.899399999995</v>
      </c>
      <c r="U4" s="80">
        <f t="shared" ref="U4" si="29">AVERAGE(T113:U113)</f>
        <v>45067.735000000001</v>
      </c>
      <c r="V4" s="80">
        <f t="shared" ref="V4" si="30">AVERAGE(U113:V113)</f>
        <v>46250.952449999997</v>
      </c>
      <c r="W4" s="80">
        <f>AVERAGE(V113:W113)</f>
        <v>51908.413750000007</v>
      </c>
      <c r="X4" s="80">
        <f>AVERAGE(W113:X113)</f>
        <v>57050.926550000004</v>
      </c>
      <c r="Y4" s="80">
        <f>+AVERAGE(BN4:BQ4)</f>
        <v>63096.638749999998</v>
      </c>
      <c r="Z4" s="80">
        <f>+AVERAGE(BR4:BU4)</f>
        <v>72186.761249999996</v>
      </c>
      <c r="AA4" s="81">
        <f>+AVERAGE(BV4:BY4)</f>
        <v>82271.585000000006</v>
      </c>
      <c r="AB4" s="81">
        <f>+AVERAGE(BZ4:CC4)</f>
        <v>93474.068170049955</v>
      </c>
      <c r="AC4" s="81">
        <f>+AVERAGE(CD4:CG4)</f>
        <v>105039.02067786039</v>
      </c>
      <c r="AD4" s="81">
        <f>+AVERAGE(CH4:CK4)</f>
        <v>117498.60606982067</v>
      </c>
      <c r="AE4" s="81">
        <f>+AVERAGE(CL4:CO4)</f>
        <v>131484.6751494194</v>
      </c>
      <c r="AG4" s="83"/>
      <c r="AH4" s="80">
        <f>AVERAGE(AG113:AH113)</f>
        <v>31615.33</v>
      </c>
      <c r="AI4" s="80">
        <f t="shared" ref="AI4:AL4" si="31">AVERAGE(AH113:AI113)</f>
        <v>32376.315000000002</v>
      </c>
      <c r="AJ4" s="80">
        <f t="shared" si="31"/>
        <v>32368.510000000002</v>
      </c>
      <c r="AK4" s="80">
        <f t="shared" si="31"/>
        <v>31958.47</v>
      </c>
      <c r="AL4" s="80">
        <f t="shared" si="31"/>
        <v>31808.275000000001</v>
      </c>
      <c r="AM4" s="80">
        <f t="shared" ref="AM4:AS4" si="32">AVERAGE(AL113:AM113)</f>
        <v>31860.995000000003</v>
      </c>
      <c r="AN4" s="80">
        <f t="shared" si="32"/>
        <v>32371.97</v>
      </c>
      <c r="AO4" s="80">
        <f t="shared" si="32"/>
        <v>32404.174999999999</v>
      </c>
      <c r="AP4" s="80">
        <f t="shared" si="32"/>
        <v>32505.41</v>
      </c>
      <c r="AQ4" s="80">
        <f t="shared" si="32"/>
        <v>32634.85</v>
      </c>
      <c r="AR4" s="80">
        <f t="shared" si="32"/>
        <v>32580.06</v>
      </c>
      <c r="AS4" s="80">
        <f t="shared" si="32"/>
        <v>33977.410000000003</v>
      </c>
      <c r="AT4" s="80">
        <f t="shared" ref="AT4" si="33">AVERAGE(AS113:AT113)</f>
        <v>35648.964999999997</v>
      </c>
      <c r="AU4" s="80">
        <f t="shared" ref="AU4" si="34">AVERAGE(AT113:AU113)</f>
        <v>35445.050000000003</v>
      </c>
      <c r="AV4" s="80">
        <f t="shared" ref="AV4" si="35">AVERAGE(AU113:AV113)</f>
        <v>37623.335000000006</v>
      </c>
      <c r="AW4" s="80">
        <f t="shared" ref="AW4:BB4" si="36">AVERAGE(AV113:AW113)</f>
        <v>43216.5</v>
      </c>
      <c r="AX4" s="80">
        <f t="shared" si="36"/>
        <v>46484.634999999995</v>
      </c>
      <c r="AY4" s="80">
        <f t="shared" si="36"/>
        <v>46820.095000000001</v>
      </c>
      <c r="AZ4" s="80">
        <f t="shared" si="36"/>
        <v>47120.570000000007</v>
      </c>
      <c r="BA4" s="80">
        <f t="shared" si="36"/>
        <v>45533.69</v>
      </c>
      <c r="BB4" s="80">
        <f t="shared" si="36"/>
        <v>44258.26</v>
      </c>
      <c r="BC4" s="80">
        <f t="shared" ref="BC4" si="37">AVERAGE(BB113:BC113)</f>
        <v>44894.455000000002</v>
      </c>
      <c r="BD4" s="80">
        <f t="shared" ref="BD4" si="38">AVERAGE(BC113:BD113)</f>
        <v>45343.114999999998</v>
      </c>
      <c r="BE4" s="80">
        <f t="shared" ref="BE4" si="39">AVERAGE(BD113:BE113)</f>
        <v>47141.56</v>
      </c>
      <c r="BF4" s="80">
        <f t="shared" ref="BF4:BH4" si="40">AVERAGE(BE113:BF113)</f>
        <v>49114.464999999997</v>
      </c>
      <c r="BG4" s="80">
        <f t="shared" si="40"/>
        <v>51300.584999999999</v>
      </c>
      <c r="BH4" s="80">
        <f t="shared" si="40"/>
        <v>53518.439999999995</v>
      </c>
      <c r="BI4" s="80">
        <f t="shared" ref="BI4" si="41">AVERAGE(BH113:BI113)</f>
        <v>54555.144999999997</v>
      </c>
      <c r="BJ4" s="80">
        <f t="shared" ref="BJ4:BK4" si="42">AVERAGE(BI113:BJ113)</f>
        <v>55522.63</v>
      </c>
      <c r="BK4" s="80">
        <f t="shared" si="42"/>
        <v>56105.38</v>
      </c>
      <c r="BL4" s="80">
        <f t="shared" ref="BL4" si="43">AVERAGE(BK113:BL113)</f>
        <v>57031.794999999998</v>
      </c>
      <c r="BM4" s="80">
        <f t="shared" ref="BM4" si="44">AVERAGE(BL113:BM113)</f>
        <v>58368.735000000001</v>
      </c>
      <c r="BN4" s="80">
        <f t="shared" ref="BN4" si="45">AVERAGE(BM113:BN113)</f>
        <v>59624.394999999997</v>
      </c>
      <c r="BO4" s="80">
        <f t="shared" ref="BO4" si="46">AVERAGE(BN113:BO113)</f>
        <v>60587.289999999994</v>
      </c>
      <c r="BP4" s="80">
        <f t="shared" ref="BP4" si="47">AVERAGE(BO113:BP113)</f>
        <v>64091.369999999995</v>
      </c>
      <c r="BQ4" s="80">
        <f t="shared" ref="BQ4" si="48">AVERAGE(BP113:BQ113)</f>
        <v>68083.5</v>
      </c>
      <c r="BR4" s="80">
        <f t="shared" ref="BR4" si="49">AVERAGE(BQ113:BR113)</f>
        <v>68939.95</v>
      </c>
      <c r="BS4" s="80">
        <f t="shared" ref="BS4" si="50">AVERAGE(BR113:BS113)</f>
        <v>70403.665000000008</v>
      </c>
      <c r="BT4" s="80">
        <f t="shared" ref="BT4:BU4" si="51">AVERAGE(BS113:BT113)</f>
        <v>73003.38</v>
      </c>
      <c r="BU4" s="80">
        <f t="shared" si="51"/>
        <v>76400.05</v>
      </c>
      <c r="BV4" s="80">
        <f t="shared" ref="BV4:BY4" si="52">AVERAGE(BU113:BV113)</f>
        <v>78984.035000000003</v>
      </c>
      <c r="BW4" s="80">
        <f t="shared" si="52"/>
        <v>80603.375</v>
      </c>
      <c r="BX4" s="80">
        <f t="shared" si="52"/>
        <v>83211.94</v>
      </c>
      <c r="BY4" s="80">
        <f t="shared" si="52"/>
        <v>86286.99</v>
      </c>
      <c r="BZ4" s="84">
        <f t="shared" ref="BZ4" si="53">AVERAGE(BY113:BZ113)</f>
        <v>89311.950320941454</v>
      </c>
      <c r="CA4" s="84">
        <f t="shared" ref="CA4" si="54">AVERAGE(BZ113:CA113)</f>
        <v>92028.370472862356</v>
      </c>
      <c r="CB4" s="84">
        <f t="shared" ref="CB4" si="55">AVERAGE(CA113:CB113)</f>
        <v>94842.533468178794</v>
      </c>
      <c r="CC4" s="84">
        <f t="shared" ref="CC4" si="56">AVERAGE(CB113:CC113)</f>
        <v>97713.418418217218</v>
      </c>
      <c r="CD4" s="84">
        <f t="shared" ref="CD4" si="57">AVERAGE(CC113:CD113)</f>
        <v>100617.59041907726</v>
      </c>
      <c r="CE4" s="84">
        <f t="shared" ref="CE4" si="58">AVERAGE(CD113:CE113)</f>
        <v>103546.97992245824</v>
      </c>
      <c r="CF4" s="84">
        <f t="shared" ref="CF4" si="59">AVERAGE(CE113:CF113)</f>
        <v>106503.44344047675</v>
      </c>
      <c r="CG4" s="84">
        <f t="shared" ref="CG4" si="60">AVERAGE(CF113:CG113)</f>
        <v>109488.06892942931</v>
      </c>
      <c r="CH4" s="84">
        <f t="shared" ref="CH4" si="61">AVERAGE(CG113:CH113)</f>
        <v>112593.42809435329</v>
      </c>
      <c r="CI4" s="84">
        <f t="shared" ref="CI4" si="62">AVERAGE(CH113:CI113)</f>
        <v>115824.41245837125</v>
      </c>
      <c r="CJ4" s="84">
        <f t="shared" ref="CJ4" si="63">AVERAGE(CI113:CJ113)</f>
        <v>119106.87588819399</v>
      </c>
      <c r="CK4" s="84">
        <f t="shared" ref="CK4" si="64">AVERAGE(CJ113:CK113)</f>
        <v>122469.70783836421</v>
      </c>
      <c r="CL4" s="84">
        <f t="shared" ref="CL4" si="65">AVERAGE(CK113:CL113)</f>
        <v>125971.27143766897</v>
      </c>
      <c r="CM4" s="84">
        <f t="shared" ref="CM4" si="66">AVERAGE(CL113:CM113)</f>
        <v>129593.30738078125</v>
      </c>
      <c r="CN4" s="84">
        <f t="shared" ref="CN4" si="67">AVERAGE(CM113:CN113)</f>
        <v>133287.94485593316</v>
      </c>
      <c r="CO4" s="84">
        <f t="shared" ref="CO4" si="68">AVERAGE(CN113:CO113)</f>
        <v>137086.17692329423</v>
      </c>
    </row>
    <row r="5" spans="1:98" s="82" customFormat="1" x14ac:dyDescent="0.2">
      <c r="A5" s="80" t="s">
        <v>25</v>
      </c>
      <c r="B5" s="80"/>
      <c r="C5" s="80"/>
      <c r="D5" s="80">
        <f t="shared" ref="D5:O5" si="69">AVERAGE(C120:D120)</f>
        <v>68962.335850000003</v>
      </c>
      <c r="E5" s="80">
        <f t="shared" si="69"/>
        <v>75777.432899999985</v>
      </c>
      <c r="F5" s="80">
        <f t="shared" si="69"/>
        <v>84390.913449999993</v>
      </c>
      <c r="G5" s="80">
        <f t="shared" si="69"/>
        <v>97029.046200000012</v>
      </c>
      <c r="H5" s="80">
        <f t="shared" si="69"/>
        <v>118603.88430000001</v>
      </c>
      <c r="I5" s="80">
        <f t="shared" si="69"/>
        <v>150085.8798</v>
      </c>
      <c r="J5" s="80">
        <f t="shared" si="69"/>
        <v>193325.20120000001</v>
      </c>
      <c r="K5" s="80">
        <f t="shared" si="69"/>
        <v>242634.2072</v>
      </c>
      <c r="L5" s="80">
        <f t="shared" si="69"/>
        <v>302294.84739999997</v>
      </c>
      <c r="M5" s="80">
        <f t="shared" si="69"/>
        <v>354744.9523</v>
      </c>
      <c r="N5" s="80">
        <f t="shared" si="69"/>
        <v>406208.68495000002</v>
      </c>
      <c r="O5" s="80">
        <f t="shared" si="69"/>
        <v>498224.98655000003</v>
      </c>
      <c r="P5" s="80">
        <f>AVERAGE(O120:P120)</f>
        <v>579367.57874999999</v>
      </c>
      <c r="Q5" s="80">
        <f t="shared" ref="Q5:T5" si="70">AVERAGE(P120:Q120)</f>
        <v>599907.69874999998</v>
      </c>
      <c r="R5" s="80">
        <f t="shared" si="70"/>
        <v>604164.81709999999</v>
      </c>
      <c r="S5" s="80">
        <f t="shared" si="70"/>
        <v>605954.27344999998</v>
      </c>
      <c r="T5" s="80">
        <f t="shared" si="70"/>
        <v>605703.23435000004</v>
      </c>
      <c r="U5" s="80">
        <f t="shared" ref="U5" si="71">AVERAGE(T120:U120)</f>
        <v>625248.21539999999</v>
      </c>
      <c r="V5" s="80">
        <f t="shared" ref="V5" si="72">AVERAGE(U120:V120)</f>
        <v>673668.50749999995</v>
      </c>
      <c r="W5" s="80">
        <f>AVERAGE(V120:W120)</f>
        <v>709025.4094</v>
      </c>
      <c r="X5" s="80">
        <f>AVERAGE(W120:X120)</f>
        <v>751661.48665000009</v>
      </c>
      <c r="Y5" s="80">
        <f>+AVERAGE(BN5:BQ5)</f>
        <v>831420.28500000003</v>
      </c>
      <c r="Z5" s="80">
        <f>+AVERAGE(BR5:BU5)</f>
        <v>960632.47374999989</v>
      </c>
      <c r="AA5" s="81">
        <f>+AVERAGE(BV5:BY5)</f>
        <v>1062043.1200000001</v>
      </c>
      <c r="AB5" s="81">
        <f>+AVERAGE(BZ5:CC5)</f>
        <v>1179469.7036475111</v>
      </c>
      <c r="AC5" s="81">
        <f>+AVERAGE(CD5:CG5)</f>
        <v>1315410.3740856994</v>
      </c>
      <c r="AD5" s="81">
        <f>+AVERAGE(CH5:CK5)</f>
        <v>1475086.8233824833</v>
      </c>
      <c r="AE5" s="81">
        <f>+AVERAGE(CL5:CO5)</f>
        <v>1664281.5872529903</v>
      </c>
      <c r="AG5" s="83"/>
      <c r="AH5" s="80">
        <f>AVERAGE(AG120:AH120)</f>
        <v>585143.88</v>
      </c>
      <c r="AI5" s="80">
        <f t="shared" ref="AI5:AL5" si="73">AVERAGE(AH120:AI120)</f>
        <v>589773.22</v>
      </c>
      <c r="AJ5" s="80">
        <f t="shared" si="73"/>
        <v>596826.19500000007</v>
      </c>
      <c r="AK5" s="80">
        <f t="shared" si="73"/>
        <v>597827.36</v>
      </c>
      <c r="AL5" s="80">
        <f t="shared" si="73"/>
        <v>587374.78</v>
      </c>
      <c r="AM5" s="80">
        <f t="shared" ref="AM5:AS5" si="74">AVERAGE(AL120:AM120)</f>
        <v>583240.81499999994</v>
      </c>
      <c r="AN5" s="80">
        <f t="shared" si="74"/>
        <v>602934.5</v>
      </c>
      <c r="AO5" s="80">
        <f t="shared" si="74"/>
        <v>614828.39500000002</v>
      </c>
      <c r="AP5" s="80">
        <f t="shared" si="74"/>
        <v>611892.15999999992</v>
      </c>
      <c r="AQ5" s="80">
        <f t="shared" si="74"/>
        <v>613375.93500000006</v>
      </c>
      <c r="AR5" s="80">
        <f t="shared" si="74"/>
        <v>607892.5</v>
      </c>
      <c r="AS5" s="80">
        <f t="shared" si="74"/>
        <v>600438.25500000012</v>
      </c>
      <c r="AT5" s="80">
        <f t="shared" ref="AT5" si="75">AVERAGE(AS120:AT120)</f>
        <v>593335.58500000008</v>
      </c>
      <c r="AU5" s="80">
        <f t="shared" ref="AU5" si="76">AVERAGE(AT120:AU120)</f>
        <v>587981.13500000001</v>
      </c>
      <c r="AV5" s="80">
        <f t="shared" ref="AV5" si="77">AVERAGE(AU120:AV120)</f>
        <v>593169.77499999991</v>
      </c>
      <c r="AW5" s="80">
        <f t="shared" ref="AW5:BB5" si="78">AVERAGE(AV120:AW120)</f>
        <v>604243.65500000003</v>
      </c>
      <c r="AX5" s="80">
        <f t="shared" si="78"/>
        <v>602642.60000000009</v>
      </c>
      <c r="AY5" s="80">
        <f t="shared" si="78"/>
        <v>599914.94000000006</v>
      </c>
      <c r="AZ5" s="80">
        <f t="shared" si="78"/>
        <v>610226.28500000003</v>
      </c>
      <c r="BA5" s="80">
        <f t="shared" si="78"/>
        <v>626779.49</v>
      </c>
      <c r="BB5" s="80">
        <f t="shared" si="78"/>
        <v>652378.55000000005</v>
      </c>
      <c r="BC5" s="80">
        <f t="shared" ref="BC5:BH5" si="79">AVERAGE(BB120:BC120)</f>
        <v>667654.28499999992</v>
      </c>
      <c r="BD5" s="80">
        <f t="shared" si="79"/>
        <v>682143.24</v>
      </c>
      <c r="BE5" s="80">
        <f t="shared" si="79"/>
        <v>701462.255</v>
      </c>
      <c r="BF5" s="80">
        <f t="shared" si="79"/>
        <v>705606.96</v>
      </c>
      <c r="BG5" s="80">
        <f t="shared" si="79"/>
        <v>696140.05999999994</v>
      </c>
      <c r="BH5" s="80">
        <f t="shared" si="79"/>
        <v>698442.08000000007</v>
      </c>
      <c r="BI5" s="80">
        <f t="shared" ref="BI5" si="80">AVERAGE(BH120:BI120)</f>
        <v>708671.13500000001</v>
      </c>
      <c r="BJ5" s="80">
        <f t="shared" ref="BJ5:BK5" si="81">AVERAGE(BI120:BJ120)</f>
        <v>714406.48499999999</v>
      </c>
      <c r="BK5" s="80">
        <f t="shared" si="81"/>
        <v>734367.82499999995</v>
      </c>
      <c r="BL5" s="80">
        <f t="shared" ref="BL5" si="82">AVERAGE(BK120:BL120)</f>
        <v>760437.19</v>
      </c>
      <c r="BM5" s="80">
        <f t="shared" ref="BM5" si="83">AVERAGE(BL120:BM120)</f>
        <v>782349.77</v>
      </c>
      <c r="BN5" s="80">
        <f t="shared" ref="BN5" si="84">AVERAGE(BM120:BN120)</f>
        <v>798854.6100000001</v>
      </c>
      <c r="BO5" s="80">
        <f t="shared" ref="BO5" si="85">AVERAGE(BN120:BO120)</f>
        <v>817090.46</v>
      </c>
      <c r="BP5" s="80">
        <f t="shared" ref="BP5" si="86">AVERAGE(BO120:BP120)</f>
        <v>840438.57499999995</v>
      </c>
      <c r="BQ5" s="80">
        <f t="shared" ref="BQ5" si="87">AVERAGE(BP120:BQ120)</f>
        <v>869297.495</v>
      </c>
      <c r="BR5" s="80">
        <f t="shared" ref="BR5" si="88">AVERAGE(BQ120:BR120)</f>
        <v>902723.84000000008</v>
      </c>
      <c r="BS5" s="80">
        <f t="shared" ref="BS5" si="89">AVERAGE(BR120:BS120)</f>
        <v>941763.65999999992</v>
      </c>
      <c r="BT5" s="80">
        <f t="shared" ref="BT5:BU5" si="90">AVERAGE(BS120:BT120)</f>
        <v>985722.505</v>
      </c>
      <c r="BU5" s="80">
        <f t="shared" si="90"/>
        <v>1012319.8899999999</v>
      </c>
      <c r="BV5" s="80">
        <f t="shared" ref="BV5:BY5" si="91">AVERAGE(BU120:BV120)</f>
        <v>1029863.72</v>
      </c>
      <c r="BW5" s="80">
        <f t="shared" si="91"/>
        <v>1046900.6950000001</v>
      </c>
      <c r="BX5" s="80">
        <f t="shared" si="91"/>
        <v>1065509.2</v>
      </c>
      <c r="BY5" s="80">
        <f t="shared" si="91"/>
        <v>1105898.865</v>
      </c>
      <c r="BZ5" s="81">
        <f t="shared" ref="BZ5" si="92">AVERAGE(BY120:BZ120)</f>
        <v>1135984.9945772481</v>
      </c>
      <c r="CA5" s="81">
        <f t="shared" ref="CA5" si="93">AVERAGE(BZ120:CA120)</f>
        <v>1153017.0588549781</v>
      </c>
      <c r="CB5" s="81">
        <f t="shared" ref="CB5" si="94">AVERAGE(CA120:CB120)</f>
        <v>1190595.8610416036</v>
      </c>
      <c r="CC5" s="81">
        <f t="shared" ref="CC5" si="95">AVERAGE(CB120:CC120)</f>
        <v>1238280.9001162145</v>
      </c>
      <c r="CD5" s="81">
        <f t="shared" ref="CD5" si="96">AVERAGE(CC120:CD120)</f>
        <v>1264688.1630954165</v>
      </c>
      <c r="CE5" s="81">
        <f t="shared" ref="CE5" si="97">AVERAGE(CD120:CE120)</f>
        <v>1284152.8588818656</v>
      </c>
      <c r="CF5" s="81">
        <f t="shared" ref="CF5" si="98">AVERAGE(CE120:CF120)</f>
        <v>1328728.29667133</v>
      </c>
      <c r="CG5" s="81">
        <f t="shared" ref="CG5" si="99">AVERAGE(CF120:CG120)</f>
        <v>1384072.1776941856</v>
      </c>
      <c r="CH5" s="81">
        <f t="shared" ref="CH5" si="100">AVERAGE(CG120:CH120)</f>
        <v>1415018.8751433436</v>
      </c>
      <c r="CI5" s="81">
        <f t="shared" ref="CI5" si="101">AVERAGE(CH120:CI120)</f>
        <v>1438586.5043159693</v>
      </c>
      <c r="CJ5" s="81">
        <f t="shared" ref="CJ5" si="102">AVERAGE(CI120:CJ120)</f>
        <v>1491033.2375649051</v>
      </c>
      <c r="CK5" s="81">
        <f t="shared" ref="CK5" si="103">AVERAGE(CJ120:CK120)</f>
        <v>1555708.6765057147</v>
      </c>
      <c r="CL5" s="81">
        <f t="shared" ref="CL5" si="104">AVERAGE(CK120:CL120)</f>
        <v>1592713.3739303846</v>
      </c>
      <c r="CM5" s="81">
        <f t="shared" ref="CM5" si="105">AVERAGE(CL120:CM120)</f>
        <v>1621515.7388955848</v>
      </c>
      <c r="CN5" s="81">
        <f t="shared" ref="CN5" si="106">AVERAGE(CM120:CN120)</f>
        <v>1683425.8576987572</v>
      </c>
      <c r="CO5" s="81">
        <f t="shared" ref="CO5" si="107">AVERAGE(CN120:CO120)</f>
        <v>1759471.3784872349</v>
      </c>
    </row>
    <row r="6" spans="1:98" s="12" customFormat="1" x14ac:dyDescent="0.2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20"/>
      <c r="AG6" s="54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8" s="36" customFormat="1" x14ac:dyDescent="0.2">
      <c r="A7" s="34" t="s">
        <v>46</v>
      </c>
      <c r="B7" s="34"/>
      <c r="C7" s="34"/>
      <c r="D7" s="34" t="e">
        <f t="shared" ref="D7" si="108">+D5/C5-1</f>
        <v>#DIV/0!</v>
      </c>
      <c r="E7" s="34">
        <f t="shared" ref="E7" si="109">+E5/D5-1</f>
        <v>9.8823465968779001E-2</v>
      </c>
      <c r="F7" s="34">
        <f t="shared" ref="F7" si="110">+F5/E5-1</f>
        <v>0.11366814921490964</v>
      </c>
      <c r="G7" s="34">
        <f t="shared" ref="G7" si="111">+G5/F5-1</f>
        <v>0.14975703228390658</v>
      </c>
      <c r="H7" s="34">
        <f t="shared" ref="H7" si="112">+H5/G5-1</f>
        <v>0.22235442833818131</v>
      </c>
      <c r="I7" s="34">
        <f t="shared" ref="I7" si="113">+I5/H5-1</f>
        <v>0.26543814889205941</v>
      </c>
      <c r="J7" s="34">
        <f t="shared" ref="J7" si="114">+J5/I5-1</f>
        <v>0.28809719780181497</v>
      </c>
      <c r="K7" s="34">
        <f t="shared" ref="K7" si="115">+K5/J5-1</f>
        <v>0.255057311172735</v>
      </c>
      <c r="L7" s="34">
        <f t="shared" ref="L7" si="116">+L5/K5-1</f>
        <v>0.24588717678551619</v>
      </c>
      <c r="M7" s="34">
        <f t="shared" ref="M7" si="117">+M5/L5-1</f>
        <v>0.17350644693787132</v>
      </c>
      <c r="N7" s="34">
        <f t="shared" ref="N7" si="118">+N5/M5-1</f>
        <v>0.14507248747680079</v>
      </c>
      <c r="O7" s="34">
        <f t="shared" ref="O7" si="119">+O5/N5-1</f>
        <v>0.22652470271856995</v>
      </c>
      <c r="P7" s="34">
        <f t="shared" ref="P7" si="120">+P5/O5-1</f>
        <v>0.16286335368661153</v>
      </c>
      <c r="Q7" s="34">
        <f t="shared" ref="Q7" si="121">+Q5/P5-1</f>
        <v>3.5452656920008874E-2</v>
      </c>
      <c r="R7" s="34">
        <f t="shared" ref="R7" si="122">+R5/Q5-1</f>
        <v>7.0962889105612437E-3</v>
      </c>
      <c r="S7" s="34">
        <f t="shared" ref="S7" si="123">+S5/R5-1</f>
        <v>2.9618678535261456E-3</v>
      </c>
      <c r="T7" s="34">
        <f t="shared" ref="T7" si="124">+T5/S5-1</f>
        <v>-4.1428720119529583E-4</v>
      </c>
      <c r="U7" s="34">
        <f t="shared" ref="U7:V7" si="125">+U5/T5-1</f>
        <v>3.2268246133726475E-2</v>
      </c>
      <c r="V7" s="34">
        <f t="shared" si="125"/>
        <v>7.7441711799246526E-2</v>
      </c>
      <c r="W7" s="34">
        <f>+W5/V5-1</f>
        <v>5.2484124619704087E-2</v>
      </c>
      <c r="X7" s="34">
        <f t="shared" ref="X7:Z7" si="126">+X5/W5-1</f>
        <v>6.0133355849799619E-2</v>
      </c>
      <c r="Y7" s="34">
        <f t="shared" si="126"/>
        <v>0.10610999734131443</v>
      </c>
      <c r="Z7" s="34">
        <f t="shared" si="126"/>
        <v>0.15541139791892356</v>
      </c>
      <c r="AA7" s="35">
        <f t="shared" ref="AA7" si="127">+AA5/Z5-1</f>
        <v>0.10556653977574348</v>
      </c>
      <c r="AB7" s="35">
        <f t="shared" ref="AB7" si="128">+AB5/AA5-1</f>
        <v>0.11056668174406226</v>
      </c>
      <c r="AC7" s="35">
        <f t="shared" ref="AC7" si="129">+AC5/AB5-1</f>
        <v>0.11525575435960045</v>
      </c>
      <c r="AD7" s="35">
        <f t="shared" ref="AD7" si="130">+AD5/AC5-1</f>
        <v>0.12138907556341105</v>
      </c>
      <c r="AE7" s="35">
        <f t="shared" ref="AE7" si="131">+AE5/AD5-1</f>
        <v>0.12826008670911282</v>
      </c>
      <c r="AG7" s="58"/>
      <c r="AH7" s="34"/>
      <c r="AI7" s="34"/>
      <c r="AJ7" s="34"/>
      <c r="AK7" s="34"/>
      <c r="AL7" s="34"/>
      <c r="AM7" s="34">
        <f t="shared" ref="AM7" si="132">AM5/AI5-1</f>
        <v>-1.1076130245452731E-2</v>
      </c>
      <c r="AN7" s="34">
        <f t="shared" ref="AN7" si="133">AN5/AJ5-1</f>
        <v>1.0234646285925741E-2</v>
      </c>
      <c r="AO7" s="34">
        <f t="shared" ref="AO7" si="134">AO5/AK5-1</f>
        <v>2.8438034351589536E-2</v>
      </c>
      <c r="AP7" s="34">
        <f t="shared" ref="AP7" si="135">AP5/AL5-1</f>
        <v>4.1740607249088679E-2</v>
      </c>
      <c r="AQ7" s="34">
        <f t="shared" ref="AQ7" si="136">AQ5/AM5-1</f>
        <v>5.1668400470224585E-2</v>
      </c>
      <c r="AR7" s="34">
        <f t="shared" ref="AR7:AS7" si="137">AR5/AN5-1</f>
        <v>8.2231154462051315E-3</v>
      </c>
      <c r="AS7" s="34">
        <f t="shared" si="137"/>
        <v>-2.340513241910358E-2</v>
      </c>
      <c r="AT7" s="34">
        <f t="shared" ref="AT7" si="138">AT5/AP5-1</f>
        <v>-3.0326544795082566E-2</v>
      </c>
      <c r="AU7" s="34">
        <f t="shared" ref="AU7" si="139">AU5/AQ5-1</f>
        <v>-4.140168948754086E-2</v>
      </c>
      <c r="AV7" s="34">
        <f t="shared" ref="AV7" si="140">AV5/AR5-1</f>
        <v>-2.421929041730253E-2</v>
      </c>
      <c r="AW7" s="34">
        <f t="shared" ref="AW7" si="141">AW5/AS5-1</f>
        <v>6.3377041158043657E-3</v>
      </c>
      <c r="AX7" s="34">
        <f t="shared" ref="AX7" si="142">AX5/AT5-1</f>
        <v>1.5685920809890508E-2</v>
      </c>
      <c r="AY7" s="34">
        <f t="shared" ref="AY7" si="143">AY5/AU5-1</f>
        <v>2.0296237905660153E-2</v>
      </c>
      <c r="AZ7" s="34">
        <f t="shared" ref="AZ7" si="144">AZ5/AV5-1</f>
        <v>2.8754853532447999E-2</v>
      </c>
      <c r="BA7" s="34">
        <f t="shared" ref="BA7:BB7" si="145">BA5/AW5-1</f>
        <v>3.7295939830762403E-2</v>
      </c>
      <c r="BB7" s="34">
        <f t="shared" si="145"/>
        <v>8.2529761420782277E-2</v>
      </c>
      <c r="BC7" s="34">
        <f t="shared" ref="BC7" si="146">BC5/AY5-1</f>
        <v>0.11291491590457792</v>
      </c>
      <c r="BD7" s="34">
        <f t="shared" ref="BD7" si="147">BD5/AZ5-1</f>
        <v>0.11785292893438704</v>
      </c>
      <c r="BE7" s="34">
        <f t="shared" ref="BE7" si="148">BE5/BA5-1</f>
        <v>0.11915317299230699</v>
      </c>
      <c r="BF7" s="34">
        <f t="shared" ref="BF7:BH7" si="149">BF5/BB5-1</f>
        <v>8.1591293889107686E-2</v>
      </c>
      <c r="BG7" s="34">
        <f t="shared" si="149"/>
        <v>4.2665456719116257E-2</v>
      </c>
      <c r="BH7" s="34">
        <f t="shared" si="149"/>
        <v>2.3893574024130393E-2</v>
      </c>
      <c r="BI7" s="34">
        <f t="shared" ref="BI7" si="150">BI5/BE5-1</f>
        <v>1.0276932149399842E-2</v>
      </c>
      <c r="BJ7" s="34">
        <f t="shared" ref="BJ7:BK7" si="151">BJ5/BF5-1</f>
        <v>1.2470859130981449E-2</v>
      </c>
      <c r="BK7" s="34">
        <f t="shared" si="151"/>
        <v>5.491389907944666E-2</v>
      </c>
      <c r="BL7" s="34">
        <f t="shared" ref="BL7" si="152">BL5/BH5-1</f>
        <v>8.8761991545526442E-2</v>
      </c>
      <c r="BM7" s="34">
        <f t="shared" ref="BM7" si="153">BM5/BI5-1</f>
        <v>0.10396731482509169</v>
      </c>
      <c r="BN7" s="34">
        <f t="shared" ref="BN7" si="154">BN5/BJ5-1</f>
        <v>0.11820738861294089</v>
      </c>
      <c r="BO7" s="34">
        <f t="shared" ref="BO7" si="155">BO5/BK5-1</f>
        <v>0.11264468864768151</v>
      </c>
      <c r="BP7" s="34">
        <f t="shared" ref="BP7" si="156">BP5/BL5-1</f>
        <v>0.10520446139673933</v>
      </c>
      <c r="BQ7" s="34">
        <f t="shared" ref="BQ7" si="157">BQ5/BM5-1</f>
        <v>0.11113664032904369</v>
      </c>
      <c r="BR7" s="34">
        <f t="shared" ref="BR7" si="158">BR5/BN5-1</f>
        <v>0.13002269586952742</v>
      </c>
      <c r="BS7" s="34">
        <f t="shared" ref="BS7" si="159">BS5/BO5-1</f>
        <v>0.15258188181514187</v>
      </c>
      <c r="BT7" s="34">
        <f t="shared" ref="BT7:BU7" si="160">BT5/BP5-1</f>
        <v>0.17286680350196937</v>
      </c>
      <c r="BU7" s="34">
        <f t="shared" si="160"/>
        <v>0.16452640876412494</v>
      </c>
      <c r="BV7" s="34">
        <f t="shared" ref="BV7:BY7" si="161">BV5/BR5-1</f>
        <v>0.14084028178540176</v>
      </c>
      <c r="BW7" s="34">
        <f t="shared" si="161"/>
        <v>0.11163844971465586</v>
      </c>
      <c r="BX7" s="34">
        <f t="shared" si="161"/>
        <v>8.0942348982891543E-2</v>
      </c>
      <c r="BY7" s="34">
        <f t="shared" si="161"/>
        <v>9.2440122854841933E-2</v>
      </c>
      <c r="BZ7" s="86">
        <f t="shared" ref="BZ7" si="162">BZ5/BV5-1</f>
        <v>0.10304399748856885</v>
      </c>
      <c r="CA7" s="86">
        <f t="shared" ref="CA7" si="163">CA5/BW5-1</f>
        <v>0.10136239698931337</v>
      </c>
      <c r="CB7" s="86">
        <f t="shared" ref="CB7" si="164">CB5/BX5-1</f>
        <v>0.11739613420663431</v>
      </c>
      <c r="CC7" s="86">
        <f t="shared" ref="CC7" si="165">CC5/BY5-1</f>
        <v>0.11970537207867959</v>
      </c>
      <c r="CD7" s="86">
        <f t="shared" ref="CD7" si="166">CD5/BZ5-1</f>
        <v>0.11329653924351768</v>
      </c>
      <c r="CE7" s="86">
        <f t="shared" ref="CE7" si="167">CE5/CA5-1</f>
        <v>0.11373274924233479</v>
      </c>
      <c r="CF7" s="86">
        <f t="shared" ref="CF7" si="168">CF5/CB5-1</f>
        <v>0.11601958326050288</v>
      </c>
      <c r="CG7" s="86">
        <f t="shared" ref="CG7" si="169">CG5/CC5-1</f>
        <v>0.11773683787280276</v>
      </c>
      <c r="CH7" s="86">
        <f t="shared" ref="CH7" si="170">CH5/CD5-1</f>
        <v>0.11886780981643863</v>
      </c>
      <c r="CI7" s="86">
        <f t="shared" ref="CI7" si="171">CI5/CE5-1</f>
        <v>0.12026110783148658</v>
      </c>
      <c r="CJ7" s="86">
        <f t="shared" ref="CJ7" si="172">CJ5/CF5-1</f>
        <v>0.12215058661742506</v>
      </c>
      <c r="CK7" s="86">
        <f t="shared" ref="CK7" si="173">CK5/CG5-1</f>
        <v>0.12400834405722194</v>
      </c>
      <c r="CL7" s="86">
        <f t="shared" ref="CL7" si="174">CL5/CH5-1</f>
        <v>0.12557747596761937</v>
      </c>
      <c r="CM7" s="86">
        <f t="shared" ref="CM7" si="175">CM5/CI5-1</f>
        <v>0.12715900922940748</v>
      </c>
      <c r="CN7" s="86">
        <f t="shared" ref="CN7" si="176">CN5/CJ5-1</f>
        <v>0.12903308610883824</v>
      </c>
      <c r="CO7" s="86">
        <f t="shared" ref="CO7" si="177">CO5/CK5-1</f>
        <v>0.13097741566833232</v>
      </c>
    </row>
    <row r="8" spans="1:98" s="23" customForma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G8" s="55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8" s="77" customFormat="1" x14ac:dyDescent="0.2">
      <c r="A9" s="76" t="s">
        <v>26</v>
      </c>
      <c r="B9" s="76"/>
      <c r="C9" s="76"/>
      <c r="D9" s="76">
        <f t="shared" ref="D9:O9" si="178">D119/D113</f>
        <v>19.340538033379456</v>
      </c>
      <c r="E9" s="76">
        <f t="shared" si="178"/>
        <v>18.835457304763739</v>
      </c>
      <c r="F9" s="76">
        <f t="shared" si="178"/>
        <v>18.988991887021317</v>
      </c>
      <c r="G9" s="76">
        <f t="shared" si="178"/>
        <v>20.029730983336847</v>
      </c>
      <c r="H9" s="76">
        <f t="shared" si="178"/>
        <v>21.457932135380762</v>
      </c>
      <c r="I9" s="76">
        <f t="shared" si="178"/>
        <v>14.843576009234148</v>
      </c>
      <c r="J9" s="76">
        <f t="shared" si="178"/>
        <v>15.21918174506138</v>
      </c>
      <c r="K9" s="76">
        <f t="shared" si="178"/>
        <v>17.720446188810005</v>
      </c>
      <c r="L9" s="76">
        <f t="shared" si="178"/>
        <v>18.559546962170604</v>
      </c>
      <c r="M9" s="76">
        <f t="shared" si="178"/>
        <v>16.712806735808108</v>
      </c>
      <c r="N9" s="76">
        <f t="shared" si="178"/>
        <v>17.443115899544129</v>
      </c>
      <c r="O9" s="76">
        <f t="shared" si="178"/>
        <v>17.55840274833168</v>
      </c>
      <c r="P9" s="76">
        <f t="shared" ref="P9:Z9" si="179">P119/P113</f>
        <v>18.188333491039138</v>
      </c>
      <c r="Q9" s="76">
        <f t="shared" si="179"/>
        <v>17.454708743792263</v>
      </c>
      <c r="R9" s="76">
        <f t="shared" si="179"/>
        <v>17.835944636948867</v>
      </c>
      <c r="S9" s="76">
        <f t="shared" si="179"/>
        <v>15.881623668774523</v>
      </c>
      <c r="T9" s="76">
        <f t="shared" si="179"/>
        <v>12.200212516837123</v>
      </c>
      <c r="U9" s="76">
        <f t="shared" si="179"/>
        <v>13.585291782799679</v>
      </c>
      <c r="V9" s="76">
        <f t="shared" si="179"/>
        <v>13.54769834927167</v>
      </c>
      <c r="W9" s="76">
        <f t="shared" si="179"/>
        <v>11.874507745283015</v>
      </c>
      <c r="X9" s="76">
        <f t="shared" si="179"/>
        <v>12.456454913289525</v>
      </c>
      <c r="Y9" s="76">
        <f t="shared" si="179"/>
        <v>11.887867207821477</v>
      </c>
      <c r="Z9" s="76">
        <f t="shared" si="179"/>
        <v>11.964130620983418</v>
      </c>
      <c r="AA9" s="15">
        <f>AA119/AA113</f>
        <v>11.886121876294856</v>
      </c>
      <c r="AB9" s="15">
        <f>AB119/AB113</f>
        <v>11.739262943393427</v>
      </c>
      <c r="AC9" s="15">
        <f>AC119/AC113</f>
        <v>11.729683674451259</v>
      </c>
      <c r="AD9" s="15">
        <f>AD119/AD113</f>
        <v>11.799032283539653</v>
      </c>
      <c r="AE9" s="15">
        <f>AE119/AE113</f>
        <v>11.941106270729422</v>
      </c>
      <c r="AG9" s="78"/>
      <c r="AH9" s="14">
        <f t="shared" ref="AH9:BU9" si="180">AH119/AH113</f>
        <v>17.508232556800767</v>
      </c>
      <c r="AI9" s="14">
        <f t="shared" si="180"/>
        <v>16.93756763526298</v>
      </c>
      <c r="AJ9" s="14">
        <f t="shared" si="180"/>
        <v>17.96377024859714</v>
      </c>
      <c r="AK9" s="14">
        <f t="shared" si="180"/>
        <v>17.454708975586392</v>
      </c>
      <c r="AL9" s="14">
        <f t="shared" si="180"/>
        <v>17.477861027696118</v>
      </c>
      <c r="AM9" s="14">
        <f t="shared" si="180"/>
        <v>17.139688723873984</v>
      </c>
      <c r="AN9" s="14">
        <f t="shared" si="180"/>
        <v>18.112239366757752</v>
      </c>
      <c r="AO9" s="14">
        <f t="shared" si="180"/>
        <v>17.835947655482631</v>
      </c>
      <c r="AP9" s="14">
        <f t="shared" si="180"/>
        <v>17.812700564971749</v>
      </c>
      <c r="AQ9" s="14">
        <f t="shared" si="180"/>
        <v>17.777659527361401</v>
      </c>
      <c r="AR9" s="14">
        <f t="shared" si="180"/>
        <v>17.537963489424531</v>
      </c>
      <c r="AS9" s="14">
        <f t="shared" si="180"/>
        <v>15.881621748617428</v>
      </c>
      <c r="AT9" s="14">
        <f t="shared" si="180"/>
        <v>15.407494082323938</v>
      </c>
      <c r="AU9" s="14">
        <f t="shared" si="180"/>
        <v>15.772775712282703</v>
      </c>
      <c r="AV9" s="14">
        <f t="shared" si="180"/>
        <v>13.884251698602851</v>
      </c>
      <c r="AW9" s="14">
        <f t="shared" si="180"/>
        <v>12.200213518598678</v>
      </c>
      <c r="AX9" s="14">
        <f t="shared" si="180"/>
        <v>11.730139386565353</v>
      </c>
      <c r="AY9" s="14">
        <f t="shared" si="180"/>
        <v>11.895646888800123</v>
      </c>
      <c r="AZ9" s="14">
        <f t="shared" si="180"/>
        <v>12.004683703458989</v>
      </c>
      <c r="BA9" s="14">
        <f t="shared" si="180"/>
        <v>13.585293923655369</v>
      </c>
      <c r="BB9" s="14">
        <f t="shared" si="180"/>
        <v>13.892174779492086</v>
      </c>
      <c r="BC9" s="14">
        <f t="shared" si="180"/>
        <v>13.851287129591229</v>
      </c>
      <c r="BD9" s="14">
        <f t="shared" si="180"/>
        <v>14.234624550935106</v>
      </c>
      <c r="BE9" s="14">
        <f t="shared" si="180"/>
        <v>13.547697994416831</v>
      </c>
      <c r="BF9" s="14">
        <f t="shared" si="180"/>
        <v>13.188600526327049</v>
      </c>
      <c r="BG9" s="14">
        <f t="shared" si="180"/>
        <v>11.992040194632914</v>
      </c>
      <c r="BH9" s="14">
        <f t="shared" si="180"/>
        <v>12.107950214018217</v>
      </c>
      <c r="BI9" s="14">
        <f t="shared" si="180"/>
        <v>11.874507629431154</v>
      </c>
      <c r="BJ9" s="14">
        <f t="shared" si="180"/>
        <v>11.859483185075945</v>
      </c>
      <c r="BK9" s="14">
        <f t="shared" si="180"/>
        <v>12.317116586146907</v>
      </c>
      <c r="BL9" s="14">
        <f t="shared" si="180"/>
        <v>12.34959635154072</v>
      </c>
      <c r="BM9" s="14">
        <f t="shared" si="180"/>
        <v>12.456453569591096</v>
      </c>
      <c r="BN9" s="14">
        <f t="shared" si="180"/>
        <v>12.341045522782128</v>
      </c>
      <c r="BO9" s="14">
        <f t="shared" si="180"/>
        <v>12.629820050147455</v>
      </c>
      <c r="BP9" s="14">
        <f t="shared" si="180"/>
        <v>11.645511205619329</v>
      </c>
      <c r="BQ9" s="14">
        <f t="shared" si="180"/>
        <v>11.887867525098116</v>
      </c>
      <c r="BR9" s="14">
        <f t="shared" si="180"/>
        <v>12.300477845912194</v>
      </c>
      <c r="BS9" s="14">
        <f t="shared" si="180"/>
        <v>12.449800092190156</v>
      </c>
      <c r="BT9" s="14">
        <f t="shared" si="180"/>
        <v>12.553350154841072</v>
      </c>
      <c r="BU9" s="14">
        <f t="shared" si="180"/>
        <v>11.964130937041356</v>
      </c>
      <c r="BV9" s="14">
        <f>BV119/BV113</f>
        <v>12.112917607815778</v>
      </c>
      <c r="BW9" s="14">
        <f t="shared" ref="BW9:BX9" si="181">BW119/BW113</f>
        <v>11.867445819971916</v>
      </c>
      <c r="BX9" s="14">
        <f t="shared" si="181"/>
        <v>11.744114118360308</v>
      </c>
      <c r="BY9" s="14">
        <f t="shared" ref="BY9" si="182">BY119/BY113</f>
        <v>11.886121207561477</v>
      </c>
      <c r="BZ9" s="79">
        <f t="shared" ref="BZ9:CO9" si="183">BZ119/BZ113</f>
        <v>11.557333444853594</v>
      </c>
      <c r="CA9" s="79">
        <f t="shared" si="183"/>
        <v>11.501375621361788</v>
      </c>
      <c r="CB9" s="79">
        <f t="shared" si="183"/>
        <v>11.603881801046121</v>
      </c>
      <c r="CC9" s="79">
        <f t="shared" si="183"/>
        <v>11.739262943393427</v>
      </c>
      <c r="CD9" s="79">
        <f t="shared" si="183"/>
        <v>11.404086707050913</v>
      </c>
      <c r="CE9" s="79">
        <f t="shared" si="183"/>
        <v>11.399271440627166</v>
      </c>
      <c r="CF9" s="79">
        <f t="shared" si="183"/>
        <v>11.550465074817497</v>
      </c>
      <c r="CG9" s="79">
        <f t="shared" si="183"/>
        <v>11.729683674451259</v>
      </c>
      <c r="CH9" s="79">
        <f t="shared" si="183"/>
        <v>11.409879674951529</v>
      </c>
      <c r="CI9" s="79">
        <f t="shared" si="183"/>
        <v>11.43064480307565</v>
      </c>
      <c r="CJ9" s="79">
        <f t="shared" si="183"/>
        <v>11.603848895114375</v>
      </c>
      <c r="CK9" s="79">
        <f t="shared" si="183"/>
        <v>11.799032283539653</v>
      </c>
      <c r="CL9" s="79">
        <f t="shared" si="183"/>
        <v>11.492258934334265</v>
      </c>
      <c r="CM9" s="79">
        <f t="shared" si="183"/>
        <v>11.531864725595149</v>
      </c>
      <c r="CN9" s="79">
        <f t="shared" si="183"/>
        <v>11.725416112690718</v>
      </c>
      <c r="CO9" s="79">
        <f t="shared" si="183"/>
        <v>11.941106270729422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29" customFormat="1" x14ac:dyDescent="0.2">
      <c r="A12" s="26" t="s">
        <v>7</v>
      </c>
      <c r="B12" s="26"/>
      <c r="C12" s="26"/>
      <c r="D12" s="27" t="e">
        <f t="shared" ref="D12" si="184">D38/C5</f>
        <v>#DIV/0!</v>
      </c>
      <c r="E12" s="27">
        <f t="shared" ref="E12" si="185">E38/D5</f>
        <v>8.4044496587335357E-2</v>
      </c>
      <c r="F12" s="27">
        <f t="shared" ref="F12" si="186">F38/E5</f>
        <v>7.9595289378033299E-2</v>
      </c>
      <c r="G12" s="27">
        <f t="shared" ref="G12" si="187">G38/F5</f>
        <v>8.3287375532015887E-2</v>
      </c>
      <c r="H12" s="27">
        <f t="shared" ref="H12" si="188">H38/G5</f>
        <v>9.2099052293889275E-2</v>
      </c>
      <c r="I12" s="27">
        <f t="shared" ref="I12" si="189">I38/H5</f>
        <v>0.10417214640920491</v>
      </c>
      <c r="J12" s="27">
        <f t="shared" ref="J12" si="190">J38/I5</f>
        <v>0.10892002579978881</v>
      </c>
      <c r="K12" s="27">
        <f t="shared" ref="K12" si="191">K38/J5</f>
        <v>9.2476241012700411E-2</v>
      </c>
      <c r="L12" s="27">
        <f t="shared" ref="L12" si="192">L38/K5</f>
        <v>8.9648215933833084E-2</v>
      </c>
      <c r="M12" s="27">
        <f t="shared" ref="M12" si="193">M38/L5</f>
        <v>9.4214858919887762E-2</v>
      </c>
      <c r="N12" s="27">
        <f t="shared" ref="N12" si="194">N38/M5</f>
        <v>8.9948930331827021E-2</v>
      </c>
      <c r="O12" s="27">
        <f t="shared" ref="O12" si="195">O38/N5</f>
        <v>9.3326664358902939E-2</v>
      </c>
      <c r="P12" s="27">
        <f t="shared" ref="P12:Z12" si="196">P38/O5</f>
        <v>8.7239114603574877E-2</v>
      </c>
      <c r="Q12" s="27">
        <f t="shared" si="196"/>
        <v>7.2141540764460665E-2</v>
      </c>
      <c r="R12" s="27">
        <f t="shared" si="196"/>
        <v>6.54948292576817E-2</v>
      </c>
      <c r="S12" s="27">
        <f t="shared" si="196"/>
        <v>6.3014938676408408E-2</v>
      </c>
      <c r="T12" s="27">
        <f t="shared" si="196"/>
        <v>6.7278692446359867E-2</v>
      </c>
      <c r="U12" s="27">
        <f t="shared" si="196"/>
        <v>6.9924121910048362E-2</v>
      </c>
      <c r="V12" s="27">
        <f t="shared" si="196"/>
        <v>6.4933313682513552E-2</v>
      </c>
      <c r="W12" s="27">
        <f t="shared" si="196"/>
        <v>5.6520121507980699E-2</v>
      </c>
      <c r="X12" s="27">
        <f t="shared" si="196"/>
        <v>6.7201713321277196E-2</v>
      </c>
      <c r="Y12" s="27">
        <f t="shared" si="196"/>
        <v>8.0767062671482148E-2</v>
      </c>
      <c r="Z12" s="27">
        <f t="shared" si="196"/>
        <v>8.5187118329690503E-2</v>
      </c>
      <c r="AA12" s="28">
        <f t="shared" ref="AA12" si="197">AA38/Z5</f>
        <v>7.8241440669390039E-2</v>
      </c>
      <c r="AB12" s="28">
        <f t="shared" ref="AB12" si="198">AB38/AA5</f>
        <v>7.820169074787027E-2</v>
      </c>
      <c r="AC12" s="28">
        <f t="shared" ref="AC12" si="199">AC38/AB5</f>
        <v>7.8594632906420922E-2</v>
      </c>
      <c r="AD12" s="28">
        <f t="shared" ref="AD12" si="200">AD38/AC5</f>
        <v>7.8922959578305057E-2</v>
      </c>
      <c r="AE12" s="28">
        <f t="shared" ref="AE12" si="201">AE38/AD5</f>
        <v>7.9283905123900378E-2</v>
      </c>
      <c r="AG12" s="57"/>
      <c r="AH12" s="27" t="e">
        <f>AH38/AG5</f>
        <v>#DIV/0!</v>
      </c>
      <c r="AI12" s="27">
        <f t="shared" ref="AI12:BY12" si="202">AI38/AH5</f>
        <v>1.8012441657938898E-2</v>
      </c>
      <c r="AJ12" s="27">
        <f t="shared" si="202"/>
        <v>1.7022949939978625E-2</v>
      </c>
      <c r="AK12" s="27">
        <f t="shared" si="202"/>
        <v>1.7595273277172425E-2</v>
      </c>
      <c r="AL12" s="27">
        <f t="shared" si="202"/>
        <v>1.576697660675818E-2</v>
      </c>
      <c r="AM12" s="27">
        <f t="shared" si="202"/>
        <v>1.6102972619968462E-2</v>
      </c>
      <c r="AN12" s="27">
        <f t="shared" si="202"/>
        <v>1.684510025245747E-2</v>
      </c>
      <c r="AO12" s="27">
        <f t="shared" si="202"/>
        <v>1.7550314337627056E-2</v>
      </c>
      <c r="AP12" s="27">
        <f t="shared" si="202"/>
        <v>1.5444390788099498E-2</v>
      </c>
      <c r="AQ12" s="27">
        <f t="shared" si="202"/>
        <v>1.6169662968062871E-2</v>
      </c>
      <c r="AR12" s="27">
        <f t="shared" si="202"/>
        <v>1.5218790740461638E-2</v>
      </c>
      <c r="AS12" s="27">
        <f t="shared" si="202"/>
        <v>1.5375810690212497E-2</v>
      </c>
      <c r="AT12" s="27">
        <f t="shared" si="202"/>
        <v>1.6675919491505414E-2</v>
      </c>
      <c r="AU12" s="27">
        <f t="shared" si="202"/>
        <v>1.6465926276779771E-2</v>
      </c>
      <c r="AV12" s="27">
        <f t="shared" si="202"/>
        <v>1.7298191038050907E-2</v>
      </c>
      <c r="AW12" s="27">
        <f t="shared" si="202"/>
        <v>1.8231070522768969E-2</v>
      </c>
      <c r="AX12" s="27">
        <f t="shared" si="202"/>
        <v>1.709934380692835E-2</v>
      </c>
      <c r="AY12" s="27">
        <f t="shared" si="202"/>
        <v>1.7685673067254121E-2</v>
      </c>
      <c r="AZ12" s="27">
        <f t="shared" si="202"/>
        <v>1.8060760413801329E-2</v>
      </c>
      <c r="BA12" s="27">
        <f t="shared" si="202"/>
        <v>1.7252649154567309E-2</v>
      </c>
      <c r="BB12" s="27">
        <f t="shared" si="202"/>
        <v>1.6328294341603298E-2</v>
      </c>
      <c r="BC12" s="27">
        <f t="shared" si="202"/>
        <v>1.6547922981220028E-2</v>
      </c>
      <c r="BD12" s="27">
        <f t="shared" si="202"/>
        <v>1.5341922054765218E-2</v>
      </c>
      <c r="BE12" s="27">
        <f t="shared" si="202"/>
        <v>1.3672494944023781E-2</v>
      </c>
      <c r="BF12" s="27">
        <f t="shared" si="202"/>
        <v>1.3288398532576781E-2</v>
      </c>
      <c r="BG12" s="27">
        <f t="shared" si="202"/>
        <v>1.3495204185627647E-2</v>
      </c>
      <c r="BH12" s="27">
        <f t="shared" si="202"/>
        <v>1.3468439095431458E-2</v>
      </c>
      <c r="BI12" s="27">
        <f t="shared" si="202"/>
        <v>1.4111807238189314E-2</v>
      </c>
      <c r="BJ12" s="27">
        <f t="shared" si="202"/>
        <v>1.4072310141431116E-2</v>
      </c>
      <c r="BK12" s="27">
        <f t="shared" si="202"/>
        <v>1.6093638903627812E-2</v>
      </c>
      <c r="BL12" s="27">
        <f t="shared" si="202"/>
        <v>1.7331573588480677E-2</v>
      </c>
      <c r="BM12" s="27">
        <f t="shared" si="202"/>
        <v>1.7687101810473001E-2</v>
      </c>
      <c r="BN12" s="27">
        <f t="shared" si="202"/>
        <v>1.8353210482825347E-2</v>
      </c>
      <c r="BO12" s="27">
        <f t="shared" si="202"/>
        <v>1.8740806916041956E-2</v>
      </c>
      <c r="BP12" s="27">
        <f t="shared" si="202"/>
        <v>1.8624596351302401E-2</v>
      </c>
      <c r="BQ12" s="27">
        <f t="shared" si="202"/>
        <v>1.9230078771669899E-2</v>
      </c>
      <c r="BR12" s="27">
        <f t="shared" si="202"/>
        <v>1.9484721970813915E-2</v>
      </c>
      <c r="BS12" s="27">
        <f t="shared" si="202"/>
        <v>1.9224650143281913E-2</v>
      </c>
      <c r="BT12" s="27">
        <f t="shared" si="202"/>
        <v>1.9336613604309178E-2</v>
      </c>
      <c r="BU12" s="27">
        <f t="shared" si="202"/>
        <v>1.8588608768752825E-2</v>
      </c>
      <c r="BV12" s="27">
        <f t="shared" si="202"/>
        <v>1.8128844628351619E-2</v>
      </c>
      <c r="BW12" s="27">
        <f t="shared" si="202"/>
        <v>1.7872354994697744E-2</v>
      </c>
      <c r="BX12" s="27">
        <f t="shared" si="202"/>
        <v>1.8079202822575257E-2</v>
      </c>
      <c r="BY12" s="27">
        <f t="shared" si="202"/>
        <v>1.8278453156481429E-2</v>
      </c>
      <c r="BZ12" s="30">
        <f>+AVERAGE(BV12:BY12)</f>
        <v>1.8089713900526511E-2</v>
      </c>
      <c r="CA12" s="30">
        <f t="shared" ref="CA12:CO12" si="203">+AVERAGE(BW12:BZ12)</f>
        <v>1.8079931218570235E-2</v>
      </c>
      <c r="CB12" s="30">
        <f t="shared" si="203"/>
        <v>1.8131825274538358E-2</v>
      </c>
      <c r="CC12" s="30">
        <f t="shared" si="203"/>
        <v>1.8144980887529132E-2</v>
      </c>
      <c r="CD12" s="30">
        <f t="shared" si="203"/>
        <v>1.8111612820291056E-2</v>
      </c>
      <c r="CE12" s="30">
        <f t="shared" si="203"/>
        <v>1.8117087550232197E-2</v>
      </c>
      <c r="CF12" s="30">
        <f t="shared" si="203"/>
        <v>1.8126376633147687E-2</v>
      </c>
      <c r="CG12" s="30">
        <f t="shared" si="203"/>
        <v>1.8125014472800016E-2</v>
      </c>
      <c r="CH12" s="30">
        <f t="shared" si="203"/>
        <v>1.8120022869117739E-2</v>
      </c>
      <c r="CI12" s="30">
        <f t="shared" si="203"/>
        <v>1.8122125381324409E-2</v>
      </c>
      <c r="CJ12" s="30">
        <f t="shared" si="203"/>
        <v>1.8123384839097461E-2</v>
      </c>
      <c r="CK12" s="30">
        <f t="shared" si="203"/>
        <v>1.8122636890584905E-2</v>
      </c>
      <c r="CL12" s="30">
        <f t="shared" si="203"/>
        <v>1.8122042495031129E-2</v>
      </c>
      <c r="CM12" s="30">
        <f t="shared" si="203"/>
        <v>1.8122547401509478E-2</v>
      </c>
      <c r="CN12" s="30">
        <f t="shared" si="203"/>
        <v>1.8122652906555743E-2</v>
      </c>
      <c r="CO12" s="30">
        <f t="shared" si="203"/>
        <v>1.8122469923420315E-2</v>
      </c>
    </row>
    <row r="13" spans="1:98" s="29" customFormat="1" x14ac:dyDescent="0.2">
      <c r="A13" s="26" t="s">
        <v>27</v>
      </c>
      <c r="B13" s="26"/>
      <c r="C13" s="26"/>
      <c r="D13" s="27" t="e">
        <f t="shared" ref="D13" si="204">D39/C5</f>
        <v>#DIV/0!</v>
      </c>
      <c r="E13" s="27">
        <f t="shared" ref="E13" si="205">E39/D5</f>
        <v>5.2122296260647905E-2</v>
      </c>
      <c r="F13" s="27">
        <f t="shared" ref="F13" si="206">F39/E5</f>
        <v>5.007611969394124E-2</v>
      </c>
      <c r="G13" s="27">
        <f t="shared" ref="G13" si="207">G39/F5</f>
        <v>5.2099440807747296E-2</v>
      </c>
      <c r="H13" s="27">
        <f t="shared" ref="H13" si="208">H39/G5</f>
        <v>5.6640952531593569E-2</v>
      </c>
      <c r="I13" s="27">
        <f t="shared" ref="I13" si="209">I39/H5</f>
        <v>6.8513369085332718E-2</v>
      </c>
      <c r="J13" s="27">
        <f t="shared" ref="J13" si="210">J39/I5</f>
        <v>7.2281637116405145E-2</v>
      </c>
      <c r="K13" s="27">
        <f t="shared" ref="K13" si="211">K39/J5</f>
        <v>6.2702859351789458E-2</v>
      </c>
      <c r="L13" s="27">
        <f t="shared" ref="L13" si="212">L39/K5</f>
        <v>5.7456994464546385E-2</v>
      </c>
      <c r="M13" s="27">
        <f t="shared" ref="M13" si="213">M39/L5</f>
        <v>6.6713783491368903E-2</v>
      </c>
      <c r="N13" s="27">
        <f t="shared" ref="N13" si="214">N39/M5</f>
        <v>6.4510938497150824E-2</v>
      </c>
      <c r="O13" s="27">
        <f t="shared" ref="O13" si="215">O39/N5</f>
        <v>6.6664181252877958E-2</v>
      </c>
      <c r="P13" s="27">
        <f t="shared" ref="P13:Z13" si="216">P39/O5</f>
        <v>6.4401117900938401E-2</v>
      </c>
      <c r="Q13" s="27">
        <f t="shared" si="216"/>
        <v>5.1904608063987216E-2</v>
      </c>
      <c r="R13" s="27">
        <f t="shared" si="216"/>
        <v>4.5781602165178084E-2</v>
      </c>
      <c r="S13" s="27">
        <f t="shared" si="216"/>
        <v>4.5625084281326979E-2</v>
      </c>
      <c r="T13" s="27">
        <f t="shared" si="216"/>
        <v>4.4739582156337381E-2</v>
      </c>
      <c r="U13" s="27">
        <f t="shared" si="216"/>
        <v>4.4735254598859645E-2</v>
      </c>
      <c r="V13" s="27">
        <f t="shared" si="216"/>
        <v>4.2110640944661867E-2</v>
      </c>
      <c r="W13" s="27">
        <f t="shared" si="216"/>
        <v>3.5646209422963121E-2</v>
      </c>
      <c r="X13" s="27">
        <f t="shared" si="216"/>
        <v>3.8606260279393595E-2</v>
      </c>
      <c r="Y13" s="27">
        <f t="shared" si="216"/>
        <v>5.009778373483996E-2</v>
      </c>
      <c r="Z13" s="27">
        <f t="shared" si="216"/>
        <v>5.5847026032086765E-2</v>
      </c>
      <c r="AA13" s="28">
        <f t="shared" ref="AA13" si="217">AA39/Z5</f>
        <v>5.2037085634697458E-2</v>
      </c>
      <c r="AB13" s="28">
        <f t="shared" ref="AB13" si="218">AB39/AA5</f>
        <v>5.2581549794441074E-2</v>
      </c>
      <c r="AC13" s="28">
        <f t="shared" ref="AC13" si="219">AC39/AB5</f>
        <v>5.3628452918030839E-2</v>
      </c>
      <c r="AD13" s="28">
        <f t="shared" ref="AD13" si="220">AD39/AC5</f>
        <v>5.3919671011808598E-2</v>
      </c>
      <c r="AE13" s="28">
        <f t="shared" ref="AE13" si="221">AE39/AD5</f>
        <v>5.4181470295974865E-2</v>
      </c>
      <c r="AG13" s="57"/>
      <c r="AH13" s="27" t="e">
        <f>AH39/AG5</f>
        <v>#DIV/0!</v>
      </c>
      <c r="AI13" s="27">
        <f t="shared" ref="AI13:BY13" si="222">AI39/AH5</f>
        <v>1.2851762202485994E-2</v>
      </c>
      <c r="AJ13" s="27">
        <f t="shared" si="222"/>
        <v>1.2431286724073367E-2</v>
      </c>
      <c r="AK13" s="27">
        <f t="shared" si="222"/>
        <v>1.2255092121082251E-2</v>
      </c>
      <c r="AL13" s="27">
        <f t="shared" si="222"/>
        <v>1.1124883946428949E-2</v>
      </c>
      <c r="AM13" s="27">
        <f t="shared" si="222"/>
        <v>1.147264102827159E-2</v>
      </c>
      <c r="AN13" s="27">
        <f t="shared" si="222"/>
        <v>1.1936990383637677E-2</v>
      </c>
      <c r="AO13" s="27">
        <f t="shared" si="222"/>
        <v>1.1797483806284098E-2</v>
      </c>
      <c r="AP13" s="27">
        <f t="shared" si="222"/>
        <v>1.1324493235222163E-2</v>
      </c>
      <c r="AQ13" s="27">
        <f t="shared" si="222"/>
        <v>1.1416799326208071E-2</v>
      </c>
      <c r="AR13" s="27">
        <f t="shared" si="222"/>
        <v>1.1140981590678152E-2</v>
      </c>
      <c r="AS13" s="27">
        <f t="shared" si="222"/>
        <v>1.1158206426300702E-2</v>
      </c>
      <c r="AT13" s="27">
        <f t="shared" si="222"/>
        <v>1.108949995199756E-2</v>
      </c>
      <c r="AU13" s="27">
        <f t="shared" si="222"/>
        <v>1.1533152861546301E-2</v>
      </c>
      <c r="AV13" s="27">
        <f t="shared" si="222"/>
        <v>1.1631036427724844E-2</v>
      </c>
      <c r="AW13" s="27">
        <f t="shared" si="222"/>
        <v>1.1412786499446978E-2</v>
      </c>
      <c r="AX13" s="27">
        <f t="shared" si="222"/>
        <v>1.1331107812791182E-2</v>
      </c>
      <c r="AY13" s="27">
        <f t="shared" si="222"/>
        <v>1.1279786725996468E-2</v>
      </c>
      <c r="AZ13" s="27">
        <f t="shared" si="222"/>
        <v>1.1196403943532393E-2</v>
      </c>
      <c r="BA13" s="27">
        <f t="shared" si="222"/>
        <v>1.1036840210840802E-2</v>
      </c>
      <c r="BB13" s="27">
        <f t="shared" si="222"/>
        <v>1.0774283632031419E-2</v>
      </c>
      <c r="BC13" s="27">
        <f t="shared" si="222"/>
        <v>1.0242841368711463E-2</v>
      </c>
      <c r="BD13" s="27">
        <f t="shared" si="222"/>
        <v>9.7409095487195167E-3</v>
      </c>
      <c r="BE13" s="27">
        <f t="shared" si="222"/>
        <v>9.3686188255710044E-3</v>
      </c>
      <c r="BF13" s="27">
        <f t="shared" si="222"/>
        <v>8.8054630965140098E-3</v>
      </c>
      <c r="BG13" s="27">
        <f t="shared" si="222"/>
        <v>8.501659337373884E-3</v>
      </c>
      <c r="BH13" s="27">
        <f t="shared" si="222"/>
        <v>8.5730161829790409E-3</v>
      </c>
      <c r="BI13" s="27">
        <f t="shared" si="222"/>
        <v>8.4046768774298352E-3</v>
      </c>
      <c r="BJ13" s="27">
        <f t="shared" si="222"/>
        <v>8.3257377203602347E-3</v>
      </c>
      <c r="BK13" s="27">
        <f t="shared" si="222"/>
        <v>8.9778020422085058E-3</v>
      </c>
      <c r="BL13" s="27">
        <f t="shared" si="222"/>
        <v>9.7127348954864686E-3</v>
      </c>
      <c r="BM13" s="27">
        <f t="shared" si="222"/>
        <v>1.0423069918503067E-2</v>
      </c>
      <c r="BN13" s="27">
        <f t="shared" si="222"/>
        <v>1.0793893375849014E-2</v>
      </c>
      <c r="BO13" s="27">
        <f t="shared" si="222"/>
        <v>1.1556132848754543E-2</v>
      </c>
      <c r="BP13" s="27">
        <f t="shared" si="222"/>
        <v>1.193810291213044E-2</v>
      </c>
      <c r="BQ13" s="27">
        <f t="shared" si="222"/>
        <v>1.216721876432195E-2</v>
      </c>
      <c r="BR13" s="27">
        <f t="shared" si="222"/>
        <v>1.2265317755229467E-2</v>
      </c>
      <c r="BS13" s="27">
        <f t="shared" si="222"/>
        <v>1.2594593713178106E-2</v>
      </c>
      <c r="BT13" s="27">
        <f t="shared" si="222"/>
        <v>1.2890930618410144E-2</v>
      </c>
      <c r="BU13" s="27">
        <f t="shared" si="222"/>
        <v>1.2438074547156655E-2</v>
      </c>
      <c r="BV13" s="27">
        <f t="shared" si="222"/>
        <v>1.2134583268930932E-2</v>
      </c>
      <c r="BW13" s="27">
        <f t="shared" si="222"/>
        <v>1.213007095734958E-2</v>
      </c>
      <c r="BX13" s="27">
        <f t="shared" si="222"/>
        <v>1.1907948919644189E-2</v>
      </c>
      <c r="BY13" s="27">
        <f t="shared" si="222"/>
        <v>1.1962045940100752E-2</v>
      </c>
      <c r="BZ13" s="30">
        <f>+AVERAGE(BV13:BY13)*1.01</f>
        <v>1.2153998894221427E-2</v>
      </c>
      <c r="CA13" s="30">
        <f t="shared" ref="CA13:CG13" si="223">+AVERAGE(BW13:BZ13)*1.01</f>
        <v>1.2158901339607276E-2</v>
      </c>
      <c r="CB13" s="30">
        <f t="shared" si="223"/>
        <v>1.2166181011127344E-2</v>
      </c>
      <c r="CC13" s="30">
        <f t="shared" si="223"/>
        <v>1.2231384614226843E-2</v>
      </c>
      <c r="CD13" s="30">
        <f t="shared" si="223"/>
        <v>1.229939262944368E-2</v>
      </c>
      <c r="CE13" s="30">
        <f t="shared" si="223"/>
        <v>1.2336104547587297E-2</v>
      </c>
      <c r="CF13" s="30">
        <f t="shared" si="223"/>
        <v>1.2380848357602253E-2</v>
      </c>
      <c r="CG13" s="30">
        <f t="shared" si="223"/>
        <v>1.2435051862587169E-2</v>
      </c>
      <c r="CH13" s="30">
        <f t="shared" ref="CH13" si="224">+AVERAGE(CD13:CG13)</f>
        <v>1.2362849349305101E-2</v>
      </c>
      <c r="CI13" s="30">
        <f t="shared" ref="CI13" si="225">+AVERAGE(CE13:CH13)</f>
        <v>1.2378713529270455E-2</v>
      </c>
      <c r="CJ13" s="30">
        <f t="shared" ref="CJ13" si="226">+AVERAGE(CF13:CI13)</f>
        <v>1.2389365774691245E-2</v>
      </c>
      <c r="CK13" s="30">
        <f t="shared" ref="CK13" si="227">+AVERAGE(CG13:CJ13)</f>
        <v>1.2391495128963492E-2</v>
      </c>
      <c r="CL13" s="30">
        <f t="shared" ref="CL13" si="228">+AVERAGE(CH13:CK13)</f>
        <v>1.2380605945557573E-2</v>
      </c>
      <c r="CM13" s="30">
        <f t="shared" ref="CM13" si="229">+AVERAGE(CI13:CL13)</f>
        <v>1.2385045094620692E-2</v>
      </c>
      <c r="CN13" s="30">
        <f t="shared" ref="CN13" si="230">+AVERAGE(CJ13:CM13)</f>
        <v>1.238662798595825E-2</v>
      </c>
      <c r="CO13" s="30">
        <f t="shared" ref="CO13" si="231">+AVERAGE(CK13:CN13)</f>
        <v>1.2385943538775002E-2</v>
      </c>
    </row>
    <row r="14" spans="1:98" s="29" customFormat="1" x14ac:dyDescent="0.2">
      <c r="A14" s="31" t="s">
        <v>8</v>
      </c>
      <c r="B14" s="31"/>
      <c r="C14" s="31"/>
      <c r="D14" s="27" t="e">
        <f t="shared" ref="D14:O14" si="232">D12-D13</f>
        <v>#DIV/0!</v>
      </c>
      <c r="E14" s="27">
        <f t="shared" si="232"/>
        <v>3.1922200326687453E-2</v>
      </c>
      <c r="F14" s="27">
        <f t="shared" si="232"/>
        <v>2.9519169684092059E-2</v>
      </c>
      <c r="G14" s="27">
        <f t="shared" si="232"/>
        <v>3.118793472426859E-2</v>
      </c>
      <c r="H14" s="27">
        <f t="shared" si="232"/>
        <v>3.5458099762295706E-2</v>
      </c>
      <c r="I14" s="27">
        <f t="shared" si="232"/>
        <v>3.5658777323872196E-2</v>
      </c>
      <c r="J14" s="27">
        <f t="shared" si="232"/>
        <v>3.6638388683383663E-2</v>
      </c>
      <c r="K14" s="27">
        <f t="shared" si="232"/>
        <v>2.9773381660910953E-2</v>
      </c>
      <c r="L14" s="27">
        <f t="shared" si="232"/>
        <v>3.2191221469286699E-2</v>
      </c>
      <c r="M14" s="27">
        <f t="shared" si="232"/>
        <v>2.7501075428518859E-2</v>
      </c>
      <c r="N14" s="27">
        <f t="shared" si="232"/>
        <v>2.5437991834676196E-2</v>
      </c>
      <c r="O14" s="27">
        <f t="shared" si="232"/>
        <v>2.6662483106024981E-2</v>
      </c>
      <c r="P14" s="27">
        <f>P12-P13</f>
        <v>2.2837996702636476E-2</v>
      </c>
      <c r="Q14" s="27">
        <f t="shared" ref="Q14:T14" si="233">Q12-Q13</f>
        <v>2.0236932700473449E-2</v>
      </c>
      <c r="R14" s="27">
        <f t="shared" si="233"/>
        <v>1.9713227092503616E-2</v>
      </c>
      <c r="S14" s="27">
        <f t="shared" si="233"/>
        <v>1.7389854395081429E-2</v>
      </c>
      <c r="T14" s="27">
        <f t="shared" si="233"/>
        <v>2.2539110290022486E-2</v>
      </c>
      <c r="U14" s="27">
        <f t="shared" ref="U14:W14" si="234">U12-U13</f>
        <v>2.5188867311188717E-2</v>
      </c>
      <c r="V14" s="27">
        <f t="shared" si="234"/>
        <v>2.2822672737851685E-2</v>
      </c>
      <c r="W14" s="27">
        <f t="shared" si="234"/>
        <v>2.0873912085017578E-2</v>
      </c>
      <c r="X14" s="27">
        <f t="shared" ref="X14:Y14" si="235">X12-X13</f>
        <v>2.8595453041883601E-2</v>
      </c>
      <c r="Y14" s="27">
        <f t="shared" si="235"/>
        <v>3.0669278936642189E-2</v>
      </c>
      <c r="Z14" s="27">
        <f t="shared" ref="Z14:AB14" si="236">Z12-Z13</f>
        <v>2.9340092297603738E-2</v>
      </c>
      <c r="AA14" s="28">
        <f t="shared" si="236"/>
        <v>2.6204355034692581E-2</v>
      </c>
      <c r="AB14" s="28">
        <f t="shared" si="236"/>
        <v>2.5620140953429196E-2</v>
      </c>
      <c r="AC14" s="28">
        <f t="shared" ref="AC14:AE14" si="237">AC12-AC13</f>
        <v>2.4966179988390083E-2</v>
      </c>
      <c r="AD14" s="28">
        <f t="shared" si="237"/>
        <v>2.5003288566496459E-2</v>
      </c>
      <c r="AE14" s="28">
        <f t="shared" si="237"/>
        <v>2.5102434827925513E-2</v>
      </c>
      <c r="AG14" s="57"/>
      <c r="AH14" s="27" t="e">
        <f t="shared" ref="AH14:AL14" si="238">AH12-AH13</f>
        <v>#DIV/0!</v>
      </c>
      <c r="AI14" s="27">
        <f t="shared" si="238"/>
        <v>5.1606794554529042E-3</v>
      </c>
      <c r="AJ14" s="27">
        <f t="shared" si="238"/>
        <v>4.5916632159052582E-3</v>
      </c>
      <c r="AK14" s="27">
        <f t="shared" si="238"/>
        <v>5.3401811560901749E-3</v>
      </c>
      <c r="AL14" s="27">
        <f t="shared" si="238"/>
        <v>4.642092660329231E-3</v>
      </c>
      <c r="AM14" s="27">
        <f t="shared" ref="AM14" si="239">AM12-AM13</f>
        <v>4.6303315916968717E-3</v>
      </c>
      <c r="AN14" s="27">
        <f t="shared" ref="AN14" si="240">AN12-AN13</f>
        <v>4.9081098688197929E-3</v>
      </c>
      <c r="AO14" s="27">
        <f t="shared" ref="AO14" si="241">AO12-AO13</f>
        <v>5.7528305313429579E-3</v>
      </c>
      <c r="AP14" s="27">
        <f t="shared" ref="AP14" si="242">AP12-AP13</f>
        <v>4.119897552877335E-3</v>
      </c>
      <c r="AQ14" s="27">
        <f t="shared" ref="AQ14" si="243">AQ12-AQ13</f>
        <v>4.7528636418547997E-3</v>
      </c>
      <c r="AR14" s="27">
        <f t="shared" ref="AR14" si="244">AR12-AR13</f>
        <v>4.0778091497834859E-3</v>
      </c>
      <c r="AS14" s="27">
        <f t="shared" ref="AS14:AW14" si="245">AS12-AS13</f>
        <v>4.217604263911795E-3</v>
      </c>
      <c r="AT14" s="27">
        <f t="shared" si="245"/>
        <v>5.5864195395078538E-3</v>
      </c>
      <c r="AU14" s="27">
        <f t="shared" si="245"/>
        <v>4.9327734152334705E-3</v>
      </c>
      <c r="AV14" s="27">
        <f t="shared" si="245"/>
        <v>5.6671546103260629E-3</v>
      </c>
      <c r="AW14" s="27">
        <f t="shared" si="245"/>
        <v>6.818284023321991E-3</v>
      </c>
      <c r="AX14" s="27">
        <f t="shared" ref="AX14" si="246">AX12-AX13</f>
        <v>5.7682359941371684E-3</v>
      </c>
      <c r="AY14" s="27">
        <f t="shared" ref="AY14" si="247">AY12-AY13</f>
        <v>6.4058863412576536E-3</v>
      </c>
      <c r="AZ14" s="27">
        <f t="shared" ref="AZ14:BA14" si="248">AZ12-AZ13</f>
        <v>6.8643564702689352E-3</v>
      </c>
      <c r="BA14" s="27">
        <f t="shared" si="248"/>
        <v>6.2158089437265064E-3</v>
      </c>
      <c r="BB14" s="27">
        <f t="shared" ref="BB14:BF14" si="249">BB12-BB13</f>
        <v>5.5540107095718785E-3</v>
      </c>
      <c r="BC14" s="27">
        <f t="shared" si="249"/>
        <v>6.3050816125085653E-3</v>
      </c>
      <c r="BD14" s="27">
        <f t="shared" si="249"/>
        <v>5.6010125060457008E-3</v>
      </c>
      <c r="BE14" s="27">
        <f t="shared" si="249"/>
        <v>4.303876118452777E-3</v>
      </c>
      <c r="BF14" s="27">
        <f t="shared" si="249"/>
        <v>4.4829354360627714E-3</v>
      </c>
      <c r="BG14" s="27">
        <f t="shared" ref="BG14:BH14" si="250">BG12-BG13</f>
        <v>4.9935448482537632E-3</v>
      </c>
      <c r="BH14" s="27">
        <f t="shared" si="250"/>
        <v>4.8954229124524174E-3</v>
      </c>
      <c r="BI14" s="27">
        <f t="shared" ref="BI14:BJ14" si="251">BI12-BI13</f>
        <v>5.7071303607594791E-3</v>
      </c>
      <c r="BJ14" s="27">
        <f t="shared" si="251"/>
        <v>5.7465724210708814E-3</v>
      </c>
      <c r="BK14" s="27">
        <f t="shared" ref="BK14:BR14" si="252">BK12-BK13</f>
        <v>7.1158368614193061E-3</v>
      </c>
      <c r="BL14" s="27">
        <f t="shared" si="252"/>
        <v>7.6188386929942082E-3</v>
      </c>
      <c r="BM14" s="27">
        <f t="shared" si="252"/>
        <v>7.2640318919699343E-3</v>
      </c>
      <c r="BN14" s="27">
        <f t="shared" si="252"/>
        <v>7.5593171069763335E-3</v>
      </c>
      <c r="BO14" s="27">
        <f t="shared" si="252"/>
        <v>7.1846740672874138E-3</v>
      </c>
      <c r="BP14" s="27">
        <f t="shared" si="252"/>
        <v>6.6864934391719609E-3</v>
      </c>
      <c r="BQ14" s="27">
        <f t="shared" si="252"/>
        <v>7.0628600073479493E-3</v>
      </c>
      <c r="BR14" s="27">
        <f t="shared" si="252"/>
        <v>7.2194042155844483E-3</v>
      </c>
      <c r="BS14" s="27">
        <f t="shared" ref="BS14:BT14" si="253">BS12-BS13</f>
        <v>6.6300564301038072E-3</v>
      </c>
      <c r="BT14" s="27">
        <f t="shared" si="253"/>
        <v>6.4456829858990337E-3</v>
      </c>
      <c r="BU14" s="27">
        <f t="shared" ref="BU14:BV14" si="254">BU12-BU13</f>
        <v>6.1505342215961694E-3</v>
      </c>
      <c r="BV14" s="27">
        <f t="shared" si="254"/>
        <v>5.9942613594206866E-3</v>
      </c>
      <c r="BW14" s="27">
        <f t="shared" ref="BW14:BX14" si="255">BW12-BW13</f>
        <v>5.7422840373481648E-3</v>
      </c>
      <c r="BX14" s="27">
        <f t="shared" si="255"/>
        <v>6.1712539029310683E-3</v>
      </c>
      <c r="BY14" s="27">
        <f t="shared" ref="BY14" si="256">BY12-BY13</f>
        <v>6.3164072163806768E-3</v>
      </c>
      <c r="BZ14" s="28">
        <f t="shared" ref="BZ14:CC14" si="257">BZ12-BZ13</f>
        <v>5.9357150063050843E-3</v>
      </c>
      <c r="CA14" s="28">
        <f t="shared" si="257"/>
        <v>5.9210298789629592E-3</v>
      </c>
      <c r="CB14" s="28">
        <f t="shared" si="257"/>
        <v>5.9656442634110143E-3</v>
      </c>
      <c r="CC14" s="28">
        <f t="shared" si="257"/>
        <v>5.9135962733022889E-3</v>
      </c>
      <c r="CD14" s="28">
        <f t="shared" ref="CD14:CO14" si="258">CD12-CD13</f>
        <v>5.812220190847376E-3</v>
      </c>
      <c r="CE14" s="28">
        <f t="shared" si="258"/>
        <v>5.7809830026448999E-3</v>
      </c>
      <c r="CF14" s="28">
        <f t="shared" si="258"/>
        <v>5.7455282755454334E-3</v>
      </c>
      <c r="CG14" s="28">
        <f t="shared" si="258"/>
        <v>5.6899626102128471E-3</v>
      </c>
      <c r="CH14" s="28">
        <f t="shared" si="258"/>
        <v>5.7571735198126382E-3</v>
      </c>
      <c r="CI14" s="28">
        <f t="shared" si="258"/>
        <v>5.7434118520539538E-3</v>
      </c>
      <c r="CJ14" s="28">
        <f t="shared" si="258"/>
        <v>5.7340190644062164E-3</v>
      </c>
      <c r="CK14" s="28">
        <f t="shared" si="258"/>
        <v>5.7311417616214139E-3</v>
      </c>
      <c r="CL14" s="28">
        <f t="shared" si="258"/>
        <v>5.741436549473556E-3</v>
      </c>
      <c r="CM14" s="28">
        <f t="shared" si="258"/>
        <v>5.7375023068887854E-3</v>
      </c>
      <c r="CN14" s="28">
        <f t="shared" si="258"/>
        <v>5.7360249205974934E-3</v>
      </c>
      <c r="CO14" s="28">
        <f t="shared" si="258"/>
        <v>5.7365263846453126E-3</v>
      </c>
    </row>
    <row r="15" spans="1:98" s="29" customFormat="1" x14ac:dyDescent="0.2">
      <c r="A15" s="26" t="s">
        <v>28</v>
      </c>
      <c r="B15" s="26"/>
      <c r="C15" s="26"/>
      <c r="D15" s="27" t="e">
        <f t="shared" ref="D15" si="259">D41/C5</f>
        <v>#DIV/0!</v>
      </c>
      <c r="E15" s="27">
        <f t="shared" ref="E15" si="260">E41/D5</f>
        <v>2.5985065295609473E-2</v>
      </c>
      <c r="F15" s="27">
        <f t="shared" ref="F15" si="261">F41/E5</f>
        <v>1.5252496102965772E-2</v>
      </c>
      <c r="G15" s="27">
        <f t="shared" ref="G15" si="262">G41/F5</f>
        <v>1.40344469751678E-2</v>
      </c>
      <c r="H15" s="27">
        <f t="shared" ref="H15" si="263">H41/G5</f>
        <v>1.6108097123601322E-2</v>
      </c>
      <c r="I15" s="27">
        <f t="shared" ref="I15" si="264">I41/H5</f>
        <v>1.7848708012339527E-2</v>
      </c>
      <c r="J15" s="27">
        <f t="shared" ref="J15" si="265">J41/I5</f>
        <v>2.0334109405007468E-2</v>
      </c>
      <c r="K15" s="27">
        <f t="shared" ref="K15" si="266">K41/J5</f>
        <v>1.353489500467671E-2</v>
      </c>
      <c r="L15" s="27">
        <f t="shared" ref="L15" si="267">L41/K5</f>
        <v>1.0887891408577941E-2</v>
      </c>
      <c r="M15" s="27">
        <f t="shared" ref="M15" si="268">M41/L5</f>
        <v>1.0986535922014529E-2</v>
      </c>
      <c r="N15" s="27">
        <f t="shared" ref="N15" si="269">N41/M5</f>
        <v>1.0616199259729396E-2</v>
      </c>
      <c r="O15" s="27">
        <f t="shared" ref="O15" si="270">O41/N5</f>
        <v>1.0565602752999434E-2</v>
      </c>
      <c r="P15" s="27">
        <f t="shared" ref="P15:Z15" si="271">P41/O5</f>
        <v>8.4257119039105322E-3</v>
      </c>
      <c r="Q15" s="27">
        <f t="shared" si="271"/>
        <v>6.3043550139281939E-3</v>
      </c>
      <c r="R15" s="27">
        <f t="shared" si="271"/>
        <v>1.1288953974271695E-2</v>
      </c>
      <c r="S15" s="27">
        <f t="shared" si="271"/>
        <v>9.490385632718765E-3</v>
      </c>
      <c r="T15" s="27">
        <f t="shared" si="271"/>
        <v>7.6885146357242836E-3</v>
      </c>
      <c r="U15" s="27">
        <f t="shared" si="271"/>
        <v>1.1083107567031601E-2</v>
      </c>
      <c r="V15" s="27">
        <f t="shared" si="271"/>
        <v>1.0942639149514316E-2</v>
      </c>
      <c r="W15" s="27">
        <f t="shared" si="271"/>
        <v>1.1695264974220278E-2</v>
      </c>
      <c r="X15" s="27">
        <f t="shared" si="271"/>
        <v>1.0013590917719232E-2</v>
      </c>
      <c r="Y15" s="27">
        <f t="shared" si="271"/>
        <v>8.1085088277749913E-3</v>
      </c>
      <c r="Z15" s="27">
        <f t="shared" si="271"/>
        <v>1.0817179665035476E-2</v>
      </c>
      <c r="AA15" s="28">
        <f t="shared" ref="AA15" si="272">AA41/Z5</f>
        <v>1.027893171407584E-2</v>
      </c>
      <c r="AB15" s="28">
        <f t="shared" ref="AB15" si="273">AB41/AA5</f>
        <v>1.0667291723475917E-2</v>
      </c>
      <c r="AC15" s="28">
        <f t="shared" ref="AC15" si="274">AC41/AB5</f>
        <v>1.0826396392294891E-2</v>
      </c>
      <c r="AD15" s="28">
        <f t="shared" ref="AD15" si="275">AD41/AC5</f>
        <v>1.08951308126906E-2</v>
      </c>
      <c r="AE15" s="28">
        <f t="shared" ref="AE15" si="276">AE41/AD5</f>
        <v>1.0949371857896059E-2</v>
      </c>
      <c r="AG15" s="57"/>
      <c r="AH15" s="27" t="e">
        <f>AH41/AG5</f>
        <v>#DIV/0!</v>
      </c>
      <c r="AI15" s="27">
        <f t="shared" ref="AI15:BY15" si="277">AI41/AH5</f>
        <v>1.3297584177074534E-3</v>
      </c>
      <c r="AJ15" s="27">
        <f t="shared" si="277"/>
        <v>1.7757164355478874E-3</v>
      </c>
      <c r="AK15" s="27">
        <f t="shared" si="277"/>
        <v>1.4804812647340319E-3</v>
      </c>
      <c r="AL15" s="27">
        <f t="shared" si="277"/>
        <v>2.071551225089464E-3</v>
      </c>
      <c r="AM15" s="27">
        <f t="shared" si="277"/>
        <v>3.4230785325852771E-3</v>
      </c>
      <c r="AN15" s="27">
        <f t="shared" si="277"/>
        <v>3.0334811187725267E-3</v>
      </c>
      <c r="AO15" s="27">
        <f t="shared" si="277"/>
        <v>2.9091385548513145E-3</v>
      </c>
      <c r="AP15" s="27">
        <f t="shared" si="277"/>
        <v>2.6201782694177615E-3</v>
      </c>
      <c r="AQ15" s="27">
        <f t="shared" si="277"/>
        <v>2.7886940077807179E-3</v>
      </c>
      <c r="AR15" s="27">
        <f t="shared" si="277"/>
        <v>1.6974744860181056E-3</v>
      </c>
      <c r="AS15" s="27">
        <f t="shared" si="277"/>
        <v>2.2622914413321436E-3</v>
      </c>
      <c r="AT15" s="27">
        <f t="shared" si="277"/>
        <v>1.0295146834040411E-3</v>
      </c>
      <c r="AU15" s="27">
        <f t="shared" si="277"/>
        <v>1.7366563308351039E-3</v>
      </c>
      <c r="AV15" s="27">
        <f t="shared" si="277"/>
        <v>2.6035359110628607E-3</v>
      </c>
      <c r="AW15" s="27">
        <f t="shared" si="277"/>
        <v>2.4941763089665185E-3</v>
      </c>
      <c r="AX15" s="27">
        <f t="shared" si="277"/>
        <v>1.9773149293557746E-3</v>
      </c>
      <c r="AY15" s="27">
        <f t="shared" si="277"/>
        <v>2.2025658325514983E-3</v>
      </c>
      <c r="AZ15" s="27">
        <f t="shared" si="277"/>
        <v>4.1725415273038535E-3</v>
      </c>
      <c r="BA15" s="27">
        <f t="shared" si="277"/>
        <v>2.7657936760295404E-3</v>
      </c>
      <c r="BB15" s="27">
        <f t="shared" si="277"/>
        <v>2.7238925766380775E-3</v>
      </c>
      <c r="BC15" s="27">
        <f t="shared" si="277"/>
        <v>2.063234605123053E-3</v>
      </c>
      <c r="BD15" s="27">
        <f t="shared" si="277"/>
        <v>2.8418000792131519E-3</v>
      </c>
      <c r="BE15" s="27">
        <f t="shared" si="277"/>
        <v>2.6811524218872274E-3</v>
      </c>
      <c r="BF15" s="27">
        <f t="shared" si="277"/>
        <v>3.3074623523399699E-3</v>
      </c>
      <c r="BG15" s="27">
        <f t="shared" si="277"/>
        <v>3.0275778458874617E-3</v>
      </c>
      <c r="BH15" s="27">
        <f t="shared" si="277"/>
        <v>2.636279831389103E-3</v>
      </c>
      <c r="BI15" s="27">
        <f t="shared" si="277"/>
        <v>2.2724575815935948E-3</v>
      </c>
      <c r="BJ15" s="27">
        <f t="shared" si="277"/>
        <v>1.6251826032112908E-3</v>
      </c>
      <c r="BK15" s="27">
        <f t="shared" si="277"/>
        <v>1.9839125620479217E-3</v>
      </c>
      <c r="BL15" s="27">
        <f t="shared" si="277"/>
        <v>1.9497722411790032E-3</v>
      </c>
      <c r="BM15" s="27">
        <f t="shared" si="277"/>
        <v>4.0752872699453329E-3</v>
      </c>
      <c r="BN15" s="27">
        <f t="shared" si="277"/>
        <v>1.8693045694894242E-3</v>
      </c>
      <c r="BO15" s="27">
        <f t="shared" si="277"/>
        <v>2.1129627079450662E-3</v>
      </c>
      <c r="BP15" s="27">
        <f t="shared" si="277"/>
        <v>1.4602055199616454E-3</v>
      </c>
      <c r="BQ15" s="27">
        <f t="shared" si="277"/>
        <v>2.0838286724285593E-3</v>
      </c>
      <c r="BR15" s="27">
        <f t="shared" si="277"/>
        <v>1.4977611318205857E-3</v>
      </c>
      <c r="BS15" s="27">
        <f t="shared" si="277"/>
        <v>2.7889481682460051E-3</v>
      </c>
      <c r="BT15" s="27">
        <f t="shared" si="277"/>
        <v>1.8543718282780207E-3</v>
      </c>
      <c r="BU15" s="27">
        <f t="shared" si="277"/>
        <v>3.4772362227846266E-3</v>
      </c>
      <c r="BV15" s="27">
        <f t="shared" si="277"/>
        <v>2.1397386551399284E-3</v>
      </c>
      <c r="BW15" s="27">
        <f t="shared" si="277"/>
        <v>2.1554599476521028E-3</v>
      </c>
      <c r="BX15" s="27">
        <f t="shared" si="277"/>
        <v>2.17672985688485E-3</v>
      </c>
      <c r="BY15" s="27">
        <f t="shared" si="277"/>
        <v>3.0121936065873483E-3</v>
      </c>
      <c r="BZ15" s="30">
        <f>+AVERAGE(BV15:BY15)</f>
        <v>2.3710305165660574E-3</v>
      </c>
      <c r="CA15" s="30">
        <f t="shared" ref="CA15" si="278">+AVERAGE(BW15:BZ15)</f>
        <v>2.4288534819225894E-3</v>
      </c>
      <c r="CB15" s="30">
        <f t="shared" ref="CB15" si="279">+AVERAGE(BX15:CA15)</f>
        <v>2.4972018654902109E-3</v>
      </c>
      <c r="CC15" s="30">
        <f t="shared" ref="CC15" si="280">+AVERAGE(BY15:CB15)</f>
        <v>2.5773198676415513E-3</v>
      </c>
      <c r="CD15" s="30">
        <f t="shared" ref="CD15" si="281">+AVERAGE(BZ15:CC15)</f>
        <v>2.4686014329051023E-3</v>
      </c>
      <c r="CE15" s="30">
        <f t="shared" ref="CE15" si="282">+AVERAGE(CA15:CD15)</f>
        <v>2.4929941619898635E-3</v>
      </c>
      <c r="CF15" s="30">
        <f t="shared" ref="CF15" si="283">+AVERAGE(CB15:CE15)</f>
        <v>2.509029332006682E-3</v>
      </c>
      <c r="CG15" s="30">
        <f t="shared" ref="CG15" si="284">+AVERAGE(CC15:CF15)</f>
        <v>2.5119861986357996E-3</v>
      </c>
      <c r="CH15" s="30">
        <f t="shared" ref="CH15" si="285">+AVERAGE(CD15:CG15)</f>
        <v>2.4956527813843618E-3</v>
      </c>
      <c r="CI15" s="30">
        <f t="shared" ref="CI15" si="286">+AVERAGE(CE15:CH15)</f>
        <v>2.5024156185041767E-3</v>
      </c>
      <c r="CJ15" s="30">
        <f t="shared" ref="CJ15" si="287">+AVERAGE(CF15:CI15)</f>
        <v>2.504770982632755E-3</v>
      </c>
      <c r="CK15" s="30">
        <f t="shared" ref="CK15" si="288">+AVERAGE(CG15:CJ15)</f>
        <v>2.5037063952892732E-3</v>
      </c>
      <c r="CL15" s="30">
        <f t="shared" ref="CL15" si="289">+AVERAGE(CH15:CK15)</f>
        <v>2.5016364444526416E-3</v>
      </c>
      <c r="CM15" s="30">
        <f t="shared" ref="CM15" si="290">+AVERAGE(CI15:CL15)</f>
        <v>2.5031323602197116E-3</v>
      </c>
      <c r="CN15" s="30">
        <f t="shared" ref="CN15" si="291">+AVERAGE(CJ15:CM15)</f>
        <v>2.5033115456485951E-3</v>
      </c>
      <c r="CO15" s="30">
        <f t="shared" ref="CO15" si="292">+AVERAGE(CK15:CN15)</f>
        <v>2.5029466864025553E-3</v>
      </c>
    </row>
    <row r="16" spans="1:98" s="29" customFormat="1" x14ac:dyDescent="0.2">
      <c r="A16" s="32" t="s">
        <v>29</v>
      </c>
      <c r="B16" s="32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8"/>
      <c r="AC16" s="28"/>
      <c r="AD16" s="28"/>
      <c r="AE16" s="28"/>
      <c r="AG16" s="5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</row>
    <row r="17" spans="1:93" s="29" customFormat="1" x14ac:dyDescent="0.2">
      <c r="A17" s="31" t="s">
        <v>30</v>
      </c>
      <c r="B17" s="31"/>
      <c r="C17" s="31"/>
      <c r="D17" s="27" t="e">
        <f t="shared" ref="D17:O17" si="293">D14+D15+D16</f>
        <v>#DIV/0!</v>
      </c>
      <c r="E17" s="27">
        <f t="shared" si="293"/>
        <v>5.7907265622296922E-2</v>
      </c>
      <c r="F17" s="27">
        <f t="shared" si="293"/>
        <v>4.4771665787057831E-2</v>
      </c>
      <c r="G17" s="27">
        <f t="shared" si="293"/>
        <v>4.522238169943639E-2</v>
      </c>
      <c r="H17" s="27">
        <f t="shared" si="293"/>
        <v>5.1566196885897031E-2</v>
      </c>
      <c r="I17" s="27">
        <f t="shared" si="293"/>
        <v>5.3507485336211719E-2</v>
      </c>
      <c r="J17" s="27">
        <f t="shared" si="293"/>
        <v>5.6972498088391131E-2</v>
      </c>
      <c r="K17" s="27">
        <f t="shared" si="293"/>
        <v>4.3308276665587661E-2</v>
      </c>
      <c r="L17" s="27">
        <f t="shared" si="293"/>
        <v>4.3079112877864638E-2</v>
      </c>
      <c r="M17" s="27">
        <f t="shared" si="293"/>
        <v>3.8487611350533385E-2</v>
      </c>
      <c r="N17" s="27">
        <f t="shared" si="293"/>
        <v>3.6054191094405594E-2</v>
      </c>
      <c r="O17" s="27">
        <f t="shared" si="293"/>
        <v>3.7228085859024415E-2</v>
      </c>
      <c r="P17" s="27">
        <f>P14+P15+P16</f>
        <v>3.1263708606547008E-2</v>
      </c>
      <c r="Q17" s="27">
        <f t="shared" ref="Q17:T17" si="294">Q14+Q15+Q16</f>
        <v>2.6541287714401642E-2</v>
      </c>
      <c r="R17" s="27">
        <f t="shared" si="294"/>
        <v>3.1002181066775311E-2</v>
      </c>
      <c r="S17" s="27">
        <f t="shared" si="294"/>
        <v>2.6880240027800192E-2</v>
      </c>
      <c r="T17" s="27">
        <f t="shared" si="294"/>
        <v>3.0227624925746769E-2</v>
      </c>
      <c r="U17" s="27">
        <f t="shared" ref="U17:W17" si="295">U14+U15+U16</f>
        <v>3.6271974878220314E-2</v>
      </c>
      <c r="V17" s="27">
        <f t="shared" si="295"/>
        <v>3.3765311887365999E-2</v>
      </c>
      <c r="W17" s="27">
        <f t="shared" si="295"/>
        <v>3.2569177059237855E-2</v>
      </c>
      <c r="X17" s="27">
        <f t="shared" ref="X17:Y17" si="296">X14+X15+X16</f>
        <v>3.860904395960283E-2</v>
      </c>
      <c r="Y17" s="27">
        <f t="shared" si="296"/>
        <v>3.8777787764417176E-2</v>
      </c>
      <c r="Z17" s="27">
        <f t="shared" ref="Z17:AB17" si="297">Z14+Z15+Z16</f>
        <v>4.0157271962639213E-2</v>
      </c>
      <c r="AA17" s="28">
        <f t="shared" si="297"/>
        <v>3.6483286748768419E-2</v>
      </c>
      <c r="AB17" s="28">
        <f t="shared" si="297"/>
        <v>3.628743267690511E-2</v>
      </c>
      <c r="AC17" s="28">
        <f t="shared" ref="AC17:AE17" si="298">AC14+AC15+AC16</f>
        <v>3.5792576380684976E-2</v>
      </c>
      <c r="AD17" s="28">
        <f t="shared" si="298"/>
        <v>3.5898419379187058E-2</v>
      </c>
      <c r="AE17" s="28">
        <f t="shared" si="298"/>
        <v>3.6051806685821572E-2</v>
      </c>
      <c r="AG17" s="57"/>
      <c r="AH17" s="27" t="e">
        <f t="shared" ref="AH17:AS17" si="299">AH14+AH15+AH16</f>
        <v>#DIV/0!</v>
      </c>
      <c r="AI17" s="27">
        <f t="shared" si="299"/>
        <v>6.4904378731603573E-3</v>
      </c>
      <c r="AJ17" s="27">
        <f t="shared" si="299"/>
        <v>6.367379651453146E-3</v>
      </c>
      <c r="AK17" s="27">
        <f t="shared" si="299"/>
        <v>6.820662420824207E-3</v>
      </c>
      <c r="AL17" s="27">
        <f t="shared" si="299"/>
        <v>6.713643885418695E-3</v>
      </c>
      <c r="AM17" s="27">
        <f t="shared" si="299"/>
        <v>8.0534101242821492E-3</v>
      </c>
      <c r="AN17" s="27">
        <f t="shared" si="299"/>
        <v>7.9415909875923188E-3</v>
      </c>
      <c r="AO17" s="27">
        <f t="shared" si="299"/>
        <v>8.6619690861942725E-3</v>
      </c>
      <c r="AP17" s="27">
        <f t="shared" si="299"/>
        <v>6.7400758222950965E-3</v>
      </c>
      <c r="AQ17" s="27">
        <f t="shared" si="299"/>
        <v>7.5415576496355181E-3</v>
      </c>
      <c r="AR17" s="27">
        <f t="shared" si="299"/>
        <v>5.775283635801591E-3</v>
      </c>
      <c r="AS17" s="27">
        <f t="shared" si="299"/>
        <v>6.479895705243939E-3</v>
      </c>
      <c r="AT17" s="27">
        <f t="shared" ref="AT17:AW17" si="300">AT14+AT15+AT16</f>
        <v>6.6159342229118951E-3</v>
      </c>
      <c r="AU17" s="27">
        <f t="shared" si="300"/>
        <v>6.6694297460685743E-3</v>
      </c>
      <c r="AV17" s="27">
        <f t="shared" si="300"/>
        <v>8.270690521388924E-3</v>
      </c>
      <c r="AW17" s="27">
        <f t="shared" si="300"/>
        <v>9.312460332288509E-3</v>
      </c>
      <c r="AX17" s="27">
        <f t="shared" ref="AX17" si="301">AX14+AX15+AX16</f>
        <v>7.7455509234929431E-3</v>
      </c>
      <c r="AY17" s="27">
        <f t="shared" ref="AY17" si="302">AY14+AY15+AY16</f>
        <v>8.6084521738091519E-3</v>
      </c>
      <c r="AZ17" s="27">
        <f t="shared" ref="AZ17:BA17" si="303">AZ14+AZ15+AZ16</f>
        <v>1.1036897997572789E-2</v>
      </c>
      <c r="BA17" s="27">
        <f t="shared" si="303"/>
        <v>8.9816026197560468E-3</v>
      </c>
      <c r="BB17" s="27">
        <f t="shared" ref="BB17:BF17" si="304">BB14+BB15+BB16</f>
        <v>8.2779032862099564E-3</v>
      </c>
      <c r="BC17" s="27">
        <f t="shared" si="304"/>
        <v>8.3683162176316182E-3</v>
      </c>
      <c r="BD17" s="27">
        <f t="shared" si="304"/>
        <v>8.4428125852588527E-3</v>
      </c>
      <c r="BE17" s="27">
        <f t="shared" si="304"/>
        <v>6.9850285403400044E-3</v>
      </c>
      <c r="BF17" s="27">
        <f t="shared" si="304"/>
        <v>7.7903977884027416E-3</v>
      </c>
      <c r="BG17" s="27">
        <f t="shared" ref="BG17:BH17" si="305">BG14+BG15+BG16</f>
        <v>8.0211226941412257E-3</v>
      </c>
      <c r="BH17" s="27">
        <f t="shared" si="305"/>
        <v>7.5317027438415209E-3</v>
      </c>
      <c r="BI17" s="27">
        <f t="shared" ref="BI17:BJ17" si="306">BI14+BI15+BI16</f>
        <v>7.9795879423530738E-3</v>
      </c>
      <c r="BJ17" s="27">
        <f t="shared" si="306"/>
        <v>7.3717550242821724E-3</v>
      </c>
      <c r="BK17" s="27">
        <f t="shared" ref="BK17:BR17" si="307">BK14+BK15+BK16</f>
        <v>9.0997494234672273E-3</v>
      </c>
      <c r="BL17" s="27">
        <f t="shared" si="307"/>
        <v>9.568610934173211E-3</v>
      </c>
      <c r="BM17" s="27">
        <f t="shared" si="307"/>
        <v>1.1339319161915266E-2</v>
      </c>
      <c r="BN17" s="27">
        <f t="shared" si="307"/>
        <v>9.4286216764657583E-3</v>
      </c>
      <c r="BO17" s="27">
        <f t="shared" si="307"/>
        <v>9.2976367752324804E-3</v>
      </c>
      <c r="BP17" s="27">
        <f t="shared" si="307"/>
        <v>8.1466989591336067E-3</v>
      </c>
      <c r="BQ17" s="27">
        <f t="shared" si="307"/>
        <v>9.1466886797765094E-3</v>
      </c>
      <c r="BR17" s="27">
        <f t="shared" si="307"/>
        <v>8.7171653474050342E-3</v>
      </c>
      <c r="BS17" s="27">
        <f t="shared" ref="BS17:BT17" si="308">BS14+BS15+BS16</f>
        <v>9.4190045983498123E-3</v>
      </c>
      <c r="BT17" s="27">
        <f t="shared" si="308"/>
        <v>8.3000548141770551E-3</v>
      </c>
      <c r="BU17" s="27">
        <f t="shared" ref="BU17:BV17" si="309">BU14+BU15+BU16</f>
        <v>9.6277704443807968E-3</v>
      </c>
      <c r="BV17" s="27">
        <f t="shared" si="309"/>
        <v>8.1340000145606155E-3</v>
      </c>
      <c r="BW17" s="27">
        <f t="shared" ref="BW17:BX17" si="310">BW14+BW15+BW16</f>
        <v>7.8977439850002676E-3</v>
      </c>
      <c r="BX17" s="27">
        <f t="shared" si="310"/>
        <v>8.3479837598159183E-3</v>
      </c>
      <c r="BY17" s="27">
        <f t="shared" ref="BY17" si="311">BY14+BY15+BY16</f>
        <v>9.3286008229680247E-3</v>
      </c>
      <c r="BZ17" s="28">
        <f t="shared" ref="BZ17:CC17" si="312">BZ14+BZ15+BZ16</f>
        <v>8.3067455228711413E-3</v>
      </c>
      <c r="CA17" s="28">
        <f t="shared" si="312"/>
        <v>8.3498833608855495E-3</v>
      </c>
      <c r="CB17" s="28">
        <f t="shared" si="312"/>
        <v>8.4628461289012261E-3</v>
      </c>
      <c r="CC17" s="28">
        <f t="shared" si="312"/>
        <v>8.4909161409438411E-3</v>
      </c>
      <c r="CD17" s="28">
        <f t="shared" ref="CD17:CO17" si="313">CD14+CD15+CD16</f>
        <v>8.2808216237524775E-3</v>
      </c>
      <c r="CE17" s="28">
        <f t="shared" si="313"/>
        <v>8.2739771646347625E-3</v>
      </c>
      <c r="CF17" s="28">
        <f t="shared" si="313"/>
        <v>8.2545576075521154E-3</v>
      </c>
      <c r="CG17" s="28">
        <f t="shared" si="313"/>
        <v>8.2019488088486466E-3</v>
      </c>
      <c r="CH17" s="28">
        <f t="shared" si="313"/>
        <v>8.2528263011969992E-3</v>
      </c>
      <c r="CI17" s="28">
        <f t="shared" si="313"/>
        <v>8.2458274705581314E-3</v>
      </c>
      <c r="CJ17" s="28">
        <f t="shared" si="313"/>
        <v>8.238790047038971E-3</v>
      </c>
      <c r="CK17" s="28">
        <f t="shared" si="313"/>
        <v>8.234848156910687E-3</v>
      </c>
      <c r="CL17" s="28">
        <f t="shared" si="313"/>
        <v>8.2430729939261971E-3</v>
      </c>
      <c r="CM17" s="28">
        <f t="shared" si="313"/>
        <v>8.2406346671084971E-3</v>
      </c>
      <c r="CN17" s="28">
        <f t="shared" si="313"/>
        <v>8.2393364662460885E-3</v>
      </c>
      <c r="CO17" s="28">
        <f t="shared" si="313"/>
        <v>8.2394730710478679E-3</v>
      </c>
    </row>
    <row r="18" spans="1:93" s="29" customFormat="1" x14ac:dyDescent="0.2">
      <c r="A18" s="31" t="s">
        <v>52</v>
      </c>
      <c r="B18" s="31"/>
      <c r="C18" s="31"/>
      <c r="D18" s="27" t="e">
        <f t="shared" ref="D18" si="314">D50/C5</f>
        <v>#DIV/0!</v>
      </c>
      <c r="E18" s="27">
        <f t="shared" ref="E18" si="315">E50/D5</f>
        <v>2.5398617642676612E-2</v>
      </c>
      <c r="F18" s="27">
        <f t="shared" ref="F18" si="316">F50/E5</f>
        <v>2.5499999485994726E-2</v>
      </c>
      <c r="G18" s="27">
        <f t="shared" ref="G18" si="317">G50/F5</f>
        <v>2.5063570395563721E-2</v>
      </c>
      <c r="H18" s="27">
        <f t="shared" ref="H18" si="318">H50/G5</f>
        <v>2.6882984035763918E-2</v>
      </c>
      <c r="I18" s="27">
        <f t="shared" ref="I18" si="319">I50/H5</f>
        <v>2.2301018348688265E-2</v>
      </c>
      <c r="J18" s="27">
        <f t="shared" ref="J18" si="320">J50/I5</f>
        <v>2.0614619470685207E-2</v>
      </c>
      <c r="K18" s="27">
        <f t="shared" ref="K18" si="321">K50/J5</f>
        <v>1.8972248197510217E-2</v>
      </c>
      <c r="L18" s="27">
        <f t="shared" ref="L18" si="322">L50/K5</f>
        <v>2.088839310205886E-2</v>
      </c>
      <c r="M18" s="27">
        <f t="shared" ref="M18" si="323">M50/L5</f>
        <v>1.6343838284026271E-2</v>
      </c>
      <c r="N18" s="27">
        <f t="shared" ref="N18" si="324">N50/M5</f>
        <v>1.5029239078478069E-2</v>
      </c>
      <c r="O18" s="27">
        <f t="shared" ref="O18" si="325">O50/N5</f>
        <v>1.6492675435594472E-2</v>
      </c>
      <c r="P18" s="27">
        <f t="shared" ref="P18:Z18" si="326">P50/O5</f>
        <v>1.6234808005134563E-2</v>
      </c>
      <c r="Q18" s="27">
        <f t="shared" si="326"/>
        <v>1.6123687521753652E-2</v>
      </c>
      <c r="R18" s="27">
        <f t="shared" si="326"/>
        <v>1.4778601138930625E-2</v>
      </c>
      <c r="S18" s="27">
        <f t="shared" si="326"/>
        <v>1.5064051302566325E-2</v>
      </c>
      <c r="T18" s="27">
        <f t="shared" si="326"/>
        <v>1.68731353964841E-2</v>
      </c>
      <c r="U18" s="27">
        <f t="shared" si="326"/>
        <v>1.7254986447638402E-2</v>
      </c>
      <c r="V18" s="27">
        <f t="shared" si="326"/>
        <v>1.7335685305500195E-2</v>
      </c>
      <c r="W18" s="27">
        <f t="shared" si="326"/>
        <v>1.7742219158136913E-2</v>
      </c>
      <c r="X18" s="27">
        <f t="shared" si="326"/>
        <v>1.9720269844535135E-2</v>
      </c>
      <c r="Y18" s="27">
        <f t="shared" si="326"/>
        <v>2.0061109379442488E-2</v>
      </c>
      <c r="Z18" s="27">
        <f t="shared" si="326"/>
        <v>2.0417424503901774E-2</v>
      </c>
      <c r="AA18" s="28">
        <f t="shared" ref="AA18" si="327">AA50/Z5</f>
        <v>1.8735884317693775E-2</v>
      </c>
      <c r="AB18" s="28">
        <f t="shared" ref="AB18" si="328">AB50/AA5</f>
        <v>1.8937437580341557E-2</v>
      </c>
      <c r="AC18" s="28">
        <f t="shared" ref="AC18" si="329">AC50/AB5</f>
        <v>1.9081530211544503E-2</v>
      </c>
      <c r="AD18" s="28">
        <f t="shared" ref="AD18" si="330">AD50/AC5</f>
        <v>1.9171020374860726E-2</v>
      </c>
      <c r="AE18" s="28">
        <f t="shared" ref="AE18" si="331">AE50/AD5</f>
        <v>1.9260357128061151E-2</v>
      </c>
      <c r="AG18" s="57"/>
      <c r="AH18" s="27" t="e">
        <f t="shared" ref="AH18" si="332">AH50/AG5</f>
        <v>#DIV/0!</v>
      </c>
      <c r="AI18" s="27">
        <f t="shared" ref="AI18" si="333">AI50/AH5</f>
        <v>3.9982986748489961E-3</v>
      </c>
      <c r="AJ18" s="27">
        <f t="shared" ref="AJ18" si="334">AJ50/AI5</f>
        <v>3.9783766377184783E-3</v>
      </c>
      <c r="AK18" s="27">
        <f t="shared" ref="AK18" si="335">AK50/AJ5</f>
        <v>4.3673686273103338E-3</v>
      </c>
      <c r="AL18" s="27">
        <f t="shared" ref="AL18" si="336">AL50/AK5</f>
        <v>3.9471930491772741E-3</v>
      </c>
      <c r="AM18" s="27">
        <f t="shared" ref="AM18" si="337">AM50/AL5</f>
        <v>3.8093736336449447E-3</v>
      </c>
      <c r="AN18" s="27">
        <f t="shared" ref="AN18" si="338">AN50/AM5</f>
        <v>3.7264881745287326E-3</v>
      </c>
      <c r="AO18" s="27">
        <f t="shared" ref="AO18" si="339">AO50/AN5</f>
        <v>3.4748550630292348E-3</v>
      </c>
      <c r="AP18" s="27">
        <f t="shared" ref="AP18" si="340">AP50/AO5</f>
        <v>2.8700040765033304E-3</v>
      </c>
      <c r="AQ18" s="27">
        <f t="shared" ref="AQ18" si="341">AQ50/AP5</f>
        <v>3.8921400790622985E-3</v>
      </c>
      <c r="AR18" s="27">
        <f t="shared" ref="AR18" si="342">AR50/AQ5</f>
        <v>3.5672739589954726E-3</v>
      </c>
      <c r="AS18" s="27">
        <f t="shared" ref="AS18" si="343">AS50/AR5</f>
        <v>4.5517258396838255E-3</v>
      </c>
      <c r="AT18" s="27">
        <f t="shared" ref="AT18:BY18" si="344">AT50/AS5</f>
        <v>3.5028914005487536E-3</v>
      </c>
      <c r="AU18" s="27">
        <f t="shared" si="344"/>
        <v>3.8935807296978479E-3</v>
      </c>
      <c r="AV18" s="27">
        <f t="shared" si="344"/>
        <v>4.4052263683595902E-3</v>
      </c>
      <c r="AW18" s="27">
        <f t="shared" si="344"/>
        <v>5.4296259447811556E-3</v>
      </c>
      <c r="AX18" s="27">
        <f t="shared" si="344"/>
        <v>3.986554066504844E-3</v>
      </c>
      <c r="AY18" s="27">
        <f t="shared" si="344"/>
        <v>4.5266962541313863E-3</v>
      </c>
      <c r="AZ18" s="27">
        <f t="shared" si="344"/>
        <v>4.1444542121254722E-3</v>
      </c>
      <c r="BA18" s="27">
        <f t="shared" si="344"/>
        <v>4.6347561052700308E-3</v>
      </c>
      <c r="BB18" s="27">
        <f t="shared" si="344"/>
        <v>3.7395926915221814E-3</v>
      </c>
      <c r="BC18" s="27">
        <f t="shared" si="344"/>
        <v>4.0295316269978523E-3</v>
      </c>
      <c r="BD18" s="27">
        <f t="shared" si="344"/>
        <v>4.4509412532265863E-3</v>
      </c>
      <c r="BE18" s="27">
        <f t="shared" si="344"/>
        <v>4.2435808643357664E-3</v>
      </c>
      <c r="BF18" s="27">
        <f t="shared" si="344"/>
        <v>3.8707998622106899E-3</v>
      </c>
      <c r="BG18" s="27">
        <f t="shared" si="344"/>
        <v>4.2263755448217234E-3</v>
      </c>
      <c r="BH18" s="27">
        <f t="shared" si="344"/>
        <v>4.5211878770487655E-3</v>
      </c>
      <c r="BI18" s="27">
        <f t="shared" si="344"/>
        <v>4.4493596376667336E-3</v>
      </c>
      <c r="BJ18" s="27">
        <f t="shared" si="344"/>
        <v>4.2916098170133598E-3</v>
      </c>
      <c r="BK18" s="27">
        <f t="shared" si="344"/>
        <v>4.3766959926182635E-3</v>
      </c>
      <c r="BL18" s="27">
        <f t="shared" si="344"/>
        <v>4.5957214969215192E-3</v>
      </c>
      <c r="BM18" s="27">
        <f t="shared" si="344"/>
        <v>5.8376155958390205E-3</v>
      </c>
      <c r="BN18" s="27">
        <f t="shared" si="344"/>
        <v>4.6328766735625167E-3</v>
      </c>
      <c r="BO18" s="27">
        <f t="shared" si="344"/>
        <v>4.5964559183053338E-3</v>
      </c>
      <c r="BP18" s="27">
        <f t="shared" si="344"/>
        <v>4.47031287086622E-3</v>
      </c>
      <c r="BQ18" s="27">
        <f t="shared" si="344"/>
        <v>4.9141842400558539E-3</v>
      </c>
      <c r="BR18" s="27">
        <f t="shared" si="344"/>
        <v>4.4869564475162787E-3</v>
      </c>
      <c r="BS18" s="27">
        <f t="shared" si="344"/>
        <v>4.8246870272086748E-3</v>
      </c>
      <c r="BT18" s="27">
        <f t="shared" si="344"/>
        <v>4.3685270251349476E-3</v>
      </c>
      <c r="BU18" s="27">
        <f t="shared" si="344"/>
        <v>4.6721871283642849E-3</v>
      </c>
      <c r="BV18" s="27">
        <f t="shared" si="344"/>
        <v>4.1734139986126326E-3</v>
      </c>
      <c r="BW18" s="27">
        <f t="shared" si="344"/>
        <v>4.187689998439794E-3</v>
      </c>
      <c r="BX18" s="27">
        <f t="shared" si="344"/>
        <v>4.3430289250118419E-3</v>
      </c>
      <c r="BY18" s="27">
        <f t="shared" si="344"/>
        <v>4.6118794657052237E-3</v>
      </c>
      <c r="BZ18" s="30">
        <f>+AVERAGE(BV18:BY18)</f>
        <v>4.3290030969423731E-3</v>
      </c>
      <c r="CA18" s="30">
        <f t="shared" ref="CA18" si="345">+AVERAGE(BW18:BZ18)</f>
        <v>4.3679003715248084E-3</v>
      </c>
      <c r="CB18" s="30">
        <f t="shared" ref="CB18" si="346">+AVERAGE(BX18:CA18)</f>
        <v>4.412952964796062E-3</v>
      </c>
      <c r="CC18" s="30">
        <f t="shared" ref="CC18" si="347">+AVERAGE(BY18:CB18)</f>
        <v>4.4304339747421161E-3</v>
      </c>
      <c r="CD18" s="30">
        <f t="shared" ref="CD18" si="348">+AVERAGE(BZ18:CC18)</f>
        <v>4.3850726020013397E-3</v>
      </c>
      <c r="CE18" s="30">
        <f t="shared" ref="CE18" si="349">+AVERAGE(CA18:CD18)</f>
        <v>4.3990899782660811E-3</v>
      </c>
      <c r="CF18" s="30">
        <f t="shared" ref="CF18" si="350">+AVERAGE(CB18:CE18)</f>
        <v>4.4068873799514002E-3</v>
      </c>
      <c r="CG18" s="30">
        <f t="shared" ref="CG18" si="351">+AVERAGE(CC18:CF18)</f>
        <v>4.4053709837402338E-3</v>
      </c>
      <c r="CH18" s="30">
        <f t="shared" ref="CH18" si="352">+AVERAGE(CD18:CG18)</f>
        <v>4.3991052359897637E-3</v>
      </c>
      <c r="CI18" s="30">
        <f t="shared" ref="CI18" si="353">+AVERAGE(CE18:CH18)</f>
        <v>4.4026133944868699E-3</v>
      </c>
      <c r="CJ18" s="30">
        <f t="shared" ref="CJ18" si="354">+AVERAGE(CF18:CI18)</f>
        <v>4.4034942485420671E-3</v>
      </c>
      <c r="CK18" s="30">
        <f t="shared" ref="CK18" si="355">+AVERAGE(CG18:CJ18)</f>
        <v>4.4026459656897332E-3</v>
      </c>
      <c r="CL18" s="30">
        <f t="shared" ref="CL18" si="356">+AVERAGE(CH18:CK18)</f>
        <v>4.4019647111771081E-3</v>
      </c>
      <c r="CM18" s="30">
        <f t="shared" ref="CM18" si="357">+AVERAGE(CI18:CL18)</f>
        <v>4.4026795799739444E-3</v>
      </c>
      <c r="CN18" s="30">
        <f t="shared" ref="CN18" si="358">+AVERAGE(CJ18:CM18)</f>
        <v>4.4026961263457128E-3</v>
      </c>
      <c r="CO18" s="30">
        <f t="shared" ref="CO18" si="359">+AVERAGE(CK18:CN18)</f>
        <v>4.4024965957966244E-3</v>
      </c>
    </row>
    <row r="19" spans="1:93" s="36" customFormat="1" x14ac:dyDescent="0.2">
      <c r="A19" s="33" t="s">
        <v>11</v>
      </c>
      <c r="B19" s="33"/>
      <c r="C19" s="33"/>
      <c r="D19" s="34" t="e">
        <f t="shared" ref="D19:O19" si="360">D17-D18</f>
        <v>#DIV/0!</v>
      </c>
      <c r="E19" s="34">
        <f t="shared" si="360"/>
        <v>3.250864797962031E-2</v>
      </c>
      <c r="F19" s="34">
        <f t="shared" si="360"/>
        <v>1.9271666301063105E-2</v>
      </c>
      <c r="G19" s="34">
        <f t="shared" si="360"/>
        <v>2.0158811303872669E-2</v>
      </c>
      <c r="H19" s="34">
        <f t="shared" si="360"/>
        <v>2.4683212850133113E-2</v>
      </c>
      <c r="I19" s="34">
        <f t="shared" si="360"/>
        <v>3.1206466987523454E-2</v>
      </c>
      <c r="J19" s="34">
        <f t="shared" si="360"/>
        <v>3.6357878617705924E-2</v>
      </c>
      <c r="K19" s="34">
        <f t="shared" si="360"/>
        <v>2.4336028468077444E-2</v>
      </c>
      <c r="L19" s="34">
        <f t="shared" si="360"/>
        <v>2.2190719775805778E-2</v>
      </c>
      <c r="M19" s="34">
        <f t="shared" si="360"/>
        <v>2.2143773066507114E-2</v>
      </c>
      <c r="N19" s="34">
        <f t="shared" si="360"/>
        <v>2.1024952015927523E-2</v>
      </c>
      <c r="O19" s="34">
        <f t="shared" si="360"/>
        <v>2.0735410423429943E-2</v>
      </c>
      <c r="P19" s="34">
        <f>P17-P18</f>
        <v>1.5028900601412445E-2</v>
      </c>
      <c r="Q19" s="34">
        <f t="shared" ref="Q19:Z19" si="361">Q17-Q18</f>
        <v>1.041760019264799E-2</v>
      </c>
      <c r="R19" s="34">
        <f t="shared" si="361"/>
        <v>1.6223579927844685E-2</v>
      </c>
      <c r="S19" s="34">
        <f t="shared" si="361"/>
        <v>1.1816188725233868E-2</v>
      </c>
      <c r="T19" s="34">
        <f t="shared" si="361"/>
        <v>1.3354489529262669E-2</v>
      </c>
      <c r="U19" s="34">
        <f t="shared" si="361"/>
        <v>1.9016988430581912E-2</v>
      </c>
      <c r="V19" s="34">
        <f t="shared" si="361"/>
        <v>1.6429626581865805E-2</v>
      </c>
      <c r="W19" s="34">
        <f t="shared" si="361"/>
        <v>1.4826957901100942E-2</v>
      </c>
      <c r="X19" s="34">
        <f t="shared" si="361"/>
        <v>1.8888774115067695E-2</v>
      </c>
      <c r="Y19" s="34">
        <f t="shared" si="361"/>
        <v>1.8716678384974688E-2</v>
      </c>
      <c r="Z19" s="34">
        <f t="shared" si="361"/>
        <v>1.9739847458737438E-2</v>
      </c>
      <c r="AA19" s="35">
        <f t="shared" ref="AA19" si="362">AA17-AA18</f>
        <v>1.7747402431074644E-2</v>
      </c>
      <c r="AB19" s="35">
        <f t="shared" ref="AB19:AE19" si="363">AB17-AB18</f>
        <v>1.7349995096563552E-2</v>
      </c>
      <c r="AC19" s="35">
        <f t="shared" si="363"/>
        <v>1.6711046169140473E-2</v>
      </c>
      <c r="AD19" s="35">
        <f t="shared" si="363"/>
        <v>1.6727399004326331E-2</v>
      </c>
      <c r="AE19" s="35">
        <f t="shared" si="363"/>
        <v>1.6791449557760421E-2</v>
      </c>
      <c r="AG19" s="58"/>
      <c r="AH19" s="34" t="e">
        <f t="shared" ref="AH19:AS19" si="364">AH17-AH18</f>
        <v>#DIV/0!</v>
      </c>
      <c r="AI19" s="34">
        <f t="shared" si="364"/>
        <v>2.4921391983113612E-3</v>
      </c>
      <c r="AJ19" s="34">
        <f t="shared" si="364"/>
        <v>2.3890030137346677E-3</v>
      </c>
      <c r="AK19" s="34">
        <f t="shared" si="364"/>
        <v>2.4532937935138732E-3</v>
      </c>
      <c r="AL19" s="34">
        <f t="shared" si="364"/>
        <v>2.7664508362414209E-3</v>
      </c>
      <c r="AM19" s="34">
        <f t="shared" si="364"/>
        <v>4.2440364906372041E-3</v>
      </c>
      <c r="AN19" s="34">
        <f t="shared" si="364"/>
        <v>4.2151028130635862E-3</v>
      </c>
      <c r="AO19" s="34">
        <f t="shared" si="364"/>
        <v>5.1871140231650372E-3</v>
      </c>
      <c r="AP19" s="34">
        <f t="shared" si="364"/>
        <v>3.8700717457917661E-3</v>
      </c>
      <c r="AQ19" s="34">
        <f t="shared" si="364"/>
        <v>3.6494175705732196E-3</v>
      </c>
      <c r="AR19" s="34">
        <f t="shared" si="364"/>
        <v>2.2080096768061185E-3</v>
      </c>
      <c r="AS19" s="34">
        <f t="shared" si="364"/>
        <v>1.9281698655601136E-3</v>
      </c>
      <c r="AT19" s="34">
        <f t="shared" ref="AT19" si="365">AT17-AT18</f>
        <v>3.1130428223631415E-3</v>
      </c>
      <c r="AU19" s="34">
        <f t="shared" ref="AU19" si="366">AU17-AU18</f>
        <v>2.7758490163707263E-3</v>
      </c>
      <c r="AV19" s="34">
        <f t="shared" ref="AV19" si="367">AV17-AV18</f>
        <v>3.8654641530293339E-3</v>
      </c>
      <c r="AW19" s="34">
        <f t="shared" ref="AW19" si="368">AW17-AW18</f>
        <v>3.8828343875073534E-3</v>
      </c>
      <c r="AX19" s="34">
        <f t="shared" ref="AX19" si="369">AX17-AX18</f>
        <v>3.7589968569880991E-3</v>
      </c>
      <c r="AY19" s="34">
        <f t="shared" ref="AY19" si="370">AY17-AY18</f>
        <v>4.0817559196777656E-3</v>
      </c>
      <c r="AZ19" s="34">
        <f t="shared" ref="AZ19" si="371">AZ17-AZ18</f>
        <v>6.8924437854473164E-3</v>
      </c>
      <c r="BA19" s="34">
        <f t="shared" ref="BA19" si="372">BA17-BA18</f>
        <v>4.346846514486016E-3</v>
      </c>
      <c r="BB19" s="34">
        <f t="shared" ref="BB19" si="373">BB17-BB18</f>
        <v>4.538310594687775E-3</v>
      </c>
      <c r="BC19" s="34">
        <f t="shared" ref="BC19" si="374">BC17-BC18</f>
        <v>4.3387845906337659E-3</v>
      </c>
      <c r="BD19" s="34">
        <f t="shared" ref="BD19" si="375">BD17-BD18</f>
        <v>3.9918713320322664E-3</v>
      </c>
      <c r="BE19" s="34">
        <f t="shared" ref="BE19" si="376">BE17-BE18</f>
        <v>2.741447676004238E-3</v>
      </c>
      <c r="BF19" s="34">
        <f t="shared" ref="BF19" si="377">BF17-BF18</f>
        <v>3.9195979261920522E-3</v>
      </c>
      <c r="BG19" s="34">
        <f t="shared" ref="BG19" si="378">BG17-BG18</f>
        <v>3.7947471493195023E-3</v>
      </c>
      <c r="BH19" s="34">
        <f t="shared" ref="BH19" si="379">BH17-BH18</f>
        <v>3.0105148667927554E-3</v>
      </c>
      <c r="BI19" s="34">
        <f t="shared" ref="BI19" si="380">BI17-BI18</f>
        <v>3.5302283046863402E-3</v>
      </c>
      <c r="BJ19" s="34">
        <f t="shared" ref="BJ19" si="381">BJ17-BJ18</f>
        <v>3.0801452072688126E-3</v>
      </c>
      <c r="BK19" s="34">
        <f t="shared" ref="BK19" si="382">BK17-BK18</f>
        <v>4.7230534308489638E-3</v>
      </c>
      <c r="BL19" s="34">
        <f t="shared" ref="BL19" si="383">BL17-BL18</f>
        <v>4.9728894372516918E-3</v>
      </c>
      <c r="BM19" s="34">
        <f t="shared" ref="BM19" si="384">BM17-BM18</f>
        <v>5.5017035660762459E-3</v>
      </c>
      <c r="BN19" s="34">
        <f t="shared" ref="BN19" si="385">BN17-BN18</f>
        <v>4.7957450029032416E-3</v>
      </c>
      <c r="BO19" s="34">
        <f t="shared" ref="BO19" si="386">BO17-BO18</f>
        <v>4.7011808569271465E-3</v>
      </c>
      <c r="BP19" s="34">
        <f t="shared" ref="BP19" si="387">BP17-BP18</f>
        <v>3.6763860882673867E-3</v>
      </c>
      <c r="BQ19" s="34">
        <f t="shared" ref="BQ19" si="388">BQ17-BQ18</f>
        <v>4.2325044397206555E-3</v>
      </c>
      <c r="BR19" s="34">
        <f t="shared" ref="BR19" si="389">BR17-BR18</f>
        <v>4.2302088998887556E-3</v>
      </c>
      <c r="BS19" s="34">
        <f t="shared" ref="BS19" si="390">BS17-BS18</f>
        <v>4.5943175711411375E-3</v>
      </c>
      <c r="BT19" s="34">
        <f t="shared" ref="BT19" si="391">BT17-BT18</f>
        <v>3.9315277890421075E-3</v>
      </c>
      <c r="BU19" s="34">
        <f t="shared" ref="BU19:BV19" si="392">BU17-BU18</f>
        <v>4.955583316016512E-3</v>
      </c>
      <c r="BV19" s="34">
        <f t="shared" si="392"/>
        <v>3.9605860159479828E-3</v>
      </c>
      <c r="BW19" s="34">
        <f t="shared" ref="BW19:BX19" si="393">BW17-BW18</f>
        <v>3.7100539865604736E-3</v>
      </c>
      <c r="BX19" s="34">
        <f t="shared" si="393"/>
        <v>4.0049548348040764E-3</v>
      </c>
      <c r="BY19" s="34">
        <f t="shared" ref="BY19" si="394">BY17-BY18</f>
        <v>4.716721357262801E-3</v>
      </c>
      <c r="BZ19" s="35">
        <f t="shared" ref="BZ19" si="395">BZ17-BZ18</f>
        <v>3.9777424259287682E-3</v>
      </c>
      <c r="CA19" s="35">
        <f t="shared" ref="CA19" si="396">CA17-CA18</f>
        <v>3.9819829893607411E-3</v>
      </c>
      <c r="CB19" s="35">
        <f t="shared" ref="CB19" si="397">CB17-CB18</f>
        <v>4.0498931641051641E-3</v>
      </c>
      <c r="CC19" s="35">
        <f t="shared" ref="CC19" si="398">CC17-CC18</f>
        <v>4.0604821662017249E-3</v>
      </c>
      <c r="CD19" s="35">
        <f t="shared" ref="CD19" si="399">CD17-CD18</f>
        <v>3.8957490217511378E-3</v>
      </c>
      <c r="CE19" s="35">
        <f t="shared" ref="CE19" si="400">CE17-CE18</f>
        <v>3.8748871863686814E-3</v>
      </c>
      <c r="CF19" s="35">
        <f t="shared" ref="CF19" si="401">CF17-CF18</f>
        <v>3.8476702276007153E-3</v>
      </c>
      <c r="CG19" s="35">
        <f t="shared" ref="CG19" si="402">CG17-CG18</f>
        <v>3.7965778251084128E-3</v>
      </c>
      <c r="CH19" s="35">
        <f t="shared" ref="CH19" si="403">CH17-CH18</f>
        <v>3.8537210652072355E-3</v>
      </c>
      <c r="CI19" s="35">
        <f t="shared" ref="CI19" si="404">CI17-CI18</f>
        <v>3.8432140760712614E-3</v>
      </c>
      <c r="CJ19" s="35">
        <f t="shared" ref="CJ19" si="405">CJ17-CJ18</f>
        <v>3.8352957984969039E-3</v>
      </c>
      <c r="CK19" s="35">
        <f t="shared" ref="CK19" si="406">CK17-CK18</f>
        <v>3.8322021912209538E-3</v>
      </c>
      <c r="CL19" s="35">
        <f t="shared" ref="CL19" si="407">CL17-CL18</f>
        <v>3.8411082827490891E-3</v>
      </c>
      <c r="CM19" s="35">
        <f t="shared" ref="CM19" si="408">CM17-CM18</f>
        <v>3.8379550871345527E-3</v>
      </c>
      <c r="CN19" s="35">
        <f t="shared" ref="CN19" si="409">CN17-CN18</f>
        <v>3.8366403399003757E-3</v>
      </c>
      <c r="CO19" s="35">
        <f t="shared" ref="CO19" si="410">CO17-CO18</f>
        <v>3.8369764752512435E-3</v>
      </c>
    </row>
    <row r="20" spans="1:93" s="94" customFormat="1" x14ac:dyDescent="0.2">
      <c r="A20" s="26" t="s">
        <v>31</v>
      </c>
      <c r="B20" s="26"/>
      <c r="C20" s="26"/>
      <c r="D20" s="92" t="e">
        <f t="shared" ref="D20" si="411">D53/C5</f>
        <v>#DIV/0!</v>
      </c>
      <c r="E20" s="92">
        <f t="shared" ref="E20" si="412">E53/D5</f>
        <v>1.2919788592108716E-2</v>
      </c>
      <c r="F20" s="92">
        <f t="shared" ref="F20" si="413">F53/E5</f>
        <v>1.3187700635343115E-2</v>
      </c>
      <c r="G20" s="92">
        <f t="shared" ref="G20" si="414">G53/F5</f>
        <v>9.3086467237427448E-3</v>
      </c>
      <c r="H20" s="92">
        <f t="shared" ref="H20" si="415">H53/G5</f>
        <v>8.8852733667292294E-3</v>
      </c>
      <c r="I20" s="92">
        <f t="shared" ref="I20" si="416">I53/H5</f>
        <v>8.5705085124265189E-3</v>
      </c>
      <c r="J20" s="92">
        <f t="shared" ref="J20" si="417">J53/I5</f>
        <v>8.6109226379069408E-3</v>
      </c>
      <c r="K20" s="92">
        <f t="shared" ref="K20" si="418">K53/J5</f>
        <v>1.1436370872893731E-2</v>
      </c>
      <c r="L20" s="92">
        <f t="shared" ref="L20" si="419">L53/K5</f>
        <v>7.7847279730143505E-3</v>
      </c>
      <c r="M20" s="92">
        <f t="shared" ref="M20" si="420">M53/L5</f>
        <v>1.0309249485408199E-2</v>
      </c>
      <c r="N20" s="92">
        <f t="shared" ref="N20" si="421">N53/M5</f>
        <v>1.2546363157934637E-2</v>
      </c>
      <c r="O20" s="92">
        <f t="shared" ref="O20" si="422">O53/N5</f>
        <v>1.2008243252111687E-2</v>
      </c>
      <c r="P20" s="92">
        <f t="shared" ref="P20:Z20" si="423">P53/O5</f>
        <v>1.1426005426624062E-2</v>
      </c>
      <c r="Q20" s="92">
        <f t="shared" si="423"/>
        <v>2.3864630343711651E-2</v>
      </c>
      <c r="R20" s="92">
        <f t="shared" si="423"/>
        <v>2.0178396318672017E-2</v>
      </c>
      <c r="S20" s="92">
        <f t="shared" si="423"/>
        <v>2.6106155395985899E-2</v>
      </c>
      <c r="T20" s="92">
        <f t="shared" si="423"/>
        <v>2.7734139746745608E-2</v>
      </c>
      <c r="U20" s="92">
        <f t="shared" si="423"/>
        <v>2.66159674998275E-2</v>
      </c>
      <c r="V20" s="92">
        <f t="shared" si="423"/>
        <v>1.1252948551798458E-2</v>
      </c>
      <c r="W20" s="92">
        <f t="shared" si="423"/>
        <v>6.5636269927609771E-3</v>
      </c>
      <c r="X20" s="92">
        <f t="shared" si="423"/>
        <v>1.0103038205727808E-2</v>
      </c>
      <c r="Y20" s="92">
        <f t="shared" si="423"/>
        <v>5.2810204733136157E-3</v>
      </c>
      <c r="Z20" s="92">
        <f t="shared" si="423"/>
        <v>4.784174468391759E-3</v>
      </c>
      <c r="AA20" s="93">
        <f t="shared" ref="AA20" si="424">AA53/Z5</f>
        <v>3.2302349595643163E-3</v>
      </c>
      <c r="AB20" s="93">
        <f t="shared" ref="AB20" si="425">AB53/AA5</f>
        <v>3.1313402081537323E-3</v>
      </c>
      <c r="AC20" s="93">
        <f t="shared" ref="AC20" si="426">AC53/AB5</f>
        <v>3.1593421667619201E-3</v>
      </c>
      <c r="AD20" s="93">
        <f t="shared" ref="AD20" si="427">AD53/AC5</f>
        <v>3.1794404929997512E-3</v>
      </c>
      <c r="AE20" s="93">
        <f t="shared" ref="AE20" si="428">AE53/AD5</f>
        <v>3.1957899065558713E-3</v>
      </c>
      <c r="AG20" s="64"/>
      <c r="AH20" s="92" t="e">
        <f t="shared" ref="AH20" si="429">AH53/AG5</f>
        <v>#DIV/0!</v>
      </c>
      <c r="AI20" s="92">
        <f t="shared" ref="AI20" si="430">AI53/AH5</f>
        <v>5.5326392544684903E-3</v>
      </c>
      <c r="AJ20" s="92">
        <f t="shared" ref="AJ20" si="431">AJ53/AI5</f>
        <v>6.1106877657144216E-3</v>
      </c>
      <c r="AK20" s="92">
        <f t="shared" ref="AK20" si="432">AK53/AJ5</f>
        <v>9.1657505079849912E-3</v>
      </c>
      <c r="AL20" s="92">
        <f t="shared" ref="AL20" si="433">AL53/AK5</f>
        <v>4.6337624962497536E-3</v>
      </c>
      <c r="AM20" s="92">
        <f t="shared" ref="AM20" si="434">AM53/AL5</f>
        <v>3.9092928027996019E-3</v>
      </c>
      <c r="AN20" s="92">
        <f t="shared" ref="AN20" si="435">AN53/AM5</f>
        <v>3.9478890036185148E-3</v>
      </c>
      <c r="AO20" s="92">
        <f t="shared" ref="AO20" si="436">AO53/AN5</f>
        <v>7.855264543661044E-3</v>
      </c>
      <c r="AP20" s="92">
        <f t="shared" ref="AP20" si="437">AP53/AO5</f>
        <v>3.6518807821164477E-3</v>
      </c>
      <c r="AQ20" s="92">
        <f t="shared" ref="AQ20" si="438">AQ53/AP5</f>
        <v>3.1922291666557721E-3</v>
      </c>
      <c r="AR20" s="92">
        <f t="shared" ref="AR20" si="439">AR53/AQ5</f>
        <v>7.9881190643711839E-3</v>
      </c>
      <c r="AS20" s="92">
        <f t="shared" ref="AS20" si="440">AS53/AR5</f>
        <v>1.0979112260802691E-2</v>
      </c>
      <c r="AT20" s="92">
        <f t="shared" ref="AT20:BY20" si="441">AT53/AS5</f>
        <v>4.2705306976151937E-3</v>
      </c>
      <c r="AU20" s="92">
        <f t="shared" si="441"/>
        <v>5.6347033357185203E-3</v>
      </c>
      <c r="AV20" s="92">
        <f t="shared" si="441"/>
        <v>1.5307838065246769E-2</v>
      </c>
      <c r="AW20" s="92">
        <f t="shared" si="441"/>
        <v>3.1987975112184371E-3</v>
      </c>
      <c r="AX20" s="92">
        <f t="shared" si="441"/>
        <v>3.164253334195127E-3</v>
      </c>
      <c r="AY20" s="92">
        <f t="shared" si="441"/>
        <v>3.4054512575114994E-3</v>
      </c>
      <c r="AZ20" s="92">
        <f t="shared" si="441"/>
        <v>6.692948837046798E-3</v>
      </c>
      <c r="BA20" s="92">
        <f t="shared" si="441"/>
        <v>1.3342460330105249E-2</v>
      </c>
      <c r="BB20" s="92">
        <f t="shared" si="441"/>
        <v>2.4124433299500593E-3</v>
      </c>
      <c r="BC20" s="92">
        <f t="shared" si="441"/>
        <v>3.1349130041139458E-3</v>
      </c>
      <c r="BD20" s="92">
        <f t="shared" si="441"/>
        <v>2.7104296949131395E-3</v>
      </c>
      <c r="BE20" s="92">
        <f t="shared" si="441"/>
        <v>2.3554143848145445E-3</v>
      </c>
      <c r="BF20" s="92">
        <f t="shared" si="441"/>
        <v>2.3555936021104939E-3</v>
      </c>
      <c r="BG20" s="92">
        <f t="shared" si="441"/>
        <v>1.2667108612420717E-3</v>
      </c>
      <c r="BH20" s="92">
        <f t="shared" si="441"/>
        <v>4.8112444498597026E-4</v>
      </c>
      <c r="BI20" s="92">
        <f t="shared" si="441"/>
        <v>2.2057806139057366E-3</v>
      </c>
      <c r="BJ20" s="92">
        <f t="shared" si="441"/>
        <v>1.8650964244508138E-3</v>
      </c>
      <c r="BK20" s="92">
        <f t="shared" si="441"/>
        <v>2.6764314716432062E-3</v>
      </c>
      <c r="BL20" s="92">
        <f t="shared" si="441"/>
        <v>2.5586360622485062E-3</v>
      </c>
      <c r="BM20" s="92">
        <f t="shared" si="441"/>
        <v>2.6965146194388523E-3</v>
      </c>
      <c r="BN20" s="92">
        <f t="shared" si="441"/>
        <v>1.0534418639887885E-3</v>
      </c>
      <c r="BO20" s="92">
        <f t="shared" si="441"/>
        <v>1.024354106187107E-3</v>
      </c>
      <c r="BP20" s="92">
        <f t="shared" si="441"/>
        <v>6.1328582884201096E-4</v>
      </c>
      <c r="BQ20" s="92">
        <f t="shared" si="441"/>
        <v>2.1726275474682967E-3</v>
      </c>
      <c r="BR20" s="92">
        <f t="shared" si="441"/>
        <v>1.4877070363581342E-3</v>
      </c>
      <c r="BS20" s="92">
        <f t="shared" si="441"/>
        <v>1.1554364178528839E-3</v>
      </c>
      <c r="BT20" s="92">
        <f t="shared" si="441"/>
        <v>3.2248005831951511E-4</v>
      </c>
      <c r="BU20" s="92">
        <f t="shared" si="441"/>
        <v>1.3570350613025723E-3</v>
      </c>
      <c r="BV20" s="92">
        <f t="shared" si="441"/>
        <v>1.0827407530242244E-3</v>
      </c>
      <c r="BW20" s="92">
        <f t="shared" si="441"/>
        <v>4.2844503736863359E-4</v>
      </c>
      <c r="BX20" s="92">
        <f t="shared" si="441"/>
        <v>5.5018589895959515E-4</v>
      </c>
      <c r="BY20" s="92">
        <f t="shared" si="441"/>
        <v>9.2890798127317912E-4</v>
      </c>
      <c r="BZ20" s="30">
        <f>+AVERAGE(BV20:BY20)</f>
        <v>7.4756991765640801E-4</v>
      </c>
      <c r="CA20" s="30">
        <f t="shared" ref="CA20" si="442">+AVERAGE(BW20:BZ20)</f>
        <v>6.6377720881445395E-4</v>
      </c>
      <c r="CB20" s="30">
        <f t="shared" ref="CB20" si="443">+AVERAGE(BX20:CA20)</f>
        <v>7.22610251675909E-4</v>
      </c>
      <c r="CC20" s="30">
        <f t="shared" ref="CC20" si="444">+AVERAGE(BY20:CB20)</f>
        <v>7.6571633985498752E-4</v>
      </c>
      <c r="CD20" s="30">
        <f t="shared" ref="CD20" si="445">+AVERAGE(BZ20:CC20)</f>
        <v>7.2491842950043962E-4</v>
      </c>
      <c r="CE20" s="30">
        <f t="shared" ref="CE20" si="446">+AVERAGE(CA20:CD20)</f>
        <v>7.1925555746144758E-4</v>
      </c>
      <c r="CF20" s="30">
        <f t="shared" ref="CF20" si="447">+AVERAGE(CB20:CE20)</f>
        <v>7.3312514462319596E-4</v>
      </c>
      <c r="CG20" s="30">
        <f t="shared" ref="CG20" si="448">+AVERAGE(CC20:CF20)</f>
        <v>7.357538678600177E-4</v>
      </c>
      <c r="CH20" s="30">
        <f t="shared" ref="CH20" si="449">+AVERAGE(CD20:CG20)</f>
        <v>7.2826324986127527E-4</v>
      </c>
      <c r="CI20" s="30">
        <f t="shared" ref="CI20" si="450">+AVERAGE(CE20:CH20)</f>
        <v>7.2909945495148413E-4</v>
      </c>
      <c r="CJ20" s="30">
        <f t="shared" ref="CJ20" si="451">+AVERAGE(CF20:CI20)</f>
        <v>7.3156042932399326E-4</v>
      </c>
      <c r="CK20" s="30">
        <f t="shared" ref="CK20" si="452">+AVERAGE(CG20:CJ20)</f>
        <v>7.3116925049919262E-4</v>
      </c>
      <c r="CL20" s="30">
        <f t="shared" ref="CL20" si="453">+AVERAGE(CH20:CK20)</f>
        <v>7.3002309615898637E-4</v>
      </c>
      <c r="CM20" s="30">
        <f t="shared" ref="CM20" si="454">+AVERAGE(CI20:CL20)</f>
        <v>7.3046305773341407E-4</v>
      </c>
      <c r="CN20" s="30">
        <f t="shared" ref="CN20" si="455">+AVERAGE(CJ20:CM20)</f>
        <v>7.3080395842889661E-4</v>
      </c>
      <c r="CO20" s="30">
        <f t="shared" ref="CO20" si="456">+AVERAGE(CK20:CN20)</f>
        <v>7.3061484070512236E-4</v>
      </c>
    </row>
    <row r="21" spans="1:93" s="29" customFormat="1" x14ac:dyDescent="0.2">
      <c r="A21" s="31" t="s">
        <v>12</v>
      </c>
      <c r="B21" s="31"/>
      <c r="C21" s="31"/>
      <c r="D21" s="27" t="e">
        <f t="shared" ref="D21:O21" si="457">D19-D20</f>
        <v>#DIV/0!</v>
      </c>
      <c r="E21" s="27">
        <f t="shared" si="457"/>
        <v>1.9588859387511592E-2</v>
      </c>
      <c r="F21" s="27">
        <f t="shared" si="457"/>
        <v>6.0839656657199898E-3</v>
      </c>
      <c r="G21" s="27">
        <f t="shared" si="457"/>
        <v>1.0850164580129924E-2</v>
      </c>
      <c r="H21" s="27">
        <f t="shared" si="457"/>
        <v>1.5797939483403883E-2</v>
      </c>
      <c r="I21" s="27">
        <f t="shared" si="457"/>
        <v>2.2635958475096935E-2</v>
      </c>
      <c r="J21" s="27">
        <f t="shared" si="457"/>
        <v>2.7746955979798982E-2</v>
      </c>
      <c r="K21" s="27">
        <f t="shared" si="457"/>
        <v>1.2899657595183713E-2</v>
      </c>
      <c r="L21" s="27">
        <f t="shared" si="457"/>
        <v>1.4405991802791427E-2</v>
      </c>
      <c r="M21" s="27">
        <f t="shared" si="457"/>
        <v>1.1834523581098915E-2</v>
      </c>
      <c r="N21" s="27">
        <f t="shared" si="457"/>
        <v>8.4785888579928855E-3</v>
      </c>
      <c r="O21" s="27">
        <f t="shared" si="457"/>
        <v>8.7271671713182557E-3</v>
      </c>
      <c r="P21" s="27">
        <f>P19-P20</f>
        <v>3.6028951747883835E-3</v>
      </c>
      <c r="Q21" s="27">
        <f t="shared" ref="Q21:T21" si="458">Q19-Q20</f>
        <v>-1.344703015106366E-2</v>
      </c>
      <c r="R21" s="27">
        <f t="shared" si="458"/>
        <v>-3.9548163908273322E-3</v>
      </c>
      <c r="S21" s="27">
        <f t="shared" si="458"/>
        <v>-1.4289966670752031E-2</v>
      </c>
      <c r="T21" s="27">
        <f t="shared" si="458"/>
        <v>-1.4379650217482939E-2</v>
      </c>
      <c r="U21" s="27">
        <f t="shared" ref="U21:W21" si="459">U19-U20</f>
        <v>-7.5989790692455872E-3</v>
      </c>
      <c r="V21" s="27">
        <f t="shared" si="459"/>
        <v>5.1766780300673467E-3</v>
      </c>
      <c r="W21" s="27">
        <f t="shared" si="459"/>
        <v>8.263330908339965E-3</v>
      </c>
      <c r="X21" s="27">
        <f t="shared" ref="X21:Y21" si="460">X19-X20</f>
        <v>8.7857359093398875E-3</v>
      </c>
      <c r="Y21" s="27">
        <f t="shared" si="460"/>
        <v>1.3435657911661073E-2</v>
      </c>
      <c r="Z21" s="27">
        <f t="shared" ref="Z21:AB21" si="461">Z19-Z20</f>
        <v>1.495567299034568E-2</v>
      </c>
      <c r="AA21" s="28">
        <f t="shared" si="461"/>
        <v>1.4517167471510328E-2</v>
      </c>
      <c r="AB21" s="28">
        <f t="shared" si="461"/>
        <v>1.421865488840982E-2</v>
      </c>
      <c r="AC21" s="28">
        <f t="shared" ref="AC21:AE21" si="462">AC19-AC20</f>
        <v>1.3551704002378553E-2</v>
      </c>
      <c r="AD21" s="28">
        <f t="shared" si="462"/>
        <v>1.3547958511326581E-2</v>
      </c>
      <c r="AE21" s="28">
        <f t="shared" si="462"/>
        <v>1.359565965120455E-2</v>
      </c>
      <c r="AG21" s="57"/>
      <c r="AH21" s="27" t="e">
        <f t="shared" ref="AH21:AS21" si="463">AH19-AH20</f>
        <v>#DIV/0!</v>
      </c>
      <c r="AI21" s="27">
        <f t="shared" si="463"/>
        <v>-3.0405000561571291E-3</v>
      </c>
      <c r="AJ21" s="27">
        <f t="shared" si="463"/>
        <v>-3.7216847519797539E-3</v>
      </c>
      <c r="AK21" s="27">
        <f t="shared" si="463"/>
        <v>-6.712456714471118E-3</v>
      </c>
      <c r="AL21" s="27">
        <f t="shared" si="463"/>
        <v>-1.8673116600083327E-3</v>
      </c>
      <c r="AM21" s="27">
        <f t="shared" si="463"/>
        <v>3.3474368783760217E-4</v>
      </c>
      <c r="AN21" s="27">
        <f t="shared" si="463"/>
        <v>2.6721380944507139E-4</v>
      </c>
      <c r="AO21" s="27">
        <f t="shared" si="463"/>
        <v>-2.6681505204960067E-3</v>
      </c>
      <c r="AP21" s="27">
        <f t="shared" si="463"/>
        <v>2.1819096367531841E-4</v>
      </c>
      <c r="AQ21" s="27">
        <f t="shared" si="463"/>
        <v>4.5718840391744753E-4</v>
      </c>
      <c r="AR21" s="27">
        <f t="shared" si="463"/>
        <v>-5.7801093875650654E-3</v>
      </c>
      <c r="AS21" s="27">
        <f t="shared" si="463"/>
        <v>-9.0509423952425776E-3</v>
      </c>
      <c r="AT21" s="27">
        <f t="shared" ref="AT21:AW21" si="464">AT19-AT20</f>
        <v>-1.1574878752520523E-3</v>
      </c>
      <c r="AU21" s="27">
        <f t="shared" si="464"/>
        <v>-2.858854319347794E-3</v>
      </c>
      <c r="AV21" s="27">
        <f t="shared" si="464"/>
        <v>-1.1442373912217436E-2</v>
      </c>
      <c r="AW21" s="27">
        <f t="shared" si="464"/>
        <v>6.8403687628891627E-4</v>
      </c>
      <c r="AX21" s="27">
        <f t="shared" ref="AX21" si="465">AX19-AX20</f>
        <v>5.9474352279297212E-4</v>
      </c>
      <c r="AY21" s="27">
        <f t="shared" ref="AY21" si="466">AY19-AY20</f>
        <v>6.7630466216626623E-4</v>
      </c>
      <c r="AZ21" s="27">
        <f t="shared" ref="AZ21:BA21" si="467">AZ19-AZ20</f>
        <v>1.9949494840051842E-4</v>
      </c>
      <c r="BA21" s="27">
        <f t="shared" si="467"/>
        <v>-8.9956138156192331E-3</v>
      </c>
      <c r="BB21" s="27">
        <f t="shared" ref="BB21:BF21" si="468">BB19-BB20</f>
        <v>2.1258672647377157E-3</v>
      </c>
      <c r="BC21" s="27">
        <f t="shared" si="468"/>
        <v>1.2038715865198201E-3</v>
      </c>
      <c r="BD21" s="27">
        <f t="shared" si="468"/>
        <v>1.2814416371191269E-3</v>
      </c>
      <c r="BE21" s="27">
        <f t="shared" si="468"/>
        <v>3.8603329118969349E-4</v>
      </c>
      <c r="BF21" s="27">
        <f t="shared" si="468"/>
        <v>1.5640043240815584E-3</v>
      </c>
      <c r="BG21" s="27">
        <f t="shared" ref="BG21:BH21" si="469">BG19-BG20</f>
        <v>2.5280362880774308E-3</v>
      </c>
      <c r="BH21" s="27">
        <f t="shared" si="469"/>
        <v>2.5293904218067851E-3</v>
      </c>
      <c r="BI21" s="27">
        <f t="shared" ref="BI21:BJ21" si="470">BI19-BI20</f>
        <v>1.3244476907806036E-3</v>
      </c>
      <c r="BJ21" s="27">
        <f t="shared" si="470"/>
        <v>1.2150487828179988E-3</v>
      </c>
      <c r="BK21" s="27">
        <f t="shared" ref="BK21:BR21" si="471">BK19-BK20</f>
        <v>2.0466219592057576E-3</v>
      </c>
      <c r="BL21" s="27">
        <f t="shared" si="471"/>
        <v>2.4142533750031855E-3</v>
      </c>
      <c r="BM21" s="27">
        <f t="shared" si="471"/>
        <v>2.8051889466373936E-3</v>
      </c>
      <c r="BN21" s="27">
        <f t="shared" si="471"/>
        <v>3.7423031389144531E-3</v>
      </c>
      <c r="BO21" s="27">
        <f t="shared" si="471"/>
        <v>3.6768267507400398E-3</v>
      </c>
      <c r="BP21" s="27">
        <f t="shared" si="471"/>
        <v>3.0631002594253757E-3</v>
      </c>
      <c r="BQ21" s="27">
        <f t="shared" si="471"/>
        <v>2.0598768922523588E-3</v>
      </c>
      <c r="BR21" s="27">
        <f t="shared" si="471"/>
        <v>2.7425018635306216E-3</v>
      </c>
      <c r="BS21" s="27">
        <f t="shared" ref="BS21:BT21" si="472">BS19-BS20</f>
        <v>3.4388811532882536E-3</v>
      </c>
      <c r="BT21" s="27">
        <f t="shared" si="472"/>
        <v>3.6090477307225925E-3</v>
      </c>
      <c r="BU21" s="27">
        <f t="shared" ref="BU21:BV21" si="473">BU19-BU20</f>
        <v>3.5985482547139396E-3</v>
      </c>
      <c r="BV21" s="27">
        <f t="shared" si="473"/>
        <v>2.8778452629237587E-3</v>
      </c>
      <c r="BW21" s="27">
        <f t="shared" ref="BW21:BX21" si="474">BW19-BW20</f>
        <v>3.2816089491918398E-3</v>
      </c>
      <c r="BX21" s="27">
        <f t="shared" si="474"/>
        <v>3.4547689358444813E-3</v>
      </c>
      <c r="BY21" s="27">
        <f t="shared" ref="BY21" si="475">BY19-BY20</f>
        <v>3.7878133759896219E-3</v>
      </c>
      <c r="BZ21" s="28">
        <f t="shared" ref="BZ21:CC21" si="476">BZ19-BZ20</f>
        <v>3.2301725082723603E-3</v>
      </c>
      <c r="CA21" s="28">
        <f t="shared" si="476"/>
        <v>3.3182057805462872E-3</v>
      </c>
      <c r="CB21" s="28">
        <f t="shared" si="476"/>
        <v>3.327282912429255E-3</v>
      </c>
      <c r="CC21" s="28">
        <f t="shared" si="476"/>
        <v>3.2947658263467374E-3</v>
      </c>
      <c r="CD21" s="28">
        <f t="shared" ref="CD21:CO21" si="477">CD19-CD20</f>
        <v>3.1708305922506981E-3</v>
      </c>
      <c r="CE21" s="28">
        <f t="shared" si="477"/>
        <v>3.1556316289072339E-3</v>
      </c>
      <c r="CF21" s="28">
        <f t="shared" si="477"/>
        <v>3.1145450829775192E-3</v>
      </c>
      <c r="CG21" s="28">
        <f t="shared" si="477"/>
        <v>3.060823957248395E-3</v>
      </c>
      <c r="CH21" s="28">
        <f t="shared" si="477"/>
        <v>3.1254578153459603E-3</v>
      </c>
      <c r="CI21" s="28">
        <f t="shared" si="477"/>
        <v>3.1141146211197774E-3</v>
      </c>
      <c r="CJ21" s="28">
        <f t="shared" si="477"/>
        <v>3.1037353691729108E-3</v>
      </c>
      <c r="CK21" s="28">
        <f t="shared" si="477"/>
        <v>3.101032940721761E-3</v>
      </c>
      <c r="CL21" s="28">
        <f t="shared" si="477"/>
        <v>3.1110851865901027E-3</v>
      </c>
      <c r="CM21" s="28">
        <f t="shared" si="477"/>
        <v>3.1074920294011385E-3</v>
      </c>
      <c r="CN21" s="28">
        <f t="shared" si="477"/>
        <v>3.1058363814714792E-3</v>
      </c>
      <c r="CO21" s="28">
        <f t="shared" si="477"/>
        <v>3.1063616345461211E-3</v>
      </c>
    </row>
    <row r="22" spans="1:93" s="94" customFormat="1" x14ac:dyDescent="0.2">
      <c r="A22" s="26" t="s">
        <v>13</v>
      </c>
      <c r="B22" s="26"/>
      <c r="C22" s="26"/>
      <c r="D22" s="92" t="e">
        <f t="shared" ref="D22" si="478">D55/C5</f>
        <v>#DIV/0!</v>
      </c>
      <c r="E22" s="92">
        <f t="shared" ref="E22" si="479">E55/D5</f>
        <v>4.9674941513745139E-3</v>
      </c>
      <c r="F22" s="92">
        <f t="shared" ref="F22" si="480">F55/E5</f>
        <v>1.5965175299571283E-3</v>
      </c>
      <c r="G22" s="92">
        <f t="shared" ref="G22" si="481">G55/F5</f>
        <v>2.5384249469810665E-3</v>
      </c>
      <c r="H22" s="92">
        <f t="shared" ref="H22" si="482">H55/G5</f>
        <v>4.2223438861341703E-3</v>
      </c>
      <c r="I22" s="92">
        <f t="shared" ref="I22" si="483">I55/H5</f>
        <v>5.6938270106892267E-3</v>
      </c>
      <c r="J22" s="92">
        <f t="shared" ref="J22" si="484">J55/I5</f>
        <v>7.709452758260074E-3</v>
      </c>
      <c r="K22" s="92">
        <f t="shared" ref="K22" si="485">K55/J5</f>
        <v>3.8937499887624579E-3</v>
      </c>
      <c r="L22" s="92">
        <f t="shared" ref="L22" si="486">L55/K5</f>
        <v>4.1489615648885305E-3</v>
      </c>
      <c r="M22" s="92">
        <f t="shared" ref="M22" si="487">M55/L5</f>
        <v>2.9772257375234377E-3</v>
      </c>
      <c r="N22" s="92">
        <f t="shared" ref="N22" si="488">N55/M5</f>
        <v>7.2838245709972848E-4</v>
      </c>
      <c r="O22" s="92">
        <f t="shared" ref="O22" si="489">O55/N5</f>
        <v>2.0082780851926243E-3</v>
      </c>
      <c r="P22" s="92">
        <f t="shared" ref="P22:Z22" si="490">P55/O5</f>
        <v>1.7287370630769499E-4</v>
      </c>
      <c r="Q22" s="92">
        <f t="shared" si="490"/>
        <v>-2.9369265081611198E-3</v>
      </c>
      <c r="R22" s="92">
        <f t="shared" si="490"/>
        <v>-1.3572254560102028E-3</v>
      </c>
      <c r="S22" s="92">
        <f t="shared" si="490"/>
        <v>-4.2865620881914809E-3</v>
      </c>
      <c r="T22" s="92">
        <f t="shared" si="490"/>
        <v>-5.2256583355233706E-3</v>
      </c>
      <c r="U22" s="92">
        <f t="shared" si="490"/>
        <v>-2.7172382557379021E-3</v>
      </c>
      <c r="V22" s="92">
        <f t="shared" si="490"/>
        <v>1.7215722867939274E-3</v>
      </c>
      <c r="W22" s="92">
        <f t="shared" si="490"/>
        <v>3.2093677764801856E-3</v>
      </c>
      <c r="X22" s="92">
        <f t="shared" si="490"/>
        <v>3.1118348803142342E-3</v>
      </c>
      <c r="Y22" s="92">
        <f t="shared" si="490"/>
        <v>5.0303894334826228E-3</v>
      </c>
      <c r="Z22" s="92">
        <f t="shared" si="490"/>
        <v>3.8673942144675957E-3</v>
      </c>
      <c r="AA22" s="93">
        <f t="shared" ref="AA22" si="491">AA55/Z5</f>
        <v>3.5586034132858717E-3</v>
      </c>
      <c r="AB22" s="93">
        <f t="shared" ref="AB22" si="492">AB55/AA5</f>
        <v>3.6968502709865537E-3</v>
      </c>
      <c r="AC22" s="93">
        <f t="shared" ref="AC22" si="493">AC55/AB5</f>
        <v>3.5234430406184212E-3</v>
      </c>
      <c r="AD22" s="93">
        <f t="shared" ref="AD22" si="494">AD55/AC5</f>
        <v>3.5224692129449085E-3</v>
      </c>
      <c r="AE22" s="93">
        <f t="shared" ref="AE22" si="495">AE55/AD5</f>
        <v>3.5348715093131843E-3</v>
      </c>
      <c r="AG22" s="64"/>
      <c r="AH22" s="92" t="e">
        <f t="shared" ref="AH22" si="496">AH55/AG5</f>
        <v>#DIV/0!</v>
      </c>
      <c r="AI22" s="92">
        <f t="shared" ref="AI22" si="497">AI55/AH5</f>
        <v>-1.1157768581634999E-3</v>
      </c>
      <c r="AJ22" s="92">
        <f t="shared" ref="AJ22" si="498">AJ55/AI5</f>
        <v>-1.1688730119010829E-3</v>
      </c>
      <c r="AK22" s="92">
        <f t="shared" ref="AK22" si="499">AK55/AJ5</f>
        <v>-7.0214746522645499E-4</v>
      </c>
      <c r="AL22" s="92">
        <f t="shared" ref="AL22" si="500">AL55/AK5</f>
        <v>-6.2722120981548927E-4</v>
      </c>
      <c r="AM22" s="92">
        <f t="shared" ref="AM22" si="501">AM55/AL5</f>
        <v>1.187997891227131E-4</v>
      </c>
      <c r="AN22" s="92">
        <f t="shared" ref="AN22" si="502">AN55/AM5</f>
        <v>9.2843296640685206E-5</v>
      </c>
      <c r="AO22" s="92">
        <f t="shared" ref="AO22" si="503">AO55/AN5</f>
        <v>-9.3406497720730853E-4</v>
      </c>
      <c r="AP22" s="92">
        <f t="shared" ref="AP22" si="504">AP55/AO5</f>
        <v>7.553327136102749E-5</v>
      </c>
      <c r="AQ22" s="92">
        <f t="shared" ref="AQ22" si="505">AQ55/AP5</f>
        <v>1.6453879716321257E-4</v>
      </c>
      <c r="AR22" s="92">
        <f t="shared" ref="AR22" si="506">AR55/AQ5</f>
        <v>-1.9632005941022123E-3</v>
      </c>
      <c r="AS22" s="92">
        <f t="shared" ref="AS22" si="507">AS55/AR5</f>
        <v>-2.5213833037913778E-3</v>
      </c>
      <c r="AT22" s="92">
        <f t="shared" ref="AT22:BN22" si="508">AT55/AS5</f>
        <v>-1.3158888418926603E-3</v>
      </c>
      <c r="AU22" s="92">
        <f t="shared" si="508"/>
        <v>-9.1012575960701891E-4</v>
      </c>
      <c r="AV22" s="92">
        <f t="shared" si="508"/>
        <v>-3.3850405761742678E-3</v>
      </c>
      <c r="AW22" s="92">
        <f t="shared" si="508"/>
        <v>2.5955469494378741E-4</v>
      </c>
      <c r="AX22" s="92">
        <f t="shared" si="508"/>
        <v>1.9321675789876519E-4</v>
      </c>
      <c r="AY22" s="92">
        <f t="shared" si="508"/>
        <v>2.343013919029288E-4</v>
      </c>
      <c r="AZ22" s="92">
        <f t="shared" si="508"/>
        <v>2.3603346167708374E-5</v>
      </c>
      <c r="BA22" s="92">
        <f t="shared" si="508"/>
        <v>-3.1430143983391342E-3</v>
      </c>
      <c r="BB22" s="92">
        <f t="shared" si="508"/>
        <v>7.7993936910730765E-4</v>
      </c>
      <c r="BC22" s="92">
        <f t="shared" si="508"/>
        <v>3.9792847266360918E-4</v>
      </c>
      <c r="BD22" s="92">
        <f t="shared" si="508"/>
        <v>4.7156141595047204E-4</v>
      </c>
      <c r="BE22" s="92">
        <f t="shared" si="508"/>
        <v>1.9262816413749115E-5</v>
      </c>
      <c r="BF22" s="92">
        <f t="shared" si="508"/>
        <v>5.3757703613004808E-4</v>
      </c>
      <c r="BG22" s="92">
        <f t="shared" si="508"/>
        <v>1.0385668531387503E-3</v>
      </c>
      <c r="BH22" s="92">
        <f t="shared" si="508"/>
        <v>1.0534661659896431E-3</v>
      </c>
      <c r="BI22" s="92">
        <f t="shared" si="508"/>
        <v>4.5641579900225932E-4</v>
      </c>
      <c r="BJ22" s="92">
        <f t="shared" si="508"/>
        <v>4.2273486982082314E-4</v>
      </c>
      <c r="BK22" s="92">
        <f t="shared" si="508"/>
        <v>7.0284916296637484E-4</v>
      </c>
      <c r="BL22" s="92">
        <f t="shared" si="508"/>
        <v>8.4690529572152768E-4</v>
      </c>
      <c r="BM22" s="145">
        <f t="shared" si="508"/>
        <v>1.0293157808339175E-3</v>
      </c>
      <c r="BN22" s="145">
        <f t="shared" si="508"/>
        <v>1.7597244260709631E-3</v>
      </c>
      <c r="BO22" s="145">
        <f t="shared" ref="BO22:CO22" si="509">BO55/BN5</f>
        <v>1.851175397235299E-3</v>
      </c>
      <c r="BP22" s="145">
        <f t="shared" si="509"/>
        <v>7.7509165876199319E-4</v>
      </c>
      <c r="BQ22" s="145">
        <f t="shared" si="509"/>
        <v>3.4778270381032907E-4</v>
      </c>
      <c r="BR22" s="145">
        <f t="shared" si="509"/>
        <v>7.8375930440245894E-4</v>
      </c>
      <c r="BS22" s="145">
        <f t="shared" si="509"/>
        <v>8.0940589759986826E-4</v>
      </c>
      <c r="BT22" s="145">
        <f t="shared" si="509"/>
        <v>9.3673183354728295E-4</v>
      </c>
      <c r="BU22" s="145">
        <f t="shared" si="509"/>
        <v>9.3460380109714543E-4</v>
      </c>
      <c r="BV22" s="145">
        <f t="shared" si="509"/>
        <v>6.5313346752477624E-4</v>
      </c>
      <c r="BW22" s="145">
        <f t="shared" si="509"/>
        <v>8.0111570490122715E-4</v>
      </c>
      <c r="BX22" s="145">
        <f t="shared" si="509"/>
        <v>8.7126697341623216E-4</v>
      </c>
      <c r="BY22" s="145">
        <f t="shared" si="509"/>
        <v>9.5743894093077754E-4</v>
      </c>
      <c r="BZ22" s="93">
        <f t="shared" si="509"/>
        <v>8.3984485215081298E-4</v>
      </c>
      <c r="CA22" s="93">
        <f t="shared" si="509"/>
        <v>8.6273350294203456E-4</v>
      </c>
      <c r="CB22" s="93">
        <f t="shared" si="509"/>
        <v>8.6509355723160639E-4</v>
      </c>
      <c r="CC22" s="93">
        <f t="shared" si="509"/>
        <v>8.5663911485015182E-4</v>
      </c>
      <c r="CD22" s="93">
        <f t="shared" si="509"/>
        <v>8.2441595398518154E-4</v>
      </c>
      <c r="CE22" s="93">
        <f t="shared" si="509"/>
        <v>8.2046422351588128E-4</v>
      </c>
      <c r="CF22" s="93">
        <f t="shared" si="509"/>
        <v>8.0978172157415533E-4</v>
      </c>
      <c r="CG22" s="93">
        <f t="shared" si="509"/>
        <v>7.9581422888458234E-4</v>
      </c>
      <c r="CH22" s="93">
        <f t="shared" si="509"/>
        <v>8.1261903198994996E-4</v>
      </c>
      <c r="CI22" s="93">
        <f t="shared" si="509"/>
        <v>8.0966980149114163E-4</v>
      </c>
      <c r="CJ22" s="93">
        <f t="shared" si="509"/>
        <v>8.0697119598495707E-4</v>
      </c>
      <c r="CK22" s="93">
        <f t="shared" si="509"/>
        <v>8.0626856458765762E-4</v>
      </c>
      <c r="CL22" s="93">
        <f t="shared" si="509"/>
        <v>8.0888214851342706E-4</v>
      </c>
      <c r="CM22" s="93">
        <f t="shared" si="509"/>
        <v>8.0794792764429617E-4</v>
      </c>
      <c r="CN22" s="93">
        <f t="shared" si="509"/>
        <v>8.0751745918258453E-4</v>
      </c>
      <c r="CO22" s="93">
        <f t="shared" si="509"/>
        <v>8.0765402498199194E-4</v>
      </c>
    </row>
    <row r="23" spans="1:93" s="29" customFormat="1" x14ac:dyDescent="0.2">
      <c r="A23" s="31" t="s">
        <v>14</v>
      </c>
      <c r="B23" s="31"/>
      <c r="C23" s="31"/>
      <c r="D23" s="27" t="e">
        <f t="shared" ref="D23:O23" si="510">D21-D22</f>
        <v>#DIV/0!</v>
      </c>
      <c r="E23" s="27">
        <f t="shared" si="510"/>
        <v>1.4621365236137079E-2</v>
      </c>
      <c r="F23" s="27">
        <f t="shared" si="510"/>
        <v>4.4874481357628617E-3</v>
      </c>
      <c r="G23" s="27">
        <f t="shared" si="510"/>
        <v>8.3117396331488583E-3</v>
      </c>
      <c r="H23" s="27">
        <f t="shared" si="510"/>
        <v>1.1575595597269714E-2</v>
      </c>
      <c r="I23" s="27">
        <f t="shared" si="510"/>
        <v>1.6942131464407709E-2</v>
      </c>
      <c r="J23" s="27">
        <f t="shared" si="510"/>
        <v>2.0037503221538907E-2</v>
      </c>
      <c r="K23" s="27">
        <f t="shared" si="510"/>
        <v>9.0059076064212557E-3</v>
      </c>
      <c r="L23" s="27">
        <f t="shared" si="510"/>
        <v>1.0257030237902896E-2</v>
      </c>
      <c r="M23" s="27">
        <f t="shared" si="510"/>
        <v>8.8572978435754769E-3</v>
      </c>
      <c r="N23" s="27">
        <f t="shared" si="510"/>
        <v>7.7502064008931571E-3</v>
      </c>
      <c r="O23" s="27">
        <f t="shared" si="510"/>
        <v>6.7188890861256314E-3</v>
      </c>
      <c r="P23" s="27">
        <f>P21-P22</f>
        <v>3.4300214684806884E-3</v>
      </c>
      <c r="Q23" s="27">
        <f t="shared" ref="Q23:T23" si="511">Q21-Q22</f>
        <v>-1.051010364290254E-2</v>
      </c>
      <c r="R23" s="27">
        <f t="shared" si="511"/>
        <v>-2.5975909348171294E-3</v>
      </c>
      <c r="S23" s="27">
        <f t="shared" si="511"/>
        <v>-1.0003404582560551E-2</v>
      </c>
      <c r="T23" s="27">
        <f t="shared" si="511"/>
        <v>-9.1539918819595681E-3</v>
      </c>
      <c r="U23" s="27">
        <f t="shared" ref="U23:W23" si="512">U21-U22</f>
        <v>-4.8817408135076856E-3</v>
      </c>
      <c r="V23" s="27">
        <f t="shared" si="512"/>
        <v>3.4551057432734194E-3</v>
      </c>
      <c r="W23" s="27">
        <f t="shared" si="512"/>
        <v>5.0539631318597799E-3</v>
      </c>
      <c r="X23" s="27">
        <f t="shared" ref="X23:Y23" si="513">X21-X22</f>
        <v>5.6739010290256537E-3</v>
      </c>
      <c r="Y23" s="27">
        <f t="shared" si="513"/>
        <v>8.4052684781784504E-3</v>
      </c>
      <c r="Z23" s="27">
        <f t="shared" ref="Z23:AB23" si="514">Z21-Z22</f>
        <v>1.1088278775878084E-2</v>
      </c>
      <c r="AA23" s="28">
        <f t="shared" si="514"/>
        <v>1.0958564058224457E-2</v>
      </c>
      <c r="AB23" s="28">
        <f t="shared" si="514"/>
        <v>1.0521804617423266E-2</v>
      </c>
      <c r="AC23" s="28">
        <f t="shared" ref="AC23:AE23" si="515">AC21-AC22</f>
        <v>1.0028260961760132E-2</v>
      </c>
      <c r="AD23" s="28">
        <f t="shared" si="515"/>
        <v>1.0025489298381672E-2</v>
      </c>
      <c r="AE23" s="28">
        <f t="shared" si="515"/>
        <v>1.0060788141891366E-2</v>
      </c>
      <c r="AG23" s="57"/>
      <c r="AH23" s="27" t="e">
        <f t="shared" ref="AH23:AS23" si="516">AH21-AH22</f>
        <v>#DIV/0!</v>
      </c>
      <c r="AI23" s="27">
        <f t="shared" si="516"/>
        <v>-1.9247231979936292E-3</v>
      </c>
      <c r="AJ23" s="27">
        <f t="shared" si="516"/>
        <v>-2.552811740078671E-3</v>
      </c>
      <c r="AK23" s="27">
        <f t="shared" si="516"/>
        <v>-6.0103092492446632E-3</v>
      </c>
      <c r="AL23" s="27">
        <f t="shared" si="516"/>
        <v>-1.2400904501928434E-3</v>
      </c>
      <c r="AM23" s="27">
        <f t="shared" si="516"/>
        <v>2.1594389871488909E-4</v>
      </c>
      <c r="AN23" s="27">
        <f t="shared" si="516"/>
        <v>1.7437051280438617E-4</v>
      </c>
      <c r="AO23" s="27">
        <f t="shared" si="516"/>
        <v>-1.7340855432886981E-3</v>
      </c>
      <c r="AP23" s="27">
        <f t="shared" si="516"/>
        <v>1.4265769231429094E-4</v>
      </c>
      <c r="AQ23" s="27">
        <f t="shared" si="516"/>
        <v>2.9264960675423493E-4</v>
      </c>
      <c r="AR23" s="27">
        <f t="shared" si="516"/>
        <v>-3.8169087934628531E-3</v>
      </c>
      <c r="AS23" s="27">
        <f t="shared" si="516"/>
        <v>-6.5295590914511998E-3</v>
      </c>
      <c r="AT23" s="27">
        <f t="shared" ref="AT23:AW23" si="517">AT21-AT22</f>
        <v>1.58400966640608E-4</v>
      </c>
      <c r="AU23" s="27">
        <f t="shared" si="517"/>
        <v>-1.948728559740775E-3</v>
      </c>
      <c r="AV23" s="27">
        <f t="shared" si="517"/>
        <v>-8.0573333360431688E-3</v>
      </c>
      <c r="AW23" s="27">
        <f t="shared" si="517"/>
        <v>4.2448218134512886E-4</v>
      </c>
      <c r="AX23" s="27">
        <f t="shared" ref="AX23" si="518">AX21-AX22</f>
        <v>4.0152676489420692E-4</v>
      </c>
      <c r="AY23" s="27">
        <f t="shared" ref="AY23" si="519">AY21-AY22</f>
        <v>4.4200327026333743E-4</v>
      </c>
      <c r="AZ23" s="27">
        <f t="shared" ref="AZ23:BA23" si="520">AZ21-AZ22</f>
        <v>1.7589160223281005E-4</v>
      </c>
      <c r="BA23" s="27">
        <f t="shared" si="520"/>
        <v>-5.8525994172800994E-3</v>
      </c>
      <c r="BB23" s="27">
        <f t="shared" ref="BB23:BF23" si="521">BB21-BB22</f>
        <v>1.3459278956304082E-3</v>
      </c>
      <c r="BC23" s="27">
        <f t="shared" si="521"/>
        <v>8.0594311385621096E-4</v>
      </c>
      <c r="BD23" s="27">
        <f t="shared" si="521"/>
        <v>8.0988022116865481E-4</v>
      </c>
      <c r="BE23" s="27">
        <f t="shared" si="521"/>
        <v>3.6677047477594435E-4</v>
      </c>
      <c r="BF23" s="27">
        <f t="shared" si="521"/>
        <v>1.0264272879515102E-3</v>
      </c>
      <c r="BG23" s="27">
        <f t="shared" ref="BG23:BH23" si="522">BG21-BG22</f>
        <v>1.4894694349386806E-3</v>
      </c>
      <c r="BH23" s="27">
        <f t="shared" si="522"/>
        <v>1.475924255817142E-3</v>
      </c>
      <c r="BI23" s="27">
        <f t="shared" ref="BI23:BJ23" si="523">BI21-BI22</f>
        <v>8.6803189177834432E-4</v>
      </c>
      <c r="BJ23" s="27">
        <f t="shared" si="523"/>
        <v>7.9231391299717569E-4</v>
      </c>
      <c r="BK23" s="27">
        <f t="shared" ref="BK23:BR23" si="524">BK21-BK22</f>
        <v>1.3437727962393826E-3</v>
      </c>
      <c r="BL23" s="27">
        <f t="shared" si="524"/>
        <v>1.5673480792816577E-3</v>
      </c>
      <c r="BM23" s="27">
        <f t="shared" si="524"/>
        <v>1.7758731658034761E-3</v>
      </c>
      <c r="BN23" s="27">
        <f t="shared" si="524"/>
        <v>1.98257871284349E-3</v>
      </c>
      <c r="BO23" s="27">
        <f t="shared" si="524"/>
        <v>1.8256513535047409E-3</v>
      </c>
      <c r="BP23" s="27">
        <f t="shared" si="524"/>
        <v>2.2880086006633825E-3</v>
      </c>
      <c r="BQ23" s="27">
        <f t="shared" si="524"/>
        <v>1.7120941884420297E-3</v>
      </c>
      <c r="BR23" s="27">
        <f t="shared" si="524"/>
        <v>1.9587425591281625E-3</v>
      </c>
      <c r="BS23" s="27">
        <f t="shared" ref="BS23:BT23" si="525">BS21-BS22</f>
        <v>2.6294752556883854E-3</v>
      </c>
      <c r="BT23" s="27">
        <f t="shared" si="525"/>
        <v>2.6723158971753095E-3</v>
      </c>
      <c r="BU23" s="27">
        <f t="shared" ref="BU23:BV23" si="526">BU21-BU22</f>
        <v>2.663944453616794E-3</v>
      </c>
      <c r="BV23" s="27">
        <f t="shared" si="526"/>
        <v>2.2247117953989827E-3</v>
      </c>
      <c r="BW23" s="27">
        <f t="shared" ref="BW23:BX23" si="527">BW21-BW22</f>
        <v>2.4804932442906128E-3</v>
      </c>
      <c r="BX23" s="27">
        <f t="shared" si="527"/>
        <v>2.5835019624282493E-3</v>
      </c>
      <c r="BY23" s="27">
        <f t="shared" ref="BY23" si="528">BY21-BY22</f>
        <v>2.8303744350588445E-3</v>
      </c>
      <c r="BZ23" s="28">
        <f t="shared" ref="BZ23:CC23" si="529">BZ21-BZ22</f>
        <v>2.3903276561215471E-3</v>
      </c>
      <c r="CA23" s="28">
        <f t="shared" si="529"/>
        <v>2.4554722776042527E-3</v>
      </c>
      <c r="CB23" s="28">
        <f t="shared" si="529"/>
        <v>2.4621893551976487E-3</v>
      </c>
      <c r="CC23" s="28">
        <f t="shared" si="529"/>
        <v>2.4381267114965857E-3</v>
      </c>
      <c r="CD23" s="28">
        <f t="shared" ref="CD23:CO23" si="530">CD21-CD22</f>
        <v>2.3464146382655166E-3</v>
      </c>
      <c r="CE23" s="28">
        <f t="shared" si="530"/>
        <v>2.3351674053913524E-3</v>
      </c>
      <c r="CF23" s="28">
        <f t="shared" si="530"/>
        <v>2.3047633614033639E-3</v>
      </c>
      <c r="CG23" s="28">
        <f t="shared" si="530"/>
        <v>2.2650097283638125E-3</v>
      </c>
      <c r="CH23" s="28">
        <f t="shared" si="530"/>
        <v>2.3128387833560105E-3</v>
      </c>
      <c r="CI23" s="28">
        <f t="shared" si="530"/>
        <v>2.3044448196286359E-3</v>
      </c>
      <c r="CJ23" s="28">
        <f t="shared" si="530"/>
        <v>2.2967641731879537E-3</v>
      </c>
      <c r="CK23" s="28">
        <f t="shared" si="530"/>
        <v>2.2947643761341034E-3</v>
      </c>
      <c r="CL23" s="28">
        <f t="shared" si="530"/>
        <v>2.3022030380766756E-3</v>
      </c>
      <c r="CM23" s="28">
        <f t="shared" si="530"/>
        <v>2.2995441017568423E-3</v>
      </c>
      <c r="CN23" s="28">
        <f t="shared" si="530"/>
        <v>2.2983189222888947E-3</v>
      </c>
      <c r="CO23" s="28">
        <f t="shared" si="530"/>
        <v>2.2987076095641293E-3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37" customFormat="1" x14ac:dyDescent="0.2">
      <c r="A26" s="134" t="s">
        <v>397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6"/>
      <c r="AB26" s="136"/>
      <c r="AC26" s="136"/>
      <c r="AD26" s="136"/>
      <c r="AE26" s="136"/>
      <c r="AG26" s="62"/>
      <c r="BM26" s="137">
        <v>669586</v>
      </c>
      <c r="BN26" s="137">
        <v>696544</v>
      </c>
      <c r="BO26" s="137">
        <v>703751</v>
      </c>
      <c r="BP26" s="137">
        <v>707828</v>
      </c>
      <c r="BQ26" s="137">
        <v>737914</v>
      </c>
      <c r="BR26" s="137">
        <v>759836</v>
      </c>
      <c r="BS26" s="137">
        <v>775174</v>
      </c>
      <c r="BT26" s="137">
        <v>794787</v>
      </c>
      <c r="BU26" s="137">
        <v>816539</v>
      </c>
      <c r="BV26" s="137">
        <v>833702</v>
      </c>
      <c r="BW26" s="137">
        <v>853301</v>
      </c>
      <c r="BX26" s="146">
        <v>887288</v>
      </c>
      <c r="BY26" s="146">
        <v>927460</v>
      </c>
      <c r="BZ26" s="149">
        <f t="shared" ref="BZ26:CO26" si="531">+BV117+(BV117*BZ30)</f>
        <v>928892.12851261324</v>
      </c>
      <c r="CA26" s="149">
        <f t="shared" si="531"/>
        <v>955902.16825161816</v>
      </c>
      <c r="CB26" s="149">
        <f t="shared" si="531"/>
        <v>998421.40689523122</v>
      </c>
      <c r="CC26" s="149">
        <f t="shared" si="531"/>
        <v>1045530.4765007631</v>
      </c>
      <c r="CD26" s="149">
        <f t="shared" si="531"/>
        <v>1045427.5888519154</v>
      </c>
      <c r="CE26" s="149">
        <f t="shared" si="531"/>
        <v>1078601.0890668994</v>
      </c>
      <c r="CF26" s="149">
        <f t="shared" si="531"/>
        <v>1128665.5373948072</v>
      </c>
      <c r="CG26" s="149">
        <f t="shared" si="531"/>
        <v>1183319.6001347052</v>
      </c>
      <c r="CH26" s="149">
        <f t="shared" si="531"/>
        <v>1184348.2139632751</v>
      </c>
      <c r="CI26" s="149">
        <f t="shared" si="531"/>
        <v>1223992.8897519209</v>
      </c>
      <c r="CJ26" s="149">
        <f t="shared" si="531"/>
        <v>1282676.753601501</v>
      </c>
      <c r="CK26" s="149">
        <f t="shared" si="531"/>
        <v>1346618.1037332001</v>
      </c>
      <c r="CL26" s="149">
        <f t="shared" si="531"/>
        <v>1349683.0212522312</v>
      </c>
      <c r="CM26" s="149">
        <f t="shared" si="531"/>
        <v>1396978.7617773758</v>
      </c>
      <c r="CN26" s="149">
        <f t="shared" si="531"/>
        <v>1466113.9839082723</v>
      </c>
      <c r="CO26" s="149">
        <f t="shared" si="531"/>
        <v>1541473.3392196088</v>
      </c>
    </row>
    <row r="27" spans="1:93" s="137" customFormat="1" x14ac:dyDescent="0.2">
      <c r="A27" s="134" t="s">
        <v>49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6"/>
      <c r="AB27" s="136"/>
      <c r="AC27" s="136"/>
      <c r="AD27" s="136"/>
      <c r="AE27" s="136"/>
      <c r="AG27" s="62"/>
      <c r="BM27" s="137">
        <v>515852</v>
      </c>
      <c r="BN27" s="137">
        <v>518264</v>
      </c>
      <c r="BO27" s="137">
        <v>543128</v>
      </c>
      <c r="BP27" s="137">
        <v>565060</v>
      </c>
      <c r="BQ27" s="137">
        <v>585791</v>
      </c>
      <c r="BR27" s="137">
        <v>600054</v>
      </c>
      <c r="BS27" s="137">
        <v>621381</v>
      </c>
      <c r="BT27" s="137">
        <v>651572</v>
      </c>
      <c r="BU27" s="137">
        <v>665151</v>
      </c>
      <c r="BV27" s="137">
        <v>671967</v>
      </c>
      <c r="BW27" s="137">
        <v>709145</v>
      </c>
      <c r="BX27" s="147">
        <v>740314</v>
      </c>
      <c r="BY27" s="147">
        <v>770566</v>
      </c>
      <c r="BZ27" s="149">
        <f t="shared" ref="BZ27:CO27" si="532">+BV123+(BV123*BZ31)</f>
        <v>759333.42296966014</v>
      </c>
      <c r="CA27" s="149">
        <f t="shared" si="532"/>
        <v>806004.7589936665</v>
      </c>
      <c r="CB27" s="149">
        <f t="shared" si="532"/>
        <v>843279.94290441554</v>
      </c>
      <c r="CC27" s="149">
        <f t="shared" si="532"/>
        <v>882336.82992125233</v>
      </c>
      <c r="CD27" s="149">
        <f t="shared" si="532"/>
        <v>864619.66127917031</v>
      </c>
      <c r="CE27" s="149">
        <f t="shared" si="532"/>
        <v>918465.22510840278</v>
      </c>
      <c r="CF27" s="149">
        <f t="shared" si="532"/>
        <v>960993.32930390572</v>
      </c>
      <c r="CG27" s="149">
        <f t="shared" si="532"/>
        <v>1005613.731125948</v>
      </c>
      <c r="CH27" s="149">
        <f t="shared" si="532"/>
        <v>985124.02211022703</v>
      </c>
      <c r="CI27" s="149">
        <f t="shared" si="532"/>
        <v>1046638.7171576445</v>
      </c>
      <c r="CJ27" s="149">
        <f t="shared" si="532"/>
        <v>1095107.3481006206</v>
      </c>
      <c r="CK27" s="149">
        <f t="shared" si="532"/>
        <v>1145946.7683917584</v>
      </c>
      <c r="CL27" s="149">
        <f t="shared" si="532"/>
        <v>1122556.665507924</v>
      </c>
      <c r="CM27" s="149">
        <f t="shared" si="532"/>
        <v>1192688.5472898448</v>
      </c>
      <c r="CN27" s="149">
        <f t="shared" si="532"/>
        <v>1247917.8292234803</v>
      </c>
      <c r="CO27" s="149">
        <f t="shared" si="532"/>
        <v>1305846.0655152914</v>
      </c>
    </row>
    <row r="28" spans="1:93" s="4" customForma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B28" s="8"/>
      <c r="AC28" s="8"/>
      <c r="AD28" s="8"/>
      <c r="AE28" s="8"/>
      <c r="AG28" s="53"/>
      <c r="BM28" s="138">
        <f t="shared" ref="BM28:BV28" si="533">+BM123/BM27</f>
        <v>0.94193613672138521</v>
      </c>
      <c r="BN28" s="138">
        <f t="shared" si="533"/>
        <v>0.94836153003102663</v>
      </c>
      <c r="BO28" s="138">
        <f t="shared" si="533"/>
        <v>0.95573886818576836</v>
      </c>
      <c r="BP28" s="138">
        <f t="shared" si="533"/>
        <v>0.95971399497398502</v>
      </c>
      <c r="BQ28" s="138">
        <f t="shared" si="533"/>
        <v>0.96134059758514567</v>
      </c>
      <c r="BR28" s="138">
        <f t="shared" si="533"/>
        <v>0.96348761944758299</v>
      </c>
      <c r="BS28" s="138">
        <f t="shared" si="533"/>
        <v>0.96560132994088965</v>
      </c>
      <c r="BT28" s="138">
        <f t="shared" si="533"/>
        <v>0.97129474563056728</v>
      </c>
      <c r="BU28" s="138">
        <f t="shared" si="533"/>
        <v>0.97670610132135416</v>
      </c>
      <c r="BV28" s="138">
        <f t="shared" si="533"/>
        <v>0.97884844047401132</v>
      </c>
      <c r="BW28" s="138">
        <f>+BW123/BW27</f>
        <v>0.98098476334177065</v>
      </c>
      <c r="BX28" s="138">
        <f>+BX123/BX27</f>
        <v>0.98331086538955104</v>
      </c>
      <c r="BY28" s="138">
        <f>BX28</f>
        <v>0.98331086538955104</v>
      </c>
      <c r="BZ28" s="67">
        <f>BY28</f>
        <v>0.98331086538955104</v>
      </c>
      <c r="CA28" s="67">
        <f t="shared" ref="CA28:CO28" si="534">BZ28</f>
        <v>0.98331086538955104</v>
      </c>
      <c r="CB28" s="67">
        <f t="shared" si="534"/>
        <v>0.98331086538955104</v>
      </c>
      <c r="CC28" s="67">
        <f t="shared" si="534"/>
        <v>0.98331086538955104</v>
      </c>
      <c r="CD28" s="67">
        <f t="shared" si="534"/>
        <v>0.98331086538955104</v>
      </c>
      <c r="CE28" s="67">
        <f t="shared" si="534"/>
        <v>0.98331086538955104</v>
      </c>
      <c r="CF28" s="67">
        <f t="shared" si="534"/>
        <v>0.98331086538955104</v>
      </c>
      <c r="CG28" s="67">
        <f t="shared" si="534"/>
        <v>0.98331086538955104</v>
      </c>
      <c r="CH28" s="67">
        <f t="shared" si="534"/>
        <v>0.98331086538955104</v>
      </c>
      <c r="CI28" s="67">
        <f t="shared" si="534"/>
        <v>0.98331086538955104</v>
      </c>
      <c r="CJ28" s="67">
        <f t="shared" si="534"/>
        <v>0.98331086538955104</v>
      </c>
      <c r="CK28" s="67">
        <f t="shared" si="534"/>
        <v>0.98331086538955104</v>
      </c>
      <c r="CL28" s="67">
        <f t="shared" si="534"/>
        <v>0.98331086538955104</v>
      </c>
      <c r="CM28" s="67">
        <f t="shared" si="534"/>
        <v>0.98331086538955104</v>
      </c>
      <c r="CN28" s="67">
        <f t="shared" si="534"/>
        <v>0.98331086538955104</v>
      </c>
      <c r="CO28" s="67">
        <f t="shared" si="534"/>
        <v>0.98331086538955104</v>
      </c>
    </row>
    <row r="29" spans="1:93" s="4" customForma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  <c r="AB29" s="8"/>
      <c r="AC29" s="8"/>
      <c r="AD29" s="8"/>
      <c r="AE29" s="8"/>
      <c r="AG29" s="53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</row>
    <row r="30" spans="1:93" s="141" customFormat="1" x14ac:dyDescent="0.2">
      <c r="A30" s="139" t="s">
        <v>400</v>
      </c>
      <c r="B30" s="139"/>
      <c r="C30" s="150">
        <f t="shared" ref="C30:AE30" si="535">+C117/B117-1</f>
        <v>0.15305858129953265</v>
      </c>
      <c r="D30" s="150">
        <f t="shared" si="535"/>
        <v>8.1641243650350415E-2</v>
      </c>
      <c r="E30" s="150">
        <f t="shared" si="535"/>
        <v>0.10905263084010497</v>
      </c>
      <c r="F30" s="150">
        <f t="shared" si="535"/>
        <v>0.10266869480700547</v>
      </c>
      <c r="G30" s="150">
        <f t="shared" si="535"/>
        <v>0.19170664989860575</v>
      </c>
      <c r="H30" s="150">
        <f t="shared" si="535"/>
        <v>0.27626044098437186</v>
      </c>
      <c r="I30" s="150">
        <f t="shared" si="535"/>
        <v>0.25133307170104202</v>
      </c>
      <c r="J30" s="150">
        <f t="shared" si="535"/>
        <v>0.2646221867243761</v>
      </c>
      <c r="K30" s="150">
        <f t="shared" si="535"/>
        <v>0.21113164927229144</v>
      </c>
      <c r="L30" s="150">
        <f t="shared" si="535"/>
        <v>0.30084991981998965</v>
      </c>
      <c r="M30" s="150">
        <f t="shared" si="535"/>
        <v>6.4674288616427988E-2</v>
      </c>
      <c r="N30" s="150">
        <f t="shared" si="535"/>
        <v>0.1999382371158287</v>
      </c>
      <c r="O30" s="150">
        <f t="shared" si="535"/>
        <v>0.2491477296042186</v>
      </c>
      <c r="P30" s="150">
        <f t="shared" si="535"/>
        <v>0.11516891242342409</v>
      </c>
      <c r="Q30" s="150">
        <f t="shared" si="535"/>
        <v>-3.5536523837899847E-2</v>
      </c>
      <c r="R30" s="150">
        <f t="shared" si="535"/>
        <v>5.2684693509459812E-2</v>
      </c>
      <c r="S30" s="150">
        <f t="shared" si="535"/>
        <v>-3.5512023774528667E-2</v>
      </c>
      <c r="T30" s="150">
        <f t="shared" si="535"/>
        <v>1.5302165695674219E-5</v>
      </c>
      <c r="U30" s="150">
        <f t="shared" si="535"/>
        <v>6.6510144570374852E-2</v>
      </c>
      <c r="V30" s="150">
        <f t="shared" si="535"/>
        <v>0.12890718221908659</v>
      </c>
      <c r="W30" s="150">
        <f t="shared" si="535"/>
        <v>1.247619330500882E-3</v>
      </c>
      <c r="X30" s="150">
        <f t="shared" si="535"/>
        <v>6.6396051122476596E-2</v>
      </c>
      <c r="Y30" s="150">
        <f t="shared" si="535"/>
        <v>0.10205478883956687</v>
      </c>
      <c r="Z30" s="150">
        <f t="shared" si="535"/>
        <v>0.10654442171666023</v>
      </c>
      <c r="AA30" s="151">
        <f t="shared" si="535"/>
        <v>0.13560779985911098</v>
      </c>
      <c r="AB30" s="151">
        <f t="shared" si="535"/>
        <v>0.12753511060941847</v>
      </c>
      <c r="AC30" s="151">
        <f t="shared" si="535"/>
        <v>0.13178872039684775</v>
      </c>
      <c r="AD30" s="151">
        <f t="shared" si="535"/>
        <v>0.13800033700101433</v>
      </c>
      <c r="AE30" s="151">
        <f t="shared" si="535"/>
        <v>0.14469969989725806</v>
      </c>
      <c r="AF30" s="150"/>
      <c r="AG30" s="152"/>
      <c r="AH30" s="150"/>
      <c r="AI30" s="150"/>
      <c r="AJ30" s="150"/>
      <c r="AK30" s="150"/>
      <c r="AL30" s="150"/>
      <c r="AM30" s="150">
        <f t="shared" ref="AM30:BY30" si="536">+AM117/AI117-1</f>
        <v>-3.7920159190981684E-2</v>
      </c>
      <c r="AN30" s="150">
        <f t="shared" si="536"/>
        <v>2.6203380036146307E-2</v>
      </c>
      <c r="AO30" s="150">
        <f t="shared" si="536"/>
        <v>5.2684701491519048E-2</v>
      </c>
      <c r="AP30" s="150">
        <f t="shared" si="536"/>
        <v>9.1835123760994453E-2</v>
      </c>
      <c r="AQ30" s="150">
        <f t="shared" si="536"/>
        <v>7.6068662750370164E-2</v>
      </c>
      <c r="AR30" s="150">
        <f t="shared" si="536"/>
        <v>-3.0636727624570814E-2</v>
      </c>
      <c r="AS30" s="150">
        <f t="shared" si="536"/>
        <v>-3.5512024555729549E-2</v>
      </c>
      <c r="AT30" s="150">
        <f t="shared" si="536"/>
        <v>-5.3573225339863195E-2</v>
      </c>
      <c r="AU30" s="150">
        <f t="shared" si="536"/>
        <v>-5.8071450013817971E-2</v>
      </c>
      <c r="AV30" s="150">
        <f t="shared" si="536"/>
        <v>-2.0674458331180312E-2</v>
      </c>
      <c r="AW30" s="150">
        <f t="shared" si="536"/>
        <v>1.5301781661092306E-5</v>
      </c>
      <c r="AX30" s="150">
        <f t="shared" si="536"/>
        <v>-4.6006202976996979E-3</v>
      </c>
      <c r="AY30" s="150">
        <f t="shared" si="536"/>
        <v>1.1511990197712541E-2</v>
      </c>
      <c r="AZ30" s="150">
        <f t="shared" si="536"/>
        <v>1.3608357110095559E-2</v>
      </c>
      <c r="BA30" s="150">
        <f t="shared" si="536"/>
        <v>6.6510144186846976E-2</v>
      </c>
      <c r="BB30" s="150">
        <f t="shared" si="536"/>
        <v>0.1620305771730437</v>
      </c>
      <c r="BC30" s="150">
        <f t="shared" si="536"/>
        <v>0.17275113990310942</v>
      </c>
      <c r="BD30" s="150">
        <f t="shared" si="536"/>
        <v>0.17187128331272183</v>
      </c>
      <c r="BE30" s="150">
        <f t="shared" si="536"/>
        <v>0.12890717919396533</v>
      </c>
      <c r="BF30" s="150">
        <f t="shared" si="536"/>
        <v>4.7292861166717604E-2</v>
      </c>
      <c r="BG30" s="150">
        <f t="shared" si="536"/>
        <v>8.9415318619929796E-3</v>
      </c>
      <c r="BH30" s="150">
        <f t="shared" si="536"/>
        <v>1.8371738396949278E-2</v>
      </c>
      <c r="BI30" s="150">
        <f t="shared" si="536"/>
        <v>1.2476209253071691E-3</v>
      </c>
      <c r="BJ30" s="150">
        <f t="shared" si="536"/>
        <v>2.7830357606196898E-2</v>
      </c>
      <c r="BK30" s="150">
        <f t="shared" si="536"/>
        <v>5.6414724421812945E-2</v>
      </c>
      <c r="BL30" s="150">
        <f t="shared" si="536"/>
        <v>4.9060628315662269E-2</v>
      </c>
      <c r="BM30" s="150">
        <f t="shared" si="536"/>
        <v>6.6396047523542112E-2</v>
      </c>
      <c r="BN30" s="150">
        <f t="shared" si="536"/>
        <v>8.710255319641047E-2</v>
      </c>
      <c r="BO30" s="150">
        <f t="shared" si="536"/>
        <v>8.6804209813400313E-2</v>
      </c>
      <c r="BP30" s="150">
        <f t="shared" si="536"/>
        <v>8.2816633977924381E-2</v>
      </c>
      <c r="BQ30" s="150">
        <f t="shared" si="536"/>
        <v>0.1020547972517396</v>
      </c>
      <c r="BR30" s="150">
        <f t="shared" si="536"/>
        <v>9.741289891049254E-2</v>
      </c>
      <c r="BS30" s="150">
        <f t="shared" si="536"/>
        <v>0.10149922429906288</v>
      </c>
      <c r="BT30" s="150">
        <f t="shared" si="536"/>
        <v>0.12285575898462708</v>
      </c>
      <c r="BU30" s="150">
        <f t="shared" si="536"/>
        <v>0.10654441894198841</v>
      </c>
      <c r="BV30" s="150">
        <f t="shared" si="536"/>
        <v>9.0661694308168395E-2</v>
      </c>
      <c r="BW30" s="150">
        <f t="shared" si="536"/>
        <v>0.1007773361345381</v>
      </c>
      <c r="BX30" s="150">
        <f t="shared" si="536"/>
        <v>0.11638246196580315</v>
      </c>
      <c r="BY30" s="150">
        <f t="shared" si="536"/>
        <v>0.13560779379379739</v>
      </c>
      <c r="BZ30" s="151">
        <f>+AVERAGE(BV30:BY30)*1.03</f>
        <v>0.11418304119709406</v>
      </c>
      <c r="CA30" s="151">
        <f t="shared" ref="CA30:CO30" si="537">+AVERAGE(BW30:BZ30)*1.03</f>
        <v>0.12023978802099242</v>
      </c>
      <c r="CB30" s="151">
        <f t="shared" si="537"/>
        <v>0.12525136938175441</v>
      </c>
      <c r="CC30" s="151">
        <f t="shared" si="537"/>
        <v>0.12753511304136184</v>
      </c>
      <c r="CD30" s="151">
        <f t="shared" si="537"/>
        <v>0.12545639774760972</v>
      </c>
      <c r="CE30" s="151">
        <f t="shared" si="537"/>
        <v>0.1283592870593675</v>
      </c>
      <c r="CF30" s="151">
        <f t="shared" si="537"/>
        <v>0.13045005806174906</v>
      </c>
      <c r="CG30" s="151">
        <f t="shared" si="537"/>
        <v>0.13178872039684769</v>
      </c>
      <c r="CH30" s="151">
        <f t="shared" si="537"/>
        <v>0.13288402429088528</v>
      </c>
      <c r="CI30" s="151">
        <f t="shared" si="537"/>
        <v>0.13479663812577874</v>
      </c>
      <c r="CJ30" s="151">
        <f t="shared" si="537"/>
        <v>0.13645425602537964</v>
      </c>
      <c r="CK30" s="151">
        <f t="shared" si="537"/>
        <v>0.13800033700101449</v>
      </c>
      <c r="CL30" s="151">
        <f t="shared" si="537"/>
        <v>0.13959982827658746</v>
      </c>
      <c r="CM30" s="151">
        <f t="shared" si="537"/>
        <v>0.14132914780290579</v>
      </c>
      <c r="CN30" s="151">
        <f t="shared" si="537"/>
        <v>0.14301126904476599</v>
      </c>
      <c r="CO30" s="151">
        <f t="shared" si="537"/>
        <v>0.14469969989725801</v>
      </c>
    </row>
    <row r="31" spans="1:93" s="141" customFormat="1" x14ac:dyDescent="0.2">
      <c r="A31" s="139" t="s">
        <v>399</v>
      </c>
      <c r="B31" s="139"/>
      <c r="C31" s="150">
        <f t="shared" ref="C31:AE31" si="538">+C123/B123-1</f>
        <v>0.2038656327070103</v>
      </c>
      <c r="D31" s="150">
        <f t="shared" si="538"/>
        <v>0.11282464529854064</v>
      </c>
      <c r="E31" s="150">
        <f t="shared" si="538"/>
        <v>7.5591719562378756E-2</v>
      </c>
      <c r="F31" s="150">
        <f t="shared" si="538"/>
        <v>0.221491421266931</v>
      </c>
      <c r="G31" s="150">
        <f t="shared" si="538"/>
        <v>0.16355538014735593</v>
      </c>
      <c r="H31" s="150">
        <f t="shared" si="538"/>
        <v>0.30598441417768218</v>
      </c>
      <c r="I31" s="150">
        <f t="shared" si="538"/>
        <v>0.33319783807617487</v>
      </c>
      <c r="J31" s="150">
        <f t="shared" si="538"/>
        <v>0.2593761036663238</v>
      </c>
      <c r="K31" s="150">
        <f t="shared" si="538"/>
        <v>0.1790039052007939</v>
      </c>
      <c r="L31" s="150">
        <f t="shared" si="538"/>
        <v>0.2647354976007108</v>
      </c>
      <c r="M31" s="150">
        <f t="shared" si="538"/>
        <v>0.16770437750175793</v>
      </c>
      <c r="N31" s="150">
        <f t="shared" si="538"/>
        <v>0.16289678993913537</v>
      </c>
      <c r="O31" s="150">
        <f t="shared" si="538"/>
        <v>0.28118582766661882</v>
      </c>
      <c r="P31" s="150">
        <f t="shared" si="538"/>
        <v>8.4405663441889933E-2</v>
      </c>
      <c r="Q31" s="150">
        <f t="shared" si="538"/>
        <v>-0.10655190366117695</v>
      </c>
      <c r="R31" s="150">
        <f t="shared" si="538"/>
        <v>2.0303262985150283E-2</v>
      </c>
      <c r="S31" s="150">
        <f t="shared" si="538"/>
        <v>-6.8493141003832747E-2</v>
      </c>
      <c r="T31" s="150">
        <f t="shared" si="538"/>
        <v>-1.0962625093370315E-3</v>
      </c>
      <c r="U31" s="150">
        <f t="shared" si="538"/>
        <v>8.1750363200340459E-2</v>
      </c>
      <c r="V31" s="150">
        <f t="shared" si="538"/>
        <v>-8.6661016220279663E-3</v>
      </c>
      <c r="W31" s="150">
        <f t="shared" si="538"/>
        <v>0.15082663208853364</v>
      </c>
      <c r="X31" s="150">
        <f t="shared" si="538"/>
        <v>0.15458979107513815</v>
      </c>
      <c r="Y31" s="150">
        <f t="shared" si="538"/>
        <v>0.15897322122541913</v>
      </c>
      <c r="Z31" s="150">
        <f t="shared" si="538"/>
        <v>0.15362371574371636</v>
      </c>
      <c r="AA31" s="151">
        <f t="shared" si="538"/>
        <v>0.17036348942126622</v>
      </c>
      <c r="AB31" s="151">
        <f t="shared" si="538"/>
        <v>0.14109113293193465</v>
      </c>
      <c r="AC31" s="151">
        <f t="shared" si="538"/>
        <v>0.13971637250560875</v>
      </c>
      <c r="AD31" s="151">
        <f t="shared" si="538"/>
        <v>0.13954964309077678</v>
      </c>
      <c r="AE31" s="151">
        <f t="shared" si="538"/>
        <v>0.1395346638552315</v>
      </c>
      <c r="AF31" s="150"/>
      <c r="AG31" s="152"/>
      <c r="AH31" s="150"/>
      <c r="AI31" s="150"/>
      <c r="AJ31" s="150"/>
      <c r="AK31" s="150"/>
      <c r="AL31" s="150"/>
      <c r="AM31" s="150">
        <f t="shared" ref="AM31:BY31" si="539">+AM123/AI123-1</f>
        <v>-4.8095967078292667E-2</v>
      </c>
      <c r="AN31" s="150">
        <f t="shared" si="539"/>
        <v>-5.3992815844443931E-2</v>
      </c>
      <c r="AO31" s="150">
        <f t="shared" si="539"/>
        <v>2.0303268786434847E-2</v>
      </c>
      <c r="AP31" s="150">
        <f t="shared" si="539"/>
        <v>1.6285723021018939E-3</v>
      </c>
      <c r="AQ31" s="150">
        <f t="shared" si="539"/>
        <v>3.2812741314176552E-3</v>
      </c>
      <c r="AR31" s="150">
        <f t="shared" si="539"/>
        <v>-2.5652279715088322E-2</v>
      </c>
      <c r="AS31" s="150">
        <f t="shared" si="539"/>
        <v>-6.8493139097516087E-2</v>
      </c>
      <c r="AT31" s="150">
        <f t="shared" si="539"/>
        <v>-9.9462804809647976E-2</v>
      </c>
      <c r="AU31" s="150">
        <f t="shared" si="539"/>
        <v>-6.6473396690790998E-2</v>
      </c>
      <c r="AV31" s="150">
        <f t="shared" si="539"/>
        <v>-5.651807118749641E-2</v>
      </c>
      <c r="AW31" s="150">
        <f t="shared" si="539"/>
        <v>-1.0962850539160129E-3</v>
      </c>
      <c r="AX31" s="150">
        <f t="shared" si="539"/>
        <v>1.5838012707118265E-2</v>
      </c>
      <c r="AY31" s="150">
        <f t="shared" si="539"/>
        <v>-1.6082051412263709E-2</v>
      </c>
      <c r="AZ31" s="150">
        <f t="shared" si="539"/>
        <v>1.6753593920499243E-2</v>
      </c>
      <c r="BA31" s="150">
        <f t="shared" si="539"/>
        <v>8.1750364817692045E-2</v>
      </c>
      <c r="BB31" s="150">
        <f t="shared" si="539"/>
        <v>0.11306811057503796</v>
      </c>
      <c r="BC31" s="150">
        <f t="shared" si="539"/>
        <v>8.0546270831415079E-2</v>
      </c>
      <c r="BD31" s="150">
        <f t="shared" si="539"/>
        <v>9.5197940434985417E-2</v>
      </c>
      <c r="BE31" s="150">
        <f t="shared" si="539"/>
        <v>-8.6661011761713924E-3</v>
      </c>
      <c r="BF31" s="150">
        <f t="shared" si="539"/>
        <v>-1.969701352255715E-5</v>
      </c>
      <c r="BG31" s="150">
        <f t="shared" si="539"/>
        <v>4.6881814639107233E-2</v>
      </c>
      <c r="BH31" s="150">
        <f t="shared" si="539"/>
        <v>8.9942132161285882E-2</v>
      </c>
      <c r="BI31" s="150">
        <f t="shared" si="539"/>
        <v>0.15082664244774446</v>
      </c>
      <c r="BJ31" s="150">
        <f t="shared" si="539"/>
        <v>0.19453404663470431</v>
      </c>
      <c r="BK31" s="150">
        <f t="shared" si="539"/>
        <v>0.21520529381235232</v>
      </c>
      <c r="BL31" s="150">
        <f t="shared" si="539"/>
        <v>0.18470320099989679</v>
      </c>
      <c r="BM31" s="150">
        <f t="shared" si="539"/>
        <v>0.15458980440131675</v>
      </c>
      <c r="BN31" s="150">
        <f t="shared" si="539"/>
        <v>0.11022886924707698</v>
      </c>
      <c r="BO31" s="150">
        <f t="shared" si="539"/>
        <v>0.12788550651205832</v>
      </c>
      <c r="BP31" s="150">
        <f t="shared" si="539"/>
        <v>0.13903605835075128</v>
      </c>
      <c r="BQ31" s="150">
        <f t="shared" si="539"/>
        <v>0.15897321924338126</v>
      </c>
      <c r="BR31" s="150">
        <f t="shared" si="539"/>
        <v>0.17628213814301819</v>
      </c>
      <c r="BS31" s="150">
        <f t="shared" si="539"/>
        <v>0.1558843506735863</v>
      </c>
      <c r="BT31" s="150">
        <f t="shared" si="539"/>
        <v>0.16701666925473657</v>
      </c>
      <c r="BU31" s="150">
        <f t="shared" si="539"/>
        <v>0.15362370383439838</v>
      </c>
      <c r="BV31" s="150">
        <f t="shared" si="539"/>
        <v>0.13769781815829463</v>
      </c>
      <c r="BW31" s="150">
        <f t="shared" si="539"/>
        <v>0.15942185408980358</v>
      </c>
      <c r="BX31" s="150">
        <f t="shared" si="539"/>
        <v>0.15025292933700651</v>
      </c>
      <c r="BY31" s="150">
        <f t="shared" si="539"/>
        <v>0.17036348901875975</v>
      </c>
      <c r="BZ31" s="151">
        <f t="shared" ref="BZ31:CO32" si="540">+AVERAGE(BV31:BY31)</f>
        <v>0.15443402265096612</v>
      </c>
      <c r="CA31" s="151">
        <f t="shared" si="540"/>
        <v>0.15861807377413401</v>
      </c>
      <c r="CB31" s="151">
        <f t="shared" si="540"/>
        <v>0.1584171286952166</v>
      </c>
      <c r="CC31" s="151">
        <f t="shared" si="540"/>
        <v>0.16045817853476912</v>
      </c>
      <c r="CD31" s="151">
        <f t="shared" si="540"/>
        <v>0.15798185091377148</v>
      </c>
      <c r="CE31" s="151">
        <f t="shared" si="540"/>
        <v>0.15886880797947278</v>
      </c>
      <c r="CF31" s="151">
        <f t="shared" si="540"/>
        <v>0.15893149153080749</v>
      </c>
      <c r="CG31" s="151">
        <f t="shared" si="540"/>
        <v>0.15906008223970522</v>
      </c>
      <c r="CH31" s="151">
        <f t="shared" si="540"/>
        <v>0.15871055816593924</v>
      </c>
      <c r="CI31" s="151">
        <f t="shared" si="540"/>
        <v>0.15889273497898118</v>
      </c>
      <c r="CJ31" s="151">
        <f t="shared" si="540"/>
        <v>0.15889871672885827</v>
      </c>
      <c r="CK31" s="151">
        <f t="shared" si="540"/>
        <v>0.15889052302837098</v>
      </c>
      <c r="CL31" s="151">
        <f t="shared" si="540"/>
        <v>0.15884813322553742</v>
      </c>
      <c r="CM31" s="151">
        <f t="shared" si="540"/>
        <v>0.15888252699043698</v>
      </c>
      <c r="CN31" s="151">
        <f t="shared" si="540"/>
        <v>0.15887997499330092</v>
      </c>
      <c r="CO31" s="151">
        <f t="shared" si="540"/>
        <v>0.15887528955941158</v>
      </c>
    </row>
    <row r="32" spans="1:93" s="141" customFormat="1" x14ac:dyDescent="0.2">
      <c r="A32" s="139" t="s">
        <v>50</v>
      </c>
      <c r="B32" s="139">
        <f t="shared" ref="B32:AE32" si="541">+B122/B119</f>
        <v>0.34080237752903925</v>
      </c>
      <c r="C32" s="150">
        <f t="shared" si="541"/>
        <v>0.35020814438819658</v>
      </c>
      <c r="D32" s="150">
        <f t="shared" si="541"/>
        <v>0.35681447650127152</v>
      </c>
      <c r="E32" s="150">
        <f t="shared" si="541"/>
        <v>0.35965948230235961</v>
      </c>
      <c r="F32" s="150">
        <f t="shared" si="541"/>
        <v>0.33264325085103102</v>
      </c>
      <c r="G32" s="150">
        <f t="shared" si="541"/>
        <v>0.31837169372102864</v>
      </c>
      <c r="H32" s="150">
        <f t="shared" si="541"/>
        <v>0.28056950729087637</v>
      </c>
      <c r="I32" s="150">
        <f t="shared" si="541"/>
        <v>0.26594794819569856</v>
      </c>
      <c r="J32" s="150">
        <f t="shared" si="541"/>
        <v>0.25614350923843127</v>
      </c>
      <c r="K32" s="150">
        <f t="shared" si="541"/>
        <v>0.26602034494835619</v>
      </c>
      <c r="L32" s="150">
        <f t="shared" si="541"/>
        <v>0.26759269484582393</v>
      </c>
      <c r="M32" s="150">
        <f t="shared" si="541"/>
        <v>0.24763372294971239</v>
      </c>
      <c r="N32" s="150">
        <f t="shared" si="541"/>
        <v>0.22677805762843281</v>
      </c>
      <c r="O32" s="150">
        <f t="shared" si="541"/>
        <v>0.217267030085977</v>
      </c>
      <c r="P32" s="150">
        <f t="shared" si="541"/>
        <v>0.20943992252586244</v>
      </c>
      <c r="Q32" s="150">
        <f t="shared" si="541"/>
        <v>0.21069227207673072</v>
      </c>
      <c r="R32" s="150">
        <f t="shared" si="541"/>
        <v>0.22060502635295601</v>
      </c>
      <c r="S32" s="150">
        <f t="shared" si="541"/>
        <v>0.24291394328287944</v>
      </c>
      <c r="T32" s="150">
        <f t="shared" si="541"/>
        <v>0.26126015984940704</v>
      </c>
      <c r="U32" s="150">
        <f t="shared" si="541"/>
        <v>0.26639395922750198</v>
      </c>
      <c r="V32" s="150">
        <f t="shared" si="541"/>
        <v>0.28389809929306986</v>
      </c>
      <c r="W32" s="150">
        <f t="shared" si="541"/>
        <v>0.26647326200272903</v>
      </c>
      <c r="X32" s="150">
        <f t="shared" si="541"/>
        <v>0.27825711037394402</v>
      </c>
      <c r="Y32" s="150">
        <f t="shared" si="541"/>
        <v>0.27739641714946961</v>
      </c>
      <c r="Z32" s="150">
        <f t="shared" si="541"/>
        <v>0.27553421892994517</v>
      </c>
      <c r="AA32" s="151">
        <f t="shared" si="541"/>
        <v>0.25684956081115357</v>
      </c>
      <c r="AB32" s="151">
        <f t="shared" si="541"/>
        <v>0.26397076153475796</v>
      </c>
      <c r="AC32" s="151">
        <f t="shared" si="541"/>
        <v>0.2648813025071618</v>
      </c>
      <c r="AD32" s="151">
        <f t="shared" si="541"/>
        <v>0.2649707868901372</v>
      </c>
      <c r="AE32" s="151">
        <f t="shared" si="541"/>
        <v>0.26497408064638761</v>
      </c>
      <c r="AF32" s="150"/>
      <c r="AG32" s="152"/>
      <c r="AH32" s="150"/>
      <c r="AI32" s="150">
        <f t="shared" ref="AI32:BX32" si="542">AI122/AI119</f>
        <v>0.2100480795836179</v>
      </c>
      <c r="AJ32" s="150">
        <f t="shared" si="542"/>
        <v>0.21591014929953947</v>
      </c>
      <c r="AK32" s="150">
        <f t="shared" si="542"/>
        <v>0.21069226703714336</v>
      </c>
      <c r="AL32" s="150">
        <f t="shared" si="542"/>
        <v>0.20076372463021075</v>
      </c>
      <c r="AM32" s="150">
        <f t="shared" si="542"/>
        <v>0.21631404842380336</v>
      </c>
      <c r="AN32" s="150">
        <f t="shared" si="542"/>
        <v>0.26551061343662352</v>
      </c>
      <c r="AO32" s="150">
        <f t="shared" si="542"/>
        <v>0.22060501829981094</v>
      </c>
      <c r="AP32" s="150">
        <f t="shared" si="542"/>
        <v>0.2133713568755338</v>
      </c>
      <c r="AQ32" s="150">
        <f t="shared" si="542"/>
        <v>0.22039926901542883</v>
      </c>
      <c r="AR32" s="150">
        <f t="shared" si="542"/>
        <v>0.23727165210619297</v>
      </c>
      <c r="AS32" s="150">
        <f t="shared" si="542"/>
        <v>0.24291393663092661</v>
      </c>
      <c r="AT32" s="150">
        <f t="shared" si="542"/>
        <v>0.24538266271465878</v>
      </c>
      <c r="AU32" s="150">
        <f t="shared" si="542"/>
        <v>0.24081197297249157</v>
      </c>
      <c r="AV32" s="150">
        <f t="shared" si="542"/>
        <v>0.26425404657384538</v>
      </c>
      <c r="AW32" s="150">
        <f t="shared" si="542"/>
        <v>0.26126016698674964</v>
      </c>
      <c r="AX32" s="150">
        <f t="shared" si="542"/>
        <v>0.26608681992427768</v>
      </c>
      <c r="AY32" s="150">
        <f t="shared" si="542"/>
        <v>0.267094666173194</v>
      </c>
      <c r="AZ32" s="150">
        <f t="shared" si="542"/>
        <v>0.27726994222756157</v>
      </c>
      <c r="BA32" s="150">
        <f t="shared" si="542"/>
        <v>0.2663939611339598</v>
      </c>
      <c r="BB32" s="150">
        <f t="shared" si="542"/>
        <v>0.26162362897040375</v>
      </c>
      <c r="BC32" s="150">
        <f t="shared" si="542"/>
        <v>0.29151788767263942</v>
      </c>
      <c r="BD32" s="150">
        <f t="shared" si="542"/>
        <v>0.2698898807654817</v>
      </c>
      <c r="BE32" s="150">
        <f t="shared" si="542"/>
        <v>0.28389810407013932</v>
      </c>
      <c r="BF32" s="150">
        <f t="shared" si="542"/>
        <v>0.28656856797992408</v>
      </c>
      <c r="BG32" s="150">
        <f t="shared" si="542"/>
        <v>0.27087470488036691</v>
      </c>
      <c r="BH32" s="150">
        <f t="shared" si="542"/>
        <v>0.26319442898461715</v>
      </c>
      <c r="BI32" s="150">
        <f t="shared" si="542"/>
        <v>0.26647326544600891</v>
      </c>
      <c r="BJ32" s="150">
        <f t="shared" si="542"/>
        <v>0.26899912349566374</v>
      </c>
      <c r="BK32" s="150">
        <f t="shared" si="542"/>
        <v>0.26540896210689635</v>
      </c>
      <c r="BL32" s="150">
        <f t="shared" si="542"/>
        <v>0.26286161337761199</v>
      </c>
      <c r="BM32" s="150">
        <f t="shared" si="542"/>
        <v>0.27825711602648417</v>
      </c>
      <c r="BN32" s="150">
        <f t="shared" si="542"/>
        <v>0.27980746062713846</v>
      </c>
      <c r="BO32" s="150">
        <f t="shared" si="542"/>
        <v>0.27544557630000471</v>
      </c>
      <c r="BP32" s="150">
        <f t="shared" si="542"/>
        <v>0.2700648026488453</v>
      </c>
      <c r="BQ32" s="150">
        <f t="shared" si="542"/>
        <v>0.27739641779020546</v>
      </c>
      <c r="BR32" s="150">
        <f t="shared" si="542"/>
        <v>0.28474153243076217</v>
      </c>
      <c r="BS32" s="150">
        <f t="shared" si="542"/>
        <v>0.30172772825987271</v>
      </c>
      <c r="BT32" s="150">
        <f t="shared" si="542"/>
        <v>0.28255386574035501</v>
      </c>
      <c r="BU32" s="150">
        <f t="shared" si="542"/>
        <v>0.27553421215563728</v>
      </c>
      <c r="BV32" s="150">
        <f t="shared" si="542"/>
        <v>0.2826450654953972</v>
      </c>
      <c r="BW32" s="150">
        <f t="shared" si="542"/>
        <v>0.26862734169947383</v>
      </c>
      <c r="BX32" s="150">
        <f t="shared" si="542"/>
        <v>0.2674748069768329</v>
      </c>
      <c r="BY32" s="150">
        <f t="shared" ref="BY32" si="543">BY122/BY119</f>
        <v>0.25684955770759982</v>
      </c>
      <c r="BZ32" s="151">
        <f t="shared" si="540"/>
        <v>0.26889919296982595</v>
      </c>
      <c r="CA32" s="151">
        <f t="shared" si="540"/>
        <v>0.26546272483843308</v>
      </c>
      <c r="CB32" s="151">
        <f t="shared" si="540"/>
        <v>0.26467157062317292</v>
      </c>
      <c r="CC32" s="151">
        <f t="shared" si="540"/>
        <v>0.26397076153475796</v>
      </c>
      <c r="CD32" s="151">
        <f t="shared" si="540"/>
        <v>0.26575106249154745</v>
      </c>
      <c r="CE32" s="151">
        <f t="shared" si="540"/>
        <v>0.26496402987197787</v>
      </c>
      <c r="CF32" s="151">
        <f t="shared" si="540"/>
        <v>0.26483935613036402</v>
      </c>
      <c r="CG32" s="151">
        <f t="shared" si="540"/>
        <v>0.2648813025071618</v>
      </c>
      <c r="CH32" s="151">
        <f t="shared" si="540"/>
        <v>0.26510893775026279</v>
      </c>
      <c r="CI32" s="151">
        <f t="shared" si="540"/>
        <v>0.26494840656494162</v>
      </c>
      <c r="CJ32" s="151">
        <f t="shared" si="540"/>
        <v>0.26494450073818254</v>
      </c>
      <c r="CK32" s="151">
        <f t="shared" si="540"/>
        <v>0.2649707868901372</v>
      </c>
      <c r="CL32" s="151">
        <f t="shared" si="540"/>
        <v>0.26499315798588102</v>
      </c>
      <c r="CM32" s="151">
        <f t="shared" si="540"/>
        <v>0.26496421304478562</v>
      </c>
      <c r="CN32" s="151">
        <f t="shared" si="540"/>
        <v>0.2649681646647466</v>
      </c>
      <c r="CO32" s="151">
        <f t="shared" si="540"/>
        <v>0.26497408064638761</v>
      </c>
    </row>
    <row r="33" spans="1:98" s="4" customForma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  <c r="AD33" s="8"/>
      <c r="AE33" s="8"/>
      <c r="AG33" s="53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141" customFormat="1" x14ac:dyDescent="0.2">
      <c r="A34" s="139" t="s">
        <v>398</v>
      </c>
      <c r="B34" s="139">
        <f t="shared" ref="B34:AB34" si="544">+B123/B117</f>
        <v>0.61578690670540404</v>
      </c>
      <c r="C34" s="139">
        <f t="shared" si="544"/>
        <v>0.64292023499629847</v>
      </c>
      <c r="D34" s="139">
        <f t="shared" si="544"/>
        <v>0.66145543789590178</v>
      </c>
      <c r="E34" s="139">
        <f t="shared" si="544"/>
        <v>0.64149885413590602</v>
      </c>
      <c r="F34" s="139">
        <f t="shared" si="544"/>
        <v>0.71062627493630126</v>
      </c>
      <c r="G34" s="139">
        <f t="shared" si="544"/>
        <v>0.69383939877029188</v>
      </c>
      <c r="H34" s="139">
        <f t="shared" si="544"/>
        <v>0.70999884634637123</v>
      </c>
      <c r="I34" s="139">
        <f t="shared" si="544"/>
        <v>0.75644842160114079</v>
      </c>
      <c r="J34" s="139">
        <f t="shared" si="544"/>
        <v>0.75331041620276085</v>
      </c>
      <c r="K34" s="139">
        <f t="shared" si="544"/>
        <v>0.73332731670016138</v>
      </c>
      <c r="L34" s="139">
        <f t="shared" si="544"/>
        <v>0.7129685559109803</v>
      </c>
      <c r="M34" s="139">
        <f t="shared" si="544"/>
        <v>0.78196356637884201</v>
      </c>
      <c r="N34" s="139">
        <f t="shared" si="544"/>
        <v>0.75782477219578392</v>
      </c>
      <c r="O34" s="139">
        <f t="shared" si="544"/>
        <v>0.77726143592283348</v>
      </c>
      <c r="P34" s="139">
        <f t="shared" si="544"/>
        <v>0.75581976299718068</v>
      </c>
      <c r="Q34" s="139">
        <f t="shared" si="544"/>
        <v>0.70016723817501447</v>
      </c>
      <c r="R34" s="139">
        <f t="shared" si="544"/>
        <v>0.67862952900326212</v>
      </c>
      <c r="S34" s="139">
        <f t="shared" si="544"/>
        <v>0.65542347501084652</v>
      </c>
      <c r="T34" s="139">
        <f t="shared" si="544"/>
        <v>0.65469494057699196</v>
      </c>
      <c r="U34" s="139">
        <f t="shared" si="544"/>
        <v>0.66405040154576211</v>
      </c>
      <c r="V34" s="139">
        <f t="shared" si="544"/>
        <v>0.58312648165618886</v>
      </c>
      <c r="W34" s="139">
        <f t="shared" si="544"/>
        <v>0.67024127899026009</v>
      </c>
      <c r="X34" s="139">
        <f t="shared" si="544"/>
        <v>0.72567198412329825</v>
      </c>
      <c r="Y34" s="139">
        <f t="shared" si="544"/>
        <v>0.7631511659034721</v>
      </c>
      <c r="Z34" s="139">
        <f t="shared" si="544"/>
        <v>0.79562037131586905</v>
      </c>
      <c r="AA34" s="140">
        <f t="shared" si="544"/>
        <v>0.81997062202585158</v>
      </c>
      <c r="AB34" s="140">
        <f t="shared" si="544"/>
        <v>0.82982888714895009</v>
      </c>
      <c r="AC34" s="140"/>
      <c r="AD34" s="140"/>
      <c r="AE34" s="140"/>
      <c r="AG34" s="142"/>
      <c r="AH34" s="141">
        <f t="shared" ref="AH34:BM34" si="545">+AH123/AH117</f>
        <v>0.75548576148986957</v>
      </c>
      <c r="AI34" s="141">
        <f t="shared" si="545"/>
        <v>0.72671350356756625</v>
      </c>
      <c r="AJ34" s="141">
        <f t="shared" si="545"/>
        <v>0.72005762560814035</v>
      </c>
      <c r="AK34" s="141">
        <f t="shared" si="545"/>
        <v>0.70016724219116044</v>
      </c>
      <c r="AL34" s="141">
        <f t="shared" si="545"/>
        <v>0.72969000815662322</v>
      </c>
      <c r="AM34" s="141">
        <f t="shared" si="545"/>
        <v>0.719027138374424</v>
      </c>
      <c r="AN34" s="141">
        <f t="shared" si="545"/>
        <v>0.66378624362677408</v>
      </c>
      <c r="AO34" s="141">
        <f t="shared" si="545"/>
        <v>0.67862953160869111</v>
      </c>
      <c r="AP34" s="141">
        <f t="shared" si="545"/>
        <v>0.66940359875528133</v>
      </c>
      <c r="AQ34" s="141">
        <f t="shared" si="545"/>
        <v>0.67039073666501592</v>
      </c>
      <c r="AR34" s="141">
        <f t="shared" si="545"/>
        <v>0.66719942014034361</v>
      </c>
      <c r="AS34" s="141">
        <f t="shared" si="545"/>
        <v>0.65542347939936685</v>
      </c>
      <c r="AT34" s="141">
        <f t="shared" si="545"/>
        <v>0.636946096003976</v>
      </c>
      <c r="AU34" s="141">
        <f t="shared" si="545"/>
        <v>0.66441089114246665</v>
      </c>
      <c r="AV34" s="141">
        <f t="shared" si="545"/>
        <v>0.64277971831911163</v>
      </c>
      <c r="AW34" s="141">
        <f t="shared" si="545"/>
        <v>0.65469493043603555</v>
      </c>
      <c r="AX34" s="141">
        <f t="shared" si="545"/>
        <v>0.65002457260898483</v>
      </c>
      <c r="AY34" s="141">
        <f t="shared" si="545"/>
        <v>0.64628576563335327</v>
      </c>
      <c r="AZ34" s="141">
        <f t="shared" si="545"/>
        <v>0.64477427017620392</v>
      </c>
      <c r="BA34" s="141">
        <f t="shared" si="545"/>
        <v>0.66405039249153086</v>
      </c>
      <c r="BB34" s="141">
        <f t="shared" si="545"/>
        <v>0.62263561482297047</v>
      </c>
      <c r="BC34" s="141">
        <f t="shared" si="545"/>
        <v>0.59547302934554514</v>
      </c>
      <c r="BD34" s="141">
        <f t="shared" si="545"/>
        <v>0.60258789749181596</v>
      </c>
      <c r="BE34" s="141">
        <f t="shared" si="545"/>
        <v>0.58312647553020536</v>
      </c>
      <c r="BF34" s="141">
        <f t="shared" si="545"/>
        <v>0.59450739506351979</v>
      </c>
      <c r="BG34" s="141">
        <f t="shared" si="545"/>
        <v>0.61786522394360166</v>
      </c>
      <c r="BH34" s="141">
        <f t="shared" si="545"/>
        <v>0.64493731811595978</v>
      </c>
      <c r="BI34" s="141">
        <f t="shared" si="545"/>
        <v>0.67024127691472968</v>
      </c>
      <c r="BJ34" s="141">
        <f t="shared" si="545"/>
        <v>0.69093048198482343</v>
      </c>
      <c r="BK34" s="141">
        <f t="shared" si="545"/>
        <v>0.71073705585631464</v>
      </c>
      <c r="BL34" s="141">
        <f t="shared" si="545"/>
        <v>0.72832711913229931</v>
      </c>
      <c r="BM34" s="141">
        <f t="shared" si="545"/>
        <v>0.72567199270080063</v>
      </c>
      <c r="BN34" s="141">
        <f t="shared" ref="BN34:BV34" si="546">+BN123/BN117</f>
        <v>0.70562888982908623</v>
      </c>
      <c r="BO34" s="141">
        <f t="shared" si="546"/>
        <v>0.73760298037401317</v>
      </c>
      <c r="BP34" s="141">
        <f t="shared" si="546"/>
        <v>0.76614158384209441</v>
      </c>
      <c r="BQ34" s="141">
        <f t="shared" si="546"/>
        <v>0.76315116779360204</v>
      </c>
      <c r="BR34" s="141">
        <f t="shared" si="546"/>
        <v>0.7563412641565278</v>
      </c>
      <c r="BS34" s="141">
        <f t="shared" si="546"/>
        <v>0.77402119149657922</v>
      </c>
      <c r="BT34" s="141">
        <f t="shared" si="546"/>
        <v>0.79627324542687816</v>
      </c>
      <c r="BU34" s="141">
        <f t="shared" si="546"/>
        <v>0.79562036706793682</v>
      </c>
      <c r="BV34" s="141">
        <f t="shared" si="546"/>
        <v>0.78895940923257146</v>
      </c>
      <c r="BW34" s="141">
        <f>+BW123/BW117</f>
        <v>0.81525759614665572</v>
      </c>
      <c r="BX34" s="141">
        <f>+BX123/BX117</f>
        <v>0.8204317644798399</v>
      </c>
      <c r="BY34" s="141">
        <f>+BY123/BY117</f>
        <v>0.81997062174539548</v>
      </c>
      <c r="BZ34" s="143">
        <f t="shared" ref="BZ34:CO34" si="547">+BZ123/BZ117</f>
        <v>0.80381863764428241</v>
      </c>
      <c r="CA34" s="143">
        <f t="shared" si="547"/>
        <v>0.82911542979734953</v>
      </c>
      <c r="CB34" s="143">
        <f t="shared" si="547"/>
        <v>0.83051737943155324</v>
      </c>
      <c r="CC34" s="143">
        <f t="shared" si="547"/>
        <v>0.82982888714895009</v>
      </c>
      <c r="CD34" s="143">
        <f t="shared" si="547"/>
        <v>0.813246097990313</v>
      </c>
      <c r="CE34" s="143">
        <f t="shared" si="547"/>
        <v>0.83732238404548465</v>
      </c>
      <c r="CF34" s="143">
        <f t="shared" si="547"/>
        <v>0.83723224548218311</v>
      </c>
      <c r="CG34" s="143">
        <f t="shared" si="547"/>
        <v>0.83564145146290647</v>
      </c>
      <c r="CH34" s="143">
        <f t="shared" si="547"/>
        <v>0.81790401106416499</v>
      </c>
      <c r="CI34" s="143">
        <f t="shared" si="547"/>
        <v>0.84083104676129727</v>
      </c>
      <c r="CJ34" s="143">
        <f t="shared" si="547"/>
        <v>0.83951857015553644</v>
      </c>
      <c r="CK34" s="143">
        <f t="shared" si="547"/>
        <v>0.8367791175492113</v>
      </c>
      <c r="CL34" s="143">
        <f t="shared" si="547"/>
        <v>0.81783807666579611</v>
      </c>
      <c r="CM34" s="143">
        <f t="shared" si="547"/>
        <v>0.83951427155818126</v>
      </c>
      <c r="CN34" s="143">
        <f t="shared" si="547"/>
        <v>0.83696845815336252</v>
      </c>
      <c r="CO34" s="143">
        <f t="shared" si="547"/>
        <v>0.83300345979220769</v>
      </c>
    </row>
    <row r="35" spans="1:98" s="4" customForma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8"/>
      <c r="AD35" s="8"/>
      <c r="AE35" s="8"/>
      <c r="AG35" s="53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1:98" s="4" customFormat="1" x14ac:dyDescent="0.2">
      <c r="A36" s="115" t="s">
        <v>358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3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5" t="s">
        <v>359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8"/>
      <c r="AC37" s="8"/>
      <c r="AD37" s="8"/>
      <c r="AE37" s="8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37" customFormat="1" x14ac:dyDescent="0.2">
      <c r="A38" s="37" t="s">
        <v>7</v>
      </c>
      <c r="B38" s="37">
        <f>+'Annual Raw'!C7</f>
        <v>5316.8667999999998</v>
      </c>
      <c r="C38" s="37">
        <f>+'Annual Raw'!D7</f>
        <v>5594.4912999999997</v>
      </c>
      <c r="D38" s="37">
        <f>+'Annual Raw'!E7</f>
        <v>5928.2151999999996</v>
      </c>
      <c r="E38" s="37">
        <f>+'Annual Raw'!F7</f>
        <v>5795.9048000000003</v>
      </c>
      <c r="F38" s="37">
        <f>+'Annual Raw'!G7</f>
        <v>6031.5267000000003</v>
      </c>
      <c r="G38" s="37">
        <f>+'Annual Raw'!H7</f>
        <v>7028.6976999999997</v>
      </c>
      <c r="H38" s="37">
        <f>+'Annual Raw'!I7</f>
        <v>8936.2831999999999</v>
      </c>
      <c r="I38" s="37">
        <f>+'Annual Raw'!J7</f>
        <v>12355.2212</v>
      </c>
      <c r="J38" s="37">
        <f>+'Annual Raw'!K7</f>
        <v>16347.357900000001</v>
      </c>
      <c r="K38" s="37">
        <f>+'Annual Raw'!L7</f>
        <v>17877.9879</v>
      </c>
      <c r="L38" s="37">
        <f>+'Annual Raw'!M7</f>
        <v>21751.7238</v>
      </c>
      <c r="M38" s="37">
        <f>+'Annual Raw'!N7</f>
        <v>28480.666399999998</v>
      </c>
      <c r="N38" s="37">
        <f>+'Annual Raw'!O7</f>
        <v>31908.929</v>
      </c>
      <c r="O38" s="37">
        <f>+'Annual Raw'!P7</f>
        <v>37910.101600000002</v>
      </c>
      <c r="P38" s="37">
        <f>+'Annual Raw'!Q7</f>
        <v>43464.706700000002</v>
      </c>
      <c r="Q38" s="37">
        <f>+'Annual Raw'!R7</f>
        <v>41796.469799999999</v>
      </c>
      <c r="R38" s="37">
        <f>+'Annual Raw'!S7</f>
        <v>39290.852299999999</v>
      </c>
      <c r="S38" s="37">
        <f>+'Annual Raw'!T7</f>
        <v>38071.408900000002</v>
      </c>
      <c r="T38" s="37">
        <f>+'Annual Raw'!U7</f>
        <v>40767.811199999996</v>
      </c>
      <c r="U38" s="37">
        <f>+'Annual Raw'!V7</f>
        <v>42353.266799999998</v>
      </c>
      <c r="V38" s="37">
        <f>+'Annual Raw'!W7</f>
        <v>40599.438499999997</v>
      </c>
      <c r="W38" s="37">
        <f>+'Annual Raw'!X7</f>
        <v>38075.825900000003</v>
      </c>
      <c r="X38" s="37">
        <f>+'Annual Raw'!Y7</f>
        <v>47647.722300000001</v>
      </c>
      <c r="Y38" s="37">
        <f>+'Annual Raw'!Z7</f>
        <v>60709.490400000002</v>
      </c>
      <c r="Z38" s="37">
        <f>+'Annual Raw'!AA7</f>
        <v>70826.298200000005</v>
      </c>
      <c r="AA38" s="37">
        <f>+'Annual Raw'!AB7</f>
        <v>75161.268700000001</v>
      </c>
      <c r="AB38" s="38">
        <f>SUM(BZ38:CC38)</f>
        <v>83053.567631143291</v>
      </c>
      <c r="AC38" s="38">
        <f>SUM(CD38:CG38)</f>
        <v>92699.988382421201</v>
      </c>
      <c r="AD38" s="38">
        <f>SUM(CH38:CK38)</f>
        <v>103816.07978284878</v>
      </c>
      <c r="AE38" s="38">
        <f>SUM(CL38:CO38)</f>
        <v>116950.6437545724</v>
      </c>
      <c r="AG38" s="59"/>
      <c r="AH38" s="37">
        <f>+'QTR Raw'!C6</f>
        <v>10818.59</v>
      </c>
      <c r="AI38" s="37">
        <f>+'QTR Raw'!D6</f>
        <v>10539.87</v>
      </c>
      <c r="AJ38" s="37">
        <f>+'QTR Raw'!E6</f>
        <v>10039.68</v>
      </c>
      <c r="AK38" s="37">
        <f>+'QTR Raw'!F6</f>
        <v>10501.32</v>
      </c>
      <c r="AL38" s="37">
        <f>+'QTR Raw'!G6</f>
        <v>9425.93</v>
      </c>
      <c r="AM38" s="37">
        <f>+'QTR Raw'!H6</f>
        <v>9458.48</v>
      </c>
      <c r="AN38" s="37">
        <f>+'QTR Raw'!I6</f>
        <v>9824.75</v>
      </c>
      <c r="AO38" s="37">
        <f>+'QTR Raw'!J6</f>
        <v>10581.69</v>
      </c>
      <c r="AP38" s="37">
        <f>+'QTR Raw'!K6</f>
        <v>9495.65</v>
      </c>
      <c r="AQ38" s="37">
        <f>+'QTR Raw'!L6</f>
        <v>9894.09</v>
      </c>
      <c r="AR38" s="37">
        <f>+'QTR Raw'!M6</f>
        <v>9334.84</v>
      </c>
      <c r="AS38" s="37">
        <f>+'QTR Raw'!N6</f>
        <v>9346.84</v>
      </c>
      <c r="AT38" s="37">
        <f>+'QTR Raw'!O6</f>
        <v>10012.86</v>
      </c>
      <c r="AU38" s="37">
        <f>+'QTR Raw'!P6</f>
        <v>9769.82</v>
      </c>
      <c r="AV38" s="37">
        <f>+'QTR Raw'!Q6</f>
        <v>10171.01</v>
      </c>
      <c r="AW38" s="37">
        <f>+'QTR Raw'!R6</f>
        <v>10814.12</v>
      </c>
      <c r="AX38" s="37">
        <f>+'QTR Raw'!S6</f>
        <v>10332.17</v>
      </c>
      <c r="AY38" s="37">
        <f>+'QTR Raw'!T6</f>
        <v>10658.14</v>
      </c>
      <c r="AZ38" s="37">
        <f>+'QTR Raw'!U6</f>
        <v>10834.92</v>
      </c>
      <c r="BA38" s="37">
        <f>+'QTR Raw'!V6</f>
        <v>10528.02</v>
      </c>
      <c r="BB38" s="37">
        <f>+'QTR Raw'!W6</f>
        <v>10234.24</v>
      </c>
      <c r="BC38" s="37">
        <f>+'QTR Raw'!X6</f>
        <v>10795.51</v>
      </c>
      <c r="BD38" s="37">
        <f>+'QTR Raw'!Y6</f>
        <v>10243.1</v>
      </c>
      <c r="BE38" s="37">
        <f>+'QTR Raw'!Z6</f>
        <v>9326.6</v>
      </c>
      <c r="BF38" s="37">
        <f>+'QTR Raw'!AA6</f>
        <v>9321.31</v>
      </c>
      <c r="BG38" s="37">
        <f>+'QTR Raw'!AB6</f>
        <v>9522.31</v>
      </c>
      <c r="BH38" s="37">
        <f>+'QTR Raw'!AC6</f>
        <v>9375.92</v>
      </c>
      <c r="BI38" s="37">
        <f>+'QTR Raw'!AD6</f>
        <v>9856.2800000000007</v>
      </c>
      <c r="BJ38" s="37">
        <f>+'QTR Raw'!AE6</f>
        <v>9972.64</v>
      </c>
      <c r="BK38" s="37">
        <f>+'QTR Raw'!AF6</f>
        <v>11497.4</v>
      </c>
      <c r="BL38" s="37">
        <f>+'QTR Raw'!AG6</f>
        <v>12727.75</v>
      </c>
      <c r="BM38" s="37">
        <f>+'QTR Raw'!AH6</f>
        <v>13449.93</v>
      </c>
      <c r="BN38" s="37">
        <f>+'QTR Raw'!AI6</f>
        <v>14358.63</v>
      </c>
      <c r="BO38" s="37">
        <f>+'QTR Raw'!AJ6</f>
        <v>14971.18</v>
      </c>
      <c r="BP38" s="37">
        <f>+'QTR Raw'!AK6</f>
        <v>15217.98</v>
      </c>
      <c r="BQ38" s="37">
        <f>+'QTR Raw'!AL6</f>
        <v>16161.7</v>
      </c>
      <c r="BR38" s="37">
        <f>+'QTR Raw'!AM6</f>
        <v>16938.02</v>
      </c>
      <c r="BS38" s="37">
        <f>+'QTR Raw'!AN6</f>
        <v>17354.55</v>
      </c>
      <c r="BT38" s="37">
        <f>+'QTR Raw'!AO6</f>
        <v>18210.52</v>
      </c>
      <c r="BU38" s="37">
        <f>+'QTR Raw'!AP6</f>
        <v>18323.21</v>
      </c>
      <c r="BV38" s="37">
        <f>+'QTR Raw'!AQ6</f>
        <v>18352.189999999999</v>
      </c>
      <c r="BW38" s="37">
        <f>+'QTR Raw'!AR6</f>
        <v>18406.09</v>
      </c>
      <c r="BX38" s="37">
        <f>+'QTR Raw'!AS6</f>
        <v>18927.13</v>
      </c>
      <c r="BY38" s="37">
        <f>+'QTR Raw'!AT6</f>
        <v>19475.86</v>
      </c>
      <c r="BZ38" s="38">
        <f t="shared" ref="BZ38:CC38" si="548">BZ12*BY5</f>
        <v>20005.39407076699</v>
      </c>
      <c r="CA38" s="38">
        <f t="shared" si="548"/>
        <v>20538.530567284528</v>
      </c>
      <c r="CB38" s="38">
        <f t="shared" si="548"/>
        <v>20906.303849720574</v>
      </c>
      <c r="CC38" s="38">
        <f t="shared" si="548"/>
        <v>21603.339143371188</v>
      </c>
      <c r="CD38" s="38">
        <f t="shared" ref="CD38" si="549">CD12*CC5</f>
        <v>22427.264225666378</v>
      </c>
      <c r="CE38" s="38">
        <f t="shared" ref="CE38" si="550">CE12*CD5</f>
        <v>22912.466174541998</v>
      </c>
      <c r="CF38" s="38">
        <f t="shared" ref="CF38" si="551">CF12*CE5</f>
        <v>23277.038374626049</v>
      </c>
      <c r="CG38" s="38">
        <f t="shared" ref="CG38" si="552">CG12*CF5</f>
        <v>24083.219607586769</v>
      </c>
      <c r="CH38" s="38">
        <f t="shared" ref="CH38" si="553">CH12*CG5</f>
        <v>25079.419512328233</v>
      </c>
      <c r="CI38" s="38">
        <f t="shared" ref="CI38" si="554">CI12*CH5</f>
        <v>25643.1494722883</v>
      </c>
      <c r="CJ38" s="38">
        <f t="shared" ref="CJ38" si="555">CJ12*CI5</f>
        <v>26072.056842050253</v>
      </c>
      <c r="CK38" s="38">
        <f t="shared" ref="CK38" si="556">CK12*CJ5</f>
        <v>27021.453956181995</v>
      </c>
      <c r="CL38" s="38">
        <f t="shared" ref="CL38" si="557">CL12*CK5</f>
        <v>28192.618745525197</v>
      </c>
      <c r="CM38" s="38">
        <f t="shared" ref="CM38" si="558">CM12*CL5</f>
        <v>28864.023616071485</v>
      </c>
      <c r="CN38" s="38">
        <f t="shared" ref="CN38" si="559">CN12*CM5</f>
        <v>29386.166918521954</v>
      </c>
      <c r="CO38" s="38">
        <f t="shared" ref="CO38" si="560">CO12*CN5</f>
        <v>30507.834474453775</v>
      </c>
      <c r="CT38" s="37">
        <v>75161.268700000001</v>
      </c>
    </row>
    <row r="39" spans="1:98" s="37" customFormat="1" x14ac:dyDescent="0.2">
      <c r="A39" s="37" t="s">
        <v>9</v>
      </c>
      <c r="B39" s="37">
        <f>+'Annual Raw'!C10</f>
        <v>3663.0272</v>
      </c>
      <c r="C39" s="37">
        <f>+'Annual Raw'!D10</f>
        <v>3768.9983999999999</v>
      </c>
      <c r="D39" s="37">
        <f>+'Annual Raw'!E10</f>
        <v>3892.0106000000001</v>
      </c>
      <c r="E39" s="37">
        <f>+'Annual Raw'!F10</f>
        <v>3594.4753000000001</v>
      </c>
      <c r="F39" s="37">
        <f>+'Annual Raw'!G10</f>
        <v>3794.6397999999999</v>
      </c>
      <c r="G39" s="37">
        <f>+'Annual Raw'!H10</f>
        <v>4396.7194</v>
      </c>
      <c r="H39" s="37">
        <f>+'Annual Raw'!I10</f>
        <v>5495.8176000000003</v>
      </c>
      <c r="I39" s="37">
        <f>+'Annual Raw'!J10</f>
        <v>8125.9516999999996</v>
      </c>
      <c r="J39" s="37">
        <f>+'Annual Raw'!K10</f>
        <v>10848.453100000001</v>
      </c>
      <c r="K39" s="37">
        <f>+'Annual Raw'!L10</f>
        <v>12122.0429</v>
      </c>
      <c r="L39" s="37">
        <f>+'Annual Raw'!M10</f>
        <v>13941.032300000001</v>
      </c>
      <c r="M39" s="37">
        <f>+'Annual Raw'!N10</f>
        <v>20167.233</v>
      </c>
      <c r="N39" s="37">
        <f>+'Annual Raw'!O10</f>
        <v>22884.929800000002</v>
      </c>
      <c r="O39" s="37">
        <f>+'Annual Raw'!P10</f>
        <v>27079.5694</v>
      </c>
      <c r="P39" s="37">
        <f>+'Annual Raw'!Q10</f>
        <v>32086.2461</v>
      </c>
      <c r="Q39" s="37">
        <f>+'Annual Raw'!R10</f>
        <v>30071.847099999999</v>
      </c>
      <c r="R39" s="37">
        <f>+'Annual Raw'!S10</f>
        <v>27464.7356</v>
      </c>
      <c r="S39" s="37">
        <f>+'Annual Raw'!T10</f>
        <v>27565.0707</v>
      </c>
      <c r="T39" s="37">
        <f>+'Annual Raw'!U10</f>
        <v>27110.141</v>
      </c>
      <c r="U39" s="37">
        <f>+'Annual Raw'!V10</f>
        <v>27096.288400000001</v>
      </c>
      <c r="V39" s="37">
        <f>+'Annual Raw'!W10</f>
        <v>26329.6031</v>
      </c>
      <c r="W39" s="37">
        <f>+'Annual Raw'!X10</f>
        <v>24013.7287</v>
      </c>
      <c r="X39" s="37">
        <f>+'Annual Raw'!Y10</f>
        <v>27372.819500000001</v>
      </c>
      <c r="Y39" s="37">
        <f>+'Annual Raw'!Z10</f>
        <v>37656.5746</v>
      </c>
      <c r="Z39" s="37">
        <f>+'Annual Raw'!AA10</f>
        <v>46432.350299999998</v>
      </c>
      <c r="AA39" s="37">
        <f>+'Annual Raw'!AB10</f>
        <v>49988.514300000003</v>
      </c>
      <c r="AB39" s="38">
        <f>SUM(BZ39:CC39)</f>
        <v>55843.873198123561</v>
      </c>
      <c r="AC39" s="38">
        <f>SUM(CD39:CG39)</f>
        <v>63253.135470304333</v>
      </c>
      <c r="AD39" s="38">
        <f>SUM(CH39:CK39)</f>
        <v>70926.494616220996</v>
      </c>
      <c r="AE39" s="38">
        <f>SUM(CL39:CO39)</f>
        <v>79922.372905081938</v>
      </c>
      <c r="AG39" s="59"/>
      <c r="AH39" s="37">
        <f>+'QTR Raw'!C9</f>
        <v>7905.91</v>
      </c>
      <c r="AI39" s="37">
        <f>+'QTR Raw'!D9</f>
        <v>7520.13</v>
      </c>
      <c r="AJ39" s="37">
        <f>+'QTR Raw'!E9</f>
        <v>7331.64</v>
      </c>
      <c r="AK39" s="37">
        <f>+'QTR Raw'!F9</f>
        <v>7314.16</v>
      </c>
      <c r="AL39" s="37">
        <f>+'QTR Raw'!G9</f>
        <v>6650.76</v>
      </c>
      <c r="AM39" s="37">
        <f>+'QTR Raw'!H9</f>
        <v>6738.74</v>
      </c>
      <c r="AN39" s="37">
        <f>+'QTR Raw'!I9</f>
        <v>6962.14</v>
      </c>
      <c r="AO39" s="37">
        <f>+'QTR Raw'!J9</f>
        <v>7113.11</v>
      </c>
      <c r="AP39" s="37">
        <f>+'QTR Raw'!K9</f>
        <v>6962.62</v>
      </c>
      <c r="AQ39" s="37">
        <f>+'QTR Raw'!L9</f>
        <v>6985.85</v>
      </c>
      <c r="AR39" s="37">
        <f>+'QTR Raw'!M9</f>
        <v>6833.61</v>
      </c>
      <c r="AS39" s="37">
        <f>+'QTR Raw'!N9</f>
        <v>6782.99</v>
      </c>
      <c r="AT39" s="37">
        <f>+'QTR Raw'!O9</f>
        <v>6658.56</v>
      </c>
      <c r="AU39" s="37">
        <f>+'QTR Raw'!P9</f>
        <v>6843.03</v>
      </c>
      <c r="AV39" s="37">
        <f>+'QTR Raw'!Q9</f>
        <v>6838.83</v>
      </c>
      <c r="AW39" s="37">
        <f>+'QTR Raw'!R9</f>
        <v>6769.72</v>
      </c>
      <c r="AX39" s="37">
        <f>+'QTR Raw'!S9</f>
        <v>6846.75</v>
      </c>
      <c r="AY39" s="37">
        <f>+'QTR Raw'!T9</f>
        <v>6797.68</v>
      </c>
      <c r="AZ39" s="37">
        <f>+'QTR Raw'!U9</f>
        <v>6716.89</v>
      </c>
      <c r="BA39" s="37">
        <f>+'QTR Raw'!V9</f>
        <v>6734.97</v>
      </c>
      <c r="BB39" s="37">
        <f>+'QTR Raw'!W9</f>
        <v>6753.1</v>
      </c>
      <c r="BC39" s="37">
        <f>+'QTR Raw'!X9</f>
        <v>6682.21</v>
      </c>
      <c r="BD39" s="37">
        <f>+'QTR Raw'!Y9</f>
        <v>6503.56</v>
      </c>
      <c r="BE39" s="37">
        <f>+'QTR Raw'!Z9</f>
        <v>6390.74</v>
      </c>
      <c r="BF39" s="37">
        <f>+'QTR Raw'!AA9</f>
        <v>6176.7</v>
      </c>
      <c r="BG39" s="37">
        <f>+'QTR Raw'!AB9</f>
        <v>5998.83</v>
      </c>
      <c r="BH39" s="37">
        <f>+'QTR Raw'!AC9</f>
        <v>5968.02</v>
      </c>
      <c r="BI39" s="37">
        <f>+'QTR Raw'!AD9</f>
        <v>5870.18</v>
      </c>
      <c r="BJ39" s="37">
        <f>+'QTR Raw'!AE9</f>
        <v>5900.21</v>
      </c>
      <c r="BK39" s="37">
        <f>+'QTR Raw'!AF9</f>
        <v>6413.8</v>
      </c>
      <c r="BL39" s="37">
        <f>+'QTR Raw'!AG9</f>
        <v>7132.72</v>
      </c>
      <c r="BM39" s="37">
        <f>+'QTR Raw'!AH9</f>
        <v>7926.09</v>
      </c>
      <c r="BN39" s="37">
        <f>+'QTR Raw'!AI9</f>
        <v>8444.6</v>
      </c>
      <c r="BO39" s="37">
        <f>+'QTR Raw'!AJ9</f>
        <v>9231.67</v>
      </c>
      <c r="BP39" s="37">
        <f>+'QTR Raw'!AK9</f>
        <v>9754.51</v>
      </c>
      <c r="BQ39" s="37">
        <f>+'QTR Raw'!AL9</f>
        <v>10225.799999999999</v>
      </c>
      <c r="BR39" s="37">
        <f>+'QTR Raw'!AM9</f>
        <v>10662.21</v>
      </c>
      <c r="BS39" s="37">
        <f>+'QTR Raw'!AN9</f>
        <v>11369.44</v>
      </c>
      <c r="BT39" s="37">
        <f>+'QTR Raw'!AO9</f>
        <v>12140.21</v>
      </c>
      <c r="BU39" s="37">
        <f>+'QTR Raw'!AP9</f>
        <v>12260.49</v>
      </c>
      <c r="BV39" s="37">
        <f>+'QTR Raw'!AQ9</f>
        <v>12284.08</v>
      </c>
      <c r="BW39" s="37">
        <f>+'QTR Raw'!AR9</f>
        <v>12492.32</v>
      </c>
      <c r="BX39" s="37">
        <f>+'QTR Raw'!AS9</f>
        <v>12466.44</v>
      </c>
      <c r="BY39" s="37">
        <f>+'QTR Raw'!AT9</f>
        <v>12745.67</v>
      </c>
      <c r="BZ39" s="38">
        <f t="shared" ref="BZ39:CC39" si="561">BZ13*BY5</f>
        <v>13441.093582330732</v>
      </c>
      <c r="CA39" s="38">
        <f t="shared" si="561"/>
        <v>13812.329472339066</v>
      </c>
      <c r="CB39" s="38">
        <f t="shared" si="561"/>
        <v>14027.814246947333</v>
      </c>
      <c r="CC39" s="38">
        <f t="shared" si="561"/>
        <v>14562.63589650643</v>
      </c>
      <c r="CD39" s="38">
        <f t="shared" ref="CD39" si="562">CD13*CC5</f>
        <v>15230.102976070255</v>
      </c>
      <c r="CE39" s="38">
        <f t="shared" ref="CE39" si="563">CE13*CD5</f>
        <v>15601.325400041193</v>
      </c>
      <c r="CF39" s="38">
        <f t="shared" ref="CF39" si="564">CF13*CE5</f>
        <v>15898.901813797784</v>
      </c>
      <c r="CG39" s="38">
        <f t="shared" ref="CG39" si="565">CG13*CF5</f>
        <v>16522.8052803951</v>
      </c>
      <c r="CH39" s="38">
        <f t="shared" ref="CH39" si="566">CH13*CG5</f>
        <v>17111.075821397855</v>
      </c>
      <c r="CI39" s="38">
        <f t="shared" ref="CI39" si="567">CI13*CH5</f>
        <v>17516.11329390997</v>
      </c>
      <c r="CJ39" s="38">
        <f t="shared" ref="CJ39" si="568">CJ13*CI5</f>
        <v>17823.174400504988</v>
      </c>
      <c r="CK39" s="38">
        <f t="shared" ref="CK39" si="569">CK13*CJ5</f>
        <v>18476.131100408187</v>
      </c>
      <c r="CL39" s="38">
        <f t="shared" ref="CL39" si="570">CL13*CK5</f>
        <v>19260.616089902152</v>
      </c>
      <c r="CM39" s="38">
        <f t="shared" ref="CM39" si="571">CM13*CL5</f>
        <v>19725.826958933281</v>
      </c>
      <c r="CN39" s="38">
        <f t="shared" ref="CN39" si="572">CN13*CM5</f>
        <v>20085.112231075822</v>
      </c>
      <c r="CO39" s="38">
        <f t="shared" ref="CO39" si="573">CO13*CN5</f>
        <v>20850.817625170686</v>
      </c>
      <c r="CT39" s="37">
        <v>49988.514300000003</v>
      </c>
    </row>
    <row r="40" spans="1:98" s="39" customFormat="1" x14ac:dyDescent="0.2">
      <c r="A40" s="39" t="s">
        <v>8</v>
      </c>
      <c r="B40" s="39">
        <f t="shared" ref="B40:O40" si="574">B38-B39</f>
        <v>1653.8395999999998</v>
      </c>
      <c r="C40" s="39">
        <f t="shared" si="574"/>
        <v>1825.4928999999997</v>
      </c>
      <c r="D40" s="39">
        <f t="shared" si="574"/>
        <v>2036.2045999999996</v>
      </c>
      <c r="E40" s="39">
        <f t="shared" si="574"/>
        <v>2201.4295000000002</v>
      </c>
      <c r="F40" s="39">
        <f t="shared" si="574"/>
        <v>2236.8869000000004</v>
      </c>
      <c r="G40" s="39">
        <f t="shared" si="574"/>
        <v>2631.9782999999998</v>
      </c>
      <c r="H40" s="39">
        <f t="shared" si="574"/>
        <v>3440.4655999999995</v>
      </c>
      <c r="I40" s="39">
        <f t="shared" si="574"/>
        <v>4229.2695000000003</v>
      </c>
      <c r="J40" s="39">
        <f t="shared" si="574"/>
        <v>5498.9048000000003</v>
      </c>
      <c r="K40" s="39">
        <f t="shared" si="574"/>
        <v>5755.9449999999997</v>
      </c>
      <c r="L40" s="39">
        <f t="shared" si="574"/>
        <v>7810.691499999999</v>
      </c>
      <c r="M40" s="39">
        <f t="shared" si="574"/>
        <v>8313.4333999999981</v>
      </c>
      <c r="N40" s="39">
        <f t="shared" si="574"/>
        <v>9023.9991999999984</v>
      </c>
      <c r="O40" s="39">
        <f t="shared" si="574"/>
        <v>10830.532200000001</v>
      </c>
      <c r="P40" s="39">
        <f t="shared" ref="P40:W40" si="575">P38-P39</f>
        <v>11378.460600000002</v>
      </c>
      <c r="Q40" s="39">
        <f t="shared" si="575"/>
        <v>11724.6227</v>
      </c>
      <c r="R40" s="39">
        <f t="shared" si="575"/>
        <v>11826.116699999999</v>
      </c>
      <c r="S40" s="39">
        <f t="shared" si="575"/>
        <v>10506.338200000002</v>
      </c>
      <c r="T40" s="39">
        <f t="shared" si="575"/>
        <v>13657.670199999997</v>
      </c>
      <c r="U40" s="39">
        <f t="shared" si="575"/>
        <v>15256.978399999996</v>
      </c>
      <c r="V40" s="39">
        <f t="shared" si="575"/>
        <v>14269.835399999996</v>
      </c>
      <c r="W40" s="39">
        <f t="shared" si="575"/>
        <v>14062.097200000004</v>
      </c>
      <c r="X40" s="39">
        <f t="shared" ref="X40" si="576">X38-X39</f>
        <v>20274.9028</v>
      </c>
      <c r="Y40" s="39">
        <f t="shared" ref="Y40" si="577">Y38-Y39</f>
        <v>23052.915800000002</v>
      </c>
      <c r="Z40" s="39">
        <f t="shared" ref="Z40:AA40" si="578">Z38-Z39</f>
        <v>24393.947900000006</v>
      </c>
      <c r="AA40" s="39">
        <f t="shared" ref="AA40" si="579">AA38-AA39</f>
        <v>25172.754399999998</v>
      </c>
      <c r="AB40" s="40">
        <f t="shared" ref="AB40" si="580">AB38-AB39</f>
        <v>27209.694433019729</v>
      </c>
      <c r="AC40" s="40">
        <f t="shared" ref="AC40" si="581">AC38-AC39</f>
        <v>29446.852912116869</v>
      </c>
      <c r="AD40" s="40">
        <f t="shared" ref="AD40" si="582">AD38-AD39</f>
        <v>32889.585166627789</v>
      </c>
      <c r="AE40" s="40">
        <f t="shared" ref="AE40" si="583">AE38-AE39</f>
        <v>37028.270849490465</v>
      </c>
      <c r="AG40" s="60"/>
      <c r="AH40" s="39">
        <f t="shared" ref="AH40" si="584">AH38-AH39</f>
        <v>2912.6800000000003</v>
      </c>
      <c r="AI40" s="39">
        <f t="shared" ref="AI40:BV40" si="585">AI38-AI39</f>
        <v>3019.7400000000007</v>
      </c>
      <c r="AJ40" s="39">
        <f t="shared" si="585"/>
        <v>2708.04</v>
      </c>
      <c r="AK40" s="39">
        <f t="shared" si="585"/>
        <v>3187.16</v>
      </c>
      <c r="AL40" s="39">
        <f t="shared" si="585"/>
        <v>2775.17</v>
      </c>
      <c r="AM40" s="39">
        <f t="shared" si="585"/>
        <v>2719.74</v>
      </c>
      <c r="AN40" s="39">
        <f t="shared" si="585"/>
        <v>2862.6099999999997</v>
      </c>
      <c r="AO40" s="39">
        <f t="shared" si="585"/>
        <v>3468.5800000000008</v>
      </c>
      <c r="AP40" s="39">
        <f t="shared" si="585"/>
        <v>2533.0299999999997</v>
      </c>
      <c r="AQ40" s="39">
        <f t="shared" si="585"/>
        <v>2908.24</v>
      </c>
      <c r="AR40" s="39">
        <f t="shared" si="585"/>
        <v>2501.2300000000005</v>
      </c>
      <c r="AS40" s="39">
        <f t="shared" si="585"/>
        <v>2563.8500000000004</v>
      </c>
      <c r="AT40" s="39">
        <f t="shared" si="585"/>
        <v>3354.3</v>
      </c>
      <c r="AU40" s="39">
        <f t="shared" si="585"/>
        <v>2926.79</v>
      </c>
      <c r="AV40" s="39">
        <f t="shared" si="585"/>
        <v>3332.1800000000003</v>
      </c>
      <c r="AW40" s="39">
        <f t="shared" si="585"/>
        <v>4044.4000000000005</v>
      </c>
      <c r="AX40" s="39">
        <f t="shared" si="585"/>
        <v>3485.42</v>
      </c>
      <c r="AY40" s="39">
        <f t="shared" si="585"/>
        <v>3860.4599999999991</v>
      </c>
      <c r="AZ40" s="39">
        <f t="shared" si="585"/>
        <v>4118.03</v>
      </c>
      <c r="BA40" s="39">
        <f t="shared" si="585"/>
        <v>3793.05</v>
      </c>
      <c r="BB40" s="39">
        <f t="shared" si="585"/>
        <v>3481.1399999999994</v>
      </c>
      <c r="BC40" s="39">
        <f t="shared" si="585"/>
        <v>4113.3</v>
      </c>
      <c r="BD40" s="39">
        <f t="shared" si="585"/>
        <v>3739.54</v>
      </c>
      <c r="BE40" s="39">
        <f t="shared" si="585"/>
        <v>2935.8600000000006</v>
      </c>
      <c r="BF40" s="39">
        <f t="shared" si="585"/>
        <v>3144.6099999999997</v>
      </c>
      <c r="BG40" s="39">
        <f t="shared" si="585"/>
        <v>3523.4799999999996</v>
      </c>
      <c r="BH40" s="39">
        <f t="shared" si="585"/>
        <v>3407.8999999999996</v>
      </c>
      <c r="BI40" s="39">
        <f t="shared" si="585"/>
        <v>3986.1000000000004</v>
      </c>
      <c r="BJ40" s="39">
        <f t="shared" si="585"/>
        <v>4072.4299999999994</v>
      </c>
      <c r="BK40" s="39">
        <f t="shared" si="585"/>
        <v>5083.5999999999995</v>
      </c>
      <c r="BL40" s="39">
        <f t="shared" si="585"/>
        <v>5595.03</v>
      </c>
      <c r="BM40" s="39">
        <f t="shared" si="585"/>
        <v>5523.84</v>
      </c>
      <c r="BN40" s="39">
        <f t="shared" si="585"/>
        <v>5914.0299999999988</v>
      </c>
      <c r="BO40" s="39">
        <f t="shared" si="585"/>
        <v>5739.51</v>
      </c>
      <c r="BP40" s="39">
        <f t="shared" si="585"/>
        <v>5463.4699999999993</v>
      </c>
      <c r="BQ40" s="39">
        <f t="shared" si="585"/>
        <v>5935.9000000000015</v>
      </c>
      <c r="BR40" s="39">
        <f t="shared" si="585"/>
        <v>6275.8100000000013</v>
      </c>
      <c r="BS40" s="39">
        <f t="shared" si="585"/>
        <v>5985.1099999999988</v>
      </c>
      <c r="BT40" s="39">
        <f t="shared" si="585"/>
        <v>6070.3100000000013</v>
      </c>
      <c r="BU40" s="39">
        <f t="shared" si="585"/>
        <v>6062.7199999999993</v>
      </c>
      <c r="BV40" s="39">
        <f t="shared" si="585"/>
        <v>6068.1099999999988</v>
      </c>
      <c r="BW40" s="39">
        <f t="shared" ref="BW40:BX40" si="586">BW38-BW39</f>
        <v>5913.77</v>
      </c>
      <c r="BX40" s="39">
        <f t="shared" si="586"/>
        <v>6460.6900000000005</v>
      </c>
      <c r="BY40" s="39">
        <f t="shared" ref="BY40" si="587">BY38-BY39</f>
        <v>6730.1900000000005</v>
      </c>
      <c r="BZ40" s="40">
        <f t="shared" ref="BZ40:CC40" si="588">BZ38-BZ39</f>
        <v>6564.3004884362581</v>
      </c>
      <c r="CA40" s="40">
        <f t="shared" si="588"/>
        <v>6726.2010949454616</v>
      </c>
      <c r="CB40" s="40">
        <f t="shared" si="588"/>
        <v>6878.4896027732411</v>
      </c>
      <c r="CC40" s="40">
        <f t="shared" si="588"/>
        <v>7040.7032468647576</v>
      </c>
      <c r="CD40" s="40">
        <f t="shared" ref="CD40:CO40" si="589">CD38-CD39</f>
        <v>7197.1612495961235</v>
      </c>
      <c r="CE40" s="40">
        <f t="shared" si="589"/>
        <v>7311.1407745008055</v>
      </c>
      <c r="CF40" s="40">
        <f t="shared" si="589"/>
        <v>7378.1365608282649</v>
      </c>
      <c r="CG40" s="40">
        <f t="shared" si="589"/>
        <v>7560.4143271916691</v>
      </c>
      <c r="CH40" s="40">
        <f t="shared" si="589"/>
        <v>7968.3436909303782</v>
      </c>
      <c r="CI40" s="40">
        <f t="shared" si="589"/>
        <v>8127.0361783783301</v>
      </c>
      <c r="CJ40" s="40">
        <f t="shared" si="589"/>
        <v>8248.8824415452655</v>
      </c>
      <c r="CK40" s="40">
        <f t="shared" si="589"/>
        <v>8545.3228557738075</v>
      </c>
      <c r="CL40" s="40">
        <f t="shared" si="589"/>
        <v>8932.0026556230441</v>
      </c>
      <c r="CM40" s="40">
        <f t="shared" si="589"/>
        <v>9138.1966571382036</v>
      </c>
      <c r="CN40" s="40">
        <f t="shared" si="589"/>
        <v>9301.0546874461324</v>
      </c>
      <c r="CO40" s="40">
        <f t="shared" si="589"/>
        <v>9657.016849283089</v>
      </c>
      <c r="CT40" s="39">
        <v>25172.754399999998</v>
      </c>
    </row>
    <row r="41" spans="1:98" s="37" customFormat="1" x14ac:dyDescent="0.2">
      <c r="A41" s="37" t="s">
        <v>3</v>
      </c>
      <c r="B41" s="37">
        <f>+'Annual Raw'!C8</f>
        <v>861.91129999999998</v>
      </c>
      <c r="C41" s="37">
        <f>+'Annual Raw'!D8</f>
        <v>1117.4603</v>
      </c>
      <c r="D41" s="37">
        <f>+'Annual Raw'!E8</f>
        <v>1642.3735999999999</v>
      </c>
      <c r="E41" s="37">
        <f>+'Annual Raw'!F8</f>
        <v>1791.9908</v>
      </c>
      <c r="F41" s="37">
        <f>+'Annual Raw'!G8</f>
        <v>1155.7950000000001</v>
      </c>
      <c r="G41" s="37">
        <f>+'Annual Raw'!H8</f>
        <v>1184.3797999999999</v>
      </c>
      <c r="H41" s="37">
        <f>+'Annual Raw'!I8</f>
        <v>1562.9532999999999</v>
      </c>
      <c r="I41" s="37">
        <f>+'Annual Raw'!J8</f>
        <v>2116.9261000000001</v>
      </c>
      <c r="J41" s="37">
        <f>+'Annual Raw'!K8</f>
        <v>3051.8627000000001</v>
      </c>
      <c r="K41" s="37">
        <f>+'Annual Raw'!L8</f>
        <v>2616.6363000000001</v>
      </c>
      <c r="L41" s="37">
        <f>+'Annual Raw'!M8</f>
        <v>2641.7748999999999</v>
      </c>
      <c r="M41" s="37">
        <f>+'Annual Raw'!N8</f>
        <v>3321.1732000000002</v>
      </c>
      <c r="N41" s="37">
        <f>+'Annual Raw'!O8</f>
        <v>3766.0430999999999</v>
      </c>
      <c r="O41" s="37">
        <f>+'Annual Raw'!P8</f>
        <v>4291.8396000000002</v>
      </c>
      <c r="P41" s="37">
        <f>+'Annual Raw'!Q8</f>
        <v>4197.9002</v>
      </c>
      <c r="Q41" s="37">
        <f>+'Annual Raw'!R8</f>
        <v>3652.5389</v>
      </c>
      <c r="R41" s="37">
        <f>+'Annual Raw'!S8</f>
        <v>6772.3303999999998</v>
      </c>
      <c r="S41" s="37">
        <f>+'Annual Raw'!T8</f>
        <v>5733.7570999999998</v>
      </c>
      <c r="T41" s="37">
        <f>+'Annual Raw'!U8</f>
        <v>4658.8882999999996</v>
      </c>
      <c r="U41" s="37">
        <f>+'Annual Raw'!V8</f>
        <v>6713.0740999999998</v>
      </c>
      <c r="V41" s="37">
        <f>+'Annual Raw'!W8</f>
        <v>6841.8656000000001</v>
      </c>
      <c r="W41" s="37">
        <f>+'Annual Raw'!X8</f>
        <v>7878.7317000000003</v>
      </c>
      <c r="X41" s="37">
        <f>+'Annual Raw'!Y8</f>
        <v>7099.8904000000002</v>
      </c>
      <c r="Y41" s="37">
        <f>+'Annual Raw'!Z8</f>
        <v>6094.8537999999999</v>
      </c>
      <c r="Z41" s="37">
        <f>+'Annual Raw'!AA8</f>
        <v>8993.6226000000006</v>
      </c>
      <c r="AA41" s="37">
        <f>+'Annual Raw'!AB8</f>
        <v>9874.2756000000008</v>
      </c>
      <c r="AB41" s="38">
        <f>SUM(BZ41:CC41)</f>
        <v>11329.123783950541</v>
      </c>
      <c r="AC41" s="38">
        <f>SUM(CD41:CG41)</f>
        <v>12769.406544390538</v>
      </c>
      <c r="AD41" s="38">
        <f>SUM(CH41:CK41)</f>
        <v>14331.568098033973</v>
      </c>
      <c r="AE41" s="38">
        <f>SUM(CL41:CO41)</f>
        <v>16151.274151897458</v>
      </c>
      <c r="AG41" s="59"/>
      <c r="AH41" s="37">
        <f>+'QTR Raw'!C7</f>
        <v>840.57</v>
      </c>
      <c r="AI41" s="37">
        <f>+'QTR Raw'!D7</f>
        <v>778.1</v>
      </c>
      <c r="AJ41" s="37">
        <f>+'QTR Raw'!E7</f>
        <v>1047.27</v>
      </c>
      <c r="AK41" s="37">
        <f>+'QTR Raw'!F7</f>
        <v>883.59</v>
      </c>
      <c r="AL41" s="37">
        <f>+'QTR Raw'!G7</f>
        <v>1238.43</v>
      </c>
      <c r="AM41" s="37">
        <f>+'QTR Raw'!H7</f>
        <v>2010.63</v>
      </c>
      <c r="AN41" s="37">
        <f>+'QTR Raw'!I7</f>
        <v>1769.25</v>
      </c>
      <c r="AO41" s="37">
        <f>+'QTR Raw'!J7</f>
        <v>1754.02</v>
      </c>
      <c r="AP41" s="37">
        <f>+'QTR Raw'!K7</f>
        <v>1610.96</v>
      </c>
      <c r="AQ41" s="37">
        <f>+'QTR Raw'!L7</f>
        <v>1706.38</v>
      </c>
      <c r="AR41" s="37">
        <f>+'QTR Raw'!M7</f>
        <v>1041.19</v>
      </c>
      <c r="AS41" s="37">
        <f>+'QTR Raw'!N7</f>
        <v>1375.23</v>
      </c>
      <c r="AT41" s="37">
        <f>+'QTR Raw'!O7</f>
        <v>618.16</v>
      </c>
      <c r="AU41" s="37">
        <f>+'QTR Raw'!P7</f>
        <v>1030.42</v>
      </c>
      <c r="AV41" s="37">
        <f>+'QTR Raw'!Q7</f>
        <v>1530.83</v>
      </c>
      <c r="AW41" s="37">
        <f>+'QTR Raw'!R7</f>
        <v>1479.47</v>
      </c>
      <c r="AX41" s="37">
        <f>+'QTR Raw'!S7</f>
        <v>1194.78</v>
      </c>
      <c r="AY41" s="37">
        <f>+'QTR Raw'!T7</f>
        <v>1327.36</v>
      </c>
      <c r="AZ41" s="37">
        <f>+'QTR Raw'!U7</f>
        <v>2503.17</v>
      </c>
      <c r="BA41" s="37">
        <f>+'QTR Raw'!V7</f>
        <v>1687.76</v>
      </c>
      <c r="BB41" s="37">
        <f>+'QTR Raw'!W7</f>
        <v>1707.28</v>
      </c>
      <c r="BC41" s="37">
        <f>+'QTR Raw'!X7</f>
        <v>1346.01</v>
      </c>
      <c r="BD41" s="37">
        <f>+'QTR Raw'!Y7</f>
        <v>1897.34</v>
      </c>
      <c r="BE41" s="37">
        <f>+'QTR Raw'!Z7</f>
        <v>1828.93</v>
      </c>
      <c r="BF41" s="37">
        <f>+'QTR Raw'!AA7</f>
        <v>2320.06</v>
      </c>
      <c r="BG41" s="37">
        <f>+'QTR Raw'!AB7</f>
        <v>2136.2800000000002</v>
      </c>
      <c r="BH41" s="37">
        <f>+'QTR Raw'!AC7</f>
        <v>1835.22</v>
      </c>
      <c r="BI41" s="37">
        <f>+'QTR Raw'!AD7</f>
        <v>1587.18</v>
      </c>
      <c r="BJ41" s="37">
        <f>+'QTR Raw'!AE7</f>
        <v>1151.72</v>
      </c>
      <c r="BK41" s="37">
        <f>+'QTR Raw'!AF7</f>
        <v>1417.32</v>
      </c>
      <c r="BL41" s="37">
        <f>+'QTR Raw'!AG7</f>
        <v>1431.85</v>
      </c>
      <c r="BM41" s="37">
        <f>+'QTR Raw'!AH7</f>
        <v>3099</v>
      </c>
      <c r="BN41" s="37">
        <f>+'QTR Raw'!AI7</f>
        <v>1462.45</v>
      </c>
      <c r="BO41" s="37">
        <f>+'QTR Raw'!AJ7</f>
        <v>1687.95</v>
      </c>
      <c r="BP41" s="37">
        <f>+'QTR Raw'!AK7</f>
        <v>1193.1199999999999</v>
      </c>
      <c r="BQ41" s="37">
        <f>+'QTR Raw'!AL7</f>
        <v>1751.33</v>
      </c>
      <c r="BR41" s="37">
        <f>+'QTR Raw'!AM7</f>
        <v>1302</v>
      </c>
      <c r="BS41" s="37">
        <f>+'QTR Raw'!AN7</f>
        <v>2517.65</v>
      </c>
      <c r="BT41" s="37">
        <f>+'QTR Raw'!AO7</f>
        <v>1746.38</v>
      </c>
      <c r="BU41" s="37">
        <f>+'QTR Raw'!AP7</f>
        <v>3427.59</v>
      </c>
      <c r="BV41" s="37">
        <f>+'QTR Raw'!AQ7</f>
        <v>2166.1</v>
      </c>
      <c r="BW41" s="37">
        <f>+'QTR Raw'!AR7</f>
        <v>2219.83</v>
      </c>
      <c r="BX41" s="37">
        <f>+'QTR Raw'!AS7</f>
        <v>2278.8200000000002</v>
      </c>
      <c r="BY41" s="37">
        <f>+'QTR Raw'!AT7</f>
        <v>3209.52</v>
      </c>
      <c r="BZ41" s="38">
        <f t="shared" ref="BZ41:CC41" si="590">BZ15*BY5</f>
        <v>2622.1199571507664</v>
      </c>
      <c r="CA41" s="38">
        <f t="shared" si="590"/>
        <v>2759.141109490763</v>
      </c>
      <c r="CB41" s="38">
        <f t="shared" si="590"/>
        <v>2879.3163503146875</v>
      </c>
      <c r="CC41" s="38">
        <f t="shared" si="590"/>
        <v>3068.5463669943247</v>
      </c>
      <c r="CD41" s="38">
        <f t="shared" ref="CD41" si="591">CD15*CC5</f>
        <v>3056.8220043659071</v>
      </c>
      <c r="CE41" s="38">
        <f t="shared" ref="CE41" si="592">CE15*CD5</f>
        <v>3152.8602073345578</v>
      </c>
      <c r="CF41" s="38">
        <f t="shared" ref="CF41" si="593">CF15*CE5</f>
        <v>3221.9771897148385</v>
      </c>
      <c r="CG41" s="38">
        <f t="shared" ref="CG41" si="594">CG15*CF5</f>
        <v>3337.747142975235</v>
      </c>
      <c r="CH41" s="38">
        <f t="shared" ref="CH41" si="595">CH15*CG5</f>
        <v>3454.1635798992052</v>
      </c>
      <c r="CI41" s="38">
        <f t="shared" ref="CI41" si="596">CI15*CH5</f>
        <v>3540.9653336369147</v>
      </c>
      <c r="CJ41" s="38">
        <f t="shared" ref="CJ41" si="597">CJ15*CI5</f>
        <v>3603.3297320177303</v>
      </c>
      <c r="CK41" s="38">
        <f t="shared" ref="CK41" si="598">CK15*CJ5</f>
        <v>3733.1094524801229</v>
      </c>
      <c r="CL41" s="38">
        <f t="shared" ref="CL41" si="599">CL15*CK5</f>
        <v>3891.817522097881</v>
      </c>
      <c r="CM41" s="38">
        <f t="shared" ref="CM41" si="600">CM15*CL5</f>
        <v>3986.7723868398639</v>
      </c>
      <c r="CN41" s="38">
        <f t="shared" ref="CN41" si="601">CN15*CM5</f>
        <v>4059.1590706282304</v>
      </c>
      <c r="CO41" s="38">
        <f t="shared" ref="CO41" si="602">CO15*CN5</f>
        <v>4213.5251723314841</v>
      </c>
      <c r="CT41" s="37">
        <v>9874.2756000000008</v>
      </c>
    </row>
    <row r="42" spans="1:98" s="39" customFormat="1" x14ac:dyDescent="0.2">
      <c r="A42" s="39" t="s">
        <v>10</v>
      </c>
      <c r="B42" s="39">
        <f t="shared" ref="B42:O42" si="603">B40+B41</f>
        <v>2515.7509</v>
      </c>
      <c r="C42" s="39">
        <f t="shared" si="603"/>
        <v>2942.9531999999999</v>
      </c>
      <c r="D42" s="39">
        <f t="shared" si="603"/>
        <v>3678.5781999999995</v>
      </c>
      <c r="E42" s="39">
        <f t="shared" si="603"/>
        <v>3993.4203000000002</v>
      </c>
      <c r="F42" s="39">
        <f t="shared" si="603"/>
        <v>3392.6819000000005</v>
      </c>
      <c r="G42" s="39">
        <f t="shared" si="603"/>
        <v>3816.3580999999995</v>
      </c>
      <c r="H42" s="39">
        <f t="shared" si="603"/>
        <v>5003.4188999999997</v>
      </c>
      <c r="I42" s="39">
        <f t="shared" si="603"/>
        <v>6346.1956000000009</v>
      </c>
      <c r="J42" s="39">
        <f t="shared" si="603"/>
        <v>8550.7674999999999</v>
      </c>
      <c r="K42" s="39">
        <f t="shared" si="603"/>
        <v>8372.5812999999998</v>
      </c>
      <c r="L42" s="39">
        <f t="shared" si="603"/>
        <v>10452.466399999999</v>
      </c>
      <c r="M42" s="39">
        <f t="shared" si="603"/>
        <v>11634.606599999999</v>
      </c>
      <c r="N42" s="39">
        <f t="shared" si="603"/>
        <v>12790.042299999997</v>
      </c>
      <c r="O42" s="39">
        <f t="shared" si="603"/>
        <v>15122.371800000001</v>
      </c>
      <c r="P42" s="39">
        <f t="shared" ref="P42:X42" si="604">P40+P41</f>
        <v>15576.360800000002</v>
      </c>
      <c r="Q42" s="39">
        <f t="shared" si="604"/>
        <v>15377.161599999999</v>
      </c>
      <c r="R42" s="39">
        <f t="shared" si="604"/>
        <v>18598.447099999998</v>
      </c>
      <c r="S42" s="39">
        <f t="shared" si="604"/>
        <v>16240.095300000001</v>
      </c>
      <c r="T42" s="39">
        <f t="shared" si="604"/>
        <v>18316.558499999996</v>
      </c>
      <c r="U42" s="39">
        <f t="shared" si="604"/>
        <v>21970.052499999998</v>
      </c>
      <c r="V42" s="39">
        <f t="shared" si="604"/>
        <v>21111.700999999997</v>
      </c>
      <c r="W42" s="39">
        <f t="shared" si="604"/>
        <v>21940.828900000004</v>
      </c>
      <c r="X42" s="39">
        <f t="shared" si="604"/>
        <v>27374.7932</v>
      </c>
      <c r="Y42" s="39">
        <f t="shared" ref="Y42" si="605">Y40+Y41</f>
        <v>29147.769600000003</v>
      </c>
      <c r="Z42" s="39">
        <f t="shared" ref="Z42:AA42" si="606">Z40+Z41</f>
        <v>33387.570500000009</v>
      </c>
      <c r="AA42" s="39">
        <f t="shared" ref="AA42" si="607">AA40+AA41</f>
        <v>35047.03</v>
      </c>
      <c r="AB42" s="40">
        <f t="shared" ref="AB42" si="608">AB40+AB41</f>
        <v>38538.81821697027</v>
      </c>
      <c r="AC42" s="40">
        <f t="shared" ref="AC42" si="609">AC40+AC41</f>
        <v>42216.259456507411</v>
      </c>
      <c r="AD42" s="40">
        <f t="shared" ref="AD42" si="610">AD40+AD41</f>
        <v>47221.153264661763</v>
      </c>
      <c r="AE42" s="40">
        <f t="shared" ref="AE42" si="611">AE40+AE41</f>
        <v>53179.545001387924</v>
      </c>
      <c r="AG42" s="60"/>
      <c r="AH42" s="39">
        <f t="shared" ref="AH42" si="612">AH40+AH41</f>
        <v>3753.2500000000005</v>
      </c>
      <c r="AI42" s="39">
        <f t="shared" ref="AI42:BV42" si="613">AI40+AI41</f>
        <v>3797.8400000000006</v>
      </c>
      <c r="AJ42" s="39">
        <f t="shared" si="613"/>
        <v>3755.31</v>
      </c>
      <c r="AK42" s="39">
        <f t="shared" si="613"/>
        <v>4070.75</v>
      </c>
      <c r="AL42" s="39">
        <f t="shared" si="613"/>
        <v>4013.6000000000004</v>
      </c>
      <c r="AM42" s="39">
        <f t="shared" si="613"/>
        <v>4730.37</v>
      </c>
      <c r="AN42" s="39">
        <f t="shared" si="613"/>
        <v>4631.8599999999997</v>
      </c>
      <c r="AO42" s="39">
        <f t="shared" si="613"/>
        <v>5222.6000000000004</v>
      </c>
      <c r="AP42" s="39">
        <f t="shared" si="613"/>
        <v>4143.99</v>
      </c>
      <c r="AQ42" s="39">
        <f t="shared" si="613"/>
        <v>4614.62</v>
      </c>
      <c r="AR42" s="39">
        <f t="shared" si="613"/>
        <v>3542.4200000000005</v>
      </c>
      <c r="AS42" s="39">
        <f t="shared" si="613"/>
        <v>3939.0800000000004</v>
      </c>
      <c r="AT42" s="39">
        <f t="shared" si="613"/>
        <v>3972.46</v>
      </c>
      <c r="AU42" s="39">
        <f t="shared" si="613"/>
        <v>3957.21</v>
      </c>
      <c r="AV42" s="39">
        <f t="shared" si="613"/>
        <v>4863.01</v>
      </c>
      <c r="AW42" s="39">
        <f t="shared" si="613"/>
        <v>5523.8700000000008</v>
      </c>
      <c r="AX42" s="39">
        <f t="shared" si="613"/>
        <v>4680.2</v>
      </c>
      <c r="AY42" s="39">
        <f t="shared" si="613"/>
        <v>5187.8199999999988</v>
      </c>
      <c r="AZ42" s="39">
        <f t="shared" si="613"/>
        <v>6621.2</v>
      </c>
      <c r="BA42" s="39">
        <f t="shared" si="613"/>
        <v>5480.81</v>
      </c>
      <c r="BB42" s="39">
        <f t="shared" si="613"/>
        <v>5188.4199999999992</v>
      </c>
      <c r="BC42" s="39">
        <f t="shared" si="613"/>
        <v>5459.31</v>
      </c>
      <c r="BD42" s="39">
        <f t="shared" si="613"/>
        <v>5636.88</v>
      </c>
      <c r="BE42" s="39">
        <f t="shared" si="613"/>
        <v>4764.7900000000009</v>
      </c>
      <c r="BF42" s="39">
        <f t="shared" si="613"/>
        <v>5464.67</v>
      </c>
      <c r="BG42" s="39">
        <f t="shared" si="613"/>
        <v>5659.76</v>
      </c>
      <c r="BH42" s="39">
        <f t="shared" si="613"/>
        <v>5243.12</v>
      </c>
      <c r="BI42" s="39">
        <f t="shared" si="613"/>
        <v>5573.2800000000007</v>
      </c>
      <c r="BJ42" s="39">
        <f t="shared" si="613"/>
        <v>5224.1499999999996</v>
      </c>
      <c r="BK42" s="39">
        <f t="shared" si="613"/>
        <v>6500.9199999999992</v>
      </c>
      <c r="BL42" s="39">
        <f t="shared" si="613"/>
        <v>7026.8799999999992</v>
      </c>
      <c r="BM42" s="39">
        <f t="shared" si="613"/>
        <v>8622.84</v>
      </c>
      <c r="BN42" s="39">
        <f t="shared" si="613"/>
        <v>7376.4799999999987</v>
      </c>
      <c r="BO42" s="39">
        <f t="shared" si="613"/>
        <v>7427.46</v>
      </c>
      <c r="BP42" s="39">
        <f t="shared" si="613"/>
        <v>6656.5899999999992</v>
      </c>
      <c r="BQ42" s="39">
        <f t="shared" si="613"/>
        <v>7687.2300000000014</v>
      </c>
      <c r="BR42" s="39">
        <f t="shared" si="613"/>
        <v>7577.8100000000013</v>
      </c>
      <c r="BS42" s="39">
        <f t="shared" si="613"/>
        <v>8502.7599999999984</v>
      </c>
      <c r="BT42" s="39">
        <f t="shared" si="613"/>
        <v>7816.6900000000014</v>
      </c>
      <c r="BU42" s="39">
        <f t="shared" si="613"/>
        <v>9490.31</v>
      </c>
      <c r="BV42" s="39">
        <f t="shared" si="613"/>
        <v>8234.2099999999991</v>
      </c>
      <c r="BW42" s="39">
        <f t="shared" ref="BW42:BX42" si="614">BW40+BW41</f>
        <v>8133.6</v>
      </c>
      <c r="BX42" s="39">
        <f t="shared" si="614"/>
        <v>8739.51</v>
      </c>
      <c r="BY42" s="39">
        <f t="shared" ref="BY42" si="615">BY40+BY41</f>
        <v>9939.7100000000009</v>
      </c>
      <c r="BZ42" s="40">
        <f t="shared" ref="BZ42:CC42" si="616">BZ40+BZ41</f>
        <v>9186.420445587024</v>
      </c>
      <c r="CA42" s="40">
        <f t="shared" si="616"/>
        <v>9485.3422044362251</v>
      </c>
      <c r="CB42" s="40">
        <f t="shared" si="616"/>
        <v>9757.8059530879291</v>
      </c>
      <c r="CC42" s="40">
        <f t="shared" si="616"/>
        <v>10109.249613859083</v>
      </c>
      <c r="CD42" s="40">
        <f t="shared" ref="CD42:CO42" si="617">CD40+CD41</f>
        <v>10253.983253962031</v>
      </c>
      <c r="CE42" s="40">
        <f t="shared" si="617"/>
        <v>10464.000981835363</v>
      </c>
      <c r="CF42" s="40">
        <f t="shared" si="617"/>
        <v>10600.113750543103</v>
      </c>
      <c r="CG42" s="40">
        <f t="shared" si="617"/>
        <v>10898.161470166904</v>
      </c>
      <c r="CH42" s="40">
        <f t="shared" si="617"/>
        <v>11422.507270829583</v>
      </c>
      <c r="CI42" s="40">
        <f t="shared" si="617"/>
        <v>11668.001512015246</v>
      </c>
      <c r="CJ42" s="40">
        <f t="shared" si="617"/>
        <v>11852.212173562995</v>
      </c>
      <c r="CK42" s="40">
        <f t="shared" si="617"/>
        <v>12278.43230825393</v>
      </c>
      <c r="CL42" s="40">
        <f t="shared" si="617"/>
        <v>12823.820177720925</v>
      </c>
      <c r="CM42" s="40">
        <f t="shared" si="617"/>
        <v>13124.969043978068</v>
      </c>
      <c r="CN42" s="40">
        <f t="shared" si="617"/>
        <v>13360.213758074362</v>
      </c>
      <c r="CO42" s="40">
        <f t="shared" si="617"/>
        <v>13870.542021614572</v>
      </c>
      <c r="CT42" s="39">
        <v>35047.03</v>
      </c>
    </row>
    <row r="43" spans="1:98" s="72" customFormat="1" x14ac:dyDescent="0.2">
      <c r="A43" s="72" t="s">
        <v>15</v>
      </c>
      <c r="C43" s="72">
        <f t="shared" ref="C43" si="618">+IF(B42&lt;0,1-C42/B42,C42/B42-1)</f>
        <v>0.16981104925769874</v>
      </c>
      <c r="D43" s="72">
        <f t="shared" ref="D43" si="619">+IF(C42&lt;0,1-D42/C42,D42/C42-1)</f>
        <v>0.24996150125662875</v>
      </c>
      <c r="E43" s="72">
        <f t="shared" ref="E43" si="620">+IF(D42&lt;0,1-E42/D42,E42/D42-1)</f>
        <v>8.558798614095009E-2</v>
      </c>
      <c r="F43" s="72">
        <f t="shared" ref="F43" si="621">+IF(E42&lt;0,1-F42/E42,F42/E42-1)</f>
        <v>-0.1504320494389233</v>
      </c>
      <c r="G43" s="72">
        <f t="shared" ref="G43" si="622">+IF(F42&lt;0,1-G42/F42,G42/F42-1)</f>
        <v>0.12487943535171953</v>
      </c>
      <c r="H43" s="72">
        <f t="shared" ref="H43" si="623">+IF(G42&lt;0,1-H42/G42,H42/G42-1)</f>
        <v>0.31104544408450563</v>
      </c>
      <c r="I43" s="72">
        <f t="shared" ref="I43" si="624">+IF(H42&lt;0,1-I42/H42,I42/H42-1)</f>
        <v>0.26837183270823095</v>
      </c>
      <c r="J43" s="72">
        <f t="shared" ref="J43" si="625">+IF(I42&lt;0,1-J42/I42,J42/I42-1)</f>
        <v>0.34738480169126817</v>
      </c>
      <c r="K43" s="72">
        <f t="shared" ref="K43" si="626">+IF(J42&lt;0,1-K42/J42,K42/J42-1)</f>
        <v>-2.0838620626744908E-2</v>
      </c>
      <c r="L43" s="72">
        <f t="shared" ref="L43" si="627">+IF(K42&lt;0,1-L42/K42,L42/K42-1)</f>
        <v>0.24841623216008668</v>
      </c>
      <c r="M43" s="72">
        <f t="shared" ref="M43" si="628">+IF(L42&lt;0,1-M42/L42,M42/L42-1)</f>
        <v>0.11309677111231853</v>
      </c>
      <c r="N43" s="72">
        <f t="shared" ref="N43" si="629">+IF(M42&lt;0,1-N42/M42,N42/M42-1)</f>
        <v>9.931025085111167E-2</v>
      </c>
      <c r="O43" s="72">
        <f t="shared" ref="O43" si="630">+IF(N42&lt;0,1-O42/N42,O42/N42-1)</f>
        <v>0.18235510448624592</v>
      </c>
      <c r="P43" s="72">
        <f t="shared" ref="P43" si="631">+IF(O42&lt;0,1-P42/O42,P42/O42-1)</f>
        <v>3.002101826381498E-2</v>
      </c>
      <c r="Q43" s="72">
        <f t="shared" ref="Q43" si="632">+IF(P42&lt;0,1-Q42/P42,Q42/P42-1)</f>
        <v>-1.2788558416032769E-2</v>
      </c>
      <c r="R43" s="72">
        <f t="shared" ref="R43" si="633">+IF(Q42&lt;0,1-R42/Q42,R42/Q42-1)</f>
        <v>0.20948505216983593</v>
      </c>
      <c r="S43" s="72">
        <f t="shared" ref="S43" si="634">+IF(R42&lt;0,1-S42/R42,S42/R42-1)</f>
        <v>-0.12680369427187266</v>
      </c>
      <c r="T43" s="72">
        <f t="shared" ref="T43" si="635">+IF(S42&lt;0,1-T42/S42,T42/S42-1)</f>
        <v>0.12786028416963746</v>
      </c>
      <c r="U43" s="72">
        <f t="shared" ref="U43" si="636">+IF(T42&lt;0,1-U42/T42,U42/T42-1)</f>
        <v>0.199463998654551</v>
      </c>
      <c r="V43" s="72">
        <f t="shared" ref="V43" si="637">+IF(U42&lt;0,1-V42/U42,V42/U42-1)</f>
        <v>-3.906916016700468E-2</v>
      </c>
      <c r="W43" s="72">
        <f t="shared" ref="W43" si="638">+IF(V42&lt;0,1-W42/V42,W42/V42-1)</f>
        <v>3.9273382092708031E-2</v>
      </c>
      <c r="X43" s="72">
        <f t="shared" ref="X43" si="639">+IF(W42&lt;0,1-X42/W42,X42/W42-1)</f>
        <v>0.24766449457157913</v>
      </c>
      <c r="Y43" s="72">
        <f t="shared" ref="Y43" si="640">+IF(X42&lt;0,1-Y42/X42,Y42/X42-1)</f>
        <v>6.4766750457132316E-2</v>
      </c>
      <c r="Z43" s="75">
        <f>+IF(Y42&lt;0,1-Z42/Y42,Z42/Y42-1)</f>
        <v>0.145458844988263</v>
      </c>
      <c r="AA43" s="75">
        <f>+IF(Z42&lt;0,1-AA42/Z42,AA42/Z42-1)</f>
        <v>4.9702912645290809E-2</v>
      </c>
      <c r="AB43" s="73">
        <f t="shared" ref="AB43" si="641">+IF(AA42&lt;0,1-AB42/AA42,AB42/AA42-1)</f>
        <v>9.9631501356042707E-2</v>
      </c>
      <c r="AC43" s="73">
        <f t="shared" ref="AC43" si="642">AC42/AB42-1</f>
        <v>9.5421743833281614E-2</v>
      </c>
      <c r="AD43" s="73">
        <f t="shared" ref="AD43" si="643">AD42/AC42-1</f>
        <v>0.11855370117076713</v>
      </c>
      <c r="AE43" s="73">
        <f t="shared" ref="AE43" si="644">AE42/AD42-1</f>
        <v>0.12618056368363106</v>
      </c>
      <c r="AG43" s="74"/>
      <c r="AH43" s="75"/>
      <c r="AI43" s="75"/>
      <c r="AJ43" s="75"/>
      <c r="AK43" s="75"/>
      <c r="AL43" s="75">
        <f t="shared" ref="AL43:BV43" si="645">+IF(AH42&lt;0,1-AL42/AH42,AL42/AH42-1)</f>
        <v>6.9366548990874577E-2</v>
      </c>
      <c r="AM43" s="75">
        <f t="shared" si="645"/>
        <v>0.24554220293640583</v>
      </c>
      <c r="AN43" s="75">
        <f t="shared" si="645"/>
        <v>0.23341614939911737</v>
      </c>
      <c r="AO43" s="75">
        <f t="shared" si="645"/>
        <v>0.28295768593011128</v>
      </c>
      <c r="AP43" s="75">
        <f t="shared" si="645"/>
        <v>3.2487044050229175E-2</v>
      </c>
      <c r="AQ43" s="75">
        <f t="shared" si="645"/>
        <v>-2.446954466563922E-2</v>
      </c>
      <c r="AR43" s="75">
        <f t="shared" si="645"/>
        <v>-0.23520572728882116</v>
      </c>
      <c r="AS43" s="75">
        <f t="shared" si="645"/>
        <v>-0.24576264695745409</v>
      </c>
      <c r="AT43" s="75">
        <f t="shared" si="645"/>
        <v>-4.1392474402689117E-2</v>
      </c>
      <c r="AU43" s="75">
        <f t="shared" si="645"/>
        <v>-0.14246243461000041</v>
      </c>
      <c r="AV43" s="75">
        <f t="shared" si="645"/>
        <v>0.37279317528695066</v>
      </c>
      <c r="AW43" s="75">
        <f t="shared" si="645"/>
        <v>0.40232490835423507</v>
      </c>
      <c r="AX43" s="75">
        <f t="shared" si="645"/>
        <v>0.17816164291144521</v>
      </c>
      <c r="AY43" s="75">
        <f t="shared" si="645"/>
        <v>0.31097919999191315</v>
      </c>
      <c r="AZ43" s="75">
        <f t="shared" si="645"/>
        <v>0.36154357075144805</v>
      </c>
      <c r="BA43" s="75">
        <f t="shared" si="645"/>
        <v>-7.7952594829350241E-3</v>
      </c>
      <c r="BB43" s="75">
        <f t="shared" si="645"/>
        <v>0.10858937652237066</v>
      </c>
      <c r="BC43" s="75">
        <f t="shared" si="645"/>
        <v>5.2332193483968448E-2</v>
      </c>
      <c r="BD43" s="75">
        <f t="shared" si="645"/>
        <v>-0.14866187398054731</v>
      </c>
      <c r="BE43" s="75">
        <f t="shared" si="645"/>
        <v>-0.13064127382631385</v>
      </c>
      <c r="BF43" s="75">
        <f t="shared" si="645"/>
        <v>5.3243569333246032E-2</v>
      </c>
      <c r="BG43" s="75">
        <f t="shared" si="645"/>
        <v>3.671709428480896E-2</v>
      </c>
      <c r="BH43" s="75">
        <f t="shared" si="645"/>
        <v>-6.985424561104725E-2</v>
      </c>
      <c r="BI43" s="75">
        <f t="shared" si="645"/>
        <v>0.16968009083296431</v>
      </c>
      <c r="BJ43" s="75">
        <f t="shared" si="645"/>
        <v>-4.4013636688034263E-2</v>
      </c>
      <c r="BK43" s="75">
        <f t="shared" si="645"/>
        <v>0.14862114294599049</v>
      </c>
      <c r="BL43" s="75">
        <f t="shared" si="645"/>
        <v>0.3402096461648787</v>
      </c>
      <c r="BM43" s="75">
        <f t="shared" si="645"/>
        <v>0.54717509258461794</v>
      </c>
      <c r="BN43" s="75">
        <f t="shared" si="645"/>
        <v>0.41199620990974584</v>
      </c>
      <c r="BO43" s="75">
        <f t="shared" si="645"/>
        <v>0.1425244426942649</v>
      </c>
      <c r="BP43" s="75">
        <f t="shared" si="645"/>
        <v>-5.2696217951637148E-2</v>
      </c>
      <c r="BQ43" s="75">
        <f t="shared" si="645"/>
        <v>-0.10850369483835942</v>
      </c>
      <c r="BR43" s="75">
        <f t="shared" si="645"/>
        <v>2.7293505845606969E-2</v>
      </c>
      <c r="BS43" s="75">
        <f t="shared" si="645"/>
        <v>0.1447735834322903</v>
      </c>
      <c r="BT43" s="75">
        <f t="shared" si="645"/>
        <v>0.1742784218346034</v>
      </c>
      <c r="BU43" s="75">
        <f t="shared" si="645"/>
        <v>0.23455522990726152</v>
      </c>
      <c r="BV43" s="75">
        <f t="shared" si="645"/>
        <v>8.6621332548585617E-2</v>
      </c>
      <c r="BW43" s="75">
        <f>+IF(BS42&lt;0,1-BW42/BS42,BW42/BS42-1)</f>
        <v>-4.3416490645390216E-2</v>
      </c>
      <c r="BX43" s="75">
        <f>+IF(BT42&lt;0,1-BX42/BT42,BX42/BT42-1)</f>
        <v>0.11805764332473201</v>
      </c>
      <c r="BY43" s="75">
        <f>+IF(BU42&lt;0,1-BY42/BU42,BY42/BU42-1)</f>
        <v>4.7353563792963627E-2</v>
      </c>
      <c r="BZ43" s="35">
        <f t="shared" ref="BZ43:CO43" si="646">+IF(BV42&lt;0,1-BZ42/BV42,BZ42/BV42-1)</f>
        <v>0.11564077738933354</v>
      </c>
      <c r="CA43" s="35">
        <f t="shared" si="646"/>
        <v>0.1661923630909099</v>
      </c>
      <c r="CB43" s="35">
        <f t="shared" si="646"/>
        <v>0.11651636683154187</v>
      </c>
      <c r="CC43" s="35">
        <f t="shared" si="646"/>
        <v>1.7056796813899266E-2</v>
      </c>
      <c r="CD43" s="35">
        <f t="shared" si="646"/>
        <v>0.11621096755786353</v>
      </c>
      <c r="CE43" s="35">
        <f t="shared" si="646"/>
        <v>0.10317590618306061</v>
      </c>
      <c r="CF43" s="35">
        <f t="shared" si="646"/>
        <v>8.632143347640775E-2</v>
      </c>
      <c r="CG43" s="35">
        <f t="shared" si="646"/>
        <v>7.8038616756111789E-2</v>
      </c>
      <c r="CH43" s="35">
        <f t="shared" si="646"/>
        <v>0.11395805785191304</v>
      </c>
      <c r="CI43" s="35">
        <f t="shared" si="646"/>
        <v>0.11506120195037517</v>
      </c>
      <c r="CJ43" s="35">
        <f t="shared" si="646"/>
        <v>0.11812122515720547</v>
      </c>
      <c r="CK43" s="35">
        <f t="shared" si="646"/>
        <v>0.12665171477459203</v>
      </c>
      <c r="CL43" s="35">
        <f t="shared" si="646"/>
        <v>0.12267997504102879</v>
      </c>
      <c r="CM43" s="35">
        <f t="shared" si="646"/>
        <v>0.12486864442573942</v>
      </c>
      <c r="CN43" s="35">
        <f t="shared" si="646"/>
        <v>0.12723376551383758</v>
      </c>
      <c r="CO43" s="35">
        <f t="shared" si="646"/>
        <v>0.12966718172077862</v>
      </c>
      <c r="CT43" s="72">
        <v>4.9702912645290809E-2</v>
      </c>
    </row>
    <row r="44" spans="1:98" s="37" customFormat="1" x14ac:dyDescent="0.2">
      <c r="A44" s="37" t="s">
        <v>0</v>
      </c>
      <c r="B44" s="37">
        <f>+'Annual Raw'!C12</f>
        <v>1338.8207</v>
      </c>
      <c r="C44" s="37">
        <f>+'Annual Raw'!D12</f>
        <v>1086.8417999999999</v>
      </c>
      <c r="D44" s="37">
        <f>+'Annual Raw'!E12</f>
        <v>1125.624</v>
      </c>
      <c r="E44" s="37">
        <f>+'Annual Raw'!F12</f>
        <v>1172.4283</v>
      </c>
      <c r="F44" s="37">
        <f>+'Annual Raw'!G12</f>
        <v>1263.2088000000001</v>
      </c>
      <c r="G44" s="37">
        <f>+'Annual Raw'!H12</f>
        <v>1328.1315999999999</v>
      </c>
      <c r="H44" s="37">
        <f>+'Annual Raw'!I12</f>
        <v>1613.9972</v>
      </c>
      <c r="I44" s="37">
        <f>+'Annual Raw'!J12</f>
        <v>1657.0051000000001</v>
      </c>
      <c r="J44" s="37">
        <f>+'Annual Raw'!K12</f>
        <v>1937.4097999999999</v>
      </c>
      <c r="K44" s="37">
        <f>+'Annual Raw'!L12</f>
        <v>2296.0722000000001</v>
      </c>
      <c r="L44" s="37">
        <f>+'Annual Raw'!M12</f>
        <v>3475.4432999999999</v>
      </c>
      <c r="M44" s="37">
        <f>+'Annual Raw'!N12</f>
        <v>3069.3125</v>
      </c>
      <c r="N44" s="37">
        <f>+'Annual Raw'!O12</f>
        <v>3130.5156999999999</v>
      </c>
      <c r="O44" s="37">
        <f>+'Annual Raw'!P12</f>
        <v>3991.1459</v>
      </c>
      <c r="P44" s="37">
        <f>+'Annual Raw'!Q12</f>
        <v>4985.8217000000004</v>
      </c>
      <c r="Q44" s="37">
        <f>+'Annual Raw'!R12</f>
        <v>5357.2385999999997</v>
      </c>
      <c r="R44" s="37">
        <f>+'Annual Raw'!S12</f>
        <v>5396.6153999999997</v>
      </c>
      <c r="S44" s="37">
        <f>+'Annual Raw'!T12</f>
        <v>4903.2665999999999</v>
      </c>
      <c r="T44" s="37">
        <f>+'Annual Raw'!U12</f>
        <v>6021.0416999999998</v>
      </c>
      <c r="U44" s="37">
        <f>+'Annual Raw'!V12</f>
        <v>6141.4516999999996</v>
      </c>
      <c r="V44" s="37">
        <f>+'Annual Raw'!W12</f>
        <v>6472.99</v>
      </c>
      <c r="W44" s="37">
        <f>+'Annual Raw'!X12</f>
        <v>7055.5290999999997</v>
      </c>
      <c r="X44" s="37">
        <f>+'Annual Raw'!Y12</f>
        <v>8391.8349999999991</v>
      </c>
      <c r="Y44" s="37">
        <f>+'Annual Raw'!Z12</f>
        <v>9188.4722000000002</v>
      </c>
      <c r="Z44" s="37">
        <f>+'Annual Raw'!AA12</f>
        <v>10299.602500000001</v>
      </c>
      <c r="AA44" s="37">
        <f>+'Annual Raw'!AB12</f>
        <v>10311.771000000001</v>
      </c>
      <c r="AB44" s="38">
        <f>SUM(BZ44:CC44)</f>
        <v>20112.375292631201</v>
      </c>
      <c r="AC44" s="38">
        <f>SUM(CD44:CG44)</f>
        <v>22506.086783751423</v>
      </c>
      <c r="AD44" s="38">
        <f>SUM(CH44:CK44)</f>
        <v>25217.759082900113</v>
      </c>
      <c r="AE44" s="38">
        <f>SUM(CL44:CO44)</f>
        <v>28410.699013243895</v>
      </c>
      <c r="AG44" s="59"/>
      <c r="AH44" s="37">
        <f>+'QTR Raw'!C11</f>
        <v>1119.3599999999999</v>
      </c>
      <c r="AI44" s="37">
        <f>+'QTR Raw'!D11</f>
        <v>1278.21</v>
      </c>
      <c r="AJ44" s="37">
        <f>+'QTR Raw'!E11</f>
        <v>1305.23</v>
      </c>
      <c r="AK44" s="37">
        <f>+'QTR Raw'!F11</f>
        <v>1654.43</v>
      </c>
      <c r="AL44" s="37">
        <f>+'QTR Raw'!G11</f>
        <v>1288.4100000000001</v>
      </c>
      <c r="AM44" s="37">
        <f>+'QTR Raw'!H11</f>
        <v>1395</v>
      </c>
      <c r="AN44" s="37">
        <f>+'QTR Raw'!I11</f>
        <v>1318.78</v>
      </c>
      <c r="AO44" s="37">
        <f>+'QTR Raw'!J11</f>
        <v>1394.44</v>
      </c>
      <c r="AP44" s="37">
        <f>+'QTR Raw'!K11</f>
        <v>921.69</v>
      </c>
      <c r="AQ44" s="37">
        <f>+'QTR Raw'!L11</f>
        <v>1269.06</v>
      </c>
      <c r="AR44" s="37">
        <f>+'QTR Raw'!M11</f>
        <v>1182.79</v>
      </c>
      <c r="AS44" s="37">
        <f>+'QTR Raw'!N11</f>
        <v>1529.73</v>
      </c>
      <c r="AT44" s="37">
        <f>+'QTR Raw'!O11</f>
        <v>1089.45</v>
      </c>
      <c r="AU44" s="37">
        <f>+'QTR Raw'!P11</f>
        <v>1390.31</v>
      </c>
      <c r="AV44" s="37">
        <f>+'QTR Raw'!Q11</f>
        <v>1507.41</v>
      </c>
      <c r="AW44" s="37">
        <f>+'QTR Raw'!R11</f>
        <v>2033.88</v>
      </c>
      <c r="AX44" s="37">
        <f>+'QTR Raw'!S11</f>
        <v>1407.47</v>
      </c>
      <c r="AY44" s="37">
        <f>+'QTR Raw'!T11</f>
        <v>1606.7</v>
      </c>
      <c r="AZ44" s="37">
        <f>+'QTR Raw'!U11</f>
        <v>1454.33</v>
      </c>
      <c r="BA44" s="37">
        <f>+'QTR Raw'!V11</f>
        <v>1672.95</v>
      </c>
      <c r="BB44" s="37">
        <f>+'QTR Raw'!W11</f>
        <v>1450.55</v>
      </c>
      <c r="BC44" s="37">
        <f>+'QTR Raw'!X11</f>
        <v>1502.77</v>
      </c>
      <c r="BD44" s="37">
        <f>+'QTR Raw'!Y11</f>
        <v>1856.25</v>
      </c>
      <c r="BE44" s="37">
        <f>+'QTR Raw'!Z11</f>
        <v>1663.41</v>
      </c>
      <c r="BF44" s="37">
        <f>+'QTR Raw'!AA11</f>
        <v>1709.33</v>
      </c>
      <c r="BG44" s="37">
        <f>+'QTR Raw'!AB11</f>
        <v>1736.44</v>
      </c>
      <c r="BH44" s="37">
        <f>+'QTR Raw'!AC11</f>
        <v>1832</v>
      </c>
      <c r="BI44" s="37">
        <f>+'QTR Raw'!AD11</f>
        <v>1777.76</v>
      </c>
      <c r="BJ44" s="37">
        <f>+'QTR Raw'!AE11</f>
        <v>1809.16</v>
      </c>
      <c r="BK44" s="37">
        <f>+'QTR Raw'!AF11</f>
        <v>1932.57</v>
      </c>
      <c r="BL44" s="37">
        <f>+'QTR Raw'!AG11</f>
        <v>1783.43</v>
      </c>
      <c r="BM44" s="37">
        <f>+'QTR Raw'!AH11</f>
        <v>2866.68</v>
      </c>
      <c r="BN44" s="37">
        <f>+'QTR Raw'!AI11</f>
        <v>2257.1799999999998</v>
      </c>
      <c r="BO44" s="37">
        <f>+'QTR Raw'!AJ11</f>
        <v>2178.33</v>
      </c>
      <c r="BP44" s="37">
        <f>+'QTR Raw'!AK11</f>
        <v>2209.39</v>
      </c>
      <c r="BQ44" s="37">
        <f>+'QTR Raw'!AL11</f>
        <v>2543.56</v>
      </c>
      <c r="BR44" s="37">
        <f>+'QTR Raw'!AM11</f>
        <v>2344.79</v>
      </c>
      <c r="BS44" s="37">
        <f>+'QTR Raw'!AN11</f>
        <v>2631.27</v>
      </c>
      <c r="BT44" s="37">
        <f>+'QTR Raw'!AO11</f>
        <v>2441.37</v>
      </c>
      <c r="BU44" s="37">
        <f>+'QTR Raw'!AP11</f>
        <v>2882.17</v>
      </c>
      <c r="BV44" s="37">
        <f>+'QTR Raw'!AQ11</f>
        <v>2396.19</v>
      </c>
      <c r="BW44" s="37">
        <f>+'QTR Raw'!AR11</f>
        <v>2452.3200000000002</v>
      </c>
      <c r="BX44" s="37">
        <f>+'QTR Raw'!AS11</f>
        <v>2651.82</v>
      </c>
      <c r="BY44" s="37">
        <f>+'QTR Raw'!AT11</f>
        <v>2811.43</v>
      </c>
      <c r="BZ44" s="110">
        <f t="shared" ref="BZ44:CO44" si="647">BZ18*BY5</f>
        <v>4787.4396114900555</v>
      </c>
      <c r="CA44" s="110">
        <f t="shared" si="647"/>
        <v>4961.8692798605698</v>
      </c>
      <c r="CB44" s="110">
        <f t="shared" si="647"/>
        <v>5088.2100483345112</v>
      </c>
      <c r="CC44" s="110">
        <f t="shared" si="647"/>
        <v>5274.8563529460644</v>
      </c>
      <c r="CD44" s="110">
        <f t="shared" si="647"/>
        <v>5429.9516486811699</v>
      </c>
      <c r="CE44" s="110">
        <f t="shared" si="647"/>
        <v>5563.4770239047857</v>
      </c>
      <c r="CF44" s="110">
        <f t="shared" si="647"/>
        <v>5659.1170277350047</v>
      </c>
      <c r="CG44" s="110">
        <f t="shared" si="647"/>
        <v>5853.5410834304621</v>
      </c>
      <c r="CH44" s="110">
        <f t="shared" si="647"/>
        <v>6088.6791638822469</v>
      </c>
      <c r="CI44" s="110">
        <f t="shared" si="647"/>
        <v>6229.781053157828</v>
      </c>
      <c r="CJ44" s="110">
        <f t="shared" si="647"/>
        <v>6334.8073977856084</v>
      </c>
      <c r="CK44" s="110">
        <f t="shared" si="647"/>
        <v>6564.4914680744305</v>
      </c>
      <c r="CL44" s="110">
        <f t="shared" si="647"/>
        <v>6848.1746948501996</v>
      </c>
      <c r="CM44" s="110">
        <f t="shared" si="647"/>
        <v>7012.2066481547099</v>
      </c>
      <c r="CN44" s="110">
        <f t="shared" si="647"/>
        <v>7139.0410624441975</v>
      </c>
      <c r="CO44" s="110">
        <f t="shared" si="647"/>
        <v>7411.2766077947908</v>
      </c>
      <c r="CT44" s="37">
        <v>10311.771000000001</v>
      </c>
    </row>
    <row r="45" spans="1:98" s="37" customFormat="1" x14ac:dyDescent="0.2">
      <c r="A45" s="37" t="s">
        <v>1</v>
      </c>
      <c r="B45" s="37">
        <f>+'Annual Raw'!C11-'Annual Raw'!C12-'Annual Raw'!C13-'Annual Raw'!C14-'Annual Raw'!C15-'Annual Raw'!C16-'Annual Raw'!C17</f>
        <v>191.33469999999997</v>
      </c>
      <c r="C45" s="37">
        <f>+'Annual Raw'!D11-'Annual Raw'!D12-'Annual Raw'!D13-'Annual Raw'!D14-'Annual Raw'!D15-'Annual Raw'!D16-'Annual Raw'!D17</f>
        <v>221.19710000000009</v>
      </c>
      <c r="D45" s="37">
        <f>+'Annual Raw'!E11-'Annual Raw'!E12-'Annual Raw'!E13-'Annual Raw'!E14-'Annual Raw'!E15-'Annual Raw'!E16-'Annual Raw'!E17</f>
        <v>250.69989999999996</v>
      </c>
      <c r="E45" s="37">
        <f>+'Annual Raw'!F11-'Annual Raw'!F12-'Annual Raw'!F13-'Annual Raw'!F14-'Annual Raw'!F15-'Annual Raw'!F16-'Annual Raw'!F17</f>
        <v>306.27659999999997</v>
      </c>
      <c r="F45" s="37">
        <f>+'Annual Raw'!G11-'Annual Raw'!G12-'Annual Raw'!G13-'Annual Raw'!G14-'Annual Raw'!G15-'Annual Raw'!G16-'Annual Raw'!G17</f>
        <v>357.75039999999979</v>
      </c>
      <c r="G45" s="37">
        <f>+'Annual Raw'!H11-'Annual Raw'!H12-'Annual Raw'!H13-'Annual Raw'!H14-'Annual Raw'!H15-'Annual Raw'!H16-'Annual Raw'!H17</f>
        <v>454.65700000000015</v>
      </c>
      <c r="H45" s="37">
        <f>+'Annual Raw'!I11-'Annual Raw'!I12-'Annual Raw'!I13-'Annual Raw'!I14-'Annual Raw'!I15-'Annual Raw'!I16-'Annual Raw'!I17</f>
        <v>600.52949999999998</v>
      </c>
      <c r="I45" s="37">
        <f>+'Annual Raw'!J11-'Annual Raw'!J12-'Annual Raw'!J13-'Annual Raw'!J14-'Annual Raw'!J15-'Annual Raw'!J16-'Annual Raw'!J17</f>
        <v>595.9763999999999</v>
      </c>
      <c r="J45" s="37">
        <f>+'Annual Raw'!K11-'Annual Raw'!K12-'Annual Raw'!K13-'Annual Raw'!K14-'Annual Raw'!K15-'Annual Raw'!K16-'Annual Raw'!K17</f>
        <v>709.42419999999993</v>
      </c>
      <c r="K45" s="37">
        <f>+'Annual Raw'!L11-'Annual Raw'!L12-'Annual Raw'!L13-'Annual Raw'!L14-'Annual Raw'!L15-'Annual Raw'!L16-'Annual Raw'!L17</f>
        <v>815.12920000000008</v>
      </c>
      <c r="L45" s="37">
        <f>+'Annual Raw'!M11-'Annual Raw'!M12-'Annual Raw'!M13-'Annual Raw'!M14-'Annual Raw'!M15-'Annual Raw'!M16-'Annual Raw'!M17</f>
        <v>928.22710000000018</v>
      </c>
      <c r="M45" s="37">
        <f>+'Annual Raw'!N11-'Annual Raw'!N12-'Annual Raw'!N13-'Annual Raw'!N14-'Annual Raw'!N15-'Annual Raw'!N16-'Annual Raw'!N17</f>
        <v>1058.7141999999997</v>
      </c>
      <c r="N45" s="37">
        <f>+'Annual Raw'!O11-'Annual Raw'!O12-'Annual Raw'!O13-'Annual Raw'!O14-'Annual Raw'!O15-'Annual Raw'!O16-'Annual Raw'!O17</f>
        <v>1296.4077999999997</v>
      </c>
      <c r="O45" s="37">
        <f>+'Annual Raw'!P11-'Annual Raw'!P12-'Annual Raw'!P13-'Annual Raw'!P14-'Annual Raw'!P15-'Annual Raw'!P16-'Annual Raw'!P17</f>
        <v>1543.2012000000002</v>
      </c>
      <c r="P45" s="37">
        <f>+'Annual Raw'!Q11-'Annual Raw'!Q12-'Annual Raw'!Q13-'Annual Raw'!Q14-'Annual Raw'!Q15-'Annual Raw'!Q16-'Annual Raw'!Q17</f>
        <v>1749.6391000000001</v>
      </c>
      <c r="Q45" s="37">
        <f>+'Annual Raw'!R11-'Annual Raw'!R12-'Annual Raw'!R13-'Annual Raw'!R14-'Annual Raw'!R15-'Annual Raw'!R16-'Annual Raw'!R17</f>
        <v>2622.2092000000011</v>
      </c>
      <c r="R45" s="37">
        <f>+'Annual Raw'!S11-'Annual Raw'!S12-'Annual Raw'!S13-'Annual Raw'!S14-'Annual Raw'!S15-'Annual Raw'!S16-'Annual Raw'!S17</f>
        <v>2353.7494000000002</v>
      </c>
      <c r="S45" s="37">
        <f>+'Annual Raw'!T11-'Annual Raw'!T12-'Annual Raw'!T13-'Annual Raw'!T14-'Annual Raw'!T15-'Annual Raw'!T16-'Annual Raw'!T17</f>
        <v>2467.1434999999992</v>
      </c>
      <c r="T45" s="37">
        <f>+'Annual Raw'!U11-'Annual Raw'!U12-'Annual Raw'!U13-'Annual Raw'!U14-'Annual Raw'!U15-'Annual Raw'!U16-'Annual Raw'!U17</f>
        <v>2606.7250000000004</v>
      </c>
      <c r="U45" s="37">
        <f>+'Annual Raw'!V11-'Annual Raw'!V12-'Annual Raw'!V13-'Annual Raw'!V14-'Annual Raw'!V15-'Annual Raw'!V16-'Annual Raw'!V17</f>
        <v>2672.9407999999989</v>
      </c>
      <c r="V45" s="37">
        <f>+'Annual Raw'!W11-'Annual Raw'!W12-'Annual Raw'!W13-'Annual Raw'!W14-'Annual Raw'!W15-'Annual Raw'!W16-'Annual Raw'!W17</f>
        <v>2535.1288999999997</v>
      </c>
      <c r="W45" s="37">
        <f>+'Annual Raw'!X11-'Annual Raw'!X12-'Annual Raw'!X13-'Annual Raw'!X14-'Annual Raw'!X15-'Annual Raw'!X16-'Annual Raw'!X17</f>
        <v>2980.8137999999994</v>
      </c>
      <c r="X45" s="37">
        <f>+'Annual Raw'!Y11-'Annual Raw'!Y12-'Annual Raw'!Y13-'Annual Raw'!Y14-'Annual Raw'!Y15-'Annual Raw'!Y16-'Annual Raw'!Y17</f>
        <v>3493.9655000000002</v>
      </c>
      <c r="Y45" s="37">
        <f>+'Annual Raw'!Z11-'Annual Raw'!Z12-'Annual Raw'!Z13-'Annual Raw'!Z14-'Annual Raw'!Z15-'Annual Raw'!Z16-'Annual Raw'!Z17</f>
        <v>3596.2991000000006</v>
      </c>
      <c r="Z45" s="37">
        <f>+'Annual Raw'!AA11-'Annual Raw'!AA12-'Annual Raw'!AA13-'Annual Raw'!AA14-'Annual Raw'!AA15-'Annual Raw'!AA16-'Annual Raw'!AA17</f>
        <v>4137.1335999999974</v>
      </c>
      <c r="AA45" s="37">
        <f>+'Annual Raw'!AB11-'Annual Raw'!AB12-'Annual Raw'!AB13-'Annual Raw'!AB14-'Annual Raw'!AB15-'Annual Raw'!AB16-'Annual Raw'!AB17</f>
        <v>4822.318400000001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AH45" s="37">
        <f>+'QTR Raw'!C10-'QTR Raw'!C11-'QTR Raw'!C12</f>
        <v>929.68000000000006</v>
      </c>
      <c r="AI45" s="37">
        <f>+'QTR Raw'!D10-'QTR Raw'!D11-'QTR Raw'!D12</f>
        <v>1061.3699999999999</v>
      </c>
      <c r="AJ45" s="37">
        <f>+'QTR Raw'!E10-'QTR Raw'!E11-'QTR Raw'!E12</f>
        <v>1041.1100000000001</v>
      </c>
      <c r="AK45" s="37">
        <f>+'QTR Raw'!F10-'QTR Raw'!F11-'QTR Raw'!F12</f>
        <v>952.12999999999988</v>
      </c>
      <c r="AL45" s="37">
        <f>+'QTR Raw'!G10-'QTR Raw'!G11-'QTR Raw'!G12</f>
        <v>1071.3299999999997</v>
      </c>
      <c r="AM45" s="37">
        <f>+'QTR Raw'!H10-'QTR Raw'!H11-'QTR Raw'!H12</f>
        <v>842.5300000000002</v>
      </c>
      <c r="AN45" s="37">
        <f>+'QTR Raw'!I10-'QTR Raw'!I11-'QTR Raw'!I12</f>
        <v>854.66000000000008</v>
      </c>
      <c r="AO45" s="37">
        <f>+'QTR Raw'!J10-'QTR Raw'!J11-'QTR Raw'!J12</f>
        <v>700.67000000000007</v>
      </c>
      <c r="AP45" s="37">
        <f>+'QTR Raw'!K10-'QTR Raw'!K11-'QTR Raw'!K12</f>
        <v>842.86999999999989</v>
      </c>
      <c r="AQ45" s="37">
        <f>+'QTR Raw'!L10-'QTR Raw'!L11-'QTR Raw'!L12</f>
        <v>1112.5100000000002</v>
      </c>
      <c r="AR45" s="37">
        <f>+'QTR Raw'!M10-'QTR Raw'!M11-'QTR Raw'!M12</f>
        <v>1005.29</v>
      </c>
      <c r="AS45" s="37">
        <f>+'QTR Raw'!N10-'QTR Raw'!N11-'QTR Raw'!N12</f>
        <v>1237.23</v>
      </c>
      <c r="AT45" s="37">
        <f>+'QTR Raw'!O10-'QTR Raw'!O11-'QTR Raw'!O12</f>
        <v>1013.8199999999999</v>
      </c>
      <c r="AU45" s="37">
        <f>+'QTR Raw'!P10-'QTR Raw'!P11-'QTR Raw'!P12</f>
        <v>919.88999999999987</v>
      </c>
      <c r="AV45" s="37">
        <f>+'QTR Raw'!Q10-'QTR Raw'!Q11-'QTR Raw'!Q12</f>
        <v>1082.78</v>
      </c>
      <c r="AW45" s="37">
        <f>+'QTR Raw'!R10-'QTR Raw'!R11-'QTR Raw'!R12</f>
        <v>1186.81</v>
      </c>
      <c r="AX45" s="37">
        <f>+'QTR Raw'!S10-'QTR Raw'!S11-'QTR Raw'!S12</f>
        <v>1001.3799999999999</v>
      </c>
      <c r="AY45" s="37">
        <f>+'QTR Raw'!T10-'QTR Raw'!T11-'QTR Raw'!T12</f>
        <v>1121.28</v>
      </c>
      <c r="AZ45" s="37">
        <f>+'QTR Raw'!U10-'QTR Raw'!U11-'QTR Raw'!U12</f>
        <v>1031.9900000000002</v>
      </c>
      <c r="BA45" s="37">
        <f>+'QTR Raw'!V10-'QTR Raw'!V11-'QTR Raw'!V12</f>
        <v>1155.3</v>
      </c>
      <c r="BB45" s="37">
        <f>+'QTR Raw'!W10-'QTR Raw'!W11-'QTR Raw'!W12</f>
        <v>893.35000000000014</v>
      </c>
      <c r="BC45" s="37">
        <f>+'QTR Raw'!X10-'QTR Raw'!X11-'QTR Raw'!X12</f>
        <v>1126.0100000000002</v>
      </c>
      <c r="BD45" s="37">
        <f>+'QTR Raw'!Y10-'QTR Raw'!Y11-'QTR Raw'!Y12</f>
        <v>1115.44</v>
      </c>
      <c r="BE45" s="37">
        <f>+'QTR Raw'!Z10-'QTR Raw'!Z11-'QTR Raw'!Z12</f>
        <v>1231.32</v>
      </c>
      <c r="BF45" s="37">
        <f>+'QTR Raw'!AA10-'QTR Raw'!AA11-'QTR Raw'!AA12</f>
        <v>1005.8899999999999</v>
      </c>
      <c r="BG45" s="37">
        <f>+'QTR Raw'!AB10-'QTR Raw'!AB11-'QTR Raw'!AB12</f>
        <v>1245.7199999999998</v>
      </c>
      <c r="BH45" s="37">
        <f>+'QTR Raw'!AC10-'QTR Raw'!AC11-'QTR Raw'!AC12</f>
        <v>1315.38</v>
      </c>
      <c r="BI45" s="37">
        <f>+'QTR Raw'!AD10-'QTR Raw'!AD11-'QTR Raw'!AD12</f>
        <v>1329.86</v>
      </c>
      <c r="BJ45" s="37">
        <f>+'QTR Raw'!AE10-'QTR Raw'!AE11-'QTR Raw'!AE12</f>
        <v>1232.18</v>
      </c>
      <c r="BK45" s="37">
        <f>+'QTR Raw'!AF10-'QTR Raw'!AF11-'QTR Raw'!AF12</f>
        <v>1194.1699999999998</v>
      </c>
      <c r="BL45" s="37">
        <f>+'QTR Raw'!AG10-'QTR Raw'!AG11-'QTR Raw'!AG12</f>
        <v>1591.5199999999998</v>
      </c>
      <c r="BM45" s="37">
        <f>+'QTR Raw'!AH10-'QTR Raw'!AH11-'QTR Raw'!AH12</f>
        <v>1572.4600000000005</v>
      </c>
      <c r="BN45" s="37">
        <f>+'QTR Raw'!AI10-'QTR Raw'!AI11-'QTR Raw'!AI12</f>
        <v>1367.3500000000004</v>
      </c>
      <c r="BO45" s="37">
        <f>+'QTR Raw'!AJ10-'QTR Raw'!AJ11-'QTR Raw'!AJ12</f>
        <v>1493.5700000000002</v>
      </c>
      <c r="BP45" s="37">
        <f>+'QTR Raw'!AK10-'QTR Raw'!AK11-'QTR Raw'!AK12</f>
        <v>1443.2600000000002</v>
      </c>
      <c r="BQ45" s="37">
        <f>+'QTR Raw'!AL10-'QTR Raw'!AL11-'QTR Raw'!AL12</f>
        <v>1586.5099999999998</v>
      </c>
      <c r="BR45" s="37">
        <f>+'QTR Raw'!AM10-'QTR Raw'!AM11-'QTR Raw'!AM12</f>
        <v>1555.71</v>
      </c>
      <c r="BS45" s="37">
        <f>+'QTR Raw'!AN10-'QTR Raw'!AN11-'QTR Raw'!AN12</f>
        <v>1724.0899999999997</v>
      </c>
      <c r="BT45" s="37">
        <f>+'QTR Raw'!AO10-'QTR Raw'!AO11-'QTR Raw'!AO12</f>
        <v>1672.75</v>
      </c>
      <c r="BU45" s="37">
        <f>+'QTR Raw'!AP10-'QTR Raw'!AP11-'QTR Raw'!AP12</f>
        <v>1723.3099999999995</v>
      </c>
      <c r="BV45" s="37">
        <f>+'QTR Raw'!AQ10-'QTR Raw'!AQ11-'QTR Raw'!AQ12</f>
        <v>1828.6399999999999</v>
      </c>
      <c r="BW45" s="37">
        <f>+'QTR Raw'!AR10-'QTR Raw'!AR11-'QTR Raw'!AR12</f>
        <v>1860.4299999999998</v>
      </c>
      <c r="BX45" s="37">
        <f>+'QTR Raw'!AS10-'QTR Raw'!AS11-'QTR Raw'!AS12</f>
        <v>1894.9</v>
      </c>
      <c r="BY45" s="37">
        <f>+'QTR Raw'!AT10-'QTR Raw'!AT11-'QTR Raw'!AT12</f>
        <v>2102.5700000000002</v>
      </c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T45" s="37">
        <v>4822.318400000001</v>
      </c>
    </row>
    <row r="46" spans="1:98" s="37" customFormat="1" x14ac:dyDescent="0.2">
      <c r="A46" s="37" t="s">
        <v>373</v>
      </c>
      <c r="B46" s="37">
        <f>+'Annual Raw'!C17</f>
        <v>21.508700000000001</v>
      </c>
      <c r="C46" s="37">
        <f>+'Annual Raw'!D17</f>
        <v>25.093800000000002</v>
      </c>
      <c r="D46" s="37">
        <f>+'Annual Raw'!E17</f>
        <v>28.845600000000001</v>
      </c>
      <c r="E46" s="37">
        <f>+'Annual Raw'!F17</f>
        <v>31.629000000000001</v>
      </c>
      <c r="F46" s="37">
        <f>+'Annual Raw'!G17</f>
        <v>52.814500000000002</v>
      </c>
      <c r="G46" s="37">
        <f>+'Annual Raw'!H17</f>
        <v>70.609200000000001</v>
      </c>
      <c r="H46" s="37">
        <f>+'Annual Raw'!I17</f>
        <v>86.117599999999996</v>
      </c>
      <c r="I46" s="37">
        <f>+'Annual Raw'!J17</f>
        <v>103.145</v>
      </c>
      <c r="J46" s="37">
        <f>+'Annual Raw'!K17</f>
        <v>135.45160000000001</v>
      </c>
      <c r="K46" s="37">
        <f>+'Annual Raw'!L17</f>
        <v>163.8888</v>
      </c>
      <c r="L46" s="37">
        <f>+'Annual Raw'!M17</f>
        <v>188.56399999999999</v>
      </c>
      <c r="M46" s="37">
        <f>+'Annual Raw'!N17</f>
        <v>238.273</v>
      </c>
      <c r="N46" s="37">
        <f>+'Annual Raw'!O17</f>
        <v>228.15770000000001</v>
      </c>
      <c r="O46" s="37">
        <f>+'Annual Raw'!P17</f>
        <v>316.97300000000001</v>
      </c>
      <c r="P46" s="37">
        <f>+'Annual Raw'!Q17</f>
        <v>359.43040000000002</v>
      </c>
      <c r="Q46" s="37">
        <f>+'Annual Raw'!R17</f>
        <v>395.59050000000002</v>
      </c>
      <c r="R46" s="37">
        <f>+'Annual Raw'!S17</f>
        <v>424.81790000000001</v>
      </c>
      <c r="S46" s="37">
        <f>+'Annual Raw'!T17</f>
        <v>516.7133</v>
      </c>
      <c r="T46" s="37">
        <f>+'Annual Raw'!U17</f>
        <v>501.7978</v>
      </c>
      <c r="U46" s="37">
        <f>+'Annual Raw'!V17</f>
        <v>505.94159999999999</v>
      </c>
      <c r="V46" s="37">
        <f>+'Annual Raw'!W17</f>
        <v>699.41669999999999</v>
      </c>
      <c r="W46" s="37">
        <f>+'Annual Raw'!X17</f>
        <v>749.03470000000004</v>
      </c>
      <c r="X46" s="37">
        <f>+'Annual Raw'!Y17</f>
        <v>793.82600000000002</v>
      </c>
      <c r="Y46" s="37">
        <f>+'Annual Raw'!Z17</f>
        <v>830.52859999999998</v>
      </c>
      <c r="Z46" s="37">
        <f>+'Annual Raw'!AA17</f>
        <v>915.00639999999999</v>
      </c>
      <c r="AA46" s="37">
        <f>+'Annual Raw'!AB17</f>
        <v>1041.3386</v>
      </c>
      <c r="AB46" s="38"/>
      <c r="AC46" s="38"/>
      <c r="AD46" s="38"/>
      <c r="AE46" s="38"/>
      <c r="AG46" s="59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T46" s="37">
        <v>1041.3386</v>
      </c>
    </row>
    <row r="47" spans="1:98" s="37" customFormat="1" x14ac:dyDescent="0.2">
      <c r="A47" s="37" t="s">
        <v>23</v>
      </c>
      <c r="B47" s="37">
        <f>+'Annual Raw'!C14</f>
        <v>114.56270000000001</v>
      </c>
      <c r="C47" s="37">
        <f>+'Annual Raw'!D14</f>
        <v>125.3471</v>
      </c>
      <c r="D47" s="37">
        <f>+'Annual Raw'!E14</f>
        <v>150.89009999999999</v>
      </c>
      <c r="E47" s="37">
        <f>+'Annual Raw'!F14</f>
        <v>144.80500000000001</v>
      </c>
      <c r="F47" s="37">
        <f>+'Annual Raw'!G14</f>
        <v>144.83009999999999</v>
      </c>
      <c r="G47" s="37">
        <f>+'Annual Raw'!H14</f>
        <v>151.26419999999999</v>
      </c>
      <c r="H47" s="37">
        <f>+'Annual Raw'!I14</f>
        <v>168.55459999999999</v>
      </c>
      <c r="I47" s="37">
        <f>+'Annual Raw'!J14</f>
        <v>184.53020000000001</v>
      </c>
      <c r="J47" s="37">
        <f>+'Annual Raw'!K14</f>
        <v>219.87280000000001</v>
      </c>
      <c r="K47" s="37">
        <f>+'Annual Raw'!L14</f>
        <v>243.96199999999999</v>
      </c>
      <c r="L47" s="37">
        <f>+'Annual Raw'!M14</f>
        <v>276.80020000000002</v>
      </c>
      <c r="M47" s="37">
        <f>+'Annual Raw'!N14</f>
        <v>343.52089999999998</v>
      </c>
      <c r="N47" s="37">
        <f>+'Annual Raw'!O14</f>
        <v>429.82220000000001</v>
      </c>
      <c r="O47" s="37">
        <f>+'Annual Raw'!P14</f>
        <v>534.84860000000003</v>
      </c>
      <c r="P47" s="37">
        <f>+'Annual Raw'!Q14</f>
        <v>598.34889999999996</v>
      </c>
      <c r="Q47" s="37">
        <f>+'Annual Raw'!R14</f>
        <v>639.28830000000005</v>
      </c>
      <c r="R47" s="37">
        <f>+'Annual Raw'!S14</f>
        <v>658.07759999999996</v>
      </c>
      <c r="S47" s="37">
        <f>+'Annual Raw'!T14</f>
        <v>669.85040000000004</v>
      </c>
      <c r="T47" s="37">
        <f>+'Annual Raw'!U14</f>
        <v>708.53890000000001</v>
      </c>
      <c r="U47" s="37">
        <f>+'Annual Raw'!V14</f>
        <v>721.14080000000001</v>
      </c>
      <c r="V47" s="37">
        <f>+'Annual Raw'!W14</f>
        <v>751.8229</v>
      </c>
      <c r="W47" s="37">
        <f>+'Annual Raw'!X14</f>
        <v>786.88530000000003</v>
      </c>
      <c r="X47" s="37">
        <f>+'Annual Raw'!Y14</f>
        <v>853.577</v>
      </c>
      <c r="Y47" s="37">
        <f>+'Annual Raw'!Z14</f>
        <v>924.25710000000004</v>
      </c>
      <c r="Z47" s="37">
        <f>+'Annual Raw'!AA14</f>
        <v>990.07449999999994</v>
      </c>
      <c r="AA47" s="37">
        <f>+'Annual Raw'!AB14</f>
        <v>1048.7755999999999</v>
      </c>
      <c r="AB47" s="38">
        <f>SUM(BZ47:CC47)</f>
        <v>0</v>
      </c>
      <c r="AC47" s="38">
        <f>SUM(CD47:CG47)</f>
        <v>0</v>
      </c>
      <c r="AD47" s="38">
        <f>SUM(CH47:CK47)</f>
        <v>0</v>
      </c>
      <c r="AE47" s="38">
        <f>SUM(CL47:CO47)</f>
        <v>0</v>
      </c>
      <c r="AG47" s="59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T47" s="37">
        <v>1048.7755999999999</v>
      </c>
    </row>
    <row r="48" spans="1:98" s="37" customFormat="1" x14ac:dyDescent="0.2">
      <c r="A48" s="37" t="s">
        <v>4</v>
      </c>
      <c r="B48" s="37">
        <f>+'Annual Raw'!C15+'Annual Raw'!C16</f>
        <v>74.161699999999996</v>
      </c>
      <c r="C48" s="37">
        <f>+'Annual Raw'!D15+'Annual Raw'!D16</f>
        <v>68.231999999999999</v>
      </c>
      <c r="D48" s="37">
        <f>+'Annual Raw'!E15+'Annual Raw'!E16</f>
        <v>87.081400000000002</v>
      </c>
      <c r="E48" s="37">
        <f>+'Annual Raw'!F15+'Annual Raw'!F16</f>
        <v>88.050200000000004</v>
      </c>
      <c r="F48" s="37">
        <f>+'Annual Raw'!G15+'Annual Raw'!G16</f>
        <v>98.836299999999994</v>
      </c>
      <c r="G48" s="37">
        <f>+'Annual Raw'!H15+'Annual Raw'!H16</f>
        <v>96.728099999999998</v>
      </c>
      <c r="H48" s="37">
        <f>+'Annual Raw'!I15+'Annual Raw'!I16</f>
        <v>96.728899999999996</v>
      </c>
      <c r="I48" s="37">
        <f>+'Annual Raw'!J15+'Annual Raw'!J16</f>
        <v>73.131900000000002</v>
      </c>
      <c r="J48" s="37">
        <f>+'Annual Raw'!K15+'Annual Raw'!K16</f>
        <v>69.369500000000002</v>
      </c>
      <c r="K48" s="37">
        <f>+'Annual Raw'!L15+'Annual Raw'!L16</f>
        <v>101.2873</v>
      </c>
      <c r="L48" s="37">
        <f>+'Annual Raw'!M15+'Annual Raw'!M16</f>
        <v>140.55520000000001</v>
      </c>
      <c r="M48" s="37">
        <f>+'Annual Raw'!N15+'Annual Raw'!N16</f>
        <v>166.833</v>
      </c>
      <c r="N48" s="37">
        <f>+'Annual Raw'!O15+'Annual Raw'!O16</f>
        <v>183.88560000000001</v>
      </c>
      <c r="O48" s="37">
        <f>+'Annual Raw'!P15+'Annual Raw'!P16</f>
        <v>227.87129999999999</v>
      </c>
      <c r="P48" s="37">
        <f>+'Annual Raw'!Q15+'Annual Raw'!Q16</f>
        <v>285.41800000000001</v>
      </c>
      <c r="Q48" s="37">
        <f>+'Annual Raw'!R15+'Annual Raw'!R16</f>
        <v>286.26280000000003</v>
      </c>
      <c r="R48" s="37">
        <f>+'Annual Raw'!S15+'Annual Raw'!S16</f>
        <v>-12.466100000000001</v>
      </c>
      <c r="S48" s="37">
        <f>+'Annual Raw'!T15+'Annual Raw'!T16</f>
        <v>519.98400000000004</v>
      </c>
      <c r="T48" s="37">
        <f>+'Annual Raw'!U15+'Annual Raw'!U16</f>
        <v>366.67410000000001</v>
      </c>
      <c r="U48" s="37">
        <f>+'Annual Raw'!V15+'Annual Raw'!V16</f>
        <v>384.77769999999998</v>
      </c>
      <c r="V48" s="37">
        <f>+'Annual Raw'!W15+'Annual Raw'!W16</f>
        <v>372.20389999999998</v>
      </c>
      <c r="W48" s="37">
        <f>+'Annual Raw'!X15+'Annual Raw'!X16</f>
        <v>363.5111</v>
      </c>
      <c r="X48" s="37">
        <f>+'Annual Raw'!Y15+'Annual Raw'!Y16</f>
        <v>420.916</v>
      </c>
      <c r="Y48" s="37">
        <f>+'Annual Raw'!Z15+'Annual Raw'!Z16</f>
        <v>498.59070000000003</v>
      </c>
      <c r="Z48" s="37">
        <f>+'Annual Raw'!AA15+'Annual Raw'!AA16</f>
        <v>594.09159999999997</v>
      </c>
      <c r="AA48" s="37">
        <f>+'Annual Raw'!AB15+'Annual Raw'!AB16</f>
        <v>720.39020000000005</v>
      </c>
      <c r="AB48" s="38">
        <f>SUM(BZ48:CC48)</f>
        <v>0</v>
      </c>
      <c r="AC48" s="38">
        <f>SUM(CD48:CG48)</f>
        <v>0</v>
      </c>
      <c r="AD48" s="38">
        <f>SUM(CH48:CK48)</f>
        <v>0</v>
      </c>
      <c r="AE48" s="38">
        <f>SUM(CL48:CO48)</f>
        <v>0</v>
      </c>
      <c r="AG48" s="59"/>
      <c r="AH48" s="37">
        <f>+'QTR Raw'!C12</f>
        <v>0</v>
      </c>
      <c r="AI48" s="37">
        <f>+'QTR Raw'!D12</f>
        <v>0</v>
      </c>
      <c r="AJ48" s="37">
        <f>+'QTR Raw'!E12</f>
        <v>0</v>
      </c>
      <c r="AK48" s="37">
        <f>+'QTR Raw'!F12</f>
        <v>0</v>
      </c>
      <c r="AL48" s="37">
        <f>+'QTR Raw'!G12</f>
        <v>0</v>
      </c>
      <c r="AM48" s="37">
        <f>+'QTR Raw'!H12</f>
        <v>0</v>
      </c>
      <c r="AN48" s="37">
        <f>+'QTR Raw'!I12</f>
        <v>0</v>
      </c>
      <c r="AO48" s="37">
        <f>+'QTR Raw'!J12</f>
        <v>0</v>
      </c>
      <c r="AP48" s="37">
        <f>+'QTR Raw'!K12</f>
        <v>0</v>
      </c>
      <c r="AQ48" s="37">
        <f>+'QTR Raw'!L12</f>
        <v>0</v>
      </c>
      <c r="AR48" s="37">
        <f>+'QTR Raw'!M12</f>
        <v>0</v>
      </c>
      <c r="AS48" s="37">
        <f>+'QTR Raw'!N12</f>
        <v>0</v>
      </c>
      <c r="AT48" s="37">
        <f>+'QTR Raw'!O12</f>
        <v>0</v>
      </c>
      <c r="AU48" s="37">
        <f>+'QTR Raw'!P12</f>
        <v>0</v>
      </c>
      <c r="AV48" s="37">
        <f>+'QTR Raw'!Q12</f>
        <v>0</v>
      </c>
      <c r="AW48" s="37">
        <f>+'QTR Raw'!R12</f>
        <v>0</v>
      </c>
      <c r="AX48" s="37">
        <f>+'QTR Raw'!S12</f>
        <v>0</v>
      </c>
      <c r="AY48" s="37">
        <f>+'QTR Raw'!T12</f>
        <v>0</v>
      </c>
      <c r="AZ48" s="37">
        <f>+'QTR Raw'!U12</f>
        <v>0</v>
      </c>
      <c r="BA48" s="37">
        <f>+'QTR Raw'!V12</f>
        <v>0</v>
      </c>
      <c r="BB48" s="37">
        <f>+'QTR Raw'!W12</f>
        <v>0</v>
      </c>
      <c r="BC48" s="37">
        <f>+'QTR Raw'!X12</f>
        <v>0</v>
      </c>
      <c r="BD48" s="37">
        <f>+'QTR Raw'!Y12</f>
        <v>0</v>
      </c>
      <c r="BE48" s="37">
        <f>+'QTR Raw'!Z12</f>
        <v>0</v>
      </c>
      <c r="BF48" s="37">
        <f>+'QTR Raw'!AA12</f>
        <v>0</v>
      </c>
      <c r="BG48" s="37">
        <f>+'QTR Raw'!AB12</f>
        <v>0</v>
      </c>
      <c r="BH48" s="37">
        <f>+'QTR Raw'!AC12</f>
        <v>0</v>
      </c>
      <c r="BI48" s="37">
        <f>+'QTR Raw'!AD12</f>
        <v>0</v>
      </c>
      <c r="BJ48" s="37">
        <f>+'QTR Raw'!AE12</f>
        <v>0</v>
      </c>
      <c r="BK48" s="37">
        <f>+'QTR Raw'!AF12</f>
        <v>0</v>
      </c>
      <c r="BL48" s="37">
        <f>+'QTR Raw'!AG12</f>
        <v>0</v>
      </c>
      <c r="BM48" s="37">
        <f>+'QTR Raw'!AH12</f>
        <v>0</v>
      </c>
      <c r="BN48" s="37">
        <f>+'QTR Raw'!AI12</f>
        <v>0</v>
      </c>
      <c r="BO48" s="37">
        <f>+'QTR Raw'!AJ12</f>
        <v>0</v>
      </c>
      <c r="BP48" s="37">
        <f>+'QTR Raw'!AK12</f>
        <v>0</v>
      </c>
      <c r="BQ48" s="37">
        <f>+'QTR Raw'!AL12</f>
        <v>0</v>
      </c>
      <c r="BR48" s="37">
        <f>+'QTR Raw'!AM12</f>
        <v>0</v>
      </c>
      <c r="BS48" s="37">
        <f>+'QTR Raw'!AN12</f>
        <v>0</v>
      </c>
      <c r="BT48" s="37">
        <f>+'QTR Raw'!AO12</f>
        <v>0</v>
      </c>
      <c r="BU48" s="37">
        <f>+'QTR Raw'!AP12</f>
        <v>0</v>
      </c>
      <c r="BV48" s="37">
        <f>+'QTR Raw'!AQ12</f>
        <v>0</v>
      </c>
      <c r="BW48" s="37">
        <f>+'QTR Raw'!AR12</f>
        <v>0</v>
      </c>
      <c r="BX48" s="37">
        <f>+'QTR Raw'!AS12</f>
        <v>0</v>
      </c>
      <c r="BY48" s="37">
        <f>+'QTR Raw'!AT12</f>
        <v>0</v>
      </c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T48" s="37">
        <v>720.39020000000005</v>
      </c>
    </row>
    <row r="49" spans="1:98" s="37" customFormat="1" x14ac:dyDescent="0.2">
      <c r="A49" s="37" t="s">
        <v>24</v>
      </c>
      <c r="B49" s="37">
        <f>+'Annual Raw'!C13</f>
        <v>3.3435000000000001</v>
      </c>
      <c r="C49" s="37">
        <f>+'Annual Raw'!D13</f>
        <v>4.1794000000000002</v>
      </c>
      <c r="D49" s="37">
        <f>+'Annual Raw'!E13</f>
        <v>5.4371</v>
      </c>
      <c r="E49" s="37">
        <f>+'Annual Raw'!F13</f>
        <v>8.3589000000000002</v>
      </c>
      <c r="F49" s="37">
        <f>+'Annual Raw'!G13</f>
        <v>14.884399999999999</v>
      </c>
      <c r="G49" s="37">
        <f>+'Annual Raw'!H13</f>
        <v>13.7475</v>
      </c>
      <c r="H49" s="37">
        <f>+'Annual Raw'!I13</f>
        <v>42.502499999999998</v>
      </c>
      <c r="I49" s="37">
        <f>+'Annual Raw'!J13</f>
        <v>31.198799999999999</v>
      </c>
      <c r="J49" s="37">
        <f>+'Annual Raw'!K13</f>
        <v>22.435400000000001</v>
      </c>
      <c r="K49" s="37">
        <f>+'Annual Raw'!L13</f>
        <v>47.474200000000003</v>
      </c>
      <c r="L49" s="37">
        <f>+'Annual Raw'!M13</f>
        <v>58.648899999999998</v>
      </c>
      <c r="M49" s="37">
        <f>+'Annual Raw'!N13</f>
        <v>64.004499999999993</v>
      </c>
      <c r="N49" s="37">
        <f>+'Annual Raw'!O13</f>
        <v>62.7577</v>
      </c>
      <c r="O49" s="37">
        <f>+'Annual Raw'!P13</f>
        <v>85.427999999999997</v>
      </c>
      <c r="P49" s="37">
        <f>+'Annual Raw'!Q13</f>
        <v>109.9289</v>
      </c>
      <c r="Q49" s="37">
        <f>+'Annual Raw'!R13</f>
        <v>40.952399999999997</v>
      </c>
      <c r="R49" s="37">
        <f>+'Annual Raw'!S13</f>
        <v>45.002400000000002</v>
      </c>
      <c r="S49" s="37">
        <f>+'Annual Raw'!T13</f>
        <v>24.212</v>
      </c>
      <c r="T49" s="37">
        <f>+'Annual Raw'!U13</f>
        <v>19.571000000000002</v>
      </c>
      <c r="U49" s="37">
        <f>+'Annual Raw'!V13</f>
        <v>25.148499999999999</v>
      </c>
      <c r="V49" s="37">
        <f>+'Annual Raw'!W13</f>
        <v>7.5438999999999998</v>
      </c>
      <c r="W49" s="37">
        <f>+'Annual Raw'!X13</f>
        <v>16.600300000000001</v>
      </c>
      <c r="X49" s="37">
        <f>+'Annual Raw'!Y13</f>
        <v>28.052900000000001</v>
      </c>
      <c r="Y49" s="37">
        <f>+'Annual Raw'!Z13</f>
        <v>41.015599999999999</v>
      </c>
      <c r="Z49" s="37">
        <f>+'Annual Raw'!AA13</f>
        <v>39.552300000000002</v>
      </c>
      <c r="AA49" s="37">
        <f>+'Annual Raw'!AB13</f>
        <v>53.705100000000002</v>
      </c>
      <c r="AB49" s="38">
        <f>SUM(BZ49:CC49)</f>
        <v>0</v>
      </c>
      <c r="AC49" s="38">
        <f>SUM(CD49:CG49)</f>
        <v>0</v>
      </c>
      <c r="AD49" s="38">
        <f>SUM(CH49:CK49)</f>
        <v>0</v>
      </c>
      <c r="AE49" s="38">
        <f>SUM(CL49:CO49)</f>
        <v>0</v>
      </c>
      <c r="AG49" s="59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T49" s="37">
        <v>53.705100000000002</v>
      </c>
    </row>
    <row r="50" spans="1:98" s="42" customFormat="1" x14ac:dyDescent="0.2">
      <c r="A50" s="42" t="s">
        <v>52</v>
      </c>
      <c r="B50" s="42">
        <f t="shared" ref="B50:Y50" si="648">SUM(B44:B49)</f>
        <v>1743.732</v>
      </c>
      <c r="C50" s="42">
        <f t="shared" si="648"/>
        <v>1530.8912</v>
      </c>
      <c r="D50" s="42">
        <f t="shared" si="648"/>
        <v>1648.5781000000002</v>
      </c>
      <c r="E50" s="42">
        <f t="shared" si="648"/>
        <v>1751.5479999999998</v>
      </c>
      <c r="F50" s="42">
        <f t="shared" si="648"/>
        <v>1932.3244999999995</v>
      </c>
      <c r="G50" s="42">
        <f t="shared" si="648"/>
        <v>2115.1376</v>
      </c>
      <c r="H50" s="42">
        <f t="shared" si="648"/>
        <v>2608.4303</v>
      </c>
      <c r="I50" s="42">
        <f t="shared" si="648"/>
        <v>2644.9874</v>
      </c>
      <c r="J50" s="42">
        <f t="shared" si="648"/>
        <v>3093.9632999999994</v>
      </c>
      <c r="K50" s="42">
        <f t="shared" si="648"/>
        <v>3667.8137000000002</v>
      </c>
      <c r="L50" s="42">
        <f t="shared" si="648"/>
        <v>5068.2386999999999</v>
      </c>
      <c r="M50" s="42">
        <f t="shared" si="648"/>
        <v>4940.6580999999987</v>
      </c>
      <c r="N50" s="42">
        <f t="shared" si="648"/>
        <v>5331.546699999999</v>
      </c>
      <c r="O50" s="42">
        <f t="shared" si="648"/>
        <v>6699.4679999999998</v>
      </c>
      <c r="P50" s="42">
        <f t="shared" si="648"/>
        <v>8088.5870000000004</v>
      </c>
      <c r="Q50" s="42">
        <f t="shared" si="648"/>
        <v>9341.5418000000009</v>
      </c>
      <c r="R50" s="42">
        <f t="shared" si="648"/>
        <v>8865.7965999999997</v>
      </c>
      <c r="S50" s="42">
        <f t="shared" si="648"/>
        <v>9101.1697999999997</v>
      </c>
      <c r="T50" s="42">
        <f t="shared" si="648"/>
        <v>10224.3485</v>
      </c>
      <c r="U50" s="42">
        <f t="shared" si="648"/>
        <v>10451.401099999997</v>
      </c>
      <c r="V50" s="42">
        <f t="shared" si="648"/>
        <v>10839.106299999999</v>
      </c>
      <c r="W50" s="42">
        <f t="shared" si="648"/>
        <v>11952.374299999999</v>
      </c>
      <c r="X50" s="42">
        <f t="shared" si="648"/>
        <v>13982.172399999998</v>
      </c>
      <c r="Y50" s="42">
        <f t="shared" si="648"/>
        <v>15079.163300000002</v>
      </c>
      <c r="Z50" s="42">
        <f>SUM(Z44:Z49)</f>
        <v>16975.460899999998</v>
      </c>
      <c r="AA50" s="42">
        <f>SUM(AA44:AA49)</f>
        <v>17998.298900000002</v>
      </c>
      <c r="AB50" s="43">
        <f t="shared" ref="AB50" si="649">SUM(AB44:AB49)</f>
        <v>20112.375292631201</v>
      </c>
      <c r="AC50" s="43">
        <f t="shared" ref="AC50" si="650">SUM(AC44:AC49)</f>
        <v>22506.086783751423</v>
      </c>
      <c r="AD50" s="43">
        <f t="shared" ref="AD50" si="651">SUM(AD44:AD49)</f>
        <v>25217.759082900113</v>
      </c>
      <c r="AE50" s="43">
        <f t="shared" ref="AE50" si="652">SUM(AE44:AE49)</f>
        <v>28410.699013243895</v>
      </c>
      <c r="AG50" s="61"/>
      <c r="AH50" s="42">
        <f>SUM(AH44:AH48)</f>
        <v>2049.04</v>
      </c>
      <c r="AI50" s="42">
        <f t="shared" ref="AI50:AS50" si="653">SUM(AI44:AI48)</f>
        <v>2339.58</v>
      </c>
      <c r="AJ50" s="42">
        <f t="shared" si="653"/>
        <v>2346.34</v>
      </c>
      <c r="AK50" s="42">
        <f t="shared" si="653"/>
        <v>2606.56</v>
      </c>
      <c r="AL50" s="42">
        <f t="shared" si="653"/>
        <v>2359.7399999999998</v>
      </c>
      <c r="AM50" s="42">
        <f t="shared" si="653"/>
        <v>2237.5300000000002</v>
      </c>
      <c r="AN50" s="42">
        <f t="shared" si="653"/>
        <v>2173.44</v>
      </c>
      <c r="AO50" s="42">
        <f t="shared" si="653"/>
        <v>2095.11</v>
      </c>
      <c r="AP50" s="42">
        <f t="shared" si="653"/>
        <v>1764.56</v>
      </c>
      <c r="AQ50" s="42">
        <f t="shared" si="653"/>
        <v>2381.5700000000002</v>
      </c>
      <c r="AR50" s="42">
        <f t="shared" si="653"/>
        <v>2188.08</v>
      </c>
      <c r="AS50" s="42">
        <f t="shared" si="653"/>
        <v>2766.96</v>
      </c>
      <c r="AT50" s="42">
        <f t="shared" ref="AT50:CO50" si="654">SUM(AT44:AT49)</f>
        <v>2103.27</v>
      </c>
      <c r="AU50" s="42">
        <f t="shared" si="654"/>
        <v>2310.1999999999998</v>
      </c>
      <c r="AV50" s="42">
        <f t="shared" si="654"/>
        <v>2590.19</v>
      </c>
      <c r="AW50" s="42">
        <f t="shared" si="654"/>
        <v>3220.69</v>
      </c>
      <c r="AX50" s="42">
        <f t="shared" si="654"/>
        <v>2408.85</v>
      </c>
      <c r="AY50" s="42">
        <f t="shared" si="654"/>
        <v>2727.98</v>
      </c>
      <c r="AZ50" s="42">
        <f t="shared" si="654"/>
        <v>2486.3200000000002</v>
      </c>
      <c r="BA50" s="42">
        <f t="shared" si="654"/>
        <v>2828.25</v>
      </c>
      <c r="BB50" s="42">
        <f t="shared" si="654"/>
        <v>2343.9</v>
      </c>
      <c r="BC50" s="42">
        <f t="shared" si="654"/>
        <v>2628.78</v>
      </c>
      <c r="BD50" s="42">
        <f t="shared" si="654"/>
        <v>2971.69</v>
      </c>
      <c r="BE50" s="42">
        <f t="shared" si="654"/>
        <v>2894.73</v>
      </c>
      <c r="BF50" s="42">
        <f t="shared" si="654"/>
        <v>2715.22</v>
      </c>
      <c r="BG50" s="42">
        <f t="shared" si="654"/>
        <v>2982.16</v>
      </c>
      <c r="BH50" s="42">
        <f t="shared" si="654"/>
        <v>3147.38</v>
      </c>
      <c r="BI50" s="42">
        <f t="shared" si="654"/>
        <v>3107.62</v>
      </c>
      <c r="BJ50" s="42">
        <f t="shared" si="654"/>
        <v>3041.34</v>
      </c>
      <c r="BK50" s="42">
        <f t="shared" si="654"/>
        <v>3126.74</v>
      </c>
      <c r="BL50" s="42">
        <f t="shared" si="654"/>
        <v>3374.95</v>
      </c>
      <c r="BM50" s="42">
        <f t="shared" si="654"/>
        <v>4439.1400000000003</v>
      </c>
      <c r="BN50" s="42">
        <f t="shared" si="654"/>
        <v>3624.53</v>
      </c>
      <c r="BO50" s="42">
        <f t="shared" si="654"/>
        <v>3671.9</v>
      </c>
      <c r="BP50" s="42">
        <f t="shared" si="654"/>
        <v>3652.65</v>
      </c>
      <c r="BQ50" s="42">
        <f t="shared" si="654"/>
        <v>4130.07</v>
      </c>
      <c r="BR50" s="42">
        <f t="shared" si="654"/>
        <v>3900.5</v>
      </c>
      <c r="BS50" s="42">
        <f t="shared" si="654"/>
        <v>4355.3599999999997</v>
      </c>
      <c r="BT50" s="42">
        <f t="shared" si="654"/>
        <v>4114.12</v>
      </c>
      <c r="BU50" s="42">
        <f t="shared" si="654"/>
        <v>4605.4799999999996</v>
      </c>
      <c r="BV50" s="42">
        <f t="shared" si="654"/>
        <v>4224.83</v>
      </c>
      <c r="BW50" s="42">
        <f t="shared" ref="BW50:BX50" si="655">SUM(BW44:BW49)</f>
        <v>4312.75</v>
      </c>
      <c r="BX50" s="42">
        <f t="shared" si="655"/>
        <v>4546.72</v>
      </c>
      <c r="BY50" s="42">
        <f t="shared" ref="BY50" si="656">SUM(BY44:BY49)</f>
        <v>4914</v>
      </c>
      <c r="BZ50" s="43">
        <f t="shared" si="654"/>
        <v>4787.4396114900555</v>
      </c>
      <c r="CA50" s="43">
        <f t="shared" si="654"/>
        <v>4961.8692798605698</v>
      </c>
      <c r="CB50" s="43">
        <f t="shared" si="654"/>
        <v>5088.2100483345112</v>
      </c>
      <c r="CC50" s="43">
        <f t="shared" si="654"/>
        <v>5274.8563529460644</v>
      </c>
      <c r="CD50" s="43">
        <f t="shared" si="654"/>
        <v>5429.9516486811699</v>
      </c>
      <c r="CE50" s="43">
        <f t="shared" si="654"/>
        <v>5563.4770239047857</v>
      </c>
      <c r="CF50" s="43">
        <f t="shared" si="654"/>
        <v>5659.1170277350047</v>
      </c>
      <c r="CG50" s="43">
        <f t="shared" si="654"/>
        <v>5853.5410834304621</v>
      </c>
      <c r="CH50" s="43">
        <f t="shared" si="654"/>
        <v>6088.6791638822469</v>
      </c>
      <c r="CI50" s="43">
        <f t="shared" si="654"/>
        <v>6229.781053157828</v>
      </c>
      <c r="CJ50" s="43">
        <f t="shared" si="654"/>
        <v>6334.8073977856084</v>
      </c>
      <c r="CK50" s="43">
        <f t="shared" si="654"/>
        <v>6564.4914680744305</v>
      </c>
      <c r="CL50" s="43">
        <f t="shared" si="654"/>
        <v>6848.1746948501996</v>
      </c>
      <c r="CM50" s="43">
        <f t="shared" si="654"/>
        <v>7012.2066481547099</v>
      </c>
      <c r="CN50" s="43">
        <f t="shared" si="654"/>
        <v>7139.0410624441975</v>
      </c>
      <c r="CO50" s="43">
        <f t="shared" si="654"/>
        <v>7411.2766077947908</v>
      </c>
      <c r="CT50" s="42">
        <v>17998.298900000002</v>
      </c>
    </row>
    <row r="51" spans="1:98" s="39" customFormat="1" x14ac:dyDescent="0.2">
      <c r="A51" s="39" t="s">
        <v>11</v>
      </c>
      <c r="B51" s="39">
        <f t="shared" ref="B51:AB51" si="657">+B42-B50</f>
        <v>772.01890000000003</v>
      </c>
      <c r="C51" s="39">
        <f t="shared" si="657"/>
        <v>1412.0619999999999</v>
      </c>
      <c r="D51" s="39">
        <f t="shared" si="657"/>
        <v>2030.0000999999993</v>
      </c>
      <c r="E51" s="39">
        <f t="shared" si="657"/>
        <v>2241.8723000000005</v>
      </c>
      <c r="F51" s="39">
        <f t="shared" si="657"/>
        <v>1460.357400000001</v>
      </c>
      <c r="G51" s="39">
        <f t="shared" si="657"/>
        <v>1701.2204999999994</v>
      </c>
      <c r="H51" s="39">
        <f t="shared" si="657"/>
        <v>2394.9885999999997</v>
      </c>
      <c r="I51" s="39">
        <f t="shared" si="657"/>
        <v>3701.2082000000009</v>
      </c>
      <c r="J51" s="39">
        <f t="shared" si="657"/>
        <v>5456.8042000000005</v>
      </c>
      <c r="K51" s="39">
        <f t="shared" si="657"/>
        <v>4704.7675999999992</v>
      </c>
      <c r="L51" s="39">
        <f t="shared" si="657"/>
        <v>5384.2276999999995</v>
      </c>
      <c r="M51" s="39">
        <f t="shared" si="657"/>
        <v>6693.9485000000004</v>
      </c>
      <c r="N51" s="39">
        <f t="shared" si="657"/>
        <v>7458.4955999999984</v>
      </c>
      <c r="O51" s="39">
        <f t="shared" si="657"/>
        <v>8422.9038</v>
      </c>
      <c r="P51" s="39">
        <f t="shared" si="657"/>
        <v>7487.7738000000018</v>
      </c>
      <c r="Q51" s="39">
        <f t="shared" si="657"/>
        <v>6035.6197999999986</v>
      </c>
      <c r="R51" s="39">
        <f t="shared" si="657"/>
        <v>9732.6504999999979</v>
      </c>
      <c r="S51" s="39">
        <f t="shared" si="657"/>
        <v>7138.9255000000012</v>
      </c>
      <c r="T51" s="39">
        <f t="shared" si="657"/>
        <v>8092.2099999999955</v>
      </c>
      <c r="U51" s="39">
        <f t="shared" si="657"/>
        <v>11518.651400000001</v>
      </c>
      <c r="V51" s="39">
        <f t="shared" si="657"/>
        <v>10272.594699999998</v>
      </c>
      <c r="W51" s="39">
        <f t="shared" si="657"/>
        <v>9988.4546000000046</v>
      </c>
      <c r="X51" s="39">
        <f t="shared" si="657"/>
        <v>13392.620800000002</v>
      </c>
      <c r="Y51" s="39">
        <f t="shared" si="657"/>
        <v>14068.606300000001</v>
      </c>
      <c r="Z51" s="39">
        <f t="shared" si="657"/>
        <v>16412.109600000011</v>
      </c>
      <c r="AA51" s="39">
        <f t="shared" ref="AA51" si="658">+AA42-AA50</f>
        <v>17048.731099999997</v>
      </c>
      <c r="AB51" s="40">
        <f t="shared" si="657"/>
        <v>18426.44292433907</v>
      </c>
      <c r="AC51" s="40">
        <f t="shared" ref="AC51" si="659">+AC42-AC50</f>
        <v>19710.172672755987</v>
      </c>
      <c r="AD51" s="40">
        <f t="shared" ref="AD51" si="660">+AD42-AD50</f>
        <v>22003.394181761651</v>
      </c>
      <c r="AE51" s="40">
        <f t="shared" ref="AE51" si="661">+AE42-AE50</f>
        <v>24768.845988144029</v>
      </c>
      <c r="AG51" s="60"/>
      <c r="AH51" s="39">
        <f t="shared" ref="AH51" si="662">+AH42-AH50</f>
        <v>1704.2100000000005</v>
      </c>
      <c r="AI51" s="39">
        <f t="shared" ref="AI51:BV51" si="663">+AI42-AI50</f>
        <v>1458.2600000000007</v>
      </c>
      <c r="AJ51" s="39">
        <f t="shared" si="663"/>
        <v>1408.9699999999998</v>
      </c>
      <c r="AK51" s="39">
        <f t="shared" si="663"/>
        <v>1464.19</v>
      </c>
      <c r="AL51" s="39">
        <f t="shared" si="663"/>
        <v>1653.8600000000006</v>
      </c>
      <c r="AM51" s="39">
        <f t="shared" si="663"/>
        <v>2492.8399999999997</v>
      </c>
      <c r="AN51" s="39">
        <f t="shared" si="663"/>
        <v>2458.4199999999996</v>
      </c>
      <c r="AO51" s="39">
        <f t="shared" si="663"/>
        <v>3127.4900000000002</v>
      </c>
      <c r="AP51" s="39">
        <f t="shared" si="663"/>
        <v>2379.4299999999998</v>
      </c>
      <c r="AQ51" s="39">
        <f t="shared" si="663"/>
        <v>2233.0499999999997</v>
      </c>
      <c r="AR51" s="39">
        <f t="shared" si="663"/>
        <v>1354.3400000000006</v>
      </c>
      <c r="AS51" s="39">
        <f t="shared" si="663"/>
        <v>1172.1200000000003</v>
      </c>
      <c r="AT51" s="39">
        <f t="shared" si="663"/>
        <v>1869.19</v>
      </c>
      <c r="AU51" s="39">
        <f t="shared" si="663"/>
        <v>1647.0100000000002</v>
      </c>
      <c r="AV51" s="39">
        <f t="shared" si="663"/>
        <v>2272.8200000000002</v>
      </c>
      <c r="AW51" s="39">
        <f t="shared" si="663"/>
        <v>2303.1800000000007</v>
      </c>
      <c r="AX51" s="39">
        <f t="shared" si="663"/>
        <v>2271.35</v>
      </c>
      <c r="AY51" s="39">
        <f t="shared" si="663"/>
        <v>2459.8399999999988</v>
      </c>
      <c r="AZ51" s="39">
        <f t="shared" si="663"/>
        <v>4134.8799999999992</v>
      </c>
      <c r="BA51" s="39">
        <f t="shared" si="663"/>
        <v>2652.5600000000004</v>
      </c>
      <c r="BB51" s="39">
        <f t="shared" si="663"/>
        <v>2844.5199999999991</v>
      </c>
      <c r="BC51" s="39">
        <f t="shared" si="663"/>
        <v>2830.53</v>
      </c>
      <c r="BD51" s="39">
        <f t="shared" si="663"/>
        <v>2665.19</v>
      </c>
      <c r="BE51" s="39">
        <f t="shared" si="663"/>
        <v>1870.0600000000009</v>
      </c>
      <c r="BF51" s="39">
        <f t="shared" si="663"/>
        <v>2749.4500000000003</v>
      </c>
      <c r="BG51" s="39">
        <f t="shared" si="663"/>
        <v>2677.6000000000004</v>
      </c>
      <c r="BH51" s="39">
        <f t="shared" si="663"/>
        <v>2095.7399999999998</v>
      </c>
      <c r="BI51" s="39">
        <f t="shared" si="663"/>
        <v>2465.6600000000008</v>
      </c>
      <c r="BJ51" s="39">
        <f t="shared" si="663"/>
        <v>2182.8099999999995</v>
      </c>
      <c r="BK51" s="39">
        <f t="shared" si="663"/>
        <v>3374.1799999999994</v>
      </c>
      <c r="BL51" s="39">
        <f t="shared" si="663"/>
        <v>3651.9299999999994</v>
      </c>
      <c r="BM51" s="39">
        <f t="shared" si="663"/>
        <v>4183.7</v>
      </c>
      <c r="BN51" s="39">
        <f t="shared" si="663"/>
        <v>3751.9499999999985</v>
      </c>
      <c r="BO51" s="39">
        <f t="shared" si="663"/>
        <v>3755.56</v>
      </c>
      <c r="BP51" s="39">
        <f t="shared" si="663"/>
        <v>3003.9399999999991</v>
      </c>
      <c r="BQ51" s="39">
        <f t="shared" si="663"/>
        <v>3557.1600000000017</v>
      </c>
      <c r="BR51" s="39">
        <f t="shared" si="663"/>
        <v>3677.3100000000013</v>
      </c>
      <c r="BS51" s="39">
        <f t="shared" si="663"/>
        <v>4147.3999999999987</v>
      </c>
      <c r="BT51" s="39">
        <f t="shared" si="663"/>
        <v>3702.5700000000015</v>
      </c>
      <c r="BU51" s="39">
        <f t="shared" si="663"/>
        <v>4884.83</v>
      </c>
      <c r="BV51" s="39">
        <f t="shared" si="663"/>
        <v>4009.3799999999992</v>
      </c>
      <c r="BW51" s="39">
        <f t="shared" ref="BW51:BX51" si="664">+BW42-BW50</f>
        <v>3820.8500000000004</v>
      </c>
      <c r="BX51" s="39">
        <f t="shared" si="664"/>
        <v>4192.79</v>
      </c>
      <c r="BY51" s="39">
        <f t="shared" ref="BY51" si="665">+BY42-BY50</f>
        <v>5025.7100000000009</v>
      </c>
      <c r="BZ51" s="40">
        <f t="shared" ref="BZ51:CO51" si="666">+BZ42-BZ50</f>
        <v>4398.9808340969685</v>
      </c>
      <c r="CA51" s="40">
        <f t="shared" si="666"/>
        <v>4523.4729245756553</v>
      </c>
      <c r="CB51" s="40">
        <f t="shared" si="666"/>
        <v>4669.5959047534179</v>
      </c>
      <c r="CC51" s="40">
        <f t="shared" si="666"/>
        <v>4834.3932609130188</v>
      </c>
      <c r="CD51" s="40">
        <f t="shared" si="666"/>
        <v>4824.0316052808612</v>
      </c>
      <c r="CE51" s="40">
        <f t="shared" si="666"/>
        <v>4900.5239579305771</v>
      </c>
      <c r="CF51" s="40">
        <f t="shared" si="666"/>
        <v>4940.9967228080986</v>
      </c>
      <c r="CG51" s="40">
        <f t="shared" si="666"/>
        <v>5044.620386736442</v>
      </c>
      <c r="CH51" s="40">
        <f t="shared" si="666"/>
        <v>5333.828106947336</v>
      </c>
      <c r="CI51" s="40">
        <f t="shared" si="666"/>
        <v>5438.2204588574177</v>
      </c>
      <c r="CJ51" s="40">
        <f t="shared" si="666"/>
        <v>5517.4047757773869</v>
      </c>
      <c r="CK51" s="40">
        <f t="shared" si="666"/>
        <v>5713.9408401794999</v>
      </c>
      <c r="CL51" s="40">
        <f t="shared" si="666"/>
        <v>5975.6454828707256</v>
      </c>
      <c r="CM51" s="40">
        <f t="shared" si="666"/>
        <v>6112.762395823358</v>
      </c>
      <c r="CN51" s="40">
        <f t="shared" si="666"/>
        <v>6221.1726956301645</v>
      </c>
      <c r="CO51" s="40">
        <f t="shared" si="666"/>
        <v>6459.2654138197813</v>
      </c>
      <c r="CT51" s="39">
        <v>17048.731099999997</v>
      </c>
    </row>
    <row r="52" spans="1:98" s="72" customFormat="1" x14ac:dyDescent="0.2">
      <c r="A52" s="72" t="s">
        <v>15</v>
      </c>
      <c r="C52" s="72">
        <f t="shared" ref="C52" si="667">+IF(B51&lt;0,1-C51/B51,C51/B51-1)</f>
        <v>0.82905107634022923</v>
      </c>
      <c r="D52" s="72">
        <f t="shared" ref="D52" si="668">+IF(C51&lt;0,1-D51/C51,D51/C51-1)</f>
        <v>0.43761399995184314</v>
      </c>
      <c r="E52" s="72">
        <f t="shared" ref="E52" si="669">+IF(D51&lt;0,1-E51/D51,E51/D51-1)</f>
        <v>0.10437053673051611</v>
      </c>
      <c r="F52" s="72">
        <f t="shared" ref="F52" si="670">+IF(E51&lt;0,1-F51/E51,F51/E51-1)</f>
        <v>-0.34859920433469793</v>
      </c>
      <c r="G52" s="72">
        <f t="shared" ref="G52" si="671">+IF(F51&lt;0,1-G51/F51,G51/F51-1)</f>
        <v>0.1649343510020207</v>
      </c>
      <c r="H52" s="72">
        <f t="shared" ref="H52" si="672">+IF(G51&lt;0,1-H51/G51,H51/G51-1)</f>
        <v>0.40780610156061514</v>
      </c>
      <c r="I52" s="72">
        <f t="shared" ref="I52" si="673">+IF(H51&lt;0,1-I51/H51,I51/H51-1)</f>
        <v>0.54539700105461941</v>
      </c>
      <c r="J52" s="72">
        <f t="shared" ref="J52" si="674">+IF(I51&lt;0,1-J51/I51,J51/I51-1)</f>
        <v>0.47433051726190367</v>
      </c>
      <c r="K52" s="72">
        <f t="shared" ref="K52" si="675">+IF(J51&lt;0,1-K51/J51,K51/J51-1)</f>
        <v>-0.13781630647476795</v>
      </c>
      <c r="L52" s="72">
        <f t="shared" ref="L52" si="676">+IF(K51&lt;0,1-L51/K51,L51/K51-1)</f>
        <v>0.14441948205900768</v>
      </c>
      <c r="M52" s="72">
        <f t="shared" ref="M52" si="677">+IF(L51&lt;0,1-M51/L51,M51/L51-1)</f>
        <v>0.24325137660875695</v>
      </c>
      <c r="N52" s="72">
        <f t="shared" ref="N52" si="678">+IF(M51&lt;0,1-N51/M51,N51/M51-1)</f>
        <v>0.11421466717289475</v>
      </c>
      <c r="O52" s="72">
        <f t="shared" ref="O52" si="679">+IF(N51&lt;0,1-O51/N51,O51/N51-1)</f>
        <v>0.12930331419649854</v>
      </c>
      <c r="P52" s="72">
        <f t="shared" ref="P52" si="680">+IF(O51&lt;0,1-P51/O51,P51/O51-1)</f>
        <v>-0.11102228188810592</v>
      </c>
      <c r="Q52" s="72">
        <f t="shared" ref="Q52" si="681">+IF(P51&lt;0,1-Q51/P51,Q51/P51-1)</f>
        <v>-0.19393668115348284</v>
      </c>
      <c r="R52" s="72">
        <f t="shared" ref="R52" si="682">+IF(Q51&lt;0,1-R51/Q51,R51/Q51-1)</f>
        <v>0.61253538534683716</v>
      </c>
      <c r="S52" s="72">
        <f t="shared" ref="S52" si="683">+IF(R51&lt;0,1-S51/R51,S51/R51-1)</f>
        <v>-0.26649729177062276</v>
      </c>
      <c r="T52" s="72">
        <f t="shared" ref="T52" si="684">+IF(S51&lt;0,1-T51/S51,T51/S51-1)</f>
        <v>0.13353333075124452</v>
      </c>
      <c r="U52" s="72">
        <f t="shared" ref="U52" si="685">+IF(T51&lt;0,1-U51/T51,U51/T51-1)</f>
        <v>0.42342467632451553</v>
      </c>
      <c r="V52" s="72">
        <f t="shared" ref="V52" si="686">+IF(U51&lt;0,1-V51/U51,V51/U51-1)</f>
        <v>-0.10817730797895342</v>
      </c>
      <c r="W52" s="72">
        <f t="shared" ref="W52" si="687">+IF(V51&lt;0,1-W51/V51,W51/V51-1)</f>
        <v>-2.7660012713243032E-2</v>
      </c>
      <c r="X52" s="72">
        <f t="shared" ref="X52" si="688">+IF(W51&lt;0,1-X51/W51,X51/W51-1)</f>
        <v>0.34081009889157388</v>
      </c>
      <c r="Y52" s="72">
        <f t="shared" ref="Y52" si="689">+IF(X51&lt;0,1-Y51/X51,Y51/X51-1)</f>
        <v>5.0474474719690354E-2</v>
      </c>
      <c r="Z52" s="75">
        <f>+IF(Y51&lt;0,1-Z51/Y51,Z51/Y51-1)</f>
        <v>0.1665767916186558</v>
      </c>
      <c r="AA52" s="75">
        <f>+IF(Z51&lt;0,1-AA51/Z51,AA51/Z51-1)</f>
        <v>3.8789742179152098E-2</v>
      </c>
      <c r="AB52" s="73">
        <f t="shared" ref="AB52" si="690">+IF(AA51&lt;0,1-AB51/AA51,AB51/AA51-1)</f>
        <v>8.0810226653118544E-2</v>
      </c>
      <c r="AC52" s="73">
        <f t="shared" ref="AC52" si="691">+AC51/AB51-1</f>
        <v>6.9667800437015925E-2</v>
      </c>
      <c r="AD52" s="73">
        <f t="shared" ref="AD52" si="692">+AD51/AC51-1</f>
        <v>0.11634710395893322</v>
      </c>
      <c r="AE52" s="73">
        <f t="shared" ref="AE52" si="693">+AE51/AD51-1</f>
        <v>0.12568296434350246</v>
      </c>
      <c r="AG52" s="74"/>
      <c r="AH52" s="75"/>
      <c r="AI52" s="75"/>
      <c r="AJ52" s="75"/>
      <c r="AK52" s="75"/>
      <c r="AL52" s="75">
        <f t="shared" ref="AL52" si="694">+IF(AH51&lt;0,1-AL51/AH51,AL51/AH51-1)</f>
        <v>-2.9544481020531421E-2</v>
      </c>
      <c r="AM52" s="75">
        <f t="shared" ref="AM52" si="695">+IF(AI51&lt;0,1-AM51/AI51,AM51/AI51-1)</f>
        <v>0.70946196151577801</v>
      </c>
      <c r="AN52" s="75">
        <f t="shared" ref="AN52" si="696">+IF(AJ51&lt;0,1-AN51/AJ51,AN51/AJ51-1)</f>
        <v>0.74483487937997261</v>
      </c>
      <c r="AO52" s="75">
        <f t="shared" ref="AO52" si="697">+IF(AK51&lt;0,1-AO51/AK51,AO51/AK51-1)</f>
        <v>1.1359864498459902</v>
      </c>
      <c r="AP52" s="75">
        <f t="shared" ref="AP52" si="698">+IF(AL51&lt;0,1-AP51/AL51,AP51/AL51-1)</f>
        <v>0.43871307123940295</v>
      </c>
      <c r="AQ52" s="75">
        <f t="shared" ref="AQ52" si="699">+IF(AM51&lt;0,1-AQ51/AM51,AQ51/AM51-1)</f>
        <v>-0.1042144702427753</v>
      </c>
      <c r="AR52" s="75">
        <f t="shared" ref="AR52" si="700">+IF(AN51&lt;0,1-AR51/AN51,AR51/AN51-1)</f>
        <v>-0.44910145540631752</v>
      </c>
      <c r="AS52" s="75">
        <f t="shared" ref="AS52" si="701">+IF(AO51&lt;0,1-AS51/AO51,AS51/AO51-1)</f>
        <v>-0.6252202245250984</v>
      </c>
      <c r="AT52" s="75">
        <f t="shared" ref="AT52" si="702">+IF(AP51&lt;0,1-AT51/AP51,AT51/AP51-1)</f>
        <v>-0.21443791160067738</v>
      </c>
      <c r="AU52" s="75">
        <f t="shared" ref="AU52" si="703">+IF(AQ51&lt;0,1-AU51/AQ51,AU51/AQ51-1)</f>
        <v>-0.26243926468283274</v>
      </c>
      <c r="AV52" s="75">
        <f t="shared" ref="AV52" si="704">+IF(AR51&lt;0,1-AV51/AR51,AV51/AR51-1)</f>
        <v>0.67817534740168584</v>
      </c>
      <c r="AW52" s="75">
        <f t="shared" ref="AW52" si="705">+IF(AS51&lt;0,1-AW51/AS51,AW51/AS51-1)</f>
        <v>0.96496945705217896</v>
      </c>
      <c r="AX52" s="75">
        <f t="shared" ref="AX52" si="706">+IF(AT51&lt;0,1-AX51/AT51,AX51/AT51-1)</f>
        <v>0.2151520177189048</v>
      </c>
      <c r="AY52" s="75">
        <f t="shared" ref="AY52" si="707">+IF(AU51&lt;0,1-AY51/AU51,AY51/AU51-1)</f>
        <v>0.49351855787153598</v>
      </c>
      <c r="AZ52" s="75">
        <f t="shared" ref="AZ52" si="708">+IF(AV51&lt;0,1-AZ51/AV51,AZ51/AV51-1)</f>
        <v>0.81927297366267404</v>
      </c>
      <c r="BA52" s="75">
        <f t="shared" ref="BA52" si="709">+IF(AW51&lt;0,1-BA51/AW51,BA51/AW51-1)</f>
        <v>0.15169461353433067</v>
      </c>
      <c r="BB52" s="75">
        <f t="shared" ref="BB52" si="710">+IF(AX51&lt;0,1-BB51/AX51,BB51/AX51-1)</f>
        <v>0.25234772271996797</v>
      </c>
      <c r="BC52" s="75">
        <f t="shared" ref="BC52" si="711">+IF(AY51&lt;0,1-BC51/AY51,BC51/AY51-1)</f>
        <v>0.15069679328736885</v>
      </c>
      <c r="BD52" s="75">
        <f t="shared" ref="BD52" si="712">+IF(AZ51&lt;0,1-BD51/AZ51,BD51/AZ51-1)</f>
        <v>-0.35543715899856809</v>
      </c>
      <c r="BE52" s="75">
        <f t="shared" ref="BE52" si="713">+IF(BA51&lt;0,1-BE51/BA51,BE51/BA51-1)</f>
        <v>-0.29499803962964055</v>
      </c>
      <c r="BF52" s="75">
        <f t="shared" ref="BF52" si="714">+IF(BB51&lt;0,1-BF51/BB51,BF51/BB51-1)</f>
        <v>-3.3422159098898563E-2</v>
      </c>
      <c r="BG52" s="75">
        <f t="shared" ref="BG52" si="715">+IF(BC51&lt;0,1-BG51/BC51,BG51/BC51-1)</f>
        <v>-5.4028750799320235E-2</v>
      </c>
      <c r="BH52" s="75">
        <f t="shared" ref="BH52" si="716">+IF(BD51&lt;0,1-BH51/BD51,BH51/BD51-1)</f>
        <v>-0.21366206536869803</v>
      </c>
      <c r="BI52" s="75">
        <f t="shared" ref="BI52" si="717">+IF(BE51&lt;0,1-BI51/BE51,BI51/BE51-1)</f>
        <v>0.31849245478754673</v>
      </c>
      <c r="BJ52" s="75">
        <f t="shared" ref="BJ52" si="718">+IF(BF51&lt;0,1-BJ51/BF51,BJ51/BF51-1)</f>
        <v>-0.20609212751641259</v>
      </c>
      <c r="BK52" s="75">
        <f t="shared" ref="BK52" si="719">+IF(BG51&lt;0,1-BK51/BG51,BK51/BG51-1)</f>
        <v>0.26015088138631559</v>
      </c>
      <c r="BL52" s="75">
        <f t="shared" ref="BL52" si="720">+IF(BH51&lt;0,1-BL51/BH51,BL51/BH51-1)</f>
        <v>0.74254917117581365</v>
      </c>
      <c r="BM52" s="75">
        <f t="shared" ref="BM52" si="721">+IF(BI51&lt;0,1-BM51/BI51,BM51/BI51-1)</f>
        <v>0.69678706715443273</v>
      </c>
      <c r="BN52" s="75">
        <f t="shared" ref="BN52" si="722">+IF(BJ51&lt;0,1-BN51/BJ51,BN51/BJ51-1)</f>
        <v>0.71886238380802703</v>
      </c>
      <c r="BO52" s="75">
        <f t="shared" ref="BO52" si="723">+IF(BK51&lt;0,1-BO51/BK51,BO51/BK51-1)</f>
        <v>0.11302894332845326</v>
      </c>
      <c r="BP52" s="75">
        <f t="shared" ref="BP52" si="724">+IF(BL51&lt;0,1-BP51/BL51,BP51/BL51-1)</f>
        <v>-0.17743768363577628</v>
      </c>
      <c r="BQ52" s="75">
        <f t="shared" ref="BQ52" si="725">+IF(BM51&lt;0,1-BQ51/BM51,BQ51/BM51-1)</f>
        <v>-0.14975739178239311</v>
      </c>
      <c r="BR52" s="75">
        <f t="shared" ref="BR52" si="726">+IF(BN51&lt;0,1-BR51/BN51,BR51/BN51-1)</f>
        <v>-1.9893655299243695E-2</v>
      </c>
      <c r="BS52" s="75">
        <f t="shared" ref="BS52" si="727">+IF(BO51&lt;0,1-BS51/BO51,BS51/BO51-1)</f>
        <v>0.10433597120003379</v>
      </c>
      <c r="BT52" s="75">
        <f t="shared" ref="BT52" si="728">+IF(BP51&lt;0,1-BT51/BP51,BT51/BP51-1)</f>
        <v>0.23257122312696077</v>
      </c>
      <c r="BU52" s="75">
        <f t="shared" ref="BU52" si="729">+IF(BQ51&lt;0,1-BU51/BQ51,BU51/BQ51-1)</f>
        <v>0.37323876350796636</v>
      </c>
      <c r="BV52" s="75">
        <f t="shared" ref="BV52" si="730">+IF(BR51&lt;0,1-BV51/BR51,BV51/BR51-1)</f>
        <v>9.0302422150973838E-2</v>
      </c>
      <c r="BW52" s="75">
        <f>+IF(BS51&lt;0,1-BW51/BS51,BW51/BS51-1)</f>
        <v>-7.8736075613637047E-2</v>
      </c>
      <c r="BX52" s="75">
        <f>+IF(BT51&lt;0,1-BX51/BT51,BX51/BT51-1)</f>
        <v>0.13239992761784336</v>
      </c>
      <c r="BY52" s="75">
        <f>+IF(BU51&lt;0,1-BY51/BU51,BY51/BU51-1)</f>
        <v>2.8840307646325725E-2</v>
      </c>
      <c r="BZ52" s="35">
        <f t="shared" ref="BZ52" si="731">+IF(BV51&lt;0,1-BZ51/BV51,BZ51/BV51-1)</f>
        <v>9.717233938837655E-2</v>
      </c>
      <c r="CA52" s="35">
        <f t="shared" ref="CA52" si="732">+IF(BW51&lt;0,1-CA51/BW51,CA51/BW51-1)</f>
        <v>0.18389178443949761</v>
      </c>
      <c r="CB52" s="35">
        <f t="shared" ref="CB52" si="733">+IF(BX51&lt;0,1-CB51/BX51,CB51/BX51-1)</f>
        <v>0.11372043549841937</v>
      </c>
      <c r="CC52" s="35">
        <f t="shared" ref="CC52" si="734">+IF(BY51&lt;0,1-CC51/BY51,CC51/BY51-1)</f>
        <v>-3.8067604196617366E-2</v>
      </c>
      <c r="CD52" s="35">
        <f t="shared" ref="CD52" si="735">+IF(BZ51&lt;0,1-CD51/BZ51,CD51/BZ51-1)</f>
        <v>9.6624829071606522E-2</v>
      </c>
      <c r="CE52" s="35">
        <f t="shared" ref="CE52" si="736">+IF(CA51&lt;0,1-CE51/CA51,CE51/CA51-1)</f>
        <v>8.3354325236796312E-2</v>
      </c>
      <c r="CF52" s="35">
        <f t="shared" ref="CF52" si="737">+IF(CB51&lt;0,1-CF51/CB51,CF51/CB51-1)</f>
        <v>5.8120836061726022E-2</v>
      </c>
      <c r="CG52" s="35">
        <f t="shared" ref="CG52" si="738">+IF(CC51&lt;0,1-CG51/CC51,CG51/CC51-1)</f>
        <v>4.3485731192608901E-2</v>
      </c>
      <c r="CH52" s="35">
        <f t="shared" ref="CH52" si="739">+IF(CD51&lt;0,1-CH51/CD51,CH51/CD51-1)</f>
        <v>0.10567851610018497</v>
      </c>
      <c r="CI52" s="35">
        <f t="shared" ref="CI52" si="740">+IF(CE51&lt;0,1-CI51/CE51,CI51/CE51-1)</f>
        <v>0.10972224716026124</v>
      </c>
      <c r="CJ52" s="35">
        <f t="shared" ref="CJ52" si="741">+IF(CF51&lt;0,1-CJ51/CF51,CJ51/CF51-1)</f>
        <v>0.11665825445876843</v>
      </c>
      <c r="CK52" s="35">
        <f t="shared" ref="CK52" si="742">+IF(CG51&lt;0,1-CK51/CG51,CK51/CG51-1)</f>
        <v>0.13268004371604802</v>
      </c>
      <c r="CL52" s="35">
        <f t="shared" ref="CL52" si="743">+IF(CH51&lt;0,1-CL51/CH51,CL51/CH51-1)</f>
        <v>0.12032959500277474</v>
      </c>
      <c r="CM52" s="35">
        <f t="shared" ref="CM52" si="744">+IF(CI51&lt;0,1-CM51/CI51,CM51/CI51-1)</f>
        <v>0.12403725484635153</v>
      </c>
      <c r="CN52" s="35">
        <f t="shared" ref="CN52" si="745">+IF(CJ51&lt;0,1-CN51/CJ51,CN51/CJ51-1)</f>
        <v>0.1275541578791668</v>
      </c>
      <c r="CO52" s="35">
        <f t="shared" ref="CO52" si="746">+IF(CK51&lt;0,1-CO51/CK51,CO51/CK51-1)</f>
        <v>0.13043967280852486</v>
      </c>
      <c r="CT52" s="72">
        <v>3.8789742179152098E-2</v>
      </c>
    </row>
    <row r="53" spans="1:98" s="37" customFormat="1" x14ac:dyDescent="0.2">
      <c r="A53" s="37" t="s">
        <v>2</v>
      </c>
      <c r="B53" s="37">
        <f>+'Annual Raw'!C19</f>
        <v>454.07909999999998</v>
      </c>
      <c r="C53" s="37">
        <f>+'Annual Raw'!D19</f>
        <v>720.08709999999996</v>
      </c>
      <c r="D53" s="37">
        <f>+'Annual Raw'!E19</f>
        <v>869.81610000000001</v>
      </c>
      <c r="E53" s="37">
        <f>+'Annual Raw'!F19</f>
        <v>890.97879999999998</v>
      </c>
      <c r="F53" s="37">
        <f>+'Annual Raw'!G19</f>
        <v>999.33010000000002</v>
      </c>
      <c r="G53" s="37">
        <f>+'Annual Raw'!H19</f>
        <v>785.5652</v>
      </c>
      <c r="H53" s="37">
        <f>+'Annual Raw'!I19</f>
        <v>862.12959999999998</v>
      </c>
      <c r="I53" s="37">
        <f>+'Annual Raw'!J19</f>
        <v>1016.4956</v>
      </c>
      <c r="J53" s="37">
        <f>+'Annual Raw'!K19</f>
        <v>1292.3779</v>
      </c>
      <c r="K53" s="37">
        <f>+'Annual Raw'!L19</f>
        <v>2210.9387000000002</v>
      </c>
      <c r="L53" s="37">
        <f>+'Annual Raw'!M19</f>
        <v>1888.8413</v>
      </c>
      <c r="M53" s="37">
        <f>+'Annual Raw'!N19</f>
        <v>3116.433</v>
      </c>
      <c r="N53" s="37">
        <f>+'Annual Raw'!O19</f>
        <v>4450.759</v>
      </c>
      <c r="O53" s="37">
        <f>+'Annual Raw'!P19</f>
        <v>4877.8527000000004</v>
      </c>
      <c r="P53" s="37">
        <f>+'Annual Raw'!Q19</f>
        <v>5692.7214000000004</v>
      </c>
      <c r="Q53" s="37">
        <f>+'Annual Raw'!R19</f>
        <v>13826.393099999999</v>
      </c>
      <c r="R53" s="37">
        <f>+'Annual Raw'!S19</f>
        <v>12105.175300000001</v>
      </c>
      <c r="S53" s="37">
        <f>+'Annual Raw'!T19</f>
        <v>15772.420599999999</v>
      </c>
      <c r="T53" s="37">
        <f>+'Annual Raw'!U19</f>
        <v>16805.620500000001</v>
      </c>
      <c r="U53" s="37">
        <f>+'Annual Raw'!V19</f>
        <v>16121.3776</v>
      </c>
      <c r="V53" s="37">
        <f>+'Annual Raw'!W19</f>
        <v>7035.8860000000004</v>
      </c>
      <c r="W53" s="37">
        <f>+'Annual Raw'!X19</f>
        <v>4421.7088000000003</v>
      </c>
      <c r="X53" s="37">
        <f>+'Annual Raw'!Y19</f>
        <v>7163.3108000000002</v>
      </c>
      <c r="Y53" s="37">
        <f>+'Annual Raw'!Z19</f>
        <v>3969.5396999999998</v>
      </c>
      <c r="Z53" s="37">
        <f>+'Annual Raw'!AA19</f>
        <v>3977.6597000000002</v>
      </c>
      <c r="AA53" s="37">
        <f>+'Annual Raw'!AB19</f>
        <v>3103.0686000000001</v>
      </c>
      <c r="AB53" s="38">
        <f>SUM(BZ53:CC53)</f>
        <v>3325.6183244490398</v>
      </c>
      <c r="AC53" s="38">
        <f>SUM(CD53:CG53)</f>
        <v>3726.3483691517677</v>
      </c>
      <c r="AD53" s="38">
        <f>SUM(CH53:CK53)</f>
        <v>4182.2690082800236</v>
      </c>
      <c r="AE53" s="38">
        <f>SUM(CL53:CO53)</f>
        <v>4714.0675814593033</v>
      </c>
      <c r="AG53" s="59"/>
      <c r="AH53" s="37">
        <f>+'QTR Raw'!C18</f>
        <v>1514.73</v>
      </c>
      <c r="AI53" s="37">
        <f>+'QTR Raw'!D18</f>
        <v>3237.39</v>
      </c>
      <c r="AJ53" s="37">
        <f>+'QTR Raw'!E18</f>
        <v>3603.92</v>
      </c>
      <c r="AK53" s="37">
        <f>+'QTR Raw'!F18</f>
        <v>5470.36</v>
      </c>
      <c r="AL53" s="37">
        <f>+'QTR Raw'!G18</f>
        <v>2770.19</v>
      </c>
      <c r="AM53" s="37">
        <f>+'QTR Raw'!H18</f>
        <v>2296.2199999999998</v>
      </c>
      <c r="AN53" s="37">
        <f>+'QTR Raw'!I18</f>
        <v>2302.5700000000002</v>
      </c>
      <c r="AO53" s="37">
        <f>+'QTR Raw'!J18</f>
        <v>4736.21</v>
      </c>
      <c r="AP53" s="37">
        <f>+'QTR Raw'!K18</f>
        <v>2245.2800000000002</v>
      </c>
      <c r="AQ53" s="37">
        <f>+'QTR Raw'!L18</f>
        <v>1953.3</v>
      </c>
      <c r="AR53" s="37">
        <f>+'QTR Raw'!M18</f>
        <v>4899.72</v>
      </c>
      <c r="AS53" s="37">
        <f>+'QTR Raw'!N18</f>
        <v>6674.12</v>
      </c>
      <c r="AT53" s="37">
        <f>+'QTR Raw'!O18</f>
        <v>2564.19</v>
      </c>
      <c r="AU53" s="37">
        <f>+'QTR Raw'!P18</f>
        <v>3343.27</v>
      </c>
      <c r="AV53" s="37">
        <f>+'QTR Raw'!Q18</f>
        <v>9000.7199999999993</v>
      </c>
      <c r="AW53" s="37">
        <f>+'QTR Raw'!R18</f>
        <v>1897.43</v>
      </c>
      <c r="AX53" s="37">
        <f>+'QTR Raw'!S18</f>
        <v>1911.98</v>
      </c>
      <c r="AY53" s="37">
        <f>+'QTR Raw'!T18</f>
        <v>2052.27</v>
      </c>
      <c r="AZ53" s="37">
        <f>+'QTR Raw'!U18</f>
        <v>4015.2</v>
      </c>
      <c r="BA53" s="37">
        <f>+'QTR Raw'!V18</f>
        <v>8141.92</v>
      </c>
      <c r="BB53" s="37">
        <f>+'QTR Raw'!W18</f>
        <v>1512.07</v>
      </c>
      <c r="BC53" s="37">
        <f>+'QTR Raw'!X18</f>
        <v>2045.15</v>
      </c>
      <c r="BD53" s="37">
        <f>+'QTR Raw'!Y18</f>
        <v>1809.63</v>
      </c>
      <c r="BE53" s="37">
        <f>+'QTR Raw'!Z18</f>
        <v>1606.73</v>
      </c>
      <c r="BF53" s="37">
        <f>+'QTR Raw'!AA18</f>
        <v>1652.36</v>
      </c>
      <c r="BG53" s="37">
        <f>+'QTR Raw'!AB18</f>
        <v>893.8</v>
      </c>
      <c r="BH53" s="37">
        <f>+'QTR Raw'!AC18</f>
        <v>334.93</v>
      </c>
      <c r="BI53" s="37">
        <f>+'QTR Raw'!AD18</f>
        <v>1540.61</v>
      </c>
      <c r="BJ53" s="37">
        <f>+'QTR Raw'!AE18</f>
        <v>1321.74</v>
      </c>
      <c r="BK53" s="37">
        <f>+'QTR Raw'!AF18</f>
        <v>1912.06</v>
      </c>
      <c r="BL53" s="37">
        <f>+'QTR Raw'!AG18</f>
        <v>1878.98</v>
      </c>
      <c r="BM53" s="37">
        <f>+'QTR Raw'!AH18</f>
        <v>2050.5300000000002</v>
      </c>
      <c r="BN53" s="37">
        <f>+'QTR Raw'!AI18</f>
        <v>824.16</v>
      </c>
      <c r="BO53" s="37">
        <f>+'QTR Raw'!AJ18</f>
        <v>818.31</v>
      </c>
      <c r="BP53" s="37">
        <f>+'QTR Raw'!AK18</f>
        <v>501.11</v>
      </c>
      <c r="BQ53" s="37">
        <f>+'QTR Raw'!AL18</f>
        <v>1825.96</v>
      </c>
      <c r="BR53" s="37">
        <f>+'QTR Raw'!AM18</f>
        <v>1293.26</v>
      </c>
      <c r="BS53" s="37">
        <f>+'QTR Raw'!AN18</f>
        <v>1043.04</v>
      </c>
      <c r="BT53" s="37">
        <f>+'QTR Raw'!AO18</f>
        <v>303.7</v>
      </c>
      <c r="BU53" s="37">
        <f>+'QTR Raw'!AP18</f>
        <v>1337.66</v>
      </c>
      <c r="BV53" s="37">
        <f>+'QTR Raw'!AQ18</f>
        <v>1096.08</v>
      </c>
      <c r="BW53" s="37">
        <f>+'QTR Raw'!AR18</f>
        <v>441.24</v>
      </c>
      <c r="BX53" s="37">
        <f>+'QTR Raw'!AS18</f>
        <v>575.99</v>
      </c>
      <c r="BY53" s="37">
        <f>+'QTR Raw'!AT18</f>
        <v>989.76</v>
      </c>
      <c r="BZ53" s="38">
        <f t="shared" ref="BZ53:CO53" si="747">BZ20*BY5</f>
        <v>826.73672344436511</v>
      </c>
      <c r="CA53" s="38">
        <f t="shared" si="747"/>
        <v>754.04094895558842</v>
      </c>
      <c r="CB53" s="38">
        <f t="shared" si="747"/>
        <v>833.18194708581211</v>
      </c>
      <c r="CC53" s="38">
        <f t="shared" si="747"/>
        <v>911.65870496327409</v>
      </c>
      <c r="CD53" s="38">
        <f t="shared" si="747"/>
        <v>897.65264539263694</v>
      </c>
      <c r="CE53" s="38">
        <f t="shared" si="747"/>
        <v>909.63398976208794</v>
      </c>
      <c r="CF53" s="38">
        <f t="shared" si="747"/>
        <v>941.44475038605833</v>
      </c>
      <c r="CG53" s="38">
        <f t="shared" si="747"/>
        <v>977.61698361098411</v>
      </c>
      <c r="CH53" s="38">
        <f t="shared" si="747"/>
        <v>1007.96890217014</v>
      </c>
      <c r="CI53" s="38">
        <f t="shared" si="747"/>
        <v>1031.689490613074</v>
      </c>
      <c r="CJ53" s="38">
        <f t="shared" si="747"/>
        <v>1052.4129607170933</v>
      </c>
      <c r="CK53" s="38">
        <f t="shared" si="747"/>
        <v>1090.1976547797162</v>
      </c>
      <c r="CL53" s="38">
        <f t="shared" si="747"/>
        <v>1135.7032647441008</v>
      </c>
      <c r="CM53" s="38">
        <f t="shared" si="747"/>
        <v>1163.4182812140912</v>
      </c>
      <c r="CN53" s="38">
        <f t="shared" si="747"/>
        <v>1185.0101206396505</v>
      </c>
      <c r="CO53" s="38">
        <f t="shared" si="747"/>
        <v>1229.9359148614615</v>
      </c>
      <c r="CT53" s="37">
        <v>3103.0686000000001</v>
      </c>
    </row>
    <row r="54" spans="1:98" s="42" customFormat="1" x14ac:dyDescent="0.2">
      <c r="A54" s="42" t="s">
        <v>12</v>
      </c>
      <c r="B54" s="42">
        <f t="shared" ref="B54:O54" si="748">B51-B53</f>
        <v>317.93980000000005</v>
      </c>
      <c r="C54" s="42">
        <f t="shared" si="748"/>
        <v>691.97489999999993</v>
      </c>
      <c r="D54" s="42">
        <f t="shared" si="748"/>
        <v>1160.1839999999993</v>
      </c>
      <c r="E54" s="42">
        <f t="shared" si="748"/>
        <v>1350.8935000000006</v>
      </c>
      <c r="F54" s="42">
        <f t="shared" si="748"/>
        <v>461.02730000000099</v>
      </c>
      <c r="G54" s="42">
        <f t="shared" si="748"/>
        <v>915.65529999999944</v>
      </c>
      <c r="H54" s="42">
        <f t="shared" si="748"/>
        <v>1532.8589999999997</v>
      </c>
      <c r="I54" s="42">
        <f t="shared" si="748"/>
        <v>2684.7126000000007</v>
      </c>
      <c r="J54" s="42">
        <f t="shared" si="748"/>
        <v>4164.426300000001</v>
      </c>
      <c r="K54" s="42">
        <f t="shared" si="748"/>
        <v>2493.8288999999991</v>
      </c>
      <c r="L54" s="42">
        <f t="shared" si="748"/>
        <v>3495.3863999999994</v>
      </c>
      <c r="M54" s="42">
        <f t="shared" si="748"/>
        <v>3577.5155000000004</v>
      </c>
      <c r="N54" s="42">
        <f t="shared" si="748"/>
        <v>3007.7365999999984</v>
      </c>
      <c r="O54" s="42">
        <f t="shared" si="748"/>
        <v>3545.0510999999997</v>
      </c>
      <c r="P54" s="42">
        <f t="shared" ref="P54:W54" si="749">P51-P53</f>
        <v>1795.0524000000014</v>
      </c>
      <c r="Q54" s="42">
        <f t="shared" si="749"/>
        <v>-7790.7733000000007</v>
      </c>
      <c r="R54" s="42">
        <f t="shared" si="749"/>
        <v>-2372.5248000000029</v>
      </c>
      <c r="S54" s="42">
        <f t="shared" si="749"/>
        <v>-8633.4950999999983</v>
      </c>
      <c r="T54" s="42">
        <f t="shared" si="749"/>
        <v>-8713.4105000000054</v>
      </c>
      <c r="U54" s="42">
        <f t="shared" si="749"/>
        <v>-4602.7261999999992</v>
      </c>
      <c r="V54" s="42">
        <f t="shared" si="749"/>
        <v>3236.7086999999974</v>
      </c>
      <c r="W54" s="42">
        <f t="shared" si="749"/>
        <v>5566.7458000000042</v>
      </c>
      <c r="X54" s="42">
        <f t="shared" ref="X54" si="750">X51-X53</f>
        <v>6229.3100000000022</v>
      </c>
      <c r="Y54" s="42">
        <f t="shared" ref="Y54" si="751">Y51-Y53</f>
        <v>10099.066600000002</v>
      </c>
      <c r="Z54" s="42">
        <f t="shared" ref="Z54:AA54" si="752">Z51-Z53</f>
        <v>12434.449900000011</v>
      </c>
      <c r="AA54" s="42">
        <f t="shared" ref="AA54" si="753">AA51-AA53</f>
        <v>13945.662499999997</v>
      </c>
      <c r="AB54" s="43">
        <f t="shared" ref="AB54" si="754">AB51-AB53</f>
        <v>15100.824599890029</v>
      </c>
      <c r="AC54" s="43">
        <f t="shared" ref="AC54" si="755">AC51-AC53</f>
        <v>15983.824303604219</v>
      </c>
      <c r="AD54" s="43">
        <f t="shared" ref="AD54" si="756">AD51-AD53</f>
        <v>17821.125173481625</v>
      </c>
      <c r="AE54" s="43">
        <f t="shared" ref="AE54" si="757">AE51-AE53</f>
        <v>20054.778406684723</v>
      </c>
      <c r="AG54" s="61"/>
      <c r="AH54" s="42">
        <f t="shared" ref="AH54" si="758">AH51-AH53</f>
        <v>189.48000000000047</v>
      </c>
      <c r="AI54" s="42">
        <f t="shared" ref="AI54:BV54" si="759">AI51-AI53</f>
        <v>-1779.1299999999992</v>
      </c>
      <c r="AJ54" s="42">
        <f t="shared" si="759"/>
        <v>-2194.9500000000003</v>
      </c>
      <c r="AK54" s="42">
        <f t="shared" si="759"/>
        <v>-4006.1699999999996</v>
      </c>
      <c r="AL54" s="42">
        <f t="shared" si="759"/>
        <v>-1116.3299999999995</v>
      </c>
      <c r="AM54" s="42">
        <f t="shared" si="759"/>
        <v>196.61999999999989</v>
      </c>
      <c r="AN54" s="42">
        <f t="shared" si="759"/>
        <v>155.84999999999945</v>
      </c>
      <c r="AO54" s="42">
        <f t="shared" si="759"/>
        <v>-1608.7199999999998</v>
      </c>
      <c r="AP54" s="42">
        <f t="shared" si="759"/>
        <v>134.14999999999964</v>
      </c>
      <c r="AQ54" s="42">
        <f t="shared" si="759"/>
        <v>279.74999999999977</v>
      </c>
      <c r="AR54" s="42">
        <f t="shared" si="759"/>
        <v>-3545.3799999999997</v>
      </c>
      <c r="AS54" s="42">
        <f t="shared" si="759"/>
        <v>-5502</v>
      </c>
      <c r="AT54" s="42">
        <f t="shared" si="759"/>
        <v>-695</v>
      </c>
      <c r="AU54" s="42">
        <f t="shared" si="759"/>
        <v>-1696.2599999999998</v>
      </c>
      <c r="AV54" s="42">
        <f t="shared" si="759"/>
        <v>-6727.9</v>
      </c>
      <c r="AW54" s="42">
        <f t="shared" si="759"/>
        <v>405.75000000000068</v>
      </c>
      <c r="AX54" s="42">
        <f t="shared" si="759"/>
        <v>359.36999999999989</v>
      </c>
      <c r="AY54" s="42">
        <f t="shared" si="759"/>
        <v>407.5699999999988</v>
      </c>
      <c r="AZ54" s="42">
        <f t="shared" si="759"/>
        <v>119.67999999999938</v>
      </c>
      <c r="BA54" s="42">
        <f t="shared" si="759"/>
        <v>-5489.36</v>
      </c>
      <c r="BB54" s="42">
        <f t="shared" si="759"/>
        <v>1332.4499999999991</v>
      </c>
      <c r="BC54" s="42">
        <f t="shared" si="759"/>
        <v>785.38000000000011</v>
      </c>
      <c r="BD54" s="42">
        <f t="shared" si="759"/>
        <v>855.56</v>
      </c>
      <c r="BE54" s="42">
        <f t="shared" si="759"/>
        <v>263.33000000000084</v>
      </c>
      <c r="BF54" s="42">
        <f t="shared" si="759"/>
        <v>1097.0900000000004</v>
      </c>
      <c r="BG54" s="42">
        <f t="shared" si="759"/>
        <v>1783.8000000000004</v>
      </c>
      <c r="BH54" s="42">
        <f t="shared" si="759"/>
        <v>1760.8099999999997</v>
      </c>
      <c r="BI54" s="42">
        <f t="shared" si="759"/>
        <v>925.05000000000086</v>
      </c>
      <c r="BJ54" s="42">
        <f t="shared" si="759"/>
        <v>861.06999999999948</v>
      </c>
      <c r="BK54" s="42">
        <f t="shared" si="759"/>
        <v>1462.1199999999994</v>
      </c>
      <c r="BL54" s="42">
        <f t="shared" si="759"/>
        <v>1772.9499999999994</v>
      </c>
      <c r="BM54" s="42">
        <f t="shared" si="759"/>
        <v>2133.1699999999996</v>
      </c>
      <c r="BN54" s="42">
        <f t="shared" si="759"/>
        <v>2927.7899999999986</v>
      </c>
      <c r="BO54" s="42">
        <f t="shared" si="759"/>
        <v>2937.25</v>
      </c>
      <c r="BP54" s="42">
        <f t="shared" si="759"/>
        <v>2502.829999999999</v>
      </c>
      <c r="BQ54" s="42">
        <f t="shared" si="759"/>
        <v>1731.2000000000016</v>
      </c>
      <c r="BR54" s="42">
        <f t="shared" si="759"/>
        <v>2384.0500000000011</v>
      </c>
      <c r="BS54" s="42">
        <f t="shared" si="759"/>
        <v>3104.3599999999988</v>
      </c>
      <c r="BT54" s="42">
        <f t="shared" si="759"/>
        <v>3398.8700000000017</v>
      </c>
      <c r="BU54" s="42">
        <f t="shared" si="759"/>
        <v>3547.17</v>
      </c>
      <c r="BV54" s="42">
        <f t="shared" si="759"/>
        <v>2913.2999999999993</v>
      </c>
      <c r="BW54" s="42">
        <f t="shared" ref="BW54:BX54" si="760">BW51-BW53</f>
        <v>3379.6100000000006</v>
      </c>
      <c r="BX54" s="42">
        <f t="shared" si="760"/>
        <v>3616.8</v>
      </c>
      <c r="BY54" s="42">
        <f t="shared" ref="BY54" si="761">BY51-BY53</f>
        <v>4035.9500000000007</v>
      </c>
      <c r="BZ54" s="43">
        <f t="shared" ref="BZ54:CC54" si="762">BZ51-BZ53</f>
        <v>3572.2441106526035</v>
      </c>
      <c r="CA54" s="43">
        <f t="shared" si="762"/>
        <v>3769.4319756200666</v>
      </c>
      <c r="CB54" s="43">
        <f t="shared" si="762"/>
        <v>3836.4139576676057</v>
      </c>
      <c r="CC54" s="43">
        <f t="shared" si="762"/>
        <v>3922.7345559497448</v>
      </c>
      <c r="CD54" s="43">
        <f t="shared" ref="CD54:CO54" si="763">CD51-CD53</f>
        <v>3926.378959888224</v>
      </c>
      <c r="CE54" s="43">
        <f t="shared" si="763"/>
        <v>3990.8899681684893</v>
      </c>
      <c r="CF54" s="43">
        <f t="shared" si="763"/>
        <v>3999.5519724220403</v>
      </c>
      <c r="CG54" s="43">
        <f t="shared" si="763"/>
        <v>4067.0034031254581</v>
      </c>
      <c r="CH54" s="43">
        <f t="shared" si="763"/>
        <v>4325.8592047771963</v>
      </c>
      <c r="CI54" s="43">
        <f t="shared" si="763"/>
        <v>4406.530968244344</v>
      </c>
      <c r="CJ54" s="43">
        <f t="shared" si="763"/>
        <v>4464.9918150602934</v>
      </c>
      <c r="CK54" s="43">
        <f t="shared" si="763"/>
        <v>4623.7431853997841</v>
      </c>
      <c r="CL54" s="43">
        <f t="shared" si="763"/>
        <v>4839.9422181266245</v>
      </c>
      <c r="CM54" s="43">
        <f t="shared" si="763"/>
        <v>4949.3441146092664</v>
      </c>
      <c r="CN54" s="43">
        <f t="shared" si="763"/>
        <v>5036.1625749905143</v>
      </c>
      <c r="CO54" s="43">
        <f t="shared" si="763"/>
        <v>5229.3294989583201</v>
      </c>
      <c r="CT54" s="42">
        <v>13945.662499999997</v>
      </c>
    </row>
    <row r="55" spans="1:98" s="37" customFormat="1" x14ac:dyDescent="0.2">
      <c r="A55" s="37" t="s">
        <v>13</v>
      </c>
      <c r="B55" s="37">
        <f>+'Annual Raw'!C18</f>
        <v>66.06</v>
      </c>
      <c r="C55" s="37">
        <f>+'Annual Raw'!D18</f>
        <v>183.14</v>
      </c>
      <c r="D55" s="37">
        <f>+'Annual Raw'!E18</f>
        <v>309.18</v>
      </c>
      <c r="E55" s="37">
        <f>+'Annual Raw'!F18</f>
        <v>342.57</v>
      </c>
      <c r="F55" s="37">
        <f>+'Annual Raw'!G18</f>
        <v>120.98</v>
      </c>
      <c r="G55" s="37">
        <f>+'Annual Raw'!H18</f>
        <v>214.22</v>
      </c>
      <c r="H55" s="37">
        <f>+'Annual Raw'!I18</f>
        <v>409.69</v>
      </c>
      <c r="I55" s="37">
        <f>+'Annual Raw'!J18</f>
        <v>675.31</v>
      </c>
      <c r="J55" s="37">
        <f>+'Annual Raw'!K18</f>
        <v>1157.08</v>
      </c>
      <c r="K55" s="37">
        <f>+'Annual Raw'!L18</f>
        <v>752.76</v>
      </c>
      <c r="L55" s="37">
        <f>+'Annual Raw'!M18</f>
        <v>1006.68</v>
      </c>
      <c r="M55" s="37">
        <f>+'Annual Raw'!N18</f>
        <v>900</v>
      </c>
      <c r="N55" s="37">
        <f>+'Annual Raw'!O18</f>
        <v>258.39</v>
      </c>
      <c r="O55" s="37">
        <f>+'Annual Raw'!P18</f>
        <v>815.78</v>
      </c>
      <c r="P55" s="37">
        <f>+'Annual Raw'!Q18</f>
        <v>86.13</v>
      </c>
      <c r="Q55" s="37">
        <f>+'Annual Raw'!R18</f>
        <v>-1701.56</v>
      </c>
      <c r="R55" s="37">
        <f>+'Annual Raw'!S18</f>
        <v>-814.21</v>
      </c>
      <c r="S55" s="37">
        <f>+'Annual Raw'!T18</f>
        <v>-2589.79</v>
      </c>
      <c r="T55" s="37">
        <f>+'Annual Raw'!U18</f>
        <v>-3166.51</v>
      </c>
      <c r="U55" s="37">
        <f>+'Annual Raw'!V18</f>
        <v>-1645.84</v>
      </c>
      <c r="V55" s="37">
        <f>+'Annual Raw'!W18</f>
        <v>1076.4100000000001</v>
      </c>
      <c r="W55" s="37">
        <f>+'Annual Raw'!X18</f>
        <v>2162.0500000000002</v>
      </c>
      <c r="X55" s="37">
        <f>+'Annual Raw'!Y18</f>
        <v>2206.37</v>
      </c>
      <c r="Y55" s="37">
        <f>+'Annual Raw'!Z18</f>
        <v>3781.15</v>
      </c>
      <c r="Z55" s="37">
        <f>+'Annual Raw'!AA18</f>
        <v>3215.43</v>
      </c>
      <c r="AA55" s="37">
        <f>+'Annual Raw'!AB18</f>
        <v>3418.51</v>
      </c>
      <c r="AB55" s="38">
        <f>SUM(BZ55:CC55)</f>
        <v>3926.2143959714053</v>
      </c>
      <c r="AC55" s="38">
        <f>SUM(CD55:CG55)</f>
        <v>4155.7943189370944</v>
      </c>
      <c r="AD55" s="38">
        <f>SUM(CH55:CK55)</f>
        <v>4633.4925451052213</v>
      </c>
      <c r="AE55" s="38">
        <f>SUM(CL55:CO55)</f>
        <v>5214.242385738029</v>
      </c>
      <c r="AG55" s="59"/>
      <c r="AH55" s="37">
        <f>+'QTR Raw'!C20</f>
        <v>59.76</v>
      </c>
      <c r="AI55" s="37">
        <f>+'QTR Raw'!D20</f>
        <v>-652.89</v>
      </c>
      <c r="AJ55" s="37">
        <f>+'QTR Raw'!E20</f>
        <v>-689.37</v>
      </c>
      <c r="AK55" s="37">
        <f>+'QTR Raw'!F20</f>
        <v>-419.06</v>
      </c>
      <c r="AL55" s="37">
        <f>+'QTR Raw'!G20</f>
        <v>-374.97</v>
      </c>
      <c r="AM55" s="37">
        <f>+'QTR Raw'!H20</f>
        <v>69.78</v>
      </c>
      <c r="AN55" s="37">
        <f>+'QTR Raw'!I20</f>
        <v>54.15</v>
      </c>
      <c r="AO55" s="37">
        <f>+'QTR Raw'!J20</f>
        <v>-563.17999999999995</v>
      </c>
      <c r="AP55" s="37">
        <f>+'QTR Raw'!K20</f>
        <v>46.44</v>
      </c>
      <c r="AQ55" s="37">
        <f>+'QTR Raw'!L20</f>
        <v>100.68</v>
      </c>
      <c r="AR55" s="37">
        <f>+'QTR Raw'!M20</f>
        <v>-1204.18</v>
      </c>
      <c r="AS55" s="37">
        <f>+'QTR Raw'!N20</f>
        <v>-1532.73</v>
      </c>
      <c r="AT55" s="37">
        <f>+'QTR Raw'!O20</f>
        <v>-790.11</v>
      </c>
      <c r="AU55" s="37">
        <f>+'QTR Raw'!P20</f>
        <v>-540.01</v>
      </c>
      <c r="AV55" s="37">
        <f>+'QTR Raw'!Q20</f>
        <v>-1990.34</v>
      </c>
      <c r="AW55" s="37">
        <f>+'QTR Raw'!R20</f>
        <v>153.96</v>
      </c>
      <c r="AX55" s="37">
        <f>+'QTR Raw'!S20</f>
        <v>116.75</v>
      </c>
      <c r="AY55" s="37">
        <f>+'QTR Raw'!T20</f>
        <v>141.19999999999999</v>
      </c>
      <c r="AZ55" s="37">
        <f>+'QTR Raw'!U20</f>
        <v>14.16</v>
      </c>
      <c r="BA55" s="37">
        <f>+'QTR Raw'!V20</f>
        <v>-1917.95</v>
      </c>
      <c r="BB55" s="37">
        <f>+'QTR Raw'!W20</f>
        <v>488.85</v>
      </c>
      <c r="BC55" s="37">
        <f>+'QTR Raw'!X20</f>
        <v>259.60000000000002</v>
      </c>
      <c r="BD55" s="37">
        <f>+'QTR Raw'!Y20</f>
        <v>314.83999999999997</v>
      </c>
      <c r="BE55" s="37">
        <f>+'QTR Raw'!Z20</f>
        <v>13.14</v>
      </c>
      <c r="BF55" s="37">
        <f>+'QTR Raw'!AA20</f>
        <v>377.09</v>
      </c>
      <c r="BG55" s="37">
        <f>+'QTR Raw'!AB20</f>
        <v>732.82</v>
      </c>
      <c r="BH55" s="37">
        <f>+'QTR Raw'!AC20</f>
        <v>733.36</v>
      </c>
      <c r="BI55" s="37">
        <f>+'QTR Raw'!AD20</f>
        <v>318.77999999999997</v>
      </c>
      <c r="BJ55" s="37">
        <f>+'QTR Raw'!AE20</f>
        <v>299.58</v>
      </c>
      <c r="BK55" s="37">
        <f>+'QTR Raw'!AF20</f>
        <v>502.12</v>
      </c>
      <c r="BL55" s="37">
        <f>+'QTR Raw'!AG20</f>
        <v>621.94000000000005</v>
      </c>
      <c r="BM55" s="37">
        <f>+'QTR Raw'!AH20</f>
        <v>782.73</v>
      </c>
      <c r="BN55" s="37">
        <f>+'QTR Raw'!AI20</f>
        <v>1376.72</v>
      </c>
      <c r="BO55" s="37">
        <f>+'QTR Raw'!AJ20</f>
        <v>1478.82</v>
      </c>
      <c r="BP55" s="37">
        <f>+'QTR Raw'!AK20</f>
        <v>633.32000000000005</v>
      </c>
      <c r="BQ55" s="37">
        <f>+'QTR Raw'!AL20</f>
        <v>292.29000000000002</v>
      </c>
      <c r="BR55" s="37">
        <f>+'QTR Raw'!AM20</f>
        <v>681.32</v>
      </c>
      <c r="BS55" s="37">
        <f>+'QTR Raw'!AN20</f>
        <v>730.67</v>
      </c>
      <c r="BT55" s="37">
        <f>+'QTR Raw'!AO20</f>
        <v>882.18</v>
      </c>
      <c r="BU55" s="37">
        <f>+'QTR Raw'!AP20</f>
        <v>921.26</v>
      </c>
      <c r="BV55" s="37">
        <f>+'QTR Raw'!AQ20</f>
        <v>661.18</v>
      </c>
      <c r="BW55" s="37">
        <f>+'QTR Raw'!AR20</f>
        <v>825.04</v>
      </c>
      <c r="BX55" s="37">
        <f>+'QTR Raw'!AS20</f>
        <v>912.13</v>
      </c>
      <c r="BY55" s="37">
        <f>+'QTR Raw'!AT20</f>
        <v>1020.16</v>
      </c>
      <c r="BZ55" s="38">
        <f t="shared" ref="BZ55:CC55" si="764">BZ54*0.26</f>
        <v>928.78346876967692</v>
      </c>
      <c r="CA55" s="38">
        <f t="shared" si="764"/>
        <v>980.05231366121734</v>
      </c>
      <c r="CB55" s="38">
        <f t="shared" si="764"/>
        <v>997.46762899357748</v>
      </c>
      <c r="CC55" s="38">
        <f t="shared" si="764"/>
        <v>1019.9109845469337</v>
      </c>
      <c r="CD55" s="38">
        <f t="shared" ref="CD55:CO55" si="765">CD54*0.26</f>
        <v>1020.8585295709382</v>
      </c>
      <c r="CE55" s="38">
        <f t="shared" si="765"/>
        <v>1037.6313917238072</v>
      </c>
      <c r="CF55" s="38">
        <f t="shared" si="765"/>
        <v>1039.8835128297305</v>
      </c>
      <c r="CG55" s="38">
        <f t="shared" si="765"/>
        <v>1057.4208848126191</v>
      </c>
      <c r="CH55" s="38">
        <f t="shared" si="765"/>
        <v>1124.7233932420711</v>
      </c>
      <c r="CI55" s="38">
        <f t="shared" si="765"/>
        <v>1145.6980517435295</v>
      </c>
      <c r="CJ55" s="38">
        <f t="shared" si="765"/>
        <v>1160.8978719156764</v>
      </c>
      <c r="CK55" s="38">
        <f t="shared" si="765"/>
        <v>1202.1732282039438</v>
      </c>
      <c r="CL55" s="38">
        <f t="shared" si="765"/>
        <v>1258.3849767129225</v>
      </c>
      <c r="CM55" s="38">
        <f t="shared" si="765"/>
        <v>1286.8294697984093</v>
      </c>
      <c r="CN55" s="38">
        <f t="shared" si="765"/>
        <v>1309.4022694975338</v>
      </c>
      <c r="CO55" s="38">
        <f t="shared" si="765"/>
        <v>1359.6256697291633</v>
      </c>
      <c r="CT55" s="37">
        <v>3418.51</v>
      </c>
    </row>
    <row r="56" spans="1:98" s="42" customFormat="1" x14ac:dyDescent="0.2">
      <c r="A56" s="42" t="s">
        <v>14</v>
      </c>
      <c r="B56" s="42">
        <f t="shared" ref="B56:O56" si="766">B54-B55</f>
        <v>251.87980000000005</v>
      </c>
      <c r="C56" s="42">
        <f t="shared" si="766"/>
        <v>508.83489999999995</v>
      </c>
      <c r="D56" s="42">
        <f t="shared" si="766"/>
        <v>851.00399999999922</v>
      </c>
      <c r="E56" s="42">
        <f t="shared" si="766"/>
        <v>1008.3235000000006</v>
      </c>
      <c r="F56" s="42">
        <f t="shared" si="766"/>
        <v>340.04730000000097</v>
      </c>
      <c r="G56" s="42">
        <f t="shared" si="766"/>
        <v>701.43529999999942</v>
      </c>
      <c r="H56" s="42">
        <f t="shared" si="766"/>
        <v>1123.1689999999996</v>
      </c>
      <c r="I56" s="42">
        <f t="shared" si="766"/>
        <v>2009.4026000000008</v>
      </c>
      <c r="J56" s="42">
        <f t="shared" si="766"/>
        <v>3007.3463000000011</v>
      </c>
      <c r="K56" s="42">
        <f t="shared" si="766"/>
        <v>1741.0688999999991</v>
      </c>
      <c r="L56" s="42">
        <f t="shared" si="766"/>
        <v>2488.7063999999996</v>
      </c>
      <c r="M56" s="42">
        <f t="shared" si="766"/>
        <v>2677.5155000000004</v>
      </c>
      <c r="N56" s="42">
        <f t="shared" si="766"/>
        <v>2749.3465999999985</v>
      </c>
      <c r="O56" s="42">
        <f t="shared" si="766"/>
        <v>2729.2710999999999</v>
      </c>
      <c r="P56" s="42">
        <f t="shared" ref="P56:W56" si="767">P54-P55</f>
        <v>1708.9224000000013</v>
      </c>
      <c r="Q56" s="42">
        <f t="shared" si="767"/>
        <v>-6089.2133000000013</v>
      </c>
      <c r="R56" s="42">
        <f t="shared" si="767"/>
        <v>-1558.3148000000028</v>
      </c>
      <c r="S56" s="42">
        <f t="shared" si="767"/>
        <v>-6043.7050999999983</v>
      </c>
      <c r="T56" s="42">
        <f t="shared" si="767"/>
        <v>-5546.9005000000052</v>
      </c>
      <c r="U56" s="42">
        <f t="shared" si="767"/>
        <v>-2956.886199999999</v>
      </c>
      <c r="V56" s="42">
        <f t="shared" si="767"/>
        <v>2160.2986999999976</v>
      </c>
      <c r="W56" s="42">
        <f t="shared" si="767"/>
        <v>3404.6958000000041</v>
      </c>
      <c r="X56" s="42">
        <f t="shared" ref="X56" si="768">X54-X55</f>
        <v>4022.9400000000023</v>
      </c>
      <c r="Y56" s="42">
        <f t="shared" ref="Y56" si="769">Y54-Y55</f>
        <v>6317.9166000000023</v>
      </c>
      <c r="Z56" s="42">
        <f t="shared" ref="Z56:AA56" si="770">Z54-Z55</f>
        <v>9219.0199000000102</v>
      </c>
      <c r="AA56" s="42">
        <f t="shared" ref="AA56" si="771">AA54-AA55</f>
        <v>10527.152499999997</v>
      </c>
      <c r="AB56" s="43">
        <f t="shared" ref="AB56" si="772">AB54-AB55</f>
        <v>11174.610203918624</v>
      </c>
      <c r="AC56" s="43">
        <f t="shared" ref="AC56" si="773">AC54-AC55</f>
        <v>11828.029984667124</v>
      </c>
      <c r="AD56" s="43">
        <f t="shared" ref="AD56" si="774">AD54-AD55</f>
        <v>13187.632628376403</v>
      </c>
      <c r="AE56" s="43">
        <f t="shared" ref="AE56" si="775">AE54-AE55</f>
        <v>14840.536020946694</v>
      </c>
      <c r="AG56" s="61"/>
      <c r="AH56" s="42">
        <f t="shared" ref="AH56" si="776">AH54-AH55</f>
        <v>129.72000000000048</v>
      </c>
      <c r="AI56" s="42">
        <f t="shared" ref="AI56:BV56" si="777">AI54-AI55</f>
        <v>-1126.2399999999993</v>
      </c>
      <c r="AJ56" s="42">
        <f t="shared" si="777"/>
        <v>-1505.5800000000004</v>
      </c>
      <c r="AK56" s="42">
        <f t="shared" si="777"/>
        <v>-3587.1099999999997</v>
      </c>
      <c r="AL56" s="42">
        <f t="shared" si="777"/>
        <v>-741.35999999999945</v>
      </c>
      <c r="AM56" s="42">
        <f t="shared" si="777"/>
        <v>126.83999999999989</v>
      </c>
      <c r="AN56" s="42">
        <f t="shared" si="777"/>
        <v>101.69999999999945</v>
      </c>
      <c r="AO56" s="42">
        <f t="shared" si="777"/>
        <v>-1045.54</v>
      </c>
      <c r="AP56" s="42">
        <f t="shared" si="777"/>
        <v>87.709999999999638</v>
      </c>
      <c r="AQ56" s="42">
        <f t="shared" si="777"/>
        <v>179.06999999999977</v>
      </c>
      <c r="AR56" s="42">
        <f t="shared" si="777"/>
        <v>-2341.1999999999998</v>
      </c>
      <c r="AS56" s="42">
        <f t="shared" si="777"/>
        <v>-3969.27</v>
      </c>
      <c r="AT56" s="42">
        <f t="shared" si="777"/>
        <v>95.110000000000014</v>
      </c>
      <c r="AU56" s="42">
        <f t="shared" si="777"/>
        <v>-1156.2499999999998</v>
      </c>
      <c r="AV56" s="42">
        <f t="shared" si="777"/>
        <v>-4737.5599999999995</v>
      </c>
      <c r="AW56" s="42">
        <f t="shared" si="777"/>
        <v>251.79000000000067</v>
      </c>
      <c r="AX56" s="42">
        <f t="shared" si="777"/>
        <v>242.61999999999989</v>
      </c>
      <c r="AY56" s="42">
        <f t="shared" si="777"/>
        <v>266.36999999999881</v>
      </c>
      <c r="AZ56" s="42">
        <f t="shared" si="777"/>
        <v>105.51999999999938</v>
      </c>
      <c r="BA56" s="42">
        <f t="shared" si="777"/>
        <v>-3571.41</v>
      </c>
      <c r="BB56" s="42">
        <f t="shared" si="777"/>
        <v>843.59999999999911</v>
      </c>
      <c r="BC56" s="42">
        <f t="shared" si="777"/>
        <v>525.78000000000009</v>
      </c>
      <c r="BD56" s="42">
        <f t="shared" si="777"/>
        <v>540.72</v>
      </c>
      <c r="BE56" s="42">
        <f t="shared" si="777"/>
        <v>250.19000000000085</v>
      </c>
      <c r="BF56" s="42">
        <f t="shared" si="777"/>
        <v>720.00000000000045</v>
      </c>
      <c r="BG56" s="42">
        <f t="shared" si="777"/>
        <v>1050.9800000000005</v>
      </c>
      <c r="BH56" s="42">
        <f t="shared" si="777"/>
        <v>1027.4499999999998</v>
      </c>
      <c r="BI56" s="42">
        <f t="shared" si="777"/>
        <v>606.27000000000089</v>
      </c>
      <c r="BJ56" s="42">
        <f t="shared" si="777"/>
        <v>561.48999999999955</v>
      </c>
      <c r="BK56" s="42">
        <f t="shared" si="777"/>
        <v>959.99999999999943</v>
      </c>
      <c r="BL56" s="42">
        <f t="shared" si="777"/>
        <v>1151.0099999999993</v>
      </c>
      <c r="BM56" s="42">
        <f t="shared" si="777"/>
        <v>1350.4399999999996</v>
      </c>
      <c r="BN56" s="42">
        <f t="shared" si="777"/>
        <v>1551.0699999999986</v>
      </c>
      <c r="BO56" s="42">
        <f t="shared" si="777"/>
        <v>1458.43</v>
      </c>
      <c r="BP56" s="42">
        <f t="shared" si="777"/>
        <v>1869.5099999999989</v>
      </c>
      <c r="BQ56" s="42">
        <f t="shared" si="777"/>
        <v>1438.9100000000017</v>
      </c>
      <c r="BR56" s="42">
        <f t="shared" si="777"/>
        <v>1702.7300000000009</v>
      </c>
      <c r="BS56" s="42">
        <f t="shared" si="777"/>
        <v>2373.6899999999987</v>
      </c>
      <c r="BT56" s="42">
        <f t="shared" si="777"/>
        <v>2516.6900000000019</v>
      </c>
      <c r="BU56" s="42">
        <f t="shared" si="777"/>
        <v>2625.91</v>
      </c>
      <c r="BV56" s="42">
        <f t="shared" si="777"/>
        <v>2252.1199999999994</v>
      </c>
      <c r="BW56" s="42">
        <f t="shared" ref="BW56:BX56" si="778">BW54-BW55</f>
        <v>2554.5700000000006</v>
      </c>
      <c r="BX56" s="42">
        <f t="shared" si="778"/>
        <v>2704.67</v>
      </c>
      <c r="BY56" s="42">
        <f t="shared" ref="BY56" si="779">BY54-BY55</f>
        <v>3015.7900000000009</v>
      </c>
      <c r="BZ56" s="43">
        <f t="shared" ref="BZ56:CC56" si="780">BZ54-BZ55</f>
        <v>2643.4606418829267</v>
      </c>
      <c r="CA56" s="43">
        <f t="shared" si="780"/>
        <v>2789.3796619588493</v>
      </c>
      <c r="CB56" s="43">
        <f t="shared" si="780"/>
        <v>2838.9463286740283</v>
      </c>
      <c r="CC56" s="43">
        <f t="shared" si="780"/>
        <v>2902.823571402811</v>
      </c>
      <c r="CD56" s="43">
        <f t="shared" ref="CD56:CO56" si="781">CD54-CD55</f>
        <v>2905.5204303172859</v>
      </c>
      <c r="CE56" s="43">
        <f t="shared" si="781"/>
        <v>2953.2585764446821</v>
      </c>
      <c r="CF56" s="43">
        <f t="shared" si="781"/>
        <v>2959.6684595923098</v>
      </c>
      <c r="CG56" s="43">
        <f t="shared" si="781"/>
        <v>3009.5825183128391</v>
      </c>
      <c r="CH56" s="43">
        <f t="shared" si="781"/>
        <v>3201.135811535125</v>
      </c>
      <c r="CI56" s="43">
        <f t="shared" si="781"/>
        <v>3260.8329165008145</v>
      </c>
      <c r="CJ56" s="43">
        <f t="shared" si="781"/>
        <v>3304.0939431446168</v>
      </c>
      <c r="CK56" s="43">
        <f t="shared" si="781"/>
        <v>3421.5699571958403</v>
      </c>
      <c r="CL56" s="43">
        <f t="shared" si="781"/>
        <v>3581.5572414137023</v>
      </c>
      <c r="CM56" s="43">
        <f t="shared" si="781"/>
        <v>3662.5146448108571</v>
      </c>
      <c r="CN56" s="43">
        <f t="shared" si="781"/>
        <v>3726.7603054929805</v>
      </c>
      <c r="CO56" s="43">
        <f t="shared" si="781"/>
        <v>3869.7038292291568</v>
      </c>
      <c r="CT56" s="42">
        <v>10527.152499999997</v>
      </c>
    </row>
    <row r="57" spans="1:98" s="37" customFormat="1" x14ac:dyDescent="0.2">
      <c r="A57" s="37" t="s">
        <v>5</v>
      </c>
      <c r="B57" s="42">
        <f>+'Annual Raw'!C25</f>
        <v>0</v>
      </c>
      <c r="C57" s="42">
        <f>+'Annual Raw'!D25</f>
        <v>0</v>
      </c>
      <c r="D57" s="42">
        <f>+'Annual Raw'!E25</f>
        <v>0</v>
      </c>
      <c r="E57" s="42">
        <f>+'Annual Raw'!F25</f>
        <v>0</v>
      </c>
      <c r="F57" s="42">
        <f>+'Annual Raw'!G25</f>
        <v>0</v>
      </c>
      <c r="G57" s="42">
        <f>+'Annual Raw'!H25</f>
        <v>0</v>
      </c>
      <c r="H57" s="42">
        <f>+'Annual Raw'!I25</f>
        <v>0</v>
      </c>
      <c r="I57" s="42">
        <f>+'Annual Raw'!J25</f>
        <v>0</v>
      </c>
      <c r="J57" s="42">
        <f>+'Annual Raw'!K25</f>
        <v>0</v>
      </c>
      <c r="K57" s="42">
        <f>+'Annual Raw'!L25</f>
        <v>0</v>
      </c>
      <c r="L57" s="42">
        <f>+'Annual Raw'!M25</f>
        <v>0</v>
      </c>
      <c r="M57" s="42">
        <f>+'Annual Raw'!N25</f>
        <v>0</v>
      </c>
      <c r="N57" s="42">
        <f>+'Annual Raw'!O25</f>
        <v>0</v>
      </c>
      <c r="O57" s="42">
        <f>+'Annual Raw'!P25</f>
        <v>0</v>
      </c>
      <c r="P57" s="42">
        <f>+'Annual Raw'!Q25</f>
        <v>0</v>
      </c>
      <c r="Q57" s="42">
        <f>+'Annual Raw'!R25</f>
        <v>0</v>
      </c>
      <c r="R57" s="42">
        <f>+'Annual Raw'!S25</f>
        <v>0</v>
      </c>
      <c r="S57" s="42">
        <f>+'Annual Raw'!T25</f>
        <v>0</v>
      </c>
      <c r="T57" s="42">
        <f>+'Annual Raw'!U25</f>
        <v>0</v>
      </c>
      <c r="U57" s="42">
        <f>+'Annual Raw'!V25</f>
        <v>0</v>
      </c>
      <c r="V57" s="42">
        <f>+'Annual Raw'!W25</f>
        <v>0</v>
      </c>
      <c r="W57" s="42">
        <f>+'Annual Raw'!X25</f>
        <v>0</v>
      </c>
      <c r="X57" s="42">
        <f>+'Annual Raw'!Y25</f>
        <v>0</v>
      </c>
      <c r="Y57" s="42">
        <f>+'Annual Raw'!Z25</f>
        <v>0</v>
      </c>
      <c r="Z57" s="42">
        <f>+'Annual Raw'!AA25</f>
        <v>0</v>
      </c>
      <c r="AA57" s="42">
        <f>+'Annual Raw'!AB25</f>
        <v>0</v>
      </c>
      <c r="AB57" s="38">
        <f>SUM(BZ57:CC57)</f>
        <v>0</v>
      </c>
      <c r="AC57" s="38">
        <f>SUM(CD57:CG57)</f>
        <v>0</v>
      </c>
      <c r="AD57" s="38">
        <f>SUM(CH57:CK57)</f>
        <v>0</v>
      </c>
      <c r="AE57" s="38">
        <f>SUM(CL57:CO57)</f>
        <v>0</v>
      </c>
      <c r="AG57" s="59"/>
      <c r="BZ57" s="38">
        <f t="shared" ref="BZ57:BZ58" si="782">+BY57</f>
        <v>0</v>
      </c>
      <c r="CA57" s="38">
        <f t="shared" ref="CA57:CA58" si="783">+BZ57</f>
        <v>0</v>
      </c>
      <c r="CB57" s="38">
        <f t="shared" ref="CB57:CB58" si="784">+CA57</f>
        <v>0</v>
      </c>
      <c r="CC57" s="38">
        <f t="shared" ref="CC57:CC58" si="785">+CB57</f>
        <v>0</v>
      </c>
      <c r="CD57" s="38">
        <f t="shared" ref="CD57:CD58" si="786">+CC57</f>
        <v>0</v>
      </c>
      <c r="CE57" s="38">
        <f t="shared" ref="CE57:CE58" si="787">+CD57</f>
        <v>0</v>
      </c>
      <c r="CF57" s="38">
        <f t="shared" ref="CF57:CF58" si="788">+CE57</f>
        <v>0</v>
      </c>
      <c r="CG57" s="38">
        <f t="shared" ref="CG57:CG58" si="789">+CF57</f>
        <v>0</v>
      </c>
      <c r="CH57" s="38">
        <f t="shared" ref="CH57:CH58" si="790">+CG57</f>
        <v>0</v>
      </c>
      <c r="CI57" s="38">
        <f t="shared" ref="CI57:CI58" si="791">+CH57</f>
        <v>0</v>
      </c>
      <c r="CJ57" s="38">
        <f t="shared" ref="CJ57:CJ58" si="792">+CI57</f>
        <v>0</v>
      </c>
      <c r="CK57" s="38">
        <f t="shared" ref="CK57:CK58" si="793">+CJ57</f>
        <v>0</v>
      </c>
      <c r="CL57" s="38">
        <f t="shared" ref="CL57:CL58" si="794">+CK57</f>
        <v>0</v>
      </c>
      <c r="CM57" s="38">
        <f t="shared" ref="CM57:CM58" si="795">+CL57</f>
        <v>0</v>
      </c>
      <c r="CN57" s="38">
        <f t="shared" ref="CN57:CN58" si="796">+CM57</f>
        <v>0</v>
      </c>
      <c r="CO57" s="38">
        <f t="shared" ref="CO57:CO58" si="797">+CN57</f>
        <v>0</v>
      </c>
      <c r="CT57" s="37">
        <v>0</v>
      </c>
    </row>
    <row r="58" spans="1:98" s="37" customFormat="1" x14ac:dyDescent="0.2">
      <c r="A58" s="37" t="s">
        <v>45</v>
      </c>
      <c r="B58" s="42">
        <f>+'Annual Raw'!C26</f>
        <v>0</v>
      </c>
      <c r="C58" s="42">
        <f>+'Annual Raw'!D26</f>
        <v>0</v>
      </c>
      <c r="D58" s="42">
        <f>+'Annual Raw'!E26</f>
        <v>0</v>
      </c>
      <c r="E58" s="42">
        <f>+'Annual Raw'!F26</f>
        <v>0</v>
      </c>
      <c r="F58" s="42">
        <f>+'Annual Raw'!G26</f>
        <v>0</v>
      </c>
      <c r="G58" s="42">
        <f>+'Annual Raw'!H26</f>
        <v>0</v>
      </c>
      <c r="H58" s="42">
        <f>+'Annual Raw'!I26</f>
        <v>0</v>
      </c>
      <c r="I58" s="42">
        <f>+'Annual Raw'!J26</f>
        <v>0</v>
      </c>
      <c r="J58" s="42">
        <f>+'Annual Raw'!K26</f>
        <v>0</v>
      </c>
      <c r="K58" s="42">
        <f>+'Annual Raw'!L26</f>
        <v>0</v>
      </c>
      <c r="L58" s="42">
        <f>+'Annual Raw'!M26</f>
        <v>0</v>
      </c>
      <c r="M58" s="42">
        <f>+'Annual Raw'!N26</f>
        <v>0</v>
      </c>
      <c r="N58" s="42">
        <f>+'Annual Raw'!O26</f>
        <v>0</v>
      </c>
      <c r="O58" s="42">
        <f>+'Annual Raw'!P26</f>
        <v>0</v>
      </c>
      <c r="P58" s="42">
        <f>+'Annual Raw'!Q26</f>
        <v>0</v>
      </c>
      <c r="Q58" s="42">
        <f>+'Annual Raw'!R26</f>
        <v>0</v>
      </c>
      <c r="R58" s="42">
        <f>+'Annual Raw'!S26</f>
        <v>0</v>
      </c>
      <c r="S58" s="42">
        <f>+'Annual Raw'!T26</f>
        <v>0</v>
      </c>
      <c r="T58" s="42">
        <f>+'Annual Raw'!U26</f>
        <v>0</v>
      </c>
      <c r="U58" s="42">
        <f>+'Annual Raw'!V26</f>
        <v>0</v>
      </c>
      <c r="V58" s="42">
        <f>+'Annual Raw'!W26</f>
        <v>0</v>
      </c>
      <c r="W58" s="42">
        <f>+'Annual Raw'!X26</f>
        <v>0</v>
      </c>
      <c r="X58" s="42">
        <f>+'Annual Raw'!Y26</f>
        <v>0</v>
      </c>
      <c r="Y58" s="42">
        <f>+'Annual Raw'!Z26</f>
        <v>0</v>
      </c>
      <c r="Z58" s="42">
        <f>+'Annual Raw'!AA26</f>
        <v>0</v>
      </c>
      <c r="AA58" s="42">
        <f>+'Annual Raw'!AB26</f>
        <v>0</v>
      </c>
      <c r="AB58" s="38">
        <f>SUM(BZ58:CC58)</f>
        <v>0</v>
      </c>
      <c r="AC58" s="38">
        <f>SUM(CD58:CG58)</f>
        <v>0</v>
      </c>
      <c r="AD58" s="38">
        <f>SUM(CH58:CK58)</f>
        <v>0</v>
      </c>
      <c r="AE58" s="38">
        <f>SUM(CL58:CO58)</f>
        <v>0</v>
      </c>
      <c r="AG58" s="59"/>
      <c r="BZ58" s="38">
        <f t="shared" si="782"/>
        <v>0</v>
      </c>
      <c r="CA58" s="38">
        <f t="shared" si="783"/>
        <v>0</v>
      </c>
      <c r="CB58" s="38">
        <f t="shared" si="784"/>
        <v>0</v>
      </c>
      <c r="CC58" s="38">
        <f t="shared" si="785"/>
        <v>0</v>
      </c>
      <c r="CD58" s="38">
        <f t="shared" si="786"/>
        <v>0</v>
      </c>
      <c r="CE58" s="38">
        <f t="shared" si="787"/>
        <v>0</v>
      </c>
      <c r="CF58" s="38">
        <f t="shared" si="788"/>
        <v>0</v>
      </c>
      <c r="CG58" s="38">
        <f t="shared" si="789"/>
        <v>0</v>
      </c>
      <c r="CH58" s="38">
        <f t="shared" si="790"/>
        <v>0</v>
      </c>
      <c r="CI58" s="38">
        <f t="shared" si="791"/>
        <v>0</v>
      </c>
      <c r="CJ58" s="38">
        <f t="shared" si="792"/>
        <v>0</v>
      </c>
      <c r="CK58" s="38">
        <f t="shared" si="793"/>
        <v>0</v>
      </c>
      <c r="CL58" s="38">
        <f t="shared" si="794"/>
        <v>0</v>
      </c>
      <c r="CM58" s="38">
        <f t="shared" si="795"/>
        <v>0</v>
      </c>
      <c r="CN58" s="38">
        <f t="shared" si="796"/>
        <v>0</v>
      </c>
      <c r="CO58" s="38">
        <f t="shared" si="797"/>
        <v>0</v>
      </c>
      <c r="CT58" s="37">
        <v>0</v>
      </c>
    </row>
    <row r="59" spans="1:98" s="37" customFormat="1" x14ac:dyDescent="0.2">
      <c r="A59" s="37" t="s">
        <v>385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38"/>
      <c r="AC59" s="38"/>
      <c r="AD59" s="38"/>
      <c r="AE59" s="38"/>
      <c r="AG59" s="59"/>
      <c r="AH59" s="37">
        <f>+'QTR Raw'!C15</f>
        <v>0</v>
      </c>
      <c r="AI59" s="37">
        <f>+'QTR Raw'!D15</f>
        <v>0</v>
      </c>
      <c r="AJ59" s="37">
        <f>+'QTR Raw'!E15</f>
        <v>0</v>
      </c>
      <c r="AK59" s="37">
        <f>+'QTR Raw'!F15</f>
        <v>0</v>
      </c>
      <c r="AL59" s="37">
        <f>+'QTR Raw'!G15</f>
        <v>0</v>
      </c>
      <c r="AM59" s="37">
        <f>+'QTR Raw'!H15</f>
        <v>0</v>
      </c>
      <c r="AN59" s="37">
        <f>+'QTR Raw'!I15</f>
        <v>0</v>
      </c>
      <c r="AO59" s="37">
        <f>+'QTR Raw'!J15</f>
        <v>0</v>
      </c>
      <c r="AP59" s="37">
        <f>+'QTR Raw'!K15</f>
        <v>0</v>
      </c>
      <c r="AQ59" s="37">
        <f>+'QTR Raw'!L15</f>
        <v>0</v>
      </c>
      <c r="AR59" s="37">
        <f>+'QTR Raw'!M15</f>
        <v>0</v>
      </c>
      <c r="AS59" s="37">
        <f>+'QTR Raw'!N15</f>
        <v>0</v>
      </c>
      <c r="AT59" s="37">
        <f>+'QTR Raw'!O15</f>
        <v>0</v>
      </c>
      <c r="AU59" s="37">
        <f>+'QTR Raw'!P15</f>
        <v>0</v>
      </c>
      <c r="AV59" s="37">
        <f>+'QTR Raw'!Q15</f>
        <v>0</v>
      </c>
      <c r="AW59" s="37">
        <f>+'QTR Raw'!R15</f>
        <v>0</v>
      </c>
      <c r="AX59" s="37">
        <f>+'QTR Raw'!S15</f>
        <v>0</v>
      </c>
      <c r="AY59" s="37">
        <f>+'QTR Raw'!T15</f>
        <v>0</v>
      </c>
      <c r="AZ59" s="37">
        <f>+'QTR Raw'!U15</f>
        <v>0</v>
      </c>
      <c r="BA59" s="37">
        <f>+'QTR Raw'!V15</f>
        <v>0</v>
      </c>
      <c r="BB59" s="37">
        <f>+'QTR Raw'!W15</f>
        <v>0</v>
      </c>
      <c r="BC59" s="37">
        <f>+'QTR Raw'!X15</f>
        <v>0</v>
      </c>
      <c r="BD59" s="37">
        <f>+'QTR Raw'!Y15</f>
        <v>0</v>
      </c>
      <c r="BE59" s="37">
        <f>+'QTR Raw'!Z15</f>
        <v>0</v>
      </c>
      <c r="BF59" s="37">
        <f>+'QTR Raw'!AA15</f>
        <v>0</v>
      </c>
      <c r="BG59" s="37">
        <f>+'QTR Raw'!AB15</f>
        <v>0</v>
      </c>
      <c r="BH59" s="37">
        <f>+'QTR Raw'!AC15</f>
        <v>0</v>
      </c>
      <c r="BI59" s="37">
        <f>+'QTR Raw'!AD15</f>
        <v>0</v>
      </c>
      <c r="BJ59" s="37">
        <f>+'QTR Raw'!AE15</f>
        <v>0</v>
      </c>
      <c r="BK59" s="37">
        <f>+'QTR Raw'!AF15</f>
        <v>0</v>
      </c>
      <c r="BL59" s="37">
        <f>+'QTR Raw'!AG15</f>
        <v>0</v>
      </c>
      <c r="BM59" s="37">
        <f>+'QTR Raw'!AH15</f>
        <v>0</v>
      </c>
      <c r="BN59" s="37">
        <f>+'QTR Raw'!AI15</f>
        <v>0</v>
      </c>
      <c r="BO59" s="37">
        <f>+'QTR Raw'!AJ15</f>
        <v>0</v>
      </c>
      <c r="BP59" s="37">
        <f>+'QTR Raw'!AK15</f>
        <v>0</v>
      </c>
      <c r="BQ59" s="37">
        <f>+'QTR Raw'!AL15</f>
        <v>0</v>
      </c>
      <c r="BR59" s="37">
        <f>+'QTR Raw'!AM15</f>
        <v>0</v>
      </c>
      <c r="BS59" s="37">
        <f>+'QTR Raw'!AN15</f>
        <v>0</v>
      </c>
      <c r="BT59" s="37">
        <f>+'QTR Raw'!AO15</f>
        <v>0</v>
      </c>
      <c r="BU59" s="37">
        <f>+'QTR Raw'!AP15</f>
        <v>0</v>
      </c>
      <c r="BV59" s="37">
        <f>+'QTR Raw'!AQ15</f>
        <v>0</v>
      </c>
      <c r="BW59" s="37">
        <f>+'QTR Raw'!AR15</f>
        <v>0</v>
      </c>
      <c r="BX59" s="37">
        <f>+'QTR Raw'!AS15</f>
        <v>0</v>
      </c>
      <c r="BY59" s="37">
        <f>+'QTR Raw'!AT15</f>
        <v>0</v>
      </c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</row>
    <row r="60" spans="1:98" s="39" customFormat="1" x14ac:dyDescent="0.2">
      <c r="A60" s="39" t="s">
        <v>6</v>
      </c>
      <c r="B60" s="39">
        <f t="shared" ref="B60:O60" si="798">B56+B57+B58</f>
        <v>251.87980000000005</v>
      </c>
      <c r="C60" s="39">
        <f t="shared" si="798"/>
        <v>508.83489999999995</v>
      </c>
      <c r="D60" s="39">
        <f t="shared" si="798"/>
        <v>851.00399999999922</v>
      </c>
      <c r="E60" s="39">
        <f t="shared" si="798"/>
        <v>1008.3235000000006</v>
      </c>
      <c r="F60" s="39">
        <f t="shared" si="798"/>
        <v>340.04730000000097</v>
      </c>
      <c r="G60" s="39">
        <f t="shared" si="798"/>
        <v>701.43529999999942</v>
      </c>
      <c r="H60" s="39">
        <f t="shared" si="798"/>
        <v>1123.1689999999996</v>
      </c>
      <c r="I60" s="39">
        <f t="shared" si="798"/>
        <v>2009.4026000000008</v>
      </c>
      <c r="J60" s="39">
        <f t="shared" si="798"/>
        <v>3007.3463000000011</v>
      </c>
      <c r="K60" s="39">
        <f t="shared" si="798"/>
        <v>1741.0688999999991</v>
      </c>
      <c r="L60" s="39">
        <f t="shared" si="798"/>
        <v>2488.7063999999996</v>
      </c>
      <c r="M60" s="39">
        <f t="shared" si="798"/>
        <v>2677.5155000000004</v>
      </c>
      <c r="N60" s="39">
        <f t="shared" si="798"/>
        <v>2749.3465999999985</v>
      </c>
      <c r="O60" s="39">
        <f t="shared" si="798"/>
        <v>2729.2710999999999</v>
      </c>
      <c r="P60" s="39">
        <f t="shared" ref="P60:Y60" si="799">P56+P57+P58</f>
        <v>1708.9224000000013</v>
      </c>
      <c r="Q60" s="39">
        <f t="shared" si="799"/>
        <v>-6089.2133000000013</v>
      </c>
      <c r="R60" s="39">
        <f t="shared" si="799"/>
        <v>-1558.3148000000028</v>
      </c>
      <c r="S60" s="39">
        <f t="shared" si="799"/>
        <v>-6043.7050999999983</v>
      </c>
      <c r="T60" s="39">
        <f t="shared" si="799"/>
        <v>-5546.9005000000052</v>
      </c>
      <c r="U60" s="39">
        <f t="shared" si="799"/>
        <v>-2956.886199999999</v>
      </c>
      <c r="V60" s="39">
        <f t="shared" si="799"/>
        <v>2160.2986999999976</v>
      </c>
      <c r="W60" s="39">
        <f t="shared" si="799"/>
        <v>3404.6958000000041</v>
      </c>
      <c r="X60" s="39">
        <f t="shared" si="799"/>
        <v>4022.9400000000023</v>
      </c>
      <c r="Y60" s="39">
        <f t="shared" si="799"/>
        <v>6317.9166000000023</v>
      </c>
      <c r="Z60" s="39">
        <f t="shared" ref="Z60:AA60" si="800">Z56+Z57+Z58</f>
        <v>9219.0199000000102</v>
      </c>
      <c r="AA60" s="39">
        <f t="shared" ref="AA60" si="801">AA56+AA57+AA58</f>
        <v>10527.152499999997</v>
      </c>
      <c r="AB60" s="40">
        <f t="shared" ref="AB60" si="802">AB56+AB57+AB58</f>
        <v>11174.610203918624</v>
      </c>
      <c r="AC60" s="40">
        <f t="shared" ref="AC60" si="803">AC56+AC57+AC58</f>
        <v>11828.029984667124</v>
      </c>
      <c r="AD60" s="40">
        <f t="shared" ref="AD60" si="804">AD56+AD57+AD58</f>
        <v>13187.632628376403</v>
      </c>
      <c r="AE60" s="40">
        <f t="shared" ref="AE60" si="805">AE56+AE57+AE58</f>
        <v>14840.536020946694</v>
      </c>
      <c r="AG60" s="60"/>
      <c r="AH60" s="39">
        <f t="shared" ref="AH60:AS60" si="806">AH56+AH57+AH58+AH59</f>
        <v>129.72000000000048</v>
      </c>
      <c r="AI60" s="39">
        <f t="shared" si="806"/>
        <v>-1126.2399999999993</v>
      </c>
      <c r="AJ60" s="39">
        <f t="shared" si="806"/>
        <v>-1505.5800000000004</v>
      </c>
      <c r="AK60" s="39">
        <f t="shared" si="806"/>
        <v>-3587.1099999999997</v>
      </c>
      <c r="AL60" s="39">
        <f t="shared" si="806"/>
        <v>-741.35999999999945</v>
      </c>
      <c r="AM60" s="39">
        <f t="shared" si="806"/>
        <v>126.83999999999989</v>
      </c>
      <c r="AN60" s="39">
        <f t="shared" si="806"/>
        <v>101.69999999999945</v>
      </c>
      <c r="AO60" s="39">
        <f t="shared" si="806"/>
        <v>-1045.54</v>
      </c>
      <c r="AP60" s="39">
        <f t="shared" si="806"/>
        <v>87.709999999999638</v>
      </c>
      <c r="AQ60" s="39">
        <f t="shared" si="806"/>
        <v>179.06999999999977</v>
      </c>
      <c r="AR60" s="39">
        <f t="shared" si="806"/>
        <v>-2341.1999999999998</v>
      </c>
      <c r="AS60" s="39">
        <f t="shared" si="806"/>
        <v>-3969.27</v>
      </c>
      <c r="AT60" s="39">
        <f t="shared" ref="AT60:BR60" si="807">AT56+AT57+AT58+AT59</f>
        <v>95.110000000000014</v>
      </c>
      <c r="AU60" s="39">
        <f t="shared" si="807"/>
        <v>-1156.2499999999998</v>
      </c>
      <c r="AV60" s="39">
        <f t="shared" si="807"/>
        <v>-4737.5599999999995</v>
      </c>
      <c r="AW60" s="39">
        <f t="shared" si="807"/>
        <v>251.79000000000067</v>
      </c>
      <c r="AX60" s="39">
        <f t="shared" si="807"/>
        <v>242.61999999999989</v>
      </c>
      <c r="AY60" s="39">
        <f t="shared" si="807"/>
        <v>266.36999999999881</v>
      </c>
      <c r="AZ60" s="39">
        <f t="shared" si="807"/>
        <v>105.51999999999938</v>
      </c>
      <c r="BA60" s="39">
        <f t="shared" si="807"/>
        <v>-3571.41</v>
      </c>
      <c r="BB60" s="39">
        <f t="shared" si="807"/>
        <v>843.59999999999911</v>
      </c>
      <c r="BC60" s="39">
        <f t="shared" si="807"/>
        <v>525.78000000000009</v>
      </c>
      <c r="BD60" s="39">
        <f t="shared" si="807"/>
        <v>540.72</v>
      </c>
      <c r="BE60" s="39">
        <f t="shared" si="807"/>
        <v>250.19000000000085</v>
      </c>
      <c r="BF60" s="39">
        <f t="shared" si="807"/>
        <v>720.00000000000045</v>
      </c>
      <c r="BG60" s="39">
        <f t="shared" si="807"/>
        <v>1050.9800000000005</v>
      </c>
      <c r="BH60" s="39">
        <f t="shared" si="807"/>
        <v>1027.4499999999998</v>
      </c>
      <c r="BI60" s="39">
        <f t="shared" si="807"/>
        <v>606.27000000000089</v>
      </c>
      <c r="BJ60" s="39">
        <f t="shared" si="807"/>
        <v>561.48999999999955</v>
      </c>
      <c r="BK60" s="39">
        <f t="shared" si="807"/>
        <v>959.99999999999943</v>
      </c>
      <c r="BL60" s="39">
        <f t="shared" si="807"/>
        <v>1151.0099999999993</v>
      </c>
      <c r="BM60" s="39">
        <f t="shared" si="807"/>
        <v>1350.4399999999996</v>
      </c>
      <c r="BN60" s="39">
        <f t="shared" si="807"/>
        <v>1551.0699999999986</v>
      </c>
      <c r="BO60" s="39">
        <f t="shared" si="807"/>
        <v>1458.43</v>
      </c>
      <c r="BP60" s="39">
        <f t="shared" si="807"/>
        <v>1869.5099999999989</v>
      </c>
      <c r="BQ60" s="39">
        <f t="shared" si="807"/>
        <v>1438.9100000000017</v>
      </c>
      <c r="BR60" s="39">
        <f t="shared" si="807"/>
        <v>1702.7300000000009</v>
      </c>
      <c r="BS60" s="39">
        <f>BS56+BS57+BS58+BS59</f>
        <v>2373.6899999999987</v>
      </c>
      <c r="BT60" s="39">
        <f t="shared" ref="BT60:CO60" si="808">BT56+BT57+BT58+BT59</f>
        <v>2516.6900000000019</v>
      </c>
      <c r="BU60" s="39">
        <f t="shared" si="808"/>
        <v>2625.91</v>
      </c>
      <c r="BV60" s="39">
        <f t="shared" si="808"/>
        <v>2252.1199999999994</v>
      </c>
      <c r="BW60" s="39">
        <f t="shared" si="808"/>
        <v>2554.5700000000006</v>
      </c>
      <c r="BX60" s="39">
        <f t="shared" ref="BX60:BY60" si="809">BX56+BX57+BX58+BX59</f>
        <v>2704.67</v>
      </c>
      <c r="BY60" s="39">
        <f t="shared" si="809"/>
        <v>3015.7900000000009</v>
      </c>
      <c r="BZ60" s="40">
        <f t="shared" si="808"/>
        <v>2643.4606418829267</v>
      </c>
      <c r="CA60" s="40">
        <f t="shared" si="808"/>
        <v>2789.3796619588493</v>
      </c>
      <c r="CB60" s="40">
        <f t="shared" si="808"/>
        <v>2838.9463286740283</v>
      </c>
      <c r="CC60" s="40">
        <f t="shared" si="808"/>
        <v>2902.823571402811</v>
      </c>
      <c r="CD60" s="40">
        <f t="shared" si="808"/>
        <v>2905.5204303172859</v>
      </c>
      <c r="CE60" s="40">
        <f t="shared" si="808"/>
        <v>2953.2585764446821</v>
      </c>
      <c r="CF60" s="40">
        <f t="shared" si="808"/>
        <v>2959.6684595923098</v>
      </c>
      <c r="CG60" s="40">
        <f t="shared" si="808"/>
        <v>3009.5825183128391</v>
      </c>
      <c r="CH60" s="40">
        <f t="shared" si="808"/>
        <v>3201.135811535125</v>
      </c>
      <c r="CI60" s="40">
        <f t="shared" si="808"/>
        <v>3260.8329165008145</v>
      </c>
      <c r="CJ60" s="40">
        <f t="shared" si="808"/>
        <v>3304.0939431446168</v>
      </c>
      <c r="CK60" s="40">
        <f t="shared" si="808"/>
        <v>3421.5699571958403</v>
      </c>
      <c r="CL60" s="40">
        <f t="shared" si="808"/>
        <v>3581.5572414137023</v>
      </c>
      <c r="CM60" s="40">
        <f t="shared" si="808"/>
        <v>3662.5146448108571</v>
      </c>
      <c r="CN60" s="40">
        <f t="shared" si="808"/>
        <v>3726.7603054929805</v>
      </c>
      <c r="CO60" s="40">
        <f t="shared" si="808"/>
        <v>3869.7038292291568</v>
      </c>
      <c r="CT60" s="39">
        <v>10527.152499999997</v>
      </c>
    </row>
    <row r="61" spans="1:98" s="72" customFormat="1" x14ac:dyDescent="0.2">
      <c r="A61" s="72" t="s">
        <v>15</v>
      </c>
      <c r="C61" s="72">
        <f t="shared" ref="C61:Y61" si="810">+IF(B60&lt;0,1-C60/B60,C60/B60-1)</f>
        <v>1.0201496904475857</v>
      </c>
      <c r="D61" s="72">
        <f t="shared" si="810"/>
        <v>0.67245603632926776</v>
      </c>
      <c r="E61" s="72">
        <f t="shared" si="810"/>
        <v>0.18486340839761217</v>
      </c>
      <c r="F61" s="72">
        <f t="shared" si="810"/>
        <v>-0.66275971947494949</v>
      </c>
      <c r="G61" s="72">
        <f t="shared" si="810"/>
        <v>1.0627580339558569</v>
      </c>
      <c r="H61" s="72">
        <f t="shared" si="810"/>
        <v>0.60124390660122273</v>
      </c>
      <c r="I61" s="72">
        <f t="shared" si="810"/>
        <v>0.78904741850959326</v>
      </c>
      <c r="J61" s="72">
        <f t="shared" si="810"/>
        <v>0.49663701042289876</v>
      </c>
      <c r="K61" s="72">
        <f t="shared" si="810"/>
        <v>-0.4210613855810359</v>
      </c>
      <c r="L61" s="72">
        <f t="shared" si="810"/>
        <v>0.42941293133201164</v>
      </c>
      <c r="M61" s="72">
        <f t="shared" si="810"/>
        <v>7.586636173716621E-2</v>
      </c>
      <c r="N61" s="72">
        <f t="shared" si="810"/>
        <v>2.6827519765991292E-2</v>
      </c>
      <c r="O61" s="72">
        <f t="shared" si="810"/>
        <v>-7.3019167536019225E-3</v>
      </c>
      <c r="P61" s="72">
        <f t="shared" si="810"/>
        <v>-0.37385392019136487</v>
      </c>
      <c r="Q61" s="72">
        <f t="shared" si="810"/>
        <v>-4.5631888844104314</v>
      </c>
      <c r="R61" s="72">
        <f t="shared" si="810"/>
        <v>0.74408602175259608</v>
      </c>
      <c r="S61" s="72">
        <f t="shared" si="810"/>
        <v>-2.8783595586719626</v>
      </c>
      <c r="T61" s="72">
        <f t="shared" si="810"/>
        <v>8.2201992284499981E-2</v>
      </c>
      <c r="U61" s="72">
        <f t="shared" si="810"/>
        <v>0.46693000893021319</v>
      </c>
      <c r="V61" s="72">
        <f t="shared" si="810"/>
        <v>1.7305992026341759</v>
      </c>
      <c r="W61" s="72">
        <f t="shared" si="810"/>
        <v>0.57603011102122492</v>
      </c>
      <c r="X61" s="72">
        <f t="shared" si="810"/>
        <v>0.18158573814435863</v>
      </c>
      <c r="Y61" s="72">
        <f t="shared" si="810"/>
        <v>0.57047249026831093</v>
      </c>
      <c r="Z61" s="75">
        <f>+IF(Y60&lt;0,1-Z60/Y60,Z60/Y60-1)</f>
        <v>0.45918670404734474</v>
      </c>
      <c r="AA61" s="75">
        <f>+IF(Z60&lt;0,1-AA60/Z60,AA60/Z60-1)</f>
        <v>0.14189497519145</v>
      </c>
      <c r="AB61" s="73">
        <f t="shared" ref="AB61" si="811">+IF(AA60&lt;0,1-AB60/AA60,AB60/AA60-1)</f>
        <v>6.1503593105412646E-2</v>
      </c>
      <c r="AC61" s="73">
        <f t="shared" ref="AC61" si="812">+AC60/AB60-1</f>
        <v>5.8473608369745467E-2</v>
      </c>
      <c r="AD61" s="73">
        <f t="shared" ref="AD61" si="813">+AD60/AC60-1</f>
        <v>0.11494751412295656</v>
      </c>
      <c r="AE61" s="73">
        <f t="shared" ref="AE61" si="814">+AE60/AD60-1</f>
        <v>0.12533738534797112</v>
      </c>
      <c r="AG61" s="74"/>
      <c r="AH61" s="75"/>
      <c r="AI61" s="75"/>
      <c r="AJ61" s="75"/>
      <c r="AK61" s="75"/>
      <c r="AL61" s="75">
        <f t="shared" ref="AL61" si="815">+IF(AH60&lt;0,1-AL60/AH60,AL60/AH60-1)</f>
        <v>-6.7150786308972918</v>
      </c>
      <c r="AM61" s="75">
        <f t="shared" ref="AM61" si="816">+IF(AI60&lt;0,1-AM60/AI60,AM60/AI60-1)</f>
        <v>1.1126225316096037</v>
      </c>
      <c r="AN61" s="75">
        <f t="shared" ref="AN61" si="817">+IF(AJ60&lt;0,1-AN60/AJ60,AN60/AJ60-1)</f>
        <v>1.0675487187661894</v>
      </c>
      <c r="AO61" s="75">
        <f t="shared" ref="AO61" si="818">+IF(AK60&lt;0,1-AO60/AK60,AO60/AK60-1)</f>
        <v>0.70852859265536883</v>
      </c>
      <c r="AP61" s="75">
        <f t="shared" ref="AP61" si="819">+IF(AL60&lt;0,1-AP60/AL60,AP60/AL60-1)</f>
        <v>1.118309593180101</v>
      </c>
      <c r="AQ61" s="75">
        <f t="shared" ref="AQ61" si="820">+IF(AM60&lt;0,1-AQ60/AM60,AQ60/AM60-1)</f>
        <v>0.41177861873226052</v>
      </c>
      <c r="AR61" s="75">
        <f t="shared" ref="AR61" si="821">+IF(AN60&lt;0,1-AR60/AN60,AR60/AN60-1)</f>
        <v>-24.020648967551747</v>
      </c>
      <c r="AS61" s="75">
        <f t="shared" ref="AS61" si="822">+IF(AO60&lt;0,1-AS60/AO60,AS60/AO60-1)</f>
        <v>-2.7963827304550759</v>
      </c>
      <c r="AT61" s="75">
        <f t="shared" ref="AT61" si="823">+IF(AP60&lt;0,1-AT60/AP60,AT60/AP60-1)</f>
        <v>8.4368943107974159E-2</v>
      </c>
      <c r="AU61" s="75">
        <f t="shared" ref="AU61" si="824">+IF(AQ60&lt;0,1-AU60/AQ60,AU60/AQ60-1)</f>
        <v>-7.4569721338024308</v>
      </c>
      <c r="AV61" s="75">
        <f t="shared" ref="AV61" si="825">+IF(AR60&lt;0,1-AV60/AR60,AV60/AR60-1)</f>
        <v>-1.0235605672304802</v>
      </c>
      <c r="AW61" s="75">
        <f t="shared" ref="AW61" si="826">+IF(AS60&lt;0,1-AW60/AS60,AW60/AS60-1)</f>
        <v>1.0634348381440417</v>
      </c>
      <c r="AX61" s="75">
        <f t="shared" ref="AX61" si="827">+IF(AT60&lt;0,1-AX60/AT60,AX60/AT60-1)</f>
        <v>1.5509410156660692</v>
      </c>
      <c r="AY61" s="75">
        <f t="shared" ref="AY61" si="828">+IF(AU60&lt;0,1-AY60/AU60,AY60/AU60-1)</f>
        <v>1.2303740540540531</v>
      </c>
      <c r="AZ61" s="75">
        <f t="shared" ref="AZ61" si="829">+IF(AV60&lt;0,1-AZ60/AV60,AZ60/AV60-1)</f>
        <v>1.0222730688371229</v>
      </c>
      <c r="BA61" s="75">
        <f t="shared" ref="BA61" si="830">+IF(AW60&lt;0,1-BA60/AW60,BA60/AW60-1)</f>
        <v>-15.184081973072761</v>
      </c>
      <c r="BB61" s="75">
        <f t="shared" ref="BB61" si="831">+IF(AX60&lt;0,1-BB60/AX60,BB60/AX60-1)</f>
        <v>2.4770422883521537</v>
      </c>
      <c r="BC61" s="75">
        <f t="shared" ref="BC61" si="832">+IF(AY60&lt;0,1-BC60/AY60,BC60/AY60-1)</f>
        <v>0.97387093141120418</v>
      </c>
      <c r="BD61" s="75">
        <f t="shared" ref="BD61" si="833">+IF(AZ60&lt;0,1-BD60/AZ60,BD60/AZ60-1)</f>
        <v>4.1243366186505233</v>
      </c>
      <c r="BE61" s="75">
        <f t="shared" ref="BE61" si="834">+IF(BA60&lt;0,1-BE60/BA60,BE60/BA60-1)</f>
        <v>1.0700535642785345</v>
      </c>
      <c r="BF61" s="75">
        <f t="shared" ref="BF61" si="835">+IF(BB60&lt;0,1-BF60/BB60,BF60/BB60-1)</f>
        <v>-0.14651493598861876</v>
      </c>
      <c r="BG61" s="75">
        <f t="shared" ref="BG61" si="836">+IF(BC60&lt;0,1-BG60/BC60,BG60/BC60-1)</f>
        <v>0.99889687702080776</v>
      </c>
      <c r="BH61" s="75">
        <f t="shared" ref="BH61" si="837">+IF(BD60&lt;0,1-BH60/BD60,BH60/BD60-1)</f>
        <v>0.90015164965231498</v>
      </c>
      <c r="BI61" s="75">
        <f t="shared" ref="BI61" si="838">+IF(BE60&lt;0,1-BI60/BE60,BI60/BE60-1)</f>
        <v>1.4232383388624599</v>
      </c>
      <c r="BJ61" s="75">
        <f t="shared" ref="BJ61" si="839">+IF(BF60&lt;0,1-BJ60/BF60,BJ60/BF60-1)</f>
        <v>-0.22015277777777886</v>
      </c>
      <c r="BK61" s="75">
        <f t="shared" ref="BK61" si="840">+IF(BG60&lt;0,1-BK60/BG60,BK60/BG60-1)</f>
        <v>-8.6566823345830546E-2</v>
      </c>
      <c r="BL61" s="75">
        <f t="shared" ref="BL61" si="841">+IF(BH60&lt;0,1-BL60/BH60,BL60/BH60-1)</f>
        <v>0.12025889337680629</v>
      </c>
      <c r="BM61" s="75">
        <f t="shared" ref="BM61" si="842">+IF(BI60&lt;0,1-BM60/BI60,BM60/BI60-1)</f>
        <v>1.2274564138090249</v>
      </c>
      <c r="BN61" s="75">
        <f t="shared" ref="BN61" si="843">+IF(BJ60&lt;0,1-BN60/BJ60,BN60/BJ60-1)</f>
        <v>1.762417852499599</v>
      </c>
      <c r="BO61" s="75">
        <f t="shared" ref="BO61" si="844">+IF(BK60&lt;0,1-BO60/BK60,BO60/BK60-1)</f>
        <v>0.51919791666666759</v>
      </c>
      <c r="BP61" s="75">
        <f t="shared" ref="BP61" si="845">+IF(BL60&lt;0,1-BP60/BL60,BP60/BL60-1)</f>
        <v>0.6242343680767326</v>
      </c>
      <c r="BQ61" s="75">
        <f t="shared" ref="BQ61" si="846">+IF(BM60&lt;0,1-BQ60/BM60,BQ60/BM60-1)</f>
        <v>6.551198128017699E-2</v>
      </c>
      <c r="BR61" s="75">
        <f t="shared" ref="BR61" si="847">+IF(BN60&lt;0,1-BR60/BN60,BR60/BN60-1)</f>
        <v>9.7777663161561001E-2</v>
      </c>
      <c r="BS61" s="75">
        <f t="shared" ref="BS61" si="848">+IF(BO60&lt;0,1-BS60/BO60,BS60/BO60-1)</f>
        <v>0.62756525853143352</v>
      </c>
      <c r="BT61" s="75">
        <f t="shared" ref="BT61" si="849">+IF(BP60&lt;0,1-BT60/BP60,BT60/BP60-1)</f>
        <v>0.34617627078753443</v>
      </c>
      <c r="BU61" s="75">
        <f t="shared" ref="BU61" si="850">+IF(BQ60&lt;0,1-BU60/BQ60,BU60/BQ60-1)</f>
        <v>0.82492998172227372</v>
      </c>
      <c r="BV61" s="75">
        <f t="shared" ref="BV61" si="851">+IF(BR60&lt;0,1-BV60/BR60,BV60/BR60-1)</f>
        <v>0.32265244636554136</v>
      </c>
      <c r="BW61" s="75">
        <f>+IF(BS60&lt;0,1-BW60/BS60,BW60/BS60-1)</f>
        <v>7.6202031436287898E-2</v>
      </c>
      <c r="BX61" s="75">
        <f>+IF(BT60&lt;0,1-BX60/BT60,BX60/BT60-1)</f>
        <v>7.4693347213998562E-2</v>
      </c>
      <c r="BY61" s="75">
        <f>+IF(BU60&lt;0,1-BY60/BU60,BY60/BU60-1)</f>
        <v>0.14847424321473368</v>
      </c>
      <c r="BZ61" s="35">
        <f t="shared" ref="BZ61" si="852">+IF(BV60&lt;0,1-BZ60/BV60,BZ60/BV60-1)</f>
        <v>0.17376544850315589</v>
      </c>
      <c r="CA61" s="35">
        <f t="shared" ref="CA61" si="853">+IF(BW60&lt;0,1-CA60/BW60,CA60/BW60-1)</f>
        <v>9.1917489815839248E-2</v>
      </c>
      <c r="CB61" s="35">
        <f t="shared" ref="CB61" si="854">+IF(BX60&lt;0,1-CB60/BX60,CB60/BX60-1)</f>
        <v>4.9646104210135933E-2</v>
      </c>
      <c r="CC61" s="35">
        <f t="shared" ref="CC61" si="855">+IF(BY60&lt;0,1-CC60/BY60,CC60/BY60-1)</f>
        <v>-3.7458320571787107E-2</v>
      </c>
      <c r="CD61" s="35">
        <f t="shared" ref="CD61" si="856">+IF(BZ60&lt;0,1-CD60/BZ60,CD60/BZ60-1)</f>
        <v>9.913512018385684E-2</v>
      </c>
      <c r="CE61" s="35">
        <f t="shared" ref="CE61" si="857">+IF(CA60&lt;0,1-CE60/CA60,CE60/CA60-1)</f>
        <v>5.8751025083028097E-2</v>
      </c>
      <c r="CF61" s="35">
        <f t="shared" ref="CF61" si="858">+IF(CB60&lt;0,1-CF60/CB60,CF60/CB60-1)</f>
        <v>4.2523569290112917E-2</v>
      </c>
      <c r="CG61" s="35">
        <f t="shared" ref="CG61" si="859">+IF(CC60&lt;0,1-CG60/CC60,CG60/CC60-1)</f>
        <v>3.6777621610133204E-2</v>
      </c>
      <c r="CH61" s="35">
        <f t="shared" ref="CH61" si="860">+IF(CD60&lt;0,1-CH60/CD60,CH60/CD60-1)</f>
        <v>0.10174266136051835</v>
      </c>
      <c r="CI61" s="35">
        <f t="shared" ref="CI61" si="861">+IF(CE60&lt;0,1-CI60/CE60,CI60/CE60-1)</f>
        <v>0.10414744665751874</v>
      </c>
      <c r="CJ61" s="35">
        <f t="shared" ref="CJ61" si="862">+IF(CF60&lt;0,1-CJ60/CF60,CJ60/CF60-1)</f>
        <v>0.11637299523736222</v>
      </c>
      <c r="CK61" s="35">
        <f t="shared" ref="CK61" si="863">+IF(CG60&lt;0,1-CK60/CG60,CK60/CG60-1)</f>
        <v>0.13689188994690205</v>
      </c>
      <c r="CL61" s="35">
        <f t="shared" ref="CL61" si="864">+IF(CH60&lt;0,1-CL60/CH60,CL60/CH60-1)</f>
        <v>0.11883951580802932</v>
      </c>
      <c r="CM61" s="35">
        <f t="shared" ref="CM61" si="865">+IF(CI60&lt;0,1-CM60/CI60,CM60/CI60-1)</f>
        <v>0.12318378113684081</v>
      </c>
      <c r="CN61" s="35">
        <f t="shared" ref="CN61" si="866">+IF(CJ60&lt;0,1-CN60/CJ60,CN60/CJ60-1)</f>
        <v>0.12792201723722729</v>
      </c>
      <c r="CO61" s="35">
        <f t="shared" ref="CO61" si="867">+IF(CK60&lt;0,1-CO60/CK60,CO60/CK60-1)</f>
        <v>0.13097317244408657</v>
      </c>
      <c r="CT61" s="72">
        <v>0.14189497519145</v>
      </c>
    </row>
    <row r="62" spans="1:98" s="44" customFormat="1" x14ac:dyDescent="0.2">
      <c r="A62" s="115" t="s">
        <v>360</v>
      </c>
      <c r="AB62" s="38"/>
      <c r="AC62" s="38"/>
      <c r="AD62" s="38"/>
      <c r="AE62" s="38"/>
      <c r="AG62" s="59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</row>
    <row r="63" spans="1:98" s="68" customFormat="1" x14ac:dyDescent="0.2">
      <c r="A63" s="68" t="s">
        <v>44</v>
      </c>
      <c r="B63" s="68">
        <f>+'Annual Raw'!C22</f>
        <v>251.87979999999999</v>
      </c>
      <c r="C63" s="68">
        <f>+'Annual Raw'!D22</f>
        <v>508.8349</v>
      </c>
      <c r="D63" s="68">
        <f>+'Annual Raw'!E22</f>
        <v>851.00400000000002</v>
      </c>
      <c r="E63" s="68">
        <f>+'Annual Raw'!F22</f>
        <v>1008.3235</v>
      </c>
      <c r="F63" s="68">
        <f>+'Annual Raw'!G22</f>
        <v>340.04730000000001</v>
      </c>
      <c r="G63" s="68">
        <f>+'Annual Raw'!H22</f>
        <v>701.43529999999998</v>
      </c>
      <c r="H63" s="68">
        <f>+'Annual Raw'!I22</f>
        <v>1123.1690000000001</v>
      </c>
      <c r="I63" s="68">
        <f>+'Annual Raw'!J22</f>
        <v>2009.4025999999999</v>
      </c>
      <c r="J63" s="68">
        <f>+'Annual Raw'!K22</f>
        <v>3007.3463000000002</v>
      </c>
      <c r="K63" s="68">
        <f>+'Annual Raw'!L22</f>
        <v>1741.0689</v>
      </c>
      <c r="L63" s="68">
        <f>+'Annual Raw'!M22</f>
        <v>2488.7064</v>
      </c>
      <c r="M63" s="68">
        <f>+'Annual Raw'!N22</f>
        <v>2677.5155</v>
      </c>
      <c r="N63" s="68">
        <f>+'Annual Raw'!O22</f>
        <v>2749.3465999999999</v>
      </c>
      <c r="O63" s="68">
        <f>+'Annual Raw'!P22</f>
        <v>2729.2710999999999</v>
      </c>
      <c r="P63" s="68">
        <f>+'Annual Raw'!Q22</f>
        <v>1708.9223999999999</v>
      </c>
      <c r="Q63" s="68">
        <f>+'Annual Raw'!R22</f>
        <v>-6089.2133000000003</v>
      </c>
      <c r="R63" s="68">
        <f>+'Annual Raw'!S22</f>
        <v>-1558.3148000000001</v>
      </c>
      <c r="S63" s="68">
        <f>+'Annual Raw'!T22</f>
        <v>-6043.7051000000001</v>
      </c>
      <c r="T63" s="68">
        <f>+'Annual Raw'!U22</f>
        <v>-5546.9004999999997</v>
      </c>
      <c r="U63" s="68">
        <f>+'Annual Raw'!V22</f>
        <v>-2956.8861999999999</v>
      </c>
      <c r="V63" s="68">
        <f>+'Annual Raw'!W22</f>
        <v>2160.2986999999998</v>
      </c>
      <c r="W63" s="68">
        <f>+'Annual Raw'!X22</f>
        <v>3404.6958</v>
      </c>
      <c r="X63" s="68">
        <f>+'Annual Raw'!Y22</f>
        <v>4022.94</v>
      </c>
      <c r="Y63" s="68">
        <f>+'Annual Raw'!Z22</f>
        <v>6317.9165999999996</v>
      </c>
      <c r="Z63" s="68">
        <f>+'Annual Raw'!AA22</f>
        <v>9219.0198999999993</v>
      </c>
      <c r="AA63" s="68">
        <f>+'Annual Raw'!AB22</f>
        <v>10527.1525</v>
      </c>
      <c r="AB63" s="43"/>
      <c r="AC63" s="43"/>
      <c r="AD63" s="43"/>
      <c r="AE63" s="43"/>
      <c r="AG63" s="61"/>
      <c r="AH63" s="69">
        <f>+'QTR Raw'!C21</f>
        <v>129.72</v>
      </c>
      <c r="AI63" s="69">
        <f>+'QTR Raw'!D21</f>
        <v>-1126.24</v>
      </c>
      <c r="AJ63" s="69">
        <f>+'QTR Raw'!E21</f>
        <v>-1505.58</v>
      </c>
      <c r="AK63" s="69">
        <f>+'QTR Raw'!F21</f>
        <v>-3587.11</v>
      </c>
      <c r="AL63" s="69">
        <f>+'QTR Raw'!G21</f>
        <v>-741.36</v>
      </c>
      <c r="AM63" s="69">
        <f>+'QTR Raw'!H21</f>
        <v>126.84</v>
      </c>
      <c r="AN63" s="69">
        <f>+'QTR Raw'!I21</f>
        <v>101.72</v>
      </c>
      <c r="AO63" s="69">
        <f>+'QTR Raw'!J21</f>
        <v>-1045.54</v>
      </c>
      <c r="AP63" s="69">
        <f>+'QTR Raw'!K21</f>
        <v>87.71</v>
      </c>
      <c r="AQ63" s="69">
        <f>+'QTR Raw'!L21</f>
        <v>179.07</v>
      </c>
      <c r="AR63" s="69">
        <f>+'QTR Raw'!M21</f>
        <v>-2341.1999999999998</v>
      </c>
      <c r="AS63" s="69">
        <f>+'QTR Raw'!N21</f>
        <v>-3969.27</v>
      </c>
      <c r="AT63" s="69">
        <f>+'QTR Raw'!O21</f>
        <v>95.11</v>
      </c>
      <c r="AU63" s="69">
        <f>+'QTR Raw'!P21</f>
        <v>-1156.25</v>
      </c>
      <c r="AV63" s="69">
        <f>+'QTR Raw'!Q21</f>
        <v>-4737.5600000000004</v>
      </c>
      <c r="AW63" s="69">
        <f>+'QTR Raw'!R21</f>
        <v>251.79</v>
      </c>
      <c r="AX63" s="69">
        <f>+'QTR Raw'!S21</f>
        <v>242.62</v>
      </c>
      <c r="AY63" s="69">
        <f>+'QTR Raw'!T21</f>
        <v>266.37</v>
      </c>
      <c r="AZ63" s="69">
        <f>+'QTR Raw'!U21</f>
        <v>105.52</v>
      </c>
      <c r="BA63" s="69">
        <f>+'QTR Raw'!V21</f>
        <v>-3571.41</v>
      </c>
      <c r="BB63" s="69">
        <f>+'QTR Raw'!W21</f>
        <v>843.6</v>
      </c>
      <c r="BC63" s="69">
        <f>+'QTR Raw'!X21</f>
        <v>525.78</v>
      </c>
      <c r="BD63" s="69">
        <f>+'QTR Raw'!Y21</f>
        <v>540.72</v>
      </c>
      <c r="BE63" s="69">
        <f>+'QTR Raw'!Z21</f>
        <v>250.19</v>
      </c>
      <c r="BF63" s="69">
        <f>+'QTR Raw'!AA21</f>
        <v>720</v>
      </c>
      <c r="BG63" s="69">
        <f>+'QTR Raw'!AB21</f>
        <v>1050.98</v>
      </c>
      <c r="BH63" s="69">
        <f>+'QTR Raw'!AC21</f>
        <v>1027.45</v>
      </c>
      <c r="BI63" s="69">
        <f>+'QTR Raw'!AD21</f>
        <v>606.27</v>
      </c>
      <c r="BJ63" s="69">
        <f>+'QTR Raw'!AE21</f>
        <v>561.49</v>
      </c>
      <c r="BK63" s="69">
        <f>+'QTR Raw'!AF21</f>
        <v>960</v>
      </c>
      <c r="BL63" s="69">
        <f>+'QTR Raw'!AG21</f>
        <v>1151.01</v>
      </c>
      <c r="BM63" s="69">
        <f>+'QTR Raw'!AH21</f>
        <v>1350.44</v>
      </c>
      <c r="BN63" s="69">
        <f>+'QTR Raw'!AI21</f>
        <v>1551.07</v>
      </c>
      <c r="BO63" s="69">
        <f>+'QTR Raw'!AJ21</f>
        <v>1458.43</v>
      </c>
      <c r="BP63" s="69">
        <f>+'QTR Raw'!AK21</f>
        <v>1869.51</v>
      </c>
      <c r="BQ63" s="69">
        <f>+'QTR Raw'!AL21</f>
        <v>1438.91</v>
      </c>
      <c r="BR63" s="69">
        <f>+'QTR Raw'!AM21</f>
        <v>1702.73</v>
      </c>
      <c r="BS63" s="69">
        <f>+'QTR Raw'!AN21</f>
        <v>2373.69</v>
      </c>
      <c r="BT63" s="69">
        <f>+'QTR Raw'!AO21</f>
        <v>2516.69</v>
      </c>
      <c r="BU63" s="69">
        <f>+'QTR Raw'!AP21</f>
        <v>2625.91</v>
      </c>
      <c r="BV63" s="69">
        <f>+'QTR Raw'!AQ21</f>
        <v>2252.12</v>
      </c>
      <c r="BW63" s="69">
        <f>+'QTR Raw'!AR21</f>
        <v>2554.5700000000002</v>
      </c>
      <c r="BX63" s="69">
        <f>+'QTR Raw'!AS21</f>
        <v>2704.67</v>
      </c>
      <c r="BY63" s="69">
        <f>+'QTR Raw'!AT21</f>
        <v>3015.79</v>
      </c>
      <c r="BZ63" s="109"/>
      <c r="CA63" s="109"/>
      <c r="CB63" s="109"/>
      <c r="CC63" s="109"/>
      <c r="CD63" s="109"/>
      <c r="CE63" s="109"/>
      <c r="CF63" s="109"/>
      <c r="CG63" s="109"/>
      <c r="CH63" s="109"/>
      <c r="CI63" s="109"/>
      <c r="CJ63" s="109"/>
      <c r="CK63" s="109"/>
      <c r="CL63" s="109"/>
      <c r="CM63" s="109"/>
      <c r="CN63" s="109"/>
      <c r="CO63" s="109"/>
      <c r="CT63" s="68">
        <v>10527.1525</v>
      </c>
    </row>
    <row r="64" spans="1:98" s="44" customFormat="1" x14ac:dyDescent="0.2">
      <c r="A64" s="44" t="s">
        <v>386</v>
      </c>
      <c r="B64" s="44">
        <f t="shared" ref="B64:X64" si="868">+B60-B63</f>
        <v>0</v>
      </c>
      <c r="C64" s="44">
        <f t="shared" si="868"/>
        <v>0</v>
      </c>
      <c r="D64" s="44">
        <f t="shared" si="868"/>
        <v>0</v>
      </c>
      <c r="E64" s="44">
        <f t="shared" si="868"/>
        <v>0</v>
      </c>
      <c r="F64" s="44">
        <f t="shared" si="868"/>
        <v>9.6633812063373625E-13</v>
      </c>
      <c r="G64" s="44">
        <f t="shared" si="868"/>
        <v>0</v>
      </c>
      <c r="H64" s="44">
        <f t="shared" si="868"/>
        <v>0</v>
      </c>
      <c r="I64" s="44">
        <f t="shared" si="868"/>
        <v>0</v>
      </c>
      <c r="J64" s="44">
        <f t="shared" si="868"/>
        <v>0</v>
      </c>
      <c r="K64" s="44">
        <f t="shared" si="868"/>
        <v>0</v>
      </c>
      <c r="L64" s="44">
        <f t="shared" si="868"/>
        <v>0</v>
      </c>
      <c r="M64" s="44">
        <f t="shared" si="868"/>
        <v>0</v>
      </c>
      <c r="N64" s="44">
        <f t="shared" si="868"/>
        <v>0</v>
      </c>
      <c r="O64" s="44">
        <f t="shared" si="868"/>
        <v>0</v>
      </c>
      <c r="P64" s="44">
        <f t="shared" si="868"/>
        <v>0</v>
      </c>
      <c r="Q64" s="44">
        <f t="shared" si="868"/>
        <v>0</v>
      </c>
      <c r="R64" s="44">
        <f t="shared" si="868"/>
        <v>-2.7284841053187847E-12</v>
      </c>
      <c r="S64" s="44">
        <f t="shared" si="868"/>
        <v>0</v>
      </c>
      <c r="T64" s="105">
        <f t="shared" si="868"/>
        <v>0</v>
      </c>
      <c r="U64" s="105">
        <f t="shared" si="868"/>
        <v>0</v>
      </c>
      <c r="V64" s="105">
        <f t="shared" si="868"/>
        <v>0</v>
      </c>
      <c r="W64" s="105">
        <f t="shared" si="868"/>
        <v>4.0927261579781771E-12</v>
      </c>
      <c r="X64" s="105">
        <f t="shared" si="868"/>
        <v>0</v>
      </c>
      <c r="Y64" s="105">
        <f t="shared" ref="Y64:Z64" si="869">+Y60-Y63</f>
        <v>0</v>
      </c>
      <c r="Z64" s="105">
        <f t="shared" si="869"/>
        <v>0</v>
      </c>
      <c r="AA64" s="105">
        <f t="shared" ref="AA64" si="870">+AA60-AA63</f>
        <v>0</v>
      </c>
      <c r="AB64" s="38"/>
      <c r="AC64" s="38"/>
      <c r="AD64" s="38"/>
      <c r="AE64" s="38"/>
      <c r="AG64" s="59"/>
      <c r="AH64" s="105">
        <f t="shared" ref="AH64" si="871">+AH60-AH63</f>
        <v>4.8316906031686813E-13</v>
      </c>
      <c r="AI64" s="105">
        <f t="shared" ref="AI64" si="872">+AI60-AI63</f>
        <v>0</v>
      </c>
      <c r="AJ64" s="105">
        <f t="shared" ref="AJ64" si="873">+AJ60-AJ63</f>
        <v>0</v>
      </c>
      <c r="AK64" s="105">
        <f t="shared" ref="AK64" si="874">+AK60-AK63</f>
        <v>0</v>
      </c>
      <c r="AL64" s="105">
        <f t="shared" ref="AL64" si="875">+AL60-AL63</f>
        <v>0</v>
      </c>
      <c r="AM64" s="105">
        <f t="shared" ref="AM64" si="876">+AM60-AM63</f>
        <v>-1.1368683772161603E-13</v>
      </c>
      <c r="AN64" s="105">
        <f t="shared" ref="AN64" si="877">+AN60-AN63</f>
        <v>-2.0000000000550244E-2</v>
      </c>
      <c r="AO64" s="105">
        <f t="shared" ref="AO64" si="878">+AO60-AO63</f>
        <v>0</v>
      </c>
      <c r="AP64" s="105">
        <f t="shared" ref="AP64" si="879">+AP60-AP63</f>
        <v>-3.5527136788005009E-13</v>
      </c>
      <c r="AQ64" s="105">
        <f t="shared" ref="AQ64" si="880">+AQ60-AQ63</f>
        <v>-2.2737367544323206E-13</v>
      </c>
      <c r="AR64" s="105">
        <f t="shared" ref="AR64" si="881">+AR60-AR63</f>
        <v>0</v>
      </c>
      <c r="AS64" s="105">
        <f t="shared" ref="AS64" si="882">+AS60-AS63</f>
        <v>0</v>
      </c>
      <c r="AT64" s="105">
        <f t="shared" ref="AT64" si="883">+AT60-AT63</f>
        <v>0</v>
      </c>
      <c r="AU64" s="105">
        <f t="shared" ref="AU64" si="884">+AU60-AU63</f>
        <v>0</v>
      </c>
      <c r="AV64" s="105">
        <f t="shared" ref="AV64" si="885">+AV60-AV63</f>
        <v>0</v>
      </c>
      <c r="AW64" s="105">
        <f t="shared" ref="AW64" si="886">+AW60-AW63</f>
        <v>6.8212102632969618E-13</v>
      </c>
      <c r="AX64" s="105">
        <f t="shared" ref="AX64" si="887">+AX60-AX63</f>
        <v>0</v>
      </c>
      <c r="AY64" s="105">
        <f t="shared" ref="AY64" si="888">+AY60-AY63</f>
        <v>-1.1937117960769683E-12</v>
      </c>
      <c r="AZ64" s="105">
        <f t="shared" ref="AZ64" si="889">+AZ60-AZ63</f>
        <v>-6.1106675275368616E-13</v>
      </c>
      <c r="BA64" s="105">
        <f t="shared" ref="BA64" si="890">+BA60-BA63</f>
        <v>0</v>
      </c>
      <c r="BB64" s="105">
        <f t="shared" ref="BB64" si="891">+BB60-BB63</f>
        <v>-9.0949470177292824E-13</v>
      </c>
      <c r="BC64" s="105">
        <f t="shared" ref="BC64" si="892">+BC60-BC63</f>
        <v>0</v>
      </c>
      <c r="BD64" s="105">
        <f t="shared" ref="BD64" si="893">+BD60-BD63</f>
        <v>0</v>
      </c>
      <c r="BE64" s="105">
        <f t="shared" ref="BE64" si="894">+BE60-BE63</f>
        <v>8.5265128291212022E-13</v>
      </c>
      <c r="BF64" s="105">
        <f t="shared" ref="BF64" si="895">+BF60-BF63</f>
        <v>0</v>
      </c>
      <c r="BG64" s="105">
        <f t="shared" ref="BG64" si="896">+BG60-BG63</f>
        <v>0</v>
      </c>
      <c r="BH64" s="105">
        <f t="shared" ref="BH64" si="897">+BH60-BH63</f>
        <v>0</v>
      </c>
      <c r="BI64" s="105">
        <f t="shared" ref="BI64" si="898">+BI60-BI63</f>
        <v>9.0949470177292824E-13</v>
      </c>
      <c r="BJ64" s="105">
        <f t="shared" ref="BJ64" si="899">+BJ60-BJ63</f>
        <v>0</v>
      </c>
      <c r="BK64" s="105">
        <f t="shared" ref="BK64" si="900">+BK60-BK63</f>
        <v>0</v>
      </c>
      <c r="BL64" s="105">
        <f t="shared" ref="BL64" si="901">+BL60-BL63</f>
        <v>0</v>
      </c>
      <c r="BM64" s="105">
        <f t="shared" ref="BM64" si="902">+BM60-BM63</f>
        <v>0</v>
      </c>
      <c r="BN64" s="105">
        <f t="shared" ref="BN64" si="903">+BN60-BN63</f>
        <v>0</v>
      </c>
      <c r="BO64" s="105">
        <f t="shared" ref="BO64" si="904">+BO60-BO63</f>
        <v>0</v>
      </c>
      <c r="BP64" s="105">
        <f t="shared" ref="BP64" si="905">+BP60-BP63</f>
        <v>0</v>
      </c>
      <c r="BQ64" s="105">
        <f t="shared" ref="BQ64" si="906">+BQ60-BQ63</f>
        <v>0</v>
      </c>
      <c r="BR64" s="105">
        <f t="shared" ref="BR64" si="907">+BR60-BR63</f>
        <v>0</v>
      </c>
      <c r="BS64" s="105">
        <f t="shared" ref="BS64" si="908">+BS60-BS63</f>
        <v>0</v>
      </c>
      <c r="BT64" s="105">
        <f t="shared" ref="BT64" si="909">+BT60-BT63</f>
        <v>0</v>
      </c>
      <c r="BU64" s="105">
        <f t="shared" ref="BU64" si="910">+BU60-BU63</f>
        <v>0</v>
      </c>
      <c r="BV64" s="105">
        <f t="shared" ref="BV64:BW64" si="911">+BV60-BV63</f>
        <v>0</v>
      </c>
      <c r="BW64" s="105">
        <f t="shared" si="911"/>
        <v>0</v>
      </c>
      <c r="BX64" s="105">
        <f t="shared" ref="BX64:BY64" si="912">+BX60-BX63</f>
        <v>0</v>
      </c>
      <c r="BY64" s="105">
        <f t="shared" si="912"/>
        <v>0</v>
      </c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T64" s="44">
        <v>0</v>
      </c>
    </row>
    <row r="65" spans="1:98" s="44" customFormat="1" x14ac:dyDescent="0.2">
      <c r="A65" s="118" t="s">
        <v>361</v>
      </c>
      <c r="AB65" s="38"/>
      <c r="AC65" s="38"/>
      <c r="AD65" s="38"/>
      <c r="AE65" s="38"/>
      <c r="AG65" s="59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</row>
    <row r="66" spans="1:98" s="49" customFormat="1" x14ac:dyDescent="0.2">
      <c r="A66" s="49" t="s">
        <v>33</v>
      </c>
      <c r="B66" s="49">
        <f t="shared" ref="B66:X66" si="913">+C66</f>
        <v>4552.6679000000004</v>
      </c>
      <c r="C66" s="49">
        <f t="shared" si="913"/>
        <v>4552.6679000000004</v>
      </c>
      <c r="D66" s="49">
        <f t="shared" si="913"/>
        <v>4552.6679000000004</v>
      </c>
      <c r="E66" s="49">
        <f t="shared" si="913"/>
        <v>4552.6679000000004</v>
      </c>
      <c r="F66" s="49">
        <f t="shared" si="913"/>
        <v>4552.6679000000004</v>
      </c>
      <c r="G66" s="49">
        <f t="shared" si="913"/>
        <v>4552.6679000000004</v>
      </c>
      <c r="H66" s="49">
        <f t="shared" si="913"/>
        <v>4552.6679000000004</v>
      </c>
      <c r="I66" s="49">
        <f t="shared" si="913"/>
        <v>4552.6679000000004</v>
      </c>
      <c r="J66" s="49">
        <f t="shared" si="913"/>
        <v>4552.6679000000004</v>
      </c>
      <c r="K66" s="49">
        <f t="shared" si="913"/>
        <v>4552.6679000000004</v>
      </c>
      <c r="L66" s="49">
        <f t="shared" si="913"/>
        <v>4552.6679000000004</v>
      </c>
      <c r="M66" s="49">
        <f t="shared" si="913"/>
        <v>4552.6679000000004</v>
      </c>
      <c r="N66" s="49">
        <f t="shared" si="913"/>
        <v>4552.6679000000004</v>
      </c>
      <c r="O66" s="49">
        <f t="shared" si="913"/>
        <v>4552.6679000000004</v>
      </c>
      <c r="P66" s="49">
        <f t="shared" si="913"/>
        <v>4552.6679000000004</v>
      </c>
      <c r="Q66" s="49">
        <f t="shared" si="913"/>
        <v>4552.6679000000004</v>
      </c>
      <c r="R66" s="49">
        <f t="shared" si="913"/>
        <v>4552.6679000000004</v>
      </c>
      <c r="S66" s="49">
        <f t="shared" si="913"/>
        <v>4552.6679000000004</v>
      </c>
      <c r="T66" s="49">
        <f t="shared" si="913"/>
        <v>4552.6679000000004</v>
      </c>
      <c r="U66" s="49">
        <f t="shared" si="913"/>
        <v>4552.6679000000004</v>
      </c>
      <c r="V66" s="49">
        <f t="shared" si="913"/>
        <v>4552.6679000000004</v>
      </c>
      <c r="W66" s="49">
        <f t="shared" si="913"/>
        <v>4552.6679000000004</v>
      </c>
      <c r="X66" s="49">
        <f t="shared" si="913"/>
        <v>4552.6679000000004</v>
      </c>
      <c r="Y66" s="49">
        <f>+Z66</f>
        <v>4552.6679000000004</v>
      </c>
      <c r="Z66" s="49">
        <f>+'Annual Raw'!AA38</f>
        <v>4552.6679000000004</v>
      </c>
      <c r="AA66" s="49">
        <f>+'Annual Raw'!AB38</f>
        <v>4552.6679000000004</v>
      </c>
      <c r="AB66" s="50">
        <f>+CC66</f>
        <v>4553.41</v>
      </c>
      <c r="AC66" s="50">
        <f>+CG66</f>
        <v>4553.41</v>
      </c>
      <c r="AD66" s="50">
        <f>+CK66</f>
        <v>4553.41</v>
      </c>
      <c r="AE66" s="50">
        <f>+CO66</f>
        <v>4553.41</v>
      </c>
      <c r="AG66" s="63"/>
      <c r="AH66" s="49">
        <f>+'QTR Raw'!C29</f>
        <v>665.65</v>
      </c>
      <c r="AI66" s="49">
        <f>+'QTR Raw'!D29</f>
        <v>791.91</v>
      </c>
      <c r="AJ66" s="49">
        <f>+'QTR Raw'!E29</f>
        <v>791.91</v>
      </c>
      <c r="AK66" s="49">
        <f>+'QTR Raw'!F29</f>
        <v>817.29</v>
      </c>
      <c r="AL66" s="49">
        <f>+'QTR Raw'!G29</f>
        <v>934.77</v>
      </c>
      <c r="AM66" s="49">
        <f>+'QTR Raw'!H29</f>
        <v>1055.43</v>
      </c>
      <c r="AN66" s="49">
        <f>+'QTR Raw'!I29</f>
        <v>1055.43</v>
      </c>
      <c r="AO66" s="49">
        <f>+'QTR Raw'!J29</f>
        <v>1055.43</v>
      </c>
      <c r="AP66" s="49">
        <f>+'QTR Raw'!K29</f>
        <v>1072.93</v>
      </c>
      <c r="AQ66" s="49">
        <f>+'QTR Raw'!L29</f>
        <v>1185.29</v>
      </c>
      <c r="AR66" s="49">
        <f>+'QTR Raw'!M29</f>
        <v>1185.29</v>
      </c>
      <c r="AS66" s="49">
        <f>+'QTR Raw'!N29</f>
        <v>1743.72</v>
      </c>
      <c r="AT66" s="49">
        <f t="shared" ref="AT66:BU66" si="914">+AU66</f>
        <v>4553.41</v>
      </c>
      <c r="AU66" s="49">
        <f t="shared" si="914"/>
        <v>4553.41</v>
      </c>
      <c r="AV66" s="49">
        <f t="shared" si="914"/>
        <v>4553.41</v>
      </c>
      <c r="AW66" s="49">
        <f t="shared" si="914"/>
        <v>4553.41</v>
      </c>
      <c r="AX66" s="49">
        <f t="shared" si="914"/>
        <v>4553.41</v>
      </c>
      <c r="AY66" s="49">
        <f t="shared" si="914"/>
        <v>4553.41</v>
      </c>
      <c r="AZ66" s="49">
        <f t="shared" si="914"/>
        <v>4553.41</v>
      </c>
      <c r="BA66" s="49">
        <f t="shared" si="914"/>
        <v>4553.41</v>
      </c>
      <c r="BB66" s="49">
        <f t="shared" si="914"/>
        <v>4553.41</v>
      </c>
      <c r="BC66" s="49">
        <f t="shared" si="914"/>
        <v>4553.41</v>
      </c>
      <c r="BD66" s="49">
        <f t="shared" si="914"/>
        <v>4553.41</v>
      </c>
      <c r="BE66" s="49">
        <f t="shared" si="914"/>
        <v>4553.41</v>
      </c>
      <c r="BF66" s="49">
        <f t="shared" si="914"/>
        <v>4553.41</v>
      </c>
      <c r="BG66" s="49">
        <f t="shared" si="914"/>
        <v>4553.41</v>
      </c>
      <c r="BH66" s="49">
        <f t="shared" si="914"/>
        <v>4553.41</v>
      </c>
      <c r="BI66" s="49">
        <f t="shared" si="914"/>
        <v>4553.41</v>
      </c>
      <c r="BJ66" s="49">
        <f t="shared" si="914"/>
        <v>4553.41</v>
      </c>
      <c r="BK66" s="49">
        <f t="shared" si="914"/>
        <v>4553.41</v>
      </c>
      <c r="BL66" s="49">
        <f t="shared" si="914"/>
        <v>4553.41</v>
      </c>
      <c r="BM66" s="49">
        <f t="shared" si="914"/>
        <v>4553.41</v>
      </c>
      <c r="BN66" s="49">
        <f t="shared" si="914"/>
        <v>4553.41</v>
      </c>
      <c r="BO66" s="49">
        <f t="shared" si="914"/>
        <v>4553.41</v>
      </c>
      <c r="BP66" s="49">
        <f t="shared" si="914"/>
        <v>4553.41</v>
      </c>
      <c r="BQ66" s="49">
        <f t="shared" si="914"/>
        <v>4553.41</v>
      </c>
      <c r="BR66" s="49">
        <f t="shared" si="914"/>
        <v>4553.41</v>
      </c>
      <c r="BS66" s="49">
        <f t="shared" si="914"/>
        <v>4553.41</v>
      </c>
      <c r="BT66" s="49">
        <f t="shared" si="914"/>
        <v>4553.41</v>
      </c>
      <c r="BU66" s="49">
        <f t="shared" si="914"/>
        <v>4553.41</v>
      </c>
      <c r="BV66" s="49">
        <f>+BW66</f>
        <v>4553.41</v>
      </c>
      <c r="BW66" s="49">
        <f>+'QTR Raw'!AR29</f>
        <v>4553.41</v>
      </c>
      <c r="BX66" s="49">
        <f>+'QTR Raw'!AS29</f>
        <v>4553.41</v>
      </c>
      <c r="BY66" s="49">
        <f>+'QTR Raw'!AT29</f>
        <v>4553.41</v>
      </c>
      <c r="BZ66" s="50">
        <f t="shared" ref="BZ66:CO66" si="915">+BY66</f>
        <v>4553.41</v>
      </c>
      <c r="CA66" s="50">
        <f t="shared" si="915"/>
        <v>4553.41</v>
      </c>
      <c r="CB66" s="50">
        <f t="shared" si="915"/>
        <v>4553.41</v>
      </c>
      <c r="CC66" s="50">
        <f t="shared" si="915"/>
        <v>4553.41</v>
      </c>
      <c r="CD66" s="50">
        <f t="shared" si="915"/>
        <v>4553.41</v>
      </c>
      <c r="CE66" s="50">
        <f t="shared" si="915"/>
        <v>4553.41</v>
      </c>
      <c r="CF66" s="50">
        <f t="shared" si="915"/>
        <v>4553.41</v>
      </c>
      <c r="CG66" s="50">
        <f t="shared" si="915"/>
        <v>4553.41</v>
      </c>
      <c r="CH66" s="50">
        <f t="shared" si="915"/>
        <v>4553.41</v>
      </c>
      <c r="CI66" s="50">
        <f t="shared" si="915"/>
        <v>4553.41</v>
      </c>
      <c r="CJ66" s="50">
        <f t="shared" si="915"/>
        <v>4553.41</v>
      </c>
      <c r="CK66" s="50">
        <f t="shared" si="915"/>
        <v>4553.41</v>
      </c>
      <c r="CL66" s="50">
        <f t="shared" si="915"/>
        <v>4553.41</v>
      </c>
      <c r="CM66" s="50">
        <f t="shared" si="915"/>
        <v>4553.41</v>
      </c>
      <c r="CN66" s="50">
        <f t="shared" si="915"/>
        <v>4553.41</v>
      </c>
      <c r="CO66" s="50">
        <f t="shared" si="915"/>
        <v>4553.41</v>
      </c>
      <c r="CT66" s="49">
        <v>4552.6679000000004</v>
      </c>
    </row>
    <row r="67" spans="1:98" s="49" customFormat="1" x14ac:dyDescent="0.2">
      <c r="A67" s="49" t="s">
        <v>34</v>
      </c>
      <c r="B67" s="49">
        <f t="shared" ref="B67:X67" si="916">+C67</f>
        <v>10</v>
      </c>
      <c r="C67" s="49">
        <f t="shared" si="916"/>
        <v>10</v>
      </c>
      <c r="D67" s="49">
        <f t="shared" si="916"/>
        <v>10</v>
      </c>
      <c r="E67" s="49">
        <f t="shared" si="916"/>
        <v>10</v>
      </c>
      <c r="F67" s="49">
        <f t="shared" si="916"/>
        <v>10</v>
      </c>
      <c r="G67" s="49">
        <f t="shared" si="916"/>
        <v>10</v>
      </c>
      <c r="H67" s="49">
        <f t="shared" si="916"/>
        <v>10</v>
      </c>
      <c r="I67" s="49">
        <f t="shared" si="916"/>
        <v>10</v>
      </c>
      <c r="J67" s="49">
        <f t="shared" si="916"/>
        <v>10</v>
      </c>
      <c r="K67" s="49">
        <f t="shared" si="916"/>
        <v>10</v>
      </c>
      <c r="L67" s="49">
        <f t="shared" si="916"/>
        <v>10</v>
      </c>
      <c r="M67" s="49">
        <f t="shared" si="916"/>
        <v>10</v>
      </c>
      <c r="N67" s="49">
        <f t="shared" si="916"/>
        <v>10</v>
      </c>
      <c r="O67" s="49">
        <f t="shared" si="916"/>
        <v>10</v>
      </c>
      <c r="P67" s="49">
        <f t="shared" si="916"/>
        <v>10</v>
      </c>
      <c r="Q67" s="49">
        <f t="shared" si="916"/>
        <v>10</v>
      </c>
      <c r="R67" s="49">
        <f t="shared" si="916"/>
        <v>10</v>
      </c>
      <c r="S67" s="49">
        <f t="shared" si="916"/>
        <v>10</v>
      </c>
      <c r="T67" s="49">
        <f t="shared" si="916"/>
        <v>10</v>
      </c>
      <c r="U67" s="49">
        <f t="shared" si="916"/>
        <v>10</v>
      </c>
      <c r="V67" s="49">
        <f t="shared" si="916"/>
        <v>10</v>
      </c>
      <c r="W67" s="49">
        <f t="shared" si="916"/>
        <v>10</v>
      </c>
      <c r="X67" s="49">
        <f t="shared" si="916"/>
        <v>10</v>
      </c>
      <c r="Y67" s="49">
        <f>+Z67</f>
        <v>10</v>
      </c>
      <c r="Z67" s="49">
        <f>+'Annual Raw'!AA50</f>
        <v>10</v>
      </c>
      <c r="AA67" s="49">
        <f>+'Annual Raw'!AB50</f>
        <v>10</v>
      </c>
      <c r="AB67" s="50">
        <f>+CC67</f>
        <v>10</v>
      </c>
      <c r="AC67" s="50">
        <f>+CG67</f>
        <v>10</v>
      </c>
      <c r="AD67" s="50">
        <f>+CK67</f>
        <v>10</v>
      </c>
      <c r="AE67" s="50">
        <f>+CO67</f>
        <v>10</v>
      </c>
      <c r="AG67" s="63"/>
      <c r="AH67" s="49">
        <f>+'QTR Raw'!C30</f>
        <v>10</v>
      </c>
      <c r="AI67" s="49">
        <f>+'QTR Raw'!D30</f>
        <v>10</v>
      </c>
      <c r="AJ67" s="49">
        <f>+'QTR Raw'!E30</f>
        <v>10</v>
      </c>
      <c r="AK67" s="49">
        <f>+'QTR Raw'!F30</f>
        <v>10</v>
      </c>
      <c r="AL67" s="49">
        <f>+'QTR Raw'!G30</f>
        <v>10</v>
      </c>
      <c r="AM67" s="49">
        <f>+'QTR Raw'!H30</f>
        <v>10</v>
      </c>
      <c r="AN67" s="49">
        <f>+'QTR Raw'!I30</f>
        <v>10</v>
      </c>
      <c r="AO67" s="49">
        <f>+'QTR Raw'!J30</f>
        <v>10</v>
      </c>
      <c r="AP67" s="49">
        <f>+'QTR Raw'!K30</f>
        <v>10</v>
      </c>
      <c r="AQ67" s="49">
        <f>+'QTR Raw'!L30</f>
        <v>10</v>
      </c>
      <c r="AR67" s="49">
        <f>+'QTR Raw'!M30</f>
        <v>10</v>
      </c>
      <c r="AS67" s="49">
        <f>+'QTR Raw'!N30</f>
        <v>10</v>
      </c>
      <c r="AT67" s="49">
        <f t="shared" ref="AT67:BU67" si="917">+AU67</f>
        <v>10</v>
      </c>
      <c r="AU67" s="49">
        <f t="shared" si="917"/>
        <v>10</v>
      </c>
      <c r="AV67" s="49">
        <f t="shared" si="917"/>
        <v>10</v>
      </c>
      <c r="AW67" s="49">
        <f t="shared" si="917"/>
        <v>10</v>
      </c>
      <c r="AX67" s="49">
        <f t="shared" si="917"/>
        <v>10</v>
      </c>
      <c r="AY67" s="49">
        <f t="shared" si="917"/>
        <v>10</v>
      </c>
      <c r="AZ67" s="49">
        <f t="shared" si="917"/>
        <v>10</v>
      </c>
      <c r="BA67" s="49">
        <f t="shared" si="917"/>
        <v>10</v>
      </c>
      <c r="BB67" s="49">
        <f t="shared" si="917"/>
        <v>10</v>
      </c>
      <c r="BC67" s="49">
        <f t="shared" si="917"/>
        <v>10</v>
      </c>
      <c r="BD67" s="49">
        <f t="shared" si="917"/>
        <v>10</v>
      </c>
      <c r="BE67" s="49">
        <f t="shared" si="917"/>
        <v>10</v>
      </c>
      <c r="BF67" s="49">
        <f t="shared" si="917"/>
        <v>10</v>
      </c>
      <c r="BG67" s="49">
        <f t="shared" si="917"/>
        <v>10</v>
      </c>
      <c r="BH67" s="49">
        <f t="shared" si="917"/>
        <v>10</v>
      </c>
      <c r="BI67" s="49">
        <f t="shared" si="917"/>
        <v>10</v>
      </c>
      <c r="BJ67" s="49">
        <f t="shared" si="917"/>
        <v>10</v>
      </c>
      <c r="BK67" s="49">
        <f t="shared" si="917"/>
        <v>10</v>
      </c>
      <c r="BL67" s="49">
        <f t="shared" si="917"/>
        <v>10</v>
      </c>
      <c r="BM67" s="49">
        <f t="shared" si="917"/>
        <v>10</v>
      </c>
      <c r="BN67" s="49">
        <f t="shared" si="917"/>
        <v>10</v>
      </c>
      <c r="BO67" s="49">
        <f t="shared" si="917"/>
        <v>10</v>
      </c>
      <c r="BP67" s="49">
        <f t="shared" si="917"/>
        <v>10</v>
      </c>
      <c r="BQ67" s="49">
        <f t="shared" si="917"/>
        <v>10</v>
      </c>
      <c r="BR67" s="49">
        <f t="shared" si="917"/>
        <v>10</v>
      </c>
      <c r="BS67" s="49">
        <f t="shared" si="917"/>
        <v>10</v>
      </c>
      <c r="BT67" s="49">
        <f t="shared" si="917"/>
        <v>10</v>
      </c>
      <c r="BU67" s="49">
        <f t="shared" si="917"/>
        <v>10</v>
      </c>
      <c r="BV67" s="49">
        <f>+BW67</f>
        <v>10</v>
      </c>
      <c r="BW67" s="49">
        <f>+'QTR Raw'!AR30</f>
        <v>10</v>
      </c>
      <c r="BX67" s="49">
        <f>+'QTR Raw'!AS30</f>
        <v>10</v>
      </c>
      <c r="BY67" s="49">
        <f>+'QTR Raw'!AT30</f>
        <v>10</v>
      </c>
      <c r="BZ67" s="50">
        <f t="shared" ref="BZ67:CO67" si="918">+BY67</f>
        <v>10</v>
      </c>
      <c r="CA67" s="50">
        <f t="shared" si="918"/>
        <v>10</v>
      </c>
      <c r="CB67" s="50">
        <f t="shared" si="918"/>
        <v>10</v>
      </c>
      <c r="CC67" s="50">
        <f t="shared" si="918"/>
        <v>10</v>
      </c>
      <c r="CD67" s="50">
        <f t="shared" si="918"/>
        <v>10</v>
      </c>
      <c r="CE67" s="50">
        <f t="shared" si="918"/>
        <v>10</v>
      </c>
      <c r="CF67" s="50">
        <f t="shared" si="918"/>
        <v>10</v>
      </c>
      <c r="CG67" s="50">
        <f t="shared" si="918"/>
        <v>10</v>
      </c>
      <c r="CH67" s="50">
        <f t="shared" si="918"/>
        <v>10</v>
      </c>
      <c r="CI67" s="50">
        <f t="shared" si="918"/>
        <v>10</v>
      </c>
      <c r="CJ67" s="50">
        <f t="shared" si="918"/>
        <v>10</v>
      </c>
      <c r="CK67" s="50">
        <f t="shared" si="918"/>
        <v>10</v>
      </c>
      <c r="CL67" s="50">
        <f t="shared" si="918"/>
        <v>10</v>
      </c>
      <c r="CM67" s="50">
        <f t="shared" si="918"/>
        <v>10</v>
      </c>
      <c r="CN67" s="50">
        <f t="shared" si="918"/>
        <v>10</v>
      </c>
      <c r="CO67" s="50">
        <f t="shared" si="918"/>
        <v>10</v>
      </c>
      <c r="CT67" s="49">
        <v>10</v>
      </c>
    </row>
    <row r="68" spans="1:98" s="65" customFormat="1" x14ac:dyDescent="0.2">
      <c r="A68" s="65" t="s">
        <v>42</v>
      </c>
      <c r="B68" s="65">
        <f t="shared" ref="B68:X68" si="919">B66/B67</f>
        <v>455.26679000000001</v>
      </c>
      <c r="C68" s="65">
        <f t="shared" si="919"/>
        <v>455.26679000000001</v>
      </c>
      <c r="D68" s="65">
        <f t="shared" si="919"/>
        <v>455.26679000000001</v>
      </c>
      <c r="E68" s="65">
        <f t="shared" si="919"/>
        <v>455.26679000000001</v>
      </c>
      <c r="F68" s="65">
        <f t="shared" si="919"/>
        <v>455.26679000000001</v>
      </c>
      <c r="G68" s="65">
        <f t="shared" si="919"/>
        <v>455.26679000000001</v>
      </c>
      <c r="H68" s="65">
        <f t="shared" si="919"/>
        <v>455.26679000000001</v>
      </c>
      <c r="I68" s="65">
        <f t="shared" si="919"/>
        <v>455.26679000000001</v>
      </c>
      <c r="J68" s="65">
        <f t="shared" si="919"/>
        <v>455.26679000000001</v>
      </c>
      <c r="K68" s="65">
        <f t="shared" si="919"/>
        <v>455.26679000000001</v>
      </c>
      <c r="L68" s="65">
        <f t="shared" si="919"/>
        <v>455.26679000000001</v>
      </c>
      <c r="M68" s="65">
        <f t="shared" si="919"/>
        <v>455.26679000000001</v>
      </c>
      <c r="N68" s="65">
        <f t="shared" si="919"/>
        <v>455.26679000000001</v>
      </c>
      <c r="O68" s="66">
        <f t="shared" si="919"/>
        <v>455.26679000000001</v>
      </c>
      <c r="P68" s="66">
        <f t="shared" si="919"/>
        <v>455.26679000000001</v>
      </c>
      <c r="Q68" s="66">
        <f t="shared" si="919"/>
        <v>455.26679000000001</v>
      </c>
      <c r="R68" s="66">
        <f t="shared" si="919"/>
        <v>455.26679000000001</v>
      </c>
      <c r="S68" s="66">
        <f t="shared" si="919"/>
        <v>455.26679000000001</v>
      </c>
      <c r="T68" s="66">
        <f t="shared" si="919"/>
        <v>455.26679000000001</v>
      </c>
      <c r="U68" s="66">
        <f t="shared" si="919"/>
        <v>455.26679000000001</v>
      </c>
      <c r="V68" s="66">
        <f t="shared" si="919"/>
        <v>455.26679000000001</v>
      </c>
      <c r="W68" s="66">
        <f t="shared" si="919"/>
        <v>455.26679000000001</v>
      </c>
      <c r="X68" s="66">
        <f t="shared" si="919"/>
        <v>455.26679000000001</v>
      </c>
      <c r="Y68" s="66">
        <f t="shared" ref="Y68" si="920">Y66/Y67</f>
        <v>455.26679000000001</v>
      </c>
      <c r="Z68" s="66">
        <f t="shared" ref="Z68:AA68" si="921">Z66/Z67</f>
        <v>455.26679000000001</v>
      </c>
      <c r="AA68" s="66">
        <f t="shared" ref="AA68" si="922">AA66/AA67</f>
        <v>455.26679000000001</v>
      </c>
      <c r="AB68" s="67">
        <f t="shared" ref="AB68" si="923">AB66/AB67</f>
        <v>455.34100000000001</v>
      </c>
      <c r="AC68" s="67">
        <f t="shared" ref="AC68" si="924">AC66/AC67</f>
        <v>455.34100000000001</v>
      </c>
      <c r="AD68" s="67">
        <f t="shared" ref="AD68" si="925">AD66/AD67</f>
        <v>455.34100000000001</v>
      </c>
      <c r="AE68" s="67">
        <f t="shared" ref="AE68" si="926">AE66/AE67</f>
        <v>455.34100000000001</v>
      </c>
      <c r="AG68" s="53"/>
      <c r="AH68" s="66">
        <f t="shared" ref="AH68:AL68" si="927">AH66/AH67</f>
        <v>66.564999999999998</v>
      </c>
      <c r="AI68" s="66">
        <f t="shared" si="927"/>
        <v>79.191000000000003</v>
      </c>
      <c r="AJ68" s="66">
        <f t="shared" si="927"/>
        <v>79.191000000000003</v>
      </c>
      <c r="AK68" s="66">
        <f t="shared" si="927"/>
        <v>81.728999999999999</v>
      </c>
      <c r="AL68" s="66">
        <f t="shared" si="927"/>
        <v>93.477000000000004</v>
      </c>
      <c r="AM68" s="66">
        <f t="shared" ref="AM68" si="928">AM66/AM67</f>
        <v>105.54300000000001</v>
      </c>
      <c r="AN68" s="66">
        <f t="shared" ref="AN68" si="929">AN66/AN67</f>
        <v>105.54300000000001</v>
      </c>
      <c r="AO68" s="66">
        <f t="shared" ref="AO68" si="930">AO66/AO67</f>
        <v>105.54300000000001</v>
      </c>
      <c r="AP68" s="66">
        <f t="shared" ref="AP68" si="931">AP66/AP67</f>
        <v>107.29300000000001</v>
      </c>
      <c r="AQ68" s="66">
        <f t="shared" ref="AQ68" si="932">AQ66/AQ67</f>
        <v>118.529</v>
      </c>
      <c r="AR68" s="66">
        <f t="shared" ref="AR68" si="933">AR66/AR67</f>
        <v>118.529</v>
      </c>
      <c r="AS68" s="66">
        <f t="shared" ref="AS68" si="934">AS66/AS67</f>
        <v>174.37200000000001</v>
      </c>
      <c r="AT68" s="66">
        <f t="shared" ref="AT68" si="935">AT66/AT67</f>
        <v>455.34100000000001</v>
      </c>
      <c r="AU68" s="66">
        <f t="shared" ref="AU68" si="936">AU66/AU67</f>
        <v>455.34100000000001</v>
      </c>
      <c r="AV68" s="66">
        <f t="shared" ref="AV68:AW68" si="937">AV66/AV67</f>
        <v>455.34100000000001</v>
      </c>
      <c r="AW68" s="66">
        <f t="shared" si="937"/>
        <v>455.34100000000001</v>
      </c>
      <c r="AX68" s="66">
        <f t="shared" ref="AX68:BB68" si="938">AX66/AX67</f>
        <v>455.34100000000001</v>
      </c>
      <c r="AY68" s="66">
        <f t="shared" si="938"/>
        <v>455.34100000000001</v>
      </c>
      <c r="AZ68" s="66">
        <f t="shared" si="938"/>
        <v>455.34100000000001</v>
      </c>
      <c r="BA68" s="66">
        <f t="shared" si="938"/>
        <v>455.34100000000001</v>
      </c>
      <c r="BB68" s="66">
        <f t="shared" si="938"/>
        <v>455.34100000000001</v>
      </c>
      <c r="BC68" s="66">
        <f t="shared" ref="BC68:BG68" si="939">BC66/BC67</f>
        <v>455.34100000000001</v>
      </c>
      <c r="BD68" s="66">
        <f t="shared" si="939"/>
        <v>455.34100000000001</v>
      </c>
      <c r="BE68" s="66">
        <f t="shared" si="939"/>
        <v>455.34100000000001</v>
      </c>
      <c r="BF68" s="66">
        <f t="shared" si="939"/>
        <v>455.34100000000001</v>
      </c>
      <c r="BG68" s="66">
        <f t="shared" si="939"/>
        <v>455.34100000000001</v>
      </c>
      <c r="BH68" s="66">
        <f t="shared" ref="BH68:BJ68" si="940">BH66/BH67</f>
        <v>455.34100000000001</v>
      </c>
      <c r="BI68" s="66">
        <f t="shared" si="940"/>
        <v>455.34100000000001</v>
      </c>
      <c r="BJ68" s="66">
        <f t="shared" si="940"/>
        <v>455.34100000000001</v>
      </c>
      <c r="BK68" s="66">
        <f t="shared" ref="BK68" si="941">BK66/BK67</f>
        <v>455.34100000000001</v>
      </c>
      <c r="BL68" s="66">
        <f t="shared" ref="BL68:BM68" si="942">BL66/BL67</f>
        <v>455.34100000000001</v>
      </c>
      <c r="BM68" s="66">
        <f t="shared" si="942"/>
        <v>455.34100000000001</v>
      </c>
      <c r="BN68" s="66">
        <f t="shared" ref="BN68:BO68" si="943">BN66/BN67</f>
        <v>455.34100000000001</v>
      </c>
      <c r="BO68" s="66">
        <f t="shared" si="943"/>
        <v>455.34100000000001</v>
      </c>
      <c r="BP68" s="66">
        <f t="shared" ref="BP68:BQ68" si="944">BP66/BP67</f>
        <v>455.34100000000001</v>
      </c>
      <c r="BQ68" s="66">
        <f t="shared" si="944"/>
        <v>455.34100000000001</v>
      </c>
      <c r="BR68" s="66">
        <f t="shared" ref="BR68" si="945">BR66/BR67</f>
        <v>455.34100000000001</v>
      </c>
      <c r="BS68" s="66">
        <f t="shared" ref="BS68:BT68" si="946">BS66/BS67</f>
        <v>455.34100000000001</v>
      </c>
      <c r="BT68" s="66">
        <f t="shared" si="946"/>
        <v>455.34100000000001</v>
      </c>
      <c r="BU68" s="66">
        <f t="shared" ref="BU68" si="947">BU66/BU67</f>
        <v>455.34100000000001</v>
      </c>
      <c r="BV68" s="66">
        <f t="shared" ref="BV68" si="948">BV66/BV67</f>
        <v>455.34100000000001</v>
      </c>
      <c r="BW68" s="66">
        <f t="shared" ref="BW68:BX68" si="949">BW66/BW67</f>
        <v>455.34100000000001</v>
      </c>
      <c r="BX68" s="66">
        <f t="shared" si="949"/>
        <v>455.34100000000001</v>
      </c>
      <c r="BY68" s="66">
        <f t="shared" ref="BY68" si="950">BY66/BY67</f>
        <v>455.34100000000001</v>
      </c>
      <c r="BZ68" s="67">
        <f t="shared" ref="BZ68:CC68" si="951">BZ66/BZ67</f>
        <v>455.34100000000001</v>
      </c>
      <c r="CA68" s="67">
        <f t="shared" si="951"/>
        <v>455.34100000000001</v>
      </c>
      <c r="CB68" s="67">
        <f t="shared" si="951"/>
        <v>455.34100000000001</v>
      </c>
      <c r="CC68" s="67">
        <f t="shared" si="951"/>
        <v>455.34100000000001</v>
      </c>
      <c r="CD68" s="67">
        <f t="shared" ref="CD68:CO68" si="952">CD66/CD67</f>
        <v>455.34100000000001</v>
      </c>
      <c r="CE68" s="67">
        <f t="shared" si="952"/>
        <v>455.34100000000001</v>
      </c>
      <c r="CF68" s="67">
        <f t="shared" si="952"/>
        <v>455.34100000000001</v>
      </c>
      <c r="CG68" s="67">
        <f t="shared" si="952"/>
        <v>455.34100000000001</v>
      </c>
      <c r="CH68" s="67">
        <f t="shared" si="952"/>
        <v>455.34100000000001</v>
      </c>
      <c r="CI68" s="67">
        <f t="shared" si="952"/>
        <v>455.34100000000001</v>
      </c>
      <c r="CJ68" s="67">
        <f t="shared" si="952"/>
        <v>455.34100000000001</v>
      </c>
      <c r="CK68" s="67">
        <f t="shared" si="952"/>
        <v>455.34100000000001</v>
      </c>
      <c r="CL68" s="67">
        <f t="shared" si="952"/>
        <v>455.34100000000001</v>
      </c>
      <c r="CM68" s="67">
        <f t="shared" si="952"/>
        <v>455.34100000000001</v>
      </c>
      <c r="CN68" s="67">
        <f t="shared" si="952"/>
        <v>455.34100000000001</v>
      </c>
      <c r="CO68" s="67">
        <f t="shared" si="952"/>
        <v>455.34100000000001</v>
      </c>
      <c r="CT68" s="65">
        <v>455.26679000000001</v>
      </c>
    </row>
    <row r="69" spans="1:98" s="37" customFormat="1" x14ac:dyDescent="0.2">
      <c r="A69" s="37" t="s">
        <v>35</v>
      </c>
      <c r="B69" s="37">
        <f t="shared" ref="B69:X69" si="953">B60/B68</f>
        <v>0.55325757453118873</v>
      </c>
      <c r="C69" s="37">
        <f t="shared" si="953"/>
        <v>1.1176631179269632</v>
      </c>
      <c r="D69" s="37">
        <f t="shared" si="953"/>
        <v>1.8692424281595397</v>
      </c>
      <c r="E69" s="37">
        <f t="shared" si="953"/>
        <v>2.214796954550541</v>
      </c>
      <c r="F69" s="37">
        <f t="shared" si="953"/>
        <v>0.74691874625865196</v>
      </c>
      <c r="G69" s="37">
        <f t="shared" si="953"/>
        <v>1.5407126445572703</v>
      </c>
      <c r="H69" s="37">
        <f t="shared" si="953"/>
        <v>2.4670567339207845</v>
      </c>
      <c r="I69" s="37">
        <f t="shared" si="953"/>
        <v>4.4136814811376883</v>
      </c>
      <c r="J69" s="37">
        <f t="shared" si="953"/>
        <v>6.6056790568888211</v>
      </c>
      <c r="K69" s="37">
        <f t="shared" si="953"/>
        <v>3.8242826804915837</v>
      </c>
      <c r="L69" s="37">
        <f t="shared" si="953"/>
        <v>5.4664791165637174</v>
      </c>
      <c r="M69" s="37">
        <f t="shared" si="953"/>
        <v>5.8812009986496054</v>
      </c>
      <c r="N69" s="37">
        <f t="shared" si="953"/>
        <v>6.0389790346886461</v>
      </c>
      <c r="O69" s="37">
        <f t="shared" si="953"/>
        <v>5.9948829125006018</v>
      </c>
      <c r="P69" s="37">
        <f t="shared" si="953"/>
        <v>3.7536724345740247</v>
      </c>
      <c r="Q69" s="37">
        <f t="shared" si="953"/>
        <v>-13.375043894592006</v>
      </c>
      <c r="R69" s="37">
        <f t="shared" si="953"/>
        <v>-3.4228606922986908</v>
      </c>
      <c r="S69" s="37">
        <f t="shared" si="953"/>
        <v>-13.275084483979159</v>
      </c>
      <c r="T69" s="37">
        <f t="shared" si="953"/>
        <v>-12.183846091651018</v>
      </c>
      <c r="U69" s="37">
        <f t="shared" si="953"/>
        <v>-6.4948427272720659</v>
      </c>
      <c r="V69" s="37">
        <f t="shared" si="953"/>
        <v>4.7451269177793476</v>
      </c>
      <c r="W69" s="37">
        <f t="shared" si="953"/>
        <v>7.4784629030375882</v>
      </c>
      <c r="X69" s="37">
        <f t="shared" si="953"/>
        <v>8.8364451094708709</v>
      </c>
      <c r="Y69" s="37">
        <f t="shared" ref="Y69" si="954">Y60/Y68</f>
        <v>13.877393956189957</v>
      </c>
      <c r="Z69" s="37">
        <f t="shared" ref="Z69:AA69" si="955">Z60/Z68</f>
        <v>20.249708747699366</v>
      </c>
      <c r="AA69" s="37">
        <f t="shared" ref="AA69" si="956">AA60/AA68</f>
        <v>23.123040668088258</v>
      </c>
      <c r="AB69" s="38">
        <f t="shared" ref="AB69" si="957">AB60/AB68</f>
        <v>24.541190457082987</v>
      </c>
      <c r="AC69" s="38">
        <f t="shared" ref="AC69" si="958">AC60/AC68</f>
        <v>25.976202416797793</v>
      </c>
      <c r="AD69" s="38">
        <f t="shared" ref="AD69" si="959">AD60/AD68</f>
        <v>28.962102310963438</v>
      </c>
      <c r="AE69" s="38">
        <f t="shared" ref="AE69" si="960">AE60/AE68</f>
        <v>32.59213648880003</v>
      </c>
      <c r="AG69" s="59"/>
      <c r="AH69" s="37">
        <f t="shared" ref="AH69:AL69" si="961">AH60/AH68</f>
        <v>1.9487718771126039</v>
      </c>
      <c r="AI69" s="37">
        <f t="shared" si="961"/>
        <v>-14.221818135899273</v>
      </c>
      <c r="AJ69" s="37">
        <f t="shared" si="961"/>
        <v>-19.012008940409899</v>
      </c>
      <c r="AK69" s="37">
        <f t="shared" si="961"/>
        <v>-43.890295978171757</v>
      </c>
      <c r="AL69" s="37">
        <f t="shared" si="961"/>
        <v>-7.9309348823774766</v>
      </c>
      <c r="AM69" s="37">
        <f t="shared" ref="AM69" si="962">AM60/AM68</f>
        <v>1.2017850544327893</v>
      </c>
      <c r="AN69" s="37">
        <f t="shared" ref="AN69" si="963">AN60/AN68</f>
        <v>0.96358830050310718</v>
      </c>
      <c r="AO69" s="37">
        <f t="shared" ref="AO69" si="964">AO60/AO68</f>
        <v>-9.9062941170897165</v>
      </c>
      <c r="AP69" s="37">
        <f t="shared" ref="AP69" si="965">AP60/AP68</f>
        <v>0.81748110314745259</v>
      </c>
      <c r="AQ69" s="37">
        <f t="shared" ref="AQ69" si="966">AQ60/AQ68</f>
        <v>1.5107695163208985</v>
      </c>
      <c r="AR69" s="37">
        <f t="shared" ref="AR69" si="967">AR60/AR68</f>
        <v>-19.752128171164863</v>
      </c>
      <c r="AS69" s="37">
        <f t="shared" ref="AS69" si="968">AS60/AS68</f>
        <v>-22.76323033514555</v>
      </c>
      <c r="AT69" s="37">
        <f t="shared" ref="AT69" si="969">AT60/AT68</f>
        <v>0.20887642448187185</v>
      </c>
      <c r="AU69" s="37">
        <f t="shared" ref="AU69" si="970">AU60/AU68</f>
        <v>-2.539305707151343</v>
      </c>
      <c r="AV69" s="37">
        <f t="shared" ref="AV69:AW69" si="971">AV60/AV68</f>
        <v>-10.404422180300038</v>
      </c>
      <c r="AW69" s="37">
        <f t="shared" si="971"/>
        <v>0.55297019157071436</v>
      </c>
      <c r="AX69" s="37">
        <f t="shared" ref="AX69:BB69" si="972">AX60/AX68</f>
        <v>0.53283143841648317</v>
      </c>
      <c r="AY69" s="37">
        <f t="shared" si="972"/>
        <v>0.58499015023904899</v>
      </c>
      <c r="AZ69" s="37">
        <f t="shared" si="972"/>
        <v>0.2317384114323098</v>
      </c>
      <c r="BA69" s="37">
        <f t="shared" si="972"/>
        <v>-7.8433745259047614</v>
      </c>
      <c r="BB69" s="37">
        <f t="shared" si="972"/>
        <v>1.8526774439376184</v>
      </c>
      <c r="BC69" s="37">
        <f t="shared" ref="BC69:BF69" si="973">BC60/BC68</f>
        <v>1.1546950527187319</v>
      </c>
      <c r="BD69" s="37">
        <f t="shared" si="973"/>
        <v>1.1875056276504861</v>
      </c>
      <c r="BE69" s="37">
        <f t="shared" si="973"/>
        <v>0.54945634151108913</v>
      </c>
      <c r="BF69" s="37">
        <f t="shared" si="973"/>
        <v>1.5812325268315404</v>
      </c>
      <c r="BG69" s="37">
        <f t="shared" ref="BG69:BH69" si="974">BG60/BG68</f>
        <v>2.3081163347908502</v>
      </c>
      <c r="BH69" s="37">
        <f t="shared" si="974"/>
        <v>2.2564407773514792</v>
      </c>
      <c r="BI69" s="37">
        <f t="shared" ref="BI69:BJ69" si="975">BI60/BI68</f>
        <v>1.3314636722807762</v>
      </c>
      <c r="BJ69" s="37">
        <f t="shared" si="975"/>
        <v>1.2331197937370004</v>
      </c>
      <c r="BK69" s="37">
        <f t="shared" ref="BK69" si="976">BK60/BK68</f>
        <v>2.1083100357753848</v>
      </c>
      <c r="BL69" s="37">
        <f t="shared" ref="BL69:BM69" si="977">BL60/BL68</f>
        <v>2.5277978482060681</v>
      </c>
      <c r="BM69" s="37">
        <f t="shared" si="977"/>
        <v>2.9657772965755327</v>
      </c>
      <c r="BN69" s="37">
        <f t="shared" ref="BN69:BO69" si="978">BN60/BN68</f>
        <v>3.4063921324897133</v>
      </c>
      <c r="BO69" s="37">
        <f t="shared" si="978"/>
        <v>3.2029402140373917</v>
      </c>
      <c r="BP69" s="37">
        <f t="shared" ref="BP69:BQ69" si="979">BP60/BP68</f>
        <v>4.1057361406067079</v>
      </c>
      <c r="BQ69" s="37">
        <f t="shared" si="979"/>
        <v>3.1600712433099627</v>
      </c>
      <c r="BR69" s="37">
        <f t="shared" ref="BR69" si="980">BR60/BR68</f>
        <v>3.7394611950164842</v>
      </c>
      <c r="BS69" s="37">
        <f t="shared" ref="BS69:BT69" si="981">BS60/BS68</f>
        <v>5.2129942175204924</v>
      </c>
      <c r="BT69" s="37">
        <f t="shared" si="981"/>
        <v>5.5270445665995416</v>
      </c>
      <c r="BU69" s="37">
        <f t="shared" ref="BU69" si="982">BU60/BU68</f>
        <v>5.7669087562947325</v>
      </c>
      <c r="BV69" s="37">
        <f t="shared" ref="BV69" si="983">BV60/BV68</f>
        <v>4.946007497677563</v>
      </c>
      <c r="BW69" s="37">
        <f t="shared" ref="BW69:BX69" si="984">BW60/BW68</f>
        <v>5.6102349667611762</v>
      </c>
      <c r="BX69" s="37">
        <f t="shared" si="984"/>
        <v>5.9398780254798051</v>
      </c>
      <c r="BY69" s="37">
        <f t="shared" ref="BY69" si="985">BY60/BY68</f>
        <v>6.6231461695740137</v>
      </c>
      <c r="BZ69" s="38">
        <f t="shared" ref="BZ69:CC69" si="986">BZ60/BZ68</f>
        <v>5.8054527088114769</v>
      </c>
      <c r="CA69" s="38">
        <f t="shared" si="986"/>
        <v>6.1259136821829117</v>
      </c>
      <c r="CB69" s="38">
        <f t="shared" si="986"/>
        <v>6.2347698289282718</v>
      </c>
      <c r="CC69" s="38">
        <f t="shared" si="986"/>
        <v>6.3750542371603061</v>
      </c>
      <c r="CD69" s="38">
        <f t="shared" ref="CD69:CO69" si="987">CD60/CD68</f>
        <v>6.3809769608211999</v>
      </c>
      <c r="CE69" s="38">
        <f t="shared" si="987"/>
        <v>6.485817390581305</v>
      </c>
      <c r="CF69" s="38">
        <f t="shared" si="987"/>
        <v>6.4998944957566085</v>
      </c>
      <c r="CG69" s="38">
        <f t="shared" si="987"/>
        <v>6.609513569638664</v>
      </c>
      <c r="CH69" s="38">
        <f t="shared" si="987"/>
        <v>7.0301945388953007</v>
      </c>
      <c r="CI69" s="38">
        <f t="shared" si="987"/>
        <v>7.1612987112972792</v>
      </c>
      <c r="CJ69" s="38">
        <f t="shared" si="987"/>
        <v>7.2563066869546491</v>
      </c>
      <c r="CK69" s="38">
        <f t="shared" si="987"/>
        <v>7.5143023738161956</v>
      </c>
      <c r="CL69" s="38">
        <f t="shared" si="987"/>
        <v>7.86565945393387</v>
      </c>
      <c r="CM69" s="38">
        <f t="shared" si="987"/>
        <v>8.0434545644052626</v>
      </c>
      <c r="CN69" s="38">
        <f t="shared" si="987"/>
        <v>8.1845480760418692</v>
      </c>
      <c r="CO69" s="38">
        <f t="shared" si="987"/>
        <v>8.4984743944190324</v>
      </c>
      <c r="CT69" s="37">
        <v>23.123040668088258</v>
      </c>
    </row>
    <row r="70" spans="1:98" s="42" customFormat="1" x14ac:dyDescent="0.2">
      <c r="A70" s="42" t="s">
        <v>43</v>
      </c>
      <c r="B70" s="42">
        <f t="shared" ref="B70:AB70" si="988">+B69</f>
        <v>0.55325757453118873</v>
      </c>
      <c r="C70" s="42">
        <f t="shared" si="988"/>
        <v>1.1176631179269632</v>
      </c>
      <c r="D70" s="42">
        <f t="shared" si="988"/>
        <v>1.8692424281595397</v>
      </c>
      <c r="E70" s="42">
        <f t="shared" si="988"/>
        <v>2.214796954550541</v>
      </c>
      <c r="F70" s="42">
        <f t="shared" si="988"/>
        <v>0.74691874625865196</v>
      </c>
      <c r="G70" s="42">
        <f t="shared" si="988"/>
        <v>1.5407126445572703</v>
      </c>
      <c r="H70" s="42">
        <f t="shared" si="988"/>
        <v>2.4670567339207845</v>
      </c>
      <c r="I70" s="42">
        <f t="shared" si="988"/>
        <v>4.4136814811376883</v>
      </c>
      <c r="J70" s="42">
        <f t="shared" si="988"/>
        <v>6.6056790568888211</v>
      </c>
      <c r="K70" s="42">
        <f t="shared" si="988"/>
        <v>3.8242826804915837</v>
      </c>
      <c r="L70" s="42">
        <f t="shared" si="988"/>
        <v>5.4664791165637174</v>
      </c>
      <c r="M70" s="42">
        <f t="shared" si="988"/>
        <v>5.8812009986496054</v>
      </c>
      <c r="N70" s="42">
        <f t="shared" si="988"/>
        <v>6.0389790346886461</v>
      </c>
      <c r="O70" s="42">
        <f t="shared" si="988"/>
        <v>5.9948829125006018</v>
      </c>
      <c r="P70" s="42">
        <f t="shared" si="988"/>
        <v>3.7536724345740247</v>
      </c>
      <c r="Q70" s="42">
        <f t="shared" si="988"/>
        <v>-13.375043894592006</v>
      </c>
      <c r="R70" s="42">
        <f t="shared" si="988"/>
        <v>-3.4228606922986908</v>
      </c>
      <c r="S70" s="42">
        <f t="shared" si="988"/>
        <v>-13.275084483979159</v>
      </c>
      <c r="T70" s="42">
        <f t="shared" si="988"/>
        <v>-12.183846091651018</v>
      </c>
      <c r="U70" s="42">
        <f t="shared" si="988"/>
        <v>-6.4948427272720659</v>
      </c>
      <c r="V70" s="42">
        <f t="shared" si="988"/>
        <v>4.7451269177793476</v>
      </c>
      <c r="W70" s="42">
        <f t="shared" si="988"/>
        <v>7.4784629030375882</v>
      </c>
      <c r="X70" s="42">
        <f t="shared" si="988"/>
        <v>8.8364451094708709</v>
      </c>
      <c r="Y70" s="42">
        <f t="shared" si="988"/>
        <v>13.877393956189957</v>
      </c>
      <c r="Z70" s="42">
        <f t="shared" si="988"/>
        <v>20.249708747699366</v>
      </c>
      <c r="AA70" s="42">
        <f t="shared" ref="AA70" si="989">+AA69</f>
        <v>23.123040668088258</v>
      </c>
      <c r="AB70" s="43">
        <f t="shared" si="988"/>
        <v>24.541190457082987</v>
      </c>
      <c r="AC70" s="43">
        <f t="shared" ref="AC70" si="990">+AC69</f>
        <v>25.976202416797793</v>
      </c>
      <c r="AD70" s="43">
        <f t="shared" ref="AD70" si="991">+AD69</f>
        <v>28.962102310963438</v>
      </c>
      <c r="AE70" s="43">
        <f t="shared" ref="AE70" si="992">+AE69</f>
        <v>32.59213648880003</v>
      </c>
      <c r="AG70" s="61"/>
      <c r="AK70" s="42">
        <f t="shared" ref="AK70:AN70" si="993">AK69+AJ69+AI69+AH69</f>
        <v>-75.175351177368327</v>
      </c>
      <c r="AL70" s="42">
        <f t="shared" si="993"/>
        <v>-85.055057936858404</v>
      </c>
      <c r="AM70" s="42">
        <f t="shared" si="993"/>
        <v>-69.631454746526344</v>
      </c>
      <c r="AN70" s="42">
        <f t="shared" si="993"/>
        <v>-49.655857505613341</v>
      </c>
      <c r="AO70" s="42">
        <f>AO69+AN69+AM69+AL69</f>
        <v>-15.671855644531298</v>
      </c>
      <c r="AP70" s="42">
        <f t="shared" ref="AP70:AV70" si="994">AP69+AO69+AN69+AM69</f>
        <v>-6.9234396590063687</v>
      </c>
      <c r="AQ70" s="42">
        <f t="shared" si="994"/>
        <v>-6.6144551971182581</v>
      </c>
      <c r="AR70" s="42">
        <f t="shared" si="994"/>
        <v>-27.330171668786228</v>
      </c>
      <c r="AS70" s="42">
        <f t="shared" si="994"/>
        <v>-40.187107886842064</v>
      </c>
      <c r="AT70" s="42">
        <f t="shared" si="994"/>
        <v>-40.795712565507642</v>
      </c>
      <c r="AU70" s="42">
        <f t="shared" si="994"/>
        <v>-44.845787788979884</v>
      </c>
      <c r="AV70" s="42">
        <f t="shared" si="994"/>
        <v>-35.498081798115059</v>
      </c>
      <c r="AW70" s="42">
        <f>AW69+AV69+AU69+AT69</f>
        <v>-12.181881271398794</v>
      </c>
      <c r="AX70" s="42">
        <f t="shared" ref="AX70:BB70" si="995">AX69+AW69+AV69+AU69</f>
        <v>-11.857926257464182</v>
      </c>
      <c r="AY70" s="42">
        <f t="shared" si="995"/>
        <v>-8.7336304000737925</v>
      </c>
      <c r="AZ70" s="42">
        <f t="shared" si="995"/>
        <v>1.9025301916585564</v>
      </c>
      <c r="BA70" s="42">
        <f t="shared" si="995"/>
        <v>-6.4938145258169193</v>
      </c>
      <c r="BB70" s="42">
        <f t="shared" si="995"/>
        <v>-5.1739685202957846</v>
      </c>
      <c r="BC70" s="42">
        <f t="shared" ref="BC70" si="996">BC69+BB69+BA69+AZ69</f>
        <v>-4.6042636178161018</v>
      </c>
      <c r="BD70" s="42">
        <f t="shared" ref="BD70" si="997">BD69+BC69+BB69+BA69</f>
        <v>-3.6484964015979253</v>
      </c>
      <c r="BE70" s="42">
        <f t="shared" ref="BE70" si="998">BE69+BD69+BC69+BB69</f>
        <v>4.744334465817925</v>
      </c>
      <c r="BF70" s="42">
        <f t="shared" ref="BF70:BH70" si="999">BF69+BE69+BD69+BC69</f>
        <v>4.4728895487118479</v>
      </c>
      <c r="BG70" s="42">
        <f t="shared" si="999"/>
        <v>5.6263108307839653</v>
      </c>
      <c r="BH70" s="42">
        <f t="shared" si="999"/>
        <v>6.6952459804849589</v>
      </c>
      <c r="BI70" s="42">
        <f t="shared" ref="BI70" si="1000">BI69+BH69+BG69+BF69</f>
        <v>7.4772533112546462</v>
      </c>
      <c r="BJ70" s="42">
        <f t="shared" ref="BJ70:BK70" si="1001">BJ69+BI69+BH69+BG69</f>
        <v>7.129140578160106</v>
      </c>
      <c r="BK70" s="42">
        <f t="shared" si="1001"/>
        <v>6.9293342791446406</v>
      </c>
      <c r="BL70" s="42">
        <f t="shared" ref="BL70" si="1002">BL69+BK69+BJ69+BI69</f>
        <v>7.2006913499992287</v>
      </c>
      <c r="BM70" s="42">
        <f t="shared" ref="BM70" si="1003">BM69+BL69+BK69+BJ69</f>
        <v>8.8350049742939856</v>
      </c>
      <c r="BN70" s="42">
        <f t="shared" ref="BN70" si="1004">BN69+BM69+BL69+BK69</f>
        <v>11.008277313046698</v>
      </c>
      <c r="BO70" s="42">
        <f t="shared" ref="BO70" si="1005">BO69+BN69+BM69+BL69</f>
        <v>12.102907491308706</v>
      </c>
      <c r="BP70" s="42">
        <f t="shared" ref="BP70" si="1006">BP69+BO69+BN69+BM69</f>
        <v>13.680845783709346</v>
      </c>
      <c r="BQ70" s="42">
        <f t="shared" ref="BQ70" si="1007">BQ69+BP69+BO69+BN69</f>
        <v>13.875139730443776</v>
      </c>
      <c r="BR70" s="42">
        <f t="shared" ref="BR70" si="1008">BR69+BQ69+BP69+BO69</f>
        <v>14.208208792970547</v>
      </c>
      <c r="BS70" s="42">
        <f t="shared" ref="BS70" si="1009">BS69+BR69+BQ69+BP69</f>
        <v>16.218262796453647</v>
      </c>
      <c r="BT70" s="42">
        <f t="shared" ref="BT70:BU70" si="1010">BT69+BS69+BR69+BQ69</f>
        <v>17.639571222446484</v>
      </c>
      <c r="BU70" s="42">
        <f t="shared" si="1010"/>
        <v>20.246408735431253</v>
      </c>
      <c r="BV70" s="42">
        <f t="shared" ref="BV70:BY70" si="1011">BV69+BU69+BT69+BS69</f>
        <v>21.45295503809233</v>
      </c>
      <c r="BW70" s="42">
        <f t="shared" si="1011"/>
        <v>21.850195787333014</v>
      </c>
      <c r="BX70" s="42">
        <f t="shared" si="1011"/>
        <v>22.263029246213279</v>
      </c>
      <c r="BY70" s="42">
        <f t="shared" si="1011"/>
        <v>23.11926665949256</v>
      </c>
      <c r="BZ70" s="43">
        <f t="shared" ref="BZ70" si="1012">BZ69+BY69+BX69+BW69</f>
        <v>23.978711870626469</v>
      </c>
      <c r="CA70" s="43">
        <f t="shared" ref="CA70" si="1013">CA69+BZ69+BY69+BX69</f>
        <v>24.494390586048205</v>
      </c>
      <c r="CB70" s="43">
        <f t="shared" ref="CB70" si="1014">CB69+CA69+BZ69+BY69</f>
        <v>24.789282389496673</v>
      </c>
      <c r="CC70" s="43">
        <f t="shared" ref="CC70" si="1015">CC69+CB69+CA69+BZ69</f>
        <v>24.541190457082966</v>
      </c>
      <c r="CD70" s="43">
        <f t="shared" ref="CD70" si="1016">CD69+CC69+CB69+CA69</f>
        <v>25.11671470909269</v>
      </c>
      <c r="CE70" s="43">
        <f t="shared" ref="CE70" si="1017">CE69+CD69+CC69+CB69</f>
        <v>25.476618417491082</v>
      </c>
      <c r="CF70" s="43">
        <f t="shared" ref="CF70" si="1018">CF69+CE69+CD69+CC69</f>
        <v>25.74174308431942</v>
      </c>
      <c r="CG70" s="43">
        <f t="shared" ref="CG70" si="1019">CG69+CF69+CE69+CD69</f>
        <v>25.976202416797776</v>
      </c>
      <c r="CH70" s="43">
        <f t="shared" ref="CH70" si="1020">CH69+CG69+CF69+CE69</f>
        <v>26.625419994871876</v>
      </c>
      <c r="CI70" s="43">
        <f t="shared" ref="CI70" si="1021">CI69+CH69+CG69+CF69</f>
        <v>27.300901315587851</v>
      </c>
      <c r="CJ70" s="43">
        <f t="shared" ref="CJ70" si="1022">CJ69+CI69+CH69+CG69</f>
        <v>28.057313506785896</v>
      </c>
      <c r="CK70" s="43">
        <f t="shared" ref="CK70" si="1023">CK69+CJ69+CI69+CH69</f>
        <v>28.962102310963424</v>
      </c>
      <c r="CL70" s="43">
        <f t="shared" ref="CL70" si="1024">CL69+CK69+CJ69+CI69</f>
        <v>29.797567226001995</v>
      </c>
      <c r="CM70" s="43">
        <f t="shared" ref="CM70" si="1025">CM69+CL69+CK69+CJ69</f>
        <v>30.679723079109976</v>
      </c>
      <c r="CN70" s="43">
        <f t="shared" ref="CN70" si="1026">CN69+CM69+CL69+CK69</f>
        <v>31.607964468197196</v>
      </c>
      <c r="CO70" s="43">
        <f t="shared" ref="CO70" si="1027">CO69+CN69+CM69+CL69</f>
        <v>32.592136488800037</v>
      </c>
      <c r="CT70" s="42">
        <v>23.123040668088258</v>
      </c>
    </row>
    <row r="71" spans="1:98" s="126" customFormat="1" x14ac:dyDescent="0.2">
      <c r="A71" s="126" t="s">
        <v>383</v>
      </c>
      <c r="AB71" s="127"/>
      <c r="AC71" s="127"/>
      <c r="AD71" s="127"/>
      <c r="AE71" s="127"/>
      <c r="AG71" s="128"/>
      <c r="BY71" s="126">
        <v>21.8</v>
      </c>
      <c r="BZ71" s="127"/>
      <c r="CA71" s="127"/>
      <c r="CB71" s="127"/>
      <c r="CC71" s="127">
        <v>22.6</v>
      </c>
      <c r="CD71" s="127"/>
      <c r="CE71" s="127"/>
      <c r="CF71" s="127"/>
      <c r="CG71" s="127">
        <v>24.7</v>
      </c>
      <c r="CH71" s="127"/>
      <c r="CI71" s="127"/>
      <c r="CJ71" s="127"/>
      <c r="CK71" s="127"/>
      <c r="CL71" s="127"/>
      <c r="CM71" s="127"/>
      <c r="CN71" s="127"/>
      <c r="CO71" s="127"/>
    </row>
    <row r="72" spans="1:98" s="126" customFormat="1" x14ac:dyDescent="0.2">
      <c r="A72" s="126" t="s">
        <v>384</v>
      </c>
      <c r="AB72" s="127"/>
      <c r="AC72" s="127"/>
      <c r="AD72" s="127"/>
      <c r="AE72" s="127"/>
      <c r="AG72" s="128"/>
      <c r="BY72" s="154">
        <f>+BY70/BY71-1</f>
        <v>6.0516819242777853E-2</v>
      </c>
      <c r="BZ72" s="148"/>
      <c r="CA72" s="148"/>
      <c r="CB72" s="148"/>
      <c r="CC72" s="148">
        <f>+CC70/CC71-1</f>
        <v>8.5893383056768302E-2</v>
      </c>
      <c r="CD72" s="148"/>
      <c r="CE72" s="148"/>
      <c r="CF72" s="148"/>
      <c r="CG72" s="148">
        <f>+CG70/CG71-1</f>
        <v>5.1668114040395841E-2</v>
      </c>
      <c r="CH72" s="144"/>
      <c r="CI72" s="127"/>
      <c r="CJ72" s="127"/>
      <c r="CK72" s="127"/>
      <c r="CL72" s="127"/>
      <c r="CM72" s="127"/>
      <c r="CN72" s="127"/>
      <c r="CO72" s="127"/>
    </row>
    <row r="73" spans="1:98" s="49" customFormat="1" x14ac:dyDescent="0.2">
      <c r="A73" s="49" t="s">
        <v>36</v>
      </c>
      <c r="B73" s="49">
        <f t="shared" ref="B73:AE73" si="1028">B113/B68</f>
        <v>5.9009265753823161</v>
      </c>
      <c r="C73" s="49">
        <f t="shared" si="1028"/>
        <v>6.2491988488771604</v>
      </c>
      <c r="D73" s="49">
        <f t="shared" si="1028"/>
        <v>7.7773663218439459</v>
      </c>
      <c r="E73" s="49">
        <f t="shared" si="1028"/>
        <v>8.807289238031176</v>
      </c>
      <c r="F73" s="49">
        <f t="shared" si="1028"/>
        <v>9.8071519778545682</v>
      </c>
      <c r="G73" s="49">
        <f t="shared" si="1028"/>
        <v>10.947181761270132</v>
      </c>
      <c r="H73" s="49">
        <f t="shared" si="1028"/>
        <v>12.949275961903568</v>
      </c>
      <c r="I73" s="49">
        <f t="shared" si="1028"/>
        <v>23.259748421359703</v>
      </c>
      <c r="J73" s="49">
        <f t="shared" si="1028"/>
        <v>29.641787181533712</v>
      </c>
      <c r="K73" s="49">
        <f t="shared" si="1028"/>
        <v>31.256384415827913</v>
      </c>
      <c r="L73" s="49">
        <f t="shared" si="1028"/>
        <v>37.97922466516831</v>
      </c>
      <c r="M73" s="49">
        <f t="shared" si="1028"/>
        <v>46.042859396794562</v>
      </c>
      <c r="N73" s="49">
        <f t="shared" si="1028"/>
        <v>52.536571358521449</v>
      </c>
      <c r="O73" s="49">
        <f t="shared" si="1028"/>
        <v>65.726481169425952</v>
      </c>
      <c r="P73" s="49">
        <f t="shared" si="1028"/>
        <v>69.073210457542928</v>
      </c>
      <c r="Q73" s="49">
        <f t="shared" si="1028"/>
        <v>70.985235272706802</v>
      </c>
      <c r="R73" s="49">
        <f t="shared" si="1028"/>
        <v>71.358323984053385</v>
      </c>
      <c r="S73" s="49">
        <f t="shared" si="1028"/>
        <v>78.065534496816682</v>
      </c>
      <c r="T73" s="49">
        <f t="shared" si="1028"/>
        <v>101.74068154630827</v>
      </c>
      <c r="U73" s="49">
        <f t="shared" si="1028"/>
        <v>96.243164365228566</v>
      </c>
      <c r="V73" s="49">
        <f t="shared" si="1028"/>
        <v>106.93858956854727</v>
      </c>
      <c r="W73" s="49">
        <f t="shared" si="1028"/>
        <v>121.09655329790255</v>
      </c>
      <c r="X73" s="49">
        <f t="shared" si="1028"/>
        <v>129.52979504610911</v>
      </c>
      <c r="Y73" s="49">
        <f t="shared" si="1028"/>
        <v>151.29737730265808</v>
      </c>
      <c r="Z73" s="49">
        <f t="shared" si="1028"/>
        <v>172.64918796295245</v>
      </c>
      <c r="AA73" s="49">
        <f t="shared" ref="AA73" si="1029">AA113/AA68</f>
        <v>193.27176291510304</v>
      </c>
      <c r="AB73" s="50">
        <f t="shared" si="1028"/>
        <v>217.78146532800389</v>
      </c>
      <c r="AC73" s="50">
        <f t="shared" si="1028"/>
        <v>243.75766774480167</v>
      </c>
      <c r="AD73" s="50">
        <f t="shared" si="1028"/>
        <v>272.71977005576508</v>
      </c>
      <c r="AE73" s="50">
        <f t="shared" si="1028"/>
        <v>305.31190654456509</v>
      </c>
      <c r="AG73" s="63"/>
      <c r="AH73" s="49">
        <f t="shared" ref="AH73:BM73" si="1030">AH113/AH68</f>
        <v>474.9542552392399</v>
      </c>
      <c r="AI73" s="49">
        <f t="shared" si="1030"/>
        <v>418.44780341200391</v>
      </c>
      <c r="AJ73" s="49">
        <f t="shared" si="1030"/>
        <v>399.03170814865325</v>
      </c>
      <c r="AK73" s="49">
        <f t="shared" si="1030"/>
        <v>395.41925142850152</v>
      </c>
      <c r="AL73" s="49">
        <f t="shared" si="1030"/>
        <v>334.83455823357616</v>
      </c>
      <c r="AM73" s="49">
        <f t="shared" si="1030"/>
        <v>307.19858256824233</v>
      </c>
      <c r="AN73" s="49">
        <f t="shared" si="1030"/>
        <v>306.23802620732778</v>
      </c>
      <c r="AO73" s="49">
        <f t="shared" si="1030"/>
        <v>307.80885515856096</v>
      </c>
      <c r="AP73" s="49">
        <f t="shared" si="1030"/>
        <v>303.13021352744352</v>
      </c>
      <c r="AQ73" s="49">
        <f t="shared" si="1030"/>
        <v>276.26952053927732</v>
      </c>
      <c r="AR73" s="49">
        <f t="shared" si="1030"/>
        <v>273.47037433876943</v>
      </c>
      <c r="AS73" s="49">
        <f t="shared" si="1030"/>
        <v>203.82085426559308</v>
      </c>
      <c r="AT73" s="49">
        <f t="shared" si="1030"/>
        <v>78.528575287531751</v>
      </c>
      <c r="AU73" s="49">
        <f t="shared" si="1030"/>
        <v>77.15716353238561</v>
      </c>
      <c r="AV73" s="49">
        <f t="shared" si="1030"/>
        <v>88.096283883946327</v>
      </c>
      <c r="AW73" s="49">
        <f t="shared" si="1030"/>
        <v>101.7240924933182</v>
      </c>
      <c r="AX73" s="49">
        <f t="shared" si="1030"/>
        <v>102.45095433971461</v>
      </c>
      <c r="AY73" s="49">
        <f t="shared" si="1030"/>
        <v>103.19753766957074</v>
      </c>
      <c r="AZ73" s="49">
        <f t="shared" si="1030"/>
        <v>103.77073446054716</v>
      </c>
      <c r="BA73" s="49">
        <f t="shared" si="1030"/>
        <v>96.227464691297286</v>
      </c>
      <c r="BB73" s="49">
        <f t="shared" si="1030"/>
        <v>98.16864723361175</v>
      </c>
      <c r="BC73" s="49">
        <f t="shared" si="1030"/>
        <v>99.021831989651702</v>
      </c>
      <c r="BD73" s="49">
        <f t="shared" si="1030"/>
        <v>100.13930219330128</v>
      </c>
      <c r="BE73" s="49">
        <f t="shared" si="1030"/>
        <v>106.921164577756</v>
      </c>
      <c r="BF73" s="49">
        <f t="shared" si="1030"/>
        <v>108.80491763315845</v>
      </c>
      <c r="BG73" s="49">
        <f t="shared" si="1030"/>
        <v>116.52328694319201</v>
      </c>
      <c r="BH73" s="49">
        <f t="shared" si="1030"/>
        <v>118.54643003814722</v>
      </c>
      <c r="BI73" s="49">
        <f t="shared" si="1030"/>
        <v>121.07681935077227</v>
      </c>
      <c r="BJ73" s="49">
        <f t="shared" si="1030"/>
        <v>122.79592656931837</v>
      </c>
      <c r="BK73" s="49">
        <f t="shared" si="1030"/>
        <v>123.63643950358083</v>
      </c>
      <c r="BL73" s="49">
        <f t="shared" si="1030"/>
        <v>126.86503082305349</v>
      </c>
      <c r="BM73" s="49">
        <f t="shared" si="1030"/>
        <v>129.5086978769757</v>
      </c>
      <c r="BN73" s="49">
        <f t="shared" ref="BN73:CO73" si="1031">BN113/BN68</f>
        <v>132.38028203039042</v>
      </c>
      <c r="BO73" s="49">
        <f t="shared" si="1031"/>
        <v>133.73803369342974</v>
      </c>
      <c r="BP73" s="49">
        <f t="shared" si="1031"/>
        <v>147.77129667655669</v>
      </c>
      <c r="BQ73" s="49">
        <f t="shared" si="1031"/>
        <v>151.27271649159641</v>
      </c>
      <c r="BR73" s="49">
        <f t="shared" si="1031"/>
        <v>151.53309278101466</v>
      </c>
      <c r="BS73" s="49">
        <f t="shared" si="1031"/>
        <v>157.7018102916276</v>
      </c>
      <c r="BT73" s="49">
        <f t="shared" si="1031"/>
        <v>162.95185366571428</v>
      </c>
      <c r="BU73" s="49">
        <f t="shared" si="1031"/>
        <v>172.62104664416339</v>
      </c>
      <c r="BV73" s="49">
        <f t="shared" si="1031"/>
        <v>174.30152347361647</v>
      </c>
      <c r="BW73" s="49">
        <f t="shared" ref="BW73:BX73" si="1032">BW113/BW68</f>
        <v>179.73369408860614</v>
      </c>
      <c r="BX73" s="49">
        <f t="shared" si="1032"/>
        <v>185.7591563246007</v>
      </c>
      <c r="BY73" s="49">
        <f t="shared" ref="BY73" si="1033">BY113/BY68</f>
        <v>193.2402748709209</v>
      </c>
      <c r="BZ73" s="50">
        <f t="shared" si="1031"/>
        <v>199.04572757973239</v>
      </c>
      <c r="CA73" s="50">
        <f t="shared" si="1031"/>
        <v>205.17164126191531</v>
      </c>
      <c r="CB73" s="50">
        <f t="shared" si="1031"/>
        <v>211.40641109084359</v>
      </c>
      <c r="CC73" s="50">
        <f t="shared" si="1031"/>
        <v>217.78146532800389</v>
      </c>
      <c r="CD73" s="50">
        <f t="shared" si="1031"/>
        <v>224.16244228882508</v>
      </c>
      <c r="CE73" s="50">
        <f t="shared" si="1031"/>
        <v>230.64825967940638</v>
      </c>
      <c r="CF73" s="50">
        <f t="shared" si="1031"/>
        <v>237.148154175163</v>
      </c>
      <c r="CG73" s="50">
        <f t="shared" si="1031"/>
        <v>243.75766774480167</v>
      </c>
      <c r="CH73" s="50">
        <f t="shared" si="1031"/>
        <v>250.78786228369694</v>
      </c>
      <c r="CI73" s="50">
        <f t="shared" si="1031"/>
        <v>257.94916099499426</v>
      </c>
      <c r="CJ73" s="50">
        <f t="shared" si="1031"/>
        <v>265.2054676819489</v>
      </c>
      <c r="CK73" s="50">
        <f t="shared" si="1031"/>
        <v>272.71977005576508</v>
      </c>
      <c r="CL73" s="50">
        <f t="shared" si="1031"/>
        <v>280.58542950969894</v>
      </c>
      <c r="CM73" s="50">
        <f t="shared" si="1031"/>
        <v>288.62888407410418</v>
      </c>
      <c r="CN73" s="50">
        <f t="shared" si="1031"/>
        <v>296.81343215014601</v>
      </c>
      <c r="CO73" s="50">
        <f t="shared" si="1031"/>
        <v>305.31190654456509</v>
      </c>
      <c r="CT73" s="49">
        <v>193.27176291510304</v>
      </c>
    </row>
    <row r="74" spans="1:98" s="49" customFormat="1" x14ac:dyDescent="0.2">
      <c r="A74" s="49" t="s">
        <v>348</v>
      </c>
      <c r="C74" s="49">
        <f t="shared" ref="C74:AB74" si="1034">+C73-C82</f>
        <v>1.1884299753118386</v>
      </c>
      <c r="D74" s="49">
        <f t="shared" si="1034"/>
        <v>2.545269335371465</v>
      </c>
      <c r="E74" s="49">
        <f t="shared" si="1034"/>
        <v>4.2790213184669135</v>
      </c>
      <c r="F74" s="49">
        <f t="shared" si="1034"/>
        <v>6.3931537813245729</v>
      </c>
      <c r="G74" s="49">
        <f t="shared" si="1034"/>
        <v>8.8176611784048635</v>
      </c>
      <c r="H74" s="49">
        <f t="shared" si="1034"/>
        <v>11.165640480826639</v>
      </c>
      <c r="I74" s="49">
        <f t="shared" si="1034"/>
        <v>21.959455904965086</v>
      </c>
      <c r="J74" s="49">
        <f t="shared" si="1034"/>
        <v>28.261914953207985</v>
      </c>
      <c r="K74" s="49">
        <f t="shared" si="1034"/>
        <v>26.407688994841902</v>
      </c>
      <c r="L74" s="49">
        <f t="shared" si="1034"/>
        <v>33.707026378972209</v>
      </c>
      <c r="M74" s="49">
        <f t="shared" si="1034"/>
        <v>38.011480696845901</v>
      </c>
      <c r="N74" s="49">
        <f t="shared" si="1034"/>
        <v>39.473220087061478</v>
      </c>
      <c r="O74" s="49">
        <f t="shared" si="1034"/>
        <v>49.434451610230568</v>
      </c>
      <c r="P74" s="49">
        <f t="shared" si="1034"/>
        <v>39.381675083306646</v>
      </c>
      <c r="Q74" s="49">
        <f t="shared" si="1034"/>
        <v>9.4907432189376237</v>
      </c>
      <c r="R74" s="49">
        <f t="shared" si="1034"/>
        <v>15.775464535860387</v>
      </c>
      <c r="S74" s="49">
        <f t="shared" si="1034"/>
        <v>16.107863479345809</v>
      </c>
      <c r="T74" s="49">
        <f t="shared" si="1034"/>
        <v>59.745613116212589</v>
      </c>
      <c r="U74" s="49">
        <f t="shared" si="1034"/>
        <v>64.788860395461739</v>
      </c>
      <c r="V74" s="49">
        <f t="shared" si="1034"/>
        <v>80.004887683549242</v>
      </c>
      <c r="W74" s="49">
        <f t="shared" si="1034"/>
        <v>99.456648485166255</v>
      </c>
      <c r="X74" s="49">
        <f t="shared" si="1034"/>
        <v>111.83992577187543</v>
      </c>
      <c r="Y74" s="49">
        <f t="shared" si="1034"/>
        <v>136.26166604421113</v>
      </c>
      <c r="Z74" s="49">
        <f t="shared" si="1034"/>
        <v>160.87918822280008</v>
      </c>
      <c r="AA74" s="49">
        <f t="shared" ref="AA74" si="1035">+AA73-AA82</f>
        <v>183.93659924107357</v>
      </c>
      <c r="AB74" s="50">
        <f t="shared" si="1034"/>
        <v>217.78146532800389</v>
      </c>
      <c r="AC74" s="50">
        <f t="shared" ref="AC74" si="1036">+AC73-AC82</f>
        <v>243.75766774480167</v>
      </c>
      <c r="AD74" s="50">
        <f t="shared" ref="AD74" si="1037">+AD73-AD82</f>
        <v>272.71977005576508</v>
      </c>
      <c r="AE74" s="50">
        <f t="shared" ref="AE74" si="1038">+AE73-AE82</f>
        <v>305.31190654456509</v>
      </c>
      <c r="AG74" s="63"/>
      <c r="AI74" s="49">
        <f t="shared" ref="AI74:AS74" si="1039">+AI73-AI82</f>
        <v>210.51407356896621</v>
      </c>
      <c r="AJ74" s="49">
        <f t="shared" si="1039"/>
        <v>146.74798903915851</v>
      </c>
      <c r="AK74" s="49">
        <f t="shared" si="1039"/>
        <v>52.86777031408684</v>
      </c>
      <c r="AL74" s="49">
        <f t="shared" si="1039"/>
        <v>32.509922226857952</v>
      </c>
      <c r="AM74" s="49">
        <f t="shared" si="1039"/>
        <v>46.9534692021262</v>
      </c>
      <c r="AN74" s="49">
        <f t="shared" si="1039"/>
        <v>64.304311986583656</v>
      </c>
      <c r="AO74" s="49">
        <f t="shared" si="1039"/>
        <v>68.048283637948515</v>
      </c>
      <c r="AP74" s="49">
        <f t="shared" si="1039"/>
        <v>75.652931691722642</v>
      </c>
      <c r="AQ74" s="49">
        <f t="shared" si="1039"/>
        <v>77.45125665448964</v>
      </c>
      <c r="AR74" s="49">
        <f t="shared" si="1039"/>
        <v>-31.24180580279932</v>
      </c>
      <c r="AS74" s="49">
        <f t="shared" si="1039"/>
        <v>42.055949349666236</v>
      </c>
      <c r="AT74" s="49">
        <f t="shared" ref="AT74:CO74" si="1040">+AT73-AT82</f>
        <v>17.184988832545272</v>
      </c>
      <c r="AU74" s="49">
        <f t="shared" si="1040"/>
        <v>20.06994757774941</v>
      </c>
      <c r="AV74" s="49">
        <f t="shared" si="1040"/>
        <v>45.408825473656023</v>
      </c>
      <c r="AW74" s="49">
        <f t="shared" si="1040"/>
        <v>59.73589024489339</v>
      </c>
      <c r="AX74" s="49">
        <f t="shared" si="1040"/>
        <v>60.090745177789813</v>
      </c>
      <c r="AY74" s="49">
        <f t="shared" si="1040"/>
        <v>60.052224596511202</v>
      </c>
      <c r="AZ74" s="49">
        <f t="shared" si="1040"/>
        <v>59.598696361627887</v>
      </c>
      <c r="BA74" s="49">
        <f t="shared" si="1040"/>
        <v>64.778287042019059</v>
      </c>
      <c r="BB74" s="49">
        <f t="shared" si="1040"/>
        <v>69.014782327969613</v>
      </c>
      <c r="BC74" s="49">
        <f t="shared" si="1040"/>
        <v>76.085812610768627</v>
      </c>
      <c r="BD74" s="49">
        <f t="shared" si="1040"/>
        <v>80.204088803775619</v>
      </c>
      <c r="BE74" s="49">
        <f t="shared" si="1040"/>
        <v>79.991830298611362</v>
      </c>
      <c r="BF74" s="49">
        <f t="shared" si="1040"/>
        <v>81.519586419847997</v>
      </c>
      <c r="BG74" s="49">
        <f t="shared" si="1040"/>
        <v>93.296254894683301</v>
      </c>
      <c r="BH74" s="49">
        <f t="shared" si="1040"/>
        <v>95.029944590976854</v>
      </c>
      <c r="BI74" s="49">
        <f t="shared" si="1040"/>
        <v>99.440441339567485</v>
      </c>
      <c r="BJ74" s="49">
        <f t="shared" si="1040"/>
        <v>101.32799374534689</v>
      </c>
      <c r="BK74" s="49">
        <f t="shared" si="1040"/>
        <v>104.2308072411665</v>
      </c>
      <c r="BL74" s="49">
        <f t="shared" si="1040"/>
        <v>110.07280258092287</v>
      </c>
      <c r="BM74" s="49">
        <f t="shared" si="1040"/>
        <v>111.82171164028716</v>
      </c>
      <c r="BN74" s="49">
        <f t="shared" si="1040"/>
        <v>114.55039190408947</v>
      </c>
      <c r="BO74" s="49">
        <f t="shared" si="1040"/>
        <v>116.21652783298669</v>
      </c>
      <c r="BP74" s="49">
        <f t="shared" si="1040"/>
        <v>131.02086128857275</v>
      </c>
      <c r="BQ74" s="49">
        <f t="shared" si="1040"/>
        <v>136.23947766618863</v>
      </c>
      <c r="BR74" s="49">
        <f t="shared" si="1040"/>
        <v>139.01098297759262</v>
      </c>
      <c r="BS74" s="49">
        <f t="shared" si="1040"/>
        <v>145.29809527365205</v>
      </c>
      <c r="BT74" s="49">
        <f t="shared" si="1040"/>
        <v>151.0705383437907</v>
      </c>
      <c r="BU74" s="49">
        <f t="shared" si="1040"/>
        <v>160.85296514041124</v>
      </c>
      <c r="BV74" s="49">
        <f t="shared" si="1040"/>
        <v>163.43079142884125</v>
      </c>
      <c r="BW74" s="49">
        <f t="shared" ref="BW74:BX74" si="1041">+BW73-BW82</f>
        <v>169.78466687603358</v>
      </c>
      <c r="BX74" s="49">
        <f t="shared" si="1041"/>
        <v>176.18556202933627</v>
      </c>
      <c r="BY74" s="49">
        <f t="shared" ref="BY74" si="1042">+BY73-BY82</f>
        <v>183.90667653472889</v>
      </c>
      <c r="BZ74" s="50">
        <f t="shared" si="1040"/>
        <v>189.87998728162859</v>
      </c>
      <c r="CA74" s="50">
        <f t="shared" si="1040"/>
        <v>195.44254192755497</v>
      </c>
      <c r="CB74" s="50">
        <f t="shared" si="1040"/>
        <v>201.22737152607195</v>
      </c>
      <c r="CC74" s="50">
        <f t="shared" si="1040"/>
        <v>207.13097900161245</v>
      </c>
      <c r="CD74" s="50">
        <f t="shared" si="1040"/>
        <v>213.72581585807202</v>
      </c>
      <c r="CE74" s="50">
        <f t="shared" si="1040"/>
        <v>219.56167574733124</v>
      </c>
      <c r="CF74" s="50">
        <f t="shared" si="1040"/>
        <v>225.54822321181638</v>
      </c>
      <c r="CG74" s="50">
        <f t="shared" si="1040"/>
        <v>231.61913410346622</v>
      </c>
      <c r="CH74" s="50">
        <f t="shared" si="1040"/>
        <v>238.8966552395332</v>
      </c>
      <c r="CI74" s="50">
        <f t="shared" si="1040"/>
        <v>245.31542411839325</v>
      </c>
      <c r="CJ74" s="50">
        <f t="shared" si="1040"/>
        <v>251.98667703267114</v>
      </c>
      <c r="CK74" s="50">
        <f t="shared" si="1040"/>
        <v>258.88730837713592</v>
      </c>
      <c r="CL74" s="50">
        <f t="shared" si="1040"/>
        <v>267.03530442010162</v>
      </c>
      <c r="CM74" s="50">
        <f t="shared" si="1040"/>
        <v>274.23221305937631</v>
      </c>
      <c r="CN74" s="50">
        <f t="shared" si="1040"/>
        <v>281.75010108893332</v>
      </c>
      <c r="CO74" s="50">
        <f t="shared" si="1040"/>
        <v>289.549336975318</v>
      </c>
      <c r="CT74" s="49">
        <v>183.93659924107357</v>
      </c>
    </row>
    <row r="75" spans="1:98" s="49" customFormat="1" x14ac:dyDescent="0.2">
      <c r="AB75" s="50"/>
      <c r="AC75" s="50"/>
      <c r="AD75" s="50"/>
      <c r="AE75" s="50"/>
      <c r="AG75" s="63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1:98" s="49" customFormat="1" x14ac:dyDescent="0.2">
      <c r="A76" s="49" t="s">
        <v>341</v>
      </c>
      <c r="B76" s="49">
        <f>+'Annual Raw'!C92</f>
        <v>0</v>
      </c>
      <c r="C76" s="49">
        <f>+'Annual Raw'!D92</f>
        <v>0</v>
      </c>
      <c r="D76" s="49">
        <f>+'Annual Raw'!E92</f>
        <v>0</v>
      </c>
      <c r="E76" s="49">
        <f>+'Annual Raw'!F92</f>
        <v>0</v>
      </c>
      <c r="F76" s="49">
        <f>+'Annual Raw'!G92</f>
        <v>0</v>
      </c>
      <c r="G76" s="49">
        <f>+'Annual Raw'!H92</f>
        <v>0</v>
      </c>
      <c r="H76" s="49">
        <f>+'Annual Raw'!I92</f>
        <v>0</v>
      </c>
      <c r="I76" s="49">
        <f>+'Annual Raw'!J92</f>
        <v>0</v>
      </c>
      <c r="J76" s="49">
        <f>+'Annual Raw'!K92</f>
        <v>0</v>
      </c>
      <c r="K76" s="49">
        <f>+'Annual Raw'!L92</f>
        <v>0</v>
      </c>
      <c r="L76" s="49">
        <f>+'Annual Raw'!M92</f>
        <v>0</v>
      </c>
      <c r="M76" s="49">
        <f>+'Annual Raw'!N92</f>
        <v>0</v>
      </c>
      <c r="N76" s="49">
        <f>+'Annual Raw'!O92</f>
        <v>0</v>
      </c>
      <c r="O76" s="49">
        <f>+'Annual Raw'!P92</f>
        <v>9.9700000000000006</v>
      </c>
      <c r="P76" s="49">
        <f>+'Annual Raw'!Q92</f>
        <v>10.73</v>
      </c>
      <c r="Q76" s="49">
        <f>+'Annual Raw'!R92</f>
        <v>12.01</v>
      </c>
      <c r="R76" s="49">
        <f>+'Annual Raw'!S92</f>
        <v>12.14</v>
      </c>
      <c r="S76" s="49">
        <f>+'Annual Raw'!T92</f>
        <v>12.94</v>
      </c>
      <c r="T76" s="49">
        <f>+'Annual Raw'!U92</f>
        <v>14.19</v>
      </c>
      <c r="U76" s="49">
        <f>+'Annual Raw'!V92</f>
        <v>13.1</v>
      </c>
      <c r="V76" s="49">
        <f>+'Annual Raw'!W92</f>
        <v>14.93</v>
      </c>
      <c r="W76" s="49">
        <f>+'Annual Raw'!X92</f>
        <v>17.04</v>
      </c>
      <c r="X76" s="49">
        <f>+'Annual Raw'!Y92</f>
        <v>16.28</v>
      </c>
      <c r="Y76" s="49">
        <f>+'Annual Raw'!Z92</f>
        <v>16.96</v>
      </c>
      <c r="Z76" s="49">
        <f>+'Annual Raw'!AA92</f>
        <v>17.77</v>
      </c>
      <c r="AA76" s="49">
        <f>+'Annual Raw'!AB92</f>
        <v>18.010000000000002</v>
      </c>
      <c r="AB76" s="50"/>
      <c r="AC76" s="50"/>
      <c r="AD76" s="50"/>
      <c r="AE76" s="50"/>
      <c r="AG76" s="63"/>
      <c r="AI76" s="49">
        <f>+'QTR Raw'!D36</f>
        <v>11.21</v>
      </c>
      <c r="AJ76" s="49">
        <f>+'QTR Raw'!E36</f>
        <v>11.28</v>
      </c>
      <c r="AK76" s="49">
        <f>+'QTR Raw'!F36</f>
        <v>12.05</v>
      </c>
      <c r="AL76" s="49">
        <f>+'QTR Raw'!G36</f>
        <v>12.1</v>
      </c>
      <c r="AM76" s="49">
        <f>+'QTR Raw'!H36</f>
        <v>12.5</v>
      </c>
      <c r="AN76" s="49">
        <f>+'QTR Raw'!I36</f>
        <v>12.11</v>
      </c>
      <c r="AO76" s="49">
        <f>+'QTR Raw'!J36</f>
        <v>12.14</v>
      </c>
      <c r="AP76" s="49">
        <f>+'QTR Raw'!K36</f>
        <v>12.38</v>
      </c>
      <c r="AQ76" s="49">
        <f>+'QTR Raw'!L36</f>
        <v>12.23</v>
      </c>
      <c r="AR76" s="49">
        <f>+'QTR Raw'!M36</f>
        <v>12.05</v>
      </c>
      <c r="AS76" s="49">
        <f>+'QTR Raw'!N36</f>
        <v>12.94</v>
      </c>
      <c r="AT76" s="49">
        <f>+'QTR Raw'!O36</f>
        <v>11.43</v>
      </c>
      <c r="AU76" s="49">
        <f>+'QTR Raw'!P36</f>
        <v>10.93</v>
      </c>
      <c r="AV76" s="49">
        <f>+'QTR Raw'!Q36</f>
        <v>12.47</v>
      </c>
      <c r="AW76" s="49">
        <f>+'QTR Raw'!R36</f>
        <v>14.19</v>
      </c>
      <c r="AX76" s="49">
        <f>+'QTR Raw'!S36</f>
        <v>14.35</v>
      </c>
      <c r="AY76" s="49">
        <f>+'QTR Raw'!T36</f>
        <v>14.09</v>
      </c>
      <c r="AZ76" s="49">
        <f>+'QTR Raw'!U36</f>
        <v>14.2</v>
      </c>
      <c r="BA76" s="49">
        <f>+'QTR Raw'!V36</f>
        <v>13.1</v>
      </c>
      <c r="BB76" s="49">
        <f>+'QTR Raw'!W36</f>
        <v>12.76</v>
      </c>
      <c r="BC76" s="49">
        <f>+'QTR Raw'!X36</f>
        <v>12.8</v>
      </c>
      <c r="BD76" s="49">
        <f>+'QTR Raw'!Y36</f>
        <v>12.51</v>
      </c>
      <c r="BE76" s="49">
        <f>+'QTR Raw'!Z36</f>
        <v>14.93</v>
      </c>
      <c r="BF76" s="49">
        <f>+'QTR Raw'!AA36</f>
        <v>15.07</v>
      </c>
      <c r="BG76" s="49">
        <f>+'QTR Raw'!AB36</f>
        <v>17.05</v>
      </c>
      <c r="BH76" s="49">
        <f>+'QTR Raw'!AC36</f>
        <v>16.66</v>
      </c>
      <c r="BI76" s="49">
        <f>+'QTR Raw'!AD36</f>
        <v>16.510000000000002</v>
      </c>
      <c r="BJ76" s="49">
        <f>+'QTR Raw'!AE36</f>
        <v>15.61</v>
      </c>
      <c r="BK76" s="49">
        <f>+'QTR Raw'!AF36</f>
        <v>15.51</v>
      </c>
      <c r="BL76" s="49">
        <f>+'QTR Raw'!AG36</f>
        <v>15.6</v>
      </c>
      <c r="BM76" s="49">
        <f>+'QTR Raw'!AH36</f>
        <v>16.28</v>
      </c>
      <c r="BN76" s="49">
        <f>+'QTR Raw'!AI36</f>
        <v>15.6</v>
      </c>
      <c r="BO76" s="49">
        <f>+'QTR Raw'!AJ36</f>
        <v>15.63</v>
      </c>
      <c r="BP76" s="49">
        <f>+'QTR Raw'!AK36</f>
        <v>16.059999999999999</v>
      </c>
      <c r="BQ76" s="49">
        <f>+'QTR Raw'!AL36</f>
        <v>16.96</v>
      </c>
      <c r="BR76" s="49">
        <f>+'QTR Raw'!AM36</f>
        <v>16.18</v>
      </c>
      <c r="BS76" s="49">
        <f>+'QTR Raw'!AN36</f>
        <v>16.63</v>
      </c>
      <c r="BT76" s="49">
        <f>+'QTR Raw'!AO36</f>
        <v>16</v>
      </c>
      <c r="BU76" s="49">
        <f>+'QTR Raw'!AP36</f>
        <v>17.77</v>
      </c>
      <c r="BV76" s="49">
        <f>+'QTR Raw'!AQ36</f>
        <v>17.39</v>
      </c>
      <c r="BW76" s="49">
        <f>+'QTR Raw'!AR36</f>
        <v>16.690000000000001</v>
      </c>
      <c r="BX76" s="49">
        <f>+'QTR Raw'!AS36</f>
        <v>17.09</v>
      </c>
      <c r="BY76" s="49">
        <f>+'QTR Raw'!AT36</f>
        <v>18.010000000000002</v>
      </c>
      <c r="BZ76" s="113"/>
      <c r="CA76" s="113"/>
      <c r="CB76" s="113"/>
      <c r="CC76" s="113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T76" s="49">
        <v>18.010000000000002</v>
      </c>
    </row>
    <row r="77" spans="1:98" s="49" customFormat="1" x14ac:dyDescent="0.2">
      <c r="A77" s="49" t="s">
        <v>342</v>
      </c>
      <c r="B77" s="49">
        <f>+'Annual Raw'!C93</f>
        <v>0</v>
      </c>
      <c r="C77" s="49">
        <f>+'Annual Raw'!D93</f>
        <v>0</v>
      </c>
      <c r="D77" s="49">
        <f>+'Annual Raw'!E93</f>
        <v>0</v>
      </c>
      <c r="E77" s="49">
        <f>+'Annual Raw'!F93</f>
        <v>0</v>
      </c>
      <c r="F77" s="49">
        <f>+'Annual Raw'!G93</f>
        <v>0</v>
      </c>
      <c r="G77" s="49">
        <f>+'Annual Raw'!H93</f>
        <v>0</v>
      </c>
      <c r="H77" s="49">
        <f>+'Annual Raw'!I93</f>
        <v>0</v>
      </c>
      <c r="I77" s="49">
        <f>+'Annual Raw'!J93</f>
        <v>0</v>
      </c>
      <c r="J77" s="49">
        <f>+'Annual Raw'!K93</f>
        <v>0</v>
      </c>
      <c r="K77" s="49">
        <f>+'Annual Raw'!L93</f>
        <v>0</v>
      </c>
      <c r="L77" s="49">
        <f>+'Annual Raw'!M93</f>
        <v>0</v>
      </c>
      <c r="M77" s="49">
        <f>+'Annual Raw'!N93</f>
        <v>0</v>
      </c>
      <c r="N77" s="49">
        <f>+'Annual Raw'!O93</f>
        <v>0</v>
      </c>
      <c r="O77" s="49">
        <f>+'Annual Raw'!P93</f>
        <v>7.24</v>
      </c>
      <c r="P77" s="49">
        <f>+'Annual Raw'!Q93</f>
        <v>8.17</v>
      </c>
      <c r="Q77" s="49">
        <f>+'Annual Raw'!R93</f>
        <v>9.0299999999999994</v>
      </c>
      <c r="R77" s="49">
        <f>+'Annual Raw'!S93</f>
        <v>8.9</v>
      </c>
      <c r="S77" s="49">
        <f>+'Annual Raw'!T93</f>
        <v>9.73</v>
      </c>
      <c r="T77" s="49">
        <f>+'Annual Raw'!U93</f>
        <v>11.07</v>
      </c>
      <c r="U77" s="49">
        <f>+'Annual Raw'!V93</f>
        <v>9.9</v>
      </c>
      <c r="V77" s="49">
        <f>+'Annual Raw'!W93</f>
        <v>11.96</v>
      </c>
      <c r="W77" s="49">
        <f>+'Annual Raw'!X93</f>
        <v>14.44</v>
      </c>
      <c r="X77" s="49">
        <f>+'Annual Raw'!Y93</f>
        <v>14.41</v>
      </c>
      <c r="Y77" s="49">
        <f>+'Annual Raw'!Z93</f>
        <v>14.93</v>
      </c>
      <c r="Z77" s="49">
        <f>+'Annual Raw'!AA93</f>
        <v>15.47</v>
      </c>
      <c r="AA77" s="49">
        <f>+'Annual Raw'!AB93</f>
        <v>15.36</v>
      </c>
      <c r="AB77" s="50"/>
      <c r="AC77" s="50"/>
      <c r="AD77" s="50"/>
      <c r="AE77" s="50"/>
      <c r="AG77" s="63"/>
      <c r="AI77" s="49">
        <f>+'QTR Raw'!D37</f>
        <v>8.65</v>
      </c>
      <c r="AJ77" s="49">
        <f>+'QTR Raw'!E37</f>
        <v>7.88</v>
      </c>
      <c r="AK77" s="49">
        <f>+'QTR Raw'!F37</f>
        <v>9.0399999999999991</v>
      </c>
      <c r="AL77" s="49">
        <f>+'QTR Raw'!G37</f>
        <v>9.01</v>
      </c>
      <c r="AM77" s="49">
        <f>+'QTR Raw'!H37</f>
        <v>9.3699999999999992</v>
      </c>
      <c r="AN77" s="49">
        <f>+'QTR Raw'!I37</f>
        <v>9.09</v>
      </c>
      <c r="AO77" s="49">
        <f>+'QTR Raw'!J37</f>
        <v>8.9</v>
      </c>
      <c r="AP77" s="49">
        <f>+'QTR Raw'!K37</f>
        <v>9.02</v>
      </c>
      <c r="AQ77" s="49">
        <f>+'QTR Raw'!L37</f>
        <v>8.86</v>
      </c>
      <c r="AR77" s="49">
        <f>+'QTR Raw'!M37</f>
        <v>8.82</v>
      </c>
      <c r="AS77" s="49">
        <f>+'QTR Raw'!N37</f>
        <v>9.73</v>
      </c>
      <c r="AT77" s="49">
        <f>+'QTR Raw'!O37</f>
        <v>8.14</v>
      </c>
      <c r="AU77" s="49">
        <f>+'QTR Raw'!P37</f>
        <v>7.66</v>
      </c>
      <c r="AV77" s="49">
        <f>+'QTR Raw'!Q37</f>
        <v>9.24</v>
      </c>
      <c r="AW77" s="49">
        <f>+'QTR Raw'!R37</f>
        <v>11.07</v>
      </c>
      <c r="AX77" s="49">
        <f>+'QTR Raw'!S37</f>
        <v>11.2</v>
      </c>
      <c r="AY77" s="49">
        <f>+'QTR Raw'!T37</f>
        <v>11.06</v>
      </c>
      <c r="AZ77" s="49">
        <f>+'QTR Raw'!U37</f>
        <v>11.17</v>
      </c>
      <c r="BA77" s="49">
        <f>+'QTR Raw'!V37</f>
        <v>9.9</v>
      </c>
      <c r="BB77" s="49">
        <f>+'QTR Raw'!W37</f>
        <v>9.48</v>
      </c>
      <c r="BC77" s="49">
        <f>+'QTR Raw'!X37</f>
        <v>9.67</v>
      </c>
      <c r="BD77" s="49">
        <f>+'QTR Raw'!Y37</f>
        <v>9.44</v>
      </c>
      <c r="BE77" s="49">
        <f>+'QTR Raw'!Z37</f>
        <v>11.96</v>
      </c>
      <c r="BF77" s="49">
        <f>+'QTR Raw'!AA37</f>
        <v>11.97</v>
      </c>
      <c r="BG77" s="49">
        <f>+'QTR Raw'!AB37</f>
        <v>13.88</v>
      </c>
      <c r="BH77" s="49">
        <f>+'QTR Raw'!AC37</f>
        <v>13.6</v>
      </c>
      <c r="BI77" s="49">
        <f>+'QTR Raw'!AD37</f>
        <v>13.92</v>
      </c>
      <c r="BJ77" s="49">
        <f>+'QTR Raw'!AE37</f>
        <v>13.27</v>
      </c>
      <c r="BK77" s="49">
        <f>+'QTR Raw'!AF37</f>
        <v>13.38</v>
      </c>
      <c r="BL77" s="49">
        <f>+'QTR Raw'!AG37</f>
        <v>13.61</v>
      </c>
      <c r="BM77" s="49">
        <f>+'QTR Raw'!AH37</f>
        <v>14.4</v>
      </c>
      <c r="BN77" s="49">
        <f>+'QTR Raw'!AI37</f>
        <v>13.8</v>
      </c>
      <c r="BO77" s="49">
        <f>+'QTR Raw'!AJ37</f>
        <v>13.35</v>
      </c>
      <c r="BP77" s="49">
        <f>+'QTR Raw'!AK37</f>
        <v>13.88</v>
      </c>
      <c r="BQ77" s="49">
        <f>+'QTR Raw'!AL37</f>
        <v>15.62</v>
      </c>
      <c r="BR77" s="49">
        <f>+'QTR Raw'!AM37</f>
        <v>14.29</v>
      </c>
      <c r="BS77" s="49">
        <f>+'QTR Raw'!AN37</f>
        <v>14.18</v>
      </c>
      <c r="BT77" s="49">
        <f>+'QTR Raw'!AO37</f>
        <v>13.6</v>
      </c>
      <c r="BU77" s="49">
        <f>+'QTR Raw'!AP37</f>
        <v>15.47</v>
      </c>
      <c r="BV77" s="49">
        <f>+'QTR Raw'!AQ37</f>
        <v>15.14</v>
      </c>
      <c r="BW77" s="49">
        <f>+'QTR Raw'!AR37</f>
        <v>14.49</v>
      </c>
      <c r="BX77" s="49">
        <f>+'QTR Raw'!AS37</f>
        <v>14.36</v>
      </c>
      <c r="BY77" s="49">
        <f>+'QTR Raw'!AT37</f>
        <v>15.35</v>
      </c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T77" s="49">
        <v>15.36</v>
      </c>
    </row>
    <row r="78" spans="1:98" s="49" customFormat="1" x14ac:dyDescent="0.2">
      <c r="A78" s="49" t="s">
        <v>235</v>
      </c>
      <c r="B78" s="49">
        <f>+'Annual Raw'!C94</f>
        <v>0</v>
      </c>
      <c r="C78" s="49">
        <f>+'Annual Raw'!D94</f>
        <v>0</v>
      </c>
      <c r="D78" s="49">
        <f>+'Annual Raw'!E94</f>
        <v>0</v>
      </c>
      <c r="E78" s="49">
        <f>+'Annual Raw'!F94</f>
        <v>0</v>
      </c>
      <c r="F78" s="49">
        <f>+'Annual Raw'!G94</f>
        <v>0</v>
      </c>
      <c r="G78" s="49">
        <f>+'Annual Raw'!H94</f>
        <v>0</v>
      </c>
      <c r="H78" s="49">
        <f>+'Annual Raw'!I94</f>
        <v>0</v>
      </c>
      <c r="I78" s="49">
        <f>+'Annual Raw'!J94</f>
        <v>0</v>
      </c>
      <c r="J78" s="49">
        <f>+'Annual Raw'!K94</f>
        <v>0</v>
      </c>
      <c r="K78" s="49">
        <f>+'Annual Raw'!L94</f>
        <v>0</v>
      </c>
      <c r="L78" s="49">
        <f>+'Annual Raw'!M94</f>
        <v>0</v>
      </c>
      <c r="M78" s="49">
        <f>+'Annual Raw'!N94</f>
        <v>0</v>
      </c>
      <c r="N78" s="49">
        <f>+'Annual Raw'!O94</f>
        <v>0</v>
      </c>
      <c r="O78" s="49">
        <f>+'Annual Raw'!P94</f>
        <v>2.73</v>
      </c>
      <c r="P78" s="49">
        <f>+'Annual Raw'!Q94</f>
        <v>2.56</v>
      </c>
      <c r="Q78" s="49">
        <f>+'Annual Raw'!R94</f>
        <v>2.98</v>
      </c>
      <c r="R78" s="49">
        <f>+'Annual Raw'!S94</f>
        <v>3.24</v>
      </c>
      <c r="S78" s="49">
        <f>+'Annual Raw'!T94</f>
        <v>3.21</v>
      </c>
      <c r="T78" s="49">
        <f>+'Annual Raw'!U94</f>
        <v>3.12</v>
      </c>
      <c r="U78" s="49">
        <f>+'Annual Raw'!V94</f>
        <v>3.2</v>
      </c>
      <c r="V78" s="49">
        <f>+'Annual Raw'!W94</f>
        <v>2.97</v>
      </c>
      <c r="W78" s="49">
        <f>+'Annual Raw'!X94</f>
        <v>2.59</v>
      </c>
      <c r="X78" s="49">
        <f>+'Annual Raw'!Y94</f>
        <v>1.87</v>
      </c>
      <c r="Y78" s="49">
        <f>+'Annual Raw'!Z94</f>
        <v>2.04</v>
      </c>
      <c r="Z78" s="49">
        <f>+'Annual Raw'!AA94</f>
        <v>2.2999999999999998</v>
      </c>
      <c r="AA78" s="49">
        <f>+'Annual Raw'!AB94</f>
        <v>2.65</v>
      </c>
      <c r="AB78" s="50"/>
      <c r="AC78" s="50"/>
      <c r="AD78" s="50"/>
      <c r="AE78" s="50"/>
      <c r="AG78" s="63"/>
      <c r="AI78" s="49">
        <f>+'QTR Raw'!D38</f>
        <v>2.56</v>
      </c>
      <c r="AJ78" s="49">
        <f>+'QTR Raw'!E38</f>
        <v>3.4</v>
      </c>
      <c r="AK78" s="49">
        <f>+'QTR Raw'!F38</f>
        <v>3.01</v>
      </c>
      <c r="AL78" s="49">
        <f>+'QTR Raw'!G38</f>
        <v>3.09</v>
      </c>
      <c r="AM78" s="49">
        <f>+'QTR Raw'!H38</f>
        <v>3.13</v>
      </c>
      <c r="AN78" s="49">
        <f>+'QTR Raw'!I38</f>
        <v>3.02</v>
      </c>
      <c r="AO78" s="49">
        <f>+'QTR Raw'!J38</f>
        <v>3.24</v>
      </c>
      <c r="AP78" s="49">
        <f>+'QTR Raw'!K38</f>
        <v>3.36</v>
      </c>
      <c r="AQ78" s="49">
        <f>+'QTR Raw'!L38</f>
        <v>3.37</v>
      </c>
      <c r="AR78" s="49">
        <f>+'QTR Raw'!M38</f>
        <v>3.23</v>
      </c>
      <c r="AS78" s="49">
        <f>+'QTR Raw'!N38</f>
        <v>3.21</v>
      </c>
      <c r="AT78" s="49">
        <f>+'QTR Raw'!O38</f>
        <v>3.29</v>
      </c>
      <c r="AU78" s="49">
        <f>+'QTR Raw'!P38</f>
        <v>3.27</v>
      </c>
      <c r="AV78" s="49">
        <f>+'QTR Raw'!Q38</f>
        <v>3.23</v>
      </c>
      <c r="AW78" s="49">
        <f>+'QTR Raw'!R38</f>
        <v>3.12</v>
      </c>
      <c r="AX78" s="49">
        <f>+'QTR Raw'!S38</f>
        <v>3.15</v>
      </c>
      <c r="AY78" s="49">
        <f>+'QTR Raw'!T38</f>
        <v>3.03</v>
      </c>
      <c r="AZ78" s="49">
        <f>+'QTR Raw'!U38</f>
        <v>3.03</v>
      </c>
      <c r="BA78" s="49">
        <f>+'QTR Raw'!V38</f>
        <v>3.2</v>
      </c>
      <c r="BB78" s="49">
        <f>+'QTR Raw'!W38</f>
        <v>3.28</v>
      </c>
      <c r="BC78" s="49">
        <f>+'QTR Raw'!X38</f>
        <v>3.13</v>
      </c>
      <c r="BD78" s="49">
        <f>+'QTR Raw'!Y38</f>
        <v>3.07</v>
      </c>
      <c r="BE78" s="49">
        <f>+'QTR Raw'!Z38</f>
        <v>2.97</v>
      </c>
      <c r="BF78" s="49">
        <f>+'QTR Raw'!AA38</f>
        <v>3.1</v>
      </c>
      <c r="BG78" s="49">
        <f>+'QTR Raw'!AB38</f>
        <v>3.17</v>
      </c>
      <c r="BH78" s="49">
        <f>+'QTR Raw'!AC38</f>
        <v>3.06</v>
      </c>
      <c r="BI78" s="49">
        <f>+'QTR Raw'!AD38</f>
        <v>2.59</v>
      </c>
      <c r="BJ78" s="49">
        <f>+'QTR Raw'!AE38</f>
        <v>2.34</v>
      </c>
      <c r="BK78" s="49">
        <f>+'QTR Raw'!AF38</f>
        <v>2.13</v>
      </c>
      <c r="BL78" s="49">
        <f>+'QTR Raw'!AG38</f>
        <v>1.99</v>
      </c>
      <c r="BM78" s="49">
        <f>+'QTR Raw'!AH38</f>
        <v>1.88</v>
      </c>
      <c r="BN78" s="49">
        <f>+'QTR Raw'!AI38</f>
        <v>1.8</v>
      </c>
      <c r="BO78" s="49">
        <f>+'QTR Raw'!AJ38</f>
        <v>2.2799999999999998</v>
      </c>
      <c r="BP78" s="49">
        <f>+'QTR Raw'!AK38</f>
        <v>2.1800000000000002</v>
      </c>
      <c r="BQ78" s="49">
        <f>+'QTR Raw'!AL38</f>
        <v>1.34</v>
      </c>
      <c r="BR78" s="49">
        <f>+'QTR Raw'!AM38</f>
        <v>1.89</v>
      </c>
      <c r="BS78" s="49">
        <f>+'QTR Raw'!AN38</f>
        <v>2.4500000000000002</v>
      </c>
      <c r="BT78" s="49">
        <f>+'QTR Raw'!AO38</f>
        <v>2.4</v>
      </c>
      <c r="BU78" s="49">
        <f>+'QTR Raw'!AP38</f>
        <v>2.2999999999999998</v>
      </c>
      <c r="BV78" s="49">
        <f>+'QTR Raw'!AQ38</f>
        <v>2.25</v>
      </c>
      <c r="BW78" s="49">
        <f>+'QTR Raw'!AR38</f>
        <v>2.2000000000000002</v>
      </c>
      <c r="BX78" s="49">
        <f>+'QTR Raw'!AS38</f>
        <v>2.73</v>
      </c>
      <c r="BY78" s="49">
        <f>+'QTR Raw'!AT38</f>
        <v>2.66</v>
      </c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T78" s="49">
        <v>2.65</v>
      </c>
    </row>
    <row r="79" spans="1:98" s="49" customFormat="1" x14ac:dyDescent="0.2">
      <c r="AB79" s="50"/>
      <c r="AC79" s="50"/>
      <c r="AD79" s="50"/>
      <c r="AE79" s="50"/>
      <c r="AG79" s="63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1:98" s="49" customFormat="1" x14ac:dyDescent="0.2">
      <c r="A80" s="49" t="s">
        <v>210</v>
      </c>
      <c r="B80" s="49">
        <f>+'Annual Raw'!C52</f>
        <v>3434</v>
      </c>
      <c r="C80" s="49">
        <f>+'Annual Raw'!D52</f>
        <v>3722</v>
      </c>
      <c r="D80" s="49">
        <f>+'Annual Raw'!E52</f>
        <v>3804</v>
      </c>
      <c r="E80" s="49">
        <f>+'Annual Raw'!F52</f>
        <v>3734.02</v>
      </c>
      <c r="F80" s="49">
        <f>+'Annual Raw'!G52</f>
        <v>3155.91</v>
      </c>
      <c r="G80" s="49">
        <f>+'Annual Raw'!H52</f>
        <v>2479.1799999999998</v>
      </c>
      <c r="H80" s="49">
        <f>+'Annual Raw'!I52</f>
        <v>2100.4899999999998</v>
      </c>
      <c r="I80" s="49">
        <f>+'Annual Raw'!J52</f>
        <v>1930.92</v>
      </c>
      <c r="J80" s="49">
        <f>+'Annual Raw'!K52</f>
        <v>2470.88</v>
      </c>
      <c r="K80" s="49">
        <f>+'Annual Raw'!L52</f>
        <v>4882.6499999999996</v>
      </c>
      <c r="L80" s="49">
        <f>+'Annual Raw'!M52</f>
        <v>4811.55</v>
      </c>
      <c r="M80" s="49">
        <f>+'Annual Raw'!N52</f>
        <v>5893.97</v>
      </c>
      <c r="N80" s="49">
        <f>+'Annual Raw'!O52</f>
        <v>8765.25</v>
      </c>
      <c r="O80" s="49">
        <f>+'Annual Raw'!P52</f>
        <v>11868.6</v>
      </c>
      <c r="P80" s="49">
        <f>+'Annual Raw'!Q52</f>
        <v>22193.24</v>
      </c>
      <c r="Q80" s="49">
        <f>+'Annual Raw'!R52</f>
        <v>49879.13</v>
      </c>
      <c r="R80" s="49">
        <f>+'Annual Raw'!S52</f>
        <v>52044.53</v>
      </c>
      <c r="S80" s="49">
        <f>+'Annual Raw'!T52</f>
        <v>62328.46</v>
      </c>
      <c r="T80" s="49">
        <f>+'Annual Raw'!U52</f>
        <v>60661.120000000003</v>
      </c>
      <c r="U80" s="49">
        <f>+'Annual Raw'!V52</f>
        <v>61549.93</v>
      </c>
      <c r="V80" s="49">
        <f>+'Annual Raw'!W52</f>
        <v>56534.94</v>
      </c>
      <c r="W80" s="49">
        <f>+'Annual Raw'!X52</f>
        <v>45605.39</v>
      </c>
      <c r="X80" s="49">
        <f>+'Annual Raw'!Y52</f>
        <v>37685.56</v>
      </c>
      <c r="Y80" s="49">
        <f>+'Annual Raw'!Z52</f>
        <v>29182.77</v>
      </c>
      <c r="Z80" s="49">
        <f>+'Annual Raw'!AA52</f>
        <v>21748.89</v>
      </c>
      <c r="AA80" s="49">
        <f>+'Annual Raw'!AB52</f>
        <v>15306.02</v>
      </c>
      <c r="AB80" s="50"/>
      <c r="AC80" s="50"/>
      <c r="AD80" s="50"/>
      <c r="AE80" s="50"/>
      <c r="AG80" s="63"/>
      <c r="AH80" s="49">
        <f>+'QTR Raw'!C40</f>
        <v>26889.17</v>
      </c>
      <c r="AI80" s="49">
        <f>+'QTR Raw'!D40</f>
        <v>29893.67</v>
      </c>
      <c r="AJ80" s="49">
        <f>+'QTR Raw'!E40</f>
        <v>36519.14</v>
      </c>
      <c r="AK80" s="49">
        <f>+'QTR Raw'!F40</f>
        <v>49879.13</v>
      </c>
      <c r="AL80" s="49">
        <f>+'QTR Raw'!G40</f>
        <v>51874.5</v>
      </c>
      <c r="AM80" s="49">
        <f>+'QTR Raw'!H40</f>
        <v>52261.95</v>
      </c>
      <c r="AN80" s="49">
        <f>+'QTR Raw'!I40</f>
        <v>51781.06</v>
      </c>
      <c r="AO80" s="49">
        <f>+'QTR Raw'!J40</f>
        <v>52044.52</v>
      </c>
      <c r="AP80" s="49">
        <f>+'QTR Raw'!K40</f>
        <v>51019.11</v>
      </c>
      <c r="AQ80" s="49">
        <f>+'QTR Raw'!L40</f>
        <v>49306.9</v>
      </c>
      <c r="AR80" s="49">
        <f>+'QTR Raw'!M40</f>
        <v>64248.58</v>
      </c>
      <c r="AS80" s="49">
        <f>+'QTR Raw'!N40</f>
        <v>62328.46</v>
      </c>
      <c r="AT80" s="49">
        <f>+'QTR Raw'!O40</f>
        <v>60604.46</v>
      </c>
      <c r="AU80" s="49">
        <f>+'QTR Raw'!P40</f>
        <v>61560.65</v>
      </c>
      <c r="AV80" s="49">
        <f>+'QTR Raw'!Q40</f>
        <v>60797.55</v>
      </c>
      <c r="AW80" s="49">
        <f>+'QTR Raw'!R40</f>
        <v>60661.120000000003</v>
      </c>
      <c r="AX80" s="49">
        <f>+'QTR Raw'!S40</f>
        <v>62068.4</v>
      </c>
      <c r="AY80" s="49">
        <f>+'QTR Raw'!T40</f>
        <v>61475.6</v>
      </c>
      <c r="AZ80" s="49">
        <f>+'QTR Raw'!U40</f>
        <v>61730.54</v>
      </c>
      <c r="BA80" s="49">
        <f>+'QTR Raw'!V40</f>
        <v>61549.93</v>
      </c>
      <c r="BB80" s="49">
        <f>+'QTR Raw'!W40</f>
        <v>57787.78</v>
      </c>
      <c r="BC80" s="49">
        <f>+'QTR Raw'!X40</f>
        <v>56231.76</v>
      </c>
      <c r="BD80" s="49">
        <f>+'QTR Raw'!Y40</f>
        <v>54997.03</v>
      </c>
      <c r="BE80" s="49">
        <f>+'QTR Raw'!Z40</f>
        <v>56534.95</v>
      </c>
      <c r="BF80" s="49">
        <f>+'QTR Raw'!AA40</f>
        <v>56041.63</v>
      </c>
      <c r="BG80" s="49">
        <f>+'QTR Raw'!AB40</f>
        <v>50270.13</v>
      </c>
      <c r="BH80" s="49">
        <f>+'QTR Raw'!AC40</f>
        <v>45759.76</v>
      </c>
      <c r="BI80" s="49">
        <f>+'QTR Raw'!AD40</f>
        <v>45605.4</v>
      </c>
      <c r="BJ80" s="49">
        <f>+'QTR Raw'!AE40</f>
        <v>44414.67</v>
      </c>
      <c r="BK80" s="49">
        <f>+'QTR Raw'!AF40</f>
        <v>42014.400000000001</v>
      </c>
      <c r="BL80" s="49">
        <f>+'QTR Raw'!AG40</f>
        <v>38884.61</v>
      </c>
      <c r="BM80" s="49">
        <f>+'QTR Raw'!AH40</f>
        <v>37685.56</v>
      </c>
      <c r="BN80" s="49">
        <f>+'QTR Raw'!AI40</f>
        <v>34582.01</v>
      </c>
      <c r="BO80" s="49">
        <f>+'QTR Raw'!AJ40</f>
        <v>31718.78</v>
      </c>
      <c r="BP80" s="49">
        <f>+'QTR Raw'!AK40</f>
        <v>30237.15</v>
      </c>
      <c r="BQ80" s="49">
        <f>+'QTR Raw'!AL40</f>
        <v>29182.77</v>
      </c>
      <c r="BR80" s="49">
        <f>+'QTR Raw'!AM40</f>
        <v>27715.759999999998</v>
      </c>
      <c r="BS80" s="49">
        <f>+'QTR Raw'!AN40</f>
        <v>27455.33</v>
      </c>
      <c r="BT80" s="49">
        <f>+'QTR Raw'!AO40</f>
        <v>24048.48</v>
      </c>
      <c r="BU80" s="49">
        <f>+'QTR Raw'!AP40</f>
        <v>21748.89</v>
      </c>
      <c r="BV80" s="49">
        <f>+'QTR Raw'!AQ40</f>
        <v>19640.2</v>
      </c>
      <c r="BW80" s="49">
        <f>+'QTR Raw'!AR40</f>
        <v>18014.27</v>
      </c>
      <c r="BX80" s="49">
        <f>+'QTR Raw'!AS40</f>
        <v>16714.400000000001</v>
      </c>
      <c r="BY80" s="49">
        <f>+'QTR Raw'!AT40</f>
        <v>15306.01</v>
      </c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T80" s="49">
        <v>15306.02</v>
      </c>
    </row>
    <row r="81" spans="1:98" s="49" customFormat="1" x14ac:dyDescent="0.2">
      <c r="A81" s="49" t="s">
        <v>211</v>
      </c>
      <c r="B81" s="49">
        <f>+'Annual Raw'!C53</f>
        <v>2138</v>
      </c>
      <c r="C81" s="49">
        <f>+'Annual Raw'!D53</f>
        <v>2304</v>
      </c>
      <c r="D81" s="49">
        <f>+'Annual Raw'!E53</f>
        <v>2382</v>
      </c>
      <c r="E81" s="49">
        <f>+'Annual Raw'!F53</f>
        <v>2061.5700000000002</v>
      </c>
      <c r="F81" s="49">
        <f>+'Annual Raw'!G53</f>
        <v>1554.28</v>
      </c>
      <c r="G81" s="49">
        <f>+'Annual Raw'!H53</f>
        <v>969.5</v>
      </c>
      <c r="H81" s="49">
        <f>+'Annual Raw'!I53</f>
        <v>812.03</v>
      </c>
      <c r="I81" s="49">
        <f>+'Annual Raw'!J53</f>
        <v>591.98</v>
      </c>
      <c r="J81" s="49">
        <f>+'Annual Raw'!K53</f>
        <v>628.21</v>
      </c>
      <c r="K81" s="49">
        <f>+'Annual Raw'!L53</f>
        <v>2207.4499999999998</v>
      </c>
      <c r="L81" s="49">
        <f>+'Annual Raw'!M53</f>
        <v>1944.99</v>
      </c>
      <c r="M81" s="49">
        <f>+'Annual Raw'!N53</f>
        <v>3656.42</v>
      </c>
      <c r="N81" s="49">
        <f>+'Annual Raw'!O53</f>
        <v>5947.31</v>
      </c>
      <c r="O81" s="49">
        <f>+'Annual Raw'!P53</f>
        <v>7417.22</v>
      </c>
      <c r="P81" s="49">
        <f>+'Annual Raw'!Q53</f>
        <v>13517.57</v>
      </c>
      <c r="Q81" s="49">
        <f>+'Annual Raw'!R53</f>
        <v>27996.400000000001</v>
      </c>
      <c r="R81" s="49">
        <f>+'Annual Raw'!S53</f>
        <v>25305.03</v>
      </c>
      <c r="S81" s="49">
        <f>+'Annual Raw'!T53</f>
        <v>28207.27</v>
      </c>
      <c r="T81" s="49">
        <f>+'Annual Raw'!U53</f>
        <v>19118.96</v>
      </c>
      <c r="U81" s="49">
        <f>+'Annual Raw'!V53</f>
        <v>14320.1</v>
      </c>
      <c r="V81" s="49">
        <f>+'Annual Raw'!W53</f>
        <v>12262.02</v>
      </c>
      <c r="W81" s="49">
        <f>+'Annual Raw'!X53</f>
        <v>9851.93</v>
      </c>
      <c r="X81" s="49">
        <f>+'Annual Raw'!Y53</f>
        <v>8053.61</v>
      </c>
      <c r="Y81" s="49">
        <f>+'Annual Raw'!Z53</f>
        <v>6845.26</v>
      </c>
      <c r="Z81" s="49">
        <f>+'Annual Raw'!AA53</f>
        <v>5358.49</v>
      </c>
      <c r="AA81" s="49">
        <f>+'Annual Raw'!AB53</f>
        <v>4249.99</v>
      </c>
      <c r="AB81" s="50"/>
      <c r="AC81" s="50"/>
      <c r="AD81" s="50"/>
      <c r="AE81" s="50"/>
      <c r="AG81" s="63"/>
      <c r="AH81" s="49">
        <f>+'QTR Raw'!C41</f>
        <v>15788.95</v>
      </c>
      <c r="AI81" s="49">
        <f>+'QTR Raw'!D41</f>
        <v>16466.48</v>
      </c>
      <c r="AJ81" s="49">
        <f>+'QTR Raw'!E41</f>
        <v>19978.599999999999</v>
      </c>
      <c r="AK81" s="49">
        <f>+'QTR Raw'!F41</f>
        <v>27996.39</v>
      </c>
      <c r="AL81" s="49">
        <f>+'QTR Raw'!G41</f>
        <v>28260.400000000001</v>
      </c>
      <c r="AM81" s="49">
        <f>+'QTR Raw'!H41</f>
        <v>27467.05</v>
      </c>
      <c r="AN81" s="49">
        <f>+'QTR Raw'!I41</f>
        <v>25534.41</v>
      </c>
      <c r="AO81" s="49">
        <f>+'QTR Raw'!J41</f>
        <v>25305.05</v>
      </c>
      <c r="AP81" s="49">
        <f>+'QTR Raw'!K41</f>
        <v>24406.720000000001</v>
      </c>
      <c r="AQ81" s="49">
        <f>+'QTR Raw'!L41</f>
        <v>23565.73</v>
      </c>
      <c r="AR81" s="49">
        <f>+'QTR Raw'!M41</f>
        <v>36117.230000000003</v>
      </c>
      <c r="AS81" s="49">
        <f>+'QTR Raw'!N41</f>
        <v>28207.27</v>
      </c>
      <c r="AT81" s="49">
        <f>+'QTR Raw'!O41</f>
        <v>27932.25</v>
      </c>
      <c r="AU81" s="49">
        <f>+'QTR Raw'!P41</f>
        <v>25994.15</v>
      </c>
      <c r="AV81" s="49">
        <f>+'QTR Raw'!Q41</f>
        <v>19437.349999999999</v>
      </c>
      <c r="AW81" s="49">
        <f>+'QTR Raw'!R41</f>
        <v>19118.95</v>
      </c>
      <c r="AX81" s="49">
        <f>+'QTR Raw'!S41</f>
        <v>19288.34</v>
      </c>
      <c r="AY81" s="49">
        <f>+'QTR Raw'!T41</f>
        <v>19645.830000000002</v>
      </c>
      <c r="AZ81" s="49">
        <f>+'QTR Raw'!U41</f>
        <v>20113.34</v>
      </c>
      <c r="BA81" s="49">
        <f>+'QTR Raw'!V41</f>
        <v>14320.1</v>
      </c>
      <c r="BB81" s="49">
        <f>+'QTR Raw'!W41</f>
        <v>13274.95</v>
      </c>
      <c r="BC81" s="49">
        <f>+'QTR Raw'!X41</f>
        <v>10443.709999999999</v>
      </c>
      <c r="BD81" s="49">
        <f>+'QTR Raw'!Y41</f>
        <v>9077.32</v>
      </c>
      <c r="BE81" s="49">
        <f>+'QTR Raw'!Z41</f>
        <v>12262.03</v>
      </c>
      <c r="BF81" s="49">
        <f>+'QTR Raw'!AA41</f>
        <v>12424.13</v>
      </c>
      <c r="BG81" s="49">
        <f>+'QTR Raw'!AB41</f>
        <v>10576.22</v>
      </c>
      <c r="BH81" s="49">
        <f>+'QTR Raw'!AC41</f>
        <v>10708.02</v>
      </c>
      <c r="BI81" s="49">
        <f>+'QTR Raw'!AD41</f>
        <v>9851.93</v>
      </c>
      <c r="BJ81" s="49">
        <f>+'QTR Raw'!AE41</f>
        <v>9775.23</v>
      </c>
      <c r="BK81" s="49">
        <f>+'QTR Raw'!AF41</f>
        <v>8836.18</v>
      </c>
      <c r="BL81" s="49">
        <f>+'QTR Raw'!AG41</f>
        <v>7646.19</v>
      </c>
      <c r="BM81" s="49">
        <f>+'QTR Raw'!AH41</f>
        <v>8053.61</v>
      </c>
      <c r="BN81" s="49">
        <f>+'QTR Raw'!AI41</f>
        <v>8118.68</v>
      </c>
      <c r="BO81" s="49">
        <f>+'QTR Raw'!AJ41</f>
        <v>7978.26</v>
      </c>
      <c r="BP81" s="49">
        <f>+'QTR Raw'!AK41</f>
        <v>7627.16</v>
      </c>
      <c r="BQ81" s="49">
        <f>+'QTR Raw'!AL41</f>
        <v>6845.25</v>
      </c>
      <c r="BR81" s="49">
        <f>+'QTR Raw'!AM41</f>
        <v>5701.83</v>
      </c>
      <c r="BS81" s="49">
        <f>+'QTR Raw'!AN41</f>
        <v>5647.92</v>
      </c>
      <c r="BT81" s="49">
        <f>+'QTR Raw'!AO41</f>
        <v>5410.05</v>
      </c>
      <c r="BU81" s="49">
        <f>+'QTR Raw'!AP41</f>
        <v>5358.49</v>
      </c>
      <c r="BV81" s="49">
        <f>+'QTR Raw'!AQ41</f>
        <v>4949.8900000000003</v>
      </c>
      <c r="BW81" s="49">
        <f>+'QTR Raw'!AR41</f>
        <v>4530.2</v>
      </c>
      <c r="BX81" s="49">
        <f>+'QTR Raw'!AS41</f>
        <v>4359.25</v>
      </c>
      <c r="BY81" s="49">
        <f>+'QTR Raw'!AT41</f>
        <v>4249.97</v>
      </c>
      <c r="BZ81" s="50">
        <f t="shared" ref="BZ81:CO81" si="1043">+BZ85*BZ123</f>
        <v>4173.5373530788756</v>
      </c>
      <c r="CA81" s="50">
        <f t="shared" si="1043"/>
        <v>4430.0578200069722</v>
      </c>
      <c r="CB81" s="50">
        <f t="shared" si="1043"/>
        <v>4634.9340544626903</v>
      </c>
      <c r="CC81" s="50">
        <f t="shared" si="1043"/>
        <v>4849.6030943454025</v>
      </c>
      <c r="CD81" s="50">
        <f t="shared" si="1043"/>
        <v>4752.223915605523</v>
      </c>
      <c r="CE81" s="50">
        <f t="shared" si="1043"/>
        <v>5048.1762142150274</v>
      </c>
      <c r="CF81" s="50">
        <f t="shared" si="1043"/>
        <v>5281.9241647812096</v>
      </c>
      <c r="CG81" s="50">
        <f t="shared" si="1043"/>
        <v>5527.1720467793175</v>
      </c>
      <c r="CH81" s="50">
        <f t="shared" si="1043"/>
        <v>5414.5541066965652</v>
      </c>
      <c r="CI81" s="50">
        <f t="shared" si="1043"/>
        <v>5752.6583831283833</v>
      </c>
      <c r="CJ81" s="50">
        <f t="shared" si="1043"/>
        <v>6019.0573530327911</v>
      </c>
      <c r="CK81" s="50">
        <f t="shared" si="1043"/>
        <v>6298.4869332086901</v>
      </c>
      <c r="CL81" s="50">
        <f t="shared" si="1043"/>
        <v>6169.9275084223245</v>
      </c>
      <c r="CM81" s="50">
        <f t="shared" si="1043"/>
        <v>6555.3945765171966</v>
      </c>
      <c r="CN81" s="50">
        <f t="shared" si="1043"/>
        <v>6858.9522287436585</v>
      </c>
      <c r="CO81" s="50">
        <f t="shared" si="1043"/>
        <v>7177.3441902305331</v>
      </c>
      <c r="CT81" s="49">
        <v>4249.99</v>
      </c>
    </row>
    <row r="82" spans="1:98" s="49" customFormat="1" x14ac:dyDescent="0.2">
      <c r="A82" s="49" t="s">
        <v>349</v>
      </c>
      <c r="C82" s="49">
        <f t="shared" ref="C82:Z82" si="1044">+C81/C68</f>
        <v>5.0607688735653218</v>
      </c>
      <c r="D82" s="49">
        <f t="shared" si="1044"/>
        <v>5.2320969864724809</v>
      </c>
      <c r="E82" s="49">
        <f t="shared" si="1044"/>
        <v>4.5282679195642626</v>
      </c>
      <c r="F82" s="49">
        <f t="shared" si="1044"/>
        <v>3.4139981965299948</v>
      </c>
      <c r="G82" s="49">
        <f t="shared" si="1044"/>
        <v>2.1295205828652688</v>
      </c>
      <c r="H82" s="49">
        <f t="shared" si="1044"/>
        <v>1.7836354810769306</v>
      </c>
      <c r="I82" s="49">
        <f t="shared" si="1044"/>
        <v>1.3002925163946177</v>
      </c>
      <c r="J82" s="49">
        <f t="shared" si="1044"/>
        <v>1.3798722283257252</v>
      </c>
      <c r="K82" s="49">
        <f t="shared" si="1044"/>
        <v>4.8486954209860107</v>
      </c>
      <c r="L82" s="49">
        <f t="shared" si="1044"/>
        <v>4.2721982861961001</v>
      </c>
      <c r="M82" s="49">
        <f t="shared" si="1044"/>
        <v>8.0313786999486609</v>
      </c>
      <c r="N82" s="49">
        <f t="shared" si="1044"/>
        <v>13.063351271459972</v>
      </c>
      <c r="O82" s="49">
        <f t="shared" si="1044"/>
        <v>16.292029559195388</v>
      </c>
      <c r="P82" s="49">
        <f t="shared" si="1044"/>
        <v>29.691535374236278</v>
      </c>
      <c r="Q82" s="49">
        <f t="shared" si="1044"/>
        <v>61.494492053769179</v>
      </c>
      <c r="R82" s="49">
        <f t="shared" si="1044"/>
        <v>55.582859448192998</v>
      </c>
      <c r="S82" s="49">
        <f t="shared" si="1044"/>
        <v>61.957671017470872</v>
      </c>
      <c r="T82" s="49">
        <f t="shared" si="1044"/>
        <v>41.995068430095678</v>
      </c>
      <c r="U82" s="49">
        <f t="shared" si="1044"/>
        <v>31.454303969766826</v>
      </c>
      <c r="V82" s="49">
        <f t="shared" si="1044"/>
        <v>26.933701884998026</v>
      </c>
      <c r="W82" s="49">
        <f t="shared" si="1044"/>
        <v>21.639904812736287</v>
      </c>
      <c r="X82" s="49">
        <f t="shared" si="1044"/>
        <v>17.689869274233686</v>
      </c>
      <c r="Y82" s="49">
        <f t="shared" si="1044"/>
        <v>15.035711258446943</v>
      </c>
      <c r="Z82" s="49">
        <f t="shared" si="1044"/>
        <v>11.769999740152361</v>
      </c>
      <c r="AA82" s="49">
        <f t="shared" ref="AA82" si="1045">+AA81/AA68</f>
        <v>9.335163674029463</v>
      </c>
      <c r="AB82" s="50"/>
      <c r="AC82" s="50"/>
      <c r="AD82" s="50"/>
      <c r="AE82" s="50"/>
      <c r="AG82" s="63"/>
      <c r="AI82" s="49">
        <f t="shared" ref="AI82:AS82" si="1046">+AI81/AI68</f>
        <v>207.9337298430377</v>
      </c>
      <c r="AJ82" s="49">
        <f t="shared" si="1046"/>
        <v>252.28371910949474</v>
      </c>
      <c r="AK82" s="49">
        <f t="shared" si="1046"/>
        <v>342.55148111441468</v>
      </c>
      <c r="AL82" s="49">
        <f t="shared" si="1046"/>
        <v>302.32463600671821</v>
      </c>
      <c r="AM82" s="49">
        <f t="shared" si="1046"/>
        <v>260.24511336611613</v>
      </c>
      <c r="AN82" s="49">
        <f t="shared" si="1046"/>
        <v>241.93371422074412</v>
      </c>
      <c r="AO82" s="49">
        <f t="shared" si="1046"/>
        <v>239.76057152061244</v>
      </c>
      <c r="AP82" s="49">
        <f t="shared" si="1046"/>
        <v>227.47728183572087</v>
      </c>
      <c r="AQ82" s="49">
        <f t="shared" si="1046"/>
        <v>198.81826388478768</v>
      </c>
      <c r="AR82" s="49">
        <f t="shared" si="1046"/>
        <v>304.71218014156875</v>
      </c>
      <c r="AS82" s="49">
        <f t="shared" si="1046"/>
        <v>161.76490491592685</v>
      </c>
      <c r="AT82" s="49">
        <f t="shared" ref="AT82:CO82" si="1047">+AT81/AT68</f>
        <v>61.343586454986479</v>
      </c>
      <c r="AU82" s="49">
        <f t="shared" si="1047"/>
        <v>57.0872159546362</v>
      </c>
      <c r="AV82" s="49">
        <f t="shared" si="1047"/>
        <v>42.687458410290304</v>
      </c>
      <c r="AW82" s="49">
        <f t="shared" si="1047"/>
        <v>41.988202248424805</v>
      </c>
      <c r="AX82" s="49">
        <f t="shared" si="1047"/>
        <v>42.3602091619248</v>
      </c>
      <c r="AY82" s="49">
        <f t="shared" si="1047"/>
        <v>43.145313073059533</v>
      </c>
      <c r="AZ82" s="49">
        <f t="shared" si="1047"/>
        <v>44.172038098919273</v>
      </c>
      <c r="BA82" s="49">
        <f t="shared" si="1047"/>
        <v>31.449177649278234</v>
      </c>
      <c r="BB82" s="49">
        <f t="shared" si="1047"/>
        <v>29.153864905642145</v>
      </c>
      <c r="BC82" s="49">
        <f t="shared" si="1047"/>
        <v>22.936019378883078</v>
      </c>
      <c r="BD82" s="49">
        <f t="shared" si="1047"/>
        <v>19.93521338952565</v>
      </c>
      <c r="BE82" s="49">
        <f t="shared" si="1047"/>
        <v>26.929334279144641</v>
      </c>
      <c r="BF82" s="49">
        <f t="shared" si="1047"/>
        <v>27.28533121331046</v>
      </c>
      <c r="BG82" s="49">
        <f t="shared" si="1047"/>
        <v>23.227032048508697</v>
      </c>
      <c r="BH82" s="49">
        <f t="shared" si="1047"/>
        <v>23.516485447170364</v>
      </c>
      <c r="BI82" s="49">
        <f t="shared" si="1047"/>
        <v>21.636378011204791</v>
      </c>
      <c r="BJ82" s="49">
        <f t="shared" si="1047"/>
        <v>21.467932823971484</v>
      </c>
      <c r="BK82" s="49">
        <f t="shared" si="1047"/>
        <v>19.405632262414322</v>
      </c>
      <c r="BL82" s="49">
        <f t="shared" si="1047"/>
        <v>16.792228242130623</v>
      </c>
      <c r="BM82" s="49">
        <f t="shared" si="1047"/>
        <v>17.686986236688547</v>
      </c>
      <c r="BN82" s="49">
        <f t="shared" si="1047"/>
        <v>17.829890126300949</v>
      </c>
      <c r="BO82" s="49">
        <f t="shared" si="1047"/>
        <v>17.521505860443053</v>
      </c>
      <c r="BP82" s="49">
        <f t="shared" si="1047"/>
        <v>16.750435387983948</v>
      </c>
      <c r="BQ82" s="49">
        <f t="shared" si="1047"/>
        <v>15.033238825407771</v>
      </c>
      <c r="BR82" s="49">
        <f t="shared" si="1047"/>
        <v>12.522109803422051</v>
      </c>
      <c r="BS82" s="49">
        <f t="shared" si="1047"/>
        <v>12.403715017975539</v>
      </c>
      <c r="BT82" s="49">
        <f t="shared" si="1047"/>
        <v>11.881315321923569</v>
      </c>
      <c r="BU82" s="49">
        <f t="shared" si="1047"/>
        <v>11.768081503752132</v>
      </c>
      <c r="BV82" s="49">
        <f t="shared" si="1047"/>
        <v>10.870732044775234</v>
      </c>
      <c r="BW82" s="49">
        <f t="shared" ref="BW82:BX82" si="1048">+BW81/BW68</f>
        <v>9.9490272125725543</v>
      </c>
      <c r="BX82" s="49">
        <f t="shared" si="1048"/>
        <v>9.573594295264428</v>
      </c>
      <c r="BY82" s="49">
        <f t="shared" ref="BY82" si="1049">+BY81/BY68</f>
        <v>9.3335983361919972</v>
      </c>
      <c r="BZ82" s="50">
        <f t="shared" si="1047"/>
        <v>9.1657402981037848</v>
      </c>
      <c r="CA82" s="50">
        <f t="shared" si="1047"/>
        <v>9.7290993343603418</v>
      </c>
      <c r="CB82" s="50">
        <f t="shared" si="1047"/>
        <v>10.179039564771655</v>
      </c>
      <c r="CC82" s="50">
        <f t="shared" si="1047"/>
        <v>10.650486326391436</v>
      </c>
      <c r="CD82" s="50">
        <f t="shared" si="1047"/>
        <v>10.436626430753046</v>
      </c>
      <c r="CE82" s="50">
        <f t="shared" si="1047"/>
        <v>11.086583932075142</v>
      </c>
      <c r="CF82" s="50">
        <f t="shared" si="1047"/>
        <v>11.599930963346612</v>
      </c>
      <c r="CG82" s="50">
        <f t="shared" si="1047"/>
        <v>12.138533641335433</v>
      </c>
      <c r="CH82" s="50">
        <f t="shared" si="1047"/>
        <v>11.891207044163748</v>
      </c>
      <c r="CI82" s="50">
        <f t="shared" si="1047"/>
        <v>12.633736876601017</v>
      </c>
      <c r="CJ82" s="50">
        <f t="shared" si="1047"/>
        <v>13.218790649277775</v>
      </c>
      <c r="CK82" s="50">
        <f t="shared" si="1047"/>
        <v>13.832461678629182</v>
      </c>
      <c r="CL82" s="50">
        <f t="shared" si="1047"/>
        <v>13.5501250895973</v>
      </c>
      <c r="CM82" s="50">
        <f t="shared" si="1047"/>
        <v>14.396671014727856</v>
      </c>
      <c r="CN82" s="50">
        <f t="shared" si="1047"/>
        <v>15.063331061212715</v>
      </c>
      <c r="CO82" s="50">
        <f t="shared" si="1047"/>
        <v>15.762569569247077</v>
      </c>
      <c r="CT82" s="49">
        <v>9.335163674029463</v>
      </c>
    </row>
    <row r="83" spans="1:98" s="49" customFormat="1" x14ac:dyDescent="0.2">
      <c r="AB83" s="50"/>
      <c r="AC83" s="50"/>
      <c r="AD83" s="50"/>
      <c r="AE83" s="50"/>
      <c r="AG83" s="63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8" s="49" customFormat="1" x14ac:dyDescent="0.2">
      <c r="A84" s="49" t="s">
        <v>339</v>
      </c>
      <c r="B84" s="111">
        <f t="shared" ref="B84:Z84" si="1050">+B80/B123</f>
        <v>0.10790890849064372</v>
      </c>
      <c r="C84" s="111">
        <f t="shared" si="1050"/>
        <v>9.7152808776449592E-2</v>
      </c>
      <c r="D84" s="111">
        <f t="shared" si="1050"/>
        <v>8.9226275547838255E-2</v>
      </c>
      <c r="E84" s="111">
        <f t="shared" si="1050"/>
        <v>8.1429439707612752E-2</v>
      </c>
      <c r="F84" s="111">
        <f t="shared" si="1050"/>
        <v>5.6342873860732813E-2</v>
      </c>
      <c r="G84" s="111">
        <f t="shared" si="1050"/>
        <v>3.8039551399474292E-2</v>
      </c>
      <c r="H84" s="111">
        <f t="shared" si="1050"/>
        <v>2.4677999506517546E-2</v>
      </c>
      <c r="I84" s="111">
        <f t="shared" si="1050"/>
        <v>1.7016060188568105E-2</v>
      </c>
      <c r="J84" s="111">
        <f t="shared" si="1050"/>
        <v>1.7289838548015527E-2</v>
      </c>
      <c r="K84" s="111">
        <f t="shared" si="1050"/>
        <v>2.8978749070472487E-2</v>
      </c>
      <c r="L84" s="111">
        <f t="shared" si="1050"/>
        <v>2.2579240799226394E-2</v>
      </c>
      <c r="M84" s="111">
        <f t="shared" si="1050"/>
        <v>2.3686415576453922E-2</v>
      </c>
      <c r="N84" s="111">
        <f t="shared" si="1050"/>
        <v>3.0291066152263076E-2</v>
      </c>
      <c r="O84" s="111">
        <f t="shared" si="1050"/>
        <v>3.2013828895140657E-2</v>
      </c>
      <c r="P84" s="111">
        <f t="shared" si="1050"/>
        <v>5.5203556572990073E-2</v>
      </c>
      <c r="Q84" s="111">
        <f t="shared" si="1050"/>
        <v>0.13886598884078394</v>
      </c>
      <c r="R84" s="111">
        <f t="shared" si="1050"/>
        <v>0.1420112782498309</v>
      </c>
      <c r="S84" s="111">
        <f t="shared" si="1050"/>
        <v>0.18257784852942019</v>
      </c>
      <c r="T84" s="111">
        <f t="shared" si="1050"/>
        <v>0.17788874655696144</v>
      </c>
      <c r="U84" s="111">
        <f t="shared" si="1050"/>
        <v>0.16685474597493447</v>
      </c>
      <c r="V84" s="111">
        <f t="shared" si="1050"/>
        <v>0.15459946239490069</v>
      </c>
      <c r="W84" s="111">
        <f t="shared" si="1050"/>
        <v>0.1083670657425515</v>
      </c>
      <c r="X84" s="111">
        <f t="shared" si="1050"/>
        <v>7.7558321245679324E-2</v>
      </c>
      <c r="Y84" s="111">
        <f t="shared" si="1050"/>
        <v>5.1821089309745237E-2</v>
      </c>
      <c r="Z84" s="111">
        <f t="shared" si="1050"/>
        <v>3.3477494453275698E-2</v>
      </c>
      <c r="AA84" s="111">
        <f t="shared" ref="AA84" si="1051">+AA80/AA123</f>
        <v>2.0130629758497734E-2</v>
      </c>
      <c r="AB84" s="50"/>
      <c r="AC84" s="50"/>
      <c r="AD84" s="50"/>
      <c r="AE84" s="50"/>
      <c r="AG84" s="63"/>
      <c r="AI84" s="111">
        <f t="shared" ref="AI84:AS84" si="1052">+AI80/AI123</f>
        <v>7.8324015256032803E-2</v>
      </c>
      <c r="AJ84" s="111">
        <f t="shared" si="1052"/>
        <v>9.5914651389438638E-2</v>
      </c>
      <c r="AK84" s="111">
        <f t="shared" si="1052"/>
        <v>0.13886598853149607</v>
      </c>
      <c r="AL84" s="111">
        <f t="shared" si="1052"/>
        <v>0.14275325090467905</v>
      </c>
      <c r="AM84" s="111">
        <f t="shared" si="1052"/>
        <v>0.14384943176227227</v>
      </c>
      <c r="AN84" s="111">
        <f t="shared" si="1052"/>
        <v>0.14376094305025991</v>
      </c>
      <c r="AO84" s="111">
        <f t="shared" si="1052"/>
        <v>0.14201124983958952</v>
      </c>
      <c r="AP84" s="111">
        <f t="shared" si="1052"/>
        <v>0.14017102757183636</v>
      </c>
      <c r="AQ84" s="111">
        <f t="shared" si="1052"/>
        <v>0.13527188216499428</v>
      </c>
      <c r="AR84" s="111">
        <f t="shared" si="1052"/>
        <v>0.1830709927388593</v>
      </c>
      <c r="AS84" s="111">
        <f t="shared" si="1052"/>
        <v>0.18257784671102326</v>
      </c>
      <c r="AT84" s="111">
        <f t="shared" ref="AT84:BV84" si="1053">+AT80/AT123</f>
        <v>0.18489633783920412</v>
      </c>
      <c r="AU84" s="111">
        <f t="shared" si="1053"/>
        <v>0.18091573133545227</v>
      </c>
      <c r="AV84" s="111">
        <f t="shared" si="1053"/>
        <v>0.18361514309737947</v>
      </c>
      <c r="AW84" s="111">
        <f t="shared" si="1053"/>
        <v>0.17788874880009423</v>
      </c>
      <c r="AX84" s="111">
        <f t="shared" si="1053"/>
        <v>0.18641026060718091</v>
      </c>
      <c r="AY84" s="111">
        <f t="shared" si="1053"/>
        <v>0.18361875079954396</v>
      </c>
      <c r="AZ84" s="111">
        <f t="shared" si="1053"/>
        <v>0.18336091891502376</v>
      </c>
      <c r="BA84" s="111">
        <f t="shared" si="1053"/>
        <v>0.16685474782946261</v>
      </c>
      <c r="BB84" s="111">
        <f t="shared" si="1053"/>
        <v>0.15592420330167275</v>
      </c>
      <c r="BC84" s="111">
        <f t="shared" si="1053"/>
        <v>0.15543633951939362</v>
      </c>
      <c r="BD84" s="111">
        <f t="shared" si="1053"/>
        <v>0.14916032441139176</v>
      </c>
      <c r="BE84" s="111">
        <f t="shared" si="1053"/>
        <v>0.15459949138951032</v>
      </c>
      <c r="BF84" s="111">
        <f t="shared" si="1053"/>
        <v>0.15121568314662803</v>
      </c>
      <c r="BG84" s="111">
        <f t="shared" si="1053"/>
        <v>0.13273432207605554</v>
      </c>
      <c r="BH84" s="111">
        <f t="shared" si="1053"/>
        <v>0.11386608258235696</v>
      </c>
      <c r="BI84" s="111">
        <f t="shared" si="1053"/>
        <v>0.10836708968470075</v>
      </c>
      <c r="BJ84" s="111">
        <f t="shared" si="1053"/>
        <v>0.10032611254782806</v>
      </c>
      <c r="BK84" s="111">
        <f t="shared" si="1053"/>
        <v>9.1289691783217219E-2</v>
      </c>
      <c r="BL84" s="111">
        <f t="shared" si="1053"/>
        <v>8.1673059955516561E-2</v>
      </c>
      <c r="BM84" s="111">
        <f t="shared" si="1053"/>
        <v>7.7558320479512999E-2</v>
      </c>
      <c r="BN84" s="111">
        <f t="shared" si="1053"/>
        <v>7.0359907649545181E-2</v>
      </c>
      <c r="BO84" s="111">
        <f t="shared" si="1053"/>
        <v>6.1104758737305198E-2</v>
      </c>
      <c r="BP84" s="111">
        <f t="shared" si="1053"/>
        <v>5.575764998741739E-2</v>
      </c>
      <c r="BQ84" s="111">
        <f t="shared" si="1053"/>
        <v>5.1821088886449013E-2</v>
      </c>
      <c r="BR84" s="111">
        <f t="shared" si="1053"/>
        <v>4.7939148787344898E-2</v>
      </c>
      <c r="BS84" s="111">
        <f t="shared" si="1053"/>
        <v>4.5758401344839175E-2</v>
      </c>
      <c r="BT84" s="111">
        <f t="shared" si="1053"/>
        <v>3.7999176005705834E-2</v>
      </c>
      <c r="BU84" s="111">
        <f t="shared" si="1053"/>
        <v>3.3477494525419135E-2</v>
      </c>
      <c r="BV84" s="111">
        <f t="shared" si="1053"/>
        <v>2.9859498351853055E-2</v>
      </c>
      <c r="BW84" s="111">
        <f t="shared" ref="BW84:BX84" si="1054">+BW80/BW123</f>
        <v>2.5895205425221536E-2</v>
      </c>
      <c r="BX84" s="111">
        <f t="shared" si="1054"/>
        <v>2.2960640080180363E-2</v>
      </c>
      <c r="BY84" s="111">
        <f t="shared" ref="BY84" si="1055">+BY80/BY123</f>
        <v>2.0130616656702637E-2</v>
      </c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T84" s="49">
        <v>2.0130629758497734E-2</v>
      </c>
    </row>
    <row r="85" spans="1:98" s="49" customFormat="1" x14ac:dyDescent="0.2">
      <c r="A85" s="49" t="s">
        <v>340</v>
      </c>
      <c r="B85" s="111">
        <f t="shared" ref="B85:Z85" si="1056">+B81/B123</f>
        <v>6.7183822467383886E-2</v>
      </c>
      <c r="C85" s="111">
        <f t="shared" si="1056"/>
        <v>6.0139729022283685E-2</v>
      </c>
      <c r="D85" s="111">
        <f t="shared" si="1056"/>
        <v>5.5871973805192092E-2</v>
      </c>
      <c r="E85" s="111">
        <f t="shared" si="1056"/>
        <v>4.4957576557710786E-2</v>
      </c>
      <c r="F85" s="111">
        <f t="shared" si="1056"/>
        <v>2.7748764059893911E-2</v>
      </c>
      <c r="G85" s="111">
        <f t="shared" si="1056"/>
        <v>1.4875622214518642E-2</v>
      </c>
      <c r="H85" s="111">
        <f t="shared" si="1056"/>
        <v>9.5402862852369905E-3</v>
      </c>
      <c r="I85" s="111">
        <f t="shared" si="1056"/>
        <v>5.2167709228909259E-3</v>
      </c>
      <c r="J85" s="111">
        <f t="shared" si="1056"/>
        <v>4.3958627995891479E-3</v>
      </c>
      <c r="K85" s="111">
        <f t="shared" si="1056"/>
        <v>1.3101315809163976E-2</v>
      </c>
      <c r="L85" s="111">
        <f t="shared" si="1056"/>
        <v>9.1272869578591809E-3</v>
      </c>
      <c r="M85" s="111">
        <f t="shared" si="1056"/>
        <v>1.4694252539808932E-2</v>
      </c>
      <c r="N85" s="111">
        <f t="shared" si="1056"/>
        <v>2.0552792063890445E-2</v>
      </c>
      <c r="O85" s="111">
        <f t="shared" si="1056"/>
        <v>2.0006876291863842E-2</v>
      </c>
      <c r="P85" s="111">
        <f t="shared" si="1056"/>
        <v>3.3623659286537405E-2</v>
      </c>
      <c r="Q85" s="111">
        <f t="shared" si="1056"/>
        <v>7.7943375716098579E-2</v>
      </c>
      <c r="R85" s="111">
        <f t="shared" si="1056"/>
        <v>6.904855623540683E-2</v>
      </c>
      <c r="S85" s="111">
        <f t="shared" si="1056"/>
        <v>8.2627144477634418E-2</v>
      </c>
      <c r="T85" s="111">
        <f t="shared" si="1056"/>
        <v>5.6066354031588654E-2</v>
      </c>
      <c r="U85" s="111">
        <f t="shared" si="1056"/>
        <v>3.8820135909750975E-2</v>
      </c>
      <c r="V85" s="111">
        <f t="shared" si="1056"/>
        <v>3.3531506354751953E-2</v>
      </c>
      <c r="W85" s="111">
        <f t="shared" si="1056"/>
        <v>2.3410056267494157E-2</v>
      </c>
      <c r="X85" s="111">
        <f t="shared" si="1056"/>
        <v>1.657463685208381E-2</v>
      </c>
      <c r="Y85" s="111">
        <f t="shared" si="1056"/>
        <v>1.2155420126616722E-2</v>
      </c>
      <c r="Z85" s="111">
        <f t="shared" si="1056"/>
        <v>8.2481827464727306E-3</v>
      </c>
      <c r="AA85" s="111">
        <f t="shared" ref="AA85" si="1057">+AA81/AA123</f>
        <v>5.5896291241823663E-3</v>
      </c>
      <c r="AB85" s="50"/>
      <c r="AC85" s="50"/>
      <c r="AD85" s="50"/>
      <c r="AE85" s="50"/>
      <c r="AG85" s="63"/>
      <c r="AI85" s="111">
        <f t="shared" ref="AI85:AS85" si="1058">+AI81/AI123</f>
        <v>4.3143609691722665E-2</v>
      </c>
      <c r="AJ85" s="111">
        <f t="shared" si="1058"/>
        <v>5.2472222901443974E-2</v>
      </c>
      <c r="AK85" s="111">
        <f t="shared" si="1058"/>
        <v>7.7943347702000634E-2</v>
      </c>
      <c r="AL85" s="111">
        <f t="shared" si="1058"/>
        <v>7.7769693623390923E-2</v>
      </c>
      <c r="AM85" s="111">
        <f t="shared" si="1058"/>
        <v>7.5602221782499895E-2</v>
      </c>
      <c r="AN85" s="111">
        <f t="shared" si="1058"/>
        <v>7.0891767411327369E-2</v>
      </c>
      <c r="AO85" s="111">
        <f t="shared" si="1058"/>
        <v>6.9048610262008467E-2</v>
      </c>
      <c r="AP85" s="111">
        <f t="shared" si="1058"/>
        <v>6.7055560594022318E-2</v>
      </c>
      <c r="AQ85" s="111">
        <f t="shared" si="1058"/>
        <v>6.4651816514363511E-2</v>
      </c>
      <c r="AR85" s="111">
        <f t="shared" si="1058"/>
        <v>0.10291304727789644</v>
      </c>
      <c r="AS85" s="111">
        <f t="shared" si="1058"/>
        <v>8.2627143654703569E-2</v>
      </c>
      <c r="AT85" s="111">
        <f t="shared" ref="AT85:BV85" si="1059">+AT81/AT123</f>
        <v>8.5217667686653911E-2</v>
      </c>
      <c r="AU85" s="111">
        <f t="shared" si="1059"/>
        <v>7.6392154041476937E-2</v>
      </c>
      <c r="AV85" s="111">
        <f t="shared" si="1059"/>
        <v>5.8702888548697249E-2</v>
      </c>
      <c r="AW85" s="111">
        <f t="shared" si="1059"/>
        <v>5.6066325413569047E-2</v>
      </c>
      <c r="AX85" s="111">
        <f t="shared" si="1059"/>
        <v>5.7928744515404168E-2</v>
      </c>
      <c r="AY85" s="111">
        <f t="shared" si="1059"/>
        <v>5.8679260763948707E-2</v>
      </c>
      <c r="AZ85" s="111">
        <f t="shared" si="1059"/>
        <v>5.9743532210317682E-2</v>
      </c>
      <c r="BA85" s="111">
        <f t="shared" si="1059"/>
        <v>3.8820136341222278E-2</v>
      </c>
      <c r="BB85" s="111">
        <f t="shared" si="1059"/>
        <v>3.5818749268782105E-2</v>
      </c>
      <c r="BC85" s="111">
        <f t="shared" si="1059"/>
        <v>2.8868597628850422E-2</v>
      </c>
      <c r="BD85" s="111">
        <f t="shared" si="1059"/>
        <v>2.4619074811603726E-2</v>
      </c>
      <c r="BE85" s="111">
        <f t="shared" si="1059"/>
        <v>3.3531534058187325E-2</v>
      </c>
      <c r="BF85" s="111">
        <f t="shared" si="1059"/>
        <v>3.3523709168568359E-2</v>
      </c>
      <c r="BG85" s="111">
        <f t="shared" si="1059"/>
        <v>2.7925676576273425E-2</v>
      </c>
      <c r="BH85" s="111">
        <f t="shared" si="1059"/>
        <v>2.6645250971891677E-2</v>
      </c>
      <c r="BI85" s="111">
        <f t="shared" si="1059"/>
        <v>2.3410056306432878E-2</v>
      </c>
      <c r="BJ85" s="111">
        <f t="shared" si="1059"/>
        <v>2.2080786036706008E-2</v>
      </c>
      <c r="BK85" s="111">
        <f t="shared" si="1059"/>
        <v>1.9199420882864648E-2</v>
      </c>
      <c r="BL85" s="111">
        <f t="shared" si="1059"/>
        <v>1.6060023086287123E-2</v>
      </c>
      <c r="BM85" s="111">
        <f t="shared" si="1059"/>
        <v>1.6574636688349881E-2</v>
      </c>
      <c r="BN85" s="111">
        <f t="shared" si="1059"/>
        <v>1.6518113754411888E-2</v>
      </c>
      <c r="BO85" s="111">
        <f t="shared" si="1059"/>
        <v>1.5369747904663817E-2</v>
      </c>
      <c r="BP85" s="111">
        <f t="shared" si="1059"/>
        <v>1.4064570162135996E-2</v>
      </c>
      <c r="BQ85" s="111">
        <f t="shared" si="1059"/>
        <v>1.2155402269899846E-2</v>
      </c>
      <c r="BR85" s="111">
        <f t="shared" si="1059"/>
        <v>9.8622905065618542E-3</v>
      </c>
      <c r="BS85" s="111">
        <f t="shared" si="1059"/>
        <v>9.4131008486710611E-3</v>
      </c>
      <c r="BT85" s="111">
        <f t="shared" si="1059"/>
        <v>8.548458869320175E-3</v>
      </c>
      <c r="BU85" s="111">
        <f t="shared" si="1059"/>
        <v>8.2481827642474238E-3</v>
      </c>
      <c r="BV85" s="111">
        <f t="shared" si="1059"/>
        <v>7.5254443588585618E-3</v>
      </c>
      <c r="BW85" s="111">
        <f t="shared" ref="BW85:BX85" si="1060">+BW81/BW123</f>
        <v>6.5120851201485603E-3</v>
      </c>
      <c r="BX85" s="111">
        <f t="shared" si="1060"/>
        <v>5.9883196686405871E-3</v>
      </c>
      <c r="BY85" s="111">
        <f t="shared" ref="BY85" si="1061">+BY81/BY123</f>
        <v>5.5896028339512717E-3</v>
      </c>
      <c r="BZ85" s="114">
        <f t="shared" ref="BZ85:CO85" si="1062">+BY85</f>
        <v>5.5896028339512717E-3</v>
      </c>
      <c r="CA85" s="114">
        <f t="shared" si="1062"/>
        <v>5.5896028339512717E-3</v>
      </c>
      <c r="CB85" s="114">
        <f t="shared" si="1062"/>
        <v>5.5896028339512717E-3</v>
      </c>
      <c r="CC85" s="114">
        <f t="shared" si="1062"/>
        <v>5.5896028339512717E-3</v>
      </c>
      <c r="CD85" s="114">
        <f t="shared" si="1062"/>
        <v>5.5896028339512717E-3</v>
      </c>
      <c r="CE85" s="114">
        <f t="shared" si="1062"/>
        <v>5.5896028339512717E-3</v>
      </c>
      <c r="CF85" s="114">
        <f t="shared" si="1062"/>
        <v>5.5896028339512717E-3</v>
      </c>
      <c r="CG85" s="114">
        <f t="shared" si="1062"/>
        <v>5.5896028339512717E-3</v>
      </c>
      <c r="CH85" s="114">
        <f t="shared" si="1062"/>
        <v>5.5896028339512717E-3</v>
      </c>
      <c r="CI85" s="114">
        <f t="shared" si="1062"/>
        <v>5.5896028339512717E-3</v>
      </c>
      <c r="CJ85" s="114">
        <f t="shared" si="1062"/>
        <v>5.5896028339512717E-3</v>
      </c>
      <c r="CK85" s="114">
        <f t="shared" si="1062"/>
        <v>5.5896028339512717E-3</v>
      </c>
      <c r="CL85" s="114">
        <f t="shared" si="1062"/>
        <v>5.5896028339512717E-3</v>
      </c>
      <c r="CM85" s="114">
        <f t="shared" si="1062"/>
        <v>5.5896028339512717E-3</v>
      </c>
      <c r="CN85" s="114">
        <f t="shared" si="1062"/>
        <v>5.5896028339512717E-3</v>
      </c>
      <c r="CO85" s="114">
        <f t="shared" si="1062"/>
        <v>5.5896028339512717E-3</v>
      </c>
      <c r="CT85" s="49">
        <v>5.5896291241823663E-3</v>
      </c>
    </row>
    <row r="86" spans="1:98" s="49" customFormat="1" x14ac:dyDescent="0.2">
      <c r="AB86" s="50"/>
      <c r="AC86" s="50"/>
      <c r="AD86" s="50"/>
      <c r="AE86" s="50"/>
      <c r="AG86" s="63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</row>
    <row r="87" spans="1:98" s="49" customFormat="1" x14ac:dyDescent="0.2">
      <c r="A87" s="49" t="s">
        <v>345</v>
      </c>
      <c r="B87" s="49">
        <f>+'Annual Raw'!C54</f>
        <v>0</v>
      </c>
      <c r="C87" s="49">
        <f>+'Annual Raw'!D54</f>
        <v>0</v>
      </c>
      <c r="D87" s="49">
        <f>+'Annual Raw'!E54</f>
        <v>0</v>
      </c>
      <c r="E87" s="49">
        <f>+'Annual Raw'!F54</f>
        <v>0</v>
      </c>
      <c r="F87" s="49">
        <f>+'Annual Raw'!G54</f>
        <v>0</v>
      </c>
      <c r="G87" s="49">
        <f>+'Annual Raw'!H54</f>
        <v>3.03</v>
      </c>
      <c r="H87" s="49">
        <f>+'Annual Raw'!I54</f>
        <v>3.2</v>
      </c>
      <c r="I87" s="49">
        <f>+'Annual Raw'!J54</f>
        <v>2.95</v>
      </c>
      <c r="J87" s="49">
        <f>+'Annual Raw'!K54</f>
        <v>2.97</v>
      </c>
      <c r="K87" s="49">
        <f>+'Annual Raw'!L54</f>
        <v>2.5099999999999998</v>
      </c>
      <c r="L87" s="49">
        <f>+'Annual Raw'!M54</f>
        <v>2.92</v>
      </c>
      <c r="M87" s="49">
        <f>+'Annual Raw'!N54</f>
        <v>2.52</v>
      </c>
      <c r="N87" s="49">
        <f>+'Annual Raw'!O54</f>
        <v>2.46</v>
      </c>
      <c r="O87" s="49">
        <f>+'Annual Raw'!P54</f>
        <v>2.34</v>
      </c>
      <c r="P87" s="49">
        <f>+'Annual Raw'!Q54</f>
        <v>2.11</v>
      </c>
      <c r="Q87" s="49">
        <f>+'Annual Raw'!R54</f>
        <v>2.11</v>
      </c>
      <c r="R87" s="49">
        <f>+'Annual Raw'!S54</f>
        <v>2.2000000000000002</v>
      </c>
      <c r="S87" s="49">
        <f>+'Annual Raw'!T54</f>
        <v>1.92</v>
      </c>
      <c r="T87" s="49">
        <f>+'Annual Raw'!U54</f>
        <v>2.56</v>
      </c>
      <c r="U87" s="49">
        <f>+'Annual Raw'!V54</f>
        <v>2.93</v>
      </c>
      <c r="V87" s="49">
        <f>+'Annual Raw'!W54</f>
        <v>2.48</v>
      </c>
      <c r="W87" s="49">
        <f>+'Annual Raw'!X54</f>
        <v>2.36</v>
      </c>
      <c r="X87" s="49">
        <f>+'Annual Raw'!Y54</f>
        <v>3.01</v>
      </c>
      <c r="Y87" s="49">
        <f>+'Annual Raw'!Z54</f>
        <v>2.97</v>
      </c>
      <c r="Z87" s="49">
        <f>+'Annual Raw'!AA54</f>
        <v>2.82</v>
      </c>
      <c r="AA87" s="49">
        <f>+'Annual Raw'!AB54</f>
        <v>2.52</v>
      </c>
      <c r="AB87" s="50"/>
      <c r="AC87" s="50"/>
      <c r="AD87" s="50"/>
      <c r="AE87" s="50"/>
      <c r="AG87" s="63"/>
      <c r="AH87" s="49">
        <f>+'QTR Raw'!C48</f>
        <v>2.12</v>
      </c>
      <c r="AI87" s="49">
        <f>+'QTR Raw'!D48</f>
        <v>2.29</v>
      </c>
      <c r="AJ87" s="49">
        <f>+'QTR Raw'!E48</f>
        <v>0</v>
      </c>
      <c r="AK87" s="49">
        <f>+'QTR Raw'!F48</f>
        <v>2.06</v>
      </c>
      <c r="AL87" s="49">
        <f>+'QTR Raw'!G48</f>
        <v>2.2000000000000002</v>
      </c>
      <c r="AM87" s="49">
        <f>+'QTR Raw'!H48</f>
        <v>2.62</v>
      </c>
      <c r="AN87" s="49">
        <f>+'QTR Raw'!I48</f>
        <v>2.21</v>
      </c>
      <c r="AO87" s="49">
        <f>+'QTR Raw'!J48</f>
        <v>2.39</v>
      </c>
      <c r="AP87" s="49">
        <f>+'QTR Raw'!K48</f>
        <v>1.99</v>
      </c>
      <c r="AQ87" s="49">
        <f>+'QTR Raw'!L48</f>
        <v>2.15</v>
      </c>
      <c r="AR87" s="49">
        <f>+'QTR Raw'!M48</f>
        <v>1.88</v>
      </c>
      <c r="AS87" s="49">
        <f>+'QTR Raw'!N48</f>
        <v>1.92</v>
      </c>
      <c r="AT87" s="49">
        <f>+'QTR Raw'!O48</f>
        <v>2.4900000000000002</v>
      </c>
      <c r="AU87" s="49">
        <f>+'QTR Raw'!P48</f>
        <v>2.65</v>
      </c>
      <c r="AV87" s="49">
        <f>+'QTR Raw'!Q48</f>
        <v>3.02</v>
      </c>
      <c r="AW87" s="49">
        <f>+'QTR Raw'!R48</f>
        <v>3.38</v>
      </c>
      <c r="AX87" s="49">
        <f>+'QTR Raw'!S48</f>
        <v>3.03</v>
      </c>
      <c r="AY87" s="49">
        <f>+'QTR Raw'!T48</f>
        <v>3.36</v>
      </c>
      <c r="AZ87" s="49">
        <f>+'QTR Raw'!U48</f>
        <v>3.45</v>
      </c>
      <c r="BA87" s="49">
        <f>+'QTR Raw'!V48</f>
        <v>3.28</v>
      </c>
      <c r="BB87" s="49">
        <f>+'QTR Raw'!W48</f>
        <v>2.73</v>
      </c>
      <c r="BC87" s="49">
        <f>+'QTR Raw'!X48</f>
        <v>2.88</v>
      </c>
      <c r="BD87" s="49">
        <f>+'QTR Raw'!Y48</f>
        <v>2.58</v>
      </c>
      <c r="BE87" s="49">
        <f>+'QTR Raw'!Z48</f>
        <v>2.16</v>
      </c>
      <c r="BF87" s="49">
        <f>+'QTR Raw'!AA48</f>
        <v>2.35</v>
      </c>
      <c r="BG87" s="49">
        <f>+'QTR Raw'!AB48</f>
        <v>2.65</v>
      </c>
      <c r="BH87" s="49">
        <f>+'QTR Raw'!AC48</f>
        <v>2.27</v>
      </c>
      <c r="BI87" s="49">
        <f>+'QTR Raw'!AD48</f>
        <v>2.9</v>
      </c>
      <c r="BJ87" s="49">
        <f>+'QTR Raw'!AE48</f>
        <v>2.88</v>
      </c>
      <c r="BK87" s="49">
        <f>+'QTR Raw'!AF48</f>
        <v>3.49</v>
      </c>
      <c r="BL87" s="49">
        <f>+'QTR Raw'!AG48</f>
        <v>3.28</v>
      </c>
      <c r="BM87" s="49">
        <f>+'QTR Raw'!AH48</f>
        <v>3.15</v>
      </c>
      <c r="BN87" s="49">
        <f>+'QTR Raw'!AI48</f>
        <v>3.03</v>
      </c>
      <c r="BO87" s="49">
        <f>+'QTR Raw'!AJ48</f>
        <v>3.47</v>
      </c>
      <c r="BP87" s="49">
        <f>+'QTR Raw'!AK48</f>
        <v>2.85</v>
      </c>
      <c r="BQ87" s="49">
        <f>+'QTR Raw'!AL48</f>
        <v>2.92</v>
      </c>
      <c r="BR87" s="49">
        <f>+'QTR Raw'!AM48</f>
        <v>3.07</v>
      </c>
      <c r="BS87" s="49">
        <f>+'QTR Raw'!AN48</f>
        <v>3.14</v>
      </c>
      <c r="BT87" s="49">
        <f>+'QTR Raw'!AO48</f>
        <v>2.8</v>
      </c>
      <c r="BU87" s="49">
        <f>+'QTR Raw'!AP48</f>
        <v>2.61</v>
      </c>
      <c r="BV87" s="49">
        <f>+'QTR Raw'!AQ48</f>
        <v>2.5499999999999998</v>
      </c>
      <c r="BW87" s="49">
        <f>+'QTR Raw'!AR48</f>
        <v>2.41</v>
      </c>
      <c r="BX87" s="49">
        <f>+'QTR Raw'!AS48</f>
        <v>2.57</v>
      </c>
      <c r="BY87" s="49">
        <f>+'QTR Raw'!AT48</f>
        <v>2.58</v>
      </c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T87" s="49">
        <v>2.52</v>
      </c>
    </row>
    <row r="88" spans="1:98" s="37" customFormat="1" x14ac:dyDescent="0.2">
      <c r="A88" s="37" t="s">
        <v>344</v>
      </c>
      <c r="D88" s="111">
        <f t="shared" ref="D88:Z88" si="1063">+D40/D90</f>
        <v>3.1949901011429471E-2</v>
      </c>
      <c r="E88" s="111">
        <f t="shared" si="1063"/>
        <v>3.1429504947700741E-2</v>
      </c>
      <c r="F88" s="111">
        <f t="shared" si="1063"/>
        <v>2.8452968544187118E-2</v>
      </c>
      <c r="G88" s="111">
        <f t="shared" si="1063"/>
        <v>2.9055230310676753E-2</v>
      </c>
      <c r="H88" s="111">
        <f t="shared" si="1063"/>
        <v>3.1627136401791121E-2</v>
      </c>
      <c r="I88" s="111">
        <f t="shared" si="1063"/>
        <v>3.0659337534683608E-2</v>
      </c>
      <c r="J88" s="111">
        <f t="shared" si="1063"/>
        <v>3.1351033790728067E-2</v>
      </c>
      <c r="K88" s="111">
        <f t="shared" si="1063"/>
        <v>2.6704303751578867E-2</v>
      </c>
      <c r="L88" s="111">
        <f t="shared" si="1063"/>
        <v>2.9224001842994986E-2</v>
      </c>
      <c r="M88" s="111">
        <f t="shared" si="1063"/>
        <v>2.6202382651177823E-2</v>
      </c>
      <c r="N88" s="111">
        <f t="shared" si="1063"/>
        <v>2.5081718376856355E-2</v>
      </c>
      <c r="O88" s="111">
        <f t="shared" si="1063"/>
        <v>2.4930244598070677E-2</v>
      </c>
      <c r="P88" s="111">
        <f t="shared" si="1063"/>
        <v>2.2605384465806785E-2</v>
      </c>
      <c r="Q88" s="111">
        <f t="shared" si="1063"/>
        <v>2.3452635105507606E-2</v>
      </c>
      <c r="R88" s="111">
        <f t="shared" si="1063"/>
        <v>2.432490454630688E-2</v>
      </c>
      <c r="S88" s="111">
        <f t="shared" si="1063"/>
        <v>2.1600205688358527E-2</v>
      </c>
      <c r="T88" s="111">
        <f t="shared" si="1063"/>
        <v>2.8243527844558469E-2</v>
      </c>
      <c r="U88" s="111">
        <f t="shared" si="1063"/>
        <v>3.0030428734702446E-2</v>
      </c>
      <c r="V88" s="111">
        <f t="shared" si="1063"/>
        <v>2.6415943556811445E-2</v>
      </c>
      <c r="W88" s="111">
        <f t="shared" si="1063"/>
        <v>2.4493529180213761E-2</v>
      </c>
      <c r="X88" s="111">
        <f t="shared" si="1063"/>
        <v>3.154184292304469E-2</v>
      </c>
      <c r="Y88" s="111">
        <f t="shared" si="1063"/>
        <v>3.1140245485291339E-2</v>
      </c>
      <c r="Z88" s="111">
        <f t="shared" si="1063"/>
        <v>2.8714673892470861E-2</v>
      </c>
      <c r="AA88" s="111">
        <f t="shared" ref="AA88" si="1064">+AA40/AA90</f>
        <v>2.5981653809672385E-2</v>
      </c>
      <c r="AB88" s="38"/>
      <c r="AC88" s="38"/>
      <c r="AD88" s="38"/>
      <c r="AE88" s="38"/>
      <c r="AG88" s="59"/>
      <c r="AI88" s="111">
        <f t="shared" ref="AI88:AT88" si="1065">+AI40/AI90*4</f>
        <v>2.41792262505875E-2</v>
      </c>
      <c r="AJ88" s="111">
        <f t="shared" si="1065"/>
        <v>2.1602385097829118E-2</v>
      </c>
      <c r="AK88" s="111">
        <f t="shared" si="1065"/>
        <v>2.5981960481807884E-2</v>
      </c>
      <c r="AL88" s="111">
        <f t="shared" si="1065"/>
        <v>2.3339130964977153E-2</v>
      </c>
      <c r="AM88" s="111">
        <f t="shared" si="1065"/>
        <v>2.274192844883036E-2</v>
      </c>
      <c r="AN88" s="111">
        <f t="shared" si="1065"/>
        <v>2.2920584367969451E-2</v>
      </c>
      <c r="AO88" s="111">
        <f t="shared" si="1065"/>
        <v>2.7475806614112204E-2</v>
      </c>
      <c r="AP88" s="111">
        <f t="shared" si="1065"/>
        <v>2.0637788722569918E-2</v>
      </c>
      <c r="AQ88" s="111">
        <f t="shared" si="1065"/>
        <v>2.3731095026216287E-2</v>
      </c>
      <c r="AR88" s="111">
        <f t="shared" si="1065"/>
        <v>2.0446585820499189E-2</v>
      </c>
      <c r="AS88" s="111">
        <f t="shared" si="1065"/>
        <v>2.126961190943133E-2</v>
      </c>
      <c r="AT88" s="111">
        <f t="shared" si="1065"/>
        <v>2.8503104868501831E-2</v>
      </c>
      <c r="AU88" s="111">
        <f t="shared" ref="AU88:CO88" si="1066">+AU40/AU90*4</f>
        <v>2.4997123085469294E-2</v>
      </c>
      <c r="AV88" s="111">
        <f t="shared" si="1066"/>
        <v>2.8001304065918248E-2</v>
      </c>
      <c r="AW88" s="111">
        <f t="shared" si="1066"/>
        <v>3.3461590421888635E-2</v>
      </c>
      <c r="AX88" s="111">
        <f t="shared" si="1066"/>
        <v>2.8828423766133961E-2</v>
      </c>
      <c r="AY88" s="111">
        <f t="shared" si="1066"/>
        <v>3.2081182645724439E-2</v>
      </c>
      <c r="AZ88" s="111">
        <f t="shared" si="1066"/>
        <v>3.3683993034057023E-2</v>
      </c>
      <c r="BA88" s="111">
        <f t="shared" si="1066"/>
        <v>2.9708790818514665E-2</v>
      </c>
      <c r="BB88" s="111">
        <f t="shared" si="1066"/>
        <v>2.6259508281440403E-2</v>
      </c>
      <c r="BC88" s="111">
        <f t="shared" si="1066"/>
        <v>3.0556338583553475E-2</v>
      </c>
      <c r="BD88" s="111">
        <f t="shared" si="1066"/>
        <v>2.7503764328321009E-2</v>
      </c>
      <c r="BE88" s="111">
        <f t="shared" si="1066"/>
        <v>2.1413497738633925E-2</v>
      </c>
      <c r="BF88" s="111">
        <f t="shared" si="1066"/>
        <v>2.2647683573485719E-2</v>
      </c>
      <c r="BG88" s="111">
        <f t="shared" si="1066"/>
        <v>2.5418939881530361E-2</v>
      </c>
      <c r="BH88" s="111">
        <f t="shared" si="1066"/>
        <v>2.4234638649236945E-2</v>
      </c>
      <c r="BI88" s="111">
        <f t="shared" si="1066"/>
        <v>2.7274473016653814E-2</v>
      </c>
      <c r="BJ88" s="111">
        <f t="shared" si="1066"/>
        <v>2.6784162316720896E-2</v>
      </c>
      <c r="BK88" s="111">
        <f t="shared" si="1066"/>
        <v>3.2140378775463954E-2</v>
      </c>
      <c r="BL88" s="111">
        <f t="shared" si="1066"/>
        <v>3.4223105867524625E-2</v>
      </c>
      <c r="BM88" s="111">
        <f t="shared" si="1066"/>
        <v>3.2639017922354803E-2</v>
      </c>
      <c r="BN88" s="111">
        <f t="shared" si="1066"/>
        <v>3.403888772109831E-2</v>
      </c>
      <c r="BO88" s="111">
        <f t="shared" si="1066"/>
        <v>3.2095997145561071E-2</v>
      </c>
      <c r="BP88" s="111">
        <f t="shared" si="1066"/>
        <v>2.9435787515522178E-2</v>
      </c>
      <c r="BQ88" s="111">
        <f t="shared" si="1066"/>
        <v>3.0751905233009094E-2</v>
      </c>
      <c r="BR88" s="111">
        <f t="shared" si="1066"/>
        <v>3.1182201245975594E-2</v>
      </c>
      <c r="BS88" s="111">
        <f t="shared" si="1066"/>
        <v>2.8339238456032798E-2</v>
      </c>
      <c r="BT88" s="111">
        <f t="shared" si="1066"/>
        <v>2.7501675472133395E-2</v>
      </c>
      <c r="BU88" s="111">
        <f t="shared" si="1066"/>
        <v>2.6873464490030488E-2</v>
      </c>
      <c r="BV88" s="111">
        <f t="shared" si="1066"/>
        <v>2.6408250000125113E-2</v>
      </c>
      <c r="BW88" s="111">
        <f t="shared" ref="BW88:BX88" si="1067">+BW40/BW90*4</f>
        <v>2.5084413059195013E-2</v>
      </c>
      <c r="BX88" s="111">
        <f t="shared" si="1067"/>
        <v>2.6502429861487906E-2</v>
      </c>
      <c r="BY88" s="111">
        <f t="shared" ref="BY88" si="1068">+BY40/BY90*4</f>
        <v>2.661966352182317E-2</v>
      </c>
      <c r="BZ88" s="113">
        <f t="shared" si="1066"/>
        <v>2.5525978415347376E-2</v>
      </c>
      <c r="CA88" s="113">
        <f t="shared" si="1066"/>
        <v>2.5549170708238259E-2</v>
      </c>
      <c r="CB88" s="113">
        <f t="shared" si="1066"/>
        <v>2.4982719669788607E-2</v>
      </c>
      <c r="CC88" s="113">
        <f t="shared" si="1066"/>
        <v>2.4492027839748517E-2</v>
      </c>
      <c r="CD88" s="113">
        <f t="shared" si="1066"/>
        <v>2.4664338506803517E-2</v>
      </c>
      <c r="CE88" s="113">
        <f t="shared" si="1066"/>
        <v>2.4576512105734596E-2</v>
      </c>
      <c r="CF88" s="113">
        <f t="shared" si="1066"/>
        <v>2.3651400811842461E-2</v>
      </c>
      <c r="CG88" s="113">
        <f t="shared" si="1066"/>
        <v>2.318291455565677E-2</v>
      </c>
      <c r="CH88" s="113">
        <f t="shared" si="1066"/>
        <v>2.4075482883282869E-2</v>
      </c>
      <c r="CI88" s="113">
        <f t="shared" si="1066"/>
        <v>2.4089109769418259E-2</v>
      </c>
      <c r="CJ88" s="113">
        <f t="shared" si="1066"/>
        <v>2.329389904982165E-2</v>
      </c>
      <c r="CK88" s="113">
        <f t="shared" si="1066"/>
        <v>2.3070923585839294E-2</v>
      </c>
      <c r="CL88" s="113">
        <f t="shared" si="1066"/>
        <v>2.3755606258118719E-2</v>
      </c>
      <c r="CM88" s="113">
        <f t="shared" si="1066"/>
        <v>2.3834159551740144E-2</v>
      </c>
      <c r="CN88" s="113">
        <f t="shared" si="1066"/>
        <v>2.3098575179484698E-2</v>
      </c>
      <c r="CO88" s="113">
        <f t="shared" si="1066"/>
        <v>2.2918450053455081E-2</v>
      </c>
      <c r="CT88" s="37">
        <v>2.5981653809672385E-2</v>
      </c>
    </row>
    <row r="89" spans="1:98" s="49" customFormat="1" x14ac:dyDescent="0.2">
      <c r="A89" s="49" t="s">
        <v>346</v>
      </c>
      <c r="C89" s="49">
        <f t="shared" ref="C89:Z89" si="1069">+SUM(C122:C123)</f>
        <v>60394.3177</v>
      </c>
      <c r="D89" s="49">
        <f t="shared" si="1069"/>
        <v>67068.024000000005</v>
      </c>
      <c r="E89" s="49">
        <f t="shared" si="1069"/>
        <v>73018.783200000005</v>
      </c>
      <c r="F89" s="49">
        <f t="shared" si="1069"/>
        <v>84215.207800000004</v>
      </c>
      <c r="G89" s="49">
        <f t="shared" si="1069"/>
        <v>96955.498600000006</v>
      </c>
      <c r="H89" s="49">
        <f t="shared" si="1069"/>
        <v>120608.6562</v>
      </c>
      <c r="I89" s="49">
        <f t="shared" si="1069"/>
        <v>155279.20310000001</v>
      </c>
      <c r="J89" s="49">
        <f t="shared" si="1069"/>
        <v>195516.55290000001</v>
      </c>
      <c r="K89" s="49">
        <f t="shared" si="1069"/>
        <v>235570.88930000001</v>
      </c>
      <c r="L89" s="49">
        <f t="shared" si="1069"/>
        <v>298968.5993</v>
      </c>
      <c r="M89" s="49">
        <f t="shared" si="1069"/>
        <v>335586.93030000001</v>
      </c>
      <c r="N89" s="49">
        <f t="shared" si="1069"/>
        <v>383980.929</v>
      </c>
      <c r="O89" s="49">
        <f t="shared" si="1069"/>
        <v>484885.97340000002</v>
      </c>
      <c r="P89" s="49">
        <f t="shared" si="1069"/>
        <v>521817.59470000002</v>
      </c>
      <c r="Q89" s="49">
        <f t="shared" si="1069"/>
        <v>478037.87119999999</v>
      </c>
      <c r="R89" s="49">
        <f t="shared" si="1069"/>
        <v>494308.53020000004</v>
      </c>
      <c r="S89" s="49">
        <f t="shared" si="1069"/>
        <v>478491.29879999999</v>
      </c>
      <c r="T89" s="49">
        <f t="shared" si="1069"/>
        <v>488644.97930000001</v>
      </c>
      <c r="U89" s="49">
        <f t="shared" si="1069"/>
        <v>527456.29150000005</v>
      </c>
      <c r="V89" s="49">
        <f t="shared" si="1069"/>
        <v>552939.36950000003</v>
      </c>
      <c r="W89" s="49">
        <f t="shared" si="1069"/>
        <v>595290.1973</v>
      </c>
      <c r="X89" s="49">
        <f t="shared" si="1069"/>
        <v>690297.51230000006</v>
      </c>
      <c r="Y89" s="49">
        <f t="shared" si="1069"/>
        <v>790289.13310000009</v>
      </c>
      <c r="Z89" s="49">
        <f t="shared" si="1069"/>
        <v>908768.84620000003</v>
      </c>
      <c r="AA89" s="49">
        <f t="shared" ref="AA89" si="1070">+SUM(AA122:AA123)</f>
        <v>1028964.1853</v>
      </c>
      <c r="AB89" s="50"/>
      <c r="AC89" s="50"/>
      <c r="AD89" s="50"/>
      <c r="AE89" s="50"/>
      <c r="AG89" s="63"/>
      <c r="AI89" s="49">
        <f t="shared" ref="AI89:AT89" si="1071">+SUM(AI122:AI123)</f>
        <v>499559.41</v>
      </c>
      <c r="AJ89" s="49">
        <f t="shared" si="1071"/>
        <v>503307.63</v>
      </c>
      <c r="AK89" s="49">
        <f t="shared" si="1071"/>
        <v>478037.87</v>
      </c>
      <c r="AL89" s="49">
        <f t="shared" si="1071"/>
        <v>473212.63</v>
      </c>
      <c r="AM89" s="49">
        <f t="shared" si="1071"/>
        <v>483518.9</v>
      </c>
      <c r="AN89" s="49">
        <f t="shared" si="1071"/>
        <v>515621.42000000004</v>
      </c>
      <c r="AO89" s="49">
        <f t="shared" si="1071"/>
        <v>494308.52999999997</v>
      </c>
      <c r="AP89" s="49">
        <f t="shared" si="1071"/>
        <v>487591.24</v>
      </c>
      <c r="AQ89" s="49">
        <f t="shared" si="1071"/>
        <v>492806.84</v>
      </c>
      <c r="AR89" s="49">
        <f t="shared" si="1071"/>
        <v>485832.82999999996</v>
      </c>
      <c r="AS89" s="49">
        <f t="shared" si="1071"/>
        <v>478491.3</v>
      </c>
      <c r="AT89" s="49">
        <f t="shared" si="1071"/>
        <v>462964.03</v>
      </c>
      <c r="AU89" s="49">
        <f t="shared" ref="AU89:CO89" si="1072">+SUM(AU122:AU123)</f>
        <v>473716.56</v>
      </c>
      <c r="AV89" s="49">
        <f t="shared" si="1072"/>
        <v>478290.53</v>
      </c>
      <c r="AW89" s="49">
        <f t="shared" si="1072"/>
        <v>488644.98</v>
      </c>
      <c r="AX89" s="49">
        <f t="shared" si="1072"/>
        <v>478572.66000000003</v>
      </c>
      <c r="AY89" s="49">
        <f t="shared" si="1072"/>
        <v>484100.07999999996</v>
      </c>
      <c r="AZ89" s="49">
        <f t="shared" si="1072"/>
        <v>493938.36</v>
      </c>
      <c r="BA89" s="49">
        <f t="shared" si="1072"/>
        <v>527456.29</v>
      </c>
      <c r="BB89" s="49">
        <f t="shared" si="1072"/>
        <v>533078.41999999993</v>
      </c>
      <c r="BC89" s="49">
        <f t="shared" si="1072"/>
        <v>543830.71</v>
      </c>
      <c r="BD89" s="49">
        <f t="shared" si="1072"/>
        <v>543886.57999999996</v>
      </c>
      <c r="BE89" s="49">
        <f t="shared" si="1072"/>
        <v>552939.37</v>
      </c>
      <c r="BF89" s="49">
        <f t="shared" si="1072"/>
        <v>557853.26</v>
      </c>
      <c r="BG89" s="49">
        <f t="shared" si="1072"/>
        <v>551077.33000000007</v>
      </c>
      <c r="BH89" s="49">
        <f t="shared" si="1072"/>
        <v>573890.96</v>
      </c>
      <c r="BI89" s="49">
        <f t="shared" si="1072"/>
        <v>595290.19999999995</v>
      </c>
      <c r="BJ89" s="49">
        <f t="shared" si="1072"/>
        <v>621079.37</v>
      </c>
      <c r="BK89" s="49">
        <f t="shared" si="1072"/>
        <v>644269.75</v>
      </c>
      <c r="BL89" s="49">
        <f t="shared" si="1072"/>
        <v>663625.57000000007</v>
      </c>
      <c r="BM89" s="49">
        <f t="shared" si="1072"/>
        <v>690297.52</v>
      </c>
      <c r="BN89" s="49">
        <f t="shared" si="1072"/>
        <v>699649.19</v>
      </c>
      <c r="BO89" s="49">
        <f t="shared" si="1072"/>
        <v>730936.67999999993</v>
      </c>
      <c r="BP89" s="49">
        <f t="shared" si="1072"/>
        <v>753914.37</v>
      </c>
      <c r="BQ89" s="49">
        <f t="shared" si="1072"/>
        <v>790289.14</v>
      </c>
      <c r="BR89" s="49">
        <f t="shared" si="1072"/>
        <v>819811.42999999993</v>
      </c>
      <c r="BS89" s="49">
        <f t="shared" si="1072"/>
        <v>869749.85</v>
      </c>
      <c r="BT89" s="49">
        <f t="shared" si="1072"/>
        <v>896050.92999999993</v>
      </c>
      <c r="BU89" s="49">
        <f t="shared" si="1072"/>
        <v>908768.84000000008</v>
      </c>
      <c r="BV89" s="49">
        <f t="shared" si="1072"/>
        <v>929477.91999999993</v>
      </c>
      <c r="BW89" s="49">
        <f t="shared" ref="BW89:BX89" si="1073">+SUM(BW122:BW123)</f>
        <v>956560.23</v>
      </c>
      <c r="BX89" s="49">
        <f t="shared" si="1073"/>
        <v>993657.93</v>
      </c>
      <c r="BY89" s="49">
        <f t="shared" ref="BY89" si="1074">+SUM(BY122:BY123)</f>
        <v>1028964.1799999999</v>
      </c>
      <c r="BZ89" s="38">
        <f t="shared" si="1072"/>
        <v>1028328.3183716208</v>
      </c>
      <c r="CA89" s="38">
        <f t="shared" si="1072"/>
        <v>1077791.2646883857</v>
      </c>
      <c r="CB89" s="38">
        <f t="shared" si="1072"/>
        <v>1124847.9014841716</v>
      </c>
      <c r="CC89" s="38">
        <f t="shared" si="1072"/>
        <v>1174905.5670100243</v>
      </c>
      <c r="CD89" s="38">
        <f t="shared" si="1072"/>
        <v>1159529.2276181234</v>
      </c>
      <c r="CE89" s="38">
        <f t="shared" si="1072"/>
        <v>1220349.818862146</v>
      </c>
      <c r="CF89" s="38">
        <f t="shared" si="1072"/>
        <v>1275277.9435776896</v>
      </c>
      <c r="CG89" s="38">
        <f t="shared" si="1072"/>
        <v>1333682.826748536</v>
      </c>
      <c r="CH89" s="38">
        <f t="shared" si="1072"/>
        <v>1314104.1288230352</v>
      </c>
      <c r="CI89" s="38">
        <f t="shared" si="1072"/>
        <v>1384886.828060165</v>
      </c>
      <c r="CJ89" s="38">
        <f t="shared" si="1072"/>
        <v>1448089.2826037721</v>
      </c>
      <c r="CK89" s="38">
        <f t="shared" si="1072"/>
        <v>1515059.6607766631</v>
      </c>
      <c r="CL89" s="38">
        <f t="shared" si="1072"/>
        <v>1492904.8789859682</v>
      </c>
      <c r="CM89" s="38">
        <f t="shared" si="1072"/>
        <v>1574355.4999002744</v>
      </c>
      <c r="CN89" s="38">
        <f t="shared" si="1072"/>
        <v>1646987.6747928511</v>
      </c>
      <c r="CO89" s="38">
        <f t="shared" si="1072"/>
        <v>1723926.7899319539</v>
      </c>
      <c r="CT89" s="49">
        <v>1028964.1853</v>
      </c>
    </row>
    <row r="90" spans="1:98" x14ac:dyDescent="0.2">
      <c r="A90" s="46" t="s">
        <v>347</v>
      </c>
      <c r="D90" s="112">
        <f t="shared" ref="D90:AA90" si="1075">+AVERAGE(C89:D89)</f>
        <v>63731.170850000002</v>
      </c>
      <c r="E90" s="112">
        <f t="shared" si="1075"/>
        <v>70043.403600000005</v>
      </c>
      <c r="F90" s="112">
        <f t="shared" si="1075"/>
        <v>78616.995500000005</v>
      </c>
      <c r="G90" s="112">
        <f t="shared" si="1075"/>
        <v>90585.353200000012</v>
      </c>
      <c r="H90" s="112">
        <f t="shared" si="1075"/>
        <v>108782.07740000001</v>
      </c>
      <c r="I90" s="112">
        <f t="shared" si="1075"/>
        <v>137943.92965000001</v>
      </c>
      <c r="J90" s="112">
        <f t="shared" si="1075"/>
        <v>175397.87800000003</v>
      </c>
      <c r="K90" s="112">
        <f t="shared" si="1075"/>
        <v>215543.72110000002</v>
      </c>
      <c r="L90" s="112">
        <f t="shared" si="1075"/>
        <v>267269.74430000002</v>
      </c>
      <c r="M90" s="112">
        <f t="shared" si="1075"/>
        <v>317277.7648</v>
      </c>
      <c r="N90" s="112">
        <f t="shared" si="1075"/>
        <v>359783.92965000001</v>
      </c>
      <c r="O90" s="112">
        <f t="shared" si="1075"/>
        <v>434433.45120000001</v>
      </c>
      <c r="P90" s="112">
        <f t="shared" si="1075"/>
        <v>503351.78405000002</v>
      </c>
      <c r="Q90" s="112">
        <f t="shared" si="1075"/>
        <v>499927.73294999998</v>
      </c>
      <c r="R90" s="112">
        <f t="shared" si="1075"/>
        <v>486173.20070000004</v>
      </c>
      <c r="S90" s="112">
        <f t="shared" si="1075"/>
        <v>486399.91450000001</v>
      </c>
      <c r="T90" s="112">
        <f t="shared" si="1075"/>
        <v>483568.13905</v>
      </c>
      <c r="U90" s="112">
        <f t="shared" si="1075"/>
        <v>508050.63540000003</v>
      </c>
      <c r="V90" s="112">
        <f t="shared" si="1075"/>
        <v>540197.83050000004</v>
      </c>
      <c r="W90" s="112">
        <f t="shared" si="1075"/>
        <v>574114.78340000007</v>
      </c>
      <c r="X90" s="112">
        <f t="shared" si="1075"/>
        <v>642793.85480000009</v>
      </c>
      <c r="Y90" s="112">
        <f t="shared" si="1075"/>
        <v>740293.32270000014</v>
      </c>
      <c r="Z90" s="112">
        <f t="shared" si="1075"/>
        <v>849528.98965000012</v>
      </c>
      <c r="AA90" s="112">
        <f t="shared" si="1075"/>
        <v>968866.51575000002</v>
      </c>
      <c r="AH90" s="47"/>
      <c r="AI90" s="112">
        <f t="shared" ref="AI90" si="1076">+AVERAGE(AH89:AI89)</f>
        <v>499559.41</v>
      </c>
      <c r="AJ90" s="112">
        <f t="shared" ref="AJ90" si="1077">+AVERAGE(AI89:AJ89)</f>
        <v>501433.52</v>
      </c>
      <c r="AK90" s="112">
        <f t="shared" ref="AK90" si="1078">+AVERAGE(AJ89:AK89)</f>
        <v>490672.75</v>
      </c>
      <c r="AL90" s="112">
        <f t="shared" ref="AL90" si="1079">+AVERAGE(AK89:AL89)</f>
        <v>475625.25</v>
      </c>
      <c r="AM90" s="112">
        <f t="shared" ref="AM90" si="1080">+AVERAGE(AL89:AM89)</f>
        <v>478365.76500000001</v>
      </c>
      <c r="AN90" s="112">
        <f t="shared" ref="AN90" si="1081">+AVERAGE(AM89:AN89)</f>
        <v>499570.16000000003</v>
      </c>
      <c r="AO90" s="112">
        <f t="shared" ref="AO90" si="1082">+AVERAGE(AN89:AO89)</f>
        <v>504964.97499999998</v>
      </c>
      <c r="AP90" s="112">
        <f t="shared" ref="AP90" si="1083">+AVERAGE(AO89:AP89)</f>
        <v>490949.88500000001</v>
      </c>
      <c r="AQ90" s="112">
        <f t="shared" ref="AQ90" si="1084">+AVERAGE(AP89:AQ89)</f>
        <v>490199.04000000004</v>
      </c>
      <c r="AR90" s="112">
        <f t="shared" ref="AR90" si="1085">+AVERAGE(AQ89:AR89)</f>
        <v>489319.83499999996</v>
      </c>
      <c r="AS90" s="112">
        <f t="shared" ref="AS90" si="1086">+AVERAGE(AR89:AS89)</f>
        <v>482162.06499999994</v>
      </c>
      <c r="AT90" s="112">
        <f t="shared" ref="AT90" si="1087">+AVERAGE(AS89:AT89)</f>
        <v>470727.66500000004</v>
      </c>
      <c r="AU90" s="112">
        <f t="shared" ref="AU90:CO90" si="1088">+AVERAGE(AT89:AU89)</f>
        <v>468340.29500000004</v>
      </c>
      <c r="AV90" s="112">
        <f t="shared" si="1088"/>
        <v>476003.54500000004</v>
      </c>
      <c r="AW90" s="112">
        <f t="shared" si="1088"/>
        <v>483467.755</v>
      </c>
      <c r="AX90" s="112">
        <f t="shared" si="1088"/>
        <v>483608.82</v>
      </c>
      <c r="AY90" s="112">
        <f t="shared" si="1088"/>
        <v>481336.37</v>
      </c>
      <c r="AZ90" s="112">
        <f t="shared" si="1088"/>
        <v>489019.22</v>
      </c>
      <c r="BA90" s="112">
        <f t="shared" si="1088"/>
        <v>510697.32500000001</v>
      </c>
      <c r="BB90" s="112">
        <f t="shared" si="1088"/>
        <v>530267.35499999998</v>
      </c>
      <c r="BC90" s="112">
        <f t="shared" si="1088"/>
        <v>538454.56499999994</v>
      </c>
      <c r="BD90" s="112">
        <f t="shared" si="1088"/>
        <v>543858.64500000002</v>
      </c>
      <c r="BE90" s="112">
        <f t="shared" si="1088"/>
        <v>548412.97499999998</v>
      </c>
      <c r="BF90" s="112">
        <f t="shared" si="1088"/>
        <v>555396.31499999994</v>
      </c>
      <c r="BG90" s="112">
        <f t="shared" si="1088"/>
        <v>554465.29500000004</v>
      </c>
      <c r="BH90" s="112">
        <f t="shared" si="1088"/>
        <v>562484.14500000002</v>
      </c>
      <c r="BI90" s="112">
        <f t="shared" si="1088"/>
        <v>584590.57999999996</v>
      </c>
      <c r="BJ90" s="112">
        <f t="shared" si="1088"/>
        <v>608184.78499999992</v>
      </c>
      <c r="BK90" s="112">
        <f t="shared" si="1088"/>
        <v>632674.56000000006</v>
      </c>
      <c r="BL90" s="112">
        <f t="shared" si="1088"/>
        <v>653947.66</v>
      </c>
      <c r="BM90" s="112">
        <f t="shared" si="1088"/>
        <v>676961.54500000004</v>
      </c>
      <c r="BN90" s="112">
        <f t="shared" si="1088"/>
        <v>694973.35499999998</v>
      </c>
      <c r="BO90" s="112">
        <f t="shared" si="1088"/>
        <v>715292.93499999994</v>
      </c>
      <c r="BP90" s="112">
        <f t="shared" si="1088"/>
        <v>742425.52499999991</v>
      </c>
      <c r="BQ90" s="112">
        <f t="shared" si="1088"/>
        <v>772101.755</v>
      </c>
      <c r="BR90" s="112">
        <f t="shared" si="1088"/>
        <v>805050.28499999992</v>
      </c>
      <c r="BS90" s="112">
        <f t="shared" si="1088"/>
        <v>844780.6399999999</v>
      </c>
      <c r="BT90" s="112">
        <f t="shared" si="1088"/>
        <v>882900.3899999999</v>
      </c>
      <c r="BU90" s="112">
        <f t="shared" si="1088"/>
        <v>902409.88500000001</v>
      </c>
      <c r="BV90" s="112">
        <f>+AVERAGE(BU89:BV89)</f>
        <v>919123.38</v>
      </c>
      <c r="BW90" s="112">
        <f>+AVERAGE(BV89:BW89)</f>
        <v>943019.07499999995</v>
      </c>
      <c r="BX90" s="112">
        <f>+AVERAGE(BW89:BX89)</f>
        <v>975109.08000000007</v>
      </c>
      <c r="BY90" s="112">
        <f>+AVERAGE(BX89:BY89)</f>
        <v>1011311.0549999999</v>
      </c>
      <c r="BZ90" s="38">
        <f t="shared" si="1088"/>
        <v>1028646.2491858103</v>
      </c>
      <c r="CA90" s="38">
        <f t="shared" si="1088"/>
        <v>1053059.7915300033</v>
      </c>
      <c r="CB90" s="38">
        <f t="shared" si="1088"/>
        <v>1101319.5830862788</v>
      </c>
      <c r="CC90" s="38">
        <f t="shared" si="1088"/>
        <v>1149876.734247098</v>
      </c>
      <c r="CD90" s="38">
        <f t="shared" si="1088"/>
        <v>1167217.397314074</v>
      </c>
      <c r="CE90" s="38">
        <f t="shared" si="1088"/>
        <v>1189939.5232401346</v>
      </c>
      <c r="CF90" s="38">
        <f t="shared" si="1088"/>
        <v>1247813.8812199179</v>
      </c>
      <c r="CG90" s="38">
        <f t="shared" si="1088"/>
        <v>1304480.3851631128</v>
      </c>
      <c r="CH90" s="38">
        <f t="shared" si="1088"/>
        <v>1323893.4777857857</v>
      </c>
      <c r="CI90" s="38">
        <f t="shared" si="1088"/>
        <v>1349495.4784416002</v>
      </c>
      <c r="CJ90" s="38">
        <f t="shared" si="1088"/>
        <v>1416488.0553319687</v>
      </c>
      <c r="CK90" s="38">
        <f t="shared" si="1088"/>
        <v>1481574.4716902175</v>
      </c>
      <c r="CL90" s="38">
        <f t="shared" si="1088"/>
        <v>1503982.2698813155</v>
      </c>
      <c r="CM90" s="38">
        <f t="shared" si="1088"/>
        <v>1533630.1894431212</v>
      </c>
      <c r="CN90" s="38">
        <f t="shared" si="1088"/>
        <v>1610671.5873465627</v>
      </c>
      <c r="CO90" s="38">
        <f t="shared" si="1088"/>
        <v>1685457.2323624026</v>
      </c>
      <c r="CT90" s="46">
        <v>968866.51575000002</v>
      </c>
    </row>
    <row r="91" spans="1:98" s="108" customFormat="1" x14ac:dyDescent="0.2">
      <c r="A91" s="108" t="s">
        <v>374</v>
      </c>
      <c r="D91" s="122">
        <f t="shared" ref="D91:AE91" si="1089">D60/D113</f>
        <v>0.24034388388129294</v>
      </c>
      <c r="E91" s="108">
        <f t="shared" si="1089"/>
        <v>0.25147317122125618</v>
      </c>
      <c r="F91" s="108">
        <f t="shared" si="1089"/>
        <v>7.6160617062452154E-2</v>
      </c>
      <c r="G91" s="108">
        <f t="shared" si="1089"/>
        <v>0.14074057398116235</v>
      </c>
      <c r="H91" s="108">
        <f t="shared" si="1089"/>
        <v>0.19051696335600546</v>
      </c>
      <c r="I91" s="108">
        <f t="shared" si="1089"/>
        <v>0.18975620033295595</v>
      </c>
      <c r="J91" s="108">
        <f t="shared" si="1089"/>
        <v>0.22285022884868555</v>
      </c>
      <c r="K91" s="108">
        <f t="shared" si="1089"/>
        <v>0.122352049092249</v>
      </c>
      <c r="L91" s="108">
        <f t="shared" si="1089"/>
        <v>0.14393340476950708</v>
      </c>
      <c r="M91" s="108">
        <f t="shared" si="1089"/>
        <v>0.12773318329267461</v>
      </c>
      <c r="N91" s="108">
        <f t="shared" si="1089"/>
        <v>0.1149480995529245</v>
      </c>
      <c r="O91" s="108">
        <f t="shared" si="1089"/>
        <v>9.1209552159765506E-2</v>
      </c>
      <c r="P91" s="108">
        <f t="shared" si="1089"/>
        <v>5.4343390291396489E-2</v>
      </c>
      <c r="Q91" s="108">
        <f t="shared" si="1089"/>
        <v>-0.18842008261589285</v>
      </c>
      <c r="R91" s="108">
        <f t="shared" si="1089"/>
        <v>-4.7967223740619326E-2</v>
      </c>
      <c r="S91" s="108">
        <f t="shared" si="1089"/>
        <v>-0.1700505167811345</v>
      </c>
      <c r="T91" s="108">
        <f t="shared" si="1089"/>
        <v>-0.11975392641836612</v>
      </c>
      <c r="U91" s="108">
        <f t="shared" si="1089"/>
        <v>-6.7483678140767472E-2</v>
      </c>
      <c r="V91" s="108">
        <f t="shared" si="1089"/>
        <v>4.4372447186034163E-2</v>
      </c>
      <c r="W91" s="108">
        <f t="shared" si="1089"/>
        <v>6.1756199490172602E-2</v>
      </c>
      <c r="X91" s="108">
        <f t="shared" si="1089"/>
        <v>6.8219401615862471E-2</v>
      </c>
      <c r="Y91" s="108">
        <f t="shared" si="1089"/>
        <v>9.1722633951739699E-2</v>
      </c>
      <c r="Z91" s="108">
        <f t="shared" si="1089"/>
        <v>0.11728817833794043</v>
      </c>
      <c r="AA91" s="108">
        <f t="shared" ref="AA91" si="1090">AA60/AA113</f>
        <v>0.11964003597486371</v>
      </c>
      <c r="AB91" s="123">
        <f t="shared" si="1089"/>
        <v>0.11268723176291029</v>
      </c>
      <c r="AC91" s="123">
        <f t="shared" si="1089"/>
        <v>0.10656568327521569</v>
      </c>
      <c r="AD91" s="123">
        <f t="shared" si="1089"/>
        <v>0.10619729660611454</v>
      </c>
      <c r="AE91" s="123">
        <f t="shared" si="1089"/>
        <v>0.10675029630409351</v>
      </c>
      <c r="AG91" s="124"/>
      <c r="BZ91" s="110"/>
      <c r="CA91" s="110"/>
      <c r="CB91" s="110"/>
      <c r="CC91" s="110"/>
      <c r="CD91" s="110"/>
      <c r="CE91" s="110"/>
      <c r="CF91" s="110"/>
      <c r="CG91" s="110"/>
      <c r="CH91" s="110"/>
      <c r="CI91" s="110"/>
      <c r="CJ91" s="110"/>
      <c r="CK91" s="110"/>
      <c r="CL91" s="110"/>
      <c r="CM91" s="110"/>
      <c r="CN91" s="110"/>
      <c r="CO91" s="110"/>
      <c r="CT91" s="108">
        <v>0.11964003597486371</v>
      </c>
    </row>
    <row r="92" spans="1:98" x14ac:dyDescent="0.2"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</row>
    <row r="93" spans="1:98" x14ac:dyDescent="0.2">
      <c r="A93" s="118" t="s">
        <v>362</v>
      </c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</row>
    <row r="94" spans="1:98" x14ac:dyDescent="0.2">
      <c r="A94" s="118" t="s">
        <v>363</v>
      </c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</row>
    <row r="95" spans="1:98" s="51" customFormat="1" x14ac:dyDescent="0.2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48"/>
      <c r="AC95" s="48"/>
      <c r="AD95" s="48"/>
      <c r="AE95" s="48"/>
      <c r="AG95" s="62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</row>
    <row r="96" spans="1:98" s="89" customFormat="1" x14ac:dyDescent="0.2">
      <c r="A96" s="89" t="s">
        <v>37</v>
      </c>
      <c r="AB96" s="18"/>
      <c r="AC96" s="18"/>
      <c r="AD96" s="18"/>
      <c r="AE96" s="18"/>
      <c r="AG96" s="85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</row>
    <row r="97" spans="1:98" s="95" customFormat="1" x14ac:dyDescent="0.2">
      <c r="A97" s="95" t="s">
        <v>41</v>
      </c>
      <c r="B97" s="95">
        <f>+'Annual Raw'!C45</f>
        <v>11.3</v>
      </c>
      <c r="C97" s="95">
        <f>+'Annual Raw'!D45</f>
        <v>25.1</v>
      </c>
      <c r="D97" s="95">
        <f>+'Annual Raw'!E45</f>
        <v>37.9</v>
      </c>
      <c r="E97" s="95">
        <f>+'Annual Raw'!F45</f>
        <v>58.9</v>
      </c>
      <c r="F97" s="95">
        <f>+'Annual Raw'!G45</f>
        <v>103.5</v>
      </c>
      <c r="G97" s="95">
        <f>+'Annual Raw'!H45</f>
        <v>132</v>
      </c>
      <c r="H97" s="95">
        <f>+'Annual Raw'!I45</f>
        <v>167.8</v>
      </c>
      <c r="I97" s="95">
        <f>+'Annual Raw'!J45</f>
        <v>252.9</v>
      </c>
      <c r="J97" s="95">
        <f>+'Annual Raw'!K45</f>
        <v>219.9</v>
      </c>
      <c r="K97" s="95">
        <f>+'Annual Raw'!L45</f>
        <v>340.75</v>
      </c>
      <c r="L97" s="95">
        <f>+'Annual Raw'!M45</f>
        <v>478.1</v>
      </c>
      <c r="M97" s="95">
        <f>+'Annual Raw'!N45</f>
        <v>361</v>
      </c>
      <c r="N97" s="95">
        <f>+'Annual Raw'!O45</f>
        <v>302.5</v>
      </c>
      <c r="O97" s="95">
        <f>+'Annual Raw'!P45</f>
        <v>228.9</v>
      </c>
      <c r="P97" s="95">
        <f>+'Annual Raw'!Q45</f>
        <v>195.75</v>
      </c>
      <c r="Q97" s="95">
        <f>+'Annual Raw'!R45</f>
        <v>97.05</v>
      </c>
      <c r="R97" s="95">
        <f>+'Annual Raw'!S45</f>
        <v>139.4</v>
      </c>
      <c r="S97" s="95">
        <f>+'Annual Raw'!T45</f>
        <v>103.4</v>
      </c>
      <c r="T97" s="95">
        <f>+'Annual Raw'!U45</f>
        <v>104.3</v>
      </c>
      <c r="U97" s="95">
        <f>+'Annual Raw'!V45</f>
        <v>32.25</v>
      </c>
      <c r="V97" s="95">
        <f>+'Annual Raw'!W45</f>
        <v>67.849999999999994</v>
      </c>
      <c r="W97" s="95">
        <f>+'Annual Raw'!X45</f>
        <v>45.85</v>
      </c>
      <c r="X97" s="95">
        <f>+'Annual Raw'!Y45</f>
        <v>74.849999999999994</v>
      </c>
      <c r="Y97" s="95">
        <f>+'Annual Raw'!Z45</f>
        <v>137</v>
      </c>
      <c r="Z97" s="95">
        <f>+'Annual Raw'!AA45</f>
        <v>107.1</v>
      </c>
      <c r="AA97" s="95">
        <f>+'Annual Raw'!AB45</f>
        <v>137.05000000000001</v>
      </c>
      <c r="AB97" s="79">
        <f>+CC97</f>
        <v>143</v>
      </c>
      <c r="AC97" s="79">
        <f>+CG97</f>
        <v>143</v>
      </c>
      <c r="AD97" s="79">
        <f>+CK97</f>
        <v>143</v>
      </c>
      <c r="AE97" s="79">
        <f>+CO97</f>
        <v>143</v>
      </c>
      <c r="AG97" s="78"/>
      <c r="AH97" s="95">
        <f>+'QTR Share Price'!IA21</f>
        <v>171.3</v>
      </c>
      <c r="AI97" s="95">
        <f>+'QTR Share Price'!IB21</f>
        <v>135.55000000000001</v>
      </c>
      <c r="AJ97" s="95">
        <f>+'QTR Share Price'!IC21</f>
        <v>114.95</v>
      </c>
      <c r="AK97" s="95">
        <f>+'QTR Share Price'!ID21</f>
        <v>97.05</v>
      </c>
      <c r="AL97" s="95">
        <f>+'QTR Share Price'!IE21</f>
        <v>101.1</v>
      </c>
      <c r="AM97" s="95">
        <f>+'QTR Share Price'!IF21</f>
        <v>112.7</v>
      </c>
      <c r="AN97" s="95">
        <f>+'QTR Share Price'!IG21</f>
        <v>107.2</v>
      </c>
      <c r="AO97" s="95">
        <f>+'QTR Share Price'!IH21</f>
        <v>139.4</v>
      </c>
      <c r="AP97" s="95">
        <f>+'QTR Share Price'!II21</f>
        <v>139.30000000000001</v>
      </c>
      <c r="AQ97" s="95">
        <f>+'QTR Share Price'!IJ21</f>
        <v>137.44999999999999</v>
      </c>
      <c r="AR97" s="95">
        <f>+'QTR Share Price'!IK21</f>
        <v>169.7</v>
      </c>
      <c r="AS97" s="95">
        <f>+'QTR Share Price'!IL21</f>
        <v>103.4</v>
      </c>
      <c r="AT97" s="95">
        <f>+'QTR Share Price'!IM21</f>
        <v>87.5</v>
      </c>
      <c r="AU97" s="95">
        <f>+'QTR Share Price'!IN21</f>
        <v>76.900000000000006</v>
      </c>
      <c r="AV97" s="95">
        <f>+'QTR Share Price'!IO21</f>
        <v>104.05</v>
      </c>
      <c r="AW97" s="95">
        <f>+'QTR Share Price'!IP21</f>
        <v>104.3</v>
      </c>
      <c r="AX97" s="95">
        <f>+'QTR Share Price'!IQ21</f>
        <v>90.15</v>
      </c>
      <c r="AY97" s="95">
        <f>+'QTR Share Price'!IR21</f>
        <v>62.95</v>
      </c>
      <c r="AZ97" s="95">
        <f>+'QTR Share Price'!IS21</f>
        <v>70.45</v>
      </c>
      <c r="BA97" s="95">
        <f>+'QTR Share Price'!IT21</f>
        <v>32.25</v>
      </c>
      <c r="BB97" s="95">
        <f>+'QTR Share Price'!IU21</f>
        <v>48.9</v>
      </c>
      <c r="BC97" s="95">
        <f>+'QTR Share Price'!IV21</f>
        <v>40.700000000000003</v>
      </c>
      <c r="BD97" s="95">
        <f>+'QTR Share Price'!IW21</f>
        <v>48.65</v>
      </c>
      <c r="BE97" s="95">
        <f>+'QTR Share Price'!IX21</f>
        <v>67.849999999999994</v>
      </c>
      <c r="BF97" s="95">
        <f>+'QTR Share Price'!IY21</f>
        <v>77.900000000000006</v>
      </c>
      <c r="BG97" s="95">
        <f>+'QTR Share Price'!IZ21</f>
        <v>55.45</v>
      </c>
      <c r="BH97" s="95">
        <f>+'QTR Share Price'!JA21</f>
        <v>51.35</v>
      </c>
      <c r="BI97" s="95">
        <f>+'QTR Share Price'!JB21</f>
        <v>45.85</v>
      </c>
      <c r="BJ97" s="95">
        <f>+'QTR Share Price'!JC21</f>
        <v>44.35</v>
      </c>
      <c r="BK97" s="95">
        <f>+'QTR Share Price'!JD21</f>
        <v>48.2</v>
      </c>
      <c r="BL97" s="95">
        <f>+'QTR Share Price'!JE21</f>
        <v>88.2</v>
      </c>
      <c r="BM97" s="95">
        <f>+'QTR Share Price'!JF21</f>
        <v>74.849999999999994</v>
      </c>
      <c r="BN97" s="95">
        <f>+'QTR Share Price'!JG21</f>
        <v>73.599999999999994</v>
      </c>
      <c r="BO97" s="95">
        <f>+'QTR Share Price'!JH21</f>
        <v>109.41</v>
      </c>
      <c r="BP97" s="95">
        <f>+'QTR Share Price'!JI21</f>
        <v>112.6</v>
      </c>
      <c r="BQ97" s="95">
        <f>+'QTR Share Price'!JJ21</f>
        <v>137</v>
      </c>
      <c r="BR97" s="95">
        <f>+'QTR Share Price'!JK21</f>
        <v>120.35</v>
      </c>
      <c r="BS97" s="95">
        <f>+'QTR Share Price'!JL21</f>
        <v>110.7</v>
      </c>
      <c r="BT97" s="95">
        <f>+'QTR Share Price'!JM21</f>
        <v>101.95</v>
      </c>
      <c r="BU97" s="95">
        <f>+'QTR Share Price'!JN21</f>
        <v>107.1</v>
      </c>
      <c r="BV97" s="95">
        <f>+'QTR Share Price'!JO21</f>
        <v>118.55</v>
      </c>
      <c r="BW97" s="95">
        <f>+'QTR Share Price'!JP21</f>
        <v>123.35</v>
      </c>
      <c r="BX97" s="95">
        <f>+'QTR Share Price'!JQ21</f>
        <v>143.75</v>
      </c>
      <c r="BY97" s="95">
        <f>+'QTR Share Price'!JR21</f>
        <v>137.05000000000001</v>
      </c>
      <c r="BZ97" s="79">
        <v>143</v>
      </c>
      <c r="CA97" s="79">
        <f t="shared" ref="CA97" si="1091">+BZ97</f>
        <v>143</v>
      </c>
      <c r="CB97" s="79">
        <f t="shared" ref="CB97" si="1092">+CA97</f>
        <v>143</v>
      </c>
      <c r="CC97" s="79">
        <f t="shared" ref="CC97" si="1093">+CB97</f>
        <v>143</v>
      </c>
      <c r="CD97" s="79">
        <f t="shared" ref="CD97" si="1094">+CC97</f>
        <v>143</v>
      </c>
      <c r="CE97" s="79">
        <f t="shared" ref="CE97" si="1095">+CD97</f>
        <v>143</v>
      </c>
      <c r="CF97" s="79">
        <f t="shared" ref="CF97" si="1096">+CE97</f>
        <v>143</v>
      </c>
      <c r="CG97" s="79">
        <f t="shared" ref="CG97" si="1097">+CF97</f>
        <v>143</v>
      </c>
      <c r="CH97" s="79">
        <f t="shared" ref="CH97" si="1098">+CG97</f>
        <v>143</v>
      </c>
      <c r="CI97" s="79">
        <f t="shared" ref="CI97" si="1099">+CH97</f>
        <v>143</v>
      </c>
      <c r="CJ97" s="79">
        <f t="shared" ref="CJ97" si="1100">+CI97</f>
        <v>143</v>
      </c>
      <c r="CK97" s="79">
        <f t="shared" ref="CK97" si="1101">+CJ97</f>
        <v>143</v>
      </c>
      <c r="CL97" s="79">
        <f t="shared" ref="CL97" si="1102">+CK97</f>
        <v>143</v>
      </c>
      <c r="CM97" s="79">
        <f t="shared" ref="CM97" si="1103">+CL97</f>
        <v>143</v>
      </c>
      <c r="CN97" s="79">
        <f t="shared" ref="CN97" si="1104">+CM97</f>
        <v>143</v>
      </c>
      <c r="CO97" s="79">
        <f t="shared" ref="CO97" si="1105">+CN97</f>
        <v>143</v>
      </c>
      <c r="CT97" s="95">
        <v>137.05000000000001</v>
      </c>
    </row>
    <row r="98" spans="1:98" s="95" customFormat="1" x14ac:dyDescent="0.2">
      <c r="A98" s="95" t="s">
        <v>38</v>
      </c>
      <c r="B98" s="95">
        <f>+'Annual Raw'!C46</f>
        <v>21.7</v>
      </c>
      <c r="C98" s="95">
        <f>+'Annual Raw'!D46</f>
        <v>26</v>
      </c>
      <c r="D98" s="95">
        <f>+'Annual Raw'!E46</f>
        <v>46.35</v>
      </c>
      <c r="E98" s="95">
        <f>+'Annual Raw'!F46</f>
        <v>80.900000000000006</v>
      </c>
      <c r="F98" s="95">
        <f>+'Annual Raw'!G46</f>
        <v>120</v>
      </c>
      <c r="G98" s="95">
        <f>+'Annual Raw'!H46</f>
        <v>147.94999999999999</v>
      </c>
      <c r="H98" s="95">
        <f>+'Annual Raw'!I46</f>
        <v>214.4</v>
      </c>
      <c r="I98" s="95">
        <f>+'Annual Raw'!J46</f>
        <v>466</v>
      </c>
      <c r="J98" s="95">
        <f>+'Annual Raw'!K46</f>
        <v>368.8</v>
      </c>
      <c r="K98" s="95">
        <f>+'Annual Raw'!L46</f>
        <v>474.7</v>
      </c>
      <c r="L98" s="95">
        <f>+'Annual Raw'!M46</f>
        <v>588</v>
      </c>
      <c r="M98" s="95">
        <f>+'Annual Raw'!N46</f>
        <v>498.4</v>
      </c>
      <c r="N98" s="95">
        <f>+'Annual Raw'!O46</f>
        <v>392.2</v>
      </c>
      <c r="O98" s="95">
        <f>+'Annual Raw'!P46</f>
        <v>344.9</v>
      </c>
      <c r="P98" s="95">
        <f>+'Annual Raw'!Q46</f>
        <v>356.75</v>
      </c>
      <c r="Q98" s="95">
        <f>+'Annual Raw'!R46</f>
        <v>232.95</v>
      </c>
      <c r="R98" s="95">
        <f>+'Annual Raw'!S46</f>
        <v>142.4</v>
      </c>
      <c r="S98" s="95">
        <f>+'Annual Raw'!T46</f>
        <v>216.7</v>
      </c>
      <c r="T98" s="95">
        <f>+'Annual Raw'!U46</f>
        <v>118.5</v>
      </c>
      <c r="U98" s="95">
        <f>+'Annual Raw'!V46</f>
        <v>108.15</v>
      </c>
      <c r="V98" s="95">
        <f>+'Annual Raw'!W46</f>
        <v>101.45</v>
      </c>
      <c r="W98" s="95">
        <f>+'Annual Raw'!X46</f>
        <v>86.95</v>
      </c>
      <c r="X98" s="95">
        <f>+'Annual Raw'!Y46</f>
        <v>103.5</v>
      </c>
      <c r="Y98" s="95">
        <f>+'Annual Raw'!Z46</f>
        <v>156.35</v>
      </c>
      <c r="Z98" s="95">
        <f>+'Annual Raw'!AA46</f>
        <v>158</v>
      </c>
      <c r="AA98" s="95">
        <f>+'Annual Raw'!AB46</f>
        <v>178.45</v>
      </c>
      <c r="AB98" s="79">
        <f>+MAX(BZ98:CC98)</f>
        <v>200.98521652017209</v>
      </c>
      <c r="AC98" s="79">
        <f>+MAX(CD98:CG98)</f>
        <v>224.74678603067647</v>
      </c>
      <c r="AD98" s="79">
        <f>+MAX(CH98:CK98)</f>
        <v>251.20588904327138</v>
      </c>
      <c r="AE98" s="79">
        <f>+MAX(CL98:CO98)</f>
        <v>280.95814766946825</v>
      </c>
      <c r="AG98" s="78"/>
      <c r="AH98" s="95">
        <f>+'QTR Share Price'!IA19</f>
        <v>232.95</v>
      </c>
      <c r="AI98" s="95">
        <f>+'QTR Share Price'!IB19</f>
        <v>187.75</v>
      </c>
      <c r="AJ98" s="95">
        <f>+'QTR Share Price'!IC19</f>
        <v>148.94999999999999</v>
      </c>
      <c r="AK98" s="95">
        <f>+'QTR Share Price'!ID19</f>
        <v>117.75</v>
      </c>
      <c r="AL98" s="95">
        <f>+'QTR Share Price'!IE19</f>
        <v>101.85</v>
      </c>
      <c r="AM98" s="95">
        <f>+'QTR Share Price'!IF19</f>
        <v>125.95</v>
      </c>
      <c r="AN98" s="95">
        <f>+'QTR Share Price'!IG19</f>
        <v>128.75</v>
      </c>
      <c r="AO98" s="95">
        <f>+'QTR Share Price'!IH19</f>
        <v>142.4</v>
      </c>
      <c r="AP98" s="95">
        <f>+'QTR Share Price'!II19</f>
        <v>197.25</v>
      </c>
      <c r="AQ98" s="95">
        <f>+'QTR Share Price'!IJ19</f>
        <v>167.5</v>
      </c>
      <c r="AR98" s="95">
        <f>+'QTR Share Price'!IK19</f>
        <v>216.7</v>
      </c>
      <c r="AS98" s="95">
        <f>+'QTR Share Price'!IL19</f>
        <v>182.75</v>
      </c>
      <c r="AT98" s="95">
        <f>+'QTR Share Price'!IM19</f>
        <v>118.5</v>
      </c>
      <c r="AU98" s="95">
        <f>+'QTR Share Price'!IN19</f>
        <v>104.3</v>
      </c>
      <c r="AV98" s="95">
        <f>+'QTR Share Price'!IO19</f>
        <v>105.2</v>
      </c>
      <c r="AW98" s="95">
        <f>+'QTR Share Price'!IP19</f>
        <v>110.05</v>
      </c>
      <c r="AX98" s="95">
        <f>+'QTR Share Price'!IQ19</f>
        <v>108.15</v>
      </c>
      <c r="AY98" s="95">
        <f>+'QTR Share Price'!IR19</f>
        <v>96.4</v>
      </c>
      <c r="AZ98" s="95">
        <f>+'QTR Share Price'!IS19</f>
        <v>79.8</v>
      </c>
      <c r="BA98" s="95">
        <f>+'QTR Share Price'!IT19</f>
        <v>71.7</v>
      </c>
      <c r="BB98" s="95">
        <f>+'QTR Share Price'!IU19</f>
        <v>58.9</v>
      </c>
      <c r="BC98" s="95">
        <f>+'QTR Share Price'!IV19</f>
        <v>59</v>
      </c>
      <c r="BD98" s="95">
        <f>+'QTR Share Price'!IW19</f>
        <v>55</v>
      </c>
      <c r="BE98" s="95">
        <f>+'QTR Share Price'!IX19</f>
        <v>101.45</v>
      </c>
      <c r="BF98" s="95">
        <f>+'QTR Share Price'!IY19</f>
        <v>86.95</v>
      </c>
      <c r="BG98" s="95">
        <f>+'QTR Share Price'!IZ19</f>
        <v>78.8</v>
      </c>
      <c r="BH98" s="95">
        <f>+'QTR Share Price'!JA19</f>
        <v>65.8</v>
      </c>
      <c r="BI98" s="95">
        <f>+'QTR Share Price'!JB19</f>
        <v>59.55</v>
      </c>
      <c r="BJ98" s="95">
        <f>+'QTR Share Price'!JC19</f>
        <v>53.7</v>
      </c>
      <c r="BK98" s="95">
        <f>+'QTR Share Price'!JD19</f>
        <v>54.4</v>
      </c>
      <c r="BL98" s="95">
        <f>+'QTR Share Price'!JE19</f>
        <v>103.5</v>
      </c>
      <c r="BM98" s="95">
        <f>+'QTR Share Price'!JF19</f>
        <v>101.25</v>
      </c>
      <c r="BN98" s="95">
        <f>+'QTR Share Price'!JG19</f>
        <v>89.15</v>
      </c>
      <c r="BO98" s="95">
        <f>+'QTR Share Price'!JH19</f>
        <v>114.02</v>
      </c>
      <c r="BP98" s="95">
        <f>+'QTR Share Price'!JI19</f>
        <v>120.95</v>
      </c>
      <c r="BQ98" s="95">
        <f>+'QTR Share Price'!JJ19</f>
        <v>156.35</v>
      </c>
      <c r="BR98" s="95">
        <f>+'QTR Share Price'!JK19</f>
        <v>158</v>
      </c>
      <c r="BS98" s="95">
        <f>+'QTR Share Price'!JL19</f>
        <v>128.19999999999999</v>
      </c>
      <c r="BT98" s="95">
        <f>+'QTR Share Price'!JM19</f>
        <v>120.35</v>
      </c>
      <c r="BU98" s="95">
        <f>+'QTR Share Price'!JN19</f>
        <v>113.2</v>
      </c>
      <c r="BV98" s="95">
        <f>+'QTR Share Price'!JO19</f>
        <v>130.35</v>
      </c>
      <c r="BW98" s="95">
        <f>+'QTR Share Price'!JP19</f>
        <v>123.85</v>
      </c>
      <c r="BX98" s="95">
        <f>+'QTR Share Price'!JQ19</f>
        <v>151.35</v>
      </c>
      <c r="BY98" s="95">
        <f>+'QTR Share Price'!JR19</f>
        <v>178.45</v>
      </c>
      <c r="BZ98" s="79">
        <f t="shared" ref="BZ98:CO98" si="1106">+BZ106*BZ74</f>
        <v>184.24607724346515</v>
      </c>
      <c r="CA98" s="79">
        <f t="shared" si="1106"/>
        <v>189.64358588898796</v>
      </c>
      <c r="CB98" s="79">
        <f t="shared" si="1106"/>
        <v>195.25677438930003</v>
      </c>
      <c r="CC98" s="79">
        <f t="shared" si="1106"/>
        <v>200.98521652017209</v>
      </c>
      <c r="CD98" s="79">
        <f t="shared" si="1106"/>
        <v>207.3843786344033</v>
      </c>
      <c r="CE98" s="79">
        <f t="shared" si="1106"/>
        <v>213.0470833108246</v>
      </c>
      <c r="CF98" s="79">
        <f t="shared" si="1106"/>
        <v>218.85600452655675</v>
      </c>
      <c r="CG98" s="79">
        <f t="shared" si="1106"/>
        <v>224.74678603067647</v>
      </c>
      <c r="CH98" s="79">
        <f t="shared" si="1106"/>
        <v>231.80837656779823</v>
      </c>
      <c r="CI98" s="79">
        <f t="shared" si="1106"/>
        <v>238.03669479971558</v>
      </c>
      <c r="CJ98" s="79">
        <f t="shared" si="1106"/>
        <v>244.51000563858594</v>
      </c>
      <c r="CK98" s="79">
        <f t="shared" si="1106"/>
        <v>251.20588904327138</v>
      </c>
      <c r="CL98" s="79">
        <f t="shared" si="1106"/>
        <v>259.11212671372732</v>
      </c>
      <c r="CM98" s="79">
        <f t="shared" si="1106"/>
        <v>266.09549659935539</v>
      </c>
      <c r="CN98" s="79">
        <f t="shared" si="1106"/>
        <v>273.3903221280039</v>
      </c>
      <c r="CO98" s="79">
        <f t="shared" si="1106"/>
        <v>280.95814766946825</v>
      </c>
      <c r="CT98" s="95">
        <v>178.45</v>
      </c>
    </row>
    <row r="99" spans="1:98" s="95" customFormat="1" x14ac:dyDescent="0.2">
      <c r="A99" s="95" t="s">
        <v>39</v>
      </c>
      <c r="B99" s="95">
        <f>+'Annual Raw'!C47</f>
        <v>8.75</v>
      </c>
      <c r="C99" s="95">
        <f>+'Annual Raw'!D47</f>
        <v>10.15</v>
      </c>
      <c r="D99" s="95">
        <f>+'Annual Raw'!E47</f>
        <v>24.5</v>
      </c>
      <c r="E99" s="95">
        <f>+'Annual Raw'!F47</f>
        <v>37.65</v>
      </c>
      <c r="F99" s="95">
        <f>+'Annual Raw'!G47</f>
        <v>40.5</v>
      </c>
      <c r="G99" s="95">
        <f>+'Annual Raw'!H47</f>
        <v>78.599999999999994</v>
      </c>
      <c r="H99" s="95">
        <f>+'Annual Raw'!I47</f>
        <v>79.7</v>
      </c>
      <c r="I99" s="95">
        <f>+'Annual Raw'!J47</f>
        <v>151</v>
      </c>
      <c r="J99" s="95">
        <f>+'Annual Raw'!K47</f>
        <v>179.6</v>
      </c>
      <c r="K99" s="95">
        <f>+'Annual Raw'!L47</f>
        <v>205.3</v>
      </c>
      <c r="L99" s="95">
        <f>+'Annual Raw'!M47</f>
        <v>310.14999999999998</v>
      </c>
      <c r="M99" s="95">
        <f>+'Annual Raw'!N47</f>
        <v>261</v>
      </c>
      <c r="N99" s="95">
        <f>+'Annual Raw'!O47</f>
        <v>253.8</v>
      </c>
      <c r="O99" s="95">
        <f>+'Annual Raw'!P47</f>
        <v>126.95</v>
      </c>
      <c r="P99" s="95">
        <f>+'Annual Raw'!Q47</f>
        <v>191.5</v>
      </c>
      <c r="Q99" s="95">
        <f>+'Annual Raw'!R47</f>
        <v>80.099999999999994</v>
      </c>
      <c r="R99" s="95">
        <f>+'Annual Raw'!S47</f>
        <v>78.599999999999994</v>
      </c>
      <c r="S99" s="95">
        <f>+'Annual Raw'!T47</f>
        <v>91.35</v>
      </c>
      <c r="T99" s="95">
        <f>+'Annual Raw'!U47</f>
        <v>73.3</v>
      </c>
      <c r="U99" s="95">
        <f>+'Annual Raw'!V47</f>
        <v>30.45</v>
      </c>
      <c r="V99" s="95">
        <f>+'Annual Raw'!W47</f>
        <v>31</v>
      </c>
      <c r="W99" s="95">
        <f>+'Annual Raw'!X47</f>
        <v>43.3</v>
      </c>
      <c r="X99" s="95">
        <f>+'Annual Raw'!Y47</f>
        <v>40.4</v>
      </c>
      <c r="Y99" s="95">
        <f>+'Annual Raw'!Z47</f>
        <v>69.41</v>
      </c>
      <c r="Z99" s="95">
        <f>+'Annual Raw'!AA47</f>
        <v>90</v>
      </c>
      <c r="AA99" s="95">
        <f>+'Annual Raw'!AB47</f>
        <v>101.1</v>
      </c>
      <c r="AB99" s="79">
        <f>+MIN(BZ99:CC99)</f>
        <v>140.93353624955446</v>
      </c>
      <c r="AC99" s="79">
        <f>+MIN(CD99:CG99)</f>
        <v>158.63248912073999</v>
      </c>
      <c r="AD99" s="79">
        <f>+MIN(CH99:CK99)</f>
        <v>177.31489717850636</v>
      </c>
      <c r="AE99" s="79">
        <f>+MIN(CL99:CO99)</f>
        <v>198.20008571826156</v>
      </c>
      <c r="AG99" s="78"/>
      <c r="AH99" s="95">
        <f>+'QTR Share Price'!IA20</f>
        <v>168.65</v>
      </c>
      <c r="AI99" s="95">
        <f>+'QTR Share Price'!IB20</f>
        <v>126.3</v>
      </c>
      <c r="AJ99" s="95">
        <f>+'QTR Share Price'!IC20</f>
        <v>113</v>
      </c>
      <c r="AK99" s="95">
        <f>+'QTR Share Price'!ID20</f>
        <v>80.099999999999994</v>
      </c>
      <c r="AL99" s="95">
        <f>+'QTR Share Price'!IE20</f>
        <v>78.599999999999994</v>
      </c>
      <c r="AM99" s="95">
        <f>+'QTR Share Price'!IF20</f>
        <v>101.2</v>
      </c>
      <c r="AN99" s="95">
        <f>+'QTR Share Price'!IG20</f>
        <v>99.8</v>
      </c>
      <c r="AO99" s="95">
        <f>+'QTR Share Price'!IH20</f>
        <v>105.9</v>
      </c>
      <c r="AP99" s="95">
        <f>+'QTR Share Price'!II20</f>
        <v>127.95</v>
      </c>
      <c r="AQ99" s="95">
        <f>+'QTR Share Price'!IJ20</f>
        <v>135.75</v>
      </c>
      <c r="AR99" s="95">
        <f>+'QTR Share Price'!IK20</f>
        <v>129.05000000000001</v>
      </c>
      <c r="AS99" s="95">
        <f>+'QTR Share Price'!IL20</f>
        <v>91.35</v>
      </c>
      <c r="AT99" s="95">
        <f>+'QTR Share Price'!IM20</f>
        <v>84.8</v>
      </c>
      <c r="AU99" s="95">
        <f>+'QTR Share Price'!IN20</f>
        <v>75.849999999999994</v>
      </c>
      <c r="AV99" s="95">
        <f>+'QTR Share Price'!IO20</f>
        <v>73.3</v>
      </c>
      <c r="AW99" s="95">
        <f>+'QTR Share Price'!IP20</f>
        <v>78.150000000000006</v>
      </c>
      <c r="AX99" s="95">
        <f>+'QTR Share Price'!IQ20</f>
        <v>78.8</v>
      </c>
      <c r="AY99" s="95">
        <f>+'QTR Share Price'!IR20</f>
        <v>61.4</v>
      </c>
      <c r="AZ99" s="95">
        <f>+'QTR Share Price'!IS20</f>
        <v>57.45</v>
      </c>
      <c r="BA99" s="95">
        <f>+'QTR Share Price'!IT20</f>
        <v>30.45</v>
      </c>
      <c r="BB99" s="95">
        <f>+'QTR Share Price'!IU20</f>
        <v>31</v>
      </c>
      <c r="BC99" s="95">
        <f>+'QTR Share Price'!IV20</f>
        <v>38.25</v>
      </c>
      <c r="BD99" s="95">
        <f>+'QTR Share Price'!IW20</f>
        <v>38.200000000000003</v>
      </c>
      <c r="BE99" s="95">
        <f>+'QTR Share Price'!IX20</f>
        <v>47.95</v>
      </c>
      <c r="BF99" s="95">
        <f>+'QTR Share Price'!IY20</f>
        <v>53</v>
      </c>
      <c r="BG99" s="95">
        <f>+'QTR Share Price'!IZ20</f>
        <v>52.7</v>
      </c>
      <c r="BH99" s="95">
        <f>+'QTR Share Price'!JA20</f>
        <v>48.8</v>
      </c>
      <c r="BI99" s="95">
        <f>+'QTR Share Price'!JB20</f>
        <v>43.3</v>
      </c>
      <c r="BJ99" s="95">
        <f>+'QTR Share Price'!JC20</f>
        <v>40.4</v>
      </c>
      <c r="BK99" s="95">
        <f>+'QTR Share Price'!JD20</f>
        <v>43.9</v>
      </c>
      <c r="BL99" s="95">
        <f>+'QTR Share Price'!JE20</f>
        <v>46.05</v>
      </c>
      <c r="BM99" s="95">
        <f>+'QTR Share Price'!JF20</f>
        <v>66.05</v>
      </c>
      <c r="BN99" s="95">
        <f>+'QTR Share Price'!JG20</f>
        <v>69.41</v>
      </c>
      <c r="BO99" s="95">
        <f>+'QTR Share Price'!JH20</f>
        <v>74</v>
      </c>
      <c r="BP99" s="95">
        <f>+'QTR Share Price'!JI20</f>
        <v>86.4</v>
      </c>
      <c r="BQ99" s="95">
        <f>+'QTR Share Price'!JJ20</f>
        <v>111.95</v>
      </c>
      <c r="BR99" s="95">
        <f>+'QTR Share Price'!JK20</f>
        <v>109.55</v>
      </c>
      <c r="BS99" s="95">
        <f>+'QTR Share Price'!JL20</f>
        <v>109.45</v>
      </c>
      <c r="BT99" s="95">
        <f>+'QTR Share Price'!JM20</f>
        <v>96</v>
      </c>
      <c r="BU99" s="95">
        <f>+'QTR Share Price'!JN20</f>
        <v>90</v>
      </c>
      <c r="BV99" s="95">
        <f>+'QTR Share Price'!JO20</f>
        <v>101.1</v>
      </c>
      <c r="BW99" s="95">
        <f>+'QTR Share Price'!JP20</f>
        <v>109</v>
      </c>
      <c r="BX99" s="95">
        <f>+'QTR Share Price'!JQ20</f>
        <v>122.2</v>
      </c>
      <c r="BY99" s="95">
        <f>+'QTR Share Price'!JR20</f>
        <v>136.5</v>
      </c>
      <c r="BZ99" s="79">
        <f t="shared" ref="BZ99:CO99" si="1107">+BZ107*BZ74</f>
        <v>140.93353624955446</v>
      </c>
      <c r="CA99" s="79">
        <f t="shared" si="1107"/>
        <v>145.06219934909979</v>
      </c>
      <c r="CB99" s="79">
        <f t="shared" si="1107"/>
        <v>149.35584031459487</v>
      </c>
      <c r="CC99" s="79">
        <f t="shared" si="1107"/>
        <v>153.73764110397025</v>
      </c>
      <c r="CD99" s="79">
        <f t="shared" si="1107"/>
        <v>158.63248912073999</v>
      </c>
      <c r="CE99" s="79">
        <f t="shared" si="1107"/>
        <v>162.964006006879</v>
      </c>
      <c r="CF99" s="79">
        <f t="shared" si="1107"/>
        <v>167.40736686957129</v>
      </c>
      <c r="CG99" s="79">
        <f t="shared" si="1107"/>
        <v>171.91334431598398</v>
      </c>
      <c r="CH99" s="79">
        <f t="shared" si="1107"/>
        <v>177.31489717850636</v>
      </c>
      <c r="CI99" s="79">
        <f t="shared" si="1107"/>
        <v>182.07906326792477</v>
      </c>
      <c r="CJ99" s="79">
        <f t="shared" si="1107"/>
        <v>187.03062913794889</v>
      </c>
      <c r="CK99" s="79">
        <f t="shared" si="1107"/>
        <v>192.15244524744489</v>
      </c>
      <c r="CL99" s="79">
        <f t="shared" si="1107"/>
        <v>198.20008571826156</v>
      </c>
      <c r="CM99" s="79">
        <f t="shared" si="1107"/>
        <v>203.54180602864673</v>
      </c>
      <c r="CN99" s="79">
        <f t="shared" si="1107"/>
        <v>209.1217650348699</v>
      </c>
      <c r="CO99" s="79">
        <f t="shared" si="1107"/>
        <v>214.91054725067201</v>
      </c>
      <c r="CT99" s="95">
        <v>101.1</v>
      </c>
    </row>
    <row r="100" spans="1:98" s="90" customFormat="1" x14ac:dyDescent="0.2">
      <c r="AB100" s="84"/>
      <c r="AC100" s="84"/>
      <c r="AD100" s="84"/>
      <c r="AE100" s="84"/>
      <c r="AG100" s="83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</row>
    <row r="101" spans="1:98" s="91" customFormat="1" x14ac:dyDescent="0.2">
      <c r="A101" s="91" t="s">
        <v>47</v>
      </c>
      <c r="AB101" s="70"/>
      <c r="AC101" s="70"/>
      <c r="AD101" s="70"/>
      <c r="AE101" s="70"/>
      <c r="AG101" s="71"/>
      <c r="BZ101" s="70">
        <f t="shared" ref="BZ101:CC101" si="1108">+BZ98/BZ97-1</f>
        <v>0.28843410659765834</v>
      </c>
      <c r="CA101" s="70">
        <f t="shared" si="1108"/>
        <v>0.32617892230061507</v>
      </c>
      <c r="CB101" s="70">
        <f t="shared" si="1108"/>
        <v>0.36543198873636396</v>
      </c>
      <c r="CC101" s="70">
        <f t="shared" si="1108"/>
        <v>0.40549102461658793</v>
      </c>
      <c r="CD101" s="70">
        <f t="shared" ref="CD101:CO101" si="1109">+CD98/CD97-1</f>
        <v>0.4502404100307924</v>
      </c>
      <c r="CE101" s="70">
        <f t="shared" si="1109"/>
        <v>0.48983974343233982</v>
      </c>
      <c r="CF101" s="70">
        <f t="shared" si="1109"/>
        <v>0.53046157011578154</v>
      </c>
      <c r="CG101" s="70">
        <f t="shared" si="1109"/>
        <v>0.57165584636836697</v>
      </c>
      <c r="CH101" s="70">
        <f t="shared" si="1109"/>
        <v>0.62103759837621153</v>
      </c>
      <c r="CI101" s="70">
        <f t="shared" si="1109"/>
        <v>0.6645922713266823</v>
      </c>
      <c r="CJ101" s="70">
        <f t="shared" si="1109"/>
        <v>0.7098601792908108</v>
      </c>
      <c r="CK101" s="70">
        <f t="shared" si="1109"/>
        <v>0.75668453876413566</v>
      </c>
      <c r="CL101" s="70">
        <f t="shared" si="1109"/>
        <v>0.81197291408200933</v>
      </c>
      <c r="CM101" s="70">
        <f t="shared" si="1109"/>
        <v>0.86080766852696078</v>
      </c>
      <c r="CN101" s="70">
        <f t="shared" si="1109"/>
        <v>0.91182043446156569</v>
      </c>
      <c r="CO101" s="70">
        <f t="shared" si="1109"/>
        <v>0.96474229139488288</v>
      </c>
    </row>
    <row r="102" spans="1:98" s="91" customFormat="1" x14ac:dyDescent="0.2">
      <c r="A102" s="91" t="s">
        <v>48</v>
      </c>
      <c r="AB102" s="70"/>
      <c r="AC102" s="70"/>
      <c r="AD102" s="70"/>
      <c r="AE102" s="70"/>
      <c r="AG102" s="71"/>
      <c r="BZ102" s="70">
        <f t="shared" ref="BZ102:CC102" si="1110">+BZ99/BZ97-1</f>
        <v>-1.4450795457661036E-2</v>
      </c>
      <c r="CA102" s="70">
        <f t="shared" si="1110"/>
        <v>1.4420974469229186E-2</v>
      </c>
      <c r="CB102" s="70">
        <f t="shared" si="1110"/>
        <v>4.4446435766397618E-2</v>
      </c>
      <c r="CC102" s="70">
        <f t="shared" si="1110"/>
        <v>7.5088399328463229E-2</v>
      </c>
      <c r="CD102" s="70">
        <f t="shared" ref="CD102:CO102" si="1111">+CD99/CD97-1</f>
        <v>0.10931810573944056</v>
      </c>
      <c r="CE102" s="70">
        <f t="shared" si="1111"/>
        <v>0.13960843361453845</v>
      </c>
      <c r="CF102" s="70">
        <f t="shared" si="1111"/>
        <v>0.17068088719979935</v>
      </c>
      <c r="CG102" s="70">
        <f t="shared" si="1111"/>
        <v>0.20219121899289494</v>
      </c>
      <c r="CH102" s="70">
        <f t="shared" si="1111"/>
        <v>0.23996431593361089</v>
      </c>
      <c r="CI102" s="70">
        <f t="shared" si="1111"/>
        <v>0.27328016271276057</v>
      </c>
      <c r="CJ102" s="70">
        <f t="shared" si="1111"/>
        <v>0.307906497468174</v>
      </c>
      <c r="CK102" s="70">
        <f t="shared" si="1111"/>
        <v>0.34372339333877533</v>
      </c>
      <c r="CL102" s="70">
        <f t="shared" si="1111"/>
        <v>0.38601458544238865</v>
      </c>
      <c r="CM102" s="70">
        <f t="shared" si="1111"/>
        <v>0.42336927292759952</v>
      </c>
      <c r="CN102" s="70">
        <f t="shared" si="1111"/>
        <v>0.46238996527881038</v>
      </c>
      <c r="CO102" s="70">
        <f t="shared" si="1111"/>
        <v>0.50287095979490926</v>
      </c>
    </row>
    <row r="103" spans="1:98" s="91" customFormat="1" x14ac:dyDescent="0.2">
      <c r="AB103" s="70"/>
      <c r="AC103" s="70"/>
      <c r="AD103" s="70"/>
      <c r="AE103" s="70"/>
      <c r="AG103" s="71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</row>
    <row r="104" spans="1:98" s="90" customFormat="1" x14ac:dyDescent="0.2">
      <c r="A104" s="90" t="s">
        <v>350</v>
      </c>
      <c r="AB104" s="84"/>
      <c r="AC104" s="84"/>
      <c r="AD104" s="84"/>
      <c r="AE104" s="84"/>
      <c r="AG104" s="83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</row>
    <row r="105" spans="1:98" s="90" customFormat="1" x14ac:dyDescent="0.2">
      <c r="A105" s="90" t="s">
        <v>41</v>
      </c>
      <c r="B105" s="90" t="e">
        <f t="shared" ref="B105:AE105" si="1112">+B97/B74</f>
        <v>#DIV/0!</v>
      </c>
      <c r="C105" s="90">
        <f t="shared" si="1112"/>
        <v>21.120302013094104</v>
      </c>
      <c r="D105" s="90">
        <f t="shared" si="1112"/>
        <v>14.890369153985327</v>
      </c>
      <c r="E105" s="90">
        <f t="shared" si="1112"/>
        <v>13.764829762779184</v>
      </c>
      <c r="F105" s="90">
        <f t="shared" si="1112"/>
        <v>16.189192930465726</v>
      </c>
      <c r="G105" s="90">
        <f t="shared" si="1112"/>
        <v>14.969956015465671</v>
      </c>
      <c r="H105" s="90">
        <f t="shared" si="1112"/>
        <v>15.028246726029019</v>
      </c>
      <c r="I105" s="90">
        <f t="shared" si="1112"/>
        <v>11.516678787238016</v>
      </c>
      <c r="J105" s="90">
        <f t="shared" si="1112"/>
        <v>7.780789106614991</v>
      </c>
      <c r="K105" s="90">
        <f t="shared" si="1112"/>
        <v>12.903438845654279</v>
      </c>
      <c r="L105" s="90">
        <f t="shared" si="1112"/>
        <v>14.183986288931672</v>
      </c>
      <c r="M105" s="90">
        <f t="shared" si="1112"/>
        <v>9.4971306926739878</v>
      </c>
      <c r="N105" s="90">
        <f t="shared" si="1112"/>
        <v>7.663423438290847</v>
      </c>
      <c r="O105" s="90">
        <f t="shared" si="1112"/>
        <v>4.630374011322675</v>
      </c>
      <c r="P105" s="90">
        <f t="shared" si="1112"/>
        <v>4.9705859282500597</v>
      </c>
      <c r="Q105" s="90">
        <f t="shared" si="1112"/>
        <v>10.225753427439543</v>
      </c>
      <c r="R105" s="90">
        <f t="shared" si="1112"/>
        <v>8.8365068225483601</v>
      </c>
      <c r="S105" s="90">
        <f t="shared" si="1112"/>
        <v>6.4192250035260043</v>
      </c>
      <c r="T105" s="90">
        <f t="shared" si="1112"/>
        <v>1.745734867547909</v>
      </c>
      <c r="U105" s="90">
        <f t="shared" si="1112"/>
        <v>0.49777075570014212</v>
      </c>
      <c r="V105" s="90">
        <f t="shared" si="1112"/>
        <v>0.84807318608299775</v>
      </c>
      <c r="W105" s="90">
        <f t="shared" si="1112"/>
        <v>0.46100487698254211</v>
      </c>
      <c r="X105" s="90">
        <f t="shared" si="1112"/>
        <v>0.66926010083979015</v>
      </c>
      <c r="Y105" s="90">
        <f t="shared" si="1112"/>
        <v>1.0054185008683905</v>
      </c>
      <c r="Z105" s="90">
        <f t="shared" si="1112"/>
        <v>0.66571693444697277</v>
      </c>
      <c r="AA105" s="90">
        <f t="shared" ref="AA105" si="1113">+AA97/AA74</f>
        <v>0.74509369296524619</v>
      </c>
      <c r="AB105" s="84">
        <f t="shared" si="1112"/>
        <v>0.65662153473265317</v>
      </c>
      <c r="AC105" s="84">
        <f t="shared" si="1112"/>
        <v>0.58664821223064723</v>
      </c>
      <c r="AD105" s="84">
        <f t="shared" si="1112"/>
        <v>0.52434775803294242</v>
      </c>
      <c r="AE105" s="84">
        <f t="shared" si="1112"/>
        <v>0.46837347949653874</v>
      </c>
      <c r="AG105" s="83"/>
      <c r="AH105" s="90" t="e">
        <f t="shared" ref="AH105:AR105" si="1114">+AH97/AH74</f>
        <v>#DIV/0!</v>
      </c>
      <c r="AI105" s="90">
        <f t="shared" si="1114"/>
        <v>0.64389994313417087</v>
      </c>
      <c r="AJ105" s="90">
        <f t="shared" si="1114"/>
        <v>0.78331567439282956</v>
      </c>
      <c r="AK105" s="90">
        <f t="shared" si="1114"/>
        <v>1.8357119928347085</v>
      </c>
      <c r="AL105" s="90">
        <f t="shared" si="1114"/>
        <v>3.1098198049971524</v>
      </c>
      <c r="AM105" s="90">
        <f t="shared" si="1114"/>
        <v>2.4002486273132848</v>
      </c>
      <c r="AN105" s="90">
        <f t="shared" si="1114"/>
        <v>1.6670732753095319</v>
      </c>
      <c r="AO105" s="90">
        <f t="shared" si="1114"/>
        <v>2.0485454231539317</v>
      </c>
      <c r="AP105" s="90">
        <f t="shared" si="1114"/>
        <v>1.8413033954537565</v>
      </c>
      <c r="AQ105" s="90">
        <f t="shared" si="1114"/>
        <v>1.7746645559692462</v>
      </c>
      <c r="AR105" s="90">
        <f t="shared" si="1114"/>
        <v>-5.4318243020636974</v>
      </c>
      <c r="AS105" s="90">
        <f>+AS97/AS74</f>
        <v>2.4586295541755643</v>
      </c>
      <c r="AT105" s="90">
        <f t="shared" ref="AT105:CO105" si="1115">+AT97/AT74</f>
        <v>5.0916530032472735</v>
      </c>
      <c r="AU105" s="90">
        <f t="shared" si="1115"/>
        <v>3.8315994449958284</v>
      </c>
      <c r="AV105" s="90">
        <f t="shared" si="1115"/>
        <v>2.291404785626193</v>
      </c>
      <c r="AW105" s="90">
        <f t="shared" si="1115"/>
        <v>1.7460190108896256</v>
      </c>
      <c r="AX105" s="90">
        <f t="shared" si="1115"/>
        <v>1.5002310211543262</v>
      </c>
      <c r="AY105" s="90">
        <f t="shared" si="1115"/>
        <v>1.0482542557408798</v>
      </c>
      <c r="AZ105" s="90">
        <f t="shared" si="1115"/>
        <v>1.1820728354950836</v>
      </c>
      <c r="BA105" s="90">
        <f t="shared" si="1115"/>
        <v>0.49785200369810223</v>
      </c>
      <c r="BB105" s="90">
        <f t="shared" si="1115"/>
        <v>0.70854385612084014</v>
      </c>
      <c r="BC105" s="90">
        <f t="shared" si="1115"/>
        <v>0.53492232787482408</v>
      </c>
      <c r="BD105" s="90">
        <f t="shared" si="1115"/>
        <v>0.60657755390782264</v>
      </c>
      <c r="BE105" s="90">
        <f t="shared" si="1115"/>
        <v>0.84821162044566756</v>
      </c>
      <c r="BF105" s="90">
        <f t="shared" si="1115"/>
        <v>0.95559856742640792</v>
      </c>
      <c r="BG105" s="90">
        <f t="shared" si="1115"/>
        <v>0.59434325699991142</v>
      </c>
      <c r="BH105" s="90">
        <f t="shared" si="1115"/>
        <v>0.54035599221927477</v>
      </c>
      <c r="BI105" s="90">
        <f t="shared" si="1115"/>
        <v>0.46108001314507668</v>
      </c>
      <c r="BJ105" s="90">
        <f t="shared" si="1115"/>
        <v>0.43768753688599121</v>
      </c>
      <c r="BK105" s="90">
        <f t="shared" si="1115"/>
        <v>0.46243525571548255</v>
      </c>
      <c r="BL105" s="90">
        <f t="shared" si="1115"/>
        <v>0.80128785614554954</v>
      </c>
      <c r="BM105" s="90">
        <f t="shared" si="1115"/>
        <v>0.66936911358306384</v>
      </c>
      <c r="BN105" s="90">
        <f t="shared" si="1115"/>
        <v>0.64251198775141394</v>
      </c>
      <c r="BO105" s="90">
        <f t="shared" si="1115"/>
        <v>0.94143235940787817</v>
      </c>
      <c r="BP105" s="90">
        <f t="shared" si="1115"/>
        <v>0.85940512749339282</v>
      </c>
      <c r="BQ105" s="90">
        <f t="shared" si="1115"/>
        <v>1.0055822464005242</v>
      </c>
      <c r="BR105" s="90">
        <f t="shared" si="1115"/>
        <v>0.86575893085655964</v>
      </c>
      <c r="BS105" s="90">
        <f t="shared" si="1115"/>
        <v>0.76188197643960465</v>
      </c>
      <c r="BT105" s="90">
        <f t="shared" si="1115"/>
        <v>0.67485031242817672</v>
      </c>
      <c r="BU105" s="90">
        <f t="shared" si="1115"/>
        <v>0.66582546306504586</v>
      </c>
      <c r="BV105" s="90">
        <f t="shared" si="1115"/>
        <v>0.7253835030935244</v>
      </c>
      <c r="BW105" s="90">
        <f t="shared" ref="BW105:BY105" si="1116">+BW97/BW74</f>
        <v>0.72650847847210287</v>
      </c>
      <c r="BX105" s="90">
        <f t="shared" ref="BX105" si="1117">+BX97/BX74</f>
        <v>0.81590113482774773</v>
      </c>
      <c r="BY105" s="90">
        <f t="shared" si="1116"/>
        <v>0.74521492412549539</v>
      </c>
      <c r="BZ105" s="84">
        <f t="shared" si="1115"/>
        <v>0.75310727606013295</v>
      </c>
      <c r="CA105" s="84">
        <f t="shared" si="1115"/>
        <v>0.731672841489168</v>
      </c>
      <c r="CB105" s="84">
        <f t="shared" si="1115"/>
        <v>0.7106389101816214</v>
      </c>
      <c r="CC105" s="84">
        <f t="shared" si="1115"/>
        <v>0.69038441612776225</v>
      </c>
      <c r="CD105" s="84">
        <f t="shared" si="1115"/>
        <v>0.66908154930128516</v>
      </c>
      <c r="CE105" s="84">
        <f t="shared" si="1115"/>
        <v>0.65129763431284138</v>
      </c>
      <c r="CF105" s="84">
        <f t="shared" si="1115"/>
        <v>0.63401075815927022</v>
      </c>
      <c r="CG105" s="84">
        <f t="shared" si="1115"/>
        <v>0.61739286157645634</v>
      </c>
      <c r="CH105" s="84">
        <f t="shared" si="1115"/>
        <v>0.59858519097564999</v>
      </c>
      <c r="CI105" s="84">
        <f t="shared" si="1115"/>
        <v>0.58292298787941621</v>
      </c>
      <c r="CJ105" s="84">
        <f t="shared" si="1115"/>
        <v>0.5674903200594984</v>
      </c>
      <c r="CK105" s="84">
        <f t="shared" si="1115"/>
        <v>0.55236388719250673</v>
      </c>
      <c r="CL105" s="84">
        <f t="shared" si="1115"/>
        <v>0.53550971588023244</v>
      </c>
      <c r="CM105" s="84">
        <f t="shared" si="1115"/>
        <v>0.52145588005387933</v>
      </c>
      <c r="CN105" s="84">
        <f t="shared" si="1115"/>
        <v>0.50754196519298711</v>
      </c>
      <c r="CO105" s="84">
        <f t="shared" si="1115"/>
        <v>0.49387092885033862</v>
      </c>
      <c r="CT105" s="90">
        <v>0.74509369296524619</v>
      </c>
    </row>
    <row r="106" spans="1:98" s="90" customFormat="1" x14ac:dyDescent="0.2">
      <c r="A106" s="90" t="s">
        <v>38</v>
      </c>
      <c r="B106" s="90">
        <f>B98/B69</f>
        <v>39.222237523612442</v>
      </c>
      <c r="C106" s="90">
        <f>C98/C69</f>
        <v>23.262823638865967</v>
      </c>
      <c r="D106" s="90">
        <f t="shared" ref="D106:AE106" si="1118">D98/D74</f>
        <v>18.210253569583639</v>
      </c>
      <c r="E106" s="90">
        <f t="shared" si="1118"/>
        <v>18.906192322730664</v>
      </c>
      <c r="F106" s="90">
        <f t="shared" si="1118"/>
        <v>18.770078759960263</v>
      </c>
      <c r="G106" s="90">
        <f t="shared" si="1118"/>
        <v>16.77882570066777</v>
      </c>
      <c r="H106" s="90">
        <f t="shared" si="1118"/>
        <v>19.20176458915746</v>
      </c>
      <c r="I106" s="90">
        <f t="shared" si="1118"/>
        <v>21.220926511873923</v>
      </c>
      <c r="J106" s="90">
        <f t="shared" si="1118"/>
        <v>13.049363449384305</v>
      </c>
      <c r="K106" s="90">
        <f t="shared" si="1118"/>
        <v>17.975825150497684</v>
      </c>
      <c r="L106" s="90">
        <f t="shared" si="1118"/>
        <v>17.444434088876434</v>
      </c>
      <c r="M106" s="90">
        <f t="shared" si="1118"/>
        <v>13.111828080965969</v>
      </c>
      <c r="N106" s="90">
        <f t="shared" si="1118"/>
        <v>9.9358501570170912</v>
      </c>
      <c r="O106" s="90">
        <f t="shared" si="1118"/>
        <v>6.9769156684368312</v>
      </c>
      <c r="P106" s="90">
        <f t="shared" si="1118"/>
        <v>9.0587817619576434</v>
      </c>
      <c r="Q106" s="90">
        <f t="shared" si="1118"/>
        <v>24.544969200639272</v>
      </c>
      <c r="R106" s="90">
        <f t="shared" si="1118"/>
        <v>9.0266755490020554</v>
      </c>
      <c r="S106" s="90">
        <f t="shared" si="1118"/>
        <v>13.453056656325774</v>
      </c>
      <c r="T106" s="90">
        <f t="shared" si="1118"/>
        <v>1.9834092215189572</v>
      </c>
      <c r="U106" s="90">
        <f t="shared" si="1118"/>
        <v>1.6692684412083838</v>
      </c>
      <c r="V106" s="90">
        <f t="shared" si="1118"/>
        <v>1.2680475273120138</v>
      </c>
      <c r="W106" s="90">
        <f t="shared" si="1118"/>
        <v>0.87425025198761253</v>
      </c>
      <c r="X106" s="90">
        <f t="shared" si="1118"/>
        <v>0.92542979875642328</v>
      </c>
      <c r="Y106" s="90">
        <f t="shared" si="1118"/>
        <v>1.1474246905895826</v>
      </c>
      <c r="Z106" s="90">
        <f t="shared" si="1118"/>
        <v>0.98210341403008128</v>
      </c>
      <c r="AA106" s="90">
        <f t="shared" ref="AA106" si="1119">AA98/AA74</f>
        <v>0.97017124779020925</v>
      </c>
      <c r="AB106" s="84">
        <f t="shared" si="1118"/>
        <v>0.92287567363671319</v>
      </c>
      <c r="AC106" s="84">
        <f t="shared" si="1118"/>
        <v>0.92200909251384722</v>
      </c>
      <c r="AD106" s="84">
        <f t="shared" si="1118"/>
        <v>0.92111359947210802</v>
      </c>
      <c r="AE106" s="84">
        <f t="shared" si="1118"/>
        <v>0.92023318333462367</v>
      </c>
      <c r="AG106" s="83"/>
      <c r="AH106" s="90" t="e">
        <f t="shared" ref="AH106:AS106" si="1120">AH98/AH74</f>
        <v>#DIV/0!</v>
      </c>
      <c r="AI106" s="90">
        <f t="shared" si="1120"/>
        <v>0.89186436240088951</v>
      </c>
      <c r="AJ106" s="90">
        <f t="shared" si="1120"/>
        <v>1.0150053910466459</v>
      </c>
      <c r="AK106" s="90">
        <f t="shared" si="1120"/>
        <v>2.2272548908427297</v>
      </c>
      <c r="AL106" s="90">
        <f t="shared" si="1120"/>
        <v>3.132889684856182</v>
      </c>
      <c r="AM106" s="90">
        <f t="shared" si="1120"/>
        <v>2.6824428980488748</v>
      </c>
      <c r="AN106" s="90">
        <f t="shared" si="1120"/>
        <v>2.0021985466054311</v>
      </c>
      <c r="AO106" s="90">
        <f t="shared" si="1120"/>
        <v>2.0926317665503578</v>
      </c>
      <c r="AP106" s="90">
        <f t="shared" si="1120"/>
        <v>2.6073014698726018</v>
      </c>
      <c r="AQ106" s="90">
        <f t="shared" si="1120"/>
        <v>2.1626505138221082</v>
      </c>
      <c r="AR106" s="90">
        <f t="shared" si="1120"/>
        <v>-6.936218775823237</v>
      </c>
      <c r="AS106" s="90">
        <f t="shared" si="1120"/>
        <v>4.3454018474427887</v>
      </c>
      <c r="AT106" s="90">
        <f t="shared" ref="AT106:BV106" si="1121">AT98/AT74</f>
        <v>6.8955529243977365</v>
      </c>
      <c r="AU106" s="90">
        <f t="shared" si="1121"/>
        <v>5.1968247348903098</v>
      </c>
      <c r="AV106" s="90">
        <f t="shared" si="1121"/>
        <v>2.3167302589896734</v>
      </c>
      <c r="AW106" s="90">
        <f t="shared" si="1121"/>
        <v>1.8422760512790346</v>
      </c>
      <c r="AX106" s="90">
        <f t="shared" si="1121"/>
        <v>1.7997779804530267</v>
      </c>
      <c r="AY106" s="90">
        <f t="shared" si="1121"/>
        <v>1.6052694242004895</v>
      </c>
      <c r="AZ106" s="90">
        <f t="shared" si="1121"/>
        <v>1.3389554616395696</v>
      </c>
      <c r="BA106" s="90">
        <f t="shared" si="1121"/>
        <v>1.1068523617101995</v>
      </c>
      <c r="BB106" s="90">
        <f t="shared" si="1121"/>
        <v>0.85344035021508147</v>
      </c>
      <c r="BC106" s="90">
        <f t="shared" si="1121"/>
        <v>0.77544022959741077</v>
      </c>
      <c r="BD106" s="90">
        <f t="shared" si="1121"/>
        <v>0.68575057481871005</v>
      </c>
      <c r="BE106" s="90">
        <f t="shared" si="1121"/>
        <v>1.2682545157584817</v>
      </c>
      <c r="BF106" s="90">
        <f t="shared" si="1121"/>
        <v>1.0666148323199764</v>
      </c>
      <c r="BG106" s="90">
        <f t="shared" si="1121"/>
        <v>0.84462125611529337</v>
      </c>
      <c r="BH106" s="90">
        <f t="shared" si="1121"/>
        <v>0.69241332595965488</v>
      </c>
      <c r="BI106" s="90">
        <f t="shared" si="1121"/>
        <v>0.59885092219824021</v>
      </c>
      <c r="BJ106" s="90">
        <f t="shared" si="1121"/>
        <v>0.52996213598145947</v>
      </c>
      <c r="BK106" s="90">
        <f t="shared" si="1121"/>
        <v>0.52191862885730811</v>
      </c>
      <c r="BL106" s="90">
        <f t="shared" si="1121"/>
        <v>0.94028676996671634</v>
      </c>
      <c r="BM106" s="90">
        <f t="shared" si="1121"/>
        <v>0.90545922178069771</v>
      </c>
      <c r="BN106" s="90">
        <f t="shared" si="1121"/>
        <v>0.77826010472878471</v>
      </c>
      <c r="BO106" s="90">
        <f t="shared" si="1121"/>
        <v>0.9810996949061902</v>
      </c>
      <c r="BP106" s="90">
        <f t="shared" si="1121"/>
        <v>0.92313543668140197</v>
      </c>
      <c r="BQ106" s="90">
        <f t="shared" si="1121"/>
        <v>1.1476115636841018</v>
      </c>
      <c r="BR106" s="90">
        <f t="shared" si="1121"/>
        <v>1.1366008398449226</v>
      </c>
      <c r="BS106" s="90">
        <f t="shared" si="1121"/>
        <v>0.88232402330223403</v>
      </c>
      <c r="BT106" s="90">
        <f t="shared" si="1121"/>
        <v>0.79664772045837229</v>
      </c>
      <c r="BU106" s="90">
        <f t="shared" si="1121"/>
        <v>0.70374829522841453</v>
      </c>
      <c r="BV106" s="90">
        <f t="shared" si="1121"/>
        <v>0.79758531951278699</v>
      </c>
      <c r="BW106" s="90">
        <f t="shared" ref="BW106:BY106" si="1122">BW98/BW74</f>
        <v>0.72945338515419489</v>
      </c>
      <c r="BX106" s="90">
        <f t="shared" ref="BX106" si="1123">BX98/BX74</f>
        <v>0.85903747308646683</v>
      </c>
      <c r="BY106" s="90">
        <f t="shared" si="1122"/>
        <v>0.97032910040273357</v>
      </c>
      <c r="BZ106" s="84">
        <f t="shared" ref="BZ106:BZ107" si="1124">BY106</f>
        <v>0.97032910040273357</v>
      </c>
      <c r="CA106" s="84">
        <f t="shared" ref="CA106:CA107" si="1125">BZ106</f>
        <v>0.97032910040273357</v>
      </c>
      <c r="CB106" s="84">
        <f t="shared" ref="CB106:CB107" si="1126">CA106</f>
        <v>0.97032910040273357</v>
      </c>
      <c r="CC106" s="84">
        <f t="shared" ref="CC106:CC107" si="1127">CB106</f>
        <v>0.97032910040273357</v>
      </c>
      <c r="CD106" s="84">
        <f t="shared" ref="CD106:CD107" si="1128">CC106</f>
        <v>0.97032910040273357</v>
      </c>
      <c r="CE106" s="84">
        <f t="shared" ref="CE106:CE107" si="1129">CD106</f>
        <v>0.97032910040273357</v>
      </c>
      <c r="CF106" s="84">
        <f t="shared" ref="CF106:CF107" si="1130">CE106</f>
        <v>0.97032910040273357</v>
      </c>
      <c r="CG106" s="84">
        <f t="shared" ref="CG106:CG107" si="1131">CF106</f>
        <v>0.97032910040273357</v>
      </c>
      <c r="CH106" s="84">
        <f t="shared" ref="CH106:CH107" si="1132">CG106</f>
        <v>0.97032910040273357</v>
      </c>
      <c r="CI106" s="84">
        <f t="shared" ref="CI106:CI107" si="1133">CH106</f>
        <v>0.97032910040273357</v>
      </c>
      <c r="CJ106" s="84">
        <f t="shared" ref="CJ106:CJ107" si="1134">CI106</f>
        <v>0.97032910040273357</v>
      </c>
      <c r="CK106" s="84">
        <f t="shared" ref="CK106:CK107" si="1135">CJ106</f>
        <v>0.97032910040273357</v>
      </c>
      <c r="CL106" s="84">
        <f t="shared" ref="CL106:CL107" si="1136">CK106</f>
        <v>0.97032910040273357</v>
      </c>
      <c r="CM106" s="84">
        <f t="shared" ref="CM106:CM107" si="1137">CL106</f>
        <v>0.97032910040273357</v>
      </c>
      <c r="CN106" s="84">
        <f t="shared" ref="CN106:CN107" si="1138">CM106</f>
        <v>0.97032910040273357</v>
      </c>
      <c r="CO106" s="84">
        <f t="shared" ref="CO106:CO107" si="1139">CN106</f>
        <v>0.97032910040273357</v>
      </c>
      <c r="CT106" s="90">
        <v>0.97017124779020925</v>
      </c>
    </row>
    <row r="107" spans="1:98" s="90" customFormat="1" x14ac:dyDescent="0.2">
      <c r="A107" s="90" t="s">
        <v>39</v>
      </c>
      <c r="B107" s="90">
        <f>B99/B69</f>
        <v>15.815418356295341</v>
      </c>
      <c r="C107" s="90">
        <f>C99/C69</f>
        <v>9.08144845901883</v>
      </c>
      <c r="D107" s="90">
        <f t="shared" ref="D107:AE107" si="1140">D99/D74</f>
        <v>9.6257003765868223</v>
      </c>
      <c r="E107" s="90">
        <f t="shared" si="1140"/>
        <v>8.7987409264624166</v>
      </c>
      <c r="F107" s="90">
        <f t="shared" si="1140"/>
        <v>6.3349015814865881</v>
      </c>
      <c r="G107" s="90">
        <f t="shared" si="1140"/>
        <v>8.9139283546636481</v>
      </c>
      <c r="H107" s="90">
        <f t="shared" si="1140"/>
        <v>7.1379693925179541</v>
      </c>
      <c r="I107" s="90">
        <f t="shared" si="1140"/>
        <v>6.876308805349705</v>
      </c>
      <c r="J107" s="90">
        <f t="shared" si="1140"/>
        <v>6.3548418533335713</v>
      </c>
      <c r="K107" s="90">
        <f t="shared" si="1140"/>
        <v>7.7742509024587632</v>
      </c>
      <c r="L107" s="90">
        <f t="shared" si="1140"/>
        <v>9.201345633784058</v>
      </c>
      <c r="M107" s="90">
        <f t="shared" si="1140"/>
        <v>6.866346567279531</v>
      </c>
      <c r="N107" s="90">
        <f t="shared" si="1140"/>
        <v>6.4296755988040237</v>
      </c>
      <c r="O107" s="90">
        <f t="shared" si="1140"/>
        <v>2.568047098022777</v>
      </c>
      <c r="P107" s="90">
        <f t="shared" si="1140"/>
        <v>4.8626677152484614</v>
      </c>
      <c r="Q107" s="90">
        <f t="shared" si="1140"/>
        <v>8.4398026742700392</v>
      </c>
      <c r="R107" s="90">
        <f t="shared" si="1140"/>
        <v>4.9824206330868082</v>
      </c>
      <c r="S107" s="90">
        <f t="shared" si="1140"/>
        <v>5.6711431728442987</v>
      </c>
      <c r="T107" s="90">
        <f t="shared" si="1140"/>
        <v>1.2268683201463253</v>
      </c>
      <c r="U107" s="90">
        <f t="shared" si="1140"/>
        <v>0.46998820189362256</v>
      </c>
      <c r="V107" s="90">
        <f t="shared" si="1140"/>
        <v>0.38747632672915155</v>
      </c>
      <c r="W107" s="90">
        <f t="shared" si="1140"/>
        <v>0.43536556539463622</v>
      </c>
      <c r="X107" s="90">
        <f t="shared" si="1140"/>
        <v>0.36123056878994686</v>
      </c>
      <c r="Y107" s="90">
        <f t="shared" si="1140"/>
        <v>0.50938757770273702</v>
      </c>
      <c r="Z107" s="90">
        <f t="shared" si="1140"/>
        <v>0.55942599533359061</v>
      </c>
      <c r="AA107" s="90">
        <f t="shared" ref="AA107" si="1141">AA99/AA74</f>
        <v>0.54964591286965625</v>
      </c>
      <c r="AB107" s="84">
        <f t="shared" si="1140"/>
        <v>0.64713283124113608</v>
      </c>
      <c r="AC107" s="84">
        <f t="shared" si="1140"/>
        <v>0.65077948352713089</v>
      </c>
      <c r="AD107" s="84">
        <f t="shared" si="1140"/>
        <v>0.65017250910063995</v>
      </c>
      <c r="AE107" s="84">
        <f t="shared" si="1140"/>
        <v>0.64917247401660416</v>
      </c>
      <c r="AG107" s="83"/>
      <c r="AH107" s="90" t="e">
        <f t="shared" ref="AH107:AS107" si="1142">AH99/AH74</f>
        <v>#DIV/0!</v>
      </c>
      <c r="AI107" s="90">
        <f t="shared" si="1142"/>
        <v>0.59995988799591127</v>
      </c>
      <c r="AJ107" s="90">
        <f t="shared" si="1142"/>
        <v>0.77002758770238999</v>
      </c>
      <c r="AK107" s="90">
        <f t="shared" si="1142"/>
        <v>1.5151007792484301</v>
      </c>
      <c r="AL107" s="90">
        <f t="shared" si="1142"/>
        <v>2.4177234092262729</v>
      </c>
      <c r="AM107" s="90">
        <f t="shared" si="1142"/>
        <v>2.1553252979956028</v>
      </c>
      <c r="AN107" s="90">
        <f t="shared" si="1142"/>
        <v>1.5519954559318214</v>
      </c>
      <c r="AO107" s="90">
        <f t="shared" si="1142"/>
        <v>1.5562479218938405</v>
      </c>
      <c r="AP107" s="90">
        <f t="shared" si="1142"/>
        <v>1.6912761625865624</v>
      </c>
      <c r="AQ107" s="90">
        <f t="shared" si="1142"/>
        <v>1.7527152671722459</v>
      </c>
      <c r="AR107" s="90">
        <f t="shared" si="1142"/>
        <v>-4.1306831242269908</v>
      </c>
      <c r="AS107" s="90">
        <f t="shared" si="1142"/>
        <v>2.1721064775042338</v>
      </c>
      <c r="AT107" s="90">
        <f t="shared" ref="AT107:BV107" si="1143">AT99/AT74</f>
        <v>4.9345391391470725</v>
      </c>
      <c r="AU107" s="90">
        <f t="shared" si="1143"/>
        <v>3.7792824174633748</v>
      </c>
      <c r="AV107" s="90">
        <f t="shared" si="1143"/>
        <v>1.6142236500374816</v>
      </c>
      <c r="AW107" s="90">
        <f t="shared" si="1143"/>
        <v>1.3082587315534444</v>
      </c>
      <c r="AX107" s="90">
        <f t="shared" si="1143"/>
        <v>1.3113500218187564</v>
      </c>
      <c r="AY107" s="90">
        <f t="shared" si="1143"/>
        <v>1.0224433884430502</v>
      </c>
      <c r="AZ107" s="90">
        <f t="shared" si="1143"/>
        <v>0.96394725903750966</v>
      </c>
      <c r="BA107" s="90">
        <f t="shared" si="1143"/>
        <v>0.47006491511960347</v>
      </c>
      <c r="BB107" s="90">
        <f t="shared" si="1143"/>
        <v>0.44917913169214813</v>
      </c>
      <c r="BC107" s="90">
        <f t="shared" si="1143"/>
        <v>0.50272184376442308</v>
      </c>
      <c r="BD107" s="90">
        <f t="shared" si="1143"/>
        <v>0.47628494469226779</v>
      </c>
      <c r="BE107" s="90">
        <f t="shared" si="1143"/>
        <v>0.5994362151859951</v>
      </c>
      <c r="BF107" s="90">
        <f t="shared" si="1143"/>
        <v>0.65015050158664467</v>
      </c>
      <c r="BG107" s="90">
        <f t="shared" si="1143"/>
        <v>0.56486726138675081</v>
      </c>
      <c r="BH107" s="90">
        <f t="shared" si="1143"/>
        <v>0.51352234508861938</v>
      </c>
      <c r="BI107" s="90">
        <f t="shared" si="1143"/>
        <v>0.43543652277386735</v>
      </c>
      <c r="BJ107" s="90">
        <f t="shared" si="1143"/>
        <v>0.3987052196210607</v>
      </c>
      <c r="BK107" s="90">
        <f t="shared" si="1143"/>
        <v>0.42118065821389383</v>
      </c>
      <c r="BL107" s="90">
        <f t="shared" si="1143"/>
        <v>0.41835947591272737</v>
      </c>
      <c r="BM107" s="90">
        <f t="shared" si="1143"/>
        <v>0.59067241085051936</v>
      </c>
      <c r="BN107" s="90">
        <f t="shared" si="1143"/>
        <v>0.60593419931828318</v>
      </c>
      <c r="BO107" s="90">
        <f t="shared" si="1143"/>
        <v>0.63674247871476997</v>
      </c>
      <c r="BP107" s="90">
        <f t="shared" si="1143"/>
        <v>0.65943697171784321</v>
      </c>
      <c r="BQ107" s="90">
        <f t="shared" si="1143"/>
        <v>0.82171483565356696</v>
      </c>
      <c r="BR107" s="90">
        <f t="shared" si="1143"/>
        <v>0.78806722787981809</v>
      </c>
      <c r="BS107" s="90">
        <f t="shared" si="1143"/>
        <v>0.75327897309227398</v>
      </c>
      <c r="BT107" s="90">
        <f t="shared" si="1143"/>
        <v>0.63546473754884714</v>
      </c>
      <c r="BU107" s="90">
        <f t="shared" si="1143"/>
        <v>0.55951719585297977</v>
      </c>
      <c r="BV107" s="90">
        <f t="shared" si="1143"/>
        <v>0.61861047796503843</v>
      </c>
      <c r="BW107" s="90">
        <f t="shared" ref="BW107:BY107" si="1144">BW99/BW74</f>
        <v>0.64198965669606167</v>
      </c>
      <c r="BX107" s="90">
        <f t="shared" ref="BX107" si="1145">BX99/BX74</f>
        <v>0.69358691252835325</v>
      </c>
      <c r="BY107" s="90">
        <f t="shared" si="1144"/>
        <v>0.7422242768561117</v>
      </c>
      <c r="BZ107" s="84">
        <f t="shared" si="1124"/>
        <v>0.7422242768561117</v>
      </c>
      <c r="CA107" s="84">
        <f t="shared" si="1125"/>
        <v>0.7422242768561117</v>
      </c>
      <c r="CB107" s="84">
        <f t="shared" si="1126"/>
        <v>0.7422242768561117</v>
      </c>
      <c r="CC107" s="84">
        <f t="shared" si="1127"/>
        <v>0.7422242768561117</v>
      </c>
      <c r="CD107" s="84">
        <f t="shared" si="1128"/>
        <v>0.7422242768561117</v>
      </c>
      <c r="CE107" s="84">
        <f t="shared" si="1129"/>
        <v>0.7422242768561117</v>
      </c>
      <c r="CF107" s="84">
        <f t="shared" si="1130"/>
        <v>0.7422242768561117</v>
      </c>
      <c r="CG107" s="84">
        <f t="shared" si="1131"/>
        <v>0.7422242768561117</v>
      </c>
      <c r="CH107" s="84">
        <f t="shared" si="1132"/>
        <v>0.7422242768561117</v>
      </c>
      <c r="CI107" s="84">
        <f t="shared" si="1133"/>
        <v>0.7422242768561117</v>
      </c>
      <c r="CJ107" s="84">
        <f t="shared" si="1134"/>
        <v>0.7422242768561117</v>
      </c>
      <c r="CK107" s="84">
        <f t="shared" si="1135"/>
        <v>0.7422242768561117</v>
      </c>
      <c r="CL107" s="84">
        <f t="shared" si="1136"/>
        <v>0.7422242768561117</v>
      </c>
      <c r="CM107" s="84">
        <f t="shared" si="1137"/>
        <v>0.7422242768561117</v>
      </c>
      <c r="CN107" s="84">
        <f t="shared" si="1138"/>
        <v>0.7422242768561117</v>
      </c>
      <c r="CO107" s="84">
        <f t="shared" si="1139"/>
        <v>0.7422242768561117</v>
      </c>
      <c r="CT107" s="90">
        <v>0.54964591286965625</v>
      </c>
    </row>
    <row r="108" spans="1:98" s="87" customFormat="1" x14ac:dyDescent="0.2"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25"/>
      <c r="AC108" s="25"/>
      <c r="AD108" s="25"/>
      <c r="AE108" s="25"/>
      <c r="AG108" s="56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</row>
    <row r="109" spans="1:98" s="87" customFormat="1" x14ac:dyDescent="0.2">
      <c r="A109" s="121" t="s">
        <v>364</v>
      </c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25"/>
      <c r="AC109" s="25"/>
      <c r="AD109" s="25"/>
      <c r="AE109" s="25"/>
      <c r="AG109" s="56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</row>
    <row r="110" spans="1:98" x14ac:dyDescent="0.2">
      <c r="A110" s="120" t="s">
        <v>365</v>
      </c>
      <c r="AA110" s="46"/>
    </row>
    <row r="111" spans="1:98" s="37" customFormat="1" x14ac:dyDescent="0.2">
      <c r="A111" s="37" t="s">
        <v>16</v>
      </c>
      <c r="B111" s="37">
        <f>+'Annual Raw'!C63</f>
        <v>638.41690000000006</v>
      </c>
      <c r="C111" s="37">
        <f>+'Annual Raw'!D63</f>
        <v>488.08339999999998</v>
      </c>
      <c r="D111" s="37">
        <f>+'Annual Raw'!E63</f>
        <v>488.14069999999998</v>
      </c>
      <c r="E111" s="37">
        <f>+'Annual Raw'!F63</f>
        <v>488.14179999999999</v>
      </c>
      <c r="F111" s="37">
        <f>+'Annual Raw'!G63</f>
        <v>488.14190000000002</v>
      </c>
      <c r="G111" s="37">
        <f>+'Annual Raw'!H63</f>
        <v>488.14190000000002</v>
      </c>
      <c r="H111" s="37">
        <f>+'Annual Raw'!I63</f>
        <v>488.142</v>
      </c>
      <c r="I111" s="37">
        <f>+'Annual Raw'!J63</f>
        <v>525.91459999999995</v>
      </c>
      <c r="J111" s="37">
        <f>+'Annual Raw'!K63</f>
        <v>525.91459999999995</v>
      </c>
      <c r="K111" s="37">
        <f>+'Annual Raw'!L63</f>
        <v>525.91459999999995</v>
      </c>
      <c r="L111" s="37">
        <f>+'Annual Raw'!M63</f>
        <v>547.21950000000004</v>
      </c>
      <c r="M111" s="37">
        <f>+'Annual Raw'!N63</f>
        <v>574.51949999999999</v>
      </c>
      <c r="N111" s="37">
        <f>+'Annual Raw'!O63</f>
        <v>596.64139999999998</v>
      </c>
      <c r="O111" s="37">
        <f>+'Annual Raw'!P63</f>
        <v>643.00210000000004</v>
      </c>
      <c r="P111" s="37">
        <f>+'Annual Raw'!Q63</f>
        <v>665.64760000000001</v>
      </c>
      <c r="Q111" s="37">
        <f>+'Annual Raw'!R63</f>
        <v>817.29160000000002</v>
      </c>
      <c r="R111" s="37">
        <f>+'Annual Raw'!S63</f>
        <v>1055.4341999999999</v>
      </c>
      <c r="S111" s="37">
        <f>+'Annual Raw'!T63</f>
        <v>1743.7175</v>
      </c>
      <c r="T111" s="37">
        <f>+'Annual Raw'!U63</f>
        <v>2760.0284999999999</v>
      </c>
      <c r="U111" s="37">
        <f>+'Annual Raw'!V63</f>
        <v>3277.6624999999999</v>
      </c>
      <c r="V111" s="37">
        <f>+'Annual Raw'!W63</f>
        <v>3277.6624999999999</v>
      </c>
      <c r="W111" s="37">
        <f>+'Annual Raw'!X63</f>
        <v>4104.3051999999998</v>
      </c>
      <c r="X111" s="37">
        <f>+'Annual Raw'!Y63</f>
        <v>4104.3051999999998</v>
      </c>
      <c r="Y111" s="37">
        <f>+'Annual Raw'!Z63</f>
        <v>4553.4070000000002</v>
      </c>
      <c r="Z111" s="37">
        <f>+'Annual Raw'!AA63</f>
        <v>4553.4070000000002</v>
      </c>
      <c r="AA111" s="37">
        <f>+'Annual Raw'!AB63</f>
        <v>4553.4070000000002</v>
      </c>
      <c r="AB111" s="38">
        <f>CC111</f>
        <v>4553.41</v>
      </c>
      <c r="AC111" s="38">
        <f>CG111</f>
        <v>4553.41</v>
      </c>
      <c r="AD111" s="38">
        <f>CK111</f>
        <v>4553.41</v>
      </c>
      <c r="AE111" s="38">
        <f>CO111</f>
        <v>4553.41</v>
      </c>
      <c r="AG111" s="59"/>
      <c r="AH111" s="37">
        <f>+'QTR Raw'!C54</f>
        <v>665.65</v>
      </c>
      <c r="AI111" s="37">
        <f>+'QTR Raw'!D54</f>
        <v>792.65</v>
      </c>
      <c r="AJ111" s="37">
        <f>+'QTR Raw'!E54</f>
        <v>792.65</v>
      </c>
      <c r="AK111" s="37">
        <f>+'QTR Raw'!F54</f>
        <v>817.29</v>
      </c>
      <c r="AL111" s="37">
        <f>+'QTR Raw'!G54</f>
        <v>934.77</v>
      </c>
      <c r="AM111" s="37">
        <f>+'QTR Raw'!H54</f>
        <v>1055.43</v>
      </c>
      <c r="AN111" s="37">
        <f>+'QTR Raw'!I54</f>
        <v>1055.43</v>
      </c>
      <c r="AO111" s="37">
        <f>+'QTR Raw'!J54</f>
        <v>1055.43</v>
      </c>
      <c r="AP111" s="37">
        <f>+'QTR Raw'!K54</f>
        <v>1072.93</v>
      </c>
      <c r="AQ111" s="37">
        <f>+'QTR Raw'!L54</f>
        <v>1185.29</v>
      </c>
      <c r="AR111" s="37">
        <f>+'QTR Raw'!M54</f>
        <v>1185.29</v>
      </c>
      <c r="AS111" s="37">
        <f>+'QTR Raw'!N54</f>
        <v>1743.72</v>
      </c>
      <c r="AT111" s="37">
        <f>+'QTR Raw'!O54</f>
        <v>1743.72</v>
      </c>
      <c r="AU111" s="37">
        <f>+'QTR Raw'!P54</f>
        <v>1743.72</v>
      </c>
      <c r="AV111" s="37">
        <f>+'QTR Raw'!Q54</f>
        <v>1743.72</v>
      </c>
      <c r="AW111" s="37">
        <f>+'QTR Raw'!R54</f>
        <v>2760.03</v>
      </c>
      <c r="AX111" s="37">
        <f>+'QTR Raw'!S54</f>
        <v>3277.66</v>
      </c>
      <c r="AY111" s="37">
        <f>+'QTR Raw'!T54</f>
        <v>3277.66</v>
      </c>
      <c r="AZ111" s="37">
        <f>+'QTR Raw'!U54</f>
        <v>3277.66</v>
      </c>
      <c r="BA111" s="37">
        <f>+'QTR Raw'!V54</f>
        <v>3277.66</v>
      </c>
      <c r="BB111" s="37">
        <f>+'QTR Raw'!W54</f>
        <v>3277.66</v>
      </c>
      <c r="BC111" s="37">
        <f>+'QTR Raw'!X54</f>
        <v>3277.66</v>
      </c>
      <c r="BD111" s="37">
        <f>+'QTR Raw'!Y54</f>
        <v>3277.66</v>
      </c>
      <c r="BE111" s="37">
        <f>+'QTR Raw'!Z54</f>
        <v>3277.66</v>
      </c>
      <c r="BF111" s="37">
        <f>+'QTR Raw'!AA54</f>
        <v>3698.83</v>
      </c>
      <c r="BG111" s="37">
        <f>+'QTR Raw'!AB54</f>
        <v>4104.3100000000004</v>
      </c>
      <c r="BH111" s="37">
        <f>+'QTR Raw'!AC54</f>
        <v>4104.3100000000004</v>
      </c>
      <c r="BI111" s="37">
        <f>+'QTR Raw'!AD54</f>
        <v>4104.3100000000004</v>
      </c>
      <c r="BJ111" s="37">
        <f>+'QTR Raw'!AE54</f>
        <v>4104.3100000000004</v>
      </c>
      <c r="BK111" s="37">
        <f>+'QTR Raw'!AF54</f>
        <v>4104.3100000000004</v>
      </c>
      <c r="BL111" s="37">
        <f>+'QTR Raw'!AG54</f>
        <v>4104.3100000000004</v>
      </c>
      <c r="BM111" s="37">
        <f>+'QTR Raw'!AH54</f>
        <v>4104.3100000000004</v>
      </c>
      <c r="BN111" s="37">
        <f>+'QTR Raw'!AI54</f>
        <v>4104.3100000000004</v>
      </c>
      <c r="BO111" s="37">
        <f>+'QTR Raw'!AJ54</f>
        <v>4104.3100000000004</v>
      </c>
      <c r="BP111" s="37">
        <f>+'QTR Raw'!AK54</f>
        <v>4553.41</v>
      </c>
      <c r="BQ111" s="37">
        <f>+'QTR Raw'!AL54</f>
        <v>4553.41</v>
      </c>
      <c r="BR111" s="37">
        <f>+'QTR Raw'!AM54</f>
        <v>4553.41</v>
      </c>
      <c r="BS111" s="37">
        <f>+'QTR Raw'!AN54</f>
        <v>4553.41</v>
      </c>
      <c r="BT111" s="37">
        <f>+'QTR Raw'!AO54</f>
        <v>4553.41</v>
      </c>
      <c r="BU111" s="37">
        <f>+'QTR Raw'!AP54</f>
        <v>4553.41</v>
      </c>
      <c r="BV111" s="37">
        <f>+'QTR Raw'!AQ54</f>
        <v>4553.41</v>
      </c>
      <c r="BW111" s="37">
        <f>+'QTR Raw'!AR54</f>
        <v>4553.41</v>
      </c>
      <c r="BX111" s="37">
        <f>+'QTR Raw'!AS54</f>
        <v>4553.41</v>
      </c>
      <c r="BY111" s="37">
        <f>+'QTR Raw'!AT54</f>
        <v>4553.41</v>
      </c>
      <c r="BZ111" s="38">
        <f t="shared" ref="BZ111" si="1146">BY111</f>
        <v>4553.41</v>
      </c>
      <c r="CA111" s="38">
        <f t="shared" ref="CA111" si="1147">BZ111</f>
        <v>4553.41</v>
      </c>
      <c r="CB111" s="38">
        <f t="shared" ref="CB111" si="1148">CA111</f>
        <v>4553.41</v>
      </c>
      <c r="CC111" s="38">
        <f t="shared" ref="CC111" si="1149">CB111</f>
        <v>4553.41</v>
      </c>
      <c r="CD111" s="38">
        <f t="shared" ref="CD111" si="1150">CC111</f>
        <v>4553.41</v>
      </c>
      <c r="CE111" s="38">
        <f t="shared" ref="CE111" si="1151">CD111</f>
        <v>4553.41</v>
      </c>
      <c r="CF111" s="38">
        <f t="shared" ref="CF111" si="1152">CE111</f>
        <v>4553.41</v>
      </c>
      <c r="CG111" s="38">
        <f t="shared" ref="CG111" si="1153">CF111</f>
        <v>4553.41</v>
      </c>
      <c r="CH111" s="38">
        <f t="shared" ref="CH111" si="1154">CG111</f>
        <v>4553.41</v>
      </c>
      <c r="CI111" s="38">
        <f t="shared" ref="CI111" si="1155">CH111</f>
        <v>4553.41</v>
      </c>
      <c r="CJ111" s="38">
        <f t="shared" ref="CJ111" si="1156">CI111</f>
        <v>4553.41</v>
      </c>
      <c r="CK111" s="38">
        <f t="shared" ref="CK111" si="1157">CJ111</f>
        <v>4553.41</v>
      </c>
      <c r="CL111" s="38">
        <f t="shared" ref="CL111" si="1158">CK111</f>
        <v>4553.41</v>
      </c>
      <c r="CM111" s="38">
        <f t="shared" ref="CM111" si="1159">CL111</f>
        <v>4553.41</v>
      </c>
      <c r="CN111" s="38">
        <f t="shared" ref="CN111" si="1160">CM111</f>
        <v>4553.41</v>
      </c>
      <c r="CO111" s="38">
        <f t="shared" ref="CO111" si="1161">CN111</f>
        <v>4553.41</v>
      </c>
      <c r="CT111" s="37">
        <v>4553.4070000000002</v>
      </c>
    </row>
    <row r="112" spans="1:98" s="37" customFormat="1" x14ac:dyDescent="0.2">
      <c r="A112" s="37" t="s">
        <v>18</v>
      </c>
      <c r="B112" s="37">
        <f>+'Annual Raw'!C65+'Annual Raw'!C64</f>
        <v>2048.0790000000002</v>
      </c>
      <c r="C112" s="37">
        <f>+'Annual Raw'!D65+'Annual Raw'!D64</f>
        <v>2356.9693000000002</v>
      </c>
      <c r="D112" s="37">
        <f>+'Annual Raw'!E65+'Annual Raw'!E64</f>
        <v>3052.6359000000002</v>
      </c>
      <c r="E112" s="37">
        <f>+'Annual Raw'!F65+'Annual Raw'!F64</f>
        <v>3521.5245</v>
      </c>
      <c r="F112" s="37">
        <f>+'Annual Raw'!G65+'Annual Raw'!G64</f>
        <v>3976.7287000000001</v>
      </c>
      <c r="G112" s="37">
        <f>+'Annual Raw'!H65+'Annual Raw'!H64</f>
        <v>4495.7464</v>
      </c>
      <c r="H112" s="37">
        <f>+'Annual Raw'!I65+'Annual Raw'!I64</f>
        <v>5407.2332999999999</v>
      </c>
      <c r="I112" s="37">
        <f>+'Annual Raw'!J65+'Annual Raw'!J64</f>
        <v>10063.4764</v>
      </c>
      <c r="J112" s="37">
        <f>+'Annual Raw'!K65+'Annual Raw'!K64</f>
        <v>12969.0067</v>
      </c>
      <c r="K112" s="37">
        <f>+'Annual Raw'!L65+'Annual Raw'!L64</f>
        <v>13704.0792</v>
      </c>
      <c r="L112" s="37">
        <f>+'Annual Raw'!M65+'Annual Raw'!M64</f>
        <v>16743.460200000001</v>
      </c>
      <c r="M112" s="37">
        <f>+'Annual Raw'!N65+'Annual Raw'!N64</f>
        <v>20387.265299999999</v>
      </c>
      <c r="N112" s="37">
        <f>+'Annual Raw'!O65+'Annual Raw'!O64</f>
        <v>23321.514800000001</v>
      </c>
      <c r="O112" s="37">
        <f>+'Annual Raw'!P65+'Annual Raw'!P64</f>
        <v>29280.081999999999</v>
      </c>
      <c r="P112" s="37">
        <f>+'Annual Raw'!Q65+'Annual Raw'!Q64</f>
        <v>30781.091199999999</v>
      </c>
      <c r="Q112" s="37">
        <f>+'Annual Raw'!R65+'Annual Raw'!R64</f>
        <v>31499.928599999999</v>
      </c>
      <c r="R112" s="37">
        <f>+'Annual Raw'!S65+'Annual Raw'!S64</f>
        <v>31431.640899999999</v>
      </c>
      <c r="S112" s="37">
        <f>+'Annual Raw'!T65+'Annual Raw'!T64</f>
        <v>33796.927799999998</v>
      </c>
      <c r="T112" s="37">
        <f>+'Annual Raw'!U65+'Annual Raw'!U64</f>
        <v>43559.125</v>
      </c>
      <c r="U112" s="37">
        <f>+'Annual Raw'!V65+'Annual Raw'!V64</f>
        <v>40538.654000000002</v>
      </c>
      <c r="V112" s="37">
        <f>+'Annual Raw'!W65+'Annual Raw'!W64</f>
        <v>45407.925900000002</v>
      </c>
      <c r="W112" s="37">
        <f>+'Annual Raw'!X65+'Annual Raw'!X64</f>
        <v>51026.933900000004</v>
      </c>
      <c r="X112" s="37">
        <f>+'Annual Raw'!Y65+'Annual Raw'!Y64</f>
        <v>54866.308799999999</v>
      </c>
      <c r="Y112" s="37">
        <f>+'Annual Raw'!Z65+'Annual Raw'!Z64</f>
        <v>64327.264300000003</v>
      </c>
      <c r="Z112" s="37">
        <f>+'Annual Raw'!AA65+'Annual Raw'!AA64</f>
        <v>74048.034599999999</v>
      </c>
      <c r="AA112" s="37">
        <f>+'Annual Raw'!AB65+'Annual Raw'!AB64</f>
        <v>83436.808099999995</v>
      </c>
      <c r="AB112" s="38">
        <f>CC112</f>
        <v>94611.42020391862</v>
      </c>
      <c r="AC112" s="38">
        <f>CG112</f>
        <v>106439.45018858573</v>
      </c>
      <c r="AD112" s="38">
        <f>CK112</f>
        <v>119627.08281696212</v>
      </c>
      <c r="AE112" s="38">
        <f>CO112</f>
        <v>134467.61883790881</v>
      </c>
      <c r="AG112" s="59"/>
      <c r="AH112" s="37">
        <f>+'QTR Raw'!C56+'QTR Raw'!C55</f>
        <v>30949.68</v>
      </c>
      <c r="AI112" s="37">
        <f>+'QTR Raw'!D56+'QTR Raw'!D55</f>
        <v>32344.65</v>
      </c>
      <c r="AJ112" s="37">
        <f>+'QTR Raw'!E56+'QTR Raw'!E55</f>
        <v>30807.07</v>
      </c>
      <c r="AK112" s="37">
        <f>+'QTR Raw'!F56+'QTR Raw'!F55</f>
        <v>31499.93</v>
      </c>
      <c r="AL112" s="37">
        <f>+'QTR Raw'!G56+'QTR Raw'!G55</f>
        <v>30364.560000000001</v>
      </c>
      <c r="AM112" s="37">
        <f>+'QTR Raw'!H56+'QTR Raw'!H55</f>
        <v>31367.23</v>
      </c>
      <c r="AN112" s="37">
        <f>+'QTR Raw'!I56+'QTR Raw'!I55</f>
        <v>31265.85</v>
      </c>
      <c r="AO112" s="37">
        <f>+'QTR Raw'!J56+'QTR Raw'!J55</f>
        <v>31431.64</v>
      </c>
      <c r="AP112" s="37">
        <f>+'QTR Raw'!K56+'QTR Raw'!K55</f>
        <v>31450.82</v>
      </c>
      <c r="AQ112" s="37">
        <f>+'QTR Raw'!L56+'QTR Raw'!L55</f>
        <v>31560.66</v>
      </c>
      <c r="AR112" s="37">
        <f>+'QTR Raw'!M56+'QTR Raw'!M55</f>
        <v>31228.880000000001</v>
      </c>
      <c r="AS112" s="37">
        <f>+'QTR Raw'!N56+'QTR Raw'!N55</f>
        <v>33796.93</v>
      </c>
      <c r="AT112" s="37">
        <f>+'QTR Raw'!O56+'QTR Raw'!O55</f>
        <v>34013.56</v>
      </c>
      <c r="AU112" s="37">
        <f>+'QTR Raw'!P56+'QTR Raw'!P55</f>
        <v>33389.1</v>
      </c>
      <c r="AV112" s="37">
        <f>+'QTR Raw'!Q56+'QTR Raw'!Q55</f>
        <v>38370.130000000005</v>
      </c>
      <c r="AW112" s="37">
        <f>+'QTR Raw'!R56+'QTR Raw'!R55</f>
        <v>43559.12</v>
      </c>
      <c r="AX112" s="37">
        <f>+'QTR Raw'!S56+'QTR Raw'!S55</f>
        <v>43372.46</v>
      </c>
      <c r="AY112" s="37">
        <f>+'QTR Raw'!T56+'QTR Raw'!T55</f>
        <v>43712.41</v>
      </c>
      <c r="AZ112" s="37">
        <f>+'QTR Raw'!U56+'QTR Raw'!U55</f>
        <v>43973.41</v>
      </c>
      <c r="BA112" s="37">
        <f>+'QTR Raw'!V56+'QTR Raw'!V55</f>
        <v>40538.65</v>
      </c>
      <c r="BB112" s="37">
        <f>+'QTR Raw'!W56+'QTR Raw'!W55</f>
        <v>41422.550000000003</v>
      </c>
      <c r="BC112" s="37">
        <f>+'QTR Raw'!X56+'QTR Raw'!X55</f>
        <v>41811.040000000001</v>
      </c>
      <c r="BD112" s="37">
        <f>+'QTR Raw'!Y56+'QTR Raw'!Y55</f>
        <v>42319.87</v>
      </c>
      <c r="BE112" s="37">
        <f>+'QTR Raw'!Z56+'QTR Raw'!Z55</f>
        <v>45407.93</v>
      </c>
      <c r="BF112" s="37">
        <f>+'QTR Raw'!AA56+'QTR Raw'!AA55</f>
        <v>45844.51</v>
      </c>
      <c r="BG112" s="37">
        <f>+'QTR Raw'!AB56+'QTR Raw'!AB55</f>
        <v>48953.52</v>
      </c>
      <c r="BH112" s="37">
        <f>+'QTR Raw'!AC56+'QTR Raw'!AC55</f>
        <v>49874.74</v>
      </c>
      <c r="BI112" s="37">
        <f>+'QTR Raw'!AD56+'QTR Raw'!AD55</f>
        <v>51026.93</v>
      </c>
      <c r="BJ112" s="37">
        <f>+'QTR Raw'!AE56+'QTR Raw'!AE55</f>
        <v>51809.71</v>
      </c>
      <c r="BK112" s="37">
        <f>+'QTR Raw'!AF56+'QTR Raw'!AF55</f>
        <v>52192.43</v>
      </c>
      <c r="BL112" s="37">
        <f>+'QTR Raw'!AG56+'QTR Raw'!AG55</f>
        <v>53662.54</v>
      </c>
      <c r="BM112" s="37">
        <f>+'QTR Raw'!AH56+'QTR Raw'!AH55</f>
        <v>54866.31</v>
      </c>
      <c r="BN112" s="37">
        <f>+'QTR Raw'!AI56+'QTR Raw'!AI55</f>
        <v>56173.86</v>
      </c>
      <c r="BO112" s="37">
        <f>+'QTR Raw'!AJ56+'QTR Raw'!AJ55</f>
        <v>56792.1</v>
      </c>
      <c r="BP112" s="37">
        <f>+'QTR Raw'!AK56+'QTR Raw'!AK55</f>
        <v>62732.92</v>
      </c>
      <c r="BQ112" s="37">
        <f>+'QTR Raw'!AL56+'QTR Raw'!AL55</f>
        <v>64327.26</v>
      </c>
      <c r="BR112" s="37">
        <f>+'QTR Raw'!AM56+'QTR Raw'!AM55</f>
        <v>64445.82</v>
      </c>
      <c r="BS112" s="37">
        <f>+'QTR Raw'!AN56+'QTR Raw'!AN55</f>
        <v>67254.69</v>
      </c>
      <c r="BT112" s="37">
        <f>+'QTR Raw'!AO56+'QTR Raw'!AO55</f>
        <v>69645.25</v>
      </c>
      <c r="BU112" s="37">
        <f>+'QTR Raw'!AP56+'QTR Raw'!AP55</f>
        <v>74048.03</v>
      </c>
      <c r="BV112" s="37">
        <f>+'QTR Raw'!AQ56+'QTR Raw'!AQ55</f>
        <v>74813.22</v>
      </c>
      <c r="BW112" s="37">
        <f>+'QTR Raw'!AR56+'QTR Raw'!AR55</f>
        <v>77286.710000000006</v>
      </c>
      <c r="BX112" s="37">
        <f>+'QTR Raw'!AS56+'QTR Raw'!AS55</f>
        <v>80030.350000000006</v>
      </c>
      <c r="BY112" s="37">
        <f>+'QTR Raw'!AT56+'QTR Raw'!AT55</f>
        <v>83436.81</v>
      </c>
      <c r="BZ112" s="38">
        <f t="shared" ref="BZ112:CO112" si="1162">BY112+BZ60</f>
        <v>86080.270641882918</v>
      </c>
      <c r="CA112" s="38">
        <f t="shared" si="1162"/>
        <v>88869.650303841772</v>
      </c>
      <c r="CB112" s="38">
        <f t="shared" si="1162"/>
        <v>91708.596632515808</v>
      </c>
      <c r="CC112" s="38">
        <f t="shared" si="1162"/>
        <v>94611.42020391862</v>
      </c>
      <c r="CD112" s="38">
        <f t="shared" si="1162"/>
        <v>97516.9406342359</v>
      </c>
      <c r="CE112" s="38">
        <f t="shared" si="1162"/>
        <v>100470.19921068058</v>
      </c>
      <c r="CF112" s="38">
        <f t="shared" si="1162"/>
        <v>103429.8676702729</v>
      </c>
      <c r="CG112" s="38">
        <f t="shared" si="1162"/>
        <v>106439.45018858573</v>
      </c>
      <c r="CH112" s="38">
        <f t="shared" si="1162"/>
        <v>109640.58600012085</v>
      </c>
      <c r="CI112" s="38">
        <f t="shared" si="1162"/>
        <v>112901.41891662167</v>
      </c>
      <c r="CJ112" s="38">
        <f t="shared" si="1162"/>
        <v>116205.51285976628</v>
      </c>
      <c r="CK112" s="38">
        <f t="shared" si="1162"/>
        <v>119627.08281696212</v>
      </c>
      <c r="CL112" s="38">
        <f t="shared" si="1162"/>
        <v>123208.64005837582</v>
      </c>
      <c r="CM112" s="38">
        <f t="shared" si="1162"/>
        <v>126871.15470318668</v>
      </c>
      <c r="CN112" s="38">
        <f t="shared" si="1162"/>
        <v>130597.91500867966</v>
      </c>
      <c r="CO112" s="38">
        <f t="shared" si="1162"/>
        <v>134467.61883790881</v>
      </c>
      <c r="CT112" s="37">
        <v>83436.808099999995</v>
      </c>
    </row>
    <row r="113" spans="1:98" s="42" customFormat="1" x14ac:dyDescent="0.2">
      <c r="A113" s="42" t="s">
        <v>19</v>
      </c>
      <c r="B113" s="42">
        <f t="shared" ref="B113:AB113" si="1163">SUM(B111:B112)</f>
        <v>2686.4959000000003</v>
      </c>
      <c r="C113" s="42">
        <f t="shared" si="1163"/>
        <v>2845.0527000000002</v>
      </c>
      <c r="D113" s="42">
        <f t="shared" si="1163"/>
        <v>3540.7766000000001</v>
      </c>
      <c r="E113" s="42">
        <f t="shared" si="1163"/>
        <v>4009.6662999999999</v>
      </c>
      <c r="F113" s="42">
        <f t="shared" si="1163"/>
        <v>4464.8706000000002</v>
      </c>
      <c r="G113" s="42">
        <f t="shared" si="1163"/>
        <v>4983.8882999999996</v>
      </c>
      <c r="H113" s="42">
        <f t="shared" si="1163"/>
        <v>5895.3752999999997</v>
      </c>
      <c r="I113" s="42">
        <f t="shared" si="1163"/>
        <v>10589.391</v>
      </c>
      <c r="J113" s="42">
        <f t="shared" si="1163"/>
        <v>13494.9213</v>
      </c>
      <c r="K113" s="42">
        <f t="shared" si="1163"/>
        <v>14229.9938</v>
      </c>
      <c r="L113" s="42">
        <f t="shared" si="1163"/>
        <v>17290.679700000001</v>
      </c>
      <c r="M113" s="42">
        <f t="shared" si="1163"/>
        <v>20961.784799999998</v>
      </c>
      <c r="N113" s="42">
        <f t="shared" si="1163"/>
        <v>23918.156200000001</v>
      </c>
      <c r="O113" s="42">
        <f t="shared" si="1163"/>
        <v>29923.0841</v>
      </c>
      <c r="P113" s="42">
        <f t="shared" si="1163"/>
        <v>31446.738799999999</v>
      </c>
      <c r="Q113" s="42">
        <f t="shared" si="1163"/>
        <v>32317.2202</v>
      </c>
      <c r="R113" s="42">
        <f t="shared" si="1163"/>
        <v>32487.075099999998</v>
      </c>
      <c r="S113" s="42">
        <f t="shared" si="1163"/>
        <v>35540.645299999996</v>
      </c>
      <c r="T113" s="42">
        <f t="shared" si="1163"/>
        <v>46319.1535</v>
      </c>
      <c r="U113" s="42">
        <f t="shared" si="1163"/>
        <v>43816.316500000001</v>
      </c>
      <c r="V113" s="42">
        <f t="shared" si="1163"/>
        <v>48685.588400000001</v>
      </c>
      <c r="W113" s="42">
        <f t="shared" si="1163"/>
        <v>55131.239100000006</v>
      </c>
      <c r="X113" s="42">
        <f t="shared" si="1163"/>
        <v>58970.614000000001</v>
      </c>
      <c r="Y113" s="42">
        <f t="shared" si="1163"/>
        <v>68880.671300000002</v>
      </c>
      <c r="Z113" s="42">
        <f t="shared" si="1163"/>
        <v>78601.441600000006</v>
      </c>
      <c r="AA113" s="42">
        <f t="shared" ref="AA113" si="1164">SUM(AA111:AA112)</f>
        <v>87990.215100000001</v>
      </c>
      <c r="AB113" s="43">
        <f t="shared" si="1163"/>
        <v>99164.830203918624</v>
      </c>
      <c r="AC113" s="43">
        <f t="shared" ref="AC113" si="1165">SUM(AC111:AC112)</f>
        <v>110992.86018858574</v>
      </c>
      <c r="AD113" s="43">
        <f t="shared" ref="AD113" si="1166">SUM(AD111:AD112)</f>
        <v>124180.49281696213</v>
      </c>
      <c r="AE113" s="43">
        <f t="shared" ref="AE113" si="1167">SUM(AE111:AE112)</f>
        <v>139021.02883790882</v>
      </c>
      <c r="AG113" s="61"/>
      <c r="AH113" s="42">
        <f t="shared" ref="AH113" si="1168">SUM(AH111:AH112)</f>
        <v>31615.33</v>
      </c>
      <c r="AI113" s="42">
        <f t="shared" ref="AI113:BC113" si="1169">SUM(AI111:AI112)</f>
        <v>33137.300000000003</v>
      </c>
      <c r="AJ113" s="42">
        <f t="shared" si="1169"/>
        <v>31599.72</v>
      </c>
      <c r="AK113" s="42">
        <f t="shared" si="1169"/>
        <v>32317.22</v>
      </c>
      <c r="AL113" s="42">
        <f t="shared" si="1169"/>
        <v>31299.33</v>
      </c>
      <c r="AM113" s="42">
        <f t="shared" si="1169"/>
        <v>32422.66</v>
      </c>
      <c r="AN113" s="42">
        <f t="shared" si="1169"/>
        <v>32321.279999999999</v>
      </c>
      <c r="AO113" s="42">
        <f t="shared" si="1169"/>
        <v>32487.07</v>
      </c>
      <c r="AP113" s="42">
        <f t="shared" si="1169"/>
        <v>32523.75</v>
      </c>
      <c r="AQ113" s="42">
        <f t="shared" si="1169"/>
        <v>32745.95</v>
      </c>
      <c r="AR113" s="42">
        <f t="shared" si="1169"/>
        <v>32414.170000000002</v>
      </c>
      <c r="AS113" s="42">
        <f t="shared" si="1169"/>
        <v>35540.65</v>
      </c>
      <c r="AT113" s="42">
        <f t="shared" ref="AT113:BB113" si="1170">SUM(AT111:AT112)</f>
        <v>35757.279999999999</v>
      </c>
      <c r="AU113" s="42">
        <f t="shared" si="1170"/>
        <v>35132.82</v>
      </c>
      <c r="AV113" s="42">
        <f t="shared" si="1170"/>
        <v>40113.850000000006</v>
      </c>
      <c r="AW113" s="42">
        <f t="shared" si="1170"/>
        <v>46319.15</v>
      </c>
      <c r="AX113" s="42">
        <f t="shared" si="1170"/>
        <v>46650.119999999995</v>
      </c>
      <c r="AY113" s="42">
        <f t="shared" si="1170"/>
        <v>46990.070000000007</v>
      </c>
      <c r="AZ113" s="42">
        <f t="shared" si="1170"/>
        <v>47251.070000000007</v>
      </c>
      <c r="BA113" s="42">
        <f t="shared" si="1170"/>
        <v>43816.31</v>
      </c>
      <c r="BB113" s="42">
        <f t="shared" si="1170"/>
        <v>44700.210000000006</v>
      </c>
      <c r="BC113" s="42">
        <f t="shared" si="1169"/>
        <v>45088.7</v>
      </c>
      <c r="BD113" s="42">
        <f t="shared" ref="BD113:BV113" si="1171">SUM(BD111:BD112)</f>
        <v>45597.53</v>
      </c>
      <c r="BE113" s="42">
        <f t="shared" si="1171"/>
        <v>48685.59</v>
      </c>
      <c r="BF113" s="42">
        <f t="shared" si="1171"/>
        <v>49543.340000000004</v>
      </c>
      <c r="BG113" s="42">
        <f t="shared" si="1171"/>
        <v>53057.829999999994</v>
      </c>
      <c r="BH113" s="42">
        <f t="shared" si="1171"/>
        <v>53979.049999999996</v>
      </c>
      <c r="BI113" s="42">
        <f t="shared" si="1171"/>
        <v>55131.24</v>
      </c>
      <c r="BJ113" s="42">
        <f t="shared" si="1171"/>
        <v>55914.02</v>
      </c>
      <c r="BK113" s="42">
        <f t="shared" si="1171"/>
        <v>56296.74</v>
      </c>
      <c r="BL113" s="42">
        <f t="shared" si="1171"/>
        <v>57766.85</v>
      </c>
      <c r="BM113" s="42">
        <f t="shared" si="1171"/>
        <v>58970.619999999995</v>
      </c>
      <c r="BN113" s="42">
        <f t="shared" si="1171"/>
        <v>60278.17</v>
      </c>
      <c r="BO113" s="42">
        <f t="shared" si="1171"/>
        <v>60896.409999999996</v>
      </c>
      <c r="BP113" s="42">
        <f t="shared" si="1171"/>
        <v>67286.33</v>
      </c>
      <c r="BQ113" s="42">
        <f t="shared" si="1171"/>
        <v>68880.67</v>
      </c>
      <c r="BR113" s="42">
        <f t="shared" si="1171"/>
        <v>68999.23</v>
      </c>
      <c r="BS113" s="42">
        <f t="shared" si="1171"/>
        <v>71808.100000000006</v>
      </c>
      <c r="BT113" s="42">
        <f t="shared" si="1171"/>
        <v>74198.66</v>
      </c>
      <c r="BU113" s="42">
        <f t="shared" si="1171"/>
        <v>78601.440000000002</v>
      </c>
      <c r="BV113" s="42">
        <f t="shared" si="1171"/>
        <v>79366.63</v>
      </c>
      <c r="BW113" s="42">
        <f t="shared" ref="BW113:BX113" si="1172">SUM(BW111:BW112)</f>
        <v>81840.12000000001</v>
      </c>
      <c r="BX113" s="42">
        <f t="shared" si="1172"/>
        <v>84583.760000000009</v>
      </c>
      <c r="BY113" s="42">
        <f t="shared" ref="BY113" si="1173">SUM(BY111:BY112)</f>
        <v>87990.22</v>
      </c>
      <c r="BZ113" s="43">
        <f t="shared" ref="BZ113:CO113" si="1174">SUM(BZ111:BZ112)</f>
        <v>90633.680641882922</v>
      </c>
      <c r="CA113" s="43">
        <f t="shared" si="1174"/>
        <v>93423.060303841776</v>
      </c>
      <c r="CB113" s="43">
        <f t="shared" si="1174"/>
        <v>96262.006632515811</v>
      </c>
      <c r="CC113" s="43">
        <f t="shared" si="1174"/>
        <v>99164.830203918624</v>
      </c>
      <c r="CD113" s="43">
        <f t="shared" si="1174"/>
        <v>102070.3506342359</v>
      </c>
      <c r="CE113" s="43">
        <f t="shared" si="1174"/>
        <v>105023.60921068059</v>
      </c>
      <c r="CF113" s="43">
        <f t="shared" si="1174"/>
        <v>107983.2776702729</v>
      </c>
      <c r="CG113" s="43">
        <f t="shared" si="1174"/>
        <v>110992.86018858574</v>
      </c>
      <c r="CH113" s="43">
        <f t="shared" si="1174"/>
        <v>114193.99600012085</v>
      </c>
      <c r="CI113" s="43">
        <f t="shared" si="1174"/>
        <v>117454.82891662167</v>
      </c>
      <c r="CJ113" s="43">
        <f t="shared" si="1174"/>
        <v>120758.92285976629</v>
      </c>
      <c r="CK113" s="43">
        <f t="shared" si="1174"/>
        <v>124180.49281696213</v>
      </c>
      <c r="CL113" s="43">
        <f t="shared" si="1174"/>
        <v>127762.05005837583</v>
      </c>
      <c r="CM113" s="43">
        <f t="shared" si="1174"/>
        <v>131424.56470318668</v>
      </c>
      <c r="CN113" s="43">
        <f t="shared" si="1174"/>
        <v>135151.32500867965</v>
      </c>
      <c r="CO113" s="43">
        <f t="shared" si="1174"/>
        <v>139021.02883790882</v>
      </c>
      <c r="CT113" s="42">
        <v>87990.215100000001</v>
      </c>
    </row>
    <row r="114" spans="1:98" s="37" customFormat="1" x14ac:dyDescent="0.2">
      <c r="AB114" s="38"/>
      <c r="AC114" s="38"/>
      <c r="AD114" s="38"/>
      <c r="AE114" s="38"/>
      <c r="AG114" s="59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</row>
    <row r="115" spans="1:98" s="37" customFormat="1" x14ac:dyDescent="0.2">
      <c r="A115" s="37" t="s">
        <v>5</v>
      </c>
      <c r="B115" s="37">
        <f>+'Annual Raw'!C66</f>
        <v>0</v>
      </c>
      <c r="C115" s="37">
        <f>+'Annual Raw'!D66</f>
        <v>0</v>
      </c>
      <c r="D115" s="37">
        <f>+'Annual Raw'!E66</f>
        <v>0</v>
      </c>
      <c r="E115" s="37">
        <f>+'Annual Raw'!F66</f>
        <v>0</v>
      </c>
      <c r="F115" s="37">
        <f>+'Annual Raw'!G66</f>
        <v>0</v>
      </c>
      <c r="G115" s="37">
        <f>+'Annual Raw'!H66</f>
        <v>0</v>
      </c>
      <c r="H115" s="37">
        <f>+'Annual Raw'!I66</f>
        <v>0</v>
      </c>
      <c r="I115" s="37">
        <f>+'Annual Raw'!J66</f>
        <v>0</v>
      </c>
      <c r="J115" s="37">
        <f>+'Annual Raw'!K66</f>
        <v>0</v>
      </c>
      <c r="K115" s="37">
        <f>+'Annual Raw'!L66</f>
        <v>0</v>
      </c>
      <c r="L115" s="37">
        <f>+'Annual Raw'!M66</f>
        <v>0</v>
      </c>
      <c r="M115" s="37">
        <f>+'Annual Raw'!N66</f>
        <v>0</v>
      </c>
      <c r="N115" s="37">
        <f>+'Annual Raw'!O66</f>
        <v>0</v>
      </c>
      <c r="O115" s="37">
        <f>+'Annual Raw'!P66</f>
        <v>0</v>
      </c>
      <c r="P115" s="37">
        <f>+'Annual Raw'!Q66</f>
        <v>0</v>
      </c>
      <c r="Q115" s="37">
        <f>+'Annual Raw'!R66</f>
        <v>0</v>
      </c>
      <c r="R115" s="37">
        <f>+'Annual Raw'!S66</f>
        <v>0</v>
      </c>
      <c r="S115" s="37">
        <f>+'Annual Raw'!T66</f>
        <v>0</v>
      </c>
      <c r="T115" s="37">
        <f>+'Annual Raw'!U66</f>
        <v>0</v>
      </c>
      <c r="U115" s="37">
        <f>+'Annual Raw'!V66</f>
        <v>0</v>
      </c>
      <c r="V115" s="37">
        <f>+'Annual Raw'!W66</f>
        <v>0</v>
      </c>
      <c r="W115" s="37">
        <f>+'Annual Raw'!X66</f>
        <v>0</v>
      </c>
      <c r="X115" s="37">
        <f>+'Annual Raw'!Y66</f>
        <v>0</v>
      </c>
      <c r="Y115" s="37">
        <f>+'Annual Raw'!Z66</f>
        <v>0</v>
      </c>
      <c r="Z115" s="37">
        <f>+'Annual Raw'!AA66</f>
        <v>0</v>
      </c>
      <c r="AA115" s="37">
        <f>+'Annual Raw'!AB66</f>
        <v>0</v>
      </c>
      <c r="AB115" s="38">
        <f>CC115</f>
        <v>0</v>
      </c>
      <c r="AC115" s="38">
        <f>CG115</f>
        <v>0</v>
      </c>
      <c r="AD115" s="38">
        <f>CK115</f>
        <v>0</v>
      </c>
      <c r="AE115" s="38">
        <f>CO115</f>
        <v>0</v>
      </c>
      <c r="AG115" s="59"/>
      <c r="AH115" s="37">
        <f>+'QTR Raw'!C57</f>
        <v>0</v>
      </c>
      <c r="AI115" s="37">
        <f>+'QTR Raw'!D57</f>
        <v>0</v>
      </c>
      <c r="AJ115" s="37">
        <f>+'QTR Raw'!E57</f>
        <v>0</v>
      </c>
      <c r="AK115" s="37">
        <f>+'QTR Raw'!F57</f>
        <v>0</v>
      </c>
      <c r="AL115" s="37">
        <f>+'QTR Raw'!G57</f>
        <v>0</v>
      </c>
      <c r="AM115" s="37">
        <f>+'QTR Raw'!H57</f>
        <v>0</v>
      </c>
      <c r="AN115" s="37">
        <f>+'QTR Raw'!I57</f>
        <v>0</v>
      </c>
      <c r="AO115" s="37">
        <f>+'QTR Raw'!J57</f>
        <v>0</v>
      </c>
      <c r="AP115" s="37">
        <f>+'QTR Raw'!K57</f>
        <v>0</v>
      </c>
      <c r="AQ115" s="37">
        <f>+'QTR Raw'!L57</f>
        <v>0</v>
      </c>
      <c r="AR115" s="37">
        <f>+'QTR Raw'!M57</f>
        <v>0</v>
      </c>
      <c r="AS115" s="37">
        <f>+'QTR Raw'!N57</f>
        <v>0</v>
      </c>
      <c r="AT115" s="37">
        <f>+'QTR Raw'!O57</f>
        <v>0</v>
      </c>
      <c r="AU115" s="37">
        <f>+'QTR Raw'!P57</f>
        <v>0</v>
      </c>
      <c r="AV115" s="37">
        <f>+'QTR Raw'!Q57</f>
        <v>0</v>
      </c>
      <c r="AW115" s="37">
        <f>+'QTR Raw'!R57</f>
        <v>0</v>
      </c>
      <c r="AX115" s="37">
        <f>+'QTR Raw'!S57</f>
        <v>0</v>
      </c>
      <c r="AY115" s="37">
        <f>+'QTR Raw'!T57</f>
        <v>0</v>
      </c>
      <c r="AZ115" s="37">
        <f>+'QTR Raw'!U57</f>
        <v>0</v>
      </c>
      <c r="BA115" s="37">
        <f>+'QTR Raw'!V57</f>
        <v>0</v>
      </c>
      <c r="BB115" s="37">
        <f>+'QTR Raw'!W57</f>
        <v>0</v>
      </c>
      <c r="BC115" s="37">
        <f>+'QTR Raw'!X57</f>
        <v>0</v>
      </c>
      <c r="BD115" s="37">
        <f>+'QTR Raw'!Y57</f>
        <v>0</v>
      </c>
      <c r="BE115" s="37">
        <f>+'QTR Raw'!Z57</f>
        <v>0</v>
      </c>
      <c r="BF115" s="37">
        <f>+'QTR Raw'!AA57</f>
        <v>0</v>
      </c>
      <c r="BG115" s="37">
        <f>+'QTR Raw'!AB57</f>
        <v>0</v>
      </c>
      <c r="BH115" s="37">
        <f>+'QTR Raw'!AC57</f>
        <v>0</v>
      </c>
      <c r="BI115" s="37">
        <f>+'QTR Raw'!AD57</f>
        <v>0</v>
      </c>
      <c r="BJ115" s="37">
        <f>+'QTR Raw'!AE57</f>
        <v>0</v>
      </c>
      <c r="BK115" s="37">
        <f>+'QTR Raw'!AF57</f>
        <v>0</v>
      </c>
      <c r="BL115" s="37">
        <f>+'QTR Raw'!AG57</f>
        <v>0</v>
      </c>
      <c r="BM115" s="37">
        <f>+'QTR Raw'!AH57</f>
        <v>0</v>
      </c>
      <c r="BN115" s="37">
        <f>+'QTR Raw'!AI57</f>
        <v>0</v>
      </c>
      <c r="BO115" s="37">
        <f>+'QTR Raw'!AJ57</f>
        <v>0</v>
      </c>
      <c r="BP115" s="37">
        <f>+'QTR Raw'!AK57</f>
        <v>0</v>
      </c>
      <c r="BQ115" s="37">
        <f>+'QTR Raw'!AL57</f>
        <v>0</v>
      </c>
      <c r="BR115" s="37">
        <f>+'QTR Raw'!AM57</f>
        <v>0</v>
      </c>
      <c r="BS115" s="37">
        <f>+'QTR Raw'!AN57</f>
        <v>0</v>
      </c>
      <c r="BT115" s="37">
        <f>+'QTR Raw'!AO57</f>
        <v>0</v>
      </c>
      <c r="BU115" s="37">
        <f>+'QTR Raw'!AP57</f>
        <v>0</v>
      </c>
      <c r="BV115" s="37">
        <f>+'QTR Raw'!AQ57</f>
        <v>0</v>
      </c>
      <c r="BW115" s="37">
        <f>+'QTR Raw'!AR57</f>
        <v>0</v>
      </c>
      <c r="BX115" s="37">
        <f>+'QTR Raw'!AS57</f>
        <v>0</v>
      </c>
      <c r="BY115" s="37">
        <f>+'QTR Raw'!AT57</f>
        <v>0</v>
      </c>
      <c r="BZ115" s="38">
        <f t="shared" ref="BZ115" si="1175">BY115</f>
        <v>0</v>
      </c>
      <c r="CA115" s="38">
        <f t="shared" ref="CA115" si="1176">BZ115</f>
        <v>0</v>
      </c>
      <c r="CB115" s="38">
        <f t="shared" ref="CB115" si="1177">CA115</f>
        <v>0</v>
      </c>
      <c r="CC115" s="38">
        <f t="shared" ref="CC115" si="1178">CB115</f>
        <v>0</v>
      </c>
      <c r="CD115" s="38">
        <f t="shared" ref="CD115" si="1179">CC115</f>
        <v>0</v>
      </c>
      <c r="CE115" s="38">
        <f t="shared" ref="CE115" si="1180">CD115</f>
        <v>0</v>
      </c>
      <c r="CF115" s="38">
        <f t="shared" ref="CF115" si="1181">CE115</f>
        <v>0</v>
      </c>
      <c r="CG115" s="38">
        <f t="shared" ref="CG115" si="1182">CF115</f>
        <v>0</v>
      </c>
      <c r="CH115" s="38">
        <f t="shared" ref="CH115" si="1183">CG115</f>
        <v>0</v>
      </c>
      <c r="CI115" s="38">
        <f t="shared" ref="CI115" si="1184">CH115</f>
        <v>0</v>
      </c>
      <c r="CJ115" s="38">
        <f t="shared" ref="CJ115" si="1185">CI115</f>
        <v>0</v>
      </c>
      <c r="CK115" s="38">
        <f t="shared" ref="CK115" si="1186">CJ115</f>
        <v>0</v>
      </c>
      <c r="CL115" s="38">
        <f t="shared" ref="CL115" si="1187">CK115</f>
        <v>0</v>
      </c>
      <c r="CM115" s="38">
        <f t="shared" ref="CM115" si="1188">CL115</f>
        <v>0</v>
      </c>
      <c r="CN115" s="38">
        <f t="shared" ref="CN115" si="1189">CM115</f>
        <v>0</v>
      </c>
      <c r="CO115" s="38">
        <f t="shared" ref="CO115" si="1190">CN115</f>
        <v>0</v>
      </c>
      <c r="CT115" s="37">
        <v>0</v>
      </c>
    </row>
    <row r="116" spans="1:98" s="37" customFormat="1" x14ac:dyDescent="0.2">
      <c r="AB116" s="38"/>
      <c r="AC116" s="38"/>
      <c r="AD116" s="38"/>
      <c r="AE116" s="38"/>
      <c r="AG116" s="59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</row>
    <row r="117" spans="1:98" s="37" customFormat="1" x14ac:dyDescent="0.2">
      <c r="A117" s="37" t="s">
        <v>119</v>
      </c>
      <c r="B117" s="37">
        <f>+'Annual Raw'!C67</f>
        <v>51678.814299999998</v>
      </c>
      <c r="C117" s="37">
        <f>+'Annual Raw'!D67</f>
        <v>59588.700299999997</v>
      </c>
      <c r="D117" s="37">
        <f>+'Annual Raw'!E67</f>
        <v>64453.5959</v>
      </c>
      <c r="E117" s="37">
        <f>+'Annual Raw'!F67</f>
        <v>71482.430099999998</v>
      </c>
      <c r="F117" s="37">
        <f>+'Annual Raw'!G67</f>
        <v>78821.437900000004</v>
      </c>
      <c r="G117" s="37">
        <f>+'Annual Raw'!H67</f>
        <v>93932.031700000007</v>
      </c>
      <c r="H117" s="37">
        <f>+'Annual Raw'!I67</f>
        <v>119881.7362</v>
      </c>
      <c r="I117" s="37">
        <f>+'Annual Raw'!J67</f>
        <v>150011.98120000001</v>
      </c>
      <c r="J117" s="37">
        <f>+'Annual Raw'!K67</f>
        <v>189708.4797</v>
      </c>
      <c r="K117" s="37">
        <f>+'Annual Raw'!L67</f>
        <v>229761.94390000001</v>
      </c>
      <c r="L117" s="37">
        <f>+'Annual Raw'!M67</f>
        <v>298885.8063</v>
      </c>
      <c r="M117" s="37">
        <f>+'Annual Raw'!N67</f>
        <v>318216.03320000001</v>
      </c>
      <c r="N117" s="37">
        <f>+'Annual Raw'!O67</f>
        <v>381839.58590000001</v>
      </c>
      <c r="O117" s="37">
        <f>+'Annual Raw'!P67</f>
        <v>476974.05180000002</v>
      </c>
      <c r="P117" s="37">
        <f>+'Annual Raw'!Q67</f>
        <v>531906.63459999999</v>
      </c>
      <c r="Q117" s="37">
        <f>+'Annual Raw'!R67</f>
        <v>513004.52179999999</v>
      </c>
      <c r="R117" s="37">
        <f>+'Annual Raw'!S67</f>
        <v>540032.00780000002</v>
      </c>
      <c r="S117" s="37">
        <f>+'Annual Raw'!T67</f>
        <v>520854.37829999998</v>
      </c>
      <c r="T117" s="37">
        <f>+'Annual Raw'!U67</f>
        <v>520862.34850000002</v>
      </c>
      <c r="U117" s="37">
        <f>+'Annual Raw'!V67</f>
        <v>555504.97860000003</v>
      </c>
      <c r="V117" s="37">
        <f>+'Annual Raw'!W67</f>
        <v>627113.5601</v>
      </c>
      <c r="W117" s="37">
        <f>+'Annual Raw'!X67</f>
        <v>627895.95909999998</v>
      </c>
      <c r="X117" s="37">
        <f>+'Annual Raw'!Y67</f>
        <v>669585.77130000002</v>
      </c>
      <c r="Y117" s="37">
        <f>+'Annual Raw'!Z67</f>
        <v>737920.2058</v>
      </c>
      <c r="Z117" s="37">
        <f>+'Annual Raw'!AA67</f>
        <v>816541.48739999998</v>
      </c>
      <c r="AA117" s="37">
        <f>+'Annual Raw'!AB67</f>
        <v>927270.88199999998</v>
      </c>
      <c r="AB117" s="38">
        <f>CC117</f>
        <v>1045530.4765007631</v>
      </c>
      <c r="AC117" s="38">
        <f>CG117</f>
        <v>1183319.6001347052</v>
      </c>
      <c r="AD117" s="38">
        <f>CK117</f>
        <v>1346618.1037332001</v>
      </c>
      <c r="AE117" s="38">
        <f>CO117</f>
        <v>1541473.3392196088</v>
      </c>
      <c r="AG117" s="59"/>
      <c r="AH117" s="37">
        <f>+'QTR Raw'!C58</f>
        <v>508260.34</v>
      </c>
      <c r="AI117" s="37">
        <f>+'QTR Raw'!D58</f>
        <v>525195.57999999996</v>
      </c>
      <c r="AJ117" s="37">
        <f>+'QTR Raw'!E58</f>
        <v>528771.86</v>
      </c>
      <c r="AK117" s="37">
        <f>+'QTR Raw'!F58</f>
        <v>513004.52</v>
      </c>
      <c r="AL117" s="37">
        <f>+'QTR Raw'!G58</f>
        <v>498000.2</v>
      </c>
      <c r="AM117" s="37">
        <f>+'QTR Raw'!H58</f>
        <v>505280.08</v>
      </c>
      <c r="AN117" s="37">
        <f>+'QTR Raw'!I58</f>
        <v>542627.47</v>
      </c>
      <c r="AO117" s="37">
        <f>+'QTR Raw'!J58</f>
        <v>540032.01</v>
      </c>
      <c r="AP117" s="37">
        <f>+'QTR Raw'!K58</f>
        <v>543734.11</v>
      </c>
      <c r="AQ117" s="37">
        <f>+'QTR Raw'!L58</f>
        <v>543716.06000000006</v>
      </c>
      <c r="AR117" s="37">
        <f>+'QTR Raw'!M58</f>
        <v>526003.14</v>
      </c>
      <c r="AS117" s="37">
        <f>+'QTR Raw'!N58</f>
        <v>520854.38</v>
      </c>
      <c r="AT117" s="37">
        <f>+'QTR Raw'!O58</f>
        <v>514604.52</v>
      </c>
      <c r="AU117" s="37">
        <f>+'QTR Raw'!P58</f>
        <v>512141.68</v>
      </c>
      <c r="AV117" s="37">
        <f>+'QTR Raw'!Q58</f>
        <v>515128.31</v>
      </c>
      <c r="AW117" s="37">
        <f>+'QTR Raw'!R58</f>
        <v>520862.35</v>
      </c>
      <c r="AX117" s="37">
        <f>+'QTR Raw'!S58</f>
        <v>512237.02</v>
      </c>
      <c r="AY117" s="37">
        <f>+'QTR Raw'!T58</f>
        <v>518037.45</v>
      </c>
      <c r="AZ117" s="37">
        <f>+'QTR Raw'!U58</f>
        <v>522138.36</v>
      </c>
      <c r="BA117" s="37">
        <f>+'QTR Raw'!V58</f>
        <v>555504.98</v>
      </c>
      <c r="BB117" s="37">
        <f>+'QTR Raw'!W58</f>
        <v>595235.07999999996</v>
      </c>
      <c r="BC117" s="37">
        <f>+'QTR Raw'!X58</f>
        <v>607529.01</v>
      </c>
      <c r="BD117" s="37">
        <f>+'QTR Raw'!Y58</f>
        <v>611878.94999999995</v>
      </c>
      <c r="BE117" s="37">
        <f>+'QTR Raw'!Z58</f>
        <v>627113.56000000006</v>
      </c>
      <c r="BF117" s="37">
        <f>+'QTR Raw'!AA58</f>
        <v>623385.44999999995</v>
      </c>
      <c r="BG117" s="37">
        <f>+'QTR Raw'!AB58</f>
        <v>612961.25</v>
      </c>
      <c r="BH117" s="37">
        <f>+'QTR Raw'!AC58</f>
        <v>623120.23</v>
      </c>
      <c r="BI117" s="37">
        <f>+'QTR Raw'!AD58</f>
        <v>627895.96</v>
      </c>
      <c r="BJ117" s="37">
        <f>+'QTR Raw'!AE58</f>
        <v>640734.49</v>
      </c>
      <c r="BK117" s="37">
        <f>+'QTR Raw'!AF58</f>
        <v>647541.29</v>
      </c>
      <c r="BL117" s="37">
        <f>+'QTR Raw'!AG58</f>
        <v>653690.9</v>
      </c>
      <c r="BM117" s="37">
        <f>+'QTR Raw'!AH58</f>
        <v>669585.77</v>
      </c>
      <c r="BN117" s="37">
        <f>+'QTR Raw'!AI58</f>
        <v>696544.1</v>
      </c>
      <c r="BO117" s="37">
        <f>+'QTR Raw'!AJ58</f>
        <v>703750.6</v>
      </c>
      <c r="BP117" s="37">
        <f>+'QTR Raw'!AK58</f>
        <v>707827.38</v>
      </c>
      <c r="BQ117" s="37">
        <f>+'QTR Raw'!AL58</f>
        <v>737920.21</v>
      </c>
      <c r="BR117" s="37">
        <f>+'QTR Raw'!AM58</f>
        <v>764396.48</v>
      </c>
      <c r="BS117" s="37">
        <f>+'QTR Raw'!AN58</f>
        <v>775180.74</v>
      </c>
      <c r="BT117" s="37">
        <f>+'QTR Raw'!AO58</f>
        <v>794788.05</v>
      </c>
      <c r="BU117" s="37">
        <f>+'QTR Raw'!AP58</f>
        <v>816541.49</v>
      </c>
      <c r="BV117" s="37">
        <f>+'QTR Raw'!AQ58</f>
        <v>833697.96</v>
      </c>
      <c r="BW117" s="37">
        <f>+'QTR Raw'!AR58</f>
        <v>853301.39</v>
      </c>
      <c r="BX117" s="37">
        <f>+'QTR Raw'!AS58</f>
        <v>887287.44</v>
      </c>
      <c r="BY117" s="37">
        <f>+'QTR Raw'!AT58</f>
        <v>927270.88</v>
      </c>
      <c r="BZ117" s="38">
        <f t="shared" ref="BZ117:CO117" si="1191">BZ26</f>
        <v>928892.12851261324</v>
      </c>
      <c r="CA117" s="38">
        <f t="shared" si="1191"/>
        <v>955902.16825161816</v>
      </c>
      <c r="CB117" s="38">
        <f t="shared" si="1191"/>
        <v>998421.40689523122</v>
      </c>
      <c r="CC117" s="38">
        <f t="shared" si="1191"/>
        <v>1045530.4765007631</v>
      </c>
      <c r="CD117" s="38">
        <f t="shared" si="1191"/>
        <v>1045427.5888519154</v>
      </c>
      <c r="CE117" s="38">
        <f t="shared" si="1191"/>
        <v>1078601.0890668994</v>
      </c>
      <c r="CF117" s="38">
        <f t="shared" si="1191"/>
        <v>1128665.5373948072</v>
      </c>
      <c r="CG117" s="38">
        <f t="shared" si="1191"/>
        <v>1183319.6001347052</v>
      </c>
      <c r="CH117" s="38">
        <f t="shared" si="1191"/>
        <v>1184348.2139632751</v>
      </c>
      <c r="CI117" s="38">
        <f t="shared" si="1191"/>
        <v>1223992.8897519209</v>
      </c>
      <c r="CJ117" s="38">
        <f t="shared" si="1191"/>
        <v>1282676.753601501</v>
      </c>
      <c r="CK117" s="38">
        <f t="shared" si="1191"/>
        <v>1346618.1037332001</v>
      </c>
      <c r="CL117" s="38">
        <f t="shared" si="1191"/>
        <v>1349683.0212522312</v>
      </c>
      <c r="CM117" s="38">
        <f t="shared" si="1191"/>
        <v>1396978.7617773758</v>
      </c>
      <c r="CN117" s="38">
        <f t="shared" si="1191"/>
        <v>1466113.9839082723</v>
      </c>
      <c r="CO117" s="38">
        <f t="shared" si="1191"/>
        <v>1541473.3392196088</v>
      </c>
      <c r="CT117" s="37">
        <v>927270.88199999998</v>
      </c>
    </row>
    <row r="118" spans="1:98" s="37" customFormat="1" x14ac:dyDescent="0.2">
      <c r="A118" s="37" t="s">
        <v>125</v>
      </c>
      <c r="B118" s="37">
        <f>+'Annual Raw'!C68</f>
        <v>1797.5462</v>
      </c>
      <c r="C118" s="37">
        <f>+'Annual Raw'!D68</f>
        <v>3469.6176</v>
      </c>
      <c r="D118" s="37">
        <f>+'Annual Raw'!E68</f>
        <v>4026.9286000000002</v>
      </c>
      <c r="E118" s="37">
        <f>+'Annual Raw'!F68</f>
        <v>4041.4683</v>
      </c>
      <c r="F118" s="37">
        <f>+'Annual Raw'!G68</f>
        <v>5961.9537</v>
      </c>
      <c r="G118" s="37">
        <f>+'Annual Raw'!H68</f>
        <v>5893.9102000000003</v>
      </c>
      <c r="H118" s="37">
        <f>+'Annual Raw'!I68</f>
        <v>6620.8269</v>
      </c>
      <c r="I118" s="37">
        <f>+'Annual Raw'!J68</f>
        <v>7172.4489999999996</v>
      </c>
      <c r="J118" s="37">
        <f>+'Annual Raw'!K68</f>
        <v>15673.180200000001</v>
      </c>
      <c r="K118" s="37">
        <f>+'Annual Raw'!L68</f>
        <v>22399.895499999999</v>
      </c>
      <c r="L118" s="37">
        <f>+'Annual Raw'!M68</f>
        <v>22021.375599999999</v>
      </c>
      <c r="M118" s="37">
        <f>+'Annual Raw'!N68</f>
        <v>32114.224999999999</v>
      </c>
      <c r="N118" s="37">
        <f>+'Annual Raw'!O68</f>
        <v>35367.584799999997</v>
      </c>
      <c r="O118" s="37">
        <f>+'Annual Raw'!P68</f>
        <v>48427.510300000002</v>
      </c>
      <c r="P118" s="37">
        <f>+'Annual Raw'!Q68</f>
        <v>40057.137900000002</v>
      </c>
      <c r="Q118" s="37">
        <f>+'Annual Raw'!R68</f>
        <v>51083.144200000002</v>
      </c>
      <c r="R118" s="37">
        <f>+'Annual Raw'!S68</f>
        <v>39405.665099999998</v>
      </c>
      <c r="S118" s="37">
        <f>+'Annual Raw'!T68</f>
        <v>43588.775300000001</v>
      </c>
      <c r="T118" s="37">
        <f>+'Annual Raw'!U68</f>
        <v>44241.167800000003</v>
      </c>
      <c r="U118" s="37">
        <f>+'Annual Raw'!V68</f>
        <v>39752.465900000003</v>
      </c>
      <c r="V118" s="37">
        <f>+'Annual Raw'!W68</f>
        <v>32464.105500000001</v>
      </c>
      <c r="W118" s="37">
        <f>+'Annual Raw'!X68</f>
        <v>26760.366600000001</v>
      </c>
      <c r="X118" s="37">
        <f>+'Annual Raw'!Y68</f>
        <v>64979.023200000003</v>
      </c>
      <c r="Y118" s="37">
        <f>+'Annual Raw'!Z68</f>
        <v>80924.067800000004</v>
      </c>
      <c r="Z118" s="37">
        <f>+'Annual Raw'!AA68</f>
        <v>123856.42690000001</v>
      </c>
      <c r="AA118" s="37">
        <f>+'Annual Raw'!AB68</f>
        <v>118591.5386</v>
      </c>
      <c r="AB118" s="38">
        <f>CC118</f>
        <v>118591.54</v>
      </c>
      <c r="AC118" s="38">
        <f>CG118</f>
        <v>118591.54</v>
      </c>
      <c r="AD118" s="38">
        <f>CK118</f>
        <v>118591.54</v>
      </c>
      <c r="AE118" s="38">
        <f>CO118</f>
        <v>118591.54</v>
      </c>
      <c r="AG118" s="59"/>
      <c r="AH118" s="37">
        <f>+'QTR Raw'!C63</f>
        <v>45268.21</v>
      </c>
      <c r="AI118" s="37">
        <f>+'QTR Raw'!D63</f>
        <v>36069.68</v>
      </c>
      <c r="AJ118" s="37">
        <f>+'QTR Raw'!E63</f>
        <v>38878.25</v>
      </c>
      <c r="AK118" s="37">
        <f>+'QTR Raw'!F63</f>
        <v>51083.15</v>
      </c>
      <c r="AL118" s="37">
        <f>+'QTR Raw'!G63</f>
        <v>49045.14</v>
      </c>
      <c r="AM118" s="37">
        <f>+'QTR Raw'!H63</f>
        <v>50434.22</v>
      </c>
      <c r="AN118" s="37">
        <f>+'QTR Raw'!I63</f>
        <v>42783.29</v>
      </c>
      <c r="AO118" s="37">
        <f>+'QTR Raw'!J63</f>
        <v>39405.67</v>
      </c>
      <c r="AP118" s="37">
        <f>+'QTR Raw'!K63</f>
        <v>35601.71</v>
      </c>
      <c r="AQ118" s="37">
        <f>+'QTR Raw'!L63</f>
        <v>38430.29</v>
      </c>
      <c r="AR118" s="37">
        <f>+'QTR Raw'!M63</f>
        <v>42475.39</v>
      </c>
      <c r="AS118" s="37">
        <f>+'QTR Raw'!N63</f>
        <v>43588.78</v>
      </c>
      <c r="AT118" s="37">
        <f>+'QTR Raw'!O63</f>
        <v>36325.56</v>
      </c>
      <c r="AU118" s="37">
        <f>+'QTR Raw'!P63</f>
        <v>42000.41</v>
      </c>
      <c r="AV118" s="37">
        <f>+'QTR Raw'!Q63</f>
        <v>41822.480000000003</v>
      </c>
      <c r="AW118" s="37">
        <f>+'QTR Raw'!R63</f>
        <v>44241.17</v>
      </c>
      <c r="AX118" s="37">
        <f>+'QTR Raw'!S63</f>
        <v>34975.39</v>
      </c>
      <c r="AY118" s="37">
        <f>+'QTR Raw'!T63</f>
        <v>40939.83</v>
      </c>
      <c r="AZ118" s="37">
        <f>+'QTR Raw'!U63</f>
        <v>45095.79</v>
      </c>
      <c r="BA118" s="37">
        <f>+'QTR Raw'!V63</f>
        <v>39752.47</v>
      </c>
      <c r="BB118" s="37">
        <f>+'QTR Raw'!W63</f>
        <v>25748.05</v>
      </c>
      <c r="BC118" s="37">
        <f>+'QTR Raw'!X63</f>
        <v>17007.52</v>
      </c>
      <c r="BD118" s="37">
        <f>+'QTR Raw'!Y63</f>
        <v>37184.769999999997</v>
      </c>
      <c r="BE118" s="37">
        <f>+'QTR Raw'!Z63</f>
        <v>32464.11</v>
      </c>
      <c r="BF118" s="37">
        <f>+'QTR Raw'!AA63</f>
        <v>30021.87</v>
      </c>
      <c r="BG118" s="37">
        <f>+'QTR Raw'!AB63</f>
        <v>23310.38</v>
      </c>
      <c r="BH118" s="37">
        <f>+'QTR Raw'!AC63</f>
        <v>30455.42</v>
      </c>
      <c r="BI118" s="37">
        <f>+'QTR Raw'!AD63</f>
        <v>26760.37</v>
      </c>
      <c r="BJ118" s="37">
        <f>+'QTR Raw'!AE63</f>
        <v>22376.89</v>
      </c>
      <c r="BK118" s="37">
        <f>+'QTR Raw'!AF63</f>
        <v>45872.22</v>
      </c>
      <c r="BL118" s="37">
        <f>+'QTR Raw'!AG63</f>
        <v>59706.38</v>
      </c>
      <c r="BM118" s="37">
        <f>+'QTR Raw'!AH63</f>
        <v>64979.02</v>
      </c>
      <c r="BN118" s="37">
        <f>+'QTR Raw'!AI63</f>
        <v>47351.54</v>
      </c>
      <c r="BO118" s="37">
        <f>+'QTR Raw'!AJ63</f>
        <v>65360.1</v>
      </c>
      <c r="BP118" s="37">
        <f>+'QTR Raw'!AK63</f>
        <v>75756.33</v>
      </c>
      <c r="BQ118" s="37">
        <f>+'QTR Raw'!AL63</f>
        <v>80924.070000000007</v>
      </c>
      <c r="BR118" s="37">
        <f>+'QTR Raw'!AM63</f>
        <v>84327.02</v>
      </c>
      <c r="BS118" s="37">
        <f>+'QTR Raw'!AN63</f>
        <v>118815.75</v>
      </c>
      <c r="BT118" s="37">
        <f>+'QTR Raw'!AO63</f>
        <v>136653.71</v>
      </c>
      <c r="BU118" s="37">
        <f>+'QTR Raw'!AP63</f>
        <v>123856.43</v>
      </c>
      <c r="BV118" s="37">
        <f>+'QTR Raw'!AQ63</f>
        <v>127663.49</v>
      </c>
      <c r="BW118" s="37">
        <f>+'QTR Raw'!AR63</f>
        <v>117931.8</v>
      </c>
      <c r="BX118" s="37">
        <f>+'QTR Raw'!AS63</f>
        <v>106073.89</v>
      </c>
      <c r="BY118" s="37">
        <f>+'QTR Raw'!AT63</f>
        <v>118591.54</v>
      </c>
      <c r="BZ118" s="38">
        <f t="shared" ref="BZ118:CO118" si="1192">+BY118</f>
        <v>118591.54</v>
      </c>
      <c r="CA118" s="38">
        <f t="shared" si="1192"/>
        <v>118591.54</v>
      </c>
      <c r="CB118" s="38">
        <f t="shared" si="1192"/>
        <v>118591.54</v>
      </c>
      <c r="CC118" s="38">
        <f t="shared" si="1192"/>
        <v>118591.54</v>
      </c>
      <c r="CD118" s="38">
        <f t="shared" si="1192"/>
        <v>118591.54</v>
      </c>
      <c r="CE118" s="38">
        <f t="shared" si="1192"/>
        <v>118591.54</v>
      </c>
      <c r="CF118" s="38">
        <f t="shared" si="1192"/>
        <v>118591.54</v>
      </c>
      <c r="CG118" s="38">
        <f t="shared" si="1192"/>
        <v>118591.54</v>
      </c>
      <c r="CH118" s="38">
        <f t="shared" si="1192"/>
        <v>118591.54</v>
      </c>
      <c r="CI118" s="38">
        <f t="shared" si="1192"/>
        <v>118591.54</v>
      </c>
      <c r="CJ118" s="38">
        <f t="shared" si="1192"/>
        <v>118591.54</v>
      </c>
      <c r="CK118" s="38">
        <f t="shared" si="1192"/>
        <v>118591.54</v>
      </c>
      <c r="CL118" s="38">
        <f t="shared" si="1192"/>
        <v>118591.54</v>
      </c>
      <c r="CM118" s="38">
        <f t="shared" si="1192"/>
        <v>118591.54</v>
      </c>
      <c r="CN118" s="38">
        <f t="shared" si="1192"/>
        <v>118591.54</v>
      </c>
      <c r="CO118" s="38">
        <f t="shared" si="1192"/>
        <v>118591.54</v>
      </c>
      <c r="CT118" s="37">
        <v>118591.5386</v>
      </c>
    </row>
    <row r="119" spans="1:98" s="42" customFormat="1" x14ac:dyDescent="0.2">
      <c r="A119" s="42" t="s">
        <v>21</v>
      </c>
      <c r="B119" s="42">
        <f t="shared" ref="B119:AB119" si="1193">SUM(B117:B118)</f>
        <v>53476.360499999995</v>
      </c>
      <c r="C119" s="42">
        <f t="shared" si="1193"/>
        <v>63058.317899999995</v>
      </c>
      <c r="D119" s="42">
        <f t="shared" si="1193"/>
        <v>68480.5245</v>
      </c>
      <c r="E119" s="42">
        <f t="shared" si="1193"/>
        <v>75523.898399999991</v>
      </c>
      <c r="F119" s="42">
        <f t="shared" si="1193"/>
        <v>84783.391600000003</v>
      </c>
      <c r="G119" s="42">
        <f t="shared" si="1193"/>
        <v>99825.941900000005</v>
      </c>
      <c r="H119" s="42">
        <f t="shared" si="1193"/>
        <v>126502.5631</v>
      </c>
      <c r="I119" s="42">
        <f t="shared" si="1193"/>
        <v>157184.4302</v>
      </c>
      <c r="J119" s="42">
        <f t="shared" si="1193"/>
        <v>205381.6599</v>
      </c>
      <c r="K119" s="42">
        <f t="shared" si="1193"/>
        <v>252161.8394</v>
      </c>
      <c r="L119" s="42">
        <f t="shared" si="1193"/>
        <v>320907.18189999997</v>
      </c>
      <c r="M119" s="42">
        <f t="shared" si="1193"/>
        <v>350330.25819999998</v>
      </c>
      <c r="N119" s="42">
        <f t="shared" si="1193"/>
        <v>417207.17070000002</v>
      </c>
      <c r="O119" s="42">
        <f t="shared" si="1193"/>
        <v>525401.56209999998</v>
      </c>
      <c r="P119" s="42">
        <f t="shared" si="1193"/>
        <v>571963.77249999996</v>
      </c>
      <c r="Q119" s="42">
        <f t="shared" si="1193"/>
        <v>564087.66599999997</v>
      </c>
      <c r="R119" s="42">
        <f t="shared" si="1193"/>
        <v>579437.67290000001</v>
      </c>
      <c r="S119" s="42">
        <f t="shared" si="1193"/>
        <v>564443.15359999996</v>
      </c>
      <c r="T119" s="42">
        <f t="shared" si="1193"/>
        <v>565103.51630000002</v>
      </c>
      <c r="U119" s="42">
        <f t="shared" si="1193"/>
        <v>595257.44449999998</v>
      </c>
      <c r="V119" s="42">
        <f t="shared" si="1193"/>
        <v>659577.66559999995</v>
      </c>
      <c r="W119" s="42">
        <f t="shared" si="1193"/>
        <v>654656.32569999993</v>
      </c>
      <c r="X119" s="42">
        <f t="shared" si="1193"/>
        <v>734564.79450000008</v>
      </c>
      <c r="Y119" s="42">
        <f t="shared" si="1193"/>
        <v>818844.27359999996</v>
      </c>
      <c r="Z119" s="42">
        <f t="shared" si="1193"/>
        <v>940397.91429999995</v>
      </c>
      <c r="AA119" s="42">
        <f t="shared" ref="AA119" si="1194">SUM(AA117:AA118)</f>
        <v>1045862.4206</v>
      </c>
      <c r="AB119" s="43">
        <f t="shared" si="1193"/>
        <v>1164122.0165007631</v>
      </c>
      <c r="AC119" s="43">
        <f t="shared" ref="AC119" si="1195">SUM(AC117:AC118)</f>
        <v>1301911.1401347052</v>
      </c>
      <c r="AD119" s="43">
        <f t="shared" ref="AD119" si="1196">SUM(AD117:AD118)</f>
        <v>1465209.6437332002</v>
      </c>
      <c r="AE119" s="43">
        <f t="shared" ref="AE119" si="1197">SUM(AE117:AE118)</f>
        <v>1660064.8792196088</v>
      </c>
      <c r="AG119" s="61"/>
      <c r="AH119" s="42">
        <f t="shared" ref="AH119" si="1198">SUM(AH117:AH118)</f>
        <v>553528.55000000005</v>
      </c>
      <c r="AI119" s="42">
        <f t="shared" ref="AI119:BC119" si="1199">SUM(AI117:AI118)</f>
        <v>561265.26</v>
      </c>
      <c r="AJ119" s="42">
        <f t="shared" si="1199"/>
        <v>567650.11</v>
      </c>
      <c r="AK119" s="42">
        <f t="shared" si="1199"/>
        <v>564087.67000000004</v>
      </c>
      <c r="AL119" s="42">
        <f t="shared" si="1199"/>
        <v>547045.34</v>
      </c>
      <c r="AM119" s="42">
        <f t="shared" si="1199"/>
        <v>555714.30000000005</v>
      </c>
      <c r="AN119" s="42">
        <f t="shared" si="1199"/>
        <v>585410.76</v>
      </c>
      <c r="AO119" s="42">
        <f t="shared" si="1199"/>
        <v>579437.68000000005</v>
      </c>
      <c r="AP119" s="42">
        <f t="shared" si="1199"/>
        <v>579335.81999999995</v>
      </c>
      <c r="AQ119" s="42">
        <f t="shared" si="1199"/>
        <v>582146.35000000009</v>
      </c>
      <c r="AR119" s="42">
        <f t="shared" si="1199"/>
        <v>568478.53</v>
      </c>
      <c r="AS119" s="42">
        <f t="shared" si="1199"/>
        <v>564443.16</v>
      </c>
      <c r="AT119" s="42">
        <f t="shared" ref="AT119:BB119" si="1200">SUM(AT117:AT118)</f>
        <v>550930.08000000007</v>
      </c>
      <c r="AU119" s="42">
        <f t="shared" si="1200"/>
        <v>554142.09</v>
      </c>
      <c r="AV119" s="42">
        <f t="shared" si="1200"/>
        <v>556950.79</v>
      </c>
      <c r="AW119" s="42">
        <f t="shared" si="1200"/>
        <v>565103.52</v>
      </c>
      <c r="AX119" s="42">
        <f t="shared" si="1200"/>
        <v>547212.41</v>
      </c>
      <c r="AY119" s="42">
        <f t="shared" si="1200"/>
        <v>558977.28000000003</v>
      </c>
      <c r="AZ119" s="42">
        <f t="shared" si="1200"/>
        <v>567234.15</v>
      </c>
      <c r="BA119" s="42">
        <f t="shared" si="1200"/>
        <v>595257.44999999995</v>
      </c>
      <c r="BB119" s="42">
        <f t="shared" si="1200"/>
        <v>620983.13</v>
      </c>
      <c r="BC119" s="42">
        <f t="shared" si="1199"/>
        <v>624536.53</v>
      </c>
      <c r="BD119" s="42">
        <f t="shared" ref="BD119:BV119" si="1201">SUM(BD117:BD118)</f>
        <v>649063.72</v>
      </c>
      <c r="BE119" s="42">
        <f t="shared" si="1201"/>
        <v>659577.67000000004</v>
      </c>
      <c r="BF119" s="42">
        <f t="shared" si="1201"/>
        <v>653407.31999999995</v>
      </c>
      <c r="BG119" s="42">
        <f t="shared" si="1201"/>
        <v>636271.63</v>
      </c>
      <c r="BH119" s="42">
        <f t="shared" si="1201"/>
        <v>653575.65</v>
      </c>
      <c r="BI119" s="42">
        <f t="shared" si="1201"/>
        <v>654656.32999999996</v>
      </c>
      <c r="BJ119" s="42">
        <f t="shared" si="1201"/>
        <v>663111.38</v>
      </c>
      <c r="BK119" s="42">
        <f t="shared" si="1201"/>
        <v>693413.51</v>
      </c>
      <c r="BL119" s="42">
        <f t="shared" si="1201"/>
        <v>713397.28</v>
      </c>
      <c r="BM119" s="42">
        <f t="shared" si="1201"/>
        <v>734564.79</v>
      </c>
      <c r="BN119" s="42">
        <f t="shared" si="1201"/>
        <v>743895.64</v>
      </c>
      <c r="BO119" s="42">
        <f t="shared" si="1201"/>
        <v>769110.7</v>
      </c>
      <c r="BP119" s="42">
        <f t="shared" si="1201"/>
        <v>783583.71</v>
      </c>
      <c r="BQ119" s="42">
        <f t="shared" si="1201"/>
        <v>818844.28</v>
      </c>
      <c r="BR119" s="42">
        <f t="shared" si="1201"/>
        <v>848723.5</v>
      </c>
      <c r="BS119" s="42">
        <f t="shared" si="1201"/>
        <v>893996.49</v>
      </c>
      <c r="BT119" s="42">
        <f t="shared" si="1201"/>
        <v>931441.76</v>
      </c>
      <c r="BU119" s="42">
        <f t="shared" si="1201"/>
        <v>940397.91999999993</v>
      </c>
      <c r="BV119" s="42">
        <f t="shared" si="1201"/>
        <v>961361.45</v>
      </c>
      <c r="BW119" s="42">
        <f t="shared" ref="BW119:BX119" si="1202">SUM(BW117:BW118)</f>
        <v>971233.19000000006</v>
      </c>
      <c r="BX119" s="42">
        <f t="shared" si="1202"/>
        <v>993361.33</v>
      </c>
      <c r="BY119" s="42">
        <f t="shared" ref="BY119" si="1203">SUM(BY117:BY118)</f>
        <v>1045862.42</v>
      </c>
      <c r="BZ119" s="43">
        <f t="shared" ref="BZ119:CO119" si="1204">SUM(BZ117:BZ118)</f>
        <v>1047483.6685126133</v>
      </c>
      <c r="CA119" s="43">
        <f t="shared" si="1204"/>
        <v>1074493.7082516181</v>
      </c>
      <c r="CB119" s="43">
        <f t="shared" si="1204"/>
        <v>1117012.9468952313</v>
      </c>
      <c r="CC119" s="43">
        <f t="shared" si="1204"/>
        <v>1164122.0165007631</v>
      </c>
      <c r="CD119" s="43">
        <f t="shared" si="1204"/>
        <v>1164019.1288519155</v>
      </c>
      <c r="CE119" s="43">
        <f t="shared" si="1204"/>
        <v>1197192.6290668994</v>
      </c>
      <c r="CF119" s="43">
        <f t="shared" si="1204"/>
        <v>1247257.0773948072</v>
      </c>
      <c r="CG119" s="43">
        <f t="shared" si="1204"/>
        <v>1301911.1401347052</v>
      </c>
      <c r="CH119" s="43">
        <f t="shared" si="1204"/>
        <v>1302939.7539632751</v>
      </c>
      <c r="CI119" s="43">
        <f t="shared" si="1204"/>
        <v>1342584.429751921</v>
      </c>
      <c r="CJ119" s="43">
        <f t="shared" si="1204"/>
        <v>1401268.293601501</v>
      </c>
      <c r="CK119" s="43">
        <f t="shared" si="1204"/>
        <v>1465209.6437332002</v>
      </c>
      <c r="CL119" s="43">
        <f t="shared" si="1204"/>
        <v>1468274.5612522312</v>
      </c>
      <c r="CM119" s="43">
        <f t="shared" si="1204"/>
        <v>1515570.3017773759</v>
      </c>
      <c r="CN119" s="43">
        <f t="shared" si="1204"/>
        <v>1584705.5239082724</v>
      </c>
      <c r="CO119" s="43">
        <f t="shared" si="1204"/>
        <v>1660064.8792196088</v>
      </c>
      <c r="CT119" s="42">
        <v>1045862.4206</v>
      </c>
    </row>
    <row r="120" spans="1:98" s="39" customFormat="1" x14ac:dyDescent="0.2">
      <c r="A120" s="39" t="s">
        <v>54</v>
      </c>
      <c r="B120" s="39">
        <f t="shared" ref="B120:AB120" si="1205">B119+B115+B113</f>
        <v>56162.856399999997</v>
      </c>
      <c r="C120" s="39">
        <f t="shared" si="1205"/>
        <v>65903.370599999995</v>
      </c>
      <c r="D120" s="39">
        <f t="shared" si="1205"/>
        <v>72021.301099999997</v>
      </c>
      <c r="E120" s="39">
        <f t="shared" si="1205"/>
        <v>79533.564699999988</v>
      </c>
      <c r="F120" s="39">
        <f t="shared" si="1205"/>
        <v>89248.262199999997</v>
      </c>
      <c r="G120" s="39">
        <f t="shared" si="1205"/>
        <v>104809.83020000001</v>
      </c>
      <c r="H120" s="39">
        <f t="shared" si="1205"/>
        <v>132397.93839999998</v>
      </c>
      <c r="I120" s="39">
        <f t="shared" si="1205"/>
        <v>167773.82120000001</v>
      </c>
      <c r="J120" s="39">
        <f t="shared" si="1205"/>
        <v>218876.58119999999</v>
      </c>
      <c r="K120" s="39">
        <f t="shared" si="1205"/>
        <v>266391.83319999999</v>
      </c>
      <c r="L120" s="39">
        <f t="shared" si="1205"/>
        <v>338197.86159999995</v>
      </c>
      <c r="M120" s="39">
        <f t="shared" si="1205"/>
        <v>371292.04300000001</v>
      </c>
      <c r="N120" s="39">
        <f t="shared" si="1205"/>
        <v>441125.32690000004</v>
      </c>
      <c r="O120" s="39">
        <f t="shared" si="1205"/>
        <v>555324.64619999996</v>
      </c>
      <c r="P120" s="39">
        <f t="shared" si="1205"/>
        <v>603410.51130000001</v>
      </c>
      <c r="Q120" s="39">
        <f t="shared" si="1205"/>
        <v>596404.88619999995</v>
      </c>
      <c r="R120" s="39">
        <f t="shared" si="1205"/>
        <v>611924.74800000002</v>
      </c>
      <c r="S120" s="39">
        <f t="shared" si="1205"/>
        <v>599983.79889999994</v>
      </c>
      <c r="T120" s="39">
        <f t="shared" si="1205"/>
        <v>611422.66980000003</v>
      </c>
      <c r="U120" s="39">
        <f t="shared" si="1205"/>
        <v>639073.76099999994</v>
      </c>
      <c r="V120" s="39">
        <f t="shared" si="1205"/>
        <v>708263.25399999996</v>
      </c>
      <c r="W120" s="39">
        <f t="shared" si="1205"/>
        <v>709787.56479999993</v>
      </c>
      <c r="X120" s="39">
        <f t="shared" si="1205"/>
        <v>793535.40850000014</v>
      </c>
      <c r="Y120" s="39">
        <f t="shared" si="1205"/>
        <v>887724.9449</v>
      </c>
      <c r="Z120" s="39">
        <f t="shared" si="1205"/>
        <v>1018999.3559</v>
      </c>
      <c r="AA120" s="39">
        <f t="shared" ref="AA120" si="1206">AA119+AA115+AA113</f>
        <v>1133852.6357</v>
      </c>
      <c r="AB120" s="40">
        <f t="shared" si="1205"/>
        <v>1263286.8467046819</v>
      </c>
      <c r="AC120" s="40">
        <f t="shared" ref="AC120" si="1207">AC119+AC115+AC113</f>
        <v>1412904.0003232909</v>
      </c>
      <c r="AD120" s="40">
        <f t="shared" ref="AD120" si="1208">AD119+AD115+AD113</f>
        <v>1589390.1365501622</v>
      </c>
      <c r="AE120" s="40">
        <f t="shared" ref="AE120" si="1209">AE119+AE115+AE113</f>
        <v>1799085.9080575176</v>
      </c>
      <c r="AG120" s="60"/>
      <c r="AH120" s="39">
        <f t="shared" ref="AH120" si="1210">AH119+AH115+AH113</f>
        <v>585143.88</v>
      </c>
      <c r="AI120" s="39">
        <f t="shared" ref="AI120:BC120" si="1211">AI119+AI115+AI113</f>
        <v>594402.56000000006</v>
      </c>
      <c r="AJ120" s="39">
        <f t="shared" si="1211"/>
        <v>599249.82999999996</v>
      </c>
      <c r="AK120" s="39">
        <f t="shared" si="1211"/>
        <v>596404.89</v>
      </c>
      <c r="AL120" s="39">
        <f t="shared" si="1211"/>
        <v>578344.66999999993</v>
      </c>
      <c r="AM120" s="39">
        <f t="shared" si="1211"/>
        <v>588136.96000000008</v>
      </c>
      <c r="AN120" s="39">
        <f t="shared" si="1211"/>
        <v>617732.04</v>
      </c>
      <c r="AO120" s="39">
        <f t="shared" si="1211"/>
        <v>611924.75</v>
      </c>
      <c r="AP120" s="39">
        <f t="shared" si="1211"/>
        <v>611859.56999999995</v>
      </c>
      <c r="AQ120" s="39">
        <f t="shared" si="1211"/>
        <v>614892.30000000005</v>
      </c>
      <c r="AR120" s="39">
        <f t="shared" si="1211"/>
        <v>600892.70000000007</v>
      </c>
      <c r="AS120" s="39">
        <f t="shared" si="1211"/>
        <v>599983.81000000006</v>
      </c>
      <c r="AT120" s="39">
        <f t="shared" ref="AT120:BB120" si="1212">AT119+AT115+AT113</f>
        <v>586687.3600000001</v>
      </c>
      <c r="AU120" s="39">
        <f t="shared" si="1212"/>
        <v>589274.90999999992</v>
      </c>
      <c r="AV120" s="39">
        <f t="shared" si="1212"/>
        <v>597064.64</v>
      </c>
      <c r="AW120" s="39">
        <f t="shared" si="1212"/>
        <v>611422.67000000004</v>
      </c>
      <c r="AX120" s="39">
        <f t="shared" si="1212"/>
        <v>593862.53</v>
      </c>
      <c r="AY120" s="39">
        <f t="shared" si="1212"/>
        <v>605967.35000000009</v>
      </c>
      <c r="AZ120" s="39">
        <f t="shared" si="1212"/>
        <v>614485.22</v>
      </c>
      <c r="BA120" s="39">
        <f t="shared" si="1212"/>
        <v>639073.76</v>
      </c>
      <c r="BB120" s="39">
        <f t="shared" si="1212"/>
        <v>665683.34</v>
      </c>
      <c r="BC120" s="39">
        <f t="shared" si="1211"/>
        <v>669625.23</v>
      </c>
      <c r="BD120" s="39">
        <f t="shared" ref="BD120:BV120" si="1213">BD119+BD115+BD113</f>
        <v>694661.25</v>
      </c>
      <c r="BE120" s="39">
        <f t="shared" si="1213"/>
        <v>708263.26</v>
      </c>
      <c r="BF120" s="39">
        <f t="shared" si="1213"/>
        <v>702950.65999999992</v>
      </c>
      <c r="BG120" s="39">
        <f t="shared" si="1213"/>
        <v>689329.46</v>
      </c>
      <c r="BH120" s="39">
        <f t="shared" si="1213"/>
        <v>707554.70000000007</v>
      </c>
      <c r="BI120" s="39">
        <f t="shared" si="1213"/>
        <v>709787.57</v>
      </c>
      <c r="BJ120" s="39">
        <f t="shared" si="1213"/>
        <v>719025.4</v>
      </c>
      <c r="BK120" s="39">
        <f t="shared" si="1213"/>
        <v>749710.25</v>
      </c>
      <c r="BL120" s="39">
        <f t="shared" si="1213"/>
        <v>771164.13</v>
      </c>
      <c r="BM120" s="39">
        <f t="shared" si="1213"/>
        <v>793535.41</v>
      </c>
      <c r="BN120" s="39">
        <f t="shared" si="1213"/>
        <v>804173.81</v>
      </c>
      <c r="BO120" s="39">
        <f t="shared" si="1213"/>
        <v>830007.11</v>
      </c>
      <c r="BP120" s="39">
        <f t="shared" si="1213"/>
        <v>850870.03999999992</v>
      </c>
      <c r="BQ120" s="39">
        <f t="shared" si="1213"/>
        <v>887724.95000000007</v>
      </c>
      <c r="BR120" s="39">
        <f t="shared" si="1213"/>
        <v>917722.73</v>
      </c>
      <c r="BS120" s="39">
        <f t="shared" si="1213"/>
        <v>965804.59</v>
      </c>
      <c r="BT120" s="39">
        <f t="shared" si="1213"/>
        <v>1005640.42</v>
      </c>
      <c r="BU120" s="39">
        <f t="shared" si="1213"/>
        <v>1018999.3599999999</v>
      </c>
      <c r="BV120" s="39">
        <f t="shared" si="1213"/>
        <v>1040728.08</v>
      </c>
      <c r="BW120" s="39">
        <f t="shared" ref="BW120:BX120" si="1214">BW119+BW115+BW113</f>
        <v>1053073.31</v>
      </c>
      <c r="BX120" s="39">
        <f t="shared" si="1214"/>
        <v>1077945.0899999999</v>
      </c>
      <c r="BY120" s="39">
        <f t="shared" ref="BY120" si="1215">BY119+BY115+BY113</f>
        <v>1133852.6400000001</v>
      </c>
      <c r="BZ120" s="40">
        <f t="shared" ref="BZ120:CO120" si="1216">BZ119+BZ115+BZ113</f>
        <v>1138117.3491544961</v>
      </c>
      <c r="CA120" s="40">
        <f t="shared" si="1216"/>
        <v>1167916.7685554598</v>
      </c>
      <c r="CB120" s="40">
        <f t="shared" si="1216"/>
        <v>1213274.9535277472</v>
      </c>
      <c r="CC120" s="40">
        <f t="shared" si="1216"/>
        <v>1263286.8467046819</v>
      </c>
      <c r="CD120" s="40">
        <f t="shared" si="1216"/>
        <v>1266089.4794861514</v>
      </c>
      <c r="CE120" s="40">
        <f t="shared" si="1216"/>
        <v>1302216.2382775801</v>
      </c>
      <c r="CF120" s="40">
        <f t="shared" si="1216"/>
        <v>1355240.3550650801</v>
      </c>
      <c r="CG120" s="40">
        <f t="shared" si="1216"/>
        <v>1412904.0003232909</v>
      </c>
      <c r="CH120" s="40">
        <f t="shared" si="1216"/>
        <v>1417133.749963396</v>
      </c>
      <c r="CI120" s="40">
        <f t="shared" si="1216"/>
        <v>1460039.2586685426</v>
      </c>
      <c r="CJ120" s="40">
        <f t="shared" si="1216"/>
        <v>1522027.2164612673</v>
      </c>
      <c r="CK120" s="40">
        <f t="shared" si="1216"/>
        <v>1589390.1365501622</v>
      </c>
      <c r="CL120" s="40">
        <f t="shared" si="1216"/>
        <v>1596036.6113106071</v>
      </c>
      <c r="CM120" s="40">
        <f t="shared" si="1216"/>
        <v>1646994.8664805626</v>
      </c>
      <c r="CN120" s="40">
        <f t="shared" si="1216"/>
        <v>1719856.848916952</v>
      </c>
      <c r="CO120" s="40">
        <f t="shared" si="1216"/>
        <v>1799085.9080575176</v>
      </c>
      <c r="CT120" s="39">
        <v>1133852.6357</v>
      </c>
    </row>
    <row r="121" spans="1:98" s="37" customFormat="1" x14ac:dyDescent="0.2">
      <c r="AB121" s="38"/>
      <c r="AC121" s="38"/>
      <c r="AD121" s="38"/>
      <c r="AE121" s="38"/>
      <c r="AG121" s="59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</row>
    <row r="122" spans="1:98" s="37" customFormat="1" x14ac:dyDescent="0.2">
      <c r="A122" s="37" t="s">
        <v>130</v>
      </c>
      <c r="B122" s="37">
        <f>+'Annual Raw'!C73</f>
        <v>18224.870800000001</v>
      </c>
      <c r="C122" s="37">
        <f>+'Annual Raw'!D73</f>
        <v>22083.536499999998</v>
      </c>
      <c r="D122" s="37">
        <f>+'Annual Raw'!E73</f>
        <v>24434.842499999999</v>
      </c>
      <c r="E122" s="37">
        <f>+'Annual Raw'!F73</f>
        <v>27162.886200000001</v>
      </c>
      <c r="F122" s="37">
        <f>+'Annual Raw'!G73</f>
        <v>28202.623</v>
      </c>
      <c r="G122" s="37">
        <f>+'Annual Raw'!H73</f>
        <v>31781.754199999999</v>
      </c>
      <c r="H122" s="37">
        <f>+'Annual Raw'!I73</f>
        <v>35492.7618</v>
      </c>
      <c r="I122" s="37">
        <f>+'Annual Raw'!J73</f>
        <v>41802.876700000001</v>
      </c>
      <c r="J122" s="37">
        <f>+'Annual Raw'!K73</f>
        <v>52607.179100000001</v>
      </c>
      <c r="K122" s="37">
        <f>+'Annual Raw'!L73</f>
        <v>67080.179499999998</v>
      </c>
      <c r="L122" s="37">
        <f>+'Annual Raw'!M73</f>
        <v>85872.417600000001</v>
      </c>
      <c r="M122" s="37">
        <f>+'Annual Raw'!N73</f>
        <v>86753.5861</v>
      </c>
      <c r="N122" s="37">
        <f>+'Annual Raw'!O73</f>
        <v>94613.431800000006</v>
      </c>
      <c r="O122" s="37">
        <f>+'Annual Raw'!P73</f>
        <v>114152.43700000001</v>
      </c>
      <c r="P122" s="37">
        <f>+'Annual Raw'!Q73</f>
        <v>119792.0482</v>
      </c>
      <c r="Q122" s="37">
        <f>+'Annual Raw'!R73</f>
        <v>118848.912</v>
      </c>
      <c r="R122" s="37">
        <f>+'Annual Raw'!S73</f>
        <v>127826.8631</v>
      </c>
      <c r="S122" s="37">
        <f>+'Annual Raw'!T73</f>
        <v>137111.1122</v>
      </c>
      <c r="T122" s="37">
        <f>+'Annual Raw'!U73</f>
        <v>147639.035</v>
      </c>
      <c r="U122" s="37">
        <f>+'Annual Raw'!V73</f>
        <v>158572.98740000001</v>
      </c>
      <c r="V122" s="37">
        <f>+'Annual Raw'!W73</f>
        <v>187252.8456</v>
      </c>
      <c r="W122" s="37">
        <f>+'Annual Raw'!X73</f>
        <v>174448.40659999999</v>
      </c>
      <c r="X122" s="37">
        <f>+'Annual Raw'!Y73</f>
        <v>204397.87710000001</v>
      </c>
      <c r="Y122" s="37">
        <f>+'Annual Raw'!Z73</f>
        <v>227144.46770000001</v>
      </c>
      <c r="Z122" s="37">
        <f>+'Annual Raw'!AA73</f>
        <v>259111.80480000001</v>
      </c>
      <c r="AA122" s="37">
        <f>+'Annual Raw'!AB73</f>
        <v>268629.30339999998</v>
      </c>
      <c r="AB122" s="38">
        <f>CC122</f>
        <v>307294.17521508451</v>
      </c>
      <c r="AC122" s="38">
        <f>CG122</f>
        <v>344851.91854746477</v>
      </c>
      <c r="AD122" s="38">
        <f>CK122</f>
        <v>388237.75225900364</v>
      </c>
      <c r="AE122" s="38">
        <f>CO122</f>
        <v>439874.16518457234</v>
      </c>
      <c r="AG122" s="59"/>
      <c r="AH122" s="37">
        <f>+'QTR Raw'!C68</f>
        <v>117040.82</v>
      </c>
      <c r="AI122" s="37">
        <f>+'QTR Raw'!D68</f>
        <v>117892.69</v>
      </c>
      <c r="AJ122" s="37">
        <f>+'QTR Raw'!E68</f>
        <v>122561.42</v>
      </c>
      <c r="AK122" s="37">
        <f>+'QTR Raw'!F68</f>
        <v>118848.91</v>
      </c>
      <c r="AL122" s="37">
        <f>+'QTR Raw'!G68</f>
        <v>109826.86</v>
      </c>
      <c r="AM122" s="37">
        <f>+'QTR Raw'!H68</f>
        <v>120208.81</v>
      </c>
      <c r="AN122" s="37">
        <f>+'QTR Raw'!I68</f>
        <v>155432.76999999999</v>
      </c>
      <c r="AO122" s="37">
        <f>+'QTR Raw'!J68</f>
        <v>127826.86</v>
      </c>
      <c r="AP122" s="37">
        <f>+'QTR Raw'!K68</f>
        <v>123613.67</v>
      </c>
      <c r="AQ122" s="37">
        <f>+'QTR Raw'!L68</f>
        <v>128304.63</v>
      </c>
      <c r="AR122" s="37">
        <f>+'QTR Raw'!M68</f>
        <v>134883.84</v>
      </c>
      <c r="AS122" s="37">
        <f>+'QTR Raw'!N68</f>
        <v>137111.10999999999</v>
      </c>
      <c r="AT122" s="37">
        <f>+'QTR Raw'!O68</f>
        <v>135188.69</v>
      </c>
      <c r="AU122" s="37">
        <f>+'QTR Raw'!P68</f>
        <v>133444.04999999999</v>
      </c>
      <c r="AV122" s="37">
        <f>+'QTR Raw'!Q68</f>
        <v>147176.5</v>
      </c>
      <c r="AW122" s="37">
        <f>+'QTR Raw'!R68</f>
        <v>147639.04000000001</v>
      </c>
      <c r="AX122" s="37">
        <f>+'QTR Raw'!S68</f>
        <v>145606.01</v>
      </c>
      <c r="AY122" s="37">
        <f>+'QTR Raw'!T68</f>
        <v>149299.85</v>
      </c>
      <c r="AZ122" s="37">
        <f>+'QTR Raw'!U68</f>
        <v>157276.98000000001</v>
      </c>
      <c r="BA122" s="37">
        <f>+'QTR Raw'!V68</f>
        <v>158572.99</v>
      </c>
      <c r="BB122" s="37">
        <f>+'QTR Raw'!W68</f>
        <v>162463.85999999999</v>
      </c>
      <c r="BC122" s="37">
        <f>+'QTR Raw'!X68</f>
        <v>182063.57</v>
      </c>
      <c r="BD122" s="37">
        <f>+'QTR Raw'!Y68</f>
        <v>175175.73</v>
      </c>
      <c r="BE122" s="37">
        <f>+'QTR Raw'!Z68</f>
        <v>187252.85</v>
      </c>
      <c r="BF122" s="37">
        <f>+'QTR Raw'!AA68</f>
        <v>187246</v>
      </c>
      <c r="BG122" s="37">
        <f>+'QTR Raw'!AB68</f>
        <v>172349.89</v>
      </c>
      <c r="BH122" s="37">
        <f>+'QTR Raw'!AC68</f>
        <v>172017.47</v>
      </c>
      <c r="BI122" s="37">
        <f>+'QTR Raw'!AD68</f>
        <v>174448.41</v>
      </c>
      <c r="BJ122" s="37">
        <f>+'QTR Raw'!AE68</f>
        <v>178376.38</v>
      </c>
      <c r="BK122" s="37">
        <f>+'QTR Raw'!AF68</f>
        <v>184038.16</v>
      </c>
      <c r="BL122" s="37">
        <f>+'QTR Raw'!AG68</f>
        <v>187524.76</v>
      </c>
      <c r="BM122" s="37">
        <f>+'QTR Raw'!AH68</f>
        <v>204397.88</v>
      </c>
      <c r="BN122" s="37">
        <f>+'QTR Raw'!AI68</f>
        <v>208147.55</v>
      </c>
      <c r="BO122" s="37">
        <f>+'QTR Raw'!AJ68</f>
        <v>211848.14</v>
      </c>
      <c r="BP122" s="37">
        <f>+'QTR Raw'!AK68</f>
        <v>211618.38</v>
      </c>
      <c r="BQ122" s="37">
        <f>+'QTR Raw'!AL68</f>
        <v>227144.47</v>
      </c>
      <c r="BR122" s="37">
        <f>+'QTR Raw'!AM68</f>
        <v>241666.83</v>
      </c>
      <c r="BS122" s="37">
        <f>+'QTR Raw'!AN68</f>
        <v>269743.53000000003</v>
      </c>
      <c r="BT122" s="37">
        <f>+'QTR Raw'!AO68</f>
        <v>263182.46999999997</v>
      </c>
      <c r="BU122" s="37">
        <f>+'QTR Raw'!AP68</f>
        <v>259111.8</v>
      </c>
      <c r="BV122" s="37">
        <f>+'QTR Raw'!AQ68</f>
        <v>271724.07</v>
      </c>
      <c r="BW122" s="37">
        <f>+'QTR Raw'!AR68</f>
        <v>260899.79</v>
      </c>
      <c r="BX122" s="37">
        <f>+'QTR Raw'!AS68</f>
        <v>265699.13</v>
      </c>
      <c r="BY122" s="37">
        <f>+'QTR Raw'!AT68</f>
        <v>268629.3</v>
      </c>
      <c r="BZ122" s="38">
        <f t="shared" ref="BZ122:CO122" si="1217">+BZ119*BZ32</f>
        <v>281667.51311211439</v>
      </c>
      <c r="CA122" s="38">
        <f t="shared" si="1217"/>
        <v>285238.02761422691</v>
      </c>
      <c r="CB122" s="38">
        <f t="shared" si="1217"/>
        <v>295641.57106117968</v>
      </c>
      <c r="CC122" s="38">
        <f t="shared" si="1217"/>
        <v>307294.17521508451</v>
      </c>
      <c r="CD122" s="38">
        <f t="shared" si="1217"/>
        <v>309339.32025288203</v>
      </c>
      <c r="CE122" s="38">
        <f t="shared" si="1217"/>
        <v>317212.98353059363</v>
      </c>
      <c r="CF122" s="38">
        <f t="shared" si="1217"/>
        <v>330322.76130628039</v>
      </c>
      <c r="CG122" s="38">
        <f t="shared" si="1217"/>
        <v>344851.91854746477</v>
      </c>
      <c r="CH122" s="38">
        <f t="shared" si="1217"/>
        <v>345420.97412579262</v>
      </c>
      <c r="CI122" s="38">
        <f t="shared" si="1217"/>
        <v>355715.60534167226</v>
      </c>
      <c r="CJ122" s="38">
        <f t="shared" si="1217"/>
        <v>371258.32844849466</v>
      </c>
      <c r="CK122" s="38">
        <f t="shared" si="1217"/>
        <v>388237.75225900364</v>
      </c>
      <c r="CL122" s="38">
        <f t="shared" si="1217"/>
        <v>389082.71277656266</v>
      </c>
      <c r="CM122" s="38">
        <f t="shared" si="1217"/>
        <v>401571.89232449065</v>
      </c>
      <c r="CN122" s="38">
        <f t="shared" si="1217"/>
        <v>419896.51420406066</v>
      </c>
      <c r="CO122" s="38">
        <f t="shared" si="1217"/>
        <v>439874.16518457234</v>
      </c>
      <c r="CT122" s="37">
        <v>268629.30339999998</v>
      </c>
    </row>
    <row r="123" spans="1:98" s="37" customFormat="1" x14ac:dyDescent="0.2">
      <c r="A123" s="37" t="s">
        <v>49</v>
      </c>
      <c r="B123" s="37">
        <f>+'Annual Raw'!C74</f>
        <v>31823.137200000001</v>
      </c>
      <c r="C123" s="37">
        <f>+'Annual Raw'!D74</f>
        <v>38310.781199999998</v>
      </c>
      <c r="D123" s="37">
        <f>+'Annual Raw'!E74</f>
        <v>42633.181499999999</v>
      </c>
      <c r="E123" s="37">
        <f>+'Annual Raw'!F74</f>
        <v>45855.896999999997</v>
      </c>
      <c r="F123" s="37">
        <f>+'Annual Raw'!G74</f>
        <v>56012.584799999997</v>
      </c>
      <c r="G123" s="37">
        <f>+'Annual Raw'!H74</f>
        <v>65173.744400000003</v>
      </c>
      <c r="H123" s="37">
        <f>+'Annual Raw'!I74</f>
        <v>85115.894400000005</v>
      </c>
      <c r="I123" s="37">
        <f>+'Annual Raw'!J74</f>
        <v>113476.32640000001</v>
      </c>
      <c r="J123" s="37">
        <f>+'Annual Raw'!K74</f>
        <v>142909.3738</v>
      </c>
      <c r="K123" s="37">
        <f>+'Annual Raw'!L74</f>
        <v>168490.70980000001</v>
      </c>
      <c r="L123" s="37">
        <f>+'Annual Raw'!M74</f>
        <v>213096.18169999999</v>
      </c>
      <c r="M123" s="37">
        <f>+'Annual Raw'!N74</f>
        <v>248833.34419999999</v>
      </c>
      <c r="N123" s="37">
        <f>+'Annual Raw'!O74</f>
        <v>289367.49719999998</v>
      </c>
      <c r="O123" s="37">
        <f>+'Annual Raw'!P74</f>
        <v>370733.53639999998</v>
      </c>
      <c r="P123" s="37">
        <f>+'Annual Raw'!Q74</f>
        <v>402025.5465</v>
      </c>
      <c r="Q123" s="37">
        <f>+'Annual Raw'!R74</f>
        <v>359188.95919999998</v>
      </c>
      <c r="R123" s="37">
        <f>+'Annual Raw'!S74</f>
        <v>366481.66710000002</v>
      </c>
      <c r="S123" s="37">
        <f>+'Annual Raw'!T74</f>
        <v>341380.18660000002</v>
      </c>
      <c r="T123" s="37">
        <f>+'Annual Raw'!U74</f>
        <v>341005.94429999997</v>
      </c>
      <c r="U123" s="37">
        <f>+'Annual Raw'!V74</f>
        <v>368883.30410000001</v>
      </c>
      <c r="V123" s="37">
        <f>+'Annual Raw'!W74</f>
        <v>365686.52389999997</v>
      </c>
      <c r="W123" s="37">
        <f>+'Annual Raw'!X74</f>
        <v>420841.79070000001</v>
      </c>
      <c r="X123" s="37">
        <f>+'Annual Raw'!Y74</f>
        <v>485899.63520000002</v>
      </c>
      <c r="Y123" s="37">
        <f>+'Annual Raw'!Z74</f>
        <v>563144.66540000006</v>
      </c>
      <c r="Z123" s="37">
        <f>+'Annual Raw'!AA74</f>
        <v>649657.04139999999</v>
      </c>
      <c r="AA123" s="37">
        <f>+'Annual Raw'!AB74</f>
        <v>760334.88190000004</v>
      </c>
      <c r="AB123" s="38">
        <f>CC123</f>
        <v>867611.39179493976</v>
      </c>
      <c r="AC123" s="38">
        <f>CG123</f>
        <v>988830.9082010712</v>
      </c>
      <c r="AD123" s="38">
        <f>CK123</f>
        <v>1126821.9085176594</v>
      </c>
      <c r="AE123" s="38">
        <f>CO123</f>
        <v>1284052.6247473815</v>
      </c>
      <c r="AG123" s="59"/>
      <c r="AH123" s="37">
        <f>+'QTR Raw'!C69</f>
        <v>383983.45</v>
      </c>
      <c r="AI123" s="37">
        <f>+'QTR Raw'!D69</f>
        <v>381666.72</v>
      </c>
      <c r="AJ123" s="37">
        <f>+'QTR Raw'!E69</f>
        <v>380746.21</v>
      </c>
      <c r="AK123" s="37">
        <f>+'QTR Raw'!F69</f>
        <v>359188.96</v>
      </c>
      <c r="AL123" s="37">
        <f>+'QTR Raw'!G69</f>
        <v>363385.77</v>
      </c>
      <c r="AM123" s="37">
        <f>+'QTR Raw'!H69</f>
        <v>363310.09</v>
      </c>
      <c r="AN123" s="37">
        <f>+'QTR Raw'!I69</f>
        <v>360188.65</v>
      </c>
      <c r="AO123" s="37">
        <f>+'QTR Raw'!J69</f>
        <v>366481.67</v>
      </c>
      <c r="AP123" s="37">
        <f>+'QTR Raw'!K69</f>
        <v>363977.57</v>
      </c>
      <c r="AQ123" s="37">
        <f>+'QTR Raw'!L69</f>
        <v>364502.21</v>
      </c>
      <c r="AR123" s="37">
        <f>+'QTR Raw'!M69</f>
        <v>350948.99</v>
      </c>
      <c r="AS123" s="37">
        <f>+'QTR Raw'!N69</f>
        <v>341380.19</v>
      </c>
      <c r="AT123" s="37">
        <f>+'QTR Raw'!O69</f>
        <v>327775.34000000003</v>
      </c>
      <c r="AU123" s="37">
        <f>+'QTR Raw'!P69</f>
        <v>340272.51</v>
      </c>
      <c r="AV123" s="37">
        <f>+'QTR Raw'!Q69</f>
        <v>331114.03000000003</v>
      </c>
      <c r="AW123" s="37">
        <f>+'QTR Raw'!R69</f>
        <v>341005.94</v>
      </c>
      <c r="AX123" s="37">
        <f>+'QTR Raw'!S69</f>
        <v>332966.65000000002</v>
      </c>
      <c r="AY123" s="37">
        <f>+'QTR Raw'!T69</f>
        <v>334800.23</v>
      </c>
      <c r="AZ123" s="37">
        <f>+'QTR Raw'!U69</f>
        <v>336661.38</v>
      </c>
      <c r="BA123" s="37">
        <f>+'QTR Raw'!V69</f>
        <v>368883.3</v>
      </c>
      <c r="BB123" s="37">
        <f>+'QTR Raw'!W69</f>
        <v>370614.56</v>
      </c>
      <c r="BC123" s="37">
        <f>+'QTR Raw'!X69</f>
        <v>361767.14</v>
      </c>
      <c r="BD123" s="37">
        <f>+'QTR Raw'!Y69</f>
        <v>368710.85</v>
      </c>
      <c r="BE123" s="37">
        <f>+'QTR Raw'!Z69</f>
        <v>365686.52</v>
      </c>
      <c r="BF123" s="37">
        <f>+'QTR Raw'!AA69</f>
        <v>370607.26</v>
      </c>
      <c r="BG123" s="37">
        <f>+'QTR Raw'!AB69</f>
        <v>378727.44</v>
      </c>
      <c r="BH123" s="37">
        <f>+'QTR Raw'!AC69</f>
        <v>401873.49</v>
      </c>
      <c r="BI123" s="37">
        <f>+'QTR Raw'!AD69</f>
        <v>420841.79</v>
      </c>
      <c r="BJ123" s="37">
        <f>+'QTR Raw'!AE69</f>
        <v>442702.99</v>
      </c>
      <c r="BK123" s="37">
        <f>+'QTR Raw'!AF69</f>
        <v>460231.59</v>
      </c>
      <c r="BL123" s="37">
        <f>+'QTR Raw'!AG69</f>
        <v>476100.81</v>
      </c>
      <c r="BM123" s="37">
        <f>+'QTR Raw'!AH69</f>
        <v>485899.64</v>
      </c>
      <c r="BN123" s="37">
        <f>+'QTR Raw'!AI69</f>
        <v>491501.64</v>
      </c>
      <c r="BO123" s="37">
        <f>+'QTR Raw'!AJ69</f>
        <v>519088.54</v>
      </c>
      <c r="BP123" s="37">
        <f>+'QTR Raw'!AK69</f>
        <v>542295.99</v>
      </c>
      <c r="BQ123" s="37">
        <f>+'QTR Raw'!AL69</f>
        <v>563144.67000000004</v>
      </c>
      <c r="BR123" s="37">
        <f>+'QTR Raw'!AM69</f>
        <v>578144.6</v>
      </c>
      <c r="BS123" s="37">
        <f>+'QTR Raw'!AN69</f>
        <v>600006.31999999995</v>
      </c>
      <c r="BT123" s="37">
        <f>+'QTR Raw'!AO69</f>
        <v>632868.46</v>
      </c>
      <c r="BU123" s="37">
        <f>+'QTR Raw'!AP69</f>
        <v>649657.04</v>
      </c>
      <c r="BV123" s="37">
        <f>+'QTR Raw'!AQ69</f>
        <v>657753.85</v>
      </c>
      <c r="BW123" s="37">
        <f>+'QTR Raw'!AR69</f>
        <v>695660.44</v>
      </c>
      <c r="BX123" s="37">
        <f>+'QTR Raw'!AS69</f>
        <v>727958.8</v>
      </c>
      <c r="BY123" s="37">
        <f>+'QTR Raw'!AT69</f>
        <v>760334.88</v>
      </c>
      <c r="BZ123" s="38">
        <f t="shared" ref="BZ123:CO123" si="1218">BZ27*BZ28</f>
        <v>746660.80525950645</v>
      </c>
      <c r="CA123" s="38">
        <f t="shared" si="1218"/>
        <v>792553.23707415874</v>
      </c>
      <c r="CB123" s="38">
        <f t="shared" si="1218"/>
        <v>829206.330422992</v>
      </c>
      <c r="CC123" s="38">
        <f t="shared" si="1218"/>
        <v>867611.39179493976</v>
      </c>
      <c r="CD123" s="38">
        <f t="shared" si="1218"/>
        <v>850189.90736524144</v>
      </c>
      <c r="CE123" s="38">
        <f t="shared" si="1218"/>
        <v>903136.83533155231</v>
      </c>
      <c r="CF123" s="38">
        <f t="shared" si="1218"/>
        <v>944955.18227140931</v>
      </c>
      <c r="CG123" s="38">
        <f t="shared" si="1218"/>
        <v>988830.9082010712</v>
      </c>
      <c r="CH123" s="38">
        <f t="shared" si="1218"/>
        <v>968683.15469724254</v>
      </c>
      <c r="CI123" s="38">
        <f t="shared" si="1218"/>
        <v>1029171.2227184928</v>
      </c>
      <c r="CJ123" s="38">
        <f t="shared" si="1218"/>
        <v>1076830.9541552775</v>
      </c>
      <c r="CK123" s="38">
        <f t="shared" si="1218"/>
        <v>1126821.9085176594</v>
      </c>
      <c r="CL123" s="38">
        <f t="shared" si="1218"/>
        <v>1103822.1662094055</v>
      </c>
      <c r="CM123" s="38">
        <f t="shared" si="1218"/>
        <v>1172783.6075757837</v>
      </c>
      <c r="CN123" s="38">
        <f t="shared" si="1218"/>
        <v>1227091.1605887904</v>
      </c>
      <c r="CO123" s="38">
        <f t="shared" si="1218"/>
        <v>1284052.6247473815</v>
      </c>
      <c r="CT123" s="37">
        <v>760334.88190000004</v>
      </c>
    </row>
    <row r="124" spans="1:98" s="37" customFormat="1" x14ac:dyDescent="0.2">
      <c r="AB124" s="38"/>
      <c r="AC124" s="38"/>
      <c r="AD124" s="38"/>
      <c r="AE124" s="38"/>
      <c r="AG124" s="59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</row>
    <row r="125" spans="1:98" s="42" customFormat="1" x14ac:dyDescent="0.2">
      <c r="A125" s="42" t="s">
        <v>196</v>
      </c>
      <c r="B125" s="42">
        <f>+'Annual Raw'!C78+'Annual Raw'!C79+'Annual Raw'!C80</f>
        <v>763.15219999999988</v>
      </c>
      <c r="C125" s="42">
        <f>+'Annual Raw'!D78+'Annual Raw'!D79+'Annual Raw'!D80</f>
        <v>704.67000000000007</v>
      </c>
      <c r="D125" s="42">
        <f>+'Annual Raw'!E78+'Annual Raw'!E79+'Annual Raw'!E80</f>
        <v>736.70120000000009</v>
      </c>
      <c r="E125" s="42">
        <f>+'Annual Raw'!F78+'Annual Raw'!F79+'Annual Raw'!F80</f>
        <v>798.58929999999998</v>
      </c>
      <c r="F125" s="42">
        <f>+'Annual Raw'!G78+'Annual Raw'!G79+'Annual Raw'!G80</f>
        <v>814.17559999999992</v>
      </c>
      <c r="G125" s="42">
        <f>+'Annual Raw'!H78+'Annual Raw'!H79+'Annual Raw'!H80</f>
        <v>809.96590000000003</v>
      </c>
      <c r="H125" s="42">
        <f>+'Annual Raw'!I78+'Annual Raw'!I79+'Annual Raw'!I80</f>
        <v>789.29539999999997</v>
      </c>
      <c r="I125" s="42">
        <f>+'Annual Raw'!J78+'Annual Raw'!J79+'Annual Raw'!J80</f>
        <v>2426.0670999999998</v>
      </c>
      <c r="J125" s="42">
        <f>+'Annual Raw'!K78+'Annual Raw'!K79+'Annual Raw'!K80</f>
        <v>2531.9346999999998</v>
      </c>
      <c r="K125" s="42">
        <f>+'Annual Raw'!L78+'Annual Raw'!L79+'Annual Raw'!L80</f>
        <v>2351.8087999999998</v>
      </c>
      <c r="L125" s="42">
        <f>+'Annual Raw'!M78+'Annual Raw'!M79+'Annual Raw'!M80</f>
        <v>2480.7362999999996</v>
      </c>
      <c r="M125" s="42">
        <f>+'Annual Raw'!N78+'Annual Raw'!N79+'Annual Raw'!N80</f>
        <v>2771.5922</v>
      </c>
      <c r="N125" s="42">
        <f>+'Annual Raw'!O78+'Annual Raw'!O79+'Annual Raw'!O80</f>
        <v>2870.1253999999999</v>
      </c>
      <c r="O125" s="42">
        <f>+'Annual Raw'!P78+'Annual Raw'!P79+'Annual Raw'!P80</f>
        <v>5786.0574000000006</v>
      </c>
      <c r="P125" s="42">
        <f>+'Annual Raw'!Q78+'Annual Raw'!Q79+'Annual Raw'!Q80</f>
        <v>5885.5349999999999</v>
      </c>
      <c r="Q125" s="42">
        <f>+'Annual Raw'!R78+'Annual Raw'!R79+'Annual Raw'!R80</f>
        <v>8480.3112999999994</v>
      </c>
      <c r="R125" s="42">
        <f>+'Annual Raw'!S78+'Annual Raw'!S79+'Annual Raw'!S80</f>
        <v>8461.8581000000013</v>
      </c>
      <c r="S125" s="42">
        <f>+'Annual Raw'!T78+'Annual Raw'!T79+'Annual Raw'!T80</f>
        <v>8265.2874000000011</v>
      </c>
      <c r="T125" s="42">
        <f>+'Annual Raw'!U78+'Annual Raw'!U79+'Annual Raw'!U80</f>
        <v>8920.0364000000009</v>
      </c>
      <c r="U125" s="42">
        <f>+'Annual Raw'!V78+'Annual Raw'!V79+'Annual Raw'!V80</f>
        <v>8981.9998999999989</v>
      </c>
      <c r="V125" s="42">
        <f>+'Annual Raw'!W78+'Annual Raw'!W79+'Annual Raw'!W80</f>
        <v>8914.1309000000001</v>
      </c>
      <c r="W125" s="42">
        <f>+'Annual Raw'!X78+'Annual Raw'!X79+'Annual Raw'!X80</f>
        <v>9774.9534999999996</v>
      </c>
      <c r="X125" s="42">
        <f>+'Annual Raw'!Y78+'Annual Raw'!Y79+'Annual Raw'!Y80</f>
        <v>9961.0019000000011</v>
      </c>
      <c r="Y125" s="42">
        <f>+'Annual Raw'!Z78+'Annual Raw'!Z79+'Annual Raw'!Z80</f>
        <v>10226.464</v>
      </c>
      <c r="Z125" s="42">
        <f>+'Annual Raw'!AA78+'Annual Raw'!AA79+'Annual Raw'!AA80</f>
        <v>11938.714399999999</v>
      </c>
      <c r="AA125" s="42">
        <f>+'Annual Raw'!AB78+'Annual Raw'!AB79+'Annual Raw'!AB80</f>
        <v>11749.3418</v>
      </c>
      <c r="AB125" s="43"/>
      <c r="AC125" s="43">
        <f>CG125</f>
        <v>0</v>
      </c>
      <c r="AD125" s="43">
        <f>CK125</f>
        <v>0</v>
      </c>
      <c r="AE125" s="43">
        <f>CO125</f>
        <v>0</v>
      </c>
      <c r="AG125" s="61"/>
      <c r="AH125" s="42">
        <f>+'QTR Raw'!C73</f>
        <v>5874.75</v>
      </c>
      <c r="AI125" s="42">
        <f>+'QTR Raw'!D73</f>
        <v>5846.83</v>
      </c>
      <c r="AJ125" s="42">
        <f>+'QTR Raw'!E73</f>
        <v>5865.7</v>
      </c>
      <c r="AK125" s="42">
        <f>+'QTR Raw'!F73</f>
        <v>8480.31</v>
      </c>
      <c r="AL125" s="42">
        <f>+'QTR Raw'!G73</f>
        <v>8414.24</v>
      </c>
      <c r="AM125" s="42">
        <f>+'QTR Raw'!H73</f>
        <v>8297.8799999999992</v>
      </c>
      <c r="AN125" s="42">
        <f>+'QTR Raw'!I73</f>
        <v>8159.09</v>
      </c>
      <c r="AO125" s="42">
        <f>+'QTR Raw'!J73</f>
        <v>8461.86</v>
      </c>
      <c r="AP125" s="42">
        <f>+'QTR Raw'!K73</f>
        <v>8419.0300000000007</v>
      </c>
      <c r="AQ125" s="42">
        <f>+'QTR Raw'!L73</f>
        <v>8402.0400000000009</v>
      </c>
      <c r="AR125" s="42">
        <f>+'QTR Raw'!M73</f>
        <v>8299.9</v>
      </c>
      <c r="AS125" s="42">
        <f>+'QTR Raw'!N73</f>
        <v>8265.2900000000009</v>
      </c>
      <c r="AT125" s="42">
        <f>+'QTR Raw'!O73</f>
        <v>8201.61</v>
      </c>
      <c r="AU125" s="42">
        <f>+'QTR Raw'!P73</f>
        <v>8550.51</v>
      </c>
      <c r="AV125" s="42">
        <f>+'QTR Raw'!Q73</f>
        <v>8283.5400000000009</v>
      </c>
      <c r="AW125" s="42">
        <f>+'QTR Raw'!R73</f>
        <v>8920.0400000000009</v>
      </c>
      <c r="AX125" s="42">
        <f>+'QTR Raw'!S73</f>
        <v>8955.06</v>
      </c>
      <c r="AY125" s="42">
        <f>+'QTR Raw'!T73</f>
        <v>8941.2800000000007</v>
      </c>
      <c r="AZ125" s="42">
        <f>+'QTR Raw'!U73</f>
        <v>8948.31</v>
      </c>
      <c r="BA125" s="42">
        <f>+'QTR Raw'!V73</f>
        <v>8982</v>
      </c>
      <c r="BB125" s="42">
        <f>+'QTR Raw'!W73</f>
        <v>8925.2199999999993</v>
      </c>
      <c r="BC125" s="42">
        <f>+'QTR Raw'!X73</f>
        <v>8893.39</v>
      </c>
      <c r="BD125" s="42">
        <f>+'QTR Raw'!Y73</f>
        <v>8888.66</v>
      </c>
      <c r="BE125" s="42">
        <f>+'QTR Raw'!Z73</f>
        <v>8914.1299999999992</v>
      </c>
      <c r="BF125" s="42">
        <f>+'QTR Raw'!AA73</f>
        <v>8897.2099999999991</v>
      </c>
      <c r="BG125" s="42">
        <f>+'QTR Raw'!AB73</f>
        <v>8911.91</v>
      </c>
      <c r="BH125" s="42">
        <f>+'QTR Raw'!AC73</f>
        <v>8984.7099999999991</v>
      </c>
      <c r="BI125" s="42">
        <f>+'QTR Raw'!AD73</f>
        <v>9774.9500000000007</v>
      </c>
      <c r="BJ125" s="42">
        <f>+'QTR Raw'!AE73</f>
        <v>9792.17</v>
      </c>
      <c r="BK125" s="42">
        <f>+'QTR Raw'!AF73</f>
        <v>9865.1299999999992</v>
      </c>
      <c r="BL125" s="42">
        <f>+'QTR Raw'!AG73</f>
        <v>9934.7199999999993</v>
      </c>
      <c r="BM125" s="42">
        <f>+'QTR Raw'!AH73</f>
        <v>9961</v>
      </c>
      <c r="BN125" s="42">
        <f>+'QTR Raw'!AI73</f>
        <v>9970.9599999999991</v>
      </c>
      <c r="BO125" s="42">
        <f>+'QTR Raw'!AJ73</f>
        <v>10120.31</v>
      </c>
      <c r="BP125" s="42">
        <f>+'QTR Raw'!AK73</f>
        <v>10152.98</v>
      </c>
      <c r="BQ125" s="42">
        <f>+'QTR Raw'!AL73</f>
        <v>10226.459999999999</v>
      </c>
      <c r="BR125" s="42">
        <f>+'QTR Raw'!AM73</f>
        <v>10267.370000000001</v>
      </c>
      <c r="BS125" s="42">
        <f>+'QTR Raw'!AN73</f>
        <v>10296.58</v>
      </c>
      <c r="BT125" s="42">
        <f>+'QTR Raw'!AO73</f>
        <v>10409.61</v>
      </c>
      <c r="BU125" s="42">
        <f>+'QTR Raw'!AP73</f>
        <v>11938.71</v>
      </c>
      <c r="BV125" s="42">
        <f>+'QTR Raw'!AQ73</f>
        <v>11974.25</v>
      </c>
      <c r="BW125" s="42">
        <f>+'QTR Raw'!AR73</f>
        <v>11715.76</v>
      </c>
      <c r="BX125" s="42">
        <f>+'QTR Raw'!AS73</f>
        <v>11749.36</v>
      </c>
      <c r="BY125" s="42">
        <f>+'QTR Raw'!AT73</f>
        <v>11749.34</v>
      </c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T125" s="42">
        <v>11749.3418</v>
      </c>
    </row>
    <row r="126" spans="1:98" s="37" customFormat="1" x14ac:dyDescent="0.2">
      <c r="A126" s="37" t="s">
        <v>197</v>
      </c>
      <c r="B126" s="37">
        <f>+'Annual Raw'!C71+'Annual Raw'!C72+'Annual Raw'!C81</f>
        <v>8755.4054999999989</v>
      </c>
      <c r="C126" s="37">
        <f>+'Annual Raw'!D71+'Annual Raw'!D72+'Annual Raw'!D81</f>
        <v>8706.8732</v>
      </c>
      <c r="D126" s="37">
        <f>+'Annual Raw'!E71+'Annual Raw'!E72+'Annual Raw'!E81</f>
        <v>8822.0482000000011</v>
      </c>
      <c r="E126" s="37">
        <f>+'Annual Raw'!F71+'Annual Raw'!F72+'Annual Raw'!F81</f>
        <v>11042.620199999999</v>
      </c>
      <c r="F126" s="37">
        <f>+'Annual Raw'!G71+'Annual Raw'!G72+'Annual Raw'!G81</f>
        <v>9948.8001000000004</v>
      </c>
      <c r="G126" s="37">
        <f>+'Annual Raw'!H71+'Annual Raw'!H72+'Annual Raw'!H81</f>
        <v>14508.809899999998</v>
      </c>
      <c r="H126" s="37">
        <f>+'Annual Raw'!I71+'Annual Raw'!I72+'Annual Raw'!I81</f>
        <v>20419.039700000001</v>
      </c>
      <c r="I126" s="37">
        <f>+'Annual Raw'!J71+'Annual Raw'!J72+'Annual Raw'!J81</f>
        <v>21124.7075</v>
      </c>
      <c r="J126" s="37">
        <f>+'Annual Raw'!K71+'Annual Raw'!K72+'Annual Raw'!K81</f>
        <v>27453.279500000001</v>
      </c>
      <c r="K126" s="37">
        <f>+'Annual Raw'!L71+'Annual Raw'!L72+'Annual Raw'!L81</f>
        <v>37043.760399999999</v>
      </c>
      <c r="L126" s="37">
        <f>+'Annual Raw'!M71+'Annual Raw'!M72+'Annual Raw'!M81</f>
        <v>49723.213499999998</v>
      </c>
      <c r="M126" s="37">
        <f>+'Annual Raw'!N71+'Annual Raw'!N72+'Annual Raw'!N81</f>
        <v>46176.948899999996</v>
      </c>
      <c r="N126" s="37">
        <f>+'Annual Raw'!O71+'Annual Raw'!O72+'Annual Raw'!O81</f>
        <v>65751.6639</v>
      </c>
      <c r="O126" s="37">
        <f>+'Annual Raw'!P71+'Annual Raw'!P72+'Annual Raw'!P81</f>
        <v>82518.168099999995</v>
      </c>
      <c r="P126" s="37">
        <f>+'Annual Raw'!Q71+'Annual Raw'!Q72+'Annual Raw'!Q81</f>
        <v>90994.627500000002</v>
      </c>
      <c r="Q126" s="37">
        <f>+'Annual Raw'!R71+'Annual Raw'!R72+'Annual Raw'!R81</f>
        <v>123395.7442</v>
      </c>
      <c r="R126" s="37">
        <f>+'Annual Raw'!S71+'Annual Raw'!S72+'Annual Raw'!S81</f>
        <v>123538.87830000001</v>
      </c>
      <c r="S126" s="37">
        <f>+'Annual Raw'!T71+'Annual Raw'!T72+'Annual Raw'!T81</f>
        <v>122818.2398</v>
      </c>
      <c r="T126" s="37">
        <f>+'Annual Raw'!U71+'Annual Raw'!U72+'Annual Raw'!U81</f>
        <v>127657.82800000001</v>
      </c>
      <c r="U126" s="37">
        <f>+'Annual Raw'!V71+'Annual Raw'!V72+'Annual Raw'!V81</f>
        <v>120557.19030000002</v>
      </c>
      <c r="V126" s="37">
        <f>+'Annual Raw'!W71+'Annual Raw'!W72+'Annual Raw'!W81</f>
        <v>164002.94520000002</v>
      </c>
      <c r="W126" s="37">
        <f>+'Annual Raw'!X71+'Annual Raw'!X72+'Annual Raw'!X81</f>
        <v>129548.8615</v>
      </c>
      <c r="X126" s="37">
        <f>+'Annual Raw'!Y71+'Annual Raw'!Y72+'Annual Raw'!Y81</f>
        <v>115297.1001</v>
      </c>
      <c r="Y126" s="37">
        <f>+'Annual Raw'!Z71+'Annual Raw'!Z72+'Annual Raw'!Z81</f>
        <v>112082.32769999999</v>
      </c>
      <c r="Z126" s="37">
        <f>+'Annual Raw'!AA71+'Annual Raw'!AA72+'Annual Raw'!AA81</f>
        <v>121874.386</v>
      </c>
      <c r="AA126" s="37">
        <f>+'Annual Raw'!AB71+'Annual Raw'!AB72+'Annual Raw'!AB81</f>
        <v>122719.2595</v>
      </c>
      <c r="AB126" s="38"/>
      <c r="AC126" s="38">
        <f>CG126</f>
        <v>0</v>
      </c>
      <c r="AD126" s="38">
        <f>CK126</f>
        <v>0</v>
      </c>
      <c r="AE126" s="38">
        <f>CO126</f>
        <v>0</v>
      </c>
      <c r="AG126" s="59"/>
      <c r="AH126" s="37">
        <f>+'QTR Raw'!C66+'QTR Raw'!C67+'QTR Raw'!C77+'QTR Raw'!C78</f>
        <v>93309.07</v>
      </c>
      <c r="AI126" s="37">
        <f>+'QTR Raw'!D66+'QTR Raw'!D67+'QTR Raw'!D77+'QTR Raw'!D78</f>
        <v>101789.15</v>
      </c>
      <c r="AJ126" s="37">
        <f>+'QTR Raw'!E66+'QTR Raw'!E67+'QTR Raw'!E77+'QTR Raw'!E78</f>
        <v>105569.59999999999</v>
      </c>
      <c r="AK126" s="37">
        <f>+'QTR Raw'!F66+'QTR Raw'!F67+'QTR Raw'!F77+'QTR Raw'!F78</f>
        <v>123395.75</v>
      </c>
      <c r="AL126" s="37">
        <f>+'QTR Raw'!G66+'QTR Raw'!G67+'QTR Raw'!G77+'QTR Raw'!G78</f>
        <v>111401.12000000001</v>
      </c>
      <c r="AM126" s="37">
        <f>+'QTR Raw'!H66+'QTR Raw'!H67+'QTR Raw'!H77+'QTR Raw'!H78</f>
        <v>111460.45999999999</v>
      </c>
      <c r="AN126" s="37">
        <f>+'QTR Raw'!I66+'QTR Raw'!I67+'QTR Raw'!I77+'QTR Raw'!I78</f>
        <v>106894.53</v>
      </c>
      <c r="AO126" s="37">
        <f>+'QTR Raw'!J66+'QTR Raw'!J67+'QTR Raw'!J77+'QTR Raw'!J78</f>
        <v>123538.88</v>
      </c>
      <c r="AP126" s="37">
        <f>+'QTR Raw'!K66+'QTR Raw'!K67+'QTR Raw'!K77+'QTR Raw'!K78</f>
        <v>129675.73000000001</v>
      </c>
      <c r="AQ126" s="37">
        <f>+'QTR Raw'!L66+'QTR Raw'!L67+'QTR Raw'!L77+'QTR Raw'!L78</f>
        <v>126976.37</v>
      </c>
      <c r="AR126" s="37">
        <f>+'QTR Raw'!M66+'QTR Raw'!M67+'QTR Raw'!M77+'QTR Raw'!M78</f>
        <v>119911.89</v>
      </c>
      <c r="AS126" s="37">
        <f>+'QTR Raw'!N66+'QTR Raw'!N67+'QTR Raw'!N77+'QTR Raw'!N78</f>
        <v>122818.24000000001</v>
      </c>
      <c r="AT126" s="37">
        <f>+'QTR Raw'!O66+'QTR Raw'!O67+'QTR Raw'!O77+'QTR Raw'!O78</f>
        <v>124933.45</v>
      </c>
      <c r="AU126" s="37">
        <f>+'QTR Raw'!P66+'QTR Raw'!P67+'QTR Raw'!P77+'QTR Raw'!P78</f>
        <v>123738.57999999999</v>
      </c>
      <c r="AV126" s="37">
        <f>+'QTR Raw'!Q66+'QTR Raw'!Q67+'QTR Raw'!Q77+'QTR Raw'!Q78</f>
        <v>124943.85</v>
      </c>
      <c r="AW126" s="37">
        <f>+'QTR Raw'!R66+'QTR Raw'!R67+'QTR Raw'!R77+'QTR Raw'!R78</f>
        <v>127657.81999999999</v>
      </c>
      <c r="AX126" s="37">
        <f>+'QTR Raw'!S66+'QTR Raw'!S67+'QTR Raw'!S77+'QTR Raw'!S78</f>
        <v>119015.42000000001</v>
      </c>
      <c r="AY126" s="37">
        <f>+'QTR Raw'!T66+'QTR Raw'!T67+'QTR Raw'!T77+'QTR Raw'!T78</f>
        <v>127093.45999999999</v>
      </c>
      <c r="AZ126" s="37">
        <f>+'QTR Raw'!U66+'QTR Raw'!U67+'QTR Raw'!U77+'QTR Raw'!U78</f>
        <v>127157.70000000001</v>
      </c>
      <c r="BA126" s="37">
        <f>+'QTR Raw'!V66+'QTR Raw'!V67+'QTR Raw'!V77+'QTR Raw'!V78</f>
        <v>120557.19</v>
      </c>
      <c r="BB126" s="37">
        <f>+'QTR Raw'!W66+'QTR Raw'!W67+'QTR Raw'!W77+'QTR Raw'!W78</f>
        <v>139338.59000000003</v>
      </c>
      <c r="BC126" s="37">
        <f>+'QTR Raw'!X66+'QTR Raw'!X67+'QTR Raw'!X77+'QTR Raw'!X78</f>
        <v>134225.63</v>
      </c>
      <c r="BD126" s="37">
        <f>+'QTR Raw'!Y66+'QTR Raw'!Y67+'QTR Raw'!Y77+'QTR Raw'!Y78</f>
        <v>160607.29999999999</v>
      </c>
      <c r="BE126" s="37">
        <f>+'QTR Raw'!Z66+'QTR Raw'!Z67+'QTR Raw'!Z77+'QTR Raw'!Z78</f>
        <v>164002.95000000001</v>
      </c>
      <c r="BF126" s="37">
        <f>+'QTR Raw'!AA66+'QTR Raw'!AA67+'QTR Raw'!AA77+'QTR Raw'!AA78</f>
        <v>153751.47</v>
      </c>
      <c r="BG126" s="37">
        <f>+'QTR Raw'!AB66+'QTR Raw'!AB67+'QTR Raw'!AB77+'QTR Raw'!AB78</f>
        <v>146498</v>
      </c>
      <c r="BH126" s="37">
        <f>+'QTR Raw'!AC66+'QTR Raw'!AC67+'QTR Raw'!AC77+'QTR Raw'!AC78</f>
        <v>141820.70000000001</v>
      </c>
      <c r="BI126" s="37">
        <f>+'QTR Raw'!AD66+'QTR Raw'!AD67+'QTR Raw'!AD77+'QTR Raw'!AD78</f>
        <v>129548.86</v>
      </c>
      <c r="BJ126" s="37">
        <f>+'QTR Raw'!AE66+'QTR Raw'!AE67+'QTR Raw'!AE77+'QTR Raw'!AE78</f>
        <v>110298.70000000001</v>
      </c>
      <c r="BK126" s="37">
        <f>+'QTR Raw'!AF66+'QTR Raw'!AF67+'QTR Raw'!AF77+'QTR Raw'!AF78</f>
        <v>115291.19</v>
      </c>
      <c r="BL126" s="37">
        <f>+'QTR Raw'!AG66+'QTR Raw'!AG67+'QTR Raw'!AG77+'QTR Raw'!AG78</f>
        <v>117061.39</v>
      </c>
      <c r="BM126" s="37">
        <f>+'QTR Raw'!AH66+'QTR Raw'!AH67+'QTR Raw'!AH77+'QTR Raw'!AH78</f>
        <v>115297.09000000001</v>
      </c>
      <c r="BN126" s="37">
        <f>+'QTR Raw'!AI66+'QTR Raw'!AI67+'QTR Raw'!AI77+'QTR Raw'!AI78</f>
        <v>113769.47</v>
      </c>
      <c r="BO126" s="37">
        <f>+'QTR Raw'!AJ66+'QTR Raw'!AJ67+'QTR Raw'!AJ77+'QTR Raw'!AJ78</f>
        <v>111970.73</v>
      </c>
      <c r="BP126" s="37">
        <f>+'QTR Raw'!AK66+'QTR Raw'!AK67+'QTR Raw'!AK77+'QTR Raw'!AK78</f>
        <v>109047</v>
      </c>
      <c r="BQ126" s="37">
        <f>+'QTR Raw'!AL66+'QTR Raw'!AL67+'QTR Raw'!AL77+'QTR Raw'!AL78</f>
        <v>112082.32</v>
      </c>
      <c r="BR126" s="37">
        <f>+'QTR Raw'!AM66+'QTR Raw'!AM67+'QTR Raw'!AM77+'QTR Raw'!AM78</f>
        <v>118455.45000000001</v>
      </c>
      <c r="BS126" s="37">
        <f>+'QTR Raw'!AN66+'QTR Raw'!AN67+'QTR Raw'!AN77+'QTR Raw'!AN78</f>
        <v>106810.71999999999</v>
      </c>
      <c r="BT126" s="37">
        <f>+'QTR Raw'!AO66+'QTR Raw'!AO67+'QTR Raw'!AO77+'QTR Raw'!AO78</f>
        <v>125417.78</v>
      </c>
      <c r="BU126" s="37">
        <f>+'QTR Raw'!AP66+'QTR Raw'!AP67+'QTR Raw'!AP77+'QTR Raw'!AP78</f>
        <v>121874.40000000001</v>
      </c>
      <c r="BV126" s="37">
        <f>+'QTR Raw'!AQ66+'QTR Raw'!AQ67+'QTR Raw'!AQ77+'QTR Raw'!AQ78</f>
        <v>125908.12</v>
      </c>
      <c r="BW126" s="37">
        <f>+'QTR Raw'!AR66+'QTR Raw'!AR67+'QTR Raw'!AR77+'QTR Raw'!AR78</f>
        <v>109182.45</v>
      </c>
      <c r="BX126" s="37">
        <f>+'QTR Raw'!AS66+'QTR Raw'!AS67+'QTR Raw'!AS77+'QTR Raw'!AS78</f>
        <v>99901.18</v>
      </c>
      <c r="BY126" s="37">
        <f>+'QTR Raw'!AT66+'QTR Raw'!AT67+'QTR Raw'!AT77+'QTR Raw'!AT78</f>
        <v>122719.27</v>
      </c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T126" s="37">
        <v>122719.2595</v>
      </c>
    </row>
    <row r="127" spans="1:98" s="37" customFormat="1" x14ac:dyDescent="0.2">
      <c r="A127" s="37" t="s">
        <v>198</v>
      </c>
      <c r="B127" s="37">
        <f>+'Annual Raw'!C69</f>
        <v>3403.7093</v>
      </c>
      <c r="C127" s="37">
        <f>+'Annual Raw'!D69</f>
        <v>3902.4902999999999</v>
      </c>
      <c r="D127" s="37">
        <f>+'Annual Raw'!E69</f>
        <v>4605.4723000000004</v>
      </c>
      <c r="E127" s="37">
        <f>+'Annual Raw'!F69</f>
        <v>5326.4279999999999</v>
      </c>
      <c r="F127" s="37">
        <f>+'Annual Raw'!G69</f>
        <v>5729.9213</v>
      </c>
      <c r="G127" s="37">
        <f>+'Annual Raw'!H69</f>
        <v>7464.4441999999999</v>
      </c>
      <c r="H127" s="37">
        <f>+'Annual Raw'!I69</f>
        <v>9419.0529000000006</v>
      </c>
      <c r="I127" s="37">
        <f>+'Annual Raw'!J69</f>
        <v>11056.156499999999</v>
      </c>
      <c r="J127" s="37">
        <f>+'Annual Raw'!K69</f>
        <v>6625.1859000000004</v>
      </c>
      <c r="K127" s="37">
        <f>+'Annual Raw'!L69</f>
        <v>8574.6252999999997</v>
      </c>
      <c r="L127" s="37">
        <f>+'Annual Raw'!M69</f>
        <v>12974.6875</v>
      </c>
      <c r="M127" s="37">
        <f>+'Annual Raw'!N69</f>
        <v>13243.428400000001</v>
      </c>
      <c r="N127" s="37">
        <f>+'Annual Raw'!O69</f>
        <v>11477.3914</v>
      </c>
      <c r="O127" s="37">
        <f>+'Annual Raw'!P69</f>
        <v>17865.5527</v>
      </c>
      <c r="P127" s="37">
        <f>+'Annual Raw'!Q69</f>
        <v>15287.2459</v>
      </c>
      <c r="Q127" s="37">
        <f>+'Annual Raw'!R69</f>
        <v>13509.040499999999</v>
      </c>
      <c r="R127" s="37">
        <f>+'Annual Raw'!S69</f>
        <v>14384.518599999999</v>
      </c>
      <c r="S127" s="37">
        <f>+'Annual Raw'!T69</f>
        <v>9591.0270999999993</v>
      </c>
      <c r="T127" s="37">
        <f>+'Annual Raw'!U69</f>
        <v>13800.1739</v>
      </c>
      <c r="U127" s="37">
        <f>+'Annual Raw'!V69</f>
        <v>17921.720700000002</v>
      </c>
      <c r="V127" s="37">
        <f>+'Annual Raw'!W69</f>
        <v>17593.191599999998</v>
      </c>
      <c r="W127" s="37">
        <f>+'Annual Raw'!X69</f>
        <v>24826.447499999998</v>
      </c>
      <c r="X127" s="37">
        <f>+'Annual Raw'!Y69</f>
        <v>22020.2058</v>
      </c>
      <c r="Y127" s="37">
        <f>+'Annual Raw'!Z69</f>
        <v>24872.979899999998</v>
      </c>
      <c r="Z127" s="37">
        <f>+'Annual Raw'!AA69</f>
        <v>23582.590700000001</v>
      </c>
      <c r="AA127" s="37">
        <f>+'Annual Raw'!AB69</f>
        <v>29580.150900000001</v>
      </c>
      <c r="AB127" s="38"/>
      <c r="AC127" s="38">
        <f>CG127</f>
        <v>0</v>
      </c>
      <c r="AD127" s="38">
        <f>CK127</f>
        <v>0</v>
      </c>
      <c r="AE127" s="38">
        <f>CO127</f>
        <v>0</v>
      </c>
      <c r="AG127" s="59"/>
      <c r="AH127" s="37">
        <f>+'QTR Raw'!C64</f>
        <v>15064.21</v>
      </c>
      <c r="AI127" s="37">
        <f>+'QTR Raw'!D64</f>
        <v>12792.83</v>
      </c>
      <c r="AJ127" s="37">
        <f>+'QTR Raw'!E64</f>
        <v>15493.1</v>
      </c>
      <c r="AK127" s="37">
        <f>+'QTR Raw'!F64</f>
        <v>13509.04</v>
      </c>
      <c r="AL127" s="37">
        <f>+'QTR Raw'!G64</f>
        <v>14683.32</v>
      </c>
      <c r="AM127" s="37">
        <f>+'QTR Raw'!H64</f>
        <v>15140.28</v>
      </c>
      <c r="AN127" s="37">
        <f>+'QTR Raw'!I64</f>
        <v>12943</v>
      </c>
      <c r="AO127" s="37">
        <f>+'QTR Raw'!J64</f>
        <v>14384.52</v>
      </c>
      <c r="AP127" s="37">
        <f>+'QTR Raw'!K64</f>
        <v>13826.43</v>
      </c>
      <c r="AQ127" s="37">
        <f>+'QTR Raw'!L64</f>
        <v>13292.95</v>
      </c>
      <c r="AR127" s="37">
        <f>+'QTR Raw'!M64</f>
        <v>13151.92</v>
      </c>
      <c r="AS127" s="37">
        <f>+'QTR Raw'!N64</f>
        <v>9591.0300000000007</v>
      </c>
      <c r="AT127" s="37">
        <f>+'QTR Raw'!O64</f>
        <v>9411.73</v>
      </c>
      <c r="AU127" s="37">
        <f>+'QTR Raw'!P64</f>
        <v>16730.740000000002</v>
      </c>
      <c r="AV127" s="37">
        <f>+'QTR Raw'!Q64</f>
        <v>14453.28</v>
      </c>
      <c r="AW127" s="37">
        <f>+'QTR Raw'!R64</f>
        <v>13800.16</v>
      </c>
      <c r="AX127" s="37">
        <f>+'QTR Raw'!S64</f>
        <v>12680.61</v>
      </c>
      <c r="AY127" s="37">
        <f>+'QTR Raw'!T64</f>
        <v>14167.47</v>
      </c>
      <c r="AZ127" s="37">
        <f>+'QTR Raw'!U64</f>
        <v>15559.15</v>
      </c>
      <c r="BA127" s="37">
        <f>+'QTR Raw'!V64</f>
        <v>17921.72</v>
      </c>
      <c r="BB127" s="37">
        <f>+'QTR Raw'!W64</f>
        <v>15658.89</v>
      </c>
      <c r="BC127" s="37">
        <f>+'QTR Raw'!X64</f>
        <v>17324.5</v>
      </c>
      <c r="BD127" s="37">
        <f>+'QTR Raw'!Y64</f>
        <v>18721.29</v>
      </c>
      <c r="BE127" s="37">
        <f>+'QTR Raw'!Z64</f>
        <v>17593.189999999999</v>
      </c>
      <c r="BF127" s="37">
        <f>+'QTR Raw'!AA64</f>
        <v>17551.28</v>
      </c>
      <c r="BG127" s="37">
        <f>+'QTR Raw'!AB64</f>
        <v>17157.78</v>
      </c>
      <c r="BH127" s="37">
        <f>+'QTR Raw'!AC64</f>
        <v>17141.669999999998</v>
      </c>
      <c r="BI127" s="37">
        <f>+'QTR Raw'!AD64</f>
        <v>24826.44</v>
      </c>
      <c r="BJ127" s="37">
        <f>+'QTR Raw'!AE64</f>
        <v>22144.84</v>
      </c>
      <c r="BK127" s="37">
        <f>+'QTR Raw'!AF64</f>
        <v>19715.82</v>
      </c>
      <c r="BL127" s="37">
        <f>+'QTR Raw'!AG64</f>
        <v>19457.55</v>
      </c>
      <c r="BM127" s="37">
        <f>+'QTR Raw'!AH64</f>
        <v>22020.2</v>
      </c>
      <c r="BN127" s="37">
        <f>+'QTR Raw'!AI64</f>
        <v>19215.810000000001</v>
      </c>
      <c r="BO127" s="37">
        <f>+'QTR Raw'!AJ64</f>
        <v>23020.61</v>
      </c>
      <c r="BP127" s="37">
        <f>+'QTR Raw'!AK64</f>
        <v>22244.31</v>
      </c>
      <c r="BQ127" s="37">
        <f>+'QTR Raw'!AL64</f>
        <v>24872.97</v>
      </c>
      <c r="BR127" s="37">
        <f>+'QTR Raw'!AM64</f>
        <v>30811.52</v>
      </c>
      <c r="BS127" s="37">
        <f>+'QTR Raw'!AN64</f>
        <v>21052.560000000001</v>
      </c>
      <c r="BT127" s="37">
        <f>+'QTR Raw'!AO64</f>
        <v>26237.9</v>
      </c>
      <c r="BU127" s="37">
        <f>+'QTR Raw'!AP64</f>
        <v>23582.59</v>
      </c>
      <c r="BV127" s="37">
        <f>+'QTR Raw'!AQ64</f>
        <v>26632.21</v>
      </c>
      <c r="BW127" s="37">
        <f>+'QTR Raw'!AR64</f>
        <v>24385.13</v>
      </c>
      <c r="BX127" s="37">
        <f>+'QTR Raw'!AS64</f>
        <v>27363.38</v>
      </c>
      <c r="BY127" s="37">
        <f>+'QTR Raw'!AT64</f>
        <v>29580.15</v>
      </c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T127" s="37">
        <v>29580.150900000001</v>
      </c>
    </row>
    <row r="128" spans="1:98" s="37" customFormat="1" x14ac:dyDescent="0.2">
      <c r="AB128" s="38"/>
      <c r="AC128" s="38"/>
      <c r="AD128" s="38"/>
      <c r="AE128" s="38"/>
      <c r="AG128" s="59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</row>
    <row r="129" spans="1:98" s="37" customFormat="1" x14ac:dyDescent="0.2">
      <c r="A129" s="37" t="s">
        <v>22</v>
      </c>
      <c r="B129" s="37">
        <f t="shared" ref="B129:Z129" si="1219">+B126-B127</f>
        <v>5351.6961999999985</v>
      </c>
      <c r="C129" s="37">
        <f t="shared" si="1219"/>
        <v>4804.3829000000005</v>
      </c>
      <c r="D129" s="37">
        <f t="shared" si="1219"/>
        <v>4216.5759000000007</v>
      </c>
      <c r="E129" s="37">
        <f t="shared" si="1219"/>
        <v>5716.1921999999995</v>
      </c>
      <c r="F129" s="37">
        <f t="shared" si="1219"/>
        <v>4218.8788000000004</v>
      </c>
      <c r="G129" s="37">
        <f t="shared" si="1219"/>
        <v>7044.3656999999985</v>
      </c>
      <c r="H129" s="37">
        <f t="shared" si="1219"/>
        <v>10999.986800000001</v>
      </c>
      <c r="I129" s="37">
        <f t="shared" si="1219"/>
        <v>10068.551000000001</v>
      </c>
      <c r="J129" s="37">
        <f t="shared" si="1219"/>
        <v>20828.0936</v>
      </c>
      <c r="K129" s="37">
        <f t="shared" si="1219"/>
        <v>28469.1351</v>
      </c>
      <c r="L129" s="37">
        <f t="shared" si="1219"/>
        <v>36748.525999999998</v>
      </c>
      <c r="M129" s="37">
        <f t="shared" si="1219"/>
        <v>32933.520499999999</v>
      </c>
      <c r="N129" s="37">
        <f t="shared" si="1219"/>
        <v>54274.272499999999</v>
      </c>
      <c r="O129" s="37">
        <f t="shared" si="1219"/>
        <v>64652.615399999995</v>
      </c>
      <c r="P129" s="37">
        <f t="shared" si="1219"/>
        <v>75707.381600000008</v>
      </c>
      <c r="Q129" s="37">
        <f t="shared" si="1219"/>
        <v>109886.7037</v>
      </c>
      <c r="R129" s="37">
        <f t="shared" si="1219"/>
        <v>109154.35970000002</v>
      </c>
      <c r="S129" s="37">
        <f t="shared" si="1219"/>
        <v>113227.2127</v>
      </c>
      <c r="T129" s="37">
        <f t="shared" si="1219"/>
        <v>113857.65410000001</v>
      </c>
      <c r="U129" s="37">
        <f t="shared" si="1219"/>
        <v>102635.46960000001</v>
      </c>
      <c r="V129" s="37">
        <f t="shared" si="1219"/>
        <v>146409.75360000003</v>
      </c>
      <c r="W129" s="37">
        <f t="shared" si="1219"/>
        <v>104722.414</v>
      </c>
      <c r="X129" s="37">
        <f t="shared" si="1219"/>
        <v>93276.8943</v>
      </c>
      <c r="Y129" s="37">
        <f t="shared" si="1219"/>
        <v>87209.347799999989</v>
      </c>
      <c r="Z129" s="37">
        <f t="shared" si="1219"/>
        <v>98291.795299999998</v>
      </c>
      <c r="AA129" s="37">
        <f t="shared" ref="AA129" si="1220">+AA126-AA127</f>
        <v>93139.108600000007</v>
      </c>
      <c r="AB129" s="38">
        <f>CC129</f>
        <v>88381.27969465754</v>
      </c>
      <c r="AC129" s="38">
        <f>CG129</f>
        <v>79221.173574754968</v>
      </c>
      <c r="AD129" s="38">
        <f>CK129</f>
        <v>74330.475773499114</v>
      </c>
      <c r="AE129" s="38">
        <f>CO129</f>
        <v>75159.11812556372</v>
      </c>
      <c r="AG129" s="59"/>
      <c r="AH129" s="37">
        <f>+AH126-AH127</f>
        <v>78244.860000000015</v>
      </c>
      <c r="AI129" s="37">
        <f t="shared" ref="AI129:BC129" si="1221">+AI126-AI127</f>
        <v>88996.319999999992</v>
      </c>
      <c r="AJ129" s="37">
        <f t="shared" si="1221"/>
        <v>90076.499999999985</v>
      </c>
      <c r="AK129" s="37">
        <f t="shared" si="1221"/>
        <v>109886.70999999999</v>
      </c>
      <c r="AL129" s="37">
        <f t="shared" si="1221"/>
        <v>96717.800000000017</v>
      </c>
      <c r="AM129" s="37">
        <f t="shared" si="1221"/>
        <v>96320.18</v>
      </c>
      <c r="AN129" s="37">
        <f t="shared" si="1221"/>
        <v>93951.53</v>
      </c>
      <c r="AO129" s="37">
        <f t="shared" si="1221"/>
        <v>109154.36</v>
      </c>
      <c r="AP129" s="37">
        <f t="shared" si="1221"/>
        <v>115849.30000000002</v>
      </c>
      <c r="AQ129" s="37">
        <f t="shared" si="1221"/>
        <v>113683.42</v>
      </c>
      <c r="AR129" s="37">
        <f t="shared" si="1221"/>
        <v>106759.97</v>
      </c>
      <c r="AS129" s="37">
        <f t="shared" si="1221"/>
        <v>113227.21</v>
      </c>
      <c r="AT129" s="37">
        <f t="shared" ref="AT129:BB129" si="1222">+AT126-AT127</f>
        <v>115521.72</v>
      </c>
      <c r="AU129" s="37">
        <f t="shared" si="1222"/>
        <v>107007.83999999998</v>
      </c>
      <c r="AV129" s="37">
        <f t="shared" si="1222"/>
        <v>110490.57</v>
      </c>
      <c r="AW129" s="37">
        <f t="shared" si="1222"/>
        <v>113857.65999999999</v>
      </c>
      <c r="AX129" s="37">
        <f t="shared" si="1222"/>
        <v>106334.81000000001</v>
      </c>
      <c r="AY129" s="37">
        <f t="shared" si="1222"/>
        <v>112925.98999999999</v>
      </c>
      <c r="AZ129" s="37">
        <f t="shared" si="1222"/>
        <v>111598.55000000002</v>
      </c>
      <c r="BA129" s="37">
        <f t="shared" si="1222"/>
        <v>102635.47</v>
      </c>
      <c r="BB129" s="37">
        <f t="shared" si="1222"/>
        <v>123679.70000000003</v>
      </c>
      <c r="BC129" s="37">
        <f t="shared" si="1221"/>
        <v>116901.13</v>
      </c>
      <c r="BD129" s="37">
        <f t="shared" ref="BD129:BV129" si="1223">+BD126-BD127</f>
        <v>141886.00999999998</v>
      </c>
      <c r="BE129" s="37">
        <f t="shared" si="1223"/>
        <v>146409.76</v>
      </c>
      <c r="BF129" s="37">
        <f t="shared" si="1223"/>
        <v>136200.19</v>
      </c>
      <c r="BG129" s="37">
        <f t="shared" si="1223"/>
        <v>129340.22</v>
      </c>
      <c r="BH129" s="37">
        <f t="shared" si="1223"/>
        <v>124679.03000000001</v>
      </c>
      <c r="BI129" s="37">
        <f t="shared" si="1223"/>
        <v>104722.42</v>
      </c>
      <c r="BJ129" s="37">
        <f t="shared" si="1223"/>
        <v>88153.860000000015</v>
      </c>
      <c r="BK129" s="37">
        <f t="shared" si="1223"/>
        <v>95575.37</v>
      </c>
      <c r="BL129" s="37">
        <f t="shared" si="1223"/>
        <v>97603.839999999997</v>
      </c>
      <c r="BM129" s="37">
        <f t="shared" si="1223"/>
        <v>93276.890000000014</v>
      </c>
      <c r="BN129" s="37">
        <f t="shared" si="1223"/>
        <v>94553.66</v>
      </c>
      <c r="BO129" s="37">
        <f t="shared" si="1223"/>
        <v>88950.12</v>
      </c>
      <c r="BP129" s="37">
        <f t="shared" si="1223"/>
        <v>86802.69</v>
      </c>
      <c r="BQ129" s="37">
        <f t="shared" si="1223"/>
        <v>87209.35</v>
      </c>
      <c r="BR129" s="37">
        <f t="shared" si="1223"/>
        <v>87643.930000000008</v>
      </c>
      <c r="BS129" s="37">
        <f t="shared" si="1223"/>
        <v>85758.159999999989</v>
      </c>
      <c r="BT129" s="37">
        <f t="shared" si="1223"/>
        <v>99179.88</v>
      </c>
      <c r="BU129" s="37">
        <f t="shared" si="1223"/>
        <v>98291.810000000012</v>
      </c>
      <c r="BV129" s="37">
        <f t="shared" si="1223"/>
        <v>99275.91</v>
      </c>
      <c r="BW129" s="37">
        <f t="shared" ref="BW129:BX129" si="1224">+BW126-BW127</f>
        <v>84797.319999999992</v>
      </c>
      <c r="BX129" s="37">
        <f t="shared" si="1224"/>
        <v>72537.799999999988</v>
      </c>
      <c r="BY129" s="37">
        <f t="shared" ref="BY129" si="1225">+BY126-BY127</f>
        <v>93139.12</v>
      </c>
      <c r="BZ129" s="38">
        <f t="shared" ref="BZ129:CO129" si="1226">+BZ120-BZ122-BZ123</f>
        <v>109789.03078287526</v>
      </c>
      <c r="CA129" s="38">
        <f t="shared" si="1226"/>
        <v>90125.503867074149</v>
      </c>
      <c r="CB129" s="38">
        <f t="shared" si="1226"/>
        <v>88427.052043575444</v>
      </c>
      <c r="CC129" s="38">
        <f t="shared" si="1226"/>
        <v>88381.27969465754</v>
      </c>
      <c r="CD129" s="38">
        <f t="shared" si="1226"/>
        <v>106560.25186802784</v>
      </c>
      <c r="CE129" s="38">
        <f t="shared" si="1226"/>
        <v>81866.41941543424</v>
      </c>
      <c r="CF129" s="38">
        <f t="shared" si="1226"/>
        <v>79962.411487390404</v>
      </c>
      <c r="CG129" s="38">
        <f t="shared" si="1226"/>
        <v>79221.173574754968</v>
      </c>
      <c r="CH129" s="38">
        <f t="shared" si="1226"/>
        <v>103029.62114036095</v>
      </c>
      <c r="CI129" s="38">
        <f t="shared" si="1226"/>
        <v>75152.430608377559</v>
      </c>
      <c r="CJ129" s="38">
        <f t="shared" si="1226"/>
        <v>73937.933857495198</v>
      </c>
      <c r="CK129" s="38">
        <f t="shared" si="1226"/>
        <v>74330.475773499114</v>
      </c>
      <c r="CL129" s="38">
        <f t="shared" si="1226"/>
        <v>103131.73232463887</v>
      </c>
      <c r="CM129" s="38">
        <f t="shared" si="1226"/>
        <v>72639.366580288159</v>
      </c>
      <c r="CN129" s="38">
        <f t="shared" si="1226"/>
        <v>72869.174124100944</v>
      </c>
      <c r="CO129" s="38">
        <f t="shared" si="1226"/>
        <v>75159.11812556372</v>
      </c>
      <c r="CT129" s="37">
        <v>93139.108600000007</v>
      </c>
    </row>
    <row r="130" spans="1:98" s="42" customFormat="1" x14ac:dyDescent="0.2">
      <c r="AB130" s="43"/>
      <c r="AC130" s="43"/>
      <c r="AD130" s="43"/>
      <c r="AE130" s="43"/>
      <c r="AG130" s="61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</row>
    <row r="131" spans="1:98" s="42" customFormat="1" x14ac:dyDescent="0.2">
      <c r="AB131" s="43"/>
      <c r="AC131" s="43"/>
      <c r="AD131" s="43"/>
      <c r="AE131" s="43"/>
      <c r="AG131" s="61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</row>
    <row r="132" spans="1:98" s="39" customFormat="1" x14ac:dyDescent="0.2">
      <c r="A132" s="39" t="s">
        <v>53</v>
      </c>
      <c r="B132" s="39">
        <f t="shared" ref="B132:AE132" si="1227">+B129+B125+B123+B122</f>
        <v>56162.856400000004</v>
      </c>
      <c r="C132" s="39">
        <f t="shared" si="1227"/>
        <v>65903.370599999995</v>
      </c>
      <c r="D132" s="39">
        <f t="shared" si="1227"/>
        <v>72021.301099999997</v>
      </c>
      <c r="E132" s="39">
        <f t="shared" si="1227"/>
        <v>79533.564699999988</v>
      </c>
      <c r="F132" s="39">
        <f t="shared" si="1227"/>
        <v>89248.262199999997</v>
      </c>
      <c r="G132" s="39">
        <f t="shared" si="1227"/>
        <v>104809.8302</v>
      </c>
      <c r="H132" s="39">
        <f t="shared" si="1227"/>
        <v>132397.93840000001</v>
      </c>
      <c r="I132" s="39">
        <f t="shared" si="1227"/>
        <v>167773.82120000001</v>
      </c>
      <c r="J132" s="39">
        <f t="shared" si="1227"/>
        <v>218876.58120000002</v>
      </c>
      <c r="K132" s="39">
        <f t="shared" si="1227"/>
        <v>266391.83319999999</v>
      </c>
      <c r="L132" s="39">
        <f t="shared" si="1227"/>
        <v>338197.8616</v>
      </c>
      <c r="M132" s="39">
        <f t="shared" si="1227"/>
        <v>371292.04300000001</v>
      </c>
      <c r="N132" s="39">
        <f t="shared" si="1227"/>
        <v>441125.32689999999</v>
      </c>
      <c r="O132" s="39">
        <f t="shared" si="1227"/>
        <v>555324.64619999996</v>
      </c>
      <c r="P132" s="39">
        <f t="shared" si="1227"/>
        <v>603410.51130000001</v>
      </c>
      <c r="Q132" s="39">
        <f t="shared" si="1227"/>
        <v>596404.88619999995</v>
      </c>
      <c r="R132" s="39">
        <f t="shared" si="1227"/>
        <v>611924.74800000002</v>
      </c>
      <c r="S132" s="39">
        <f t="shared" si="1227"/>
        <v>599983.79890000005</v>
      </c>
      <c r="T132" s="39">
        <f t="shared" si="1227"/>
        <v>611422.66980000003</v>
      </c>
      <c r="U132" s="39">
        <f t="shared" si="1227"/>
        <v>639073.76100000006</v>
      </c>
      <c r="V132" s="39">
        <f t="shared" si="1227"/>
        <v>708263.25399999996</v>
      </c>
      <c r="W132" s="39">
        <f t="shared" si="1227"/>
        <v>709787.56480000005</v>
      </c>
      <c r="X132" s="39">
        <f t="shared" si="1227"/>
        <v>793535.40850000002</v>
      </c>
      <c r="Y132" s="39">
        <f t="shared" si="1227"/>
        <v>887724.94490000012</v>
      </c>
      <c r="Z132" s="39">
        <f t="shared" si="1227"/>
        <v>1018999.3559000001</v>
      </c>
      <c r="AA132" s="39">
        <f t="shared" ref="AA132" si="1228">+AA129+AA125+AA123+AA122</f>
        <v>1133852.6357</v>
      </c>
      <c r="AB132" s="40">
        <f t="shared" si="1227"/>
        <v>1263286.8467046819</v>
      </c>
      <c r="AC132" s="40">
        <f t="shared" si="1227"/>
        <v>1412904.0003232909</v>
      </c>
      <c r="AD132" s="40">
        <f t="shared" si="1227"/>
        <v>1589390.1365501622</v>
      </c>
      <c r="AE132" s="40">
        <f t="shared" si="1227"/>
        <v>1799085.9080575176</v>
      </c>
      <c r="AG132" s="60"/>
      <c r="AH132" s="39">
        <f t="shared" ref="AH132:BC132" si="1229">+AH122+AH123+AH125+AH129+AH131</f>
        <v>585143.88</v>
      </c>
      <c r="AI132" s="39">
        <f t="shared" si="1229"/>
        <v>594402.55999999994</v>
      </c>
      <c r="AJ132" s="39">
        <f t="shared" si="1229"/>
        <v>599249.82999999996</v>
      </c>
      <c r="AK132" s="39">
        <f t="shared" si="1229"/>
        <v>596404.89</v>
      </c>
      <c r="AL132" s="39">
        <f t="shared" si="1229"/>
        <v>578344.67000000004</v>
      </c>
      <c r="AM132" s="39">
        <f t="shared" si="1229"/>
        <v>588136.95999999996</v>
      </c>
      <c r="AN132" s="39">
        <f t="shared" si="1229"/>
        <v>617732.04</v>
      </c>
      <c r="AO132" s="39">
        <f t="shared" si="1229"/>
        <v>611924.75</v>
      </c>
      <c r="AP132" s="39">
        <f t="shared" si="1229"/>
        <v>611859.57000000007</v>
      </c>
      <c r="AQ132" s="39">
        <f t="shared" si="1229"/>
        <v>614892.30000000005</v>
      </c>
      <c r="AR132" s="39">
        <f t="shared" si="1229"/>
        <v>600892.69999999995</v>
      </c>
      <c r="AS132" s="39">
        <f t="shared" si="1229"/>
        <v>599983.79999999993</v>
      </c>
      <c r="AT132" s="39">
        <f t="shared" ref="AT132:BB132" si="1230">+AT122+AT123+AT125+AT129+AT131</f>
        <v>586687.36</v>
      </c>
      <c r="AU132" s="39">
        <f t="shared" si="1230"/>
        <v>589274.91</v>
      </c>
      <c r="AV132" s="39">
        <f t="shared" si="1230"/>
        <v>597064.64</v>
      </c>
      <c r="AW132" s="39">
        <f t="shared" si="1230"/>
        <v>611422.67999999993</v>
      </c>
      <c r="AX132" s="39">
        <f t="shared" si="1230"/>
        <v>593862.53</v>
      </c>
      <c r="AY132" s="39">
        <f t="shared" si="1230"/>
        <v>605967.35</v>
      </c>
      <c r="AZ132" s="39">
        <f t="shared" si="1230"/>
        <v>614485.22</v>
      </c>
      <c r="BA132" s="39">
        <f t="shared" si="1230"/>
        <v>639073.76</v>
      </c>
      <c r="BB132" s="39">
        <f t="shared" si="1230"/>
        <v>665683.34</v>
      </c>
      <c r="BC132" s="39">
        <f t="shared" si="1229"/>
        <v>669625.23</v>
      </c>
      <c r="BD132" s="39">
        <f t="shared" ref="BD132:BV132" si="1231">+BD122+BD123+BD125+BD129+BD131</f>
        <v>694661.25</v>
      </c>
      <c r="BE132" s="39">
        <f t="shared" si="1231"/>
        <v>708263.26</v>
      </c>
      <c r="BF132" s="39">
        <f t="shared" si="1231"/>
        <v>702950.65999999992</v>
      </c>
      <c r="BG132" s="39">
        <f t="shared" si="1231"/>
        <v>689329.46000000008</v>
      </c>
      <c r="BH132" s="39">
        <f t="shared" si="1231"/>
        <v>707554.7</v>
      </c>
      <c r="BI132" s="39">
        <f t="shared" si="1231"/>
        <v>709787.57</v>
      </c>
      <c r="BJ132" s="39">
        <f t="shared" si="1231"/>
        <v>719025.4</v>
      </c>
      <c r="BK132" s="39">
        <f t="shared" si="1231"/>
        <v>749710.25</v>
      </c>
      <c r="BL132" s="39">
        <f t="shared" si="1231"/>
        <v>771164.13</v>
      </c>
      <c r="BM132" s="39">
        <f t="shared" si="1231"/>
        <v>793535.41</v>
      </c>
      <c r="BN132" s="39">
        <f t="shared" si="1231"/>
        <v>804173.80999999994</v>
      </c>
      <c r="BO132" s="39">
        <f t="shared" si="1231"/>
        <v>830007.11</v>
      </c>
      <c r="BP132" s="39">
        <f t="shared" si="1231"/>
        <v>850870.04</v>
      </c>
      <c r="BQ132" s="39">
        <f t="shared" si="1231"/>
        <v>887724.95</v>
      </c>
      <c r="BR132" s="39">
        <f t="shared" si="1231"/>
        <v>917722.73</v>
      </c>
      <c r="BS132" s="39">
        <f t="shared" si="1231"/>
        <v>965804.59</v>
      </c>
      <c r="BT132" s="39">
        <f t="shared" si="1231"/>
        <v>1005640.4199999999</v>
      </c>
      <c r="BU132" s="39">
        <f t="shared" si="1231"/>
        <v>1018999.3600000001</v>
      </c>
      <c r="BV132" s="39">
        <f t="shared" si="1231"/>
        <v>1040728.08</v>
      </c>
      <c r="BW132" s="39">
        <f t="shared" ref="BW132:BX132" si="1232">+BW122+BW123+BW125+BW129+BW131</f>
        <v>1053073.31</v>
      </c>
      <c r="BX132" s="39">
        <f t="shared" si="1232"/>
        <v>1077945.0900000001</v>
      </c>
      <c r="BY132" s="39">
        <f t="shared" ref="BY132" si="1233">+BY122+BY123+BY125+BY129+BY131</f>
        <v>1133852.6399999999</v>
      </c>
      <c r="BZ132" s="40">
        <f t="shared" ref="BZ132:CO132" si="1234">+BZ122+BZ123+BZ125+BZ129+BZ131</f>
        <v>1138117.3491544961</v>
      </c>
      <c r="CA132" s="40">
        <f t="shared" si="1234"/>
        <v>1167916.7685554598</v>
      </c>
      <c r="CB132" s="40">
        <f t="shared" si="1234"/>
        <v>1213274.9535277472</v>
      </c>
      <c r="CC132" s="40">
        <f t="shared" si="1234"/>
        <v>1263286.8467046819</v>
      </c>
      <c r="CD132" s="40">
        <f t="shared" si="1234"/>
        <v>1266089.4794861511</v>
      </c>
      <c r="CE132" s="40">
        <f t="shared" si="1234"/>
        <v>1302216.2382775801</v>
      </c>
      <c r="CF132" s="40">
        <f t="shared" si="1234"/>
        <v>1355240.3550650799</v>
      </c>
      <c r="CG132" s="40">
        <f t="shared" si="1234"/>
        <v>1412904.0003232909</v>
      </c>
      <c r="CH132" s="40">
        <f t="shared" si="1234"/>
        <v>1417133.7499633962</v>
      </c>
      <c r="CI132" s="40">
        <f t="shared" si="1234"/>
        <v>1460039.2586685426</v>
      </c>
      <c r="CJ132" s="40">
        <f t="shared" si="1234"/>
        <v>1522027.2164612673</v>
      </c>
      <c r="CK132" s="40">
        <f t="shared" si="1234"/>
        <v>1589390.1365501622</v>
      </c>
      <c r="CL132" s="40">
        <f t="shared" si="1234"/>
        <v>1596036.6113106071</v>
      </c>
      <c r="CM132" s="40">
        <f t="shared" si="1234"/>
        <v>1646994.8664805626</v>
      </c>
      <c r="CN132" s="40">
        <f t="shared" si="1234"/>
        <v>1719856.848916952</v>
      </c>
      <c r="CO132" s="40">
        <f t="shared" si="1234"/>
        <v>1799085.9080575176</v>
      </c>
      <c r="CT132" s="39">
        <v>1133852.6357</v>
      </c>
    </row>
    <row r="133" spans="1:98" s="37" customFormat="1" x14ac:dyDescent="0.2">
      <c r="A133" s="37" t="s">
        <v>387</v>
      </c>
      <c r="B133" s="37">
        <f t="shared" ref="B133:AE133" si="1235">B132-B120</f>
        <v>0</v>
      </c>
      <c r="C133" s="37">
        <f t="shared" si="1235"/>
        <v>0</v>
      </c>
      <c r="D133" s="37">
        <f t="shared" si="1235"/>
        <v>0</v>
      </c>
      <c r="E133" s="37">
        <f t="shared" si="1235"/>
        <v>0</v>
      </c>
      <c r="F133" s="37">
        <f t="shared" si="1235"/>
        <v>0</v>
      </c>
      <c r="G133" s="37">
        <f t="shared" si="1235"/>
        <v>0</v>
      </c>
      <c r="H133" s="37">
        <f t="shared" si="1235"/>
        <v>0</v>
      </c>
      <c r="I133" s="37">
        <f t="shared" si="1235"/>
        <v>0</v>
      </c>
      <c r="J133" s="37">
        <f t="shared" si="1235"/>
        <v>0</v>
      </c>
      <c r="K133" s="37">
        <f t="shared" si="1235"/>
        <v>0</v>
      </c>
      <c r="L133" s="37">
        <f t="shared" si="1235"/>
        <v>0</v>
      </c>
      <c r="M133" s="37">
        <f t="shared" si="1235"/>
        <v>0</v>
      </c>
      <c r="N133" s="37">
        <f t="shared" si="1235"/>
        <v>0</v>
      </c>
      <c r="O133" s="37">
        <f t="shared" si="1235"/>
        <v>0</v>
      </c>
      <c r="P133" s="37">
        <f t="shared" si="1235"/>
        <v>0</v>
      </c>
      <c r="Q133" s="37">
        <f t="shared" si="1235"/>
        <v>0</v>
      </c>
      <c r="R133" s="37">
        <f t="shared" si="1235"/>
        <v>0</v>
      </c>
      <c r="S133" s="37">
        <f t="shared" si="1235"/>
        <v>0</v>
      </c>
      <c r="T133" s="37">
        <f t="shared" si="1235"/>
        <v>0</v>
      </c>
      <c r="U133" s="37">
        <f t="shared" si="1235"/>
        <v>0</v>
      </c>
      <c r="V133" s="37">
        <f t="shared" si="1235"/>
        <v>0</v>
      </c>
      <c r="W133" s="37">
        <f t="shared" si="1235"/>
        <v>0</v>
      </c>
      <c r="X133" s="37">
        <f t="shared" si="1235"/>
        <v>0</v>
      </c>
      <c r="Y133" s="37">
        <f t="shared" si="1235"/>
        <v>0</v>
      </c>
      <c r="Z133" s="37">
        <f t="shared" si="1235"/>
        <v>0</v>
      </c>
      <c r="AA133" s="37">
        <f t="shared" ref="AA133" si="1236">AA132-AA120</f>
        <v>0</v>
      </c>
      <c r="AB133" s="38">
        <f t="shared" si="1235"/>
        <v>0</v>
      </c>
      <c r="AC133" s="38">
        <f t="shared" si="1235"/>
        <v>0</v>
      </c>
      <c r="AD133" s="38">
        <f t="shared" si="1235"/>
        <v>0</v>
      </c>
      <c r="AE133" s="38">
        <f t="shared" si="1235"/>
        <v>0</v>
      </c>
      <c r="AG133" s="59"/>
      <c r="AH133" s="37">
        <f t="shared" ref="AH133:BC133" si="1237">AH132-AH120</f>
        <v>0</v>
      </c>
      <c r="AI133" s="37">
        <f t="shared" si="1237"/>
        <v>0</v>
      </c>
      <c r="AJ133" s="37">
        <f t="shared" si="1237"/>
        <v>0</v>
      </c>
      <c r="AK133" s="37">
        <f t="shared" si="1237"/>
        <v>0</v>
      </c>
      <c r="AL133" s="37">
        <f t="shared" si="1237"/>
        <v>0</v>
      </c>
      <c r="AM133" s="37">
        <f t="shared" si="1237"/>
        <v>0</v>
      </c>
      <c r="AN133" s="37">
        <f t="shared" si="1237"/>
        <v>0</v>
      </c>
      <c r="AO133" s="37">
        <f t="shared" si="1237"/>
        <v>0</v>
      </c>
      <c r="AP133" s="37">
        <f t="shared" si="1237"/>
        <v>0</v>
      </c>
      <c r="AQ133" s="37">
        <f t="shared" si="1237"/>
        <v>0</v>
      </c>
      <c r="AR133" s="37">
        <f t="shared" si="1237"/>
        <v>0</v>
      </c>
      <c r="AS133" s="37">
        <f t="shared" si="1237"/>
        <v>-1.0000000125728548E-2</v>
      </c>
      <c r="AT133" s="37">
        <f t="shared" ref="AT133:BB133" si="1238">AT132-AT120</f>
        <v>0</v>
      </c>
      <c r="AU133" s="37">
        <f t="shared" si="1238"/>
        <v>0</v>
      </c>
      <c r="AV133" s="37">
        <f t="shared" si="1238"/>
        <v>0</v>
      </c>
      <c r="AW133" s="37">
        <f t="shared" si="1238"/>
        <v>9.9999998928979039E-3</v>
      </c>
      <c r="AX133" s="37">
        <f t="shared" si="1238"/>
        <v>0</v>
      </c>
      <c r="AY133" s="37">
        <f t="shared" si="1238"/>
        <v>0</v>
      </c>
      <c r="AZ133" s="37">
        <f t="shared" si="1238"/>
        <v>0</v>
      </c>
      <c r="BA133" s="37">
        <f t="shared" si="1238"/>
        <v>0</v>
      </c>
      <c r="BB133" s="37">
        <f t="shared" si="1238"/>
        <v>0</v>
      </c>
      <c r="BC133" s="37">
        <f t="shared" si="1237"/>
        <v>0</v>
      </c>
      <c r="BD133" s="37">
        <f t="shared" ref="BD133:BV133" si="1239">BD132-BD120</f>
        <v>0</v>
      </c>
      <c r="BE133" s="37">
        <f t="shared" si="1239"/>
        <v>0</v>
      </c>
      <c r="BF133" s="37">
        <f t="shared" si="1239"/>
        <v>0</v>
      </c>
      <c r="BG133" s="37">
        <f t="shared" si="1239"/>
        <v>0</v>
      </c>
      <c r="BH133" s="37">
        <f t="shared" si="1239"/>
        <v>0</v>
      </c>
      <c r="BI133" s="37">
        <f t="shared" si="1239"/>
        <v>0</v>
      </c>
      <c r="BJ133" s="37">
        <f t="shared" si="1239"/>
        <v>0</v>
      </c>
      <c r="BK133" s="37">
        <f t="shared" si="1239"/>
        <v>0</v>
      </c>
      <c r="BL133" s="37">
        <f t="shared" si="1239"/>
        <v>0</v>
      </c>
      <c r="BM133" s="37">
        <f t="shared" si="1239"/>
        <v>0</v>
      </c>
      <c r="BN133" s="37">
        <f t="shared" si="1239"/>
        <v>0</v>
      </c>
      <c r="BO133" s="37">
        <f t="shared" si="1239"/>
        <v>0</v>
      </c>
      <c r="BP133" s="37">
        <f t="shared" si="1239"/>
        <v>0</v>
      </c>
      <c r="BQ133" s="37">
        <f t="shared" si="1239"/>
        <v>0</v>
      </c>
      <c r="BR133" s="37">
        <f t="shared" si="1239"/>
        <v>0</v>
      </c>
      <c r="BS133" s="37">
        <f t="shared" si="1239"/>
        <v>0</v>
      </c>
      <c r="BT133" s="37">
        <f t="shared" si="1239"/>
        <v>0</v>
      </c>
      <c r="BU133" s="37">
        <f t="shared" si="1239"/>
        <v>0</v>
      </c>
      <c r="BV133" s="37">
        <f t="shared" si="1239"/>
        <v>0</v>
      </c>
      <c r="BW133" s="37">
        <f t="shared" ref="BW133:BX133" si="1240">BW132-BW120</f>
        <v>0</v>
      </c>
      <c r="BX133" s="37">
        <f t="shared" si="1240"/>
        <v>0</v>
      </c>
      <c r="BY133" s="37">
        <f t="shared" ref="BY133" si="1241">BY132-BY120</f>
        <v>0</v>
      </c>
      <c r="BZ133" s="38">
        <f t="shared" ref="BZ133:CO133" si="1242">BZ132-BZ120</f>
        <v>0</v>
      </c>
      <c r="CA133" s="38">
        <f t="shared" si="1242"/>
        <v>0</v>
      </c>
      <c r="CB133" s="38">
        <f t="shared" si="1242"/>
        <v>0</v>
      </c>
      <c r="CC133" s="38">
        <f t="shared" si="1242"/>
        <v>0</v>
      </c>
      <c r="CD133" s="38">
        <f t="shared" si="1242"/>
        <v>0</v>
      </c>
      <c r="CE133" s="38">
        <f t="shared" si="1242"/>
        <v>0</v>
      </c>
      <c r="CF133" s="38">
        <f t="shared" si="1242"/>
        <v>0</v>
      </c>
      <c r="CG133" s="38">
        <f t="shared" si="1242"/>
        <v>0</v>
      </c>
      <c r="CH133" s="38">
        <f t="shared" si="1242"/>
        <v>0</v>
      </c>
      <c r="CI133" s="38">
        <f t="shared" si="1242"/>
        <v>0</v>
      </c>
      <c r="CJ133" s="38">
        <f t="shared" si="1242"/>
        <v>0</v>
      </c>
      <c r="CK133" s="38">
        <f t="shared" si="1242"/>
        <v>0</v>
      </c>
      <c r="CL133" s="38">
        <f t="shared" si="1242"/>
        <v>0</v>
      </c>
      <c r="CM133" s="38">
        <f t="shared" si="1242"/>
        <v>0</v>
      </c>
      <c r="CN133" s="38">
        <f t="shared" si="1242"/>
        <v>0</v>
      </c>
      <c r="CO133" s="38">
        <f t="shared" si="1242"/>
        <v>0</v>
      </c>
      <c r="CT133" s="37">
        <v>0</v>
      </c>
    </row>
    <row r="134" spans="1:98" s="37" customFormat="1" x14ac:dyDescent="0.2">
      <c r="A134" s="119" t="s">
        <v>366</v>
      </c>
      <c r="AB134" s="38"/>
      <c r="AC134" s="38"/>
      <c r="AD134" s="38"/>
      <c r="AE134" s="38"/>
      <c r="AG134" s="59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</row>
    <row r="135" spans="1:98" s="37" customFormat="1" x14ac:dyDescent="0.2">
      <c r="A135" s="46"/>
      <c r="AB135" s="38"/>
      <c r="AC135" s="38"/>
      <c r="AD135" s="38"/>
      <c r="AE135" s="38"/>
      <c r="AG135" s="59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</row>
    <row r="136" spans="1:98" s="37" customFormat="1" x14ac:dyDescent="0.2">
      <c r="A136" s="37" t="s">
        <v>51</v>
      </c>
      <c r="AB136" s="38"/>
      <c r="AC136" s="38"/>
      <c r="AD136" s="38"/>
      <c r="AE136" s="38"/>
      <c r="AG136" s="59"/>
      <c r="AI136" s="37">
        <f t="shared" ref="AI136:AV136" si="1243">+AI119/AI113</f>
        <v>16.93756763526298</v>
      </c>
      <c r="AJ136" s="37">
        <f t="shared" si="1243"/>
        <v>17.96377024859714</v>
      </c>
      <c r="AK136" s="37">
        <f t="shared" si="1243"/>
        <v>17.454708975586392</v>
      </c>
      <c r="AL136" s="37">
        <f t="shared" si="1243"/>
        <v>17.477861027696118</v>
      </c>
      <c r="AM136" s="37">
        <f t="shared" si="1243"/>
        <v>17.139688723873984</v>
      </c>
      <c r="AN136" s="37">
        <f t="shared" si="1243"/>
        <v>18.112239366757752</v>
      </c>
      <c r="AO136" s="37">
        <f t="shared" si="1243"/>
        <v>17.835947655482631</v>
      </c>
      <c r="AP136" s="37">
        <f t="shared" si="1243"/>
        <v>17.812700564971749</v>
      </c>
      <c r="AQ136" s="37">
        <f t="shared" si="1243"/>
        <v>17.777659527361401</v>
      </c>
      <c r="AR136" s="37">
        <f t="shared" si="1243"/>
        <v>17.537963489424531</v>
      </c>
      <c r="AS136" s="37">
        <f t="shared" si="1243"/>
        <v>15.881621748617428</v>
      </c>
      <c r="AT136" s="37">
        <f t="shared" si="1243"/>
        <v>15.407494082323938</v>
      </c>
      <c r="AU136" s="37">
        <f t="shared" si="1243"/>
        <v>15.772775712282703</v>
      </c>
      <c r="AV136" s="37">
        <f t="shared" si="1243"/>
        <v>13.884251698602851</v>
      </c>
      <c r="AW136" s="37">
        <f t="shared" ref="AW136:CO136" si="1244">+AW119/AW113</f>
        <v>12.200213518598678</v>
      </c>
      <c r="AX136" s="37">
        <f t="shared" si="1244"/>
        <v>11.730139386565353</v>
      </c>
      <c r="AY136" s="37">
        <f t="shared" si="1244"/>
        <v>11.895646888800123</v>
      </c>
      <c r="AZ136" s="37">
        <f t="shared" si="1244"/>
        <v>12.004683703458989</v>
      </c>
      <c r="BA136" s="37">
        <f t="shared" si="1244"/>
        <v>13.585293923655369</v>
      </c>
      <c r="BB136" s="37">
        <f t="shared" si="1244"/>
        <v>13.892174779492086</v>
      </c>
      <c r="BC136" s="37">
        <f t="shared" si="1244"/>
        <v>13.851287129591229</v>
      </c>
      <c r="BD136" s="37">
        <f t="shared" si="1244"/>
        <v>14.234624550935106</v>
      </c>
      <c r="BE136" s="37">
        <f t="shared" si="1244"/>
        <v>13.547697994416831</v>
      </c>
      <c r="BF136" s="37">
        <f t="shared" si="1244"/>
        <v>13.188600526327049</v>
      </c>
      <c r="BG136" s="37">
        <f t="shared" si="1244"/>
        <v>11.992040194632914</v>
      </c>
      <c r="BH136" s="37">
        <f t="shared" si="1244"/>
        <v>12.107950214018217</v>
      </c>
      <c r="BI136" s="37">
        <f t="shared" si="1244"/>
        <v>11.874507629431154</v>
      </c>
      <c r="BJ136" s="37">
        <f t="shared" si="1244"/>
        <v>11.859483185075945</v>
      </c>
      <c r="BK136" s="37">
        <f t="shared" si="1244"/>
        <v>12.317116586146907</v>
      </c>
      <c r="BL136" s="37">
        <f t="shared" si="1244"/>
        <v>12.34959635154072</v>
      </c>
      <c r="BM136" s="37">
        <f t="shared" si="1244"/>
        <v>12.456453569591096</v>
      </c>
      <c r="BN136" s="37">
        <f t="shared" si="1244"/>
        <v>12.341045522782128</v>
      </c>
      <c r="BO136" s="37">
        <f t="shared" si="1244"/>
        <v>12.629820050147455</v>
      </c>
      <c r="BP136" s="37">
        <f t="shared" si="1244"/>
        <v>11.645511205619329</v>
      </c>
      <c r="BQ136" s="37">
        <f t="shared" si="1244"/>
        <v>11.887867525098116</v>
      </c>
      <c r="BR136" s="37">
        <f t="shared" si="1244"/>
        <v>12.300477845912194</v>
      </c>
      <c r="BS136" s="37">
        <f t="shared" si="1244"/>
        <v>12.449800092190156</v>
      </c>
      <c r="BT136" s="37">
        <f t="shared" si="1244"/>
        <v>12.553350154841072</v>
      </c>
      <c r="BU136" s="37">
        <f t="shared" si="1244"/>
        <v>11.964130937041356</v>
      </c>
      <c r="BV136" s="37">
        <f t="shared" si="1244"/>
        <v>12.112917607815778</v>
      </c>
      <c r="BW136" s="37">
        <f t="shared" ref="BW136:BY136" si="1245">+BW119/BW113</f>
        <v>11.867445819971916</v>
      </c>
      <c r="BX136" s="37">
        <f t="shared" ref="BX136" si="1246">+BX119/BX113</f>
        <v>11.744114118360308</v>
      </c>
      <c r="BY136" s="37">
        <f t="shared" si="1245"/>
        <v>11.886121207561477</v>
      </c>
      <c r="BZ136" s="38">
        <f t="shared" si="1244"/>
        <v>11.557333444853594</v>
      </c>
      <c r="CA136" s="38">
        <f t="shared" si="1244"/>
        <v>11.501375621361788</v>
      </c>
      <c r="CB136" s="38">
        <f t="shared" si="1244"/>
        <v>11.603881801046121</v>
      </c>
      <c r="CC136" s="38">
        <f t="shared" si="1244"/>
        <v>11.739262943393427</v>
      </c>
      <c r="CD136" s="38">
        <f t="shared" si="1244"/>
        <v>11.404086707050913</v>
      </c>
      <c r="CE136" s="38">
        <f t="shared" si="1244"/>
        <v>11.399271440627166</v>
      </c>
      <c r="CF136" s="38">
        <f t="shared" si="1244"/>
        <v>11.550465074817497</v>
      </c>
      <c r="CG136" s="38">
        <f t="shared" si="1244"/>
        <v>11.729683674451259</v>
      </c>
      <c r="CH136" s="38">
        <f t="shared" si="1244"/>
        <v>11.409879674951529</v>
      </c>
      <c r="CI136" s="38">
        <f t="shared" si="1244"/>
        <v>11.43064480307565</v>
      </c>
      <c r="CJ136" s="38">
        <f t="shared" si="1244"/>
        <v>11.603848895114375</v>
      </c>
      <c r="CK136" s="38">
        <f t="shared" si="1244"/>
        <v>11.799032283539653</v>
      </c>
      <c r="CL136" s="38">
        <f t="shared" si="1244"/>
        <v>11.492258934334265</v>
      </c>
      <c r="CM136" s="38">
        <f t="shared" si="1244"/>
        <v>11.531864725595149</v>
      </c>
      <c r="CN136" s="38">
        <f t="shared" si="1244"/>
        <v>11.725416112690718</v>
      </c>
      <c r="CO136" s="38">
        <f t="shared" si="1244"/>
        <v>11.941106270729422</v>
      </c>
    </row>
  </sheetData>
  <sortState xmlns:xlrd2="http://schemas.microsoft.com/office/spreadsheetml/2017/richdata2" ref="A44:CO49">
    <sortCondition descending="1" ref="Z44:Z49"/>
  </sortState>
  <pageMargins left="0.7" right="0.7" top="0.75" bottom="0.75" header="0.3" footer="0.3"/>
  <pageSetup paperSize="9" orientation="portrait" horizontalDpi="0" verticalDpi="0" r:id="rId1"/>
  <ignoredErrors>
    <ignoredError sqref="T54:W54 T56:W56 T60:W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132149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0" t="s">
        <v>388</v>
      </c>
      <c r="L2" s="130" t="s">
        <v>388</v>
      </c>
    </row>
    <row r="3" spans="1:18" x14ac:dyDescent="0.25">
      <c r="A3" s="131" t="s">
        <v>389</v>
      </c>
      <c r="B3" s="132" t="s">
        <v>390</v>
      </c>
      <c r="C3" s="132" t="s">
        <v>391</v>
      </c>
      <c r="D3" s="132" t="s">
        <v>392</v>
      </c>
      <c r="E3" s="132" t="s">
        <v>393</v>
      </c>
      <c r="F3" s="132" t="s">
        <v>394</v>
      </c>
      <c r="G3" s="132" t="s">
        <v>395</v>
      </c>
      <c r="H3" s="132"/>
      <c r="I3" s="132"/>
      <c r="J3" s="132"/>
      <c r="K3" s="132"/>
      <c r="L3" s="131" t="s">
        <v>389</v>
      </c>
      <c r="M3" s="133" t="s">
        <v>391</v>
      </c>
      <c r="N3" s="133" t="s">
        <v>390</v>
      </c>
      <c r="O3" s="133" t="s">
        <v>392</v>
      </c>
      <c r="P3" s="133" t="s">
        <v>393</v>
      </c>
      <c r="Q3" s="133" t="s">
        <v>394</v>
      </c>
      <c r="R3" s="132" t="s">
        <v>395</v>
      </c>
    </row>
    <row r="4" spans="1:18" x14ac:dyDescent="0.25">
      <c r="A4" s="130">
        <v>42005</v>
      </c>
      <c r="B4" s="107">
        <v>306.14999999999998</v>
      </c>
      <c r="C4" s="107">
        <v>304.35000000000002</v>
      </c>
      <c r="D4" s="107">
        <v>301.05</v>
      </c>
      <c r="E4" s="107">
        <v>302</v>
      </c>
      <c r="F4" s="107">
        <v>304.35000000000002</v>
      </c>
      <c r="G4">
        <v>205706</v>
      </c>
      <c r="H4" s="107"/>
      <c r="I4" s="107"/>
      <c r="L4" s="130">
        <v>42005</v>
      </c>
      <c r="M4" s="107">
        <v>304.35000000000002</v>
      </c>
      <c r="N4" s="107">
        <v>306</v>
      </c>
      <c r="O4" s="107">
        <v>301</v>
      </c>
      <c r="P4" s="107">
        <v>301.5</v>
      </c>
      <c r="Q4" s="107">
        <v>304.35000000000002</v>
      </c>
      <c r="R4">
        <v>1916939</v>
      </c>
    </row>
    <row r="5" spans="1:18" x14ac:dyDescent="0.25">
      <c r="A5" s="130">
        <v>42006</v>
      </c>
      <c r="B5" s="107">
        <v>311.75</v>
      </c>
      <c r="C5" s="107">
        <v>307.89999999999998</v>
      </c>
      <c r="D5" s="107">
        <v>304.25</v>
      </c>
      <c r="E5" s="107">
        <v>305</v>
      </c>
      <c r="F5" s="107">
        <v>307.89999999999998</v>
      </c>
      <c r="G5">
        <v>504929</v>
      </c>
      <c r="H5" s="107"/>
      <c r="I5" s="107"/>
      <c r="L5" s="130">
        <v>42006</v>
      </c>
      <c r="M5" s="107">
        <v>307.75</v>
      </c>
      <c r="N5" s="107">
        <v>311.95</v>
      </c>
      <c r="O5" s="107">
        <v>304</v>
      </c>
      <c r="P5" s="107">
        <v>304.35000000000002</v>
      </c>
      <c r="Q5" s="107">
        <v>307.75</v>
      </c>
      <c r="R5">
        <v>5802477</v>
      </c>
    </row>
    <row r="6" spans="1:18" x14ac:dyDescent="0.25">
      <c r="A6" s="130">
        <v>42009</v>
      </c>
      <c r="B6" s="107">
        <v>310.75</v>
      </c>
      <c r="C6" s="107">
        <v>307.05</v>
      </c>
      <c r="D6" s="107">
        <v>305.14999999999998</v>
      </c>
      <c r="E6" s="107">
        <v>310.75</v>
      </c>
      <c r="F6" s="107">
        <v>307.05</v>
      </c>
      <c r="G6">
        <v>248556</v>
      </c>
      <c r="H6" s="107"/>
      <c r="I6" s="107"/>
      <c r="L6" s="130">
        <v>42009</v>
      </c>
      <c r="M6" s="107">
        <v>307</v>
      </c>
      <c r="N6" s="107">
        <v>309.89999999999998</v>
      </c>
      <c r="O6" s="107">
        <v>304.8</v>
      </c>
      <c r="P6" s="107">
        <v>309.89999999999998</v>
      </c>
      <c r="Q6" s="107">
        <v>307</v>
      </c>
      <c r="R6">
        <v>2744163</v>
      </c>
    </row>
    <row r="7" spans="1:18" x14ac:dyDescent="0.25">
      <c r="A7" s="130">
        <v>42010</v>
      </c>
      <c r="B7" s="107">
        <v>304.89999999999998</v>
      </c>
      <c r="C7" s="107">
        <v>291.64999999999998</v>
      </c>
      <c r="D7" s="107">
        <v>290.14999999999998</v>
      </c>
      <c r="E7" s="107">
        <v>304.89999999999998</v>
      </c>
      <c r="F7" s="107">
        <v>291.64999999999998</v>
      </c>
      <c r="G7">
        <v>442472</v>
      </c>
      <c r="H7" s="107"/>
      <c r="I7" s="107"/>
      <c r="L7" s="130">
        <v>42010</v>
      </c>
      <c r="M7" s="107">
        <v>291.60000000000002</v>
      </c>
      <c r="N7" s="107">
        <v>305.5</v>
      </c>
      <c r="O7" s="107">
        <v>290.2</v>
      </c>
      <c r="P7" s="107">
        <v>303.5</v>
      </c>
      <c r="Q7" s="107">
        <v>291.60000000000002</v>
      </c>
      <c r="R7">
        <v>3124631</v>
      </c>
    </row>
    <row r="8" spans="1:18" x14ac:dyDescent="0.25">
      <c r="A8" s="130">
        <v>42011</v>
      </c>
      <c r="B8" s="107">
        <v>293.60000000000002</v>
      </c>
      <c r="C8" s="107">
        <v>288.05</v>
      </c>
      <c r="D8" s="107">
        <v>284.3</v>
      </c>
      <c r="E8" s="107">
        <v>292</v>
      </c>
      <c r="F8" s="107">
        <v>288.05</v>
      </c>
      <c r="G8">
        <v>465318</v>
      </c>
      <c r="H8" s="107"/>
      <c r="I8" s="107"/>
      <c r="L8" s="130">
        <v>42011</v>
      </c>
      <c r="M8" s="107">
        <v>288.10000000000002</v>
      </c>
      <c r="N8" s="107">
        <v>293.5</v>
      </c>
      <c r="O8" s="107">
        <v>284.14999999999998</v>
      </c>
      <c r="P8" s="107">
        <v>290</v>
      </c>
      <c r="Q8" s="107">
        <v>288.10000000000002</v>
      </c>
      <c r="R8">
        <v>3067861</v>
      </c>
    </row>
    <row r="9" spans="1:18" x14ac:dyDescent="0.25">
      <c r="A9" s="130">
        <v>42012</v>
      </c>
      <c r="B9" s="107">
        <v>296.89999999999998</v>
      </c>
      <c r="C9" s="107">
        <v>295.64999999999998</v>
      </c>
      <c r="D9" s="107">
        <v>291.25</v>
      </c>
      <c r="E9" s="107">
        <v>293</v>
      </c>
      <c r="F9" s="107">
        <v>295.64999999999998</v>
      </c>
      <c r="G9">
        <v>229524</v>
      </c>
      <c r="H9" s="107"/>
      <c r="I9" s="107"/>
      <c r="L9" s="130">
        <v>42012</v>
      </c>
      <c r="M9" s="107">
        <v>296.10000000000002</v>
      </c>
      <c r="N9" s="107">
        <v>297</v>
      </c>
      <c r="O9" s="107">
        <v>291.2</v>
      </c>
      <c r="P9" s="107">
        <v>292</v>
      </c>
      <c r="Q9" s="107">
        <v>296.10000000000002</v>
      </c>
      <c r="R9">
        <v>2243552</v>
      </c>
    </row>
    <row r="10" spans="1:18" x14ac:dyDescent="0.25">
      <c r="A10" s="130">
        <v>42013</v>
      </c>
      <c r="B10" s="107">
        <v>298.89999999999998</v>
      </c>
      <c r="C10" s="107">
        <v>293.8</v>
      </c>
      <c r="D10" s="107">
        <v>290.7</v>
      </c>
      <c r="E10" s="107">
        <v>296.05</v>
      </c>
      <c r="F10" s="107">
        <v>293.8</v>
      </c>
      <c r="G10">
        <v>369071</v>
      </c>
      <c r="H10" s="107"/>
      <c r="I10" s="107"/>
      <c r="L10" s="130">
        <v>42013</v>
      </c>
      <c r="M10" s="107">
        <v>293.45</v>
      </c>
      <c r="N10" s="107">
        <v>298.8</v>
      </c>
      <c r="O10" s="107">
        <v>290.39999999999998</v>
      </c>
      <c r="P10" s="107">
        <v>297.55</v>
      </c>
      <c r="Q10" s="107">
        <v>293.45</v>
      </c>
      <c r="R10">
        <v>2604119</v>
      </c>
    </row>
    <row r="11" spans="1:18" x14ac:dyDescent="0.25">
      <c r="A11" s="130">
        <v>42016</v>
      </c>
      <c r="B11" s="107">
        <v>300.5</v>
      </c>
      <c r="C11" s="107">
        <v>298.85000000000002</v>
      </c>
      <c r="D11" s="107">
        <v>289.95</v>
      </c>
      <c r="E11" s="107">
        <v>292</v>
      </c>
      <c r="F11" s="107">
        <v>298.85000000000002</v>
      </c>
      <c r="G11">
        <v>298659</v>
      </c>
      <c r="H11" s="107"/>
      <c r="I11" s="107"/>
      <c r="L11" s="130">
        <v>42016</v>
      </c>
      <c r="M11" s="107">
        <v>298.89999999999998</v>
      </c>
      <c r="N11" s="107">
        <v>300.60000000000002</v>
      </c>
      <c r="O11" s="107">
        <v>289.8</v>
      </c>
      <c r="P11" s="107">
        <v>293.45</v>
      </c>
      <c r="Q11" s="107">
        <v>298.89999999999998</v>
      </c>
      <c r="R11">
        <v>3605898</v>
      </c>
    </row>
    <row r="12" spans="1:18" x14ac:dyDescent="0.25">
      <c r="A12" s="130">
        <v>42017</v>
      </c>
      <c r="B12" s="107">
        <v>301.25</v>
      </c>
      <c r="C12" s="107">
        <v>294.45</v>
      </c>
      <c r="D12" s="107">
        <v>292</v>
      </c>
      <c r="E12" s="107">
        <v>299.10000000000002</v>
      </c>
      <c r="F12" s="107">
        <v>294.45</v>
      </c>
      <c r="G12">
        <v>253716</v>
      </c>
      <c r="H12" s="107"/>
      <c r="I12" s="107"/>
      <c r="L12" s="130">
        <v>42017</v>
      </c>
      <c r="M12" s="107">
        <v>294.5</v>
      </c>
      <c r="N12" s="107">
        <v>301.5</v>
      </c>
      <c r="O12" s="107">
        <v>291.8</v>
      </c>
      <c r="P12" s="107">
        <v>301.14999999999998</v>
      </c>
      <c r="Q12" s="107">
        <v>294.5</v>
      </c>
      <c r="R12">
        <v>2533723</v>
      </c>
    </row>
    <row r="13" spans="1:18" x14ac:dyDescent="0.25">
      <c r="A13" s="130">
        <v>42018</v>
      </c>
      <c r="B13" s="107">
        <v>296.5</v>
      </c>
      <c r="C13" s="107">
        <v>291.10000000000002</v>
      </c>
      <c r="D13" s="107">
        <v>288.60000000000002</v>
      </c>
      <c r="E13" s="107">
        <v>294.5</v>
      </c>
      <c r="F13" s="107">
        <v>291.10000000000002</v>
      </c>
      <c r="G13">
        <v>223098</v>
      </c>
      <c r="H13" s="107"/>
      <c r="I13" s="107"/>
      <c r="L13" s="130">
        <v>42018</v>
      </c>
      <c r="M13" s="107">
        <v>290.8</v>
      </c>
      <c r="N13" s="107">
        <v>296.5</v>
      </c>
      <c r="O13" s="107">
        <v>288.10000000000002</v>
      </c>
      <c r="P13" s="107">
        <v>293.2</v>
      </c>
      <c r="Q13" s="107">
        <v>290.8</v>
      </c>
      <c r="R13">
        <v>1646465</v>
      </c>
    </row>
    <row r="14" spans="1:18" x14ac:dyDescent="0.25">
      <c r="A14" s="130">
        <v>42019</v>
      </c>
      <c r="B14" s="107">
        <v>304.05</v>
      </c>
      <c r="C14" s="107">
        <v>300.5</v>
      </c>
      <c r="D14" s="107">
        <v>298.14999999999998</v>
      </c>
      <c r="E14" s="107">
        <v>302</v>
      </c>
      <c r="F14" s="107">
        <v>300.5</v>
      </c>
      <c r="G14">
        <v>380811</v>
      </c>
      <c r="H14" s="107"/>
      <c r="I14" s="107"/>
      <c r="L14" s="130">
        <v>42019</v>
      </c>
      <c r="M14" s="107">
        <v>300.85000000000002</v>
      </c>
      <c r="N14" s="107">
        <v>304.8</v>
      </c>
      <c r="O14" s="107">
        <v>298.05</v>
      </c>
      <c r="P14" s="107">
        <v>303.35000000000002</v>
      </c>
      <c r="Q14" s="107">
        <v>300.85000000000002</v>
      </c>
      <c r="R14">
        <v>3286107</v>
      </c>
    </row>
    <row r="15" spans="1:18" x14ac:dyDescent="0.25">
      <c r="A15" s="130">
        <v>42020</v>
      </c>
      <c r="B15" s="107">
        <v>302.3</v>
      </c>
      <c r="C15" s="107">
        <v>300</v>
      </c>
      <c r="D15" s="107">
        <v>296.89999999999998</v>
      </c>
      <c r="E15" s="107">
        <v>296.89999999999998</v>
      </c>
      <c r="F15" s="107">
        <v>300</v>
      </c>
      <c r="G15">
        <v>250853</v>
      </c>
      <c r="H15" s="107"/>
      <c r="I15" s="107"/>
      <c r="L15" s="130">
        <v>42020</v>
      </c>
      <c r="M15" s="107">
        <v>300.39999999999998</v>
      </c>
      <c r="N15" s="107">
        <v>302.89999999999998</v>
      </c>
      <c r="O15" s="107">
        <v>297.14999999999998</v>
      </c>
      <c r="P15" s="107">
        <v>300.60000000000002</v>
      </c>
      <c r="Q15" s="107">
        <v>300.39999999999998</v>
      </c>
      <c r="R15">
        <v>2439163</v>
      </c>
    </row>
    <row r="16" spans="1:18" x14ac:dyDescent="0.25">
      <c r="A16" s="130">
        <v>42023</v>
      </c>
      <c r="B16" s="107">
        <v>304.39999999999998</v>
      </c>
      <c r="C16" s="107">
        <v>299.14999999999998</v>
      </c>
      <c r="D16" s="107">
        <v>298.14999999999998</v>
      </c>
      <c r="E16" s="107">
        <v>302.5</v>
      </c>
      <c r="F16" s="107">
        <v>299.14999999999998</v>
      </c>
      <c r="G16">
        <v>245711</v>
      </c>
      <c r="H16" s="107"/>
      <c r="I16" s="107"/>
      <c r="L16" s="130">
        <v>42023</v>
      </c>
      <c r="M16" s="107">
        <v>299</v>
      </c>
      <c r="N16" s="107">
        <v>304.5</v>
      </c>
      <c r="O16" s="107">
        <v>297.60000000000002</v>
      </c>
      <c r="P16" s="107">
        <v>303.5</v>
      </c>
      <c r="Q16" s="107">
        <v>299</v>
      </c>
      <c r="R16">
        <v>2136920</v>
      </c>
    </row>
    <row r="17" spans="1:18" x14ac:dyDescent="0.25">
      <c r="A17" s="130">
        <v>42024</v>
      </c>
      <c r="B17" s="107">
        <v>303.64999999999998</v>
      </c>
      <c r="C17" s="107">
        <v>297.25</v>
      </c>
      <c r="D17" s="107">
        <v>295.89999999999998</v>
      </c>
      <c r="E17" s="107">
        <v>300</v>
      </c>
      <c r="F17" s="107">
        <v>297.25</v>
      </c>
      <c r="G17">
        <v>234486</v>
      </c>
      <c r="H17" s="107"/>
      <c r="I17" s="107"/>
      <c r="L17" s="130">
        <v>42024</v>
      </c>
      <c r="M17" s="107">
        <v>297.05</v>
      </c>
      <c r="N17" s="107">
        <v>303.8</v>
      </c>
      <c r="O17" s="107">
        <v>296</v>
      </c>
      <c r="P17" s="107">
        <v>299.3</v>
      </c>
      <c r="Q17" s="107">
        <v>297.05</v>
      </c>
      <c r="R17">
        <v>3067676</v>
      </c>
    </row>
    <row r="18" spans="1:18" x14ac:dyDescent="0.25">
      <c r="A18" s="130">
        <v>42025</v>
      </c>
      <c r="B18" s="107">
        <v>306</v>
      </c>
      <c r="C18" s="107">
        <v>301.95</v>
      </c>
      <c r="D18" s="107">
        <v>298</v>
      </c>
      <c r="E18" s="107">
        <v>298.89999999999998</v>
      </c>
      <c r="F18" s="107">
        <v>301.95</v>
      </c>
      <c r="G18">
        <v>548859</v>
      </c>
      <c r="H18" s="107"/>
      <c r="I18" s="107"/>
      <c r="L18" s="130">
        <v>42025</v>
      </c>
      <c r="M18" s="107">
        <v>302</v>
      </c>
      <c r="N18" s="107">
        <v>306</v>
      </c>
      <c r="O18" s="107">
        <v>298</v>
      </c>
      <c r="P18" s="107">
        <v>299</v>
      </c>
      <c r="Q18" s="107">
        <v>302</v>
      </c>
      <c r="R18">
        <v>5614490</v>
      </c>
    </row>
    <row r="19" spans="1:18" x14ac:dyDescent="0.25">
      <c r="A19" s="130">
        <v>42026</v>
      </c>
      <c r="B19" s="107">
        <v>304.35000000000002</v>
      </c>
      <c r="C19" s="107">
        <v>298.14999999999998</v>
      </c>
      <c r="D19" s="107">
        <v>296.75</v>
      </c>
      <c r="E19" s="107">
        <v>302</v>
      </c>
      <c r="F19" s="107">
        <v>298.14999999999998</v>
      </c>
      <c r="G19">
        <v>328163</v>
      </c>
      <c r="H19" s="107"/>
      <c r="I19" s="107"/>
      <c r="L19" s="130">
        <v>42026</v>
      </c>
      <c r="M19" s="107">
        <v>298.7</v>
      </c>
      <c r="N19" s="107">
        <v>304.39999999999998</v>
      </c>
      <c r="O19" s="107">
        <v>296.75</v>
      </c>
      <c r="P19" s="107">
        <v>303.39999999999998</v>
      </c>
      <c r="Q19" s="107">
        <v>298.7</v>
      </c>
      <c r="R19">
        <v>2341535</v>
      </c>
    </row>
    <row r="20" spans="1:18" x14ac:dyDescent="0.25">
      <c r="A20" s="130">
        <v>42027</v>
      </c>
      <c r="B20" s="107">
        <v>303.60000000000002</v>
      </c>
      <c r="C20" s="107">
        <v>294.10000000000002</v>
      </c>
      <c r="D20" s="107">
        <v>292.10000000000002</v>
      </c>
      <c r="E20" s="107">
        <v>301</v>
      </c>
      <c r="F20" s="107">
        <v>294.10000000000002</v>
      </c>
      <c r="G20">
        <v>483428</v>
      </c>
      <c r="H20" s="107"/>
      <c r="I20" s="107"/>
      <c r="L20" s="130">
        <v>42027</v>
      </c>
      <c r="M20" s="107">
        <v>294.3</v>
      </c>
      <c r="N20" s="107">
        <v>304</v>
      </c>
      <c r="O20" s="107">
        <v>292.25</v>
      </c>
      <c r="P20" s="107">
        <v>301.95</v>
      </c>
      <c r="Q20" s="107">
        <v>294.3</v>
      </c>
      <c r="R20">
        <v>3224128</v>
      </c>
    </row>
    <row r="21" spans="1:18" x14ac:dyDescent="0.25">
      <c r="A21" s="130">
        <v>42031</v>
      </c>
      <c r="B21" s="107">
        <v>297</v>
      </c>
      <c r="C21" s="107">
        <v>291.35000000000002</v>
      </c>
      <c r="D21" s="107">
        <v>286.14999999999998</v>
      </c>
      <c r="E21" s="107">
        <v>295.89999999999998</v>
      </c>
      <c r="F21" s="107">
        <v>291.35000000000002</v>
      </c>
      <c r="G21">
        <v>326127</v>
      </c>
      <c r="H21" s="107"/>
      <c r="I21" s="107"/>
      <c r="L21" s="130">
        <v>42031</v>
      </c>
      <c r="M21" s="107">
        <v>291.55</v>
      </c>
      <c r="N21" s="107">
        <v>296</v>
      </c>
      <c r="O21" s="107">
        <v>286</v>
      </c>
      <c r="P21" s="107">
        <v>295.3</v>
      </c>
      <c r="Q21" s="107">
        <v>291.55</v>
      </c>
      <c r="R21">
        <v>3126996</v>
      </c>
    </row>
    <row r="22" spans="1:18" x14ac:dyDescent="0.25">
      <c r="A22" s="130">
        <v>42032</v>
      </c>
      <c r="B22" s="107">
        <v>294.35000000000002</v>
      </c>
      <c r="C22" s="107">
        <v>290.75</v>
      </c>
      <c r="D22" s="107">
        <v>288.3</v>
      </c>
      <c r="E22" s="107">
        <v>292</v>
      </c>
      <c r="F22" s="107">
        <v>290.75</v>
      </c>
      <c r="G22">
        <v>288722</v>
      </c>
      <c r="H22" s="107"/>
      <c r="I22" s="107"/>
      <c r="L22" s="130">
        <v>42032</v>
      </c>
      <c r="M22" s="107">
        <v>291.35000000000002</v>
      </c>
      <c r="N22" s="107">
        <v>294.5</v>
      </c>
      <c r="O22" s="107">
        <v>288.05</v>
      </c>
      <c r="P22" s="107">
        <v>291.2</v>
      </c>
      <c r="Q22" s="107">
        <v>291.35000000000002</v>
      </c>
      <c r="R22">
        <v>2091362</v>
      </c>
    </row>
    <row r="23" spans="1:18" x14ac:dyDescent="0.25">
      <c r="A23" s="130">
        <v>42033</v>
      </c>
      <c r="B23" s="107">
        <v>292.64999999999998</v>
      </c>
      <c r="C23" s="107">
        <v>280.64999999999998</v>
      </c>
      <c r="D23" s="107">
        <v>280</v>
      </c>
      <c r="E23" s="107">
        <v>290.89999999999998</v>
      </c>
      <c r="F23" s="107">
        <v>280.64999999999998</v>
      </c>
      <c r="G23">
        <v>427858</v>
      </c>
      <c r="H23" s="107"/>
      <c r="I23" s="107"/>
      <c r="L23" s="130">
        <v>42033</v>
      </c>
      <c r="M23" s="107">
        <v>280.8</v>
      </c>
      <c r="N23" s="107">
        <v>292.8</v>
      </c>
      <c r="O23" s="107">
        <v>280</v>
      </c>
      <c r="P23" s="107">
        <v>290.60000000000002</v>
      </c>
      <c r="Q23" s="107">
        <v>280.8</v>
      </c>
      <c r="R23">
        <v>3162294</v>
      </c>
    </row>
    <row r="24" spans="1:18" x14ac:dyDescent="0.25">
      <c r="A24" s="130">
        <v>42034</v>
      </c>
      <c r="B24" s="107">
        <v>285.25</v>
      </c>
      <c r="C24" s="107">
        <v>267</v>
      </c>
      <c r="D24" s="107">
        <v>262.60000000000002</v>
      </c>
      <c r="E24" s="107">
        <v>282.89999999999998</v>
      </c>
      <c r="F24" s="107">
        <v>267</v>
      </c>
      <c r="G24">
        <v>864618</v>
      </c>
      <c r="H24" s="107"/>
      <c r="I24" s="107"/>
      <c r="L24" s="130">
        <v>42034</v>
      </c>
      <c r="M24" s="107">
        <v>266.25</v>
      </c>
      <c r="N24" s="107">
        <v>285.3</v>
      </c>
      <c r="O24" s="107">
        <v>261.55</v>
      </c>
      <c r="P24" s="107">
        <v>282.45</v>
      </c>
      <c r="Q24" s="107">
        <v>266.25</v>
      </c>
      <c r="R24">
        <v>5203097</v>
      </c>
    </row>
    <row r="25" spans="1:18" x14ac:dyDescent="0.25">
      <c r="A25" s="130">
        <v>42037</v>
      </c>
      <c r="B25" s="107">
        <v>275.89999999999998</v>
      </c>
      <c r="C25" s="107">
        <v>273.39999999999998</v>
      </c>
      <c r="D25" s="107">
        <v>266.14999999999998</v>
      </c>
      <c r="E25" s="107">
        <v>268</v>
      </c>
      <c r="F25" s="107">
        <v>273.39999999999998</v>
      </c>
      <c r="G25">
        <v>326342</v>
      </c>
      <c r="H25" s="107"/>
      <c r="I25" s="107"/>
      <c r="L25" s="130">
        <v>42037</v>
      </c>
      <c r="M25" s="107">
        <v>273.8</v>
      </c>
      <c r="N25" s="107">
        <v>276.05</v>
      </c>
      <c r="O25" s="107">
        <v>265.60000000000002</v>
      </c>
      <c r="P25" s="107">
        <v>267.25</v>
      </c>
      <c r="Q25" s="107">
        <v>273.8</v>
      </c>
      <c r="R25">
        <v>2668549</v>
      </c>
    </row>
    <row r="26" spans="1:18" x14ac:dyDescent="0.25">
      <c r="A26" s="130">
        <v>42038</v>
      </c>
      <c r="B26" s="107">
        <v>277.10000000000002</v>
      </c>
      <c r="C26" s="107">
        <v>260.85000000000002</v>
      </c>
      <c r="D26" s="107">
        <v>259.45</v>
      </c>
      <c r="E26" s="107">
        <v>274.3</v>
      </c>
      <c r="F26" s="107">
        <v>260.85000000000002</v>
      </c>
      <c r="G26">
        <v>743806</v>
      </c>
      <c r="H26" s="107"/>
      <c r="I26" s="107"/>
      <c r="L26" s="130">
        <v>42038</v>
      </c>
      <c r="M26" s="107">
        <v>261.14999999999998</v>
      </c>
      <c r="N26" s="107">
        <v>276.89999999999998</v>
      </c>
      <c r="O26" s="107">
        <v>259.5</v>
      </c>
      <c r="P26" s="107">
        <v>275.45</v>
      </c>
      <c r="Q26" s="107">
        <v>261.14999999999998</v>
      </c>
      <c r="R26">
        <v>4795568</v>
      </c>
    </row>
    <row r="27" spans="1:18" x14ac:dyDescent="0.25">
      <c r="A27" s="130">
        <v>42039</v>
      </c>
      <c r="B27" s="107">
        <v>264.14999999999998</v>
      </c>
      <c r="C27" s="107">
        <v>256.85000000000002</v>
      </c>
      <c r="D27" s="107">
        <v>255.6</v>
      </c>
      <c r="E27" s="107">
        <v>263</v>
      </c>
      <c r="F27" s="107">
        <v>256.85000000000002</v>
      </c>
      <c r="G27">
        <v>842342</v>
      </c>
      <c r="H27" s="107"/>
      <c r="I27" s="107"/>
      <c r="L27" s="130">
        <v>42039</v>
      </c>
      <c r="M27" s="107">
        <v>257.05</v>
      </c>
      <c r="N27" s="107">
        <v>264.2</v>
      </c>
      <c r="O27" s="107">
        <v>256</v>
      </c>
      <c r="P27" s="107">
        <v>262.95</v>
      </c>
      <c r="Q27" s="107">
        <v>257.05</v>
      </c>
      <c r="R27">
        <v>5006893</v>
      </c>
    </row>
    <row r="28" spans="1:18" x14ac:dyDescent="0.25">
      <c r="A28" s="130">
        <v>42040</v>
      </c>
      <c r="B28" s="107">
        <v>260.85000000000002</v>
      </c>
      <c r="C28" s="107">
        <v>249.55</v>
      </c>
      <c r="D28" s="107">
        <v>247.6</v>
      </c>
      <c r="E28" s="107">
        <v>257.89999999999998</v>
      </c>
      <c r="F28" s="107">
        <v>249.55</v>
      </c>
      <c r="G28">
        <v>486942</v>
      </c>
      <c r="H28" s="107"/>
      <c r="I28" s="107"/>
      <c r="L28" s="130">
        <v>42040</v>
      </c>
      <c r="M28" s="107">
        <v>249.45</v>
      </c>
      <c r="N28" s="107">
        <v>260.8</v>
      </c>
      <c r="O28" s="107">
        <v>247.55</v>
      </c>
      <c r="P28" s="107">
        <v>257.10000000000002</v>
      </c>
      <c r="Q28" s="107">
        <v>249.45</v>
      </c>
      <c r="R28">
        <v>2722463</v>
      </c>
    </row>
    <row r="29" spans="1:18" x14ac:dyDescent="0.25">
      <c r="A29" s="130">
        <v>42041</v>
      </c>
      <c r="B29" s="107">
        <v>251.7</v>
      </c>
      <c r="C29" s="107">
        <v>246.8</v>
      </c>
      <c r="D29" s="107">
        <v>243.2</v>
      </c>
      <c r="E29" s="107">
        <v>250.1</v>
      </c>
      <c r="F29" s="107">
        <v>246.8</v>
      </c>
      <c r="G29">
        <v>525491</v>
      </c>
      <c r="H29" s="107"/>
      <c r="I29" s="107"/>
      <c r="L29" s="130">
        <v>42041</v>
      </c>
      <c r="M29" s="107">
        <v>247.2</v>
      </c>
      <c r="N29" s="107">
        <v>251.85</v>
      </c>
      <c r="O29" s="107">
        <v>242.95</v>
      </c>
      <c r="P29" s="107">
        <v>249.9</v>
      </c>
      <c r="Q29" s="107">
        <v>247.2</v>
      </c>
      <c r="R29">
        <v>3320834</v>
      </c>
    </row>
    <row r="30" spans="1:18" x14ac:dyDescent="0.25">
      <c r="A30" s="130">
        <v>42044</v>
      </c>
      <c r="B30" s="107">
        <v>248.2</v>
      </c>
      <c r="C30" s="107">
        <v>233.15</v>
      </c>
      <c r="D30" s="107">
        <v>231.6</v>
      </c>
      <c r="E30" s="107">
        <v>246</v>
      </c>
      <c r="F30" s="107">
        <v>233.15</v>
      </c>
      <c r="G30">
        <v>855823</v>
      </c>
      <c r="H30" s="107"/>
      <c r="I30" s="107"/>
      <c r="L30" s="130">
        <v>42044</v>
      </c>
      <c r="M30" s="107">
        <v>232.7</v>
      </c>
      <c r="N30" s="107">
        <v>248.5</v>
      </c>
      <c r="O30" s="107">
        <v>231.1</v>
      </c>
      <c r="P30" s="107">
        <v>246.2</v>
      </c>
      <c r="Q30" s="107">
        <v>232.7</v>
      </c>
      <c r="R30">
        <v>4691597</v>
      </c>
    </row>
    <row r="31" spans="1:18" x14ac:dyDescent="0.25">
      <c r="A31" s="130">
        <v>42045</v>
      </c>
      <c r="B31" s="107">
        <v>243.1</v>
      </c>
      <c r="C31" s="107">
        <v>236.55</v>
      </c>
      <c r="D31" s="107">
        <v>229</v>
      </c>
      <c r="E31" s="107">
        <v>232</v>
      </c>
      <c r="F31" s="107">
        <v>236.55</v>
      </c>
      <c r="G31">
        <v>1169364</v>
      </c>
      <c r="H31" s="107"/>
      <c r="I31" s="107"/>
      <c r="L31" s="130">
        <v>42045</v>
      </c>
      <c r="M31" s="107">
        <v>236.45</v>
      </c>
      <c r="N31" s="107">
        <v>243.35</v>
      </c>
      <c r="O31" s="107">
        <v>228.2</v>
      </c>
      <c r="P31" s="107">
        <v>232</v>
      </c>
      <c r="Q31" s="107">
        <v>236.45</v>
      </c>
      <c r="R31">
        <v>4802236</v>
      </c>
    </row>
    <row r="32" spans="1:18" x14ac:dyDescent="0.25">
      <c r="A32" s="130">
        <v>42046</v>
      </c>
      <c r="B32" s="107">
        <v>243.55</v>
      </c>
      <c r="C32" s="107">
        <v>241.6</v>
      </c>
      <c r="D32" s="107">
        <v>237</v>
      </c>
      <c r="E32" s="107">
        <v>238.5</v>
      </c>
      <c r="F32" s="107">
        <v>241.6</v>
      </c>
      <c r="G32">
        <v>590871</v>
      </c>
      <c r="H32" s="107"/>
      <c r="I32" s="107"/>
      <c r="L32" s="130">
        <v>42046</v>
      </c>
      <c r="M32" s="107">
        <v>241.3</v>
      </c>
      <c r="N32" s="107">
        <v>243.7</v>
      </c>
      <c r="O32" s="107">
        <v>236.4</v>
      </c>
      <c r="P32" s="107">
        <v>238.15</v>
      </c>
      <c r="Q32" s="107">
        <v>241.3</v>
      </c>
      <c r="R32">
        <v>2741617</v>
      </c>
    </row>
    <row r="33" spans="1:18" x14ac:dyDescent="0.25">
      <c r="A33" s="130">
        <v>42047</v>
      </c>
      <c r="B33" s="107">
        <v>244.75</v>
      </c>
      <c r="C33" s="107">
        <v>227.65</v>
      </c>
      <c r="D33" s="107">
        <v>225.1</v>
      </c>
      <c r="E33" s="107">
        <v>243.65</v>
      </c>
      <c r="F33" s="107">
        <v>227.65</v>
      </c>
      <c r="G33">
        <v>1916016</v>
      </c>
      <c r="H33" s="107"/>
      <c r="I33" s="107"/>
      <c r="L33" s="130">
        <v>42047</v>
      </c>
      <c r="M33" s="107">
        <v>227.4</v>
      </c>
      <c r="N33" s="107">
        <v>244.8</v>
      </c>
      <c r="O33" s="107">
        <v>225.1</v>
      </c>
      <c r="P33" s="107">
        <v>243</v>
      </c>
      <c r="Q33" s="107">
        <v>227.4</v>
      </c>
      <c r="R33">
        <v>12209501</v>
      </c>
    </row>
    <row r="34" spans="1:18" x14ac:dyDescent="0.25">
      <c r="A34" s="130">
        <v>42048</v>
      </c>
      <c r="B34" s="107">
        <v>236.5</v>
      </c>
      <c r="C34" s="107">
        <v>235.75</v>
      </c>
      <c r="D34" s="107">
        <v>226.2</v>
      </c>
      <c r="E34" s="107">
        <v>226.5</v>
      </c>
      <c r="F34" s="107">
        <v>235.75</v>
      </c>
      <c r="G34">
        <v>836746</v>
      </c>
      <c r="H34" s="107"/>
      <c r="I34" s="107"/>
      <c r="L34" s="130">
        <v>42048</v>
      </c>
      <c r="M34" s="107">
        <v>235.5</v>
      </c>
      <c r="N34" s="107">
        <v>236.6</v>
      </c>
      <c r="O34" s="107">
        <v>225.85</v>
      </c>
      <c r="P34" s="107">
        <v>226.5</v>
      </c>
      <c r="Q34" s="107">
        <v>235.5</v>
      </c>
      <c r="R34">
        <v>5100439</v>
      </c>
    </row>
    <row r="35" spans="1:18" x14ac:dyDescent="0.25">
      <c r="A35" s="130">
        <v>42051</v>
      </c>
      <c r="B35" s="107">
        <v>239.65</v>
      </c>
      <c r="C35" s="107">
        <v>235.25</v>
      </c>
      <c r="D35" s="107">
        <v>230.15</v>
      </c>
      <c r="E35" s="107">
        <v>237.8</v>
      </c>
      <c r="F35" s="107">
        <v>235.25</v>
      </c>
      <c r="G35">
        <v>654400</v>
      </c>
      <c r="H35" s="107"/>
      <c r="I35" s="107"/>
      <c r="L35" s="130">
        <v>42051</v>
      </c>
      <c r="M35" s="107">
        <v>235.15</v>
      </c>
      <c r="N35" s="107">
        <v>239.95</v>
      </c>
      <c r="O35" s="107">
        <v>230</v>
      </c>
      <c r="P35" s="107">
        <v>237</v>
      </c>
      <c r="Q35" s="107">
        <v>235.15</v>
      </c>
      <c r="R35">
        <v>4689806</v>
      </c>
    </row>
    <row r="36" spans="1:18" x14ac:dyDescent="0.25">
      <c r="A36" s="130">
        <v>42053</v>
      </c>
      <c r="B36" s="107">
        <v>237</v>
      </c>
      <c r="C36" s="107">
        <v>234.05</v>
      </c>
      <c r="D36" s="107">
        <v>232.6</v>
      </c>
      <c r="E36" s="107">
        <v>237</v>
      </c>
      <c r="F36" s="107">
        <v>234.05</v>
      </c>
      <c r="G36">
        <v>423765</v>
      </c>
      <c r="H36" s="107"/>
      <c r="I36" s="107"/>
      <c r="L36" s="130">
        <v>42053</v>
      </c>
      <c r="M36" s="107">
        <v>234.05</v>
      </c>
      <c r="N36" s="107">
        <v>236.75</v>
      </c>
      <c r="O36" s="107">
        <v>232.35</v>
      </c>
      <c r="P36" s="107">
        <v>236</v>
      </c>
      <c r="Q36" s="107">
        <v>234.05</v>
      </c>
      <c r="R36">
        <v>2347153</v>
      </c>
    </row>
    <row r="37" spans="1:18" x14ac:dyDescent="0.25">
      <c r="A37" s="130">
        <v>42054</v>
      </c>
      <c r="B37" s="107">
        <v>236.05</v>
      </c>
      <c r="C37" s="107">
        <v>233.95</v>
      </c>
      <c r="D37" s="107">
        <v>228.95</v>
      </c>
      <c r="E37" s="107">
        <v>234.65</v>
      </c>
      <c r="F37" s="107">
        <v>233.95</v>
      </c>
      <c r="G37">
        <v>530157</v>
      </c>
      <c r="H37" s="107"/>
      <c r="I37" s="107"/>
      <c r="L37" s="130">
        <v>42054</v>
      </c>
      <c r="M37" s="107">
        <v>234</v>
      </c>
      <c r="N37" s="107">
        <v>236.25</v>
      </c>
      <c r="O37" s="107">
        <v>228.6</v>
      </c>
      <c r="P37" s="107">
        <v>234.3</v>
      </c>
      <c r="Q37" s="107">
        <v>234</v>
      </c>
      <c r="R37">
        <v>2634167</v>
      </c>
    </row>
    <row r="38" spans="1:18" x14ac:dyDescent="0.25">
      <c r="A38" s="130">
        <v>42055</v>
      </c>
      <c r="B38" s="107">
        <v>243.2</v>
      </c>
      <c r="C38" s="107">
        <v>238.6</v>
      </c>
      <c r="D38" s="107">
        <v>232.1</v>
      </c>
      <c r="E38" s="107">
        <v>235.5</v>
      </c>
      <c r="F38" s="107">
        <v>238.6</v>
      </c>
      <c r="G38">
        <v>676037</v>
      </c>
      <c r="H38" s="107"/>
      <c r="I38" s="107"/>
      <c r="L38" s="130">
        <v>42055</v>
      </c>
      <c r="M38" s="107">
        <v>238.65</v>
      </c>
      <c r="N38" s="107">
        <v>243.3</v>
      </c>
      <c r="O38" s="107">
        <v>232</v>
      </c>
      <c r="P38" s="107">
        <v>235</v>
      </c>
      <c r="Q38" s="107">
        <v>238.65</v>
      </c>
      <c r="R38">
        <v>3471395</v>
      </c>
    </row>
    <row r="39" spans="1:18" x14ac:dyDescent="0.25">
      <c r="A39" s="130">
        <v>42058</v>
      </c>
      <c r="B39" s="107">
        <v>241</v>
      </c>
      <c r="C39" s="107">
        <v>234.65</v>
      </c>
      <c r="D39" s="107">
        <v>233.15</v>
      </c>
      <c r="E39" s="107">
        <v>240.9</v>
      </c>
      <c r="F39" s="107">
        <v>234.65</v>
      </c>
      <c r="G39">
        <v>309276</v>
      </c>
      <c r="H39" s="107"/>
      <c r="I39" s="107"/>
      <c r="L39" s="130">
        <v>42058</v>
      </c>
      <c r="M39" s="107">
        <v>234.75</v>
      </c>
      <c r="N39" s="107">
        <v>241.25</v>
      </c>
      <c r="O39" s="107">
        <v>233.25</v>
      </c>
      <c r="P39" s="107">
        <v>240.5</v>
      </c>
      <c r="Q39" s="107">
        <v>234.75</v>
      </c>
      <c r="R39">
        <v>2281780</v>
      </c>
    </row>
    <row r="40" spans="1:18" x14ac:dyDescent="0.25">
      <c r="A40" s="130">
        <v>42059</v>
      </c>
      <c r="B40" s="107">
        <v>235.9</v>
      </c>
      <c r="C40" s="107">
        <v>232</v>
      </c>
      <c r="D40" s="107">
        <v>229.55</v>
      </c>
      <c r="E40" s="107">
        <v>235</v>
      </c>
      <c r="F40" s="107">
        <v>232</v>
      </c>
      <c r="G40">
        <v>457555</v>
      </c>
      <c r="H40" s="107"/>
      <c r="I40" s="107"/>
      <c r="L40" s="130">
        <v>42059</v>
      </c>
      <c r="M40" s="107">
        <v>231.95</v>
      </c>
      <c r="N40" s="107">
        <v>235.1</v>
      </c>
      <c r="O40" s="107">
        <v>229.5</v>
      </c>
      <c r="P40" s="107">
        <v>234.8</v>
      </c>
      <c r="Q40" s="107">
        <v>231.95</v>
      </c>
      <c r="R40">
        <v>2772609</v>
      </c>
    </row>
    <row r="41" spans="1:18" x14ac:dyDescent="0.25">
      <c r="A41" s="130">
        <v>42060</v>
      </c>
      <c r="B41" s="107">
        <v>234.35</v>
      </c>
      <c r="C41" s="107">
        <v>229.25</v>
      </c>
      <c r="D41" s="107">
        <v>228.1</v>
      </c>
      <c r="E41" s="107">
        <v>233.9</v>
      </c>
      <c r="F41" s="107">
        <v>229.25</v>
      </c>
      <c r="G41">
        <v>411913</v>
      </c>
      <c r="H41" s="107"/>
      <c r="I41" s="107"/>
      <c r="L41" s="130">
        <v>42060</v>
      </c>
      <c r="M41" s="107">
        <v>229.05</v>
      </c>
      <c r="N41" s="107">
        <v>234.5</v>
      </c>
      <c r="O41" s="107">
        <v>228.25</v>
      </c>
      <c r="P41" s="107">
        <v>233.9</v>
      </c>
      <c r="Q41" s="107">
        <v>229.05</v>
      </c>
      <c r="R41">
        <v>2393566</v>
      </c>
    </row>
    <row r="42" spans="1:18" x14ac:dyDescent="0.25">
      <c r="A42" s="130">
        <v>42061</v>
      </c>
      <c r="B42" s="107">
        <v>229.25</v>
      </c>
      <c r="C42" s="107">
        <v>222</v>
      </c>
      <c r="D42" s="107">
        <v>221.3</v>
      </c>
      <c r="E42" s="107">
        <v>229.25</v>
      </c>
      <c r="F42" s="107">
        <v>222</v>
      </c>
      <c r="G42">
        <v>598651</v>
      </c>
      <c r="H42" s="107"/>
      <c r="I42" s="107"/>
      <c r="L42" s="130">
        <v>42061</v>
      </c>
      <c r="M42" s="107">
        <v>221.75</v>
      </c>
      <c r="N42" s="107">
        <v>229.6</v>
      </c>
      <c r="O42" s="107">
        <v>221.2</v>
      </c>
      <c r="P42" s="107">
        <v>229</v>
      </c>
      <c r="Q42" s="107">
        <v>221.75</v>
      </c>
      <c r="R42">
        <v>3702558</v>
      </c>
    </row>
    <row r="43" spans="1:18" x14ac:dyDescent="0.25">
      <c r="A43" s="130">
        <v>42062</v>
      </c>
      <c r="B43" s="107">
        <v>236.8</v>
      </c>
      <c r="C43" s="107">
        <v>235.55</v>
      </c>
      <c r="D43" s="107">
        <v>223.9</v>
      </c>
      <c r="E43" s="107">
        <v>223.9</v>
      </c>
      <c r="F43" s="107">
        <v>235.55</v>
      </c>
      <c r="G43">
        <v>907255</v>
      </c>
      <c r="H43" s="107"/>
      <c r="I43" s="107"/>
      <c r="L43" s="130">
        <v>42062</v>
      </c>
      <c r="M43" s="107">
        <v>235.6</v>
      </c>
      <c r="N43" s="107">
        <v>237</v>
      </c>
      <c r="O43" s="107">
        <v>223.5</v>
      </c>
      <c r="P43" s="107">
        <v>224.05</v>
      </c>
      <c r="Q43" s="107">
        <v>235.6</v>
      </c>
      <c r="R43">
        <v>3617079</v>
      </c>
    </row>
    <row r="44" spans="1:18" x14ac:dyDescent="0.25">
      <c r="A44" s="130">
        <v>42063</v>
      </c>
      <c r="B44" s="107">
        <v>241.2</v>
      </c>
      <c r="C44" s="107">
        <v>234.2</v>
      </c>
      <c r="D44" s="107">
        <v>228.1</v>
      </c>
      <c r="E44" s="107">
        <v>237.75</v>
      </c>
      <c r="F44" s="107">
        <v>234.2</v>
      </c>
      <c r="G44">
        <v>872767</v>
      </c>
      <c r="H44" s="107"/>
      <c r="I44" s="107"/>
      <c r="L44" s="130">
        <v>42063</v>
      </c>
      <c r="M44" s="107">
        <v>234.3</v>
      </c>
      <c r="N44" s="107">
        <v>241.25</v>
      </c>
      <c r="O44" s="107">
        <v>228</v>
      </c>
      <c r="P44" s="107">
        <v>237.9</v>
      </c>
      <c r="Q44" s="107">
        <v>234.3</v>
      </c>
      <c r="R44">
        <v>3920144</v>
      </c>
    </row>
    <row r="45" spans="1:18" x14ac:dyDescent="0.25">
      <c r="A45" s="130">
        <v>42065</v>
      </c>
      <c r="B45" s="107">
        <v>241</v>
      </c>
      <c r="C45" s="107">
        <v>235.9</v>
      </c>
      <c r="D45" s="107">
        <v>232.2</v>
      </c>
      <c r="E45" s="107">
        <v>237</v>
      </c>
      <c r="F45" s="107">
        <v>235.9</v>
      </c>
      <c r="G45">
        <v>746001</v>
      </c>
      <c r="H45" s="107"/>
      <c r="I45" s="107"/>
      <c r="L45" s="130">
        <v>42065</v>
      </c>
      <c r="M45" s="107">
        <v>235.9</v>
      </c>
      <c r="N45" s="107">
        <v>241</v>
      </c>
      <c r="O45" s="107">
        <v>232.05</v>
      </c>
      <c r="P45" s="107">
        <v>237.5</v>
      </c>
      <c r="Q45" s="107">
        <v>235.9</v>
      </c>
      <c r="R45">
        <v>2559593</v>
      </c>
    </row>
    <row r="46" spans="1:18" x14ac:dyDescent="0.25">
      <c r="A46" s="130">
        <v>42066</v>
      </c>
      <c r="B46" s="107">
        <v>241</v>
      </c>
      <c r="C46" s="107">
        <v>239.8</v>
      </c>
      <c r="D46" s="107">
        <v>233</v>
      </c>
      <c r="E46" s="107">
        <v>236</v>
      </c>
      <c r="F46" s="107">
        <v>239.8</v>
      </c>
      <c r="G46">
        <v>394501</v>
      </c>
      <c r="H46" s="107"/>
      <c r="I46" s="107"/>
      <c r="L46" s="130">
        <v>42066</v>
      </c>
      <c r="M46" s="107">
        <v>239.9</v>
      </c>
      <c r="N46" s="107">
        <v>241</v>
      </c>
      <c r="O46" s="107">
        <v>232.9</v>
      </c>
      <c r="P46" s="107">
        <v>236.8</v>
      </c>
      <c r="Q46" s="107">
        <v>239.9</v>
      </c>
      <c r="R46">
        <v>2425630</v>
      </c>
    </row>
    <row r="47" spans="1:18" x14ac:dyDescent="0.25">
      <c r="A47" s="130">
        <v>42067</v>
      </c>
      <c r="B47" s="107">
        <v>250</v>
      </c>
      <c r="C47" s="107">
        <v>231.75</v>
      </c>
      <c r="D47" s="107">
        <v>228.95</v>
      </c>
      <c r="E47" s="107">
        <v>248.9</v>
      </c>
      <c r="F47" s="107">
        <v>231.75</v>
      </c>
      <c r="G47">
        <v>1203961</v>
      </c>
      <c r="H47" s="107"/>
      <c r="I47" s="107"/>
      <c r="L47" s="130">
        <v>42067</v>
      </c>
      <c r="M47" s="107">
        <v>231.35</v>
      </c>
      <c r="N47" s="107">
        <v>250</v>
      </c>
      <c r="O47" s="107">
        <v>228</v>
      </c>
      <c r="P47" s="107">
        <v>248.8</v>
      </c>
      <c r="Q47" s="107">
        <v>231.35</v>
      </c>
      <c r="R47">
        <v>5621462</v>
      </c>
    </row>
    <row r="48" spans="1:18" x14ac:dyDescent="0.25">
      <c r="A48" s="130">
        <v>42068</v>
      </c>
      <c r="B48" s="107">
        <v>233.8</v>
      </c>
      <c r="C48" s="107">
        <v>229.55</v>
      </c>
      <c r="D48" s="107">
        <v>225.65</v>
      </c>
      <c r="E48" s="107">
        <v>233.3</v>
      </c>
      <c r="F48" s="107">
        <v>229.55</v>
      </c>
      <c r="G48">
        <v>622102</v>
      </c>
      <c r="H48" s="107"/>
      <c r="I48" s="107"/>
      <c r="L48" s="130">
        <v>42068</v>
      </c>
      <c r="M48" s="107">
        <v>229.25</v>
      </c>
      <c r="N48" s="107">
        <v>233.8</v>
      </c>
      <c r="O48" s="107">
        <v>225.25</v>
      </c>
      <c r="P48" s="107">
        <v>232</v>
      </c>
      <c r="Q48" s="107">
        <v>229.25</v>
      </c>
      <c r="R48">
        <v>3549960</v>
      </c>
    </row>
    <row r="49" spans="1:18" x14ac:dyDescent="0.25">
      <c r="A49" s="130">
        <v>42072</v>
      </c>
      <c r="B49" s="107">
        <v>229</v>
      </c>
      <c r="C49" s="107">
        <v>223</v>
      </c>
      <c r="D49" s="107">
        <v>222</v>
      </c>
      <c r="E49" s="107">
        <v>228</v>
      </c>
      <c r="F49" s="107">
        <v>223</v>
      </c>
      <c r="G49">
        <v>523229</v>
      </c>
      <c r="H49" s="107"/>
      <c r="I49" s="107"/>
      <c r="L49" s="130">
        <v>42072</v>
      </c>
      <c r="M49" s="107">
        <v>222.5</v>
      </c>
      <c r="N49" s="107">
        <v>227.5</v>
      </c>
      <c r="O49" s="107">
        <v>221.7</v>
      </c>
      <c r="P49" s="107">
        <v>227</v>
      </c>
      <c r="Q49" s="107">
        <v>222.5</v>
      </c>
      <c r="R49">
        <v>2569657</v>
      </c>
    </row>
    <row r="50" spans="1:18" x14ac:dyDescent="0.25">
      <c r="A50" s="130">
        <v>42073</v>
      </c>
      <c r="B50" s="107">
        <v>224.8</v>
      </c>
      <c r="C50" s="107">
        <v>219.55</v>
      </c>
      <c r="D50" s="107">
        <v>217.4</v>
      </c>
      <c r="E50" s="107">
        <v>224.8</v>
      </c>
      <c r="F50" s="107">
        <v>219.55</v>
      </c>
      <c r="G50">
        <v>642572</v>
      </c>
      <c r="H50" s="107"/>
      <c r="I50" s="107"/>
      <c r="L50" s="130">
        <v>42073</v>
      </c>
      <c r="M50" s="107">
        <v>219.45</v>
      </c>
      <c r="N50" s="107">
        <v>224.8</v>
      </c>
      <c r="O50" s="107">
        <v>217.45</v>
      </c>
      <c r="P50" s="107">
        <v>223.95</v>
      </c>
      <c r="Q50" s="107">
        <v>219.45</v>
      </c>
      <c r="R50">
        <v>2999667</v>
      </c>
    </row>
    <row r="51" spans="1:18" x14ac:dyDescent="0.25">
      <c r="A51" s="130">
        <v>42074</v>
      </c>
      <c r="B51" s="107">
        <v>221.9</v>
      </c>
      <c r="C51" s="107">
        <v>218.1</v>
      </c>
      <c r="D51" s="107">
        <v>215.05</v>
      </c>
      <c r="E51" s="107">
        <v>221</v>
      </c>
      <c r="F51" s="107">
        <v>218.1</v>
      </c>
      <c r="G51">
        <v>673702</v>
      </c>
      <c r="H51" s="107"/>
      <c r="I51" s="107"/>
      <c r="L51" s="130">
        <v>42074</v>
      </c>
      <c r="M51" s="107">
        <v>217.9</v>
      </c>
      <c r="N51" s="107">
        <v>221.7</v>
      </c>
      <c r="O51" s="107">
        <v>215</v>
      </c>
      <c r="P51" s="107">
        <v>220</v>
      </c>
      <c r="Q51" s="107">
        <v>217.9</v>
      </c>
      <c r="R51">
        <v>3859916</v>
      </c>
    </row>
    <row r="52" spans="1:18" x14ac:dyDescent="0.25">
      <c r="A52" s="130">
        <v>42075</v>
      </c>
      <c r="B52" s="107">
        <v>223</v>
      </c>
      <c r="C52" s="107">
        <v>220.25</v>
      </c>
      <c r="D52" s="107">
        <v>219.5</v>
      </c>
      <c r="E52" s="107">
        <v>219.5</v>
      </c>
      <c r="F52" s="107">
        <v>220.25</v>
      </c>
      <c r="G52">
        <v>322054</v>
      </c>
      <c r="H52" s="107"/>
      <c r="I52" s="107"/>
      <c r="L52" s="130">
        <v>42075</v>
      </c>
      <c r="M52" s="107">
        <v>220.05</v>
      </c>
      <c r="N52" s="107">
        <v>223</v>
      </c>
      <c r="O52" s="107">
        <v>219.05</v>
      </c>
      <c r="P52" s="107">
        <v>219.7</v>
      </c>
      <c r="Q52" s="107">
        <v>220.05</v>
      </c>
      <c r="R52">
        <v>1887194</v>
      </c>
    </row>
    <row r="53" spans="1:18" x14ac:dyDescent="0.25">
      <c r="A53" s="130">
        <v>42076</v>
      </c>
      <c r="B53" s="107">
        <v>223.15</v>
      </c>
      <c r="C53" s="107">
        <v>216.1</v>
      </c>
      <c r="D53" s="107">
        <v>215.4</v>
      </c>
      <c r="E53" s="107">
        <v>222.6</v>
      </c>
      <c r="F53" s="107">
        <v>216.1</v>
      </c>
      <c r="G53">
        <v>524947</v>
      </c>
      <c r="H53" s="107"/>
      <c r="I53" s="107"/>
      <c r="L53" s="130">
        <v>42076</v>
      </c>
      <c r="M53" s="107">
        <v>216</v>
      </c>
      <c r="N53" s="107">
        <v>223.65</v>
      </c>
      <c r="O53" s="107">
        <v>215.5</v>
      </c>
      <c r="P53" s="107">
        <v>222.4</v>
      </c>
      <c r="Q53" s="107">
        <v>216</v>
      </c>
      <c r="R53">
        <v>2584656</v>
      </c>
    </row>
    <row r="54" spans="1:18" x14ac:dyDescent="0.25">
      <c r="A54" s="130">
        <v>42079</v>
      </c>
      <c r="B54" s="107">
        <v>218.85</v>
      </c>
      <c r="C54" s="107">
        <v>216.25</v>
      </c>
      <c r="D54" s="107">
        <v>214.5</v>
      </c>
      <c r="E54" s="107">
        <v>216.1</v>
      </c>
      <c r="F54" s="107">
        <v>216.25</v>
      </c>
      <c r="G54">
        <v>365817</v>
      </c>
      <c r="H54" s="107"/>
      <c r="I54" s="107"/>
      <c r="L54" s="130">
        <v>42079</v>
      </c>
      <c r="M54" s="107">
        <v>216.35</v>
      </c>
      <c r="N54" s="107">
        <v>218.75</v>
      </c>
      <c r="O54" s="107">
        <v>214.1</v>
      </c>
      <c r="P54" s="107">
        <v>217.15</v>
      </c>
      <c r="Q54" s="107">
        <v>216.35</v>
      </c>
      <c r="R54">
        <v>2028833</v>
      </c>
    </row>
    <row r="55" spans="1:18" x14ac:dyDescent="0.25">
      <c r="A55" s="130">
        <v>42080</v>
      </c>
      <c r="B55" s="107">
        <v>219.5</v>
      </c>
      <c r="C55" s="107">
        <v>218.15</v>
      </c>
      <c r="D55" s="107">
        <v>215.4</v>
      </c>
      <c r="E55" s="107">
        <v>218</v>
      </c>
      <c r="F55" s="107">
        <v>218.15</v>
      </c>
      <c r="G55">
        <v>331200</v>
      </c>
      <c r="H55" s="107"/>
      <c r="I55" s="107"/>
      <c r="L55" s="130">
        <v>42080</v>
      </c>
      <c r="M55" s="107">
        <v>218</v>
      </c>
      <c r="N55" s="107">
        <v>219.7</v>
      </c>
      <c r="O55" s="107">
        <v>215.1</v>
      </c>
      <c r="P55" s="107">
        <v>218</v>
      </c>
      <c r="Q55" s="107">
        <v>218</v>
      </c>
      <c r="R55">
        <v>2138881</v>
      </c>
    </row>
    <row r="56" spans="1:18" x14ac:dyDescent="0.25">
      <c r="A56" s="130">
        <v>42081</v>
      </c>
      <c r="B56" s="107">
        <v>222.35</v>
      </c>
      <c r="C56" s="107">
        <v>220.65</v>
      </c>
      <c r="D56" s="107">
        <v>217.85</v>
      </c>
      <c r="E56" s="107">
        <v>219.8</v>
      </c>
      <c r="F56" s="107">
        <v>220.65</v>
      </c>
      <c r="G56">
        <v>388544</v>
      </c>
      <c r="H56" s="107"/>
      <c r="I56" s="107"/>
      <c r="L56" s="130">
        <v>42081</v>
      </c>
      <c r="M56" s="107">
        <v>220.55</v>
      </c>
      <c r="N56" s="107">
        <v>222.35</v>
      </c>
      <c r="O56" s="107">
        <v>217.55</v>
      </c>
      <c r="P56" s="107">
        <v>219</v>
      </c>
      <c r="Q56" s="107">
        <v>220.55</v>
      </c>
      <c r="R56">
        <v>2025966</v>
      </c>
    </row>
    <row r="57" spans="1:18" x14ac:dyDescent="0.25">
      <c r="A57" s="130">
        <v>42082</v>
      </c>
      <c r="B57" s="107">
        <v>224</v>
      </c>
      <c r="C57" s="107">
        <v>215.9</v>
      </c>
      <c r="D57" s="107">
        <v>214.65</v>
      </c>
      <c r="E57" s="107">
        <v>223.2</v>
      </c>
      <c r="F57" s="107">
        <v>215.9</v>
      </c>
      <c r="G57">
        <v>392417</v>
      </c>
      <c r="H57" s="107"/>
      <c r="I57" s="107"/>
      <c r="L57" s="130">
        <v>42082</v>
      </c>
      <c r="M57" s="107">
        <v>215.85</v>
      </c>
      <c r="N57" s="107">
        <v>224.55</v>
      </c>
      <c r="O57" s="107">
        <v>215</v>
      </c>
      <c r="P57" s="107">
        <v>224.5</v>
      </c>
      <c r="Q57" s="107">
        <v>215.85</v>
      </c>
      <c r="R57">
        <v>1687218</v>
      </c>
    </row>
    <row r="58" spans="1:18" x14ac:dyDescent="0.25">
      <c r="A58" s="130">
        <v>42083</v>
      </c>
      <c r="B58" s="107">
        <v>217.9</v>
      </c>
      <c r="C58" s="107">
        <v>212.8</v>
      </c>
      <c r="D58" s="107">
        <v>210.65</v>
      </c>
      <c r="E58" s="107">
        <v>214.8</v>
      </c>
      <c r="F58" s="107">
        <v>212.8</v>
      </c>
      <c r="G58">
        <v>598411</v>
      </c>
      <c r="H58" s="107"/>
      <c r="I58" s="107"/>
      <c r="L58" s="130">
        <v>42083</v>
      </c>
      <c r="M58" s="107">
        <v>212.6</v>
      </c>
      <c r="N58" s="107">
        <v>217.95</v>
      </c>
      <c r="O58" s="107">
        <v>210.5</v>
      </c>
      <c r="P58" s="107">
        <v>215.2</v>
      </c>
      <c r="Q58" s="107">
        <v>212.6</v>
      </c>
      <c r="R58">
        <v>3012534</v>
      </c>
    </row>
    <row r="59" spans="1:18" x14ac:dyDescent="0.25">
      <c r="A59" s="130">
        <v>42086</v>
      </c>
      <c r="B59" s="107">
        <v>214.65</v>
      </c>
      <c r="C59" s="107">
        <v>209.05</v>
      </c>
      <c r="D59" s="107">
        <v>208</v>
      </c>
      <c r="E59" s="107">
        <v>214</v>
      </c>
      <c r="F59" s="107">
        <v>209.05</v>
      </c>
      <c r="G59">
        <v>414583</v>
      </c>
      <c r="H59" s="107"/>
      <c r="I59" s="107"/>
      <c r="L59" s="130">
        <v>42086</v>
      </c>
      <c r="M59" s="107">
        <v>209.1</v>
      </c>
      <c r="N59" s="107">
        <v>214.55</v>
      </c>
      <c r="O59" s="107">
        <v>208.4</v>
      </c>
      <c r="P59" s="107">
        <v>213.5</v>
      </c>
      <c r="Q59" s="107">
        <v>209.1</v>
      </c>
      <c r="R59">
        <v>2210084</v>
      </c>
    </row>
    <row r="60" spans="1:18" x14ac:dyDescent="0.25">
      <c r="A60" s="130">
        <v>42087</v>
      </c>
      <c r="B60" s="107">
        <v>209.5</v>
      </c>
      <c r="C60" s="107">
        <v>204.55</v>
      </c>
      <c r="D60" s="107">
        <v>203.9</v>
      </c>
      <c r="E60" s="107">
        <v>207.5</v>
      </c>
      <c r="F60" s="107">
        <v>204.55</v>
      </c>
      <c r="G60">
        <v>453906</v>
      </c>
      <c r="H60" s="107"/>
      <c r="I60" s="107"/>
      <c r="L60" s="130">
        <v>42087</v>
      </c>
      <c r="M60" s="107">
        <v>204.6</v>
      </c>
      <c r="N60" s="107">
        <v>209.75</v>
      </c>
      <c r="O60" s="107">
        <v>203.7</v>
      </c>
      <c r="P60" s="107">
        <v>207</v>
      </c>
      <c r="Q60" s="107">
        <v>204.6</v>
      </c>
      <c r="R60">
        <v>2917431</v>
      </c>
    </row>
    <row r="61" spans="1:18" x14ac:dyDescent="0.25">
      <c r="A61" s="130">
        <v>42088</v>
      </c>
      <c r="B61" s="107">
        <v>205.5</v>
      </c>
      <c r="C61" s="107">
        <v>202.55</v>
      </c>
      <c r="D61" s="107">
        <v>201.3</v>
      </c>
      <c r="E61" s="107">
        <v>205.5</v>
      </c>
      <c r="F61" s="107">
        <v>202.55</v>
      </c>
      <c r="G61">
        <v>368751</v>
      </c>
      <c r="H61" s="107"/>
      <c r="I61" s="107"/>
      <c r="L61" s="130">
        <v>42088</v>
      </c>
      <c r="M61" s="107">
        <v>202.8</v>
      </c>
      <c r="N61" s="107">
        <v>205.6</v>
      </c>
      <c r="O61" s="107">
        <v>202</v>
      </c>
      <c r="P61" s="107">
        <v>204.5</v>
      </c>
      <c r="Q61" s="107">
        <v>202.8</v>
      </c>
      <c r="R61">
        <v>2074761</v>
      </c>
    </row>
    <row r="62" spans="1:18" x14ac:dyDescent="0.25">
      <c r="A62" s="130">
        <v>42089</v>
      </c>
      <c r="B62" s="107">
        <v>203.8</v>
      </c>
      <c r="C62" s="107">
        <v>197.9</v>
      </c>
      <c r="D62" s="107">
        <v>197.15</v>
      </c>
      <c r="E62" s="107">
        <v>202.45</v>
      </c>
      <c r="F62" s="107">
        <v>197.9</v>
      </c>
      <c r="G62">
        <v>367746</v>
      </c>
      <c r="H62" s="107"/>
      <c r="I62" s="107"/>
      <c r="L62" s="130">
        <v>42089</v>
      </c>
      <c r="M62" s="107">
        <v>197.35</v>
      </c>
      <c r="N62" s="107">
        <v>203.9</v>
      </c>
      <c r="O62" s="107">
        <v>196.25</v>
      </c>
      <c r="P62" s="107">
        <v>201.8</v>
      </c>
      <c r="Q62" s="107">
        <v>197.35</v>
      </c>
      <c r="R62">
        <v>2921264</v>
      </c>
    </row>
    <row r="63" spans="1:18" x14ac:dyDescent="0.25">
      <c r="A63" s="130">
        <v>42090</v>
      </c>
      <c r="B63" s="107">
        <v>201</v>
      </c>
      <c r="C63" s="107">
        <v>198.3</v>
      </c>
      <c r="D63" s="107">
        <v>191.5</v>
      </c>
      <c r="E63" s="107">
        <v>198.3</v>
      </c>
      <c r="F63" s="107">
        <v>198.3</v>
      </c>
      <c r="G63">
        <v>649160</v>
      </c>
      <c r="H63" s="107"/>
      <c r="I63" s="107"/>
      <c r="L63" s="130">
        <v>42090</v>
      </c>
      <c r="M63" s="107">
        <v>198.55</v>
      </c>
      <c r="N63" s="107">
        <v>200.45</v>
      </c>
      <c r="O63" s="107">
        <v>191.5</v>
      </c>
      <c r="P63" s="107">
        <v>198.1</v>
      </c>
      <c r="Q63" s="107">
        <v>198.55</v>
      </c>
      <c r="R63">
        <v>4105214</v>
      </c>
    </row>
    <row r="64" spans="1:18" x14ac:dyDescent="0.25">
      <c r="A64" s="130">
        <v>42093</v>
      </c>
      <c r="B64" s="107">
        <v>201.95</v>
      </c>
      <c r="C64" s="107">
        <v>200</v>
      </c>
      <c r="D64" s="107">
        <v>195</v>
      </c>
      <c r="E64" s="107">
        <v>201.45</v>
      </c>
      <c r="F64" s="107">
        <v>200</v>
      </c>
      <c r="G64">
        <v>426219</v>
      </c>
      <c r="H64" s="107"/>
      <c r="I64" s="107"/>
      <c r="L64" s="130">
        <v>42093</v>
      </c>
      <c r="M64" s="107">
        <v>199.9</v>
      </c>
      <c r="N64" s="107">
        <v>201</v>
      </c>
      <c r="O64" s="107">
        <v>195</v>
      </c>
      <c r="P64" s="107">
        <v>201</v>
      </c>
      <c r="Q64" s="107">
        <v>199.9</v>
      </c>
      <c r="R64">
        <v>2289290</v>
      </c>
    </row>
    <row r="65" spans="1:18" x14ac:dyDescent="0.25">
      <c r="A65" s="130">
        <v>42094</v>
      </c>
      <c r="B65" s="107">
        <v>201.9</v>
      </c>
      <c r="C65" s="107">
        <v>195.75</v>
      </c>
      <c r="D65" s="107">
        <v>194.6</v>
      </c>
      <c r="E65" s="107">
        <v>201.9</v>
      </c>
      <c r="F65" s="107">
        <v>195.75</v>
      </c>
      <c r="G65">
        <v>419759</v>
      </c>
      <c r="H65" s="107"/>
      <c r="I65" s="107"/>
      <c r="L65" s="130">
        <v>42094</v>
      </c>
      <c r="M65" s="107">
        <v>195.85</v>
      </c>
      <c r="N65" s="107">
        <v>202</v>
      </c>
      <c r="O65" s="107">
        <v>194.85</v>
      </c>
      <c r="P65" s="107">
        <v>200.9</v>
      </c>
      <c r="Q65" s="107">
        <v>195.85</v>
      </c>
      <c r="R65">
        <v>2826420</v>
      </c>
    </row>
    <row r="66" spans="1:18" x14ac:dyDescent="0.25">
      <c r="A66" s="130">
        <v>42095</v>
      </c>
      <c r="B66" s="107">
        <v>210.4</v>
      </c>
      <c r="C66" s="107">
        <v>206.1</v>
      </c>
      <c r="D66" s="107">
        <v>194.1</v>
      </c>
      <c r="E66" s="107">
        <v>195.5</v>
      </c>
      <c r="F66" s="107">
        <v>206.1</v>
      </c>
      <c r="G66">
        <v>673323</v>
      </c>
      <c r="H66" s="107"/>
      <c r="I66" s="107"/>
      <c r="L66" s="130">
        <v>42095</v>
      </c>
      <c r="M66" s="107">
        <v>205.75</v>
      </c>
      <c r="N66" s="107">
        <v>209.8</v>
      </c>
      <c r="O66" s="107">
        <v>194.05</v>
      </c>
      <c r="P66" s="107">
        <v>194.6</v>
      </c>
      <c r="Q66" s="107">
        <v>205.75</v>
      </c>
      <c r="R66">
        <v>3396490</v>
      </c>
    </row>
    <row r="67" spans="1:18" x14ac:dyDescent="0.25">
      <c r="A67" s="130">
        <v>42100</v>
      </c>
      <c r="B67" s="107">
        <v>209.3</v>
      </c>
      <c r="C67" s="107">
        <v>205.95</v>
      </c>
      <c r="D67" s="107">
        <v>203</v>
      </c>
      <c r="E67" s="107">
        <v>207.7</v>
      </c>
      <c r="F67" s="107">
        <v>205.95</v>
      </c>
      <c r="G67">
        <v>479556</v>
      </c>
      <c r="H67" s="107"/>
      <c r="I67" s="107"/>
      <c r="L67" s="130">
        <v>42100</v>
      </c>
      <c r="M67" s="107">
        <v>206</v>
      </c>
      <c r="N67" s="107">
        <v>209.35</v>
      </c>
      <c r="O67" s="107">
        <v>202.1</v>
      </c>
      <c r="P67" s="107">
        <v>206.9</v>
      </c>
      <c r="Q67" s="107">
        <v>206</v>
      </c>
      <c r="R67">
        <v>2655791</v>
      </c>
    </row>
    <row r="68" spans="1:18" x14ac:dyDescent="0.25">
      <c r="A68" s="130">
        <v>42101</v>
      </c>
      <c r="B68" s="107">
        <v>209.15</v>
      </c>
      <c r="C68" s="107">
        <v>207.15</v>
      </c>
      <c r="D68" s="107">
        <v>204.1</v>
      </c>
      <c r="E68" s="107">
        <v>206.25</v>
      </c>
      <c r="F68" s="107">
        <v>207.15</v>
      </c>
      <c r="G68">
        <v>496322</v>
      </c>
      <c r="H68" s="107"/>
      <c r="I68" s="107"/>
      <c r="L68" s="130">
        <v>42101</v>
      </c>
      <c r="M68" s="107">
        <v>207</v>
      </c>
      <c r="N68" s="107">
        <v>209</v>
      </c>
      <c r="O68" s="107">
        <v>203.8</v>
      </c>
      <c r="P68" s="107">
        <v>206.95</v>
      </c>
      <c r="Q68" s="107">
        <v>207</v>
      </c>
      <c r="R68">
        <v>2767286</v>
      </c>
    </row>
    <row r="69" spans="1:18" x14ac:dyDescent="0.25">
      <c r="A69" s="130">
        <v>42102</v>
      </c>
      <c r="B69" s="107">
        <v>209.5</v>
      </c>
      <c r="C69" s="107">
        <v>206.15</v>
      </c>
      <c r="D69" s="107">
        <v>205.5</v>
      </c>
      <c r="E69" s="107">
        <v>207</v>
      </c>
      <c r="F69" s="107">
        <v>206.15</v>
      </c>
      <c r="G69">
        <v>240392</v>
      </c>
      <c r="H69" s="107"/>
      <c r="I69" s="107"/>
      <c r="L69" s="130">
        <v>42102</v>
      </c>
      <c r="M69" s="107">
        <v>205.9</v>
      </c>
      <c r="N69" s="107">
        <v>209.4</v>
      </c>
      <c r="O69" s="107">
        <v>205.2</v>
      </c>
      <c r="P69" s="107">
        <v>207.9</v>
      </c>
      <c r="Q69" s="107">
        <v>205.9</v>
      </c>
      <c r="R69">
        <v>1816989</v>
      </c>
    </row>
    <row r="70" spans="1:18" x14ac:dyDescent="0.25">
      <c r="A70" s="130">
        <v>42103</v>
      </c>
      <c r="B70" s="107">
        <v>214.3</v>
      </c>
      <c r="C70" s="107">
        <v>212.65</v>
      </c>
      <c r="D70" s="107">
        <v>203.2</v>
      </c>
      <c r="E70" s="107">
        <v>207</v>
      </c>
      <c r="F70" s="107">
        <v>212.65</v>
      </c>
      <c r="G70">
        <v>543966</v>
      </c>
      <c r="H70" s="107"/>
      <c r="I70" s="107"/>
      <c r="L70" s="130">
        <v>42103</v>
      </c>
      <c r="M70" s="107">
        <v>212.7</v>
      </c>
      <c r="N70" s="107">
        <v>214.35</v>
      </c>
      <c r="O70" s="107">
        <v>202.7</v>
      </c>
      <c r="P70" s="107">
        <v>207</v>
      </c>
      <c r="Q70" s="107">
        <v>212.7</v>
      </c>
      <c r="R70">
        <v>3897747</v>
      </c>
    </row>
    <row r="71" spans="1:18" x14ac:dyDescent="0.25">
      <c r="A71" s="130">
        <v>42104</v>
      </c>
      <c r="B71" s="107">
        <v>219</v>
      </c>
      <c r="C71" s="107">
        <v>218.25</v>
      </c>
      <c r="D71" s="107">
        <v>213</v>
      </c>
      <c r="E71" s="107">
        <v>214</v>
      </c>
      <c r="F71" s="107">
        <v>218.25</v>
      </c>
      <c r="G71">
        <v>384694</v>
      </c>
      <c r="H71" s="107"/>
      <c r="I71" s="107"/>
      <c r="L71" s="130">
        <v>42104</v>
      </c>
      <c r="M71" s="107">
        <v>218.95</v>
      </c>
      <c r="N71" s="107">
        <v>219.7</v>
      </c>
      <c r="O71" s="107">
        <v>213</v>
      </c>
      <c r="P71" s="107">
        <v>213.15</v>
      </c>
      <c r="Q71" s="107">
        <v>218.95</v>
      </c>
      <c r="R71">
        <v>3859810</v>
      </c>
    </row>
    <row r="72" spans="1:18" x14ac:dyDescent="0.25">
      <c r="A72" s="130">
        <v>42107</v>
      </c>
      <c r="B72" s="107">
        <v>222.5</v>
      </c>
      <c r="C72" s="107">
        <v>221.05</v>
      </c>
      <c r="D72" s="107">
        <v>217.4</v>
      </c>
      <c r="E72" s="107">
        <v>217.95</v>
      </c>
      <c r="F72" s="107">
        <v>221.05</v>
      </c>
      <c r="G72">
        <v>363507</v>
      </c>
      <c r="H72" s="107"/>
      <c r="I72" s="107"/>
      <c r="L72" s="130">
        <v>42107</v>
      </c>
      <c r="M72" s="107">
        <v>221</v>
      </c>
      <c r="N72" s="107">
        <v>222.75</v>
      </c>
      <c r="O72" s="107">
        <v>217.25</v>
      </c>
      <c r="P72" s="107">
        <v>217.25</v>
      </c>
      <c r="Q72" s="107">
        <v>221</v>
      </c>
      <c r="R72">
        <v>2529275</v>
      </c>
    </row>
    <row r="73" spans="1:18" x14ac:dyDescent="0.25">
      <c r="A73" s="130">
        <v>42109</v>
      </c>
      <c r="B73" s="107">
        <v>232.95</v>
      </c>
      <c r="C73" s="107">
        <v>226.65</v>
      </c>
      <c r="D73" s="107">
        <v>221.5</v>
      </c>
      <c r="E73" s="107">
        <v>223</v>
      </c>
      <c r="F73" s="107">
        <v>226.65</v>
      </c>
      <c r="G73">
        <v>608411</v>
      </c>
      <c r="H73" s="107"/>
      <c r="I73" s="107"/>
      <c r="L73" s="130">
        <v>42109</v>
      </c>
      <c r="M73" s="107">
        <v>226.9</v>
      </c>
      <c r="N73" s="107">
        <v>233.2</v>
      </c>
      <c r="O73" s="107">
        <v>221.25</v>
      </c>
      <c r="P73" s="107">
        <v>221.95</v>
      </c>
      <c r="Q73" s="107">
        <v>226.9</v>
      </c>
      <c r="R73">
        <v>3629802</v>
      </c>
    </row>
    <row r="74" spans="1:18" x14ac:dyDescent="0.25">
      <c r="A74" s="130">
        <v>42110</v>
      </c>
      <c r="B74" s="107">
        <v>228.6</v>
      </c>
      <c r="C74" s="107">
        <v>225.2</v>
      </c>
      <c r="D74" s="107">
        <v>221.75</v>
      </c>
      <c r="E74" s="107">
        <v>227.9</v>
      </c>
      <c r="F74" s="107">
        <v>225.2</v>
      </c>
      <c r="G74">
        <v>360043</v>
      </c>
      <c r="H74" s="107"/>
      <c r="I74" s="107"/>
      <c r="L74" s="130">
        <v>42110</v>
      </c>
      <c r="M74" s="107">
        <v>225.05</v>
      </c>
      <c r="N74" s="107">
        <v>228.6</v>
      </c>
      <c r="O74" s="107">
        <v>221.4</v>
      </c>
      <c r="P74" s="107">
        <v>227.4</v>
      </c>
      <c r="Q74" s="107">
        <v>225.05</v>
      </c>
      <c r="R74">
        <v>3545192</v>
      </c>
    </row>
    <row r="75" spans="1:18" x14ac:dyDescent="0.25">
      <c r="A75" s="130">
        <v>42111</v>
      </c>
      <c r="B75" s="107">
        <v>231.4</v>
      </c>
      <c r="C75" s="107">
        <v>228.05</v>
      </c>
      <c r="D75" s="107">
        <v>223.35</v>
      </c>
      <c r="E75" s="107">
        <v>223.8</v>
      </c>
      <c r="F75" s="107">
        <v>228.05</v>
      </c>
      <c r="G75">
        <v>361419</v>
      </c>
      <c r="H75" s="107"/>
      <c r="I75" s="107"/>
      <c r="L75" s="130">
        <v>42111</v>
      </c>
      <c r="M75" s="107">
        <v>228.35</v>
      </c>
      <c r="N75" s="107">
        <v>231.8</v>
      </c>
      <c r="O75" s="107">
        <v>223</v>
      </c>
      <c r="P75" s="107">
        <v>225</v>
      </c>
      <c r="Q75" s="107">
        <v>228.35</v>
      </c>
      <c r="R75">
        <v>3555729</v>
      </c>
    </row>
    <row r="76" spans="1:18" x14ac:dyDescent="0.25">
      <c r="A76" s="130">
        <v>42114</v>
      </c>
      <c r="B76" s="107">
        <v>230.75</v>
      </c>
      <c r="C76" s="107">
        <v>220.7</v>
      </c>
      <c r="D76" s="107">
        <v>217.55</v>
      </c>
      <c r="E76" s="107">
        <v>228.5</v>
      </c>
      <c r="F76" s="107">
        <v>220.7</v>
      </c>
      <c r="G76">
        <v>399167</v>
      </c>
      <c r="H76" s="107"/>
      <c r="I76" s="107"/>
      <c r="L76" s="130">
        <v>42114</v>
      </c>
      <c r="M76" s="107">
        <v>220.75</v>
      </c>
      <c r="N76" s="107">
        <v>230.9</v>
      </c>
      <c r="O76" s="107">
        <v>217</v>
      </c>
      <c r="P76" s="107">
        <v>228.6</v>
      </c>
      <c r="Q76" s="107">
        <v>220.75</v>
      </c>
      <c r="R76">
        <v>2699905</v>
      </c>
    </row>
    <row r="77" spans="1:18" x14ac:dyDescent="0.25">
      <c r="A77" s="130">
        <v>42115</v>
      </c>
      <c r="B77" s="107">
        <v>225.4</v>
      </c>
      <c r="C77" s="107">
        <v>222.95</v>
      </c>
      <c r="D77" s="107">
        <v>219.35</v>
      </c>
      <c r="E77" s="107">
        <v>221.5</v>
      </c>
      <c r="F77" s="107">
        <v>222.95</v>
      </c>
      <c r="G77">
        <v>317604</v>
      </c>
      <c r="H77" s="107"/>
      <c r="I77" s="107"/>
      <c r="L77" s="130">
        <v>42115</v>
      </c>
      <c r="M77" s="107">
        <v>223.05</v>
      </c>
      <c r="N77" s="107">
        <v>225.8</v>
      </c>
      <c r="O77" s="107">
        <v>219.1</v>
      </c>
      <c r="P77" s="107">
        <v>220.05</v>
      </c>
      <c r="Q77" s="107">
        <v>223.05</v>
      </c>
      <c r="R77">
        <v>2327994</v>
      </c>
    </row>
    <row r="78" spans="1:18" x14ac:dyDescent="0.25">
      <c r="A78" s="130">
        <v>42116</v>
      </c>
      <c r="B78" s="107">
        <v>225.6</v>
      </c>
      <c r="C78" s="107">
        <v>222.1</v>
      </c>
      <c r="D78" s="107">
        <v>217</v>
      </c>
      <c r="E78" s="107">
        <v>225</v>
      </c>
      <c r="F78" s="107">
        <v>222.1</v>
      </c>
      <c r="G78">
        <v>347036</v>
      </c>
      <c r="H78" s="107"/>
      <c r="I78" s="107"/>
      <c r="L78" s="130">
        <v>42116</v>
      </c>
      <c r="M78" s="107">
        <v>221.9</v>
      </c>
      <c r="N78" s="107">
        <v>225.6</v>
      </c>
      <c r="O78" s="107">
        <v>216.6</v>
      </c>
      <c r="P78" s="107">
        <v>224</v>
      </c>
      <c r="Q78" s="107">
        <v>221.9</v>
      </c>
      <c r="R78">
        <v>2404134</v>
      </c>
    </row>
    <row r="79" spans="1:18" x14ac:dyDescent="0.25">
      <c r="A79" s="130">
        <v>42117</v>
      </c>
      <c r="B79" s="107">
        <v>224.5</v>
      </c>
      <c r="C79" s="107">
        <v>218.15</v>
      </c>
      <c r="D79" s="107">
        <v>217.5</v>
      </c>
      <c r="E79" s="107">
        <v>224.5</v>
      </c>
      <c r="F79" s="107">
        <v>218.15</v>
      </c>
      <c r="G79">
        <v>275819</v>
      </c>
      <c r="H79" s="107"/>
      <c r="I79" s="107"/>
      <c r="L79" s="130">
        <v>42117</v>
      </c>
      <c r="M79" s="107">
        <v>218.4</v>
      </c>
      <c r="N79" s="107">
        <v>224.6</v>
      </c>
      <c r="O79" s="107">
        <v>217.5</v>
      </c>
      <c r="P79" s="107">
        <v>223.3</v>
      </c>
      <c r="Q79" s="107">
        <v>218.4</v>
      </c>
      <c r="R79">
        <v>1841161</v>
      </c>
    </row>
    <row r="80" spans="1:18" x14ac:dyDescent="0.25">
      <c r="A80" s="130">
        <v>42118</v>
      </c>
      <c r="B80" s="107">
        <v>218.75</v>
      </c>
      <c r="C80" s="107">
        <v>209.95</v>
      </c>
      <c r="D80" s="107">
        <v>209.15</v>
      </c>
      <c r="E80" s="107">
        <v>218.75</v>
      </c>
      <c r="F80" s="107">
        <v>209.95</v>
      </c>
      <c r="G80">
        <v>396817</v>
      </c>
      <c r="H80" s="107"/>
      <c r="I80" s="107"/>
      <c r="L80" s="130">
        <v>42118</v>
      </c>
      <c r="M80" s="107">
        <v>210.1</v>
      </c>
      <c r="N80" s="107">
        <v>219.25</v>
      </c>
      <c r="O80" s="107">
        <v>209.1</v>
      </c>
      <c r="P80" s="107">
        <v>219</v>
      </c>
      <c r="Q80" s="107">
        <v>210.1</v>
      </c>
      <c r="R80">
        <v>2758331</v>
      </c>
    </row>
    <row r="81" spans="1:18" x14ac:dyDescent="0.25">
      <c r="A81" s="130">
        <v>42121</v>
      </c>
      <c r="B81" s="107">
        <v>213.5</v>
      </c>
      <c r="C81" s="107">
        <v>210.3</v>
      </c>
      <c r="D81" s="107">
        <v>204.5</v>
      </c>
      <c r="E81" s="107">
        <v>213</v>
      </c>
      <c r="F81" s="107">
        <v>210.3</v>
      </c>
      <c r="G81">
        <v>371717</v>
      </c>
      <c r="H81" s="107"/>
      <c r="I81" s="107"/>
      <c r="L81" s="130">
        <v>42121</v>
      </c>
      <c r="M81" s="107">
        <v>210.7</v>
      </c>
      <c r="N81" s="107">
        <v>213.7</v>
      </c>
      <c r="O81" s="107">
        <v>204.4</v>
      </c>
      <c r="P81" s="107">
        <v>210.7</v>
      </c>
      <c r="Q81" s="107">
        <v>210.7</v>
      </c>
      <c r="R81">
        <v>2514996</v>
      </c>
    </row>
    <row r="82" spans="1:18" x14ac:dyDescent="0.25">
      <c r="A82" s="130">
        <v>42122</v>
      </c>
      <c r="B82" s="107">
        <v>216</v>
      </c>
      <c r="C82" s="107">
        <v>215.3</v>
      </c>
      <c r="D82" s="107">
        <v>209.75</v>
      </c>
      <c r="E82" s="107">
        <v>211</v>
      </c>
      <c r="F82" s="107">
        <v>215.3</v>
      </c>
      <c r="G82">
        <v>280811</v>
      </c>
      <c r="H82" s="107"/>
      <c r="I82" s="107"/>
      <c r="L82" s="130">
        <v>42122</v>
      </c>
      <c r="M82" s="107">
        <v>215.7</v>
      </c>
      <c r="N82" s="107">
        <v>216.7</v>
      </c>
      <c r="O82" s="107">
        <v>209.65</v>
      </c>
      <c r="P82" s="107">
        <v>210.1</v>
      </c>
      <c r="Q82" s="107">
        <v>215.7</v>
      </c>
      <c r="R82">
        <v>1882036</v>
      </c>
    </row>
    <row r="83" spans="1:18" x14ac:dyDescent="0.25">
      <c r="A83" s="130">
        <v>42123</v>
      </c>
      <c r="B83" s="107">
        <v>217.35</v>
      </c>
      <c r="C83" s="107">
        <v>213.85</v>
      </c>
      <c r="D83" s="107">
        <v>212.25</v>
      </c>
      <c r="E83" s="107">
        <v>216</v>
      </c>
      <c r="F83" s="107">
        <v>213.85</v>
      </c>
      <c r="G83">
        <v>203087</v>
      </c>
      <c r="H83" s="107"/>
      <c r="I83" s="107"/>
      <c r="L83" s="130">
        <v>42123</v>
      </c>
      <c r="M83" s="107">
        <v>213.5</v>
      </c>
      <c r="N83" s="107">
        <v>217.3</v>
      </c>
      <c r="O83" s="107">
        <v>212.1</v>
      </c>
      <c r="P83" s="107">
        <v>216.6</v>
      </c>
      <c r="Q83" s="107">
        <v>213.5</v>
      </c>
      <c r="R83">
        <v>1563003</v>
      </c>
    </row>
    <row r="84" spans="1:18" x14ac:dyDescent="0.25">
      <c r="A84" s="130">
        <v>42124</v>
      </c>
      <c r="B84" s="107">
        <v>218</v>
      </c>
      <c r="C84" s="107">
        <v>216.7</v>
      </c>
      <c r="D84" s="107">
        <v>211</v>
      </c>
      <c r="E84" s="107">
        <v>213.25</v>
      </c>
      <c r="F84" s="107">
        <v>216.7</v>
      </c>
      <c r="G84">
        <v>310247</v>
      </c>
      <c r="H84" s="107"/>
      <c r="I84" s="107"/>
      <c r="L84" s="130">
        <v>42124</v>
      </c>
      <c r="M84" s="107">
        <v>216.6</v>
      </c>
      <c r="N84" s="107">
        <v>218</v>
      </c>
      <c r="O84" s="107">
        <v>210.75</v>
      </c>
      <c r="P84" s="107">
        <v>213.4</v>
      </c>
      <c r="Q84" s="107">
        <v>216.6</v>
      </c>
      <c r="R84">
        <v>2755609</v>
      </c>
    </row>
    <row r="85" spans="1:18" x14ac:dyDescent="0.25">
      <c r="A85" s="130">
        <v>42128</v>
      </c>
      <c r="B85" s="107">
        <v>224.95</v>
      </c>
      <c r="C85" s="107">
        <v>223.85</v>
      </c>
      <c r="D85" s="107">
        <v>216.75</v>
      </c>
      <c r="E85" s="107">
        <v>218</v>
      </c>
      <c r="F85" s="107">
        <v>223.85</v>
      </c>
      <c r="G85">
        <v>289331</v>
      </c>
      <c r="H85" s="107"/>
      <c r="I85" s="107"/>
      <c r="L85" s="130">
        <v>42128</v>
      </c>
      <c r="M85" s="107">
        <v>223.9</v>
      </c>
      <c r="N85" s="107">
        <v>224.9</v>
      </c>
      <c r="O85" s="107">
        <v>216.55</v>
      </c>
      <c r="P85" s="107">
        <v>217.25</v>
      </c>
      <c r="Q85" s="107">
        <v>223.9</v>
      </c>
      <c r="R85">
        <v>2006974</v>
      </c>
    </row>
    <row r="86" spans="1:18" x14ac:dyDescent="0.25">
      <c r="A86" s="130">
        <v>42129</v>
      </c>
      <c r="B86" s="107">
        <v>225.8</v>
      </c>
      <c r="C86" s="107">
        <v>222.85</v>
      </c>
      <c r="D86" s="107">
        <v>221.5</v>
      </c>
      <c r="E86" s="107">
        <v>224.9</v>
      </c>
      <c r="F86" s="107">
        <v>222.85</v>
      </c>
      <c r="G86">
        <v>224789</v>
      </c>
      <c r="H86" s="107"/>
      <c r="I86" s="107"/>
      <c r="L86" s="130">
        <v>42129</v>
      </c>
      <c r="M86" s="107">
        <v>223.05</v>
      </c>
      <c r="N86" s="107">
        <v>225.8</v>
      </c>
      <c r="O86" s="107">
        <v>221.35</v>
      </c>
      <c r="P86" s="107">
        <v>224</v>
      </c>
      <c r="Q86" s="107">
        <v>223.05</v>
      </c>
      <c r="R86">
        <v>1082762</v>
      </c>
    </row>
    <row r="87" spans="1:18" x14ac:dyDescent="0.25">
      <c r="A87" s="130">
        <v>42130</v>
      </c>
      <c r="B87" s="107">
        <v>224</v>
      </c>
      <c r="C87" s="107">
        <v>208.45</v>
      </c>
      <c r="D87" s="107">
        <v>207.6</v>
      </c>
      <c r="E87" s="107">
        <v>222.45</v>
      </c>
      <c r="F87" s="107">
        <v>208.45</v>
      </c>
      <c r="G87">
        <v>361701</v>
      </c>
      <c r="H87" s="107"/>
      <c r="I87" s="107"/>
      <c r="L87" s="130">
        <v>42130</v>
      </c>
      <c r="M87" s="107">
        <v>208.35</v>
      </c>
      <c r="N87" s="107">
        <v>223.95</v>
      </c>
      <c r="O87" s="107">
        <v>207.65</v>
      </c>
      <c r="P87" s="107">
        <v>222</v>
      </c>
      <c r="Q87" s="107">
        <v>208.35</v>
      </c>
      <c r="R87">
        <v>2041219</v>
      </c>
    </row>
    <row r="88" spans="1:18" x14ac:dyDescent="0.25">
      <c r="A88" s="130">
        <v>42131</v>
      </c>
      <c r="B88" s="107">
        <v>209.55</v>
      </c>
      <c r="C88" s="107">
        <v>200.8</v>
      </c>
      <c r="D88" s="107">
        <v>198.6</v>
      </c>
      <c r="E88" s="107">
        <v>208.95</v>
      </c>
      <c r="F88" s="107">
        <v>200.8</v>
      </c>
      <c r="G88">
        <v>398979</v>
      </c>
      <c r="H88" s="107"/>
      <c r="I88" s="107"/>
      <c r="L88" s="130">
        <v>42131</v>
      </c>
      <c r="M88" s="107">
        <v>200.65</v>
      </c>
      <c r="N88" s="107">
        <v>209.5</v>
      </c>
      <c r="O88" s="107">
        <v>198.45</v>
      </c>
      <c r="P88" s="107">
        <v>208.35</v>
      </c>
      <c r="Q88" s="107">
        <v>200.65</v>
      </c>
      <c r="R88">
        <v>2276117</v>
      </c>
    </row>
    <row r="89" spans="1:18" x14ac:dyDescent="0.25">
      <c r="A89" s="130">
        <v>42132</v>
      </c>
      <c r="B89" s="107">
        <v>205.2</v>
      </c>
      <c r="C89" s="107">
        <v>195.7</v>
      </c>
      <c r="D89" s="107">
        <v>190.55</v>
      </c>
      <c r="E89" s="107">
        <v>204</v>
      </c>
      <c r="F89" s="107">
        <v>195.7</v>
      </c>
      <c r="G89">
        <v>567428</v>
      </c>
      <c r="H89" s="107"/>
      <c r="I89" s="107"/>
      <c r="L89" s="130">
        <v>42132</v>
      </c>
      <c r="M89" s="107">
        <v>195.85</v>
      </c>
      <c r="N89" s="107">
        <v>205.05</v>
      </c>
      <c r="O89" s="107">
        <v>190.5</v>
      </c>
      <c r="P89" s="107">
        <v>203</v>
      </c>
      <c r="Q89" s="107">
        <v>195.85</v>
      </c>
      <c r="R89">
        <v>3153154</v>
      </c>
    </row>
    <row r="90" spans="1:18" x14ac:dyDescent="0.25">
      <c r="A90" s="130">
        <v>42135</v>
      </c>
      <c r="B90" s="107">
        <v>210.65</v>
      </c>
      <c r="C90" s="107">
        <v>206.25</v>
      </c>
      <c r="D90" s="107">
        <v>193.55</v>
      </c>
      <c r="E90" s="107">
        <v>198</v>
      </c>
      <c r="F90" s="107">
        <v>206.25</v>
      </c>
      <c r="G90">
        <v>837955</v>
      </c>
      <c r="H90" s="107"/>
      <c r="I90" s="107"/>
      <c r="L90" s="130">
        <v>42135</v>
      </c>
      <c r="M90" s="107">
        <v>206.25</v>
      </c>
      <c r="N90" s="107">
        <v>210.75</v>
      </c>
      <c r="O90" s="107">
        <v>193.4</v>
      </c>
      <c r="P90" s="107">
        <v>199</v>
      </c>
      <c r="Q90" s="107">
        <v>206.25</v>
      </c>
      <c r="R90">
        <v>4893365</v>
      </c>
    </row>
    <row r="91" spans="1:18" x14ac:dyDescent="0.25">
      <c r="A91" s="130">
        <v>42136</v>
      </c>
      <c r="B91" s="107">
        <v>208</v>
      </c>
      <c r="C91" s="107">
        <v>197.85</v>
      </c>
      <c r="D91" s="107">
        <v>196.3</v>
      </c>
      <c r="E91" s="107">
        <v>206.1</v>
      </c>
      <c r="F91" s="107">
        <v>197.85</v>
      </c>
      <c r="G91">
        <v>561102</v>
      </c>
      <c r="H91" s="107"/>
      <c r="I91" s="107"/>
      <c r="L91" s="130">
        <v>42136</v>
      </c>
      <c r="M91" s="107">
        <v>197.9</v>
      </c>
      <c r="N91" s="107">
        <v>206.8</v>
      </c>
      <c r="O91" s="107">
        <v>196.65</v>
      </c>
      <c r="P91" s="107">
        <v>206.4</v>
      </c>
      <c r="Q91" s="107">
        <v>197.9</v>
      </c>
      <c r="R91">
        <v>2901687</v>
      </c>
    </row>
    <row r="92" spans="1:18" x14ac:dyDescent="0.25">
      <c r="A92" s="130">
        <v>42137</v>
      </c>
      <c r="B92" s="107">
        <v>206.8</v>
      </c>
      <c r="C92" s="107">
        <v>203.25</v>
      </c>
      <c r="D92" s="107">
        <v>199.5</v>
      </c>
      <c r="E92" s="107">
        <v>199.5</v>
      </c>
      <c r="F92" s="107">
        <v>203.25</v>
      </c>
      <c r="G92">
        <v>587764</v>
      </c>
      <c r="H92" s="107"/>
      <c r="I92" s="107"/>
      <c r="L92" s="130">
        <v>42137</v>
      </c>
      <c r="M92" s="107">
        <v>203.5</v>
      </c>
      <c r="N92" s="107">
        <v>207</v>
      </c>
      <c r="O92" s="107">
        <v>199.1</v>
      </c>
      <c r="P92" s="107">
        <v>199.1</v>
      </c>
      <c r="Q92" s="107">
        <v>203.5</v>
      </c>
      <c r="R92">
        <v>3698640</v>
      </c>
    </row>
    <row r="93" spans="1:18" x14ac:dyDescent="0.25">
      <c r="A93" s="130">
        <v>42138</v>
      </c>
      <c r="B93" s="107">
        <v>212</v>
      </c>
      <c r="C93" s="107">
        <v>210.95</v>
      </c>
      <c r="D93" s="107">
        <v>200.3</v>
      </c>
      <c r="E93" s="107">
        <v>203</v>
      </c>
      <c r="F93" s="107">
        <v>210.95</v>
      </c>
      <c r="G93">
        <v>613801</v>
      </c>
      <c r="H93" s="107"/>
      <c r="I93" s="107"/>
      <c r="L93" s="130">
        <v>42138</v>
      </c>
      <c r="M93" s="107">
        <v>211</v>
      </c>
      <c r="N93" s="107">
        <v>212</v>
      </c>
      <c r="O93" s="107">
        <v>200.35</v>
      </c>
      <c r="P93" s="107">
        <v>203.35</v>
      </c>
      <c r="Q93" s="107">
        <v>211</v>
      </c>
      <c r="R93">
        <v>3220784</v>
      </c>
    </row>
    <row r="94" spans="1:18" x14ac:dyDescent="0.25">
      <c r="A94" s="130">
        <v>42139</v>
      </c>
      <c r="B94" s="107">
        <v>214.05</v>
      </c>
      <c r="C94" s="107">
        <v>208.95</v>
      </c>
      <c r="D94" s="107">
        <v>206.7</v>
      </c>
      <c r="E94" s="107">
        <v>212.6</v>
      </c>
      <c r="F94" s="107">
        <v>208.95</v>
      </c>
      <c r="G94">
        <v>406214</v>
      </c>
      <c r="H94" s="107"/>
      <c r="I94" s="107"/>
      <c r="L94" s="130">
        <v>42139</v>
      </c>
      <c r="M94" s="107">
        <v>209</v>
      </c>
      <c r="N94" s="107">
        <v>214</v>
      </c>
      <c r="O94" s="107">
        <v>206.55</v>
      </c>
      <c r="P94" s="107">
        <v>212.55</v>
      </c>
      <c r="Q94" s="107">
        <v>209</v>
      </c>
      <c r="R94">
        <v>2714360</v>
      </c>
    </row>
    <row r="95" spans="1:18" x14ac:dyDescent="0.25">
      <c r="A95" s="130">
        <v>42142</v>
      </c>
      <c r="B95" s="107">
        <v>210.5</v>
      </c>
      <c r="C95" s="107">
        <v>206.75</v>
      </c>
      <c r="D95" s="107">
        <v>204.15</v>
      </c>
      <c r="E95" s="107">
        <v>209.65</v>
      </c>
      <c r="F95" s="107">
        <v>206.75</v>
      </c>
      <c r="G95">
        <v>355212</v>
      </c>
      <c r="H95" s="107"/>
      <c r="I95" s="107"/>
      <c r="L95" s="130">
        <v>42142</v>
      </c>
      <c r="M95" s="107">
        <v>206.9</v>
      </c>
      <c r="N95" s="107">
        <v>210.3</v>
      </c>
      <c r="O95" s="107">
        <v>204.1</v>
      </c>
      <c r="P95" s="107">
        <v>209.7</v>
      </c>
      <c r="Q95" s="107">
        <v>206.9</v>
      </c>
      <c r="R95">
        <v>2099587</v>
      </c>
    </row>
    <row r="96" spans="1:18" x14ac:dyDescent="0.25">
      <c r="A96" s="130">
        <v>42143</v>
      </c>
      <c r="B96" s="107">
        <v>210.1</v>
      </c>
      <c r="C96" s="107">
        <v>206.9</v>
      </c>
      <c r="D96" s="107">
        <v>205.7</v>
      </c>
      <c r="E96" s="107">
        <v>207</v>
      </c>
      <c r="F96" s="107">
        <v>206.9</v>
      </c>
      <c r="G96">
        <v>341170</v>
      </c>
      <c r="H96" s="107"/>
      <c r="I96" s="107"/>
      <c r="L96" s="130">
        <v>42143</v>
      </c>
      <c r="M96" s="107">
        <v>206.75</v>
      </c>
      <c r="N96" s="107">
        <v>210.3</v>
      </c>
      <c r="O96" s="107">
        <v>205.15</v>
      </c>
      <c r="P96" s="107">
        <v>207.15</v>
      </c>
      <c r="Q96" s="107">
        <v>206.75</v>
      </c>
      <c r="R96">
        <v>2458162</v>
      </c>
    </row>
    <row r="97" spans="1:18" x14ac:dyDescent="0.25">
      <c r="A97" s="130">
        <v>42144</v>
      </c>
      <c r="B97" s="107">
        <v>209.3</v>
      </c>
      <c r="C97" s="107">
        <v>205.85</v>
      </c>
      <c r="D97" s="107">
        <v>205.2</v>
      </c>
      <c r="E97" s="107">
        <v>207.9</v>
      </c>
      <c r="F97" s="107">
        <v>205.85</v>
      </c>
      <c r="G97">
        <v>451494</v>
      </c>
      <c r="H97" s="107"/>
      <c r="I97" s="107"/>
      <c r="L97" s="130">
        <v>42144</v>
      </c>
      <c r="M97" s="107">
        <v>205.75</v>
      </c>
      <c r="N97" s="107">
        <v>209.3</v>
      </c>
      <c r="O97" s="107">
        <v>204.9</v>
      </c>
      <c r="P97" s="107">
        <v>207.4</v>
      </c>
      <c r="Q97" s="107">
        <v>205.75</v>
      </c>
      <c r="R97">
        <v>1551748</v>
      </c>
    </row>
    <row r="98" spans="1:18" x14ac:dyDescent="0.25">
      <c r="A98" s="130">
        <v>42145</v>
      </c>
      <c r="B98" s="107">
        <v>207.3</v>
      </c>
      <c r="C98" s="107">
        <v>206.55</v>
      </c>
      <c r="D98" s="107">
        <v>203.6</v>
      </c>
      <c r="E98" s="107">
        <v>207</v>
      </c>
      <c r="F98" s="107">
        <v>206.55</v>
      </c>
      <c r="G98">
        <v>288890</v>
      </c>
      <c r="H98" s="107"/>
      <c r="I98" s="107"/>
      <c r="L98" s="130">
        <v>42145</v>
      </c>
      <c r="M98" s="107">
        <v>206.5</v>
      </c>
      <c r="N98" s="107">
        <v>207.15</v>
      </c>
      <c r="O98" s="107">
        <v>203.55</v>
      </c>
      <c r="P98" s="107">
        <v>206.5</v>
      </c>
      <c r="Q98" s="107">
        <v>206.5</v>
      </c>
      <c r="R98">
        <v>1463709</v>
      </c>
    </row>
    <row r="99" spans="1:18" x14ac:dyDescent="0.25">
      <c r="A99" s="130">
        <v>42146</v>
      </c>
      <c r="B99" s="107">
        <v>210.3</v>
      </c>
      <c r="C99" s="107">
        <v>202.45</v>
      </c>
      <c r="D99" s="107">
        <v>200.2</v>
      </c>
      <c r="E99" s="107">
        <v>206.5</v>
      </c>
      <c r="F99" s="107">
        <v>202.45</v>
      </c>
      <c r="G99">
        <v>531886</v>
      </c>
      <c r="H99" s="107"/>
      <c r="I99" s="107"/>
      <c r="L99" s="130">
        <v>42146</v>
      </c>
      <c r="M99" s="107">
        <v>202.15</v>
      </c>
      <c r="N99" s="107">
        <v>210</v>
      </c>
      <c r="O99" s="107">
        <v>200.7</v>
      </c>
      <c r="P99" s="107">
        <v>207.5</v>
      </c>
      <c r="Q99" s="107">
        <v>202.15</v>
      </c>
      <c r="R99">
        <v>3000052</v>
      </c>
    </row>
    <row r="100" spans="1:18" x14ac:dyDescent="0.25">
      <c r="A100" s="130">
        <v>42149</v>
      </c>
      <c r="B100" s="107">
        <v>204.5</v>
      </c>
      <c r="C100" s="107">
        <v>203.4</v>
      </c>
      <c r="D100" s="107">
        <v>200.2</v>
      </c>
      <c r="E100" s="107">
        <v>203</v>
      </c>
      <c r="F100" s="107">
        <v>203.4</v>
      </c>
      <c r="G100">
        <v>266897</v>
      </c>
      <c r="H100" s="107"/>
      <c r="I100" s="107"/>
      <c r="L100" s="130">
        <v>42149</v>
      </c>
      <c r="M100" s="107">
        <v>203.25</v>
      </c>
      <c r="N100" s="107">
        <v>204.5</v>
      </c>
      <c r="O100" s="107">
        <v>200</v>
      </c>
      <c r="P100" s="107">
        <v>202.3</v>
      </c>
      <c r="Q100" s="107">
        <v>203.25</v>
      </c>
      <c r="R100">
        <v>1723584</v>
      </c>
    </row>
    <row r="101" spans="1:18" x14ac:dyDescent="0.25">
      <c r="A101" s="130">
        <v>42150</v>
      </c>
      <c r="B101" s="107">
        <v>203.95</v>
      </c>
      <c r="C101" s="107">
        <v>201.8</v>
      </c>
      <c r="D101" s="107">
        <v>201</v>
      </c>
      <c r="E101" s="107">
        <v>203</v>
      </c>
      <c r="F101" s="107">
        <v>201.8</v>
      </c>
      <c r="G101">
        <v>250980</v>
      </c>
      <c r="H101" s="107"/>
      <c r="I101" s="107"/>
      <c r="L101" s="130">
        <v>42150</v>
      </c>
      <c r="M101" s="107">
        <v>202.15</v>
      </c>
      <c r="N101" s="107">
        <v>204</v>
      </c>
      <c r="O101" s="107">
        <v>201</v>
      </c>
      <c r="P101" s="107">
        <v>203.7</v>
      </c>
      <c r="Q101" s="107">
        <v>202.15</v>
      </c>
      <c r="R101">
        <v>2167200</v>
      </c>
    </row>
    <row r="102" spans="1:18" x14ac:dyDescent="0.25">
      <c r="A102" s="130">
        <v>42151</v>
      </c>
      <c r="B102" s="107">
        <v>207.95</v>
      </c>
      <c r="C102" s="107">
        <v>204.1</v>
      </c>
      <c r="D102" s="107">
        <v>200.25</v>
      </c>
      <c r="E102" s="107">
        <v>200.7</v>
      </c>
      <c r="F102" s="107">
        <v>204.1</v>
      </c>
      <c r="G102">
        <v>414172</v>
      </c>
      <c r="H102" s="107"/>
      <c r="I102" s="107"/>
      <c r="L102" s="130">
        <v>42151</v>
      </c>
      <c r="M102" s="107">
        <v>203.85</v>
      </c>
      <c r="N102" s="107">
        <v>208</v>
      </c>
      <c r="O102" s="107">
        <v>200</v>
      </c>
      <c r="P102" s="107">
        <v>200.7</v>
      </c>
      <c r="Q102" s="107">
        <v>203.85</v>
      </c>
      <c r="R102">
        <v>2819517</v>
      </c>
    </row>
    <row r="103" spans="1:18" x14ac:dyDescent="0.25">
      <c r="A103" s="130">
        <v>42152</v>
      </c>
      <c r="B103" s="107">
        <v>205.95</v>
      </c>
      <c r="C103" s="107">
        <v>191.4</v>
      </c>
      <c r="D103" s="107">
        <v>188.55</v>
      </c>
      <c r="E103" s="107">
        <v>205.95</v>
      </c>
      <c r="F103" s="107">
        <v>191.4</v>
      </c>
      <c r="G103">
        <v>1712057</v>
      </c>
      <c r="H103" s="107"/>
      <c r="I103" s="107"/>
      <c r="L103" s="130">
        <v>42152</v>
      </c>
      <c r="M103" s="107">
        <v>191.85</v>
      </c>
      <c r="N103" s="107">
        <v>205</v>
      </c>
      <c r="O103" s="107">
        <v>188</v>
      </c>
      <c r="P103" s="107">
        <v>204.8</v>
      </c>
      <c r="Q103" s="107">
        <v>191.85</v>
      </c>
      <c r="R103">
        <v>15678244</v>
      </c>
    </row>
    <row r="104" spans="1:18" x14ac:dyDescent="0.25">
      <c r="A104" s="130">
        <v>42153</v>
      </c>
      <c r="B104" s="107">
        <v>198</v>
      </c>
      <c r="C104" s="107">
        <v>197</v>
      </c>
      <c r="D104" s="107">
        <v>188.5</v>
      </c>
      <c r="E104" s="107">
        <v>189</v>
      </c>
      <c r="F104" s="107">
        <v>197</v>
      </c>
      <c r="G104">
        <v>852970</v>
      </c>
      <c r="H104" s="107"/>
      <c r="I104" s="107"/>
      <c r="L104" s="130">
        <v>42153</v>
      </c>
      <c r="M104" s="107">
        <v>197.2</v>
      </c>
      <c r="N104" s="107">
        <v>198</v>
      </c>
      <c r="O104" s="107">
        <v>189</v>
      </c>
      <c r="P104" s="107">
        <v>189</v>
      </c>
      <c r="Q104" s="107">
        <v>197.2</v>
      </c>
      <c r="R104">
        <v>4663486</v>
      </c>
    </row>
    <row r="105" spans="1:18" x14ac:dyDescent="0.25">
      <c r="A105" s="130">
        <v>42156</v>
      </c>
      <c r="B105" s="107">
        <v>199</v>
      </c>
      <c r="C105" s="107">
        <v>196.45</v>
      </c>
      <c r="D105" s="107">
        <v>195.5</v>
      </c>
      <c r="E105" s="107">
        <v>198</v>
      </c>
      <c r="F105" s="107">
        <v>196.45</v>
      </c>
      <c r="G105">
        <v>293512</v>
      </c>
      <c r="H105" s="107"/>
      <c r="I105" s="107"/>
      <c r="L105" s="130">
        <v>42156</v>
      </c>
      <c r="M105" s="107">
        <v>196.5</v>
      </c>
      <c r="N105" s="107">
        <v>199</v>
      </c>
      <c r="O105" s="107">
        <v>195.3</v>
      </c>
      <c r="P105" s="107">
        <v>197.5</v>
      </c>
      <c r="Q105" s="107">
        <v>196.5</v>
      </c>
      <c r="R105">
        <v>1804483</v>
      </c>
    </row>
    <row r="106" spans="1:18" x14ac:dyDescent="0.25">
      <c r="A106" s="130">
        <v>42157</v>
      </c>
      <c r="B106" s="107">
        <v>198</v>
      </c>
      <c r="C106" s="107">
        <v>189.1</v>
      </c>
      <c r="D106" s="107">
        <v>188.5</v>
      </c>
      <c r="E106" s="107">
        <v>198</v>
      </c>
      <c r="F106" s="107">
        <v>189.1</v>
      </c>
      <c r="G106">
        <v>689931</v>
      </c>
      <c r="H106" s="107"/>
      <c r="I106" s="107"/>
      <c r="L106" s="130">
        <v>42157</v>
      </c>
      <c r="M106" s="107">
        <v>189.2</v>
      </c>
      <c r="N106" s="107">
        <v>197.2</v>
      </c>
      <c r="O106" s="107">
        <v>188.5</v>
      </c>
      <c r="P106" s="107">
        <v>197</v>
      </c>
      <c r="Q106" s="107">
        <v>189.2</v>
      </c>
      <c r="R106">
        <v>4190633</v>
      </c>
    </row>
    <row r="107" spans="1:18" x14ac:dyDescent="0.25">
      <c r="A107" s="130">
        <v>42158</v>
      </c>
      <c r="B107" s="107">
        <v>191.9</v>
      </c>
      <c r="C107" s="107">
        <v>189.9</v>
      </c>
      <c r="D107" s="107">
        <v>186.05</v>
      </c>
      <c r="E107" s="107">
        <v>191.7</v>
      </c>
      <c r="F107" s="107">
        <v>189.9</v>
      </c>
      <c r="G107">
        <v>490474</v>
      </c>
      <c r="H107" s="107"/>
      <c r="I107" s="107"/>
      <c r="L107" s="130">
        <v>42158</v>
      </c>
      <c r="M107" s="107">
        <v>189.75</v>
      </c>
      <c r="N107" s="107">
        <v>191.8</v>
      </c>
      <c r="O107" s="107">
        <v>186</v>
      </c>
      <c r="P107" s="107">
        <v>189.25</v>
      </c>
      <c r="Q107" s="107">
        <v>189.75</v>
      </c>
      <c r="R107">
        <v>3491134</v>
      </c>
    </row>
    <row r="108" spans="1:18" x14ac:dyDescent="0.25">
      <c r="A108" s="130">
        <v>42159</v>
      </c>
      <c r="B108" s="107">
        <v>190.5</v>
      </c>
      <c r="C108" s="107">
        <v>183.25</v>
      </c>
      <c r="D108" s="107">
        <v>181</v>
      </c>
      <c r="E108" s="107">
        <v>190.25</v>
      </c>
      <c r="F108" s="107">
        <v>183.25</v>
      </c>
      <c r="G108">
        <v>665548</v>
      </c>
      <c r="H108" s="107"/>
      <c r="I108" s="107"/>
      <c r="L108" s="130">
        <v>42159</v>
      </c>
      <c r="M108" s="107">
        <v>183</v>
      </c>
      <c r="N108" s="107">
        <v>190.9</v>
      </c>
      <c r="O108" s="107">
        <v>180.55</v>
      </c>
      <c r="P108" s="107">
        <v>190.65</v>
      </c>
      <c r="Q108" s="107">
        <v>183</v>
      </c>
      <c r="R108">
        <v>3807113</v>
      </c>
    </row>
    <row r="109" spans="1:18" x14ac:dyDescent="0.25">
      <c r="A109" s="130">
        <v>42160</v>
      </c>
      <c r="B109" s="107">
        <v>183.55</v>
      </c>
      <c r="C109" s="107">
        <v>181.15</v>
      </c>
      <c r="D109" s="107">
        <v>179.2</v>
      </c>
      <c r="E109" s="107">
        <v>181.5</v>
      </c>
      <c r="F109" s="107">
        <v>181.15</v>
      </c>
      <c r="G109">
        <v>510824</v>
      </c>
      <c r="H109" s="107"/>
      <c r="I109" s="107"/>
      <c r="L109" s="130">
        <v>42160</v>
      </c>
      <c r="M109" s="107">
        <v>180.85</v>
      </c>
      <c r="N109" s="107">
        <v>183.5</v>
      </c>
      <c r="O109" s="107">
        <v>179.2</v>
      </c>
      <c r="P109" s="107">
        <v>180.5</v>
      </c>
      <c r="Q109" s="107">
        <v>180.85</v>
      </c>
      <c r="R109">
        <v>2354959</v>
      </c>
    </row>
    <row r="110" spans="1:18" x14ac:dyDescent="0.25">
      <c r="A110" s="130">
        <v>42163</v>
      </c>
      <c r="B110" s="107">
        <v>181.8</v>
      </c>
      <c r="C110" s="107">
        <v>173.85</v>
      </c>
      <c r="D110" s="107">
        <v>173.1</v>
      </c>
      <c r="E110" s="107">
        <v>181.2</v>
      </c>
      <c r="F110" s="107">
        <v>173.85</v>
      </c>
      <c r="G110">
        <v>345565</v>
      </c>
      <c r="H110" s="107"/>
      <c r="I110" s="107"/>
      <c r="L110" s="130">
        <v>42163</v>
      </c>
      <c r="M110" s="107">
        <v>174.05</v>
      </c>
      <c r="N110" s="107">
        <v>181.8</v>
      </c>
      <c r="O110" s="107">
        <v>173.2</v>
      </c>
      <c r="P110" s="107">
        <v>180.8</v>
      </c>
      <c r="Q110" s="107">
        <v>174.05</v>
      </c>
      <c r="R110">
        <v>2579847</v>
      </c>
    </row>
    <row r="111" spans="1:18" x14ac:dyDescent="0.25">
      <c r="A111" s="130">
        <v>42164</v>
      </c>
      <c r="B111" s="107">
        <v>176.45</v>
      </c>
      <c r="C111" s="107">
        <v>175.4</v>
      </c>
      <c r="D111" s="107">
        <v>173.1</v>
      </c>
      <c r="E111" s="107">
        <v>173.5</v>
      </c>
      <c r="F111" s="107">
        <v>175.4</v>
      </c>
      <c r="G111">
        <v>272034</v>
      </c>
      <c r="H111" s="107"/>
      <c r="I111" s="107"/>
      <c r="L111" s="130">
        <v>42164</v>
      </c>
      <c r="M111" s="107">
        <v>175.6</v>
      </c>
      <c r="N111" s="107">
        <v>176.4</v>
      </c>
      <c r="O111" s="107">
        <v>173</v>
      </c>
      <c r="P111" s="107">
        <v>173.6</v>
      </c>
      <c r="Q111" s="107">
        <v>175.6</v>
      </c>
      <c r="R111">
        <v>1632228</v>
      </c>
    </row>
    <row r="112" spans="1:18" x14ac:dyDescent="0.25">
      <c r="A112" s="130">
        <v>42165</v>
      </c>
      <c r="B112" s="107">
        <v>178.8</v>
      </c>
      <c r="C112" s="107">
        <v>176.75</v>
      </c>
      <c r="D112" s="107">
        <v>174.85</v>
      </c>
      <c r="E112" s="107">
        <v>175.55</v>
      </c>
      <c r="F112" s="107">
        <v>176.75</v>
      </c>
      <c r="G112">
        <v>279077</v>
      </c>
      <c r="H112" s="107"/>
      <c r="I112" s="107"/>
      <c r="L112" s="130">
        <v>42165</v>
      </c>
      <c r="M112" s="107">
        <v>176.65</v>
      </c>
      <c r="N112" s="107">
        <v>179</v>
      </c>
      <c r="O112" s="107">
        <v>174.6</v>
      </c>
      <c r="P112" s="107">
        <v>175</v>
      </c>
      <c r="Q112" s="107">
        <v>176.65</v>
      </c>
      <c r="R112">
        <v>1550278</v>
      </c>
    </row>
    <row r="113" spans="1:18" x14ac:dyDescent="0.25">
      <c r="A113" s="130">
        <v>42166</v>
      </c>
      <c r="B113" s="107">
        <v>178.25</v>
      </c>
      <c r="C113" s="107">
        <v>173.15</v>
      </c>
      <c r="D113" s="107">
        <v>172</v>
      </c>
      <c r="E113" s="107">
        <v>178</v>
      </c>
      <c r="F113" s="107">
        <v>173.15</v>
      </c>
      <c r="G113">
        <v>353547</v>
      </c>
      <c r="H113" s="107"/>
      <c r="I113" s="107"/>
      <c r="L113" s="130">
        <v>42166</v>
      </c>
      <c r="M113" s="107">
        <v>173.15</v>
      </c>
      <c r="N113" s="107">
        <v>178.5</v>
      </c>
      <c r="O113" s="107">
        <v>171.9</v>
      </c>
      <c r="P113" s="107">
        <v>178.1</v>
      </c>
      <c r="Q113" s="107">
        <v>173.15</v>
      </c>
      <c r="R113">
        <v>2707973</v>
      </c>
    </row>
    <row r="114" spans="1:18" x14ac:dyDescent="0.25">
      <c r="A114" s="130">
        <v>42167</v>
      </c>
      <c r="B114" s="107">
        <v>174.65</v>
      </c>
      <c r="C114" s="107">
        <v>173.45</v>
      </c>
      <c r="D114" s="107">
        <v>171</v>
      </c>
      <c r="E114" s="107">
        <v>171.5</v>
      </c>
      <c r="F114" s="107">
        <v>173.45</v>
      </c>
      <c r="G114">
        <v>384882</v>
      </c>
      <c r="H114" s="107"/>
      <c r="I114" s="107"/>
      <c r="L114" s="130">
        <v>42167</v>
      </c>
      <c r="M114" s="107">
        <v>173.35</v>
      </c>
      <c r="N114" s="107">
        <v>174.65</v>
      </c>
      <c r="O114" s="107">
        <v>171</v>
      </c>
      <c r="P114" s="107">
        <v>172.3</v>
      </c>
      <c r="Q114" s="107">
        <v>173.35</v>
      </c>
      <c r="R114">
        <v>2341520</v>
      </c>
    </row>
    <row r="115" spans="1:18" x14ac:dyDescent="0.25">
      <c r="A115" s="130">
        <v>42170</v>
      </c>
      <c r="B115" s="107">
        <v>175.35</v>
      </c>
      <c r="C115" s="107">
        <v>171.05</v>
      </c>
      <c r="D115" s="107">
        <v>170.1</v>
      </c>
      <c r="E115" s="107">
        <v>173.5</v>
      </c>
      <c r="F115" s="107">
        <v>171.05</v>
      </c>
      <c r="G115">
        <v>278618</v>
      </c>
      <c r="H115" s="107"/>
      <c r="I115" s="107"/>
      <c r="L115" s="130">
        <v>42170</v>
      </c>
      <c r="M115" s="107">
        <v>171.1</v>
      </c>
      <c r="N115" s="107">
        <v>176.5</v>
      </c>
      <c r="O115" s="107">
        <v>170</v>
      </c>
      <c r="P115" s="107">
        <v>174.4</v>
      </c>
      <c r="Q115" s="107">
        <v>171.1</v>
      </c>
      <c r="R115">
        <v>2128968</v>
      </c>
    </row>
    <row r="116" spans="1:18" x14ac:dyDescent="0.25">
      <c r="A116" s="130">
        <v>42171</v>
      </c>
      <c r="B116" s="107">
        <v>175.85</v>
      </c>
      <c r="C116" s="107">
        <v>174.35</v>
      </c>
      <c r="D116" s="107">
        <v>171.6</v>
      </c>
      <c r="E116" s="107">
        <v>173</v>
      </c>
      <c r="F116" s="107">
        <v>174.35</v>
      </c>
      <c r="G116">
        <v>385857</v>
      </c>
      <c r="H116" s="107"/>
      <c r="I116" s="107"/>
      <c r="L116" s="130">
        <v>42171</v>
      </c>
      <c r="M116" s="107">
        <v>174.3</v>
      </c>
      <c r="N116" s="107">
        <v>175.55</v>
      </c>
      <c r="O116" s="107">
        <v>171.55</v>
      </c>
      <c r="P116" s="107">
        <v>172.4</v>
      </c>
      <c r="Q116" s="107">
        <v>174.3</v>
      </c>
      <c r="R116">
        <v>1827561</v>
      </c>
    </row>
    <row r="117" spans="1:18" x14ac:dyDescent="0.25">
      <c r="A117" s="130">
        <v>42172</v>
      </c>
      <c r="B117" s="107">
        <v>176.6</v>
      </c>
      <c r="C117" s="107">
        <v>174.15</v>
      </c>
      <c r="D117" s="107">
        <v>173.1</v>
      </c>
      <c r="E117" s="107">
        <v>175.5</v>
      </c>
      <c r="F117" s="107">
        <v>174.15</v>
      </c>
      <c r="G117">
        <v>240901</v>
      </c>
      <c r="H117" s="107"/>
      <c r="I117" s="107"/>
      <c r="L117" s="130">
        <v>42172</v>
      </c>
      <c r="M117" s="107">
        <v>173.8</v>
      </c>
      <c r="N117" s="107">
        <v>176.6</v>
      </c>
      <c r="O117" s="107">
        <v>173.1</v>
      </c>
      <c r="P117" s="107">
        <v>176</v>
      </c>
      <c r="Q117" s="107">
        <v>173.8</v>
      </c>
      <c r="R117">
        <v>1216942</v>
      </c>
    </row>
    <row r="118" spans="1:18" x14ac:dyDescent="0.25">
      <c r="A118" s="130">
        <v>42173</v>
      </c>
      <c r="B118" s="107">
        <v>177.7</v>
      </c>
      <c r="C118" s="107">
        <v>175.85</v>
      </c>
      <c r="D118" s="107">
        <v>174.15</v>
      </c>
      <c r="E118" s="107">
        <v>175</v>
      </c>
      <c r="F118" s="107">
        <v>175.85</v>
      </c>
      <c r="G118">
        <v>290739</v>
      </c>
      <c r="H118" s="107"/>
      <c r="I118" s="107"/>
      <c r="L118" s="130">
        <v>42173</v>
      </c>
      <c r="M118" s="107">
        <v>175.65</v>
      </c>
      <c r="N118" s="107">
        <v>177.8</v>
      </c>
      <c r="O118" s="107">
        <v>174</v>
      </c>
      <c r="P118" s="107">
        <v>175</v>
      </c>
      <c r="Q118" s="107">
        <v>175.65</v>
      </c>
      <c r="R118">
        <v>1956249</v>
      </c>
    </row>
    <row r="119" spans="1:18" x14ac:dyDescent="0.25">
      <c r="A119" s="130">
        <v>42174</v>
      </c>
      <c r="B119" s="107">
        <v>178</v>
      </c>
      <c r="C119" s="107">
        <v>177.55</v>
      </c>
      <c r="D119" s="107">
        <v>175</v>
      </c>
      <c r="E119" s="107">
        <v>176.85</v>
      </c>
      <c r="F119" s="107">
        <v>177.55</v>
      </c>
      <c r="G119">
        <v>239579</v>
      </c>
      <c r="H119" s="107"/>
      <c r="I119" s="107"/>
      <c r="L119" s="130">
        <v>42174</v>
      </c>
      <c r="M119" s="107">
        <v>177.6</v>
      </c>
      <c r="N119" s="107">
        <v>178.4</v>
      </c>
      <c r="O119" s="107">
        <v>174.85</v>
      </c>
      <c r="P119" s="107">
        <v>176.5</v>
      </c>
      <c r="Q119" s="107">
        <v>177.6</v>
      </c>
      <c r="R119">
        <v>1804466</v>
      </c>
    </row>
    <row r="120" spans="1:18" x14ac:dyDescent="0.25">
      <c r="A120" s="130">
        <v>42177</v>
      </c>
      <c r="B120" s="107">
        <v>184.7</v>
      </c>
      <c r="C120" s="107">
        <v>182.95</v>
      </c>
      <c r="D120" s="107">
        <v>177.7</v>
      </c>
      <c r="E120" s="107">
        <v>178.45</v>
      </c>
      <c r="F120" s="107">
        <v>182.95</v>
      </c>
      <c r="G120">
        <v>435617</v>
      </c>
      <c r="H120" s="107"/>
      <c r="I120" s="107"/>
      <c r="L120" s="130">
        <v>42177</v>
      </c>
      <c r="M120" s="107">
        <v>183.25</v>
      </c>
      <c r="N120" s="107">
        <v>185.55</v>
      </c>
      <c r="O120" s="107">
        <v>177.6</v>
      </c>
      <c r="P120" s="107">
        <v>178.3</v>
      </c>
      <c r="Q120" s="107">
        <v>183.25</v>
      </c>
      <c r="R120">
        <v>2393473</v>
      </c>
    </row>
    <row r="121" spans="1:18" x14ac:dyDescent="0.25">
      <c r="A121" s="130">
        <v>42178</v>
      </c>
      <c r="B121" s="107">
        <v>187.5</v>
      </c>
      <c r="C121" s="107">
        <v>184.4</v>
      </c>
      <c r="D121" s="107">
        <v>182.5</v>
      </c>
      <c r="E121" s="107">
        <v>184.6</v>
      </c>
      <c r="F121" s="107">
        <v>184.4</v>
      </c>
      <c r="G121">
        <v>320604</v>
      </c>
      <c r="H121" s="107"/>
      <c r="I121" s="107"/>
      <c r="L121" s="130">
        <v>42178</v>
      </c>
      <c r="M121" s="107">
        <v>184.3</v>
      </c>
      <c r="N121" s="107">
        <v>187.5</v>
      </c>
      <c r="O121" s="107">
        <v>182.25</v>
      </c>
      <c r="P121" s="107">
        <v>184</v>
      </c>
      <c r="Q121" s="107">
        <v>184.3</v>
      </c>
      <c r="R121">
        <v>1988170</v>
      </c>
    </row>
    <row r="122" spans="1:18" x14ac:dyDescent="0.25">
      <c r="A122" s="130">
        <v>42179</v>
      </c>
      <c r="B122" s="107">
        <v>186.1</v>
      </c>
      <c r="C122" s="107">
        <v>179.65</v>
      </c>
      <c r="D122" s="107">
        <v>178.55</v>
      </c>
      <c r="E122" s="107">
        <v>185.9</v>
      </c>
      <c r="F122" s="107">
        <v>179.65</v>
      </c>
      <c r="G122">
        <v>270489</v>
      </c>
      <c r="H122" s="107"/>
      <c r="I122" s="107"/>
      <c r="L122" s="130">
        <v>42179</v>
      </c>
      <c r="M122" s="107">
        <v>179.2</v>
      </c>
      <c r="N122" s="107">
        <v>185.35</v>
      </c>
      <c r="O122" s="107">
        <v>178.5</v>
      </c>
      <c r="P122" s="107">
        <v>185.05</v>
      </c>
      <c r="Q122" s="107">
        <v>179.2</v>
      </c>
      <c r="R122">
        <v>2304905</v>
      </c>
    </row>
    <row r="123" spans="1:18" x14ac:dyDescent="0.25">
      <c r="A123" s="130">
        <v>42180</v>
      </c>
      <c r="B123" s="107">
        <v>184.95</v>
      </c>
      <c r="C123" s="107">
        <v>182.85</v>
      </c>
      <c r="D123" s="107">
        <v>176.45</v>
      </c>
      <c r="E123" s="107">
        <v>180</v>
      </c>
      <c r="F123" s="107">
        <v>182.85</v>
      </c>
      <c r="G123">
        <v>260326</v>
      </c>
      <c r="H123" s="107"/>
      <c r="I123" s="107"/>
      <c r="L123" s="130">
        <v>42180</v>
      </c>
      <c r="M123" s="107">
        <v>183.35</v>
      </c>
      <c r="N123" s="107">
        <v>185.7</v>
      </c>
      <c r="O123" s="107">
        <v>176.35</v>
      </c>
      <c r="P123" s="107">
        <v>179</v>
      </c>
      <c r="Q123" s="107">
        <v>183.35</v>
      </c>
      <c r="R123">
        <v>3819117</v>
      </c>
    </row>
    <row r="124" spans="1:18" x14ac:dyDescent="0.25">
      <c r="A124" s="130">
        <v>42181</v>
      </c>
      <c r="B124" s="107">
        <v>184.9</v>
      </c>
      <c r="C124" s="107">
        <v>177</v>
      </c>
      <c r="D124" s="107">
        <v>176</v>
      </c>
      <c r="E124" s="107">
        <v>183</v>
      </c>
      <c r="F124" s="107">
        <v>177</v>
      </c>
      <c r="G124">
        <v>531886</v>
      </c>
      <c r="H124" s="107"/>
      <c r="I124" s="107"/>
      <c r="L124" s="130">
        <v>42181</v>
      </c>
      <c r="M124" s="107">
        <v>177.1</v>
      </c>
      <c r="N124" s="107">
        <v>182.75</v>
      </c>
      <c r="O124" s="107">
        <v>176</v>
      </c>
      <c r="P124" s="107">
        <v>182.75</v>
      </c>
      <c r="Q124" s="107">
        <v>177.1</v>
      </c>
      <c r="R124">
        <v>2537257</v>
      </c>
    </row>
    <row r="125" spans="1:18" x14ac:dyDescent="0.25">
      <c r="A125" s="130">
        <v>42184</v>
      </c>
      <c r="B125" s="107">
        <v>174</v>
      </c>
      <c r="C125" s="107">
        <v>172.05</v>
      </c>
      <c r="D125" s="107">
        <v>169.1</v>
      </c>
      <c r="E125" s="107">
        <v>173.5</v>
      </c>
      <c r="F125" s="107">
        <v>172.05</v>
      </c>
      <c r="G125">
        <v>416394</v>
      </c>
      <c r="H125" s="107"/>
      <c r="I125" s="107"/>
      <c r="L125" s="130">
        <v>42184</v>
      </c>
      <c r="M125" s="107">
        <v>172.05</v>
      </c>
      <c r="N125" s="107">
        <v>175</v>
      </c>
      <c r="O125" s="107">
        <v>169</v>
      </c>
      <c r="P125" s="107">
        <v>172.2</v>
      </c>
      <c r="Q125" s="107">
        <v>172.05</v>
      </c>
      <c r="R125">
        <v>2431921</v>
      </c>
    </row>
    <row r="126" spans="1:18" x14ac:dyDescent="0.25">
      <c r="A126" s="130">
        <v>42185</v>
      </c>
      <c r="B126" s="107">
        <v>172.65</v>
      </c>
      <c r="C126" s="107">
        <v>171.3</v>
      </c>
      <c r="D126" s="107">
        <v>168.65</v>
      </c>
      <c r="E126" s="107">
        <v>170</v>
      </c>
      <c r="F126" s="107">
        <v>171.3</v>
      </c>
      <c r="G126">
        <v>345949</v>
      </c>
      <c r="H126" s="107"/>
      <c r="I126" s="107"/>
      <c r="L126" s="130">
        <v>42185</v>
      </c>
      <c r="M126" s="107">
        <v>171.4</v>
      </c>
      <c r="N126" s="107">
        <v>172.9</v>
      </c>
      <c r="O126" s="107">
        <v>168.1</v>
      </c>
      <c r="P126" s="107">
        <v>169</v>
      </c>
      <c r="Q126" s="107">
        <v>171.4</v>
      </c>
      <c r="R126">
        <v>2356812</v>
      </c>
    </row>
    <row r="127" spans="1:18" x14ac:dyDescent="0.25">
      <c r="A127" s="130">
        <v>42186</v>
      </c>
      <c r="B127" s="107">
        <v>181.2</v>
      </c>
      <c r="C127" s="107">
        <v>179.65</v>
      </c>
      <c r="D127" s="107">
        <v>170.9</v>
      </c>
      <c r="E127" s="107">
        <v>172</v>
      </c>
      <c r="F127" s="107">
        <v>179.65</v>
      </c>
      <c r="G127">
        <v>463131</v>
      </c>
      <c r="H127" s="107"/>
      <c r="I127" s="107"/>
      <c r="L127" s="130">
        <v>42186</v>
      </c>
      <c r="M127" s="107">
        <v>179.55</v>
      </c>
      <c r="N127" s="107">
        <v>181.25</v>
      </c>
      <c r="O127" s="107">
        <v>170.7</v>
      </c>
      <c r="P127" s="107">
        <v>171.3</v>
      </c>
      <c r="Q127" s="107">
        <v>179.55</v>
      </c>
      <c r="R127">
        <v>3185421</v>
      </c>
    </row>
    <row r="128" spans="1:18" x14ac:dyDescent="0.25">
      <c r="A128" s="130">
        <v>42187</v>
      </c>
      <c r="B128" s="107">
        <v>180.8</v>
      </c>
      <c r="C128" s="107">
        <v>178.6</v>
      </c>
      <c r="D128" s="107">
        <v>177.4</v>
      </c>
      <c r="E128" s="107">
        <v>179.9</v>
      </c>
      <c r="F128" s="107">
        <v>178.6</v>
      </c>
      <c r="G128">
        <v>272469</v>
      </c>
      <c r="H128" s="107"/>
      <c r="I128" s="107"/>
      <c r="L128" s="130">
        <v>42187</v>
      </c>
      <c r="M128" s="107">
        <v>178.35</v>
      </c>
      <c r="N128" s="107">
        <v>180.7</v>
      </c>
      <c r="O128" s="107">
        <v>177.15</v>
      </c>
      <c r="P128" s="107">
        <v>180.25</v>
      </c>
      <c r="Q128" s="107">
        <v>178.35</v>
      </c>
      <c r="R128">
        <v>1556954</v>
      </c>
    </row>
    <row r="129" spans="1:18" x14ac:dyDescent="0.25">
      <c r="A129" s="130">
        <v>42188</v>
      </c>
      <c r="B129" s="107">
        <v>181.7</v>
      </c>
      <c r="C129" s="107">
        <v>180.75</v>
      </c>
      <c r="D129" s="107">
        <v>176.4</v>
      </c>
      <c r="E129" s="107">
        <v>178.1</v>
      </c>
      <c r="F129" s="107">
        <v>180.75</v>
      </c>
      <c r="G129">
        <v>382034</v>
      </c>
      <c r="H129" s="107"/>
      <c r="I129" s="107"/>
      <c r="L129" s="130">
        <v>42188</v>
      </c>
      <c r="M129" s="107">
        <v>180.75</v>
      </c>
      <c r="N129" s="107">
        <v>181.9</v>
      </c>
      <c r="O129" s="107">
        <v>176.3</v>
      </c>
      <c r="P129" s="107">
        <v>178</v>
      </c>
      <c r="Q129" s="107">
        <v>180.75</v>
      </c>
      <c r="R129">
        <v>2455858</v>
      </c>
    </row>
    <row r="130" spans="1:18" x14ac:dyDescent="0.25">
      <c r="A130" s="130">
        <v>42191</v>
      </c>
      <c r="B130" s="107">
        <v>185.8</v>
      </c>
      <c r="C130" s="107">
        <v>184.55</v>
      </c>
      <c r="D130" s="107">
        <v>175.95</v>
      </c>
      <c r="E130" s="107">
        <v>178.1</v>
      </c>
      <c r="F130" s="107">
        <v>184.55</v>
      </c>
      <c r="G130">
        <v>298634</v>
      </c>
      <c r="H130" s="107"/>
      <c r="I130" s="107"/>
      <c r="L130" s="130">
        <v>42191</v>
      </c>
      <c r="M130" s="107">
        <v>184.7</v>
      </c>
      <c r="N130" s="107">
        <v>186</v>
      </c>
      <c r="O130" s="107">
        <v>175.75</v>
      </c>
      <c r="P130" s="107">
        <v>176.1</v>
      </c>
      <c r="Q130" s="107">
        <v>184.7</v>
      </c>
      <c r="R130">
        <v>2360614</v>
      </c>
    </row>
    <row r="131" spans="1:18" x14ac:dyDescent="0.25">
      <c r="A131" s="130">
        <v>42192</v>
      </c>
      <c r="B131" s="107">
        <v>186.55</v>
      </c>
      <c r="C131" s="107">
        <v>184.85</v>
      </c>
      <c r="D131" s="107">
        <v>182.35</v>
      </c>
      <c r="E131" s="107">
        <v>184</v>
      </c>
      <c r="F131" s="107">
        <v>184.85</v>
      </c>
      <c r="G131">
        <v>266836</v>
      </c>
      <c r="H131" s="107"/>
      <c r="I131" s="107"/>
      <c r="L131" s="130">
        <v>42192</v>
      </c>
      <c r="M131" s="107">
        <v>184.8</v>
      </c>
      <c r="N131" s="107">
        <v>186.4</v>
      </c>
      <c r="O131" s="107">
        <v>182.2</v>
      </c>
      <c r="P131" s="107">
        <v>184.7</v>
      </c>
      <c r="Q131" s="107">
        <v>184.8</v>
      </c>
      <c r="R131">
        <v>1784298</v>
      </c>
    </row>
    <row r="132" spans="1:18" x14ac:dyDescent="0.25">
      <c r="A132" s="130">
        <v>42193</v>
      </c>
      <c r="B132" s="107">
        <v>183.2</v>
      </c>
      <c r="C132" s="107">
        <v>180.25</v>
      </c>
      <c r="D132" s="107">
        <v>178</v>
      </c>
      <c r="E132" s="107">
        <v>182</v>
      </c>
      <c r="F132" s="107">
        <v>180.25</v>
      </c>
      <c r="G132">
        <v>355238</v>
      </c>
      <c r="H132" s="107"/>
      <c r="I132" s="107"/>
      <c r="L132" s="130">
        <v>42193</v>
      </c>
      <c r="M132" s="107">
        <v>180.15</v>
      </c>
      <c r="N132" s="107">
        <v>183.2</v>
      </c>
      <c r="O132" s="107">
        <v>177.75</v>
      </c>
      <c r="P132" s="107">
        <v>181.9</v>
      </c>
      <c r="Q132" s="107">
        <v>180.15</v>
      </c>
      <c r="R132">
        <v>2324257</v>
      </c>
    </row>
    <row r="133" spans="1:18" x14ac:dyDescent="0.25">
      <c r="A133" s="130">
        <v>42194</v>
      </c>
      <c r="B133" s="107">
        <v>186.7</v>
      </c>
      <c r="C133" s="107">
        <v>184.25</v>
      </c>
      <c r="D133" s="107">
        <v>181.35</v>
      </c>
      <c r="E133" s="107">
        <v>182.4</v>
      </c>
      <c r="F133" s="107">
        <v>184.25</v>
      </c>
      <c r="G133">
        <v>369024</v>
      </c>
      <c r="H133" s="107"/>
      <c r="I133" s="107"/>
      <c r="L133" s="130">
        <v>42194</v>
      </c>
      <c r="M133" s="107">
        <v>184.45</v>
      </c>
      <c r="N133" s="107">
        <v>186.9</v>
      </c>
      <c r="O133" s="107">
        <v>181</v>
      </c>
      <c r="P133" s="107">
        <v>181</v>
      </c>
      <c r="Q133" s="107">
        <v>184.45</v>
      </c>
      <c r="R133">
        <v>3491147</v>
      </c>
    </row>
    <row r="134" spans="1:18" x14ac:dyDescent="0.25">
      <c r="A134" s="130">
        <v>42195</v>
      </c>
      <c r="B134" s="107">
        <v>182.95</v>
      </c>
      <c r="C134" s="107">
        <v>180.45</v>
      </c>
      <c r="D134" s="107">
        <v>179</v>
      </c>
      <c r="E134" s="107">
        <v>182</v>
      </c>
      <c r="F134" s="107">
        <v>180.45</v>
      </c>
      <c r="G134">
        <v>385422</v>
      </c>
      <c r="H134" s="107"/>
      <c r="I134" s="107"/>
      <c r="L134" s="130">
        <v>42195</v>
      </c>
      <c r="M134" s="107">
        <v>180.5</v>
      </c>
      <c r="N134" s="107">
        <v>183</v>
      </c>
      <c r="O134" s="107">
        <v>179</v>
      </c>
      <c r="P134" s="107">
        <v>182</v>
      </c>
      <c r="Q134" s="107">
        <v>180.5</v>
      </c>
      <c r="R134">
        <v>2787386</v>
      </c>
    </row>
    <row r="135" spans="1:18" x14ac:dyDescent="0.25">
      <c r="A135" s="130">
        <v>42198</v>
      </c>
      <c r="B135" s="107">
        <v>184.1</v>
      </c>
      <c r="C135" s="107">
        <v>182.9</v>
      </c>
      <c r="D135" s="107">
        <v>180.1</v>
      </c>
      <c r="E135" s="107">
        <v>181</v>
      </c>
      <c r="F135" s="107">
        <v>182.9</v>
      </c>
      <c r="G135">
        <v>225475</v>
      </c>
      <c r="H135" s="107"/>
      <c r="I135" s="107"/>
      <c r="L135" s="130">
        <v>42198</v>
      </c>
      <c r="M135" s="107">
        <v>183.05</v>
      </c>
      <c r="N135" s="107">
        <v>184.3</v>
      </c>
      <c r="O135" s="107">
        <v>179.9</v>
      </c>
      <c r="P135" s="107">
        <v>181.5</v>
      </c>
      <c r="Q135" s="107">
        <v>183.05</v>
      </c>
      <c r="R135">
        <v>1811572</v>
      </c>
    </row>
    <row r="136" spans="1:18" x14ac:dyDescent="0.25">
      <c r="A136" s="130">
        <v>42199</v>
      </c>
      <c r="B136" s="107">
        <v>184.6</v>
      </c>
      <c r="C136" s="107">
        <v>181.7</v>
      </c>
      <c r="D136" s="107">
        <v>180.55</v>
      </c>
      <c r="E136" s="107">
        <v>183.3</v>
      </c>
      <c r="F136" s="107">
        <v>181.7</v>
      </c>
      <c r="G136">
        <v>186552</v>
      </c>
      <c r="H136" s="107"/>
      <c r="I136" s="107"/>
      <c r="L136" s="130">
        <v>42199</v>
      </c>
      <c r="M136" s="107">
        <v>181.6</v>
      </c>
      <c r="N136" s="107">
        <v>184.5</v>
      </c>
      <c r="O136" s="107">
        <v>180.6</v>
      </c>
      <c r="P136" s="107">
        <v>183.9</v>
      </c>
      <c r="Q136" s="107">
        <v>181.6</v>
      </c>
      <c r="R136">
        <v>1450637</v>
      </c>
    </row>
    <row r="137" spans="1:18" x14ac:dyDescent="0.25">
      <c r="A137" s="130">
        <v>42200</v>
      </c>
      <c r="B137" s="107">
        <v>183.7</v>
      </c>
      <c r="C137" s="107">
        <v>178.85</v>
      </c>
      <c r="D137" s="107">
        <v>178.15</v>
      </c>
      <c r="E137" s="107">
        <v>181.1</v>
      </c>
      <c r="F137" s="107">
        <v>178.85</v>
      </c>
      <c r="G137">
        <v>256746</v>
      </c>
      <c r="H137" s="107"/>
      <c r="I137" s="107"/>
      <c r="L137" s="130">
        <v>42200</v>
      </c>
      <c r="M137" s="107">
        <v>178.75</v>
      </c>
      <c r="N137" s="107">
        <v>183.8</v>
      </c>
      <c r="O137" s="107">
        <v>178.1</v>
      </c>
      <c r="P137" s="107">
        <v>182</v>
      </c>
      <c r="Q137" s="107">
        <v>178.75</v>
      </c>
      <c r="R137">
        <v>1431354</v>
      </c>
    </row>
    <row r="138" spans="1:18" x14ac:dyDescent="0.25">
      <c r="A138" s="130">
        <v>42201</v>
      </c>
      <c r="B138" s="107">
        <v>182.25</v>
      </c>
      <c r="C138" s="107">
        <v>180.2</v>
      </c>
      <c r="D138" s="107">
        <v>179.15</v>
      </c>
      <c r="E138" s="107">
        <v>179.65</v>
      </c>
      <c r="F138" s="107">
        <v>180.2</v>
      </c>
      <c r="G138">
        <v>201252</v>
      </c>
      <c r="H138" s="107"/>
      <c r="I138" s="107"/>
      <c r="L138" s="130">
        <v>42201</v>
      </c>
      <c r="M138" s="107">
        <v>180.2</v>
      </c>
      <c r="N138" s="107">
        <v>182.4</v>
      </c>
      <c r="O138" s="107">
        <v>179</v>
      </c>
      <c r="P138" s="107">
        <v>179.3</v>
      </c>
      <c r="Q138" s="107">
        <v>180.2</v>
      </c>
      <c r="R138">
        <v>1296885</v>
      </c>
    </row>
    <row r="139" spans="1:18" x14ac:dyDescent="0.25">
      <c r="A139" s="130">
        <v>42202</v>
      </c>
      <c r="B139" s="107">
        <v>182.1</v>
      </c>
      <c r="C139" s="107">
        <v>179</v>
      </c>
      <c r="D139" s="107">
        <v>178.5</v>
      </c>
      <c r="E139" s="107">
        <v>182</v>
      </c>
      <c r="F139" s="107">
        <v>179</v>
      </c>
      <c r="G139">
        <v>259763</v>
      </c>
      <c r="H139" s="107"/>
      <c r="I139" s="107"/>
      <c r="L139" s="130">
        <v>42202</v>
      </c>
      <c r="M139" s="107">
        <v>179.2</v>
      </c>
      <c r="N139" s="107">
        <v>182.2</v>
      </c>
      <c r="O139" s="107">
        <v>178.2</v>
      </c>
      <c r="P139" s="107">
        <v>181.7</v>
      </c>
      <c r="Q139" s="107">
        <v>179.2</v>
      </c>
      <c r="R139">
        <v>1178811</v>
      </c>
    </row>
    <row r="140" spans="1:18" x14ac:dyDescent="0.25">
      <c r="A140" s="130">
        <v>42205</v>
      </c>
      <c r="B140" s="107">
        <v>180.1</v>
      </c>
      <c r="C140" s="107">
        <v>173.6</v>
      </c>
      <c r="D140" s="107">
        <v>172.8</v>
      </c>
      <c r="E140" s="107">
        <v>180</v>
      </c>
      <c r="F140" s="107">
        <v>173.6</v>
      </c>
      <c r="G140">
        <v>362486</v>
      </c>
      <c r="H140" s="107"/>
      <c r="I140" s="107"/>
      <c r="L140" s="130">
        <v>42205</v>
      </c>
      <c r="M140" s="107">
        <v>173.4</v>
      </c>
      <c r="N140" s="107">
        <v>180.2</v>
      </c>
      <c r="O140" s="107">
        <v>172.95</v>
      </c>
      <c r="P140" s="107">
        <v>180.2</v>
      </c>
      <c r="Q140" s="107">
        <v>173.4</v>
      </c>
      <c r="R140">
        <v>2012714</v>
      </c>
    </row>
    <row r="141" spans="1:18" x14ac:dyDescent="0.25">
      <c r="A141" s="130">
        <v>42206</v>
      </c>
      <c r="B141" s="107">
        <v>175.95</v>
      </c>
      <c r="C141" s="107">
        <v>170.4</v>
      </c>
      <c r="D141" s="107">
        <v>170</v>
      </c>
      <c r="E141" s="107">
        <v>173.9</v>
      </c>
      <c r="F141" s="107">
        <v>170.4</v>
      </c>
      <c r="G141">
        <v>275378</v>
      </c>
      <c r="H141" s="107"/>
      <c r="I141" s="107"/>
      <c r="L141" s="130">
        <v>42206</v>
      </c>
      <c r="M141" s="107">
        <v>170.5</v>
      </c>
      <c r="N141" s="107">
        <v>176</v>
      </c>
      <c r="O141" s="107">
        <v>170.1</v>
      </c>
      <c r="P141" s="107">
        <v>174.25</v>
      </c>
      <c r="Q141" s="107">
        <v>170.5</v>
      </c>
      <c r="R141">
        <v>2054325</v>
      </c>
    </row>
    <row r="142" spans="1:18" x14ac:dyDescent="0.25">
      <c r="A142" s="130">
        <v>42207</v>
      </c>
      <c r="B142" s="107">
        <v>172.8</v>
      </c>
      <c r="C142" s="107">
        <v>172.05</v>
      </c>
      <c r="D142" s="107">
        <v>168.7</v>
      </c>
      <c r="E142" s="107">
        <v>170.1</v>
      </c>
      <c r="F142" s="107">
        <v>172.05</v>
      </c>
      <c r="G142">
        <v>246365</v>
      </c>
      <c r="H142" s="107"/>
      <c r="I142" s="107"/>
      <c r="L142" s="130">
        <v>42207</v>
      </c>
      <c r="M142" s="107">
        <v>172.1</v>
      </c>
      <c r="N142" s="107">
        <v>172.75</v>
      </c>
      <c r="O142" s="107">
        <v>168.1</v>
      </c>
      <c r="P142" s="107">
        <v>170</v>
      </c>
      <c r="Q142" s="107">
        <v>172.1</v>
      </c>
      <c r="R142">
        <v>1116222</v>
      </c>
    </row>
    <row r="143" spans="1:18" x14ac:dyDescent="0.25">
      <c r="A143" s="130">
        <v>42208</v>
      </c>
      <c r="B143" s="107">
        <v>173.75</v>
      </c>
      <c r="C143" s="107">
        <v>172.6</v>
      </c>
      <c r="D143" s="107">
        <v>170.4</v>
      </c>
      <c r="E143" s="107">
        <v>172.2</v>
      </c>
      <c r="F143" s="107">
        <v>172.6</v>
      </c>
      <c r="G143">
        <v>188198</v>
      </c>
      <c r="H143" s="107"/>
      <c r="I143" s="107"/>
      <c r="L143" s="130">
        <v>42208</v>
      </c>
      <c r="M143" s="107">
        <v>172.95</v>
      </c>
      <c r="N143" s="107">
        <v>173.8</v>
      </c>
      <c r="O143" s="107">
        <v>170.3</v>
      </c>
      <c r="P143" s="107">
        <v>172.9</v>
      </c>
      <c r="Q143" s="107">
        <v>172.95</v>
      </c>
      <c r="R143">
        <v>1287266</v>
      </c>
    </row>
    <row r="144" spans="1:18" x14ac:dyDescent="0.25">
      <c r="A144" s="130">
        <v>42209</v>
      </c>
      <c r="B144" s="107">
        <v>174.75</v>
      </c>
      <c r="C144" s="107">
        <v>171.25</v>
      </c>
      <c r="D144" s="107">
        <v>170.55</v>
      </c>
      <c r="E144" s="107">
        <v>172.5</v>
      </c>
      <c r="F144" s="107">
        <v>171.25</v>
      </c>
      <c r="G144">
        <v>197984</v>
      </c>
      <c r="H144" s="107"/>
      <c r="I144" s="107"/>
      <c r="L144" s="130">
        <v>42209</v>
      </c>
      <c r="M144" s="107">
        <v>171.3</v>
      </c>
      <c r="N144" s="107">
        <v>174.5</v>
      </c>
      <c r="O144" s="107">
        <v>170.6</v>
      </c>
      <c r="P144" s="107">
        <v>172.8</v>
      </c>
      <c r="Q144" s="107">
        <v>171.3</v>
      </c>
      <c r="R144">
        <v>1036415</v>
      </c>
    </row>
    <row r="145" spans="1:18" x14ac:dyDescent="0.25">
      <c r="A145" s="130">
        <v>42212</v>
      </c>
      <c r="B145" s="107">
        <v>171</v>
      </c>
      <c r="C145" s="107">
        <v>163.80000000000001</v>
      </c>
      <c r="D145" s="107">
        <v>163.1</v>
      </c>
      <c r="E145" s="107">
        <v>170.6</v>
      </c>
      <c r="F145" s="107">
        <v>163.80000000000001</v>
      </c>
      <c r="G145">
        <v>310580</v>
      </c>
      <c r="H145" s="107"/>
      <c r="I145" s="107"/>
      <c r="L145" s="130">
        <v>42212</v>
      </c>
      <c r="M145" s="107">
        <v>163.75</v>
      </c>
      <c r="N145" s="107">
        <v>170.3</v>
      </c>
      <c r="O145" s="107">
        <v>163.1</v>
      </c>
      <c r="P145" s="107">
        <v>170</v>
      </c>
      <c r="Q145" s="107">
        <v>163.75</v>
      </c>
      <c r="R145">
        <v>1804573</v>
      </c>
    </row>
    <row r="146" spans="1:18" x14ac:dyDescent="0.25">
      <c r="A146" s="130">
        <v>42213</v>
      </c>
      <c r="B146" s="107">
        <v>165.25</v>
      </c>
      <c r="C146" s="107">
        <v>154.5</v>
      </c>
      <c r="D146" s="107">
        <v>153.35</v>
      </c>
      <c r="E146" s="107">
        <v>164</v>
      </c>
      <c r="F146" s="107">
        <v>154.5</v>
      </c>
      <c r="G146">
        <v>1552991</v>
      </c>
      <c r="H146" s="107"/>
      <c r="I146" s="107"/>
      <c r="L146" s="130">
        <v>42213</v>
      </c>
      <c r="M146" s="107">
        <v>154.44999999999999</v>
      </c>
      <c r="N146" s="107">
        <v>165.3</v>
      </c>
      <c r="O146" s="107">
        <v>153.19999999999999</v>
      </c>
      <c r="P146" s="107">
        <v>164</v>
      </c>
      <c r="Q146" s="107">
        <v>154.44999999999999</v>
      </c>
      <c r="R146">
        <v>9024324</v>
      </c>
    </row>
    <row r="147" spans="1:18" x14ac:dyDescent="0.25">
      <c r="A147" s="130">
        <v>42214</v>
      </c>
      <c r="B147" s="107">
        <v>155.5</v>
      </c>
      <c r="C147" s="107">
        <v>150.30000000000001</v>
      </c>
      <c r="D147" s="107">
        <v>147.80000000000001</v>
      </c>
      <c r="E147" s="107">
        <v>154</v>
      </c>
      <c r="F147" s="107">
        <v>150.30000000000001</v>
      </c>
      <c r="G147">
        <v>697677</v>
      </c>
      <c r="H147" s="107"/>
      <c r="I147" s="107"/>
      <c r="L147" s="130">
        <v>42214</v>
      </c>
      <c r="M147" s="107">
        <v>149.75</v>
      </c>
      <c r="N147" s="107">
        <v>155.5</v>
      </c>
      <c r="O147" s="107">
        <v>147.6</v>
      </c>
      <c r="P147" s="107">
        <v>154</v>
      </c>
      <c r="Q147" s="107">
        <v>149.75</v>
      </c>
      <c r="R147">
        <v>4112634</v>
      </c>
    </row>
    <row r="148" spans="1:18" x14ac:dyDescent="0.25">
      <c r="A148" s="130">
        <v>42215</v>
      </c>
      <c r="B148" s="107">
        <v>158.5</v>
      </c>
      <c r="C148" s="107">
        <v>156.65</v>
      </c>
      <c r="D148" s="107">
        <v>150.1</v>
      </c>
      <c r="E148" s="107">
        <v>152</v>
      </c>
      <c r="F148" s="107">
        <v>156.65</v>
      </c>
      <c r="G148">
        <v>625610</v>
      </c>
      <c r="H148" s="107"/>
      <c r="I148" s="107"/>
      <c r="L148" s="130">
        <v>42215</v>
      </c>
      <c r="M148" s="107">
        <v>157.25</v>
      </c>
      <c r="N148" s="107">
        <v>159.94999999999999</v>
      </c>
      <c r="O148" s="107">
        <v>150</v>
      </c>
      <c r="P148" s="107">
        <v>151</v>
      </c>
      <c r="Q148" s="107">
        <v>157.25</v>
      </c>
      <c r="R148">
        <v>5759396</v>
      </c>
    </row>
    <row r="149" spans="1:18" x14ac:dyDescent="0.25">
      <c r="A149" s="130">
        <v>42216</v>
      </c>
      <c r="B149" s="107">
        <v>166</v>
      </c>
      <c r="C149" s="107">
        <v>163.05000000000001</v>
      </c>
      <c r="D149" s="107">
        <v>156.44999999999999</v>
      </c>
      <c r="E149" s="107">
        <v>158</v>
      </c>
      <c r="F149" s="107">
        <v>163.05000000000001</v>
      </c>
      <c r="G149">
        <v>772651</v>
      </c>
      <c r="H149" s="107"/>
      <c r="I149" s="107"/>
      <c r="L149" s="130">
        <v>42216</v>
      </c>
      <c r="M149" s="107">
        <v>163</v>
      </c>
      <c r="N149" s="107">
        <v>166.1</v>
      </c>
      <c r="O149" s="107">
        <v>156.35</v>
      </c>
      <c r="P149" s="107">
        <v>158</v>
      </c>
      <c r="Q149" s="107">
        <v>163</v>
      </c>
      <c r="R149">
        <v>5133078</v>
      </c>
    </row>
    <row r="150" spans="1:18" x14ac:dyDescent="0.25">
      <c r="A150" s="130">
        <v>42219</v>
      </c>
      <c r="B150" s="107">
        <v>171.8</v>
      </c>
      <c r="C150" s="107">
        <v>167.15</v>
      </c>
      <c r="D150" s="107">
        <v>164</v>
      </c>
      <c r="E150" s="107">
        <v>164</v>
      </c>
      <c r="F150" s="107">
        <v>167.15</v>
      </c>
      <c r="G150">
        <v>582122</v>
      </c>
      <c r="H150" s="107"/>
      <c r="I150" s="107"/>
      <c r="L150" s="130">
        <v>42219</v>
      </c>
      <c r="M150" s="107">
        <v>167.05</v>
      </c>
      <c r="N150" s="107">
        <v>171.85</v>
      </c>
      <c r="O150" s="107">
        <v>163.6</v>
      </c>
      <c r="P150" s="107">
        <v>163.95</v>
      </c>
      <c r="Q150" s="107">
        <v>167.05</v>
      </c>
      <c r="R150">
        <v>4762700</v>
      </c>
    </row>
    <row r="151" spans="1:18" x14ac:dyDescent="0.25">
      <c r="A151" s="130">
        <v>42220</v>
      </c>
      <c r="B151" s="107">
        <v>173.55</v>
      </c>
      <c r="C151" s="107">
        <v>172.7</v>
      </c>
      <c r="D151" s="107">
        <v>165.5</v>
      </c>
      <c r="E151" s="107">
        <v>169.1</v>
      </c>
      <c r="F151" s="107">
        <v>172.7</v>
      </c>
      <c r="G151">
        <v>840300</v>
      </c>
      <c r="H151" s="107"/>
      <c r="I151" s="107"/>
      <c r="L151" s="130">
        <v>42220</v>
      </c>
      <c r="M151" s="107">
        <v>173.1</v>
      </c>
      <c r="N151" s="107">
        <v>174</v>
      </c>
      <c r="O151" s="107">
        <v>165.3</v>
      </c>
      <c r="P151" s="107">
        <v>168.75</v>
      </c>
      <c r="Q151" s="107">
        <v>173.1</v>
      </c>
      <c r="R151">
        <v>5822703</v>
      </c>
    </row>
    <row r="152" spans="1:18" x14ac:dyDescent="0.25">
      <c r="A152" s="130">
        <v>42221</v>
      </c>
      <c r="B152" s="107">
        <v>177.95</v>
      </c>
      <c r="C152" s="107">
        <v>170.25</v>
      </c>
      <c r="D152" s="107">
        <v>168.8</v>
      </c>
      <c r="E152" s="107">
        <v>175.1</v>
      </c>
      <c r="F152" s="107">
        <v>170.25</v>
      </c>
      <c r="G152">
        <v>708153</v>
      </c>
      <c r="H152" s="107"/>
      <c r="I152" s="107"/>
      <c r="L152" s="130">
        <v>42221</v>
      </c>
      <c r="M152" s="107">
        <v>169.95</v>
      </c>
      <c r="N152" s="107">
        <v>178</v>
      </c>
      <c r="O152" s="107">
        <v>168.55</v>
      </c>
      <c r="P152" s="107">
        <v>175</v>
      </c>
      <c r="Q152" s="107">
        <v>169.95</v>
      </c>
      <c r="R152">
        <v>4543645</v>
      </c>
    </row>
    <row r="153" spans="1:18" x14ac:dyDescent="0.25">
      <c r="A153" s="130">
        <v>42222</v>
      </c>
      <c r="B153" s="107">
        <v>176.15</v>
      </c>
      <c r="C153" s="107">
        <v>174.2</v>
      </c>
      <c r="D153" s="107">
        <v>167.1</v>
      </c>
      <c r="E153" s="107">
        <v>170.5</v>
      </c>
      <c r="F153" s="107">
        <v>174.2</v>
      </c>
      <c r="G153">
        <v>516485</v>
      </c>
      <c r="H153" s="107"/>
      <c r="I153" s="107"/>
      <c r="L153" s="130">
        <v>42222</v>
      </c>
      <c r="M153" s="107">
        <v>174.2</v>
      </c>
      <c r="N153" s="107">
        <v>176.3</v>
      </c>
      <c r="O153" s="107">
        <v>167</v>
      </c>
      <c r="P153" s="107">
        <v>170</v>
      </c>
      <c r="Q153" s="107">
        <v>174.2</v>
      </c>
      <c r="R153">
        <v>3530153</v>
      </c>
    </row>
    <row r="154" spans="1:18" x14ac:dyDescent="0.25">
      <c r="A154" s="130">
        <v>42223</v>
      </c>
      <c r="B154" s="107">
        <v>174.95</v>
      </c>
      <c r="C154" s="107">
        <v>171.5</v>
      </c>
      <c r="D154" s="107">
        <v>170.4</v>
      </c>
      <c r="E154" s="107">
        <v>174</v>
      </c>
      <c r="F154" s="107">
        <v>171.5</v>
      </c>
      <c r="G154">
        <v>338300</v>
      </c>
      <c r="H154" s="107"/>
      <c r="I154" s="107"/>
      <c r="L154" s="130">
        <v>42223</v>
      </c>
      <c r="M154" s="107">
        <v>171.3</v>
      </c>
      <c r="N154" s="107">
        <v>175</v>
      </c>
      <c r="O154" s="107">
        <v>170.3</v>
      </c>
      <c r="P154" s="107">
        <v>173.5</v>
      </c>
      <c r="Q154" s="107">
        <v>171.3</v>
      </c>
      <c r="R154">
        <v>1973230</v>
      </c>
    </row>
    <row r="155" spans="1:18" x14ac:dyDescent="0.25">
      <c r="A155" s="130">
        <v>42226</v>
      </c>
      <c r="B155" s="107">
        <v>173.85</v>
      </c>
      <c r="C155" s="107">
        <v>169.2</v>
      </c>
      <c r="D155" s="107">
        <v>167.75</v>
      </c>
      <c r="E155" s="107">
        <v>172</v>
      </c>
      <c r="F155" s="107">
        <v>169.2</v>
      </c>
      <c r="G155">
        <v>267643</v>
      </c>
      <c r="H155" s="107"/>
      <c r="I155" s="107"/>
      <c r="L155" s="130">
        <v>42226</v>
      </c>
      <c r="M155" s="107">
        <v>168.9</v>
      </c>
      <c r="N155" s="107">
        <v>173.8</v>
      </c>
      <c r="O155" s="107">
        <v>167.5</v>
      </c>
      <c r="P155" s="107">
        <v>171.85</v>
      </c>
      <c r="Q155" s="107">
        <v>168.9</v>
      </c>
      <c r="R155">
        <v>2609409</v>
      </c>
    </row>
    <row r="156" spans="1:18" x14ac:dyDescent="0.25">
      <c r="A156" s="130">
        <v>42227</v>
      </c>
      <c r="B156" s="107">
        <v>170.35</v>
      </c>
      <c r="C156" s="107">
        <v>163.65</v>
      </c>
      <c r="D156" s="107">
        <v>163</v>
      </c>
      <c r="E156" s="107">
        <v>169.3</v>
      </c>
      <c r="F156" s="107">
        <v>163.65</v>
      </c>
      <c r="G156">
        <v>405774</v>
      </c>
      <c r="H156" s="107"/>
      <c r="I156" s="107"/>
      <c r="L156" s="130">
        <v>42227</v>
      </c>
      <c r="M156" s="107">
        <v>163.65</v>
      </c>
      <c r="N156" s="107">
        <v>170.4</v>
      </c>
      <c r="O156" s="107">
        <v>162.94999999999999</v>
      </c>
      <c r="P156" s="107">
        <v>169.9</v>
      </c>
      <c r="Q156" s="107">
        <v>163.65</v>
      </c>
      <c r="R156">
        <v>2303866</v>
      </c>
    </row>
    <row r="157" spans="1:18" x14ac:dyDescent="0.25">
      <c r="A157" s="130">
        <v>42228</v>
      </c>
      <c r="B157" s="107">
        <v>163.9</v>
      </c>
      <c r="C157" s="107">
        <v>158.1</v>
      </c>
      <c r="D157" s="107">
        <v>156.80000000000001</v>
      </c>
      <c r="E157" s="107">
        <v>162.65</v>
      </c>
      <c r="F157" s="107">
        <v>158.1</v>
      </c>
      <c r="G157">
        <v>513651</v>
      </c>
      <c r="H157" s="107"/>
      <c r="I157" s="107"/>
      <c r="L157" s="130">
        <v>42228</v>
      </c>
      <c r="M157" s="107">
        <v>157.94999999999999</v>
      </c>
      <c r="N157" s="107">
        <v>163.75</v>
      </c>
      <c r="O157" s="107">
        <v>156.55000000000001</v>
      </c>
      <c r="P157" s="107">
        <v>162</v>
      </c>
      <c r="Q157" s="107">
        <v>157.94999999999999</v>
      </c>
      <c r="R157">
        <v>2760414</v>
      </c>
    </row>
    <row r="158" spans="1:18" x14ac:dyDescent="0.25">
      <c r="A158" s="130">
        <v>42229</v>
      </c>
      <c r="B158" s="107">
        <v>162.44999999999999</v>
      </c>
      <c r="C158" s="107">
        <v>157.80000000000001</v>
      </c>
      <c r="D158" s="107">
        <v>155.9</v>
      </c>
      <c r="E158" s="107">
        <v>160</v>
      </c>
      <c r="F158" s="107">
        <v>157.80000000000001</v>
      </c>
      <c r="G158">
        <v>328203</v>
      </c>
      <c r="H158" s="107"/>
      <c r="I158" s="107"/>
      <c r="L158" s="130">
        <v>42229</v>
      </c>
      <c r="M158" s="107">
        <v>157.5</v>
      </c>
      <c r="N158" s="107">
        <v>162.65</v>
      </c>
      <c r="O158" s="107">
        <v>155.69999999999999</v>
      </c>
      <c r="P158" s="107">
        <v>160</v>
      </c>
      <c r="Q158" s="107">
        <v>157.5</v>
      </c>
      <c r="R158">
        <v>1961821</v>
      </c>
    </row>
    <row r="159" spans="1:18" x14ac:dyDescent="0.25">
      <c r="A159" s="130">
        <v>42230</v>
      </c>
      <c r="B159" s="107">
        <v>171.25</v>
      </c>
      <c r="C159" s="107">
        <v>170.25</v>
      </c>
      <c r="D159" s="107">
        <v>157.6</v>
      </c>
      <c r="E159" s="107">
        <v>160</v>
      </c>
      <c r="F159" s="107">
        <v>170.25</v>
      </c>
      <c r="G159">
        <v>645973</v>
      </c>
      <c r="H159" s="107"/>
      <c r="I159" s="107"/>
      <c r="L159" s="130">
        <v>42230</v>
      </c>
      <c r="M159" s="107">
        <v>170.2</v>
      </c>
      <c r="N159" s="107">
        <v>171.25</v>
      </c>
      <c r="O159" s="107">
        <v>157.19999999999999</v>
      </c>
      <c r="P159" s="107">
        <v>158.5</v>
      </c>
      <c r="Q159" s="107">
        <v>170.2</v>
      </c>
      <c r="R159">
        <v>3374170</v>
      </c>
    </row>
    <row r="160" spans="1:18" x14ac:dyDescent="0.25">
      <c r="A160" s="130">
        <v>42233</v>
      </c>
      <c r="B160" s="107">
        <v>187.75</v>
      </c>
      <c r="C160" s="107">
        <v>185.1</v>
      </c>
      <c r="D160" s="107">
        <v>171.5</v>
      </c>
      <c r="E160" s="107">
        <v>171.5</v>
      </c>
      <c r="F160" s="107">
        <v>185.1</v>
      </c>
      <c r="G160">
        <v>1291438</v>
      </c>
      <c r="H160" s="107"/>
      <c r="I160" s="107"/>
      <c r="L160" s="130">
        <v>42233</v>
      </c>
      <c r="M160" s="107">
        <v>185.75</v>
      </c>
      <c r="N160" s="107">
        <v>188.25</v>
      </c>
      <c r="O160" s="107">
        <v>171.8</v>
      </c>
      <c r="P160" s="107">
        <v>172.4</v>
      </c>
      <c r="Q160" s="107">
        <v>185.75</v>
      </c>
      <c r="R160">
        <v>8654063</v>
      </c>
    </row>
    <row r="161" spans="1:18" x14ac:dyDescent="0.25">
      <c r="A161" s="130">
        <v>42234</v>
      </c>
      <c r="B161" s="107">
        <v>187.2</v>
      </c>
      <c r="C161" s="107">
        <v>179.3</v>
      </c>
      <c r="D161" s="107">
        <v>178.2</v>
      </c>
      <c r="E161" s="107">
        <v>185.95</v>
      </c>
      <c r="F161" s="107">
        <v>179.3</v>
      </c>
      <c r="G161">
        <v>740121</v>
      </c>
      <c r="H161" s="107"/>
      <c r="I161" s="107"/>
      <c r="L161" s="130">
        <v>42234</v>
      </c>
      <c r="M161" s="107">
        <v>178.75</v>
      </c>
      <c r="N161" s="107">
        <v>187.3</v>
      </c>
      <c r="O161" s="107">
        <v>177.6</v>
      </c>
      <c r="P161" s="107">
        <v>185.45</v>
      </c>
      <c r="Q161" s="107">
        <v>178.75</v>
      </c>
      <c r="R161">
        <v>5515718</v>
      </c>
    </row>
    <row r="162" spans="1:18" x14ac:dyDescent="0.25">
      <c r="A162" s="130">
        <v>42235</v>
      </c>
      <c r="B162" s="107">
        <v>180.15</v>
      </c>
      <c r="C162" s="107">
        <v>177.2</v>
      </c>
      <c r="D162" s="107">
        <v>175</v>
      </c>
      <c r="E162" s="107">
        <v>179</v>
      </c>
      <c r="F162" s="107">
        <v>177.2</v>
      </c>
      <c r="G162">
        <v>462607</v>
      </c>
      <c r="H162" s="107"/>
      <c r="I162" s="107"/>
      <c r="L162" s="130">
        <v>42235</v>
      </c>
      <c r="M162" s="107">
        <v>177.1</v>
      </c>
      <c r="N162" s="107">
        <v>180.1</v>
      </c>
      <c r="O162" s="107">
        <v>175.1</v>
      </c>
      <c r="P162" s="107">
        <v>178.75</v>
      </c>
      <c r="Q162" s="107">
        <v>177.1</v>
      </c>
      <c r="R162">
        <v>3375051</v>
      </c>
    </row>
    <row r="163" spans="1:18" x14ac:dyDescent="0.25">
      <c r="A163" s="130">
        <v>42236</v>
      </c>
      <c r="B163" s="107">
        <v>179</v>
      </c>
      <c r="C163" s="107">
        <v>169.55</v>
      </c>
      <c r="D163" s="107">
        <v>168.35</v>
      </c>
      <c r="E163" s="107">
        <v>175.5</v>
      </c>
      <c r="F163" s="107">
        <v>169.55</v>
      </c>
      <c r="G163">
        <v>573506</v>
      </c>
      <c r="H163" s="107"/>
      <c r="I163" s="107"/>
      <c r="L163" s="130">
        <v>42236</v>
      </c>
      <c r="M163" s="107">
        <v>169.65</v>
      </c>
      <c r="N163" s="107">
        <v>179.1</v>
      </c>
      <c r="O163" s="107">
        <v>168.35</v>
      </c>
      <c r="P163" s="107">
        <v>175</v>
      </c>
      <c r="Q163" s="107">
        <v>169.65</v>
      </c>
      <c r="R163">
        <v>3186763</v>
      </c>
    </row>
    <row r="164" spans="1:18" x14ac:dyDescent="0.25">
      <c r="A164" s="130">
        <v>42237</v>
      </c>
      <c r="B164" s="107">
        <v>168</v>
      </c>
      <c r="C164" s="107">
        <v>166.5</v>
      </c>
      <c r="D164" s="107">
        <v>160.4</v>
      </c>
      <c r="E164" s="107">
        <v>168</v>
      </c>
      <c r="F164" s="107">
        <v>166.5</v>
      </c>
      <c r="G164">
        <v>695115</v>
      </c>
      <c r="H164" s="107"/>
      <c r="I164" s="107"/>
      <c r="L164" s="130">
        <v>42237</v>
      </c>
      <c r="M164" s="107">
        <v>166.5</v>
      </c>
      <c r="N164" s="107">
        <v>167.5</v>
      </c>
      <c r="O164" s="107">
        <v>160.94999999999999</v>
      </c>
      <c r="P164" s="107">
        <v>162.69999999999999</v>
      </c>
      <c r="Q164" s="107">
        <v>166.5</v>
      </c>
      <c r="R164">
        <v>4432334</v>
      </c>
    </row>
    <row r="165" spans="1:18" x14ac:dyDescent="0.25">
      <c r="A165" s="130">
        <v>42240</v>
      </c>
      <c r="B165" s="107">
        <v>161</v>
      </c>
      <c r="C165" s="107">
        <v>140.19999999999999</v>
      </c>
      <c r="D165" s="107">
        <v>133.19999999999999</v>
      </c>
      <c r="E165" s="107">
        <v>155</v>
      </c>
      <c r="F165" s="107">
        <v>140.19999999999999</v>
      </c>
      <c r="G165">
        <v>1326467</v>
      </c>
      <c r="H165" s="107"/>
      <c r="I165" s="107"/>
      <c r="L165" s="130">
        <v>42240</v>
      </c>
      <c r="M165" s="107">
        <v>140.35</v>
      </c>
      <c r="N165" s="107">
        <v>158.85</v>
      </c>
      <c r="O165" s="107">
        <v>133.19999999999999</v>
      </c>
      <c r="P165" s="107">
        <v>158</v>
      </c>
      <c r="Q165" s="107">
        <v>140.35</v>
      </c>
      <c r="R165">
        <v>6477102</v>
      </c>
    </row>
    <row r="166" spans="1:18" x14ac:dyDescent="0.25">
      <c r="A166" s="130">
        <v>42241</v>
      </c>
      <c r="B166" s="107">
        <v>145.19999999999999</v>
      </c>
      <c r="C166" s="107">
        <v>140.80000000000001</v>
      </c>
      <c r="D166" s="107">
        <v>131</v>
      </c>
      <c r="E166" s="107">
        <v>142.55000000000001</v>
      </c>
      <c r="F166" s="107">
        <v>140.80000000000001</v>
      </c>
      <c r="G166">
        <v>1555031</v>
      </c>
      <c r="H166" s="107"/>
      <c r="I166" s="107"/>
      <c r="L166" s="130">
        <v>42241</v>
      </c>
      <c r="M166" s="107">
        <v>140.9</v>
      </c>
      <c r="N166" s="107">
        <v>145.4</v>
      </c>
      <c r="O166" s="107">
        <v>131.4</v>
      </c>
      <c r="P166" s="107">
        <v>143.6</v>
      </c>
      <c r="Q166" s="107">
        <v>140.9</v>
      </c>
      <c r="R166">
        <v>7510477</v>
      </c>
    </row>
    <row r="167" spans="1:18" x14ac:dyDescent="0.25">
      <c r="A167" s="130">
        <v>42242</v>
      </c>
      <c r="B167" s="107">
        <v>143.30000000000001</v>
      </c>
      <c r="C167" s="107">
        <v>139.1</v>
      </c>
      <c r="D167" s="107">
        <v>136.4</v>
      </c>
      <c r="E167" s="107">
        <v>141.75</v>
      </c>
      <c r="F167" s="107">
        <v>139.1</v>
      </c>
      <c r="G167">
        <v>777055</v>
      </c>
      <c r="H167" s="107"/>
      <c r="I167" s="107"/>
      <c r="L167" s="130">
        <v>42242</v>
      </c>
      <c r="M167" s="107">
        <v>138.9</v>
      </c>
      <c r="N167" s="107">
        <v>143.30000000000001</v>
      </c>
      <c r="O167" s="107">
        <v>136.15</v>
      </c>
      <c r="P167" s="107">
        <v>140</v>
      </c>
      <c r="Q167" s="107">
        <v>138.9</v>
      </c>
      <c r="R167">
        <v>3330631</v>
      </c>
    </row>
    <row r="168" spans="1:18" x14ac:dyDescent="0.25">
      <c r="A168" s="130">
        <v>42243</v>
      </c>
      <c r="B168" s="107">
        <v>143.9</v>
      </c>
      <c r="C168" s="107">
        <v>142.75</v>
      </c>
      <c r="D168" s="107">
        <v>140</v>
      </c>
      <c r="E168" s="107">
        <v>142.4</v>
      </c>
      <c r="F168" s="107">
        <v>142.75</v>
      </c>
      <c r="G168">
        <v>531896</v>
      </c>
      <c r="H168" s="107"/>
      <c r="I168" s="107"/>
      <c r="L168" s="130">
        <v>42243</v>
      </c>
      <c r="M168" s="107">
        <v>142.75</v>
      </c>
      <c r="N168" s="107">
        <v>143.9</v>
      </c>
      <c r="O168" s="107">
        <v>140</v>
      </c>
      <c r="P168" s="107">
        <v>143</v>
      </c>
      <c r="Q168" s="107">
        <v>142.75</v>
      </c>
      <c r="R168">
        <v>3377397</v>
      </c>
    </row>
    <row r="169" spans="1:18" x14ac:dyDescent="0.25">
      <c r="A169" s="130">
        <v>42244</v>
      </c>
      <c r="B169" s="107">
        <v>148.05000000000001</v>
      </c>
      <c r="C169" s="107">
        <v>141.5</v>
      </c>
      <c r="D169" s="107">
        <v>138.15</v>
      </c>
      <c r="E169" s="107">
        <v>145.15</v>
      </c>
      <c r="F169" s="107">
        <v>141.5</v>
      </c>
      <c r="G169">
        <v>814329</v>
      </c>
      <c r="H169" s="107"/>
      <c r="I169" s="107"/>
      <c r="L169" s="130">
        <v>42244</v>
      </c>
      <c r="M169" s="107">
        <v>141.55000000000001</v>
      </c>
      <c r="N169" s="107">
        <v>148.1</v>
      </c>
      <c r="O169" s="107">
        <v>138.15</v>
      </c>
      <c r="P169" s="107">
        <v>146</v>
      </c>
      <c r="Q169" s="107">
        <v>141.55000000000001</v>
      </c>
      <c r="R169">
        <v>4489613</v>
      </c>
    </row>
    <row r="170" spans="1:18" x14ac:dyDescent="0.25">
      <c r="A170" s="130">
        <v>42247</v>
      </c>
      <c r="B170" s="107">
        <v>147.35</v>
      </c>
      <c r="C170" s="107">
        <v>142.25</v>
      </c>
      <c r="D170" s="107">
        <v>140.75</v>
      </c>
      <c r="E170" s="107">
        <v>142</v>
      </c>
      <c r="F170" s="107">
        <v>142.25</v>
      </c>
      <c r="G170">
        <v>624691</v>
      </c>
      <c r="H170" s="107"/>
      <c r="I170" s="107"/>
      <c r="L170" s="130">
        <v>42247</v>
      </c>
      <c r="M170" s="107">
        <v>142.15</v>
      </c>
      <c r="N170" s="107">
        <v>147.5</v>
      </c>
      <c r="O170" s="107">
        <v>140.55000000000001</v>
      </c>
      <c r="P170" s="107">
        <v>142</v>
      </c>
      <c r="Q170" s="107">
        <v>142.15</v>
      </c>
      <c r="R170">
        <v>3325862</v>
      </c>
    </row>
    <row r="171" spans="1:18" x14ac:dyDescent="0.25">
      <c r="A171" s="130">
        <v>42248</v>
      </c>
      <c r="B171" s="107">
        <v>141</v>
      </c>
      <c r="C171" s="107">
        <v>134.6</v>
      </c>
      <c r="D171" s="107">
        <v>132.30000000000001</v>
      </c>
      <c r="E171" s="107">
        <v>140.9</v>
      </c>
      <c r="F171" s="107">
        <v>134.6</v>
      </c>
      <c r="G171">
        <v>790139</v>
      </c>
      <c r="H171" s="107"/>
      <c r="I171" s="107"/>
      <c r="L171" s="130">
        <v>42248</v>
      </c>
      <c r="M171" s="107">
        <v>134.5</v>
      </c>
      <c r="N171" s="107">
        <v>141</v>
      </c>
      <c r="O171" s="107">
        <v>132.25</v>
      </c>
      <c r="P171" s="107">
        <v>139.5</v>
      </c>
      <c r="Q171" s="107">
        <v>134.5</v>
      </c>
      <c r="R171">
        <v>4241770</v>
      </c>
    </row>
    <row r="172" spans="1:18" x14ac:dyDescent="0.25">
      <c r="A172" s="130">
        <v>42249</v>
      </c>
      <c r="B172" s="107">
        <v>136.80000000000001</v>
      </c>
      <c r="C172" s="107">
        <v>130.94999999999999</v>
      </c>
      <c r="D172" s="107">
        <v>130.30000000000001</v>
      </c>
      <c r="E172" s="107">
        <v>136.5</v>
      </c>
      <c r="F172" s="107">
        <v>130.94999999999999</v>
      </c>
      <c r="G172">
        <v>773099</v>
      </c>
      <c r="H172" s="107"/>
      <c r="I172" s="107"/>
      <c r="L172" s="130">
        <v>42249</v>
      </c>
      <c r="M172" s="107">
        <v>130.9</v>
      </c>
      <c r="N172" s="107">
        <v>136.80000000000001</v>
      </c>
      <c r="O172" s="107">
        <v>130.19999999999999</v>
      </c>
      <c r="P172" s="107">
        <v>136</v>
      </c>
      <c r="Q172" s="107">
        <v>130.9</v>
      </c>
      <c r="R172">
        <v>4335261</v>
      </c>
    </row>
    <row r="173" spans="1:18" x14ac:dyDescent="0.25">
      <c r="A173" s="130">
        <v>42250</v>
      </c>
      <c r="B173" s="107">
        <v>135.80000000000001</v>
      </c>
      <c r="C173" s="107">
        <v>133.55000000000001</v>
      </c>
      <c r="D173" s="107">
        <v>131.80000000000001</v>
      </c>
      <c r="E173" s="107">
        <v>132.85</v>
      </c>
      <c r="F173" s="107">
        <v>133.55000000000001</v>
      </c>
      <c r="G173">
        <v>446285</v>
      </c>
      <c r="H173" s="107"/>
      <c r="I173" s="107"/>
      <c r="L173" s="130">
        <v>42250</v>
      </c>
      <c r="M173" s="107">
        <v>133.44999999999999</v>
      </c>
      <c r="N173" s="107">
        <v>135.75</v>
      </c>
      <c r="O173" s="107">
        <v>131.69999999999999</v>
      </c>
      <c r="P173" s="107">
        <v>132.4</v>
      </c>
      <c r="Q173" s="107">
        <v>133.44999999999999</v>
      </c>
      <c r="R173">
        <v>2863286</v>
      </c>
    </row>
    <row r="174" spans="1:18" x14ac:dyDescent="0.25">
      <c r="A174" s="130">
        <v>42251</v>
      </c>
      <c r="B174" s="107">
        <v>132.94999999999999</v>
      </c>
      <c r="C174" s="107">
        <v>128.80000000000001</v>
      </c>
      <c r="D174" s="107">
        <v>126.3</v>
      </c>
      <c r="E174" s="107">
        <v>132.94999999999999</v>
      </c>
      <c r="F174" s="107">
        <v>128.80000000000001</v>
      </c>
      <c r="G174">
        <v>639414</v>
      </c>
      <c r="H174" s="107"/>
      <c r="I174" s="107"/>
      <c r="L174" s="130">
        <v>42251</v>
      </c>
      <c r="M174" s="107">
        <v>128.69999999999999</v>
      </c>
      <c r="N174" s="107">
        <v>132.75</v>
      </c>
      <c r="O174" s="107">
        <v>126</v>
      </c>
      <c r="P174" s="107">
        <v>132.75</v>
      </c>
      <c r="Q174" s="107">
        <v>128.69999999999999</v>
      </c>
      <c r="R174">
        <v>3791111</v>
      </c>
    </row>
    <row r="175" spans="1:18" x14ac:dyDescent="0.25">
      <c r="A175" s="130">
        <v>42254</v>
      </c>
      <c r="B175" s="107">
        <v>131.5</v>
      </c>
      <c r="C175" s="107">
        <v>127.4</v>
      </c>
      <c r="D175" s="107">
        <v>126.65</v>
      </c>
      <c r="E175" s="107">
        <v>129</v>
      </c>
      <c r="F175" s="107">
        <v>127.4</v>
      </c>
      <c r="G175">
        <v>447452</v>
      </c>
      <c r="H175" s="107"/>
      <c r="I175" s="107"/>
      <c r="L175" s="130">
        <v>42254</v>
      </c>
      <c r="M175" s="107">
        <v>127.25</v>
      </c>
      <c r="N175" s="107">
        <v>131.5</v>
      </c>
      <c r="O175" s="107">
        <v>126.4</v>
      </c>
      <c r="P175" s="107">
        <v>129.1</v>
      </c>
      <c r="Q175" s="107">
        <v>127.25</v>
      </c>
      <c r="R175">
        <v>2620488</v>
      </c>
    </row>
    <row r="176" spans="1:18" x14ac:dyDescent="0.25">
      <c r="A176" s="130">
        <v>42255</v>
      </c>
      <c r="B176" s="107">
        <v>137</v>
      </c>
      <c r="C176" s="107">
        <v>133.44999999999999</v>
      </c>
      <c r="D176" s="107">
        <v>127.85</v>
      </c>
      <c r="E176" s="107">
        <v>128.35</v>
      </c>
      <c r="F176" s="107">
        <v>133.44999999999999</v>
      </c>
      <c r="G176">
        <v>605299</v>
      </c>
      <c r="H176" s="107"/>
      <c r="I176" s="107"/>
      <c r="L176" s="130">
        <v>42255</v>
      </c>
      <c r="M176" s="107">
        <v>133.5</v>
      </c>
      <c r="N176" s="107">
        <v>137.19999999999999</v>
      </c>
      <c r="O176" s="107">
        <v>127.7</v>
      </c>
      <c r="P176" s="107">
        <v>128.6</v>
      </c>
      <c r="Q176" s="107">
        <v>133.5</v>
      </c>
      <c r="R176">
        <v>4054881</v>
      </c>
    </row>
    <row r="177" spans="1:18" x14ac:dyDescent="0.25">
      <c r="A177" s="130">
        <v>42256</v>
      </c>
      <c r="B177" s="107">
        <v>137.4</v>
      </c>
      <c r="C177" s="107">
        <v>135.30000000000001</v>
      </c>
      <c r="D177" s="107">
        <v>132.6</v>
      </c>
      <c r="E177" s="107">
        <v>135.4</v>
      </c>
      <c r="F177" s="107">
        <v>135.30000000000001</v>
      </c>
      <c r="G177">
        <v>478078</v>
      </c>
      <c r="H177" s="107"/>
      <c r="I177" s="107"/>
      <c r="L177" s="130">
        <v>42256</v>
      </c>
      <c r="M177" s="107">
        <v>135.30000000000001</v>
      </c>
      <c r="N177" s="107">
        <v>137.44999999999999</v>
      </c>
      <c r="O177" s="107">
        <v>132.5</v>
      </c>
      <c r="P177" s="107">
        <v>136</v>
      </c>
      <c r="Q177" s="107">
        <v>135.30000000000001</v>
      </c>
      <c r="R177">
        <v>3240649</v>
      </c>
    </row>
    <row r="178" spans="1:18" x14ac:dyDescent="0.25">
      <c r="A178" s="130">
        <v>42257</v>
      </c>
      <c r="B178" s="107">
        <v>133.6</v>
      </c>
      <c r="C178" s="107">
        <v>131.85</v>
      </c>
      <c r="D178" s="107">
        <v>129.9</v>
      </c>
      <c r="E178" s="107">
        <v>132.80000000000001</v>
      </c>
      <c r="F178" s="107">
        <v>131.85</v>
      </c>
      <c r="G178">
        <v>505260</v>
      </c>
      <c r="H178" s="107"/>
      <c r="I178" s="107"/>
      <c r="L178" s="130">
        <v>42257</v>
      </c>
      <c r="M178" s="107">
        <v>131.80000000000001</v>
      </c>
      <c r="N178" s="107">
        <v>133.80000000000001</v>
      </c>
      <c r="O178" s="107">
        <v>129.80000000000001</v>
      </c>
      <c r="P178" s="107">
        <v>132.69999999999999</v>
      </c>
      <c r="Q178" s="107">
        <v>131.80000000000001</v>
      </c>
      <c r="R178">
        <v>3204404</v>
      </c>
    </row>
    <row r="179" spans="1:18" x14ac:dyDescent="0.25">
      <c r="A179" s="130">
        <v>42258</v>
      </c>
      <c r="B179" s="107">
        <v>135.4</v>
      </c>
      <c r="C179" s="107">
        <v>132.05000000000001</v>
      </c>
      <c r="D179" s="107">
        <v>130.69999999999999</v>
      </c>
      <c r="E179" s="107">
        <v>132.9</v>
      </c>
      <c r="F179" s="107">
        <v>132.05000000000001</v>
      </c>
      <c r="G179">
        <v>496895</v>
      </c>
      <c r="H179" s="107"/>
      <c r="I179" s="107"/>
      <c r="L179" s="130">
        <v>42258</v>
      </c>
      <c r="M179" s="107">
        <v>132.1</v>
      </c>
      <c r="N179" s="107">
        <v>135.44999999999999</v>
      </c>
      <c r="O179" s="107">
        <v>130.65</v>
      </c>
      <c r="P179" s="107">
        <v>133.69999999999999</v>
      </c>
      <c r="Q179" s="107">
        <v>132.1</v>
      </c>
      <c r="R179">
        <v>3141431</v>
      </c>
    </row>
    <row r="180" spans="1:18" x14ac:dyDescent="0.25">
      <c r="A180" s="130">
        <v>42261</v>
      </c>
      <c r="B180" s="107">
        <v>136.4</v>
      </c>
      <c r="C180" s="107">
        <v>136.05000000000001</v>
      </c>
      <c r="D180" s="107">
        <v>132</v>
      </c>
      <c r="E180" s="107">
        <v>132.9</v>
      </c>
      <c r="F180" s="107">
        <v>136.05000000000001</v>
      </c>
      <c r="G180">
        <v>375943</v>
      </c>
      <c r="H180" s="107"/>
      <c r="I180" s="107"/>
      <c r="L180" s="130">
        <v>42261</v>
      </c>
      <c r="M180" s="107">
        <v>136</v>
      </c>
      <c r="N180" s="107">
        <v>136.4</v>
      </c>
      <c r="O180" s="107">
        <v>131.65</v>
      </c>
      <c r="P180" s="107">
        <v>132.80000000000001</v>
      </c>
      <c r="Q180" s="107">
        <v>136</v>
      </c>
      <c r="R180">
        <v>2397118</v>
      </c>
    </row>
    <row r="181" spans="1:18" x14ac:dyDescent="0.25">
      <c r="A181" s="130">
        <v>42262</v>
      </c>
      <c r="B181" s="107">
        <v>141.30000000000001</v>
      </c>
      <c r="C181" s="107">
        <v>137.35</v>
      </c>
      <c r="D181" s="107">
        <v>135.55000000000001</v>
      </c>
      <c r="E181" s="107">
        <v>136</v>
      </c>
      <c r="F181" s="107">
        <v>137.35</v>
      </c>
      <c r="G181">
        <v>564656</v>
      </c>
      <c r="H181" s="107"/>
      <c r="I181" s="107"/>
      <c r="L181" s="130">
        <v>42262</v>
      </c>
      <c r="M181" s="107">
        <v>137.5</v>
      </c>
      <c r="N181" s="107">
        <v>141.4</v>
      </c>
      <c r="O181" s="107">
        <v>135.75</v>
      </c>
      <c r="P181" s="107">
        <v>136</v>
      </c>
      <c r="Q181" s="107">
        <v>137.5</v>
      </c>
      <c r="R181">
        <v>5202702</v>
      </c>
    </row>
    <row r="182" spans="1:18" x14ac:dyDescent="0.25">
      <c r="A182" s="130">
        <v>42263</v>
      </c>
      <c r="B182" s="107">
        <v>140.30000000000001</v>
      </c>
      <c r="C182" s="107">
        <v>138.55000000000001</v>
      </c>
      <c r="D182" s="107">
        <v>138</v>
      </c>
      <c r="E182" s="107">
        <v>138.15</v>
      </c>
      <c r="F182" s="107">
        <v>138.55000000000001</v>
      </c>
      <c r="G182">
        <v>317506</v>
      </c>
      <c r="H182" s="107"/>
      <c r="I182" s="107"/>
      <c r="L182" s="130">
        <v>42263</v>
      </c>
      <c r="M182" s="107">
        <v>138.65</v>
      </c>
      <c r="N182" s="107">
        <v>140.35</v>
      </c>
      <c r="O182" s="107">
        <v>137.80000000000001</v>
      </c>
      <c r="P182" s="107">
        <v>139.19999999999999</v>
      </c>
      <c r="Q182" s="107">
        <v>138.65</v>
      </c>
      <c r="R182">
        <v>2509733</v>
      </c>
    </row>
    <row r="183" spans="1:18" x14ac:dyDescent="0.25">
      <c r="A183" s="130">
        <v>42265</v>
      </c>
      <c r="B183" s="107">
        <v>144.9</v>
      </c>
      <c r="C183" s="107">
        <v>140.5</v>
      </c>
      <c r="D183" s="107">
        <v>139.19999999999999</v>
      </c>
      <c r="E183" s="107">
        <v>140.5</v>
      </c>
      <c r="F183" s="107">
        <v>140.5</v>
      </c>
      <c r="G183">
        <v>562629</v>
      </c>
      <c r="H183" s="107"/>
      <c r="I183" s="107"/>
      <c r="L183" s="130">
        <v>42265</v>
      </c>
      <c r="M183" s="107">
        <v>140.30000000000001</v>
      </c>
      <c r="N183" s="107">
        <v>145</v>
      </c>
      <c r="O183" s="107">
        <v>139.1</v>
      </c>
      <c r="P183" s="107">
        <v>141</v>
      </c>
      <c r="Q183" s="107">
        <v>140.30000000000001</v>
      </c>
      <c r="R183">
        <v>4515803</v>
      </c>
    </row>
    <row r="184" spans="1:18" x14ac:dyDescent="0.25">
      <c r="A184" s="130">
        <v>42268</v>
      </c>
      <c r="B184" s="107">
        <v>144.05000000000001</v>
      </c>
      <c r="C184" s="107">
        <v>143.6</v>
      </c>
      <c r="D184" s="107">
        <v>137.85</v>
      </c>
      <c r="E184" s="107">
        <v>139.6</v>
      </c>
      <c r="F184" s="107">
        <v>143.6</v>
      </c>
      <c r="G184">
        <v>461168</v>
      </c>
      <c r="H184" s="107"/>
      <c r="I184" s="107"/>
      <c r="L184" s="130">
        <v>42268</v>
      </c>
      <c r="M184" s="107">
        <v>143.55000000000001</v>
      </c>
      <c r="N184" s="107">
        <v>144</v>
      </c>
      <c r="O184" s="107">
        <v>137.94999999999999</v>
      </c>
      <c r="P184" s="107">
        <v>138.6</v>
      </c>
      <c r="Q184" s="107">
        <v>143.55000000000001</v>
      </c>
      <c r="R184">
        <v>3278052</v>
      </c>
    </row>
    <row r="185" spans="1:18" x14ac:dyDescent="0.25">
      <c r="A185" s="130">
        <v>42269</v>
      </c>
      <c r="B185" s="107">
        <v>145.69999999999999</v>
      </c>
      <c r="C185" s="107">
        <v>136.80000000000001</v>
      </c>
      <c r="D185" s="107">
        <v>135.65</v>
      </c>
      <c r="E185" s="107">
        <v>144.9</v>
      </c>
      <c r="F185" s="107">
        <v>136.80000000000001</v>
      </c>
      <c r="G185">
        <v>532181</v>
      </c>
      <c r="H185" s="107"/>
      <c r="I185" s="107"/>
      <c r="L185" s="130">
        <v>42269</v>
      </c>
      <c r="M185" s="107">
        <v>136.75</v>
      </c>
      <c r="N185" s="107">
        <v>145.69999999999999</v>
      </c>
      <c r="O185" s="107">
        <v>135.6</v>
      </c>
      <c r="P185" s="107">
        <v>144.75</v>
      </c>
      <c r="Q185" s="107">
        <v>136.75</v>
      </c>
      <c r="R185">
        <v>3207993</v>
      </c>
    </row>
    <row r="186" spans="1:18" x14ac:dyDescent="0.25">
      <c r="A186" s="130">
        <v>42270</v>
      </c>
      <c r="B186" s="107">
        <v>137.80000000000001</v>
      </c>
      <c r="C186" s="107">
        <v>136.1</v>
      </c>
      <c r="D186" s="107">
        <v>132</v>
      </c>
      <c r="E186" s="107">
        <v>135</v>
      </c>
      <c r="F186" s="107">
        <v>136.1</v>
      </c>
      <c r="G186">
        <v>554209</v>
      </c>
      <c r="H186" s="107"/>
      <c r="I186" s="107"/>
      <c r="L186" s="130">
        <v>42270</v>
      </c>
      <c r="M186" s="107">
        <v>135.69999999999999</v>
      </c>
      <c r="N186" s="107">
        <v>137.44999999999999</v>
      </c>
      <c r="O186" s="107">
        <v>133.94999999999999</v>
      </c>
      <c r="P186" s="107">
        <v>134.1</v>
      </c>
      <c r="Q186" s="107">
        <v>135.69999999999999</v>
      </c>
      <c r="R186">
        <v>4722694</v>
      </c>
    </row>
    <row r="187" spans="1:18" x14ac:dyDescent="0.25">
      <c r="A187" s="130">
        <v>42271</v>
      </c>
      <c r="B187" s="107">
        <v>137.1</v>
      </c>
      <c r="C187" s="107">
        <v>135.1</v>
      </c>
      <c r="D187" s="107">
        <v>133.6</v>
      </c>
      <c r="E187" s="107">
        <v>136</v>
      </c>
      <c r="F187" s="107">
        <v>135.1</v>
      </c>
      <c r="G187">
        <v>477683</v>
      </c>
      <c r="H187" s="107"/>
      <c r="I187" s="107"/>
      <c r="L187" s="130">
        <v>42271</v>
      </c>
      <c r="M187" s="107">
        <v>135.15</v>
      </c>
      <c r="N187" s="107">
        <v>137.19999999999999</v>
      </c>
      <c r="O187" s="107">
        <v>133.6</v>
      </c>
      <c r="P187" s="107">
        <v>135.69999999999999</v>
      </c>
      <c r="Q187" s="107">
        <v>135.15</v>
      </c>
      <c r="R187">
        <v>2879248</v>
      </c>
    </row>
    <row r="188" spans="1:18" x14ac:dyDescent="0.25">
      <c r="A188" s="130">
        <v>42275</v>
      </c>
      <c r="B188" s="107">
        <v>139</v>
      </c>
      <c r="C188" s="107">
        <v>135.80000000000001</v>
      </c>
      <c r="D188" s="107">
        <v>135.15</v>
      </c>
      <c r="E188" s="107">
        <v>136</v>
      </c>
      <c r="F188" s="107">
        <v>135.80000000000001</v>
      </c>
      <c r="G188">
        <v>323008</v>
      </c>
      <c r="H188" s="107"/>
      <c r="I188" s="107"/>
      <c r="L188" s="130">
        <v>42275</v>
      </c>
      <c r="M188" s="107">
        <v>135.75</v>
      </c>
      <c r="N188" s="107">
        <v>139.1</v>
      </c>
      <c r="O188" s="107">
        <v>135.1</v>
      </c>
      <c r="P188" s="107">
        <v>136.69999999999999</v>
      </c>
      <c r="Q188" s="107">
        <v>135.75</v>
      </c>
      <c r="R188">
        <v>2031904</v>
      </c>
    </row>
    <row r="189" spans="1:18" x14ac:dyDescent="0.25">
      <c r="A189" s="130">
        <v>42276</v>
      </c>
      <c r="B189" s="107">
        <v>141</v>
      </c>
      <c r="C189" s="107">
        <v>137.85</v>
      </c>
      <c r="D189" s="107">
        <v>131.69999999999999</v>
      </c>
      <c r="E189" s="107">
        <v>134</v>
      </c>
      <c r="F189" s="107">
        <v>137.85</v>
      </c>
      <c r="G189">
        <v>852468</v>
      </c>
      <c r="H189" s="107"/>
      <c r="I189" s="107"/>
      <c r="L189" s="130">
        <v>42276</v>
      </c>
      <c r="M189" s="107">
        <v>137.80000000000001</v>
      </c>
      <c r="N189" s="107">
        <v>140.94999999999999</v>
      </c>
      <c r="O189" s="107">
        <v>131.5</v>
      </c>
      <c r="P189" s="107">
        <v>134</v>
      </c>
      <c r="Q189" s="107">
        <v>137.80000000000001</v>
      </c>
      <c r="R189">
        <v>5239331</v>
      </c>
    </row>
    <row r="190" spans="1:18" x14ac:dyDescent="0.25">
      <c r="A190" s="130">
        <v>42277</v>
      </c>
      <c r="B190" s="107">
        <v>140.80000000000001</v>
      </c>
      <c r="C190" s="107">
        <v>135.55000000000001</v>
      </c>
      <c r="D190" s="107">
        <v>133.75</v>
      </c>
      <c r="E190" s="107">
        <v>139.80000000000001</v>
      </c>
      <c r="F190" s="107">
        <v>135.55000000000001</v>
      </c>
      <c r="G190">
        <v>550884</v>
      </c>
      <c r="H190" s="107"/>
      <c r="I190" s="107"/>
      <c r="L190" s="130">
        <v>42277</v>
      </c>
      <c r="M190" s="107">
        <v>135.6</v>
      </c>
      <c r="N190" s="107">
        <v>141.15</v>
      </c>
      <c r="O190" s="107">
        <v>133.75</v>
      </c>
      <c r="P190" s="107">
        <v>139.94999999999999</v>
      </c>
      <c r="Q190" s="107">
        <v>135.6</v>
      </c>
      <c r="R190">
        <v>3170862</v>
      </c>
    </row>
    <row r="191" spans="1:18" x14ac:dyDescent="0.25">
      <c r="A191" s="130">
        <v>42278</v>
      </c>
      <c r="B191" s="107">
        <v>137.69999999999999</v>
      </c>
      <c r="C191" s="107">
        <v>134.44999999999999</v>
      </c>
      <c r="D191" s="107">
        <v>133.6</v>
      </c>
      <c r="E191" s="107">
        <v>136.4</v>
      </c>
      <c r="F191" s="107">
        <v>134.44999999999999</v>
      </c>
      <c r="G191">
        <v>366226</v>
      </c>
      <c r="H191" s="107"/>
      <c r="I191" s="107"/>
      <c r="L191" s="130">
        <v>42278</v>
      </c>
      <c r="M191" s="107">
        <v>134.35</v>
      </c>
      <c r="N191" s="107">
        <v>138</v>
      </c>
      <c r="O191" s="107">
        <v>133.35</v>
      </c>
      <c r="P191" s="107">
        <v>138</v>
      </c>
      <c r="Q191" s="107">
        <v>134.35</v>
      </c>
      <c r="R191">
        <v>2233973</v>
      </c>
    </row>
    <row r="192" spans="1:18" x14ac:dyDescent="0.25">
      <c r="A192" s="130">
        <v>42282</v>
      </c>
      <c r="B192" s="107">
        <v>139.85</v>
      </c>
      <c r="C192" s="107">
        <v>139.19999999999999</v>
      </c>
      <c r="D192" s="107">
        <v>136</v>
      </c>
      <c r="E192" s="107">
        <v>136.69999999999999</v>
      </c>
      <c r="F192" s="107">
        <v>139.19999999999999</v>
      </c>
      <c r="G192">
        <v>316151</v>
      </c>
      <c r="H192" s="107"/>
      <c r="I192" s="107"/>
      <c r="L192" s="130">
        <v>42282</v>
      </c>
      <c r="M192" s="107">
        <v>139.19999999999999</v>
      </c>
      <c r="N192" s="107">
        <v>139.80000000000001</v>
      </c>
      <c r="O192" s="107">
        <v>135.55000000000001</v>
      </c>
      <c r="P192" s="107">
        <v>135.69999999999999</v>
      </c>
      <c r="Q192" s="107">
        <v>139.19999999999999</v>
      </c>
      <c r="R192">
        <v>2366644</v>
      </c>
    </row>
    <row r="193" spans="1:18" x14ac:dyDescent="0.25">
      <c r="A193" s="130">
        <v>42283</v>
      </c>
      <c r="B193" s="107">
        <v>143.4</v>
      </c>
      <c r="C193" s="107">
        <v>141.69999999999999</v>
      </c>
      <c r="D193" s="107">
        <v>136.55000000000001</v>
      </c>
      <c r="E193" s="107">
        <v>140.19999999999999</v>
      </c>
      <c r="F193" s="107">
        <v>141.69999999999999</v>
      </c>
      <c r="G193">
        <v>543229</v>
      </c>
      <c r="H193" s="107"/>
      <c r="I193" s="107"/>
      <c r="L193" s="130">
        <v>42283</v>
      </c>
      <c r="M193" s="107">
        <v>141.85</v>
      </c>
      <c r="N193" s="107">
        <v>143.44999999999999</v>
      </c>
      <c r="O193" s="107">
        <v>136.35</v>
      </c>
      <c r="P193" s="107">
        <v>141</v>
      </c>
      <c r="Q193" s="107">
        <v>141.85</v>
      </c>
      <c r="R193">
        <v>3272714</v>
      </c>
    </row>
    <row r="194" spans="1:18" x14ac:dyDescent="0.25">
      <c r="A194" s="130">
        <v>42284</v>
      </c>
      <c r="B194" s="107">
        <v>146.15</v>
      </c>
      <c r="C194" s="107">
        <v>145.69999999999999</v>
      </c>
      <c r="D194" s="107">
        <v>140.65</v>
      </c>
      <c r="E194" s="107">
        <v>141.9</v>
      </c>
      <c r="F194" s="107">
        <v>145.69999999999999</v>
      </c>
      <c r="G194">
        <v>553335</v>
      </c>
      <c r="H194" s="107"/>
      <c r="I194" s="107"/>
      <c r="L194" s="130">
        <v>42284</v>
      </c>
      <c r="M194" s="107">
        <v>145.85</v>
      </c>
      <c r="N194" s="107">
        <v>146.4</v>
      </c>
      <c r="O194" s="107">
        <v>140.65</v>
      </c>
      <c r="P194" s="107">
        <v>142.19999999999999</v>
      </c>
      <c r="Q194" s="107">
        <v>145.85</v>
      </c>
      <c r="R194">
        <v>3387725</v>
      </c>
    </row>
    <row r="195" spans="1:18" x14ac:dyDescent="0.25">
      <c r="A195" s="130">
        <v>42285</v>
      </c>
      <c r="B195" s="107">
        <v>148.94999999999999</v>
      </c>
      <c r="C195" s="107">
        <v>145.6</v>
      </c>
      <c r="D195" s="107">
        <v>143.25</v>
      </c>
      <c r="E195" s="107">
        <v>146</v>
      </c>
      <c r="F195" s="107">
        <v>145.6</v>
      </c>
      <c r="G195">
        <v>464062</v>
      </c>
      <c r="H195" s="107"/>
      <c r="I195" s="107"/>
      <c r="L195" s="130">
        <v>42285</v>
      </c>
      <c r="M195" s="107">
        <v>145.5</v>
      </c>
      <c r="N195" s="107">
        <v>149</v>
      </c>
      <c r="O195" s="107">
        <v>143.19999999999999</v>
      </c>
      <c r="P195" s="107">
        <v>145.25</v>
      </c>
      <c r="Q195" s="107">
        <v>145.5</v>
      </c>
      <c r="R195">
        <v>3198725</v>
      </c>
    </row>
    <row r="196" spans="1:18" x14ac:dyDescent="0.25">
      <c r="A196" s="130">
        <v>42286</v>
      </c>
      <c r="B196" s="107">
        <v>148.9</v>
      </c>
      <c r="C196" s="107">
        <v>144.65</v>
      </c>
      <c r="D196" s="107">
        <v>142.69999999999999</v>
      </c>
      <c r="E196" s="107">
        <v>147</v>
      </c>
      <c r="F196" s="107">
        <v>144.65</v>
      </c>
      <c r="G196">
        <v>414320</v>
      </c>
      <c r="H196" s="107"/>
      <c r="I196" s="107"/>
      <c r="L196" s="130">
        <v>42286</v>
      </c>
      <c r="M196" s="107">
        <v>144.65</v>
      </c>
      <c r="N196" s="107">
        <v>149</v>
      </c>
      <c r="O196" s="107">
        <v>142.5</v>
      </c>
      <c r="P196" s="107">
        <v>147.5</v>
      </c>
      <c r="Q196" s="107">
        <v>144.65</v>
      </c>
      <c r="R196">
        <v>2618056</v>
      </c>
    </row>
    <row r="197" spans="1:18" x14ac:dyDescent="0.25">
      <c r="A197" s="130">
        <v>42289</v>
      </c>
      <c r="B197" s="107">
        <v>146.5</v>
      </c>
      <c r="C197" s="107">
        <v>143.9</v>
      </c>
      <c r="D197" s="107">
        <v>142.1</v>
      </c>
      <c r="E197" s="107">
        <v>144.94999999999999</v>
      </c>
      <c r="F197" s="107">
        <v>143.9</v>
      </c>
      <c r="G197">
        <v>308236</v>
      </c>
      <c r="H197" s="107"/>
      <c r="I197" s="107"/>
      <c r="L197" s="130">
        <v>42289</v>
      </c>
      <c r="M197" s="107">
        <v>143.94999999999999</v>
      </c>
      <c r="N197" s="107">
        <v>146.5</v>
      </c>
      <c r="O197" s="107">
        <v>142.19999999999999</v>
      </c>
      <c r="P197" s="107">
        <v>144.65</v>
      </c>
      <c r="Q197" s="107">
        <v>143.94999999999999</v>
      </c>
      <c r="R197">
        <v>2335558</v>
      </c>
    </row>
    <row r="198" spans="1:18" x14ac:dyDescent="0.25">
      <c r="A198" s="130">
        <v>42290</v>
      </c>
      <c r="B198" s="107">
        <v>145.5</v>
      </c>
      <c r="C198" s="107">
        <v>142.25</v>
      </c>
      <c r="D198" s="107">
        <v>140.4</v>
      </c>
      <c r="E198" s="107">
        <v>144.19999999999999</v>
      </c>
      <c r="F198" s="107">
        <v>142.25</v>
      </c>
      <c r="G198">
        <v>303110</v>
      </c>
      <c r="H198" s="107"/>
      <c r="I198" s="107"/>
      <c r="L198" s="130">
        <v>42290</v>
      </c>
      <c r="M198" s="107">
        <v>142.25</v>
      </c>
      <c r="N198" s="107">
        <v>145.4</v>
      </c>
      <c r="O198" s="107">
        <v>140.19999999999999</v>
      </c>
      <c r="P198" s="107">
        <v>143.94999999999999</v>
      </c>
      <c r="Q198" s="107">
        <v>142.25</v>
      </c>
      <c r="R198">
        <v>2083917</v>
      </c>
    </row>
    <row r="199" spans="1:18" x14ac:dyDescent="0.25">
      <c r="A199" s="130">
        <v>42291</v>
      </c>
      <c r="B199" s="107">
        <v>143.44999999999999</v>
      </c>
      <c r="C199" s="107">
        <v>141.30000000000001</v>
      </c>
      <c r="D199" s="107">
        <v>140.69999999999999</v>
      </c>
      <c r="E199" s="107">
        <v>142.30000000000001</v>
      </c>
      <c r="F199" s="107">
        <v>141.30000000000001</v>
      </c>
      <c r="G199">
        <v>225030</v>
      </c>
      <c r="H199" s="107"/>
      <c r="I199" s="107"/>
      <c r="L199" s="130">
        <v>42291</v>
      </c>
      <c r="M199" s="107">
        <v>141.44999999999999</v>
      </c>
      <c r="N199" s="107">
        <v>143.4</v>
      </c>
      <c r="O199" s="107">
        <v>140.65</v>
      </c>
      <c r="P199" s="107">
        <v>142.4</v>
      </c>
      <c r="Q199" s="107">
        <v>141.44999999999999</v>
      </c>
      <c r="R199">
        <v>1719437</v>
      </c>
    </row>
    <row r="200" spans="1:18" x14ac:dyDescent="0.25">
      <c r="A200" s="130">
        <v>42292</v>
      </c>
      <c r="B200" s="107">
        <v>144.15</v>
      </c>
      <c r="C200" s="107">
        <v>142.75</v>
      </c>
      <c r="D200" s="107">
        <v>142</v>
      </c>
      <c r="E200" s="107">
        <v>142</v>
      </c>
      <c r="F200" s="107">
        <v>142.75</v>
      </c>
      <c r="G200">
        <v>232560</v>
      </c>
      <c r="H200" s="107"/>
      <c r="I200" s="107"/>
      <c r="L200" s="130">
        <v>42292</v>
      </c>
      <c r="M200" s="107">
        <v>142.55000000000001</v>
      </c>
      <c r="N200" s="107">
        <v>144.19999999999999</v>
      </c>
      <c r="O200" s="107">
        <v>141.6</v>
      </c>
      <c r="P200" s="107">
        <v>142.35</v>
      </c>
      <c r="Q200" s="107">
        <v>142.55000000000001</v>
      </c>
      <c r="R200">
        <v>1522733</v>
      </c>
    </row>
    <row r="201" spans="1:18" x14ac:dyDescent="0.25">
      <c r="A201" s="130">
        <v>42293</v>
      </c>
      <c r="B201" s="107">
        <v>143.75</v>
      </c>
      <c r="C201" s="107">
        <v>142.85</v>
      </c>
      <c r="D201" s="107">
        <v>140.5</v>
      </c>
      <c r="E201" s="107">
        <v>143</v>
      </c>
      <c r="F201" s="107">
        <v>142.85</v>
      </c>
      <c r="G201">
        <v>271878</v>
      </c>
      <c r="H201" s="107"/>
      <c r="I201" s="107"/>
      <c r="L201" s="130">
        <v>42293</v>
      </c>
      <c r="M201" s="107">
        <v>142.80000000000001</v>
      </c>
      <c r="N201" s="107">
        <v>144</v>
      </c>
      <c r="O201" s="107">
        <v>140.4</v>
      </c>
      <c r="P201" s="107">
        <v>142.05000000000001</v>
      </c>
      <c r="Q201" s="107">
        <v>142.80000000000001</v>
      </c>
      <c r="R201">
        <v>2482436</v>
      </c>
    </row>
    <row r="202" spans="1:18" x14ac:dyDescent="0.25">
      <c r="A202" s="130">
        <v>42296</v>
      </c>
      <c r="B202" s="107">
        <v>143.9</v>
      </c>
      <c r="C202" s="107">
        <v>141.69999999999999</v>
      </c>
      <c r="D202" s="107">
        <v>141.30000000000001</v>
      </c>
      <c r="E202" s="107">
        <v>143</v>
      </c>
      <c r="F202" s="107">
        <v>141.69999999999999</v>
      </c>
      <c r="G202">
        <v>201730</v>
      </c>
      <c r="H202" s="107"/>
      <c r="I202" s="107"/>
      <c r="L202" s="130">
        <v>42296</v>
      </c>
      <c r="M202" s="107">
        <v>141.80000000000001</v>
      </c>
      <c r="N202" s="107">
        <v>143.69999999999999</v>
      </c>
      <c r="O202" s="107">
        <v>141.05000000000001</v>
      </c>
      <c r="P202" s="107">
        <v>143.44999999999999</v>
      </c>
      <c r="Q202" s="107">
        <v>141.80000000000001</v>
      </c>
      <c r="R202">
        <v>1273057</v>
      </c>
    </row>
    <row r="203" spans="1:18" x14ac:dyDescent="0.25">
      <c r="A203" s="130">
        <v>42297</v>
      </c>
      <c r="B203" s="107">
        <v>144.9</v>
      </c>
      <c r="C203" s="107">
        <v>142.4</v>
      </c>
      <c r="D203" s="107">
        <v>141.5</v>
      </c>
      <c r="E203" s="107">
        <v>142.19999999999999</v>
      </c>
      <c r="F203" s="107">
        <v>142.4</v>
      </c>
      <c r="G203">
        <v>241867</v>
      </c>
      <c r="H203" s="107"/>
      <c r="I203" s="107"/>
      <c r="L203" s="130">
        <v>42297</v>
      </c>
      <c r="M203" s="107">
        <v>142.5</v>
      </c>
      <c r="N203" s="107">
        <v>144.75</v>
      </c>
      <c r="O203" s="107">
        <v>141.35</v>
      </c>
      <c r="P203" s="107">
        <v>142.05000000000001</v>
      </c>
      <c r="Q203" s="107">
        <v>142.5</v>
      </c>
      <c r="R203">
        <v>1669345</v>
      </c>
    </row>
    <row r="204" spans="1:18" x14ac:dyDescent="0.25">
      <c r="A204" s="130">
        <v>42298</v>
      </c>
      <c r="B204" s="107">
        <v>143.30000000000001</v>
      </c>
      <c r="C204" s="107">
        <v>138.5</v>
      </c>
      <c r="D204" s="107">
        <v>137</v>
      </c>
      <c r="E204" s="107">
        <v>142.4</v>
      </c>
      <c r="F204" s="107">
        <v>138.5</v>
      </c>
      <c r="G204">
        <v>353242</v>
      </c>
      <c r="H204" s="107"/>
      <c r="I204" s="107"/>
      <c r="L204" s="130">
        <v>42298</v>
      </c>
      <c r="M204" s="107">
        <v>138.5</v>
      </c>
      <c r="N204" s="107">
        <v>143.35</v>
      </c>
      <c r="O204" s="107">
        <v>137.1</v>
      </c>
      <c r="P204" s="107">
        <v>142.6</v>
      </c>
      <c r="Q204" s="107">
        <v>138.5</v>
      </c>
      <c r="R204">
        <v>2432881</v>
      </c>
    </row>
    <row r="205" spans="1:18" x14ac:dyDescent="0.25">
      <c r="A205" s="130">
        <v>42300</v>
      </c>
      <c r="B205" s="107">
        <v>141</v>
      </c>
      <c r="C205" s="107">
        <v>138.65</v>
      </c>
      <c r="D205" s="107">
        <v>138.1</v>
      </c>
      <c r="E205" s="107">
        <v>140</v>
      </c>
      <c r="F205" s="107">
        <v>138.65</v>
      </c>
      <c r="G205">
        <v>242264</v>
      </c>
      <c r="H205" s="107"/>
      <c r="I205" s="107"/>
      <c r="L205" s="130">
        <v>42300</v>
      </c>
      <c r="M205" s="107">
        <v>138.44999999999999</v>
      </c>
      <c r="N205" s="107">
        <v>141</v>
      </c>
      <c r="O205" s="107">
        <v>137.75</v>
      </c>
      <c r="P205" s="107">
        <v>141</v>
      </c>
      <c r="Q205" s="107">
        <v>138.44999999999999</v>
      </c>
      <c r="R205">
        <v>1629161</v>
      </c>
    </row>
    <row r="206" spans="1:18" x14ac:dyDescent="0.25">
      <c r="A206" s="130">
        <v>42303</v>
      </c>
      <c r="B206" s="107">
        <v>139.55000000000001</v>
      </c>
      <c r="C206" s="107">
        <v>137.1</v>
      </c>
      <c r="D206" s="107">
        <v>136.55000000000001</v>
      </c>
      <c r="E206" s="107">
        <v>139</v>
      </c>
      <c r="F206" s="107">
        <v>137.1</v>
      </c>
      <c r="G206">
        <v>278083</v>
      </c>
      <c r="H206" s="107"/>
      <c r="I206" s="107"/>
      <c r="L206" s="130">
        <v>42303</v>
      </c>
      <c r="M206" s="107">
        <v>137.1</v>
      </c>
      <c r="N206" s="107">
        <v>139.55000000000001</v>
      </c>
      <c r="O206" s="107">
        <v>136.4</v>
      </c>
      <c r="P206" s="107">
        <v>139.25</v>
      </c>
      <c r="Q206" s="107">
        <v>137.1</v>
      </c>
      <c r="R206">
        <v>1478573</v>
      </c>
    </row>
    <row r="207" spans="1:18" x14ac:dyDescent="0.25">
      <c r="A207" s="130">
        <v>42304</v>
      </c>
      <c r="B207" s="107">
        <v>138.19999999999999</v>
      </c>
      <c r="C207" s="107">
        <v>137.15</v>
      </c>
      <c r="D207" s="107">
        <v>136.19999999999999</v>
      </c>
      <c r="E207" s="107">
        <v>137.1</v>
      </c>
      <c r="F207" s="107">
        <v>137.15</v>
      </c>
      <c r="G207">
        <v>189034</v>
      </c>
      <c r="H207" s="107"/>
      <c r="I207" s="107"/>
      <c r="L207" s="130">
        <v>42304</v>
      </c>
      <c r="M207" s="107">
        <v>137.30000000000001</v>
      </c>
      <c r="N207" s="107">
        <v>138.19999999999999</v>
      </c>
      <c r="O207" s="107">
        <v>136.19999999999999</v>
      </c>
      <c r="P207" s="107">
        <v>136.30000000000001</v>
      </c>
      <c r="Q207" s="107">
        <v>137.30000000000001</v>
      </c>
      <c r="R207">
        <v>1286379</v>
      </c>
    </row>
    <row r="208" spans="1:18" x14ac:dyDescent="0.25">
      <c r="A208" s="130">
        <v>42305</v>
      </c>
      <c r="B208" s="107">
        <v>137.05000000000001</v>
      </c>
      <c r="C208" s="107">
        <v>134.80000000000001</v>
      </c>
      <c r="D208" s="107">
        <v>133.80000000000001</v>
      </c>
      <c r="E208" s="107">
        <v>136.35</v>
      </c>
      <c r="F208" s="107">
        <v>134.80000000000001</v>
      </c>
      <c r="G208">
        <v>302437</v>
      </c>
      <c r="H208" s="107"/>
      <c r="I208" s="107"/>
      <c r="L208" s="130">
        <v>42305</v>
      </c>
      <c r="M208" s="107">
        <v>134.44999999999999</v>
      </c>
      <c r="N208" s="107">
        <v>137</v>
      </c>
      <c r="O208" s="107">
        <v>133.35</v>
      </c>
      <c r="P208" s="107">
        <v>137</v>
      </c>
      <c r="Q208" s="107">
        <v>134.44999999999999</v>
      </c>
      <c r="R208">
        <v>2043749</v>
      </c>
    </row>
    <row r="209" spans="1:18" x14ac:dyDescent="0.25">
      <c r="A209" s="130">
        <v>42306</v>
      </c>
      <c r="B209" s="107">
        <v>135.85</v>
      </c>
      <c r="C209" s="107">
        <v>133.65</v>
      </c>
      <c r="D209" s="107">
        <v>132.75</v>
      </c>
      <c r="E209" s="107">
        <v>135.25</v>
      </c>
      <c r="F209" s="107">
        <v>133.65</v>
      </c>
      <c r="G209">
        <v>207891</v>
      </c>
      <c r="H209" s="107"/>
      <c r="I209" s="107"/>
      <c r="L209" s="130">
        <v>42306</v>
      </c>
      <c r="M209" s="107">
        <v>133.69999999999999</v>
      </c>
      <c r="N209" s="107">
        <v>136</v>
      </c>
      <c r="O209" s="107">
        <v>133</v>
      </c>
      <c r="P209" s="107">
        <v>135.65</v>
      </c>
      <c r="Q209" s="107">
        <v>133.69999999999999</v>
      </c>
      <c r="R209">
        <v>2081455</v>
      </c>
    </row>
    <row r="210" spans="1:18" x14ac:dyDescent="0.25">
      <c r="A210" s="130">
        <v>42307</v>
      </c>
      <c r="B210" s="107">
        <v>135.80000000000001</v>
      </c>
      <c r="C210" s="107">
        <v>131.6</v>
      </c>
      <c r="D210" s="107">
        <v>131.05000000000001</v>
      </c>
      <c r="E210" s="107">
        <v>134</v>
      </c>
      <c r="F210" s="107">
        <v>131.6</v>
      </c>
      <c r="G210">
        <v>282997</v>
      </c>
      <c r="H210" s="107"/>
      <c r="I210" s="107"/>
      <c r="L210" s="130">
        <v>42307</v>
      </c>
      <c r="M210" s="107">
        <v>131.30000000000001</v>
      </c>
      <c r="N210" s="107">
        <v>135.75</v>
      </c>
      <c r="O210" s="107">
        <v>130.44999999999999</v>
      </c>
      <c r="P210" s="107">
        <v>135</v>
      </c>
      <c r="Q210" s="107">
        <v>131.30000000000001</v>
      </c>
      <c r="R210">
        <v>2210223</v>
      </c>
    </row>
    <row r="211" spans="1:18" x14ac:dyDescent="0.25">
      <c r="A211" s="130">
        <v>42310</v>
      </c>
      <c r="B211" s="107">
        <v>133.9</v>
      </c>
      <c r="C211" s="107">
        <v>132.9</v>
      </c>
      <c r="D211" s="107">
        <v>128.65</v>
      </c>
      <c r="E211" s="107">
        <v>132.80000000000001</v>
      </c>
      <c r="F211" s="107">
        <v>132.9</v>
      </c>
      <c r="G211">
        <v>437752</v>
      </c>
      <c r="H211" s="107"/>
      <c r="I211" s="107"/>
      <c r="L211" s="130">
        <v>42310</v>
      </c>
      <c r="M211" s="107">
        <v>132.69999999999999</v>
      </c>
      <c r="N211" s="107">
        <v>133.80000000000001</v>
      </c>
      <c r="O211" s="107">
        <v>128.5</v>
      </c>
      <c r="P211" s="107">
        <v>131.44999999999999</v>
      </c>
      <c r="Q211" s="107">
        <v>132.69999999999999</v>
      </c>
      <c r="R211">
        <v>3053007</v>
      </c>
    </row>
    <row r="212" spans="1:18" x14ac:dyDescent="0.25">
      <c r="A212" s="130">
        <v>42311</v>
      </c>
      <c r="B212" s="107">
        <v>134.75</v>
      </c>
      <c r="C212" s="107">
        <v>133.15</v>
      </c>
      <c r="D212" s="107">
        <v>132.4</v>
      </c>
      <c r="E212" s="107">
        <v>133.9</v>
      </c>
      <c r="F212" s="107">
        <v>133.15</v>
      </c>
      <c r="G212">
        <v>188971</v>
      </c>
      <c r="H212" s="107"/>
      <c r="I212" s="107"/>
      <c r="L212" s="130">
        <v>42311</v>
      </c>
      <c r="M212" s="107">
        <v>133.19999999999999</v>
      </c>
      <c r="N212" s="107">
        <v>134.80000000000001</v>
      </c>
      <c r="O212" s="107">
        <v>132.4</v>
      </c>
      <c r="P212" s="107">
        <v>133.80000000000001</v>
      </c>
      <c r="Q212" s="107">
        <v>133.19999999999999</v>
      </c>
      <c r="R212">
        <v>1923162</v>
      </c>
    </row>
    <row r="213" spans="1:18" x14ac:dyDescent="0.25">
      <c r="A213" s="130">
        <v>42312</v>
      </c>
      <c r="B213" s="107">
        <v>135.15</v>
      </c>
      <c r="C213" s="107">
        <v>133.30000000000001</v>
      </c>
      <c r="D213" s="107">
        <v>132.65</v>
      </c>
      <c r="E213" s="107">
        <v>134.6</v>
      </c>
      <c r="F213" s="107">
        <v>133.30000000000001</v>
      </c>
      <c r="G213">
        <v>220100</v>
      </c>
      <c r="H213" s="107"/>
      <c r="I213" s="107"/>
      <c r="L213" s="130">
        <v>42312</v>
      </c>
      <c r="M213" s="107">
        <v>133.44999999999999</v>
      </c>
      <c r="N213" s="107">
        <v>135.4</v>
      </c>
      <c r="O213" s="107">
        <v>132.6</v>
      </c>
      <c r="P213" s="107">
        <v>134.30000000000001</v>
      </c>
      <c r="Q213" s="107">
        <v>133.44999999999999</v>
      </c>
      <c r="R213">
        <v>2293579</v>
      </c>
    </row>
    <row r="214" spans="1:18" x14ac:dyDescent="0.25">
      <c r="A214" s="130">
        <v>42313</v>
      </c>
      <c r="B214" s="107">
        <v>133.85</v>
      </c>
      <c r="C214" s="107">
        <v>132.1</v>
      </c>
      <c r="D214" s="107">
        <v>131.65</v>
      </c>
      <c r="E214" s="107">
        <v>133.5</v>
      </c>
      <c r="F214" s="107">
        <v>132.1</v>
      </c>
      <c r="G214">
        <v>220113</v>
      </c>
      <c r="H214" s="107"/>
      <c r="I214" s="107"/>
      <c r="L214" s="130">
        <v>42313</v>
      </c>
      <c r="M214" s="107">
        <v>132.5</v>
      </c>
      <c r="N214" s="107">
        <v>134.05000000000001</v>
      </c>
      <c r="O214" s="107">
        <v>132</v>
      </c>
      <c r="P214" s="107">
        <v>133.1</v>
      </c>
      <c r="Q214" s="107">
        <v>132.5</v>
      </c>
      <c r="R214">
        <v>1439564</v>
      </c>
    </row>
    <row r="215" spans="1:18" x14ac:dyDescent="0.25">
      <c r="A215" s="130">
        <v>42314</v>
      </c>
      <c r="B215" s="107">
        <v>136</v>
      </c>
      <c r="C215" s="107">
        <v>134.4</v>
      </c>
      <c r="D215" s="107">
        <v>130.35</v>
      </c>
      <c r="E215" s="107">
        <v>132.80000000000001</v>
      </c>
      <c r="F215" s="107">
        <v>134.4</v>
      </c>
      <c r="G215">
        <v>386582</v>
      </c>
      <c r="H215" s="107"/>
      <c r="I215" s="107"/>
      <c r="L215" s="130">
        <v>42314</v>
      </c>
      <c r="M215" s="107">
        <v>134.5</v>
      </c>
      <c r="N215" s="107">
        <v>136.35</v>
      </c>
      <c r="O215" s="107">
        <v>130.55000000000001</v>
      </c>
      <c r="P215" s="107">
        <v>132.5</v>
      </c>
      <c r="Q215" s="107">
        <v>134.5</v>
      </c>
      <c r="R215">
        <v>2448048</v>
      </c>
    </row>
    <row r="216" spans="1:18" x14ac:dyDescent="0.25">
      <c r="A216" s="130">
        <v>42317</v>
      </c>
      <c r="B216" s="107">
        <v>135.5</v>
      </c>
      <c r="C216" s="107">
        <v>133.44999999999999</v>
      </c>
      <c r="D216" s="107">
        <v>131</v>
      </c>
      <c r="E216" s="107">
        <v>132</v>
      </c>
      <c r="F216" s="107">
        <v>133.44999999999999</v>
      </c>
      <c r="G216">
        <v>470437</v>
      </c>
      <c r="H216" s="107"/>
      <c r="I216" s="107"/>
      <c r="L216" s="130">
        <v>42317</v>
      </c>
      <c r="M216" s="107">
        <v>133.55000000000001</v>
      </c>
      <c r="N216" s="107">
        <v>135.55000000000001</v>
      </c>
      <c r="O216" s="107">
        <v>130.69999999999999</v>
      </c>
      <c r="P216" s="107">
        <v>132</v>
      </c>
      <c r="Q216" s="107">
        <v>133.55000000000001</v>
      </c>
      <c r="R216">
        <v>3577645</v>
      </c>
    </row>
    <row r="217" spans="1:18" x14ac:dyDescent="0.25">
      <c r="A217" s="130">
        <v>42318</v>
      </c>
      <c r="B217" s="107">
        <v>138.9</v>
      </c>
      <c r="C217" s="107">
        <v>132.1</v>
      </c>
      <c r="D217" s="107">
        <v>127</v>
      </c>
      <c r="E217" s="107">
        <v>127.3</v>
      </c>
      <c r="F217" s="107">
        <v>132.1</v>
      </c>
      <c r="G217">
        <v>1276202</v>
      </c>
      <c r="H217" s="107"/>
      <c r="I217" s="107"/>
      <c r="L217" s="130">
        <v>42318</v>
      </c>
      <c r="M217" s="107">
        <v>131.9</v>
      </c>
      <c r="N217" s="107">
        <v>138.85</v>
      </c>
      <c r="O217" s="107">
        <v>127.5</v>
      </c>
      <c r="P217" s="107">
        <v>127.6</v>
      </c>
      <c r="Q217" s="107">
        <v>131.9</v>
      </c>
      <c r="R217">
        <v>11692226</v>
      </c>
    </row>
    <row r="218" spans="1:18" x14ac:dyDescent="0.25">
      <c r="A218" s="130">
        <v>42319</v>
      </c>
      <c r="B218" s="107">
        <v>134</v>
      </c>
      <c r="C218" s="107">
        <v>132.5</v>
      </c>
      <c r="D218" s="107">
        <v>132</v>
      </c>
      <c r="E218" s="107">
        <v>133</v>
      </c>
      <c r="F218" s="107">
        <v>132.5</v>
      </c>
      <c r="G218">
        <v>72110</v>
      </c>
      <c r="H218" s="107"/>
      <c r="I218" s="107"/>
      <c r="L218" s="130">
        <v>42319</v>
      </c>
      <c r="M218" s="107">
        <v>132.44999999999999</v>
      </c>
      <c r="N218" s="107">
        <v>134</v>
      </c>
      <c r="O218" s="107">
        <v>131.9</v>
      </c>
      <c r="P218" s="107">
        <v>132.80000000000001</v>
      </c>
      <c r="Q218" s="107">
        <v>132.44999999999999</v>
      </c>
      <c r="R218">
        <v>355945</v>
      </c>
    </row>
    <row r="219" spans="1:18" x14ac:dyDescent="0.25">
      <c r="A219" s="130">
        <v>42321</v>
      </c>
      <c r="B219" s="107">
        <v>132.4</v>
      </c>
      <c r="C219" s="107">
        <v>130.25</v>
      </c>
      <c r="D219" s="107">
        <v>129.4</v>
      </c>
      <c r="E219" s="107">
        <v>132.4</v>
      </c>
      <c r="F219" s="107">
        <v>130.25</v>
      </c>
      <c r="G219">
        <v>289931</v>
      </c>
      <c r="H219" s="107"/>
      <c r="I219" s="107"/>
      <c r="L219" s="130">
        <v>42321</v>
      </c>
      <c r="M219" s="107">
        <v>130.25</v>
      </c>
      <c r="N219" s="107">
        <v>131.94999999999999</v>
      </c>
      <c r="O219" s="107">
        <v>129.30000000000001</v>
      </c>
      <c r="P219" s="107">
        <v>131.94999999999999</v>
      </c>
      <c r="Q219" s="107">
        <v>130.25</v>
      </c>
      <c r="R219">
        <v>2507502</v>
      </c>
    </row>
    <row r="220" spans="1:18" x14ac:dyDescent="0.25">
      <c r="A220" s="130">
        <v>42324</v>
      </c>
      <c r="B220" s="107">
        <v>133.55000000000001</v>
      </c>
      <c r="C220" s="107">
        <v>133.05000000000001</v>
      </c>
      <c r="D220" s="107">
        <v>129.94999999999999</v>
      </c>
      <c r="E220" s="107">
        <v>130.25</v>
      </c>
      <c r="F220" s="107">
        <v>133.05000000000001</v>
      </c>
      <c r="G220">
        <v>279981</v>
      </c>
      <c r="H220" s="107"/>
      <c r="I220" s="107"/>
      <c r="L220" s="130">
        <v>42324</v>
      </c>
      <c r="M220" s="107">
        <v>133.05000000000001</v>
      </c>
      <c r="N220" s="107">
        <v>133.80000000000001</v>
      </c>
      <c r="O220" s="107">
        <v>129.55000000000001</v>
      </c>
      <c r="P220" s="107">
        <v>129.85</v>
      </c>
      <c r="Q220" s="107">
        <v>133.05000000000001</v>
      </c>
      <c r="R220">
        <v>1973356</v>
      </c>
    </row>
    <row r="221" spans="1:18" x14ac:dyDescent="0.25">
      <c r="A221" s="130">
        <v>42325</v>
      </c>
      <c r="B221" s="107">
        <v>134.6</v>
      </c>
      <c r="C221" s="107">
        <v>131.85</v>
      </c>
      <c r="D221" s="107">
        <v>131.44999999999999</v>
      </c>
      <c r="E221" s="107">
        <v>134</v>
      </c>
      <c r="F221" s="107">
        <v>131.85</v>
      </c>
      <c r="G221">
        <v>250004</v>
      </c>
      <c r="H221" s="107"/>
      <c r="I221" s="107"/>
      <c r="L221" s="130">
        <v>42325</v>
      </c>
      <c r="M221" s="107">
        <v>131.80000000000001</v>
      </c>
      <c r="N221" s="107">
        <v>134.6</v>
      </c>
      <c r="O221" s="107">
        <v>131.4</v>
      </c>
      <c r="P221" s="107">
        <v>134</v>
      </c>
      <c r="Q221" s="107">
        <v>131.80000000000001</v>
      </c>
      <c r="R221">
        <v>1629176</v>
      </c>
    </row>
    <row r="222" spans="1:18" x14ac:dyDescent="0.25">
      <c r="A222" s="130">
        <v>42326</v>
      </c>
      <c r="B222" s="107">
        <v>132.69999999999999</v>
      </c>
      <c r="C222" s="107">
        <v>128.6</v>
      </c>
      <c r="D222" s="107">
        <v>128.35</v>
      </c>
      <c r="E222" s="107">
        <v>131.69999999999999</v>
      </c>
      <c r="F222" s="107">
        <v>128.6</v>
      </c>
      <c r="G222">
        <v>269274</v>
      </c>
      <c r="H222" s="107"/>
      <c r="I222" s="107"/>
      <c r="L222" s="130">
        <v>42326</v>
      </c>
      <c r="M222" s="107">
        <v>128.6</v>
      </c>
      <c r="N222" s="107">
        <v>132.80000000000001</v>
      </c>
      <c r="O222" s="107">
        <v>128.1</v>
      </c>
      <c r="P222" s="107">
        <v>131.55000000000001</v>
      </c>
      <c r="Q222" s="107">
        <v>128.6</v>
      </c>
      <c r="R222">
        <v>1911277</v>
      </c>
    </row>
    <row r="223" spans="1:18" x14ac:dyDescent="0.25">
      <c r="A223" s="130">
        <v>42327</v>
      </c>
      <c r="B223" s="107">
        <v>130.05000000000001</v>
      </c>
      <c r="C223" s="107">
        <v>128.85</v>
      </c>
      <c r="D223" s="107">
        <v>128.5</v>
      </c>
      <c r="E223" s="107">
        <v>129.25</v>
      </c>
      <c r="F223" s="107">
        <v>128.85</v>
      </c>
      <c r="G223">
        <v>262484</v>
      </c>
      <c r="H223" s="107"/>
      <c r="I223" s="107"/>
      <c r="L223" s="130">
        <v>42327</v>
      </c>
      <c r="M223" s="107">
        <v>128.9</v>
      </c>
      <c r="N223" s="107">
        <v>130.19999999999999</v>
      </c>
      <c r="O223" s="107">
        <v>128.30000000000001</v>
      </c>
      <c r="P223" s="107">
        <v>129.4</v>
      </c>
      <c r="Q223" s="107">
        <v>128.9</v>
      </c>
      <c r="R223">
        <v>1413209</v>
      </c>
    </row>
    <row r="224" spans="1:18" x14ac:dyDescent="0.25">
      <c r="A224" s="130">
        <v>42328</v>
      </c>
      <c r="B224" s="107">
        <v>130.80000000000001</v>
      </c>
      <c r="C224" s="107">
        <v>129.6</v>
      </c>
      <c r="D224" s="107">
        <v>127.4</v>
      </c>
      <c r="E224" s="107">
        <v>129</v>
      </c>
      <c r="F224" s="107">
        <v>129.6</v>
      </c>
      <c r="G224">
        <v>332654</v>
      </c>
      <c r="H224" s="107"/>
      <c r="I224" s="107"/>
      <c r="L224" s="130">
        <v>42328</v>
      </c>
      <c r="M224" s="107">
        <v>129.6</v>
      </c>
      <c r="N224" s="107">
        <v>130.85</v>
      </c>
      <c r="O224" s="107">
        <v>127.2</v>
      </c>
      <c r="P224" s="107">
        <v>128.94999999999999</v>
      </c>
      <c r="Q224" s="107">
        <v>129.6</v>
      </c>
      <c r="R224">
        <v>1862420</v>
      </c>
    </row>
    <row r="225" spans="1:18" x14ac:dyDescent="0.25">
      <c r="A225" s="130">
        <v>42331</v>
      </c>
      <c r="B225" s="107">
        <v>132</v>
      </c>
      <c r="C225" s="107">
        <v>128.35</v>
      </c>
      <c r="D225" s="107">
        <v>128.15</v>
      </c>
      <c r="E225" s="107">
        <v>132</v>
      </c>
      <c r="F225" s="107">
        <v>128.35</v>
      </c>
      <c r="G225">
        <v>277062</v>
      </c>
      <c r="H225" s="107"/>
      <c r="I225" s="107"/>
      <c r="L225" s="130">
        <v>42331</v>
      </c>
      <c r="M225" s="107">
        <v>128.35</v>
      </c>
      <c r="N225" s="107">
        <v>131</v>
      </c>
      <c r="O225" s="107">
        <v>128.15</v>
      </c>
      <c r="P225" s="107">
        <v>130.5</v>
      </c>
      <c r="Q225" s="107">
        <v>128.35</v>
      </c>
      <c r="R225">
        <v>1580581</v>
      </c>
    </row>
    <row r="226" spans="1:18" x14ac:dyDescent="0.25">
      <c r="A226" s="130">
        <v>42332</v>
      </c>
      <c r="B226" s="107">
        <v>129.15</v>
      </c>
      <c r="C226" s="107">
        <v>124.5</v>
      </c>
      <c r="D226" s="107">
        <v>124.2</v>
      </c>
      <c r="E226" s="107">
        <v>128</v>
      </c>
      <c r="F226" s="107">
        <v>124.5</v>
      </c>
      <c r="G226">
        <v>587913</v>
      </c>
      <c r="H226" s="107"/>
      <c r="I226" s="107"/>
      <c r="L226" s="130">
        <v>42332</v>
      </c>
      <c r="M226" s="107">
        <v>124.6</v>
      </c>
      <c r="N226" s="107">
        <v>129.1</v>
      </c>
      <c r="O226" s="107">
        <v>124.1</v>
      </c>
      <c r="P226" s="107">
        <v>128</v>
      </c>
      <c r="Q226" s="107">
        <v>124.6</v>
      </c>
      <c r="R226">
        <v>4154323</v>
      </c>
    </row>
    <row r="227" spans="1:18" x14ac:dyDescent="0.25">
      <c r="A227" s="130">
        <v>42334</v>
      </c>
      <c r="B227" s="107">
        <v>127.05</v>
      </c>
      <c r="C227" s="107">
        <v>126.4</v>
      </c>
      <c r="D227" s="107">
        <v>123.4</v>
      </c>
      <c r="E227" s="107">
        <v>125</v>
      </c>
      <c r="F227" s="107">
        <v>126.4</v>
      </c>
      <c r="G227">
        <v>383381</v>
      </c>
      <c r="H227" s="107"/>
      <c r="I227" s="107"/>
      <c r="L227" s="130">
        <v>42334</v>
      </c>
      <c r="M227" s="107">
        <v>126.4</v>
      </c>
      <c r="N227" s="107">
        <v>127.1</v>
      </c>
      <c r="O227" s="107">
        <v>123.45</v>
      </c>
      <c r="P227" s="107">
        <v>124.6</v>
      </c>
      <c r="Q227" s="107">
        <v>126.4</v>
      </c>
      <c r="R227">
        <v>3647874</v>
      </c>
    </row>
    <row r="228" spans="1:18" x14ac:dyDescent="0.25">
      <c r="A228" s="130">
        <v>42335</v>
      </c>
      <c r="B228" s="107">
        <v>130.9</v>
      </c>
      <c r="C228" s="107">
        <v>130.30000000000001</v>
      </c>
      <c r="D228" s="107">
        <v>126</v>
      </c>
      <c r="E228" s="107">
        <v>126</v>
      </c>
      <c r="F228" s="107">
        <v>130.30000000000001</v>
      </c>
      <c r="G228">
        <v>595887</v>
      </c>
      <c r="H228" s="107"/>
      <c r="I228" s="107"/>
      <c r="L228" s="130">
        <v>42335</v>
      </c>
      <c r="M228" s="107">
        <v>130.30000000000001</v>
      </c>
      <c r="N228" s="107">
        <v>130.94999999999999</v>
      </c>
      <c r="O228" s="107">
        <v>126</v>
      </c>
      <c r="P228" s="107">
        <v>126.4</v>
      </c>
      <c r="Q228" s="107">
        <v>130.30000000000001</v>
      </c>
      <c r="R228">
        <v>3811943</v>
      </c>
    </row>
    <row r="229" spans="1:18" x14ac:dyDescent="0.25">
      <c r="A229" s="130">
        <v>42338</v>
      </c>
      <c r="B229" s="107">
        <v>132</v>
      </c>
      <c r="C229" s="107">
        <v>131.30000000000001</v>
      </c>
      <c r="D229" s="107">
        <v>130.35</v>
      </c>
      <c r="E229" s="107">
        <v>131.19999999999999</v>
      </c>
      <c r="F229" s="107">
        <v>131.30000000000001</v>
      </c>
      <c r="G229">
        <v>251384</v>
      </c>
      <c r="H229" s="107"/>
      <c r="I229" s="107"/>
      <c r="L229" s="130">
        <v>42338</v>
      </c>
      <c r="M229" s="107">
        <v>131.19999999999999</v>
      </c>
      <c r="N229" s="107">
        <v>132</v>
      </c>
      <c r="O229" s="107">
        <v>130.1</v>
      </c>
      <c r="P229" s="107">
        <v>130.4</v>
      </c>
      <c r="Q229" s="107">
        <v>131.19999999999999</v>
      </c>
      <c r="R229">
        <v>1729368</v>
      </c>
    </row>
    <row r="230" spans="1:18" x14ac:dyDescent="0.25">
      <c r="A230" s="130">
        <v>42339</v>
      </c>
      <c r="B230" s="107">
        <v>132.19999999999999</v>
      </c>
      <c r="C230" s="107">
        <v>130.69999999999999</v>
      </c>
      <c r="D230" s="107">
        <v>129.94999999999999</v>
      </c>
      <c r="E230" s="107">
        <v>132</v>
      </c>
      <c r="F230" s="107">
        <v>130.69999999999999</v>
      </c>
      <c r="G230">
        <v>282347</v>
      </c>
      <c r="H230" s="107"/>
      <c r="I230" s="107"/>
      <c r="L230" s="130">
        <v>42339</v>
      </c>
      <c r="M230" s="107">
        <v>130.6</v>
      </c>
      <c r="N230" s="107">
        <v>132.19999999999999</v>
      </c>
      <c r="O230" s="107">
        <v>129.9</v>
      </c>
      <c r="P230" s="107">
        <v>132</v>
      </c>
      <c r="Q230" s="107">
        <v>130.6</v>
      </c>
      <c r="R230">
        <v>1602300</v>
      </c>
    </row>
    <row r="231" spans="1:18" x14ac:dyDescent="0.25">
      <c r="A231" s="130">
        <v>42340</v>
      </c>
      <c r="B231" s="107">
        <v>131.6</v>
      </c>
      <c r="C231" s="107">
        <v>127.4</v>
      </c>
      <c r="D231" s="107">
        <v>127</v>
      </c>
      <c r="E231" s="107">
        <v>130.75</v>
      </c>
      <c r="F231" s="107">
        <v>127.4</v>
      </c>
      <c r="G231">
        <v>347344</v>
      </c>
      <c r="H231" s="107"/>
      <c r="I231" s="107"/>
      <c r="L231" s="130">
        <v>42340</v>
      </c>
      <c r="M231" s="107">
        <v>127.4</v>
      </c>
      <c r="N231" s="107">
        <v>131.1</v>
      </c>
      <c r="O231" s="107">
        <v>126.9</v>
      </c>
      <c r="P231" s="107">
        <v>130.55000000000001</v>
      </c>
      <c r="Q231" s="107">
        <v>127.4</v>
      </c>
      <c r="R231">
        <v>2339781</v>
      </c>
    </row>
    <row r="232" spans="1:18" x14ac:dyDescent="0.25">
      <c r="A232" s="130">
        <v>42341</v>
      </c>
      <c r="B232" s="107">
        <v>127.7</v>
      </c>
      <c r="C232" s="107">
        <v>125.35</v>
      </c>
      <c r="D232" s="107">
        <v>124.9</v>
      </c>
      <c r="E232" s="107">
        <v>127</v>
      </c>
      <c r="F232" s="107">
        <v>125.35</v>
      </c>
      <c r="G232">
        <v>385536</v>
      </c>
      <c r="H232" s="107"/>
      <c r="I232" s="107"/>
      <c r="L232" s="130">
        <v>42341</v>
      </c>
      <c r="M232" s="107">
        <v>125.3</v>
      </c>
      <c r="N232" s="107">
        <v>127.65</v>
      </c>
      <c r="O232" s="107">
        <v>124.8</v>
      </c>
      <c r="P232" s="107">
        <v>126.75</v>
      </c>
      <c r="Q232" s="107">
        <v>125.3</v>
      </c>
      <c r="R232">
        <v>2105290</v>
      </c>
    </row>
    <row r="233" spans="1:18" x14ac:dyDescent="0.25">
      <c r="A233" s="130">
        <v>42342</v>
      </c>
      <c r="B233" s="107">
        <v>125.05</v>
      </c>
      <c r="C233" s="107">
        <v>123.45</v>
      </c>
      <c r="D233" s="107">
        <v>123.15</v>
      </c>
      <c r="E233" s="107">
        <v>123.3</v>
      </c>
      <c r="F233" s="107">
        <v>123.45</v>
      </c>
      <c r="G233">
        <v>374460</v>
      </c>
      <c r="H233" s="107"/>
      <c r="I233" s="107"/>
      <c r="L233" s="130">
        <v>42342</v>
      </c>
      <c r="M233" s="107">
        <v>123.35</v>
      </c>
      <c r="N233" s="107">
        <v>125</v>
      </c>
      <c r="O233" s="107">
        <v>123.1</v>
      </c>
      <c r="P233" s="107">
        <v>124</v>
      </c>
      <c r="Q233" s="107">
        <v>123.35</v>
      </c>
      <c r="R233">
        <v>1949910</v>
      </c>
    </row>
    <row r="234" spans="1:18" x14ac:dyDescent="0.25">
      <c r="A234" s="130">
        <v>42345</v>
      </c>
      <c r="B234" s="107">
        <v>124.8</v>
      </c>
      <c r="C234" s="107">
        <v>121.95</v>
      </c>
      <c r="D234" s="107">
        <v>121.55</v>
      </c>
      <c r="E234" s="107">
        <v>123.65</v>
      </c>
      <c r="F234" s="107">
        <v>121.95</v>
      </c>
      <c r="G234">
        <v>464951</v>
      </c>
      <c r="H234" s="107"/>
      <c r="I234" s="107"/>
      <c r="L234" s="130">
        <v>42345</v>
      </c>
      <c r="M234" s="107">
        <v>121.75</v>
      </c>
      <c r="N234" s="107">
        <v>124.95</v>
      </c>
      <c r="O234" s="107">
        <v>121.4</v>
      </c>
      <c r="P234" s="107">
        <v>124.6</v>
      </c>
      <c r="Q234" s="107">
        <v>121.75</v>
      </c>
      <c r="R234">
        <v>2082903</v>
      </c>
    </row>
    <row r="235" spans="1:18" x14ac:dyDescent="0.25">
      <c r="A235" s="130">
        <v>42346</v>
      </c>
      <c r="B235" s="107">
        <v>122.45</v>
      </c>
      <c r="C235" s="107">
        <v>118.6</v>
      </c>
      <c r="D235" s="107">
        <v>118.1</v>
      </c>
      <c r="E235" s="107">
        <v>121.1</v>
      </c>
      <c r="F235" s="107">
        <v>118.6</v>
      </c>
      <c r="G235">
        <v>518176</v>
      </c>
      <c r="H235" s="107"/>
      <c r="I235" s="107"/>
      <c r="L235" s="130">
        <v>42346</v>
      </c>
      <c r="M235" s="107">
        <v>118.1</v>
      </c>
      <c r="N235" s="107">
        <v>122.5</v>
      </c>
      <c r="O235" s="107">
        <v>117.5</v>
      </c>
      <c r="P235" s="107">
        <v>121</v>
      </c>
      <c r="Q235" s="107">
        <v>118.1</v>
      </c>
      <c r="R235">
        <v>3145482</v>
      </c>
    </row>
    <row r="236" spans="1:18" x14ac:dyDescent="0.25">
      <c r="A236" s="130">
        <v>42347</v>
      </c>
      <c r="B236" s="107">
        <v>119.3</v>
      </c>
      <c r="C236" s="107">
        <v>117.2</v>
      </c>
      <c r="D236" s="107">
        <v>116.8</v>
      </c>
      <c r="E236" s="107">
        <v>119</v>
      </c>
      <c r="F236" s="107">
        <v>117.2</v>
      </c>
      <c r="G236">
        <v>431431</v>
      </c>
      <c r="H236" s="107"/>
      <c r="I236" s="107"/>
      <c r="L236" s="130">
        <v>42347</v>
      </c>
      <c r="M236" s="107">
        <v>116.9</v>
      </c>
      <c r="N236" s="107">
        <v>119.2</v>
      </c>
      <c r="O236" s="107">
        <v>116.6</v>
      </c>
      <c r="P236" s="107">
        <v>118</v>
      </c>
      <c r="Q236" s="107">
        <v>116.9</v>
      </c>
      <c r="R236">
        <v>2418597</v>
      </c>
    </row>
    <row r="237" spans="1:18" x14ac:dyDescent="0.25">
      <c r="A237" s="130">
        <v>42348</v>
      </c>
      <c r="B237" s="107">
        <v>118</v>
      </c>
      <c r="C237" s="107">
        <v>117.05</v>
      </c>
      <c r="D237" s="107">
        <v>115.4</v>
      </c>
      <c r="E237" s="107">
        <v>117.9</v>
      </c>
      <c r="F237" s="107">
        <v>117.05</v>
      </c>
      <c r="G237">
        <v>381281</v>
      </c>
      <c r="H237" s="107"/>
      <c r="I237" s="107"/>
      <c r="L237" s="130">
        <v>42348</v>
      </c>
      <c r="M237" s="107">
        <v>116.85</v>
      </c>
      <c r="N237" s="107">
        <v>118</v>
      </c>
      <c r="O237" s="107">
        <v>115.1</v>
      </c>
      <c r="P237" s="107">
        <v>117.6</v>
      </c>
      <c r="Q237" s="107">
        <v>116.85</v>
      </c>
      <c r="R237">
        <v>2512651</v>
      </c>
    </row>
    <row r="238" spans="1:18" x14ac:dyDescent="0.25">
      <c r="A238" s="130">
        <v>42349</v>
      </c>
      <c r="B238" s="107">
        <v>118.8</v>
      </c>
      <c r="C238" s="107">
        <v>115.4</v>
      </c>
      <c r="D238" s="107">
        <v>113.3</v>
      </c>
      <c r="E238" s="107">
        <v>117.5</v>
      </c>
      <c r="F238" s="107">
        <v>115.4</v>
      </c>
      <c r="G238">
        <v>503471</v>
      </c>
      <c r="H238" s="107"/>
      <c r="I238" s="107"/>
      <c r="L238" s="130">
        <v>42349</v>
      </c>
      <c r="M238" s="107">
        <v>115.25</v>
      </c>
      <c r="N238" s="107">
        <v>118.75</v>
      </c>
      <c r="O238" s="107">
        <v>113.25</v>
      </c>
      <c r="P238" s="107">
        <v>116.9</v>
      </c>
      <c r="Q238" s="107">
        <v>115.25</v>
      </c>
      <c r="R238">
        <v>3514803</v>
      </c>
    </row>
    <row r="239" spans="1:18" x14ac:dyDescent="0.25">
      <c r="A239" s="130">
        <v>42352</v>
      </c>
      <c r="B239" s="107">
        <v>117.2</v>
      </c>
      <c r="C239" s="107">
        <v>115.7</v>
      </c>
      <c r="D239" s="107">
        <v>113</v>
      </c>
      <c r="E239" s="107">
        <v>114.45</v>
      </c>
      <c r="F239" s="107">
        <v>115.7</v>
      </c>
      <c r="G239">
        <v>279844</v>
      </c>
      <c r="H239" s="107"/>
      <c r="I239" s="107"/>
      <c r="L239" s="130">
        <v>42352</v>
      </c>
      <c r="M239" s="107">
        <v>115.75</v>
      </c>
      <c r="N239" s="107">
        <v>117.25</v>
      </c>
      <c r="O239" s="107">
        <v>113.3</v>
      </c>
      <c r="P239" s="107">
        <v>113.75</v>
      </c>
      <c r="Q239" s="107">
        <v>115.75</v>
      </c>
      <c r="R239">
        <v>2163378</v>
      </c>
    </row>
    <row r="240" spans="1:18" x14ac:dyDescent="0.25">
      <c r="A240" s="130">
        <v>42353</v>
      </c>
      <c r="B240" s="107">
        <v>116.7</v>
      </c>
      <c r="C240" s="107">
        <v>115.8</v>
      </c>
      <c r="D240" s="107">
        <v>114.65</v>
      </c>
      <c r="E240" s="107">
        <v>116.7</v>
      </c>
      <c r="F240" s="107">
        <v>115.8</v>
      </c>
      <c r="G240">
        <v>292744</v>
      </c>
      <c r="H240" s="107"/>
      <c r="I240" s="107"/>
      <c r="L240" s="130">
        <v>42353</v>
      </c>
      <c r="M240" s="107">
        <v>115.8</v>
      </c>
      <c r="N240" s="107">
        <v>116.7</v>
      </c>
      <c r="O240" s="107">
        <v>114.7</v>
      </c>
      <c r="P240" s="107">
        <v>116</v>
      </c>
      <c r="Q240" s="107">
        <v>115.8</v>
      </c>
      <c r="R240">
        <v>1615647</v>
      </c>
    </row>
    <row r="241" spans="1:18" x14ac:dyDescent="0.25">
      <c r="A241" s="130">
        <v>42354</v>
      </c>
      <c r="B241" s="107">
        <v>117.8</v>
      </c>
      <c r="C241" s="107">
        <v>115.9</v>
      </c>
      <c r="D241" s="107">
        <v>115.7</v>
      </c>
      <c r="E241" s="107">
        <v>116.9</v>
      </c>
      <c r="F241" s="107">
        <v>115.9</v>
      </c>
      <c r="G241">
        <v>347104</v>
      </c>
      <c r="H241" s="107"/>
      <c r="I241" s="107"/>
      <c r="L241" s="130">
        <v>42354</v>
      </c>
      <c r="M241" s="107">
        <v>115.95</v>
      </c>
      <c r="N241" s="107">
        <v>117.9</v>
      </c>
      <c r="O241" s="107">
        <v>115.65</v>
      </c>
      <c r="P241" s="107">
        <v>116.65</v>
      </c>
      <c r="Q241" s="107">
        <v>115.95</v>
      </c>
      <c r="R241">
        <v>1833205</v>
      </c>
    </row>
    <row r="242" spans="1:18" x14ac:dyDescent="0.25">
      <c r="A242" s="130">
        <v>42355</v>
      </c>
      <c r="B242" s="107">
        <v>117.9</v>
      </c>
      <c r="C242" s="107">
        <v>117.4</v>
      </c>
      <c r="D242" s="107">
        <v>116.2</v>
      </c>
      <c r="E242" s="107">
        <v>117.2</v>
      </c>
      <c r="F242" s="107">
        <v>117.4</v>
      </c>
      <c r="G242">
        <v>388758</v>
      </c>
      <c r="H242" s="107"/>
      <c r="I242" s="107"/>
      <c r="L242" s="130">
        <v>42355</v>
      </c>
      <c r="M242" s="107">
        <v>117.3</v>
      </c>
      <c r="N242" s="107">
        <v>117.95</v>
      </c>
      <c r="O242" s="107">
        <v>116.1</v>
      </c>
      <c r="P242" s="107">
        <v>117</v>
      </c>
      <c r="Q242" s="107">
        <v>117.3</v>
      </c>
      <c r="R242">
        <v>1910998</v>
      </c>
    </row>
    <row r="243" spans="1:18" x14ac:dyDescent="0.25">
      <c r="A243" s="130">
        <v>42356</v>
      </c>
      <c r="B243" s="107">
        <v>120.15</v>
      </c>
      <c r="C243" s="107">
        <v>117.45</v>
      </c>
      <c r="D243" s="107">
        <v>116.55</v>
      </c>
      <c r="E243" s="107">
        <v>117</v>
      </c>
      <c r="F243" s="107">
        <v>117.45</v>
      </c>
      <c r="G243">
        <v>392039</v>
      </c>
      <c r="H243" s="107"/>
      <c r="I243" s="107"/>
      <c r="L243" s="130">
        <v>42356</v>
      </c>
      <c r="M243" s="107">
        <v>117.55</v>
      </c>
      <c r="N243" s="107">
        <v>120.4</v>
      </c>
      <c r="O243" s="107">
        <v>116.6</v>
      </c>
      <c r="P243" s="107">
        <v>117</v>
      </c>
      <c r="Q243" s="107">
        <v>117.55</v>
      </c>
      <c r="R243">
        <v>3301130</v>
      </c>
    </row>
    <row r="244" spans="1:18" x14ac:dyDescent="0.25">
      <c r="A244" s="130">
        <v>42359</v>
      </c>
      <c r="B244" s="107">
        <v>118.8</v>
      </c>
      <c r="C244" s="107">
        <v>117.95</v>
      </c>
      <c r="D244" s="107">
        <v>117.55</v>
      </c>
      <c r="E244" s="107">
        <v>117.55</v>
      </c>
      <c r="F244" s="107">
        <v>117.95</v>
      </c>
      <c r="G244">
        <v>275474</v>
      </c>
      <c r="H244" s="107"/>
      <c r="I244" s="107"/>
      <c r="L244" s="130">
        <v>42359</v>
      </c>
      <c r="M244" s="107">
        <v>117.95</v>
      </c>
      <c r="N244" s="107">
        <v>118.8</v>
      </c>
      <c r="O244" s="107">
        <v>117.6</v>
      </c>
      <c r="P244" s="107">
        <v>117.95</v>
      </c>
      <c r="Q244" s="107">
        <v>117.95</v>
      </c>
      <c r="R244">
        <v>1388962</v>
      </c>
    </row>
    <row r="245" spans="1:18" x14ac:dyDescent="0.25">
      <c r="A245" s="130">
        <v>42360</v>
      </c>
      <c r="B245" s="107">
        <v>119.9</v>
      </c>
      <c r="C245" s="107">
        <v>116.45</v>
      </c>
      <c r="D245" s="107">
        <v>116.05</v>
      </c>
      <c r="E245" s="107">
        <v>118.9</v>
      </c>
      <c r="F245" s="107">
        <v>116.45</v>
      </c>
      <c r="G245">
        <v>544942</v>
      </c>
      <c r="H245" s="107"/>
      <c r="I245" s="107"/>
      <c r="L245" s="130">
        <v>42360</v>
      </c>
      <c r="M245" s="107">
        <v>116.4</v>
      </c>
      <c r="N245" s="107">
        <v>119.85</v>
      </c>
      <c r="O245" s="107">
        <v>116</v>
      </c>
      <c r="P245" s="107">
        <v>119</v>
      </c>
      <c r="Q245" s="107">
        <v>116.4</v>
      </c>
      <c r="R245">
        <v>2793658</v>
      </c>
    </row>
    <row r="246" spans="1:18" x14ac:dyDescent="0.25">
      <c r="A246" s="130">
        <v>42361</v>
      </c>
      <c r="B246" s="107">
        <v>117.95</v>
      </c>
      <c r="C246" s="107">
        <v>117.45</v>
      </c>
      <c r="D246" s="107">
        <v>116.9</v>
      </c>
      <c r="E246" s="107">
        <v>117.3</v>
      </c>
      <c r="F246" s="107">
        <v>117.45</v>
      </c>
      <c r="G246">
        <v>207392</v>
      </c>
      <c r="H246" s="107"/>
      <c r="I246" s="107"/>
      <c r="L246" s="130">
        <v>42361</v>
      </c>
      <c r="M246" s="107">
        <v>117.65</v>
      </c>
      <c r="N246" s="107">
        <v>117.95</v>
      </c>
      <c r="O246" s="107">
        <v>116.85</v>
      </c>
      <c r="P246" s="107">
        <v>117.1</v>
      </c>
      <c r="Q246" s="107">
        <v>117.65</v>
      </c>
      <c r="R246">
        <v>1318932</v>
      </c>
    </row>
    <row r="247" spans="1:18" x14ac:dyDescent="0.25">
      <c r="A247" s="130">
        <v>42362</v>
      </c>
      <c r="B247" s="107">
        <v>117.9</v>
      </c>
      <c r="C247" s="107">
        <v>117.6</v>
      </c>
      <c r="D247" s="107">
        <v>116.6</v>
      </c>
      <c r="E247" s="107">
        <v>117.55</v>
      </c>
      <c r="F247" s="107">
        <v>117.6</v>
      </c>
      <c r="G247">
        <v>241872</v>
      </c>
      <c r="H247" s="107"/>
      <c r="I247" s="107"/>
      <c r="L247" s="130">
        <v>42362</v>
      </c>
      <c r="M247" s="107">
        <v>117.5</v>
      </c>
      <c r="N247" s="107">
        <v>118.2</v>
      </c>
      <c r="O247" s="107">
        <v>116.55</v>
      </c>
      <c r="P247" s="107">
        <v>117.9</v>
      </c>
      <c r="Q247" s="107">
        <v>117.5</v>
      </c>
      <c r="R247">
        <v>1034945</v>
      </c>
    </row>
    <row r="248" spans="1:18" x14ac:dyDescent="0.25">
      <c r="A248" s="130">
        <v>42366</v>
      </c>
      <c r="B248" s="107">
        <v>118.7</v>
      </c>
      <c r="C248" s="107">
        <v>117.85</v>
      </c>
      <c r="D248" s="107">
        <v>117.35</v>
      </c>
      <c r="E248" s="107">
        <v>118.7</v>
      </c>
      <c r="F248" s="107">
        <v>117.85</v>
      </c>
      <c r="G248">
        <v>209523</v>
      </c>
      <c r="H248" s="107"/>
      <c r="I248" s="107"/>
      <c r="L248" s="130">
        <v>42366</v>
      </c>
      <c r="M248" s="107">
        <v>117.85</v>
      </c>
      <c r="N248" s="107">
        <v>118.8</v>
      </c>
      <c r="O248" s="107">
        <v>117.2</v>
      </c>
      <c r="P248" s="107">
        <v>118</v>
      </c>
      <c r="Q248" s="107">
        <v>117.85</v>
      </c>
      <c r="R248">
        <v>1150013</v>
      </c>
    </row>
    <row r="249" spans="1:18" x14ac:dyDescent="0.25">
      <c r="A249" s="130">
        <v>42367</v>
      </c>
      <c r="B249" s="107">
        <v>118.3</v>
      </c>
      <c r="C249" s="107">
        <v>116.75</v>
      </c>
      <c r="D249" s="107">
        <v>116.35</v>
      </c>
      <c r="E249" s="107">
        <v>118.2</v>
      </c>
      <c r="F249" s="107">
        <v>116.75</v>
      </c>
      <c r="G249">
        <v>205533</v>
      </c>
      <c r="H249" s="107"/>
      <c r="I249" s="107"/>
      <c r="L249" s="130">
        <v>42367</v>
      </c>
      <c r="M249" s="107">
        <v>116.7</v>
      </c>
      <c r="N249" s="107">
        <v>118.25</v>
      </c>
      <c r="O249" s="107">
        <v>116.3</v>
      </c>
      <c r="P249" s="107">
        <v>118.05</v>
      </c>
      <c r="Q249" s="107">
        <v>116.7</v>
      </c>
      <c r="R249">
        <v>1528784</v>
      </c>
    </row>
    <row r="250" spans="1:18" x14ac:dyDescent="0.25">
      <c r="A250" s="130">
        <v>42368</v>
      </c>
      <c r="B250" s="107">
        <v>117.7</v>
      </c>
      <c r="C250" s="107">
        <v>115.4</v>
      </c>
      <c r="D250" s="107">
        <v>115.05</v>
      </c>
      <c r="E250" s="107">
        <v>116.95</v>
      </c>
      <c r="F250" s="107">
        <v>115.4</v>
      </c>
      <c r="G250">
        <v>322715</v>
      </c>
      <c r="H250" s="107"/>
      <c r="I250" s="107"/>
      <c r="L250" s="130">
        <v>42368</v>
      </c>
      <c r="M250" s="107">
        <v>115.35</v>
      </c>
      <c r="N250" s="107">
        <v>117.7</v>
      </c>
      <c r="O250" s="107">
        <v>115</v>
      </c>
      <c r="P250" s="107">
        <v>116.9</v>
      </c>
      <c r="Q250" s="107">
        <v>115.35</v>
      </c>
      <c r="R250">
        <v>1893165</v>
      </c>
    </row>
    <row r="251" spans="1:18" x14ac:dyDescent="0.25">
      <c r="A251" s="130">
        <v>42369</v>
      </c>
      <c r="B251" s="107">
        <v>115.9</v>
      </c>
      <c r="C251" s="107">
        <v>114.95</v>
      </c>
      <c r="D251" s="107">
        <v>114.15</v>
      </c>
      <c r="E251" s="107">
        <v>115.65</v>
      </c>
      <c r="F251" s="107">
        <v>114.95</v>
      </c>
      <c r="G251">
        <v>363035</v>
      </c>
      <c r="H251" s="107"/>
      <c r="I251" s="107"/>
      <c r="L251" s="130">
        <v>42369</v>
      </c>
      <c r="M251" s="107">
        <v>114.95</v>
      </c>
      <c r="N251" s="107">
        <v>115.75</v>
      </c>
      <c r="O251" s="107">
        <v>114.2</v>
      </c>
      <c r="P251" s="107">
        <v>115.4</v>
      </c>
      <c r="Q251" s="107">
        <v>114.95</v>
      </c>
      <c r="R251">
        <v>1647237</v>
      </c>
    </row>
    <row r="252" spans="1:18" x14ac:dyDescent="0.25">
      <c r="A252" s="130">
        <v>42370</v>
      </c>
      <c r="B252" s="107">
        <v>117.75</v>
      </c>
      <c r="C252" s="107">
        <v>117.1</v>
      </c>
      <c r="D252" s="107">
        <v>114</v>
      </c>
      <c r="E252" s="107">
        <v>115</v>
      </c>
      <c r="F252" s="107">
        <v>117.1</v>
      </c>
      <c r="G252">
        <v>330719</v>
      </c>
      <c r="H252" s="107"/>
      <c r="I252" s="107"/>
      <c r="L252" s="130">
        <v>42370</v>
      </c>
      <c r="M252" s="107">
        <v>117.35</v>
      </c>
      <c r="N252" s="107">
        <v>117.75</v>
      </c>
      <c r="O252" s="107">
        <v>114.6</v>
      </c>
      <c r="P252" s="107">
        <v>114.9</v>
      </c>
      <c r="Q252" s="107">
        <v>117.35</v>
      </c>
      <c r="R252">
        <v>1729723</v>
      </c>
    </row>
    <row r="253" spans="1:18" x14ac:dyDescent="0.25">
      <c r="A253" s="130">
        <v>42373</v>
      </c>
      <c r="B253" s="107">
        <v>117.35</v>
      </c>
      <c r="C253" s="107">
        <v>114.9</v>
      </c>
      <c r="D253" s="107">
        <v>114.15</v>
      </c>
      <c r="E253" s="107">
        <v>116.2</v>
      </c>
      <c r="F253" s="107">
        <v>114.9</v>
      </c>
      <c r="G253">
        <v>353761</v>
      </c>
      <c r="H253" s="107"/>
      <c r="I253" s="107"/>
      <c r="L253" s="130">
        <v>42373</v>
      </c>
      <c r="M253" s="107">
        <v>114.7</v>
      </c>
      <c r="N253" s="107">
        <v>117.35</v>
      </c>
      <c r="O253" s="107">
        <v>113.8</v>
      </c>
      <c r="P253" s="107">
        <v>116.6</v>
      </c>
      <c r="Q253" s="107">
        <v>114.7</v>
      </c>
      <c r="R253">
        <v>1961521</v>
      </c>
    </row>
    <row r="254" spans="1:18" x14ac:dyDescent="0.25">
      <c r="A254" s="130">
        <v>42374</v>
      </c>
      <c r="B254" s="107">
        <v>115.5</v>
      </c>
      <c r="C254" s="107">
        <v>114.15</v>
      </c>
      <c r="D254" s="107">
        <v>112.85</v>
      </c>
      <c r="E254" s="107">
        <v>115.05</v>
      </c>
      <c r="F254" s="107">
        <v>114.15</v>
      </c>
      <c r="G254">
        <v>368471</v>
      </c>
      <c r="H254" s="107"/>
      <c r="I254" s="107"/>
      <c r="L254" s="130">
        <v>42374</v>
      </c>
      <c r="M254" s="107">
        <v>113.9</v>
      </c>
      <c r="N254" s="107">
        <v>115.35</v>
      </c>
      <c r="O254" s="107">
        <v>112.8</v>
      </c>
      <c r="P254" s="107">
        <v>115.2</v>
      </c>
      <c r="Q254" s="107">
        <v>113.9</v>
      </c>
      <c r="R254">
        <v>1589405</v>
      </c>
    </row>
    <row r="255" spans="1:18" x14ac:dyDescent="0.25">
      <c r="A255" s="130">
        <v>42375</v>
      </c>
      <c r="B255" s="107">
        <v>117.3</v>
      </c>
      <c r="C255" s="107">
        <v>114.15</v>
      </c>
      <c r="D255" s="107">
        <v>113.05</v>
      </c>
      <c r="E255" s="107">
        <v>114.25</v>
      </c>
      <c r="F255" s="107">
        <v>114.15</v>
      </c>
      <c r="G255">
        <v>581154</v>
      </c>
      <c r="H255" s="107"/>
      <c r="I255" s="107"/>
      <c r="L255" s="130">
        <v>42375</v>
      </c>
      <c r="M255" s="107">
        <v>114.25</v>
      </c>
      <c r="N255" s="107">
        <v>117.3</v>
      </c>
      <c r="O255" s="107">
        <v>113</v>
      </c>
      <c r="P255" s="107">
        <v>114.1</v>
      </c>
      <c r="Q255" s="107">
        <v>114.25</v>
      </c>
      <c r="R255">
        <v>2785428</v>
      </c>
    </row>
    <row r="256" spans="1:18" x14ac:dyDescent="0.25">
      <c r="A256" s="130">
        <v>42376</v>
      </c>
      <c r="B256" s="107">
        <v>113.8</v>
      </c>
      <c r="C256" s="107">
        <v>108.95</v>
      </c>
      <c r="D256" s="107">
        <v>108.6</v>
      </c>
      <c r="E256" s="107">
        <v>113.8</v>
      </c>
      <c r="F256" s="107">
        <v>108.95</v>
      </c>
      <c r="G256">
        <v>731630</v>
      </c>
      <c r="H256" s="107"/>
      <c r="I256" s="107"/>
      <c r="L256" s="130">
        <v>42376</v>
      </c>
      <c r="M256" s="107">
        <v>109.05</v>
      </c>
      <c r="N256" s="107">
        <v>113.1</v>
      </c>
      <c r="O256" s="107">
        <v>108.65</v>
      </c>
      <c r="P256" s="107">
        <v>113.05</v>
      </c>
      <c r="Q256" s="107">
        <v>109.05</v>
      </c>
      <c r="R256">
        <v>3050214</v>
      </c>
    </row>
    <row r="257" spans="1:18" x14ac:dyDescent="0.25">
      <c r="A257" s="130">
        <v>42377</v>
      </c>
      <c r="B257" s="107">
        <v>111</v>
      </c>
      <c r="C257" s="107">
        <v>110.2</v>
      </c>
      <c r="D257" s="107">
        <v>109.3</v>
      </c>
      <c r="E257" s="107">
        <v>110</v>
      </c>
      <c r="F257" s="107">
        <v>110.2</v>
      </c>
      <c r="G257">
        <v>375952</v>
      </c>
      <c r="H257" s="107"/>
      <c r="I257" s="107"/>
      <c r="L257" s="130">
        <v>42377</v>
      </c>
      <c r="M257" s="107">
        <v>109.9</v>
      </c>
      <c r="N257" s="107">
        <v>110.85</v>
      </c>
      <c r="O257" s="107">
        <v>109.1</v>
      </c>
      <c r="P257" s="107">
        <v>109.9</v>
      </c>
      <c r="Q257" s="107">
        <v>109.9</v>
      </c>
      <c r="R257">
        <v>1808771</v>
      </c>
    </row>
    <row r="258" spans="1:18" x14ac:dyDescent="0.25">
      <c r="A258" s="130">
        <v>42380</v>
      </c>
      <c r="B258" s="107">
        <v>110</v>
      </c>
      <c r="C258" s="107">
        <v>107.7</v>
      </c>
      <c r="D258" s="107">
        <v>107.1</v>
      </c>
      <c r="E258" s="107">
        <v>109</v>
      </c>
      <c r="F258" s="107">
        <v>107.7</v>
      </c>
      <c r="G258">
        <v>419983</v>
      </c>
      <c r="H258" s="107"/>
      <c r="I258" s="107"/>
      <c r="L258" s="130">
        <v>42380</v>
      </c>
      <c r="M258" s="107">
        <v>107.5</v>
      </c>
      <c r="N258" s="107">
        <v>109.85</v>
      </c>
      <c r="O258" s="107">
        <v>107.05</v>
      </c>
      <c r="P258" s="107">
        <v>109</v>
      </c>
      <c r="Q258" s="107">
        <v>107.5</v>
      </c>
      <c r="R258">
        <v>2375792</v>
      </c>
    </row>
    <row r="259" spans="1:18" x14ac:dyDescent="0.25">
      <c r="A259" s="130">
        <v>42381</v>
      </c>
      <c r="B259" s="107">
        <v>108.4</v>
      </c>
      <c r="C259" s="107">
        <v>104.6</v>
      </c>
      <c r="D259" s="107">
        <v>103.6</v>
      </c>
      <c r="E259" s="107">
        <v>107.8</v>
      </c>
      <c r="F259" s="107">
        <v>104.6</v>
      </c>
      <c r="G259">
        <v>537936</v>
      </c>
      <c r="H259" s="107"/>
      <c r="I259" s="107"/>
      <c r="L259" s="130">
        <v>42381</v>
      </c>
      <c r="M259" s="107">
        <v>104.4</v>
      </c>
      <c r="N259" s="107">
        <v>108.5</v>
      </c>
      <c r="O259" s="107">
        <v>103.25</v>
      </c>
      <c r="P259" s="107">
        <v>107.6</v>
      </c>
      <c r="Q259" s="107">
        <v>104.4</v>
      </c>
      <c r="R259">
        <v>2849905</v>
      </c>
    </row>
    <row r="260" spans="1:18" x14ac:dyDescent="0.25">
      <c r="A260" s="130">
        <v>42382</v>
      </c>
      <c r="B260" s="107">
        <v>105.5</v>
      </c>
      <c r="C260" s="107">
        <v>100.2</v>
      </c>
      <c r="D260" s="107">
        <v>98.85</v>
      </c>
      <c r="E260" s="107">
        <v>104.75</v>
      </c>
      <c r="F260" s="107">
        <v>100.2</v>
      </c>
      <c r="G260">
        <v>1110847</v>
      </c>
      <c r="H260" s="107"/>
      <c r="I260" s="107"/>
      <c r="L260" s="130">
        <v>42382</v>
      </c>
      <c r="M260" s="107">
        <v>100.2</v>
      </c>
      <c r="N260" s="107">
        <v>105.6</v>
      </c>
      <c r="O260" s="107">
        <v>99.1</v>
      </c>
      <c r="P260" s="107">
        <v>105.6</v>
      </c>
      <c r="Q260" s="107">
        <v>100.2</v>
      </c>
      <c r="R260">
        <v>4661852</v>
      </c>
    </row>
    <row r="261" spans="1:18" x14ac:dyDescent="0.25">
      <c r="A261" s="130">
        <v>42383</v>
      </c>
      <c r="B261" s="107">
        <v>99.5</v>
      </c>
      <c r="C261" s="107">
        <v>98.4</v>
      </c>
      <c r="D261" s="107">
        <v>95.55</v>
      </c>
      <c r="E261" s="107">
        <v>98.5</v>
      </c>
      <c r="F261" s="107">
        <v>98.4</v>
      </c>
      <c r="G261">
        <v>767834</v>
      </c>
      <c r="H261" s="107"/>
      <c r="I261" s="107"/>
      <c r="L261" s="130">
        <v>42383</v>
      </c>
      <c r="M261" s="107">
        <v>98</v>
      </c>
      <c r="N261" s="107">
        <v>99</v>
      </c>
      <c r="O261" s="107">
        <v>95.5</v>
      </c>
      <c r="P261" s="107">
        <v>97.7</v>
      </c>
      <c r="Q261" s="107">
        <v>98</v>
      </c>
      <c r="R261">
        <v>3494658</v>
      </c>
    </row>
    <row r="262" spans="1:18" x14ac:dyDescent="0.25">
      <c r="A262" s="130">
        <v>42384</v>
      </c>
      <c r="B262" s="107">
        <v>99</v>
      </c>
      <c r="C262" s="107">
        <v>94.05</v>
      </c>
      <c r="D262" s="107">
        <v>92.45</v>
      </c>
      <c r="E262" s="107">
        <v>98.9</v>
      </c>
      <c r="F262" s="107">
        <v>94.05</v>
      </c>
      <c r="G262">
        <v>909438</v>
      </c>
      <c r="H262" s="107"/>
      <c r="I262" s="107"/>
      <c r="L262" s="130">
        <v>42384</v>
      </c>
      <c r="M262" s="107">
        <v>94.55</v>
      </c>
      <c r="N262" s="107">
        <v>99.05</v>
      </c>
      <c r="O262" s="107">
        <v>92.65</v>
      </c>
      <c r="P262" s="107">
        <v>98.9</v>
      </c>
      <c r="Q262" s="107">
        <v>94.55</v>
      </c>
      <c r="R262">
        <v>3578252</v>
      </c>
    </row>
    <row r="263" spans="1:18" x14ac:dyDescent="0.25">
      <c r="A263" s="130">
        <v>42387</v>
      </c>
      <c r="B263" s="107">
        <v>96.4</v>
      </c>
      <c r="C263" s="107">
        <v>92.7</v>
      </c>
      <c r="D263" s="107">
        <v>90.9</v>
      </c>
      <c r="E263" s="107">
        <v>95</v>
      </c>
      <c r="F263" s="107">
        <v>92.7</v>
      </c>
      <c r="G263">
        <v>888666</v>
      </c>
      <c r="H263" s="107"/>
      <c r="I263" s="107"/>
      <c r="L263" s="130">
        <v>42387</v>
      </c>
      <c r="M263" s="107">
        <v>92.4</v>
      </c>
      <c r="N263" s="107">
        <v>96</v>
      </c>
      <c r="O263" s="107">
        <v>90.35</v>
      </c>
      <c r="P263" s="107">
        <v>95</v>
      </c>
      <c r="Q263" s="107">
        <v>92.4</v>
      </c>
      <c r="R263">
        <v>4523474</v>
      </c>
    </row>
    <row r="264" spans="1:18" x14ac:dyDescent="0.25">
      <c r="A264" s="130">
        <v>42388</v>
      </c>
      <c r="B264" s="107">
        <v>94.7</v>
      </c>
      <c r="C264" s="107">
        <v>93.9</v>
      </c>
      <c r="D264" s="107">
        <v>92.25</v>
      </c>
      <c r="E264" s="107">
        <v>93.2</v>
      </c>
      <c r="F264" s="107">
        <v>93.9</v>
      </c>
      <c r="G264">
        <v>795354</v>
      </c>
      <c r="H264" s="107"/>
      <c r="I264" s="107"/>
      <c r="L264" s="130">
        <v>42388</v>
      </c>
      <c r="M264" s="107">
        <v>93.75</v>
      </c>
      <c r="N264" s="107">
        <v>94.75</v>
      </c>
      <c r="O264" s="107">
        <v>92.15</v>
      </c>
      <c r="P264" s="107">
        <v>93</v>
      </c>
      <c r="Q264" s="107">
        <v>93.75</v>
      </c>
      <c r="R264">
        <v>2771182</v>
      </c>
    </row>
    <row r="265" spans="1:18" x14ac:dyDescent="0.25">
      <c r="A265" s="130">
        <v>42389</v>
      </c>
      <c r="B265" s="107">
        <v>92.3</v>
      </c>
      <c r="C265" s="107">
        <v>91.4</v>
      </c>
      <c r="D265" s="107">
        <v>90.1</v>
      </c>
      <c r="E265" s="107">
        <v>92.1</v>
      </c>
      <c r="F265" s="107">
        <v>91.4</v>
      </c>
      <c r="G265">
        <v>589445</v>
      </c>
      <c r="H265" s="107"/>
      <c r="I265" s="107"/>
      <c r="L265" s="130">
        <v>42389</v>
      </c>
      <c r="M265" s="107">
        <v>91.25</v>
      </c>
      <c r="N265" s="107">
        <v>92.2</v>
      </c>
      <c r="O265" s="107">
        <v>90</v>
      </c>
      <c r="P265" s="107">
        <v>91.7</v>
      </c>
      <c r="Q265" s="107">
        <v>91.25</v>
      </c>
      <c r="R265">
        <v>3067084</v>
      </c>
    </row>
    <row r="266" spans="1:18" x14ac:dyDescent="0.25">
      <c r="A266" s="130">
        <v>42390</v>
      </c>
      <c r="B266" s="107">
        <v>96.3</v>
      </c>
      <c r="C266" s="107">
        <v>95.25</v>
      </c>
      <c r="D266" s="107">
        <v>91.55</v>
      </c>
      <c r="E266" s="107">
        <v>93</v>
      </c>
      <c r="F266" s="107">
        <v>95.25</v>
      </c>
      <c r="G266">
        <v>772881</v>
      </c>
      <c r="H266" s="107"/>
      <c r="I266" s="107"/>
      <c r="L266" s="130">
        <v>42390</v>
      </c>
      <c r="M266" s="107">
        <v>95.35</v>
      </c>
      <c r="N266" s="107">
        <v>96.5</v>
      </c>
      <c r="O266" s="107">
        <v>91.5</v>
      </c>
      <c r="P266" s="107">
        <v>92.8</v>
      </c>
      <c r="Q266" s="107">
        <v>95.35</v>
      </c>
      <c r="R266">
        <v>5044834</v>
      </c>
    </row>
    <row r="267" spans="1:18" x14ac:dyDescent="0.25">
      <c r="A267" s="130">
        <v>42391</v>
      </c>
      <c r="B267" s="107">
        <v>101.6</v>
      </c>
      <c r="C267" s="107">
        <v>100.75</v>
      </c>
      <c r="D267" s="107">
        <v>96.4</v>
      </c>
      <c r="E267" s="107">
        <v>96.6</v>
      </c>
      <c r="F267" s="107">
        <v>100.75</v>
      </c>
      <c r="G267">
        <v>590896</v>
      </c>
      <c r="H267" s="107"/>
      <c r="I267" s="107"/>
      <c r="L267" s="130">
        <v>42391</v>
      </c>
      <c r="M267" s="107">
        <v>100.75</v>
      </c>
      <c r="N267" s="107">
        <v>101.65</v>
      </c>
      <c r="O267" s="107">
        <v>96.45</v>
      </c>
      <c r="P267" s="107">
        <v>96.8</v>
      </c>
      <c r="Q267" s="107">
        <v>100.75</v>
      </c>
      <c r="R267">
        <v>5184051</v>
      </c>
    </row>
    <row r="268" spans="1:18" x14ac:dyDescent="0.25">
      <c r="A268" s="130">
        <v>42394</v>
      </c>
      <c r="B268" s="107">
        <v>103</v>
      </c>
      <c r="C268" s="107">
        <v>99.7</v>
      </c>
      <c r="D268" s="107">
        <v>99</v>
      </c>
      <c r="E268" s="107">
        <v>103</v>
      </c>
      <c r="F268" s="107">
        <v>99.7</v>
      </c>
      <c r="G268">
        <v>336732</v>
      </c>
      <c r="H268" s="107"/>
      <c r="I268" s="107"/>
      <c r="L268" s="130">
        <v>42394</v>
      </c>
      <c r="M268" s="107">
        <v>99.6</v>
      </c>
      <c r="N268" s="107">
        <v>102.9</v>
      </c>
      <c r="O268" s="107">
        <v>98.9</v>
      </c>
      <c r="P268" s="107">
        <v>101.6</v>
      </c>
      <c r="Q268" s="107">
        <v>99.6</v>
      </c>
      <c r="R268">
        <v>2320163</v>
      </c>
    </row>
    <row r="269" spans="1:18" x14ac:dyDescent="0.25">
      <c r="A269" s="130">
        <v>42396</v>
      </c>
      <c r="B269" s="107">
        <v>102.3</v>
      </c>
      <c r="C269" s="107">
        <v>99.7</v>
      </c>
      <c r="D269" s="107">
        <v>97.85</v>
      </c>
      <c r="E269" s="107">
        <v>100.9</v>
      </c>
      <c r="F269" s="107">
        <v>99.7</v>
      </c>
      <c r="G269">
        <v>787426</v>
      </c>
      <c r="H269" s="107"/>
      <c r="I269" s="107"/>
      <c r="L269" s="130">
        <v>42396</v>
      </c>
      <c r="M269" s="107">
        <v>99.7</v>
      </c>
      <c r="N269" s="107">
        <v>102.45</v>
      </c>
      <c r="O269" s="107">
        <v>97.6</v>
      </c>
      <c r="P269" s="107">
        <v>100.45</v>
      </c>
      <c r="Q269" s="107">
        <v>99.7</v>
      </c>
      <c r="R269">
        <v>4469600</v>
      </c>
    </row>
    <row r="270" spans="1:18" x14ac:dyDescent="0.25">
      <c r="A270" s="130">
        <v>42397</v>
      </c>
      <c r="B270" s="107">
        <v>100.6</v>
      </c>
      <c r="C270" s="107">
        <v>99</v>
      </c>
      <c r="D270" s="107">
        <v>98.2</v>
      </c>
      <c r="E270" s="107">
        <v>99.8</v>
      </c>
      <c r="F270" s="107">
        <v>99</v>
      </c>
      <c r="G270">
        <v>459533</v>
      </c>
      <c r="H270" s="107"/>
      <c r="I270" s="107"/>
      <c r="L270" s="130">
        <v>42397</v>
      </c>
      <c r="M270" s="107">
        <v>98.95</v>
      </c>
      <c r="N270" s="107">
        <v>100.7</v>
      </c>
      <c r="O270" s="107">
        <v>98.4</v>
      </c>
      <c r="P270" s="107">
        <v>99.3</v>
      </c>
      <c r="Q270" s="107">
        <v>98.95</v>
      </c>
      <c r="R270">
        <v>2942482</v>
      </c>
    </row>
    <row r="271" spans="1:18" x14ac:dyDescent="0.25">
      <c r="A271" s="130">
        <v>42398</v>
      </c>
      <c r="B271" s="107">
        <v>100.6</v>
      </c>
      <c r="C271" s="107">
        <v>100.05</v>
      </c>
      <c r="D271" s="107">
        <v>95.7</v>
      </c>
      <c r="E271" s="107">
        <v>99</v>
      </c>
      <c r="F271" s="107">
        <v>100.05</v>
      </c>
      <c r="G271">
        <v>571277</v>
      </c>
      <c r="H271" s="107"/>
      <c r="I271" s="107"/>
      <c r="L271" s="130">
        <v>42398</v>
      </c>
      <c r="M271" s="107">
        <v>100.3</v>
      </c>
      <c r="N271" s="107">
        <v>100.95</v>
      </c>
      <c r="O271" s="107">
        <v>95.6</v>
      </c>
      <c r="P271" s="107">
        <v>98.3</v>
      </c>
      <c r="Q271" s="107">
        <v>100.3</v>
      </c>
      <c r="R271">
        <v>3753307</v>
      </c>
    </row>
    <row r="272" spans="1:18" x14ac:dyDescent="0.25">
      <c r="A272" s="130">
        <v>42401</v>
      </c>
      <c r="B272" s="107">
        <v>102.8</v>
      </c>
      <c r="C272" s="107">
        <v>97.75</v>
      </c>
      <c r="D272" s="107">
        <v>97.3</v>
      </c>
      <c r="E272" s="107">
        <v>102.5</v>
      </c>
      <c r="F272" s="107">
        <v>97.75</v>
      </c>
      <c r="G272">
        <v>566217</v>
      </c>
      <c r="H272" s="107"/>
      <c r="I272" s="107"/>
      <c r="L272" s="130">
        <v>42401</v>
      </c>
      <c r="M272" s="107">
        <v>97.75</v>
      </c>
      <c r="N272" s="107">
        <v>101.5</v>
      </c>
      <c r="O272" s="107">
        <v>97.1</v>
      </c>
      <c r="P272" s="107">
        <v>101.45</v>
      </c>
      <c r="Q272" s="107">
        <v>97.75</v>
      </c>
      <c r="R272">
        <v>2644126</v>
      </c>
    </row>
    <row r="273" spans="1:18" x14ac:dyDescent="0.25">
      <c r="A273" s="130">
        <v>42402</v>
      </c>
      <c r="B273" s="107">
        <v>100.35</v>
      </c>
      <c r="C273" s="107">
        <v>96.6</v>
      </c>
      <c r="D273" s="107">
        <v>96.15</v>
      </c>
      <c r="E273" s="107">
        <v>98</v>
      </c>
      <c r="F273" s="107">
        <v>96.6</v>
      </c>
      <c r="G273">
        <v>919505</v>
      </c>
      <c r="H273" s="107"/>
      <c r="I273" s="107"/>
      <c r="L273" s="130">
        <v>42402</v>
      </c>
      <c r="M273" s="107">
        <v>96.45</v>
      </c>
      <c r="N273" s="107">
        <v>100.35</v>
      </c>
      <c r="O273" s="107">
        <v>96.15</v>
      </c>
      <c r="P273" s="107">
        <v>98</v>
      </c>
      <c r="Q273" s="107">
        <v>96.45</v>
      </c>
      <c r="R273">
        <v>3624157</v>
      </c>
    </row>
    <row r="274" spans="1:18" x14ac:dyDescent="0.25">
      <c r="A274" s="130">
        <v>42403</v>
      </c>
      <c r="B274" s="107">
        <v>95.15</v>
      </c>
      <c r="C274" s="107">
        <v>92.95</v>
      </c>
      <c r="D274" s="107">
        <v>92.1</v>
      </c>
      <c r="E274" s="107">
        <v>95</v>
      </c>
      <c r="F274" s="107">
        <v>92.95</v>
      </c>
      <c r="G274">
        <v>521227</v>
      </c>
      <c r="H274" s="107"/>
      <c r="I274" s="107"/>
      <c r="L274" s="130">
        <v>42403</v>
      </c>
      <c r="M274" s="107">
        <v>93</v>
      </c>
      <c r="N274" s="107">
        <v>95.3</v>
      </c>
      <c r="O274" s="107">
        <v>92</v>
      </c>
      <c r="P274" s="107">
        <v>94.5</v>
      </c>
      <c r="Q274" s="107">
        <v>93</v>
      </c>
      <c r="R274">
        <v>2815253</v>
      </c>
    </row>
    <row r="275" spans="1:18" x14ac:dyDescent="0.25">
      <c r="A275" s="130">
        <v>42404</v>
      </c>
      <c r="B275" s="107">
        <v>95.55</v>
      </c>
      <c r="C275" s="107">
        <v>93.25</v>
      </c>
      <c r="D275" s="107">
        <v>92</v>
      </c>
      <c r="E275" s="107">
        <v>94.2</v>
      </c>
      <c r="F275" s="107">
        <v>93.25</v>
      </c>
      <c r="G275">
        <v>427088</v>
      </c>
      <c r="H275" s="107"/>
      <c r="I275" s="107"/>
      <c r="L275" s="130">
        <v>42404</v>
      </c>
      <c r="M275" s="107">
        <v>93.1</v>
      </c>
      <c r="N275" s="107">
        <v>95.7</v>
      </c>
      <c r="O275" s="107">
        <v>91.8</v>
      </c>
      <c r="P275" s="107">
        <v>93.7</v>
      </c>
      <c r="Q275" s="107">
        <v>93.1</v>
      </c>
      <c r="R275">
        <v>2322006</v>
      </c>
    </row>
    <row r="276" spans="1:18" x14ac:dyDescent="0.25">
      <c r="A276" s="130">
        <v>42405</v>
      </c>
      <c r="B276" s="107">
        <v>98.8</v>
      </c>
      <c r="C276" s="107">
        <v>97.8</v>
      </c>
      <c r="D276" s="107">
        <v>93.4</v>
      </c>
      <c r="E276" s="107">
        <v>93.7</v>
      </c>
      <c r="F276" s="107">
        <v>97.8</v>
      </c>
      <c r="G276">
        <v>447627</v>
      </c>
      <c r="H276" s="107"/>
      <c r="I276" s="107"/>
      <c r="L276" s="130">
        <v>42405</v>
      </c>
      <c r="M276" s="107">
        <v>97.75</v>
      </c>
      <c r="N276" s="107">
        <v>98.45</v>
      </c>
      <c r="O276" s="107">
        <v>93.4</v>
      </c>
      <c r="P276" s="107">
        <v>93.55</v>
      </c>
      <c r="Q276" s="107">
        <v>97.75</v>
      </c>
      <c r="R276">
        <v>2581617</v>
      </c>
    </row>
    <row r="277" spans="1:18" x14ac:dyDescent="0.25">
      <c r="A277" s="130">
        <v>42408</v>
      </c>
      <c r="B277" s="107">
        <v>105.25</v>
      </c>
      <c r="C277" s="107">
        <v>102.15</v>
      </c>
      <c r="D277" s="107">
        <v>97</v>
      </c>
      <c r="E277" s="107">
        <v>98.2</v>
      </c>
      <c r="F277" s="107">
        <v>102.15</v>
      </c>
      <c r="G277">
        <v>1076508</v>
      </c>
      <c r="H277" s="107"/>
      <c r="I277" s="107"/>
      <c r="L277" s="130">
        <v>42408</v>
      </c>
      <c r="M277" s="107">
        <v>102.1</v>
      </c>
      <c r="N277" s="107">
        <v>105.4</v>
      </c>
      <c r="O277" s="107">
        <v>97.1</v>
      </c>
      <c r="P277" s="107">
        <v>97.9</v>
      </c>
      <c r="Q277" s="107">
        <v>102.1</v>
      </c>
      <c r="R277">
        <v>6294005</v>
      </c>
    </row>
    <row r="278" spans="1:18" x14ac:dyDescent="0.25">
      <c r="A278" s="130">
        <v>42409</v>
      </c>
      <c r="B278" s="107">
        <v>102.25</v>
      </c>
      <c r="C278" s="107">
        <v>96.2</v>
      </c>
      <c r="D278" s="107">
        <v>95.85</v>
      </c>
      <c r="E278" s="107">
        <v>99</v>
      </c>
      <c r="F278" s="107">
        <v>96.2</v>
      </c>
      <c r="G278">
        <v>880625</v>
      </c>
      <c r="H278" s="107"/>
      <c r="I278" s="107"/>
      <c r="L278" s="130">
        <v>42409</v>
      </c>
      <c r="M278" s="107">
        <v>95.75</v>
      </c>
      <c r="N278" s="107">
        <v>102.2</v>
      </c>
      <c r="O278" s="107">
        <v>95.5</v>
      </c>
      <c r="P278" s="107">
        <v>100</v>
      </c>
      <c r="Q278" s="107">
        <v>95.75</v>
      </c>
      <c r="R278">
        <v>5171167</v>
      </c>
    </row>
    <row r="279" spans="1:18" x14ac:dyDescent="0.25">
      <c r="A279" s="130">
        <v>42410</v>
      </c>
      <c r="B279" s="107">
        <v>95</v>
      </c>
      <c r="C279" s="107">
        <v>90.6</v>
      </c>
      <c r="D279" s="107">
        <v>89.3</v>
      </c>
      <c r="E279" s="107">
        <v>93.75</v>
      </c>
      <c r="F279" s="107">
        <v>90.6</v>
      </c>
      <c r="G279">
        <v>1146042</v>
      </c>
      <c r="H279" s="107"/>
      <c r="I279" s="107"/>
      <c r="L279" s="130">
        <v>42410</v>
      </c>
      <c r="M279" s="107">
        <v>90.4</v>
      </c>
      <c r="N279" s="107">
        <v>95.05</v>
      </c>
      <c r="O279" s="107">
        <v>89.2</v>
      </c>
      <c r="P279" s="107">
        <v>94</v>
      </c>
      <c r="Q279" s="107">
        <v>90.4</v>
      </c>
      <c r="R279">
        <v>5612142</v>
      </c>
    </row>
    <row r="280" spans="1:18" x14ac:dyDescent="0.25">
      <c r="A280" s="130">
        <v>42411</v>
      </c>
      <c r="B280" s="107">
        <v>90.7</v>
      </c>
      <c r="C280" s="107">
        <v>85.2</v>
      </c>
      <c r="D280" s="107">
        <v>83.5</v>
      </c>
      <c r="E280" s="107">
        <v>90.7</v>
      </c>
      <c r="F280" s="107">
        <v>85.2</v>
      </c>
      <c r="G280">
        <v>2479550</v>
      </c>
      <c r="H280" s="107"/>
      <c r="I280" s="107"/>
      <c r="L280" s="130">
        <v>42411</v>
      </c>
      <c r="M280" s="107">
        <v>85.2</v>
      </c>
      <c r="N280" s="107">
        <v>90.1</v>
      </c>
      <c r="O280" s="107">
        <v>83.2</v>
      </c>
      <c r="P280" s="107">
        <v>90</v>
      </c>
      <c r="Q280" s="107">
        <v>85.2</v>
      </c>
      <c r="R280">
        <v>10724568</v>
      </c>
    </row>
    <row r="281" spans="1:18" x14ac:dyDescent="0.25">
      <c r="A281" s="130">
        <v>42412</v>
      </c>
      <c r="B281" s="107">
        <v>86</v>
      </c>
      <c r="C281" s="107">
        <v>84.75</v>
      </c>
      <c r="D281" s="107">
        <v>80.25</v>
      </c>
      <c r="E281" s="107">
        <v>83.4</v>
      </c>
      <c r="F281" s="107">
        <v>84.75</v>
      </c>
      <c r="G281">
        <v>1487115</v>
      </c>
      <c r="H281" s="107"/>
      <c r="I281" s="107"/>
      <c r="L281" s="130">
        <v>42412</v>
      </c>
      <c r="M281" s="107">
        <v>84.6</v>
      </c>
      <c r="N281" s="107">
        <v>87.9</v>
      </c>
      <c r="O281" s="107">
        <v>80.099999999999994</v>
      </c>
      <c r="P281" s="107">
        <v>83.25</v>
      </c>
      <c r="Q281" s="107">
        <v>84.6</v>
      </c>
      <c r="R281">
        <v>6641524</v>
      </c>
    </row>
    <row r="282" spans="1:18" x14ac:dyDescent="0.25">
      <c r="A282" s="130">
        <v>42415</v>
      </c>
      <c r="B282" s="107">
        <v>92.45</v>
      </c>
      <c r="C282" s="107">
        <v>89.55</v>
      </c>
      <c r="D282" s="107">
        <v>85.5</v>
      </c>
      <c r="E282" s="107">
        <v>86.9</v>
      </c>
      <c r="F282" s="107">
        <v>89.55</v>
      </c>
      <c r="G282">
        <v>1195221</v>
      </c>
      <c r="H282" s="107"/>
      <c r="I282" s="107"/>
      <c r="L282" s="130">
        <v>42415</v>
      </c>
      <c r="M282" s="107">
        <v>89.4</v>
      </c>
      <c r="N282" s="107">
        <v>92.55</v>
      </c>
      <c r="O282" s="107">
        <v>86.7</v>
      </c>
      <c r="P282" s="107">
        <v>87</v>
      </c>
      <c r="Q282" s="107">
        <v>89.4</v>
      </c>
      <c r="R282">
        <v>5002032</v>
      </c>
    </row>
    <row r="283" spans="1:18" x14ac:dyDescent="0.25">
      <c r="A283" s="130">
        <v>42416</v>
      </c>
      <c r="B283" s="107">
        <v>91.5</v>
      </c>
      <c r="C283" s="107">
        <v>85.7</v>
      </c>
      <c r="D283" s="107">
        <v>84.9</v>
      </c>
      <c r="E283" s="107">
        <v>91.5</v>
      </c>
      <c r="F283" s="107">
        <v>85.7</v>
      </c>
      <c r="G283">
        <v>827519</v>
      </c>
      <c r="H283" s="107"/>
      <c r="I283" s="107"/>
      <c r="L283" s="130">
        <v>42416</v>
      </c>
      <c r="M283" s="107">
        <v>85.5</v>
      </c>
      <c r="N283" s="107">
        <v>91.7</v>
      </c>
      <c r="O283" s="107">
        <v>84.75</v>
      </c>
      <c r="P283" s="107">
        <v>91.7</v>
      </c>
      <c r="Q283" s="107">
        <v>85.5</v>
      </c>
      <c r="R283">
        <v>4192892</v>
      </c>
    </row>
    <row r="284" spans="1:18" x14ac:dyDescent="0.25">
      <c r="A284" s="130">
        <v>42417</v>
      </c>
      <c r="B284" s="107">
        <v>88</v>
      </c>
      <c r="C284" s="107">
        <v>86.35</v>
      </c>
      <c r="D284" s="107">
        <v>80.099999999999994</v>
      </c>
      <c r="E284" s="107">
        <v>81.650000000000006</v>
      </c>
      <c r="F284" s="107">
        <v>86.35</v>
      </c>
      <c r="G284">
        <v>1452006</v>
      </c>
      <c r="H284" s="107"/>
      <c r="I284" s="107"/>
      <c r="L284" s="130">
        <v>42417</v>
      </c>
      <c r="M284" s="107">
        <v>86.05</v>
      </c>
      <c r="N284" s="107">
        <v>87.65</v>
      </c>
      <c r="O284" s="107">
        <v>80.400000000000006</v>
      </c>
      <c r="P284" s="107">
        <v>81.7</v>
      </c>
      <c r="Q284" s="107">
        <v>86.05</v>
      </c>
      <c r="R284">
        <v>7620821</v>
      </c>
    </row>
    <row r="285" spans="1:18" x14ac:dyDescent="0.25">
      <c r="A285" s="130">
        <v>42418</v>
      </c>
      <c r="B285" s="107">
        <v>89.75</v>
      </c>
      <c r="C285" s="107">
        <v>85.85</v>
      </c>
      <c r="D285" s="107">
        <v>84.25</v>
      </c>
      <c r="E285" s="107">
        <v>88</v>
      </c>
      <c r="F285" s="107">
        <v>85.85</v>
      </c>
      <c r="G285">
        <v>696383</v>
      </c>
      <c r="H285" s="107"/>
      <c r="I285" s="107"/>
      <c r="L285" s="130">
        <v>42418</v>
      </c>
      <c r="M285" s="107">
        <v>85.65</v>
      </c>
      <c r="N285" s="107">
        <v>89.75</v>
      </c>
      <c r="O285" s="107">
        <v>84.2</v>
      </c>
      <c r="P285" s="107">
        <v>87.15</v>
      </c>
      <c r="Q285" s="107">
        <v>85.65</v>
      </c>
      <c r="R285">
        <v>3507899</v>
      </c>
    </row>
    <row r="286" spans="1:18" x14ac:dyDescent="0.25">
      <c r="A286" s="130">
        <v>42419</v>
      </c>
      <c r="B286" s="107">
        <v>88.3</v>
      </c>
      <c r="C286" s="107">
        <v>87.35</v>
      </c>
      <c r="D286" s="107">
        <v>83.1</v>
      </c>
      <c r="E286" s="107">
        <v>84.5</v>
      </c>
      <c r="F286" s="107">
        <v>87.35</v>
      </c>
      <c r="G286">
        <v>950571</v>
      </c>
      <c r="H286" s="107"/>
      <c r="I286" s="107"/>
      <c r="L286" s="130">
        <v>42419</v>
      </c>
      <c r="M286" s="107">
        <v>87.4</v>
      </c>
      <c r="N286" s="107">
        <v>88.5</v>
      </c>
      <c r="O286" s="107">
        <v>82.2</v>
      </c>
      <c r="P286" s="107">
        <v>84</v>
      </c>
      <c r="Q286" s="107">
        <v>87.4</v>
      </c>
      <c r="R286">
        <v>3873367</v>
      </c>
    </row>
    <row r="287" spans="1:18" x14ac:dyDescent="0.25">
      <c r="A287" s="130">
        <v>42422</v>
      </c>
      <c r="B287" s="107">
        <v>88.45</v>
      </c>
      <c r="C287" s="107">
        <v>86.9</v>
      </c>
      <c r="D287" s="107">
        <v>85.7</v>
      </c>
      <c r="E287" s="107">
        <v>88.45</v>
      </c>
      <c r="F287" s="107">
        <v>86.9</v>
      </c>
      <c r="G287">
        <v>443023</v>
      </c>
      <c r="H287" s="107"/>
      <c r="I287" s="107"/>
      <c r="L287" s="130">
        <v>42422</v>
      </c>
      <c r="M287" s="107">
        <v>86.85</v>
      </c>
      <c r="N287" s="107">
        <v>88.3</v>
      </c>
      <c r="O287" s="107">
        <v>85.6</v>
      </c>
      <c r="P287" s="107">
        <v>87.55</v>
      </c>
      <c r="Q287" s="107">
        <v>86.85</v>
      </c>
      <c r="R287">
        <v>1901740</v>
      </c>
    </row>
    <row r="288" spans="1:18" x14ac:dyDescent="0.25">
      <c r="A288" s="130">
        <v>42423</v>
      </c>
      <c r="B288" s="107">
        <v>86.7</v>
      </c>
      <c r="C288" s="107">
        <v>84.8</v>
      </c>
      <c r="D288" s="107">
        <v>84.05</v>
      </c>
      <c r="E288" s="107">
        <v>85.3</v>
      </c>
      <c r="F288" s="107">
        <v>84.8</v>
      </c>
      <c r="G288">
        <v>470755</v>
      </c>
      <c r="H288" s="107"/>
      <c r="I288" s="107"/>
      <c r="L288" s="130">
        <v>42423</v>
      </c>
      <c r="M288" s="107">
        <v>84.65</v>
      </c>
      <c r="N288" s="107">
        <v>86.9</v>
      </c>
      <c r="O288" s="107">
        <v>84</v>
      </c>
      <c r="P288" s="107">
        <v>86.4</v>
      </c>
      <c r="Q288" s="107">
        <v>84.65</v>
      </c>
      <c r="R288">
        <v>2336849</v>
      </c>
    </row>
    <row r="289" spans="1:18" x14ac:dyDescent="0.25">
      <c r="A289" s="130">
        <v>42424</v>
      </c>
      <c r="B289" s="107">
        <v>87.85</v>
      </c>
      <c r="C289" s="107">
        <v>85.7</v>
      </c>
      <c r="D289" s="107">
        <v>83.4</v>
      </c>
      <c r="E289" s="107">
        <v>84</v>
      </c>
      <c r="F289" s="107">
        <v>85.7</v>
      </c>
      <c r="G289">
        <v>413303</v>
      </c>
      <c r="H289" s="107"/>
      <c r="I289" s="107"/>
      <c r="L289" s="130">
        <v>42424</v>
      </c>
      <c r="M289" s="107">
        <v>85.8</v>
      </c>
      <c r="N289" s="107">
        <v>87.95</v>
      </c>
      <c r="O289" s="107">
        <v>83.2</v>
      </c>
      <c r="P289" s="107">
        <v>84</v>
      </c>
      <c r="Q289" s="107">
        <v>85.8</v>
      </c>
      <c r="R289">
        <v>3142464</v>
      </c>
    </row>
    <row r="290" spans="1:18" x14ac:dyDescent="0.25">
      <c r="A290" s="130">
        <v>42425</v>
      </c>
      <c r="B290" s="107">
        <v>87.85</v>
      </c>
      <c r="C290" s="107">
        <v>83.9</v>
      </c>
      <c r="D290" s="107">
        <v>83.3</v>
      </c>
      <c r="E290" s="107">
        <v>86.5</v>
      </c>
      <c r="F290" s="107">
        <v>83.9</v>
      </c>
      <c r="G290">
        <v>457001</v>
      </c>
      <c r="H290" s="107"/>
      <c r="I290" s="107"/>
      <c r="L290" s="130">
        <v>42425</v>
      </c>
      <c r="M290" s="107">
        <v>83.8</v>
      </c>
      <c r="N290" s="107">
        <v>87.9</v>
      </c>
      <c r="O290" s="107">
        <v>83.2</v>
      </c>
      <c r="P290" s="107">
        <v>86.25</v>
      </c>
      <c r="Q290" s="107">
        <v>83.8</v>
      </c>
      <c r="R290">
        <v>3016168</v>
      </c>
    </row>
    <row r="291" spans="1:18" x14ac:dyDescent="0.25">
      <c r="A291" s="130">
        <v>42426</v>
      </c>
      <c r="B291" s="107">
        <v>85.9</v>
      </c>
      <c r="C291" s="107">
        <v>83.85</v>
      </c>
      <c r="D291" s="107">
        <v>82.7</v>
      </c>
      <c r="E291" s="107">
        <v>85.45</v>
      </c>
      <c r="F291" s="107">
        <v>83.85</v>
      </c>
      <c r="G291">
        <v>566122</v>
      </c>
      <c r="H291" s="107"/>
      <c r="I291" s="107"/>
      <c r="L291" s="130">
        <v>42426</v>
      </c>
      <c r="M291" s="107">
        <v>83.7</v>
      </c>
      <c r="N291" s="107">
        <v>85.4</v>
      </c>
      <c r="O291" s="107">
        <v>82.75</v>
      </c>
      <c r="P291" s="107">
        <v>85</v>
      </c>
      <c r="Q291" s="107">
        <v>83.7</v>
      </c>
      <c r="R291">
        <v>3101812</v>
      </c>
    </row>
    <row r="292" spans="1:18" x14ac:dyDescent="0.25">
      <c r="A292" s="130">
        <v>42429</v>
      </c>
      <c r="B292" s="107">
        <v>87.25</v>
      </c>
      <c r="C292" s="107">
        <v>82.95</v>
      </c>
      <c r="D292" s="107">
        <v>81.400000000000006</v>
      </c>
      <c r="E292" s="107">
        <v>84.9</v>
      </c>
      <c r="F292" s="107">
        <v>82.95</v>
      </c>
      <c r="G292">
        <v>1353229</v>
      </c>
      <c r="H292" s="107"/>
      <c r="I292" s="107"/>
      <c r="L292" s="130">
        <v>42429</v>
      </c>
      <c r="M292" s="107">
        <v>83.3</v>
      </c>
      <c r="N292" s="107">
        <v>87.1</v>
      </c>
      <c r="O292" s="107">
        <v>81.3</v>
      </c>
      <c r="P292" s="107">
        <v>84.1</v>
      </c>
      <c r="Q292" s="107">
        <v>83.3</v>
      </c>
      <c r="R292">
        <v>5882581</v>
      </c>
    </row>
    <row r="293" spans="1:18" x14ac:dyDescent="0.25">
      <c r="A293" s="130">
        <v>42430</v>
      </c>
      <c r="B293" s="107">
        <v>87</v>
      </c>
      <c r="C293" s="107">
        <v>86.7</v>
      </c>
      <c r="D293" s="107">
        <v>84</v>
      </c>
      <c r="E293" s="107">
        <v>84</v>
      </c>
      <c r="F293" s="107">
        <v>86.7</v>
      </c>
      <c r="G293">
        <v>608192</v>
      </c>
      <c r="H293" s="107"/>
      <c r="I293" s="107"/>
      <c r="L293" s="130">
        <v>42430</v>
      </c>
      <c r="M293" s="107">
        <v>86.65</v>
      </c>
      <c r="N293" s="107">
        <v>87</v>
      </c>
      <c r="O293" s="107">
        <v>84.05</v>
      </c>
      <c r="P293" s="107">
        <v>84.05</v>
      </c>
      <c r="Q293" s="107">
        <v>86.65</v>
      </c>
      <c r="R293">
        <v>3090017</v>
      </c>
    </row>
    <row r="294" spans="1:18" x14ac:dyDescent="0.25">
      <c r="A294" s="130">
        <v>42431</v>
      </c>
      <c r="B294" s="107">
        <v>95.15</v>
      </c>
      <c r="C294" s="107">
        <v>93.05</v>
      </c>
      <c r="D294" s="107">
        <v>90.2</v>
      </c>
      <c r="E294" s="107">
        <v>90.2</v>
      </c>
      <c r="F294" s="107">
        <v>93.05</v>
      </c>
      <c r="G294">
        <v>1393672</v>
      </c>
      <c r="H294" s="107"/>
      <c r="I294" s="107"/>
      <c r="L294" s="130">
        <v>42431</v>
      </c>
      <c r="M294" s="107">
        <v>93.1</v>
      </c>
      <c r="N294" s="107">
        <v>95.3</v>
      </c>
      <c r="O294" s="107">
        <v>90.55</v>
      </c>
      <c r="P294" s="107">
        <v>92</v>
      </c>
      <c r="Q294" s="107">
        <v>93.1</v>
      </c>
      <c r="R294">
        <v>5978757</v>
      </c>
    </row>
    <row r="295" spans="1:18" x14ac:dyDescent="0.25">
      <c r="A295" s="130">
        <v>42432</v>
      </c>
      <c r="B295" s="107">
        <v>95.05</v>
      </c>
      <c r="C295" s="107">
        <v>92.85</v>
      </c>
      <c r="D295" s="107">
        <v>90.9</v>
      </c>
      <c r="E295" s="107">
        <v>94.55</v>
      </c>
      <c r="F295" s="107">
        <v>92.85</v>
      </c>
      <c r="G295">
        <v>616087</v>
      </c>
      <c r="H295" s="107"/>
      <c r="I295" s="107"/>
      <c r="L295" s="130">
        <v>42432</v>
      </c>
      <c r="M295" s="107">
        <v>92.9</v>
      </c>
      <c r="N295" s="107">
        <v>95.5</v>
      </c>
      <c r="O295" s="107">
        <v>90.9</v>
      </c>
      <c r="P295" s="107">
        <v>95</v>
      </c>
      <c r="Q295" s="107">
        <v>92.9</v>
      </c>
      <c r="R295">
        <v>3014797</v>
      </c>
    </row>
    <row r="296" spans="1:18" x14ac:dyDescent="0.25">
      <c r="A296" s="130">
        <v>42433</v>
      </c>
      <c r="B296" s="107">
        <v>97.45</v>
      </c>
      <c r="C296" s="107">
        <v>94.4</v>
      </c>
      <c r="D296" s="107">
        <v>91.6</v>
      </c>
      <c r="E296" s="107">
        <v>93.55</v>
      </c>
      <c r="F296" s="107">
        <v>94.4</v>
      </c>
      <c r="G296">
        <v>1254301</v>
      </c>
      <c r="H296" s="107"/>
      <c r="I296" s="107"/>
      <c r="L296" s="130">
        <v>42433</v>
      </c>
      <c r="M296" s="107">
        <v>94.4</v>
      </c>
      <c r="N296" s="107">
        <v>97.5</v>
      </c>
      <c r="O296" s="107">
        <v>91.5</v>
      </c>
      <c r="P296" s="107">
        <v>93.9</v>
      </c>
      <c r="Q296" s="107">
        <v>94.4</v>
      </c>
      <c r="R296">
        <v>7441721</v>
      </c>
    </row>
    <row r="297" spans="1:18" x14ac:dyDescent="0.25">
      <c r="A297" s="130">
        <v>42437</v>
      </c>
      <c r="B297" s="107">
        <v>95.35</v>
      </c>
      <c r="C297" s="107">
        <v>92.4</v>
      </c>
      <c r="D297" s="107">
        <v>92</v>
      </c>
      <c r="E297" s="107">
        <v>94.5</v>
      </c>
      <c r="F297" s="107">
        <v>92.4</v>
      </c>
      <c r="G297">
        <v>716314</v>
      </c>
      <c r="H297" s="107"/>
      <c r="I297" s="107"/>
      <c r="L297" s="130">
        <v>42437</v>
      </c>
      <c r="M297" s="107">
        <v>92.5</v>
      </c>
      <c r="N297" s="107">
        <v>95.45</v>
      </c>
      <c r="O297" s="107">
        <v>92</v>
      </c>
      <c r="P297" s="107">
        <v>94.25</v>
      </c>
      <c r="Q297" s="107">
        <v>92.5</v>
      </c>
      <c r="R297">
        <v>3793143</v>
      </c>
    </row>
    <row r="298" spans="1:18" x14ac:dyDescent="0.25">
      <c r="A298" s="130">
        <v>42438</v>
      </c>
      <c r="B298" s="107">
        <v>94.8</v>
      </c>
      <c r="C298" s="107">
        <v>94.3</v>
      </c>
      <c r="D298" s="107">
        <v>90.9</v>
      </c>
      <c r="E298" s="107">
        <v>92</v>
      </c>
      <c r="F298" s="107">
        <v>94.3</v>
      </c>
      <c r="G298">
        <v>577321</v>
      </c>
      <c r="H298" s="107"/>
      <c r="I298" s="107"/>
      <c r="L298" s="130">
        <v>42438</v>
      </c>
      <c r="M298" s="107">
        <v>94.2</v>
      </c>
      <c r="N298" s="107">
        <v>94.9</v>
      </c>
      <c r="O298" s="107">
        <v>90.8</v>
      </c>
      <c r="P298" s="107">
        <v>91.75</v>
      </c>
      <c r="Q298" s="107">
        <v>94.2</v>
      </c>
      <c r="R298">
        <v>3026326</v>
      </c>
    </row>
    <row r="299" spans="1:18" x14ac:dyDescent="0.25">
      <c r="A299" s="130">
        <v>42439</v>
      </c>
      <c r="B299" s="107">
        <v>95.45</v>
      </c>
      <c r="C299" s="107">
        <v>93.75</v>
      </c>
      <c r="D299" s="107">
        <v>92.7</v>
      </c>
      <c r="E299" s="107">
        <v>94.3</v>
      </c>
      <c r="F299" s="107">
        <v>93.75</v>
      </c>
      <c r="G299">
        <v>687654</v>
      </c>
      <c r="H299" s="107"/>
      <c r="I299" s="107"/>
      <c r="L299" s="130">
        <v>42439</v>
      </c>
      <c r="M299" s="107">
        <v>93.7</v>
      </c>
      <c r="N299" s="107">
        <v>95.75</v>
      </c>
      <c r="O299" s="107">
        <v>92.8</v>
      </c>
      <c r="P299" s="107">
        <v>93.75</v>
      </c>
      <c r="Q299" s="107">
        <v>93.7</v>
      </c>
      <c r="R299">
        <v>2638929</v>
      </c>
    </row>
    <row r="300" spans="1:18" x14ac:dyDescent="0.25">
      <c r="A300" s="130">
        <v>42440</v>
      </c>
      <c r="B300" s="107">
        <v>94.2</v>
      </c>
      <c r="C300" s="107">
        <v>93.45</v>
      </c>
      <c r="D300" s="107">
        <v>91.65</v>
      </c>
      <c r="E300" s="107">
        <v>92.6</v>
      </c>
      <c r="F300" s="107">
        <v>93.45</v>
      </c>
      <c r="G300">
        <v>469216</v>
      </c>
      <c r="H300" s="107"/>
      <c r="I300" s="107"/>
      <c r="L300" s="130">
        <v>42440</v>
      </c>
      <c r="M300" s="107">
        <v>93.3</v>
      </c>
      <c r="N300" s="107">
        <v>94.2</v>
      </c>
      <c r="O300" s="107">
        <v>91.6</v>
      </c>
      <c r="P300" s="107">
        <v>92.3</v>
      </c>
      <c r="Q300" s="107">
        <v>93.3</v>
      </c>
      <c r="R300">
        <v>2889247</v>
      </c>
    </row>
    <row r="301" spans="1:18" x14ac:dyDescent="0.25">
      <c r="A301" s="130">
        <v>42443</v>
      </c>
      <c r="B301" s="107">
        <v>95.4</v>
      </c>
      <c r="C301" s="107">
        <v>93.8</v>
      </c>
      <c r="D301" s="107">
        <v>93</v>
      </c>
      <c r="E301" s="107">
        <v>94.4</v>
      </c>
      <c r="F301" s="107">
        <v>93.8</v>
      </c>
      <c r="G301">
        <v>469420</v>
      </c>
      <c r="H301" s="107"/>
      <c r="I301" s="107"/>
      <c r="L301" s="130">
        <v>42443</v>
      </c>
      <c r="M301" s="107">
        <v>93.8</v>
      </c>
      <c r="N301" s="107">
        <v>95.5</v>
      </c>
      <c r="O301" s="107">
        <v>92.9</v>
      </c>
      <c r="P301" s="107">
        <v>95</v>
      </c>
      <c r="Q301" s="107">
        <v>93.8</v>
      </c>
      <c r="R301">
        <v>2525124</v>
      </c>
    </row>
    <row r="302" spans="1:18" x14ac:dyDescent="0.25">
      <c r="A302" s="130">
        <v>42444</v>
      </c>
      <c r="B302" s="107">
        <v>96.4</v>
      </c>
      <c r="C302" s="107">
        <v>95.05</v>
      </c>
      <c r="D302" s="107">
        <v>93.7</v>
      </c>
      <c r="E302" s="107">
        <v>94.35</v>
      </c>
      <c r="F302" s="107">
        <v>95.05</v>
      </c>
      <c r="G302">
        <v>485738</v>
      </c>
      <c r="H302" s="107"/>
      <c r="I302" s="107"/>
      <c r="L302" s="130">
        <v>42444</v>
      </c>
      <c r="M302" s="107">
        <v>95</v>
      </c>
      <c r="N302" s="107">
        <v>96.5</v>
      </c>
      <c r="O302" s="107">
        <v>93.7</v>
      </c>
      <c r="P302" s="107">
        <v>94</v>
      </c>
      <c r="Q302" s="107">
        <v>95</v>
      </c>
      <c r="R302">
        <v>3189199</v>
      </c>
    </row>
    <row r="303" spans="1:18" x14ac:dyDescent="0.25">
      <c r="A303" s="130">
        <v>42445</v>
      </c>
      <c r="B303" s="107">
        <v>96.4</v>
      </c>
      <c r="C303" s="107">
        <v>95.65</v>
      </c>
      <c r="D303" s="107">
        <v>93.05</v>
      </c>
      <c r="E303" s="107">
        <v>95.05</v>
      </c>
      <c r="F303" s="107">
        <v>95.65</v>
      </c>
      <c r="G303">
        <v>557470</v>
      </c>
      <c r="H303" s="107"/>
      <c r="I303" s="107"/>
      <c r="L303" s="130">
        <v>42445</v>
      </c>
      <c r="M303" s="107">
        <v>95.4</v>
      </c>
      <c r="N303" s="107">
        <v>96.05</v>
      </c>
      <c r="O303" s="107">
        <v>93.05</v>
      </c>
      <c r="P303" s="107">
        <v>94.95</v>
      </c>
      <c r="Q303" s="107">
        <v>95.4</v>
      </c>
      <c r="R303">
        <v>3170939</v>
      </c>
    </row>
    <row r="304" spans="1:18" x14ac:dyDescent="0.25">
      <c r="A304" s="130">
        <v>42446</v>
      </c>
      <c r="B304" s="107">
        <v>96.9</v>
      </c>
      <c r="C304" s="107">
        <v>94.8</v>
      </c>
      <c r="D304" s="107">
        <v>94</v>
      </c>
      <c r="E304" s="107">
        <v>96.1</v>
      </c>
      <c r="F304" s="107">
        <v>94.8</v>
      </c>
      <c r="G304">
        <v>640674</v>
      </c>
      <c r="H304" s="107"/>
      <c r="I304" s="107"/>
      <c r="L304" s="130">
        <v>42446</v>
      </c>
      <c r="M304" s="107">
        <v>94.85</v>
      </c>
      <c r="N304" s="107">
        <v>96.9</v>
      </c>
      <c r="O304" s="107">
        <v>94.45</v>
      </c>
      <c r="P304" s="107">
        <v>96.5</v>
      </c>
      <c r="Q304" s="107">
        <v>94.85</v>
      </c>
      <c r="R304">
        <v>2445670</v>
      </c>
    </row>
    <row r="305" spans="1:18" x14ac:dyDescent="0.25">
      <c r="A305" s="130">
        <v>42447</v>
      </c>
      <c r="B305" s="107">
        <v>97.5</v>
      </c>
      <c r="C305" s="107">
        <v>96.6</v>
      </c>
      <c r="D305" s="107">
        <v>94.7</v>
      </c>
      <c r="E305" s="107">
        <v>95.4</v>
      </c>
      <c r="F305" s="107">
        <v>96.6</v>
      </c>
      <c r="G305">
        <v>435696</v>
      </c>
      <c r="H305" s="107"/>
      <c r="I305" s="107"/>
      <c r="L305" s="130">
        <v>42447</v>
      </c>
      <c r="M305" s="107">
        <v>96.6</v>
      </c>
      <c r="N305" s="107">
        <v>97.1</v>
      </c>
      <c r="O305" s="107">
        <v>94.6</v>
      </c>
      <c r="P305" s="107">
        <v>95.2</v>
      </c>
      <c r="Q305" s="107">
        <v>96.6</v>
      </c>
      <c r="R305">
        <v>2818090</v>
      </c>
    </row>
    <row r="306" spans="1:18" x14ac:dyDescent="0.25">
      <c r="A306" s="130">
        <v>42450</v>
      </c>
      <c r="B306" s="107">
        <v>99.3</v>
      </c>
      <c r="C306" s="107">
        <v>99</v>
      </c>
      <c r="D306" s="107">
        <v>97</v>
      </c>
      <c r="E306" s="107">
        <v>97</v>
      </c>
      <c r="F306" s="107">
        <v>99</v>
      </c>
      <c r="G306">
        <v>443690</v>
      </c>
      <c r="H306" s="107"/>
      <c r="I306" s="107"/>
      <c r="L306" s="130">
        <v>42450</v>
      </c>
      <c r="M306" s="107">
        <v>98.95</v>
      </c>
      <c r="N306" s="107">
        <v>99.35</v>
      </c>
      <c r="O306" s="107">
        <v>97.2</v>
      </c>
      <c r="P306" s="107">
        <v>97.3</v>
      </c>
      <c r="Q306" s="107">
        <v>98.95</v>
      </c>
      <c r="R306">
        <v>2923261</v>
      </c>
    </row>
    <row r="307" spans="1:18" x14ac:dyDescent="0.25">
      <c r="A307" s="130">
        <v>42451</v>
      </c>
      <c r="B307" s="107">
        <v>99.5</v>
      </c>
      <c r="C307" s="107">
        <v>97.95</v>
      </c>
      <c r="D307" s="107">
        <v>96.8</v>
      </c>
      <c r="E307" s="107">
        <v>99</v>
      </c>
      <c r="F307" s="107">
        <v>97.95</v>
      </c>
      <c r="G307">
        <v>384491</v>
      </c>
      <c r="H307" s="107"/>
      <c r="I307" s="107"/>
      <c r="L307" s="130">
        <v>42451</v>
      </c>
      <c r="M307" s="107">
        <v>98.05</v>
      </c>
      <c r="N307" s="107">
        <v>99.6</v>
      </c>
      <c r="O307" s="107">
        <v>96.8</v>
      </c>
      <c r="P307" s="107">
        <v>98.9</v>
      </c>
      <c r="Q307" s="107">
        <v>98.05</v>
      </c>
      <c r="R307">
        <v>2322783</v>
      </c>
    </row>
    <row r="308" spans="1:18" x14ac:dyDescent="0.25">
      <c r="A308" s="130">
        <v>42452</v>
      </c>
      <c r="B308" s="107">
        <v>98.1</v>
      </c>
      <c r="C308" s="107">
        <v>96.85</v>
      </c>
      <c r="D308" s="107">
        <v>96.55</v>
      </c>
      <c r="E308" s="107">
        <v>98</v>
      </c>
      <c r="F308" s="107">
        <v>96.85</v>
      </c>
      <c r="G308">
        <v>431986</v>
      </c>
      <c r="H308" s="107"/>
      <c r="I308" s="107"/>
      <c r="L308" s="130">
        <v>42452</v>
      </c>
      <c r="M308" s="107">
        <v>96.55</v>
      </c>
      <c r="N308" s="107">
        <v>98</v>
      </c>
      <c r="O308" s="107">
        <v>96.2</v>
      </c>
      <c r="P308" s="107">
        <v>97.65</v>
      </c>
      <c r="Q308" s="107">
        <v>96.55</v>
      </c>
      <c r="R308">
        <v>1658447</v>
      </c>
    </row>
    <row r="309" spans="1:18" x14ac:dyDescent="0.25">
      <c r="A309" s="130">
        <v>42457</v>
      </c>
      <c r="B309" s="107">
        <v>96.85</v>
      </c>
      <c r="C309" s="107">
        <v>93.6</v>
      </c>
      <c r="D309" s="107">
        <v>93.1</v>
      </c>
      <c r="E309" s="107">
        <v>96.85</v>
      </c>
      <c r="F309" s="107">
        <v>93.6</v>
      </c>
      <c r="G309">
        <v>290070</v>
      </c>
      <c r="H309" s="107"/>
      <c r="I309" s="107"/>
      <c r="L309" s="130">
        <v>42457</v>
      </c>
      <c r="M309" s="107">
        <v>93.55</v>
      </c>
      <c r="N309" s="107">
        <v>96.9</v>
      </c>
      <c r="O309" s="107">
        <v>93</v>
      </c>
      <c r="P309" s="107">
        <v>96.9</v>
      </c>
      <c r="Q309" s="107">
        <v>93.55</v>
      </c>
      <c r="R309">
        <v>2173988</v>
      </c>
    </row>
    <row r="310" spans="1:18" x14ac:dyDescent="0.25">
      <c r="A310" s="130">
        <v>42458</v>
      </c>
      <c r="B310" s="107">
        <v>95.95</v>
      </c>
      <c r="C310" s="107">
        <v>94.25</v>
      </c>
      <c r="D310" s="107">
        <v>93.7</v>
      </c>
      <c r="E310" s="107">
        <v>95</v>
      </c>
      <c r="F310" s="107">
        <v>94.25</v>
      </c>
      <c r="G310">
        <v>510554</v>
      </c>
      <c r="H310" s="107"/>
      <c r="I310" s="107"/>
      <c r="L310" s="130">
        <v>42458</v>
      </c>
      <c r="M310" s="107">
        <v>93.95</v>
      </c>
      <c r="N310" s="107">
        <v>96</v>
      </c>
      <c r="O310" s="107">
        <v>93.75</v>
      </c>
      <c r="P310" s="107">
        <v>94.7</v>
      </c>
      <c r="Q310" s="107">
        <v>93.95</v>
      </c>
      <c r="R310">
        <v>2285015</v>
      </c>
    </row>
    <row r="311" spans="1:18" x14ac:dyDescent="0.25">
      <c r="A311" s="130">
        <v>42459</v>
      </c>
      <c r="B311" s="107">
        <v>98.8</v>
      </c>
      <c r="C311" s="107">
        <v>96.5</v>
      </c>
      <c r="D311" s="107">
        <v>94.05</v>
      </c>
      <c r="E311" s="107">
        <v>94.95</v>
      </c>
      <c r="F311" s="107">
        <v>96.5</v>
      </c>
      <c r="G311">
        <v>975047</v>
      </c>
      <c r="H311" s="107"/>
      <c r="I311" s="107"/>
      <c r="L311" s="130">
        <v>42459</v>
      </c>
      <c r="M311" s="107">
        <v>96.5</v>
      </c>
      <c r="N311" s="107">
        <v>98.9</v>
      </c>
      <c r="O311" s="107">
        <v>94</v>
      </c>
      <c r="P311" s="107">
        <v>95.1</v>
      </c>
      <c r="Q311" s="107">
        <v>96.5</v>
      </c>
      <c r="R311">
        <v>6930371</v>
      </c>
    </row>
    <row r="312" spans="1:18" x14ac:dyDescent="0.25">
      <c r="A312" s="130">
        <v>42460</v>
      </c>
      <c r="B312" s="107">
        <v>99.9</v>
      </c>
      <c r="C312" s="107">
        <v>97.05</v>
      </c>
      <c r="D312" s="107">
        <v>95.3</v>
      </c>
      <c r="E312" s="107">
        <v>97.5</v>
      </c>
      <c r="F312" s="107">
        <v>97.05</v>
      </c>
      <c r="G312">
        <v>732491</v>
      </c>
      <c r="H312" s="107"/>
      <c r="I312" s="107"/>
      <c r="L312" s="130">
        <v>42460</v>
      </c>
      <c r="M312" s="107">
        <v>97.05</v>
      </c>
      <c r="N312" s="107">
        <v>100.15</v>
      </c>
      <c r="O312" s="107">
        <v>95.2</v>
      </c>
      <c r="P312" s="107">
        <v>96.5</v>
      </c>
      <c r="Q312" s="107">
        <v>97.05</v>
      </c>
      <c r="R312">
        <v>8190169</v>
      </c>
    </row>
    <row r="313" spans="1:18" x14ac:dyDescent="0.25">
      <c r="A313" s="130">
        <v>42461</v>
      </c>
      <c r="B313" s="107">
        <v>101.1</v>
      </c>
      <c r="C313" s="107">
        <v>100.55</v>
      </c>
      <c r="D313" s="107">
        <v>96.4</v>
      </c>
      <c r="E313" s="107">
        <v>97</v>
      </c>
      <c r="F313" s="107">
        <v>100.55</v>
      </c>
      <c r="G313">
        <v>782725</v>
      </c>
      <c r="H313" s="107"/>
      <c r="I313" s="107"/>
      <c r="L313" s="130">
        <v>42461</v>
      </c>
      <c r="M313" s="107">
        <v>100.5</v>
      </c>
      <c r="N313" s="107">
        <v>101</v>
      </c>
      <c r="O313" s="107">
        <v>96.3</v>
      </c>
      <c r="P313" s="107">
        <v>96.8</v>
      </c>
      <c r="Q313" s="107">
        <v>100.5</v>
      </c>
      <c r="R313">
        <v>5687608</v>
      </c>
    </row>
    <row r="314" spans="1:18" x14ac:dyDescent="0.25">
      <c r="A314" s="130">
        <v>42464</v>
      </c>
      <c r="B314" s="107">
        <v>101.8</v>
      </c>
      <c r="C314" s="107">
        <v>99.7</v>
      </c>
      <c r="D314" s="107">
        <v>98.5</v>
      </c>
      <c r="E314" s="107">
        <v>101.25</v>
      </c>
      <c r="F314" s="107">
        <v>99.7</v>
      </c>
      <c r="G314">
        <v>499433</v>
      </c>
      <c r="H314" s="107"/>
      <c r="I314" s="107"/>
      <c r="L314" s="130">
        <v>42464</v>
      </c>
      <c r="M314" s="107">
        <v>99.75</v>
      </c>
      <c r="N314" s="107">
        <v>101.8</v>
      </c>
      <c r="O314" s="107">
        <v>98.5</v>
      </c>
      <c r="P314" s="107">
        <v>101.65</v>
      </c>
      <c r="Q314" s="107">
        <v>99.75</v>
      </c>
      <c r="R314">
        <v>3643248</v>
      </c>
    </row>
    <row r="315" spans="1:18" x14ac:dyDescent="0.25">
      <c r="A315" s="130">
        <v>42465</v>
      </c>
      <c r="B315" s="107">
        <v>99.95</v>
      </c>
      <c r="C315" s="107">
        <v>94.2</v>
      </c>
      <c r="D315" s="107">
        <v>93.7</v>
      </c>
      <c r="E315" s="107">
        <v>99</v>
      </c>
      <c r="F315" s="107">
        <v>94.2</v>
      </c>
      <c r="G315">
        <v>1066673</v>
      </c>
      <c r="H315" s="107"/>
      <c r="I315" s="107"/>
      <c r="L315" s="130">
        <v>42465</v>
      </c>
      <c r="M315" s="107">
        <v>94.2</v>
      </c>
      <c r="N315" s="107">
        <v>99.85</v>
      </c>
      <c r="O315" s="107">
        <v>93.6</v>
      </c>
      <c r="P315" s="107">
        <v>99.2</v>
      </c>
      <c r="Q315" s="107">
        <v>94.2</v>
      </c>
      <c r="R315">
        <v>5511282</v>
      </c>
    </row>
    <row r="316" spans="1:18" x14ac:dyDescent="0.25">
      <c r="A316" s="130">
        <v>42466</v>
      </c>
      <c r="B316" s="107">
        <v>94.5</v>
      </c>
      <c r="C316" s="107">
        <v>92.95</v>
      </c>
      <c r="D316" s="107">
        <v>91.45</v>
      </c>
      <c r="E316" s="107">
        <v>93.9</v>
      </c>
      <c r="F316" s="107">
        <v>92.95</v>
      </c>
      <c r="G316">
        <v>608322</v>
      </c>
      <c r="H316" s="107"/>
      <c r="I316" s="107"/>
      <c r="L316" s="130">
        <v>42466</v>
      </c>
      <c r="M316" s="107">
        <v>92.85</v>
      </c>
      <c r="N316" s="107">
        <v>94.45</v>
      </c>
      <c r="O316" s="107">
        <v>91.45</v>
      </c>
      <c r="P316" s="107">
        <v>93.85</v>
      </c>
      <c r="Q316" s="107">
        <v>92.85</v>
      </c>
      <c r="R316">
        <v>3821363</v>
      </c>
    </row>
    <row r="317" spans="1:18" x14ac:dyDescent="0.25">
      <c r="A317" s="130">
        <v>42467</v>
      </c>
      <c r="B317" s="107">
        <v>93.9</v>
      </c>
      <c r="C317" s="107">
        <v>91.2</v>
      </c>
      <c r="D317" s="107">
        <v>90.8</v>
      </c>
      <c r="E317" s="107">
        <v>93</v>
      </c>
      <c r="F317" s="107">
        <v>91.2</v>
      </c>
      <c r="G317">
        <v>786164</v>
      </c>
      <c r="H317" s="107"/>
      <c r="I317" s="107"/>
      <c r="L317" s="130">
        <v>42467</v>
      </c>
      <c r="M317" s="107">
        <v>90.8</v>
      </c>
      <c r="N317" s="107">
        <v>93.2</v>
      </c>
      <c r="O317" s="107">
        <v>90.35</v>
      </c>
      <c r="P317" s="107">
        <v>93.05</v>
      </c>
      <c r="Q317" s="107">
        <v>90.8</v>
      </c>
      <c r="R317">
        <v>4521830</v>
      </c>
    </row>
    <row r="318" spans="1:18" x14ac:dyDescent="0.25">
      <c r="A318" s="130">
        <v>42468</v>
      </c>
      <c r="B318" s="107">
        <v>91.55</v>
      </c>
      <c r="C318" s="107">
        <v>91.25</v>
      </c>
      <c r="D318" s="107">
        <v>89.5</v>
      </c>
      <c r="E318" s="107">
        <v>90.1</v>
      </c>
      <c r="F318" s="107">
        <v>91.25</v>
      </c>
      <c r="G318">
        <v>460944</v>
      </c>
      <c r="H318" s="107"/>
      <c r="I318" s="107"/>
      <c r="L318" s="130">
        <v>42468</v>
      </c>
      <c r="M318" s="107">
        <v>91.15</v>
      </c>
      <c r="N318" s="107">
        <v>91.6</v>
      </c>
      <c r="O318" s="107">
        <v>89.35</v>
      </c>
      <c r="P318" s="107">
        <v>90.15</v>
      </c>
      <c r="Q318" s="107">
        <v>91.15</v>
      </c>
      <c r="R318">
        <v>3272784</v>
      </c>
    </row>
    <row r="319" spans="1:18" x14ac:dyDescent="0.25">
      <c r="A319" s="130">
        <v>42471</v>
      </c>
      <c r="B319" s="107">
        <v>93.5</v>
      </c>
      <c r="C319" s="107">
        <v>93.05</v>
      </c>
      <c r="D319" s="107">
        <v>90.6</v>
      </c>
      <c r="E319" s="107">
        <v>91.5</v>
      </c>
      <c r="F319" s="107">
        <v>93.05</v>
      </c>
      <c r="G319">
        <v>434289</v>
      </c>
      <c r="H319" s="107"/>
      <c r="I319" s="107"/>
      <c r="L319" s="130">
        <v>42471</v>
      </c>
      <c r="M319" s="107">
        <v>92.95</v>
      </c>
      <c r="N319" s="107">
        <v>93.4</v>
      </c>
      <c r="O319" s="107">
        <v>90.4</v>
      </c>
      <c r="P319" s="107">
        <v>91.6</v>
      </c>
      <c r="Q319" s="107">
        <v>92.95</v>
      </c>
      <c r="R319">
        <v>2881335</v>
      </c>
    </row>
    <row r="320" spans="1:18" x14ac:dyDescent="0.25">
      <c r="A320" s="130">
        <v>42472</v>
      </c>
      <c r="B320" s="107">
        <v>94.85</v>
      </c>
      <c r="C320" s="107">
        <v>93.85</v>
      </c>
      <c r="D320" s="107">
        <v>92.9</v>
      </c>
      <c r="E320" s="107">
        <v>93.1</v>
      </c>
      <c r="F320" s="107">
        <v>93.85</v>
      </c>
      <c r="G320">
        <v>547781</v>
      </c>
      <c r="H320" s="107"/>
      <c r="I320" s="107"/>
      <c r="L320" s="130">
        <v>42472</v>
      </c>
      <c r="M320" s="107">
        <v>93.95</v>
      </c>
      <c r="N320" s="107">
        <v>95.05</v>
      </c>
      <c r="O320" s="107">
        <v>92.75</v>
      </c>
      <c r="P320" s="107">
        <v>93.15</v>
      </c>
      <c r="Q320" s="107">
        <v>93.95</v>
      </c>
      <c r="R320">
        <v>3428066</v>
      </c>
    </row>
    <row r="321" spans="1:18" x14ac:dyDescent="0.25">
      <c r="A321" s="130">
        <v>42473</v>
      </c>
      <c r="B321" s="107">
        <v>97</v>
      </c>
      <c r="C321" s="107">
        <v>94.6</v>
      </c>
      <c r="D321" s="107">
        <v>94.05</v>
      </c>
      <c r="E321" s="107">
        <v>94.6</v>
      </c>
      <c r="F321" s="107">
        <v>94.6</v>
      </c>
      <c r="G321">
        <v>575969</v>
      </c>
      <c r="H321" s="107"/>
      <c r="I321" s="107"/>
      <c r="L321" s="130">
        <v>42473</v>
      </c>
      <c r="M321" s="107">
        <v>94.65</v>
      </c>
      <c r="N321" s="107">
        <v>97.2</v>
      </c>
      <c r="O321" s="107">
        <v>94.2</v>
      </c>
      <c r="P321" s="107">
        <v>95.2</v>
      </c>
      <c r="Q321" s="107">
        <v>94.65</v>
      </c>
      <c r="R321">
        <v>4140129</v>
      </c>
    </row>
    <row r="322" spans="1:18" x14ac:dyDescent="0.25">
      <c r="A322" s="130">
        <v>42478</v>
      </c>
      <c r="B322" s="107">
        <v>94.95</v>
      </c>
      <c r="C322" s="107">
        <v>92.65</v>
      </c>
      <c r="D322" s="107">
        <v>92</v>
      </c>
      <c r="E322" s="107">
        <v>94.95</v>
      </c>
      <c r="F322" s="107">
        <v>92.65</v>
      </c>
      <c r="G322">
        <v>399665</v>
      </c>
      <c r="H322" s="107"/>
      <c r="I322" s="107"/>
      <c r="L322" s="130">
        <v>42478</v>
      </c>
      <c r="M322" s="107">
        <v>92.6</v>
      </c>
      <c r="N322" s="107">
        <v>94.95</v>
      </c>
      <c r="O322" s="107">
        <v>92.05</v>
      </c>
      <c r="P322" s="107">
        <v>94.65</v>
      </c>
      <c r="Q322" s="107">
        <v>92.6</v>
      </c>
      <c r="R322">
        <v>2407971</v>
      </c>
    </row>
    <row r="323" spans="1:18" x14ac:dyDescent="0.25">
      <c r="A323" s="130">
        <v>42480</v>
      </c>
      <c r="B323" s="107">
        <v>95.3</v>
      </c>
      <c r="C323" s="107">
        <v>94.65</v>
      </c>
      <c r="D323" s="107">
        <v>91.75</v>
      </c>
      <c r="E323" s="107">
        <v>92.7</v>
      </c>
      <c r="F323" s="107">
        <v>94.65</v>
      </c>
      <c r="G323">
        <v>427241</v>
      </c>
      <c r="H323" s="107"/>
      <c r="I323" s="107"/>
      <c r="L323" s="130">
        <v>42480</v>
      </c>
      <c r="M323" s="107">
        <v>94.7</v>
      </c>
      <c r="N323" s="107">
        <v>95.2</v>
      </c>
      <c r="O323" s="107">
        <v>91.55</v>
      </c>
      <c r="P323" s="107">
        <v>93</v>
      </c>
      <c r="Q323" s="107">
        <v>94.7</v>
      </c>
      <c r="R323">
        <v>3497784</v>
      </c>
    </row>
    <row r="324" spans="1:18" x14ac:dyDescent="0.25">
      <c r="A324" s="130">
        <v>42481</v>
      </c>
      <c r="B324" s="107">
        <v>99.15</v>
      </c>
      <c r="C324" s="107">
        <v>97</v>
      </c>
      <c r="D324" s="107">
        <v>95.5</v>
      </c>
      <c r="E324" s="107">
        <v>95.5</v>
      </c>
      <c r="F324" s="107">
        <v>97</v>
      </c>
      <c r="G324">
        <v>934295</v>
      </c>
      <c r="H324" s="107"/>
      <c r="I324" s="107"/>
      <c r="L324" s="130">
        <v>42481</v>
      </c>
      <c r="M324" s="107">
        <v>97.1</v>
      </c>
      <c r="N324" s="107">
        <v>99.2</v>
      </c>
      <c r="O324" s="107">
        <v>95.4</v>
      </c>
      <c r="P324" s="107">
        <v>95.6</v>
      </c>
      <c r="Q324" s="107">
        <v>97.1</v>
      </c>
      <c r="R324">
        <v>5315279</v>
      </c>
    </row>
    <row r="325" spans="1:18" x14ac:dyDescent="0.25">
      <c r="A325" s="130">
        <v>42482</v>
      </c>
      <c r="B325" s="107">
        <v>99.2</v>
      </c>
      <c r="C325" s="107">
        <v>97.55</v>
      </c>
      <c r="D325" s="107">
        <v>96.1</v>
      </c>
      <c r="E325" s="107">
        <v>97</v>
      </c>
      <c r="F325" s="107">
        <v>97.55</v>
      </c>
      <c r="G325">
        <v>614475</v>
      </c>
      <c r="H325" s="107"/>
      <c r="I325" s="107"/>
      <c r="L325" s="130">
        <v>42482</v>
      </c>
      <c r="M325" s="107">
        <v>97.35</v>
      </c>
      <c r="N325" s="107">
        <v>99.2</v>
      </c>
      <c r="O325" s="107">
        <v>96.2</v>
      </c>
      <c r="P325" s="107">
        <v>96.5</v>
      </c>
      <c r="Q325" s="107">
        <v>97.35</v>
      </c>
      <c r="R325">
        <v>4757891</v>
      </c>
    </row>
    <row r="326" spans="1:18" x14ac:dyDescent="0.25">
      <c r="A326" s="130">
        <v>42485</v>
      </c>
      <c r="B326" s="107">
        <v>98.5</v>
      </c>
      <c r="C326" s="107">
        <v>96.55</v>
      </c>
      <c r="D326" s="107">
        <v>95.55</v>
      </c>
      <c r="E326" s="107">
        <v>98</v>
      </c>
      <c r="F326" s="107">
        <v>96.55</v>
      </c>
      <c r="G326">
        <v>566654</v>
      </c>
      <c r="H326" s="107"/>
      <c r="I326" s="107"/>
      <c r="L326" s="130">
        <v>42485</v>
      </c>
      <c r="M326" s="107">
        <v>96.5</v>
      </c>
      <c r="N326" s="107">
        <v>98.4</v>
      </c>
      <c r="O326" s="107">
        <v>95.5</v>
      </c>
      <c r="P326" s="107">
        <v>97.45</v>
      </c>
      <c r="Q326" s="107">
        <v>96.5</v>
      </c>
      <c r="R326">
        <v>3301797</v>
      </c>
    </row>
    <row r="327" spans="1:18" x14ac:dyDescent="0.25">
      <c r="A327" s="130">
        <v>42486</v>
      </c>
      <c r="B327" s="107">
        <v>98.5</v>
      </c>
      <c r="C327" s="107">
        <v>97.5</v>
      </c>
      <c r="D327" s="107">
        <v>95.95</v>
      </c>
      <c r="E327" s="107">
        <v>96.8</v>
      </c>
      <c r="F327" s="107">
        <v>97.5</v>
      </c>
      <c r="G327">
        <v>656743</v>
      </c>
      <c r="H327" s="107"/>
      <c r="I327" s="107"/>
      <c r="L327" s="130">
        <v>42486</v>
      </c>
      <c r="M327" s="107">
        <v>97.4</v>
      </c>
      <c r="N327" s="107">
        <v>98.5</v>
      </c>
      <c r="O327" s="107">
        <v>95.8</v>
      </c>
      <c r="P327" s="107">
        <v>96.1</v>
      </c>
      <c r="Q327" s="107">
        <v>97.4</v>
      </c>
      <c r="R327">
        <v>3772723</v>
      </c>
    </row>
    <row r="328" spans="1:18" x14ac:dyDescent="0.25">
      <c r="A328" s="130">
        <v>42487</v>
      </c>
      <c r="B328" s="107">
        <v>98.45</v>
      </c>
      <c r="C328" s="107">
        <v>96.8</v>
      </c>
      <c r="D328" s="107">
        <v>96.5</v>
      </c>
      <c r="E328" s="107">
        <v>97.45</v>
      </c>
      <c r="F328" s="107">
        <v>96.8</v>
      </c>
      <c r="G328">
        <v>382237</v>
      </c>
      <c r="H328" s="107"/>
      <c r="I328" s="107"/>
      <c r="L328" s="130">
        <v>42487</v>
      </c>
      <c r="M328" s="107">
        <v>96.8</v>
      </c>
      <c r="N328" s="107">
        <v>98.45</v>
      </c>
      <c r="O328" s="107">
        <v>96.35</v>
      </c>
      <c r="P328" s="107">
        <v>97.45</v>
      </c>
      <c r="Q328" s="107">
        <v>96.8</v>
      </c>
      <c r="R328">
        <v>2207445</v>
      </c>
    </row>
    <row r="329" spans="1:18" x14ac:dyDescent="0.25">
      <c r="A329" s="130">
        <v>42488</v>
      </c>
      <c r="B329" s="107">
        <v>98.15</v>
      </c>
      <c r="C329" s="107">
        <v>95.8</v>
      </c>
      <c r="D329" s="107">
        <v>95.5</v>
      </c>
      <c r="E329" s="107">
        <v>96.8</v>
      </c>
      <c r="F329" s="107">
        <v>95.8</v>
      </c>
      <c r="G329">
        <v>364021</v>
      </c>
      <c r="H329" s="107"/>
      <c r="I329" s="107"/>
      <c r="L329" s="130">
        <v>42488</v>
      </c>
      <c r="M329" s="107">
        <v>95.85</v>
      </c>
      <c r="N329" s="107">
        <v>98.2</v>
      </c>
      <c r="O329" s="107">
        <v>95.6</v>
      </c>
      <c r="P329" s="107">
        <v>97.3</v>
      </c>
      <c r="Q329" s="107">
        <v>95.85</v>
      </c>
      <c r="R329">
        <v>3534930</v>
      </c>
    </row>
    <row r="330" spans="1:18" x14ac:dyDescent="0.25">
      <c r="A330" s="130">
        <v>42489</v>
      </c>
      <c r="B330" s="107">
        <v>96.35</v>
      </c>
      <c r="C330" s="107">
        <v>92.55</v>
      </c>
      <c r="D330" s="107">
        <v>91.65</v>
      </c>
      <c r="E330" s="107">
        <v>95.8</v>
      </c>
      <c r="F330" s="107">
        <v>92.55</v>
      </c>
      <c r="G330">
        <v>744644</v>
      </c>
      <c r="H330" s="107"/>
      <c r="I330" s="107"/>
      <c r="L330" s="130">
        <v>42489</v>
      </c>
      <c r="M330" s="107">
        <v>92.5</v>
      </c>
      <c r="N330" s="107">
        <v>96.4</v>
      </c>
      <c r="O330" s="107">
        <v>91.5</v>
      </c>
      <c r="P330" s="107">
        <v>96.15</v>
      </c>
      <c r="Q330" s="107">
        <v>92.5</v>
      </c>
      <c r="R330">
        <v>4159048</v>
      </c>
    </row>
    <row r="331" spans="1:18" x14ac:dyDescent="0.25">
      <c r="A331" s="130">
        <v>42492</v>
      </c>
      <c r="B331" s="107">
        <v>92.05</v>
      </c>
      <c r="C331" s="107">
        <v>90.2</v>
      </c>
      <c r="D331" s="107">
        <v>89.85</v>
      </c>
      <c r="E331" s="107">
        <v>92.05</v>
      </c>
      <c r="F331" s="107">
        <v>90.2</v>
      </c>
      <c r="G331">
        <v>626204</v>
      </c>
      <c r="H331" s="107"/>
      <c r="I331" s="107"/>
      <c r="L331" s="130">
        <v>42492</v>
      </c>
      <c r="M331" s="107">
        <v>90.1</v>
      </c>
      <c r="N331" s="107">
        <v>92</v>
      </c>
      <c r="O331" s="107">
        <v>89.8</v>
      </c>
      <c r="P331" s="107">
        <v>91.9</v>
      </c>
      <c r="Q331" s="107">
        <v>90.1</v>
      </c>
      <c r="R331">
        <v>3435401</v>
      </c>
    </row>
    <row r="332" spans="1:18" x14ac:dyDescent="0.25">
      <c r="A332" s="130">
        <v>42493</v>
      </c>
      <c r="B332" s="107">
        <v>91.05</v>
      </c>
      <c r="C332" s="107">
        <v>87.85</v>
      </c>
      <c r="D332" s="107">
        <v>87.6</v>
      </c>
      <c r="E332" s="107">
        <v>90.3</v>
      </c>
      <c r="F332" s="107">
        <v>87.85</v>
      </c>
      <c r="G332">
        <v>696105</v>
      </c>
      <c r="H332" s="107"/>
      <c r="I332" s="107"/>
      <c r="L332" s="130">
        <v>42493</v>
      </c>
      <c r="M332" s="107">
        <v>87.65</v>
      </c>
      <c r="N332" s="107">
        <v>91.05</v>
      </c>
      <c r="O332" s="107">
        <v>87.4</v>
      </c>
      <c r="P332" s="107">
        <v>90.3</v>
      </c>
      <c r="Q332" s="107">
        <v>87.65</v>
      </c>
      <c r="R332">
        <v>4279793</v>
      </c>
    </row>
    <row r="333" spans="1:18" x14ac:dyDescent="0.25">
      <c r="A333" s="130">
        <v>42494</v>
      </c>
      <c r="B333" s="107">
        <v>88.85</v>
      </c>
      <c r="C333" s="107">
        <v>85.7</v>
      </c>
      <c r="D333" s="107">
        <v>85.2</v>
      </c>
      <c r="E333" s="107">
        <v>87.2</v>
      </c>
      <c r="F333" s="107">
        <v>85.7</v>
      </c>
      <c r="G333">
        <v>697437</v>
      </c>
      <c r="H333" s="107"/>
      <c r="I333" s="107"/>
      <c r="L333" s="130">
        <v>42494</v>
      </c>
      <c r="M333" s="107">
        <v>85.65</v>
      </c>
      <c r="N333" s="107">
        <v>88.8</v>
      </c>
      <c r="O333" s="107">
        <v>85.2</v>
      </c>
      <c r="P333" s="107">
        <v>87.2</v>
      </c>
      <c r="Q333" s="107">
        <v>85.65</v>
      </c>
      <c r="R333">
        <v>3387479</v>
      </c>
    </row>
    <row r="334" spans="1:18" x14ac:dyDescent="0.25">
      <c r="A334" s="130">
        <v>42495</v>
      </c>
      <c r="B334" s="107">
        <v>87</v>
      </c>
      <c r="C334" s="107">
        <v>85.9</v>
      </c>
      <c r="D334" s="107">
        <v>84.85</v>
      </c>
      <c r="E334" s="107">
        <v>85.4</v>
      </c>
      <c r="F334" s="107">
        <v>85.9</v>
      </c>
      <c r="G334">
        <v>542555</v>
      </c>
      <c r="H334" s="107"/>
      <c r="I334" s="107"/>
      <c r="L334" s="130">
        <v>42495</v>
      </c>
      <c r="M334" s="107">
        <v>85.95</v>
      </c>
      <c r="N334" s="107">
        <v>87.2</v>
      </c>
      <c r="O334" s="107">
        <v>84.8</v>
      </c>
      <c r="P334" s="107">
        <v>85.2</v>
      </c>
      <c r="Q334" s="107">
        <v>85.95</v>
      </c>
      <c r="R334">
        <v>2863214</v>
      </c>
    </row>
    <row r="335" spans="1:18" x14ac:dyDescent="0.25">
      <c r="A335" s="130">
        <v>42496</v>
      </c>
      <c r="B335" s="107">
        <v>87.15</v>
      </c>
      <c r="C335" s="107">
        <v>86.75</v>
      </c>
      <c r="D335" s="107">
        <v>85.35</v>
      </c>
      <c r="E335" s="107">
        <v>85.9</v>
      </c>
      <c r="F335" s="107">
        <v>86.75</v>
      </c>
      <c r="G335">
        <v>861065</v>
      </c>
      <c r="H335" s="107"/>
      <c r="I335" s="107"/>
      <c r="L335" s="130">
        <v>42496</v>
      </c>
      <c r="M335" s="107">
        <v>86.55</v>
      </c>
      <c r="N335" s="107">
        <v>87</v>
      </c>
      <c r="O335" s="107">
        <v>85.25</v>
      </c>
      <c r="P335" s="107">
        <v>85.65</v>
      </c>
      <c r="Q335" s="107">
        <v>86.55</v>
      </c>
      <c r="R335">
        <v>3140212</v>
      </c>
    </row>
    <row r="336" spans="1:18" x14ac:dyDescent="0.25">
      <c r="A336" s="130">
        <v>42499</v>
      </c>
      <c r="B336" s="107">
        <v>89.5</v>
      </c>
      <c r="C336" s="107">
        <v>89.25</v>
      </c>
      <c r="D336" s="107">
        <v>86.8</v>
      </c>
      <c r="E336" s="107">
        <v>86.9</v>
      </c>
      <c r="F336" s="107">
        <v>89.25</v>
      </c>
      <c r="G336">
        <v>463197</v>
      </c>
      <c r="H336" s="107"/>
      <c r="I336" s="107"/>
      <c r="L336" s="130">
        <v>42499</v>
      </c>
      <c r="M336" s="107">
        <v>89.2</v>
      </c>
      <c r="N336" s="107">
        <v>89.5</v>
      </c>
      <c r="O336" s="107">
        <v>86.75</v>
      </c>
      <c r="P336" s="107">
        <v>87</v>
      </c>
      <c r="Q336" s="107">
        <v>89.2</v>
      </c>
      <c r="R336">
        <v>2429553</v>
      </c>
    </row>
    <row r="337" spans="1:18" x14ac:dyDescent="0.25">
      <c r="A337" s="130">
        <v>42500</v>
      </c>
      <c r="B337" s="107">
        <v>89.4</v>
      </c>
      <c r="C337" s="107">
        <v>89.05</v>
      </c>
      <c r="D337" s="107">
        <v>88</v>
      </c>
      <c r="E337" s="107">
        <v>89</v>
      </c>
      <c r="F337" s="107">
        <v>89.05</v>
      </c>
      <c r="G337">
        <v>392810</v>
      </c>
      <c r="H337" s="107"/>
      <c r="I337" s="107"/>
      <c r="L337" s="130">
        <v>42500</v>
      </c>
      <c r="M337" s="107">
        <v>89</v>
      </c>
      <c r="N337" s="107">
        <v>89.5</v>
      </c>
      <c r="O337" s="107">
        <v>87.9</v>
      </c>
      <c r="P337" s="107">
        <v>89.5</v>
      </c>
      <c r="Q337" s="107">
        <v>89</v>
      </c>
      <c r="R337">
        <v>1754393</v>
      </c>
    </row>
    <row r="338" spans="1:18" x14ac:dyDescent="0.25">
      <c r="A338" s="130">
        <v>42501</v>
      </c>
      <c r="B338" s="107">
        <v>88.7</v>
      </c>
      <c r="C338" s="107">
        <v>86.7</v>
      </c>
      <c r="D338" s="107">
        <v>85.95</v>
      </c>
      <c r="E338" s="107">
        <v>87.5</v>
      </c>
      <c r="F338" s="107">
        <v>86.7</v>
      </c>
      <c r="G338">
        <v>596057</v>
      </c>
      <c r="H338" s="107"/>
      <c r="I338" s="107"/>
      <c r="L338" s="130">
        <v>42501</v>
      </c>
      <c r="M338" s="107">
        <v>86.65</v>
      </c>
      <c r="N338" s="107">
        <v>88.75</v>
      </c>
      <c r="O338" s="107">
        <v>85.9</v>
      </c>
      <c r="P338" s="107">
        <v>87.8</v>
      </c>
      <c r="Q338" s="107">
        <v>86.65</v>
      </c>
      <c r="R338">
        <v>3328381</v>
      </c>
    </row>
    <row r="339" spans="1:18" x14ac:dyDescent="0.25">
      <c r="A339" s="130">
        <v>42502</v>
      </c>
      <c r="B339" s="107">
        <v>88</v>
      </c>
      <c r="C339" s="107">
        <v>87.1</v>
      </c>
      <c r="D339" s="107">
        <v>86</v>
      </c>
      <c r="E339" s="107">
        <v>88</v>
      </c>
      <c r="F339" s="107">
        <v>87.1</v>
      </c>
      <c r="G339">
        <v>393997</v>
      </c>
      <c r="H339" s="107"/>
      <c r="I339" s="107"/>
      <c r="L339" s="130">
        <v>42502</v>
      </c>
      <c r="M339" s="107">
        <v>87</v>
      </c>
      <c r="N339" s="107">
        <v>87.85</v>
      </c>
      <c r="O339" s="107">
        <v>85.8</v>
      </c>
      <c r="P339" s="107">
        <v>87.3</v>
      </c>
      <c r="Q339" s="107">
        <v>87</v>
      </c>
      <c r="R339">
        <v>2159528</v>
      </c>
    </row>
    <row r="340" spans="1:18" x14ac:dyDescent="0.25">
      <c r="A340" s="130">
        <v>42503</v>
      </c>
      <c r="B340" s="107">
        <v>87.1</v>
      </c>
      <c r="C340" s="107">
        <v>85.7</v>
      </c>
      <c r="D340" s="107">
        <v>85.45</v>
      </c>
      <c r="E340" s="107">
        <v>86.25</v>
      </c>
      <c r="F340" s="107">
        <v>85.7</v>
      </c>
      <c r="G340">
        <v>370818</v>
      </c>
      <c r="H340" s="107"/>
      <c r="I340" s="107"/>
      <c r="L340" s="130">
        <v>42503</v>
      </c>
      <c r="M340" s="107">
        <v>85.7</v>
      </c>
      <c r="N340" s="107">
        <v>87.1</v>
      </c>
      <c r="O340" s="107">
        <v>85.4</v>
      </c>
      <c r="P340" s="107">
        <v>87</v>
      </c>
      <c r="Q340" s="107">
        <v>85.7</v>
      </c>
      <c r="R340">
        <v>2005429</v>
      </c>
    </row>
    <row r="341" spans="1:18" x14ac:dyDescent="0.25">
      <c r="A341" s="130">
        <v>42506</v>
      </c>
      <c r="B341" s="107">
        <v>85.3</v>
      </c>
      <c r="C341" s="107">
        <v>83.15</v>
      </c>
      <c r="D341" s="107">
        <v>81.8</v>
      </c>
      <c r="E341" s="107">
        <v>84.6</v>
      </c>
      <c r="F341" s="107">
        <v>83.15</v>
      </c>
      <c r="G341">
        <v>759352</v>
      </c>
      <c r="H341" s="107"/>
      <c r="I341" s="107"/>
      <c r="L341" s="130">
        <v>42506</v>
      </c>
      <c r="M341" s="107">
        <v>83</v>
      </c>
      <c r="N341" s="107">
        <v>85.25</v>
      </c>
      <c r="O341" s="107">
        <v>81.8</v>
      </c>
      <c r="P341" s="107">
        <v>85.1</v>
      </c>
      <c r="Q341" s="107">
        <v>83</v>
      </c>
      <c r="R341">
        <v>3676779</v>
      </c>
    </row>
    <row r="342" spans="1:18" x14ac:dyDescent="0.25">
      <c r="A342" s="130">
        <v>42507</v>
      </c>
      <c r="B342" s="107">
        <v>85.8</v>
      </c>
      <c r="C342" s="107">
        <v>84.1</v>
      </c>
      <c r="D342" s="107">
        <v>82.85</v>
      </c>
      <c r="E342" s="107">
        <v>83.5</v>
      </c>
      <c r="F342" s="107">
        <v>84.1</v>
      </c>
      <c r="G342">
        <v>533906</v>
      </c>
      <c r="H342" s="107"/>
      <c r="I342" s="107"/>
      <c r="L342" s="130">
        <v>42507</v>
      </c>
      <c r="M342" s="107">
        <v>84.05</v>
      </c>
      <c r="N342" s="107">
        <v>85.8</v>
      </c>
      <c r="O342" s="107">
        <v>82.75</v>
      </c>
      <c r="P342" s="107">
        <v>83.65</v>
      </c>
      <c r="Q342" s="107">
        <v>84.05</v>
      </c>
      <c r="R342">
        <v>3100153</v>
      </c>
    </row>
    <row r="343" spans="1:18" x14ac:dyDescent="0.25">
      <c r="A343" s="130">
        <v>42508</v>
      </c>
      <c r="B343" s="107">
        <v>85.5</v>
      </c>
      <c r="C343" s="107">
        <v>85.25</v>
      </c>
      <c r="D343" s="107">
        <v>82.6</v>
      </c>
      <c r="E343" s="107">
        <v>83</v>
      </c>
      <c r="F343" s="107">
        <v>85.25</v>
      </c>
      <c r="G343">
        <v>533722</v>
      </c>
      <c r="H343" s="107"/>
      <c r="I343" s="107"/>
      <c r="L343" s="130">
        <v>42508</v>
      </c>
      <c r="M343" s="107">
        <v>85.25</v>
      </c>
      <c r="N343" s="107">
        <v>85.5</v>
      </c>
      <c r="O343" s="107">
        <v>82.5</v>
      </c>
      <c r="P343" s="107">
        <v>83.3</v>
      </c>
      <c r="Q343" s="107">
        <v>85.25</v>
      </c>
      <c r="R343">
        <v>3549493</v>
      </c>
    </row>
    <row r="344" spans="1:18" x14ac:dyDescent="0.25">
      <c r="A344" s="130">
        <v>42509</v>
      </c>
      <c r="B344" s="107">
        <v>86.1</v>
      </c>
      <c r="C344" s="107">
        <v>82.45</v>
      </c>
      <c r="D344" s="107">
        <v>82.05</v>
      </c>
      <c r="E344" s="107">
        <v>85.3</v>
      </c>
      <c r="F344" s="107">
        <v>82.45</v>
      </c>
      <c r="G344">
        <v>493810</v>
      </c>
      <c r="H344" s="107"/>
      <c r="I344" s="107"/>
      <c r="L344" s="130">
        <v>42509</v>
      </c>
      <c r="M344" s="107">
        <v>82.4</v>
      </c>
      <c r="N344" s="107">
        <v>86.1</v>
      </c>
      <c r="O344" s="107">
        <v>82.15</v>
      </c>
      <c r="P344" s="107">
        <v>85.75</v>
      </c>
      <c r="Q344" s="107">
        <v>82.4</v>
      </c>
      <c r="R344">
        <v>3226300</v>
      </c>
    </row>
    <row r="345" spans="1:18" x14ac:dyDescent="0.25">
      <c r="A345" s="130">
        <v>42510</v>
      </c>
      <c r="B345" s="107">
        <v>82.4</v>
      </c>
      <c r="C345" s="107">
        <v>81.25</v>
      </c>
      <c r="D345" s="107">
        <v>80.599999999999994</v>
      </c>
      <c r="E345" s="107">
        <v>82</v>
      </c>
      <c r="F345" s="107">
        <v>81.25</v>
      </c>
      <c r="G345">
        <v>648706</v>
      </c>
      <c r="H345" s="107"/>
      <c r="I345" s="107"/>
      <c r="L345" s="130">
        <v>42510</v>
      </c>
      <c r="M345" s="107">
        <v>81.25</v>
      </c>
      <c r="N345" s="107">
        <v>82.45</v>
      </c>
      <c r="O345" s="107">
        <v>80.599999999999994</v>
      </c>
      <c r="P345" s="107">
        <v>82.25</v>
      </c>
      <c r="Q345" s="107">
        <v>81.25</v>
      </c>
      <c r="R345">
        <v>4284085</v>
      </c>
    </row>
    <row r="346" spans="1:18" x14ac:dyDescent="0.25">
      <c r="A346" s="130">
        <v>42513</v>
      </c>
      <c r="B346" s="107">
        <v>82.4</v>
      </c>
      <c r="C346" s="107">
        <v>80.55</v>
      </c>
      <c r="D346" s="107">
        <v>79.400000000000006</v>
      </c>
      <c r="E346" s="107">
        <v>82.4</v>
      </c>
      <c r="F346" s="107">
        <v>80.55</v>
      </c>
      <c r="G346">
        <v>632180</v>
      </c>
      <c r="H346" s="107"/>
      <c r="I346" s="107"/>
      <c r="L346" s="130">
        <v>42513</v>
      </c>
      <c r="M346" s="107">
        <v>80.849999999999994</v>
      </c>
      <c r="N346" s="107">
        <v>82.05</v>
      </c>
      <c r="O346" s="107">
        <v>79.400000000000006</v>
      </c>
      <c r="P346" s="107">
        <v>81.8</v>
      </c>
      <c r="Q346" s="107">
        <v>80.849999999999994</v>
      </c>
      <c r="R346">
        <v>3642944</v>
      </c>
    </row>
    <row r="347" spans="1:18" x14ac:dyDescent="0.25">
      <c r="A347" s="130">
        <v>42514</v>
      </c>
      <c r="B347" s="107">
        <v>81.150000000000006</v>
      </c>
      <c r="C347" s="107">
        <v>80.349999999999994</v>
      </c>
      <c r="D347" s="107">
        <v>79.150000000000006</v>
      </c>
      <c r="E347" s="107">
        <v>79.5</v>
      </c>
      <c r="F347" s="107">
        <v>80.349999999999994</v>
      </c>
      <c r="G347">
        <v>515366</v>
      </c>
      <c r="H347" s="107"/>
      <c r="I347" s="107"/>
      <c r="L347" s="130">
        <v>42514</v>
      </c>
      <c r="M347" s="107">
        <v>80.45</v>
      </c>
      <c r="N347" s="107">
        <v>81</v>
      </c>
      <c r="O347" s="107">
        <v>79.05</v>
      </c>
      <c r="P347" s="107">
        <v>81</v>
      </c>
      <c r="Q347" s="107">
        <v>80.45</v>
      </c>
      <c r="R347">
        <v>3124838</v>
      </c>
    </row>
    <row r="348" spans="1:18" x14ac:dyDescent="0.25">
      <c r="A348" s="130">
        <v>42515</v>
      </c>
      <c r="B348" s="107">
        <v>83.5</v>
      </c>
      <c r="C348" s="107">
        <v>83.15</v>
      </c>
      <c r="D348" s="107">
        <v>78.599999999999994</v>
      </c>
      <c r="E348" s="107">
        <v>80</v>
      </c>
      <c r="F348" s="107">
        <v>83.15</v>
      </c>
      <c r="G348">
        <v>1138311</v>
      </c>
      <c r="H348" s="107"/>
      <c r="I348" s="107"/>
      <c r="L348" s="130">
        <v>42515</v>
      </c>
      <c r="M348" s="107">
        <v>83.1</v>
      </c>
      <c r="N348" s="107">
        <v>83.75</v>
      </c>
      <c r="O348" s="107">
        <v>78.400000000000006</v>
      </c>
      <c r="P348" s="107">
        <v>79.95</v>
      </c>
      <c r="Q348" s="107">
        <v>83.1</v>
      </c>
      <c r="R348">
        <v>9275156</v>
      </c>
    </row>
    <row r="349" spans="1:18" x14ac:dyDescent="0.25">
      <c r="A349" s="130">
        <v>42516</v>
      </c>
      <c r="B349" s="107">
        <v>86</v>
      </c>
      <c r="C349" s="107">
        <v>84.95</v>
      </c>
      <c r="D349" s="107">
        <v>81.75</v>
      </c>
      <c r="E349" s="107">
        <v>83.4</v>
      </c>
      <c r="F349" s="107">
        <v>84.95</v>
      </c>
      <c r="G349">
        <v>784718</v>
      </c>
      <c r="H349" s="107"/>
      <c r="I349" s="107"/>
      <c r="L349" s="130">
        <v>42516</v>
      </c>
      <c r="M349" s="107">
        <v>85.25</v>
      </c>
      <c r="N349" s="107">
        <v>85.95</v>
      </c>
      <c r="O349" s="107">
        <v>81.45</v>
      </c>
      <c r="P349" s="107">
        <v>83</v>
      </c>
      <c r="Q349" s="107">
        <v>85.25</v>
      </c>
      <c r="R349">
        <v>4093543</v>
      </c>
    </row>
    <row r="350" spans="1:18" x14ac:dyDescent="0.25">
      <c r="A350" s="130">
        <v>42517</v>
      </c>
      <c r="B350" s="107">
        <v>88.1</v>
      </c>
      <c r="C350" s="107">
        <v>87.1</v>
      </c>
      <c r="D350" s="107">
        <v>85.05</v>
      </c>
      <c r="E350" s="107">
        <v>85.9</v>
      </c>
      <c r="F350" s="107">
        <v>87.1</v>
      </c>
      <c r="G350">
        <v>609801</v>
      </c>
      <c r="H350" s="107"/>
      <c r="I350" s="107"/>
      <c r="L350" s="130">
        <v>42517</v>
      </c>
      <c r="M350" s="107">
        <v>86.95</v>
      </c>
      <c r="N350" s="107">
        <v>88.3</v>
      </c>
      <c r="O350" s="107">
        <v>85</v>
      </c>
      <c r="P350" s="107">
        <v>85</v>
      </c>
      <c r="Q350" s="107">
        <v>86.95</v>
      </c>
      <c r="R350">
        <v>3391925</v>
      </c>
    </row>
    <row r="351" spans="1:18" x14ac:dyDescent="0.25">
      <c r="A351" s="130">
        <v>42520</v>
      </c>
      <c r="B351" s="107">
        <v>88.25</v>
      </c>
      <c r="C351" s="107">
        <v>86.25</v>
      </c>
      <c r="D351" s="107">
        <v>85.55</v>
      </c>
      <c r="E351" s="107">
        <v>87.5</v>
      </c>
      <c r="F351" s="107">
        <v>86.25</v>
      </c>
      <c r="G351">
        <v>538240</v>
      </c>
      <c r="H351" s="107"/>
      <c r="I351" s="107"/>
      <c r="L351" s="130">
        <v>42520</v>
      </c>
      <c r="M351" s="107">
        <v>86.35</v>
      </c>
      <c r="N351" s="107">
        <v>88.45</v>
      </c>
      <c r="O351" s="107">
        <v>85.5</v>
      </c>
      <c r="P351" s="107">
        <v>87.55</v>
      </c>
      <c r="Q351" s="107">
        <v>86.35</v>
      </c>
      <c r="R351">
        <v>2839140</v>
      </c>
    </row>
    <row r="352" spans="1:18" x14ac:dyDescent="0.25">
      <c r="A352" s="130">
        <v>42521</v>
      </c>
      <c r="B352" s="107">
        <v>86.95</v>
      </c>
      <c r="C352" s="107">
        <v>86.5</v>
      </c>
      <c r="D352" s="107">
        <v>83.1</v>
      </c>
      <c r="E352" s="107">
        <v>85.45</v>
      </c>
      <c r="F352" s="107">
        <v>86.5</v>
      </c>
      <c r="G352">
        <v>911478</v>
      </c>
      <c r="H352" s="107"/>
      <c r="I352" s="107"/>
      <c r="L352" s="130">
        <v>42521</v>
      </c>
      <c r="M352" s="107">
        <v>86.65</v>
      </c>
      <c r="N352" s="107">
        <v>87.2</v>
      </c>
      <c r="O352" s="107">
        <v>83.1</v>
      </c>
      <c r="P352" s="107">
        <v>85.1</v>
      </c>
      <c r="Q352" s="107">
        <v>86.65</v>
      </c>
      <c r="R352">
        <v>6867433</v>
      </c>
    </row>
    <row r="353" spans="1:18" x14ac:dyDescent="0.25">
      <c r="A353" s="130">
        <v>42522</v>
      </c>
      <c r="B353" s="107">
        <v>88.1</v>
      </c>
      <c r="C353" s="107">
        <v>86.05</v>
      </c>
      <c r="D353" s="107">
        <v>85.45</v>
      </c>
      <c r="E353" s="107">
        <v>87</v>
      </c>
      <c r="F353" s="107">
        <v>86.05</v>
      </c>
      <c r="G353">
        <v>581462</v>
      </c>
      <c r="H353" s="107"/>
      <c r="I353" s="107"/>
      <c r="L353" s="130">
        <v>42522</v>
      </c>
      <c r="M353" s="107">
        <v>85.95</v>
      </c>
      <c r="N353" s="107">
        <v>88.2</v>
      </c>
      <c r="O353" s="107">
        <v>85.35</v>
      </c>
      <c r="P353" s="107">
        <v>87.35</v>
      </c>
      <c r="Q353" s="107">
        <v>85.95</v>
      </c>
      <c r="R353">
        <v>3296423</v>
      </c>
    </row>
    <row r="354" spans="1:18" x14ac:dyDescent="0.25">
      <c r="A354" s="130">
        <v>42523</v>
      </c>
      <c r="B354" s="107">
        <v>86.95</v>
      </c>
      <c r="C354" s="107">
        <v>86.65</v>
      </c>
      <c r="D354" s="107">
        <v>84.1</v>
      </c>
      <c r="E354" s="107">
        <v>85.7</v>
      </c>
      <c r="F354" s="107">
        <v>86.65</v>
      </c>
      <c r="G354">
        <v>490233</v>
      </c>
      <c r="H354" s="107"/>
      <c r="I354" s="107"/>
      <c r="L354" s="130">
        <v>42523</v>
      </c>
      <c r="M354" s="107">
        <v>86.6</v>
      </c>
      <c r="N354" s="107">
        <v>86.9</v>
      </c>
      <c r="O354" s="107">
        <v>83.95</v>
      </c>
      <c r="P354" s="107">
        <v>85.8</v>
      </c>
      <c r="Q354" s="107">
        <v>86.6</v>
      </c>
      <c r="R354">
        <v>3368450</v>
      </c>
    </row>
    <row r="355" spans="1:18" x14ac:dyDescent="0.25">
      <c r="A355" s="130">
        <v>42524</v>
      </c>
      <c r="B355" s="107">
        <v>87.5</v>
      </c>
      <c r="C355" s="107">
        <v>84.05</v>
      </c>
      <c r="D355" s="107">
        <v>83.5</v>
      </c>
      <c r="E355" s="107">
        <v>87</v>
      </c>
      <c r="F355" s="107">
        <v>84.05</v>
      </c>
      <c r="G355">
        <v>597812</v>
      </c>
      <c r="H355" s="107"/>
      <c r="I355" s="107"/>
      <c r="L355" s="130">
        <v>42524</v>
      </c>
      <c r="M355" s="107">
        <v>84.1</v>
      </c>
      <c r="N355" s="107">
        <v>87.5</v>
      </c>
      <c r="O355" s="107">
        <v>83.6</v>
      </c>
      <c r="P355" s="107">
        <v>87</v>
      </c>
      <c r="Q355" s="107">
        <v>84.1</v>
      </c>
      <c r="R355">
        <v>3156311</v>
      </c>
    </row>
    <row r="356" spans="1:18" x14ac:dyDescent="0.25">
      <c r="A356" s="130">
        <v>42527</v>
      </c>
      <c r="B356" s="107">
        <v>85.5</v>
      </c>
      <c r="C356" s="107">
        <v>84.45</v>
      </c>
      <c r="D356" s="107">
        <v>83.65</v>
      </c>
      <c r="E356" s="107">
        <v>84.15</v>
      </c>
      <c r="F356" s="107">
        <v>84.45</v>
      </c>
      <c r="G356">
        <v>416844</v>
      </c>
      <c r="H356" s="107"/>
      <c r="I356" s="107"/>
      <c r="L356" s="130">
        <v>42527</v>
      </c>
      <c r="M356" s="107">
        <v>84.5</v>
      </c>
      <c r="N356" s="107">
        <v>85.6</v>
      </c>
      <c r="O356" s="107">
        <v>83.65</v>
      </c>
      <c r="P356" s="107">
        <v>84.1</v>
      </c>
      <c r="Q356" s="107">
        <v>84.5</v>
      </c>
      <c r="R356">
        <v>2249221</v>
      </c>
    </row>
    <row r="357" spans="1:18" x14ac:dyDescent="0.25">
      <c r="A357" s="130">
        <v>42528</v>
      </c>
      <c r="B357" s="107">
        <v>87</v>
      </c>
      <c r="C357" s="107">
        <v>85.8</v>
      </c>
      <c r="D357" s="107">
        <v>84.5</v>
      </c>
      <c r="E357" s="107">
        <v>85</v>
      </c>
      <c r="F357" s="107">
        <v>85.8</v>
      </c>
      <c r="G357">
        <v>680928</v>
      </c>
      <c r="H357" s="107"/>
      <c r="I357" s="107"/>
      <c r="L357" s="130">
        <v>42528</v>
      </c>
      <c r="M357" s="107">
        <v>85.65</v>
      </c>
      <c r="N357" s="107">
        <v>86.95</v>
      </c>
      <c r="O357" s="107">
        <v>84.45</v>
      </c>
      <c r="P357" s="107">
        <v>84.95</v>
      </c>
      <c r="Q357" s="107">
        <v>85.65</v>
      </c>
      <c r="R357">
        <v>3706776</v>
      </c>
    </row>
    <row r="358" spans="1:18" x14ac:dyDescent="0.25">
      <c r="A358" s="130">
        <v>42529</v>
      </c>
      <c r="B358" s="107">
        <v>89</v>
      </c>
      <c r="C358" s="107">
        <v>88.45</v>
      </c>
      <c r="D358" s="107">
        <v>85.4</v>
      </c>
      <c r="E358" s="107">
        <v>85.85</v>
      </c>
      <c r="F358" s="107">
        <v>88.45</v>
      </c>
      <c r="G358">
        <v>736910</v>
      </c>
      <c r="H358" s="107"/>
      <c r="I358" s="107"/>
      <c r="L358" s="130">
        <v>42529</v>
      </c>
      <c r="M358" s="107">
        <v>88.45</v>
      </c>
      <c r="N358" s="107">
        <v>89</v>
      </c>
      <c r="O358" s="107">
        <v>85.4</v>
      </c>
      <c r="P358" s="107">
        <v>85.95</v>
      </c>
      <c r="Q358" s="107">
        <v>88.45</v>
      </c>
      <c r="R358">
        <v>5130303</v>
      </c>
    </row>
    <row r="359" spans="1:18" x14ac:dyDescent="0.25">
      <c r="A359" s="130">
        <v>42530</v>
      </c>
      <c r="B359" s="107">
        <v>91.5</v>
      </c>
      <c r="C359" s="107">
        <v>89.7</v>
      </c>
      <c r="D359" s="107">
        <v>87.85</v>
      </c>
      <c r="E359" s="107">
        <v>88.9</v>
      </c>
      <c r="F359" s="107">
        <v>89.7</v>
      </c>
      <c r="G359">
        <v>929411</v>
      </c>
      <c r="H359" s="107"/>
      <c r="I359" s="107"/>
      <c r="L359" s="130">
        <v>42530</v>
      </c>
      <c r="M359" s="107">
        <v>89.85</v>
      </c>
      <c r="N359" s="107">
        <v>91.6</v>
      </c>
      <c r="O359" s="107">
        <v>87.9</v>
      </c>
      <c r="P359" s="107">
        <v>88</v>
      </c>
      <c r="Q359" s="107">
        <v>89.85</v>
      </c>
      <c r="R359">
        <v>5332185</v>
      </c>
    </row>
    <row r="360" spans="1:18" x14ac:dyDescent="0.25">
      <c r="A360" s="130">
        <v>42531</v>
      </c>
      <c r="B360" s="107">
        <v>90.65</v>
      </c>
      <c r="C360" s="107">
        <v>89.05</v>
      </c>
      <c r="D360" s="107">
        <v>88.25</v>
      </c>
      <c r="E360" s="107">
        <v>89.8</v>
      </c>
      <c r="F360" s="107">
        <v>89.05</v>
      </c>
      <c r="G360">
        <v>470145</v>
      </c>
      <c r="H360" s="107"/>
      <c r="I360" s="107"/>
      <c r="L360" s="130">
        <v>42531</v>
      </c>
      <c r="M360" s="107">
        <v>89</v>
      </c>
      <c r="N360" s="107">
        <v>90.6</v>
      </c>
      <c r="O360" s="107">
        <v>88.25</v>
      </c>
      <c r="P360" s="107">
        <v>89.55</v>
      </c>
      <c r="Q360" s="107">
        <v>89</v>
      </c>
      <c r="R360">
        <v>3243039</v>
      </c>
    </row>
    <row r="361" spans="1:18" x14ac:dyDescent="0.25">
      <c r="A361" s="130">
        <v>42534</v>
      </c>
      <c r="B361" s="107">
        <v>88.45</v>
      </c>
      <c r="C361" s="107">
        <v>87.5</v>
      </c>
      <c r="D361" s="107">
        <v>86.4</v>
      </c>
      <c r="E361" s="107">
        <v>88.45</v>
      </c>
      <c r="F361" s="107">
        <v>87.5</v>
      </c>
      <c r="G361">
        <v>361702</v>
      </c>
      <c r="H361" s="107"/>
      <c r="I361" s="107"/>
      <c r="L361" s="130">
        <v>42534</v>
      </c>
      <c r="M361" s="107">
        <v>87.3</v>
      </c>
      <c r="N361" s="107">
        <v>88.1</v>
      </c>
      <c r="O361" s="107">
        <v>86.3</v>
      </c>
      <c r="P361" s="107">
        <v>88</v>
      </c>
      <c r="Q361" s="107">
        <v>87.3</v>
      </c>
      <c r="R361">
        <v>2262216</v>
      </c>
    </row>
    <row r="362" spans="1:18" x14ac:dyDescent="0.25">
      <c r="A362" s="130">
        <v>42535</v>
      </c>
      <c r="B362" s="107">
        <v>90.85</v>
      </c>
      <c r="C362" s="107">
        <v>90.45</v>
      </c>
      <c r="D362" s="107">
        <v>88.1</v>
      </c>
      <c r="E362" s="107">
        <v>88.5</v>
      </c>
      <c r="F362" s="107">
        <v>90.45</v>
      </c>
      <c r="G362">
        <v>677342</v>
      </c>
      <c r="H362" s="107"/>
      <c r="I362" s="107"/>
      <c r="L362" s="130">
        <v>42535</v>
      </c>
      <c r="M362" s="107">
        <v>90.45</v>
      </c>
      <c r="N362" s="107">
        <v>90.9</v>
      </c>
      <c r="O362" s="107">
        <v>87.8</v>
      </c>
      <c r="P362" s="107">
        <v>88.1</v>
      </c>
      <c r="Q362" s="107">
        <v>90.45</v>
      </c>
      <c r="R362">
        <v>5200930</v>
      </c>
    </row>
    <row r="363" spans="1:18" x14ac:dyDescent="0.25">
      <c r="A363" s="130">
        <v>42536</v>
      </c>
      <c r="B363" s="107">
        <v>92.5</v>
      </c>
      <c r="C363" s="107">
        <v>91.35</v>
      </c>
      <c r="D363" s="107">
        <v>90.4</v>
      </c>
      <c r="E363" s="107">
        <v>91.8</v>
      </c>
      <c r="F363" s="107">
        <v>91.35</v>
      </c>
      <c r="G363">
        <v>1078018</v>
      </c>
      <c r="H363" s="107"/>
      <c r="I363" s="107"/>
      <c r="L363" s="130">
        <v>42536</v>
      </c>
      <c r="M363" s="107">
        <v>91.15</v>
      </c>
      <c r="N363" s="107">
        <v>92.4</v>
      </c>
      <c r="O363" s="107">
        <v>90.35</v>
      </c>
      <c r="P363" s="107">
        <v>91.55</v>
      </c>
      <c r="Q363" s="107">
        <v>91.15</v>
      </c>
      <c r="R363">
        <v>6180735</v>
      </c>
    </row>
    <row r="364" spans="1:18" x14ac:dyDescent="0.25">
      <c r="A364" s="130">
        <v>42537</v>
      </c>
      <c r="B364" s="107">
        <v>93.6</v>
      </c>
      <c r="C364" s="107">
        <v>93.25</v>
      </c>
      <c r="D364" s="107">
        <v>89.35</v>
      </c>
      <c r="E364" s="107">
        <v>90.6</v>
      </c>
      <c r="F364" s="107">
        <v>93.25</v>
      </c>
      <c r="G364">
        <v>1656370</v>
      </c>
      <c r="H364" s="107"/>
      <c r="I364" s="107"/>
      <c r="L364" s="130">
        <v>42537</v>
      </c>
      <c r="M364" s="107">
        <v>93.1</v>
      </c>
      <c r="N364" s="107">
        <v>93.6</v>
      </c>
      <c r="O364" s="107">
        <v>89.3</v>
      </c>
      <c r="P364" s="107">
        <v>90.6</v>
      </c>
      <c r="Q364" s="107">
        <v>93.1</v>
      </c>
      <c r="R364">
        <v>8124569</v>
      </c>
    </row>
    <row r="365" spans="1:18" x14ac:dyDescent="0.25">
      <c r="A365" s="130">
        <v>42538</v>
      </c>
      <c r="B365" s="107">
        <v>94.4</v>
      </c>
      <c r="C365" s="107">
        <v>93.9</v>
      </c>
      <c r="D365" s="107">
        <v>92.05</v>
      </c>
      <c r="E365" s="107">
        <v>93.8</v>
      </c>
      <c r="F365" s="107">
        <v>93.9</v>
      </c>
      <c r="G365">
        <v>984437</v>
      </c>
      <c r="H365" s="107"/>
      <c r="I365" s="107"/>
      <c r="L365" s="130">
        <v>42538</v>
      </c>
      <c r="M365" s="107">
        <v>93.9</v>
      </c>
      <c r="N365" s="107">
        <v>94.4</v>
      </c>
      <c r="O365" s="107">
        <v>91.85</v>
      </c>
      <c r="P365" s="107">
        <v>93.7</v>
      </c>
      <c r="Q365" s="107">
        <v>93.9</v>
      </c>
      <c r="R365">
        <v>5707556</v>
      </c>
    </row>
    <row r="366" spans="1:18" x14ac:dyDescent="0.25">
      <c r="A366" s="130">
        <v>42541</v>
      </c>
      <c r="B366" s="107">
        <v>97.4</v>
      </c>
      <c r="C366" s="107">
        <v>96.7</v>
      </c>
      <c r="D366" s="107">
        <v>92.05</v>
      </c>
      <c r="E366" s="107">
        <v>93.4</v>
      </c>
      <c r="F366" s="107">
        <v>96.7</v>
      </c>
      <c r="G366">
        <v>1251785</v>
      </c>
      <c r="H366" s="107"/>
      <c r="I366" s="107"/>
      <c r="L366" s="130">
        <v>42541</v>
      </c>
      <c r="M366" s="107">
        <v>96.65</v>
      </c>
      <c r="N366" s="107">
        <v>97.4</v>
      </c>
      <c r="O366" s="107">
        <v>91.9</v>
      </c>
      <c r="P366" s="107">
        <v>92.9</v>
      </c>
      <c r="Q366" s="107">
        <v>96.65</v>
      </c>
      <c r="R366">
        <v>8091168</v>
      </c>
    </row>
    <row r="367" spans="1:18" x14ac:dyDescent="0.25">
      <c r="A367" s="130">
        <v>42542</v>
      </c>
      <c r="B367" s="107">
        <v>98</v>
      </c>
      <c r="C367" s="107">
        <v>96.15</v>
      </c>
      <c r="D367" s="107">
        <v>95.8</v>
      </c>
      <c r="E367" s="107">
        <v>97</v>
      </c>
      <c r="F367" s="107">
        <v>96.15</v>
      </c>
      <c r="G367">
        <v>978227</v>
      </c>
      <c r="H367" s="107"/>
      <c r="I367" s="107"/>
      <c r="L367" s="130">
        <v>42542</v>
      </c>
      <c r="M367" s="107">
        <v>96.2</v>
      </c>
      <c r="N367" s="107">
        <v>98.1</v>
      </c>
      <c r="O367" s="107">
        <v>95.8</v>
      </c>
      <c r="P367" s="107">
        <v>96.8</v>
      </c>
      <c r="Q367" s="107">
        <v>96.2</v>
      </c>
      <c r="R367">
        <v>6725903</v>
      </c>
    </row>
    <row r="368" spans="1:18" x14ac:dyDescent="0.25">
      <c r="A368" s="130">
        <v>42543</v>
      </c>
      <c r="B368" s="107">
        <v>97.4</v>
      </c>
      <c r="C368" s="107">
        <v>95.55</v>
      </c>
      <c r="D368" s="107">
        <v>95.05</v>
      </c>
      <c r="E368" s="107">
        <v>96.3</v>
      </c>
      <c r="F368" s="107">
        <v>95.55</v>
      </c>
      <c r="G368">
        <v>602653</v>
      </c>
      <c r="H368" s="107"/>
      <c r="I368" s="107"/>
      <c r="L368" s="130">
        <v>42543</v>
      </c>
      <c r="M368" s="107">
        <v>95.65</v>
      </c>
      <c r="N368" s="107">
        <v>97.25</v>
      </c>
      <c r="O368" s="107">
        <v>95.1</v>
      </c>
      <c r="P368" s="107">
        <v>96.75</v>
      </c>
      <c r="Q368" s="107">
        <v>95.65</v>
      </c>
      <c r="R368">
        <v>3647967</v>
      </c>
    </row>
    <row r="369" spans="1:18" x14ac:dyDescent="0.25">
      <c r="A369" s="130">
        <v>42544</v>
      </c>
      <c r="B369" s="107">
        <v>96.9</v>
      </c>
      <c r="C369" s="107">
        <v>96.45</v>
      </c>
      <c r="D369" s="107">
        <v>95.45</v>
      </c>
      <c r="E369" s="107">
        <v>96.1</v>
      </c>
      <c r="F369" s="107">
        <v>96.45</v>
      </c>
      <c r="G369">
        <v>641593</v>
      </c>
      <c r="H369" s="107"/>
      <c r="I369" s="107"/>
      <c r="L369" s="130">
        <v>42544</v>
      </c>
      <c r="M369" s="107">
        <v>96.4</v>
      </c>
      <c r="N369" s="107">
        <v>96.85</v>
      </c>
      <c r="O369" s="107">
        <v>95.4</v>
      </c>
      <c r="P369" s="107">
        <v>96.2</v>
      </c>
      <c r="Q369" s="107">
        <v>96.4</v>
      </c>
      <c r="R369">
        <v>2971355</v>
      </c>
    </row>
    <row r="370" spans="1:18" x14ac:dyDescent="0.25">
      <c r="A370" s="130">
        <v>42545</v>
      </c>
      <c r="B370" s="107">
        <v>95.45</v>
      </c>
      <c r="C370" s="107">
        <v>94.9</v>
      </c>
      <c r="D370" s="107">
        <v>89.75</v>
      </c>
      <c r="E370" s="107">
        <v>94.5</v>
      </c>
      <c r="F370" s="107">
        <v>94.9</v>
      </c>
      <c r="G370">
        <v>1529234</v>
      </c>
      <c r="H370" s="107"/>
      <c r="I370" s="107"/>
      <c r="L370" s="130">
        <v>42545</v>
      </c>
      <c r="M370" s="107">
        <v>94.95</v>
      </c>
      <c r="N370" s="107">
        <v>95.45</v>
      </c>
      <c r="O370" s="107">
        <v>89.6</v>
      </c>
      <c r="P370" s="107">
        <v>93</v>
      </c>
      <c r="Q370" s="107">
        <v>94.95</v>
      </c>
      <c r="R370">
        <v>8110613</v>
      </c>
    </row>
    <row r="371" spans="1:18" x14ac:dyDescent="0.25">
      <c r="A371" s="130">
        <v>42548</v>
      </c>
      <c r="B371" s="107">
        <v>99.6</v>
      </c>
      <c r="C371" s="107">
        <v>98.85</v>
      </c>
      <c r="D371" s="107">
        <v>94.9</v>
      </c>
      <c r="E371" s="107">
        <v>94.9</v>
      </c>
      <c r="F371" s="107">
        <v>98.85</v>
      </c>
      <c r="G371">
        <v>1111184</v>
      </c>
      <c r="H371" s="107"/>
      <c r="I371" s="107"/>
      <c r="L371" s="130">
        <v>42548</v>
      </c>
      <c r="M371" s="107">
        <v>98.9</v>
      </c>
      <c r="N371" s="107">
        <v>99.7</v>
      </c>
      <c r="O371" s="107">
        <v>94.5</v>
      </c>
      <c r="P371" s="107">
        <v>95.3</v>
      </c>
      <c r="Q371" s="107">
        <v>98.9</v>
      </c>
      <c r="R371">
        <v>7054560</v>
      </c>
    </row>
    <row r="372" spans="1:18" x14ac:dyDescent="0.25">
      <c r="A372" s="130">
        <v>42549</v>
      </c>
      <c r="B372" s="107">
        <v>100.85</v>
      </c>
      <c r="C372" s="107">
        <v>99.75</v>
      </c>
      <c r="D372" s="107">
        <v>99.05</v>
      </c>
      <c r="E372" s="107">
        <v>99.05</v>
      </c>
      <c r="F372" s="107">
        <v>99.75</v>
      </c>
      <c r="G372">
        <v>702945</v>
      </c>
      <c r="H372" s="107"/>
      <c r="I372" s="107"/>
      <c r="L372" s="130">
        <v>42549</v>
      </c>
      <c r="M372" s="107">
        <v>99.9</v>
      </c>
      <c r="N372" s="107">
        <v>100.9</v>
      </c>
      <c r="O372" s="107">
        <v>98.95</v>
      </c>
      <c r="P372" s="107">
        <v>99.05</v>
      </c>
      <c r="Q372" s="107">
        <v>99.9</v>
      </c>
      <c r="R372">
        <v>5285255</v>
      </c>
    </row>
    <row r="373" spans="1:18" x14ac:dyDescent="0.25">
      <c r="A373" s="130">
        <v>42550</v>
      </c>
      <c r="B373" s="107">
        <v>101.4</v>
      </c>
      <c r="C373" s="107">
        <v>100.1</v>
      </c>
      <c r="D373" s="107">
        <v>99.8</v>
      </c>
      <c r="E373" s="107">
        <v>100.7</v>
      </c>
      <c r="F373" s="107">
        <v>100.1</v>
      </c>
      <c r="G373">
        <v>433682</v>
      </c>
      <c r="H373" s="107"/>
      <c r="I373" s="107"/>
      <c r="L373" s="130">
        <v>42550</v>
      </c>
      <c r="M373" s="107">
        <v>100.05</v>
      </c>
      <c r="N373" s="107">
        <v>101.4</v>
      </c>
      <c r="O373" s="107">
        <v>99.8</v>
      </c>
      <c r="P373" s="107">
        <v>100.65</v>
      </c>
      <c r="Q373" s="107">
        <v>100.05</v>
      </c>
      <c r="R373">
        <v>3567381</v>
      </c>
    </row>
    <row r="374" spans="1:18" x14ac:dyDescent="0.25">
      <c r="A374" s="130">
        <v>42551</v>
      </c>
      <c r="B374" s="107">
        <v>101.85</v>
      </c>
      <c r="C374" s="107">
        <v>101.1</v>
      </c>
      <c r="D374" s="107">
        <v>100.7</v>
      </c>
      <c r="E374" s="107">
        <v>100.8</v>
      </c>
      <c r="F374" s="107">
        <v>101.1</v>
      </c>
      <c r="G374">
        <v>565873</v>
      </c>
      <c r="H374" s="107"/>
      <c r="I374" s="107"/>
      <c r="L374" s="130">
        <v>42551</v>
      </c>
      <c r="M374" s="107">
        <v>101.25</v>
      </c>
      <c r="N374" s="107">
        <v>101.95</v>
      </c>
      <c r="O374" s="107">
        <v>100.6</v>
      </c>
      <c r="P374" s="107">
        <v>100.75</v>
      </c>
      <c r="Q374" s="107">
        <v>101.25</v>
      </c>
      <c r="R374">
        <v>3488166</v>
      </c>
    </row>
    <row r="375" spans="1:18" x14ac:dyDescent="0.25">
      <c r="A375" s="130">
        <v>42552</v>
      </c>
      <c r="B375" s="107">
        <v>105.6</v>
      </c>
      <c r="C375" s="107">
        <v>104.2</v>
      </c>
      <c r="D375" s="107">
        <v>101.2</v>
      </c>
      <c r="E375" s="107">
        <v>101.75</v>
      </c>
      <c r="F375" s="107">
        <v>104.2</v>
      </c>
      <c r="G375">
        <v>1064864</v>
      </c>
      <c r="H375" s="107"/>
      <c r="I375" s="107"/>
      <c r="L375" s="130">
        <v>42552</v>
      </c>
      <c r="M375" s="107">
        <v>104.2</v>
      </c>
      <c r="N375" s="107">
        <v>105.6</v>
      </c>
      <c r="O375" s="107">
        <v>101.1</v>
      </c>
      <c r="P375" s="107">
        <v>101.95</v>
      </c>
      <c r="Q375" s="107">
        <v>104.2</v>
      </c>
      <c r="R375">
        <v>7381680</v>
      </c>
    </row>
    <row r="376" spans="1:18" x14ac:dyDescent="0.25">
      <c r="A376" s="130">
        <v>42555</v>
      </c>
      <c r="B376" s="107">
        <v>110.5</v>
      </c>
      <c r="C376" s="107">
        <v>109.3</v>
      </c>
      <c r="D376" s="107">
        <v>105.15</v>
      </c>
      <c r="E376" s="107">
        <v>105.8</v>
      </c>
      <c r="F376" s="107">
        <v>109.3</v>
      </c>
      <c r="G376">
        <v>1204099</v>
      </c>
      <c r="H376" s="107"/>
      <c r="I376" s="107"/>
      <c r="L376" s="130">
        <v>42555</v>
      </c>
      <c r="M376" s="107">
        <v>109.4</v>
      </c>
      <c r="N376" s="107">
        <v>110.7</v>
      </c>
      <c r="O376" s="107">
        <v>105.05</v>
      </c>
      <c r="P376" s="107">
        <v>105.25</v>
      </c>
      <c r="Q376" s="107">
        <v>109.4</v>
      </c>
      <c r="R376">
        <v>9114032</v>
      </c>
    </row>
    <row r="377" spans="1:18" x14ac:dyDescent="0.25">
      <c r="A377" s="130">
        <v>42556</v>
      </c>
      <c r="B377" s="107">
        <v>113.5</v>
      </c>
      <c r="C377" s="107">
        <v>110.35</v>
      </c>
      <c r="D377" s="107">
        <v>109</v>
      </c>
      <c r="E377" s="107">
        <v>109.95</v>
      </c>
      <c r="F377" s="107">
        <v>110.35</v>
      </c>
      <c r="G377">
        <v>824095</v>
      </c>
      <c r="H377" s="107"/>
      <c r="I377" s="107"/>
      <c r="L377" s="130">
        <v>42556</v>
      </c>
      <c r="M377" s="107">
        <v>110.4</v>
      </c>
      <c r="N377" s="107">
        <v>113.45</v>
      </c>
      <c r="O377" s="107">
        <v>109.2</v>
      </c>
      <c r="P377" s="107">
        <v>109.7</v>
      </c>
      <c r="Q377" s="107">
        <v>110.4</v>
      </c>
      <c r="R377">
        <v>6019537</v>
      </c>
    </row>
    <row r="378" spans="1:18" x14ac:dyDescent="0.25">
      <c r="A378" s="130">
        <v>42558</v>
      </c>
      <c r="B378" s="107">
        <v>112.9</v>
      </c>
      <c r="C378" s="107">
        <v>109.4</v>
      </c>
      <c r="D378" s="107">
        <v>108.7</v>
      </c>
      <c r="E378" s="107">
        <v>111</v>
      </c>
      <c r="F378" s="107">
        <v>109.4</v>
      </c>
      <c r="G378">
        <v>782004</v>
      </c>
      <c r="H378" s="107"/>
      <c r="I378" s="107"/>
      <c r="L378" s="130">
        <v>42558</v>
      </c>
      <c r="M378" s="107">
        <v>109.45</v>
      </c>
      <c r="N378" s="107">
        <v>112.95</v>
      </c>
      <c r="O378" s="107">
        <v>108.7</v>
      </c>
      <c r="P378" s="107">
        <v>111</v>
      </c>
      <c r="Q378" s="107">
        <v>109.45</v>
      </c>
      <c r="R378">
        <v>5879057</v>
      </c>
    </row>
    <row r="379" spans="1:18" x14ac:dyDescent="0.25">
      <c r="A379" s="130">
        <v>42559</v>
      </c>
      <c r="B379" s="107">
        <v>111.45</v>
      </c>
      <c r="C379" s="107">
        <v>108.05</v>
      </c>
      <c r="D379" s="107">
        <v>106.05</v>
      </c>
      <c r="E379" s="107">
        <v>111</v>
      </c>
      <c r="F379" s="107">
        <v>108.05</v>
      </c>
      <c r="G379">
        <v>970904</v>
      </c>
      <c r="H379" s="107"/>
      <c r="I379" s="107"/>
      <c r="L379" s="130">
        <v>42559</v>
      </c>
      <c r="M379" s="107">
        <v>108.1</v>
      </c>
      <c r="N379" s="107">
        <v>111.45</v>
      </c>
      <c r="O379" s="107">
        <v>105.8</v>
      </c>
      <c r="P379" s="107">
        <v>111.45</v>
      </c>
      <c r="Q379" s="107">
        <v>108.1</v>
      </c>
      <c r="R379">
        <v>5909045</v>
      </c>
    </row>
    <row r="380" spans="1:18" x14ac:dyDescent="0.25">
      <c r="A380" s="130">
        <v>42562</v>
      </c>
      <c r="B380" s="107">
        <v>114</v>
      </c>
      <c r="C380" s="107">
        <v>113.7</v>
      </c>
      <c r="D380" s="107">
        <v>111.1</v>
      </c>
      <c r="E380" s="107">
        <v>111.4</v>
      </c>
      <c r="F380" s="107">
        <v>113.7</v>
      </c>
      <c r="G380">
        <v>1025753</v>
      </c>
      <c r="H380" s="107"/>
      <c r="I380" s="107"/>
      <c r="L380" s="130">
        <v>42562</v>
      </c>
      <c r="M380" s="107">
        <v>113.7</v>
      </c>
      <c r="N380" s="107">
        <v>114</v>
      </c>
      <c r="O380" s="107">
        <v>111.1</v>
      </c>
      <c r="P380" s="107">
        <v>112.2</v>
      </c>
      <c r="Q380" s="107">
        <v>113.7</v>
      </c>
      <c r="R380">
        <v>7056424</v>
      </c>
    </row>
    <row r="381" spans="1:18" x14ac:dyDescent="0.25">
      <c r="A381" s="130">
        <v>42563</v>
      </c>
      <c r="B381" s="107">
        <v>116</v>
      </c>
      <c r="C381" s="107">
        <v>114.05</v>
      </c>
      <c r="D381" s="107">
        <v>112.3</v>
      </c>
      <c r="E381" s="107">
        <v>115</v>
      </c>
      <c r="F381" s="107">
        <v>114.05</v>
      </c>
      <c r="G381">
        <v>1188352</v>
      </c>
      <c r="H381" s="107"/>
      <c r="I381" s="107"/>
      <c r="L381" s="130">
        <v>42563</v>
      </c>
      <c r="M381" s="107">
        <v>113.95</v>
      </c>
      <c r="N381" s="107">
        <v>116</v>
      </c>
      <c r="O381" s="107">
        <v>112.25</v>
      </c>
      <c r="P381" s="107">
        <v>114.7</v>
      </c>
      <c r="Q381" s="107">
        <v>113.95</v>
      </c>
      <c r="R381">
        <v>8414276</v>
      </c>
    </row>
    <row r="382" spans="1:18" x14ac:dyDescent="0.25">
      <c r="A382" s="130">
        <v>42564</v>
      </c>
      <c r="B382" s="107">
        <v>114.85</v>
      </c>
      <c r="C382" s="107">
        <v>112.1</v>
      </c>
      <c r="D382" s="107">
        <v>110.55</v>
      </c>
      <c r="E382" s="107">
        <v>114.25</v>
      </c>
      <c r="F382" s="107">
        <v>112.1</v>
      </c>
      <c r="G382">
        <v>775878</v>
      </c>
      <c r="H382" s="107"/>
      <c r="I382" s="107"/>
      <c r="L382" s="130">
        <v>42564</v>
      </c>
      <c r="M382" s="107">
        <v>112.1</v>
      </c>
      <c r="N382" s="107">
        <v>114.9</v>
      </c>
      <c r="O382" s="107">
        <v>110.45</v>
      </c>
      <c r="P382" s="107">
        <v>114.1</v>
      </c>
      <c r="Q382" s="107">
        <v>112.1</v>
      </c>
      <c r="R382">
        <v>4787631</v>
      </c>
    </row>
    <row r="383" spans="1:18" x14ac:dyDescent="0.25">
      <c r="A383" s="130">
        <v>42565</v>
      </c>
      <c r="B383" s="107">
        <v>117.55</v>
      </c>
      <c r="C383" s="107">
        <v>116.8</v>
      </c>
      <c r="D383" s="107">
        <v>112.6</v>
      </c>
      <c r="E383" s="107">
        <v>113</v>
      </c>
      <c r="F383" s="107">
        <v>116.8</v>
      </c>
      <c r="G383">
        <v>1448398</v>
      </c>
      <c r="H383" s="107"/>
      <c r="I383" s="107"/>
      <c r="L383" s="130">
        <v>42565</v>
      </c>
      <c r="M383" s="107">
        <v>116.95</v>
      </c>
      <c r="N383" s="107">
        <v>117.7</v>
      </c>
      <c r="O383" s="107">
        <v>112.2</v>
      </c>
      <c r="P383" s="107">
        <v>112.95</v>
      </c>
      <c r="Q383" s="107">
        <v>116.95</v>
      </c>
      <c r="R383">
        <v>11716147</v>
      </c>
    </row>
    <row r="384" spans="1:18" x14ac:dyDescent="0.25">
      <c r="A384" s="130">
        <v>42566</v>
      </c>
      <c r="B384" s="107">
        <v>117.8</v>
      </c>
      <c r="C384" s="107">
        <v>114.75</v>
      </c>
      <c r="D384" s="107">
        <v>114.05</v>
      </c>
      <c r="E384" s="107">
        <v>117.45</v>
      </c>
      <c r="F384" s="107">
        <v>114.75</v>
      </c>
      <c r="G384">
        <v>1064701</v>
      </c>
      <c r="H384" s="107"/>
      <c r="I384" s="107"/>
      <c r="L384" s="130">
        <v>42566</v>
      </c>
      <c r="M384" s="107">
        <v>114.65</v>
      </c>
      <c r="N384" s="107">
        <v>117.65</v>
      </c>
      <c r="O384" s="107">
        <v>113.9</v>
      </c>
      <c r="P384" s="107">
        <v>117.4</v>
      </c>
      <c r="Q384" s="107">
        <v>114.65</v>
      </c>
      <c r="R384">
        <v>7489510</v>
      </c>
    </row>
    <row r="385" spans="1:18" x14ac:dyDescent="0.25">
      <c r="A385" s="130">
        <v>42569</v>
      </c>
      <c r="B385" s="107">
        <v>115.85</v>
      </c>
      <c r="C385" s="107">
        <v>110.7</v>
      </c>
      <c r="D385" s="107">
        <v>110</v>
      </c>
      <c r="E385" s="107">
        <v>115.25</v>
      </c>
      <c r="F385" s="107">
        <v>110.7</v>
      </c>
      <c r="G385">
        <v>865307</v>
      </c>
      <c r="H385" s="107"/>
      <c r="I385" s="107"/>
      <c r="L385" s="130">
        <v>42569</v>
      </c>
      <c r="M385" s="107">
        <v>110.65</v>
      </c>
      <c r="N385" s="107">
        <v>115.95</v>
      </c>
      <c r="O385" s="107">
        <v>110</v>
      </c>
      <c r="P385" s="107">
        <v>115.7</v>
      </c>
      <c r="Q385" s="107">
        <v>110.65</v>
      </c>
      <c r="R385">
        <v>5720772</v>
      </c>
    </row>
    <row r="386" spans="1:18" x14ac:dyDescent="0.25">
      <c r="A386" s="130">
        <v>42570</v>
      </c>
      <c r="B386" s="107">
        <v>113.85</v>
      </c>
      <c r="C386" s="107">
        <v>111.6</v>
      </c>
      <c r="D386" s="107">
        <v>108.3</v>
      </c>
      <c r="E386" s="107">
        <v>111.05</v>
      </c>
      <c r="F386" s="107">
        <v>111.6</v>
      </c>
      <c r="G386">
        <v>1465750</v>
      </c>
      <c r="H386" s="107"/>
      <c r="I386" s="107"/>
      <c r="L386" s="130">
        <v>42570</v>
      </c>
      <c r="M386" s="107">
        <v>111.65</v>
      </c>
      <c r="N386" s="107">
        <v>113.7</v>
      </c>
      <c r="O386" s="107">
        <v>108.1</v>
      </c>
      <c r="P386" s="107">
        <v>111.4</v>
      </c>
      <c r="Q386" s="107">
        <v>111.65</v>
      </c>
      <c r="R386">
        <v>9708007</v>
      </c>
    </row>
    <row r="387" spans="1:18" x14ac:dyDescent="0.25">
      <c r="A387" s="130">
        <v>42571</v>
      </c>
      <c r="B387" s="107">
        <v>112.1</v>
      </c>
      <c r="C387" s="107">
        <v>109.95</v>
      </c>
      <c r="D387" s="107">
        <v>109.4</v>
      </c>
      <c r="E387" s="107">
        <v>112</v>
      </c>
      <c r="F387" s="107">
        <v>109.95</v>
      </c>
      <c r="G387">
        <v>659917</v>
      </c>
      <c r="H387" s="107"/>
      <c r="I387" s="107"/>
      <c r="L387" s="130">
        <v>42571</v>
      </c>
      <c r="M387" s="107">
        <v>109.75</v>
      </c>
      <c r="N387" s="107">
        <v>111.75</v>
      </c>
      <c r="O387" s="107">
        <v>109.2</v>
      </c>
      <c r="P387" s="107">
        <v>111.75</v>
      </c>
      <c r="Q387" s="107">
        <v>109.75</v>
      </c>
      <c r="R387">
        <v>4743668</v>
      </c>
    </row>
    <row r="388" spans="1:18" x14ac:dyDescent="0.25">
      <c r="A388" s="130">
        <v>42572</v>
      </c>
      <c r="B388" s="107">
        <v>111.85</v>
      </c>
      <c r="C388" s="107">
        <v>107.3</v>
      </c>
      <c r="D388" s="107">
        <v>106.85</v>
      </c>
      <c r="E388" s="107">
        <v>110.1</v>
      </c>
      <c r="F388" s="107">
        <v>107.3</v>
      </c>
      <c r="G388">
        <v>878218</v>
      </c>
      <c r="H388" s="107"/>
      <c r="I388" s="107"/>
      <c r="L388" s="130">
        <v>42572</v>
      </c>
      <c r="M388" s="107">
        <v>107.15</v>
      </c>
      <c r="N388" s="107">
        <v>111.7</v>
      </c>
      <c r="O388" s="107">
        <v>106.55</v>
      </c>
      <c r="P388" s="107">
        <v>109.45</v>
      </c>
      <c r="Q388" s="107">
        <v>107.15</v>
      </c>
      <c r="R388">
        <v>5398730</v>
      </c>
    </row>
    <row r="389" spans="1:18" x14ac:dyDescent="0.25">
      <c r="A389" s="130">
        <v>42573</v>
      </c>
      <c r="B389" s="107">
        <v>107.25</v>
      </c>
      <c r="C389" s="107">
        <v>106.1</v>
      </c>
      <c r="D389" s="107">
        <v>104.1</v>
      </c>
      <c r="E389" s="107">
        <v>106.4</v>
      </c>
      <c r="F389" s="107">
        <v>106.1</v>
      </c>
      <c r="G389">
        <v>920385</v>
      </c>
      <c r="H389" s="107"/>
      <c r="I389" s="107"/>
      <c r="L389" s="130">
        <v>42573</v>
      </c>
      <c r="M389" s="107">
        <v>106.25</v>
      </c>
      <c r="N389" s="107">
        <v>107.3</v>
      </c>
      <c r="O389" s="107">
        <v>104</v>
      </c>
      <c r="P389" s="107">
        <v>105.5</v>
      </c>
      <c r="Q389" s="107">
        <v>106.25</v>
      </c>
      <c r="R389">
        <v>5457406</v>
      </c>
    </row>
    <row r="390" spans="1:18" x14ac:dyDescent="0.25">
      <c r="A390" s="130">
        <v>42576</v>
      </c>
      <c r="B390" s="107">
        <v>110.85</v>
      </c>
      <c r="C390" s="107">
        <v>110</v>
      </c>
      <c r="D390" s="107">
        <v>104.6</v>
      </c>
      <c r="E390" s="107">
        <v>105.8</v>
      </c>
      <c r="F390" s="107">
        <v>110</v>
      </c>
      <c r="G390">
        <v>1074741</v>
      </c>
      <c r="H390" s="107"/>
      <c r="I390" s="107"/>
      <c r="L390" s="130">
        <v>42576</v>
      </c>
      <c r="M390" s="107">
        <v>109.85</v>
      </c>
      <c r="N390" s="107">
        <v>110.9</v>
      </c>
      <c r="O390" s="107">
        <v>104.5</v>
      </c>
      <c r="P390" s="107">
        <v>105.5</v>
      </c>
      <c r="Q390" s="107">
        <v>109.85</v>
      </c>
      <c r="R390">
        <v>8368044</v>
      </c>
    </row>
    <row r="391" spans="1:18" x14ac:dyDescent="0.25">
      <c r="A391" s="130">
        <v>42577</v>
      </c>
      <c r="B391" s="107">
        <v>114.75</v>
      </c>
      <c r="C391" s="107">
        <v>110.6</v>
      </c>
      <c r="D391" s="107">
        <v>110</v>
      </c>
      <c r="E391" s="107">
        <v>110.5</v>
      </c>
      <c r="F391" s="107">
        <v>110.6</v>
      </c>
      <c r="G391">
        <v>1195304</v>
      </c>
      <c r="H391" s="107"/>
      <c r="I391" s="107"/>
      <c r="L391" s="130">
        <v>42577</v>
      </c>
      <c r="M391" s="107">
        <v>110.55</v>
      </c>
      <c r="N391" s="107">
        <v>114.8</v>
      </c>
      <c r="O391" s="107">
        <v>109.85</v>
      </c>
      <c r="P391" s="107">
        <v>110</v>
      </c>
      <c r="Q391" s="107">
        <v>110.55</v>
      </c>
      <c r="R391">
        <v>7756183</v>
      </c>
    </row>
    <row r="392" spans="1:18" x14ac:dyDescent="0.25">
      <c r="A392" s="130">
        <v>42578</v>
      </c>
      <c r="B392" s="107">
        <v>113.3</v>
      </c>
      <c r="C392" s="107">
        <v>112.25</v>
      </c>
      <c r="D392" s="107">
        <v>109.1</v>
      </c>
      <c r="E392" s="107">
        <v>111</v>
      </c>
      <c r="F392" s="107">
        <v>112.25</v>
      </c>
      <c r="G392">
        <v>738366</v>
      </c>
      <c r="H392" s="107"/>
      <c r="I392" s="107"/>
      <c r="L392" s="130">
        <v>42578</v>
      </c>
      <c r="M392" s="107">
        <v>112.3</v>
      </c>
      <c r="N392" s="107">
        <v>113.35</v>
      </c>
      <c r="O392" s="107">
        <v>110</v>
      </c>
      <c r="P392" s="107">
        <v>111</v>
      </c>
      <c r="Q392" s="107">
        <v>112.3</v>
      </c>
      <c r="R392">
        <v>5446934</v>
      </c>
    </row>
    <row r="393" spans="1:18" x14ac:dyDescent="0.25">
      <c r="A393" s="130">
        <v>42579</v>
      </c>
      <c r="B393" s="107">
        <v>113.8</v>
      </c>
      <c r="C393" s="107">
        <v>110.75</v>
      </c>
      <c r="D393" s="107">
        <v>110.05</v>
      </c>
      <c r="E393" s="107">
        <v>112</v>
      </c>
      <c r="F393" s="107">
        <v>110.75</v>
      </c>
      <c r="G393">
        <v>830286</v>
      </c>
      <c r="H393" s="107"/>
      <c r="I393" s="107"/>
      <c r="L393" s="130">
        <v>42579</v>
      </c>
      <c r="M393" s="107">
        <v>110.65</v>
      </c>
      <c r="N393" s="107">
        <v>114</v>
      </c>
      <c r="O393" s="107">
        <v>109.8</v>
      </c>
      <c r="P393" s="107">
        <v>113.2</v>
      </c>
      <c r="Q393" s="107">
        <v>110.65</v>
      </c>
      <c r="R393">
        <v>5517005</v>
      </c>
    </row>
    <row r="394" spans="1:18" x14ac:dyDescent="0.25">
      <c r="A394" s="130">
        <v>42580</v>
      </c>
      <c r="B394" s="107">
        <v>112.2</v>
      </c>
      <c r="C394" s="107">
        <v>111.2</v>
      </c>
      <c r="D394" s="107">
        <v>109.15</v>
      </c>
      <c r="E394" s="107">
        <v>110.4</v>
      </c>
      <c r="F394" s="107">
        <v>111.2</v>
      </c>
      <c r="G394">
        <v>638928</v>
      </c>
      <c r="H394" s="107"/>
      <c r="I394" s="107"/>
      <c r="L394" s="130">
        <v>42580</v>
      </c>
      <c r="M394" s="107">
        <v>111.65</v>
      </c>
      <c r="N394" s="107">
        <v>112.45</v>
      </c>
      <c r="O394" s="107">
        <v>109.25</v>
      </c>
      <c r="P394" s="107">
        <v>110.9</v>
      </c>
      <c r="Q394" s="107">
        <v>111.65</v>
      </c>
      <c r="R394">
        <v>4549256</v>
      </c>
    </row>
    <row r="395" spans="1:18" x14ac:dyDescent="0.25">
      <c r="A395" s="130">
        <v>42583</v>
      </c>
      <c r="B395" s="107">
        <v>112.9</v>
      </c>
      <c r="C395" s="107">
        <v>109.55</v>
      </c>
      <c r="D395" s="107">
        <v>108.4</v>
      </c>
      <c r="E395" s="107">
        <v>112.85</v>
      </c>
      <c r="F395" s="107">
        <v>109.55</v>
      </c>
      <c r="G395">
        <v>621284</v>
      </c>
      <c r="H395" s="107"/>
      <c r="I395" s="107"/>
      <c r="L395" s="130">
        <v>42583</v>
      </c>
      <c r="M395" s="107">
        <v>109.8</v>
      </c>
      <c r="N395" s="107">
        <v>113</v>
      </c>
      <c r="O395" s="107">
        <v>108.5</v>
      </c>
      <c r="P395" s="107">
        <v>111.9</v>
      </c>
      <c r="Q395" s="107">
        <v>109.8</v>
      </c>
      <c r="R395">
        <v>4396893</v>
      </c>
    </row>
    <row r="396" spans="1:18" x14ac:dyDescent="0.25">
      <c r="A396" s="130">
        <v>42584</v>
      </c>
      <c r="B396" s="107">
        <v>111.65</v>
      </c>
      <c r="C396" s="107">
        <v>109.75</v>
      </c>
      <c r="D396" s="107">
        <v>108.7</v>
      </c>
      <c r="E396" s="107">
        <v>110</v>
      </c>
      <c r="F396" s="107">
        <v>109.75</v>
      </c>
      <c r="G396">
        <v>578240</v>
      </c>
      <c r="H396" s="107"/>
      <c r="I396" s="107"/>
      <c r="L396" s="130">
        <v>42584</v>
      </c>
      <c r="M396" s="107">
        <v>109.75</v>
      </c>
      <c r="N396" s="107">
        <v>111.6</v>
      </c>
      <c r="O396" s="107">
        <v>108.6</v>
      </c>
      <c r="P396" s="107">
        <v>109.5</v>
      </c>
      <c r="Q396" s="107">
        <v>109.75</v>
      </c>
      <c r="R396">
        <v>4180449</v>
      </c>
    </row>
    <row r="397" spans="1:18" x14ac:dyDescent="0.25">
      <c r="A397" s="130">
        <v>42585</v>
      </c>
      <c r="B397" s="107">
        <v>112.9</v>
      </c>
      <c r="C397" s="107">
        <v>108.9</v>
      </c>
      <c r="D397" s="107">
        <v>108</v>
      </c>
      <c r="E397" s="107">
        <v>110</v>
      </c>
      <c r="F397" s="107">
        <v>108.9</v>
      </c>
      <c r="G397">
        <v>876740</v>
      </c>
      <c r="H397" s="107"/>
      <c r="I397" s="107"/>
      <c r="L397" s="130">
        <v>42585</v>
      </c>
      <c r="M397" s="107">
        <v>108.8</v>
      </c>
      <c r="N397" s="107">
        <v>112.9</v>
      </c>
      <c r="O397" s="107">
        <v>108</v>
      </c>
      <c r="P397" s="107">
        <v>109.5</v>
      </c>
      <c r="Q397" s="107">
        <v>108.8</v>
      </c>
      <c r="R397">
        <v>5656361</v>
      </c>
    </row>
    <row r="398" spans="1:18" x14ac:dyDescent="0.25">
      <c r="A398" s="130">
        <v>42586</v>
      </c>
      <c r="B398" s="107">
        <v>111.25</v>
      </c>
      <c r="C398" s="107">
        <v>110.4</v>
      </c>
      <c r="D398" s="107">
        <v>108.4</v>
      </c>
      <c r="E398" s="107">
        <v>110</v>
      </c>
      <c r="F398" s="107">
        <v>110.4</v>
      </c>
      <c r="G398">
        <v>730148</v>
      </c>
      <c r="H398" s="107"/>
      <c r="I398" s="107"/>
      <c r="L398" s="130">
        <v>42586</v>
      </c>
      <c r="M398" s="107">
        <v>110.35</v>
      </c>
      <c r="N398" s="107">
        <v>111.3</v>
      </c>
      <c r="O398" s="107">
        <v>108.25</v>
      </c>
      <c r="P398" s="107">
        <v>110</v>
      </c>
      <c r="Q398" s="107">
        <v>110.35</v>
      </c>
      <c r="R398">
        <v>6201261</v>
      </c>
    </row>
    <row r="399" spans="1:18" x14ac:dyDescent="0.25">
      <c r="A399" s="130">
        <v>42587</v>
      </c>
      <c r="B399" s="107">
        <v>112.7</v>
      </c>
      <c r="C399" s="107">
        <v>111.35</v>
      </c>
      <c r="D399" s="107">
        <v>110.7</v>
      </c>
      <c r="E399" s="107">
        <v>111.3</v>
      </c>
      <c r="F399" s="107">
        <v>111.35</v>
      </c>
      <c r="G399">
        <v>534107</v>
      </c>
      <c r="H399" s="107"/>
      <c r="I399" s="107"/>
      <c r="L399" s="130">
        <v>42587</v>
      </c>
      <c r="M399" s="107">
        <v>111.45</v>
      </c>
      <c r="N399" s="107">
        <v>112.7</v>
      </c>
      <c r="O399" s="107">
        <v>110.75</v>
      </c>
      <c r="P399" s="107">
        <v>111.9</v>
      </c>
      <c r="Q399" s="107">
        <v>111.45</v>
      </c>
      <c r="R399">
        <v>3711766</v>
      </c>
    </row>
    <row r="400" spans="1:18" x14ac:dyDescent="0.25">
      <c r="A400" s="130">
        <v>42590</v>
      </c>
      <c r="B400" s="107">
        <v>112.5</v>
      </c>
      <c r="C400" s="107">
        <v>110.1</v>
      </c>
      <c r="D400" s="107">
        <v>109.7</v>
      </c>
      <c r="E400" s="107">
        <v>112.4</v>
      </c>
      <c r="F400" s="107">
        <v>110.1</v>
      </c>
      <c r="G400">
        <v>489942</v>
      </c>
      <c r="H400" s="107"/>
      <c r="I400" s="107"/>
      <c r="L400" s="130">
        <v>42590</v>
      </c>
      <c r="M400" s="107">
        <v>110.15</v>
      </c>
      <c r="N400" s="107">
        <v>112.3</v>
      </c>
      <c r="O400" s="107">
        <v>109.75</v>
      </c>
      <c r="P400" s="107">
        <v>112</v>
      </c>
      <c r="Q400" s="107">
        <v>110.15</v>
      </c>
      <c r="R400">
        <v>3683468</v>
      </c>
    </row>
    <row r="401" spans="1:18" x14ac:dyDescent="0.25">
      <c r="A401" s="130">
        <v>42591</v>
      </c>
      <c r="B401" s="107">
        <v>112.35</v>
      </c>
      <c r="C401" s="107">
        <v>110.4</v>
      </c>
      <c r="D401" s="107">
        <v>110.05</v>
      </c>
      <c r="E401" s="107">
        <v>110.5</v>
      </c>
      <c r="F401" s="107">
        <v>110.4</v>
      </c>
      <c r="G401">
        <v>501596</v>
      </c>
      <c r="H401" s="107"/>
      <c r="I401" s="107"/>
      <c r="L401" s="130">
        <v>42591</v>
      </c>
      <c r="M401" s="107">
        <v>110.4</v>
      </c>
      <c r="N401" s="107">
        <v>112.45</v>
      </c>
      <c r="O401" s="107">
        <v>110.1</v>
      </c>
      <c r="P401" s="107">
        <v>110.4</v>
      </c>
      <c r="Q401" s="107">
        <v>110.4</v>
      </c>
      <c r="R401">
        <v>3974802</v>
      </c>
    </row>
    <row r="402" spans="1:18" x14ac:dyDescent="0.25">
      <c r="A402" s="130">
        <v>42592</v>
      </c>
      <c r="B402" s="107">
        <v>110.9</v>
      </c>
      <c r="C402" s="107">
        <v>106.35</v>
      </c>
      <c r="D402" s="107">
        <v>105.8</v>
      </c>
      <c r="E402" s="107">
        <v>110.5</v>
      </c>
      <c r="F402" s="107">
        <v>106.35</v>
      </c>
      <c r="G402">
        <v>617134</v>
      </c>
      <c r="H402" s="107"/>
      <c r="I402" s="107"/>
      <c r="L402" s="130">
        <v>42592</v>
      </c>
      <c r="M402" s="107">
        <v>106.3</v>
      </c>
      <c r="N402" s="107">
        <v>111</v>
      </c>
      <c r="O402" s="107">
        <v>105.75</v>
      </c>
      <c r="P402" s="107">
        <v>111</v>
      </c>
      <c r="Q402" s="107">
        <v>106.3</v>
      </c>
      <c r="R402">
        <v>4694359</v>
      </c>
    </row>
    <row r="403" spans="1:18" x14ac:dyDescent="0.25">
      <c r="A403" s="130">
        <v>42593</v>
      </c>
      <c r="B403" s="107">
        <v>106</v>
      </c>
      <c r="C403" s="107">
        <v>103.4</v>
      </c>
      <c r="D403" s="107">
        <v>102.85</v>
      </c>
      <c r="E403" s="107">
        <v>105.9</v>
      </c>
      <c r="F403" s="107">
        <v>103.4</v>
      </c>
      <c r="G403">
        <v>601069</v>
      </c>
      <c r="H403" s="107"/>
      <c r="I403" s="107"/>
      <c r="L403" s="130">
        <v>42593</v>
      </c>
      <c r="M403" s="107">
        <v>103.6</v>
      </c>
      <c r="N403" s="107">
        <v>105.8</v>
      </c>
      <c r="O403" s="107">
        <v>102.65</v>
      </c>
      <c r="P403" s="107">
        <v>104.25</v>
      </c>
      <c r="Q403" s="107">
        <v>103.6</v>
      </c>
      <c r="R403">
        <v>3910495</v>
      </c>
    </row>
    <row r="404" spans="1:18" x14ac:dyDescent="0.25">
      <c r="A404" s="130">
        <v>42594</v>
      </c>
      <c r="B404" s="107">
        <v>115.45</v>
      </c>
      <c r="C404" s="107">
        <v>114</v>
      </c>
      <c r="D404" s="107">
        <v>101.4</v>
      </c>
      <c r="E404" s="107">
        <v>102.6</v>
      </c>
      <c r="F404" s="107">
        <v>114</v>
      </c>
      <c r="G404">
        <v>4092831</v>
      </c>
      <c r="H404" s="107"/>
      <c r="I404" s="107"/>
      <c r="L404" s="130">
        <v>42594</v>
      </c>
      <c r="M404" s="107">
        <v>114.1</v>
      </c>
      <c r="N404" s="107">
        <v>115.65</v>
      </c>
      <c r="O404" s="107">
        <v>101.3</v>
      </c>
      <c r="P404" s="107">
        <v>102.5</v>
      </c>
      <c r="Q404" s="107">
        <v>114.1</v>
      </c>
      <c r="R404">
        <v>26181420</v>
      </c>
    </row>
    <row r="405" spans="1:18" x14ac:dyDescent="0.25">
      <c r="A405" s="130">
        <v>42598</v>
      </c>
      <c r="B405" s="107">
        <v>115.4</v>
      </c>
      <c r="C405" s="107">
        <v>112.05</v>
      </c>
      <c r="D405" s="107">
        <v>111.25</v>
      </c>
      <c r="E405" s="107">
        <v>115</v>
      </c>
      <c r="F405" s="107">
        <v>112.05</v>
      </c>
      <c r="G405">
        <v>998299</v>
      </c>
      <c r="H405" s="107"/>
      <c r="I405" s="107"/>
      <c r="L405" s="130">
        <v>42598</v>
      </c>
      <c r="M405" s="107">
        <v>112</v>
      </c>
      <c r="N405" s="107">
        <v>115.7</v>
      </c>
      <c r="O405" s="107">
        <v>111.15</v>
      </c>
      <c r="P405" s="107">
        <v>114.9</v>
      </c>
      <c r="Q405" s="107">
        <v>112</v>
      </c>
      <c r="R405">
        <v>10481434</v>
      </c>
    </row>
    <row r="406" spans="1:18" x14ac:dyDescent="0.25">
      <c r="A406" s="130">
        <v>42599</v>
      </c>
      <c r="B406" s="107">
        <v>113.8</v>
      </c>
      <c r="C406" s="107">
        <v>112.6</v>
      </c>
      <c r="D406" s="107">
        <v>111</v>
      </c>
      <c r="E406" s="107">
        <v>112.2</v>
      </c>
      <c r="F406" s="107">
        <v>112.6</v>
      </c>
      <c r="G406">
        <v>808486</v>
      </c>
      <c r="H406" s="107"/>
      <c r="I406" s="107"/>
      <c r="L406" s="130">
        <v>42599</v>
      </c>
      <c r="M406" s="107">
        <v>112.6</v>
      </c>
      <c r="N406" s="107">
        <v>113.85</v>
      </c>
      <c r="O406" s="107">
        <v>110.15</v>
      </c>
      <c r="P406" s="107">
        <v>111.95</v>
      </c>
      <c r="Q406" s="107">
        <v>112.6</v>
      </c>
      <c r="R406">
        <v>6706086</v>
      </c>
    </row>
    <row r="407" spans="1:18" x14ac:dyDescent="0.25">
      <c r="A407" s="130">
        <v>42600</v>
      </c>
      <c r="B407" s="107">
        <v>114.2</v>
      </c>
      <c r="C407" s="107">
        <v>112.5</v>
      </c>
      <c r="D407" s="107">
        <v>112</v>
      </c>
      <c r="E407" s="107">
        <v>113.9</v>
      </c>
      <c r="F407" s="107">
        <v>112.5</v>
      </c>
      <c r="G407">
        <v>558597</v>
      </c>
      <c r="H407" s="107"/>
      <c r="I407" s="107"/>
      <c r="L407" s="130">
        <v>42600</v>
      </c>
      <c r="M407" s="107">
        <v>112.65</v>
      </c>
      <c r="N407" s="107">
        <v>114.15</v>
      </c>
      <c r="O407" s="107">
        <v>112.3</v>
      </c>
      <c r="P407" s="107">
        <v>113.3</v>
      </c>
      <c r="Q407" s="107">
        <v>112.65</v>
      </c>
      <c r="R407">
        <v>3901724</v>
      </c>
    </row>
    <row r="408" spans="1:18" x14ac:dyDescent="0.25">
      <c r="A408" s="130">
        <v>42601</v>
      </c>
      <c r="B408" s="107">
        <v>114</v>
      </c>
      <c r="C408" s="107">
        <v>113.15</v>
      </c>
      <c r="D408" s="107">
        <v>111.5</v>
      </c>
      <c r="E408" s="107">
        <v>112.9</v>
      </c>
      <c r="F408" s="107">
        <v>113.15</v>
      </c>
      <c r="G408">
        <v>877184</v>
      </c>
      <c r="H408" s="107"/>
      <c r="I408" s="107"/>
      <c r="L408" s="130">
        <v>42601</v>
      </c>
      <c r="M408" s="107">
        <v>113.25</v>
      </c>
      <c r="N408" s="107">
        <v>114.2</v>
      </c>
      <c r="O408" s="107">
        <v>111.4</v>
      </c>
      <c r="P408" s="107">
        <v>112.8</v>
      </c>
      <c r="Q408" s="107">
        <v>113.25</v>
      </c>
      <c r="R408">
        <v>6000584</v>
      </c>
    </row>
    <row r="409" spans="1:18" x14ac:dyDescent="0.25">
      <c r="A409" s="130">
        <v>42604</v>
      </c>
      <c r="B409" s="107">
        <v>114.7</v>
      </c>
      <c r="C409" s="107">
        <v>113.6</v>
      </c>
      <c r="D409" s="107">
        <v>112.55</v>
      </c>
      <c r="E409" s="107">
        <v>113.8</v>
      </c>
      <c r="F409" s="107">
        <v>113.6</v>
      </c>
      <c r="G409">
        <v>545805</v>
      </c>
      <c r="H409" s="107"/>
      <c r="I409" s="107"/>
      <c r="L409" s="130">
        <v>42604</v>
      </c>
      <c r="M409" s="107">
        <v>113.8</v>
      </c>
      <c r="N409" s="107">
        <v>114.8</v>
      </c>
      <c r="O409" s="107">
        <v>112.4</v>
      </c>
      <c r="P409" s="107">
        <v>113.9</v>
      </c>
      <c r="Q409" s="107">
        <v>113.8</v>
      </c>
      <c r="R409">
        <v>4430878</v>
      </c>
    </row>
    <row r="410" spans="1:18" x14ac:dyDescent="0.25">
      <c r="A410" s="130">
        <v>42605</v>
      </c>
      <c r="B410" s="107">
        <v>115</v>
      </c>
      <c r="C410" s="107">
        <v>114.6</v>
      </c>
      <c r="D410" s="107">
        <v>112.4</v>
      </c>
      <c r="E410" s="107">
        <v>113.8</v>
      </c>
      <c r="F410" s="107">
        <v>114.6</v>
      </c>
      <c r="G410">
        <v>719441</v>
      </c>
      <c r="H410" s="107"/>
      <c r="I410" s="107"/>
      <c r="L410" s="130">
        <v>42605</v>
      </c>
      <c r="M410" s="107">
        <v>115.05</v>
      </c>
      <c r="N410" s="107">
        <v>115.5</v>
      </c>
      <c r="O410" s="107">
        <v>112.5</v>
      </c>
      <c r="P410" s="107">
        <v>114</v>
      </c>
      <c r="Q410" s="107">
        <v>115.05</v>
      </c>
      <c r="R410">
        <v>5748042</v>
      </c>
    </row>
    <row r="411" spans="1:18" x14ac:dyDescent="0.25">
      <c r="A411" s="130">
        <v>42606</v>
      </c>
      <c r="B411" s="107">
        <v>115.9</v>
      </c>
      <c r="C411" s="107">
        <v>114.5</v>
      </c>
      <c r="D411" s="107">
        <v>113.55</v>
      </c>
      <c r="E411" s="107">
        <v>114.85</v>
      </c>
      <c r="F411" s="107">
        <v>114.5</v>
      </c>
      <c r="G411">
        <v>631834</v>
      </c>
      <c r="H411" s="107"/>
      <c r="I411" s="107"/>
      <c r="L411" s="130">
        <v>42606</v>
      </c>
      <c r="M411" s="107">
        <v>114.4</v>
      </c>
      <c r="N411" s="107">
        <v>115.95</v>
      </c>
      <c r="O411" s="107">
        <v>113.35</v>
      </c>
      <c r="P411" s="107">
        <v>114.8</v>
      </c>
      <c r="Q411" s="107">
        <v>114.4</v>
      </c>
      <c r="R411">
        <v>5505666</v>
      </c>
    </row>
    <row r="412" spans="1:18" x14ac:dyDescent="0.25">
      <c r="A412" s="130">
        <v>42607</v>
      </c>
      <c r="B412" s="107">
        <v>115.9</v>
      </c>
      <c r="C412" s="107">
        <v>113.5</v>
      </c>
      <c r="D412" s="107">
        <v>112.1</v>
      </c>
      <c r="E412" s="107">
        <v>114.55</v>
      </c>
      <c r="F412" s="107">
        <v>113.5</v>
      </c>
      <c r="G412">
        <v>645814</v>
      </c>
      <c r="H412" s="107"/>
      <c r="I412" s="107"/>
      <c r="L412" s="130">
        <v>42607</v>
      </c>
      <c r="M412" s="107">
        <v>113.05</v>
      </c>
      <c r="N412" s="107">
        <v>115.8</v>
      </c>
      <c r="O412" s="107">
        <v>112</v>
      </c>
      <c r="P412" s="107">
        <v>114.75</v>
      </c>
      <c r="Q412" s="107">
        <v>113.05</v>
      </c>
      <c r="R412">
        <v>5726498</v>
      </c>
    </row>
    <row r="413" spans="1:18" x14ac:dyDescent="0.25">
      <c r="A413" s="130">
        <v>42608</v>
      </c>
      <c r="B413" s="107">
        <v>114.35</v>
      </c>
      <c r="C413" s="107">
        <v>110.7</v>
      </c>
      <c r="D413" s="107">
        <v>109.1</v>
      </c>
      <c r="E413" s="107">
        <v>112.8</v>
      </c>
      <c r="F413" s="107">
        <v>110.7</v>
      </c>
      <c r="G413">
        <v>802265</v>
      </c>
      <c r="H413" s="107"/>
      <c r="I413" s="107"/>
      <c r="L413" s="130">
        <v>42608</v>
      </c>
      <c r="M413" s="107">
        <v>110.9</v>
      </c>
      <c r="N413" s="107">
        <v>114.4</v>
      </c>
      <c r="O413" s="107">
        <v>110.55</v>
      </c>
      <c r="P413" s="107">
        <v>113.4</v>
      </c>
      <c r="Q413" s="107">
        <v>110.9</v>
      </c>
      <c r="R413">
        <v>4246009</v>
      </c>
    </row>
    <row r="414" spans="1:18" x14ac:dyDescent="0.25">
      <c r="A414" s="130">
        <v>42611</v>
      </c>
      <c r="B414" s="107">
        <v>111.75</v>
      </c>
      <c r="C414" s="107">
        <v>111.3</v>
      </c>
      <c r="D414" s="107">
        <v>110.1</v>
      </c>
      <c r="E414" s="107">
        <v>111</v>
      </c>
      <c r="F414" s="107">
        <v>111.3</v>
      </c>
      <c r="G414">
        <v>304077</v>
      </c>
      <c r="H414" s="107"/>
      <c r="I414" s="107"/>
      <c r="L414" s="130">
        <v>42611</v>
      </c>
      <c r="M414" s="107">
        <v>111.35</v>
      </c>
      <c r="N414" s="107">
        <v>111.7</v>
      </c>
      <c r="O414" s="107">
        <v>109.9</v>
      </c>
      <c r="P414" s="107">
        <v>110.9</v>
      </c>
      <c r="Q414" s="107">
        <v>111.35</v>
      </c>
      <c r="R414">
        <v>3146965</v>
      </c>
    </row>
    <row r="415" spans="1:18" x14ac:dyDescent="0.25">
      <c r="A415" s="130">
        <v>42612</v>
      </c>
      <c r="B415" s="107">
        <v>117.3</v>
      </c>
      <c r="C415" s="107">
        <v>116.5</v>
      </c>
      <c r="D415" s="107">
        <v>111.8</v>
      </c>
      <c r="E415" s="107">
        <v>111.8</v>
      </c>
      <c r="F415" s="107">
        <v>116.5</v>
      </c>
      <c r="G415">
        <v>974014</v>
      </c>
      <c r="H415" s="107"/>
      <c r="I415" s="107"/>
      <c r="L415" s="130">
        <v>42612</v>
      </c>
      <c r="M415" s="107">
        <v>116.5</v>
      </c>
      <c r="N415" s="107">
        <v>117.4</v>
      </c>
      <c r="O415" s="107">
        <v>111.9</v>
      </c>
      <c r="P415" s="107">
        <v>111.9</v>
      </c>
      <c r="Q415" s="107">
        <v>116.5</v>
      </c>
      <c r="R415">
        <v>7659265</v>
      </c>
    </row>
    <row r="416" spans="1:18" x14ac:dyDescent="0.25">
      <c r="A416" s="130">
        <v>42613</v>
      </c>
      <c r="B416" s="107">
        <v>119.15</v>
      </c>
      <c r="C416" s="107">
        <v>117.05</v>
      </c>
      <c r="D416" s="107">
        <v>116.35</v>
      </c>
      <c r="E416" s="107">
        <v>116.5</v>
      </c>
      <c r="F416" s="107">
        <v>117.05</v>
      </c>
      <c r="G416">
        <v>994066</v>
      </c>
      <c r="H416" s="107"/>
      <c r="I416" s="107"/>
      <c r="L416" s="130">
        <v>42613</v>
      </c>
      <c r="M416" s="107">
        <v>117.25</v>
      </c>
      <c r="N416" s="107">
        <v>119.3</v>
      </c>
      <c r="O416" s="107">
        <v>116.5</v>
      </c>
      <c r="P416" s="107">
        <v>116.95</v>
      </c>
      <c r="Q416" s="107">
        <v>117.25</v>
      </c>
      <c r="R416">
        <v>7450067</v>
      </c>
    </row>
    <row r="417" spans="1:18" x14ac:dyDescent="0.25">
      <c r="A417" s="130">
        <v>42614</v>
      </c>
      <c r="B417" s="107">
        <v>118.1</v>
      </c>
      <c r="C417" s="107">
        <v>114.2</v>
      </c>
      <c r="D417" s="107">
        <v>113</v>
      </c>
      <c r="E417" s="107">
        <v>116.95</v>
      </c>
      <c r="F417" s="107">
        <v>114.2</v>
      </c>
      <c r="G417">
        <v>620525</v>
      </c>
      <c r="H417" s="107"/>
      <c r="I417" s="107"/>
      <c r="L417" s="130">
        <v>42614</v>
      </c>
      <c r="M417" s="107">
        <v>114.15</v>
      </c>
      <c r="N417" s="107">
        <v>118</v>
      </c>
      <c r="O417" s="107">
        <v>113</v>
      </c>
      <c r="P417" s="107">
        <v>116.7</v>
      </c>
      <c r="Q417" s="107">
        <v>114.15</v>
      </c>
      <c r="R417">
        <v>4153555</v>
      </c>
    </row>
    <row r="418" spans="1:18" x14ac:dyDescent="0.25">
      <c r="A418" s="130">
        <v>42615</v>
      </c>
      <c r="B418" s="107">
        <v>117.5</v>
      </c>
      <c r="C418" s="107">
        <v>116.95</v>
      </c>
      <c r="D418" s="107">
        <v>113.4</v>
      </c>
      <c r="E418" s="107">
        <v>113.4</v>
      </c>
      <c r="F418" s="107">
        <v>116.95</v>
      </c>
      <c r="G418">
        <v>470691</v>
      </c>
      <c r="H418" s="107"/>
      <c r="I418" s="107"/>
      <c r="L418" s="130">
        <v>42615</v>
      </c>
      <c r="M418" s="107">
        <v>117.05</v>
      </c>
      <c r="N418" s="107">
        <v>117.6</v>
      </c>
      <c r="O418" s="107">
        <v>114.15</v>
      </c>
      <c r="P418" s="107">
        <v>114.65</v>
      </c>
      <c r="Q418" s="107">
        <v>117.05</v>
      </c>
      <c r="R418">
        <v>4086382</v>
      </c>
    </row>
    <row r="419" spans="1:18" x14ac:dyDescent="0.25">
      <c r="A419" s="130">
        <v>42619</v>
      </c>
      <c r="B419" s="107">
        <v>120</v>
      </c>
      <c r="C419" s="107">
        <v>119.3</v>
      </c>
      <c r="D419" s="107">
        <v>117</v>
      </c>
      <c r="E419" s="107">
        <v>117</v>
      </c>
      <c r="F419" s="107">
        <v>119.3</v>
      </c>
      <c r="G419">
        <v>570352</v>
      </c>
      <c r="H419" s="107"/>
      <c r="I419" s="107"/>
      <c r="L419" s="130">
        <v>42619</v>
      </c>
      <c r="M419" s="107">
        <v>119.4</v>
      </c>
      <c r="N419" s="107">
        <v>120.2</v>
      </c>
      <c r="O419" s="107">
        <v>117.2</v>
      </c>
      <c r="P419" s="107">
        <v>118.4</v>
      </c>
      <c r="Q419" s="107">
        <v>119.4</v>
      </c>
      <c r="R419">
        <v>6265899</v>
      </c>
    </row>
    <row r="420" spans="1:18" x14ac:dyDescent="0.25">
      <c r="A420" s="130">
        <v>42620</v>
      </c>
      <c r="B420" s="107">
        <v>125.7</v>
      </c>
      <c r="C420" s="107">
        <v>123</v>
      </c>
      <c r="D420" s="107">
        <v>118.8</v>
      </c>
      <c r="E420" s="107">
        <v>120</v>
      </c>
      <c r="F420" s="107">
        <v>123</v>
      </c>
      <c r="G420">
        <v>1358805</v>
      </c>
      <c r="H420" s="107"/>
      <c r="I420" s="107"/>
      <c r="L420" s="130">
        <v>42620</v>
      </c>
      <c r="M420" s="107">
        <v>123</v>
      </c>
      <c r="N420" s="107">
        <v>125.9</v>
      </c>
      <c r="O420" s="107">
        <v>118.7</v>
      </c>
      <c r="P420" s="107">
        <v>120</v>
      </c>
      <c r="Q420" s="107">
        <v>123</v>
      </c>
      <c r="R420">
        <v>11115364</v>
      </c>
    </row>
    <row r="421" spans="1:18" x14ac:dyDescent="0.25">
      <c r="A421" s="130">
        <v>42621</v>
      </c>
      <c r="B421" s="107">
        <v>125.95</v>
      </c>
      <c r="C421" s="107">
        <v>123.95</v>
      </c>
      <c r="D421" s="107">
        <v>123.2</v>
      </c>
      <c r="E421" s="107">
        <v>124</v>
      </c>
      <c r="F421" s="107">
        <v>123.95</v>
      </c>
      <c r="G421">
        <v>617633</v>
      </c>
      <c r="H421" s="107"/>
      <c r="I421" s="107"/>
      <c r="L421" s="130">
        <v>42621</v>
      </c>
      <c r="M421" s="107">
        <v>124.1</v>
      </c>
      <c r="N421" s="107">
        <v>126.1</v>
      </c>
      <c r="O421" s="107">
        <v>123.1</v>
      </c>
      <c r="P421" s="107">
        <v>123.9</v>
      </c>
      <c r="Q421" s="107">
        <v>124.1</v>
      </c>
      <c r="R421">
        <v>5174266</v>
      </c>
    </row>
    <row r="422" spans="1:18" x14ac:dyDescent="0.25">
      <c r="A422" s="130">
        <v>42622</v>
      </c>
      <c r="B422" s="107">
        <v>124.85</v>
      </c>
      <c r="C422" s="107">
        <v>123.4</v>
      </c>
      <c r="D422" s="107">
        <v>121.65</v>
      </c>
      <c r="E422" s="107">
        <v>124</v>
      </c>
      <c r="F422" s="107">
        <v>123.4</v>
      </c>
      <c r="G422">
        <v>527853</v>
      </c>
      <c r="H422" s="107"/>
      <c r="I422" s="107"/>
      <c r="L422" s="130">
        <v>42622</v>
      </c>
      <c r="M422" s="107">
        <v>123.4</v>
      </c>
      <c r="N422" s="107">
        <v>124.95</v>
      </c>
      <c r="O422" s="107">
        <v>121.5</v>
      </c>
      <c r="P422" s="107">
        <v>124</v>
      </c>
      <c r="Q422" s="107">
        <v>123.4</v>
      </c>
      <c r="R422">
        <v>5397663</v>
      </c>
    </row>
    <row r="423" spans="1:18" x14ac:dyDescent="0.25">
      <c r="A423" s="130">
        <v>42625</v>
      </c>
      <c r="B423" s="107">
        <v>121.65</v>
      </c>
      <c r="C423" s="107">
        <v>115.9</v>
      </c>
      <c r="D423" s="107">
        <v>114.95</v>
      </c>
      <c r="E423" s="107">
        <v>120.2</v>
      </c>
      <c r="F423" s="107">
        <v>115.9</v>
      </c>
      <c r="G423">
        <v>765210</v>
      </c>
      <c r="H423" s="107"/>
      <c r="I423" s="107"/>
      <c r="L423" s="130">
        <v>42625</v>
      </c>
      <c r="M423" s="107">
        <v>115.9</v>
      </c>
      <c r="N423" s="107">
        <v>121.85</v>
      </c>
      <c r="O423" s="107">
        <v>114.9</v>
      </c>
      <c r="P423" s="107">
        <v>120.1</v>
      </c>
      <c r="Q423" s="107">
        <v>115.9</v>
      </c>
      <c r="R423">
        <v>4984084</v>
      </c>
    </row>
    <row r="424" spans="1:18" x14ac:dyDescent="0.25">
      <c r="A424" s="130">
        <v>42627</v>
      </c>
      <c r="B424" s="107">
        <v>121.8</v>
      </c>
      <c r="C424" s="107">
        <v>121.2</v>
      </c>
      <c r="D424" s="107">
        <v>115.4</v>
      </c>
      <c r="E424" s="107">
        <v>115.9</v>
      </c>
      <c r="F424" s="107">
        <v>121.2</v>
      </c>
      <c r="G424">
        <v>669515</v>
      </c>
      <c r="H424" s="107"/>
      <c r="I424" s="107"/>
      <c r="L424" s="130">
        <v>42627</v>
      </c>
      <c r="M424" s="107">
        <v>121.3</v>
      </c>
      <c r="N424" s="107">
        <v>121.8</v>
      </c>
      <c r="O424" s="107">
        <v>115.3</v>
      </c>
      <c r="P424" s="107">
        <v>116.1</v>
      </c>
      <c r="Q424" s="107">
        <v>121.3</v>
      </c>
      <c r="R424">
        <v>5154351</v>
      </c>
    </row>
    <row r="425" spans="1:18" x14ac:dyDescent="0.25">
      <c r="A425" s="130">
        <v>42628</v>
      </c>
      <c r="B425" s="107">
        <v>122</v>
      </c>
      <c r="C425" s="107">
        <v>119.15</v>
      </c>
      <c r="D425" s="107">
        <v>117.7</v>
      </c>
      <c r="E425" s="107">
        <v>121.25</v>
      </c>
      <c r="F425" s="107">
        <v>119.15</v>
      </c>
      <c r="G425">
        <v>492041</v>
      </c>
      <c r="H425" s="107"/>
      <c r="I425" s="107"/>
      <c r="L425" s="130">
        <v>42628</v>
      </c>
      <c r="M425" s="107">
        <v>119.15</v>
      </c>
      <c r="N425" s="107">
        <v>121.5</v>
      </c>
      <c r="O425" s="107">
        <v>117.5</v>
      </c>
      <c r="P425" s="107">
        <v>121.5</v>
      </c>
      <c r="Q425" s="107">
        <v>119.15</v>
      </c>
      <c r="R425">
        <v>4407968</v>
      </c>
    </row>
    <row r="426" spans="1:18" x14ac:dyDescent="0.25">
      <c r="A426" s="130">
        <v>42629</v>
      </c>
      <c r="B426" s="107">
        <v>123.3</v>
      </c>
      <c r="C426" s="107">
        <v>116.7</v>
      </c>
      <c r="D426" s="107">
        <v>116.05</v>
      </c>
      <c r="E426" s="107">
        <v>121.15</v>
      </c>
      <c r="F426" s="107">
        <v>116.7</v>
      </c>
      <c r="G426">
        <v>886132</v>
      </c>
      <c r="H426" s="107"/>
      <c r="I426" s="107"/>
      <c r="L426" s="130">
        <v>42629</v>
      </c>
      <c r="M426" s="107">
        <v>116.55</v>
      </c>
      <c r="N426" s="107">
        <v>123.4</v>
      </c>
      <c r="O426" s="107">
        <v>116.1</v>
      </c>
      <c r="P426" s="107">
        <v>120.3</v>
      </c>
      <c r="Q426" s="107">
        <v>116.55</v>
      </c>
      <c r="R426">
        <v>8715480</v>
      </c>
    </row>
    <row r="427" spans="1:18" x14ac:dyDescent="0.25">
      <c r="A427" s="130">
        <v>42632</v>
      </c>
      <c r="B427" s="107">
        <v>118.7</v>
      </c>
      <c r="C427" s="107">
        <v>117.25</v>
      </c>
      <c r="D427" s="107">
        <v>116.75</v>
      </c>
      <c r="E427" s="107">
        <v>117.5</v>
      </c>
      <c r="F427" s="107">
        <v>117.25</v>
      </c>
      <c r="G427">
        <v>370572</v>
      </c>
      <c r="H427" s="107"/>
      <c r="I427" s="107"/>
      <c r="L427" s="130">
        <v>42632</v>
      </c>
      <c r="M427" s="107">
        <v>117.15</v>
      </c>
      <c r="N427" s="107">
        <v>118.6</v>
      </c>
      <c r="O427" s="107">
        <v>116.6</v>
      </c>
      <c r="P427" s="107">
        <v>118.4</v>
      </c>
      <c r="Q427" s="107">
        <v>117.15</v>
      </c>
      <c r="R427">
        <v>3379242</v>
      </c>
    </row>
    <row r="428" spans="1:18" x14ac:dyDescent="0.25">
      <c r="A428" s="130">
        <v>42633</v>
      </c>
      <c r="B428" s="107">
        <v>119.25</v>
      </c>
      <c r="C428" s="107">
        <v>116.7</v>
      </c>
      <c r="D428" s="107">
        <v>116.45</v>
      </c>
      <c r="E428" s="107">
        <v>119.25</v>
      </c>
      <c r="F428" s="107">
        <v>116.7</v>
      </c>
      <c r="G428">
        <v>291092</v>
      </c>
      <c r="H428" s="107"/>
      <c r="I428" s="107"/>
      <c r="L428" s="130">
        <v>42633</v>
      </c>
      <c r="M428" s="107">
        <v>116.8</v>
      </c>
      <c r="N428" s="107">
        <v>118.45</v>
      </c>
      <c r="O428" s="107">
        <v>116.4</v>
      </c>
      <c r="P428" s="107">
        <v>117.8</v>
      </c>
      <c r="Q428" s="107">
        <v>116.8</v>
      </c>
      <c r="R428">
        <v>3136685</v>
      </c>
    </row>
    <row r="429" spans="1:18" x14ac:dyDescent="0.25">
      <c r="A429" s="130">
        <v>42634</v>
      </c>
      <c r="B429" s="107">
        <v>117.9</v>
      </c>
      <c r="C429" s="107">
        <v>115.95</v>
      </c>
      <c r="D429" s="107">
        <v>115.35</v>
      </c>
      <c r="E429" s="107">
        <v>117.5</v>
      </c>
      <c r="F429" s="107">
        <v>115.95</v>
      </c>
      <c r="G429">
        <v>202638</v>
      </c>
      <c r="H429" s="107"/>
      <c r="I429" s="107"/>
      <c r="L429" s="130">
        <v>42634</v>
      </c>
      <c r="M429" s="107">
        <v>115.85</v>
      </c>
      <c r="N429" s="107">
        <v>117.9</v>
      </c>
      <c r="O429" s="107">
        <v>115.2</v>
      </c>
      <c r="P429" s="107">
        <v>117.5</v>
      </c>
      <c r="Q429" s="107">
        <v>115.85</v>
      </c>
      <c r="R429">
        <v>2754127</v>
      </c>
    </row>
    <row r="430" spans="1:18" x14ac:dyDescent="0.25">
      <c r="A430" s="130">
        <v>42635</v>
      </c>
      <c r="B430" s="107">
        <v>119.75</v>
      </c>
      <c r="C430" s="107">
        <v>119.55</v>
      </c>
      <c r="D430" s="107">
        <v>117.25</v>
      </c>
      <c r="E430" s="107">
        <v>119</v>
      </c>
      <c r="F430" s="107">
        <v>119.55</v>
      </c>
      <c r="G430">
        <v>379138</v>
      </c>
      <c r="H430" s="107"/>
      <c r="I430" s="107"/>
      <c r="L430" s="130">
        <v>42635</v>
      </c>
      <c r="M430" s="107">
        <v>119.65</v>
      </c>
      <c r="N430" s="107">
        <v>119.9</v>
      </c>
      <c r="O430" s="107">
        <v>117.2</v>
      </c>
      <c r="P430" s="107">
        <v>119.6</v>
      </c>
      <c r="Q430" s="107">
        <v>119.65</v>
      </c>
      <c r="R430">
        <v>4352403</v>
      </c>
    </row>
    <row r="431" spans="1:18" x14ac:dyDescent="0.25">
      <c r="A431" s="130">
        <v>42636</v>
      </c>
      <c r="B431" s="107">
        <v>120.5</v>
      </c>
      <c r="C431" s="107">
        <v>118.3</v>
      </c>
      <c r="D431" s="107">
        <v>118.1</v>
      </c>
      <c r="E431" s="107">
        <v>119.7</v>
      </c>
      <c r="F431" s="107">
        <v>118.3</v>
      </c>
      <c r="G431">
        <v>360719</v>
      </c>
      <c r="H431" s="107"/>
      <c r="I431" s="107"/>
      <c r="L431" s="130">
        <v>42636</v>
      </c>
      <c r="M431" s="107">
        <v>118.45</v>
      </c>
      <c r="N431" s="107">
        <v>120.5</v>
      </c>
      <c r="O431" s="107">
        <v>118.2</v>
      </c>
      <c r="P431" s="107">
        <v>120</v>
      </c>
      <c r="Q431" s="107">
        <v>118.45</v>
      </c>
      <c r="R431">
        <v>4061303</v>
      </c>
    </row>
    <row r="432" spans="1:18" x14ac:dyDescent="0.25">
      <c r="A432" s="130">
        <v>42639</v>
      </c>
      <c r="B432" s="107">
        <v>119.75</v>
      </c>
      <c r="C432" s="107">
        <v>117.8</v>
      </c>
      <c r="D432" s="107">
        <v>117</v>
      </c>
      <c r="E432" s="107">
        <v>117.7</v>
      </c>
      <c r="F432" s="107">
        <v>117.8</v>
      </c>
      <c r="G432">
        <v>375929</v>
      </c>
      <c r="H432" s="107"/>
      <c r="I432" s="107"/>
      <c r="L432" s="130">
        <v>42639</v>
      </c>
      <c r="M432" s="107">
        <v>117.7</v>
      </c>
      <c r="N432" s="107">
        <v>119.75</v>
      </c>
      <c r="O432" s="107">
        <v>117.1</v>
      </c>
      <c r="P432" s="107">
        <v>117.95</v>
      </c>
      <c r="Q432" s="107">
        <v>117.7</v>
      </c>
      <c r="R432">
        <v>3760199</v>
      </c>
    </row>
    <row r="433" spans="1:18" x14ac:dyDescent="0.25">
      <c r="A433" s="130">
        <v>42640</v>
      </c>
      <c r="B433" s="107">
        <v>118.7</v>
      </c>
      <c r="C433" s="107">
        <v>116.5</v>
      </c>
      <c r="D433" s="107">
        <v>116.3</v>
      </c>
      <c r="E433" s="107">
        <v>118.5</v>
      </c>
      <c r="F433" s="107">
        <v>116.5</v>
      </c>
      <c r="G433">
        <v>290924</v>
      </c>
      <c r="H433" s="107"/>
      <c r="I433" s="107"/>
      <c r="L433" s="130">
        <v>42640</v>
      </c>
      <c r="M433" s="107">
        <v>116.55</v>
      </c>
      <c r="N433" s="107">
        <v>118.75</v>
      </c>
      <c r="O433" s="107">
        <v>116.1</v>
      </c>
      <c r="P433" s="107">
        <v>118.3</v>
      </c>
      <c r="Q433" s="107">
        <v>116.55</v>
      </c>
      <c r="R433">
        <v>3026909</v>
      </c>
    </row>
    <row r="434" spans="1:18" x14ac:dyDescent="0.25">
      <c r="A434" s="130">
        <v>42641</v>
      </c>
      <c r="B434" s="107">
        <v>121</v>
      </c>
      <c r="C434" s="107">
        <v>120</v>
      </c>
      <c r="D434" s="107">
        <v>116.6</v>
      </c>
      <c r="E434" s="107">
        <v>117</v>
      </c>
      <c r="F434" s="107">
        <v>120</v>
      </c>
      <c r="G434">
        <v>441621</v>
      </c>
      <c r="H434" s="107"/>
      <c r="I434" s="107"/>
      <c r="L434" s="130">
        <v>42641</v>
      </c>
      <c r="M434" s="107">
        <v>120</v>
      </c>
      <c r="N434" s="107">
        <v>121.15</v>
      </c>
      <c r="O434" s="107">
        <v>116.6</v>
      </c>
      <c r="P434" s="107">
        <v>116.7</v>
      </c>
      <c r="Q434" s="107">
        <v>120</v>
      </c>
      <c r="R434">
        <v>4807962</v>
      </c>
    </row>
    <row r="435" spans="1:18" x14ac:dyDescent="0.25">
      <c r="A435" s="130">
        <v>42642</v>
      </c>
      <c r="B435" s="107">
        <v>121.7</v>
      </c>
      <c r="C435" s="107">
        <v>110.3</v>
      </c>
      <c r="D435" s="107">
        <v>109.85</v>
      </c>
      <c r="E435" s="107">
        <v>121</v>
      </c>
      <c r="F435" s="107">
        <v>110.3</v>
      </c>
      <c r="G435">
        <v>1282080</v>
      </c>
      <c r="H435" s="107"/>
      <c r="I435" s="107"/>
      <c r="L435" s="130">
        <v>42642</v>
      </c>
      <c r="M435" s="107">
        <v>110.15</v>
      </c>
      <c r="N435" s="107">
        <v>121.8</v>
      </c>
      <c r="O435" s="107">
        <v>109.55</v>
      </c>
      <c r="P435" s="107">
        <v>121.2</v>
      </c>
      <c r="Q435" s="107">
        <v>110.15</v>
      </c>
      <c r="R435">
        <v>9674968</v>
      </c>
    </row>
    <row r="436" spans="1:18" x14ac:dyDescent="0.25">
      <c r="A436" s="130">
        <v>42643</v>
      </c>
      <c r="B436" s="107">
        <v>114</v>
      </c>
      <c r="C436" s="107">
        <v>112.7</v>
      </c>
      <c r="D436" s="107">
        <v>108.8</v>
      </c>
      <c r="E436" s="107">
        <v>111.3</v>
      </c>
      <c r="F436" s="107">
        <v>112.7</v>
      </c>
      <c r="G436">
        <v>915909</v>
      </c>
      <c r="H436" s="107"/>
      <c r="I436" s="107"/>
      <c r="L436" s="130">
        <v>42643</v>
      </c>
      <c r="M436" s="107">
        <v>112.5</v>
      </c>
      <c r="N436" s="107">
        <v>114</v>
      </c>
      <c r="O436" s="107">
        <v>108</v>
      </c>
      <c r="P436" s="107">
        <v>110.4</v>
      </c>
      <c r="Q436" s="107">
        <v>112.5</v>
      </c>
      <c r="R436">
        <v>6582397</v>
      </c>
    </row>
    <row r="437" spans="1:18" x14ac:dyDescent="0.25">
      <c r="A437" s="130">
        <v>42646</v>
      </c>
      <c r="B437" s="107">
        <v>116.8</v>
      </c>
      <c r="C437" s="107">
        <v>116.3</v>
      </c>
      <c r="D437" s="107">
        <v>113</v>
      </c>
      <c r="E437" s="107">
        <v>113</v>
      </c>
      <c r="F437" s="107">
        <v>116.3</v>
      </c>
      <c r="G437">
        <v>601471</v>
      </c>
      <c r="H437" s="107"/>
      <c r="I437" s="107"/>
      <c r="L437" s="130">
        <v>42646</v>
      </c>
      <c r="M437" s="107">
        <v>116.4</v>
      </c>
      <c r="N437" s="107">
        <v>116.8</v>
      </c>
      <c r="O437" s="107">
        <v>113.7</v>
      </c>
      <c r="P437" s="107">
        <v>113.95</v>
      </c>
      <c r="Q437" s="107">
        <v>116.4</v>
      </c>
      <c r="R437">
        <v>3656595</v>
      </c>
    </row>
    <row r="438" spans="1:18" x14ac:dyDescent="0.25">
      <c r="A438" s="130">
        <v>42647</v>
      </c>
      <c r="B438" s="107">
        <v>120.85</v>
      </c>
      <c r="C438" s="107">
        <v>118.8</v>
      </c>
      <c r="D438" s="107">
        <v>115.55</v>
      </c>
      <c r="E438" s="107">
        <v>117.5</v>
      </c>
      <c r="F438" s="107">
        <v>118.8</v>
      </c>
      <c r="G438">
        <v>1170964</v>
      </c>
      <c r="H438" s="107"/>
      <c r="I438" s="107"/>
      <c r="L438" s="130">
        <v>42647</v>
      </c>
      <c r="M438" s="107">
        <v>119.05</v>
      </c>
      <c r="N438" s="107">
        <v>121.3</v>
      </c>
      <c r="O438" s="107">
        <v>115.4</v>
      </c>
      <c r="P438" s="107">
        <v>117</v>
      </c>
      <c r="Q438" s="107">
        <v>119.05</v>
      </c>
      <c r="R438">
        <v>6860647</v>
      </c>
    </row>
    <row r="439" spans="1:18" x14ac:dyDescent="0.25">
      <c r="A439" s="130">
        <v>42648</v>
      </c>
      <c r="B439" s="107">
        <v>121.65</v>
      </c>
      <c r="C439" s="107">
        <v>119.75</v>
      </c>
      <c r="D439" s="107">
        <v>118.75</v>
      </c>
      <c r="E439" s="107">
        <v>119.75</v>
      </c>
      <c r="F439" s="107">
        <v>119.75</v>
      </c>
      <c r="G439">
        <v>749425</v>
      </c>
      <c r="H439" s="107"/>
      <c r="I439" s="107"/>
      <c r="L439" s="130">
        <v>42648</v>
      </c>
      <c r="M439" s="107">
        <v>119.65</v>
      </c>
      <c r="N439" s="107">
        <v>121.85</v>
      </c>
      <c r="O439" s="107">
        <v>119.05</v>
      </c>
      <c r="P439" s="107">
        <v>120</v>
      </c>
      <c r="Q439" s="107">
        <v>119.65</v>
      </c>
      <c r="R439">
        <v>5434949</v>
      </c>
    </row>
    <row r="440" spans="1:18" x14ac:dyDescent="0.25">
      <c r="A440" s="130">
        <v>42649</v>
      </c>
      <c r="B440" s="107">
        <v>121</v>
      </c>
      <c r="C440" s="107">
        <v>117.05</v>
      </c>
      <c r="D440" s="107">
        <v>115.95</v>
      </c>
      <c r="E440" s="107">
        <v>119.75</v>
      </c>
      <c r="F440" s="107">
        <v>117.05</v>
      </c>
      <c r="G440">
        <v>584569</v>
      </c>
      <c r="H440" s="107"/>
      <c r="I440" s="107"/>
      <c r="L440" s="130">
        <v>42649</v>
      </c>
      <c r="M440" s="107">
        <v>116.65</v>
      </c>
      <c r="N440" s="107">
        <v>120.45</v>
      </c>
      <c r="O440" s="107">
        <v>115.7</v>
      </c>
      <c r="P440" s="107">
        <v>119.4</v>
      </c>
      <c r="Q440" s="107">
        <v>116.65</v>
      </c>
      <c r="R440">
        <v>4672771</v>
      </c>
    </row>
    <row r="441" spans="1:18" x14ac:dyDescent="0.25">
      <c r="A441" s="130">
        <v>42650</v>
      </c>
      <c r="B441" s="107">
        <v>118.1</v>
      </c>
      <c r="C441" s="107">
        <v>117.15</v>
      </c>
      <c r="D441" s="107">
        <v>116.05</v>
      </c>
      <c r="E441" s="107">
        <v>117</v>
      </c>
      <c r="F441" s="107">
        <v>117.15</v>
      </c>
      <c r="G441">
        <v>662736</v>
      </c>
      <c r="H441" s="107"/>
      <c r="I441" s="107"/>
      <c r="L441" s="130">
        <v>42650</v>
      </c>
      <c r="M441" s="107">
        <v>116.95</v>
      </c>
      <c r="N441" s="107">
        <v>118.25</v>
      </c>
      <c r="O441" s="107">
        <v>116</v>
      </c>
      <c r="P441" s="107">
        <v>117.25</v>
      </c>
      <c r="Q441" s="107">
        <v>116.95</v>
      </c>
      <c r="R441">
        <v>4269812</v>
      </c>
    </row>
    <row r="442" spans="1:18" x14ac:dyDescent="0.25">
      <c r="A442" s="130">
        <v>42653</v>
      </c>
      <c r="B442" s="107">
        <v>118.5</v>
      </c>
      <c r="C442" s="107">
        <v>116.3</v>
      </c>
      <c r="D442" s="107">
        <v>115.85</v>
      </c>
      <c r="E442" s="107">
        <v>117.7</v>
      </c>
      <c r="F442" s="107">
        <v>116.3</v>
      </c>
      <c r="G442">
        <v>292993</v>
      </c>
      <c r="H442" s="107"/>
      <c r="I442" s="107"/>
      <c r="L442" s="130">
        <v>42653</v>
      </c>
      <c r="M442" s="107">
        <v>116.1</v>
      </c>
      <c r="N442" s="107">
        <v>118.5</v>
      </c>
      <c r="O442" s="107">
        <v>115.75</v>
      </c>
      <c r="P442" s="107">
        <v>117.7</v>
      </c>
      <c r="Q442" s="107">
        <v>116.1</v>
      </c>
      <c r="R442">
        <v>2102516</v>
      </c>
    </row>
    <row r="443" spans="1:18" x14ac:dyDescent="0.25">
      <c r="A443" s="130">
        <v>42656</v>
      </c>
      <c r="B443" s="107">
        <v>116</v>
      </c>
      <c r="C443" s="107">
        <v>111</v>
      </c>
      <c r="D443" s="107">
        <v>109.5</v>
      </c>
      <c r="E443" s="107">
        <v>116</v>
      </c>
      <c r="F443" s="107">
        <v>111</v>
      </c>
      <c r="G443">
        <v>1040745</v>
      </c>
      <c r="H443" s="107"/>
      <c r="I443" s="107"/>
      <c r="L443" s="130">
        <v>42656</v>
      </c>
      <c r="M443" s="107">
        <v>111</v>
      </c>
      <c r="N443" s="107">
        <v>115.3</v>
      </c>
      <c r="O443" s="107">
        <v>109.45</v>
      </c>
      <c r="P443" s="107">
        <v>115</v>
      </c>
      <c r="Q443" s="107">
        <v>111</v>
      </c>
      <c r="R443">
        <v>5859136</v>
      </c>
    </row>
    <row r="444" spans="1:18" x14ac:dyDescent="0.25">
      <c r="A444" s="130">
        <v>42657</v>
      </c>
      <c r="B444" s="107">
        <v>113.7</v>
      </c>
      <c r="C444" s="107">
        <v>111.9</v>
      </c>
      <c r="D444" s="107">
        <v>111</v>
      </c>
      <c r="E444" s="107">
        <v>111</v>
      </c>
      <c r="F444" s="107">
        <v>111.9</v>
      </c>
      <c r="G444">
        <v>315938</v>
      </c>
      <c r="H444" s="107"/>
      <c r="I444" s="107"/>
      <c r="L444" s="130">
        <v>42657</v>
      </c>
      <c r="M444" s="107">
        <v>112.05</v>
      </c>
      <c r="N444" s="107">
        <v>112.9</v>
      </c>
      <c r="O444" s="107">
        <v>110.65</v>
      </c>
      <c r="P444" s="107">
        <v>111.6</v>
      </c>
      <c r="Q444" s="107">
        <v>112.05</v>
      </c>
      <c r="R444">
        <v>3575069</v>
      </c>
    </row>
    <row r="445" spans="1:18" x14ac:dyDescent="0.25">
      <c r="A445" s="130">
        <v>42660</v>
      </c>
      <c r="B445" s="107">
        <v>113.6</v>
      </c>
      <c r="C445" s="107">
        <v>110.65</v>
      </c>
      <c r="D445" s="107">
        <v>110.1</v>
      </c>
      <c r="E445" s="107">
        <v>111.9</v>
      </c>
      <c r="F445" s="107">
        <v>110.65</v>
      </c>
      <c r="G445">
        <v>409503</v>
      </c>
      <c r="H445" s="107"/>
      <c r="I445" s="107"/>
      <c r="L445" s="130">
        <v>42660</v>
      </c>
      <c r="M445" s="107">
        <v>110.7</v>
      </c>
      <c r="N445" s="107">
        <v>113.55</v>
      </c>
      <c r="O445" s="107">
        <v>110.15</v>
      </c>
      <c r="P445" s="107">
        <v>112.3</v>
      </c>
      <c r="Q445" s="107">
        <v>110.7</v>
      </c>
      <c r="R445">
        <v>3359840</v>
      </c>
    </row>
    <row r="446" spans="1:18" x14ac:dyDescent="0.25">
      <c r="A446" s="130">
        <v>42661</v>
      </c>
      <c r="B446" s="107">
        <v>113.05</v>
      </c>
      <c r="C446" s="107">
        <v>112.6</v>
      </c>
      <c r="D446" s="107">
        <v>110.4</v>
      </c>
      <c r="E446" s="107">
        <v>111</v>
      </c>
      <c r="F446" s="107">
        <v>112.6</v>
      </c>
      <c r="G446">
        <v>391795</v>
      </c>
      <c r="H446" s="107"/>
      <c r="I446" s="107"/>
      <c r="L446" s="130">
        <v>42661</v>
      </c>
      <c r="M446" s="107">
        <v>112.7</v>
      </c>
      <c r="N446" s="107">
        <v>113.3</v>
      </c>
      <c r="O446" s="107">
        <v>110.2</v>
      </c>
      <c r="P446" s="107">
        <v>111.5</v>
      </c>
      <c r="Q446" s="107">
        <v>112.7</v>
      </c>
      <c r="R446">
        <v>3218947</v>
      </c>
    </row>
    <row r="447" spans="1:18" x14ac:dyDescent="0.25">
      <c r="A447" s="130">
        <v>42662</v>
      </c>
      <c r="B447" s="107">
        <v>113.95</v>
      </c>
      <c r="C447" s="107">
        <v>113.1</v>
      </c>
      <c r="D447" s="107">
        <v>112.35</v>
      </c>
      <c r="E447" s="107">
        <v>112.9</v>
      </c>
      <c r="F447" s="107">
        <v>113.1</v>
      </c>
      <c r="G447">
        <v>481749</v>
      </c>
      <c r="H447" s="107"/>
      <c r="I447" s="107"/>
      <c r="L447" s="130">
        <v>42662</v>
      </c>
      <c r="M447" s="107">
        <v>112.8</v>
      </c>
      <c r="N447" s="107">
        <v>113.85</v>
      </c>
      <c r="O447" s="107">
        <v>112.3</v>
      </c>
      <c r="P447" s="107">
        <v>112.95</v>
      </c>
      <c r="Q447" s="107">
        <v>112.8</v>
      </c>
      <c r="R447">
        <v>2592986</v>
      </c>
    </row>
    <row r="448" spans="1:18" x14ac:dyDescent="0.25">
      <c r="A448" s="130">
        <v>42663</v>
      </c>
      <c r="B448" s="107">
        <v>115.75</v>
      </c>
      <c r="C448" s="107">
        <v>114.4</v>
      </c>
      <c r="D448" s="107">
        <v>112.2</v>
      </c>
      <c r="E448" s="107">
        <v>112.2</v>
      </c>
      <c r="F448" s="107">
        <v>114.4</v>
      </c>
      <c r="G448">
        <v>425365</v>
      </c>
      <c r="H448" s="107"/>
      <c r="I448" s="107"/>
      <c r="L448" s="130">
        <v>42663</v>
      </c>
      <c r="M448" s="107">
        <v>114.45</v>
      </c>
      <c r="N448" s="107">
        <v>115.8</v>
      </c>
      <c r="O448" s="107">
        <v>112.95</v>
      </c>
      <c r="P448" s="107">
        <v>112.95</v>
      </c>
      <c r="Q448" s="107">
        <v>114.45</v>
      </c>
      <c r="R448">
        <v>4552538</v>
      </c>
    </row>
    <row r="449" spans="1:18" x14ac:dyDescent="0.25">
      <c r="A449" s="130">
        <v>42664</v>
      </c>
      <c r="B449" s="107">
        <v>114.6</v>
      </c>
      <c r="C449" s="107">
        <v>113.35</v>
      </c>
      <c r="D449" s="107">
        <v>112.25</v>
      </c>
      <c r="E449" s="107">
        <v>114.6</v>
      </c>
      <c r="F449" s="107">
        <v>113.35</v>
      </c>
      <c r="G449">
        <v>302656</v>
      </c>
      <c r="H449" s="107"/>
      <c r="I449" s="107"/>
      <c r="L449" s="130">
        <v>42664</v>
      </c>
      <c r="M449" s="107">
        <v>113.35</v>
      </c>
      <c r="N449" s="107">
        <v>114.5</v>
      </c>
      <c r="O449" s="107">
        <v>112.15</v>
      </c>
      <c r="P449" s="107">
        <v>114.45</v>
      </c>
      <c r="Q449" s="107">
        <v>113.35</v>
      </c>
      <c r="R449">
        <v>3036755</v>
      </c>
    </row>
    <row r="450" spans="1:18" x14ac:dyDescent="0.25">
      <c r="A450" s="130">
        <v>42667</v>
      </c>
      <c r="B450" s="107">
        <v>115.75</v>
      </c>
      <c r="C450" s="107">
        <v>114.7</v>
      </c>
      <c r="D450" s="107">
        <v>113.8</v>
      </c>
      <c r="E450" s="107">
        <v>113.8</v>
      </c>
      <c r="F450" s="107">
        <v>114.7</v>
      </c>
      <c r="G450">
        <v>343453</v>
      </c>
      <c r="H450" s="107"/>
      <c r="I450" s="107"/>
      <c r="L450" s="130">
        <v>42667</v>
      </c>
      <c r="M450" s="107">
        <v>114.95</v>
      </c>
      <c r="N450" s="107">
        <v>115.9</v>
      </c>
      <c r="O450" s="107">
        <v>113.9</v>
      </c>
      <c r="P450" s="107">
        <v>114.1</v>
      </c>
      <c r="Q450" s="107">
        <v>114.95</v>
      </c>
      <c r="R450">
        <v>3197241</v>
      </c>
    </row>
    <row r="451" spans="1:18" x14ac:dyDescent="0.25">
      <c r="A451" s="130">
        <v>42668</v>
      </c>
      <c r="B451" s="107">
        <v>115.55</v>
      </c>
      <c r="C451" s="107">
        <v>113.9</v>
      </c>
      <c r="D451" s="107">
        <v>113.6</v>
      </c>
      <c r="E451" s="107">
        <v>115.5</v>
      </c>
      <c r="F451" s="107">
        <v>113.9</v>
      </c>
      <c r="G451">
        <v>179287</v>
      </c>
      <c r="H451" s="107"/>
      <c r="I451" s="107"/>
      <c r="L451" s="130">
        <v>42668</v>
      </c>
      <c r="M451" s="107">
        <v>114.05</v>
      </c>
      <c r="N451" s="107">
        <v>115.65</v>
      </c>
      <c r="O451" s="107">
        <v>113.65</v>
      </c>
      <c r="P451" s="107">
        <v>115.15</v>
      </c>
      <c r="Q451" s="107">
        <v>114.05</v>
      </c>
      <c r="R451">
        <v>2253616</v>
      </c>
    </row>
    <row r="452" spans="1:18" x14ac:dyDescent="0.25">
      <c r="A452" s="130">
        <v>42669</v>
      </c>
      <c r="B452" s="107">
        <v>115.55</v>
      </c>
      <c r="C452" s="107">
        <v>113.8</v>
      </c>
      <c r="D452" s="107">
        <v>112.5</v>
      </c>
      <c r="E452" s="107">
        <v>112.9</v>
      </c>
      <c r="F452" s="107">
        <v>113.8</v>
      </c>
      <c r="G452">
        <v>274708</v>
      </c>
      <c r="H452" s="107"/>
      <c r="I452" s="107"/>
      <c r="L452" s="130">
        <v>42669</v>
      </c>
      <c r="M452" s="107">
        <v>114.15</v>
      </c>
      <c r="N452" s="107">
        <v>115.7</v>
      </c>
      <c r="O452" s="107">
        <v>112.6</v>
      </c>
      <c r="P452" s="107">
        <v>113.6</v>
      </c>
      <c r="Q452" s="107">
        <v>114.15</v>
      </c>
      <c r="R452">
        <v>3439597</v>
      </c>
    </row>
    <row r="453" spans="1:18" x14ac:dyDescent="0.25">
      <c r="A453" s="130">
        <v>42670</v>
      </c>
      <c r="B453" s="107">
        <v>114.8</v>
      </c>
      <c r="C453" s="107">
        <v>114.05</v>
      </c>
      <c r="D453" s="107">
        <v>112.2</v>
      </c>
      <c r="E453" s="107">
        <v>113.5</v>
      </c>
      <c r="F453" s="107">
        <v>114.05</v>
      </c>
      <c r="G453">
        <v>307965</v>
      </c>
      <c r="H453" s="107"/>
      <c r="I453" s="107"/>
      <c r="L453" s="130">
        <v>42670</v>
      </c>
      <c r="M453" s="107">
        <v>113.55</v>
      </c>
      <c r="N453" s="107">
        <v>114.45</v>
      </c>
      <c r="O453" s="107">
        <v>112.05</v>
      </c>
      <c r="P453" s="107">
        <v>113.1</v>
      </c>
      <c r="Q453" s="107">
        <v>113.55</v>
      </c>
      <c r="R453">
        <v>2724206</v>
      </c>
    </row>
    <row r="454" spans="1:18" x14ac:dyDescent="0.25">
      <c r="A454" s="130">
        <v>42671</v>
      </c>
      <c r="B454" s="107">
        <v>115.65</v>
      </c>
      <c r="C454" s="107">
        <v>114.6</v>
      </c>
      <c r="D454" s="107">
        <v>113.55</v>
      </c>
      <c r="E454" s="107">
        <v>115</v>
      </c>
      <c r="F454" s="107">
        <v>114.6</v>
      </c>
      <c r="G454">
        <v>231912</v>
      </c>
      <c r="H454" s="107"/>
      <c r="I454" s="107"/>
      <c r="L454" s="130">
        <v>42671</v>
      </c>
      <c r="M454" s="107">
        <v>114.85</v>
      </c>
      <c r="N454" s="107">
        <v>115.75</v>
      </c>
      <c r="O454" s="107">
        <v>113.55</v>
      </c>
      <c r="P454" s="107">
        <v>113.9</v>
      </c>
      <c r="Q454" s="107">
        <v>114.85</v>
      </c>
      <c r="R454">
        <v>2562939</v>
      </c>
    </row>
    <row r="455" spans="1:18" x14ac:dyDescent="0.25">
      <c r="A455" s="130">
        <v>42673</v>
      </c>
      <c r="B455" s="107">
        <v>115.4</v>
      </c>
      <c r="C455" s="107">
        <v>114.75</v>
      </c>
      <c r="D455" s="107">
        <v>114</v>
      </c>
      <c r="E455" s="107">
        <v>114.5</v>
      </c>
      <c r="F455" s="107">
        <v>114.75</v>
      </c>
      <c r="G455">
        <v>44437</v>
      </c>
      <c r="H455" s="107"/>
      <c r="I455" s="107"/>
      <c r="L455" s="130">
        <v>42673</v>
      </c>
      <c r="M455" s="107">
        <v>114.65</v>
      </c>
      <c r="N455" s="107">
        <v>115.45</v>
      </c>
      <c r="O455" s="107">
        <v>114.15</v>
      </c>
      <c r="P455" s="107">
        <v>115.4</v>
      </c>
      <c r="Q455" s="107">
        <v>114.65</v>
      </c>
      <c r="R455">
        <v>301355</v>
      </c>
    </row>
    <row r="456" spans="1:18" x14ac:dyDescent="0.25">
      <c r="A456" s="130">
        <v>42675</v>
      </c>
      <c r="B456" s="107">
        <v>115.35</v>
      </c>
      <c r="C456" s="107">
        <v>113.7</v>
      </c>
      <c r="D456" s="107">
        <v>113.2</v>
      </c>
      <c r="E456" s="107">
        <v>115</v>
      </c>
      <c r="F456" s="107">
        <v>113.7</v>
      </c>
      <c r="G456">
        <v>274145</v>
      </c>
      <c r="H456" s="107"/>
      <c r="I456" s="107"/>
      <c r="L456" s="130">
        <v>42675</v>
      </c>
      <c r="M456" s="107">
        <v>113.85</v>
      </c>
      <c r="N456" s="107">
        <v>115.5</v>
      </c>
      <c r="O456" s="107">
        <v>113.3</v>
      </c>
      <c r="P456" s="107">
        <v>114.3</v>
      </c>
      <c r="Q456" s="107">
        <v>113.85</v>
      </c>
      <c r="R456">
        <v>1460779</v>
      </c>
    </row>
    <row r="457" spans="1:18" x14ac:dyDescent="0.25">
      <c r="A457" s="130">
        <v>42676</v>
      </c>
      <c r="B457" s="107">
        <v>112.3</v>
      </c>
      <c r="C457" s="107">
        <v>109.15</v>
      </c>
      <c r="D457" s="107">
        <v>108.8</v>
      </c>
      <c r="E457" s="107">
        <v>112.2</v>
      </c>
      <c r="F457" s="107">
        <v>109.15</v>
      </c>
      <c r="G457">
        <v>520302</v>
      </c>
      <c r="H457" s="107"/>
      <c r="I457" s="107"/>
      <c r="L457" s="130">
        <v>42676</v>
      </c>
      <c r="M457" s="107">
        <v>109.1</v>
      </c>
      <c r="N457" s="107">
        <v>112.5</v>
      </c>
      <c r="O457" s="107">
        <v>108.7</v>
      </c>
      <c r="P457" s="107">
        <v>112.4</v>
      </c>
      <c r="Q457" s="107">
        <v>109.1</v>
      </c>
      <c r="R457">
        <v>4083659</v>
      </c>
    </row>
    <row r="458" spans="1:18" x14ac:dyDescent="0.25">
      <c r="A458" s="130">
        <v>42677</v>
      </c>
      <c r="B458" s="107">
        <v>110.8</v>
      </c>
      <c r="C458" s="107">
        <v>108.95</v>
      </c>
      <c r="D458" s="107">
        <v>108.2</v>
      </c>
      <c r="E458" s="107">
        <v>109</v>
      </c>
      <c r="F458" s="107">
        <v>108.95</v>
      </c>
      <c r="G458">
        <v>372756</v>
      </c>
      <c r="H458" s="107"/>
      <c r="I458" s="107"/>
      <c r="L458" s="130">
        <v>42677</v>
      </c>
      <c r="M458" s="107">
        <v>108.75</v>
      </c>
      <c r="N458" s="107">
        <v>110.75</v>
      </c>
      <c r="O458" s="107">
        <v>108.15</v>
      </c>
      <c r="P458" s="107">
        <v>108.6</v>
      </c>
      <c r="Q458" s="107">
        <v>108.75</v>
      </c>
      <c r="R458">
        <v>2541459</v>
      </c>
    </row>
    <row r="459" spans="1:18" x14ac:dyDescent="0.25">
      <c r="A459" s="130">
        <v>42678</v>
      </c>
      <c r="B459" s="107">
        <v>112</v>
      </c>
      <c r="C459" s="107">
        <v>106.45</v>
      </c>
      <c r="D459" s="107">
        <v>106.1</v>
      </c>
      <c r="E459" s="107">
        <v>112</v>
      </c>
      <c r="F459" s="107">
        <v>106.45</v>
      </c>
      <c r="G459">
        <v>359168</v>
      </c>
      <c r="H459" s="107"/>
      <c r="I459" s="107"/>
      <c r="L459" s="130">
        <v>42678</v>
      </c>
      <c r="M459" s="107">
        <v>106.25</v>
      </c>
      <c r="N459" s="107">
        <v>109.75</v>
      </c>
      <c r="O459" s="107">
        <v>105.7</v>
      </c>
      <c r="P459" s="107">
        <v>109.75</v>
      </c>
      <c r="Q459" s="107">
        <v>106.25</v>
      </c>
      <c r="R459">
        <v>2632923</v>
      </c>
    </row>
    <row r="460" spans="1:18" x14ac:dyDescent="0.25">
      <c r="A460" s="130">
        <v>42681</v>
      </c>
      <c r="B460" s="107">
        <v>109.3</v>
      </c>
      <c r="C460" s="107">
        <v>108.55</v>
      </c>
      <c r="D460" s="107">
        <v>106.8</v>
      </c>
      <c r="E460" s="107">
        <v>108</v>
      </c>
      <c r="F460" s="107">
        <v>108.55</v>
      </c>
      <c r="G460">
        <v>276956</v>
      </c>
      <c r="H460" s="107"/>
      <c r="I460" s="107"/>
      <c r="L460" s="130">
        <v>42681</v>
      </c>
      <c r="M460" s="107">
        <v>108.7</v>
      </c>
      <c r="N460" s="107">
        <v>109.4</v>
      </c>
      <c r="O460" s="107">
        <v>106.7</v>
      </c>
      <c r="P460" s="107">
        <v>107.15</v>
      </c>
      <c r="Q460" s="107">
        <v>108.7</v>
      </c>
      <c r="R460">
        <v>2629608</v>
      </c>
    </row>
    <row r="461" spans="1:18" x14ac:dyDescent="0.25">
      <c r="A461" s="130">
        <v>42682</v>
      </c>
      <c r="B461" s="107">
        <v>109.8</v>
      </c>
      <c r="C461" s="107">
        <v>109</v>
      </c>
      <c r="D461" s="107">
        <v>107.85</v>
      </c>
      <c r="E461" s="107">
        <v>109.45</v>
      </c>
      <c r="F461" s="107">
        <v>109</v>
      </c>
      <c r="G461">
        <v>223626</v>
      </c>
      <c r="H461" s="107"/>
      <c r="I461" s="107"/>
      <c r="L461" s="130">
        <v>42682</v>
      </c>
      <c r="M461" s="107">
        <v>109</v>
      </c>
      <c r="N461" s="107">
        <v>109.9</v>
      </c>
      <c r="O461" s="107">
        <v>107.8</v>
      </c>
      <c r="P461" s="107">
        <v>109</v>
      </c>
      <c r="Q461" s="107">
        <v>109</v>
      </c>
      <c r="R461">
        <v>2056221</v>
      </c>
    </row>
    <row r="462" spans="1:18" x14ac:dyDescent="0.25">
      <c r="A462" s="130">
        <v>42683</v>
      </c>
      <c r="B462" s="107">
        <v>110.55</v>
      </c>
      <c r="C462" s="107">
        <v>109.9</v>
      </c>
      <c r="D462" s="107">
        <v>99.8</v>
      </c>
      <c r="E462" s="107">
        <v>102</v>
      </c>
      <c r="F462" s="107">
        <v>109.9</v>
      </c>
      <c r="G462">
        <v>962079</v>
      </c>
      <c r="H462" s="107"/>
      <c r="I462" s="107"/>
      <c r="L462" s="130">
        <v>42683</v>
      </c>
      <c r="M462" s="107">
        <v>109.75</v>
      </c>
      <c r="N462" s="107">
        <v>110.65</v>
      </c>
      <c r="O462" s="107">
        <v>99.65</v>
      </c>
      <c r="P462" s="107">
        <v>102</v>
      </c>
      <c r="Q462" s="107">
        <v>109.75</v>
      </c>
      <c r="R462">
        <v>6562333</v>
      </c>
    </row>
    <row r="463" spans="1:18" x14ac:dyDescent="0.25">
      <c r="A463" s="130">
        <v>42684</v>
      </c>
      <c r="B463" s="107">
        <v>125.15</v>
      </c>
      <c r="C463" s="107">
        <v>124.15</v>
      </c>
      <c r="D463" s="107">
        <v>111.9</v>
      </c>
      <c r="E463" s="107">
        <v>113</v>
      </c>
      <c r="F463" s="107">
        <v>124.15</v>
      </c>
      <c r="G463">
        <v>2639578</v>
      </c>
      <c r="H463" s="107"/>
      <c r="I463" s="107"/>
      <c r="L463" s="130">
        <v>42684</v>
      </c>
      <c r="M463" s="107">
        <v>124.15</v>
      </c>
      <c r="N463" s="107">
        <v>125.2</v>
      </c>
      <c r="O463" s="107">
        <v>111</v>
      </c>
      <c r="P463" s="107">
        <v>112</v>
      </c>
      <c r="Q463" s="107">
        <v>124.15</v>
      </c>
      <c r="R463">
        <v>21205199</v>
      </c>
    </row>
    <row r="464" spans="1:18" x14ac:dyDescent="0.25">
      <c r="A464" s="130">
        <v>42685</v>
      </c>
      <c r="B464" s="107">
        <v>128.75</v>
      </c>
      <c r="C464" s="107">
        <v>122.05</v>
      </c>
      <c r="D464" s="107">
        <v>120.8</v>
      </c>
      <c r="E464" s="107">
        <v>122.65</v>
      </c>
      <c r="F464" s="107">
        <v>122.05</v>
      </c>
      <c r="G464">
        <v>1611157</v>
      </c>
      <c r="H464" s="107"/>
      <c r="I464" s="107"/>
      <c r="L464" s="130">
        <v>42685</v>
      </c>
      <c r="M464" s="107">
        <v>122.05</v>
      </c>
      <c r="N464" s="107">
        <v>128.75</v>
      </c>
      <c r="O464" s="107">
        <v>120.75</v>
      </c>
      <c r="P464" s="107">
        <v>122.9</v>
      </c>
      <c r="Q464" s="107">
        <v>122.05</v>
      </c>
      <c r="R464">
        <v>13150957</v>
      </c>
    </row>
    <row r="465" spans="1:18" x14ac:dyDescent="0.25">
      <c r="A465" s="130">
        <v>42689</v>
      </c>
      <c r="B465" s="107">
        <v>127</v>
      </c>
      <c r="C465" s="107">
        <v>123.25</v>
      </c>
      <c r="D465" s="107">
        <v>118.3</v>
      </c>
      <c r="E465" s="107">
        <v>124.5</v>
      </c>
      <c r="F465" s="107">
        <v>123.25</v>
      </c>
      <c r="G465">
        <v>1476000</v>
      </c>
      <c r="H465" s="107"/>
      <c r="I465" s="107"/>
      <c r="L465" s="130">
        <v>42689</v>
      </c>
      <c r="M465" s="107">
        <v>123.25</v>
      </c>
      <c r="N465" s="107">
        <v>126.9</v>
      </c>
      <c r="O465" s="107">
        <v>118.1</v>
      </c>
      <c r="P465" s="107">
        <v>123.95</v>
      </c>
      <c r="Q465" s="107">
        <v>123.25</v>
      </c>
      <c r="R465">
        <v>11054523</v>
      </c>
    </row>
    <row r="466" spans="1:18" x14ac:dyDescent="0.25">
      <c r="A466" s="130">
        <v>42690</v>
      </c>
      <c r="B466" s="107">
        <v>127.25</v>
      </c>
      <c r="C466" s="107">
        <v>121.2</v>
      </c>
      <c r="D466" s="107">
        <v>120</v>
      </c>
      <c r="E466" s="107">
        <v>127</v>
      </c>
      <c r="F466" s="107">
        <v>121.2</v>
      </c>
      <c r="G466">
        <v>702090</v>
      </c>
      <c r="H466" s="107"/>
      <c r="I466" s="107"/>
      <c r="L466" s="130">
        <v>42690</v>
      </c>
      <c r="M466" s="107">
        <v>121.1</v>
      </c>
      <c r="N466" s="107">
        <v>127.4</v>
      </c>
      <c r="O466" s="107">
        <v>120</v>
      </c>
      <c r="P466" s="107">
        <v>126.6</v>
      </c>
      <c r="Q466" s="107">
        <v>121.1</v>
      </c>
      <c r="R466">
        <v>6221454</v>
      </c>
    </row>
    <row r="467" spans="1:18" x14ac:dyDescent="0.25">
      <c r="A467" s="130">
        <v>42691</v>
      </c>
      <c r="B467" s="107">
        <v>123.45</v>
      </c>
      <c r="C467" s="107">
        <v>119.85</v>
      </c>
      <c r="D467" s="107">
        <v>119</v>
      </c>
      <c r="E467" s="107">
        <v>123</v>
      </c>
      <c r="F467" s="107">
        <v>119.85</v>
      </c>
      <c r="G467">
        <v>464791</v>
      </c>
      <c r="H467" s="107"/>
      <c r="I467" s="107"/>
      <c r="L467" s="130">
        <v>42691</v>
      </c>
      <c r="M467" s="107">
        <v>119.8</v>
      </c>
      <c r="N467" s="107">
        <v>123.65</v>
      </c>
      <c r="O467" s="107">
        <v>118.85</v>
      </c>
      <c r="P467" s="107">
        <v>121.55</v>
      </c>
      <c r="Q467" s="107">
        <v>119.8</v>
      </c>
      <c r="R467">
        <v>4435328</v>
      </c>
    </row>
    <row r="468" spans="1:18" x14ac:dyDescent="0.25">
      <c r="A468" s="130">
        <v>42692</v>
      </c>
      <c r="B468" s="107">
        <v>124.05</v>
      </c>
      <c r="C468" s="107">
        <v>121.45</v>
      </c>
      <c r="D468" s="107">
        <v>119.1</v>
      </c>
      <c r="E468" s="107">
        <v>120.15</v>
      </c>
      <c r="F468" s="107">
        <v>121.45</v>
      </c>
      <c r="G468">
        <v>578266</v>
      </c>
      <c r="H468" s="107"/>
      <c r="I468" s="107"/>
      <c r="L468" s="130">
        <v>42692</v>
      </c>
      <c r="M468" s="107">
        <v>121.5</v>
      </c>
      <c r="N468" s="107">
        <v>124</v>
      </c>
      <c r="O468" s="107">
        <v>119.05</v>
      </c>
      <c r="P468" s="107">
        <v>120.6</v>
      </c>
      <c r="Q468" s="107">
        <v>121.5</v>
      </c>
      <c r="R468">
        <v>4781031</v>
      </c>
    </row>
    <row r="469" spans="1:18" x14ac:dyDescent="0.25">
      <c r="A469" s="130">
        <v>42695</v>
      </c>
      <c r="B469" s="107">
        <v>123.35</v>
      </c>
      <c r="C469" s="107">
        <v>117.15</v>
      </c>
      <c r="D469" s="107">
        <v>116.5</v>
      </c>
      <c r="E469" s="107">
        <v>122.4</v>
      </c>
      <c r="F469" s="107">
        <v>117.15</v>
      </c>
      <c r="G469">
        <v>823132</v>
      </c>
      <c r="H469" s="107"/>
      <c r="I469" s="107"/>
      <c r="L469" s="130">
        <v>42695</v>
      </c>
      <c r="M469" s="107">
        <v>117.15</v>
      </c>
      <c r="N469" s="107">
        <v>123.4</v>
      </c>
      <c r="O469" s="107">
        <v>116.4</v>
      </c>
      <c r="P469" s="107">
        <v>122.95</v>
      </c>
      <c r="Q469" s="107">
        <v>117.15</v>
      </c>
      <c r="R469">
        <v>7795290</v>
      </c>
    </row>
    <row r="470" spans="1:18" x14ac:dyDescent="0.25">
      <c r="A470" s="130">
        <v>42696</v>
      </c>
      <c r="B470" s="107">
        <v>119</v>
      </c>
      <c r="C470" s="107">
        <v>117.45</v>
      </c>
      <c r="D470" s="107">
        <v>114.25</v>
      </c>
      <c r="E470" s="107">
        <v>117.6</v>
      </c>
      <c r="F470" s="107">
        <v>117.45</v>
      </c>
      <c r="G470">
        <v>644884</v>
      </c>
      <c r="H470" s="107"/>
      <c r="I470" s="107"/>
      <c r="L470" s="130">
        <v>42696</v>
      </c>
      <c r="M470" s="107">
        <v>117.15</v>
      </c>
      <c r="N470" s="107">
        <v>118.9</v>
      </c>
      <c r="O470" s="107">
        <v>114.15</v>
      </c>
      <c r="P470" s="107">
        <v>118.55</v>
      </c>
      <c r="Q470" s="107">
        <v>117.15</v>
      </c>
      <c r="R470">
        <v>5097412</v>
      </c>
    </row>
    <row r="471" spans="1:18" x14ac:dyDescent="0.25">
      <c r="A471" s="130">
        <v>42697</v>
      </c>
      <c r="B471" s="107">
        <v>118.5</v>
      </c>
      <c r="C471" s="107">
        <v>117.15</v>
      </c>
      <c r="D471" s="107">
        <v>116.3</v>
      </c>
      <c r="E471" s="107">
        <v>118.4</v>
      </c>
      <c r="F471" s="107">
        <v>117.15</v>
      </c>
      <c r="G471">
        <v>285911</v>
      </c>
      <c r="H471" s="107"/>
      <c r="I471" s="107"/>
      <c r="L471" s="130">
        <v>42697</v>
      </c>
      <c r="M471" s="107">
        <v>117.3</v>
      </c>
      <c r="N471" s="107">
        <v>118.6</v>
      </c>
      <c r="O471" s="107">
        <v>116.2</v>
      </c>
      <c r="P471" s="107">
        <v>118</v>
      </c>
      <c r="Q471" s="107">
        <v>117.3</v>
      </c>
      <c r="R471">
        <v>2683883</v>
      </c>
    </row>
    <row r="472" spans="1:18" x14ac:dyDescent="0.25">
      <c r="A472" s="130">
        <v>42698</v>
      </c>
      <c r="B472" s="107">
        <v>120.55</v>
      </c>
      <c r="C472" s="107">
        <v>120.1</v>
      </c>
      <c r="D472" s="107">
        <v>115.6</v>
      </c>
      <c r="E472" s="107">
        <v>116.5</v>
      </c>
      <c r="F472" s="107">
        <v>120.1</v>
      </c>
      <c r="G472">
        <v>644553</v>
      </c>
      <c r="H472" s="107"/>
      <c r="I472" s="107"/>
      <c r="L472" s="130">
        <v>42698</v>
      </c>
      <c r="M472" s="107">
        <v>120.05</v>
      </c>
      <c r="N472" s="107">
        <v>120.6</v>
      </c>
      <c r="O472" s="107">
        <v>115.5</v>
      </c>
      <c r="P472" s="107">
        <v>116.8</v>
      </c>
      <c r="Q472" s="107">
        <v>120.05</v>
      </c>
      <c r="R472">
        <v>6253340</v>
      </c>
    </row>
    <row r="473" spans="1:18" x14ac:dyDescent="0.25">
      <c r="A473" s="130">
        <v>42699</v>
      </c>
      <c r="B473" s="107">
        <v>122.95</v>
      </c>
      <c r="C473" s="107">
        <v>121.25</v>
      </c>
      <c r="D473" s="107">
        <v>120.3</v>
      </c>
      <c r="E473" s="107">
        <v>121.5</v>
      </c>
      <c r="F473" s="107">
        <v>121.25</v>
      </c>
      <c r="G473">
        <v>593227</v>
      </c>
      <c r="H473" s="107"/>
      <c r="I473" s="107"/>
      <c r="L473" s="130">
        <v>42699</v>
      </c>
      <c r="M473" s="107">
        <v>121.4</v>
      </c>
      <c r="N473" s="107">
        <v>122.95</v>
      </c>
      <c r="O473" s="107">
        <v>120.15</v>
      </c>
      <c r="P473" s="107">
        <v>121.5</v>
      </c>
      <c r="Q473" s="107">
        <v>121.4</v>
      </c>
      <c r="R473">
        <v>3886441</v>
      </c>
    </row>
    <row r="474" spans="1:18" x14ac:dyDescent="0.25">
      <c r="A474" s="130">
        <v>42702</v>
      </c>
      <c r="B474" s="107">
        <v>120.85</v>
      </c>
      <c r="C474" s="107">
        <v>117.95</v>
      </c>
      <c r="D474" s="107">
        <v>116.15</v>
      </c>
      <c r="E474" s="107">
        <v>117.5</v>
      </c>
      <c r="F474" s="107">
        <v>117.95</v>
      </c>
      <c r="G474">
        <v>876285</v>
      </c>
      <c r="H474" s="107"/>
      <c r="I474" s="107"/>
      <c r="L474" s="130">
        <v>42702</v>
      </c>
      <c r="M474" s="107">
        <v>117.9</v>
      </c>
      <c r="N474" s="107">
        <v>121</v>
      </c>
      <c r="O474" s="107">
        <v>116.3</v>
      </c>
      <c r="P474" s="107">
        <v>117.9</v>
      </c>
      <c r="Q474" s="107">
        <v>117.9</v>
      </c>
      <c r="R474">
        <v>4104514</v>
      </c>
    </row>
    <row r="475" spans="1:18" x14ac:dyDescent="0.25">
      <c r="A475" s="130">
        <v>42703</v>
      </c>
      <c r="B475" s="107">
        <v>119.55</v>
      </c>
      <c r="C475" s="107">
        <v>116.45</v>
      </c>
      <c r="D475" s="107">
        <v>115.75</v>
      </c>
      <c r="E475" s="107">
        <v>118.8</v>
      </c>
      <c r="F475" s="107">
        <v>116.45</v>
      </c>
      <c r="G475">
        <v>410142</v>
      </c>
      <c r="H475" s="107"/>
      <c r="I475" s="107"/>
      <c r="L475" s="130">
        <v>42703</v>
      </c>
      <c r="M475" s="107">
        <v>116.45</v>
      </c>
      <c r="N475" s="107">
        <v>119.6</v>
      </c>
      <c r="O475" s="107">
        <v>115.75</v>
      </c>
      <c r="P475" s="107">
        <v>118.2</v>
      </c>
      <c r="Q475" s="107">
        <v>116.45</v>
      </c>
      <c r="R475">
        <v>3325502</v>
      </c>
    </row>
    <row r="476" spans="1:18" x14ac:dyDescent="0.25">
      <c r="A476" s="130">
        <v>42704</v>
      </c>
      <c r="B476" s="107">
        <v>119.9</v>
      </c>
      <c r="C476" s="107">
        <v>119.45</v>
      </c>
      <c r="D476" s="107">
        <v>116.5</v>
      </c>
      <c r="E476" s="107">
        <v>117.45</v>
      </c>
      <c r="F476" s="107">
        <v>119.45</v>
      </c>
      <c r="G476">
        <v>399876</v>
      </c>
      <c r="H476" s="107"/>
      <c r="I476" s="107"/>
      <c r="L476" s="130">
        <v>42704</v>
      </c>
      <c r="M476" s="107">
        <v>119.5</v>
      </c>
      <c r="N476" s="107">
        <v>120</v>
      </c>
      <c r="O476" s="107">
        <v>116.5</v>
      </c>
      <c r="P476" s="107">
        <v>116.9</v>
      </c>
      <c r="Q476" s="107">
        <v>119.5</v>
      </c>
      <c r="R476">
        <v>4203214</v>
      </c>
    </row>
    <row r="477" spans="1:18" x14ac:dyDescent="0.25">
      <c r="A477" s="130">
        <v>42705</v>
      </c>
      <c r="B477" s="107">
        <v>120.25</v>
      </c>
      <c r="C477" s="107">
        <v>116.95</v>
      </c>
      <c r="D477" s="107">
        <v>116.45</v>
      </c>
      <c r="E477" s="107">
        <v>119.5</v>
      </c>
      <c r="F477" s="107">
        <v>116.95</v>
      </c>
      <c r="G477">
        <v>407661</v>
      </c>
      <c r="H477" s="107"/>
      <c r="I477" s="107"/>
      <c r="L477" s="130">
        <v>42705</v>
      </c>
      <c r="M477" s="107">
        <v>116.8</v>
      </c>
      <c r="N477" s="107">
        <v>120.8</v>
      </c>
      <c r="O477" s="107">
        <v>116.35</v>
      </c>
      <c r="P477" s="107">
        <v>119</v>
      </c>
      <c r="Q477" s="107">
        <v>116.8</v>
      </c>
      <c r="R477">
        <v>3086047</v>
      </c>
    </row>
    <row r="478" spans="1:18" x14ac:dyDescent="0.25">
      <c r="A478" s="130">
        <v>42706</v>
      </c>
      <c r="B478" s="107">
        <v>118.6</v>
      </c>
      <c r="C478" s="107">
        <v>116.05</v>
      </c>
      <c r="D478" s="107">
        <v>114.2</v>
      </c>
      <c r="E478" s="107">
        <v>115</v>
      </c>
      <c r="F478" s="107">
        <v>116.05</v>
      </c>
      <c r="G478">
        <v>704904</v>
      </c>
      <c r="H478" s="107"/>
      <c r="I478" s="107"/>
      <c r="L478" s="130">
        <v>42706</v>
      </c>
      <c r="M478" s="107">
        <v>116.2</v>
      </c>
      <c r="N478" s="107">
        <v>118.65</v>
      </c>
      <c r="O478" s="107">
        <v>114.25</v>
      </c>
      <c r="P478" s="107">
        <v>115</v>
      </c>
      <c r="Q478" s="107">
        <v>116.2</v>
      </c>
      <c r="R478">
        <v>4700250</v>
      </c>
    </row>
    <row r="479" spans="1:18" x14ac:dyDescent="0.25">
      <c r="A479" s="130">
        <v>42709</v>
      </c>
      <c r="B479" s="107">
        <v>118.25</v>
      </c>
      <c r="C479" s="107">
        <v>117.4</v>
      </c>
      <c r="D479" s="107">
        <v>115.25</v>
      </c>
      <c r="E479" s="107">
        <v>116</v>
      </c>
      <c r="F479" s="107">
        <v>117.4</v>
      </c>
      <c r="G479">
        <v>403994</v>
      </c>
      <c r="H479" s="107"/>
      <c r="I479" s="107"/>
      <c r="L479" s="130">
        <v>42709</v>
      </c>
      <c r="M479" s="107">
        <v>117.4</v>
      </c>
      <c r="N479" s="107">
        <v>118</v>
      </c>
      <c r="O479" s="107">
        <v>115.25</v>
      </c>
      <c r="P479" s="107">
        <v>115.85</v>
      </c>
      <c r="Q479" s="107">
        <v>117.4</v>
      </c>
      <c r="R479">
        <v>3083909</v>
      </c>
    </row>
    <row r="480" spans="1:18" x14ac:dyDescent="0.25">
      <c r="A480" s="130">
        <v>42710</v>
      </c>
      <c r="B480" s="107">
        <v>118.35</v>
      </c>
      <c r="C480" s="107">
        <v>117.05</v>
      </c>
      <c r="D480" s="107">
        <v>116.55</v>
      </c>
      <c r="E480" s="107">
        <v>118</v>
      </c>
      <c r="F480" s="107">
        <v>117.05</v>
      </c>
      <c r="G480">
        <v>236608</v>
      </c>
      <c r="H480" s="107"/>
      <c r="I480" s="107"/>
      <c r="L480" s="130">
        <v>42710</v>
      </c>
      <c r="M480" s="107">
        <v>117</v>
      </c>
      <c r="N480" s="107">
        <v>118.4</v>
      </c>
      <c r="O480" s="107">
        <v>116.55</v>
      </c>
      <c r="P480" s="107">
        <v>118</v>
      </c>
      <c r="Q480" s="107">
        <v>117</v>
      </c>
      <c r="R480">
        <v>2531825</v>
      </c>
    </row>
    <row r="481" spans="1:18" x14ac:dyDescent="0.25">
      <c r="A481" s="130">
        <v>42711</v>
      </c>
      <c r="B481" s="107">
        <v>118.2</v>
      </c>
      <c r="C481" s="107">
        <v>114.5</v>
      </c>
      <c r="D481" s="107">
        <v>113.55</v>
      </c>
      <c r="E481" s="107">
        <v>117.55</v>
      </c>
      <c r="F481" s="107">
        <v>114.5</v>
      </c>
      <c r="G481">
        <v>659199</v>
      </c>
      <c r="H481" s="107"/>
      <c r="I481" s="107"/>
      <c r="L481" s="130">
        <v>42711</v>
      </c>
      <c r="M481" s="107">
        <v>114.25</v>
      </c>
      <c r="N481" s="107">
        <v>118.1</v>
      </c>
      <c r="O481" s="107">
        <v>113.5</v>
      </c>
      <c r="P481" s="107">
        <v>117.6</v>
      </c>
      <c r="Q481" s="107">
        <v>114.25</v>
      </c>
      <c r="R481">
        <v>4076370</v>
      </c>
    </row>
    <row r="482" spans="1:18" x14ac:dyDescent="0.25">
      <c r="A482" s="130">
        <v>42712</v>
      </c>
      <c r="B482" s="107">
        <v>116.6</v>
      </c>
      <c r="C482" s="107">
        <v>114.8</v>
      </c>
      <c r="D482" s="107">
        <v>114.5</v>
      </c>
      <c r="E482" s="107">
        <v>115.4</v>
      </c>
      <c r="F482" s="107">
        <v>114.8</v>
      </c>
      <c r="G482">
        <v>314294</v>
      </c>
      <c r="H482" s="107"/>
      <c r="I482" s="107"/>
      <c r="L482" s="130">
        <v>42712</v>
      </c>
      <c r="M482" s="107">
        <v>114.7</v>
      </c>
      <c r="N482" s="107">
        <v>116.65</v>
      </c>
      <c r="O482" s="107">
        <v>114.4</v>
      </c>
      <c r="P482" s="107">
        <v>115</v>
      </c>
      <c r="Q482" s="107">
        <v>114.7</v>
      </c>
      <c r="R482">
        <v>2995595</v>
      </c>
    </row>
    <row r="483" spans="1:18" x14ac:dyDescent="0.25">
      <c r="A483" s="130">
        <v>42713</v>
      </c>
      <c r="B483" s="107">
        <v>117.4</v>
      </c>
      <c r="C483" s="107">
        <v>117</v>
      </c>
      <c r="D483" s="107">
        <v>114.75</v>
      </c>
      <c r="E483" s="107">
        <v>115.5</v>
      </c>
      <c r="F483" s="107">
        <v>117</v>
      </c>
      <c r="G483">
        <v>465029</v>
      </c>
      <c r="H483" s="107"/>
      <c r="I483" s="107"/>
      <c r="L483" s="130">
        <v>42713</v>
      </c>
      <c r="M483" s="107">
        <v>117.05</v>
      </c>
      <c r="N483" s="107">
        <v>117.5</v>
      </c>
      <c r="O483" s="107">
        <v>114.7</v>
      </c>
      <c r="P483" s="107">
        <v>115.85</v>
      </c>
      <c r="Q483" s="107">
        <v>117.05</v>
      </c>
      <c r="R483">
        <v>3846596</v>
      </c>
    </row>
    <row r="484" spans="1:18" x14ac:dyDescent="0.25">
      <c r="A484" s="130">
        <v>42716</v>
      </c>
      <c r="B484" s="107">
        <v>117.7</v>
      </c>
      <c r="C484" s="107">
        <v>115.65</v>
      </c>
      <c r="D484" s="107">
        <v>115.05</v>
      </c>
      <c r="E484" s="107">
        <v>117</v>
      </c>
      <c r="F484" s="107">
        <v>115.65</v>
      </c>
      <c r="G484">
        <v>217845</v>
      </c>
      <c r="H484" s="107"/>
      <c r="I484" s="107"/>
      <c r="L484" s="130">
        <v>42716</v>
      </c>
      <c r="M484" s="107">
        <v>115.65</v>
      </c>
      <c r="N484" s="107">
        <v>117.7</v>
      </c>
      <c r="O484" s="107">
        <v>115.1</v>
      </c>
      <c r="P484" s="107">
        <v>117.7</v>
      </c>
      <c r="Q484" s="107">
        <v>115.65</v>
      </c>
      <c r="R484">
        <v>2082108</v>
      </c>
    </row>
    <row r="485" spans="1:18" x14ac:dyDescent="0.25">
      <c r="A485" s="130">
        <v>42717</v>
      </c>
      <c r="B485" s="107">
        <v>116.25</v>
      </c>
      <c r="C485" s="107">
        <v>114.9</v>
      </c>
      <c r="D485" s="107">
        <v>114.1</v>
      </c>
      <c r="E485" s="107">
        <v>115.05</v>
      </c>
      <c r="F485" s="107">
        <v>114.9</v>
      </c>
      <c r="G485">
        <v>209145</v>
      </c>
      <c r="H485" s="107"/>
      <c r="I485" s="107"/>
      <c r="L485" s="130">
        <v>42717</v>
      </c>
      <c r="M485" s="107">
        <v>115</v>
      </c>
      <c r="N485" s="107">
        <v>116.3</v>
      </c>
      <c r="O485" s="107">
        <v>114.25</v>
      </c>
      <c r="P485" s="107">
        <v>115.9</v>
      </c>
      <c r="Q485" s="107">
        <v>115</v>
      </c>
      <c r="R485">
        <v>1879647</v>
      </c>
    </row>
    <row r="486" spans="1:18" x14ac:dyDescent="0.25">
      <c r="A486" s="130">
        <v>42718</v>
      </c>
      <c r="B486" s="107">
        <v>115.65</v>
      </c>
      <c r="C486" s="107">
        <v>113.9</v>
      </c>
      <c r="D486" s="107">
        <v>113.7</v>
      </c>
      <c r="E486" s="107">
        <v>115.1</v>
      </c>
      <c r="F486" s="107">
        <v>113.9</v>
      </c>
      <c r="G486">
        <v>255096</v>
      </c>
      <c r="H486" s="107"/>
      <c r="I486" s="107"/>
      <c r="L486" s="130">
        <v>42718</v>
      </c>
      <c r="M486" s="107">
        <v>113.9</v>
      </c>
      <c r="N486" s="107">
        <v>115.6</v>
      </c>
      <c r="O486" s="107">
        <v>113.7</v>
      </c>
      <c r="P486" s="107">
        <v>115</v>
      </c>
      <c r="Q486" s="107">
        <v>113.9</v>
      </c>
      <c r="R486">
        <v>1668227</v>
      </c>
    </row>
    <row r="487" spans="1:18" x14ac:dyDescent="0.25">
      <c r="A487" s="130">
        <v>42719</v>
      </c>
      <c r="B487" s="107">
        <v>115.4</v>
      </c>
      <c r="C487" s="107">
        <v>114.1</v>
      </c>
      <c r="D487" s="107">
        <v>112.45</v>
      </c>
      <c r="E487" s="107">
        <v>113.15</v>
      </c>
      <c r="F487" s="107">
        <v>114.1</v>
      </c>
      <c r="G487">
        <v>243236</v>
      </c>
      <c r="H487" s="107"/>
      <c r="I487" s="107"/>
      <c r="L487" s="130">
        <v>42719</v>
      </c>
      <c r="M487" s="107">
        <v>114</v>
      </c>
      <c r="N487" s="107">
        <v>115.45</v>
      </c>
      <c r="O487" s="107">
        <v>112.1</v>
      </c>
      <c r="P487" s="107">
        <v>112.5</v>
      </c>
      <c r="Q487" s="107">
        <v>114</v>
      </c>
      <c r="R487">
        <v>2042204</v>
      </c>
    </row>
    <row r="488" spans="1:18" x14ac:dyDescent="0.25">
      <c r="A488" s="130">
        <v>42720</v>
      </c>
      <c r="B488" s="107">
        <v>114.7</v>
      </c>
      <c r="C488" s="107">
        <v>113.5</v>
      </c>
      <c r="D488" s="107">
        <v>112.65</v>
      </c>
      <c r="E488" s="107">
        <v>114</v>
      </c>
      <c r="F488" s="107">
        <v>113.5</v>
      </c>
      <c r="G488">
        <v>175822</v>
      </c>
      <c r="H488" s="107"/>
      <c r="I488" s="107"/>
      <c r="L488" s="130">
        <v>42720</v>
      </c>
      <c r="M488" s="107">
        <v>113.5</v>
      </c>
      <c r="N488" s="107">
        <v>114.75</v>
      </c>
      <c r="O488" s="107">
        <v>113</v>
      </c>
      <c r="P488" s="107">
        <v>114.5</v>
      </c>
      <c r="Q488" s="107">
        <v>113.5</v>
      </c>
      <c r="R488">
        <v>1268045</v>
      </c>
    </row>
    <row r="489" spans="1:18" x14ac:dyDescent="0.25">
      <c r="A489" s="130">
        <v>42723</v>
      </c>
      <c r="B489" s="107">
        <v>113.9</v>
      </c>
      <c r="C489" s="107">
        <v>112.8</v>
      </c>
      <c r="D489" s="107">
        <v>112.1</v>
      </c>
      <c r="E489" s="107">
        <v>113.75</v>
      </c>
      <c r="F489" s="107">
        <v>112.8</v>
      </c>
      <c r="G489">
        <v>170461</v>
      </c>
      <c r="H489" s="107"/>
      <c r="I489" s="107"/>
      <c r="L489" s="130">
        <v>42723</v>
      </c>
      <c r="M489" s="107">
        <v>112.5</v>
      </c>
      <c r="N489" s="107">
        <v>113.85</v>
      </c>
      <c r="O489" s="107">
        <v>111.85</v>
      </c>
      <c r="P489" s="107">
        <v>113.5</v>
      </c>
      <c r="Q489" s="107">
        <v>112.5</v>
      </c>
      <c r="R489">
        <v>1592113</v>
      </c>
    </row>
    <row r="490" spans="1:18" x14ac:dyDescent="0.25">
      <c r="A490" s="130">
        <v>42724</v>
      </c>
      <c r="B490" s="107">
        <v>113.4</v>
      </c>
      <c r="C490" s="107">
        <v>110.4</v>
      </c>
      <c r="D490" s="107">
        <v>109.8</v>
      </c>
      <c r="E490" s="107">
        <v>112.85</v>
      </c>
      <c r="F490" s="107">
        <v>110.4</v>
      </c>
      <c r="G490">
        <v>269412</v>
      </c>
      <c r="H490" s="107"/>
      <c r="I490" s="107"/>
      <c r="L490" s="130">
        <v>42724</v>
      </c>
      <c r="M490" s="107">
        <v>110.4</v>
      </c>
      <c r="N490" s="107">
        <v>113.25</v>
      </c>
      <c r="O490" s="107">
        <v>109.7</v>
      </c>
      <c r="P490" s="107">
        <v>112.4</v>
      </c>
      <c r="Q490" s="107">
        <v>110.4</v>
      </c>
      <c r="R490">
        <v>2292476</v>
      </c>
    </row>
    <row r="491" spans="1:18" x14ac:dyDescent="0.25">
      <c r="A491" s="130">
        <v>42725</v>
      </c>
      <c r="B491" s="107">
        <v>111.35</v>
      </c>
      <c r="C491" s="107">
        <v>109.35</v>
      </c>
      <c r="D491" s="107">
        <v>108.9</v>
      </c>
      <c r="E491" s="107">
        <v>110.9</v>
      </c>
      <c r="F491" s="107">
        <v>109.35</v>
      </c>
      <c r="G491">
        <v>241619</v>
      </c>
      <c r="H491" s="107"/>
      <c r="I491" s="107"/>
      <c r="L491" s="130">
        <v>42725</v>
      </c>
      <c r="M491" s="107">
        <v>109.1</v>
      </c>
      <c r="N491" s="107">
        <v>111.4</v>
      </c>
      <c r="O491" s="107">
        <v>108.6</v>
      </c>
      <c r="P491" s="107">
        <v>110.65</v>
      </c>
      <c r="Q491" s="107">
        <v>109.1</v>
      </c>
      <c r="R491">
        <v>2649256</v>
      </c>
    </row>
    <row r="492" spans="1:18" x14ac:dyDescent="0.25">
      <c r="A492" s="130">
        <v>42726</v>
      </c>
      <c r="B492" s="107">
        <v>109.3</v>
      </c>
      <c r="C492" s="107">
        <v>107.6</v>
      </c>
      <c r="D492" s="107">
        <v>106.7</v>
      </c>
      <c r="E492" s="107">
        <v>108.55</v>
      </c>
      <c r="F492" s="107">
        <v>107.6</v>
      </c>
      <c r="G492">
        <v>325683</v>
      </c>
      <c r="H492" s="107"/>
      <c r="I492" s="107"/>
      <c r="L492" s="130">
        <v>42726</v>
      </c>
      <c r="M492" s="107">
        <v>107.65</v>
      </c>
      <c r="N492" s="107">
        <v>109.45</v>
      </c>
      <c r="O492" s="107">
        <v>107.3</v>
      </c>
      <c r="P492" s="107">
        <v>108.75</v>
      </c>
      <c r="Q492" s="107">
        <v>107.65</v>
      </c>
      <c r="R492">
        <v>1837748</v>
      </c>
    </row>
    <row r="493" spans="1:18" x14ac:dyDescent="0.25">
      <c r="A493" s="130">
        <v>42727</v>
      </c>
      <c r="B493" s="107">
        <v>108.65</v>
      </c>
      <c r="C493" s="107">
        <v>107</v>
      </c>
      <c r="D493" s="107">
        <v>106.7</v>
      </c>
      <c r="E493" s="107">
        <v>107.1</v>
      </c>
      <c r="F493" s="107">
        <v>107</v>
      </c>
      <c r="G493">
        <v>314473</v>
      </c>
      <c r="H493" s="107"/>
      <c r="I493" s="107"/>
      <c r="L493" s="130">
        <v>42727</v>
      </c>
      <c r="M493" s="107">
        <v>107.05</v>
      </c>
      <c r="N493" s="107">
        <v>108.65</v>
      </c>
      <c r="O493" s="107">
        <v>106.75</v>
      </c>
      <c r="P493" s="107">
        <v>107.9</v>
      </c>
      <c r="Q493" s="107">
        <v>107.05</v>
      </c>
      <c r="R493">
        <v>1937319</v>
      </c>
    </row>
    <row r="494" spans="1:18" x14ac:dyDescent="0.25">
      <c r="A494" s="130">
        <v>42730</v>
      </c>
      <c r="B494" s="107">
        <v>106.7</v>
      </c>
      <c r="C494" s="107">
        <v>103.55</v>
      </c>
      <c r="D494" s="107">
        <v>103</v>
      </c>
      <c r="E494" s="107">
        <v>106.2</v>
      </c>
      <c r="F494" s="107">
        <v>103.55</v>
      </c>
      <c r="G494">
        <v>251117</v>
      </c>
      <c r="H494" s="107"/>
      <c r="I494" s="107"/>
      <c r="L494" s="130">
        <v>42730</v>
      </c>
      <c r="M494" s="107">
        <v>103.5</v>
      </c>
      <c r="N494" s="107">
        <v>106.75</v>
      </c>
      <c r="O494" s="107">
        <v>102.95</v>
      </c>
      <c r="P494" s="107">
        <v>106.7</v>
      </c>
      <c r="Q494" s="107">
        <v>103.5</v>
      </c>
      <c r="R494">
        <v>2024903</v>
      </c>
    </row>
    <row r="495" spans="1:18" x14ac:dyDescent="0.25">
      <c r="A495" s="130">
        <v>42731</v>
      </c>
      <c r="B495" s="107">
        <v>105</v>
      </c>
      <c r="C495" s="107">
        <v>104.75</v>
      </c>
      <c r="D495" s="107">
        <v>102.6</v>
      </c>
      <c r="E495" s="107">
        <v>103.4</v>
      </c>
      <c r="F495" s="107">
        <v>104.75</v>
      </c>
      <c r="G495">
        <v>244419</v>
      </c>
      <c r="H495" s="107"/>
      <c r="I495" s="107"/>
      <c r="L495" s="130">
        <v>42731</v>
      </c>
      <c r="M495" s="107">
        <v>104.75</v>
      </c>
      <c r="N495" s="107">
        <v>105</v>
      </c>
      <c r="O495" s="107">
        <v>102.75</v>
      </c>
      <c r="P495" s="107">
        <v>103.05</v>
      </c>
      <c r="Q495" s="107">
        <v>104.75</v>
      </c>
      <c r="R495">
        <v>1819990</v>
      </c>
    </row>
    <row r="496" spans="1:18" x14ac:dyDescent="0.25">
      <c r="A496" s="130">
        <v>42732</v>
      </c>
      <c r="B496" s="107">
        <v>107.05</v>
      </c>
      <c r="C496" s="107">
        <v>104.2</v>
      </c>
      <c r="D496" s="107">
        <v>103.9</v>
      </c>
      <c r="E496" s="107">
        <v>105</v>
      </c>
      <c r="F496" s="107">
        <v>104.2</v>
      </c>
      <c r="G496">
        <v>324466</v>
      </c>
      <c r="H496" s="107"/>
      <c r="I496" s="107"/>
      <c r="L496" s="130">
        <v>42732</v>
      </c>
      <c r="M496" s="107">
        <v>104.25</v>
      </c>
      <c r="N496" s="107">
        <v>107.15</v>
      </c>
      <c r="O496" s="107">
        <v>103.85</v>
      </c>
      <c r="P496" s="107">
        <v>105.3</v>
      </c>
      <c r="Q496" s="107">
        <v>104.25</v>
      </c>
      <c r="R496">
        <v>2370261</v>
      </c>
    </row>
    <row r="497" spans="1:18" x14ac:dyDescent="0.25">
      <c r="A497" s="130">
        <v>42733</v>
      </c>
      <c r="B497" s="107">
        <v>106.75</v>
      </c>
      <c r="C497" s="107">
        <v>105.45</v>
      </c>
      <c r="D497" s="107">
        <v>103</v>
      </c>
      <c r="E497" s="107">
        <v>104.5</v>
      </c>
      <c r="F497" s="107">
        <v>105.45</v>
      </c>
      <c r="G497">
        <v>334740</v>
      </c>
      <c r="H497" s="107"/>
      <c r="I497" s="107"/>
      <c r="L497" s="130">
        <v>42733</v>
      </c>
      <c r="M497" s="107">
        <v>105.35</v>
      </c>
      <c r="N497" s="107">
        <v>106.85</v>
      </c>
      <c r="O497" s="107">
        <v>102.75</v>
      </c>
      <c r="P497" s="107">
        <v>103.35</v>
      </c>
      <c r="Q497" s="107">
        <v>105.35</v>
      </c>
      <c r="R497">
        <v>3680668</v>
      </c>
    </row>
    <row r="498" spans="1:18" x14ac:dyDescent="0.25">
      <c r="A498" s="130">
        <v>42734</v>
      </c>
      <c r="B498" s="107">
        <v>108.4</v>
      </c>
      <c r="C498" s="107">
        <v>107.2</v>
      </c>
      <c r="D498" s="107">
        <v>105.6</v>
      </c>
      <c r="E498" s="107">
        <v>106</v>
      </c>
      <c r="F498" s="107">
        <v>107.2</v>
      </c>
      <c r="G498">
        <v>229752</v>
      </c>
      <c r="H498" s="107"/>
      <c r="I498" s="107"/>
      <c r="L498" s="130">
        <v>42734</v>
      </c>
      <c r="M498" s="107">
        <v>107.25</v>
      </c>
      <c r="N498" s="107">
        <v>108.4</v>
      </c>
      <c r="O498" s="107">
        <v>105.5</v>
      </c>
      <c r="P498" s="107">
        <v>106.3</v>
      </c>
      <c r="Q498" s="107">
        <v>107.25</v>
      </c>
      <c r="R498">
        <v>3067129</v>
      </c>
    </row>
    <row r="499" spans="1:18" x14ac:dyDescent="0.25">
      <c r="A499" s="130">
        <v>42737</v>
      </c>
      <c r="B499" s="107">
        <v>108.25</v>
      </c>
      <c r="C499" s="107">
        <v>107.3</v>
      </c>
      <c r="D499" s="107">
        <v>105.9</v>
      </c>
      <c r="E499" s="107">
        <v>107.75</v>
      </c>
      <c r="F499" s="107">
        <v>107.3</v>
      </c>
      <c r="G499">
        <v>318901</v>
      </c>
      <c r="H499" s="107"/>
      <c r="I499" s="107"/>
      <c r="L499" s="130">
        <v>42737</v>
      </c>
      <c r="M499" s="107">
        <v>107.45</v>
      </c>
      <c r="N499" s="107">
        <v>108.25</v>
      </c>
      <c r="O499" s="107">
        <v>105.75</v>
      </c>
      <c r="P499" s="107">
        <v>107.75</v>
      </c>
      <c r="Q499" s="107">
        <v>107.45</v>
      </c>
      <c r="R499">
        <v>1948756</v>
      </c>
    </row>
    <row r="500" spans="1:18" x14ac:dyDescent="0.25">
      <c r="A500" s="130">
        <v>42738</v>
      </c>
      <c r="B500" s="107">
        <v>109.4</v>
      </c>
      <c r="C500" s="107">
        <v>108.55</v>
      </c>
      <c r="D500" s="107">
        <v>106.75</v>
      </c>
      <c r="E500" s="107">
        <v>108</v>
      </c>
      <c r="F500" s="107">
        <v>108.55</v>
      </c>
      <c r="G500">
        <v>247874</v>
      </c>
      <c r="H500" s="107"/>
      <c r="I500" s="107"/>
      <c r="L500" s="130">
        <v>42738</v>
      </c>
      <c r="M500" s="107">
        <v>108.35</v>
      </c>
      <c r="N500" s="107">
        <v>109.4</v>
      </c>
      <c r="O500" s="107">
        <v>106.65</v>
      </c>
      <c r="P500" s="107">
        <v>107.45</v>
      </c>
      <c r="Q500" s="107">
        <v>108.35</v>
      </c>
      <c r="R500">
        <v>1945442</v>
      </c>
    </row>
    <row r="501" spans="1:18" x14ac:dyDescent="0.25">
      <c r="A501" s="130">
        <v>42739</v>
      </c>
      <c r="B501" s="107">
        <v>109.05</v>
      </c>
      <c r="C501" s="107">
        <v>107.75</v>
      </c>
      <c r="D501" s="107">
        <v>107.05</v>
      </c>
      <c r="E501" s="107">
        <v>108.45</v>
      </c>
      <c r="F501" s="107">
        <v>107.75</v>
      </c>
      <c r="G501">
        <v>358476</v>
      </c>
      <c r="H501" s="107"/>
      <c r="I501" s="107"/>
      <c r="L501" s="130">
        <v>42739</v>
      </c>
      <c r="M501" s="107">
        <v>107.7</v>
      </c>
      <c r="N501" s="107">
        <v>109</v>
      </c>
      <c r="O501" s="107">
        <v>107.25</v>
      </c>
      <c r="P501" s="107">
        <v>108.25</v>
      </c>
      <c r="Q501" s="107">
        <v>107.7</v>
      </c>
      <c r="R501">
        <v>1551444</v>
      </c>
    </row>
    <row r="502" spans="1:18" x14ac:dyDescent="0.25">
      <c r="A502" s="130">
        <v>42740</v>
      </c>
      <c r="B502" s="107">
        <v>109.8</v>
      </c>
      <c r="C502" s="107">
        <v>109.3</v>
      </c>
      <c r="D502" s="107">
        <v>108.15</v>
      </c>
      <c r="E502" s="107">
        <v>108.15</v>
      </c>
      <c r="F502" s="107">
        <v>109.3</v>
      </c>
      <c r="G502">
        <v>217048</v>
      </c>
      <c r="H502" s="107"/>
      <c r="I502" s="107"/>
      <c r="L502" s="130">
        <v>42740</v>
      </c>
      <c r="M502" s="107">
        <v>109.55</v>
      </c>
      <c r="N502" s="107">
        <v>109.9</v>
      </c>
      <c r="O502" s="107">
        <v>108.2</v>
      </c>
      <c r="P502" s="107">
        <v>108.4</v>
      </c>
      <c r="Q502" s="107">
        <v>109.55</v>
      </c>
      <c r="R502">
        <v>1681563</v>
      </c>
    </row>
    <row r="503" spans="1:18" x14ac:dyDescent="0.25">
      <c r="A503" s="130">
        <v>42741</v>
      </c>
      <c r="B503" s="107">
        <v>111.8</v>
      </c>
      <c r="C503" s="107">
        <v>110.5</v>
      </c>
      <c r="D503" s="107">
        <v>109.5</v>
      </c>
      <c r="E503" s="107">
        <v>109.5</v>
      </c>
      <c r="F503" s="107">
        <v>110.5</v>
      </c>
      <c r="G503">
        <v>288512</v>
      </c>
      <c r="H503" s="107"/>
      <c r="I503" s="107"/>
      <c r="L503" s="130">
        <v>42741</v>
      </c>
      <c r="M503" s="107">
        <v>110.55</v>
      </c>
      <c r="N503" s="107">
        <v>111.9</v>
      </c>
      <c r="O503" s="107">
        <v>109.7</v>
      </c>
      <c r="P503" s="107">
        <v>109.9</v>
      </c>
      <c r="Q503" s="107">
        <v>110.55</v>
      </c>
      <c r="R503">
        <v>2126290</v>
      </c>
    </row>
    <row r="504" spans="1:18" x14ac:dyDescent="0.25">
      <c r="A504" s="130">
        <v>42744</v>
      </c>
      <c r="B504" s="107">
        <v>111.7</v>
      </c>
      <c r="C504" s="107">
        <v>111.1</v>
      </c>
      <c r="D504" s="107">
        <v>110.15</v>
      </c>
      <c r="E504" s="107">
        <v>110.7</v>
      </c>
      <c r="F504" s="107">
        <v>111.1</v>
      </c>
      <c r="G504">
        <v>200561</v>
      </c>
      <c r="H504" s="107"/>
      <c r="I504" s="107"/>
      <c r="L504" s="130">
        <v>42744</v>
      </c>
      <c r="M504" s="107">
        <v>111.2</v>
      </c>
      <c r="N504" s="107">
        <v>111.8</v>
      </c>
      <c r="O504" s="107">
        <v>110.1</v>
      </c>
      <c r="P504" s="107">
        <v>111.25</v>
      </c>
      <c r="Q504" s="107">
        <v>111.2</v>
      </c>
      <c r="R504">
        <v>1217696</v>
      </c>
    </row>
    <row r="505" spans="1:18" x14ac:dyDescent="0.25">
      <c r="A505" s="130">
        <v>42745</v>
      </c>
      <c r="B505" s="107">
        <v>112</v>
      </c>
      <c r="C505" s="107">
        <v>111.2</v>
      </c>
      <c r="D505" s="107">
        <v>110.4</v>
      </c>
      <c r="E505" s="107">
        <v>111.5</v>
      </c>
      <c r="F505" s="107">
        <v>111.2</v>
      </c>
      <c r="G505">
        <v>159725</v>
      </c>
      <c r="H505" s="107"/>
      <c r="I505" s="107"/>
      <c r="L505" s="130">
        <v>42745</v>
      </c>
      <c r="M505" s="107">
        <v>111.25</v>
      </c>
      <c r="N505" s="107">
        <v>111.95</v>
      </c>
      <c r="O505" s="107">
        <v>110.3</v>
      </c>
      <c r="P505" s="107">
        <v>111.5</v>
      </c>
      <c r="Q505" s="107">
        <v>111.25</v>
      </c>
      <c r="R505">
        <v>1346360</v>
      </c>
    </row>
    <row r="506" spans="1:18" x14ac:dyDescent="0.25">
      <c r="A506" s="130">
        <v>42746</v>
      </c>
      <c r="B506" s="107">
        <v>114.8</v>
      </c>
      <c r="C506" s="107">
        <v>114.2</v>
      </c>
      <c r="D506" s="107">
        <v>111.3</v>
      </c>
      <c r="E506" s="107">
        <v>111.3</v>
      </c>
      <c r="F506" s="107">
        <v>114.2</v>
      </c>
      <c r="G506">
        <v>345428</v>
      </c>
      <c r="H506" s="107"/>
      <c r="I506" s="107"/>
      <c r="L506" s="130">
        <v>42746</v>
      </c>
      <c r="M506" s="107">
        <v>114.25</v>
      </c>
      <c r="N506" s="107">
        <v>114.8</v>
      </c>
      <c r="O506" s="107">
        <v>111.75</v>
      </c>
      <c r="P506" s="107">
        <v>112</v>
      </c>
      <c r="Q506" s="107">
        <v>114.25</v>
      </c>
      <c r="R506">
        <v>3021697</v>
      </c>
    </row>
    <row r="507" spans="1:18" x14ac:dyDescent="0.25">
      <c r="A507" s="130">
        <v>42747</v>
      </c>
      <c r="B507" s="107">
        <v>115.45</v>
      </c>
      <c r="C507" s="107">
        <v>114.1</v>
      </c>
      <c r="D507" s="107">
        <v>113.5</v>
      </c>
      <c r="E507" s="107">
        <v>115</v>
      </c>
      <c r="F507" s="107">
        <v>114.1</v>
      </c>
      <c r="G507">
        <v>302731</v>
      </c>
      <c r="H507" s="107"/>
      <c r="I507" s="107"/>
      <c r="L507" s="130">
        <v>42747</v>
      </c>
      <c r="M507" s="107">
        <v>114.15</v>
      </c>
      <c r="N507" s="107">
        <v>115.4</v>
      </c>
      <c r="O507" s="107">
        <v>113.35</v>
      </c>
      <c r="P507" s="107">
        <v>115.1</v>
      </c>
      <c r="Q507" s="107">
        <v>114.15</v>
      </c>
      <c r="R507">
        <v>1848355</v>
      </c>
    </row>
    <row r="508" spans="1:18" x14ac:dyDescent="0.25">
      <c r="A508" s="130">
        <v>42748</v>
      </c>
      <c r="B508" s="107">
        <v>114.95</v>
      </c>
      <c r="C508" s="107">
        <v>113.95</v>
      </c>
      <c r="D508" s="107">
        <v>113.05</v>
      </c>
      <c r="E508" s="107">
        <v>114.5</v>
      </c>
      <c r="F508" s="107">
        <v>113.95</v>
      </c>
      <c r="G508">
        <v>224733</v>
      </c>
      <c r="H508" s="107"/>
      <c r="I508" s="107"/>
      <c r="L508" s="130">
        <v>42748</v>
      </c>
      <c r="M508" s="107">
        <v>114</v>
      </c>
      <c r="N508" s="107">
        <v>114.8</v>
      </c>
      <c r="O508" s="107">
        <v>112.85</v>
      </c>
      <c r="P508" s="107">
        <v>114.8</v>
      </c>
      <c r="Q508" s="107">
        <v>114</v>
      </c>
      <c r="R508">
        <v>1771669</v>
      </c>
    </row>
    <row r="509" spans="1:18" x14ac:dyDescent="0.25">
      <c r="A509" s="130">
        <v>42751</v>
      </c>
      <c r="B509" s="107">
        <v>115.8</v>
      </c>
      <c r="C509" s="107">
        <v>115.55</v>
      </c>
      <c r="D509" s="107">
        <v>113.8</v>
      </c>
      <c r="E509" s="107">
        <v>114</v>
      </c>
      <c r="F509" s="107">
        <v>115.55</v>
      </c>
      <c r="G509">
        <v>283502</v>
      </c>
      <c r="H509" s="107"/>
      <c r="I509" s="107"/>
      <c r="L509" s="130">
        <v>42751</v>
      </c>
      <c r="M509" s="107">
        <v>115.35</v>
      </c>
      <c r="N509" s="107">
        <v>115.7</v>
      </c>
      <c r="O509" s="107">
        <v>113.75</v>
      </c>
      <c r="P509" s="107">
        <v>114</v>
      </c>
      <c r="Q509" s="107">
        <v>115.35</v>
      </c>
      <c r="R509">
        <v>1950670</v>
      </c>
    </row>
    <row r="510" spans="1:18" x14ac:dyDescent="0.25">
      <c r="A510" s="130">
        <v>42752</v>
      </c>
      <c r="B510" s="107">
        <v>116.75</v>
      </c>
      <c r="C510" s="107">
        <v>114.85</v>
      </c>
      <c r="D510" s="107">
        <v>114.5</v>
      </c>
      <c r="E510" s="107">
        <v>115.9</v>
      </c>
      <c r="F510" s="107">
        <v>114.85</v>
      </c>
      <c r="G510">
        <v>221100</v>
      </c>
      <c r="H510" s="107"/>
      <c r="I510" s="107"/>
      <c r="L510" s="130">
        <v>42752</v>
      </c>
      <c r="M510" s="107">
        <v>115.05</v>
      </c>
      <c r="N510" s="107">
        <v>116.75</v>
      </c>
      <c r="O510" s="107">
        <v>114.4</v>
      </c>
      <c r="P510" s="107">
        <v>115.8</v>
      </c>
      <c r="Q510" s="107">
        <v>115.05</v>
      </c>
      <c r="R510">
        <v>1886859</v>
      </c>
    </row>
    <row r="511" spans="1:18" x14ac:dyDescent="0.25">
      <c r="A511" s="130">
        <v>42753</v>
      </c>
      <c r="B511" s="107">
        <v>116.15</v>
      </c>
      <c r="C511" s="107">
        <v>115.25</v>
      </c>
      <c r="D511" s="107">
        <v>114.5</v>
      </c>
      <c r="E511" s="107">
        <v>115</v>
      </c>
      <c r="F511" s="107">
        <v>115.25</v>
      </c>
      <c r="G511">
        <v>147507</v>
      </c>
      <c r="H511" s="107"/>
      <c r="I511" s="107"/>
      <c r="L511" s="130">
        <v>42753</v>
      </c>
      <c r="M511" s="107">
        <v>115.2</v>
      </c>
      <c r="N511" s="107">
        <v>116.2</v>
      </c>
      <c r="O511" s="107">
        <v>114.45</v>
      </c>
      <c r="P511" s="107">
        <v>115.1</v>
      </c>
      <c r="Q511" s="107">
        <v>115.2</v>
      </c>
      <c r="R511">
        <v>1497600</v>
      </c>
    </row>
    <row r="512" spans="1:18" x14ac:dyDescent="0.25">
      <c r="A512" s="130">
        <v>42754</v>
      </c>
      <c r="B512" s="107">
        <v>116.45</v>
      </c>
      <c r="C512" s="107">
        <v>115.7</v>
      </c>
      <c r="D512" s="107">
        <v>113.6</v>
      </c>
      <c r="E512" s="107">
        <v>113.6</v>
      </c>
      <c r="F512" s="107">
        <v>115.7</v>
      </c>
      <c r="G512">
        <v>170532</v>
      </c>
      <c r="H512" s="107"/>
      <c r="I512" s="107"/>
      <c r="L512" s="130">
        <v>42754</v>
      </c>
      <c r="M512" s="107">
        <v>115.6</v>
      </c>
      <c r="N512" s="107">
        <v>116.65</v>
      </c>
      <c r="O512" s="107">
        <v>114.1</v>
      </c>
      <c r="P512" s="107">
        <v>115.4</v>
      </c>
      <c r="Q512" s="107">
        <v>115.6</v>
      </c>
      <c r="R512">
        <v>1890361</v>
      </c>
    </row>
    <row r="513" spans="1:18" x14ac:dyDescent="0.25">
      <c r="A513" s="130">
        <v>42755</v>
      </c>
      <c r="B513" s="107">
        <v>116</v>
      </c>
      <c r="C513" s="107">
        <v>112.35</v>
      </c>
      <c r="D513" s="107">
        <v>112</v>
      </c>
      <c r="E513" s="107">
        <v>115</v>
      </c>
      <c r="F513" s="107">
        <v>112.35</v>
      </c>
      <c r="G513">
        <v>160155</v>
      </c>
      <c r="H513" s="107"/>
      <c r="I513" s="107"/>
      <c r="L513" s="130">
        <v>42755</v>
      </c>
      <c r="M513" s="107">
        <v>112.35</v>
      </c>
      <c r="N513" s="107">
        <v>116.1</v>
      </c>
      <c r="O513" s="107">
        <v>112.05</v>
      </c>
      <c r="P513" s="107">
        <v>115.25</v>
      </c>
      <c r="Q513" s="107">
        <v>112.35</v>
      </c>
      <c r="R513">
        <v>1972392</v>
      </c>
    </row>
    <row r="514" spans="1:18" x14ac:dyDescent="0.25">
      <c r="A514" s="130">
        <v>42758</v>
      </c>
      <c r="B514" s="107">
        <v>114.6</v>
      </c>
      <c r="C514" s="107">
        <v>114.3</v>
      </c>
      <c r="D514" s="107">
        <v>111.4</v>
      </c>
      <c r="E514" s="107">
        <v>112.5</v>
      </c>
      <c r="F514" s="107">
        <v>114.3</v>
      </c>
      <c r="G514">
        <v>160052</v>
      </c>
      <c r="H514" s="107"/>
      <c r="I514" s="107"/>
      <c r="L514" s="130">
        <v>42758</v>
      </c>
      <c r="M514" s="107">
        <v>114.15</v>
      </c>
      <c r="N514" s="107">
        <v>114.5</v>
      </c>
      <c r="O514" s="107">
        <v>111.15</v>
      </c>
      <c r="P514" s="107">
        <v>111.95</v>
      </c>
      <c r="Q514" s="107">
        <v>114.15</v>
      </c>
      <c r="R514">
        <v>1539471</v>
      </c>
    </row>
    <row r="515" spans="1:18" x14ac:dyDescent="0.25">
      <c r="A515" s="130">
        <v>42759</v>
      </c>
      <c r="B515" s="107">
        <v>115.7</v>
      </c>
      <c r="C515" s="107">
        <v>114.55</v>
      </c>
      <c r="D515" s="107">
        <v>114</v>
      </c>
      <c r="E515" s="107">
        <v>114.95</v>
      </c>
      <c r="F515" s="107">
        <v>114.55</v>
      </c>
      <c r="G515">
        <v>147052</v>
      </c>
      <c r="H515" s="107"/>
      <c r="I515" s="107"/>
      <c r="L515" s="130">
        <v>42759</v>
      </c>
      <c r="M515" s="107">
        <v>114.85</v>
      </c>
      <c r="N515" s="107">
        <v>115.7</v>
      </c>
      <c r="O515" s="107">
        <v>114.25</v>
      </c>
      <c r="P515" s="107">
        <v>114.55</v>
      </c>
      <c r="Q515" s="107">
        <v>114.85</v>
      </c>
      <c r="R515">
        <v>1925095</v>
      </c>
    </row>
    <row r="516" spans="1:18" x14ac:dyDescent="0.25">
      <c r="A516" s="130">
        <v>42760</v>
      </c>
      <c r="B516" s="107">
        <v>115.4</v>
      </c>
      <c r="C516" s="107">
        <v>115</v>
      </c>
      <c r="D516" s="107">
        <v>113.5</v>
      </c>
      <c r="E516" s="107">
        <v>115</v>
      </c>
      <c r="F516" s="107">
        <v>115</v>
      </c>
      <c r="G516">
        <v>176289</v>
      </c>
      <c r="H516" s="107"/>
      <c r="I516" s="107"/>
      <c r="L516" s="130">
        <v>42760</v>
      </c>
      <c r="M516" s="107">
        <v>115.05</v>
      </c>
      <c r="N516" s="107">
        <v>115.6</v>
      </c>
      <c r="O516" s="107">
        <v>113.45</v>
      </c>
      <c r="P516" s="107">
        <v>115.6</v>
      </c>
      <c r="Q516" s="107">
        <v>115.05</v>
      </c>
      <c r="R516">
        <v>2931315</v>
      </c>
    </row>
    <row r="517" spans="1:18" x14ac:dyDescent="0.25">
      <c r="A517" s="130">
        <v>42762</v>
      </c>
      <c r="B517" s="107">
        <v>118.35</v>
      </c>
      <c r="C517" s="107">
        <v>117.2</v>
      </c>
      <c r="D517" s="107">
        <v>115.4</v>
      </c>
      <c r="E517" s="107">
        <v>115.65</v>
      </c>
      <c r="F517" s="107">
        <v>117.2</v>
      </c>
      <c r="G517">
        <v>1072468</v>
      </c>
      <c r="H517" s="107"/>
      <c r="I517" s="107"/>
      <c r="L517" s="130">
        <v>42762</v>
      </c>
      <c r="M517" s="107">
        <v>117.05</v>
      </c>
      <c r="N517" s="107">
        <v>118.25</v>
      </c>
      <c r="O517" s="107">
        <v>115.5</v>
      </c>
      <c r="P517" s="107">
        <v>116.5</v>
      </c>
      <c r="Q517" s="107">
        <v>117.05</v>
      </c>
      <c r="R517">
        <v>4975696</v>
      </c>
    </row>
    <row r="518" spans="1:18" x14ac:dyDescent="0.25">
      <c r="A518" s="130">
        <v>42765</v>
      </c>
      <c r="B518" s="107">
        <v>123.2</v>
      </c>
      <c r="C518" s="107">
        <v>119.65</v>
      </c>
      <c r="D518" s="107">
        <v>115.9</v>
      </c>
      <c r="E518" s="107">
        <v>117.3</v>
      </c>
      <c r="F518" s="107">
        <v>119.65</v>
      </c>
      <c r="G518">
        <v>691368</v>
      </c>
      <c r="H518" s="107"/>
      <c r="I518" s="107"/>
      <c r="L518" s="130">
        <v>42765</v>
      </c>
      <c r="M518" s="107">
        <v>120.3</v>
      </c>
      <c r="N518" s="107">
        <v>123.6</v>
      </c>
      <c r="O518" s="107">
        <v>115.7</v>
      </c>
      <c r="P518" s="107">
        <v>116.55</v>
      </c>
      <c r="Q518" s="107">
        <v>120.3</v>
      </c>
      <c r="R518">
        <v>7180324</v>
      </c>
    </row>
    <row r="519" spans="1:18" x14ac:dyDescent="0.25">
      <c r="A519" s="130">
        <v>42766</v>
      </c>
      <c r="B519" s="107">
        <v>120.3</v>
      </c>
      <c r="C519" s="107">
        <v>117.65</v>
      </c>
      <c r="D519" s="107">
        <v>117.2</v>
      </c>
      <c r="E519" s="107">
        <v>119.65</v>
      </c>
      <c r="F519" s="107">
        <v>117.65</v>
      </c>
      <c r="G519">
        <v>214759</v>
      </c>
      <c r="H519" s="107"/>
      <c r="I519" s="107"/>
      <c r="L519" s="130">
        <v>42766</v>
      </c>
      <c r="M519" s="107">
        <v>117.65</v>
      </c>
      <c r="N519" s="107">
        <v>120.4</v>
      </c>
      <c r="O519" s="107">
        <v>117.15</v>
      </c>
      <c r="P519" s="107">
        <v>120</v>
      </c>
      <c r="Q519" s="107">
        <v>117.65</v>
      </c>
      <c r="R519">
        <v>2200898</v>
      </c>
    </row>
    <row r="520" spans="1:18" x14ac:dyDescent="0.25">
      <c r="A520" s="130">
        <v>42767</v>
      </c>
      <c r="B520" s="107">
        <v>121.4</v>
      </c>
      <c r="C520" s="107">
        <v>120.95</v>
      </c>
      <c r="D520" s="107">
        <v>117.5</v>
      </c>
      <c r="E520" s="107">
        <v>117.65</v>
      </c>
      <c r="F520" s="107">
        <v>120.95</v>
      </c>
      <c r="G520">
        <v>562069</v>
      </c>
      <c r="H520" s="107"/>
      <c r="I520" s="107"/>
      <c r="L520" s="130">
        <v>42767</v>
      </c>
      <c r="M520" s="107">
        <v>121.15</v>
      </c>
      <c r="N520" s="107">
        <v>121.6</v>
      </c>
      <c r="O520" s="107">
        <v>117.4</v>
      </c>
      <c r="P520" s="107">
        <v>117.9</v>
      </c>
      <c r="Q520" s="107">
        <v>121.15</v>
      </c>
      <c r="R520">
        <v>4748611</v>
      </c>
    </row>
    <row r="521" spans="1:18" x14ac:dyDescent="0.25">
      <c r="A521" s="130">
        <v>42768</v>
      </c>
      <c r="B521" s="107">
        <v>126.3</v>
      </c>
      <c r="C521" s="107">
        <v>125.1</v>
      </c>
      <c r="D521" s="107">
        <v>119.4</v>
      </c>
      <c r="E521" s="107">
        <v>120.5</v>
      </c>
      <c r="F521" s="107">
        <v>125.1</v>
      </c>
      <c r="G521">
        <v>929303</v>
      </c>
      <c r="H521" s="107"/>
      <c r="I521" s="107"/>
      <c r="L521" s="130">
        <v>42768</v>
      </c>
      <c r="M521" s="107">
        <v>125.25</v>
      </c>
      <c r="N521" s="107">
        <v>126.2</v>
      </c>
      <c r="O521" s="107">
        <v>119.4</v>
      </c>
      <c r="P521" s="107">
        <v>121.75</v>
      </c>
      <c r="Q521" s="107">
        <v>125.25</v>
      </c>
      <c r="R521">
        <v>5086596</v>
      </c>
    </row>
    <row r="522" spans="1:18" x14ac:dyDescent="0.25">
      <c r="A522" s="130">
        <v>42769</v>
      </c>
      <c r="B522" s="107">
        <v>134</v>
      </c>
      <c r="C522" s="107">
        <v>133</v>
      </c>
      <c r="D522" s="107">
        <v>125.7</v>
      </c>
      <c r="E522" s="107">
        <v>126.35</v>
      </c>
      <c r="F522" s="107">
        <v>133</v>
      </c>
      <c r="G522">
        <v>1307936</v>
      </c>
      <c r="H522" s="107"/>
      <c r="I522" s="107"/>
      <c r="L522" s="130">
        <v>42769</v>
      </c>
      <c r="M522" s="107">
        <v>132.94999999999999</v>
      </c>
      <c r="N522" s="107">
        <v>133.9</v>
      </c>
      <c r="O522" s="107">
        <v>125.55</v>
      </c>
      <c r="P522" s="107">
        <v>125.95</v>
      </c>
      <c r="Q522" s="107">
        <v>132.94999999999999</v>
      </c>
      <c r="R522">
        <v>10877464</v>
      </c>
    </row>
    <row r="523" spans="1:18" x14ac:dyDescent="0.25">
      <c r="A523" s="130">
        <v>42772</v>
      </c>
      <c r="B523" s="107">
        <v>135.80000000000001</v>
      </c>
      <c r="C523" s="107">
        <v>132.55000000000001</v>
      </c>
      <c r="D523" s="107">
        <v>131.25</v>
      </c>
      <c r="E523" s="107">
        <v>134.94999999999999</v>
      </c>
      <c r="F523" s="107">
        <v>132.55000000000001</v>
      </c>
      <c r="G523">
        <v>617481</v>
      </c>
      <c r="H523" s="107"/>
      <c r="I523" s="107"/>
      <c r="L523" s="130">
        <v>42772</v>
      </c>
      <c r="M523" s="107">
        <v>132.5</v>
      </c>
      <c r="N523" s="107">
        <v>135.75</v>
      </c>
      <c r="O523" s="107">
        <v>131.05000000000001</v>
      </c>
      <c r="P523" s="107">
        <v>134.75</v>
      </c>
      <c r="Q523" s="107">
        <v>132.5</v>
      </c>
      <c r="R523">
        <v>4918430</v>
      </c>
    </row>
    <row r="524" spans="1:18" x14ac:dyDescent="0.25">
      <c r="A524" s="130">
        <v>42773</v>
      </c>
      <c r="B524" s="107">
        <v>135.80000000000001</v>
      </c>
      <c r="C524" s="107">
        <v>133.30000000000001</v>
      </c>
      <c r="D524" s="107">
        <v>130.5</v>
      </c>
      <c r="E524" s="107">
        <v>132</v>
      </c>
      <c r="F524" s="107">
        <v>133.30000000000001</v>
      </c>
      <c r="G524">
        <v>588869</v>
      </c>
      <c r="H524" s="107"/>
      <c r="I524" s="107"/>
      <c r="L524" s="130">
        <v>42773</v>
      </c>
      <c r="M524" s="107">
        <v>133.25</v>
      </c>
      <c r="N524" s="107">
        <v>135.80000000000001</v>
      </c>
      <c r="O524" s="107">
        <v>130.4</v>
      </c>
      <c r="P524" s="107">
        <v>132.35</v>
      </c>
      <c r="Q524" s="107">
        <v>133.25</v>
      </c>
      <c r="R524">
        <v>5420168</v>
      </c>
    </row>
    <row r="525" spans="1:18" x14ac:dyDescent="0.25">
      <c r="A525" s="130">
        <v>42774</v>
      </c>
      <c r="B525" s="107">
        <v>134</v>
      </c>
      <c r="C525" s="107">
        <v>132.65</v>
      </c>
      <c r="D525" s="107">
        <v>129.5</v>
      </c>
      <c r="E525" s="107">
        <v>133.5</v>
      </c>
      <c r="F525" s="107">
        <v>132.65</v>
      </c>
      <c r="G525">
        <v>495796</v>
      </c>
      <c r="H525" s="107"/>
      <c r="I525" s="107"/>
      <c r="L525" s="130">
        <v>42774</v>
      </c>
      <c r="M525" s="107">
        <v>132.69999999999999</v>
      </c>
      <c r="N525" s="107">
        <v>133.94999999999999</v>
      </c>
      <c r="O525" s="107">
        <v>129.5</v>
      </c>
      <c r="P525" s="107">
        <v>133.94999999999999</v>
      </c>
      <c r="Q525" s="107">
        <v>132.69999999999999</v>
      </c>
      <c r="R525">
        <v>3141295</v>
      </c>
    </row>
    <row r="526" spans="1:18" x14ac:dyDescent="0.25">
      <c r="A526" s="130">
        <v>42775</v>
      </c>
      <c r="B526" s="107">
        <v>138.55000000000001</v>
      </c>
      <c r="C526" s="107">
        <v>136.75</v>
      </c>
      <c r="D526" s="107">
        <v>130.5</v>
      </c>
      <c r="E526" s="107">
        <v>132.65</v>
      </c>
      <c r="F526" s="107">
        <v>136.75</v>
      </c>
      <c r="G526">
        <v>2094834</v>
      </c>
      <c r="H526" s="107"/>
      <c r="I526" s="107"/>
      <c r="L526" s="130">
        <v>42775</v>
      </c>
      <c r="M526" s="107">
        <v>136.85</v>
      </c>
      <c r="N526" s="107">
        <v>138.5</v>
      </c>
      <c r="O526" s="107">
        <v>130.5</v>
      </c>
      <c r="P526" s="107">
        <v>133.80000000000001</v>
      </c>
      <c r="Q526" s="107">
        <v>136.85</v>
      </c>
      <c r="R526">
        <v>16251543</v>
      </c>
    </row>
    <row r="527" spans="1:18" x14ac:dyDescent="0.25">
      <c r="A527" s="130">
        <v>42776</v>
      </c>
      <c r="B527" s="107">
        <v>138.69999999999999</v>
      </c>
      <c r="C527" s="107">
        <v>133.9</v>
      </c>
      <c r="D527" s="107">
        <v>133.4</v>
      </c>
      <c r="E527" s="107">
        <v>138</v>
      </c>
      <c r="F527" s="107">
        <v>133.9</v>
      </c>
      <c r="G527">
        <v>541692</v>
      </c>
      <c r="H527" s="107"/>
      <c r="I527" s="107"/>
      <c r="L527" s="130">
        <v>42776</v>
      </c>
      <c r="M527" s="107">
        <v>133.9</v>
      </c>
      <c r="N527" s="107">
        <v>138.25</v>
      </c>
      <c r="O527" s="107">
        <v>133.1</v>
      </c>
      <c r="P527" s="107">
        <v>137.94999999999999</v>
      </c>
      <c r="Q527" s="107">
        <v>133.9</v>
      </c>
      <c r="R527">
        <v>5121092</v>
      </c>
    </row>
    <row r="528" spans="1:18" x14ac:dyDescent="0.25">
      <c r="A528" s="130">
        <v>42779</v>
      </c>
      <c r="B528" s="107">
        <v>135</v>
      </c>
      <c r="C528" s="107">
        <v>128.65</v>
      </c>
      <c r="D528" s="107">
        <v>126.25</v>
      </c>
      <c r="E528" s="107">
        <v>134</v>
      </c>
      <c r="F528" s="107">
        <v>128.65</v>
      </c>
      <c r="G528">
        <v>737121</v>
      </c>
      <c r="H528" s="107"/>
      <c r="I528" s="107"/>
      <c r="L528" s="130">
        <v>42779</v>
      </c>
      <c r="M528" s="107">
        <v>128.75</v>
      </c>
      <c r="N528" s="107">
        <v>134.25</v>
      </c>
      <c r="O528" s="107">
        <v>126.6</v>
      </c>
      <c r="P528" s="107">
        <v>134</v>
      </c>
      <c r="Q528" s="107">
        <v>128.75</v>
      </c>
      <c r="R528">
        <v>5892227</v>
      </c>
    </row>
    <row r="529" spans="1:18" x14ac:dyDescent="0.25">
      <c r="A529" s="130">
        <v>42780</v>
      </c>
      <c r="B529" s="107">
        <v>129.9</v>
      </c>
      <c r="C529" s="107">
        <v>128.75</v>
      </c>
      <c r="D529" s="107">
        <v>126.4</v>
      </c>
      <c r="E529" s="107">
        <v>129.1</v>
      </c>
      <c r="F529" s="107">
        <v>128.75</v>
      </c>
      <c r="G529">
        <v>349896</v>
      </c>
      <c r="H529" s="107"/>
      <c r="I529" s="107"/>
      <c r="L529" s="130">
        <v>42780</v>
      </c>
      <c r="M529" s="107">
        <v>128.6</v>
      </c>
      <c r="N529" s="107">
        <v>129.9</v>
      </c>
      <c r="O529" s="107">
        <v>126.3</v>
      </c>
      <c r="P529" s="107">
        <v>128.9</v>
      </c>
      <c r="Q529" s="107">
        <v>128.6</v>
      </c>
      <c r="R529">
        <v>3138195</v>
      </c>
    </row>
    <row r="530" spans="1:18" x14ac:dyDescent="0.25">
      <c r="A530" s="130">
        <v>42781</v>
      </c>
      <c r="B530" s="107">
        <v>129.25</v>
      </c>
      <c r="C530" s="107">
        <v>123.55</v>
      </c>
      <c r="D530" s="107">
        <v>123.05</v>
      </c>
      <c r="E530" s="107">
        <v>128</v>
      </c>
      <c r="F530" s="107">
        <v>123.55</v>
      </c>
      <c r="G530">
        <v>623499</v>
      </c>
      <c r="H530" s="107"/>
      <c r="I530" s="107"/>
      <c r="L530" s="130">
        <v>42781</v>
      </c>
      <c r="M530" s="107">
        <v>123.75</v>
      </c>
      <c r="N530" s="107">
        <v>129.30000000000001</v>
      </c>
      <c r="O530" s="107">
        <v>123.45</v>
      </c>
      <c r="P530" s="107">
        <v>128.5</v>
      </c>
      <c r="Q530" s="107">
        <v>123.75</v>
      </c>
      <c r="R530">
        <v>5027701</v>
      </c>
    </row>
    <row r="531" spans="1:18" x14ac:dyDescent="0.25">
      <c r="A531" s="130">
        <v>42782</v>
      </c>
      <c r="B531" s="107">
        <v>127.3</v>
      </c>
      <c r="C531" s="107">
        <v>125.45</v>
      </c>
      <c r="D531" s="107">
        <v>123.15</v>
      </c>
      <c r="E531" s="107">
        <v>124.1</v>
      </c>
      <c r="F531" s="107">
        <v>125.45</v>
      </c>
      <c r="G531">
        <v>319440</v>
      </c>
      <c r="H531" s="107"/>
      <c r="I531" s="107"/>
      <c r="L531" s="130">
        <v>42782</v>
      </c>
      <c r="M531" s="107">
        <v>125.45</v>
      </c>
      <c r="N531" s="107">
        <v>127.25</v>
      </c>
      <c r="O531" s="107">
        <v>123.2</v>
      </c>
      <c r="P531" s="107">
        <v>124.55</v>
      </c>
      <c r="Q531" s="107">
        <v>125.45</v>
      </c>
      <c r="R531">
        <v>4237844</v>
      </c>
    </row>
    <row r="532" spans="1:18" x14ac:dyDescent="0.25">
      <c r="A532" s="130">
        <v>42783</v>
      </c>
      <c r="B532" s="107">
        <v>127</v>
      </c>
      <c r="C532" s="107">
        <v>124.5</v>
      </c>
      <c r="D532" s="107">
        <v>123.9</v>
      </c>
      <c r="E532" s="107">
        <v>126.7</v>
      </c>
      <c r="F532" s="107">
        <v>124.5</v>
      </c>
      <c r="G532">
        <v>271799</v>
      </c>
      <c r="H532" s="107"/>
      <c r="I532" s="107"/>
      <c r="L532" s="130">
        <v>42783</v>
      </c>
      <c r="M532" s="107">
        <v>124.5</v>
      </c>
      <c r="N532" s="107">
        <v>127</v>
      </c>
      <c r="O532" s="107">
        <v>123.9</v>
      </c>
      <c r="P532" s="107">
        <v>126.75</v>
      </c>
      <c r="Q532" s="107">
        <v>124.5</v>
      </c>
      <c r="R532">
        <v>2633546</v>
      </c>
    </row>
    <row r="533" spans="1:18" x14ac:dyDescent="0.25">
      <c r="A533" s="130">
        <v>42786</v>
      </c>
      <c r="B533" s="107">
        <v>126.5</v>
      </c>
      <c r="C533" s="107">
        <v>126</v>
      </c>
      <c r="D533" s="107">
        <v>123.3</v>
      </c>
      <c r="E533" s="107">
        <v>125</v>
      </c>
      <c r="F533" s="107">
        <v>126</v>
      </c>
      <c r="G533">
        <v>274077</v>
      </c>
      <c r="H533" s="107"/>
      <c r="I533" s="107"/>
      <c r="L533" s="130">
        <v>42786</v>
      </c>
      <c r="M533" s="107">
        <v>126</v>
      </c>
      <c r="N533" s="107">
        <v>126.6</v>
      </c>
      <c r="O533" s="107">
        <v>123.3</v>
      </c>
      <c r="P533" s="107">
        <v>124.8</v>
      </c>
      <c r="Q533" s="107">
        <v>126</v>
      </c>
      <c r="R533">
        <v>2095807</v>
      </c>
    </row>
    <row r="534" spans="1:18" x14ac:dyDescent="0.25">
      <c r="A534" s="130">
        <v>42787</v>
      </c>
      <c r="B534" s="107">
        <v>130.1</v>
      </c>
      <c r="C534" s="107">
        <v>128.25</v>
      </c>
      <c r="D534" s="107">
        <v>125.8</v>
      </c>
      <c r="E534" s="107">
        <v>126.8</v>
      </c>
      <c r="F534" s="107">
        <v>128.25</v>
      </c>
      <c r="G534">
        <v>433269</v>
      </c>
      <c r="H534" s="107"/>
      <c r="I534" s="107"/>
      <c r="L534" s="130">
        <v>42787</v>
      </c>
      <c r="M534" s="107">
        <v>128.1</v>
      </c>
      <c r="N534" s="107">
        <v>130.1</v>
      </c>
      <c r="O534" s="107">
        <v>125.7</v>
      </c>
      <c r="P534" s="107">
        <v>127.2</v>
      </c>
      <c r="Q534" s="107">
        <v>128.1</v>
      </c>
      <c r="R534">
        <v>3124184</v>
      </c>
    </row>
    <row r="535" spans="1:18" x14ac:dyDescent="0.25">
      <c r="A535" s="130">
        <v>42788</v>
      </c>
      <c r="B535" s="107">
        <v>129.65</v>
      </c>
      <c r="C535" s="107">
        <v>127.75</v>
      </c>
      <c r="D535" s="107">
        <v>127.15</v>
      </c>
      <c r="E535" s="107">
        <v>128.44999999999999</v>
      </c>
      <c r="F535" s="107">
        <v>127.75</v>
      </c>
      <c r="G535">
        <v>377254</v>
      </c>
      <c r="H535" s="107"/>
      <c r="I535" s="107"/>
      <c r="L535" s="130">
        <v>42788</v>
      </c>
      <c r="M535" s="107">
        <v>127.75</v>
      </c>
      <c r="N535" s="107">
        <v>129.75</v>
      </c>
      <c r="O535" s="107">
        <v>127.05</v>
      </c>
      <c r="P535" s="107">
        <v>129</v>
      </c>
      <c r="Q535" s="107">
        <v>127.75</v>
      </c>
      <c r="R535">
        <v>2857954</v>
      </c>
    </row>
    <row r="536" spans="1:18" x14ac:dyDescent="0.25">
      <c r="A536" s="130">
        <v>42789</v>
      </c>
      <c r="B536" s="107">
        <v>128.9</v>
      </c>
      <c r="C536" s="107">
        <v>127.65</v>
      </c>
      <c r="D536" s="107">
        <v>126.8</v>
      </c>
      <c r="E536" s="107">
        <v>127</v>
      </c>
      <c r="F536" s="107">
        <v>127.65</v>
      </c>
      <c r="G536">
        <v>200296</v>
      </c>
      <c r="H536" s="107"/>
      <c r="I536" s="107"/>
      <c r="L536" s="130">
        <v>42789</v>
      </c>
      <c r="M536" s="107">
        <v>127.5</v>
      </c>
      <c r="N536" s="107">
        <v>129</v>
      </c>
      <c r="O536" s="107">
        <v>126.4</v>
      </c>
      <c r="P536" s="107">
        <v>127.5</v>
      </c>
      <c r="Q536" s="107">
        <v>127.5</v>
      </c>
      <c r="R536">
        <v>3811654</v>
      </c>
    </row>
    <row r="537" spans="1:18" x14ac:dyDescent="0.25">
      <c r="A537" s="130">
        <v>42793</v>
      </c>
      <c r="B537" s="107">
        <v>127.95</v>
      </c>
      <c r="C537" s="107">
        <v>125.15</v>
      </c>
      <c r="D537" s="107">
        <v>124.05</v>
      </c>
      <c r="E537" s="107">
        <v>127.95</v>
      </c>
      <c r="F537" s="107">
        <v>125.15</v>
      </c>
      <c r="G537">
        <v>419920</v>
      </c>
      <c r="H537" s="107"/>
      <c r="I537" s="107"/>
      <c r="L537" s="130">
        <v>42793</v>
      </c>
      <c r="M537" s="107">
        <v>125.15</v>
      </c>
      <c r="N537" s="107">
        <v>127.7</v>
      </c>
      <c r="O537" s="107">
        <v>124.1</v>
      </c>
      <c r="P537" s="107">
        <v>127.7</v>
      </c>
      <c r="Q537" s="107">
        <v>125.15</v>
      </c>
      <c r="R537">
        <v>2408075</v>
      </c>
    </row>
    <row r="538" spans="1:18" x14ac:dyDescent="0.25">
      <c r="A538" s="130">
        <v>42794</v>
      </c>
      <c r="B538" s="107">
        <v>129.15</v>
      </c>
      <c r="C538" s="107">
        <v>128.5</v>
      </c>
      <c r="D538" s="107">
        <v>125.1</v>
      </c>
      <c r="E538" s="107">
        <v>125.5</v>
      </c>
      <c r="F538" s="107">
        <v>128.5</v>
      </c>
      <c r="G538">
        <v>328288</v>
      </c>
      <c r="H538" s="107"/>
      <c r="I538" s="107"/>
      <c r="L538" s="130">
        <v>42794</v>
      </c>
      <c r="M538" s="107">
        <v>128.80000000000001</v>
      </c>
      <c r="N538" s="107">
        <v>129.30000000000001</v>
      </c>
      <c r="O538" s="107">
        <v>125.15</v>
      </c>
      <c r="P538" s="107">
        <v>125.35</v>
      </c>
      <c r="Q538" s="107">
        <v>128.80000000000001</v>
      </c>
      <c r="R538">
        <v>3349979</v>
      </c>
    </row>
    <row r="539" spans="1:18" x14ac:dyDescent="0.25">
      <c r="A539" s="130">
        <v>42795</v>
      </c>
      <c r="B539" s="107">
        <v>131.19999999999999</v>
      </c>
      <c r="C539" s="107">
        <v>128.9</v>
      </c>
      <c r="D539" s="107">
        <v>128.1</v>
      </c>
      <c r="E539" s="107">
        <v>128.5</v>
      </c>
      <c r="F539" s="107">
        <v>128.9</v>
      </c>
      <c r="G539">
        <v>285025</v>
      </c>
      <c r="H539" s="107"/>
      <c r="I539" s="107"/>
      <c r="L539" s="130">
        <v>42795</v>
      </c>
      <c r="M539" s="107">
        <v>128.75</v>
      </c>
      <c r="N539" s="107">
        <v>131.30000000000001</v>
      </c>
      <c r="O539" s="107">
        <v>128.05000000000001</v>
      </c>
      <c r="P539" s="107">
        <v>128.6</v>
      </c>
      <c r="Q539" s="107">
        <v>128.75</v>
      </c>
      <c r="R539">
        <v>2979313</v>
      </c>
    </row>
    <row r="540" spans="1:18" x14ac:dyDescent="0.25">
      <c r="A540" s="130">
        <v>42796</v>
      </c>
      <c r="B540" s="107">
        <v>130.75</v>
      </c>
      <c r="C540" s="107">
        <v>126.15</v>
      </c>
      <c r="D540" s="107">
        <v>125.45</v>
      </c>
      <c r="E540" s="107">
        <v>129</v>
      </c>
      <c r="F540" s="107">
        <v>126.15</v>
      </c>
      <c r="G540">
        <v>264600</v>
      </c>
      <c r="H540" s="107"/>
      <c r="I540" s="107"/>
      <c r="L540" s="130">
        <v>42796</v>
      </c>
      <c r="M540" s="107">
        <v>125.95</v>
      </c>
      <c r="N540" s="107">
        <v>130.69999999999999</v>
      </c>
      <c r="O540" s="107">
        <v>125.3</v>
      </c>
      <c r="P540" s="107">
        <v>129.9</v>
      </c>
      <c r="Q540" s="107">
        <v>125.95</v>
      </c>
      <c r="R540">
        <v>3073889</v>
      </c>
    </row>
    <row r="541" spans="1:18" x14ac:dyDescent="0.25">
      <c r="A541" s="130">
        <v>42797</v>
      </c>
      <c r="B541" s="107">
        <v>127</v>
      </c>
      <c r="C541" s="107">
        <v>126</v>
      </c>
      <c r="D541" s="107">
        <v>125</v>
      </c>
      <c r="E541" s="107">
        <v>125.5</v>
      </c>
      <c r="F541" s="107">
        <v>126</v>
      </c>
      <c r="G541">
        <v>267098</v>
      </c>
      <c r="H541" s="107"/>
      <c r="I541" s="107"/>
      <c r="L541" s="130">
        <v>42797</v>
      </c>
      <c r="M541" s="107">
        <v>125.75</v>
      </c>
      <c r="N541" s="107">
        <v>127</v>
      </c>
      <c r="O541" s="107">
        <v>125.15</v>
      </c>
      <c r="P541" s="107">
        <v>125.65</v>
      </c>
      <c r="Q541" s="107">
        <v>125.75</v>
      </c>
      <c r="R541">
        <v>1601098</v>
      </c>
    </row>
    <row r="542" spans="1:18" x14ac:dyDescent="0.25">
      <c r="A542" s="130">
        <v>42800</v>
      </c>
      <c r="B542" s="107">
        <v>129.1</v>
      </c>
      <c r="C542" s="107">
        <v>128.25</v>
      </c>
      <c r="D542" s="107">
        <v>126.15</v>
      </c>
      <c r="E542" s="107">
        <v>126.9</v>
      </c>
      <c r="F542" s="107">
        <v>128.25</v>
      </c>
      <c r="G542">
        <v>429199</v>
      </c>
      <c r="H542" s="107"/>
      <c r="I542" s="107"/>
      <c r="L542" s="130">
        <v>42800</v>
      </c>
      <c r="M542" s="107">
        <v>128.35</v>
      </c>
      <c r="N542" s="107">
        <v>129.25</v>
      </c>
      <c r="O542" s="107">
        <v>126.2</v>
      </c>
      <c r="P542" s="107">
        <v>126.25</v>
      </c>
      <c r="Q542" s="107">
        <v>128.35</v>
      </c>
      <c r="R542">
        <v>3022971</v>
      </c>
    </row>
    <row r="543" spans="1:18" x14ac:dyDescent="0.25">
      <c r="A543" s="130">
        <v>42801</v>
      </c>
      <c r="B543" s="107">
        <v>129</v>
      </c>
      <c r="C543" s="107">
        <v>126.6</v>
      </c>
      <c r="D543" s="107">
        <v>126</v>
      </c>
      <c r="E543" s="107">
        <v>129</v>
      </c>
      <c r="F543" s="107">
        <v>126.6</v>
      </c>
      <c r="G543">
        <v>221317</v>
      </c>
      <c r="H543" s="107"/>
      <c r="I543" s="107"/>
      <c r="L543" s="130">
        <v>42801</v>
      </c>
      <c r="M543" s="107">
        <v>126.2</v>
      </c>
      <c r="N543" s="107">
        <v>128.85</v>
      </c>
      <c r="O543" s="107">
        <v>125.85</v>
      </c>
      <c r="P543" s="107">
        <v>128.80000000000001</v>
      </c>
      <c r="Q543" s="107">
        <v>126.2</v>
      </c>
      <c r="R543">
        <v>1915896</v>
      </c>
    </row>
    <row r="544" spans="1:18" x14ac:dyDescent="0.25">
      <c r="A544" s="130">
        <v>42802</v>
      </c>
      <c r="B544" s="107">
        <v>127.35</v>
      </c>
      <c r="C544" s="107">
        <v>125.1</v>
      </c>
      <c r="D544" s="107">
        <v>123.4</v>
      </c>
      <c r="E544" s="107">
        <v>126.5</v>
      </c>
      <c r="F544" s="107">
        <v>125.1</v>
      </c>
      <c r="G544">
        <v>510302</v>
      </c>
      <c r="H544" s="107"/>
      <c r="I544" s="107"/>
      <c r="L544" s="130">
        <v>42802</v>
      </c>
      <c r="M544" s="107">
        <v>125.1</v>
      </c>
      <c r="N544" s="107">
        <v>127.3</v>
      </c>
      <c r="O544" s="107">
        <v>123.3</v>
      </c>
      <c r="P544" s="107">
        <v>126.2</v>
      </c>
      <c r="Q544" s="107">
        <v>125.1</v>
      </c>
      <c r="R544">
        <v>3447405</v>
      </c>
    </row>
    <row r="545" spans="1:18" x14ac:dyDescent="0.25">
      <c r="A545" s="130">
        <v>42803</v>
      </c>
      <c r="B545" s="107">
        <v>126.05</v>
      </c>
      <c r="C545" s="107">
        <v>124.5</v>
      </c>
      <c r="D545" s="107">
        <v>123.55</v>
      </c>
      <c r="E545" s="107">
        <v>124.85</v>
      </c>
      <c r="F545" s="107">
        <v>124.5</v>
      </c>
      <c r="G545">
        <v>254534</v>
      </c>
      <c r="H545" s="107"/>
      <c r="I545" s="107"/>
      <c r="L545" s="130">
        <v>42803</v>
      </c>
      <c r="M545" s="107">
        <v>124.25</v>
      </c>
      <c r="N545" s="107">
        <v>126.1</v>
      </c>
      <c r="O545" s="107">
        <v>123.7</v>
      </c>
      <c r="P545" s="107">
        <v>124.5</v>
      </c>
      <c r="Q545" s="107">
        <v>124.25</v>
      </c>
      <c r="R545">
        <v>1870916</v>
      </c>
    </row>
    <row r="546" spans="1:18" x14ac:dyDescent="0.25">
      <c r="A546" s="130">
        <v>42804</v>
      </c>
      <c r="B546" s="107">
        <v>125.7</v>
      </c>
      <c r="C546" s="107">
        <v>123.55</v>
      </c>
      <c r="D546" s="107">
        <v>122.95</v>
      </c>
      <c r="E546" s="107">
        <v>124.55</v>
      </c>
      <c r="F546" s="107">
        <v>123.55</v>
      </c>
      <c r="G546">
        <v>274982</v>
      </c>
      <c r="H546" s="107"/>
      <c r="I546" s="107"/>
      <c r="L546" s="130">
        <v>42804</v>
      </c>
      <c r="M546" s="107">
        <v>123.45</v>
      </c>
      <c r="N546" s="107">
        <v>125.8</v>
      </c>
      <c r="O546" s="107">
        <v>122.85</v>
      </c>
      <c r="P546" s="107">
        <v>125.2</v>
      </c>
      <c r="Q546" s="107">
        <v>123.45</v>
      </c>
      <c r="R546">
        <v>1659841</v>
      </c>
    </row>
    <row r="547" spans="1:18" x14ac:dyDescent="0.25">
      <c r="A547" s="130">
        <v>42808</v>
      </c>
      <c r="B547" s="107">
        <v>127</v>
      </c>
      <c r="C547" s="107">
        <v>124.2</v>
      </c>
      <c r="D547" s="107">
        <v>124</v>
      </c>
      <c r="E547" s="107">
        <v>125.6</v>
      </c>
      <c r="F547" s="107">
        <v>124.2</v>
      </c>
      <c r="G547">
        <v>301578</v>
      </c>
      <c r="H547" s="107"/>
      <c r="I547" s="107"/>
      <c r="L547" s="130">
        <v>42808</v>
      </c>
      <c r="M547" s="107">
        <v>123.9</v>
      </c>
      <c r="N547" s="107">
        <v>127.85</v>
      </c>
      <c r="O547" s="107">
        <v>123.5</v>
      </c>
      <c r="P547" s="107">
        <v>127.85</v>
      </c>
      <c r="Q547" s="107">
        <v>123.9</v>
      </c>
      <c r="R547">
        <v>2748605</v>
      </c>
    </row>
    <row r="548" spans="1:18" x14ac:dyDescent="0.25">
      <c r="A548" s="130">
        <v>42809</v>
      </c>
      <c r="B548" s="107">
        <v>128.6</v>
      </c>
      <c r="C548" s="107">
        <v>126.3</v>
      </c>
      <c r="D548" s="107">
        <v>124.2</v>
      </c>
      <c r="E548" s="107">
        <v>125</v>
      </c>
      <c r="F548" s="107">
        <v>126.3</v>
      </c>
      <c r="G548">
        <v>393970</v>
      </c>
      <c r="H548" s="107"/>
      <c r="I548" s="107"/>
      <c r="L548" s="130">
        <v>42809</v>
      </c>
      <c r="M548" s="107">
        <v>126.25</v>
      </c>
      <c r="N548" s="107">
        <v>128.69999999999999</v>
      </c>
      <c r="O548" s="107">
        <v>124</v>
      </c>
      <c r="P548" s="107">
        <v>124.6</v>
      </c>
      <c r="Q548" s="107">
        <v>126.25</v>
      </c>
      <c r="R548">
        <v>3345607</v>
      </c>
    </row>
    <row r="549" spans="1:18" x14ac:dyDescent="0.25">
      <c r="A549" s="130">
        <v>42810</v>
      </c>
      <c r="B549" s="107">
        <v>129</v>
      </c>
      <c r="C549" s="107">
        <v>128.4</v>
      </c>
      <c r="D549" s="107">
        <v>126.4</v>
      </c>
      <c r="E549" s="107">
        <v>126.55</v>
      </c>
      <c r="F549" s="107">
        <v>128.4</v>
      </c>
      <c r="G549">
        <v>463287</v>
      </c>
      <c r="H549" s="107"/>
      <c r="I549" s="107"/>
      <c r="L549" s="130">
        <v>42810</v>
      </c>
      <c r="M549" s="107">
        <v>128.35</v>
      </c>
      <c r="N549" s="107">
        <v>129.15</v>
      </c>
      <c r="O549" s="107">
        <v>126.4</v>
      </c>
      <c r="P549" s="107">
        <v>127.5</v>
      </c>
      <c r="Q549" s="107">
        <v>128.35</v>
      </c>
      <c r="R549">
        <v>2958467</v>
      </c>
    </row>
    <row r="550" spans="1:18" x14ac:dyDescent="0.25">
      <c r="A550" s="130">
        <v>42811</v>
      </c>
      <c r="B550" s="107">
        <v>129.1</v>
      </c>
      <c r="C550" s="107">
        <v>126.9</v>
      </c>
      <c r="D550" s="107">
        <v>126.05</v>
      </c>
      <c r="E550" s="107">
        <v>128.5</v>
      </c>
      <c r="F550" s="107">
        <v>126.9</v>
      </c>
      <c r="G550">
        <v>281487</v>
      </c>
      <c r="H550" s="107"/>
      <c r="I550" s="107"/>
      <c r="L550" s="130">
        <v>42811</v>
      </c>
      <c r="M550" s="107">
        <v>126.95</v>
      </c>
      <c r="N550" s="107">
        <v>129.05000000000001</v>
      </c>
      <c r="O550" s="107">
        <v>126</v>
      </c>
      <c r="P550" s="107">
        <v>129</v>
      </c>
      <c r="Q550" s="107">
        <v>126.95</v>
      </c>
      <c r="R550">
        <v>2423037</v>
      </c>
    </row>
    <row r="551" spans="1:18" x14ac:dyDescent="0.25">
      <c r="A551" s="130">
        <v>42814</v>
      </c>
      <c r="B551" s="107">
        <v>129.69999999999999</v>
      </c>
      <c r="C551" s="107">
        <v>128.80000000000001</v>
      </c>
      <c r="D551" s="107">
        <v>126.4</v>
      </c>
      <c r="E551" s="107">
        <v>127.3</v>
      </c>
      <c r="F551" s="107">
        <v>128.80000000000001</v>
      </c>
      <c r="G551">
        <v>355078</v>
      </c>
      <c r="H551" s="107"/>
      <c r="I551" s="107"/>
      <c r="L551" s="130">
        <v>42814</v>
      </c>
      <c r="M551" s="107">
        <v>128.9</v>
      </c>
      <c r="N551" s="107">
        <v>129.9</v>
      </c>
      <c r="O551" s="107">
        <v>126.35</v>
      </c>
      <c r="P551" s="107">
        <v>127.3</v>
      </c>
      <c r="Q551" s="107">
        <v>128.9</v>
      </c>
      <c r="R551">
        <v>2994945</v>
      </c>
    </row>
    <row r="552" spans="1:18" x14ac:dyDescent="0.25">
      <c r="A552" s="130">
        <v>42815</v>
      </c>
      <c r="B552" s="107">
        <v>131.25</v>
      </c>
      <c r="C552" s="107">
        <v>128.6</v>
      </c>
      <c r="D552" s="107">
        <v>127.55</v>
      </c>
      <c r="E552" s="107">
        <v>129.4</v>
      </c>
      <c r="F552" s="107">
        <v>128.6</v>
      </c>
      <c r="G552">
        <v>509990</v>
      </c>
      <c r="H552" s="107"/>
      <c r="I552" s="107"/>
      <c r="L552" s="130">
        <v>42815</v>
      </c>
      <c r="M552" s="107">
        <v>128.6</v>
      </c>
      <c r="N552" s="107">
        <v>131.4</v>
      </c>
      <c r="O552" s="107">
        <v>127.5</v>
      </c>
      <c r="P552" s="107">
        <v>129.25</v>
      </c>
      <c r="Q552" s="107">
        <v>128.6</v>
      </c>
      <c r="R552">
        <v>3576953</v>
      </c>
    </row>
    <row r="553" spans="1:18" x14ac:dyDescent="0.25">
      <c r="A553" s="130">
        <v>42816</v>
      </c>
      <c r="B553" s="107">
        <v>128</v>
      </c>
      <c r="C553" s="107">
        <v>125.8</v>
      </c>
      <c r="D553" s="107">
        <v>125.5</v>
      </c>
      <c r="E553" s="107">
        <v>128</v>
      </c>
      <c r="F553" s="107">
        <v>125.8</v>
      </c>
      <c r="G553">
        <v>239118</v>
      </c>
      <c r="H553" s="107"/>
      <c r="I553" s="107"/>
      <c r="L553" s="130">
        <v>42816</v>
      </c>
      <c r="M553" s="107">
        <v>125.8</v>
      </c>
      <c r="N553" s="107">
        <v>127.65</v>
      </c>
      <c r="O553" s="107">
        <v>125.55</v>
      </c>
      <c r="P553" s="107">
        <v>127.35</v>
      </c>
      <c r="Q553" s="107">
        <v>125.8</v>
      </c>
      <c r="R553">
        <v>2230088</v>
      </c>
    </row>
    <row r="554" spans="1:18" x14ac:dyDescent="0.25">
      <c r="A554" s="130">
        <v>42817</v>
      </c>
      <c r="B554" s="107">
        <v>127.2</v>
      </c>
      <c r="C554" s="107">
        <v>126.6</v>
      </c>
      <c r="D554" s="107">
        <v>125.4</v>
      </c>
      <c r="E554" s="107">
        <v>126.1</v>
      </c>
      <c r="F554" s="107">
        <v>126.6</v>
      </c>
      <c r="G554">
        <v>225039</v>
      </c>
      <c r="H554" s="107"/>
      <c r="I554" s="107"/>
      <c r="L554" s="130">
        <v>42817</v>
      </c>
      <c r="M554" s="107">
        <v>126.5</v>
      </c>
      <c r="N554" s="107">
        <v>127.2</v>
      </c>
      <c r="O554" s="107">
        <v>125.3</v>
      </c>
      <c r="P554" s="107">
        <v>126.55</v>
      </c>
      <c r="Q554" s="107">
        <v>126.5</v>
      </c>
      <c r="R554">
        <v>1939771</v>
      </c>
    </row>
    <row r="555" spans="1:18" x14ac:dyDescent="0.25">
      <c r="A555" s="130">
        <v>42818</v>
      </c>
      <c r="B555" s="107">
        <v>135.44999999999999</v>
      </c>
      <c r="C555" s="107">
        <v>132.94999999999999</v>
      </c>
      <c r="D555" s="107">
        <v>126.9</v>
      </c>
      <c r="E555" s="107">
        <v>127</v>
      </c>
      <c r="F555" s="107">
        <v>132.94999999999999</v>
      </c>
      <c r="G555">
        <v>1509069</v>
      </c>
      <c r="H555" s="107"/>
      <c r="I555" s="107"/>
      <c r="L555" s="130">
        <v>42818</v>
      </c>
      <c r="M555" s="107">
        <v>133.05000000000001</v>
      </c>
      <c r="N555" s="107">
        <v>135.80000000000001</v>
      </c>
      <c r="O555" s="107">
        <v>126.8</v>
      </c>
      <c r="P555" s="107">
        <v>126.8</v>
      </c>
      <c r="Q555" s="107">
        <v>133.05000000000001</v>
      </c>
      <c r="R555">
        <v>12793047</v>
      </c>
    </row>
    <row r="556" spans="1:18" x14ac:dyDescent="0.25">
      <c r="A556" s="130">
        <v>42821</v>
      </c>
      <c r="B556" s="107">
        <v>136.4</v>
      </c>
      <c r="C556" s="107">
        <v>135.30000000000001</v>
      </c>
      <c r="D556" s="107">
        <v>132.5</v>
      </c>
      <c r="E556" s="107">
        <v>132.9</v>
      </c>
      <c r="F556" s="107">
        <v>135.30000000000001</v>
      </c>
      <c r="G556">
        <v>798585</v>
      </c>
      <c r="H556" s="107"/>
      <c r="I556" s="107"/>
      <c r="L556" s="130">
        <v>42821</v>
      </c>
      <c r="M556" s="107">
        <v>135.9</v>
      </c>
      <c r="N556" s="107">
        <v>136.85</v>
      </c>
      <c r="O556" s="107">
        <v>132.25</v>
      </c>
      <c r="P556" s="107">
        <v>132.25</v>
      </c>
      <c r="Q556" s="107">
        <v>135.9</v>
      </c>
      <c r="R556">
        <v>6225880</v>
      </c>
    </row>
    <row r="557" spans="1:18" x14ac:dyDescent="0.25">
      <c r="A557" s="130">
        <v>42822</v>
      </c>
      <c r="B557" s="107">
        <v>137.69999999999999</v>
      </c>
      <c r="C557" s="107">
        <v>135.9</v>
      </c>
      <c r="D557" s="107">
        <v>135.19999999999999</v>
      </c>
      <c r="E557" s="107">
        <v>137</v>
      </c>
      <c r="F557" s="107">
        <v>135.9</v>
      </c>
      <c r="G557">
        <v>339642</v>
      </c>
      <c r="H557" s="107"/>
      <c r="I557" s="107"/>
      <c r="L557" s="130">
        <v>42822</v>
      </c>
      <c r="M557" s="107">
        <v>135.94999999999999</v>
      </c>
      <c r="N557" s="107">
        <v>137.75</v>
      </c>
      <c r="O557" s="107">
        <v>135.15</v>
      </c>
      <c r="P557" s="107">
        <v>136.80000000000001</v>
      </c>
      <c r="Q557" s="107">
        <v>135.94999999999999</v>
      </c>
      <c r="R557">
        <v>3249704</v>
      </c>
    </row>
    <row r="558" spans="1:18" x14ac:dyDescent="0.25">
      <c r="A558" s="130">
        <v>42823</v>
      </c>
      <c r="B558" s="107">
        <v>140.19999999999999</v>
      </c>
      <c r="C558" s="107">
        <v>138.44999999999999</v>
      </c>
      <c r="D558" s="107">
        <v>135.25</v>
      </c>
      <c r="E558" s="107">
        <v>136.5</v>
      </c>
      <c r="F558" s="107">
        <v>138.44999999999999</v>
      </c>
      <c r="G558">
        <v>905444</v>
      </c>
      <c r="H558" s="107"/>
      <c r="I558" s="107"/>
      <c r="L558" s="130">
        <v>42823</v>
      </c>
      <c r="M558" s="107">
        <v>138.4</v>
      </c>
      <c r="N558" s="107">
        <v>140.44999999999999</v>
      </c>
      <c r="O558" s="107">
        <v>135.1</v>
      </c>
      <c r="P558" s="107">
        <v>137</v>
      </c>
      <c r="Q558" s="107">
        <v>138.4</v>
      </c>
      <c r="R558">
        <v>6351155</v>
      </c>
    </row>
    <row r="559" spans="1:18" x14ac:dyDescent="0.25">
      <c r="A559" s="130">
        <v>42824</v>
      </c>
      <c r="B559" s="107">
        <v>141.19999999999999</v>
      </c>
      <c r="C559" s="107">
        <v>138.6</v>
      </c>
      <c r="D559" s="107">
        <v>138</v>
      </c>
      <c r="E559" s="107">
        <v>139.80000000000001</v>
      </c>
      <c r="F559" s="107">
        <v>138.6</v>
      </c>
      <c r="G559">
        <v>489194</v>
      </c>
      <c r="H559" s="107"/>
      <c r="I559" s="107"/>
      <c r="L559" s="130">
        <v>42824</v>
      </c>
      <c r="M559" s="107">
        <v>138.5</v>
      </c>
      <c r="N559" s="107">
        <v>141.4</v>
      </c>
      <c r="O559" s="107">
        <v>138</v>
      </c>
      <c r="P559" s="107">
        <v>138.4</v>
      </c>
      <c r="Q559" s="107">
        <v>138.5</v>
      </c>
      <c r="R559">
        <v>7554582</v>
      </c>
    </row>
    <row r="560" spans="1:18" x14ac:dyDescent="0.25">
      <c r="A560" s="130">
        <v>42825</v>
      </c>
      <c r="B560" s="107">
        <v>142.4</v>
      </c>
      <c r="C560" s="107">
        <v>139.4</v>
      </c>
      <c r="D560" s="107">
        <v>137.44999999999999</v>
      </c>
      <c r="E560" s="107">
        <v>139</v>
      </c>
      <c r="F560" s="107">
        <v>139.4</v>
      </c>
      <c r="G560">
        <v>910820</v>
      </c>
      <c r="H560" s="107"/>
      <c r="I560" s="107"/>
      <c r="L560" s="130">
        <v>42825</v>
      </c>
      <c r="M560" s="107">
        <v>139.25</v>
      </c>
      <c r="N560" s="107">
        <v>142.4</v>
      </c>
      <c r="O560" s="107">
        <v>137.4</v>
      </c>
      <c r="P560" s="107">
        <v>139.35</v>
      </c>
      <c r="Q560" s="107">
        <v>139.25</v>
      </c>
      <c r="R560">
        <v>6049376</v>
      </c>
    </row>
    <row r="561" spans="1:18" x14ac:dyDescent="0.25">
      <c r="A561" s="130">
        <v>42828</v>
      </c>
      <c r="B561" s="107">
        <v>140.6</v>
      </c>
      <c r="C561" s="107">
        <v>139.44999999999999</v>
      </c>
      <c r="D561" s="107">
        <v>138.6</v>
      </c>
      <c r="E561" s="107">
        <v>140</v>
      </c>
      <c r="F561" s="107">
        <v>139.44999999999999</v>
      </c>
      <c r="G561">
        <v>281256</v>
      </c>
      <c r="H561" s="107"/>
      <c r="I561" s="107"/>
      <c r="L561" s="130">
        <v>42828</v>
      </c>
      <c r="M561" s="107">
        <v>139.4</v>
      </c>
      <c r="N561" s="107">
        <v>140.65</v>
      </c>
      <c r="O561" s="107">
        <v>138.5</v>
      </c>
      <c r="P561" s="107">
        <v>139.80000000000001</v>
      </c>
      <c r="Q561" s="107">
        <v>139.4</v>
      </c>
      <c r="R561">
        <v>2357992</v>
      </c>
    </row>
    <row r="562" spans="1:18" x14ac:dyDescent="0.25">
      <c r="A562" s="130">
        <v>42830</v>
      </c>
      <c r="B562" s="107">
        <v>144.1</v>
      </c>
      <c r="C562" s="107">
        <v>143</v>
      </c>
      <c r="D562" s="107">
        <v>138.75</v>
      </c>
      <c r="E562" s="107">
        <v>139.94999999999999</v>
      </c>
      <c r="F562" s="107">
        <v>143</v>
      </c>
      <c r="G562">
        <v>583707</v>
      </c>
      <c r="H562" s="107"/>
      <c r="I562" s="107"/>
      <c r="L562" s="130">
        <v>42830</v>
      </c>
      <c r="M562" s="107">
        <v>143</v>
      </c>
      <c r="N562" s="107">
        <v>144.19999999999999</v>
      </c>
      <c r="O562" s="107">
        <v>138.69999999999999</v>
      </c>
      <c r="P562" s="107">
        <v>139.9</v>
      </c>
      <c r="Q562" s="107">
        <v>143</v>
      </c>
      <c r="R562">
        <v>5477904</v>
      </c>
    </row>
    <row r="563" spans="1:18" x14ac:dyDescent="0.25">
      <c r="A563" s="130">
        <v>42831</v>
      </c>
      <c r="B563" s="107">
        <v>143.65</v>
      </c>
      <c r="C563" s="107">
        <v>141.65</v>
      </c>
      <c r="D563" s="107">
        <v>140.80000000000001</v>
      </c>
      <c r="E563" s="107">
        <v>142.4</v>
      </c>
      <c r="F563" s="107">
        <v>141.65</v>
      </c>
      <c r="G563">
        <v>383862</v>
      </c>
      <c r="H563" s="107"/>
      <c r="I563" s="107"/>
      <c r="L563" s="130">
        <v>42831</v>
      </c>
      <c r="M563" s="107">
        <v>141.9</v>
      </c>
      <c r="N563" s="107">
        <v>143.6</v>
      </c>
      <c r="O563" s="107">
        <v>140.80000000000001</v>
      </c>
      <c r="P563" s="107">
        <v>142.6</v>
      </c>
      <c r="Q563" s="107">
        <v>141.9</v>
      </c>
      <c r="R563">
        <v>3485791</v>
      </c>
    </row>
    <row r="564" spans="1:18" x14ac:dyDescent="0.25">
      <c r="A564" s="130">
        <v>42832</v>
      </c>
      <c r="B564" s="107">
        <v>144.19999999999999</v>
      </c>
      <c r="C564" s="107">
        <v>140.44999999999999</v>
      </c>
      <c r="D564" s="107">
        <v>139.30000000000001</v>
      </c>
      <c r="E564" s="107">
        <v>141.30000000000001</v>
      </c>
      <c r="F564" s="107">
        <v>140.44999999999999</v>
      </c>
      <c r="G564">
        <v>497898</v>
      </c>
      <c r="H564" s="107"/>
      <c r="I564" s="107"/>
      <c r="L564" s="130">
        <v>42832</v>
      </c>
      <c r="M564" s="107">
        <v>141.1</v>
      </c>
      <c r="N564" s="107">
        <v>144.4</v>
      </c>
      <c r="O564" s="107">
        <v>139.69999999999999</v>
      </c>
      <c r="P564" s="107">
        <v>141</v>
      </c>
      <c r="Q564" s="107">
        <v>141.1</v>
      </c>
      <c r="R564">
        <v>6278796</v>
      </c>
    </row>
    <row r="565" spans="1:18" x14ac:dyDescent="0.25">
      <c r="A565" s="130">
        <v>42835</v>
      </c>
      <c r="B565" s="107">
        <v>147.05000000000001</v>
      </c>
      <c r="C565" s="107">
        <v>145.69999999999999</v>
      </c>
      <c r="D565" s="107">
        <v>140.19999999999999</v>
      </c>
      <c r="E565" s="107">
        <v>141</v>
      </c>
      <c r="F565" s="107">
        <v>145.69999999999999</v>
      </c>
      <c r="G565">
        <v>539475</v>
      </c>
      <c r="H565" s="107"/>
      <c r="I565" s="107"/>
      <c r="L565" s="130">
        <v>42835</v>
      </c>
      <c r="M565" s="107">
        <v>145.6</v>
      </c>
      <c r="N565" s="107">
        <v>146.30000000000001</v>
      </c>
      <c r="O565" s="107">
        <v>140.19999999999999</v>
      </c>
      <c r="P565" s="107">
        <v>141</v>
      </c>
      <c r="Q565" s="107">
        <v>145.6</v>
      </c>
      <c r="R565">
        <v>5179845</v>
      </c>
    </row>
    <row r="566" spans="1:18" x14ac:dyDescent="0.25">
      <c r="A566" s="130">
        <v>42836</v>
      </c>
      <c r="B566" s="107">
        <v>150.30000000000001</v>
      </c>
      <c r="C566" s="107">
        <v>149.65</v>
      </c>
      <c r="D566" s="107">
        <v>145.1</v>
      </c>
      <c r="E566" s="107">
        <v>146</v>
      </c>
      <c r="F566" s="107">
        <v>149.65</v>
      </c>
      <c r="G566">
        <v>640598</v>
      </c>
      <c r="H566" s="107"/>
      <c r="I566" s="107"/>
      <c r="L566" s="130">
        <v>42836</v>
      </c>
      <c r="M566" s="107">
        <v>149.65</v>
      </c>
      <c r="N566" s="107">
        <v>150.4</v>
      </c>
      <c r="O566" s="107">
        <v>145</v>
      </c>
      <c r="P566" s="107">
        <v>145.6</v>
      </c>
      <c r="Q566" s="107">
        <v>149.65</v>
      </c>
      <c r="R566">
        <v>5115360</v>
      </c>
    </row>
    <row r="567" spans="1:18" x14ac:dyDescent="0.25">
      <c r="A567" s="130">
        <v>42837</v>
      </c>
      <c r="B567" s="107">
        <v>150.6</v>
      </c>
      <c r="C567" s="107">
        <v>147</v>
      </c>
      <c r="D567" s="107">
        <v>145.15</v>
      </c>
      <c r="E567" s="107">
        <v>150.05000000000001</v>
      </c>
      <c r="F567" s="107">
        <v>147</v>
      </c>
      <c r="G567">
        <v>587593</v>
      </c>
      <c r="H567" s="107"/>
      <c r="I567" s="107"/>
      <c r="L567" s="130">
        <v>42837</v>
      </c>
      <c r="M567" s="107">
        <v>147.65</v>
      </c>
      <c r="N567" s="107">
        <v>150.69999999999999</v>
      </c>
      <c r="O567" s="107">
        <v>145.1</v>
      </c>
      <c r="P567" s="107">
        <v>149.65</v>
      </c>
      <c r="Q567" s="107">
        <v>147.65</v>
      </c>
      <c r="R567">
        <v>6028649</v>
      </c>
    </row>
    <row r="568" spans="1:18" x14ac:dyDescent="0.25">
      <c r="A568" s="130">
        <v>42838</v>
      </c>
      <c r="B568" s="107">
        <v>151.44999999999999</v>
      </c>
      <c r="C568" s="107">
        <v>149</v>
      </c>
      <c r="D568" s="107">
        <v>146.4</v>
      </c>
      <c r="E568" s="107">
        <v>146.4</v>
      </c>
      <c r="F568" s="107">
        <v>149</v>
      </c>
      <c r="G568">
        <v>530229</v>
      </c>
      <c r="H568" s="107"/>
      <c r="I568" s="107"/>
      <c r="L568" s="130">
        <v>42838</v>
      </c>
      <c r="M568" s="107">
        <v>149.35</v>
      </c>
      <c r="N568" s="107">
        <v>151.44999999999999</v>
      </c>
      <c r="O568" s="107">
        <v>146.5</v>
      </c>
      <c r="P568" s="107">
        <v>146.5</v>
      </c>
      <c r="Q568" s="107">
        <v>149.35</v>
      </c>
      <c r="R568">
        <v>3733086</v>
      </c>
    </row>
    <row r="569" spans="1:18" x14ac:dyDescent="0.25">
      <c r="A569" s="130">
        <v>42842</v>
      </c>
      <c r="B569" s="107">
        <v>149.65</v>
      </c>
      <c r="C569" s="107">
        <v>146.94999999999999</v>
      </c>
      <c r="D569" s="107">
        <v>146</v>
      </c>
      <c r="E569" s="107">
        <v>149</v>
      </c>
      <c r="F569" s="107">
        <v>146.94999999999999</v>
      </c>
      <c r="G569">
        <v>291721</v>
      </c>
      <c r="H569" s="107"/>
      <c r="I569" s="107"/>
      <c r="L569" s="130">
        <v>42842</v>
      </c>
      <c r="M569" s="107">
        <v>147.19999999999999</v>
      </c>
      <c r="N569" s="107">
        <v>149.69999999999999</v>
      </c>
      <c r="O569" s="107">
        <v>145.85</v>
      </c>
      <c r="P569" s="107">
        <v>147.85</v>
      </c>
      <c r="Q569" s="107">
        <v>147.19999999999999</v>
      </c>
      <c r="R569">
        <v>3242781</v>
      </c>
    </row>
    <row r="570" spans="1:18" x14ac:dyDescent="0.25">
      <c r="A570" s="130">
        <v>42843</v>
      </c>
      <c r="B570" s="107">
        <v>155.44999999999999</v>
      </c>
      <c r="C570" s="107">
        <v>151.4</v>
      </c>
      <c r="D570" s="107">
        <v>147.35</v>
      </c>
      <c r="E570" s="107">
        <v>148.9</v>
      </c>
      <c r="F570" s="107">
        <v>151.4</v>
      </c>
      <c r="G570">
        <v>970042</v>
      </c>
      <c r="H570" s="107"/>
      <c r="I570" s="107"/>
      <c r="L570" s="130">
        <v>42843</v>
      </c>
      <c r="M570" s="107">
        <v>151.4</v>
      </c>
      <c r="N570" s="107">
        <v>155.6</v>
      </c>
      <c r="O570" s="107">
        <v>147.5</v>
      </c>
      <c r="P570" s="107">
        <v>147.55000000000001</v>
      </c>
      <c r="Q570" s="107">
        <v>151.4</v>
      </c>
      <c r="R570">
        <v>7998502</v>
      </c>
    </row>
    <row r="571" spans="1:18" x14ac:dyDescent="0.25">
      <c r="A571" s="130">
        <v>42844</v>
      </c>
      <c r="B571" s="107">
        <v>153.4</v>
      </c>
      <c r="C571" s="107">
        <v>148.9</v>
      </c>
      <c r="D571" s="107">
        <v>148.19999999999999</v>
      </c>
      <c r="E571" s="107">
        <v>152.30000000000001</v>
      </c>
      <c r="F571" s="107">
        <v>148.9</v>
      </c>
      <c r="G571">
        <v>457579</v>
      </c>
      <c r="H571" s="107"/>
      <c r="I571" s="107"/>
      <c r="L571" s="130">
        <v>42844</v>
      </c>
      <c r="M571" s="107">
        <v>149.15</v>
      </c>
      <c r="N571" s="107">
        <v>153.30000000000001</v>
      </c>
      <c r="O571" s="107">
        <v>148.5</v>
      </c>
      <c r="P571" s="107">
        <v>152</v>
      </c>
      <c r="Q571" s="107">
        <v>149.15</v>
      </c>
      <c r="R571">
        <v>4588938</v>
      </c>
    </row>
    <row r="572" spans="1:18" x14ac:dyDescent="0.25">
      <c r="A572" s="130">
        <v>42845</v>
      </c>
      <c r="B572" s="107">
        <v>152.80000000000001</v>
      </c>
      <c r="C572" s="107">
        <v>151.69999999999999</v>
      </c>
      <c r="D572" s="107">
        <v>148.80000000000001</v>
      </c>
      <c r="E572" s="107">
        <v>150</v>
      </c>
      <c r="F572" s="107">
        <v>151.69999999999999</v>
      </c>
      <c r="G572">
        <v>468377</v>
      </c>
      <c r="H572" s="107"/>
      <c r="I572" s="107"/>
      <c r="L572" s="130">
        <v>42845</v>
      </c>
      <c r="M572" s="107">
        <v>151.85</v>
      </c>
      <c r="N572" s="107">
        <v>152.9</v>
      </c>
      <c r="O572" s="107">
        <v>148.75</v>
      </c>
      <c r="P572" s="107">
        <v>149.6</v>
      </c>
      <c r="Q572" s="107">
        <v>151.85</v>
      </c>
      <c r="R572">
        <v>3766175</v>
      </c>
    </row>
    <row r="573" spans="1:18" x14ac:dyDescent="0.25">
      <c r="A573" s="130">
        <v>42846</v>
      </c>
      <c r="B573" s="107">
        <v>153.4</v>
      </c>
      <c r="C573" s="107">
        <v>150.6</v>
      </c>
      <c r="D573" s="107">
        <v>149.1</v>
      </c>
      <c r="E573" s="107">
        <v>152.5</v>
      </c>
      <c r="F573" s="107">
        <v>150.6</v>
      </c>
      <c r="G573">
        <v>288462</v>
      </c>
      <c r="H573" s="107"/>
      <c r="I573" s="107"/>
      <c r="L573" s="130">
        <v>42846</v>
      </c>
      <c r="M573" s="107">
        <v>150.44999999999999</v>
      </c>
      <c r="N573" s="107">
        <v>153.5</v>
      </c>
      <c r="O573" s="107">
        <v>149.15</v>
      </c>
      <c r="P573" s="107">
        <v>151.80000000000001</v>
      </c>
      <c r="Q573" s="107">
        <v>150.44999999999999</v>
      </c>
      <c r="R573">
        <v>2915689</v>
      </c>
    </row>
    <row r="574" spans="1:18" x14ac:dyDescent="0.25">
      <c r="A574" s="130">
        <v>42849</v>
      </c>
      <c r="B574" s="107">
        <v>154.30000000000001</v>
      </c>
      <c r="C574" s="107">
        <v>153.05000000000001</v>
      </c>
      <c r="D574" s="107">
        <v>149.85</v>
      </c>
      <c r="E574" s="107">
        <v>151</v>
      </c>
      <c r="F574" s="107">
        <v>153.05000000000001</v>
      </c>
      <c r="G574">
        <v>275660</v>
      </c>
      <c r="H574" s="107"/>
      <c r="I574" s="107"/>
      <c r="L574" s="130">
        <v>42849</v>
      </c>
      <c r="M574" s="107">
        <v>153.35</v>
      </c>
      <c r="N574" s="107">
        <v>154.5</v>
      </c>
      <c r="O574" s="107">
        <v>149.75</v>
      </c>
      <c r="P574" s="107">
        <v>151.35</v>
      </c>
      <c r="Q574" s="107">
        <v>153.35</v>
      </c>
      <c r="R574">
        <v>4180584</v>
      </c>
    </row>
    <row r="575" spans="1:18" x14ac:dyDescent="0.25">
      <c r="A575" s="130">
        <v>42850</v>
      </c>
      <c r="B575" s="107">
        <v>162.80000000000001</v>
      </c>
      <c r="C575" s="107">
        <v>158.85</v>
      </c>
      <c r="D575" s="107">
        <v>153.1</v>
      </c>
      <c r="E575" s="107">
        <v>153.1</v>
      </c>
      <c r="F575" s="107">
        <v>158.85</v>
      </c>
      <c r="G575">
        <v>862136</v>
      </c>
      <c r="H575" s="107"/>
      <c r="I575" s="107"/>
      <c r="L575" s="130">
        <v>42850</v>
      </c>
      <c r="M575" s="107">
        <v>158.44999999999999</v>
      </c>
      <c r="N575" s="107">
        <v>159.55000000000001</v>
      </c>
      <c r="O575" s="107">
        <v>153.5</v>
      </c>
      <c r="P575" s="107">
        <v>154.35</v>
      </c>
      <c r="Q575" s="107">
        <v>158.44999999999999</v>
      </c>
      <c r="R575">
        <v>6672994</v>
      </c>
    </row>
    <row r="576" spans="1:18" x14ac:dyDescent="0.25">
      <c r="A576" s="130">
        <v>42851</v>
      </c>
      <c r="B576" s="107">
        <v>165.25</v>
      </c>
      <c r="C576" s="107">
        <v>163.25</v>
      </c>
      <c r="D576" s="107">
        <v>157.15</v>
      </c>
      <c r="E576" s="107">
        <v>158.44999999999999</v>
      </c>
      <c r="F576" s="107">
        <v>163.25</v>
      </c>
      <c r="G576">
        <v>633794</v>
      </c>
      <c r="H576" s="107"/>
      <c r="I576" s="107"/>
      <c r="L576" s="130">
        <v>42851</v>
      </c>
      <c r="M576" s="107">
        <v>163.69999999999999</v>
      </c>
      <c r="N576" s="107">
        <v>166.45</v>
      </c>
      <c r="O576" s="107">
        <v>157.30000000000001</v>
      </c>
      <c r="P576" s="107">
        <v>158.5</v>
      </c>
      <c r="Q576" s="107">
        <v>163.69999999999999</v>
      </c>
      <c r="R576">
        <v>6889329</v>
      </c>
    </row>
    <row r="577" spans="1:18" x14ac:dyDescent="0.25">
      <c r="A577" s="130">
        <v>42852</v>
      </c>
      <c r="B577" s="107">
        <v>185.7</v>
      </c>
      <c r="C577" s="107">
        <v>177.45</v>
      </c>
      <c r="D577" s="107">
        <v>159.80000000000001</v>
      </c>
      <c r="E577" s="107">
        <v>163</v>
      </c>
      <c r="F577" s="107">
        <v>177.45</v>
      </c>
      <c r="G577">
        <v>1940167</v>
      </c>
      <c r="H577" s="107"/>
      <c r="I577" s="107"/>
      <c r="L577" s="130">
        <v>42852</v>
      </c>
      <c r="M577" s="107">
        <v>178.5</v>
      </c>
      <c r="N577" s="107">
        <v>188.25</v>
      </c>
      <c r="O577" s="107">
        <v>159.5</v>
      </c>
      <c r="P577" s="107">
        <v>162.4</v>
      </c>
      <c r="Q577" s="107">
        <v>178.5</v>
      </c>
      <c r="R577">
        <v>14970959</v>
      </c>
    </row>
    <row r="578" spans="1:18" x14ac:dyDescent="0.25">
      <c r="A578" s="130">
        <v>42853</v>
      </c>
      <c r="B578" s="107">
        <v>189</v>
      </c>
      <c r="C578" s="107">
        <v>186.35</v>
      </c>
      <c r="D578" s="107">
        <v>171.65</v>
      </c>
      <c r="E578" s="107">
        <v>174.75</v>
      </c>
      <c r="F578" s="107">
        <v>186.35</v>
      </c>
      <c r="G578">
        <v>2419628</v>
      </c>
      <c r="H578" s="107"/>
      <c r="I578" s="107"/>
      <c r="L578" s="130">
        <v>42853</v>
      </c>
      <c r="M578" s="107">
        <v>186.8</v>
      </c>
      <c r="N578" s="107">
        <v>189.55</v>
      </c>
      <c r="O578" s="107">
        <v>171.7</v>
      </c>
      <c r="P578" s="107">
        <v>174</v>
      </c>
      <c r="Q578" s="107">
        <v>186.8</v>
      </c>
      <c r="R578">
        <v>18081940</v>
      </c>
    </row>
    <row r="579" spans="1:18" x14ac:dyDescent="0.25">
      <c r="A579" s="130">
        <v>42857</v>
      </c>
      <c r="B579" s="107">
        <v>188</v>
      </c>
      <c r="C579" s="107">
        <v>181.2</v>
      </c>
      <c r="D579" s="107">
        <v>178.35</v>
      </c>
      <c r="E579" s="107">
        <v>185.9</v>
      </c>
      <c r="F579" s="107">
        <v>181.2</v>
      </c>
      <c r="G579">
        <v>1181898</v>
      </c>
      <c r="H579" s="107"/>
      <c r="I579" s="107"/>
      <c r="L579" s="130">
        <v>42857</v>
      </c>
      <c r="M579" s="107">
        <v>179.8</v>
      </c>
      <c r="N579" s="107">
        <v>188</v>
      </c>
      <c r="O579" s="107">
        <v>177.55</v>
      </c>
      <c r="P579" s="107">
        <v>185.4</v>
      </c>
      <c r="Q579" s="107">
        <v>179.8</v>
      </c>
      <c r="R579">
        <v>8440338</v>
      </c>
    </row>
    <row r="580" spans="1:18" x14ac:dyDescent="0.25">
      <c r="A580" s="130">
        <v>42858</v>
      </c>
      <c r="B580" s="107">
        <v>190.1</v>
      </c>
      <c r="C580" s="107">
        <v>184.75</v>
      </c>
      <c r="D580" s="107">
        <v>179.8</v>
      </c>
      <c r="E580" s="107">
        <v>180.9</v>
      </c>
      <c r="F580" s="107">
        <v>184.75</v>
      </c>
      <c r="G580">
        <v>1440694</v>
      </c>
      <c r="H580" s="107"/>
      <c r="I580" s="107"/>
      <c r="L580" s="130">
        <v>42858</v>
      </c>
      <c r="M580" s="107">
        <v>185.25</v>
      </c>
      <c r="N580" s="107">
        <v>190.4</v>
      </c>
      <c r="O580" s="107">
        <v>179.7</v>
      </c>
      <c r="P580" s="107">
        <v>180.7</v>
      </c>
      <c r="Q580" s="107">
        <v>185.25</v>
      </c>
      <c r="R580">
        <v>9999014</v>
      </c>
    </row>
    <row r="581" spans="1:18" x14ac:dyDescent="0.25">
      <c r="A581" s="130">
        <v>42859</v>
      </c>
      <c r="B581" s="107">
        <v>193.25</v>
      </c>
      <c r="C581" s="107">
        <v>192.3</v>
      </c>
      <c r="D581" s="107">
        <v>186.25</v>
      </c>
      <c r="E581" s="107">
        <v>187.1</v>
      </c>
      <c r="F581" s="107">
        <v>192.3</v>
      </c>
      <c r="G581">
        <v>1025878</v>
      </c>
      <c r="H581" s="107"/>
      <c r="I581" s="107"/>
      <c r="L581" s="130">
        <v>42859</v>
      </c>
      <c r="M581" s="107">
        <v>192.3</v>
      </c>
      <c r="N581" s="107">
        <v>193.5</v>
      </c>
      <c r="O581" s="107">
        <v>186.2</v>
      </c>
      <c r="P581" s="107">
        <v>188.6</v>
      </c>
      <c r="Q581" s="107">
        <v>192.3</v>
      </c>
      <c r="R581">
        <v>8217136</v>
      </c>
    </row>
    <row r="582" spans="1:18" x14ac:dyDescent="0.25">
      <c r="A582" s="130">
        <v>42860</v>
      </c>
      <c r="B582" s="107">
        <v>197.25</v>
      </c>
      <c r="C582" s="107">
        <v>183.75</v>
      </c>
      <c r="D582" s="107">
        <v>180.05</v>
      </c>
      <c r="E582" s="107">
        <v>192.9</v>
      </c>
      <c r="F582" s="107">
        <v>183.75</v>
      </c>
      <c r="G582">
        <v>2165569</v>
      </c>
      <c r="H582" s="107"/>
      <c r="I582" s="107"/>
      <c r="L582" s="130">
        <v>42860</v>
      </c>
      <c r="M582" s="107">
        <v>183.6</v>
      </c>
      <c r="N582" s="107">
        <v>197.2</v>
      </c>
      <c r="O582" s="107">
        <v>179.75</v>
      </c>
      <c r="P582" s="107">
        <v>192.55</v>
      </c>
      <c r="Q582" s="107">
        <v>183.6</v>
      </c>
      <c r="R582">
        <v>17363212</v>
      </c>
    </row>
    <row r="583" spans="1:18" x14ac:dyDescent="0.25">
      <c r="A583" s="130">
        <v>42863</v>
      </c>
      <c r="B583" s="107">
        <v>187.3</v>
      </c>
      <c r="C583" s="107">
        <v>184.9</v>
      </c>
      <c r="D583" s="107">
        <v>180</v>
      </c>
      <c r="E583" s="107">
        <v>183.7</v>
      </c>
      <c r="F583" s="107">
        <v>184.9</v>
      </c>
      <c r="G583">
        <v>497469</v>
      </c>
      <c r="H583" s="107"/>
      <c r="I583" s="107"/>
      <c r="L583" s="130">
        <v>42863</v>
      </c>
      <c r="M583" s="107">
        <v>185.35</v>
      </c>
      <c r="N583" s="107">
        <v>187.35</v>
      </c>
      <c r="O583" s="107">
        <v>179.6</v>
      </c>
      <c r="P583" s="107">
        <v>183</v>
      </c>
      <c r="Q583" s="107">
        <v>185.35</v>
      </c>
      <c r="R583">
        <v>4279831</v>
      </c>
    </row>
    <row r="584" spans="1:18" x14ac:dyDescent="0.25">
      <c r="A584" s="130">
        <v>42864</v>
      </c>
      <c r="B584" s="107">
        <v>186.45</v>
      </c>
      <c r="C584" s="107">
        <v>180.9</v>
      </c>
      <c r="D584" s="107">
        <v>180.15</v>
      </c>
      <c r="E584" s="107">
        <v>185.5</v>
      </c>
      <c r="F584" s="107">
        <v>180.9</v>
      </c>
      <c r="G584">
        <v>527037</v>
      </c>
      <c r="H584" s="107"/>
      <c r="I584" s="107"/>
      <c r="L584" s="130">
        <v>42864</v>
      </c>
      <c r="M584" s="107">
        <v>181.1</v>
      </c>
      <c r="N584" s="107">
        <v>186.35</v>
      </c>
      <c r="O584" s="107">
        <v>180.2</v>
      </c>
      <c r="P584" s="107">
        <v>184.7</v>
      </c>
      <c r="Q584" s="107">
        <v>181.1</v>
      </c>
      <c r="R584">
        <v>4070805</v>
      </c>
    </row>
    <row r="585" spans="1:18" x14ac:dyDescent="0.25">
      <c r="A585" s="130">
        <v>42865</v>
      </c>
      <c r="B585" s="107">
        <v>183</v>
      </c>
      <c r="C585" s="107">
        <v>180.55</v>
      </c>
      <c r="D585" s="107">
        <v>178.5</v>
      </c>
      <c r="E585" s="107">
        <v>182</v>
      </c>
      <c r="F585" s="107">
        <v>180.55</v>
      </c>
      <c r="G585">
        <v>592019</v>
      </c>
      <c r="H585" s="107"/>
      <c r="I585" s="107"/>
      <c r="L585" s="130">
        <v>42865</v>
      </c>
      <c r="M585" s="107">
        <v>180.85</v>
      </c>
      <c r="N585" s="107">
        <v>182.85</v>
      </c>
      <c r="O585" s="107">
        <v>178.55</v>
      </c>
      <c r="P585" s="107">
        <v>181.9</v>
      </c>
      <c r="Q585" s="107">
        <v>180.85</v>
      </c>
      <c r="R585">
        <v>3412189</v>
      </c>
    </row>
    <row r="586" spans="1:18" x14ac:dyDescent="0.25">
      <c r="A586" s="130">
        <v>42866</v>
      </c>
      <c r="B586" s="107">
        <v>186.2</v>
      </c>
      <c r="C586" s="107">
        <v>182.5</v>
      </c>
      <c r="D586" s="107">
        <v>180.7</v>
      </c>
      <c r="E586" s="107">
        <v>182</v>
      </c>
      <c r="F586" s="107">
        <v>182.5</v>
      </c>
      <c r="G586">
        <v>479790</v>
      </c>
      <c r="H586" s="107"/>
      <c r="I586" s="107"/>
      <c r="L586" s="130">
        <v>42866</v>
      </c>
      <c r="M586" s="107">
        <v>182.4</v>
      </c>
      <c r="N586" s="107">
        <v>186.4</v>
      </c>
      <c r="O586" s="107">
        <v>180.5</v>
      </c>
      <c r="P586" s="107">
        <v>182</v>
      </c>
      <c r="Q586" s="107">
        <v>182.4</v>
      </c>
      <c r="R586">
        <v>5027509</v>
      </c>
    </row>
    <row r="587" spans="1:18" x14ac:dyDescent="0.25">
      <c r="A587" s="130">
        <v>42867</v>
      </c>
      <c r="B587" s="107">
        <v>184.5</v>
      </c>
      <c r="C587" s="107">
        <v>178.7</v>
      </c>
      <c r="D587" s="107">
        <v>177.05</v>
      </c>
      <c r="E587" s="107">
        <v>183.5</v>
      </c>
      <c r="F587" s="107">
        <v>178.7</v>
      </c>
      <c r="G587">
        <v>542738</v>
      </c>
      <c r="H587" s="107"/>
      <c r="I587" s="107"/>
      <c r="L587" s="130">
        <v>42867</v>
      </c>
      <c r="M587" s="107">
        <v>178.85</v>
      </c>
      <c r="N587" s="107">
        <v>184.4</v>
      </c>
      <c r="O587" s="107">
        <v>176.8</v>
      </c>
      <c r="P587" s="107">
        <v>183.2</v>
      </c>
      <c r="Q587" s="107">
        <v>178.85</v>
      </c>
      <c r="R587">
        <v>3452159</v>
      </c>
    </row>
    <row r="588" spans="1:18" x14ac:dyDescent="0.25">
      <c r="A588" s="130">
        <v>42870</v>
      </c>
      <c r="B588" s="107">
        <v>181.85</v>
      </c>
      <c r="C588" s="107">
        <v>181.05</v>
      </c>
      <c r="D588" s="107">
        <v>178.5</v>
      </c>
      <c r="E588" s="107">
        <v>178.5</v>
      </c>
      <c r="F588" s="107">
        <v>181.05</v>
      </c>
      <c r="G588">
        <v>303845</v>
      </c>
      <c r="H588" s="107"/>
      <c r="I588" s="107"/>
      <c r="L588" s="130">
        <v>42870</v>
      </c>
      <c r="M588" s="107">
        <v>181.1</v>
      </c>
      <c r="N588" s="107">
        <v>181.95</v>
      </c>
      <c r="O588" s="107">
        <v>179.15</v>
      </c>
      <c r="P588" s="107">
        <v>179.2</v>
      </c>
      <c r="Q588" s="107">
        <v>181.1</v>
      </c>
      <c r="R588">
        <v>2790326</v>
      </c>
    </row>
    <row r="589" spans="1:18" x14ac:dyDescent="0.25">
      <c r="A589" s="130">
        <v>42871</v>
      </c>
      <c r="B589" s="107">
        <v>188.75</v>
      </c>
      <c r="C589" s="107">
        <v>187.45</v>
      </c>
      <c r="D589" s="107">
        <v>178</v>
      </c>
      <c r="E589" s="107">
        <v>180.8</v>
      </c>
      <c r="F589" s="107">
        <v>187.45</v>
      </c>
      <c r="G589">
        <v>1089434</v>
      </c>
      <c r="H589" s="107"/>
      <c r="I589" s="107"/>
      <c r="L589" s="130">
        <v>42871</v>
      </c>
      <c r="M589" s="107">
        <v>187.35</v>
      </c>
      <c r="N589" s="107">
        <v>188.7</v>
      </c>
      <c r="O589" s="107">
        <v>177.85</v>
      </c>
      <c r="P589" s="107">
        <v>181.9</v>
      </c>
      <c r="Q589" s="107">
        <v>187.35</v>
      </c>
      <c r="R589">
        <v>7638157</v>
      </c>
    </row>
    <row r="590" spans="1:18" x14ac:dyDescent="0.25">
      <c r="A590" s="130">
        <v>42872</v>
      </c>
      <c r="B590" s="107">
        <v>188.5</v>
      </c>
      <c r="C590" s="107">
        <v>184.55</v>
      </c>
      <c r="D590" s="107">
        <v>183.6</v>
      </c>
      <c r="E590" s="107">
        <v>187.8</v>
      </c>
      <c r="F590" s="107">
        <v>184.55</v>
      </c>
      <c r="G590">
        <v>372895</v>
      </c>
      <c r="H590" s="107"/>
      <c r="I590" s="107"/>
      <c r="L590" s="130">
        <v>42872</v>
      </c>
      <c r="M590" s="107">
        <v>184.85</v>
      </c>
      <c r="N590" s="107">
        <v>188.65</v>
      </c>
      <c r="O590" s="107">
        <v>184.2</v>
      </c>
      <c r="P590" s="107">
        <v>188</v>
      </c>
      <c r="Q590" s="107">
        <v>184.85</v>
      </c>
      <c r="R590">
        <v>4020333</v>
      </c>
    </row>
    <row r="591" spans="1:18" x14ac:dyDescent="0.25">
      <c r="A591" s="130">
        <v>42873</v>
      </c>
      <c r="B591" s="107">
        <v>185.3</v>
      </c>
      <c r="C591" s="107">
        <v>179</v>
      </c>
      <c r="D591" s="107">
        <v>177</v>
      </c>
      <c r="E591" s="107">
        <v>183.5</v>
      </c>
      <c r="F591" s="107">
        <v>179</v>
      </c>
      <c r="G591">
        <v>293976</v>
      </c>
      <c r="H591" s="107"/>
      <c r="I591" s="107"/>
      <c r="L591" s="130">
        <v>42873</v>
      </c>
      <c r="M591" s="107">
        <v>179.15</v>
      </c>
      <c r="N591" s="107">
        <v>185.5</v>
      </c>
      <c r="O591" s="107">
        <v>177.3</v>
      </c>
      <c r="P591" s="107">
        <v>182.5</v>
      </c>
      <c r="Q591" s="107">
        <v>179.15</v>
      </c>
      <c r="R591">
        <v>3967723</v>
      </c>
    </row>
    <row r="592" spans="1:18" x14ac:dyDescent="0.25">
      <c r="A592" s="130">
        <v>42874</v>
      </c>
      <c r="B592" s="107">
        <v>183.7</v>
      </c>
      <c r="C592" s="107">
        <v>178.5</v>
      </c>
      <c r="D592" s="107">
        <v>176.65</v>
      </c>
      <c r="E592" s="107">
        <v>180.5</v>
      </c>
      <c r="F592" s="107">
        <v>178.5</v>
      </c>
      <c r="G592">
        <v>474528</v>
      </c>
      <c r="H592" s="107"/>
      <c r="I592" s="107"/>
      <c r="L592" s="130">
        <v>42874</v>
      </c>
      <c r="M592" s="107">
        <v>178.3</v>
      </c>
      <c r="N592" s="107">
        <v>183.95</v>
      </c>
      <c r="O592" s="107">
        <v>176.25</v>
      </c>
      <c r="P592" s="107">
        <v>179.95</v>
      </c>
      <c r="Q592" s="107">
        <v>178.3</v>
      </c>
      <c r="R592">
        <v>4500374</v>
      </c>
    </row>
    <row r="593" spans="1:18" x14ac:dyDescent="0.25">
      <c r="A593" s="130">
        <v>42877</v>
      </c>
      <c r="B593" s="107">
        <v>181.05</v>
      </c>
      <c r="C593" s="107">
        <v>158.44999999999999</v>
      </c>
      <c r="D593" s="107">
        <v>155.94999999999999</v>
      </c>
      <c r="E593" s="107">
        <v>181</v>
      </c>
      <c r="F593" s="107">
        <v>158.44999999999999</v>
      </c>
      <c r="G593">
        <v>3103930</v>
      </c>
      <c r="H593" s="107"/>
      <c r="I593" s="107"/>
      <c r="L593" s="130">
        <v>42877</v>
      </c>
      <c r="M593" s="107">
        <v>158.5</v>
      </c>
      <c r="N593" s="107">
        <v>181.4</v>
      </c>
      <c r="O593" s="107">
        <v>155.55000000000001</v>
      </c>
      <c r="P593" s="107">
        <v>180</v>
      </c>
      <c r="Q593" s="107">
        <v>158.5</v>
      </c>
      <c r="R593">
        <v>25971009</v>
      </c>
    </row>
    <row r="594" spans="1:18" x14ac:dyDescent="0.25">
      <c r="A594" s="130">
        <v>42878</v>
      </c>
      <c r="B594" s="107">
        <v>156.25</v>
      </c>
      <c r="C594" s="107">
        <v>146.69999999999999</v>
      </c>
      <c r="D594" s="107">
        <v>145</v>
      </c>
      <c r="E594" s="107">
        <v>155</v>
      </c>
      <c r="F594" s="107">
        <v>146.69999999999999</v>
      </c>
      <c r="G594">
        <v>2150949</v>
      </c>
      <c r="H594" s="107"/>
      <c r="I594" s="107"/>
      <c r="L594" s="130">
        <v>42878</v>
      </c>
      <c r="M594" s="107">
        <v>146.44999999999999</v>
      </c>
      <c r="N594" s="107">
        <v>157</v>
      </c>
      <c r="O594" s="107">
        <v>144.55000000000001</v>
      </c>
      <c r="P594" s="107">
        <v>155.75</v>
      </c>
      <c r="Q594" s="107">
        <v>146.44999999999999</v>
      </c>
      <c r="R594">
        <v>22790140</v>
      </c>
    </row>
    <row r="595" spans="1:18" x14ac:dyDescent="0.25">
      <c r="A595" s="130">
        <v>42879</v>
      </c>
      <c r="B595" s="107">
        <v>148.30000000000001</v>
      </c>
      <c r="C595" s="107">
        <v>141.25</v>
      </c>
      <c r="D595" s="107">
        <v>140.5</v>
      </c>
      <c r="E595" s="107">
        <v>146.69999999999999</v>
      </c>
      <c r="F595" s="107">
        <v>141.25</v>
      </c>
      <c r="G595">
        <v>1449175</v>
      </c>
      <c r="H595" s="107"/>
      <c r="I595" s="107"/>
      <c r="L595" s="130">
        <v>42879</v>
      </c>
      <c r="M595" s="107">
        <v>141.19999999999999</v>
      </c>
      <c r="N595" s="107">
        <v>148.4</v>
      </c>
      <c r="O595" s="107">
        <v>140.19999999999999</v>
      </c>
      <c r="P595" s="107">
        <v>144.9</v>
      </c>
      <c r="Q595" s="107">
        <v>141.19999999999999</v>
      </c>
      <c r="R595">
        <v>13991145</v>
      </c>
    </row>
    <row r="596" spans="1:18" x14ac:dyDescent="0.25">
      <c r="A596" s="130">
        <v>42880</v>
      </c>
      <c r="B596" s="107">
        <v>151.5</v>
      </c>
      <c r="C596" s="107">
        <v>148.80000000000001</v>
      </c>
      <c r="D596" s="107">
        <v>139.6</v>
      </c>
      <c r="E596" s="107">
        <v>141.80000000000001</v>
      </c>
      <c r="F596" s="107">
        <v>148.80000000000001</v>
      </c>
      <c r="G596">
        <v>1053968</v>
      </c>
      <c r="H596" s="107"/>
      <c r="I596" s="107"/>
      <c r="L596" s="130">
        <v>42880</v>
      </c>
      <c r="M596" s="107">
        <v>148.94999999999999</v>
      </c>
      <c r="N596" s="107">
        <v>151.75</v>
      </c>
      <c r="O596" s="107">
        <v>139.19999999999999</v>
      </c>
      <c r="P596" s="107">
        <v>142.25</v>
      </c>
      <c r="Q596" s="107">
        <v>148.94999999999999</v>
      </c>
      <c r="R596">
        <v>12548730</v>
      </c>
    </row>
    <row r="597" spans="1:18" x14ac:dyDescent="0.25">
      <c r="A597" s="130">
        <v>42881</v>
      </c>
      <c r="B597" s="107">
        <v>150.5</v>
      </c>
      <c r="C597" s="107">
        <v>148.65</v>
      </c>
      <c r="D597" s="107">
        <v>145</v>
      </c>
      <c r="E597" s="107">
        <v>148.9</v>
      </c>
      <c r="F597" s="107">
        <v>148.65</v>
      </c>
      <c r="G597">
        <v>661164</v>
      </c>
      <c r="H597" s="107"/>
      <c r="I597" s="107"/>
      <c r="L597" s="130">
        <v>42881</v>
      </c>
      <c r="M597" s="107">
        <v>148.65</v>
      </c>
      <c r="N597" s="107">
        <v>150.65</v>
      </c>
      <c r="O597" s="107">
        <v>144.5</v>
      </c>
      <c r="P597" s="107">
        <v>147.94999999999999</v>
      </c>
      <c r="Q597" s="107">
        <v>148.65</v>
      </c>
      <c r="R597">
        <v>6277558</v>
      </c>
    </row>
    <row r="598" spans="1:18" x14ac:dyDescent="0.25">
      <c r="A598" s="130">
        <v>42884</v>
      </c>
      <c r="B598" s="107">
        <v>150.55000000000001</v>
      </c>
      <c r="C598" s="107">
        <v>143</v>
      </c>
      <c r="D598" s="107">
        <v>142.15</v>
      </c>
      <c r="E598" s="107">
        <v>149.9</v>
      </c>
      <c r="F598" s="107">
        <v>143</v>
      </c>
      <c r="G598">
        <v>575578</v>
      </c>
      <c r="H598" s="107"/>
      <c r="I598" s="107"/>
      <c r="L598" s="130">
        <v>42884</v>
      </c>
      <c r="M598" s="107">
        <v>142.85</v>
      </c>
      <c r="N598" s="107">
        <v>150.4</v>
      </c>
      <c r="O598" s="107">
        <v>142.05000000000001</v>
      </c>
      <c r="P598" s="107">
        <v>148.4</v>
      </c>
      <c r="Q598" s="107">
        <v>142.85</v>
      </c>
      <c r="R598">
        <v>4544011</v>
      </c>
    </row>
    <row r="599" spans="1:18" x14ac:dyDescent="0.25">
      <c r="A599" s="130">
        <v>42885</v>
      </c>
      <c r="B599" s="107">
        <v>147.5</v>
      </c>
      <c r="C599" s="107">
        <v>146.9</v>
      </c>
      <c r="D599" s="107">
        <v>141</v>
      </c>
      <c r="E599" s="107">
        <v>143</v>
      </c>
      <c r="F599" s="107">
        <v>146.9</v>
      </c>
      <c r="G599">
        <v>603759</v>
      </c>
      <c r="H599" s="107"/>
      <c r="I599" s="107"/>
      <c r="L599" s="130">
        <v>42885</v>
      </c>
      <c r="M599" s="107">
        <v>146.85</v>
      </c>
      <c r="N599" s="107">
        <v>147.69999999999999</v>
      </c>
      <c r="O599" s="107">
        <v>141</v>
      </c>
      <c r="P599" s="107">
        <v>142.4</v>
      </c>
      <c r="Q599" s="107">
        <v>146.85</v>
      </c>
      <c r="R599">
        <v>5280472</v>
      </c>
    </row>
    <row r="600" spans="1:18" x14ac:dyDescent="0.25">
      <c r="A600" s="130">
        <v>42886</v>
      </c>
      <c r="B600" s="107">
        <v>148</v>
      </c>
      <c r="C600" s="107">
        <v>141.55000000000001</v>
      </c>
      <c r="D600" s="107">
        <v>140.9</v>
      </c>
      <c r="E600" s="107">
        <v>148</v>
      </c>
      <c r="F600" s="107">
        <v>141.55000000000001</v>
      </c>
      <c r="G600">
        <v>1058639</v>
      </c>
      <c r="H600" s="107"/>
      <c r="I600" s="107"/>
      <c r="L600" s="130">
        <v>42886</v>
      </c>
      <c r="M600" s="107">
        <v>141.35</v>
      </c>
      <c r="N600" s="107">
        <v>148.15</v>
      </c>
      <c r="O600" s="107">
        <v>140.55000000000001</v>
      </c>
      <c r="P600" s="107">
        <v>147.1</v>
      </c>
      <c r="Q600" s="107">
        <v>141.35</v>
      </c>
      <c r="R600">
        <v>8700966</v>
      </c>
    </row>
    <row r="601" spans="1:18" x14ac:dyDescent="0.25">
      <c r="A601" s="130">
        <v>42887</v>
      </c>
      <c r="B601" s="107">
        <v>144.94999999999999</v>
      </c>
      <c r="C601" s="107">
        <v>143.85</v>
      </c>
      <c r="D601" s="107">
        <v>140.75</v>
      </c>
      <c r="E601" s="107">
        <v>143.5</v>
      </c>
      <c r="F601" s="107">
        <v>143.85</v>
      </c>
      <c r="G601">
        <v>669239</v>
      </c>
      <c r="H601" s="107"/>
      <c r="I601" s="107"/>
      <c r="L601" s="130">
        <v>42887</v>
      </c>
      <c r="M601" s="107">
        <v>143.9</v>
      </c>
      <c r="N601" s="107">
        <v>144.5</v>
      </c>
      <c r="O601" s="107">
        <v>140.69999999999999</v>
      </c>
      <c r="P601" s="107">
        <v>141.94999999999999</v>
      </c>
      <c r="Q601" s="107">
        <v>143.9</v>
      </c>
      <c r="R601">
        <v>5150911</v>
      </c>
    </row>
    <row r="602" spans="1:18" x14ac:dyDescent="0.25">
      <c r="A602" s="130">
        <v>42888</v>
      </c>
      <c r="B602" s="107">
        <v>147.30000000000001</v>
      </c>
      <c r="C602" s="107">
        <v>145.69999999999999</v>
      </c>
      <c r="D602" s="107">
        <v>142.5</v>
      </c>
      <c r="E602" s="107">
        <v>145.5</v>
      </c>
      <c r="F602" s="107">
        <v>145.69999999999999</v>
      </c>
      <c r="G602">
        <v>547848</v>
      </c>
      <c r="H602" s="107"/>
      <c r="I602" s="107"/>
      <c r="L602" s="130">
        <v>42888</v>
      </c>
      <c r="M602" s="107">
        <v>145.85</v>
      </c>
      <c r="N602" s="107">
        <v>147.4</v>
      </c>
      <c r="O602" s="107">
        <v>142.25</v>
      </c>
      <c r="P602" s="107">
        <v>145</v>
      </c>
      <c r="Q602" s="107">
        <v>145.85</v>
      </c>
      <c r="R602">
        <v>4927876</v>
      </c>
    </row>
    <row r="603" spans="1:18" x14ac:dyDescent="0.25">
      <c r="A603" s="130">
        <v>42891</v>
      </c>
      <c r="B603" s="107">
        <v>147.94999999999999</v>
      </c>
      <c r="C603" s="107">
        <v>146.44999999999999</v>
      </c>
      <c r="D603" s="107">
        <v>145.6</v>
      </c>
      <c r="E603" s="107">
        <v>147.94999999999999</v>
      </c>
      <c r="F603" s="107">
        <v>146.44999999999999</v>
      </c>
      <c r="G603">
        <v>369617</v>
      </c>
      <c r="H603" s="107"/>
      <c r="I603" s="107"/>
      <c r="L603" s="130">
        <v>42891</v>
      </c>
      <c r="M603" s="107">
        <v>146.5</v>
      </c>
      <c r="N603" s="107">
        <v>148</v>
      </c>
      <c r="O603" s="107">
        <v>145.55000000000001</v>
      </c>
      <c r="P603" s="107">
        <v>147</v>
      </c>
      <c r="Q603" s="107">
        <v>146.5</v>
      </c>
      <c r="R603">
        <v>3246349</v>
      </c>
    </row>
    <row r="604" spans="1:18" x14ac:dyDescent="0.25">
      <c r="A604" s="130">
        <v>42892</v>
      </c>
      <c r="B604" s="107">
        <v>149</v>
      </c>
      <c r="C604" s="107">
        <v>142.5</v>
      </c>
      <c r="D604" s="107">
        <v>141.85</v>
      </c>
      <c r="E604" s="107">
        <v>148.5</v>
      </c>
      <c r="F604" s="107">
        <v>142.5</v>
      </c>
      <c r="G604">
        <v>588940</v>
      </c>
      <c r="H604" s="107"/>
      <c r="I604" s="107"/>
      <c r="L604" s="130">
        <v>42892</v>
      </c>
      <c r="M604" s="107">
        <v>142.55000000000001</v>
      </c>
      <c r="N604" s="107">
        <v>147.5</v>
      </c>
      <c r="O604" s="107">
        <v>142.1</v>
      </c>
      <c r="P604" s="107">
        <v>146.94999999999999</v>
      </c>
      <c r="Q604" s="107">
        <v>142.55000000000001</v>
      </c>
      <c r="R604">
        <v>3920950</v>
      </c>
    </row>
    <row r="605" spans="1:18" x14ac:dyDescent="0.25">
      <c r="A605" s="130">
        <v>42893</v>
      </c>
      <c r="B605" s="107">
        <v>147</v>
      </c>
      <c r="C605" s="107">
        <v>145.65</v>
      </c>
      <c r="D605" s="107">
        <v>142.1</v>
      </c>
      <c r="E605" s="107">
        <v>143</v>
      </c>
      <c r="F605" s="107">
        <v>145.65</v>
      </c>
      <c r="G605">
        <v>631223</v>
      </c>
      <c r="H605" s="107"/>
      <c r="I605" s="107"/>
      <c r="L605" s="130">
        <v>42893</v>
      </c>
      <c r="M605" s="107">
        <v>145.19999999999999</v>
      </c>
      <c r="N605" s="107">
        <v>146.69999999999999</v>
      </c>
      <c r="O605" s="107">
        <v>141.80000000000001</v>
      </c>
      <c r="P605" s="107">
        <v>143</v>
      </c>
      <c r="Q605" s="107">
        <v>145.19999999999999</v>
      </c>
      <c r="R605">
        <v>4980958</v>
      </c>
    </row>
    <row r="606" spans="1:18" x14ac:dyDescent="0.25">
      <c r="A606" s="130">
        <v>42894</v>
      </c>
      <c r="B606" s="107">
        <v>147.5</v>
      </c>
      <c r="C606" s="107">
        <v>143.75</v>
      </c>
      <c r="D606" s="107">
        <v>143.19999999999999</v>
      </c>
      <c r="E606" s="107">
        <v>147.1</v>
      </c>
      <c r="F606" s="107">
        <v>143.75</v>
      </c>
      <c r="G606">
        <v>291120</v>
      </c>
      <c r="H606" s="107"/>
      <c r="I606" s="107"/>
      <c r="L606" s="130">
        <v>42894</v>
      </c>
      <c r="M606" s="107">
        <v>143.65</v>
      </c>
      <c r="N606" s="107">
        <v>146.85</v>
      </c>
      <c r="O606" s="107">
        <v>143.4</v>
      </c>
      <c r="P606" s="107">
        <v>146.1</v>
      </c>
      <c r="Q606" s="107">
        <v>143.65</v>
      </c>
      <c r="R606">
        <v>2644767</v>
      </c>
    </row>
    <row r="607" spans="1:18" x14ac:dyDescent="0.25">
      <c r="A607" s="130">
        <v>42895</v>
      </c>
      <c r="B607" s="107">
        <v>145.05000000000001</v>
      </c>
      <c r="C607" s="107">
        <v>143.30000000000001</v>
      </c>
      <c r="D607" s="107">
        <v>142</v>
      </c>
      <c r="E607" s="107">
        <v>143</v>
      </c>
      <c r="F607" s="107">
        <v>143.30000000000001</v>
      </c>
      <c r="G607">
        <v>426462</v>
      </c>
      <c r="H607" s="107"/>
      <c r="I607" s="107"/>
      <c r="L607" s="130">
        <v>42895</v>
      </c>
      <c r="M607" s="107">
        <v>143.30000000000001</v>
      </c>
      <c r="N607" s="107">
        <v>145.25</v>
      </c>
      <c r="O607" s="107">
        <v>142</v>
      </c>
      <c r="P607" s="107">
        <v>143.19999999999999</v>
      </c>
      <c r="Q607" s="107">
        <v>143.30000000000001</v>
      </c>
      <c r="R607">
        <v>4352446</v>
      </c>
    </row>
    <row r="608" spans="1:18" x14ac:dyDescent="0.25">
      <c r="A608" s="130">
        <v>42898</v>
      </c>
      <c r="B608" s="107">
        <v>143.05000000000001</v>
      </c>
      <c r="C608" s="107">
        <v>137.80000000000001</v>
      </c>
      <c r="D608" s="107">
        <v>137.35</v>
      </c>
      <c r="E608" s="107">
        <v>142.75</v>
      </c>
      <c r="F608" s="107">
        <v>137.80000000000001</v>
      </c>
      <c r="G608">
        <v>728533</v>
      </c>
      <c r="H608" s="107"/>
      <c r="I608" s="107"/>
      <c r="L608" s="130">
        <v>42898</v>
      </c>
      <c r="M608" s="107">
        <v>137.80000000000001</v>
      </c>
      <c r="N608" s="107">
        <v>142.4</v>
      </c>
      <c r="O608" s="107">
        <v>137.30000000000001</v>
      </c>
      <c r="P608" s="107">
        <v>141.94999999999999</v>
      </c>
      <c r="Q608" s="107">
        <v>137.80000000000001</v>
      </c>
      <c r="R608">
        <v>6386199</v>
      </c>
    </row>
    <row r="609" spans="1:18" x14ac:dyDescent="0.25">
      <c r="A609" s="130">
        <v>42899</v>
      </c>
      <c r="B609" s="107">
        <v>139.19999999999999</v>
      </c>
      <c r="C609" s="107">
        <v>137.65</v>
      </c>
      <c r="D609" s="107">
        <v>136.55000000000001</v>
      </c>
      <c r="E609" s="107">
        <v>137.4</v>
      </c>
      <c r="F609" s="107">
        <v>137.65</v>
      </c>
      <c r="G609">
        <v>708465</v>
      </c>
      <c r="H609" s="107"/>
      <c r="I609" s="107"/>
      <c r="L609" s="130">
        <v>42899</v>
      </c>
      <c r="M609" s="107">
        <v>137.65</v>
      </c>
      <c r="N609" s="107">
        <v>139.1</v>
      </c>
      <c r="O609" s="107">
        <v>136.5</v>
      </c>
      <c r="P609" s="107">
        <v>137.5</v>
      </c>
      <c r="Q609" s="107">
        <v>137.65</v>
      </c>
      <c r="R609">
        <v>5779965</v>
      </c>
    </row>
    <row r="610" spans="1:18" x14ac:dyDescent="0.25">
      <c r="A610" s="130">
        <v>42900</v>
      </c>
      <c r="B610" s="107">
        <v>140.1</v>
      </c>
      <c r="C610" s="107">
        <v>139.75</v>
      </c>
      <c r="D610" s="107">
        <v>136.35</v>
      </c>
      <c r="E610" s="107">
        <v>138</v>
      </c>
      <c r="F610" s="107">
        <v>139.75</v>
      </c>
      <c r="G610">
        <v>858378</v>
      </c>
      <c r="H610" s="107"/>
      <c r="I610" s="107"/>
      <c r="L610" s="130">
        <v>42900</v>
      </c>
      <c r="M610" s="107">
        <v>139.85</v>
      </c>
      <c r="N610" s="107">
        <v>140.4</v>
      </c>
      <c r="O610" s="107">
        <v>136.19999999999999</v>
      </c>
      <c r="P610" s="107">
        <v>138.25</v>
      </c>
      <c r="Q610" s="107">
        <v>139.85</v>
      </c>
      <c r="R610">
        <v>6475916</v>
      </c>
    </row>
    <row r="611" spans="1:18" x14ac:dyDescent="0.25">
      <c r="A611" s="130">
        <v>42901</v>
      </c>
      <c r="B611" s="107">
        <v>141.25</v>
      </c>
      <c r="C611" s="107">
        <v>139</v>
      </c>
      <c r="D611" s="107">
        <v>137.69999999999999</v>
      </c>
      <c r="E611" s="107">
        <v>139.9</v>
      </c>
      <c r="F611" s="107">
        <v>139</v>
      </c>
      <c r="G611">
        <v>710047</v>
      </c>
      <c r="H611" s="107"/>
      <c r="I611" s="107"/>
      <c r="L611" s="130">
        <v>42901</v>
      </c>
      <c r="M611" s="107">
        <v>139.05000000000001</v>
      </c>
      <c r="N611" s="107">
        <v>141.6</v>
      </c>
      <c r="O611" s="107">
        <v>137.55000000000001</v>
      </c>
      <c r="P611" s="107">
        <v>139.69999999999999</v>
      </c>
      <c r="Q611" s="107">
        <v>139.05000000000001</v>
      </c>
      <c r="R611">
        <v>5771231</v>
      </c>
    </row>
    <row r="612" spans="1:18" x14ac:dyDescent="0.25">
      <c r="A612" s="130">
        <v>42902</v>
      </c>
      <c r="B612" s="107">
        <v>140.19999999999999</v>
      </c>
      <c r="C612" s="107">
        <v>138.05000000000001</v>
      </c>
      <c r="D612" s="107">
        <v>137</v>
      </c>
      <c r="E612" s="107">
        <v>139.4</v>
      </c>
      <c r="F612" s="107">
        <v>138.05000000000001</v>
      </c>
      <c r="G612">
        <v>453912</v>
      </c>
      <c r="H612" s="107"/>
      <c r="I612" s="107"/>
      <c r="L612" s="130">
        <v>42902</v>
      </c>
      <c r="M612" s="107">
        <v>138.35</v>
      </c>
      <c r="N612" s="107">
        <v>140.1</v>
      </c>
      <c r="O612" s="107">
        <v>137.1</v>
      </c>
      <c r="P612" s="107">
        <v>139.6</v>
      </c>
      <c r="Q612" s="107">
        <v>138.35</v>
      </c>
      <c r="R612">
        <v>2525670</v>
      </c>
    </row>
    <row r="613" spans="1:18" x14ac:dyDescent="0.25">
      <c r="A613" s="130">
        <v>42905</v>
      </c>
      <c r="B613" s="107">
        <v>140.6</v>
      </c>
      <c r="C613" s="107">
        <v>138.5</v>
      </c>
      <c r="D613" s="107">
        <v>137.5</v>
      </c>
      <c r="E613" s="107">
        <v>138.5</v>
      </c>
      <c r="F613" s="107">
        <v>138.5</v>
      </c>
      <c r="G613">
        <v>453157</v>
      </c>
      <c r="H613" s="107"/>
      <c r="I613" s="107"/>
      <c r="L613" s="130">
        <v>42905</v>
      </c>
      <c r="M613" s="107">
        <v>138.55000000000001</v>
      </c>
      <c r="N613" s="107">
        <v>140.6</v>
      </c>
      <c r="O613" s="107">
        <v>137.65</v>
      </c>
      <c r="P613" s="107">
        <v>138.65</v>
      </c>
      <c r="Q613" s="107">
        <v>138.55000000000001</v>
      </c>
      <c r="R613">
        <v>3286151</v>
      </c>
    </row>
    <row r="614" spans="1:18" x14ac:dyDescent="0.25">
      <c r="A614" s="130">
        <v>42906</v>
      </c>
      <c r="B614" s="107">
        <v>138.94999999999999</v>
      </c>
      <c r="C614" s="107">
        <v>137.05000000000001</v>
      </c>
      <c r="D614" s="107">
        <v>136.75</v>
      </c>
      <c r="E614" s="107">
        <v>138.94999999999999</v>
      </c>
      <c r="F614" s="107">
        <v>137.05000000000001</v>
      </c>
      <c r="G614">
        <v>338852</v>
      </c>
      <c r="H614" s="107"/>
      <c r="I614" s="107"/>
      <c r="L614" s="130">
        <v>42906</v>
      </c>
      <c r="M614" s="107">
        <v>137.25</v>
      </c>
      <c r="N614" s="107">
        <v>138.80000000000001</v>
      </c>
      <c r="O614" s="107">
        <v>136.75</v>
      </c>
      <c r="P614" s="107">
        <v>138.80000000000001</v>
      </c>
      <c r="Q614" s="107">
        <v>137.25</v>
      </c>
      <c r="R614">
        <v>2393015</v>
      </c>
    </row>
    <row r="615" spans="1:18" x14ac:dyDescent="0.25">
      <c r="A615" s="130">
        <v>42907</v>
      </c>
      <c r="B615" s="107">
        <v>138.85</v>
      </c>
      <c r="C615" s="107">
        <v>137.4</v>
      </c>
      <c r="D615" s="107">
        <v>136.15</v>
      </c>
      <c r="E615" s="107">
        <v>137.4</v>
      </c>
      <c r="F615" s="107">
        <v>137.4</v>
      </c>
      <c r="G615">
        <v>292438</v>
      </c>
      <c r="H615" s="107"/>
      <c r="I615" s="107"/>
      <c r="L615" s="130">
        <v>42907</v>
      </c>
      <c r="M615" s="107">
        <v>137.5</v>
      </c>
      <c r="N615" s="107">
        <v>138.75</v>
      </c>
      <c r="O615" s="107">
        <v>136.25</v>
      </c>
      <c r="P615" s="107">
        <v>136.69999999999999</v>
      </c>
      <c r="Q615" s="107">
        <v>137.5</v>
      </c>
      <c r="R615">
        <v>2700980</v>
      </c>
    </row>
    <row r="616" spans="1:18" x14ac:dyDescent="0.25">
      <c r="A616" s="130">
        <v>42908</v>
      </c>
      <c r="B616" s="107">
        <v>138.55000000000001</v>
      </c>
      <c r="C616" s="107">
        <v>136.25</v>
      </c>
      <c r="D616" s="107">
        <v>135.5</v>
      </c>
      <c r="E616" s="107">
        <v>138</v>
      </c>
      <c r="F616" s="107">
        <v>136.25</v>
      </c>
      <c r="G616">
        <v>285019</v>
      </c>
      <c r="H616" s="107"/>
      <c r="I616" s="107"/>
      <c r="L616" s="130">
        <v>42908</v>
      </c>
      <c r="M616" s="107">
        <v>136.35</v>
      </c>
      <c r="N616" s="107">
        <v>138.44999999999999</v>
      </c>
      <c r="O616" s="107">
        <v>135.35</v>
      </c>
      <c r="P616" s="107">
        <v>137.6</v>
      </c>
      <c r="Q616" s="107">
        <v>136.35</v>
      </c>
      <c r="R616">
        <v>2391716</v>
      </c>
    </row>
    <row r="617" spans="1:18" x14ac:dyDescent="0.25">
      <c r="A617" s="130">
        <v>42909</v>
      </c>
      <c r="B617" s="107">
        <v>137</v>
      </c>
      <c r="C617" s="107">
        <v>134.05000000000001</v>
      </c>
      <c r="D617" s="107">
        <v>132.80000000000001</v>
      </c>
      <c r="E617" s="107">
        <v>136.85</v>
      </c>
      <c r="F617" s="107">
        <v>134.05000000000001</v>
      </c>
      <c r="G617">
        <v>622986</v>
      </c>
      <c r="H617" s="107"/>
      <c r="I617" s="107"/>
      <c r="L617" s="130">
        <v>42909</v>
      </c>
      <c r="M617" s="107">
        <v>134</v>
      </c>
      <c r="N617" s="107">
        <v>137.1</v>
      </c>
      <c r="O617" s="107">
        <v>132.75</v>
      </c>
      <c r="P617" s="107">
        <v>136.4</v>
      </c>
      <c r="Q617" s="107">
        <v>134</v>
      </c>
      <c r="R617">
        <v>3606642</v>
      </c>
    </row>
    <row r="618" spans="1:18" x14ac:dyDescent="0.25">
      <c r="A618" s="130">
        <v>42913</v>
      </c>
      <c r="B618" s="107">
        <v>134.85</v>
      </c>
      <c r="C618" s="107">
        <v>133.65</v>
      </c>
      <c r="D618" s="107">
        <v>127.95</v>
      </c>
      <c r="E618" s="107">
        <v>134</v>
      </c>
      <c r="F618" s="107">
        <v>133.65</v>
      </c>
      <c r="G618">
        <v>907838</v>
      </c>
      <c r="H618" s="107"/>
      <c r="I618" s="107"/>
      <c r="L618" s="130">
        <v>42913</v>
      </c>
      <c r="M618" s="107">
        <v>133.55000000000001</v>
      </c>
      <c r="N618" s="107">
        <v>134.80000000000001</v>
      </c>
      <c r="O618" s="107">
        <v>127.55</v>
      </c>
      <c r="P618" s="107">
        <v>134.15</v>
      </c>
      <c r="Q618" s="107">
        <v>133.55000000000001</v>
      </c>
      <c r="R618">
        <v>7436014</v>
      </c>
    </row>
    <row r="619" spans="1:18" x14ac:dyDescent="0.25">
      <c r="A619" s="130">
        <v>42914</v>
      </c>
      <c r="B619" s="107">
        <v>137.44999999999999</v>
      </c>
      <c r="C619" s="107">
        <v>136.25</v>
      </c>
      <c r="D619" s="107">
        <v>130.80000000000001</v>
      </c>
      <c r="E619" s="107">
        <v>132.80000000000001</v>
      </c>
      <c r="F619" s="107">
        <v>136.25</v>
      </c>
      <c r="G619">
        <v>656578</v>
      </c>
      <c r="H619" s="107"/>
      <c r="I619" s="107"/>
      <c r="L619" s="130">
        <v>42914</v>
      </c>
      <c r="M619" s="107">
        <v>136.75</v>
      </c>
      <c r="N619" s="107">
        <v>137.65</v>
      </c>
      <c r="O619" s="107">
        <v>131.35</v>
      </c>
      <c r="P619" s="107">
        <v>132</v>
      </c>
      <c r="Q619" s="107">
        <v>136.75</v>
      </c>
      <c r="R619">
        <v>4789755</v>
      </c>
    </row>
    <row r="620" spans="1:18" x14ac:dyDescent="0.25">
      <c r="A620" s="130">
        <v>42915</v>
      </c>
      <c r="B620" s="107">
        <v>141.19999999999999</v>
      </c>
      <c r="C620" s="107">
        <v>138.80000000000001</v>
      </c>
      <c r="D620" s="107">
        <v>135.94999999999999</v>
      </c>
      <c r="E620" s="107">
        <v>137</v>
      </c>
      <c r="F620" s="107">
        <v>138.80000000000001</v>
      </c>
      <c r="G620">
        <v>493930</v>
      </c>
      <c r="H620" s="107"/>
      <c r="I620" s="107"/>
      <c r="L620" s="130">
        <v>42915</v>
      </c>
      <c r="M620" s="107">
        <v>138.44999999999999</v>
      </c>
      <c r="N620" s="107">
        <v>141.5</v>
      </c>
      <c r="O620" s="107">
        <v>135.65</v>
      </c>
      <c r="P620" s="107">
        <v>137.25</v>
      </c>
      <c r="Q620" s="107">
        <v>138.44999999999999</v>
      </c>
      <c r="R620">
        <v>4580182</v>
      </c>
    </row>
    <row r="621" spans="1:18" x14ac:dyDescent="0.25">
      <c r="A621" s="130">
        <v>42916</v>
      </c>
      <c r="B621" s="107">
        <v>140.1</v>
      </c>
      <c r="C621" s="107">
        <v>139.30000000000001</v>
      </c>
      <c r="D621" s="107">
        <v>137</v>
      </c>
      <c r="E621" s="107">
        <v>137</v>
      </c>
      <c r="F621" s="107">
        <v>139.30000000000001</v>
      </c>
      <c r="G621">
        <v>551858</v>
      </c>
      <c r="H621" s="107"/>
      <c r="I621" s="107"/>
      <c r="L621" s="130">
        <v>42916</v>
      </c>
      <c r="M621" s="107">
        <v>139.69999999999999</v>
      </c>
      <c r="N621" s="107">
        <v>140.25</v>
      </c>
      <c r="O621" s="107">
        <v>137.30000000000001</v>
      </c>
      <c r="P621" s="107">
        <v>138.1</v>
      </c>
      <c r="Q621" s="107">
        <v>139.69999999999999</v>
      </c>
      <c r="R621">
        <v>3554105</v>
      </c>
    </row>
    <row r="622" spans="1:18" x14ac:dyDescent="0.25">
      <c r="A622" s="130">
        <v>42919</v>
      </c>
      <c r="B622" s="107">
        <v>141.1</v>
      </c>
      <c r="C622" s="107">
        <v>139.85</v>
      </c>
      <c r="D622" s="107">
        <v>138.6</v>
      </c>
      <c r="E622" s="107">
        <v>140</v>
      </c>
      <c r="F622" s="107">
        <v>139.85</v>
      </c>
      <c r="G622">
        <v>252762</v>
      </c>
      <c r="H622" s="107"/>
      <c r="I622" s="107"/>
      <c r="L622" s="130">
        <v>42919</v>
      </c>
      <c r="M622" s="107">
        <v>139.69999999999999</v>
      </c>
      <c r="N622" s="107">
        <v>141</v>
      </c>
      <c r="O622" s="107">
        <v>138.55000000000001</v>
      </c>
      <c r="P622" s="107">
        <v>139.80000000000001</v>
      </c>
      <c r="Q622" s="107">
        <v>139.69999999999999</v>
      </c>
      <c r="R622">
        <v>2106386</v>
      </c>
    </row>
    <row r="623" spans="1:18" x14ac:dyDescent="0.25">
      <c r="A623" s="130">
        <v>42920</v>
      </c>
      <c r="B623" s="107">
        <v>140.19999999999999</v>
      </c>
      <c r="C623" s="107">
        <v>136.80000000000001</v>
      </c>
      <c r="D623" s="107">
        <v>135.75</v>
      </c>
      <c r="E623" s="107">
        <v>139.5</v>
      </c>
      <c r="F623" s="107">
        <v>136.80000000000001</v>
      </c>
      <c r="G623">
        <v>331763</v>
      </c>
      <c r="H623" s="107"/>
      <c r="I623" s="107"/>
      <c r="L623" s="130">
        <v>42920</v>
      </c>
      <c r="M623" s="107">
        <v>137</v>
      </c>
      <c r="N623" s="107">
        <v>140.25</v>
      </c>
      <c r="O623" s="107">
        <v>136.19999999999999</v>
      </c>
      <c r="P623" s="107">
        <v>139.55000000000001</v>
      </c>
      <c r="Q623" s="107">
        <v>137</v>
      </c>
      <c r="R623">
        <v>2963920</v>
      </c>
    </row>
    <row r="624" spans="1:18" x14ac:dyDescent="0.25">
      <c r="A624" s="130">
        <v>42921</v>
      </c>
      <c r="B624" s="107">
        <v>138.80000000000001</v>
      </c>
      <c r="C624" s="107">
        <v>137.80000000000001</v>
      </c>
      <c r="D624" s="107">
        <v>136.35</v>
      </c>
      <c r="E624" s="107">
        <v>137</v>
      </c>
      <c r="F624" s="107">
        <v>137.80000000000001</v>
      </c>
      <c r="G624">
        <v>267147</v>
      </c>
      <c r="H624" s="107"/>
      <c r="I624" s="107"/>
      <c r="L624" s="130">
        <v>42921</v>
      </c>
      <c r="M624" s="107">
        <v>137.65</v>
      </c>
      <c r="N624" s="107">
        <v>138.75</v>
      </c>
      <c r="O624" s="107">
        <v>136.25</v>
      </c>
      <c r="P624" s="107">
        <v>137</v>
      </c>
      <c r="Q624" s="107">
        <v>137.65</v>
      </c>
      <c r="R624">
        <v>1867260</v>
      </c>
    </row>
    <row r="625" spans="1:18" x14ac:dyDescent="0.25">
      <c r="A625" s="130">
        <v>42922</v>
      </c>
      <c r="B625" s="107">
        <v>141.55000000000001</v>
      </c>
      <c r="C625" s="107">
        <v>140.65</v>
      </c>
      <c r="D625" s="107">
        <v>138</v>
      </c>
      <c r="E625" s="107">
        <v>138</v>
      </c>
      <c r="F625" s="107">
        <v>140.65</v>
      </c>
      <c r="G625">
        <v>630156</v>
      </c>
      <c r="H625" s="107"/>
      <c r="I625" s="107"/>
      <c r="L625" s="130">
        <v>42922</v>
      </c>
      <c r="M625" s="107">
        <v>140.44999999999999</v>
      </c>
      <c r="N625" s="107">
        <v>141.65</v>
      </c>
      <c r="O625" s="107">
        <v>137.80000000000001</v>
      </c>
      <c r="P625" s="107">
        <v>137.9</v>
      </c>
      <c r="Q625" s="107">
        <v>140.44999999999999</v>
      </c>
      <c r="R625">
        <v>4031020</v>
      </c>
    </row>
    <row r="626" spans="1:18" x14ac:dyDescent="0.25">
      <c r="A626" s="130">
        <v>42923</v>
      </c>
      <c r="B626" s="107">
        <v>142.69999999999999</v>
      </c>
      <c r="C626" s="107">
        <v>141.35</v>
      </c>
      <c r="D626" s="107">
        <v>140.25</v>
      </c>
      <c r="E626" s="107">
        <v>140.5</v>
      </c>
      <c r="F626" s="107">
        <v>141.35</v>
      </c>
      <c r="G626">
        <v>275694</v>
      </c>
      <c r="H626" s="107"/>
      <c r="I626" s="107"/>
      <c r="L626" s="130">
        <v>42923</v>
      </c>
      <c r="M626" s="107">
        <v>141.19999999999999</v>
      </c>
      <c r="N626" s="107">
        <v>142.85</v>
      </c>
      <c r="O626" s="107">
        <v>140.15</v>
      </c>
      <c r="P626" s="107">
        <v>140.25</v>
      </c>
      <c r="Q626" s="107">
        <v>141.19999999999999</v>
      </c>
      <c r="R626">
        <v>2799509</v>
      </c>
    </row>
    <row r="627" spans="1:18" x14ac:dyDescent="0.25">
      <c r="A627" s="130">
        <v>42926</v>
      </c>
      <c r="B627" s="107">
        <v>149.9</v>
      </c>
      <c r="C627" s="107">
        <v>149.19999999999999</v>
      </c>
      <c r="D627" s="107">
        <v>142.05000000000001</v>
      </c>
      <c r="E627" s="107">
        <v>143</v>
      </c>
      <c r="F627" s="107">
        <v>149.19999999999999</v>
      </c>
      <c r="G627">
        <v>2253452</v>
      </c>
      <c r="H627" s="107"/>
      <c r="I627" s="107"/>
      <c r="L627" s="130">
        <v>42926</v>
      </c>
      <c r="M627" s="107">
        <v>149.19999999999999</v>
      </c>
      <c r="N627" s="107">
        <v>155</v>
      </c>
      <c r="O627" s="107">
        <v>144</v>
      </c>
      <c r="P627" s="107">
        <v>155</v>
      </c>
      <c r="Q627" s="107">
        <v>149.19999999999999</v>
      </c>
      <c r="R627">
        <v>1912180</v>
      </c>
    </row>
    <row r="628" spans="1:18" x14ac:dyDescent="0.25">
      <c r="A628" s="130">
        <v>42927</v>
      </c>
      <c r="B628" s="107">
        <v>150.69999999999999</v>
      </c>
      <c r="C628" s="107">
        <v>144.4</v>
      </c>
      <c r="D628" s="107">
        <v>143.6</v>
      </c>
      <c r="E628" s="107">
        <v>150</v>
      </c>
      <c r="F628" s="107">
        <v>144.4</v>
      </c>
      <c r="G628">
        <v>415120</v>
      </c>
      <c r="H628" s="107"/>
      <c r="I628" s="107"/>
      <c r="L628" s="130">
        <v>42927</v>
      </c>
      <c r="M628" s="107">
        <v>144.4</v>
      </c>
      <c r="N628" s="107">
        <v>150.9</v>
      </c>
      <c r="O628" s="107">
        <v>143.80000000000001</v>
      </c>
      <c r="P628" s="107">
        <v>149.25</v>
      </c>
      <c r="Q628" s="107">
        <v>144.4</v>
      </c>
      <c r="R628">
        <v>3163798</v>
      </c>
    </row>
    <row r="629" spans="1:18" x14ac:dyDescent="0.25">
      <c r="A629" s="130">
        <v>42928</v>
      </c>
      <c r="B629" s="107">
        <v>146</v>
      </c>
      <c r="C629" s="107">
        <v>145.19999999999999</v>
      </c>
      <c r="D629" s="107">
        <v>142.1</v>
      </c>
      <c r="E629" s="107">
        <v>145.44999999999999</v>
      </c>
      <c r="F629" s="107">
        <v>145.19999999999999</v>
      </c>
      <c r="G629">
        <v>410852</v>
      </c>
      <c r="H629" s="107"/>
      <c r="I629" s="107"/>
      <c r="L629" s="130">
        <v>42928</v>
      </c>
      <c r="M629" s="107">
        <v>145.30000000000001</v>
      </c>
      <c r="N629" s="107">
        <v>146.05000000000001</v>
      </c>
      <c r="O629" s="107">
        <v>141.9</v>
      </c>
      <c r="P629" s="107">
        <v>145</v>
      </c>
      <c r="Q629" s="107">
        <v>145.30000000000001</v>
      </c>
      <c r="R629">
        <v>3261707</v>
      </c>
    </row>
    <row r="630" spans="1:18" x14ac:dyDescent="0.25">
      <c r="A630" s="130">
        <v>42929</v>
      </c>
      <c r="B630" s="107">
        <v>147.35</v>
      </c>
      <c r="C630" s="107">
        <v>144.30000000000001</v>
      </c>
      <c r="D630" s="107">
        <v>143</v>
      </c>
      <c r="E630" s="107">
        <v>145.4</v>
      </c>
      <c r="F630" s="107">
        <v>144.30000000000001</v>
      </c>
      <c r="G630">
        <v>278069</v>
      </c>
      <c r="H630" s="107"/>
      <c r="I630" s="107"/>
      <c r="L630" s="130">
        <v>42929</v>
      </c>
      <c r="M630" s="107">
        <v>144.35</v>
      </c>
      <c r="N630" s="107">
        <v>147.5</v>
      </c>
      <c r="O630" s="107">
        <v>143.65</v>
      </c>
      <c r="P630" s="107">
        <v>147.30000000000001</v>
      </c>
      <c r="Q630" s="107">
        <v>144.35</v>
      </c>
      <c r="R630">
        <v>2145058</v>
      </c>
    </row>
    <row r="631" spans="1:18" x14ac:dyDescent="0.25">
      <c r="A631" s="130">
        <v>42930</v>
      </c>
      <c r="B631" s="107">
        <v>148.1</v>
      </c>
      <c r="C631" s="107">
        <v>146.85</v>
      </c>
      <c r="D631" s="107">
        <v>142.55000000000001</v>
      </c>
      <c r="E631" s="107">
        <v>144.30000000000001</v>
      </c>
      <c r="F631" s="107">
        <v>146.85</v>
      </c>
      <c r="G631">
        <v>506815</v>
      </c>
      <c r="H631" s="107"/>
      <c r="I631" s="107"/>
      <c r="L631" s="130">
        <v>42930</v>
      </c>
      <c r="M631" s="107">
        <v>146.94999999999999</v>
      </c>
      <c r="N631" s="107">
        <v>148.35</v>
      </c>
      <c r="O631" s="107">
        <v>142.6</v>
      </c>
      <c r="P631" s="107">
        <v>144.5</v>
      </c>
      <c r="Q631" s="107">
        <v>146.94999999999999</v>
      </c>
      <c r="R631">
        <v>4634722</v>
      </c>
    </row>
    <row r="632" spans="1:18" x14ac:dyDescent="0.25">
      <c r="A632" s="130">
        <v>42933</v>
      </c>
      <c r="B632" s="107">
        <v>148.65</v>
      </c>
      <c r="C632" s="107">
        <v>148</v>
      </c>
      <c r="D632" s="107">
        <v>145.69999999999999</v>
      </c>
      <c r="E632" s="107">
        <v>147.75</v>
      </c>
      <c r="F632" s="107">
        <v>148</v>
      </c>
      <c r="G632">
        <v>362139</v>
      </c>
      <c r="H632" s="107"/>
      <c r="I632" s="107"/>
      <c r="L632" s="130">
        <v>42933</v>
      </c>
      <c r="M632" s="107">
        <v>148.1</v>
      </c>
      <c r="N632" s="107">
        <v>148.80000000000001</v>
      </c>
      <c r="O632" s="107">
        <v>145.5</v>
      </c>
      <c r="P632" s="107">
        <v>146.94999999999999</v>
      </c>
      <c r="Q632" s="107">
        <v>148.1</v>
      </c>
      <c r="R632">
        <v>2428000</v>
      </c>
    </row>
    <row r="633" spans="1:18" x14ac:dyDescent="0.25">
      <c r="A633" s="130">
        <v>42934</v>
      </c>
      <c r="B633" s="107">
        <v>154.30000000000001</v>
      </c>
      <c r="C633" s="107">
        <v>152.30000000000001</v>
      </c>
      <c r="D633" s="107">
        <v>147.55000000000001</v>
      </c>
      <c r="E633" s="107">
        <v>148.69999999999999</v>
      </c>
      <c r="F633" s="107">
        <v>152.30000000000001</v>
      </c>
      <c r="G633">
        <v>839780</v>
      </c>
      <c r="H633" s="107"/>
      <c r="I633" s="107"/>
      <c r="L633" s="130">
        <v>42934</v>
      </c>
      <c r="M633" s="107">
        <v>152.65</v>
      </c>
      <c r="N633" s="107">
        <v>154.5</v>
      </c>
      <c r="O633" s="107">
        <v>147.65</v>
      </c>
      <c r="P633" s="107">
        <v>148.05000000000001</v>
      </c>
      <c r="Q633" s="107">
        <v>152.65</v>
      </c>
      <c r="R633">
        <v>8758277</v>
      </c>
    </row>
    <row r="634" spans="1:18" x14ac:dyDescent="0.25">
      <c r="A634" s="130">
        <v>42935</v>
      </c>
      <c r="B634" s="107">
        <v>156.5</v>
      </c>
      <c r="C634" s="107">
        <v>155.75</v>
      </c>
      <c r="D634" s="107">
        <v>153.35</v>
      </c>
      <c r="E634" s="107">
        <v>153.75</v>
      </c>
      <c r="F634" s="107">
        <v>155.75</v>
      </c>
      <c r="G634">
        <v>391732</v>
      </c>
      <c r="H634" s="107"/>
      <c r="I634" s="107"/>
      <c r="L634" s="130">
        <v>42935</v>
      </c>
      <c r="M634" s="107">
        <v>155.94999999999999</v>
      </c>
      <c r="N634" s="107">
        <v>156.94999999999999</v>
      </c>
      <c r="O634" s="107">
        <v>153.4</v>
      </c>
      <c r="P634" s="107">
        <v>154.5</v>
      </c>
      <c r="Q634" s="107">
        <v>155.94999999999999</v>
      </c>
      <c r="R634">
        <v>3746395</v>
      </c>
    </row>
    <row r="635" spans="1:18" x14ac:dyDescent="0.25">
      <c r="A635" s="130">
        <v>42936</v>
      </c>
      <c r="B635" s="107">
        <v>156</v>
      </c>
      <c r="C635" s="107">
        <v>151.19999999999999</v>
      </c>
      <c r="D635" s="107">
        <v>150.6</v>
      </c>
      <c r="E635" s="107">
        <v>154.75</v>
      </c>
      <c r="F635" s="107">
        <v>151.19999999999999</v>
      </c>
      <c r="G635">
        <v>399708</v>
      </c>
      <c r="H635" s="107"/>
      <c r="I635" s="107"/>
      <c r="L635" s="130">
        <v>42936</v>
      </c>
      <c r="M635" s="107">
        <v>151.25</v>
      </c>
      <c r="N635" s="107">
        <v>155.65</v>
      </c>
      <c r="O635" s="107">
        <v>150.75</v>
      </c>
      <c r="P635" s="107">
        <v>155.65</v>
      </c>
      <c r="Q635" s="107">
        <v>151.25</v>
      </c>
      <c r="R635">
        <v>3884428</v>
      </c>
    </row>
    <row r="636" spans="1:18" x14ac:dyDescent="0.25">
      <c r="A636" s="130">
        <v>42937</v>
      </c>
      <c r="B636" s="107">
        <v>155.30000000000001</v>
      </c>
      <c r="C636" s="107">
        <v>154.80000000000001</v>
      </c>
      <c r="D636" s="107">
        <v>151.19999999999999</v>
      </c>
      <c r="E636" s="107">
        <v>152.5</v>
      </c>
      <c r="F636" s="107">
        <v>154.80000000000001</v>
      </c>
      <c r="G636">
        <v>339360</v>
      </c>
      <c r="H636" s="107"/>
      <c r="I636" s="107"/>
      <c r="L636" s="130">
        <v>42937</v>
      </c>
      <c r="M636" s="107">
        <v>154.9</v>
      </c>
      <c r="N636" s="107">
        <v>155.5</v>
      </c>
      <c r="O636" s="107">
        <v>151</v>
      </c>
      <c r="P636" s="107">
        <v>151.69999999999999</v>
      </c>
      <c r="Q636" s="107">
        <v>154.9</v>
      </c>
      <c r="R636">
        <v>3855732</v>
      </c>
    </row>
    <row r="637" spans="1:18" x14ac:dyDescent="0.25">
      <c r="A637" s="130">
        <v>42940</v>
      </c>
      <c r="B637" s="107">
        <v>160.9</v>
      </c>
      <c r="C637" s="107">
        <v>159.75</v>
      </c>
      <c r="D637" s="107">
        <v>154.65</v>
      </c>
      <c r="E637" s="107">
        <v>155.19999999999999</v>
      </c>
      <c r="F637" s="107">
        <v>159.75</v>
      </c>
      <c r="G637">
        <v>620610</v>
      </c>
      <c r="H637" s="107"/>
      <c r="I637" s="107"/>
      <c r="L637" s="130">
        <v>42940</v>
      </c>
      <c r="M637" s="107">
        <v>159.80000000000001</v>
      </c>
      <c r="N637" s="107">
        <v>160.9</v>
      </c>
      <c r="O637" s="107">
        <v>154.6</v>
      </c>
      <c r="P637" s="107">
        <v>155</v>
      </c>
      <c r="Q637" s="107">
        <v>159.80000000000001</v>
      </c>
      <c r="R637">
        <v>6273145</v>
      </c>
    </row>
    <row r="638" spans="1:18" x14ac:dyDescent="0.25">
      <c r="A638" s="130">
        <v>42941</v>
      </c>
      <c r="B638" s="107">
        <v>164.5</v>
      </c>
      <c r="C638" s="107">
        <v>164.05</v>
      </c>
      <c r="D638" s="107">
        <v>159.25</v>
      </c>
      <c r="E638" s="107">
        <v>161</v>
      </c>
      <c r="F638" s="107">
        <v>164.05</v>
      </c>
      <c r="G638">
        <v>478179</v>
      </c>
      <c r="H638" s="107"/>
      <c r="I638" s="107"/>
      <c r="L638" s="130">
        <v>42941</v>
      </c>
      <c r="M638" s="107">
        <v>163.95</v>
      </c>
      <c r="N638" s="107">
        <v>164.5</v>
      </c>
      <c r="O638" s="107">
        <v>159.1</v>
      </c>
      <c r="P638" s="107">
        <v>160.19999999999999</v>
      </c>
      <c r="Q638" s="107">
        <v>163.95</v>
      </c>
      <c r="R638">
        <v>5935421</v>
      </c>
    </row>
    <row r="639" spans="1:18" x14ac:dyDescent="0.25">
      <c r="A639" s="130">
        <v>42942</v>
      </c>
      <c r="B639" s="107">
        <v>165</v>
      </c>
      <c r="C639" s="107">
        <v>160.55000000000001</v>
      </c>
      <c r="D639" s="107">
        <v>159.44999999999999</v>
      </c>
      <c r="E639" s="107">
        <v>164.7</v>
      </c>
      <c r="F639" s="107">
        <v>160.55000000000001</v>
      </c>
      <c r="G639">
        <v>378088</v>
      </c>
      <c r="H639" s="107"/>
      <c r="I639" s="107"/>
      <c r="L639" s="130">
        <v>42942</v>
      </c>
      <c r="M639" s="107">
        <v>160.6</v>
      </c>
      <c r="N639" s="107">
        <v>164.55</v>
      </c>
      <c r="O639" s="107">
        <v>159.30000000000001</v>
      </c>
      <c r="P639" s="107">
        <v>164.55</v>
      </c>
      <c r="Q639" s="107">
        <v>160.6</v>
      </c>
      <c r="R639">
        <v>4721192</v>
      </c>
    </row>
    <row r="640" spans="1:18" x14ac:dyDescent="0.25">
      <c r="A640" s="130">
        <v>42943</v>
      </c>
      <c r="B640" s="107">
        <v>163.69999999999999</v>
      </c>
      <c r="C640" s="107">
        <v>154.9</v>
      </c>
      <c r="D640" s="107">
        <v>153.25</v>
      </c>
      <c r="E640" s="107">
        <v>160.6</v>
      </c>
      <c r="F640" s="107">
        <v>154.9</v>
      </c>
      <c r="G640">
        <v>530720</v>
      </c>
      <c r="H640" s="107"/>
      <c r="I640" s="107"/>
      <c r="L640" s="130">
        <v>42943</v>
      </c>
      <c r="M640" s="107">
        <v>154.9</v>
      </c>
      <c r="N640" s="107">
        <v>163.85</v>
      </c>
      <c r="O640" s="107">
        <v>154.05000000000001</v>
      </c>
      <c r="P640" s="107">
        <v>161</v>
      </c>
      <c r="Q640" s="107">
        <v>154.9</v>
      </c>
      <c r="R640">
        <v>8224121</v>
      </c>
    </row>
    <row r="641" spans="1:18" x14ac:dyDescent="0.25">
      <c r="A641" s="130">
        <v>42944</v>
      </c>
      <c r="B641" s="107">
        <v>162.80000000000001</v>
      </c>
      <c r="C641" s="107">
        <v>162.1</v>
      </c>
      <c r="D641" s="107">
        <v>152.44999999999999</v>
      </c>
      <c r="E641" s="107">
        <v>154</v>
      </c>
      <c r="F641" s="107">
        <v>162.1</v>
      </c>
      <c r="G641">
        <v>515673</v>
      </c>
      <c r="H641" s="107"/>
      <c r="I641" s="107"/>
      <c r="L641" s="130">
        <v>42944</v>
      </c>
      <c r="M641" s="107">
        <v>162.25</v>
      </c>
      <c r="N641" s="107">
        <v>162.9</v>
      </c>
      <c r="O641" s="107">
        <v>152.6</v>
      </c>
      <c r="P641" s="107">
        <v>153.5</v>
      </c>
      <c r="Q641" s="107">
        <v>162.25</v>
      </c>
      <c r="R641">
        <v>6683617</v>
      </c>
    </row>
    <row r="642" spans="1:18" x14ac:dyDescent="0.25">
      <c r="A642" s="130">
        <v>42947</v>
      </c>
      <c r="B642" s="107">
        <v>167.25</v>
      </c>
      <c r="C642" s="107">
        <v>166.05</v>
      </c>
      <c r="D642" s="107">
        <v>158.5</v>
      </c>
      <c r="E642" s="107">
        <v>163</v>
      </c>
      <c r="F642" s="107">
        <v>166.05</v>
      </c>
      <c r="G642">
        <v>723944</v>
      </c>
      <c r="H642" s="107"/>
      <c r="I642" s="107"/>
      <c r="L642" s="130">
        <v>42947</v>
      </c>
      <c r="M642" s="107">
        <v>166</v>
      </c>
      <c r="N642" s="107">
        <v>167.45</v>
      </c>
      <c r="O642" s="107">
        <v>158.30000000000001</v>
      </c>
      <c r="P642" s="107">
        <v>162.1</v>
      </c>
      <c r="Q642" s="107">
        <v>166</v>
      </c>
      <c r="R642">
        <v>7993428</v>
      </c>
    </row>
    <row r="643" spans="1:18" x14ac:dyDescent="0.25">
      <c r="A643" s="130">
        <v>42948</v>
      </c>
      <c r="B643" s="107">
        <v>167.5</v>
      </c>
      <c r="C643" s="107">
        <v>162.25</v>
      </c>
      <c r="D643" s="107">
        <v>161.5</v>
      </c>
      <c r="E643" s="107">
        <v>167.5</v>
      </c>
      <c r="F643" s="107">
        <v>162.25</v>
      </c>
      <c r="G643">
        <v>455425</v>
      </c>
      <c r="H643" s="107"/>
      <c r="I643" s="107"/>
      <c r="L643" s="130">
        <v>42948</v>
      </c>
      <c r="M643" s="107">
        <v>162.30000000000001</v>
      </c>
      <c r="N643" s="107">
        <v>167.6</v>
      </c>
      <c r="O643" s="107">
        <v>161.44999999999999</v>
      </c>
      <c r="P643" s="107">
        <v>166</v>
      </c>
      <c r="Q643" s="107">
        <v>162.30000000000001</v>
      </c>
      <c r="R643">
        <v>4327687</v>
      </c>
    </row>
    <row r="644" spans="1:18" x14ac:dyDescent="0.25">
      <c r="A644" s="130">
        <v>42949</v>
      </c>
      <c r="B644" s="107">
        <v>163.95</v>
      </c>
      <c r="C644" s="107">
        <v>161.69999999999999</v>
      </c>
      <c r="D644" s="107">
        <v>159.6</v>
      </c>
      <c r="E644" s="107">
        <v>163.4</v>
      </c>
      <c r="F644" s="107">
        <v>161.69999999999999</v>
      </c>
      <c r="G644">
        <v>553394</v>
      </c>
      <c r="H644" s="107"/>
      <c r="I644" s="107"/>
      <c r="L644" s="130">
        <v>42949</v>
      </c>
      <c r="M644" s="107">
        <v>161.55000000000001</v>
      </c>
      <c r="N644" s="107">
        <v>163.9</v>
      </c>
      <c r="O644" s="107">
        <v>159.35</v>
      </c>
      <c r="P644" s="107">
        <v>163</v>
      </c>
      <c r="Q644" s="107">
        <v>161.55000000000001</v>
      </c>
      <c r="R644">
        <v>4716409</v>
      </c>
    </row>
    <row r="645" spans="1:18" x14ac:dyDescent="0.25">
      <c r="A645" s="130">
        <v>42950</v>
      </c>
      <c r="B645" s="107">
        <v>161.4</v>
      </c>
      <c r="C645" s="107">
        <v>154.75</v>
      </c>
      <c r="D645" s="107">
        <v>153.15</v>
      </c>
      <c r="E645" s="107">
        <v>161.4</v>
      </c>
      <c r="F645" s="107">
        <v>154.75</v>
      </c>
      <c r="G645">
        <v>522587</v>
      </c>
      <c r="H645" s="107"/>
      <c r="I645" s="107"/>
      <c r="L645" s="130">
        <v>42950</v>
      </c>
      <c r="M645" s="107">
        <v>154.75</v>
      </c>
      <c r="N645" s="107">
        <v>160.85</v>
      </c>
      <c r="O645" s="107">
        <v>153.05000000000001</v>
      </c>
      <c r="P645" s="107">
        <v>160.80000000000001</v>
      </c>
      <c r="Q645" s="107">
        <v>154.75</v>
      </c>
      <c r="R645">
        <v>5438753</v>
      </c>
    </row>
    <row r="646" spans="1:18" x14ac:dyDescent="0.25">
      <c r="A646" s="130">
        <v>42951</v>
      </c>
      <c r="B646" s="107">
        <v>158.6</v>
      </c>
      <c r="C646" s="107">
        <v>158.25</v>
      </c>
      <c r="D646" s="107">
        <v>153.25</v>
      </c>
      <c r="E646" s="107">
        <v>154.75</v>
      </c>
      <c r="F646" s="107">
        <v>158.25</v>
      </c>
      <c r="G646">
        <v>457300</v>
      </c>
      <c r="H646" s="107"/>
      <c r="I646" s="107"/>
      <c r="L646" s="130">
        <v>42951</v>
      </c>
      <c r="M646" s="107">
        <v>158.44999999999999</v>
      </c>
      <c r="N646" s="107">
        <v>159</v>
      </c>
      <c r="O646" s="107">
        <v>153.1</v>
      </c>
      <c r="P646" s="107">
        <v>155.1</v>
      </c>
      <c r="Q646" s="107">
        <v>158.44999999999999</v>
      </c>
      <c r="R646">
        <v>4949392</v>
      </c>
    </row>
    <row r="647" spans="1:18" x14ac:dyDescent="0.25">
      <c r="A647" s="130">
        <v>42954</v>
      </c>
      <c r="B647" s="107">
        <v>159.65</v>
      </c>
      <c r="C647" s="107">
        <v>157.80000000000001</v>
      </c>
      <c r="D647" s="107">
        <v>157</v>
      </c>
      <c r="E647" s="107">
        <v>159.4</v>
      </c>
      <c r="F647" s="107">
        <v>157.80000000000001</v>
      </c>
      <c r="G647">
        <v>484396</v>
      </c>
      <c r="H647" s="107"/>
      <c r="I647" s="107"/>
      <c r="L647" s="130">
        <v>42954</v>
      </c>
      <c r="M647" s="107">
        <v>158.05000000000001</v>
      </c>
      <c r="N647" s="107">
        <v>159.6</v>
      </c>
      <c r="O647" s="107">
        <v>156.69999999999999</v>
      </c>
      <c r="P647" s="107">
        <v>159</v>
      </c>
      <c r="Q647" s="107">
        <v>158.05000000000001</v>
      </c>
      <c r="R647">
        <v>2783549</v>
      </c>
    </row>
    <row r="648" spans="1:18" x14ac:dyDescent="0.25">
      <c r="A648" s="130">
        <v>42955</v>
      </c>
      <c r="B648" s="107">
        <v>158.9</v>
      </c>
      <c r="C648" s="107">
        <v>152.69999999999999</v>
      </c>
      <c r="D648" s="107">
        <v>151.80000000000001</v>
      </c>
      <c r="E648" s="107">
        <v>158.9</v>
      </c>
      <c r="F648" s="107">
        <v>152.69999999999999</v>
      </c>
      <c r="G648">
        <v>601746</v>
      </c>
      <c r="H648" s="107"/>
      <c r="I648" s="107"/>
      <c r="L648" s="130">
        <v>42955</v>
      </c>
      <c r="M648" s="107">
        <v>152.55000000000001</v>
      </c>
      <c r="N648" s="107">
        <v>158.9</v>
      </c>
      <c r="O648" s="107">
        <v>151.65</v>
      </c>
      <c r="P648" s="107">
        <v>158.5</v>
      </c>
      <c r="Q648" s="107">
        <v>152.55000000000001</v>
      </c>
      <c r="R648">
        <v>5572082</v>
      </c>
    </row>
    <row r="649" spans="1:18" x14ac:dyDescent="0.25">
      <c r="A649" s="130">
        <v>42956</v>
      </c>
      <c r="B649" s="107">
        <v>163.4</v>
      </c>
      <c r="C649" s="107">
        <v>158.44999999999999</v>
      </c>
      <c r="D649" s="107">
        <v>149</v>
      </c>
      <c r="E649" s="107">
        <v>152.1</v>
      </c>
      <c r="F649" s="107">
        <v>158.44999999999999</v>
      </c>
      <c r="G649">
        <v>2081726</v>
      </c>
      <c r="H649" s="107"/>
      <c r="I649" s="107"/>
      <c r="L649" s="130">
        <v>42956</v>
      </c>
      <c r="M649" s="107">
        <v>158.44999999999999</v>
      </c>
      <c r="N649" s="107">
        <v>163.5</v>
      </c>
      <c r="O649" s="107">
        <v>149</v>
      </c>
      <c r="P649" s="107">
        <v>151.5</v>
      </c>
      <c r="Q649" s="107">
        <v>158.44999999999999</v>
      </c>
      <c r="R649">
        <v>21791934</v>
      </c>
    </row>
    <row r="650" spans="1:18" x14ac:dyDescent="0.25">
      <c r="A650" s="130">
        <v>42957</v>
      </c>
      <c r="B650" s="107">
        <v>156</v>
      </c>
      <c r="C650" s="107">
        <v>148.1</v>
      </c>
      <c r="D650" s="107">
        <v>145.55000000000001</v>
      </c>
      <c r="E650" s="107">
        <v>154.4</v>
      </c>
      <c r="F650" s="107">
        <v>148.1</v>
      </c>
      <c r="G650">
        <v>1280539</v>
      </c>
      <c r="H650" s="107"/>
      <c r="I650" s="107"/>
      <c r="L650" s="130">
        <v>42957</v>
      </c>
      <c r="M650" s="107">
        <v>148.15</v>
      </c>
      <c r="N650" s="107">
        <v>156</v>
      </c>
      <c r="O650" s="107">
        <v>145.1</v>
      </c>
      <c r="P650" s="107">
        <v>154</v>
      </c>
      <c r="Q650" s="107">
        <v>148.15</v>
      </c>
      <c r="R650">
        <v>13264178</v>
      </c>
    </row>
    <row r="651" spans="1:18" x14ac:dyDescent="0.25">
      <c r="A651" s="130">
        <v>42958</v>
      </c>
      <c r="B651" s="107">
        <v>149.15</v>
      </c>
      <c r="C651" s="107">
        <v>142.94999999999999</v>
      </c>
      <c r="D651" s="107">
        <v>140.15</v>
      </c>
      <c r="E651" s="107">
        <v>146</v>
      </c>
      <c r="F651" s="107">
        <v>142.94999999999999</v>
      </c>
      <c r="G651">
        <v>751453</v>
      </c>
      <c r="H651" s="107"/>
      <c r="I651" s="107"/>
      <c r="L651" s="130">
        <v>42958</v>
      </c>
      <c r="M651" s="107">
        <v>143.05000000000001</v>
      </c>
      <c r="N651" s="107">
        <v>149.35</v>
      </c>
      <c r="O651" s="107">
        <v>140</v>
      </c>
      <c r="P651" s="107">
        <v>145</v>
      </c>
      <c r="Q651" s="107">
        <v>143.05000000000001</v>
      </c>
      <c r="R651">
        <v>8380224</v>
      </c>
    </row>
    <row r="652" spans="1:18" x14ac:dyDescent="0.25">
      <c r="A652" s="130">
        <v>42961</v>
      </c>
      <c r="B652" s="107">
        <v>148</v>
      </c>
      <c r="C652" s="107">
        <v>144.80000000000001</v>
      </c>
      <c r="D652" s="107">
        <v>143.19999999999999</v>
      </c>
      <c r="E652" s="107">
        <v>143.9</v>
      </c>
      <c r="F652" s="107">
        <v>144.80000000000001</v>
      </c>
      <c r="G652">
        <v>297987</v>
      </c>
      <c r="H652" s="107"/>
      <c r="I652" s="107"/>
      <c r="L652" s="130">
        <v>42961</v>
      </c>
      <c r="M652" s="107">
        <v>144.94999999999999</v>
      </c>
      <c r="N652" s="107">
        <v>147.9</v>
      </c>
      <c r="O652" s="107">
        <v>143.15</v>
      </c>
      <c r="P652" s="107">
        <v>145</v>
      </c>
      <c r="Q652" s="107">
        <v>144.94999999999999</v>
      </c>
      <c r="R652">
        <v>4518645</v>
      </c>
    </row>
    <row r="653" spans="1:18" x14ac:dyDescent="0.25">
      <c r="A653" s="130">
        <v>42963</v>
      </c>
      <c r="B653" s="107">
        <v>148</v>
      </c>
      <c r="C653" s="107">
        <v>147</v>
      </c>
      <c r="D653" s="107">
        <v>141.80000000000001</v>
      </c>
      <c r="E653" s="107">
        <v>148</v>
      </c>
      <c r="F653" s="107">
        <v>147</v>
      </c>
      <c r="G653">
        <v>317944</v>
      </c>
      <c r="H653" s="107"/>
      <c r="I653" s="107"/>
      <c r="L653" s="130">
        <v>42963</v>
      </c>
      <c r="M653" s="107">
        <v>147.05000000000001</v>
      </c>
      <c r="N653" s="107">
        <v>147.9</v>
      </c>
      <c r="O653" s="107">
        <v>141.55000000000001</v>
      </c>
      <c r="P653" s="107">
        <v>146.80000000000001</v>
      </c>
      <c r="Q653" s="107">
        <v>147.05000000000001</v>
      </c>
      <c r="R653">
        <v>5354114</v>
      </c>
    </row>
    <row r="654" spans="1:18" x14ac:dyDescent="0.25">
      <c r="A654" s="130">
        <v>42964</v>
      </c>
      <c r="B654" s="107">
        <v>150.44999999999999</v>
      </c>
      <c r="C654" s="107">
        <v>145.65</v>
      </c>
      <c r="D654" s="107">
        <v>144.94999999999999</v>
      </c>
      <c r="E654" s="107">
        <v>147.19999999999999</v>
      </c>
      <c r="F654" s="107">
        <v>145.65</v>
      </c>
      <c r="G654">
        <v>964967</v>
      </c>
      <c r="H654" s="107"/>
      <c r="I654" s="107"/>
      <c r="L654" s="130">
        <v>42964</v>
      </c>
      <c r="M654" s="107">
        <v>145.75</v>
      </c>
      <c r="N654" s="107">
        <v>150.35</v>
      </c>
      <c r="O654" s="107">
        <v>145.15</v>
      </c>
      <c r="P654" s="107">
        <v>147.69999999999999</v>
      </c>
      <c r="Q654" s="107">
        <v>145.75</v>
      </c>
      <c r="R654">
        <v>4468028</v>
      </c>
    </row>
    <row r="655" spans="1:18" x14ac:dyDescent="0.25">
      <c r="A655" s="130">
        <v>42965</v>
      </c>
      <c r="B655" s="107">
        <v>144.75</v>
      </c>
      <c r="C655" s="107">
        <v>143.35</v>
      </c>
      <c r="D655" s="107">
        <v>141.5</v>
      </c>
      <c r="E655" s="107">
        <v>144.75</v>
      </c>
      <c r="F655" s="107">
        <v>143.35</v>
      </c>
      <c r="G655">
        <v>456324</v>
      </c>
      <c r="H655" s="107"/>
      <c r="I655" s="107"/>
      <c r="L655" s="130">
        <v>42965</v>
      </c>
      <c r="M655" s="107">
        <v>143.35</v>
      </c>
      <c r="N655" s="107">
        <v>144.5</v>
      </c>
      <c r="O655" s="107">
        <v>141.19999999999999</v>
      </c>
      <c r="P655" s="107">
        <v>144.05000000000001</v>
      </c>
      <c r="Q655" s="107">
        <v>143.35</v>
      </c>
      <c r="R655">
        <v>4729302</v>
      </c>
    </row>
    <row r="656" spans="1:18" x14ac:dyDescent="0.25">
      <c r="A656" s="130">
        <v>42968</v>
      </c>
      <c r="B656" s="107">
        <v>145.4</v>
      </c>
      <c r="C656" s="107">
        <v>139.69999999999999</v>
      </c>
      <c r="D656" s="107">
        <v>139</v>
      </c>
      <c r="E656" s="107">
        <v>144</v>
      </c>
      <c r="F656" s="107">
        <v>139.69999999999999</v>
      </c>
      <c r="G656">
        <v>411706</v>
      </c>
      <c r="H656" s="107"/>
      <c r="I656" s="107"/>
      <c r="L656" s="130">
        <v>42968</v>
      </c>
      <c r="M656" s="107">
        <v>139.5</v>
      </c>
      <c r="N656" s="107">
        <v>145.44999999999999</v>
      </c>
      <c r="O656" s="107">
        <v>138.5</v>
      </c>
      <c r="P656" s="107">
        <v>144.30000000000001</v>
      </c>
      <c r="Q656" s="107">
        <v>139.5</v>
      </c>
      <c r="R656">
        <v>3331293</v>
      </c>
    </row>
    <row r="657" spans="1:18" x14ac:dyDescent="0.25">
      <c r="A657" s="130">
        <v>42969</v>
      </c>
      <c r="B657" s="107">
        <v>142.5</v>
      </c>
      <c r="C657" s="107">
        <v>139.30000000000001</v>
      </c>
      <c r="D657" s="107">
        <v>137.44999999999999</v>
      </c>
      <c r="E657" s="107">
        <v>141.80000000000001</v>
      </c>
      <c r="F657" s="107">
        <v>139.30000000000001</v>
      </c>
      <c r="G657">
        <v>372250</v>
      </c>
      <c r="H657" s="107"/>
      <c r="I657" s="107"/>
      <c r="L657" s="130">
        <v>42969</v>
      </c>
      <c r="M657" s="107">
        <v>139.15</v>
      </c>
      <c r="N657" s="107">
        <v>141.65</v>
      </c>
      <c r="O657" s="107">
        <v>137.30000000000001</v>
      </c>
      <c r="P657" s="107">
        <v>140.75</v>
      </c>
      <c r="Q657" s="107">
        <v>139.15</v>
      </c>
      <c r="R657">
        <v>3706438</v>
      </c>
    </row>
    <row r="658" spans="1:18" x14ac:dyDescent="0.25">
      <c r="A658" s="130">
        <v>42970</v>
      </c>
      <c r="B658" s="107">
        <v>144.80000000000001</v>
      </c>
      <c r="C658" s="107">
        <v>143.65</v>
      </c>
      <c r="D658" s="107">
        <v>140.30000000000001</v>
      </c>
      <c r="E658" s="107">
        <v>140.80000000000001</v>
      </c>
      <c r="F658" s="107">
        <v>143.65</v>
      </c>
      <c r="G658">
        <v>699613</v>
      </c>
      <c r="H658" s="107"/>
      <c r="I658" s="107"/>
      <c r="L658" s="130">
        <v>42970</v>
      </c>
      <c r="M658" s="107">
        <v>143.80000000000001</v>
      </c>
      <c r="N658" s="107">
        <v>144.9</v>
      </c>
      <c r="O658" s="107">
        <v>140</v>
      </c>
      <c r="P658" s="107">
        <v>140</v>
      </c>
      <c r="Q658" s="107">
        <v>143.80000000000001</v>
      </c>
      <c r="R658">
        <v>6957028</v>
      </c>
    </row>
    <row r="659" spans="1:18" x14ac:dyDescent="0.25">
      <c r="A659" s="130">
        <v>42971</v>
      </c>
      <c r="B659" s="107">
        <v>145.5</v>
      </c>
      <c r="C659" s="107">
        <v>144.05000000000001</v>
      </c>
      <c r="D659" s="107">
        <v>141.25</v>
      </c>
      <c r="E659" s="107">
        <v>144.30000000000001</v>
      </c>
      <c r="F659" s="107">
        <v>144.05000000000001</v>
      </c>
      <c r="G659">
        <v>454579</v>
      </c>
      <c r="H659" s="107"/>
      <c r="I659" s="107"/>
      <c r="L659" s="130">
        <v>42971</v>
      </c>
      <c r="M659" s="107">
        <v>144.15</v>
      </c>
      <c r="N659" s="107">
        <v>145.5</v>
      </c>
      <c r="O659" s="107">
        <v>141.19999999999999</v>
      </c>
      <c r="P659" s="107">
        <v>143.44999999999999</v>
      </c>
      <c r="Q659" s="107">
        <v>144.15</v>
      </c>
      <c r="R659">
        <v>4681415</v>
      </c>
    </row>
    <row r="660" spans="1:18" x14ac:dyDescent="0.25">
      <c r="A660" s="130">
        <v>42975</v>
      </c>
      <c r="B660" s="107">
        <v>145.5</v>
      </c>
      <c r="C660" s="107">
        <v>143.69999999999999</v>
      </c>
      <c r="D660" s="107">
        <v>143</v>
      </c>
      <c r="E660" s="107">
        <v>144.35</v>
      </c>
      <c r="F660" s="107">
        <v>143.69999999999999</v>
      </c>
      <c r="G660">
        <v>301596</v>
      </c>
      <c r="H660" s="107"/>
      <c r="I660" s="107"/>
      <c r="L660" s="130">
        <v>42975</v>
      </c>
      <c r="M660" s="107">
        <v>143.75</v>
      </c>
      <c r="N660" s="107">
        <v>145.65</v>
      </c>
      <c r="O660" s="107">
        <v>142.85</v>
      </c>
      <c r="P660" s="107">
        <v>145</v>
      </c>
      <c r="Q660" s="107">
        <v>143.75</v>
      </c>
      <c r="R660">
        <v>4176278</v>
      </c>
    </row>
    <row r="661" spans="1:18" x14ac:dyDescent="0.25">
      <c r="A661" s="130">
        <v>42976</v>
      </c>
      <c r="B661" s="107">
        <v>145.44999999999999</v>
      </c>
      <c r="C661" s="107">
        <v>141.85</v>
      </c>
      <c r="D661" s="107">
        <v>140.69999999999999</v>
      </c>
      <c r="E661" s="107">
        <v>142.9</v>
      </c>
      <c r="F661" s="107">
        <v>141.85</v>
      </c>
      <c r="G661">
        <v>287080</v>
      </c>
      <c r="H661" s="107"/>
      <c r="I661" s="107"/>
      <c r="L661" s="130">
        <v>42976</v>
      </c>
      <c r="M661" s="107">
        <v>141.65</v>
      </c>
      <c r="N661" s="107">
        <v>145.55000000000001</v>
      </c>
      <c r="O661" s="107">
        <v>140.75</v>
      </c>
      <c r="P661" s="107">
        <v>142</v>
      </c>
      <c r="Q661" s="107">
        <v>141.65</v>
      </c>
      <c r="R661">
        <v>5334375</v>
      </c>
    </row>
    <row r="662" spans="1:18" x14ac:dyDescent="0.25">
      <c r="A662" s="130">
        <v>42977</v>
      </c>
      <c r="B662" s="107">
        <v>143.94999999999999</v>
      </c>
      <c r="C662" s="107">
        <v>142.75</v>
      </c>
      <c r="D662" s="107">
        <v>141.75</v>
      </c>
      <c r="E662" s="107">
        <v>142.5</v>
      </c>
      <c r="F662" s="107">
        <v>142.75</v>
      </c>
      <c r="G662">
        <v>114380</v>
      </c>
      <c r="H662" s="107"/>
      <c r="I662" s="107"/>
      <c r="L662" s="130">
        <v>42977</v>
      </c>
      <c r="M662" s="107">
        <v>143</v>
      </c>
      <c r="N662" s="107">
        <v>144</v>
      </c>
      <c r="O662" s="107">
        <v>141.6</v>
      </c>
      <c r="P662" s="107">
        <v>143.5</v>
      </c>
      <c r="Q662" s="107">
        <v>143</v>
      </c>
      <c r="R662">
        <v>2367920</v>
      </c>
    </row>
    <row r="663" spans="1:18" x14ac:dyDescent="0.25">
      <c r="A663" s="130">
        <v>42978</v>
      </c>
      <c r="B663" s="107">
        <v>144.44999999999999</v>
      </c>
      <c r="C663" s="107">
        <v>143.9</v>
      </c>
      <c r="D663" s="107">
        <v>141.5</v>
      </c>
      <c r="E663" s="107">
        <v>143.5</v>
      </c>
      <c r="F663" s="107">
        <v>143.9</v>
      </c>
      <c r="G663">
        <v>246440</v>
      </c>
      <c r="H663" s="107"/>
      <c r="I663" s="107"/>
      <c r="L663" s="130">
        <v>42978</v>
      </c>
      <c r="M663" s="107">
        <v>144.19999999999999</v>
      </c>
      <c r="N663" s="107">
        <v>145</v>
      </c>
      <c r="O663" s="107">
        <v>141.30000000000001</v>
      </c>
      <c r="P663" s="107">
        <v>143.9</v>
      </c>
      <c r="Q663" s="107">
        <v>144.19999999999999</v>
      </c>
      <c r="R663">
        <v>4077427</v>
      </c>
    </row>
    <row r="664" spans="1:18" x14ac:dyDescent="0.25">
      <c r="A664" s="130">
        <v>42979</v>
      </c>
      <c r="B664" s="107">
        <v>146.30000000000001</v>
      </c>
      <c r="C664" s="107">
        <v>143.9</v>
      </c>
      <c r="D664" s="107">
        <v>142.6</v>
      </c>
      <c r="E664" s="107">
        <v>142.6</v>
      </c>
      <c r="F664" s="107">
        <v>143.9</v>
      </c>
      <c r="G664">
        <v>194956</v>
      </c>
      <c r="H664" s="107"/>
      <c r="I664" s="107"/>
      <c r="L664" s="130">
        <v>42979</v>
      </c>
      <c r="M664" s="107">
        <v>143.9</v>
      </c>
      <c r="N664" s="107">
        <v>146.35</v>
      </c>
      <c r="O664" s="107">
        <v>143.30000000000001</v>
      </c>
      <c r="P664" s="107">
        <v>144.80000000000001</v>
      </c>
      <c r="Q664" s="107">
        <v>143.9</v>
      </c>
      <c r="R664">
        <v>2137535</v>
      </c>
    </row>
    <row r="665" spans="1:18" x14ac:dyDescent="0.25">
      <c r="A665" s="130">
        <v>42982</v>
      </c>
      <c r="B665" s="107">
        <v>144.94999999999999</v>
      </c>
      <c r="C665" s="107">
        <v>142.4</v>
      </c>
      <c r="D665" s="107">
        <v>140.75</v>
      </c>
      <c r="E665" s="107">
        <v>143.9</v>
      </c>
      <c r="F665" s="107">
        <v>142.4</v>
      </c>
      <c r="G665">
        <v>287374</v>
      </c>
      <c r="H665" s="107"/>
      <c r="I665" s="107"/>
      <c r="L665" s="130">
        <v>42982</v>
      </c>
      <c r="M665" s="107">
        <v>142.35</v>
      </c>
      <c r="N665" s="107">
        <v>145</v>
      </c>
      <c r="O665" s="107">
        <v>140.55000000000001</v>
      </c>
      <c r="P665" s="107">
        <v>143.69999999999999</v>
      </c>
      <c r="Q665" s="107">
        <v>142.35</v>
      </c>
      <c r="R665">
        <v>3561248</v>
      </c>
    </row>
    <row r="666" spans="1:18" x14ac:dyDescent="0.25">
      <c r="A666" s="130">
        <v>42983</v>
      </c>
      <c r="B666" s="107">
        <v>144.85</v>
      </c>
      <c r="C666" s="107">
        <v>144</v>
      </c>
      <c r="D666" s="107">
        <v>142.15</v>
      </c>
      <c r="E666" s="107">
        <v>142.4</v>
      </c>
      <c r="F666" s="107">
        <v>144</v>
      </c>
      <c r="G666">
        <v>133958</v>
      </c>
      <c r="H666" s="107"/>
      <c r="I666" s="107"/>
      <c r="L666" s="130">
        <v>42983</v>
      </c>
      <c r="M666" s="107">
        <v>144.1</v>
      </c>
      <c r="N666" s="107">
        <v>144.9</v>
      </c>
      <c r="O666" s="107">
        <v>142</v>
      </c>
      <c r="P666" s="107">
        <v>142.5</v>
      </c>
      <c r="Q666" s="107">
        <v>144.1</v>
      </c>
      <c r="R666">
        <v>1909572</v>
      </c>
    </row>
    <row r="667" spans="1:18" x14ac:dyDescent="0.25">
      <c r="A667" s="130">
        <v>42984</v>
      </c>
      <c r="B667" s="107">
        <v>144.5</v>
      </c>
      <c r="C667" s="107">
        <v>143.05000000000001</v>
      </c>
      <c r="D667" s="107">
        <v>142.35</v>
      </c>
      <c r="E667" s="107">
        <v>143</v>
      </c>
      <c r="F667" s="107">
        <v>143.05000000000001</v>
      </c>
      <c r="G667">
        <v>128509</v>
      </c>
      <c r="H667" s="107"/>
      <c r="I667" s="107"/>
      <c r="L667" s="130">
        <v>42984</v>
      </c>
      <c r="M667" s="107">
        <v>143.05000000000001</v>
      </c>
      <c r="N667" s="107">
        <v>144.65</v>
      </c>
      <c r="O667" s="107">
        <v>142.25</v>
      </c>
      <c r="P667" s="107">
        <v>143</v>
      </c>
      <c r="Q667" s="107">
        <v>143.05000000000001</v>
      </c>
      <c r="R667">
        <v>1962563</v>
      </c>
    </row>
    <row r="668" spans="1:18" x14ac:dyDescent="0.25">
      <c r="A668" s="130">
        <v>42985</v>
      </c>
      <c r="B668" s="107">
        <v>145.30000000000001</v>
      </c>
      <c r="C668" s="107">
        <v>144.30000000000001</v>
      </c>
      <c r="D668" s="107">
        <v>143.05000000000001</v>
      </c>
      <c r="E668" s="107">
        <v>143.05000000000001</v>
      </c>
      <c r="F668" s="107">
        <v>144.30000000000001</v>
      </c>
      <c r="G668">
        <v>314900</v>
      </c>
      <c r="H668" s="107"/>
      <c r="I668" s="107"/>
      <c r="L668" s="130">
        <v>42985</v>
      </c>
      <c r="M668" s="107">
        <v>143.85</v>
      </c>
      <c r="N668" s="107">
        <v>145.4</v>
      </c>
      <c r="O668" s="107">
        <v>143</v>
      </c>
      <c r="P668" s="107">
        <v>143</v>
      </c>
      <c r="Q668" s="107">
        <v>143.85</v>
      </c>
      <c r="R668">
        <v>1794511</v>
      </c>
    </row>
    <row r="669" spans="1:18" x14ac:dyDescent="0.25">
      <c r="A669" s="130">
        <v>42986</v>
      </c>
      <c r="B669" s="107">
        <v>144.75</v>
      </c>
      <c r="C669" s="107">
        <v>141.4</v>
      </c>
      <c r="D669" s="107">
        <v>140.80000000000001</v>
      </c>
      <c r="E669" s="107">
        <v>144.30000000000001</v>
      </c>
      <c r="F669" s="107">
        <v>141.4</v>
      </c>
      <c r="G669">
        <v>258662</v>
      </c>
      <c r="H669" s="107"/>
      <c r="I669" s="107"/>
      <c r="L669" s="130">
        <v>42986</v>
      </c>
      <c r="M669" s="107">
        <v>141.55000000000001</v>
      </c>
      <c r="N669" s="107">
        <v>144.9</v>
      </c>
      <c r="O669" s="107">
        <v>140.69999999999999</v>
      </c>
      <c r="P669" s="107">
        <v>144</v>
      </c>
      <c r="Q669" s="107">
        <v>141.55000000000001</v>
      </c>
      <c r="R669">
        <v>2017297</v>
      </c>
    </row>
    <row r="670" spans="1:18" x14ac:dyDescent="0.25">
      <c r="A670" s="130">
        <v>42989</v>
      </c>
      <c r="B670" s="107">
        <v>144</v>
      </c>
      <c r="C670" s="107">
        <v>143.1</v>
      </c>
      <c r="D670" s="107">
        <v>142</v>
      </c>
      <c r="E670" s="107">
        <v>142</v>
      </c>
      <c r="F670" s="107">
        <v>143.1</v>
      </c>
      <c r="G670">
        <v>128586</v>
      </c>
      <c r="H670" s="107"/>
      <c r="I670" s="107"/>
      <c r="L670" s="130">
        <v>42989</v>
      </c>
      <c r="M670" s="107">
        <v>143.15</v>
      </c>
      <c r="N670" s="107">
        <v>143.9</v>
      </c>
      <c r="O670" s="107">
        <v>141.94999999999999</v>
      </c>
      <c r="P670" s="107">
        <v>142.94999999999999</v>
      </c>
      <c r="Q670" s="107">
        <v>143.15</v>
      </c>
      <c r="R670">
        <v>1350599</v>
      </c>
    </row>
    <row r="671" spans="1:18" x14ac:dyDescent="0.25">
      <c r="A671" s="130">
        <v>42990</v>
      </c>
      <c r="B671" s="107">
        <v>146.5</v>
      </c>
      <c r="C671" s="107">
        <v>145.35</v>
      </c>
      <c r="D671" s="107">
        <v>142</v>
      </c>
      <c r="E671" s="107">
        <v>142</v>
      </c>
      <c r="F671" s="107">
        <v>145.35</v>
      </c>
      <c r="G671">
        <v>293636</v>
      </c>
      <c r="H671" s="107"/>
      <c r="I671" s="107"/>
      <c r="L671" s="130">
        <v>42990</v>
      </c>
      <c r="M671" s="107">
        <v>145.44999999999999</v>
      </c>
      <c r="N671" s="107">
        <v>146.65</v>
      </c>
      <c r="O671" s="107">
        <v>142.80000000000001</v>
      </c>
      <c r="P671" s="107">
        <v>143.5</v>
      </c>
      <c r="Q671" s="107">
        <v>145.44999999999999</v>
      </c>
      <c r="R671">
        <v>2373001</v>
      </c>
    </row>
    <row r="672" spans="1:18" x14ac:dyDescent="0.25">
      <c r="A672" s="130">
        <v>42991</v>
      </c>
      <c r="B672" s="107">
        <v>150.69999999999999</v>
      </c>
      <c r="C672" s="107">
        <v>149</v>
      </c>
      <c r="D672" s="107">
        <v>145</v>
      </c>
      <c r="E672" s="107">
        <v>145</v>
      </c>
      <c r="F672" s="107">
        <v>149</v>
      </c>
      <c r="G672">
        <v>426622</v>
      </c>
      <c r="H672" s="107"/>
      <c r="I672" s="107"/>
      <c r="L672" s="130">
        <v>42991</v>
      </c>
      <c r="M672" s="107">
        <v>148.94999999999999</v>
      </c>
      <c r="N672" s="107">
        <v>150.6</v>
      </c>
      <c r="O672" s="107">
        <v>145.1</v>
      </c>
      <c r="P672" s="107">
        <v>145.5</v>
      </c>
      <c r="Q672" s="107">
        <v>148.94999999999999</v>
      </c>
      <c r="R672">
        <v>3898514</v>
      </c>
    </row>
    <row r="673" spans="1:18" x14ac:dyDescent="0.25">
      <c r="A673" s="130">
        <v>42992</v>
      </c>
      <c r="B673" s="107">
        <v>153.6</v>
      </c>
      <c r="C673" s="107">
        <v>153.05000000000001</v>
      </c>
      <c r="D673" s="107">
        <v>149.85</v>
      </c>
      <c r="E673" s="107">
        <v>149.9</v>
      </c>
      <c r="F673" s="107">
        <v>153.05000000000001</v>
      </c>
      <c r="G673">
        <v>435548</v>
      </c>
      <c r="H673" s="107"/>
      <c r="I673" s="107"/>
      <c r="L673" s="130">
        <v>42992</v>
      </c>
      <c r="M673" s="107">
        <v>153.25</v>
      </c>
      <c r="N673" s="107">
        <v>153.85</v>
      </c>
      <c r="O673" s="107">
        <v>149.75</v>
      </c>
      <c r="P673" s="107">
        <v>150.5</v>
      </c>
      <c r="Q673" s="107">
        <v>153.25</v>
      </c>
      <c r="R673">
        <v>4004817</v>
      </c>
    </row>
    <row r="674" spans="1:18" x14ac:dyDescent="0.25">
      <c r="A674" s="130">
        <v>42993</v>
      </c>
      <c r="B674" s="107">
        <v>155.94999999999999</v>
      </c>
      <c r="C674" s="107">
        <v>154.44999999999999</v>
      </c>
      <c r="D674" s="107">
        <v>151.5</v>
      </c>
      <c r="E674" s="107">
        <v>152.05000000000001</v>
      </c>
      <c r="F674" s="107">
        <v>154.44999999999999</v>
      </c>
      <c r="G674">
        <v>374229</v>
      </c>
      <c r="H674" s="107"/>
      <c r="I674" s="107"/>
      <c r="L674" s="130">
        <v>42993</v>
      </c>
      <c r="M674" s="107">
        <v>154.69999999999999</v>
      </c>
      <c r="N674" s="107">
        <v>156.15</v>
      </c>
      <c r="O674" s="107">
        <v>151.25</v>
      </c>
      <c r="P674" s="107">
        <v>152.5</v>
      </c>
      <c r="Q674" s="107">
        <v>154.69999999999999</v>
      </c>
      <c r="R674">
        <v>3107081</v>
      </c>
    </row>
    <row r="675" spans="1:18" x14ac:dyDescent="0.25">
      <c r="A675" s="130">
        <v>42996</v>
      </c>
      <c r="B675" s="107">
        <v>156.6</v>
      </c>
      <c r="C675" s="107">
        <v>154.4</v>
      </c>
      <c r="D675" s="107">
        <v>153.65</v>
      </c>
      <c r="E675" s="107">
        <v>155</v>
      </c>
      <c r="F675" s="107">
        <v>154.4</v>
      </c>
      <c r="G675">
        <v>202545</v>
      </c>
      <c r="H675" s="107"/>
      <c r="I675" s="107"/>
      <c r="L675" s="130">
        <v>42996</v>
      </c>
      <c r="M675" s="107">
        <v>154.6</v>
      </c>
      <c r="N675" s="107">
        <v>156.65</v>
      </c>
      <c r="O675" s="107">
        <v>154.1</v>
      </c>
      <c r="P675" s="107">
        <v>155.6</v>
      </c>
      <c r="Q675" s="107">
        <v>154.6</v>
      </c>
      <c r="R675">
        <v>1666274</v>
      </c>
    </row>
    <row r="676" spans="1:18" x14ac:dyDescent="0.25">
      <c r="A676" s="130">
        <v>42997</v>
      </c>
      <c r="B676" s="107">
        <v>155.69999999999999</v>
      </c>
      <c r="C676" s="107">
        <v>154.80000000000001</v>
      </c>
      <c r="D676" s="107">
        <v>152</v>
      </c>
      <c r="E676" s="107">
        <v>154.35</v>
      </c>
      <c r="F676" s="107">
        <v>154.80000000000001</v>
      </c>
      <c r="G676">
        <v>227528</v>
      </c>
      <c r="H676" s="107"/>
      <c r="I676" s="107"/>
      <c r="L676" s="130">
        <v>42997</v>
      </c>
      <c r="M676" s="107">
        <v>154.85</v>
      </c>
      <c r="N676" s="107">
        <v>156</v>
      </c>
      <c r="O676" s="107">
        <v>151.80000000000001</v>
      </c>
      <c r="P676" s="107">
        <v>154.19999999999999</v>
      </c>
      <c r="Q676" s="107">
        <v>154.85</v>
      </c>
      <c r="R676">
        <v>1954638</v>
      </c>
    </row>
    <row r="677" spans="1:18" x14ac:dyDescent="0.25">
      <c r="A677" s="130">
        <v>42998</v>
      </c>
      <c r="B677" s="107">
        <v>157.6</v>
      </c>
      <c r="C677" s="107">
        <v>156.80000000000001</v>
      </c>
      <c r="D677" s="107">
        <v>154</v>
      </c>
      <c r="E677" s="107">
        <v>155.1</v>
      </c>
      <c r="F677" s="107">
        <v>156.80000000000001</v>
      </c>
      <c r="G677">
        <v>405244</v>
      </c>
      <c r="H677" s="107"/>
      <c r="I677" s="107"/>
      <c r="L677" s="130">
        <v>42998</v>
      </c>
      <c r="M677" s="107">
        <v>156.4</v>
      </c>
      <c r="N677" s="107">
        <v>157.80000000000001</v>
      </c>
      <c r="O677" s="107">
        <v>153.9</v>
      </c>
      <c r="P677" s="107">
        <v>155</v>
      </c>
      <c r="Q677" s="107">
        <v>156.4</v>
      </c>
      <c r="R677">
        <v>2260287</v>
      </c>
    </row>
    <row r="678" spans="1:18" x14ac:dyDescent="0.25">
      <c r="A678" s="130">
        <v>42999</v>
      </c>
      <c r="B678" s="107">
        <v>157.80000000000001</v>
      </c>
      <c r="C678" s="107">
        <v>151.30000000000001</v>
      </c>
      <c r="D678" s="107">
        <v>150.69999999999999</v>
      </c>
      <c r="E678" s="107">
        <v>157.69999999999999</v>
      </c>
      <c r="F678" s="107">
        <v>151.30000000000001</v>
      </c>
      <c r="G678">
        <v>380971</v>
      </c>
      <c r="H678" s="107"/>
      <c r="I678" s="107"/>
      <c r="L678" s="130">
        <v>42999</v>
      </c>
      <c r="M678" s="107">
        <v>151.5</v>
      </c>
      <c r="N678" s="107">
        <v>157</v>
      </c>
      <c r="O678" s="107">
        <v>150.85</v>
      </c>
      <c r="P678" s="107">
        <v>156.4</v>
      </c>
      <c r="Q678" s="107">
        <v>151.5</v>
      </c>
      <c r="R678">
        <v>2476861</v>
      </c>
    </row>
    <row r="679" spans="1:18" x14ac:dyDescent="0.25">
      <c r="A679" s="130">
        <v>43000</v>
      </c>
      <c r="B679" s="107">
        <v>151.5</v>
      </c>
      <c r="C679" s="107">
        <v>145.44999999999999</v>
      </c>
      <c r="D679" s="107">
        <v>145</v>
      </c>
      <c r="E679" s="107">
        <v>151.5</v>
      </c>
      <c r="F679" s="107">
        <v>145.44999999999999</v>
      </c>
      <c r="G679">
        <v>266496</v>
      </c>
      <c r="H679" s="107"/>
      <c r="I679" s="107"/>
      <c r="L679" s="130">
        <v>43000</v>
      </c>
      <c r="M679" s="107">
        <v>145.25</v>
      </c>
      <c r="N679" s="107">
        <v>151.4</v>
      </c>
      <c r="O679" s="107">
        <v>144.55000000000001</v>
      </c>
      <c r="P679" s="107">
        <v>151.4</v>
      </c>
      <c r="Q679" s="107">
        <v>145.25</v>
      </c>
      <c r="R679">
        <v>2332550</v>
      </c>
    </row>
    <row r="680" spans="1:18" x14ac:dyDescent="0.25">
      <c r="A680" s="130">
        <v>43003</v>
      </c>
      <c r="B680" s="107">
        <v>145.5</v>
      </c>
      <c r="C680" s="107">
        <v>143.4</v>
      </c>
      <c r="D680" s="107">
        <v>139.15</v>
      </c>
      <c r="E680" s="107">
        <v>145.5</v>
      </c>
      <c r="F680" s="107">
        <v>143.4</v>
      </c>
      <c r="G680">
        <v>303346</v>
      </c>
      <c r="H680" s="107"/>
      <c r="I680" s="107"/>
      <c r="L680" s="130">
        <v>43003</v>
      </c>
      <c r="M680" s="107">
        <v>143.1</v>
      </c>
      <c r="N680" s="107">
        <v>145.9</v>
      </c>
      <c r="O680" s="107">
        <v>139.1</v>
      </c>
      <c r="P680" s="107">
        <v>144.80000000000001</v>
      </c>
      <c r="Q680" s="107">
        <v>143.1</v>
      </c>
      <c r="R680">
        <v>2605183</v>
      </c>
    </row>
    <row r="681" spans="1:18" x14ac:dyDescent="0.25">
      <c r="A681" s="130">
        <v>43004</v>
      </c>
      <c r="B681" s="107">
        <v>144.9</v>
      </c>
      <c r="C681" s="107">
        <v>143.69999999999999</v>
      </c>
      <c r="D681" s="107">
        <v>142.35</v>
      </c>
      <c r="E681" s="107">
        <v>143</v>
      </c>
      <c r="F681" s="107">
        <v>143.69999999999999</v>
      </c>
      <c r="G681">
        <v>227755</v>
      </c>
      <c r="H681" s="107"/>
      <c r="I681" s="107"/>
      <c r="L681" s="130">
        <v>43004</v>
      </c>
      <c r="M681" s="107">
        <v>144.1</v>
      </c>
      <c r="N681" s="107">
        <v>145</v>
      </c>
      <c r="O681" s="107">
        <v>142.19999999999999</v>
      </c>
      <c r="P681" s="107">
        <v>143.4</v>
      </c>
      <c r="Q681" s="107">
        <v>144.1</v>
      </c>
      <c r="R681">
        <v>2011626</v>
      </c>
    </row>
    <row r="682" spans="1:18" x14ac:dyDescent="0.25">
      <c r="A682" s="130">
        <v>43005</v>
      </c>
      <c r="B682" s="107">
        <v>145.35</v>
      </c>
      <c r="C682" s="107">
        <v>138.4</v>
      </c>
      <c r="D682" s="107">
        <v>137</v>
      </c>
      <c r="E682" s="107">
        <v>145</v>
      </c>
      <c r="F682" s="107">
        <v>138.4</v>
      </c>
      <c r="G682">
        <v>341363</v>
      </c>
      <c r="H682" s="107"/>
      <c r="I682" s="107"/>
      <c r="L682" s="130">
        <v>43005</v>
      </c>
      <c r="M682" s="107">
        <v>138.25</v>
      </c>
      <c r="N682" s="107">
        <v>145.44999999999999</v>
      </c>
      <c r="O682" s="107">
        <v>137.1</v>
      </c>
      <c r="P682" s="107">
        <v>145</v>
      </c>
      <c r="Q682" s="107">
        <v>138.25</v>
      </c>
      <c r="R682">
        <v>2630949</v>
      </c>
    </row>
    <row r="683" spans="1:18" x14ac:dyDescent="0.25">
      <c r="A683" s="130">
        <v>43006</v>
      </c>
      <c r="B683" s="107">
        <v>141</v>
      </c>
      <c r="C683" s="107">
        <v>138.6</v>
      </c>
      <c r="D683" s="107">
        <v>137</v>
      </c>
      <c r="E683" s="107">
        <v>137.9</v>
      </c>
      <c r="F683" s="107">
        <v>138.6</v>
      </c>
      <c r="G683">
        <v>296690</v>
      </c>
      <c r="H683" s="107"/>
      <c r="I683" s="107"/>
      <c r="L683" s="130">
        <v>43006</v>
      </c>
      <c r="M683" s="107">
        <v>138.55000000000001</v>
      </c>
      <c r="N683" s="107">
        <v>140.85</v>
      </c>
      <c r="O683" s="107">
        <v>136.55000000000001</v>
      </c>
      <c r="P683" s="107">
        <v>137.25</v>
      </c>
      <c r="Q683" s="107">
        <v>138.55000000000001</v>
      </c>
      <c r="R683">
        <v>2413259</v>
      </c>
    </row>
    <row r="684" spans="1:18" x14ac:dyDescent="0.25">
      <c r="A684" s="130">
        <v>43007</v>
      </c>
      <c r="B684" s="107">
        <v>140.25</v>
      </c>
      <c r="C684" s="107">
        <v>137.44999999999999</v>
      </c>
      <c r="D684" s="107">
        <v>137</v>
      </c>
      <c r="E684" s="107">
        <v>139.94999999999999</v>
      </c>
      <c r="F684" s="107">
        <v>137.44999999999999</v>
      </c>
      <c r="G684">
        <v>147743</v>
      </c>
      <c r="H684" s="107"/>
      <c r="I684" s="107"/>
      <c r="L684" s="130">
        <v>43007</v>
      </c>
      <c r="M684" s="107">
        <v>137.55000000000001</v>
      </c>
      <c r="N684" s="107">
        <v>140.25</v>
      </c>
      <c r="O684" s="107">
        <v>137</v>
      </c>
      <c r="P684" s="107">
        <v>139.30000000000001</v>
      </c>
      <c r="Q684" s="107">
        <v>137.55000000000001</v>
      </c>
      <c r="R684">
        <v>1507760</v>
      </c>
    </row>
    <row r="685" spans="1:18" x14ac:dyDescent="0.25">
      <c r="A685" s="130">
        <v>43011</v>
      </c>
      <c r="B685" s="107">
        <v>139.65</v>
      </c>
      <c r="C685" s="107">
        <v>137.85</v>
      </c>
      <c r="D685" s="107">
        <v>136.94999999999999</v>
      </c>
      <c r="E685" s="107">
        <v>138</v>
      </c>
      <c r="F685" s="107">
        <v>137.85</v>
      </c>
      <c r="G685">
        <v>332784</v>
      </c>
      <c r="H685" s="107"/>
      <c r="I685" s="107"/>
      <c r="L685" s="130">
        <v>43011</v>
      </c>
      <c r="M685" s="107">
        <v>137.75</v>
      </c>
      <c r="N685" s="107">
        <v>139.65</v>
      </c>
      <c r="O685" s="107">
        <v>136.85</v>
      </c>
      <c r="P685" s="107">
        <v>138.6</v>
      </c>
      <c r="Q685" s="107">
        <v>137.75</v>
      </c>
      <c r="R685">
        <v>2453773</v>
      </c>
    </row>
    <row r="686" spans="1:18" x14ac:dyDescent="0.25">
      <c r="A686" s="130">
        <v>43012</v>
      </c>
      <c r="B686" s="107">
        <v>139.85</v>
      </c>
      <c r="C686" s="107">
        <v>138.05000000000001</v>
      </c>
      <c r="D686" s="107">
        <v>136.94999999999999</v>
      </c>
      <c r="E686" s="107">
        <v>138</v>
      </c>
      <c r="F686" s="107">
        <v>138.05000000000001</v>
      </c>
      <c r="G686">
        <v>435652</v>
      </c>
      <c r="H686" s="107"/>
      <c r="I686" s="107"/>
      <c r="L686" s="130">
        <v>43012</v>
      </c>
      <c r="M686" s="107">
        <v>138</v>
      </c>
      <c r="N686" s="107">
        <v>139.69999999999999</v>
      </c>
      <c r="O686" s="107">
        <v>136.80000000000001</v>
      </c>
      <c r="P686" s="107">
        <v>138.69999999999999</v>
      </c>
      <c r="Q686" s="107">
        <v>138</v>
      </c>
      <c r="R686">
        <v>2588716</v>
      </c>
    </row>
    <row r="687" spans="1:18" x14ac:dyDescent="0.25">
      <c r="A687" s="130">
        <v>43013</v>
      </c>
      <c r="B687" s="107">
        <v>140.9</v>
      </c>
      <c r="C687" s="107">
        <v>139.44999999999999</v>
      </c>
      <c r="D687" s="107">
        <v>137.6</v>
      </c>
      <c r="E687" s="107">
        <v>139</v>
      </c>
      <c r="F687" s="107">
        <v>139.44999999999999</v>
      </c>
      <c r="G687">
        <v>299830</v>
      </c>
      <c r="H687" s="107"/>
      <c r="I687" s="107"/>
      <c r="L687" s="130">
        <v>43013</v>
      </c>
      <c r="M687" s="107">
        <v>139.44999999999999</v>
      </c>
      <c r="N687" s="107">
        <v>141.1</v>
      </c>
      <c r="O687" s="107">
        <v>137.5</v>
      </c>
      <c r="P687" s="107">
        <v>138.4</v>
      </c>
      <c r="Q687" s="107">
        <v>139.44999999999999</v>
      </c>
      <c r="R687">
        <v>2506638</v>
      </c>
    </row>
    <row r="688" spans="1:18" x14ac:dyDescent="0.25">
      <c r="A688" s="130">
        <v>43014</v>
      </c>
      <c r="B688" s="107">
        <v>142.30000000000001</v>
      </c>
      <c r="C688" s="107">
        <v>141.4</v>
      </c>
      <c r="D688" s="107">
        <v>139.44999999999999</v>
      </c>
      <c r="E688" s="107">
        <v>139.44999999999999</v>
      </c>
      <c r="F688" s="107">
        <v>141.4</v>
      </c>
      <c r="G688">
        <v>207052</v>
      </c>
      <c r="H688" s="107"/>
      <c r="I688" s="107"/>
      <c r="L688" s="130">
        <v>43014</v>
      </c>
      <c r="M688" s="107">
        <v>141.65</v>
      </c>
      <c r="N688" s="107">
        <v>142.25</v>
      </c>
      <c r="O688" s="107">
        <v>140</v>
      </c>
      <c r="P688" s="107">
        <v>140.4</v>
      </c>
      <c r="Q688" s="107">
        <v>141.65</v>
      </c>
      <c r="R688">
        <v>1845582</v>
      </c>
    </row>
    <row r="689" spans="1:18" x14ac:dyDescent="0.25">
      <c r="A689" s="130">
        <v>43017</v>
      </c>
      <c r="B689" s="107">
        <v>141.9</v>
      </c>
      <c r="C689" s="107">
        <v>139.25</v>
      </c>
      <c r="D689" s="107">
        <v>138.5</v>
      </c>
      <c r="E689" s="107">
        <v>141.9</v>
      </c>
      <c r="F689" s="107">
        <v>139.25</v>
      </c>
      <c r="G689">
        <v>188352</v>
      </c>
      <c r="H689" s="107"/>
      <c r="I689" s="107"/>
      <c r="L689" s="130">
        <v>43017</v>
      </c>
      <c r="M689" s="107">
        <v>139.25</v>
      </c>
      <c r="N689" s="107">
        <v>141.4</v>
      </c>
      <c r="O689" s="107">
        <v>138.30000000000001</v>
      </c>
      <c r="P689" s="107">
        <v>141.4</v>
      </c>
      <c r="Q689" s="107">
        <v>139.25</v>
      </c>
      <c r="R689">
        <v>2274636</v>
      </c>
    </row>
    <row r="690" spans="1:18" x14ac:dyDescent="0.25">
      <c r="A690" s="130">
        <v>43018</v>
      </c>
      <c r="B690" s="107">
        <v>140.75</v>
      </c>
      <c r="C690" s="107">
        <v>139.5</v>
      </c>
      <c r="D690" s="107">
        <v>138</v>
      </c>
      <c r="E690" s="107">
        <v>139.30000000000001</v>
      </c>
      <c r="F690" s="107">
        <v>139.5</v>
      </c>
      <c r="G690">
        <v>91650</v>
      </c>
      <c r="H690" s="107"/>
      <c r="I690" s="107"/>
      <c r="L690" s="130">
        <v>43018</v>
      </c>
      <c r="M690" s="107">
        <v>139.6</v>
      </c>
      <c r="N690" s="107">
        <v>140.9</v>
      </c>
      <c r="O690" s="107">
        <v>139.25</v>
      </c>
      <c r="P690" s="107">
        <v>140</v>
      </c>
      <c r="Q690" s="107">
        <v>139.6</v>
      </c>
      <c r="R690">
        <v>1216887</v>
      </c>
    </row>
    <row r="691" spans="1:18" x14ac:dyDescent="0.25">
      <c r="A691" s="130">
        <v>43019</v>
      </c>
      <c r="B691" s="107">
        <v>141</v>
      </c>
      <c r="C691" s="107">
        <v>134.94999999999999</v>
      </c>
      <c r="D691" s="107">
        <v>133.85</v>
      </c>
      <c r="E691" s="107">
        <v>139.30000000000001</v>
      </c>
      <c r="F691" s="107">
        <v>134.94999999999999</v>
      </c>
      <c r="G691">
        <v>222517</v>
      </c>
      <c r="H691" s="107"/>
      <c r="I691" s="107"/>
      <c r="L691" s="130">
        <v>43019</v>
      </c>
      <c r="M691" s="107">
        <v>134.94999999999999</v>
      </c>
      <c r="N691" s="107">
        <v>141</v>
      </c>
      <c r="O691" s="107">
        <v>134</v>
      </c>
      <c r="P691" s="107">
        <v>139.65</v>
      </c>
      <c r="Q691" s="107">
        <v>134.94999999999999</v>
      </c>
      <c r="R691">
        <v>2407771</v>
      </c>
    </row>
    <row r="692" spans="1:18" x14ac:dyDescent="0.25">
      <c r="A692" s="130">
        <v>43020</v>
      </c>
      <c r="B692" s="107">
        <v>135.19999999999999</v>
      </c>
      <c r="C692" s="107">
        <v>132.85</v>
      </c>
      <c r="D692" s="107">
        <v>131.5</v>
      </c>
      <c r="E692" s="107">
        <v>135.19999999999999</v>
      </c>
      <c r="F692" s="107">
        <v>132.85</v>
      </c>
      <c r="G692">
        <v>335806</v>
      </c>
      <c r="H692" s="107"/>
      <c r="I692" s="107"/>
      <c r="L692" s="130">
        <v>43020</v>
      </c>
      <c r="M692" s="107">
        <v>132.4</v>
      </c>
      <c r="N692" s="107">
        <v>135.19999999999999</v>
      </c>
      <c r="O692" s="107">
        <v>131</v>
      </c>
      <c r="P692" s="107">
        <v>133.65</v>
      </c>
      <c r="Q692" s="107">
        <v>132.4</v>
      </c>
      <c r="R692">
        <v>6286860</v>
      </c>
    </row>
    <row r="693" spans="1:18" x14ac:dyDescent="0.25">
      <c r="A693" s="130">
        <v>43021</v>
      </c>
      <c r="B693" s="107">
        <v>137</v>
      </c>
      <c r="C693" s="107">
        <v>135.94999999999999</v>
      </c>
      <c r="D693" s="107">
        <v>129.05000000000001</v>
      </c>
      <c r="E693" s="107">
        <v>133</v>
      </c>
      <c r="F693" s="107">
        <v>135.94999999999999</v>
      </c>
      <c r="G693">
        <v>265903</v>
      </c>
      <c r="H693" s="107"/>
      <c r="I693" s="107"/>
      <c r="L693" s="130">
        <v>43021</v>
      </c>
      <c r="M693" s="107">
        <v>136</v>
      </c>
      <c r="N693" s="107">
        <v>136.65</v>
      </c>
      <c r="O693" s="107">
        <v>131.80000000000001</v>
      </c>
      <c r="P693" s="107">
        <v>132.69999999999999</v>
      </c>
      <c r="Q693" s="107">
        <v>136</v>
      </c>
      <c r="R693">
        <v>3990417</v>
      </c>
    </row>
    <row r="694" spans="1:18" x14ac:dyDescent="0.25">
      <c r="A694" s="130">
        <v>43024</v>
      </c>
      <c r="B694" s="107">
        <v>140</v>
      </c>
      <c r="C694" s="107">
        <v>137.15</v>
      </c>
      <c r="D694" s="107">
        <v>136.1</v>
      </c>
      <c r="E694" s="107">
        <v>136.1</v>
      </c>
      <c r="F694" s="107">
        <v>137.15</v>
      </c>
      <c r="G694">
        <v>316691</v>
      </c>
      <c r="H694" s="107"/>
      <c r="I694" s="107"/>
      <c r="L694" s="130">
        <v>43024</v>
      </c>
      <c r="M694" s="107">
        <v>137.25</v>
      </c>
      <c r="N694" s="107">
        <v>139.85</v>
      </c>
      <c r="O694" s="107">
        <v>136.30000000000001</v>
      </c>
      <c r="P694" s="107">
        <v>137</v>
      </c>
      <c r="Q694" s="107">
        <v>137.25</v>
      </c>
      <c r="R694">
        <v>3376696</v>
      </c>
    </row>
    <row r="695" spans="1:18" x14ac:dyDescent="0.25">
      <c r="A695" s="130">
        <v>43025</v>
      </c>
      <c r="B695" s="107">
        <v>139.35</v>
      </c>
      <c r="C695" s="107">
        <v>137.69999999999999</v>
      </c>
      <c r="D695" s="107">
        <v>137.05000000000001</v>
      </c>
      <c r="E695" s="107">
        <v>137.30000000000001</v>
      </c>
      <c r="F695" s="107">
        <v>137.69999999999999</v>
      </c>
      <c r="G695">
        <v>186162</v>
      </c>
      <c r="H695" s="107"/>
      <c r="I695" s="107"/>
      <c r="L695" s="130">
        <v>43025</v>
      </c>
      <c r="M695" s="107">
        <v>137.6</v>
      </c>
      <c r="N695" s="107">
        <v>139.4</v>
      </c>
      <c r="O695" s="107">
        <v>136.80000000000001</v>
      </c>
      <c r="P695" s="107">
        <v>137.30000000000001</v>
      </c>
      <c r="Q695" s="107">
        <v>137.6</v>
      </c>
      <c r="R695">
        <v>2043742</v>
      </c>
    </row>
    <row r="696" spans="1:18" x14ac:dyDescent="0.25">
      <c r="A696" s="130">
        <v>43026</v>
      </c>
      <c r="B696" s="107">
        <v>138.80000000000001</v>
      </c>
      <c r="C696" s="107">
        <v>136.44999999999999</v>
      </c>
      <c r="D696" s="107">
        <v>135.30000000000001</v>
      </c>
      <c r="E696" s="107">
        <v>136.9</v>
      </c>
      <c r="F696" s="107">
        <v>136.44999999999999</v>
      </c>
      <c r="G696">
        <v>146271</v>
      </c>
      <c r="H696" s="107"/>
      <c r="I696" s="107"/>
      <c r="L696" s="130">
        <v>43026</v>
      </c>
      <c r="M696" s="107">
        <v>136.65</v>
      </c>
      <c r="N696" s="107">
        <v>138.80000000000001</v>
      </c>
      <c r="O696" s="107">
        <v>135.5</v>
      </c>
      <c r="P696" s="107">
        <v>137</v>
      </c>
      <c r="Q696" s="107">
        <v>136.65</v>
      </c>
      <c r="R696">
        <v>1950660</v>
      </c>
    </row>
    <row r="697" spans="1:18" x14ac:dyDescent="0.25">
      <c r="A697" s="130">
        <v>43027</v>
      </c>
      <c r="B697" s="107">
        <v>137</v>
      </c>
      <c r="C697" s="107">
        <v>134.5</v>
      </c>
      <c r="D697" s="107">
        <v>133.5</v>
      </c>
      <c r="E697" s="107">
        <v>137</v>
      </c>
      <c r="F697" s="107">
        <v>134.5</v>
      </c>
      <c r="G697">
        <v>28002</v>
      </c>
      <c r="H697" s="107"/>
      <c r="I697" s="107"/>
      <c r="L697" s="130">
        <v>43027</v>
      </c>
      <c r="M697" s="107">
        <v>134.75</v>
      </c>
      <c r="N697" s="107">
        <v>137.05000000000001</v>
      </c>
      <c r="O697" s="107">
        <v>133.44999999999999</v>
      </c>
      <c r="P697" s="107">
        <v>137</v>
      </c>
      <c r="Q697" s="107">
        <v>134.75</v>
      </c>
      <c r="R697">
        <v>440739</v>
      </c>
    </row>
    <row r="698" spans="1:18" x14ac:dyDescent="0.25">
      <c r="A698" s="130">
        <v>43031</v>
      </c>
      <c r="B698" s="107">
        <v>135.65</v>
      </c>
      <c r="C698" s="107">
        <v>135</v>
      </c>
      <c r="D698" s="107">
        <v>134</v>
      </c>
      <c r="E698" s="107">
        <v>134</v>
      </c>
      <c r="F698" s="107">
        <v>135</v>
      </c>
      <c r="G698">
        <v>95006</v>
      </c>
      <c r="H698" s="107"/>
      <c r="I698" s="107"/>
      <c r="L698" s="130">
        <v>43031</v>
      </c>
      <c r="M698" s="107">
        <v>134.9</v>
      </c>
      <c r="N698" s="107">
        <v>135.75</v>
      </c>
      <c r="O698" s="107">
        <v>133.94999999999999</v>
      </c>
      <c r="P698" s="107">
        <v>134.69999999999999</v>
      </c>
      <c r="Q698" s="107">
        <v>134.9</v>
      </c>
      <c r="R698">
        <v>1988373</v>
      </c>
    </row>
    <row r="699" spans="1:18" x14ac:dyDescent="0.25">
      <c r="A699" s="130">
        <v>43032</v>
      </c>
      <c r="B699" s="107">
        <v>142.30000000000001</v>
      </c>
      <c r="C699" s="107">
        <v>140.44999999999999</v>
      </c>
      <c r="D699" s="107">
        <v>135</v>
      </c>
      <c r="E699" s="107">
        <v>135</v>
      </c>
      <c r="F699" s="107">
        <v>140.44999999999999</v>
      </c>
      <c r="G699">
        <v>427492</v>
      </c>
      <c r="H699" s="107"/>
      <c r="I699" s="107"/>
      <c r="L699" s="130">
        <v>43032</v>
      </c>
      <c r="M699" s="107">
        <v>140.55000000000001</v>
      </c>
      <c r="N699" s="107">
        <v>142.4</v>
      </c>
      <c r="O699" s="107">
        <v>135.1</v>
      </c>
      <c r="P699" s="107">
        <v>135.4</v>
      </c>
      <c r="Q699" s="107">
        <v>140.55000000000001</v>
      </c>
      <c r="R699">
        <v>3542957</v>
      </c>
    </row>
    <row r="700" spans="1:18" x14ac:dyDescent="0.25">
      <c r="A700" s="130">
        <v>43033</v>
      </c>
      <c r="B700" s="107">
        <v>189.6</v>
      </c>
      <c r="C700" s="107">
        <v>188.15</v>
      </c>
      <c r="D700" s="107">
        <v>154.44999999999999</v>
      </c>
      <c r="E700" s="107">
        <v>154.44999999999999</v>
      </c>
      <c r="F700" s="107">
        <v>188.15</v>
      </c>
      <c r="G700">
        <v>3687347</v>
      </c>
      <c r="H700" s="107"/>
      <c r="I700" s="107"/>
      <c r="L700" s="130">
        <v>43033</v>
      </c>
      <c r="M700" s="107">
        <v>188.5</v>
      </c>
      <c r="N700" s="107">
        <v>189.75</v>
      </c>
      <c r="O700" s="107">
        <v>154.6</v>
      </c>
      <c r="P700" s="107">
        <v>154.6</v>
      </c>
      <c r="Q700" s="107">
        <v>188.5</v>
      </c>
      <c r="R700">
        <v>27437445</v>
      </c>
    </row>
    <row r="701" spans="1:18" x14ac:dyDescent="0.25">
      <c r="A701" s="130">
        <v>43034</v>
      </c>
      <c r="B701" s="107">
        <v>201</v>
      </c>
      <c r="C701" s="107">
        <v>193.4</v>
      </c>
      <c r="D701" s="107">
        <v>182.85</v>
      </c>
      <c r="E701" s="107">
        <v>191</v>
      </c>
      <c r="F701" s="107">
        <v>193.4</v>
      </c>
      <c r="G701">
        <v>2000191</v>
      </c>
      <c r="H701" s="107"/>
      <c r="I701" s="107"/>
      <c r="L701" s="130">
        <v>43034</v>
      </c>
      <c r="M701" s="107">
        <v>192.95</v>
      </c>
      <c r="N701" s="107">
        <v>200.8</v>
      </c>
      <c r="O701" s="107">
        <v>182.55</v>
      </c>
      <c r="P701" s="107">
        <v>191</v>
      </c>
      <c r="Q701" s="107">
        <v>192.95</v>
      </c>
      <c r="R701">
        <v>18982931</v>
      </c>
    </row>
    <row r="702" spans="1:18" x14ac:dyDescent="0.25">
      <c r="A702" s="130">
        <v>43035</v>
      </c>
      <c r="B702" s="107">
        <v>191.4</v>
      </c>
      <c r="C702" s="107">
        <v>180.25</v>
      </c>
      <c r="D702" s="107">
        <v>179.3</v>
      </c>
      <c r="E702" s="107">
        <v>191</v>
      </c>
      <c r="F702" s="107">
        <v>180.25</v>
      </c>
      <c r="G702">
        <v>814140</v>
      </c>
      <c r="H702" s="107"/>
      <c r="I702" s="107"/>
      <c r="L702" s="130">
        <v>43035</v>
      </c>
      <c r="M702" s="107">
        <v>181.05</v>
      </c>
      <c r="N702" s="107">
        <v>191.75</v>
      </c>
      <c r="O702" s="107">
        <v>179.8</v>
      </c>
      <c r="P702" s="107">
        <v>190.95</v>
      </c>
      <c r="Q702" s="107">
        <v>181.05</v>
      </c>
      <c r="R702">
        <v>7784616</v>
      </c>
    </row>
    <row r="703" spans="1:18" x14ac:dyDescent="0.25">
      <c r="A703" s="130">
        <v>43038</v>
      </c>
      <c r="B703" s="107">
        <v>190</v>
      </c>
      <c r="C703" s="107">
        <v>184.35</v>
      </c>
      <c r="D703" s="107">
        <v>179.5</v>
      </c>
      <c r="E703" s="107">
        <v>180.25</v>
      </c>
      <c r="F703" s="107">
        <v>184.35</v>
      </c>
      <c r="G703">
        <v>678064</v>
      </c>
      <c r="H703" s="107"/>
      <c r="I703" s="107"/>
      <c r="L703" s="130">
        <v>43038</v>
      </c>
      <c r="M703" s="107">
        <v>185.35</v>
      </c>
      <c r="N703" s="107">
        <v>190.25</v>
      </c>
      <c r="O703" s="107">
        <v>179.85</v>
      </c>
      <c r="P703" s="107">
        <v>181.05</v>
      </c>
      <c r="Q703" s="107">
        <v>185.35</v>
      </c>
      <c r="R703">
        <v>6302824</v>
      </c>
    </row>
    <row r="704" spans="1:18" x14ac:dyDescent="0.25">
      <c r="A704" s="130">
        <v>43039</v>
      </c>
      <c r="B704" s="107">
        <v>194.3</v>
      </c>
      <c r="C704" s="107">
        <v>190.95</v>
      </c>
      <c r="D704" s="107">
        <v>183.65</v>
      </c>
      <c r="E704" s="107">
        <v>185.4</v>
      </c>
      <c r="F704" s="107">
        <v>190.95</v>
      </c>
      <c r="G704">
        <v>1106049</v>
      </c>
      <c r="H704" s="107"/>
      <c r="I704" s="107"/>
      <c r="L704" s="130">
        <v>43039</v>
      </c>
      <c r="M704" s="107">
        <v>191.1</v>
      </c>
      <c r="N704" s="107">
        <v>194.4</v>
      </c>
      <c r="O704" s="107">
        <v>183.5</v>
      </c>
      <c r="P704" s="107">
        <v>185.4</v>
      </c>
      <c r="Q704" s="107">
        <v>191.1</v>
      </c>
      <c r="R704">
        <v>8658672</v>
      </c>
    </row>
    <row r="705" spans="1:18" x14ac:dyDescent="0.25">
      <c r="A705" s="130">
        <v>43040</v>
      </c>
      <c r="B705" s="107">
        <v>197.7</v>
      </c>
      <c r="C705" s="107">
        <v>193.85</v>
      </c>
      <c r="D705" s="107">
        <v>192</v>
      </c>
      <c r="E705" s="107">
        <v>195</v>
      </c>
      <c r="F705" s="107">
        <v>193.85</v>
      </c>
      <c r="G705">
        <v>562211</v>
      </c>
      <c r="H705" s="107"/>
      <c r="I705" s="107"/>
      <c r="L705" s="130">
        <v>43040</v>
      </c>
      <c r="M705" s="107">
        <v>194.15</v>
      </c>
      <c r="N705" s="107">
        <v>197.9</v>
      </c>
      <c r="O705" s="107">
        <v>192.15</v>
      </c>
      <c r="P705" s="107">
        <v>194.7</v>
      </c>
      <c r="Q705" s="107">
        <v>194.15</v>
      </c>
      <c r="R705">
        <v>5543303</v>
      </c>
    </row>
    <row r="706" spans="1:18" x14ac:dyDescent="0.25">
      <c r="A706" s="130">
        <v>43041</v>
      </c>
      <c r="B706" s="107">
        <v>197.5</v>
      </c>
      <c r="C706" s="107">
        <v>193.6</v>
      </c>
      <c r="D706" s="107">
        <v>191.95</v>
      </c>
      <c r="E706" s="107">
        <v>194.5</v>
      </c>
      <c r="F706" s="107">
        <v>193.6</v>
      </c>
      <c r="G706">
        <v>379620</v>
      </c>
      <c r="H706" s="107"/>
      <c r="I706" s="107"/>
      <c r="L706" s="130">
        <v>43041</v>
      </c>
      <c r="M706" s="107">
        <v>194.25</v>
      </c>
      <c r="N706" s="107">
        <v>197.5</v>
      </c>
      <c r="O706" s="107">
        <v>192.2</v>
      </c>
      <c r="P706" s="107">
        <v>195.45</v>
      </c>
      <c r="Q706" s="107">
        <v>194.25</v>
      </c>
      <c r="R706">
        <v>3913625</v>
      </c>
    </row>
    <row r="707" spans="1:18" x14ac:dyDescent="0.25">
      <c r="A707" s="130">
        <v>43042</v>
      </c>
      <c r="B707" s="107">
        <v>204</v>
      </c>
      <c r="C707" s="107">
        <v>201.65</v>
      </c>
      <c r="D707" s="107">
        <v>192.75</v>
      </c>
      <c r="E707" s="107">
        <v>197</v>
      </c>
      <c r="F707" s="107">
        <v>201.65</v>
      </c>
      <c r="G707">
        <v>760168</v>
      </c>
      <c r="H707" s="107"/>
      <c r="I707" s="107"/>
      <c r="L707" s="130">
        <v>43042</v>
      </c>
      <c r="M707" s="107">
        <v>201.1</v>
      </c>
      <c r="N707" s="107">
        <v>203.4</v>
      </c>
      <c r="O707" s="107">
        <v>192.9</v>
      </c>
      <c r="P707" s="107">
        <v>196.15</v>
      </c>
      <c r="Q707" s="107">
        <v>201.1</v>
      </c>
      <c r="R707">
        <v>6884941</v>
      </c>
    </row>
    <row r="708" spans="1:18" x14ac:dyDescent="0.25">
      <c r="A708" s="130">
        <v>43045</v>
      </c>
      <c r="B708" s="107">
        <v>207.9</v>
      </c>
      <c r="C708" s="107">
        <v>205.55</v>
      </c>
      <c r="D708" s="107">
        <v>199.6</v>
      </c>
      <c r="E708" s="107">
        <v>200</v>
      </c>
      <c r="F708" s="107">
        <v>205.55</v>
      </c>
      <c r="G708">
        <v>739410</v>
      </c>
      <c r="H708" s="107"/>
      <c r="I708" s="107"/>
      <c r="L708" s="130">
        <v>43045</v>
      </c>
      <c r="M708" s="107">
        <v>205.65</v>
      </c>
      <c r="N708" s="107">
        <v>207.95</v>
      </c>
      <c r="O708" s="107">
        <v>199.55</v>
      </c>
      <c r="P708" s="107">
        <v>200.7</v>
      </c>
      <c r="Q708" s="107">
        <v>205.65</v>
      </c>
      <c r="R708">
        <v>5879474</v>
      </c>
    </row>
    <row r="709" spans="1:18" x14ac:dyDescent="0.25">
      <c r="A709" s="130">
        <v>43046</v>
      </c>
      <c r="B709" s="107">
        <v>207.2</v>
      </c>
      <c r="C709" s="107">
        <v>195.15</v>
      </c>
      <c r="D709" s="107">
        <v>193.5</v>
      </c>
      <c r="E709" s="107">
        <v>206.9</v>
      </c>
      <c r="F709" s="107">
        <v>195.15</v>
      </c>
      <c r="G709">
        <v>571757</v>
      </c>
      <c r="H709" s="107"/>
      <c r="I709" s="107"/>
      <c r="L709" s="130">
        <v>43046</v>
      </c>
      <c r="M709" s="107">
        <v>195.15</v>
      </c>
      <c r="N709" s="107">
        <v>206.25</v>
      </c>
      <c r="O709" s="107">
        <v>193.35</v>
      </c>
      <c r="P709" s="107">
        <v>205.65</v>
      </c>
      <c r="Q709" s="107">
        <v>195.15</v>
      </c>
      <c r="R709">
        <v>4693222</v>
      </c>
    </row>
    <row r="710" spans="1:18" x14ac:dyDescent="0.25">
      <c r="A710" s="130">
        <v>43047</v>
      </c>
      <c r="B710" s="107">
        <v>199.8</v>
      </c>
      <c r="C710" s="107">
        <v>194.3</v>
      </c>
      <c r="D710" s="107">
        <v>191.8</v>
      </c>
      <c r="E710" s="107">
        <v>197.9</v>
      </c>
      <c r="F710" s="107">
        <v>194.3</v>
      </c>
      <c r="G710">
        <v>665733</v>
      </c>
      <c r="H710" s="107"/>
      <c r="I710" s="107"/>
      <c r="L710" s="130">
        <v>43047</v>
      </c>
      <c r="M710" s="107">
        <v>193.9</v>
      </c>
      <c r="N710" s="107">
        <v>199.9</v>
      </c>
      <c r="O710" s="107">
        <v>191.7</v>
      </c>
      <c r="P710" s="107">
        <v>195.55</v>
      </c>
      <c r="Q710" s="107">
        <v>193.9</v>
      </c>
      <c r="R710">
        <v>4985671</v>
      </c>
    </row>
    <row r="711" spans="1:18" x14ac:dyDescent="0.25">
      <c r="A711" s="130">
        <v>43048</v>
      </c>
      <c r="B711" s="107">
        <v>201.25</v>
      </c>
      <c r="C711" s="107">
        <v>200.05</v>
      </c>
      <c r="D711" s="107">
        <v>195.4</v>
      </c>
      <c r="E711" s="107">
        <v>196</v>
      </c>
      <c r="F711" s="107">
        <v>200.05</v>
      </c>
      <c r="G711">
        <v>740120</v>
      </c>
      <c r="H711" s="107"/>
      <c r="I711" s="107"/>
      <c r="L711" s="130">
        <v>43048</v>
      </c>
      <c r="M711" s="107">
        <v>200.05</v>
      </c>
      <c r="N711" s="107">
        <v>201.5</v>
      </c>
      <c r="O711" s="107">
        <v>195.3</v>
      </c>
      <c r="P711" s="107">
        <v>196.7</v>
      </c>
      <c r="Q711" s="107">
        <v>200.05</v>
      </c>
      <c r="R711">
        <v>7350347</v>
      </c>
    </row>
    <row r="712" spans="1:18" x14ac:dyDescent="0.25">
      <c r="A712" s="130">
        <v>43049</v>
      </c>
      <c r="B712" s="107">
        <v>209.4</v>
      </c>
      <c r="C712" s="107">
        <v>196.25</v>
      </c>
      <c r="D712" s="107">
        <v>191.85</v>
      </c>
      <c r="E712" s="107">
        <v>199.9</v>
      </c>
      <c r="F712" s="107">
        <v>196.25</v>
      </c>
      <c r="G712">
        <v>2603285</v>
      </c>
      <c r="H712" s="107"/>
      <c r="I712" s="107"/>
      <c r="L712" s="130">
        <v>43049</v>
      </c>
      <c r="M712" s="107">
        <v>196.35</v>
      </c>
      <c r="N712" s="107">
        <v>209.7</v>
      </c>
      <c r="O712" s="107">
        <v>192.25</v>
      </c>
      <c r="P712" s="107">
        <v>201.65</v>
      </c>
      <c r="Q712" s="107">
        <v>196.35</v>
      </c>
      <c r="R712">
        <v>20073514</v>
      </c>
    </row>
    <row r="713" spans="1:18" x14ac:dyDescent="0.25">
      <c r="A713" s="130">
        <v>43052</v>
      </c>
      <c r="B713" s="107">
        <v>202.6</v>
      </c>
      <c r="C713" s="107">
        <v>198.95</v>
      </c>
      <c r="D713" s="107">
        <v>196.2</v>
      </c>
      <c r="E713" s="107">
        <v>200</v>
      </c>
      <c r="F713" s="107">
        <v>198.95</v>
      </c>
      <c r="G713">
        <v>720903</v>
      </c>
      <c r="H713" s="107"/>
      <c r="I713" s="107"/>
      <c r="L713" s="130">
        <v>43052</v>
      </c>
      <c r="M713" s="107">
        <v>199</v>
      </c>
      <c r="N713" s="107">
        <v>202.5</v>
      </c>
      <c r="O713" s="107">
        <v>196</v>
      </c>
      <c r="P713" s="107">
        <v>198.9</v>
      </c>
      <c r="Q713" s="107">
        <v>199</v>
      </c>
      <c r="R713">
        <v>5583258</v>
      </c>
    </row>
    <row r="714" spans="1:18" x14ac:dyDescent="0.25">
      <c r="A714" s="130">
        <v>43053</v>
      </c>
      <c r="B714" s="107">
        <v>200.55</v>
      </c>
      <c r="C714" s="107">
        <v>195.8</v>
      </c>
      <c r="D714" s="107">
        <v>194.95</v>
      </c>
      <c r="E714" s="107">
        <v>199</v>
      </c>
      <c r="F714" s="107">
        <v>195.8</v>
      </c>
      <c r="G714">
        <v>324302</v>
      </c>
      <c r="H714" s="107"/>
      <c r="I714" s="107"/>
      <c r="L714" s="130">
        <v>43053</v>
      </c>
      <c r="M714" s="107">
        <v>195.6</v>
      </c>
      <c r="N714" s="107">
        <v>200.3</v>
      </c>
      <c r="O714" s="107">
        <v>194.5</v>
      </c>
      <c r="P714" s="107">
        <v>199.35</v>
      </c>
      <c r="Q714" s="107">
        <v>195.6</v>
      </c>
      <c r="R714">
        <v>3791109</v>
      </c>
    </row>
    <row r="715" spans="1:18" x14ac:dyDescent="0.25">
      <c r="A715" s="130">
        <v>43054</v>
      </c>
      <c r="B715" s="107">
        <v>200.1</v>
      </c>
      <c r="C715" s="107">
        <v>197.5</v>
      </c>
      <c r="D715" s="107">
        <v>193.05</v>
      </c>
      <c r="E715" s="107">
        <v>196</v>
      </c>
      <c r="F715" s="107">
        <v>197.5</v>
      </c>
      <c r="G715">
        <v>453741</v>
      </c>
      <c r="H715" s="107"/>
      <c r="I715" s="107"/>
      <c r="L715" s="130">
        <v>43054</v>
      </c>
      <c r="M715" s="107">
        <v>197.4</v>
      </c>
      <c r="N715" s="107">
        <v>200.3</v>
      </c>
      <c r="O715" s="107">
        <v>192.9</v>
      </c>
      <c r="P715" s="107">
        <v>193.5</v>
      </c>
      <c r="Q715" s="107">
        <v>197.4</v>
      </c>
      <c r="R715">
        <v>4669222</v>
      </c>
    </row>
    <row r="716" spans="1:18" x14ac:dyDescent="0.25">
      <c r="A716" s="130">
        <v>43055</v>
      </c>
      <c r="B716" s="107">
        <v>209.8</v>
      </c>
      <c r="C716" s="107">
        <v>207.55</v>
      </c>
      <c r="D716" s="107">
        <v>198.1</v>
      </c>
      <c r="E716" s="107">
        <v>199.45</v>
      </c>
      <c r="F716" s="107">
        <v>207.55</v>
      </c>
      <c r="G716">
        <v>709011</v>
      </c>
      <c r="H716" s="107"/>
      <c r="I716" s="107"/>
      <c r="L716" s="130">
        <v>43055</v>
      </c>
      <c r="M716" s="107">
        <v>207.5</v>
      </c>
      <c r="N716" s="107">
        <v>209.7</v>
      </c>
      <c r="O716" s="107">
        <v>198.4</v>
      </c>
      <c r="P716" s="107">
        <v>199.25</v>
      </c>
      <c r="Q716" s="107">
        <v>207.5</v>
      </c>
      <c r="R716">
        <v>6755846</v>
      </c>
    </row>
    <row r="717" spans="1:18" x14ac:dyDescent="0.25">
      <c r="A717" s="130">
        <v>43056</v>
      </c>
      <c r="B717" s="107">
        <v>216.7</v>
      </c>
      <c r="C717" s="107">
        <v>207.95</v>
      </c>
      <c r="D717" s="107">
        <v>207</v>
      </c>
      <c r="E717" s="107">
        <v>211.1</v>
      </c>
      <c r="F717" s="107">
        <v>207.95</v>
      </c>
      <c r="G717">
        <v>610526</v>
      </c>
      <c r="H717" s="107"/>
      <c r="I717" s="107"/>
      <c r="L717" s="130">
        <v>43056</v>
      </c>
      <c r="M717" s="107">
        <v>207.85</v>
      </c>
      <c r="N717" s="107">
        <v>216.8</v>
      </c>
      <c r="O717" s="107">
        <v>206.7</v>
      </c>
      <c r="P717" s="107">
        <v>213</v>
      </c>
      <c r="Q717" s="107">
        <v>207.85</v>
      </c>
      <c r="R717">
        <v>6501124</v>
      </c>
    </row>
    <row r="718" spans="1:18" x14ac:dyDescent="0.25">
      <c r="A718" s="130">
        <v>43059</v>
      </c>
      <c r="B718" s="107">
        <v>208.5</v>
      </c>
      <c r="C718" s="107">
        <v>205.2</v>
      </c>
      <c r="D718" s="107">
        <v>203.85</v>
      </c>
      <c r="E718" s="107">
        <v>207</v>
      </c>
      <c r="F718" s="107">
        <v>205.2</v>
      </c>
      <c r="G718">
        <v>209670</v>
      </c>
      <c r="H718" s="107"/>
      <c r="I718" s="107"/>
      <c r="L718" s="130">
        <v>43059</v>
      </c>
      <c r="M718" s="107">
        <v>205.3</v>
      </c>
      <c r="N718" s="107">
        <v>207.45</v>
      </c>
      <c r="O718" s="107">
        <v>203.7</v>
      </c>
      <c r="P718" s="107">
        <v>205.5</v>
      </c>
      <c r="Q718" s="107">
        <v>205.3</v>
      </c>
      <c r="R718">
        <v>3913462</v>
      </c>
    </row>
    <row r="719" spans="1:18" x14ac:dyDescent="0.25">
      <c r="A719" s="130">
        <v>43060</v>
      </c>
      <c r="B719" s="107">
        <v>206.9</v>
      </c>
      <c r="C719" s="107">
        <v>201.7</v>
      </c>
      <c r="D719" s="107">
        <v>200.45</v>
      </c>
      <c r="E719" s="107">
        <v>206</v>
      </c>
      <c r="F719" s="107">
        <v>201.7</v>
      </c>
      <c r="G719">
        <v>311754</v>
      </c>
      <c r="H719" s="107"/>
      <c r="I719" s="107"/>
      <c r="L719" s="130">
        <v>43060</v>
      </c>
      <c r="M719" s="107">
        <v>201.5</v>
      </c>
      <c r="N719" s="107">
        <v>206.9</v>
      </c>
      <c r="O719" s="107">
        <v>200.4</v>
      </c>
      <c r="P719" s="107">
        <v>205.75</v>
      </c>
      <c r="Q719" s="107">
        <v>201.5</v>
      </c>
      <c r="R719">
        <v>2957999</v>
      </c>
    </row>
    <row r="720" spans="1:18" x14ac:dyDescent="0.25">
      <c r="A720" s="130">
        <v>43061</v>
      </c>
      <c r="B720" s="107">
        <v>205.5</v>
      </c>
      <c r="C720" s="107">
        <v>202.6</v>
      </c>
      <c r="D720" s="107">
        <v>198.4</v>
      </c>
      <c r="E720" s="107">
        <v>202.25</v>
      </c>
      <c r="F720" s="107">
        <v>202.6</v>
      </c>
      <c r="G720">
        <v>403715</v>
      </c>
      <c r="H720" s="107"/>
      <c r="I720" s="107"/>
      <c r="L720" s="130">
        <v>43061</v>
      </c>
      <c r="M720" s="107">
        <v>202.65</v>
      </c>
      <c r="N720" s="107">
        <v>205.4</v>
      </c>
      <c r="O720" s="107">
        <v>198.3</v>
      </c>
      <c r="P720" s="107">
        <v>202.7</v>
      </c>
      <c r="Q720" s="107">
        <v>202.65</v>
      </c>
      <c r="R720">
        <v>4377593</v>
      </c>
    </row>
    <row r="721" spans="1:18" x14ac:dyDescent="0.25">
      <c r="A721" s="130">
        <v>43062</v>
      </c>
      <c r="B721" s="107">
        <v>205.45</v>
      </c>
      <c r="C721" s="107">
        <v>202.4</v>
      </c>
      <c r="D721" s="107">
        <v>200.35</v>
      </c>
      <c r="E721" s="107">
        <v>205.4</v>
      </c>
      <c r="F721" s="107">
        <v>202.4</v>
      </c>
      <c r="G721">
        <v>376163</v>
      </c>
      <c r="H721" s="107"/>
      <c r="I721" s="107"/>
      <c r="L721" s="130">
        <v>43062</v>
      </c>
      <c r="M721" s="107">
        <v>202.6</v>
      </c>
      <c r="N721" s="107">
        <v>205.5</v>
      </c>
      <c r="O721" s="107">
        <v>200.25</v>
      </c>
      <c r="P721" s="107">
        <v>204.55</v>
      </c>
      <c r="Q721" s="107">
        <v>202.6</v>
      </c>
      <c r="R721">
        <v>4596573</v>
      </c>
    </row>
    <row r="722" spans="1:18" x14ac:dyDescent="0.25">
      <c r="A722" s="130">
        <v>43063</v>
      </c>
      <c r="B722" s="107">
        <v>204.9</v>
      </c>
      <c r="C722" s="107">
        <v>200.55</v>
      </c>
      <c r="D722" s="107">
        <v>199.7</v>
      </c>
      <c r="E722" s="107">
        <v>204.45</v>
      </c>
      <c r="F722" s="107">
        <v>200.55</v>
      </c>
      <c r="G722">
        <v>241472</v>
      </c>
      <c r="H722" s="107"/>
      <c r="I722" s="107"/>
      <c r="L722" s="130">
        <v>43063</v>
      </c>
      <c r="M722" s="107">
        <v>200.4</v>
      </c>
      <c r="N722" s="107">
        <v>204.9</v>
      </c>
      <c r="O722" s="107">
        <v>199.65</v>
      </c>
      <c r="P722" s="107">
        <v>204.9</v>
      </c>
      <c r="Q722" s="107">
        <v>200.4</v>
      </c>
      <c r="R722">
        <v>3317473</v>
      </c>
    </row>
    <row r="723" spans="1:18" x14ac:dyDescent="0.25">
      <c r="A723" s="130">
        <v>43066</v>
      </c>
      <c r="B723" s="107">
        <v>201.15</v>
      </c>
      <c r="C723" s="107">
        <v>200.35</v>
      </c>
      <c r="D723" s="107">
        <v>197.85</v>
      </c>
      <c r="E723" s="107">
        <v>199.7</v>
      </c>
      <c r="F723" s="107">
        <v>200.35</v>
      </c>
      <c r="G723">
        <v>148770</v>
      </c>
      <c r="H723" s="107"/>
      <c r="I723" s="107"/>
      <c r="L723" s="130">
        <v>43066</v>
      </c>
      <c r="M723" s="107">
        <v>200.4</v>
      </c>
      <c r="N723" s="107">
        <v>201.4</v>
      </c>
      <c r="O723" s="107">
        <v>197.9</v>
      </c>
      <c r="P723" s="107">
        <v>198.9</v>
      </c>
      <c r="Q723" s="107">
        <v>200.4</v>
      </c>
      <c r="R723">
        <v>3179283</v>
      </c>
    </row>
    <row r="724" spans="1:18" x14ac:dyDescent="0.25">
      <c r="A724" s="130">
        <v>43067</v>
      </c>
      <c r="B724" s="107">
        <v>200.65</v>
      </c>
      <c r="C724" s="107">
        <v>199.2</v>
      </c>
      <c r="D724" s="107">
        <v>198</v>
      </c>
      <c r="E724" s="107">
        <v>199</v>
      </c>
      <c r="F724" s="107">
        <v>199.2</v>
      </c>
      <c r="G724">
        <v>193421</v>
      </c>
      <c r="H724" s="107"/>
      <c r="I724" s="107"/>
      <c r="L724" s="130">
        <v>43067</v>
      </c>
      <c r="M724" s="107">
        <v>199.15</v>
      </c>
      <c r="N724" s="107">
        <v>200.45</v>
      </c>
      <c r="O724" s="107">
        <v>198.15</v>
      </c>
      <c r="P724" s="107">
        <v>200.35</v>
      </c>
      <c r="Q724" s="107">
        <v>199.15</v>
      </c>
      <c r="R724">
        <v>2415726</v>
      </c>
    </row>
    <row r="725" spans="1:18" x14ac:dyDescent="0.25">
      <c r="A725" s="130">
        <v>43068</v>
      </c>
      <c r="B725" s="107">
        <v>200.9</v>
      </c>
      <c r="C725" s="107">
        <v>197.05</v>
      </c>
      <c r="D725" s="107">
        <v>196.5</v>
      </c>
      <c r="E725" s="107">
        <v>199.15</v>
      </c>
      <c r="F725" s="107">
        <v>197.05</v>
      </c>
      <c r="G725">
        <v>153899</v>
      </c>
      <c r="H725" s="107"/>
      <c r="I725" s="107"/>
      <c r="L725" s="130">
        <v>43068</v>
      </c>
      <c r="M725" s="107">
        <v>197.1</v>
      </c>
      <c r="N725" s="107">
        <v>200.65</v>
      </c>
      <c r="O725" s="107">
        <v>196.35</v>
      </c>
      <c r="P725" s="107">
        <v>199.7</v>
      </c>
      <c r="Q725" s="107">
        <v>197.1</v>
      </c>
      <c r="R725">
        <v>2166969</v>
      </c>
    </row>
    <row r="726" spans="1:18" x14ac:dyDescent="0.25">
      <c r="A726" s="130">
        <v>43069</v>
      </c>
      <c r="B726" s="107">
        <v>197.95</v>
      </c>
      <c r="C726" s="107">
        <v>196.25</v>
      </c>
      <c r="D726" s="107">
        <v>194.1</v>
      </c>
      <c r="E726" s="107">
        <v>196.95</v>
      </c>
      <c r="F726" s="107">
        <v>196.25</v>
      </c>
      <c r="G726">
        <v>152375</v>
      </c>
      <c r="H726" s="107"/>
      <c r="I726" s="107"/>
      <c r="L726" s="130">
        <v>43069</v>
      </c>
      <c r="M726" s="107">
        <v>195.65</v>
      </c>
      <c r="N726" s="107">
        <v>197.75</v>
      </c>
      <c r="O726" s="107">
        <v>194.05</v>
      </c>
      <c r="P726" s="107">
        <v>196.2</v>
      </c>
      <c r="Q726" s="107">
        <v>195.65</v>
      </c>
      <c r="R726">
        <v>2599266</v>
      </c>
    </row>
    <row r="727" spans="1:18" x14ac:dyDescent="0.25">
      <c r="A727" s="130">
        <v>43070</v>
      </c>
      <c r="B727" s="107">
        <v>198.05</v>
      </c>
      <c r="C727" s="107">
        <v>187.3</v>
      </c>
      <c r="D727" s="107">
        <v>186.4</v>
      </c>
      <c r="E727" s="107">
        <v>195.3</v>
      </c>
      <c r="F727" s="107">
        <v>187.3</v>
      </c>
      <c r="G727">
        <v>283560</v>
      </c>
      <c r="H727" s="107"/>
      <c r="I727" s="107"/>
      <c r="L727" s="130">
        <v>43070</v>
      </c>
      <c r="M727" s="107">
        <v>187.35</v>
      </c>
      <c r="N727" s="107">
        <v>198</v>
      </c>
      <c r="O727" s="107">
        <v>186</v>
      </c>
      <c r="P727" s="107">
        <v>196</v>
      </c>
      <c r="Q727" s="107">
        <v>187.35</v>
      </c>
      <c r="R727">
        <v>3716807</v>
      </c>
    </row>
    <row r="728" spans="1:18" x14ac:dyDescent="0.25">
      <c r="A728" s="130">
        <v>43073</v>
      </c>
      <c r="B728" s="107">
        <v>189.25</v>
      </c>
      <c r="C728" s="107">
        <v>185.3</v>
      </c>
      <c r="D728" s="107">
        <v>183.7</v>
      </c>
      <c r="E728" s="107">
        <v>186.2</v>
      </c>
      <c r="F728" s="107">
        <v>185.3</v>
      </c>
      <c r="G728">
        <v>207573</v>
      </c>
      <c r="H728" s="107"/>
      <c r="I728" s="107"/>
      <c r="L728" s="130">
        <v>43073</v>
      </c>
      <c r="M728" s="107">
        <v>185.3</v>
      </c>
      <c r="N728" s="107">
        <v>189.3</v>
      </c>
      <c r="O728" s="107">
        <v>183.6</v>
      </c>
      <c r="P728" s="107">
        <v>187.9</v>
      </c>
      <c r="Q728" s="107">
        <v>185.3</v>
      </c>
      <c r="R728">
        <v>3414781</v>
      </c>
    </row>
    <row r="729" spans="1:18" x14ac:dyDescent="0.25">
      <c r="A729" s="130">
        <v>43074</v>
      </c>
      <c r="B729" s="107">
        <v>186.2</v>
      </c>
      <c r="C729" s="107">
        <v>184.4</v>
      </c>
      <c r="D729" s="107">
        <v>180.15</v>
      </c>
      <c r="E729" s="107">
        <v>184</v>
      </c>
      <c r="F729" s="107">
        <v>184.4</v>
      </c>
      <c r="G729">
        <v>308631</v>
      </c>
      <c r="H729" s="107"/>
      <c r="I729" s="107"/>
      <c r="L729" s="130">
        <v>43074</v>
      </c>
      <c r="M729" s="107">
        <v>184</v>
      </c>
      <c r="N729" s="107">
        <v>186.25</v>
      </c>
      <c r="O729" s="107">
        <v>180</v>
      </c>
      <c r="P729" s="107">
        <v>184.3</v>
      </c>
      <c r="Q729" s="107">
        <v>184</v>
      </c>
      <c r="R729">
        <v>4111276</v>
      </c>
    </row>
    <row r="730" spans="1:18" x14ac:dyDescent="0.25">
      <c r="A730" s="130">
        <v>43075</v>
      </c>
      <c r="B730" s="107">
        <v>184.8</v>
      </c>
      <c r="C730" s="107">
        <v>182.35</v>
      </c>
      <c r="D730" s="107">
        <v>180.5</v>
      </c>
      <c r="E730" s="107">
        <v>183</v>
      </c>
      <c r="F730" s="107">
        <v>182.35</v>
      </c>
      <c r="G730">
        <v>216009</v>
      </c>
      <c r="H730" s="107"/>
      <c r="I730" s="107"/>
      <c r="L730" s="130">
        <v>43075</v>
      </c>
      <c r="M730" s="107">
        <v>182.3</v>
      </c>
      <c r="N730" s="107">
        <v>184.8</v>
      </c>
      <c r="O730" s="107">
        <v>180.35</v>
      </c>
      <c r="P730" s="107">
        <v>183.4</v>
      </c>
      <c r="Q730" s="107">
        <v>182.3</v>
      </c>
      <c r="R730">
        <v>2400095</v>
      </c>
    </row>
    <row r="731" spans="1:18" x14ac:dyDescent="0.25">
      <c r="A731" s="130">
        <v>43076</v>
      </c>
      <c r="B731" s="107">
        <v>187.45</v>
      </c>
      <c r="C731" s="107">
        <v>186.45</v>
      </c>
      <c r="D731" s="107">
        <v>181</v>
      </c>
      <c r="E731" s="107">
        <v>181</v>
      </c>
      <c r="F731" s="107">
        <v>186.45</v>
      </c>
      <c r="G731">
        <v>133494</v>
      </c>
      <c r="H731" s="107"/>
      <c r="I731" s="107"/>
      <c r="L731" s="130">
        <v>43076</v>
      </c>
      <c r="M731" s="107">
        <v>186.75</v>
      </c>
      <c r="N731" s="107">
        <v>188</v>
      </c>
      <c r="O731" s="107">
        <v>181.65</v>
      </c>
      <c r="P731" s="107">
        <v>182</v>
      </c>
      <c r="Q731" s="107">
        <v>186.75</v>
      </c>
      <c r="R731">
        <v>2385352</v>
      </c>
    </row>
    <row r="732" spans="1:18" x14ac:dyDescent="0.25">
      <c r="A732" s="130">
        <v>43077</v>
      </c>
      <c r="B732" s="107">
        <v>188.1</v>
      </c>
      <c r="C732" s="107">
        <v>185.15</v>
      </c>
      <c r="D732" s="107">
        <v>184.55</v>
      </c>
      <c r="E732" s="107">
        <v>188.1</v>
      </c>
      <c r="F732" s="107">
        <v>185.15</v>
      </c>
      <c r="G732">
        <v>133715</v>
      </c>
      <c r="H732" s="107"/>
      <c r="I732" s="107"/>
      <c r="L732" s="130">
        <v>43077</v>
      </c>
      <c r="M732" s="107">
        <v>185.25</v>
      </c>
      <c r="N732" s="107">
        <v>188.6</v>
      </c>
      <c r="O732" s="107">
        <v>184.45</v>
      </c>
      <c r="P732" s="107">
        <v>186</v>
      </c>
      <c r="Q732" s="107">
        <v>185.25</v>
      </c>
      <c r="R732">
        <v>1625902</v>
      </c>
    </row>
    <row r="733" spans="1:18" x14ac:dyDescent="0.25">
      <c r="A733" s="130">
        <v>43080</v>
      </c>
      <c r="B733" s="107">
        <v>186.95</v>
      </c>
      <c r="C733" s="107">
        <v>181.85</v>
      </c>
      <c r="D733" s="107">
        <v>181.5</v>
      </c>
      <c r="E733" s="107">
        <v>186.85</v>
      </c>
      <c r="F733" s="107">
        <v>181.85</v>
      </c>
      <c r="G733">
        <v>151241</v>
      </c>
      <c r="H733" s="107"/>
      <c r="I733" s="107"/>
      <c r="L733" s="130">
        <v>43080</v>
      </c>
      <c r="M733" s="107">
        <v>181.9</v>
      </c>
      <c r="N733" s="107">
        <v>186.95</v>
      </c>
      <c r="O733" s="107">
        <v>181.3</v>
      </c>
      <c r="P733" s="107">
        <v>186.9</v>
      </c>
      <c r="Q733" s="107">
        <v>181.9</v>
      </c>
      <c r="R733">
        <v>1790530</v>
      </c>
    </row>
    <row r="734" spans="1:18" x14ac:dyDescent="0.25">
      <c r="A734" s="130">
        <v>43081</v>
      </c>
      <c r="B734" s="107">
        <v>182.5</v>
      </c>
      <c r="C734" s="107">
        <v>179.35</v>
      </c>
      <c r="D734" s="107">
        <v>178</v>
      </c>
      <c r="E734" s="107">
        <v>180.3</v>
      </c>
      <c r="F734" s="107">
        <v>179.35</v>
      </c>
      <c r="G734">
        <v>150634</v>
      </c>
      <c r="H734" s="107"/>
      <c r="I734" s="107"/>
      <c r="L734" s="130">
        <v>43081</v>
      </c>
      <c r="M734" s="107">
        <v>179.4</v>
      </c>
      <c r="N734" s="107">
        <v>184.9</v>
      </c>
      <c r="O734" s="107">
        <v>178.2</v>
      </c>
      <c r="P734" s="107">
        <v>181.9</v>
      </c>
      <c r="Q734" s="107">
        <v>179.4</v>
      </c>
      <c r="R734">
        <v>2121316</v>
      </c>
    </row>
    <row r="735" spans="1:18" x14ac:dyDescent="0.25">
      <c r="A735" s="130">
        <v>43082</v>
      </c>
      <c r="B735" s="107">
        <v>178.9</v>
      </c>
      <c r="C735" s="107">
        <v>174.4</v>
      </c>
      <c r="D735" s="107">
        <v>172.7</v>
      </c>
      <c r="E735" s="107">
        <v>178.9</v>
      </c>
      <c r="F735" s="107">
        <v>174.4</v>
      </c>
      <c r="G735">
        <v>443428</v>
      </c>
      <c r="H735" s="107"/>
      <c r="I735" s="107"/>
      <c r="L735" s="130">
        <v>43082</v>
      </c>
      <c r="M735" s="107">
        <v>174.1</v>
      </c>
      <c r="N735" s="107">
        <v>178.5</v>
      </c>
      <c r="O735" s="107">
        <v>172.5</v>
      </c>
      <c r="P735" s="107">
        <v>177.65</v>
      </c>
      <c r="Q735" s="107">
        <v>174.1</v>
      </c>
      <c r="R735">
        <v>4489870</v>
      </c>
    </row>
    <row r="736" spans="1:18" x14ac:dyDescent="0.25">
      <c r="A736" s="130">
        <v>43083</v>
      </c>
      <c r="B736" s="107">
        <v>176.55</v>
      </c>
      <c r="C736" s="107">
        <v>174.95</v>
      </c>
      <c r="D736" s="107">
        <v>172.65</v>
      </c>
      <c r="E736" s="107">
        <v>174.5</v>
      </c>
      <c r="F736" s="107">
        <v>174.95</v>
      </c>
      <c r="G736">
        <v>189547</v>
      </c>
      <c r="H736" s="107"/>
      <c r="I736" s="107"/>
      <c r="L736" s="130">
        <v>43083</v>
      </c>
      <c r="M736" s="107">
        <v>174.95</v>
      </c>
      <c r="N736" s="107">
        <v>176.8</v>
      </c>
      <c r="O736" s="107">
        <v>172.3</v>
      </c>
      <c r="P736" s="107">
        <v>175</v>
      </c>
      <c r="Q736" s="107">
        <v>174.95</v>
      </c>
      <c r="R736">
        <v>2775774</v>
      </c>
    </row>
    <row r="737" spans="1:18" x14ac:dyDescent="0.25">
      <c r="A737" s="130">
        <v>43084</v>
      </c>
      <c r="B737" s="107">
        <v>182.15</v>
      </c>
      <c r="C737" s="107">
        <v>176.95</v>
      </c>
      <c r="D737" s="107">
        <v>174.35</v>
      </c>
      <c r="E737" s="107">
        <v>177.95</v>
      </c>
      <c r="F737" s="107">
        <v>176.95</v>
      </c>
      <c r="G737">
        <v>301566</v>
      </c>
      <c r="H737" s="107"/>
      <c r="I737" s="107"/>
      <c r="L737" s="130">
        <v>43084</v>
      </c>
      <c r="M737" s="107">
        <v>176.95</v>
      </c>
      <c r="N737" s="107">
        <v>181.95</v>
      </c>
      <c r="O737" s="107">
        <v>176.1</v>
      </c>
      <c r="P737" s="107">
        <v>177.25</v>
      </c>
      <c r="Q737" s="107">
        <v>176.95</v>
      </c>
      <c r="R737">
        <v>4002784</v>
      </c>
    </row>
    <row r="738" spans="1:18" x14ac:dyDescent="0.25">
      <c r="A738" s="130">
        <v>43087</v>
      </c>
      <c r="B738" s="107">
        <v>183.25</v>
      </c>
      <c r="C738" s="107">
        <v>180.85</v>
      </c>
      <c r="D738" s="107">
        <v>168</v>
      </c>
      <c r="E738" s="107">
        <v>177.8</v>
      </c>
      <c r="F738" s="107">
        <v>180.85</v>
      </c>
      <c r="G738">
        <v>538824</v>
      </c>
      <c r="H738" s="107"/>
      <c r="I738" s="107"/>
      <c r="L738" s="130">
        <v>43087</v>
      </c>
      <c r="M738" s="107">
        <v>181.05</v>
      </c>
      <c r="N738" s="107">
        <v>183.5</v>
      </c>
      <c r="O738" s="107">
        <v>168.35</v>
      </c>
      <c r="P738" s="107">
        <v>176.95</v>
      </c>
      <c r="Q738" s="107">
        <v>181.05</v>
      </c>
      <c r="R738">
        <v>5035091</v>
      </c>
    </row>
    <row r="739" spans="1:18" x14ac:dyDescent="0.25">
      <c r="A739" s="130">
        <v>43088</v>
      </c>
      <c r="B739" s="107">
        <v>182.85</v>
      </c>
      <c r="C739" s="107">
        <v>181.35</v>
      </c>
      <c r="D739" s="107">
        <v>179.8</v>
      </c>
      <c r="E739" s="107">
        <v>182</v>
      </c>
      <c r="F739" s="107">
        <v>181.35</v>
      </c>
      <c r="G739">
        <v>157290</v>
      </c>
      <c r="H739" s="107"/>
      <c r="I739" s="107"/>
      <c r="L739" s="130">
        <v>43088</v>
      </c>
      <c r="M739" s="107">
        <v>181.25</v>
      </c>
      <c r="N739" s="107">
        <v>182.9</v>
      </c>
      <c r="O739" s="107">
        <v>179.8</v>
      </c>
      <c r="P739" s="107">
        <v>182.9</v>
      </c>
      <c r="Q739" s="107">
        <v>181.25</v>
      </c>
      <c r="R739">
        <v>1735181</v>
      </c>
    </row>
    <row r="740" spans="1:18" x14ac:dyDescent="0.25">
      <c r="A740" s="130">
        <v>43089</v>
      </c>
      <c r="B740" s="107">
        <v>180.4</v>
      </c>
      <c r="C740" s="107">
        <v>174.2</v>
      </c>
      <c r="D740" s="107">
        <v>171.7</v>
      </c>
      <c r="E740" s="107">
        <v>180</v>
      </c>
      <c r="F740" s="107">
        <v>174.2</v>
      </c>
      <c r="G740">
        <v>457133</v>
      </c>
      <c r="H740" s="107"/>
      <c r="I740" s="107"/>
      <c r="L740" s="130">
        <v>43089</v>
      </c>
      <c r="M740" s="107">
        <v>174.1</v>
      </c>
      <c r="N740" s="107">
        <v>180.8</v>
      </c>
      <c r="O740" s="107">
        <v>171.45</v>
      </c>
      <c r="P740" s="107">
        <v>180.5</v>
      </c>
      <c r="Q740" s="107">
        <v>174.1</v>
      </c>
      <c r="R740">
        <v>4480509</v>
      </c>
    </row>
    <row r="741" spans="1:18" x14ac:dyDescent="0.25">
      <c r="A741" s="130">
        <v>43090</v>
      </c>
      <c r="B741" s="107">
        <v>174.2</v>
      </c>
      <c r="C741" s="107">
        <v>172.4</v>
      </c>
      <c r="D741" s="107">
        <v>170.25</v>
      </c>
      <c r="E741" s="107">
        <v>174.2</v>
      </c>
      <c r="F741" s="107">
        <v>172.4</v>
      </c>
      <c r="G741">
        <v>288066</v>
      </c>
      <c r="H741" s="107"/>
      <c r="I741" s="107"/>
      <c r="L741" s="130">
        <v>43090</v>
      </c>
      <c r="M741" s="107">
        <v>172.7</v>
      </c>
      <c r="N741" s="107">
        <v>173.8</v>
      </c>
      <c r="O741" s="107">
        <v>170.1</v>
      </c>
      <c r="P741" s="107">
        <v>172.25</v>
      </c>
      <c r="Q741" s="107">
        <v>172.7</v>
      </c>
      <c r="R741">
        <v>3852677</v>
      </c>
    </row>
    <row r="742" spans="1:18" x14ac:dyDescent="0.25">
      <c r="A742" s="130">
        <v>43091</v>
      </c>
      <c r="B742" s="107">
        <v>175.2</v>
      </c>
      <c r="C742" s="107">
        <v>171</v>
      </c>
      <c r="D742" s="107">
        <v>169.9</v>
      </c>
      <c r="E742" s="107">
        <v>171.5</v>
      </c>
      <c r="F742" s="107">
        <v>171</v>
      </c>
      <c r="G742">
        <v>303638</v>
      </c>
      <c r="H742" s="107"/>
      <c r="I742" s="107"/>
      <c r="L742" s="130">
        <v>43091</v>
      </c>
      <c r="M742" s="107">
        <v>171.15</v>
      </c>
      <c r="N742" s="107">
        <v>175.2</v>
      </c>
      <c r="O742" s="107">
        <v>170</v>
      </c>
      <c r="P742" s="107">
        <v>172</v>
      </c>
      <c r="Q742" s="107">
        <v>171.15</v>
      </c>
      <c r="R742">
        <v>3666803</v>
      </c>
    </row>
    <row r="743" spans="1:18" x14ac:dyDescent="0.25">
      <c r="A743" s="130">
        <v>43095</v>
      </c>
      <c r="B743" s="107">
        <v>178.5</v>
      </c>
      <c r="C743" s="107">
        <v>171.65</v>
      </c>
      <c r="D743" s="107">
        <v>168.5</v>
      </c>
      <c r="E743" s="107">
        <v>171</v>
      </c>
      <c r="F743" s="107">
        <v>171.65</v>
      </c>
      <c r="G743">
        <v>246067</v>
      </c>
      <c r="H743" s="107"/>
      <c r="I743" s="107"/>
      <c r="L743" s="130">
        <v>43095</v>
      </c>
      <c r="M743" s="107">
        <v>171.75</v>
      </c>
      <c r="N743" s="107">
        <v>172.75</v>
      </c>
      <c r="O743" s="107">
        <v>168.1</v>
      </c>
      <c r="P743" s="107">
        <v>171</v>
      </c>
      <c r="Q743" s="107">
        <v>171.75</v>
      </c>
      <c r="R743">
        <v>2516318</v>
      </c>
    </row>
    <row r="744" spans="1:18" x14ac:dyDescent="0.25">
      <c r="A744" s="130">
        <v>43096</v>
      </c>
      <c r="B744" s="107">
        <v>173.95</v>
      </c>
      <c r="C744" s="107">
        <v>171.6</v>
      </c>
      <c r="D744" s="107">
        <v>170.6</v>
      </c>
      <c r="E744" s="107">
        <v>173.95</v>
      </c>
      <c r="F744" s="107">
        <v>171.6</v>
      </c>
      <c r="G744">
        <v>166344</v>
      </c>
      <c r="H744" s="107"/>
      <c r="I744" s="107"/>
      <c r="L744" s="130">
        <v>43096</v>
      </c>
      <c r="M744" s="107">
        <v>171.85</v>
      </c>
      <c r="N744" s="107">
        <v>173.9</v>
      </c>
      <c r="O744" s="107">
        <v>170.5</v>
      </c>
      <c r="P744" s="107">
        <v>172</v>
      </c>
      <c r="Q744" s="107">
        <v>171.85</v>
      </c>
      <c r="R744">
        <v>2242927</v>
      </c>
    </row>
    <row r="745" spans="1:18" x14ac:dyDescent="0.25">
      <c r="A745" s="130">
        <v>43097</v>
      </c>
      <c r="B745" s="107">
        <v>172.2</v>
      </c>
      <c r="C745" s="107">
        <v>170.1</v>
      </c>
      <c r="D745" s="107">
        <v>168.35</v>
      </c>
      <c r="E745" s="107">
        <v>170</v>
      </c>
      <c r="F745" s="107">
        <v>170.1</v>
      </c>
      <c r="G745">
        <v>356217</v>
      </c>
      <c r="H745" s="107"/>
      <c r="I745" s="107"/>
      <c r="L745" s="130">
        <v>43097</v>
      </c>
      <c r="M745" s="107">
        <v>169.75</v>
      </c>
      <c r="N745" s="107">
        <v>172.3</v>
      </c>
      <c r="O745" s="107">
        <v>168.4</v>
      </c>
      <c r="P745" s="107">
        <v>171</v>
      </c>
      <c r="Q745" s="107">
        <v>169.75</v>
      </c>
      <c r="R745">
        <v>3375484</v>
      </c>
    </row>
    <row r="746" spans="1:18" x14ac:dyDescent="0.25">
      <c r="A746" s="130">
        <v>43098</v>
      </c>
      <c r="B746" s="107">
        <v>172.25</v>
      </c>
      <c r="C746" s="107">
        <v>169.7</v>
      </c>
      <c r="D746" s="107">
        <v>168.8</v>
      </c>
      <c r="E746" s="107">
        <v>168.8</v>
      </c>
      <c r="F746" s="107">
        <v>169.7</v>
      </c>
      <c r="G746">
        <v>168315</v>
      </c>
      <c r="H746" s="107"/>
      <c r="I746" s="107"/>
      <c r="L746" s="130">
        <v>43098</v>
      </c>
      <c r="M746" s="107">
        <v>169.75</v>
      </c>
      <c r="N746" s="107">
        <v>172.25</v>
      </c>
      <c r="O746" s="107">
        <v>169.2</v>
      </c>
      <c r="P746" s="107">
        <v>171.35</v>
      </c>
      <c r="Q746" s="107">
        <v>169.75</v>
      </c>
      <c r="R746">
        <v>1753004</v>
      </c>
    </row>
    <row r="747" spans="1:18" x14ac:dyDescent="0.25">
      <c r="A747" s="130">
        <v>43101</v>
      </c>
      <c r="B747" s="107">
        <v>178</v>
      </c>
      <c r="C747" s="107">
        <v>169.95</v>
      </c>
      <c r="D747" s="107">
        <v>169.1</v>
      </c>
      <c r="E747" s="107">
        <v>178</v>
      </c>
      <c r="F747" s="107">
        <v>169.95</v>
      </c>
      <c r="G747">
        <v>372885</v>
      </c>
      <c r="H747" s="107"/>
      <c r="I747" s="107"/>
      <c r="L747" s="130">
        <v>43101</v>
      </c>
      <c r="M747" s="107">
        <v>169.9</v>
      </c>
      <c r="N747" s="107">
        <v>176</v>
      </c>
      <c r="O747" s="107">
        <v>169</v>
      </c>
      <c r="P747" s="107">
        <v>176</v>
      </c>
      <c r="Q747" s="107">
        <v>169.9</v>
      </c>
      <c r="R747">
        <v>4712424</v>
      </c>
    </row>
    <row r="748" spans="1:18" x14ac:dyDescent="0.25">
      <c r="A748" s="130">
        <v>43102</v>
      </c>
      <c r="B748" s="107">
        <v>171.35</v>
      </c>
      <c r="C748" s="107">
        <v>167.3</v>
      </c>
      <c r="D748" s="107">
        <v>165.25</v>
      </c>
      <c r="E748" s="107">
        <v>168.05</v>
      </c>
      <c r="F748" s="107">
        <v>167.3</v>
      </c>
      <c r="G748">
        <v>175261</v>
      </c>
      <c r="H748" s="107"/>
      <c r="I748" s="107"/>
      <c r="L748" s="130">
        <v>43102</v>
      </c>
      <c r="M748" s="107">
        <v>167.3</v>
      </c>
      <c r="N748" s="107">
        <v>171.95</v>
      </c>
      <c r="O748" s="107">
        <v>164.9</v>
      </c>
      <c r="P748" s="107">
        <v>171.95</v>
      </c>
      <c r="Q748" s="107">
        <v>167.3</v>
      </c>
      <c r="R748">
        <v>2637700</v>
      </c>
    </row>
    <row r="749" spans="1:18" x14ac:dyDescent="0.25">
      <c r="A749" s="130">
        <v>43103</v>
      </c>
      <c r="B749" s="107">
        <v>169.9</v>
      </c>
      <c r="C749" s="107">
        <v>168.3</v>
      </c>
      <c r="D749" s="107">
        <v>166.6</v>
      </c>
      <c r="E749" s="107">
        <v>166.6</v>
      </c>
      <c r="F749" s="107">
        <v>168.3</v>
      </c>
      <c r="G749">
        <v>127322</v>
      </c>
      <c r="H749" s="107"/>
      <c r="I749" s="107"/>
      <c r="L749" s="130">
        <v>43103</v>
      </c>
      <c r="M749" s="107">
        <v>168.35</v>
      </c>
      <c r="N749" s="107">
        <v>170</v>
      </c>
      <c r="O749" s="107">
        <v>166.65</v>
      </c>
      <c r="P749" s="107">
        <v>167.3</v>
      </c>
      <c r="Q749" s="107">
        <v>168.35</v>
      </c>
      <c r="R749">
        <v>2542967</v>
      </c>
    </row>
    <row r="750" spans="1:18" x14ac:dyDescent="0.25">
      <c r="A750" s="130">
        <v>43104</v>
      </c>
      <c r="B750" s="107">
        <v>176.85</v>
      </c>
      <c r="C750" s="107">
        <v>174.75</v>
      </c>
      <c r="D750" s="107">
        <v>169</v>
      </c>
      <c r="E750" s="107">
        <v>172</v>
      </c>
      <c r="F750" s="107">
        <v>174.75</v>
      </c>
      <c r="G750">
        <v>613421</v>
      </c>
      <c r="H750" s="107"/>
      <c r="I750" s="107"/>
      <c r="L750" s="130">
        <v>43104</v>
      </c>
      <c r="M750" s="107">
        <v>174.65</v>
      </c>
      <c r="N750" s="107">
        <v>177.1</v>
      </c>
      <c r="O750" s="107">
        <v>168.85</v>
      </c>
      <c r="P750" s="107">
        <v>171.95</v>
      </c>
      <c r="Q750" s="107">
        <v>174.65</v>
      </c>
      <c r="R750">
        <v>8222419</v>
      </c>
    </row>
    <row r="751" spans="1:18" x14ac:dyDescent="0.25">
      <c r="A751" s="130">
        <v>43105</v>
      </c>
      <c r="B751" s="107">
        <v>177.2</v>
      </c>
      <c r="C751" s="107">
        <v>172.35</v>
      </c>
      <c r="D751" s="107">
        <v>171.85</v>
      </c>
      <c r="E751" s="107">
        <v>177</v>
      </c>
      <c r="F751" s="107">
        <v>172.35</v>
      </c>
      <c r="G751">
        <v>221617</v>
      </c>
      <c r="H751" s="107"/>
      <c r="I751" s="107"/>
      <c r="L751" s="130">
        <v>43105</v>
      </c>
      <c r="M751" s="107">
        <v>172.25</v>
      </c>
      <c r="N751" s="107">
        <v>177.15</v>
      </c>
      <c r="O751" s="107">
        <v>171.55</v>
      </c>
      <c r="P751" s="107">
        <v>176.7</v>
      </c>
      <c r="Q751" s="107">
        <v>172.25</v>
      </c>
      <c r="R751">
        <v>2954958</v>
      </c>
    </row>
    <row r="752" spans="1:18" x14ac:dyDescent="0.25">
      <c r="A752" s="130">
        <v>43108</v>
      </c>
      <c r="B752" s="107">
        <v>174.2</v>
      </c>
      <c r="C752" s="107">
        <v>170.45</v>
      </c>
      <c r="D752" s="107">
        <v>170.1</v>
      </c>
      <c r="E752" s="107">
        <v>173</v>
      </c>
      <c r="F752" s="107">
        <v>170.45</v>
      </c>
      <c r="G752">
        <v>129885</v>
      </c>
      <c r="H752" s="107"/>
      <c r="I752" s="107"/>
      <c r="L752" s="130">
        <v>43108</v>
      </c>
      <c r="M752" s="107">
        <v>170.4</v>
      </c>
      <c r="N752" s="107">
        <v>174.25</v>
      </c>
      <c r="O752" s="107">
        <v>169.9</v>
      </c>
      <c r="P752" s="107">
        <v>172.5</v>
      </c>
      <c r="Q752" s="107">
        <v>170.4</v>
      </c>
      <c r="R752">
        <v>1859110</v>
      </c>
    </row>
    <row r="753" spans="1:18" x14ac:dyDescent="0.25">
      <c r="A753" s="130">
        <v>43109</v>
      </c>
      <c r="B753" s="107">
        <v>173.9</v>
      </c>
      <c r="C753" s="107">
        <v>170.2</v>
      </c>
      <c r="D753" s="107">
        <v>169.4</v>
      </c>
      <c r="E753" s="107">
        <v>170.45</v>
      </c>
      <c r="F753" s="107">
        <v>170.2</v>
      </c>
      <c r="G753">
        <v>193524</v>
      </c>
      <c r="H753" s="107"/>
      <c r="I753" s="107"/>
      <c r="L753" s="130">
        <v>43109</v>
      </c>
      <c r="M753" s="107">
        <v>170.25</v>
      </c>
      <c r="N753" s="107">
        <v>172.8</v>
      </c>
      <c r="O753" s="107">
        <v>169.2</v>
      </c>
      <c r="P753" s="107">
        <v>170.7</v>
      </c>
      <c r="Q753" s="107">
        <v>170.25</v>
      </c>
      <c r="R753">
        <v>2212541</v>
      </c>
    </row>
    <row r="754" spans="1:18" x14ac:dyDescent="0.25">
      <c r="A754" s="130">
        <v>43110</v>
      </c>
      <c r="B754" s="107">
        <v>172.85</v>
      </c>
      <c r="C754" s="107">
        <v>164.9</v>
      </c>
      <c r="D754" s="107">
        <v>164.2</v>
      </c>
      <c r="E754" s="107">
        <v>172.85</v>
      </c>
      <c r="F754" s="107">
        <v>164.9</v>
      </c>
      <c r="G754">
        <v>298007</v>
      </c>
      <c r="H754" s="107"/>
      <c r="I754" s="107"/>
      <c r="L754" s="130">
        <v>43110</v>
      </c>
      <c r="M754" s="107">
        <v>165</v>
      </c>
      <c r="N754" s="107">
        <v>171.4</v>
      </c>
      <c r="O754" s="107">
        <v>164.1</v>
      </c>
      <c r="P754" s="107">
        <v>170.85</v>
      </c>
      <c r="Q754" s="107">
        <v>165</v>
      </c>
      <c r="R754">
        <v>3634803</v>
      </c>
    </row>
    <row r="755" spans="1:18" x14ac:dyDescent="0.25">
      <c r="A755" s="130">
        <v>43111</v>
      </c>
      <c r="B755" s="107">
        <v>167.5</v>
      </c>
      <c r="C755" s="107">
        <v>166.05</v>
      </c>
      <c r="D755" s="107">
        <v>162.80000000000001</v>
      </c>
      <c r="E755" s="107">
        <v>165.5</v>
      </c>
      <c r="F755" s="107">
        <v>166.05</v>
      </c>
      <c r="G755">
        <v>184809</v>
      </c>
      <c r="H755" s="107"/>
      <c r="I755" s="107"/>
      <c r="L755" s="130">
        <v>43111</v>
      </c>
      <c r="M755" s="107">
        <v>166.05</v>
      </c>
      <c r="N755" s="107">
        <v>167.5</v>
      </c>
      <c r="O755" s="107">
        <v>164.35</v>
      </c>
      <c r="P755" s="107">
        <v>164.6</v>
      </c>
      <c r="Q755" s="107">
        <v>166.05</v>
      </c>
      <c r="R755">
        <v>2389660</v>
      </c>
    </row>
    <row r="756" spans="1:18" x14ac:dyDescent="0.25">
      <c r="A756" s="130">
        <v>43112</v>
      </c>
      <c r="B756" s="107">
        <v>168.5</v>
      </c>
      <c r="C756" s="107">
        <v>163.19999999999999</v>
      </c>
      <c r="D756" s="107">
        <v>161.80000000000001</v>
      </c>
      <c r="E756" s="107">
        <v>168.5</v>
      </c>
      <c r="F756" s="107">
        <v>163.19999999999999</v>
      </c>
      <c r="G756">
        <v>266395</v>
      </c>
      <c r="H756" s="107"/>
      <c r="I756" s="107"/>
      <c r="L756" s="130">
        <v>43112</v>
      </c>
      <c r="M756" s="107">
        <v>162.65</v>
      </c>
      <c r="N756" s="107">
        <v>167.9</v>
      </c>
      <c r="O756" s="107">
        <v>161.35</v>
      </c>
      <c r="P756" s="107">
        <v>167</v>
      </c>
      <c r="Q756" s="107">
        <v>162.65</v>
      </c>
      <c r="R756">
        <v>3838063</v>
      </c>
    </row>
    <row r="757" spans="1:18" x14ac:dyDescent="0.25">
      <c r="A757" s="130">
        <v>43115</v>
      </c>
      <c r="B757" s="107">
        <v>165</v>
      </c>
      <c r="C757" s="107">
        <v>162.9</v>
      </c>
      <c r="D757" s="107">
        <v>162.1</v>
      </c>
      <c r="E757" s="107">
        <v>162.1</v>
      </c>
      <c r="F757" s="107">
        <v>162.9</v>
      </c>
      <c r="G757">
        <v>132006</v>
      </c>
      <c r="H757" s="107"/>
      <c r="I757" s="107"/>
      <c r="L757" s="130">
        <v>43115</v>
      </c>
      <c r="M757" s="107">
        <v>162.4</v>
      </c>
      <c r="N757" s="107">
        <v>164.95</v>
      </c>
      <c r="O757" s="107">
        <v>162</v>
      </c>
      <c r="P757" s="107">
        <v>163.1</v>
      </c>
      <c r="Q757" s="107">
        <v>162.4</v>
      </c>
      <c r="R757">
        <v>2114876</v>
      </c>
    </row>
    <row r="758" spans="1:18" x14ac:dyDescent="0.25">
      <c r="A758" s="130">
        <v>43116</v>
      </c>
      <c r="B758" s="107">
        <v>163</v>
      </c>
      <c r="C758" s="107">
        <v>156.94999999999999</v>
      </c>
      <c r="D758" s="107">
        <v>155.80000000000001</v>
      </c>
      <c r="E758" s="107">
        <v>161.75</v>
      </c>
      <c r="F758" s="107">
        <v>156.94999999999999</v>
      </c>
      <c r="G758">
        <v>481693</v>
      </c>
      <c r="H758" s="107"/>
      <c r="I758" s="107"/>
      <c r="L758" s="130">
        <v>43116</v>
      </c>
      <c r="M758" s="107">
        <v>156.9</v>
      </c>
      <c r="N758" s="107">
        <v>163</v>
      </c>
      <c r="O758" s="107">
        <v>155.55000000000001</v>
      </c>
      <c r="P758" s="107">
        <v>162.35</v>
      </c>
      <c r="Q758" s="107">
        <v>156.9</v>
      </c>
      <c r="R758">
        <v>3986223</v>
      </c>
    </row>
    <row r="759" spans="1:18" x14ac:dyDescent="0.25">
      <c r="A759" s="130">
        <v>43117</v>
      </c>
      <c r="B759" s="107">
        <v>168.35</v>
      </c>
      <c r="C759" s="107">
        <v>165.05</v>
      </c>
      <c r="D759" s="107">
        <v>155.05000000000001</v>
      </c>
      <c r="E759" s="107">
        <v>155.5</v>
      </c>
      <c r="F759" s="107">
        <v>165.05</v>
      </c>
      <c r="G759">
        <v>541493</v>
      </c>
      <c r="H759" s="107"/>
      <c r="I759" s="107"/>
      <c r="L759" s="130">
        <v>43117</v>
      </c>
      <c r="M759" s="107">
        <v>164.7</v>
      </c>
      <c r="N759" s="107">
        <v>165.35</v>
      </c>
      <c r="O759" s="107">
        <v>155</v>
      </c>
      <c r="P759" s="107">
        <v>156.9</v>
      </c>
      <c r="Q759" s="107">
        <v>164.7</v>
      </c>
      <c r="R759">
        <v>5006454</v>
      </c>
    </row>
    <row r="760" spans="1:18" x14ac:dyDescent="0.25">
      <c r="A760" s="130">
        <v>43118</v>
      </c>
      <c r="B760" s="107">
        <v>168.5</v>
      </c>
      <c r="C760" s="107">
        <v>160.4</v>
      </c>
      <c r="D760" s="107">
        <v>158.25</v>
      </c>
      <c r="E760" s="107">
        <v>168</v>
      </c>
      <c r="F760" s="107">
        <v>160.4</v>
      </c>
      <c r="G760">
        <v>572599</v>
      </c>
      <c r="H760" s="107"/>
      <c r="I760" s="107"/>
      <c r="L760" s="130">
        <v>43118</v>
      </c>
      <c r="M760" s="107">
        <v>160.5</v>
      </c>
      <c r="N760" s="107">
        <v>168.4</v>
      </c>
      <c r="O760" s="107">
        <v>158.19999999999999</v>
      </c>
      <c r="P760" s="107">
        <v>166.95</v>
      </c>
      <c r="Q760" s="107">
        <v>160.5</v>
      </c>
      <c r="R760">
        <v>4614200</v>
      </c>
    </row>
    <row r="761" spans="1:18" x14ac:dyDescent="0.25">
      <c r="A761" s="130">
        <v>43119</v>
      </c>
      <c r="B761" s="107">
        <v>165.35</v>
      </c>
      <c r="C761" s="107">
        <v>164.8</v>
      </c>
      <c r="D761" s="107">
        <v>159.19999999999999</v>
      </c>
      <c r="E761" s="107">
        <v>160.1</v>
      </c>
      <c r="F761" s="107">
        <v>164.8</v>
      </c>
      <c r="G761">
        <v>290423</v>
      </c>
      <c r="H761" s="107"/>
      <c r="I761" s="107"/>
      <c r="L761" s="130">
        <v>43119</v>
      </c>
      <c r="M761" s="107">
        <v>164.95</v>
      </c>
      <c r="N761" s="107">
        <v>165.55</v>
      </c>
      <c r="O761" s="107">
        <v>159.1</v>
      </c>
      <c r="P761" s="107">
        <v>161.19999999999999</v>
      </c>
      <c r="Q761" s="107">
        <v>164.95</v>
      </c>
      <c r="R761">
        <v>3467324</v>
      </c>
    </row>
    <row r="762" spans="1:18" x14ac:dyDescent="0.25">
      <c r="A762" s="130">
        <v>43122</v>
      </c>
      <c r="B762" s="107">
        <v>165</v>
      </c>
      <c r="C762" s="107">
        <v>164.15</v>
      </c>
      <c r="D762" s="107">
        <v>160.9</v>
      </c>
      <c r="E762" s="107">
        <v>163.15</v>
      </c>
      <c r="F762" s="107">
        <v>164.15</v>
      </c>
      <c r="G762">
        <v>180822</v>
      </c>
      <c r="H762" s="107"/>
      <c r="I762" s="107"/>
      <c r="L762" s="130">
        <v>43122</v>
      </c>
      <c r="M762" s="107">
        <v>164.3</v>
      </c>
      <c r="N762" s="107">
        <v>165.2</v>
      </c>
      <c r="O762" s="107">
        <v>160.80000000000001</v>
      </c>
      <c r="P762" s="107">
        <v>163.4</v>
      </c>
      <c r="Q762" s="107">
        <v>164.3</v>
      </c>
      <c r="R762">
        <v>2797130</v>
      </c>
    </row>
    <row r="763" spans="1:18" x14ac:dyDescent="0.25">
      <c r="A763" s="130">
        <v>43123</v>
      </c>
      <c r="B763" s="107">
        <v>170.35</v>
      </c>
      <c r="C763" s="107">
        <v>169.25</v>
      </c>
      <c r="D763" s="107">
        <v>163</v>
      </c>
      <c r="E763" s="107">
        <v>163</v>
      </c>
      <c r="F763" s="107">
        <v>169.25</v>
      </c>
      <c r="G763">
        <v>371159</v>
      </c>
      <c r="H763" s="107"/>
      <c r="I763" s="107"/>
      <c r="L763" s="130">
        <v>43123</v>
      </c>
      <c r="M763" s="107">
        <v>169.3</v>
      </c>
      <c r="N763" s="107">
        <v>170.5</v>
      </c>
      <c r="O763" s="107">
        <v>163.30000000000001</v>
      </c>
      <c r="P763" s="107">
        <v>164</v>
      </c>
      <c r="Q763" s="107">
        <v>169.3</v>
      </c>
      <c r="R763">
        <v>4612077</v>
      </c>
    </row>
    <row r="764" spans="1:18" x14ac:dyDescent="0.25">
      <c r="A764" s="130">
        <v>43124</v>
      </c>
      <c r="B764" s="107">
        <v>173.85</v>
      </c>
      <c r="C764" s="107">
        <v>172.7</v>
      </c>
      <c r="D764" s="107">
        <v>164.65</v>
      </c>
      <c r="E764" s="107">
        <v>169.3</v>
      </c>
      <c r="F764" s="107">
        <v>172.7</v>
      </c>
      <c r="G764">
        <v>698722</v>
      </c>
      <c r="H764" s="107"/>
      <c r="I764" s="107"/>
      <c r="L764" s="130">
        <v>43124</v>
      </c>
      <c r="M764" s="107">
        <v>172.45</v>
      </c>
      <c r="N764" s="107">
        <v>174</v>
      </c>
      <c r="O764" s="107">
        <v>164.55</v>
      </c>
      <c r="P764" s="107">
        <v>169.1</v>
      </c>
      <c r="Q764" s="107">
        <v>172.45</v>
      </c>
      <c r="R764">
        <v>7758266</v>
      </c>
    </row>
    <row r="765" spans="1:18" x14ac:dyDescent="0.25">
      <c r="A765" s="130">
        <v>43125</v>
      </c>
      <c r="B765" s="107">
        <v>182.75</v>
      </c>
      <c r="C765" s="107">
        <v>169.25</v>
      </c>
      <c r="D765" s="107">
        <v>168</v>
      </c>
      <c r="E765" s="107">
        <v>180</v>
      </c>
      <c r="F765" s="107">
        <v>169.25</v>
      </c>
      <c r="G765">
        <v>1083786</v>
      </c>
      <c r="H765" s="107"/>
      <c r="I765" s="107"/>
      <c r="L765" s="130">
        <v>43125</v>
      </c>
      <c r="M765" s="107">
        <v>169.4</v>
      </c>
      <c r="N765" s="107">
        <v>183.25</v>
      </c>
      <c r="O765" s="107">
        <v>168.1</v>
      </c>
      <c r="P765" s="107">
        <v>181.05</v>
      </c>
      <c r="Q765" s="107">
        <v>169.4</v>
      </c>
      <c r="R765">
        <v>12825427</v>
      </c>
    </row>
    <row r="766" spans="1:18" x14ac:dyDescent="0.25">
      <c r="A766" s="130">
        <v>43129</v>
      </c>
      <c r="B766" s="107">
        <v>171.45</v>
      </c>
      <c r="C766" s="107">
        <v>163.85</v>
      </c>
      <c r="D766" s="107">
        <v>162</v>
      </c>
      <c r="E766" s="107">
        <v>171</v>
      </c>
      <c r="F766" s="107">
        <v>163.85</v>
      </c>
      <c r="G766">
        <v>164217</v>
      </c>
      <c r="H766" s="107"/>
      <c r="I766" s="107"/>
      <c r="L766" s="130">
        <v>43129</v>
      </c>
      <c r="M766" s="107">
        <v>163.69999999999999</v>
      </c>
      <c r="N766" s="107">
        <v>171.35</v>
      </c>
      <c r="O766" s="107">
        <v>162.80000000000001</v>
      </c>
      <c r="P766" s="107">
        <v>170.95</v>
      </c>
      <c r="Q766" s="107">
        <v>163.69999999999999</v>
      </c>
      <c r="R766">
        <v>2443271</v>
      </c>
    </row>
    <row r="767" spans="1:18" x14ac:dyDescent="0.25">
      <c r="A767" s="130">
        <v>43130</v>
      </c>
      <c r="B767" s="107">
        <v>165.15</v>
      </c>
      <c r="C767" s="107">
        <v>162.05000000000001</v>
      </c>
      <c r="D767" s="107">
        <v>161</v>
      </c>
      <c r="E767" s="107">
        <v>163.69999999999999</v>
      </c>
      <c r="F767" s="107">
        <v>162.05000000000001</v>
      </c>
      <c r="G767">
        <v>357364</v>
      </c>
      <c r="H767" s="107"/>
      <c r="I767" s="107"/>
      <c r="L767" s="130">
        <v>43130</v>
      </c>
      <c r="M767" s="107">
        <v>161.69999999999999</v>
      </c>
      <c r="N767" s="107">
        <v>164.95</v>
      </c>
      <c r="O767" s="107">
        <v>160.6</v>
      </c>
      <c r="P767" s="107">
        <v>163</v>
      </c>
      <c r="Q767" s="107">
        <v>161.69999999999999</v>
      </c>
      <c r="R767">
        <v>4593332</v>
      </c>
    </row>
    <row r="768" spans="1:18" x14ac:dyDescent="0.25">
      <c r="A768" s="130">
        <v>43131</v>
      </c>
      <c r="B768" s="107">
        <v>162.55000000000001</v>
      </c>
      <c r="C768" s="107">
        <v>157.35</v>
      </c>
      <c r="D768" s="107">
        <v>155.75</v>
      </c>
      <c r="E768" s="107">
        <v>160.6</v>
      </c>
      <c r="F768" s="107">
        <v>157.35</v>
      </c>
      <c r="G768">
        <v>351724</v>
      </c>
      <c r="H768" s="107"/>
      <c r="I768" s="107"/>
      <c r="L768" s="130">
        <v>43131</v>
      </c>
      <c r="M768" s="107">
        <v>157.19999999999999</v>
      </c>
      <c r="N768" s="107">
        <v>162.69999999999999</v>
      </c>
      <c r="O768" s="107">
        <v>155.5</v>
      </c>
      <c r="P768" s="107">
        <v>161.94999999999999</v>
      </c>
      <c r="Q768" s="107">
        <v>157.19999999999999</v>
      </c>
      <c r="R768">
        <v>4510152</v>
      </c>
    </row>
    <row r="769" spans="1:18" x14ac:dyDescent="0.25">
      <c r="A769" s="130">
        <v>43132</v>
      </c>
      <c r="B769" s="107">
        <v>159.25</v>
      </c>
      <c r="C769" s="107">
        <v>153.44999999999999</v>
      </c>
      <c r="D769" s="107">
        <v>152.75</v>
      </c>
      <c r="E769" s="107">
        <v>157</v>
      </c>
      <c r="F769" s="107">
        <v>153.44999999999999</v>
      </c>
      <c r="G769">
        <v>625387</v>
      </c>
      <c r="H769" s="107"/>
      <c r="I769" s="107"/>
      <c r="L769" s="130">
        <v>43132</v>
      </c>
      <c r="M769" s="107">
        <v>153.5</v>
      </c>
      <c r="N769" s="107">
        <v>158.94999999999999</v>
      </c>
      <c r="O769" s="107">
        <v>152.75</v>
      </c>
      <c r="P769" s="107">
        <v>157</v>
      </c>
      <c r="Q769" s="107">
        <v>153.5</v>
      </c>
      <c r="R769">
        <v>3735400</v>
      </c>
    </row>
    <row r="770" spans="1:18" x14ac:dyDescent="0.25">
      <c r="A770" s="130">
        <v>43133</v>
      </c>
      <c r="B770" s="107">
        <v>152.5</v>
      </c>
      <c r="C770" s="107">
        <v>147.80000000000001</v>
      </c>
      <c r="D770" s="107">
        <v>146.15</v>
      </c>
      <c r="E770" s="107">
        <v>152.5</v>
      </c>
      <c r="F770" s="107">
        <v>147.80000000000001</v>
      </c>
      <c r="G770">
        <v>823830</v>
      </c>
      <c r="H770" s="107"/>
      <c r="I770" s="107"/>
      <c r="L770" s="130">
        <v>43133</v>
      </c>
      <c r="M770" s="107">
        <v>147.55000000000001</v>
      </c>
      <c r="N770" s="107">
        <v>152.15</v>
      </c>
      <c r="O770" s="107">
        <v>146.1</v>
      </c>
      <c r="P770" s="107">
        <v>151.85</v>
      </c>
      <c r="Q770" s="107">
        <v>147.55000000000001</v>
      </c>
      <c r="R770">
        <v>5425726</v>
      </c>
    </row>
    <row r="771" spans="1:18" x14ac:dyDescent="0.25">
      <c r="A771" s="130">
        <v>43136</v>
      </c>
      <c r="B771" s="107">
        <v>149.85</v>
      </c>
      <c r="C771" s="107">
        <v>147.19999999999999</v>
      </c>
      <c r="D771" s="107">
        <v>142.5</v>
      </c>
      <c r="E771" s="107">
        <v>147.55000000000001</v>
      </c>
      <c r="F771" s="107">
        <v>147.19999999999999</v>
      </c>
      <c r="G771">
        <v>385060</v>
      </c>
      <c r="H771" s="107"/>
      <c r="I771" s="107"/>
      <c r="L771" s="130">
        <v>43136</v>
      </c>
      <c r="M771" s="107">
        <v>147.19999999999999</v>
      </c>
      <c r="N771" s="107">
        <v>149.9</v>
      </c>
      <c r="O771" s="107">
        <v>142.25</v>
      </c>
      <c r="P771" s="107">
        <v>144</v>
      </c>
      <c r="Q771" s="107">
        <v>147.19999999999999</v>
      </c>
      <c r="R771">
        <v>3706252</v>
      </c>
    </row>
    <row r="772" spans="1:18" x14ac:dyDescent="0.25">
      <c r="A772" s="130">
        <v>43137</v>
      </c>
      <c r="B772" s="107">
        <v>145.4</v>
      </c>
      <c r="C772" s="107">
        <v>142.65</v>
      </c>
      <c r="D772" s="107">
        <v>136.80000000000001</v>
      </c>
      <c r="E772" s="107">
        <v>141</v>
      </c>
      <c r="F772" s="107">
        <v>142.65</v>
      </c>
      <c r="G772">
        <v>405184</v>
      </c>
      <c r="H772" s="107"/>
      <c r="I772" s="107"/>
      <c r="L772" s="130">
        <v>43137</v>
      </c>
      <c r="M772" s="107">
        <v>142.6</v>
      </c>
      <c r="N772" s="107">
        <v>145.44999999999999</v>
      </c>
      <c r="O772" s="107">
        <v>136.94999999999999</v>
      </c>
      <c r="P772" s="107">
        <v>139.80000000000001</v>
      </c>
      <c r="Q772" s="107">
        <v>142.6</v>
      </c>
      <c r="R772">
        <v>4104306</v>
      </c>
    </row>
    <row r="773" spans="1:18" x14ac:dyDescent="0.25">
      <c r="A773" s="130">
        <v>43138</v>
      </c>
      <c r="B773" s="107">
        <v>147.1</v>
      </c>
      <c r="C773" s="107">
        <v>141.05000000000001</v>
      </c>
      <c r="D773" s="107">
        <v>140.4</v>
      </c>
      <c r="E773" s="107">
        <v>146</v>
      </c>
      <c r="F773" s="107">
        <v>141.05000000000001</v>
      </c>
      <c r="G773">
        <v>744548</v>
      </c>
      <c r="H773" s="107"/>
      <c r="I773" s="107"/>
      <c r="L773" s="130">
        <v>43138</v>
      </c>
      <c r="M773" s="107">
        <v>141</v>
      </c>
      <c r="N773" s="107">
        <v>146.9</v>
      </c>
      <c r="O773" s="107">
        <v>140.1</v>
      </c>
      <c r="P773" s="107">
        <v>146.69999999999999</v>
      </c>
      <c r="Q773" s="107">
        <v>141</v>
      </c>
      <c r="R773">
        <v>5177805</v>
      </c>
    </row>
    <row r="774" spans="1:18" x14ac:dyDescent="0.25">
      <c r="A774" s="130">
        <v>43139</v>
      </c>
      <c r="B774" s="107">
        <v>145.65</v>
      </c>
      <c r="C774" s="107">
        <v>142.75</v>
      </c>
      <c r="D774" s="107">
        <v>140.5</v>
      </c>
      <c r="E774" s="107">
        <v>141</v>
      </c>
      <c r="F774" s="107">
        <v>142.75</v>
      </c>
      <c r="G774">
        <v>300526</v>
      </c>
      <c r="H774" s="107"/>
      <c r="I774" s="107"/>
      <c r="L774" s="130">
        <v>43139</v>
      </c>
      <c r="M774" s="107">
        <v>142.35</v>
      </c>
      <c r="N774" s="107">
        <v>145.85</v>
      </c>
      <c r="O774" s="107">
        <v>141</v>
      </c>
      <c r="P774" s="107">
        <v>141</v>
      </c>
      <c r="Q774" s="107">
        <v>142.35</v>
      </c>
      <c r="R774">
        <v>3860590</v>
      </c>
    </row>
    <row r="775" spans="1:18" x14ac:dyDescent="0.25">
      <c r="A775" s="130">
        <v>43140</v>
      </c>
      <c r="B775" s="107">
        <v>144.19999999999999</v>
      </c>
      <c r="C775" s="107">
        <v>142.55000000000001</v>
      </c>
      <c r="D775" s="107">
        <v>138.69999999999999</v>
      </c>
      <c r="E775" s="107">
        <v>140.94999999999999</v>
      </c>
      <c r="F775" s="107">
        <v>142.55000000000001</v>
      </c>
      <c r="G775">
        <v>406069</v>
      </c>
      <c r="H775" s="107"/>
      <c r="I775" s="107"/>
      <c r="L775" s="130">
        <v>43140</v>
      </c>
      <c r="M775" s="107">
        <v>142.19999999999999</v>
      </c>
      <c r="N775" s="107">
        <v>143.65</v>
      </c>
      <c r="O775" s="107">
        <v>138.55000000000001</v>
      </c>
      <c r="P775" s="107">
        <v>139</v>
      </c>
      <c r="Q775" s="107">
        <v>142.19999999999999</v>
      </c>
      <c r="R775">
        <v>3180829</v>
      </c>
    </row>
    <row r="776" spans="1:18" x14ac:dyDescent="0.25">
      <c r="A776" s="130">
        <v>43143</v>
      </c>
      <c r="B776" s="107">
        <v>147</v>
      </c>
      <c r="C776" s="107">
        <v>144.85</v>
      </c>
      <c r="D776" s="107">
        <v>142.4</v>
      </c>
      <c r="E776" s="107">
        <v>143.5</v>
      </c>
      <c r="F776" s="107">
        <v>144.85</v>
      </c>
      <c r="G776">
        <v>332285</v>
      </c>
      <c r="H776" s="107"/>
      <c r="I776" s="107"/>
      <c r="L776" s="130">
        <v>43143</v>
      </c>
      <c r="M776" s="107">
        <v>144.85</v>
      </c>
      <c r="N776" s="107">
        <v>147.15</v>
      </c>
      <c r="O776" s="107">
        <v>141.80000000000001</v>
      </c>
      <c r="P776" s="107">
        <v>143</v>
      </c>
      <c r="Q776" s="107">
        <v>144.85</v>
      </c>
      <c r="R776">
        <v>5262434</v>
      </c>
    </row>
    <row r="777" spans="1:18" x14ac:dyDescent="0.25">
      <c r="A777" s="130">
        <v>43145</v>
      </c>
      <c r="B777" s="107">
        <v>141.5</v>
      </c>
      <c r="C777" s="107">
        <v>133.44999999999999</v>
      </c>
      <c r="D777" s="107">
        <v>132.1</v>
      </c>
      <c r="E777" s="107">
        <v>139.9</v>
      </c>
      <c r="F777" s="107">
        <v>133.44999999999999</v>
      </c>
      <c r="G777">
        <v>1161727</v>
      </c>
      <c r="H777" s="107"/>
      <c r="I777" s="107"/>
      <c r="L777" s="130">
        <v>43145</v>
      </c>
      <c r="M777" s="107">
        <v>133.55000000000001</v>
      </c>
      <c r="N777" s="107">
        <v>141.44999999999999</v>
      </c>
      <c r="O777" s="107">
        <v>132.69999999999999</v>
      </c>
      <c r="P777" s="107">
        <v>140.25</v>
      </c>
      <c r="Q777" s="107">
        <v>133.55000000000001</v>
      </c>
      <c r="R777">
        <v>15650006</v>
      </c>
    </row>
    <row r="778" spans="1:18" x14ac:dyDescent="0.25">
      <c r="A778" s="130">
        <v>43146</v>
      </c>
      <c r="B778" s="107">
        <v>135.19999999999999</v>
      </c>
      <c r="C778" s="107">
        <v>133.35</v>
      </c>
      <c r="D778" s="107">
        <v>130.94999999999999</v>
      </c>
      <c r="E778" s="107">
        <v>133.9</v>
      </c>
      <c r="F778" s="107">
        <v>133.35</v>
      </c>
      <c r="G778">
        <v>487415</v>
      </c>
      <c r="H778" s="107"/>
      <c r="I778" s="107"/>
      <c r="L778" s="130">
        <v>43146</v>
      </c>
      <c r="M778" s="107">
        <v>133.35</v>
      </c>
      <c r="N778" s="107">
        <v>135.30000000000001</v>
      </c>
      <c r="O778" s="107">
        <v>130.55000000000001</v>
      </c>
      <c r="P778" s="107">
        <v>130.94999999999999</v>
      </c>
      <c r="Q778" s="107">
        <v>133.35</v>
      </c>
      <c r="R778">
        <v>7422937</v>
      </c>
    </row>
    <row r="779" spans="1:18" x14ac:dyDescent="0.25">
      <c r="A779" s="130">
        <v>43147</v>
      </c>
      <c r="B779" s="107">
        <v>134.80000000000001</v>
      </c>
      <c r="C779" s="107">
        <v>130.1</v>
      </c>
      <c r="D779" s="107">
        <v>128</v>
      </c>
      <c r="E779" s="107">
        <v>133</v>
      </c>
      <c r="F779" s="107">
        <v>130.1</v>
      </c>
      <c r="G779">
        <v>573213</v>
      </c>
      <c r="H779" s="107"/>
      <c r="I779" s="107"/>
      <c r="L779" s="130">
        <v>43147</v>
      </c>
      <c r="M779" s="107">
        <v>130.44999999999999</v>
      </c>
      <c r="N779" s="107">
        <v>134.94999999999999</v>
      </c>
      <c r="O779" s="107">
        <v>128.05000000000001</v>
      </c>
      <c r="P779" s="107">
        <v>133.6</v>
      </c>
      <c r="Q779" s="107">
        <v>130.44999999999999</v>
      </c>
      <c r="R779">
        <v>6105039</v>
      </c>
    </row>
    <row r="780" spans="1:18" x14ac:dyDescent="0.25">
      <c r="A780" s="130">
        <v>43150</v>
      </c>
      <c r="B780" s="107">
        <v>130.1</v>
      </c>
      <c r="C780" s="107">
        <v>124.8</v>
      </c>
      <c r="D780" s="107">
        <v>119.65</v>
      </c>
      <c r="E780" s="107">
        <v>128.5</v>
      </c>
      <c r="F780" s="107">
        <v>124.8</v>
      </c>
      <c r="G780">
        <v>979904</v>
      </c>
      <c r="H780" s="107"/>
      <c r="I780" s="107"/>
      <c r="L780" s="130">
        <v>43150</v>
      </c>
      <c r="M780" s="107">
        <v>125</v>
      </c>
      <c r="N780" s="107">
        <v>130.4</v>
      </c>
      <c r="O780" s="107">
        <v>119.55</v>
      </c>
      <c r="P780" s="107">
        <v>125</v>
      </c>
      <c r="Q780" s="107">
        <v>125</v>
      </c>
      <c r="R780">
        <v>12593130</v>
      </c>
    </row>
    <row r="781" spans="1:18" x14ac:dyDescent="0.25">
      <c r="A781" s="130">
        <v>43151</v>
      </c>
      <c r="B781" s="107">
        <v>132.69999999999999</v>
      </c>
      <c r="C781" s="107">
        <v>129.25</v>
      </c>
      <c r="D781" s="107">
        <v>121.6</v>
      </c>
      <c r="E781" s="107">
        <v>122.85</v>
      </c>
      <c r="F781" s="107">
        <v>129.25</v>
      </c>
      <c r="G781">
        <v>1068210</v>
      </c>
      <c r="H781" s="107"/>
      <c r="I781" s="107"/>
      <c r="L781" s="130">
        <v>43151</v>
      </c>
      <c r="M781" s="107">
        <v>129.5</v>
      </c>
      <c r="N781" s="107">
        <v>132.85</v>
      </c>
      <c r="O781" s="107">
        <v>121.7</v>
      </c>
      <c r="P781" s="107">
        <v>122</v>
      </c>
      <c r="Q781" s="107">
        <v>129.5</v>
      </c>
      <c r="R781">
        <v>15415199</v>
      </c>
    </row>
    <row r="782" spans="1:18" x14ac:dyDescent="0.25">
      <c r="A782" s="130">
        <v>43152</v>
      </c>
      <c r="B782" s="107">
        <v>132.6</v>
      </c>
      <c r="C782" s="107">
        <v>128.80000000000001</v>
      </c>
      <c r="D782" s="107">
        <v>126.45</v>
      </c>
      <c r="E782" s="107">
        <v>132</v>
      </c>
      <c r="F782" s="107">
        <v>128.80000000000001</v>
      </c>
      <c r="G782">
        <v>480703</v>
      </c>
      <c r="H782" s="107"/>
      <c r="I782" s="107"/>
      <c r="L782" s="130">
        <v>43152</v>
      </c>
      <c r="M782" s="107">
        <v>128.75</v>
      </c>
      <c r="N782" s="107">
        <v>132.5</v>
      </c>
      <c r="O782" s="107">
        <v>126.35</v>
      </c>
      <c r="P782" s="107">
        <v>132</v>
      </c>
      <c r="Q782" s="107">
        <v>128.75</v>
      </c>
      <c r="R782">
        <v>7918645</v>
      </c>
    </row>
    <row r="783" spans="1:18" x14ac:dyDescent="0.25">
      <c r="A783" s="130">
        <v>43153</v>
      </c>
      <c r="B783" s="107">
        <v>129.75</v>
      </c>
      <c r="C783" s="107">
        <v>128.80000000000001</v>
      </c>
      <c r="D783" s="107">
        <v>126.9</v>
      </c>
      <c r="E783" s="107">
        <v>128</v>
      </c>
      <c r="F783" s="107">
        <v>128.80000000000001</v>
      </c>
      <c r="G783">
        <v>270432</v>
      </c>
      <c r="H783" s="107"/>
      <c r="I783" s="107"/>
      <c r="L783" s="130">
        <v>43153</v>
      </c>
      <c r="M783" s="107">
        <v>129</v>
      </c>
      <c r="N783" s="107">
        <v>129.94999999999999</v>
      </c>
      <c r="O783" s="107">
        <v>126.75</v>
      </c>
      <c r="P783" s="107">
        <v>127.05</v>
      </c>
      <c r="Q783" s="107">
        <v>129</v>
      </c>
      <c r="R783">
        <v>5169081</v>
      </c>
    </row>
    <row r="784" spans="1:18" x14ac:dyDescent="0.25">
      <c r="A784" s="130">
        <v>43154</v>
      </c>
      <c r="B784" s="107">
        <v>130.9</v>
      </c>
      <c r="C784" s="107">
        <v>129.05000000000001</v>
      </c>
      <c r="D784" s="107">
        <v>127.9</v>
      </c>
      <c r="E784" s="107">
        <v>129.1</v>
      </c>
      <c r="F784" s="107">
        <v>129.05000000000001</v>
      </c>
      <c r="G784">
        <v>195867</v>
      </c>
      <c r="H784" s="107"/>
      <c r="I784" s="107"/>
      <c r="L784" s="130">
        <v>43154</v>
      </c>
      <c r="M784" s="107">
        <v>128.94999999999999</v>
      </c>
      <c r="N784" s="107">
        <v>130.94999999999999</v>
      </c>
      <c r="O784" s="107">
        <v>126.45</v>
      </c>
      <c r="P784" s="107">
        <v>129</v>
      </c>
      <c r="Q784" s="107">
        <v>128.94999999999999</v>
      </c>
      <c r="R784">
        <v>3975621</v>
      </c>
    </row>
    <row r="785" spans="1:18" x14ac:dyDescent="0.25">
      <c r="A785" s="130">
        <v>43157</v>
      </c>
      <c r="B785" s="107">
        <v>129.80000000000001</v>
      </c>
      <c r="C785" s="107">
        <v>127.4</v>
      </c>
      <c r="D785" s="107">
        <v>125.85</v>
      </c>
      <c r="E785" s="107">
        <v>128.05000000000001</v>
      </c>
      <c r="F785" s="107">
        <v>127.4</v>
      </c>
      <c r="G785">
        <v>277394</v>
      </c>
      <c r="H785" s="107"/>
      <c r="I785" s="107"/>
      <c r="L785" s="130">
        <v>43157</v>
      </c>
      <c r="M785" s="107">
        <v>127.25</v>
      </c>
      <c r="N785" s="107">
        <v>129.85</v>
      </c>
      <c r="O785" s="107">
        <v>125.8</v>
      </c>
      <c r="P785" s="107">
        <v>129.85</v>
      </c>
      <c r="Q785" s="107">
        <v>127.25</v>
      </c>
      <c r="R785">
        <v>4317893</v>
      </c>
    </row>
    <row r="786" spans="1:18" x14ac:dyDescent="0.25">
      <c r="A786" s="130">
        <v>43158</v>
      </c>
      <c r="B786" s="107">
        <v>127</v>
      </c>
      <c r="C786" s="107">
        <v>118.25</v>
      </c>
      <c r="D786" s="107">
        <v>116.7</v>
      </c>
      <c r="E786" s="107">
        <v>127</v>
      </c>
      <c r="F786" s="107">
        <v>118.25</v>
      </c>
      <c r="G786">
        <v>767083</v>
      </c>
      <c r="H786" s="107"/>
      <c r="I786" s="107"/>
      <c r="L786" s="130">
        <v>43158</v>
      </c>
      <c r="M786" s="107">
        <v>118.45</v>
      </c>
      <c r="N786" s="107">
        <v>127</v>
      </c>
      <c r="O786" s="107">
        <v>116.6</v>
      </c>
      <c r="P786" s="107">
        <v>126.7</v>
      </c>
      <c r="Q786" s="107">
        <v>118.45</v>
      </c>
      <c r="R786">
        <v>11523076</v>
      </c>
    </row>
    <row r="787" spans="1:18" x14ac:dyDescent="0.25">
      <c r="A787" s="130">
        <v>43159</v>
      </c>
      <c r="B787" s="107">
        <v>118.4</v>
      </c>
      <c r="C787" s="107">
        <v>116.3</v>
      </c>
      <c r="D787" s="107">
        <v>112.15</v>
      </c>
      <c r="E787" s="107">
        <v>115.4</v>
      </c>
      <c r="F787" s="107">
        <v>116.3</v>
      </c>
      <c r="G787">
        <v>1087727</v>
      </c>
      <c r="H787" s="107"/>
      <c r="I787" s="107"/>
      <c r="L787" s="130">
        <v>43159</v>
      </c>
      <c r="M787" s="107">
        <v>116.2</v>
      </c>
      <c r="N787" s="107">
        <v>118.4</v>
      </c>
      <c r="O787" s="107">
        <v>112.1</v>
      </c>
      <c r="P787" s="107">
        <v>114.1</v>
      </c>
      <c r="Q787" s="107">
        <v>116.2</v>
      </c>
      <c r="R787">
        <v>17307583</v>
      </c>
    </row>
    <row r="788" spans="1:18" x14ac:dyDescent="0.25">
      <c r="A788" s="130">
        <v>43160</v>
      </c>
      <c r="B788" s="107">
        <v>116.75</v>
      </c>
      <c r="C788" s="107">
        <v>113.1</v>
      </c>
      <c r="D788" s="107">
        <v>112.6</v>
      </c>
      <c r="E788" s="107">
        <v>116</v>
      </c>
      <c r="F788" s="107">
        <v>113.1</v>
      </c>
      <c r="G788">
        <v>701091</v>
      </c>
      <c r="H788" s="107"/>
      <c r="I788" s="107"/>
      <c r="L788" s="130">
        <v>43160</v>
      </c>
      <c r="M788" s="107">
        <v>113.15</v>
      </c>
      <c r="N788" s="107">
        <v>116.8</v>
      </c>
      <c r="O788" s="107">
        <v>112.65</v>
      </c>
      <c r="P788" s="107">
        <v>115.55</v>
      </c>
      <c r="Q788" s="107">
        <v>113.15</v>
      </c>
      <c r="R788">
        <v>9463499</v>
      </c>
    </row>
    <row r="789" spans="1:18" x14ac:dyDescent="0.25">
      <c r="A789" s="130">
        <v>43164</v>
      </c>
      <c r="B789" s="107">
        <v>114</v>
      </c>
      <c r="C789" s="107">
        <v>110.6</v>
      </c>
      <c r="D789" s="107">
        <v>109.8</v>
      </c>
      <c r="E789" s="107">
        <v>112</v>
      </c>
      <c r="F789" s="107">
        <v>110.6</v>
      </c>
      <c r="G789">
        <v>507185</v>
      </c>
      <c r="H789" s="107"/>
      <c r="I789" s="107"/>
      <c r="L789" s="130">
        <v>43164</v>
      </c>
      <c r="M789" s="107">
        <v>110.65</v>
      </c>
      <c r="N789" s="107">
        <v>114.1</v>
      </c>
      <c r="O789" s="107">
        <v>109.6</v>
      </c>
      <c r="P789" s="107">
        <v>112</v>
      </c>
      <c r="Q789" s="107">
        <v>110.65</v>
      </c>
      <c r="R789">
        <v>8339823</v>
      </c>
    </row>
    <row r="790" spans="1:18" x14ac:dyDescent="0.25">
      <c r="A790" s="130">
        <v>43165</v>
      </c>
      <c r="B790" s="107">
        <v>112.7</v>
      </c>
      <c r="C790" s="107">
        <v>103.45</v>
      </c>
      <c r="D790" s="107">
        <v>102</v>
      </c>
      <c r="E790" s="107">
        <v>112.5</v>
      </c>
      <c r="F790" s="107">
        <v>103.45</v>
      </c>
      <c r="G790">
        <v>815589</v>
      </c>
      <c r="H790" s="107"/>
      <c r="I790" s="107"/>
      <c r="L790" s="130">
        <v>43165</v>
      </c>
      <c r="M790" s="107">
        <v>103.5</v>
      </c>
      <c r="N790" s="107">
        <v>113</v>
      </c>
      <c r="O790" s="107">
        <v>101.9</v>
      </c>
      <c r="P790" s="107">
        <v>112.05</v>
      </c>
      <c r="Q790" s="107">
        <v>103.5</v>
      </c>
      <c r="R790">
        <v>12955555</v>
      </c>
    </row>
    <row r="791" spans="1:18" x14ac:dyDescent="0.25">
      <c r="A791" s="130">
        <v>43166</v>
      </c>
      <c r="B791" s="107">
        <v>103.35</v>
      </c>
      <c r="C791" s="107">
        <v>101</v>
      </c>
      <c r="D791" s="107">
        <v>98.2</v>
      </c>
      <c r="E791" s="107">
        <v>102.95</v>
      </c>
      <c r="F791" s="107">
        <v>101</v>
      </c>
      <c r="G791">
        <v>993829</v>
      </c>
      <c r="H791" s="107"/>
      <c r="I791" s="107"/>
      <c r="L791" s="130">
        <v>43166</v>
      </c>
      <c r="M791" s="107">
        <v>101.05</v>
      </c>
      <c r="N791" s="107">
        <v>103.5</v>
      </c>
      <c r="O791" s="107">
        <v>98</v>
      </c>
      <c r="P791" s="107">
        <v>101.4</v>
      </c>
      <c r="Q791" s="107">
        <v>101.05</v>
      </c>
      <c r="R791">
        <v>15043424</v>
      </c>
    </row>
    <row r="792" spans="1:18" x14ac:dyDescent="0.25">
      <c r="A792" s="130">
        <v>43167</v>
      </c>
      <c r="B792" s="107">
        <v>102.1</v>
      </c>
      <c r="C792" s="107">
        <v>99.6</v>
      </c>
      <c r="D792" s="107">
        <v>96.75</v>
      </c>
      <c r="E792" s="107">
        <v>101</v>
      </c>
      <c r="F792" s="107">
        <v>99.6</v>
      </c>
      <c r="G792">
        <v>1155459</v>
      </c>
      <c r="H792" s="107"/>
      <c r="I792" s="107"/>
      <c r="L792" s="130">
        <v>43167</v>
      </c>
      <c r="M792" s="107">
        <v>99.65</v>
      </c>
      <c r="N792" s="107">
        <v>102.15</v>
      </c>
      <c r="O792" s="107">
        <v>96.75</v>
      </c>
      <c r="P792" s="107">
        <v>101.6</v>
      </c>
      <c r="Q792" s="107">
        <v>99.65</v>
      </c>
      <c r="R792">
        <v>13123265</v>
      </c>
    </row>
    <row r="793" spans="1:18" x14ac:dyDescent="0.25">
      <c r="A793" s="130">
        <v>43168</v>
      </c>
      <c r="B793" s="107">
        <v>100.5</v>
      </c>
      <c r="C793" s="107">
        <v>97.55</v>
      </c>
      <c r="D793" s="107">
        <v>97.15</v>
      </c>
      <c r="E793" s="107">
        <v>100.5</v>
      </c>
      <c r="F793" s="107">
        <v>97.55</v>
      </c>
      <c r="G793">
        <v>694936</v>
      </c>
      <c r="H793" s="107"/>
      <c r="I793" s="107"/>
      <c r="L793" s="130">
        <v>43168</v>
      </c>
      <c r="M793" s="107">
        <v>97.65</v>
      </c>
      <c r="N793" s="107">
        <v>100.75</v>
      </c>
      <c r="O793" s="107">
        <v>97.15</v>
      </c>
      <c r="P793" s="107">
        <v>100.75</v>
      </c>
      <c r="Q793" s="107">
        <v>97.65</v>
      </c>
      <c r="R793">
        <v>7189203</v>
      </c>
    </row>
    <row r="794" spans="1:18" x14ac:dyDescent="0.25">
      <c r="A794" s="130">
        <v>43171</v>
      </c>
      <c r="B794" s="107">
        <v>98.5</v>
      </c>
      <c r="C794" s="107">
        <v>95.1</v>
      </c>
      <c r="D794" s="107">
        <v>91.35</v>
      </c>
      <c r="E794" s="107">
        <v>97.6</v>
      </c>
      <c r="F794" s="107">
        <v>95.1</v>
      </c>
      <c r="G794">
        <v>1385295</v>
      </c>
      <c r="H794" s="107"/>
      <c r="I794" s="107"/>
      <c r="L794" s="130">
        <v>43171</v>
      </c>
      <c r="M794" s="107">
        <v>95.1</v>
      </c>
      <c r="N794" s="107">
        <v>98.95</v>
      </c>
      <c r="O794" s="107">
        <v>91.35</v>
      </c>
      <c r="P794" s="107">
        <v>97.7</v>
      </c>
      <c r="Q794" s="107">
        <v>95.1</v>
      </c>
      <c r="R794">
        <v>13853663</v>
      </c>
    </row>
    <row r="795" spans="1:18" x14ac:dyDescent="0.25">
      <c r="A795" s="130">
        <v>43172</v>
      </c>
      <c r="B795" s="107">
        <v>109.35</v>
      </c>
      <c r="C795" s="107">
        <v>102.2</v>
      </c>
      <c r="D795" s="107">
        <v>93.5</v>
      </c>
      <c r="E795" s="107">
        <v>93.5</v>
      </c>
      <c r="F795" s="107">
        <v>102.2</v>
      </c>
      <c r="G795">
        <v>6642860</v>
      </c>
      <c r="H795" s="107"/>
      <c r="I795" s="107"/>
      <c r="L795" s="130">
        <v>43172</v>
      </c>
      <c r="M795" s="107">
        <v>102.15</v>
      </c>
      <c r="N795" s="107">
        <v>109.35</v>
      </c>
      <c r="O795" s="107">
        <v>94.1</v>
      </c>
      <c r="P795" s="107">
        <v>94.95</v>
      </c>
      <c r="Q795" s="107">
        <v>102.15</v>
      </c>
      <c r="R795">
        <v>68002667</v>
      </c>
    </row>
    <row r="796" spans="1:18" x14ac:dyDescent="0.25">
      <c r="A796" s="130">
        <v>43173</v>
      </c>
      <c r="B796" s="107">
        <v>104.25</v>
      </c>
      <c r="C796" s="107">
        <v>103.1</v>
      </c>
      <c r="D796" s="107">
        <v>98</v>
      </c>
      <c r="E796" s="107">
        <v>101.5</v>
      </c>
      <c r="F796" s="107">
        <v>103.1</v>
      </c>
      <c r="G796">
        <v>3729861</v>
      </c>
      <c r="H796" s="107"/>
      <c r="I796" s="107"/>
      <c r="L796" s="130">
        <v>43173</v>
      </c>
      <c r="M796" s="107">
        <v>103.05</v>
      </c>
      <c r="N796" s="107">
        <v>104.3</v>
      </c>
      <c r="O796" s="107">
        <v>98</v>
      </c>
      <c r="P796" s="107">
        <v>100.55</v>
      </c>
      <c r="Q796" s="107">
        <v>103.05</v>
      </c>
      <c r="R796">
        <v>34606382</v>
      </c>
    </row>
    <row r="797" spans="1:18" x14ac:dyDescent="0.25">
      <c r="A797" s="130">
        <v>43174</v>
      </c>
      <c r="B797" s="107">
        <v>105.8</v>
      </c>
      <c r="C797" s="107">
        <v>103.55</v>
      </c>
      <c r="D797" s="107">
        <v>102.2</v>
      </c>
      <c r="E797" s="107">
        <v>103</v>
      </c>
      <c r="F797" s="107">
        <v>103.55</v>
      </c>
      <c r="G797">
        <v>1567064</v>
      </c>
      <c r="H797" s="107"/>
      <c r="I797" s="107"/>
      <c r="L797" s="130">
        <v>43174</v>
      </c>
      <c r="M797" s="107">
        <v>103.7</v>
      </c>
      <c r="N797" s="107">
        <v>105.85</v>
      </c>
      <c r="O797" s="107">
        <v>102</v>
      </c>
      <c r="P797" s="107">
        <v>103.15</v>
      </c>
      <c r="Q797" s="107">
        <v>103.7</v>
      </c>
      <c r="R797">
        <v>17268108</v>
      </c>
    </row>
    <row r="798" spans="1:18" x14ac:dyDescent="0.25">
      <c r="A798" s="130">
        <v>43175</v>
      </c>
      <c r="B798" s="107">
        <v>107.2</v>
      </c>
      <c r="C798" s="107">
        <v>103.95</v>
      </c>
      <c r="D798" s="107">
        <v>102.55</v>
      </c>
      <c r="E798" s="107">
        <v>103</v>
      </c>
      <c r="F798" s="107">
        <v>103.95</v>
      </c>
      <c r="G798">
        <v>1569898</v>
      </c>
      <c r="H798" s="107"/>
      <c r="I798" s="107"/>
      <c r="L798" s="130">
        <v>43175</v>
      </c>
      <c r="M798" s="107">
        <v>104</v>
      </c>
      <c r="N798" s="107">
        <v>107.35</v>
      </c>
      <c r="O798" s="107">
        <v>102.15</v>
      </c>
      <c r="P798" s="107">
        <v>102.55</v>
      </c>
      <c r="Q798" s="107">
        <v>104</v>
      </c>
      <c r="R798">
        <v>19255322</v>
      </c>
    </row>
    <row r="799" spans="1:18" x14ac:dyDescent="0.25">
      <c r="A799" s="130">
        <v>43178</v>
      </c>
      <c r="B799" s="107">
        <v>105.8</v>
      </c>
      <c r="C799" s="107">
        <v>100.3</v>
      </c>
      <c r="D799" s="107">
        <v>98.85</v>
      </c>
      <c r="E799" s="107">
        <v>105.45</v>
      </c>
      <c r="F799" s="107">
        <v>100.3</v>
      </c>
      <c r="G799">
        <v>1145067</v>
      </c>
      <c r="H799" s="107"/>
      <c r="I799" s="107"/>
      <c r="L799" s="130">
        <v>43178</v>
      </c>
      <c r="M799" s="107">
        <v>100.4</v>
      </c>
      <c r="N799" s="107">
        <v>105.9</v>
      </c>
      <c r="O799" s="107">
        <v>98.7</v>
      </c>
      <c r="P799" s="107">
        <v>104.8</v>
      </c>
      <c r="Q799" s="107">
        <v>100.4</v>
      </c>
      <c r="R799">
        <v>14579471</v>
      </c>
    </row>
    <row r="800" spans="1:18" x14ac:dyDescent="0.25">
      <c r="A800" s="130">
        <v>43179</v>
      </c>
      <c r="B800" s="107">
        <v>102.3</v>
      </c>
      <c r="C800" s="107">
        <v>100.7</v>
      </c>
      <c r="D800" s="107">
        <v>96.6</v>
      </c>
      <c r="E800" s="107">
        <v>97.7</v>
      </c>
      <c r="F800" s="107">
        <v>100.7</v>
      </c>
      <c r="G800">
        <v>1053060</v>
      </c>
      <c r="H800" s="107"/>
      <c r="I800" s="107"/>
      <c r="L800" s="130">
        <v>43179</v>
      </c>
      <c r="M800" s="107">
        <v>100.7</v>
      </c>
      <c r="N800" s="107">
        <v>102.35</v>
      </c>
      <c r="O800" s="107">
        <v>96.5</v>
      </c>
      <c r="P800" s="107">
        <v>98</v>
      </c>
      <c r="Q800" s="107">
        <v>100.7</v>
      </c>
      <c r="R800">
        <v>15975916</v>
      </c>
    </row>
    <row r="801" spans="1:18" x14ac:dyDescent="0.25">
      <c r="A801" s="130">
        <v>43180</v>
      </c>
      <c r="B801" s="107">
        <v>104.9</v>
      </c>
      <c r="C801" s="107">
        <v>103.4</v>
      </c>
      <c r="D801" s="107">
        <v>102</v>
      </c>
      <c r="E801" s="107">
        <v>102</v>
      </c>
      <c r="F801" s="107">
        <v>103.4</v>
      </c>
      <c r="G801">
        <v>916184</v>
      </c>
      <c r="H801" s="107"/>
      <c r="I801" s="107"/>
      <c r="L801" s="130">
        <v>43180</v>
      </c>
      <c r="M801" s="107">
        <v>103.6</v>
      </c>
      <c r="N801" s="107">
        <v>104.85</v>
      </c>
      <c r="O801" s="107">
        <v>102.1</v>
      </c>
      <c r="P801" s="107">
        <v>104</v>
      </c>
      <c r="Q801" s="107">
        <v>103.6</v>
      </c>
      <c r="R801">
        <v>12944669</v>
      </c>
    </row>
    <row r="802" spans="1:18" x14ac:dyDescent="0.25">
      <c r="A802" s="130">
        <v>43181</v>
      </c>
      <c r="B802" s="107">
        <v>104</v>
      </c>
      <c r="C802" s="107">
        <v>102.2</v>
      </c>
      <c r="D802" s="107">
        <v>101.1</v>
      </c>
      <c r="E802" s="107">
        <v>103.4</v>
      </c>
      <c r="F802" s="107">
        <v>102.2</v>
      </c>
      <c r="G802">
        <v>540083</v>
      </c>
      <c r="H802" s="107"/>
      <c r="I802" s="107"/>
      <c r="L802" s="130">
        <v>43181</v>
      </c>
      <c r="M802" s="107">
        <v>102.35</v>
      </c>
      <c r="N802" s="107">
        <v>104.75</v>
      </c>
      <c r="O802" s="107">
        <v>101.3</v>
      </c>
      <c r="P802" s="107">
        <v>102.55</v>
      </c>
      <c r="Q802" s="107">
        <v>102.35</v>
      </c>
      <c r="R802">
        <v>6627386</v>
      </c>
    </row>
    <row r="803" spans="1:18" x14ac:dyDescent="0.25">
      <c r="A803" s="130">
        <v>43182</v>
      </c>
      <c r="B803" s="107">
        <v>99.7</v>
      </c>
      <c r="C803" s="107">
        <v>97.45</v>
      </c>
      <c r="D803" s="107">
        <v>96.3</v>
      </c>
      <c r="E803" s="107">
        <v>99.7</v>
      </c>
      <c r="F803" s="107">
        <v>97.45</v>
      </c>
      <c r="G803">
        <v>787327</v>
      </c>
      <c r="H803" s="107"/>
      <c r="I803" s="107"/>
      <c r="L803" s="130">
        <v>43182</v>
      </c>
      <c r="M803" s="107">
        <v>97.45</v>
      </c>
      <c r="N803" s="107">
        <v>99.35</v>
      </c>
      <c r="O803" s="107">
        <v>96.25</v>
      </c>
      <c r="P803" s="107">
        <v>98</v>
      </c>
      <c r="Q803" s="107">
        <v>97.45</v>
      </c>
      <c r="R803">
        <v>8452627</v>
      </c>
    </row>
    <row r="804" spans="1:18" x14ac:dyDescent="0.25">
      <c r="A804" s="130">
        <v>43185</v>
      </c>
      <c r="B804" s="107">
        <v>102.5</v>
      </c>
      <c r="C804" s="107">
        <v>102</v>
      </c>
      <c r="D804" s="107">
        <v>95.2</v>
      </c>
      <c r="E804" s="107">
        <v>95.55</v>
      </c>
      <c r="F804" s="107">
        <v>102</v>
      </c>
      <c r="G804">
        <v>1068877</v>
      </c>
      <c r="H804" s="107"/>
      <c r="I804" s="107"/>
      <c r="L804" s="130">
        <v>43185</v>
      </c>
      <c r="M804" s="107">
        <v>102.05</v>
      </c>
      <c r="N804" s="107">
        <v>102.55</v>
      </c>
      <c r="O804" s="107">
        <v>95.1</v>
      </c>
      <c r="P804" s="107">
        <v>95.15</v>
      </c>
      <c r="Q804" s="107">
        <v>102.05</v>
      </c>
      <c r="R804">
        <v>13305684</v>
      </c>
    </row>
    <row r="805" spans="1:18" x14ac:dyDescent="0.25">
      <c r="A805" s="130">
        <v>43186</v>
      </c>
      <c r="B805" s="107">
        <v>107.2</v>
      </c>
      <c r="C805" s="107">
        <v>105.3</v>
      </c>
      <c r="D805" s="107">
        <v>101.85</v>
      </c>
      <c r="E805" s="107">
        <v>104.25</v>
      </c>
      <c r="F805" s="107">
        <v>105.3</v>
      </c>
      <c r="G805">
        <v>1016941</v>
      </c>
      <c r="H805" s="107"/>
      <c r="I805" s="107"/>
      <c r="L805" s="130">
        <v>43186</v>
      </c>
      <c r="M805" s="107">
        <v>105.3</v>
      </c>
      <c r="N805" s="107">
        <v>107.35</v>
      </c>
      <c r="O805" s="107">
        <v>101.8</v>
      </c>
      <c r="P805" s="107">
        <v>105.2</v>
      </c>
      <c r="Q805" s="107">
        <v>105.3</v>
      </c>
      <c r="R805">
        <v>13149721</v>
      </c>
    </row>
    <row r="806" spans="1:18" x14ac:dyDescent="0.25">
      <c r="A806" s="130">
        <v>43187</v>
      </c>
      <c r="B806" s="107">
        <v>107.2</v>
      </c>
      <c r="C806" s="107">
        <v>103.4</v>
      </c>
      <c r="D806" s="107">
        <v>102</v>
      </c>
      <c r="E806" s="107">
        <v>104</v>
      </c>
      <c r="F806" s="107">
        <v>103.4</v>
      </c>
      <c r="G806">
        <v>715288</v>
      </c>
      <c r="H806" s="107"/>
      <c r="I806" s="107"/>
      <c r="L806" s="130">
        <v>43187</v>
      </c>
      <c r="M806" s="107">
        <v>103.55</v>
      </c>
      <c r="N806" s="107">
        <v>107.3</v>
      </c>
      <c r="O806" s="107">
        <v>102.9</v>
      </c>
      <c r="P806" s="107">
        <v>104.1</v>
      </c>
      <c r="Q806" s="107">
        <v>103.55</v>
      </c>
      <c r="R806">
        <v>9063592</v>
      </c>
    </row>
    <row r="807" spans="1:18" x14ac:dyDescent="0.25">
      <c r="A807" s="130">
        <v>43192</v>
      </c>
      <c r="B807" s="107">
        <v>105.15</v>
      </c>
      <c r="C807" s="107">
        <v>104.5</v>
      </c>
      <c r="D807" s="107">
        <v>101.8</v>
      </c>
      <c r="E807" s="107">
        <v>103.4</v>
      </c>
      <c r="F807" s="107">
        <v>104.5</v>
      </c>
      <c r="G807">
        <v>404216</v>
      </c>
      <c r="H807" s="107"/>
      <c r="I807" s="107"/>
      <c r="L807" s="130">
        <v>43192</v>
      </c>
      <c r="M807" s="107">
        <v>104.65</v>
      </c>
      <c r="N807" s="107">
        <v>105.2</v>
      </c>
      <c r="O807" s="107">
        <v>101.8</v>
      </c>
      <c r="P807" s="107">
        <v>103.65</v>
      </c>
      <c r="Q807" s="107">
        <v>104.65</v>
      </c>
      <c r="R807">
        <v>5525344</v>
      </c>
    </row>
    <row r="808" spans="1:18" x14ac:dyDescent="0.25">
      <c r="A808" s="130">
        <v>43193</v>
      </c>
      <c r="B808" s="107">
        <v>109.65</v>
      </c>
      <c r="C808" s="107">
        <v>107.75</v>
      </c>
      <c r="D808" s="107">
        <v>105.5</v>
      </c>
      <c r="E808" s="107">
        <v>106.05</v>
      </c>
      <c r="F808" s="107">
        <v>107.75</v>
      </c>
      <c r="G808">
        <v>828882</v>
      </c>
      <c r="H808" s="107"/>
      <c r="I808" s="107"/>
      <c r="L808" s="130">
        <v>43193</v>
      </c>
      <c r="M808" s="107">
        <v>107.7</v>
      </c>
      <c r="N808" s="107">
        <v>109.6</v>
      </c>
      <c r="O808" s="107">
        <v>105.4</v>
      </c>
      <c r="P808" s="107">
        <v>105.4</v>
      </c>
      <c r="Q808" s="107">
        <v>107.7</v>
      </c>
      <c r="R808">
        <v>10346916</v>
      </c>
    </row>
    <row r="809" spans="1:18" x14ac:dyDescent="0.25">
      <c r="A809" s="130">
        <v>43194</v>
      </c>
      <c r="B809" s="107">
        <v>109.3</v>
      </c>
      <c r="C809" s="107">
        <v>103.4</v>
      </c>
      <c r="D809" s="107">
        <v>103.15</v>
      </c>
      <c r="E809" s="107">
        <v>109</v>
      </c>
      <c r="F809" s="107">
        <v>103.4</v>
      </c>
      <c r="G809">
        <v>765109</v>
      </c>
      <c r="H809" s="107"/>
      <c r="I809" s="107"/>
      <c r="L809" s="130">
        <v>43194</v>
      </c>
      <c r="M809" s="107">
        <v>103.45</v>
      </c>
      <c r="N809" s="107">
        <v>109.3</v>
      </c>
      <c r="O809" s="107">
        <v>103.05</v>
      </c>
      <c r="P809" s="107">
        <v>108.1</v>
      </c>
      <c r="Q809" s="107">
        <v>103.45</v>
      </c>
      <c r="R809">
        <v>8498931</v>
      </c>
    </row>
    <row r="810" spans="1:18" x14ac:dyDescent="0.25">
      <c r="A810" s="130">
        <v>43195</v>
      </c>
      <c r="B810" s="107">
        <v>112.8</v>
      </c>
      <c r="C810" s="107">
        <v>110.8</v>
      </c>
      <c r="D810" s="107">
        <v>105.05</v>
      </c>
      <c r="E810" s="107">
        <v>105.05</v>
      </c>
      <c r="F810" s="107">
        <v>110.8</v>
      </c>
      <c r="G810">
        <v>1017064</v>
      </c>
      <c r="H810" s="107"/>
      <c r="I810" s="107"/>
      <c r="L810" s="130">
        <v>43195</v>
      </c>
      <c r="M810" s="107">
        <v>111.1</v>
      </c>
      <c r="N810" s="107">
        <v>112.9</v>
      </c>
      <c r="O810" s="107">
        <v>105.15</v>
      </c>
      <c r="P810" s="107">
        <v>105.4</v>
      </c>
      <c r="Q810" s="107">
        <v>111.1</v>
      </c>
      <c r="R810">
        <v>13193553</v>
      </c>
    </row>
    <row r="811" spans="1:18" x14ac:dyDescent="0.25">
      <c r="A811" s="130">
        <v>43196</v>
      </c>
      <c r="B811" s="107">
        <v>113.9</v>
      </c>
      <c r="C811" s="107">
        <v>113.1</v>
      </c>
      <c r="D811" s="107">
        <v>108.25</v>
      </c>
      <c r="E811" s="107">
        <v>111</v>
      </c>
      <c r="F811" s="107">
        <v>113.1</v>
      </c>
      <c r="G811">
        <v>1417794</v>
      </c>
      <c r="H811" s="107"/>
      <c r="I811" s="107"/>
      <c r="L811" s="130">
        <v>43196</v>
      </c>
      <c r="M811" s="107">
        <v>113.1</v>
      </c>
      <c r="N811" s="107">
        <v>113.9</v>
      </c>
      <c r="O811" s="107">
        <v>108.1</v>
      </c>
      <c r="P811" s="107">
        <v>110.9</v>
      </c>
      <c r="Q811" s="107">
        <v>113.1</v>
      </c>
      <c r="R811">
        <v>19481082</v>
      </c>
    </row>
    <row r="812" spans="1:18" x14ac:dyDescent="0.25">
      <c r="A812" s="130">
        <v>43199</v>
      </c>
      <c r="B812" s="107">
        <v>117.05</v>
      </c>
      <c r="C812" s="107">
        <v>115.8</v>
      </c>
      <c r="D812" s="107">
        <v>112.2</v>
      </c>
      <c r="E812" s="107">
        <v>114.7</v>
      </c>
      <c r="F812" s="107">
        <v>115.8</v>
      </c>
      <c r="G812">
        <v>1140115</v>
      </c>
      <c r="H812" s="107"/>
      <c r="I812" s="107"/>
      <c r="L812" s="130">
        <v>43199</v>
      </c>
      <c r="M812" s="107">
        <v>116.05</v>
      </c>
      <c r="N812" s="107">
        <v>117.25</v>
      </c>
      <c r="O812" s="107">
        <v>112</v>
      </c>
      <c r="P812" s="107">
        <v>113.2</v>
      </c>
      <c r="Q812" s="107">
        <v>116.05</v>
      </c>
      <c r="R812">
        <v>15258877</v>
      </c>
    </row>
    <row r="813" spans="1:18" x14ac:dyDescent="0.25">
      <c r="A813" s="130">
        <v>43200</v>
      </c>
      <c r="B813" s="107">
        <v>118.5</v>
      </c>
      <c r="C813" s="107">
        <v>115.5</v>
      </c>
      <c r="D813" s="107">
        <v>114</v>
      </c>
      <c r="E813" s="107">
        <v>116.5</v>
      </c>
      <c r="F813" s="107">
        <v>115.5</v>
      </c>
      <c r="G813">
        <v>787382</v>
      </c>
      <c r="H813" s="107"/>
      <c r="I813" s="107"/>
      <c r="L813" s="130">
        <v>43200</v>
      </c>
      <c r="M813" s="107">
        <v>115.55</v>
      </c>
      <c r="N813" s="107">
        <v>118.7</v>
      </c>
      <c r="O813" s="107">
        <v>114.2</v>
      </c>
      <c r="P813" s="107">
        <v>117</v>
      </c>
      <c r="Q813" s="107">
        <v>115.55</v>
      </c>
      <c r="R813">
        <v>10714939</v>
      </c>
    </row>
    <row r="814" spans="1:18" x14ac:dyDescent="0.25">
      <c r="A814" s="130">
        <v>43201</v>
      </c>
      <c r="B814" s="107">
        <v>115.5</v>
      </c>
      <c r="C814" s="107">
        <v>112.25</v>
      </c>
      <c r="D814" s="107">
        <v>111.6</v>
      </c>
      <c r="E814" s="107">
        <v>115.4</v>
      </c>
      <c r="F814" s="107">
        <v>112.25</v>
      </c>
      <c r="G814">
        <v>605721</v>
      </c>
      <c r="H814" s="107"/>
      <c r="I814" s="107"/>
      <c r="L814" s="130">
        <v>43201</v>
      </c>
      <c r="M814" s="107">
        <v>112.35</v>
      </c>
      <c r="N814" s="107">
        <v>115.65</v>
      </c>
      <c r="O814" s="107">
        <v>111.5</v>
      </c>
      <c r="P814" s="107">
        <v>115.65</v>
      </c>
      <c r="Q814" s="107">
        <v>112.35</v>
      </c>
      <c r="R814">
        <v>7721057</v>
      </c>
    </row>
    <row r="815" spans="1:18" x14ac:dyDescent="0.25">
      <c r="A815" s="130">
        <v>43202</v>
      </c>
      <c r="B815" s="107">
        <v>113.1</v>
      </c>
      <c r="C815" s="107">
        <v>110.2</v>
      </c>
      <c r="D815" s="107">
        <v>109.65</v>
      </c>
      <c r="E815" s="107">
        <v>112.2</v>
      </c>
      <c r="F815" s="107">
        <v>110.2</v>
      </c>
      <c r="G815">
        <v>495625</v>
      </c>
      <c r="H815" s="107"/>
      <c r="I815" s="107"/>
      <c r="L815" s="130">
        <v>43202</v>
      </c>
      <c r="M815" s="107">
        <v>110.3</v>
      </c>
      <c r="N815" s="107">
        <v>113.15</v>
      </c>
      <c r="O815" s="107">
        <v>109.45</v>
      </c>
      <c r="P815" s="107">
        <v>112</v>
      </c>
      <c r="Q815" s="107">
        <v>110.3</v>
      </c>
      <c r="R815">
        <v>6507545</v>
      </c>
    </row>
    <row r="816" spans="1:18" x14ac:dyDescent="0.25">
      <c r="A816" s="130">
        <v>43203</v>
      </c>
      <c r="B816" s="107">
        <v>113</v>
      </c>
      <c r="C816" s="107">
        <v>111.3</v>
      </c>
      <c r="D816" s="107">
        <v>108</v>
      </c>
      <c r="E816" s="107">
        <v>108</v>
      </c>
      <c r="F816" s="107">
        <v>111.3</v>
      </c>
      <c r="G816">
        <v>434679</v>
      </c>
      <c r="H816" s="107"/>
      <c r="I816" s="107"/>
      <c r="L816" s="130">
        <v>43203</v>
      </c>
      <c r="M816" s="107">
        <v>111.05</v>
      </c>
      <c r="N816" s="107">
        <v>113.1</v>
      </c>
      <c r="O816" s="107">
        <v>110.4</v>
      </c>
      <c r="P816" s="107">
        <v>111</v>
      </c>
      <c r="Q816" s="107">
        <v>111.05</v>
      </c>
      <c r="R816">
        <v>6760225</v>
      </c>
    </row>
    <row r="817" spans="1:18" x14ac:dyDescent="0.25">
      <c r="A817" s="130">
        <v>43206</v>
      </c>
      <c r="B817" s="107">
        <v>111.45</v>
      </c>
      <c r="C817" s="107">
        <v>110.2</v>
      </c>
      <c r="D817" s="107">
        <v>108.35</v>
      </c>
      <c r="E817" s="107">
        <v>109.2</v>
      </c>
      <c r="F817" s="107">
        <v>110.2</v>
      </c>
      <c r="G817">
        <v>462798</v>
      </c>
      <c r="H817" s="107"/>
      <c r="I817" s="107"/>
      <c r="L817" s="130">
        <v>43206</v>
      </c>
      <c r="M817" s="107">
        <v>110.3</v>
      </c>
      <c r="N817" s="107">
        <v>111.45</v>
      </c>
      <c r="O817" s="107">
        <v>108.3</v>
      </c>
      <c r="P817" s="107">
        <v>110</v>
      </c>
      <c r="Q817" s="107">
        <v>110.3</v>
      </c>
      <c r="R817">
        <v>5587460</v>
      </c>
    </row>
    <row r="818" spans="1:18" x14ac:dyDescent="0.25">
      <c r="A818" s="130">
        <v>43207</v>
      </c>
      <c r="B818" s="107">
        <v>112.55</v>
      </c>
      <c r="C818" s="107">
        <v>110</v>
      </c>
      <c r="D818" s="107">
        <v>109.4</v>
      </c>
      <c r="E818" s="107">
        <v>110.2</v>
      </c>
      <c r="F818" s="107">
        <v>110</v>
      </c>
      <c r="G818">
        <v>524123</v>
      </c>
      <c r="H818" s="107"/>
      <c r="I818" s="107"/>
      <c r="L818" s="130">
        <v>43207</v>
      </c>
      <c r="M818" s="107">
        <v>109.85</v>
      </c>
      <c r="N818" s="107">
        <v>112.6</v>
      </c>
      <c r="O818" s="107">
        <v>109.3</v>
      </c>
      <c r="P818" s="107">
        <v>110.4</v>
      </c>
      <c r="Q818" s="107">
        <v>109.85</v>
      </c>
      <c r="R818">
        <v>6640933</v>
      </c>
    </row>
    <row r="819" spans="1:18" x14ac:dyDescent="0.25">
      <c r="A819" s="130">
        <v>43208</v>
      </c>
      <c r="B819" s="107">
        <v>112.15</v>
      </c>
      <c r="C819" s="107">
        <v>109.15</v>
      </c>
      <c r="D819" s="107">
        <v>108.5</v>
      </c>
      <c r="E819" s="107">
        <v>110.5</v>
      </c>
      <c r="F819" s="107">
        <v>109.15</v>
      </c>
      <c r="G819">
        <v>487339</v>
      </c>
      <c r="H819" s="107"/>
      <c r="I819" s="107"/>
      <c r="L819" s="130">
        <v>43208</v>
      </c>
      <c r="M819" s="107">
        <v>109.05</v>
      </c>
      <c r="N819" s="107">
        <v>112.2</v>
      </c>
      <c r="O819" s="107">
        <v>108.45</v>
      </c>
      <c r="P819" s="107">
        <v>110.8</v>
      </c>
      <c r="Q819" s="107">
        <v>109.05</v>
      </c>
      <c r="R819">
        <v>7949925</v>
      </c>
    </row>
    <row r="820" spans="1:18" x14ac:dyDescent="0.25">
      <c r="A820" s="130">
        <v>43209</v>
      </c>
      <c r="B820" s="107">
        <v>110.05</v>
      </c>
      <c r="C820" s="107">
        <v>109</v>
      </c>
      <c r="D820" s="107">
        <v>108.25</v>
      </c>
      <c r="E820" s="107">
        <v>109</v>
      </c>
      <c r="F820" s="107">
        <v>109</v>
      </c>
      <c r="G820">
        <v>387429</v>
      </c>
      <c r="H820" s="107"/>
      <c r="I820" s="107"/>
      <c r="L820" s="130">
        <v>43209</v>
      </c>
      <c r="M820" s="107">
        <v>109.1</v>
      </c>
      <c r="N820" s="107">
        <v>110.4</v>
      </c>
      <c r="O820" s="107">
        <v>108.15</v>
      </c>
      <c r="P820" s="107">
        <v>109.05</v>
      </c>
      <c r="Q820" s="107">
        <v>109.1</v>
      </c>
      <c r="R820">
        <v>4485083</v>
      </c>
    </row>
    <row r="821" spans="1:18" x14ac:dyDescent="0.25">
      <c r="A821" s="130">
        <v>43210</v>
      </c>
      <c r="B821" s="107">
        <v>109.1</v>
      </c>
      <c r="C821" s="107">
        <v>102.25</v>
      </c>
      <c r="D821" s="107">
        <v>101.2</v>
      </c>
      <c r="E821" s="107">
        <v>108</v>
      </c>
      <c r="F821" s="107">
        <v>102.25</v>
      </c>
      <c r="G821">
        <v>1368041</v>
      </c>
      <c r="H821" s="107"/>
      <c r="I821" s="107"/>
      <c r="L821" s="130">
        <v>43210</v>
      </c>
      <c r="M821" s="107">
        <v>102.35</v>
      </c>
      <c r="N821" s="107">
        <v>108.7</v>
      </c>
      <c r="O821" s="107">
        <v>101.2</v>
      </c>
      <c r="P821" s="107">
        <v>108.5</v>
      </c>
      <c r="Q821" s="107">
        <v>102.35</v>
      </c>
      <c r="R821">
        <v>14906894</v>
      </c>
    </row>
    <row r="822" spans="1:18" x14ac:dyDescent="0.25">
      <c r="A822" s="130">
        <v>43213</v>
      </c>
      <c r="B822" s="107">
        <v>103.95</v>
      </c>
      <c r="C822" s="107">
        <v>102.45</v>
      </c>
      <c r="D822" s="107">
        <v>100</v>
      </c>
      <c r="E822" s="107">
        <v>102</v>
      </c>
      <c r="F822" s="107">
        <v>102.45</v>
      </c>
      <c r="G822">
        <v>769597</v>
      </c>
      <c r="H822" s="107"/>
      <c r="I822" s="107"/>
      <c r="L822" s="130">
        <v>43213</v>
      </c>
      <c r="M822" s="107">
        <v>102.5</v>
      </c>
      <c r="N822" s="107">
        <v>104</v>
      </c>
      <c r="O822" s="107">
        <v>99.95</v>
      </c>
      <c r="P822" s="107">
        <v>101.95</v>
      </c>
      <c r="Q822" s="107">
        <v>102.5</v>
      </c>
      <c r="R822">
        <v>9095306</v>
      </c>
    </row>
    <row r="823" spans="1:18" x14ac:dyDescent="0.25">
      <c r="A823" s="130">
        <v>43214</v>
      </c>
      <c r="B823" s="107">
        <v>103.9</v>
      </c>
      <c r="C823" s="107">
        <v>101.2</v>
      </c>
      <c r="D823" s="107">
        <v>100.7</v>
      </c>
      <c r="E823" s="107">
        <v>103.9</v>
      </c>
      <c r="F823" s="107">
        <v>101.2</v>
      </c>
      <c r="G823">
        <v>452418</v>
      </c>
      <c r="H823" s="107"/>
      <c r="I823" s="107"/>
      <c r="L823" s="130">
        <v>43214</v>
      </c>
      <c r="M823" s="107">
        <v>101.05</v>
      </c>
      <c r="N823" s="107">
        <v>103.1</v>
      </c>
      <c r="O823" s="107">
        <v>100.65</v>
      </c>
      <c r="P823" s="107">
        <v>102.2</v>
      </c>
      <c r="Q823" s="107">
        <v>101.05</v>
      </c>
      <c r="R823">
        <v>4717072</v>
      </c>
    </row>
    <row r="824" spans="1:18" x14ac:dyDescent="0.25">
      <c r="A824" s="130">
        <v>43215</v>
      </c>
      <c r="B824" s="107">
        <v>101.1</v>
      </c>
      <c r="C824" s="107">
        <v>97.25</v>
      </c>
      <c r="D824" s="107">
        <v>96.8</v>
      </c>
      <c r="E824" s="107">
        <v>101.1</v>
      </c>
      <c r="F824" s="107">
        <v>97.25</v>
      </c>
      <c r="G824">
        <v>858355</v>
      </c>
      <c r="H824" s="107"/>
      <c r="I824" s="107"/>
      <c r="L824" s="130">
        <v>43215</v>
      </c>
      <c r="M824" s="107">
        <v>97.3</v>
      </c>
      <c r="N824" s="107">
        <v>100.95</v>
      </c>
      <c r="O824" s="107">
        <v>96.9</v>
      </c>
      <c r="P824" s="107">
        <v>100.5</v>
      </c>
      <c r="Q824" s="107">
        <v>97.3</v>
      </c>
      <c r="R824">
        <v>7567573</v>
      </c>
    </row>
    <row r="825" spans="1:18" x14ac:dyDescent="0.25">
      <c r="A825" s="130">
        <v>43216</v>
      </c>
      <c r="B825" s="107">
        <v>99</v>
      </c>
      <c r="C825" s="107">
        <v>98.35</v>
      </c>
      <c r="D825" s="107">
        <v>96.65</v>
      </c>
      <c r="E825" s="107">
        <v>98.4</v>
      </c>
      <c r="F825" s="107">
        <v>98.35</v>
      </c>
      <c r="G825">
        <v>481218</v>
      </c>
      <c r="H825" s="107"/>
      <c r="I825" s="107"/>
      <c r="L825" s="130">
        <v>43216</v>
      </c>
      <c r="M825" s="107">
        <v>98.4</v>
      </c>
      <c r="N825" s="107">
        <v>99.05</v>
      </c>
      <c r="O825" s="107">
        <v>96.4</v>
      </c>
      <c r="P825" s="107">
        <v>97.35</v>
      </c>
      <c r="Q825" s="107">
        <v>98.4</v>
      </c>
      <c r="R825">
        <v>6197987</v>
      </c>
    </row>
    <row r="826" spans="1:18" x14ac:dyDescent="0.25">
      <c r="A826" s="130">
        <v>43217</v>
      </c>
      <c r="B826" s="107">
        <v>104.7</v>
      </c>
      <c r="C826" s="107">
        <v>102.1</v>
      </c>
      <c r="D826" s="107">
        <v>98.9</v>
      </c>
      <c r="E826" s="107">
        <v>98.9</v>
      </c>
      <c r="F826" s="107">
        <v>102.1</v>
      </c>
      <c r="G826">
        <v>887006</v>
      </c>
      <c r="H826" s="107"/>
      <c r="I826" s="107"/>
      <c r="L826" s="130">
        <v>43217</v>
      </c>
      <c r="M826" s="107">
        <v>102</v>
      </c>
      <c r="N826" s="107">
        <v>104.8</v>
      </c>
      <c r="O826" s="107">
        <v>99</v>
      </c>
      <c r="P826" s="107">
        <v>99</v>
      </c>
      <c r="Q826" s="107">
        <v>102</v>
      </c>
      <c r="R826">
        <v>11614370</v>
      </c>
    </row>
    <row r="827" spans="1:18" x14ac:dyDescent="0.25">
      <c r="A827" s="130">
        <v>43220</v>
      </c>
      <c r="B827" s="107">
        <v>105.1</v>
      </c>
      <c r="C827" s="107">
        <v>103.95</v>
      </c>
      <c r="D827" s="107">
        <v>102.1</v>
      </c>
      <c r="E827" s="107">
        <v>102.1</v>
      </c>
      <c r="F827" s="107">
        <v>103.95</v>
      </c>
      <c r="G827">
        <v>430407</v>
      </c>
      <c r="H827" s="107"/>
      <c r="I827" s="107"/>
      <c r="L827" s="130">
        <v>43220</v>
      </c>
      <c r="M827" s="107">
        <v>104.05</v>
      </c>
      <c r="N827" s="107">
        <v>105.2</v>
      </c>
      <c r="O827" s="107">
        <v>102.55</v>
      </c>
      <c r="P827" s="107">
        <v>102.95</v>
      </c>
      <c r="Q827" s="107">
        <v>104.05</v>
      </c>
      <c r="R827">
        <v>6106253</v>
      </c>
    </row>
    <row r="828" spans="1:18" x14ac:dyDescent="0.25">
      <c r="A828" s="130">
        <v>43222</v>
      </c>
      <c r="B828" s="107">
        <v>105</v>
      </c>
      <c r="C828" s="107">
        <v>101.4</v>
      </c>
      <c r="D828" s="107">
        <v>100.4</v>
      </c>
      <c r="E828" s="107">
        <v>104.9</v>
      </c>
      <c r="F828" s="107">
        <v>101.4</v>
      </c>
      <c r="G828">
        <v>444402</v>
      </c>
      <c r="H828" s="107"/>
      <c r="I828" s="107"/>
      <c r="L828" s="130">
        <v>43222</v>
      </c>
      <c r="M828" s="107">
        <v>101.5</v>
      </c>
      <c r="N828" s="107">
        <v>105.15</v>
      </c>
      <c r="O828" s="107">
        <v>100.4</v>
      </c>
      <c r="P828" s="107">
        <v>104</v>
      </c>
      <c r="Q828" s="107">
        <v>101.5</v>
      </c>
      <c r="R828">
        <v>4545389</v>
      </c>
    </row>
    <row r="829" spans="1:18" x14ac:dyDescent="0.25">
      <c r="A829" s="130">
        <v>43223</v>
      </c>
      <c r="B829" s="107">
        <v>102.85</v>
      </c>
      <c r="C829" s="107">
        <v>101.2</v>
      </c>
      <c r="D829" s="107">
        <v>100</v>
      </c>
      <c r="E829" s="107">
        <v>101.4</v>
      </c>
      <c r="F829" s="107">
        <v>101.2</v>
      </c>
      <c r="G829">
        <v>461201</v>
      </c>
      <c r="H829" s="107"/>
      <c r="I829" s="107"/>
      <c r="L829" s="130">
        <v>43223</v>
      </c>
      <c r="M829" s="107">
        <v>101.15</v>
      </c>
      <c r="N829" s="107">
        <v>102.8</v>
      </c>
      <c r="O829" s="107">
        <v>99.9</v>
      </c>
      <c r="P829" s="107">
        <v>101.75</v>
      </c>
      <c r="Q829" s="107">
        <v>101.15</v>
      </c>
      <c r="R829">
        <v>4458903</v>
      </c>
    </row>
    <row r="830" spans="1:18" x14ac:dyDescent="0.25">
      <c r="A830" s="130">
        <v>43224</v>
      </c>
      <c r="B830" s="107">
        <v>103.65</v>
      </c>
      <c r="C830" s="107">
        <v>100.15</v>
      </c>
      <c r="D830" s="107">
        <v>99.2</v>
      </c>
      <c r="E830" s="107">
        <v>100.6</v>
      </c>
      <c r="F830" s="107">
        <v>100.15</v>
      </c>
      <c r="G830">
        <v>447679</v>
      </c>
      <c r="H830" s="107"/>
      <c r="I830" s="107"/>
      <c r="L830" s="130">
        <v>43224</v>
      </c>
      <c r="M830" s="107">
        <v>100.2</v>
      </c>
      <c r="N830" s="107">
        <v>103.7</v>
      </c>
      <c r="O830" s="107">
        <v>99.2</v>
      </c>
      <c r="P830" s="107">
        <v>101.1</v>
      </c>
      <c r="Q830" s="107">
        <v>100.2</v>
      </c>
      <c r="R830">
        <v>5290527</v>
      </c>
    </row>
    <row r="831" spans="1:18" x14ac:dyDescent="0.25">
      <c r="A831" s="130">
        <v>43227</v>
      </c>
      <c r="B831" s="107">
        <v>103.9</v>
      </c>
      <c r="C831" s="107">
        <v>102.4</v>
      </c>
      <c r="D831" s="107">
        <v>101.5</v>
      </c>
      <c r="E831" s="107">
        <v>102.1</v>
      </c>
      <c r="F831" s="107">
        <v>102.4</v>
      </c>
      <c r="G831">
        <v>479958</v>
      </c>
      <c r="H831" s="107"/>
      <c r="I831" s="107"/>
      <c r="L831" s="130">
        <v>43227</v>
      </c>
      <c r="M831" s="107">
        <v>102.3</v>
      </c>
      <c r="N831" s="107">
        <v>103.95</v>
      </c>
      <c r="O831" s="107">
        <v>101</v>
      </c>
      <c r="P831" s="107">
        <v>101.4</v>
      </c>
      <c r="Q831" s="107">
        <v>102.3</v>
      </c>
      <c r="R831">
        <v>6904908</v>
      </c>
    </row>
    <row r="832" spans="1:18" x14ac:dyDescent="0.25">
      <c r="A832" s="130">
        <v>43228</v>
      </c>
      <c r="B832" s="107">
        <v>107.35</v>
      </c>
      <c r="C832" s="107">
        <v>104.75</v>
      </c>
      <c r="D832" s="107">
        <v>100.25</v>
      </c>
      <c r="E832" s="107">
        <v>103</v>
      </c>
      <c r="F832" s="107">
        <v>104.75</v>
      </c>
      <c r="G832">
        <v>878821</v>
      </c>
      <c r="H832" s="107"/>
      <c r="I832" s="107"/>
      <c r="L832" s="130">
        <v>43228</v>
      </c>
      <c r="M832" s="107">
        <v>104.6</v>
      </c>
      <c r="N832" s="107">
        <v>107.4</v>
      </c>
      <c r="O832" s="107">
        <v>100.2</v>
      </c>
      <c r="P832" s="107">
        <v>103.05</v>
      </c>
      <c r="Q832" s="107">
        <v>104.6</v>
      </c>
      <c r="R832">
        <v>10341744</v>
      </c>
    </row>
    <row r="833" spans="1:18" x14ac:dyDescent="0.25">
      <c r="A833" s="130">
        <v>43229</v>
      </c>
      <c r="B833" s="107">
        <v>105.1</v>
      </c>
      <c r="C833" s="107">
        <v>103.05</v>
      </c>
      <c r="D833" s="107">
        <v>102.25</v>
      </c>
      <c r="E833" s="107">
        <v>103.8</v>
      </c>
      <c r="F833" s="107">
        <v>103.05</v>
      </c>
      <c r="G833">
        <v>403494</v>
      </c>
      <c r="H833" s="107"/>
      <c r="I833" s="107"/>
      <c r="L833" s="130">
        <v>43229</v>
      </c>
      <c r="M833" s="107">
        <v>103.3</v>
      </c>
      <c r="N833" s="107">
        <v>105</v>
      </c>
      <c r="O833" s="107">
        <v>102.2</v>
      </c>
      <c r="P833" s="107">
        <v>103.65</v>
      </c>
      <c r="Q833" s="107">
        <v>103.3</v>
      </c>
      <c r="R833">
        <v>4883976</v>
      </c>
    </row>
    <row r="834" spans="1:18" x14ac:dyDescent="0.25">
      <c r="A834" s="130">
        <v>43230</v>
      </c>
      <c r="B834" s="107">
        <v>104.25</v>
      </c>
      <c r="C834" s="107">
        <v>99.9</v>
      </c>
      <c r="D834" s="107">
        <v>99.2</v>
      </c>
      <c r="E834" s="107">
        <v>103.5</v>
      </c>
      <c r="F834" s="107">
        <v>99.9</v>
      </c>
      <c r="G834">
        <v>566963</v>
      </c>
      <c r="H834" s="107"/>
      <c r="I834" s="107"/>
      <c r="L834" s="130">
        <v>43230</v>
      </c>
      <c r="M834" s="107">
        <v>100</v>
      </c>
      <c r="N834" s="107">
        <v>104.1</v>
      </c>
      <c r="O834" s="107">
        <v>99.5</v>
      </c>
      <c r="P834" s="107">
        <v>103.4</v>
      </c>
      <c r="Q834" s="107">
        <v>100</v>
      </c>
      <c r="R834">
        <v>5035176</v>
      </c>
    </row>
    <row r="835" spans="1:18" x14ac:dyDescent="0.25">
      <c r="A835" s="130">
        <v>43231</v>
      </c>
      <c r="B835" s="107">
        <v>101.25</v>
      </c>
      <c r="C835" s="107">
        <v>99.9</v>
      </c>
      <c r="D835" s="107">
        <v>98.25</v>
      </c>
      <c r="E835" s="107">
        <v>99.9</v>
      </c>
      <c r="F835" s="107">
        <v>99.9</v>
      </c>
      <c r="G835">
        <v>391444</v>
      </c>
      <c r="H835" s="107"/>
      <c r="I835" s="107"/>
      <c r="L835" s="130">
        <v>43231</v>
      </c>
      <c r="M835" s="107">
        <v>100</v>
      </c>
      <c r="N835" s="107">
        <v>101.2</v>
      </c>
      <c r="O835" s="107">
        <v>98.1</v>
      </c>
      <c r="P835" s="107">
        <v>100</v>
      </c>
      <c r="Q835" s="107">
        <v>100</v>
      </c>
      <c r="R835">
        <v>4759345</v>
      </c>
    </row>
    <row r="836" spans="1:18" x14ac:dyDescent="0.25">
      <c r="A836" s="130">
        <v>43234</v>
      </c>
      <c r="B836" s="107">
        <v>102.9</v>
      </c>
      <c r="C836" s="107">
        <v>99.35</v>
      </c>
      <c r="D836" s="107">
        <v>98.5</v>
      </c>
      <c r="E836" s="107">
        <v>99.9</v>
      </c>
      <c r="F836" s="107">
        <v>99.35</v>
      </c>
      <c r="G836">
        <v>517183</v>
      </c>
      <c r="H836" s="107"/>
      <c r="I836" s="107"/>
      <c r="L836" s="130">
        <v>43234</v>
      </c>
      <c r="M836" s="107">
        <v>99.25</v>
      </c>
      <c r="N836" s="107">
        <v>102.75</v>
      </c>
      <c r="O836" s="107">
        <v>98.4</v>
      </c>
      <c r="P836" s="107">
        <v>100.2</v>
      </c>
      <c r="Q836" s="107">
        <v>99.25</v>
      </c>
      <c r="R836">
        <v>6181106</v>
      </c>
    </row>
    <row r="837" spans="1:18" x14ac:dyDescent="0.25">
      <c r="A837" s="130">
        <v>43235</v>
      </c>
      <c r="B837" s="107">
        <v>101.5</v>
      </c>
      <c r="C837" s="107">
        <v>97.3</v>
      </c>
      <c r="D837" s="107">
        <v>96.5</v>
      </c>
      <c r="E837" s="107">
        <v>98.2</v>
      </c>
      <c r="F837" s="107">
        <v>97.3</v>
      </c>
      <c r="G837">
        <v>539821</v>
      </c>
      <c r="H837" s="107"/>
      <c r="I837" s="107"/>
      <c r="L837" s="130">
        <v>43235</v>
      </c>
      <c r="M837" s="107">
        <v>97.3</v>
      </c>
      <c r="N837" s="107">
        <v>101.45</v>
      </c>
      <c r="O837" s="107">
        <v>96.7</v>
      </c>
      <c r="P837" s="107">
        <v>99.2</v>
      </c>
      <c r="Q837" s="107">
        <v>97.3</v>
      </c>
      <c r="R837">
        <v>6029013</v>
      </c>
    </row>
    <row r="838" spans="1:18" x14ac:dyDescent="0.25">
      <c r="A838" s="130">
        <v>43236</v>
      </c>
      <c r="B838" s="107">
        <v>97.3</v>
      </c>
      <c r="C838" s="107">
        <v>95</v>
      </c>
      <c r="D838" s="107">
        <v>92.9</v>
      </c>
      <c r="E838" s="107">
        <v>96.95</v>
      </c>
      <c r="F838" s="107">
        <v>95</v>
      </c>
      <c r="G838">
        <v>809995</v>
      </c>
      <c r="H838" s="107"/>
      <c r="I838" s="107"/>
      <c r="L838" s="130">
        <v>43236</v>
      </c>
      <c r="M838" s="107">
        <v>95.1</v>
      </c>
      <c r="N838" s="107">
        <v>97.2</v>
      </c>
      <c r="O838" s="107">
        <v>92.85</v>
      </c>
      <c r="P838" s="107">
        <v>96.85</v>
      </c>
      <c r="Q838" s="107">
        <v>95.1</v>
      </c>
      <c r="R838">
        <v>9432726</v>
      </c>
    </row>
    <row r="839" spans="1:18" x14ac:dyDescent="0.25">
      <c r="A839" s="130">
        <v>43237</v>
      </c>
      <c r="B839" s="107">
        <v>98.2</v>
      </c>
      <c r="C839" s="107">
        <v>95.55</v>
      </c>
      <c r="D839" s="107">
        <v>94.25</v>
      </c>
      <c r="E839" s="107">
        <v>94.3</v>
      </c>
      <c r="F839" s="107">
        <v>95.55</v>
      </c>
      <c r="G839">
        <v>468764</v>
      </c>
      <c r="H839" s="107"/>
      <c r="I839" s="107"/>
      <c r="L839" s="130">
        <v>43237</v>
      </c>
      <c r="M839" s="107">
        <v>95.55</v>
      </c>
      <c r="N839" s="107">
        <v>98.25</v>
      </c>
      <c r="O839" s="107">
        <v>94.2</v>
      </c>
      <c r="P839" s="107">
        <v>95.5</v>
      </c>
      <c r="Q839" s="107">
        <v>95.55</v>
      </c>
      <c r="R839">
        <v>5360239</v>
      </c>
    </row>
    <row r="840" spans="1:18" x14ac:dyDescent="0.25">
      <c r="A840" s="130">
        <v>43238</v>
      </c>
      <c r="B840" s="107">
        <v>96.15</v>
      </c>
      <c r="C840" s="107">
        <v>93.25</v>
      </c>
      <c r="D840" s="107">
        <v>92.85</v>
      </c>
      <c r="E840" s="107">
        <v>95.55</v>
      </c>
      <c r="F840" s="107">
        <v>93.25</v>
      </c>
      <c r="G840">
        <v>537806</v>
      </c>
      <c r="H840" s="107"/>
      <c r="I840" s="107"/>
      <c r="L840" s="130">
        <v>43238</v>
      </c>
      <c r="M840" s="107">
        <v>93.45</v>
      </c>
      <c r="N840" s="107">
        <v>96.2</v>
      </c>
      <c r="O840" s="107">
        <v>92.75</v>
      </c>
      <c r="P840" s="107">
        <v>95.3</v>
      </c>
      <c r="Q840" s="107">
        <v>93.45</v>
      </c>
      <c r="R840">
        <v>5325271</v>
      </c>
    </row>
    <row r="841" spans="1:18" x14ac:dyDescent="0.25">
      <c r="A841" s="130">
        <v>43241</v>
      </c>
      <c r="B841" s="107">
        <v>99.9</v>
      </c>
      <c r="C841" s="107">
        <v>98.2</v>
      </c>
      <c r="D841" s="107">
        <v>94.85</v>
      </c>
      <c r="E841" s="107">
        <v>99.4</v>
      </c>
      <c r="F841" s="107">
        <v>98.2</v>
      </c>
      <c r="G841">
        <v>1406196</v>
      </c>
      <c r="H841" s="107"/>
      <c r="I841" s="107"/>
      <c r="L841" s="130">
        <v>43241</v>
      </c>
      <c r="M841" s="107">
        <v>97.95</v>
      </c>
      <c r="N841" s="107">
        <v>100</v>
      </c>
      <c r="O841" s="107">
        <v>94.7</v>
      </c>
      <c r="P841" s="107">
        <v>98.95</v>
      </c>
      <c r="Q841" s="107">
        <v>97.95</v>
      </c>
      <c r="R841">
        <v>16790634</v>
      </c>
    </row>
    <row r="842" spans="1:18" x14ac:dyDescent="0.25">
      <c r="A842" s="130">
        <v>43242</v>
      </c>
      <c r="B842" s="107">
        <v>101.4</v>
      </c>
      <c r="C842" s="107">
        <v>98.8</v>
      </c>
      <c r="D842" s="107">
        <v>96.25</v>
      </c>
      <c r="E842" s="107">
        <v>98.2</v>
      </c>
      <c r="F842" s="107">
        <v>98.8</v>
      </c>
      <c r="G842">
        <v>934821</v>
      </c>
      <c r="H842" s="107"/>
      <c r="I842" s="107"/>
      <c r="L842" s="130">
        <v>43242</v>
      </c>
      <c r="M842" s="107">
        <v>98.8</v>
      </c>
      <c r="N842" s="107">
        <v>101.5</v>
      </c>
      <c r="O842" s="107">
        <v>96.1</v>
      </c>
      <c r="P842" s="107">
        <v>98</v>
      </c>
      <c r="Q842" s="107">
        <v>98.8</v>
      </c>
      <c r="R842">
        <v>10502276</v>
      </c>
    </row>
    <row r="843" spans="1:18" x14ac:dyDescent="0.25">
      <c r="A843" s="130">
        <v>43243</v>
      </c>
      <c r="B843" s="107">
        <v>103.1</v>
      </c>
      <c r="C843" s="107">
        <v>98.55</v>
      </c>
      <c r="D843" s="107">
        <v>97.65</v>
      </c>
      <c r="E843" s="107">
        <v>98.05</v>
      </c>
      <c r="F843" s="107">
        <v>98.55</v>
      </c>
      <c r="G843">
        <v>1096115</v>
      </c>
      <c r="H843" s="107"/>
      <c r="I843" s="107"/>
      <c r="L843" s="130">
        <v>43243</v>
      </c>
      <c r="M843" s="107">
        <v>98.65</v>
      </c>
      <c r="N843" s="107">
        <v>103.3</v>
      </c>
      <c r="O843" s="107">
        <v>97.65</v>
      </c>
      <c r="P843" s="107">
        <v>98.4</v>
      </c>
      <c r="Q843" s="107">
        <v>98.65</v>
      </c>
      <c r="R843">
        <v>12510685</v>
      </c>
    </row>
    <row r="844" spans="1:18" x14ac:dyDescent="0.25">
      <c r="A844" s="130">
        <v>43244</v>
      </c>
      <c r="B844" s="107">
        <v>100.9</v>
      </c>
      <c r="C844" s="107">
        <v>99.85</v>
      </c>
      <c r="D844" s="107">
        <v>98.3</v>
      </c>
      <c r="E844" s="107">
        <v>99.45</v>
      </c>
      <c r="F844" s="107">
        <v>99.85</v>
      </c>
      <c r="G844">
        <v>658450</v>
      </c>
      <c r="H844" s="107"/>
      <c r="I844" s="107"/>
      <c r="L844" s="130">
        <v>43244</v>
      </c>
      <c r="M844" s="107">
        <v>99.85</v>
      </c>
      <c r="N844" s="107">
        <v>100.9</v>
      </c>
      <c r="O844" s="107">
        <v>98.15</v>
      </c>
      <c r="P844" s="107">
        <v>99</v>
      </c>
      <c r="Q844" s="107">
        <v>99.85</v>
      </c>
      <c r="R844">
        <v>8712178</v>
      </c>
    </row>
    <row r="845" spans="1:18" x14ac:dyDescent="0.25">
      <c r="A845" s="130">
        <v>43245</v>
      </c>
      <c r="B845" s="107">
        <v>103.9</v>
      </c>
      <c r="C845" s="107">
        <v>103</v>
      </c>
      <c r="D845" s="107">
        <v>99.45</v>
      </c>
      <c r="E845" s="107">
        <v>99.85</v>
      </c>
      <c r="F845" s="107">
        <v>103</v>
      </c>
      <c r="G845">
        <v>907506</v>
      </c>
      <c r="H845" s="107"/>
      <c r="I845" s="107"/>
      <c r="L845" s="130">
        <v>43245</v>
      </c>
      <c r="M845" s="107">
        <v>103.05</v>
      </c>
      <c r="N845" s="107">
        <v>103.8</v>
      </c>
      <c r="O845" s="107">
        <v>99.35</v>
      </c>
      <c r="P845" s="107">
        <v>100</v>
      </c>
      <c r="Q845" s="107">
        <v>103.05</v>
      </c>
      <c r="R845">
        <v>8637147</v>
      </c>
    </row>
    <row r="846" spans="1:18" x14ac:dyDescent="0.25">
      <c r="A846" s="130">
        <v>43248</v>
      </c>
      <c r="B846" s="107">
        <v>108.7</v>
      </c>
      <c r="C846" s="107">
        <v>107.85</v>
      </c>
      <c r="D846" s="107">
        <v>104.5</v>
      </c>
      <c r="E846" s="107">
        <v>106</v>
      </c>
      <c r="F846" s="107">
        <v>107.85</v>
      </c>
      <c r="G846">
        <v>1366413</v>
      </c>
      <c r="H846" s="107"/>
      <c r="I846" s="107"/>
      <c r="L846" s="130">
        <v>43248</v>
      </c>
      <c r="M846" s="107">
        <v>107.75</v>
      </c>
      <c r="N846" s="107">
        <v>108.8</v>
      </c>
      <c r="O846" s="107">
        <v>104.5</v>
      </c>
      <c r="P846" s="107">
        <v>106.45</v>
      </c>
      <c r="Q846" s="107">
        <v>107.75</v>
      </c>
      <c r="R846">
        <v>14368980</v>
      </c>
    </row>
    <row r="847" spans="1:18" x14ac:dyDescent="0.25">
      <c r="A847" s="130">
        <v>43249</v>
      </c>
      <c r="B847" s="107">
        <v>107</v>
      </c>
      <c r="C847" s="107">
        <v>101.6</v>
      </c>
      <c r="D847" s="107">
        <v>101.1</v>
      </c>
      <c r="E847" s="107">
        <v>105.3</v>
      </c>
      <c r="F847" s="107">
        <v>101.6</v>
      </c>
      <c r="G847">
        <v>1499562</v>
      </c>
      <c r="H847" s="107"/>
      <c r="I847" s="107"/>
      <c r="L847" s="130">
        <v>43249</v>
      </c>
      <c r="M847" s="107">
        <v>101.6</v>
      </c>
      <c r="N847" s="107">
        <v>106</v>
      </c>
      <c r="O847" s="107">
        <v>101.1</v>
      </c>
      <c r="P847" s="107">
        <v>106</v>
      </c>
      <c r="Q847" s="107">
        <v>101.6</v>
      </c>
      <c r="R847">
        <v>18636555</v>
      </c>
    </row>
    <row r="848" spans="1:18" x14ac:dyDescent="0.25">
      <c r="A848" s="130">
        <v>43250</v>
      </c>
      <c r="B848" s="107">
        <v>102.35</v>
      </c>
      <c r="C848" s="107">
        <v>101.05</v>
      </c>
      <c r="D848" s="107">
        <v>99.5</v>
      </c>
      <c r="E848" s="107">
        <v>99.95</v>
      </c>
      <c r="F848" s="107">
        <v>101.05</v>
      </c>
      <c r="G848">
        <v>604487</v>
      </c>
      <c r="H848" s="107"/>
      <c r="I848" s="107"/>
      <c r="L848" s="130">
        <v>43250</v>
      </c>
      <c r="M848" s="107">
        <v>100.9</v>
      </c>
      <c r="N848" s="107">
        <v>102.4</v>
      </c>
      <c r="O848" s="107">
        <v>99.4</v>
      </c>
      <c r="P848" s="107">
        <v>99.5</v>
      </c>
      <c r="Q848" s="107">
        <v>100.9</v>
      </c>
      <c r="R848">
        <v>8171045</v>
      </c>
    </row>
    <row r="849" spans="1:18" x14ac:dyDescent="0.25">
      <c r="A849" s="130">
        <v>43251</v>
      </c>
      <c r="B849" s="107">
        <v>102.3</v>
      </c>
      <c r="C849" s="107">
        <v>98.7</v>
      </c>
      <c r="D849" s="107">
        <v>98.2</v>
      </c>
      <c r="E849" s="107">
        <v>102.3</v>
      </c>
      <c r="F849" s="107">
        <v>98.7</v>
      </c>
      <c r="G849">
        <v>506492</v>
      </c>
      <c r="H849" s="107"/>
      <c r="I849" s="107"/>
      <c r="L849" s="130">
        <v>43251</v>
      </c>
      <c r="M849" s="107">
        <v>98.6</v>
      </c>
      <c r="N849" s="107">
        <v>101.9</v>
      </c>
      <c r="O849" s="107">
        <v>98.15</v>
      </c>
      <c r="P849" s="107">
        <v>101.1</v>
      </c>
      <c r="Q849" s="107">
        <v>98.6</v>
      </c>
      <c r="R849">
        <v>7244763</v>
      </c>
    </row>
    <row r="850" spans="1:18" x14ac:dyDescent="0.25">
      <c r="A850" s="130">
        <v>43252</v>
      </c>
      <c r="B850" s="107">
        <v>99.8</v>
      </c>
      <c r="C850" s="107">
        <v>96.7</v>
      </c>
      <c r="D850" s="107">
        <v>96.3</v>
      </c>
      <c r="E850" s="107">
        <v>98.8</v>
      </c>
      <c r="F850" s="107">
        <v>96.7</v>
      </c>
      <c r="G850">
        <v>756044</v>
      </c>
      <c r="H850" s="107"/>
      <c r="I850" s="107"/>
      <c r="L850" s="130">
        <v>43252</v>
      </c>
      <c r="M850" s="107">
        <v>96.7</v>
      </c>
      <c r="N850" s="107">
        <v>99.85</v>
      </c>
      <c r="O850" s="107">
        <v>96.2</v>
      </c>
      <c r="P850" s="107">
        <v>99</v>
      </c>
      <c r="Q850" s="107">
        <v>96.7</v>
      </c>
      <c r="R850">
        <v>7678145</v>
      </c>
    </row>
    <row r="851" spans="1:18" x14ac:dyDescent="0.25">
      <c r="A851" s="130">
        <v>43255</v>
      </c>
      <c r="B851" s="107">
        <v>97.75</v>
      </c>
      <c r="C851" s="107">
        <v>94.65</v>
      </c>
      <c r="D851" s="107">
        <v>93.8</v>
      </c>
      <c r="E851" s="107">
        <v>96.7</v>
      </c>
      <c r="F851" s="107">
        <v>94.65</v>
      </c>
      <c r="G851">
        <v>451391</v>
      </c>
      <c r="H851" s="107"/>
      <c r="I851" s="107"/>
      <c r="L851" s="130">
        <v>43255</v>
      </c>
      <c r="M851" s="107">
        <v>94.7</v>
      </c>
      <c r="N851" s="107">
        <v>97.9</v>
      </c>
      <c r="O851" s="107">
        <v>94</v>
      </c>
      <c r="P851" s="107">
        <v>97.1</v>
      </c>
      <c r="Q851" s="107">
        <v>94.7</v>
      </c>
      <c r="R851">
        <v>5405199</v>
      </c>
    </row>
    <row r="852" spans="1:18" x14ac:dyDescent="0.25">
      <c r="A852" s="130">
        <v>43256</v>
      </c>
      <c r="B852" s="107">
        <v>95.3</v>
      </c>
      <c r="C852" s="107">
        <v>93.4</v>
      </c>
      <c r="D852" s="107">
        <v>92.4</v>
      </c>
      <c r="E852" s="107">
        <v>94.65</v>
      </c>
      <c r="F852" s="107">
        <v>93.4</v>
      </c>
      <c r="G852">
        <v>572758</v>
      </c>
      <c r="H852" s="107"/>
      <c r="I852" s="107"/>
      <c r="L852" s="130">
        <v>43256</v>
      </c>
      <c r="M852" s="107">
        <v>93.4</v>
      </c>
      <c r="N852" s="107">
        <v>95.25</v>
      </c>
      <c r="O852" s="107">
        <v>92.4</v>
      </c>
      <c r="P852" s="107">
        <v>94.5</v>
      </c>
      <c r="Q852" s="107">
        <v>93.4</v>
      </c>
      <c r="R852">
        <v>5972770</v>
      </c>
    </row>
    <row r="853" spans="1:18" x14ac:dyDescent="0.25">
      <c r="A853" s="130">
        <v>43257</v>
      </c>
      <c r="B853" s="107">
        <v>97</v>
      </c>
      <c r="C853" s="107">
        <v>96</v>
      </c>
      <c r="D853" s="107">
        <v>93</v>
      </c>
      <c r="E853" s="107">
        <v>93.4</v>
      </c>
      <c r="F853" s="107">
        <v>96</v>
      </c>
      <c r="G853">
        <v>613632</v>
      </c>
      <c r="H853" s="107"/>
      <c r="I853" s="107"/>
      <c r="L853" s="130">
        <v>43257</v>
      </c>
      <c r="M853" s="107">
        <v>96</v>
      </c>
      <c r="N853" s="107">
        <v>96.7</v>
      </c>
      <c r="O853" s="107">
        <v>93.05</v>
      </c>
      <c r="P853" s="107">
        <v>93.4</v>
      </c>
      <c r="Q853" s="107">
        <v>96</v>
      </c>
      <c r="R853">
        <v>8978676</v>
      </c>
    </row>
    <row r="854" spans="1:18" x14ac:dyDescent="0.25">
      <c r="A854" s="130">
        <v>43258</v>
      </c>
      <c r="B854" s="107">
        <v>99.7</v>
      </c>
      <c r="C854" s="107">
        <v>98.5</v>
      </c>
      <c r="D854" s="107">
        <v>96.2</v>
      </c>
      <c r="E854" s="107">
        <v>97</v>
      </c>
      <c r="F854" s="107">
        <v>98.5</v>
      </c>
      <c r="G854">
        <v>685160</v>
      </c>
      <c r="H854" s="107"/>
      <c r="I854" s="107"/>
      <c r="L854" s="130">
        <v>43258</v>
      </c>
      <c r="M854" s="107">
        <v>98.55</v>
      </c>
      <c r="N854" s="107">
        <v>99.7</v>
      </c>
      <c r="O854" s="107">
        <v>96.1</v>
      </c>
      <c r="P854" s="107">
        <v>96.6</v>
      </c>
      <c r="Q854" s="107">
        <v>98.55</v>
      </c>
      <c r="R854">
        <v>9231782</v>
      </c>
    </row>
    <row r="855" spans="1:18" x14ac:dyDescent="0.25">
      <c r="A855" s="130">
        <v>43259</v>
      </c>
      <c r="B855" s="107">
        <v>101.3</v>
      </c>
      <c r="C855" s="107">
        <v>100.7</v>
      </c>
      <c r="D855" s="107">
        <v>97.1</v>
      </c>
      <c r="E855" s="107">
        <v>97.85</v>
      </c>
      <c r="F855" s="107">
        <v>100.7</v>
      </c>
      <c r="G855">
        <v>669323</v>
      </c>
      <c r="H855" s="107"/>
      <c r="I855" s="107"/>
      <c r="L855" s="130">
        <v>43259</v>
      </c>
      <c r="M855" s="107">
        <v>100.7</v>
      </c>
      <c r="N855" s="107">
        <v>101.4</v>
      </c>
      <c r="O855" s="107">
        <v>97.15</v>
      </c>
      <c r="P855" s="107">
        <v>98.5</v>
      </c>
      <c r="Q855" s="107">
        <v>100.7</v>
      </c>
      <c r="R855">
        <v>8883427</v>
      </c>
    </row>
    <row r="856" spans="1:18" x14ac:dyDescent="0.25">
      <c r="A856" s="130">
        <v>43262</v>
      </c>
      <c r="B856" s="107">
        <v>103</v>
      </c>
      <c r="C856" s="107">
        <v>99.85</v>
      </c>
      <c r="D856" s="107">
        <v>99.05</v>
      </c>
      <c r="E856" s="107">
        <v>100.2</v>
      </c>
      <c r="F856" s="107">
        <v>99.85</v>
      </c>
      <c r="G856">
        <v>639498</v>
      </c>
      <c r="H856" s="107"/>
      <c r="I856" s="107"/>
      <c r="L856" s="130">
        <v>43262</v>
      </c>
      <c r="M856" s="107">
        <v>100.15</v>
      </c>
      <c r="N856" s="107">
        <v>103</v>
      </c>
      <c r="O856" s="107">
        <v>99.25</v>
      </c>
      <c r="P856" s="107">
        <v>100.7</v>
      </c>
      <c r="Q856" s="107">
        <v>100.15</v>
      </c>
      <c r="R856">
        <v>8020709</v>
      </c>
    </row>
    <row r="857" spans="1:18" x14ac:dyDescent="0.25">
      <c r="A857" s="130">
        <v>43263</v>
      </c>
      <c r="B857" s="107">
        <v>102</v>
      </c>
      <c r="C857" s="107">
        <v>101.45</v>
      </c>
      <c r="D857" s="107">
        <v>99</v>
      </c>
      <c r="E857" s="107">
        <v>99</v>
      </c>
      <c r="F857" s="107">
        <v>101.45</v>
      </c>
      <c r="G857">
        <v>411784</v>
      </c>
      <c r="H857" s="107"/>
      <c r="I857" s="107"/>
      <c r="L857" s="130">
        <v>43263</v>
      </c>
      <c r="M857" s="107">
        <v>101.4</v>
      </c>
      <c r="N857" s="107">
        <v>101.85</v>
      </c>
      <c r="O857" s="107">
        <v>99.5</v>
      </c>
      <c r="P857" s="107">
        <v>99.95</v>
      </c>
      <c r="Q857" s="107">
        <v>101.4</v>
      </c>
      <c r="R857">
        <v>5893023</v>
      </c>
    </row>
    <row r="858" spans="1:18" x14ac:dyDescent="0.25">
      <c r="A858" s="130">
        <v>43264</v>
      </c>
      <c r="B858" s="107">
        <v>104.85</v>
      </c>
      <c r="C858" s="107">
        <v>102.7</v>
      </c>
      <c r="D858" s="107">
        <v>101.5</v>
      </c>
      <c r="E858" s="107">
        <v>102.95</v>
      </c>
      <c r="F858" s="107">
        <v>102.7</v>
      </c>
      <c r="G858">
        <v>708426</v>
      </c>
      <c r="H858" s="107"/>
      <c r="I858" s="107"/>
      <c r="L858" s="130">
        <v>43264</v>
      </c>
      <c r="M858" s="107">
        <v>102.7</v>
      </c>
      <c r="N858" s="107">
        <v>104.9</v>
      </c>
      <c r="O858" s="107">
        <v>101</v>
      </c>
      <c r="P858" s="107">
        <v>101.9</v>
      </c>
      <c r="Q858" s="107">
        <v>102.7</v>
      </c>
      <c r="R858">
        <v>7733837</v>
      </c>
    </row>
    <row r="859" spans="1:18" x14ac:dyDescent="0.25">
      <c r="A859" s="130">
        <v>43265</v>
      </c>
      <c r="B859" s="107">
        <v>103.5</v>
      </c>
      <c r="C859" s="107">
        <v>102.65</v>
      </c>
      <c r="D859" s="107">
        <v>101.4</v>
      </c>
      <c r="E859" s="107">
        <v>102.55</v>
      </c>
      <c r="F859" s="107">
        <v>102.65</v>
      </c>
      <c r="G859">
        <v>384494</v>
      </c>
      <c r="H859" s="107"/>
      <c r="I859" s="107"/>
      <c r="L859" s="130">
        <v>43265</v>
      </c>
      <c r="M859" s="107">
        <v>102.7</v>
      </c>
      <c r="N859" s="107">
        <v>103.55</v>
      </c>
      <c r="O859" s="107">
        <v>101.2</v>
      </c>
      <c r="P859" s="107">
        <v>102.05</v>
      </c>
      <c r="Q859" s="107">
        <v>102.7</v>
      </c>
      <c r="R859">
        <v>5316434</v>
      </c>
    </row>
    <row r="860" spans="1:18" x14ac:dyDescent="0.25">
      <c r="A860" s="130">
        <v>43266</v>
      </c>
      <c r="B860" s="107">
        <v>103.85</v>
      </c>
      <c r="C860" s="107">
        <v>98.35</v>
      </c>
      <c r="D860" s="107">
        <v>97.5</v>
      </c>
      <c r="E860" s="107">
        <v>102.2</v>
      </c>
      <c r="F860" s="107">
        <v>98.35</v>
      </c>
      <c r="G860">
        <v>548747</v>
      </c>
      <c r="H860" s="107"/>
      <c r="I860" s="107"/>
      <c r="L860" s="130">
        <v>43266</v>
      </c>
      <c r="M860" s="107">
        <v>98.45</v>
      </c>
      <c r="N860" s="107">
        <v>103.85</v>
      </c>
      <c r="O860" s="107">
        <v>97.7</v>
      </c>
      <c r="P860" s="107">
        <v>103.1</v>
      </c>
      <c r="Q860" s="107">
        <v>98.45</v>
      </c>
      <c r="R860">
        <v>7435682</v>
      </c>
    </row>
    <row r="861" spans="1:18" x14ac:dyDescent="0.25">
      <c r="A861" s="130">
        <v>43269</v>
      </c>
      <c r="B861" s="107">
        <v>99.1</v>
      </c>
      <c r="C861" s="107">
        <v>97.55</v>
      </c>
      <c r="D861" s="107">
        <v>97.3</v>
      </c>
      <c r="E861" s="107">
        <v>99</v>
      </c>
      <c r="F861" s="107">
        <v>97.55</v>
      </c>
      <c r="G861">
        <v>226233</v>
      </c>
      <c r="H861" s="107"/>
      <c r="I861" s="107"/>
      <c r="L861" s="130">
        <v>43269</v>
      </c>
      <c r="M861" s="107">
        <v>97.5</v>
      </c>
      <c r="N861" s="107">
        <v>98.95</v>
      </c>
      <c r="O861" s="107">
        <v>97.25</v>
      </c>
      <c r="P861" s="107">
        <v>98.25</v>
      </c>
      <c r="Q861" s="107">
        <v>97.5</v>
      </c>
      <c r="R861">
        <v>3747554</v>
      </c>
    </row>
    <row r="862" spans="1:18" x14ac:dyDescent="0.25">
      <c r="A862" s="130">
        <v>43270</v>
      </c>
      <c r="B862" s="107">
        <v>99.5</v>
      </c>
      <c r="C862" s="107">
        <v>95.05</v>
      </c>
      <c r="D862" s="107">
        <v>94.2</v>
      </c>
      <c r="E862" s="107">
        <v>97.55</v>
      </c>
      <c r="F862" s="107">
        <v>95.05</v>
      </c>
      <c r="G862">
        <v>602242</v>
      </c>
      <c r="H862" s="107"/>
      <c r="I862" s="107"/>
      <c r="L862" s="130">
        <v>43270</v>
      </c>
      <c r="M862" s="107">
        <v>95.1</v>
      </c>
      <c r="N862" s="107">
        <v>99.45</v>
      </c>
      <c r="O862" s="107">
        <v>94.55</v>
      </c>
      <c r="P862" s="107">
        <v>97.3</v>
      </c>
      <c r="Q862" s="107">
        <v>95.1</v>
      </c>
      <c r="R862">
        <v>7150780</v>
      </c>
    </row>
    <row r="863" spans="1:18" x14ac:dyDescent="0.25">
      <c r="A863" s="130">
        <v>43271</v>
      </c>
      <c r="B863" s="107">
        <v>97</v>
      </c>
      <c r="C863" s="107">
        <v>95.05</v>
      </c>
      <c r="D863" s="107">
        <v>94.3</v>
      </c>
      <c r="E863" s="107">
        <v>97</v>
      </c>
      <c r="F863" s="107">
        <v>95.05</v>
      </c>
      <c r="G863">
        <v>379380</v>
      </c>
      <c r="H863" s="107"/>
      <c r="I863" s="107"/>
      <c r="L863" s="130">
        <v>43271</v>
      </c>
      <c r="M863" s="107">
        <v>95.2</v>
      </c>
      <c r="N863" s="107">
        <v>96.25</v>
      </c>
      <c r="O863" s="107">
        <v>94.4</v>
      </c>
      <c r="P863" s="107">
        <v>95.15</v>
      </c>
      <c r="Q863" s="107">
        <v>95.2</v>
      </c>
      <c r="R863">
        <v>5151382</v>
      </c>
    </row>
    <row r="864" spans="1:18" x14ac:dyDescent="0.25">
      <c r="A864" s="130">
        <v>43272</v>
      </c>
      <c r="B864" s="107">
        <v>95.75</v>
      </c>
      <c r="C864" s="107">
        <v>93.55</v>
      </c>
      <c r="D864" s="107">
        <v>93.3</v>
      </c>
      <c r="E864" s="107">
        <v>95.75</v>
      </c>
      <c r="F864" s="107">
        <v>93.55</v>
      </c>
      <c r="G864">
        <v>395433</v>
      </c>
      <c r="H864" s="107"/>
      <c r="I864" s="107"/>
      <c r="L864" s="130">
        <v>43272</v>
      </c>
      <c r="M864" s="107">
        <v>93.6</v>
      </c>
      <c r="N864" s="107">
        <v>95.65</v>
      </c>
      <c r="O864" s="107">
        <v>93.3</v>
      </c>
      <c r="P864" s="107">
        <v>95.1</v>
      </c>
      <c r="Q864" s="107">
        <v>93.6</v>
      </c>
      <c r="R864">
        <v>4582684</v>
      </c>
    </row>
    <row r="865" spans="1:18" x14ac:dyDescent="0.25">
      <c r="A865" s="130">
        <v>43273</v>
      </c>
      <c r="B865" s="107">
        <v>95.05</v>
      </c>
      <c r="C865" s="107">
        <v>94.65</v>
      </c>
      <c r="D865" s="107">
        <v>92.6</v>
      </c>
      <c r="E865" s="107">
        <v>93.25</v>
      </c>
      <c r="F865" s="107">
        <v>94.65</v>
      </c>
      <c r="G865">
        <v>440160</v>
      </c>
      <c r="H865" s="107"/>
      <c r="I865" s="107"/>
      <c r="L865" s="130">
        <v>43273</v>
      </c>
      <c r="M865" s="107">
        <v>94.55</v>
      </c>
      <c r="N865" s="107">
        <v>94.95</v>
      </c>
      <c r="O865" s="107">
        <v>92.5</v>
      </c>
      <c r="P865" s="107">
        <v>93.75</v>
      </c>
      <c r="Q865" s="107">
        <v>94.55</v>
      </c>
      <c r="R865">
        <v>5108924</v>
      </c>
    </row>
    <row r="866" spans="1:18" x14ac:dyDescent="0.25">
      <c r="A866" s="130">
        <v>43276</v>
      </c>
      <c r="B866" s="107">
        <v>95.15</v>
      </c>
      <c r="C866" s="107">
        <v>92.2</v>
      </c>
      <c r="D866" s="107">
        <v>91.75</v>
      </c>
      <c r="E866" s="107">
        <v>94.6</v>
      </c>
      <c r="F866" s="107">
        <v>92.2</v>
      </c>
      <c r="G866">
        <v>418027</v>
      </c>
      <c r="H866" s="107"/>
      <c r="I866" s="107"/>
      <c r="L866" s="130">
        <v>43276</v>
      </c>
      <c r="M866" s="107">
        <v>92.1</v>
      </c>
      <c r="N866" s="107">
        <v>95.2</v>
      </c>
      <c r="O866" s="107">
        <v>91.75</v>
      </c>
      <c r="P866" s="107">
        <v>94.35</v>
      </c>
      <c r="Q866" s="107">
        <v>92.1</v>
      </c>
      <c r="R866">
        <v>4280210</v>
      </c>
    </row>
    <row r="867" spans="1:18" x14ac:dyDescent="0.25">
      <c r="A867" s="130">
        <v>43277</v>
      </c>
      <c r="B867" s="107">
        <v>92.9</v>
      </c>
      <c r="C867" s="107">
        <v>92.05</v>
      </c>
      <c r="D867" s="107">
        <v>90.55</v>
      </c>
      <c r="E867" s="107">
        <v>91.5</v>
      </c>
      <c r="F867" s="107">
        <v>92.05</v>
      </c>
      <c r="G867">
        <v>430421</v>
      </c>
      <c r="H867" s="107"/>
      <c r="I867" s="107"/>
      <c r="L867" s="130">
        <v>43277</v>
      </c>
      <c r="M867" s="107">
        <v>92.2</v>
      </c>
      <c r="N867" s="107">
        <v>93.2</v>
      </c>
      <c r="O867" s="107">
        <v>90.5</v>
      </c>
      <c r="P867" s="107">
        <v>91</v>
      </c>
      <c r="Q867" s="107">
        <v>92.2</v>
      </c>
      <c r="R867">
        <v>6768293</v>
      </c>
    </row>
    <row r="868" spans="1:18" x14ac:dyDescent="0.25">
      <c r="A868" s="130">
        <v>43278</v>
      </c>
      <c r="B868" s="107">
        <v>92.55</v>
      </c>
      <c r="C868" s="107">
        <v>88.6</v>
      </c>
      <c r="D868" s="107">
        <v>88</v>
      </c>
      <c r="E868" s="107">
        <v>92.05</v>
      </c>
      <c r="F868" s="107">
        <v>88.6</v>
      </c>
      <c r="G868">
        <v>438175</v>
      </c>
      <c r="H868" s="107"/>
      <c r="I868" s="107"/>
      <c r="L868" s="130">
        <v>43278</v>
      </c>
      <c r="M868" s="107">
        <v>88.7</v>
      </c>
      <c r="N868" s="107">
        <v>92.7</v>
      </c>
      <c r="O868" s="107">
        <v>88</v>
      </c>
      <c r="P868" s="107">
        <v>92.4</v>
      </c>
      <c r="Q868" s="107">
        <v>88.7</v>
      </c>
      <c r="R868">
        <v>5519339</v>
      </c>
    </row>
    <row r="869" spans="1:18" x14ac:dyDescent="0.25">
      <c r="A869" s="130">
        <v>43279</v>
      </c>
      <c r="B869" s="107">
        <v>89.2</v>
      </c>
      <c r="C869" s="107">
        <v>85.3</v>
      </c>
      <c r="D869" s="107">
        <v>84.8</v>
      </c>
      <c r="E869" s="107">
        <v>88</v>
      </c>
      <c r="F869" s="107">
        <v>85.3</v>
      </c>
      <c r="G869">
        <v>740799</v>
      </c>
      <c r="H869" s="107"/>
      <c r="I869" s="107"/>
      <c r="L869" s="130">
        <v>43279</v>
      </c>
      <c r="M869" s="107">
        <v>85.15</v>
      </c>
      <c r="N869" s="107">
        <v>89.2</v>
      </c>
      <c r="O869" s="107">
        <v>84.5</v>
      </c>
      <c r="P869" s="107">
        <v>87.7</v>
      </c>
      <c r="Q869" s="107">
        <v>85.15</v>
      </c>
      <c r="R869">
        <v>7837017</v>
      </c>
    </row>
    <row r="870" spans="1:18" x14ac:dyDescent="0.25">
      <c r="A870" s="130">
        <v>43280</v>
      </c>
      <c r="B870" s="107">
        <v>88.1</v>
      </c>
      <c r="C870" s="107">
        <v>87.5</v>
      </c>
      <c r="D870" s="107">
        <v>85.45</v>
      </c>
      <c r="E870" s="107">
        <v>86</v>
      </c>
      <c r="F870" s="107">
        <v>87.5</v>
      </c>
      <c r="G870">
        <v>583810</v>
      </c>
      <c r="H870" s="107"/>
      <c r="I870" s="107"/>
      <c r="L870" s="130">
        <v>43280</v>
      </c>
      <c r="M870" s="107">
        <v>87.5</v>
      </c>
      <c r="N870" s="107">
        <v>88.15</v>
      </c>
      <c r="O870" s="107">
        <v>85.5</v>
      </c>
      <c r="P870" s="107">
        <v>86.25</v>
      </c>
      <c r="Q870" s="107">
        <v>87.5</v>
      </c>
      <c r="R870">
        <v>6714586</v>
      </c>
    </row>
    <row r="871" spans="1:18" x14ac:dyDescent="0.25">
      <c r="A871" s="130">
        <v>43283</v>
      </c>
      <c r="B871" s="107">
        <v>89.15</v>
      </c>
      <c r="C871" s="107">
        <v>87.85</v>
      </c>
      <c r="D871" s="107">
        <v>84.6</v>
      </c>
      <c r="E871" s="107">
        <v>87.7</v>
      </c>
      <c r="F871" s="107">
        <v>87.85</v>
      </c>
      <c r="G871">
        <v>508790</v>
      </c>
      <c r="H871" s="107"/>
      <c r="I871" s="107"/>
      <c r="L871" s="130">
        <v>43283</v>
      </c>
      <c r="M871" s="107">
        <v>87.95</v>
      </c>
      <c r="N871" s="107">
        <v>89.15</v>
      </c>
      <c r="O871" s="107">
        <v>84.5</v>
      </c>
      <c r="P871" s="107">
        <v>88</v>
      </c>
      <c r="Q871" s="107">
        <v>87.95</v>
      </c>
      <c r="R871">
        <v>6926828</v>
      </c>
    </row>
    <row r="872" spans="1:18" x14ac:dyDescent="0.25">
      <c r="A872" s="130">
        <v>43284</v>
      </c>
      <c r="B872" s="107">
        <v>88.75</v>
      </c>
      <c r="C872" s="107">
        <v>87</v>
      </c>
      <c r="D872" s="107">
        <v>86.3</v>
      </c>
      <c r="E872" s="107">
        <v>87.85</v>
      </c>
      <c r="F872" s="107">
        <v>87</v>
      </c>
      <c r="G872">
        <v>274611</v>
      </c>
      <c r="H872" s="107"/>
      <c r="I872" s="107"/>
      <c r="L872" s="130">
        <v>43284</v>
      </c>
      <c r="M872" s="107">
        <v>86.95</v>
      </c>
      <c r="N872" s="107">
        <v>88.8</v>
      </c>
      <c r="O872" s="107">
        <v>86.2</v>
      </c>
      <c r="P872" s="107">
        <v>87.2</v>
      </c>
      <c r="Q872" s="107">
        <v>86.95</v>
      </c>
      <c r="R872">
        <v>4944188</v>
      </c>
    </row>
    <row r="873" spans="1:18" x14ac:dyDescent="0.25">
      <c r="A873" s="130">
        <v>43285</v>
      </c>
      <c r="B873" s="107">
        <v>87.5</v>
      </c>
      <c r="C873" s="107">
        <v>85.9</v>
      </c>
      <c r="D873" s="107">
        <v>85.15</v>
      </c>
      <c r="E873" s="107">
        <v>87</v>
      </c>
      <c r="F873" s="107">
        <v>85.9</v>
      </c>
      <c r="G873">
        <v>305941</v>
      </c>
      <c r="H873" s="107"/>
      <c r="I873" s="107"/>
      <c r="L873" s="130">
        <v>43285</v>
      </c>
      <c r="M873" s="107">
        <v>85.9</v>
      </c>
      <c r="N873" s="107">
        <v>87.5</v>
      </c>
      <c r="O873" s="107">
        <v>85</v>
      </c>
      <c r="P873" s="107">
        <v>87</v>
      </c>
      <c r="Q873" s="107">
        <v>85.9</v>
      </c>
      <c r="R873">
        <v>4868538</v>
      </c>
    </row>
    <row r="874" spans="1:18" x14ac:dyDescent="0.25">
      <c r="A874" s="130">
        <v>43286</v>
      </c>
      <c r="B874" s="107">
        <v>86.7</v>
      </c>
      <c r="C874" s="107">
        <v>85.5</v>
      </c>
      <c r="D874" s="107">
        <v>85</v>
      </c>
      <c r="E874" s="107">
        <v>86</v>
      </c>
      <c r="F874" s="107">
        <v>85.5</v>
      </c>
      <c r="G874">
        <v>299896</v>
      </c>
      <c r="H874" s="107"/>
      <c r="I874" s="107"/>
      <c r="L874" s="130">
        <v>43286</v>
      </c>
      <c r="M874" s="107">
        <v>85.4</v>
      </c>
      <c r="N874" s="107">
        <v>86.65</v>
      </c>
      <c r="O874" s="107">
        <v>85</v>
      </c>
      <c r="P874" s="107">
        <v>85.9</v>
      </c>
      <c r="Q874" s="107">
        <v>85.4</v>
      </c>
      <c r="R874">
        <v>4456332</v>
      </c>
    </row>
    <row r="875" spans="1:18" x14ac:dyDescent="0.25">
      <c r="A875" s="130">
        <v>43287</v>
      </c>
      <c r="B875" s="107">
        <v>87.8</v>
      </c>
      <c r="C875" s="107">
        <v>86.6</v>
      </c>
      <c r="D875" s="107">
        <v>85.1</v>
      </c>
      <c r="E875" s="107">
        <v>85.1</v>
      </c>
      <c r="F875" s="107">
        <v>86.6</v>
      </c>
      <c r="G875">
        <v>281715</v>
      </c>
      <c r="H875" s="107"/>
      <c r="I875" s="107"/>
      <c r="L875" s="130">
        <v>43287</v>
      </c>
      <c r="M875" s="107">
        <v>86.65</v>
      </c>
      <c r="N875" s="107">
        <v>87.8</v>
      </c>
      <c r="O875" s="107">
        <v>85</v>
      </c>
      <c r="P875" s="107">
        <v>85.8</v>
      </c>
      <c r="Q875" s="107">
        <v>86.65</v>
      </c>
      <c r="R875">
        <v>7174857</v>
      </c>
    </row>
    <row r="876" spans="1:18" x14ac:dyDescent="0.25">
      <c r="A876" s="130">
        <v>43290</v>
      </c>
      <c r="B876" s="107">
        <v>89.9</v>
      </c>
      <c r="C876" s="107">
        <v>89.3</v>
      </c>
      <c r="D876" s="107">
        <v>86.8</v>
      </c>
      <c r="E876" s="107">
        <v>86.8</v>
      </c>
      <c r="F876" s="107">
        <v>89.3</v>
      </c>
      <c r="G876">
        <v>432337</v>
      </c>
      <c r="H876" s="107"/>
      <c r="I876" s="107"/>
      <c r="L876" s="130">
        <v>43290</v>
      </c>
      <c r="M876" s="107">
        <v>89.2</v>
      </c>
      <c r="N876" s="107">
        <v>89.6</v>
      </c>
      <c r="O876" s="107">
        <v>86.95</v>
      </c>
      <c r="P876" s="107">
        <v>87.9</v>
      </c>
      <c r="Q876" s="107">
        <v>89.2</v>
      </c>
      <c r="R876">
        <v>5942998</v>
      </c>
    </row>
    <row r="877" spans="1:18" x14ac:dyDescent="0.25">
      <c r="A877" s="130">
        <v>43291</v>
      </c>
      <c r="B877" s="107">
        <v>91.15</v>
      </c>
      <c r="C877" s="107">
        <v>90.3</v>
      </c>
      <c r="D877" s="107">
        <v>88.25</v>
      </c>
      <c r="E877" s="107">
        <v>88.25</v>
      </c>
      <c r="F877" s="107">
        <v>90.3</v>
      </c>
      <c r="G877">
        <v>381437</v>
      </c>
      <c r="H877" s="107"/>
      <c r="I877" s="107"/>
      <c r="L877" s="130">
        <v>43291</v>
      </c>
      <c r="M877" s="107">
        <v>90.4</v>
      </c>
      <c r="N877" s="107">
        <v>91.2</v>
      </c>
      <c r="O877" s="107">
        <v>89.05</v>
      </c>
      <c r="P877" s="107">
        <v>89.5</v>
      </c>
      <c r="Q877" s="107">
        <v>90.4</v>
      </c>
      <c r="R877">
        <v>5904232</v>
      </c>
    </row>
    <row r="878" spans="1:18" x14ac:dyDescent="0.25">
      <c r="A878" s="130">
        <v>43292</v>
      </c>
      <c r="B878" s="107">
        <v>90.6</v>
      </c>
      <c r="C878" s="107">
        <v>85.95</v>
      </c>
      <c r="D878" s="107">
        <v>85.1</v>
      </c>
      <c r="E878" s="107">
        <v>89</v>
      </c>
      <c r="F878" s="107">
        <v>85.95</v>
      </c>
      <c r="G878">
        <v>490261</v>
      </c>
      <c r="H878" s="107"/>
      <c r="I878" s="107"/>
      <c r="L878" s="130">
        <v>43292</v>
      </c>
      <c r="M878" s="107">
        <v>86</v>
      </c>
      <c r="N878" s="107">
        <v>90.6</v>
      </c>
      <c r="O878" s="107">
        <v>85.55</v>
      </c>
      <c r="P878" s="107">
        <v>89.8</v>
      </c>
      <c r="Q878" s="107">
        <v>86</v>
      </c>
      <c r="R878">
        <v>6540939</v>
      </c>
    </row>
    <row r="879" spans="1:18" x14ac:dyDescent="0.25">
      <c r="A879" s="130">
        <v>43293</v>
      </c>
      <c r="B879" s="107">
        <v>88</v>
      </c>
      <c r="C879" s="107">
        <v>84.8</v>
      </c>
      <c r="D879" s="107">
        <v>84.2</v>
      </c>
      <c r="E879" s="107">
        <v>86.5</v>
      </c>
      <c r="F879" s="107">
        <v>84.8</v>
      </c>
      <c r="G879">
        <v>518539</v>
      </c>
      <c r="H879" s="107"/>
      <c r="I879" s="107"/>
      <c r="L879" s="130">
        <v>43293</v>
      </c>
      <c r="M879" s="107">
        <v>84.85</v>
      </c>
      <c r="N879" s="107">
        <v>88.05</v>
      </c>
      <c r="O879" s="107">
        <v>84.5</v>
      </c>
      <c r="P879" s="107">
        <v>86.5</v>
      </c>
      <c r="Q879" s="107">
        <v>84.85</v>
      </c>
      <c r="R879">
        <v>6974458</v>
      </c>
    </row>
    <row r="880" spans="1:18" x14ac:dyDescent="0.25">
      <c r="A880" s="130">
        <v>43294</v>
      </c>
      <c r="B880" s="107">
        <v>86.75</v>
      </c>
      <c r="C880" s="107">
        <v>81.45</v>
      </c>
      <c r="D880" s="107">
        <v>80.95</v>
      </c>
      <c r="E880" s="107">
        <v>86.75</v>
      </c>
      <c r="F880" s="107">
        <v>81.45</v>
      </c>
      <c r="G880">
        <v>915469</v>
      </c>
      <c r="H880" s="107"/>
      <c r="I880" s="107"/>
      <c r="L880" s="130">
        <v>43294</v>
      </c>
      <c r="M880" s="107">
        <v>81.7</v>
      </c>
      <c r="N880" s="107">
        <v>85.45</v>
      </c>
      <c r="O880" s="107">
        <v>80.849999999999994</v>
      </c>
      <c r="P880" s="107">
        <v>85.45</v>
      </c>
      <c r="Q880" s="107">
        <v>81.7</v>
      </c>
      <c r="R880">
        <v>8574292</v>
      </c>
    </row>
    <row r="881" spans="1:18" x14ac:dyDescent="0.25">
      <c r="A881" s="130">
        <v>43297</v>
      </c>
      <c r="B881" s="107">
        <v>81.900000000000006</v>
      </c>
      <c r="C881" s="107">
        <v>77.55</v>
      </c>
      <c r="D881" s="107">
        <v>77.150000000000006</v>
      </c>
      <c r="E881" s="107">
        <v>81.900000000000006</v>
      </c>
      <c r="F881" s="107">
        <v>77.55</v>
      </c>
      <c r="G881">
        <v>570206</v>
      </c>
      <c r="H881" s="107"/>
      <c r="I881" s="107"/>
      <c r="L881" s="130">
        <v>43297</v>
      </c>
      <c r="M881" s="107">
        <v>77.5</v>
      </c>
      <c r="N881" s="107">
        <v>82</v>
      </c>
      <c r="O881" s="107">
        <v>76.8</v>
      </c>
      <c r="P881" s="107">
        <v>82</v>
      </c>
      <c r="Q881" s="107">
        <v>77.5</v>
      </c>
      <c r="R881">
        <v>5272685</v>
      </c>
    </row>
    <row r="882" spans="1:18" x14ac:dyDescent="0.25">
      <c r="A882" s="130">
        <v>43298</v>
      </c>
      <c r="B882" s="107">
        <v>82.8</v>
      </c>
      <c r="C882" s="107">
        <v>82.1</v>
      </c>
      <c r="D882" s="107">
        <v>76.099999999999994</v>
      </c>
      <c r="E882" s="107">
        <v>77.5</v>
      </c>
      <c r="F882" s="107">
        <v>82.1</v>
      </c>
      <c r="G882">
        <v>755288</v>
      </c>
      <c r="H882" s="107"/>
      <c r="I882" s="107"/>
      <c r="L882" s="130">
        <v>43298</v>
      </c>
      <c r="M882" s="107">
        <v>81.95</v>
      </c>
      <c r="N882" s="107">
        <v>82.45</v>
      </c>
      <c r="O882" s="107">
        <v>76.5</v>
      </c>
      <c r="P882" s="107">
        <v>77</v>
      </c>
      <c r="Q882" s="107">
        <v>81.95</v>
      </c>
      <c r="R882">
        <v>9434073</v>
      </c>
    </row>
    <row r="883" spans="1:18" x14ac:dyDescent="0.25">
      <c r="A883" s="130">
        <v>43299</v>
      </c>
      <c r="B883" s="107">
        <v>83.2</v>
      </c>
      <c r="C883" s="107">
        <v>79</v>
      </c>
      <c r="D883" s="107">
        <v>77.150000000000006</v>
      </c>
      <c r="E883" s="107">
        <v>82.8</v>
      </c>
      <c r="F883" s="107">
        <v>79</v>
      </c>
      <c r="G883">
        <v>823327</v>
      </c>
      <c r="H883" s="107"/>
      <c r="I883" s="107"/>
      <c r="L883" s="130">
        <v>43299</v>
      </c>
      <c r="M883" s="107">
        <v>79.05</v>
      </c>
      <c r="N883" s="107">
        <v>83.15</v>
      </c>
      <c r="O883" s="107">
        <v>77.099999999999994</v>
      </c>
      <c r="P883" s="107">
        <v>82.7</v>
      </c>
      <c r="Q883" s="107">
        <v>79.05</v>
      </c>
      <c r="R883">
        <v>9328796</v>
      </c>
    </row>
    <row r="884" spans="1:18" x14ac:dyDescent="0.25">
      <c r="A884" s="130">
        <v>43300</v>
      </c>
      <c r="B884" s="107">
        <v>84.4</v>
      </c>
      <c r="C884" s="107">
        <v>82.8</v>
      </c>
      <c r="D884" s="107">
        <v>77.650000000000006</v>
      </c>
      <c r="E884" s="107">
        <v>78.5</v>
      </c>
      <c r="F884" s="107">
        <v>82.8</v>
      </c>
      <c r="G884">
        <v>997535</v>
      </c>
      <c r="H884" s="107"/>
      <c r="I884" s="107"/>
      <c r="L884" s="130">
        <v>43300</v>
      </c>
      <c r="M884" s="107">
        <v>82.75</v>
      </c>
      <c r="N884" s="107">
        <v>84.3</v>
      </c>
      <c r="O884" s="107">
        <v>77.7</v>
      </c>
      <c r="P884" s="107">
        <v>79.5</v>
      </c>
      <c r="Q884" s="107">
        <v>82.75</v>
      </c>
      <c r="R884">
        <v>11185400</v>
      </c>
    </row>
    <row r="885" spans="1:18" x14ac:dyDescent="0.25">
      <c r="A885" s="130">
        <v>43301</v>
      </c>
      <c r="B885" s="107">
        <v>84</v>
      </c>
      <c r="C885" s="107">
        <v>83.15</v>
      </c>
      <c r="D885" s="107">
        <v>81.45</v>
      </c>
      <c r="E885" s="107">
        <v>82.8</v>
      </c>
      <c r="F885" s="107">
        <v>83.15</v>
      </c>
      <c r="G885">
        <v>320276</v>
      </c>
      <c r="H885" s="107"/>
      <c r="I885" s="107"/>
      <c r="L885" s="130">
        <v>43301</v>
      </c>
      <c r="M885" s="107">
        <v>83.25</v>
      </c>
      <c r="N885" s="107">
        <v>83.9</v>
      </c>
      <c r="O885" s="107">
        <v>81.55</v>
      </c>
      <c r="P885" s="107">
        <v>82.25</v>
      </c>
      <c r="Q885" s="107">
        <v>83.25</v>
      </c>
      <c r="R885">
        <v>7259483</v>
      </c>
    </row>
    <row r="886" spans="1:18" x14ac:dyDescent="0.25">
      <c r="A886" s="130">
        <v>43304</v>
      </c>
      <c r="B886" s="107">
        <v>86.8</v>
      </c>
      <c r="C886" s="107">
        <v>86.35</v>
      </c>
      <c r="D886" s="107">
        <v>81.45</v>
      </c>
      <c r="E886" s="107">
        <v>82.25</v>
      </c>
      <c r="F886" s="107">
        <v>86.35</v>
      </c>
      <c r="G886">
        <v>474425</v>
      </c>
      <c r="H886" s="107"/>
      <c r="I886" s="107"/>
      <c r="L886" s="130">
        <v>43304</v>
      </c>
      <c r="M886" s="107">
        <v>86.35</v>
      </c>
      <c r="N886" s="107">
        <v>86.8</v>
      </c>
      <c r="O886" s="107">
        <v>81.5</v>
      </c>
      <c r="P886" s="107">
        <v>82.35</v>
      </c>
      <c r="Q886" s="107">
        <v>86.35</v>
      </c>
      <c r="R886">
        <v>8445233</v>
      </c>
    </row>
    <row r="887" spans="1:18" x14ac:dyDescent="0.25">
      <c r="A887" s="130">
        <v>43305</v>
      </c>
      <c r="B887" s="107">
        <v>88.75</v>
      </c>
      <c r="C887" s="107">
        <v>87.85</v>
      </c>
      <c r="D887" s="107">
        <v>86.1</v>
      </c>
      <c r="E887" s="107">
        <v>88</v>
      </c>
      <c r="F887" s="107">
        <v>87.85</v>
      </c>
      <c r="G887">
        <v>420525</v>
      </c>
      <c r="H887" s="107"/>
      <c r="I887" s="107"/>
      <c r="L887" s="130">
        <v>43305</v>
      </c>
      <c r="M887" s="107">
        <v>87.85</v>
      </c>
      <c r="N887" s="107">
        <v>88.75</v>
      </c>
      <c r="O887" s="107">
        <v>86</v>
      </c>
      <c r="P887" s="107">
        <v>86.5</v>
      </c>
      <c r="Q887" s="107">
        <v>87.85</v>
      </c>
      <c r="R887">
        <v>7091530</v>
      </c>
    </row>
    <row r="888" spans="1:18" x14ac:dyDescent="0.25">
      <c r="A888" s="130">
        <v>43306</v>
      </c>
      <c r="B888" s="107">
        <v>89.4</v>
      </c>
      <c r="C888" s="107">
        <v>88.05</v>
      </c>
      <c r="D888" s="107">
        <v>86.7</v>
      </c>
      <c r="E888" s="107">
        <v>88</v>
      </c>
      <c r="F888" s="107">
        <v>88.05</v>
      </c>
      <c r="G888">
        <v>338079</v>
      </c>
      <c r="H888" s="107"/>
      <c r="I888" s="107"/>
      <c r="L888" s="130">
        <v>43306</v>
      </c>
      <c r="M888" s="107">
        <v>88.2</v>
      </c>
      <c r="N888" s="107">
        <v>89.4</v>
      </c>
      <c r="O888" s="107">
        <v>86.75</v>
      </c>
      <c r="P888" s="107">
        <v>88</v>
      </c>
      <c r="Q888" s="107">
        <v>88.2</v>
      </c>
      <c r="R888">
        <v>5919512</v>
      </c>
    </row>
    <row r="889" spans="1:18" x14ac:dyDescent="0.25">
      <c r="A889" s="130">
        <v>43307</v>
      </c>
      <c r="B889" s="107">
        <v>96.8</v>
      </c>
      <c r="C889" s="107">
        <v>95.5</v>
      </c>
      <c r="D889" s="107">
        <v>88.75</v>
      </c>
      <c r="E889" s="107">
        <v>90</v>
      </c>
      <c r="F889" s="107">
        <v>95.5</v>
      </c>
      <c r="G889">
        <v>1240089</v>
      </c>
      <c r="H889" s="107"/>
      <c r="I889" s="107"/>
      <c r="L889" s="130">
        <v>43307</v>
      </c>
      <c r="M889" s="107">
        <v>95.6</v>
      </c>
      <c r="N889" s="107">
        <v>96.5</v>
      </c>
      <c r="O889" s="107">
        <v>88.7</v>
      </c>
      <c r="P889" s="107">
        <v>89.65</v>
      </c>
      <c r="Q889" s="107">
        <v>95.6</v>
      </c>
      <c r="R889">
        <v>14916998</v>
      </c>
    </row>
    <row r="890" spans="1:18" x14ac:dyDescent="0.25">
      <c r="A890" s="130">
        <v>43308</v>
      </c>
      <c r="B890" s="107">
        <v>99.3</v>
      </c>
      <c r="C890" s="107">
        <v>97.85</v>
      </c>
      <c r="D890" s="107">
        <v>95.75</v>
      </c>
      <c r="E890" s="107">
        <v>96.9</v>
      </c>
      <c r="F890" s="107">
        <v>97.85</v>
      </c>
      <c r="G890">
        <v>1189858</v>
      </c>
      <c r="H890" s="107"/>
      <c r="I890" s="107"/>
      <c r="L890" s="130">
        <v>43308</v>
      </c>
      <c r="M890" s="107">
        <v>97.8</v>
      </c>
      <c r="N890" s="107">
        <v>99.45</v>
      </c>
      <c r="O890" s="107">
        <v>95.7</v>
      </c>
      <c r="P890" s="107">
        <v>96.7</v>
      </c>
      <c r="Q890" s="107">
        <v>97.8</v>
      </c>
      <c r="R890">
        <v>13219917</v>
      </c>
    </row>
    <row r="891" spans="1:18" x14ac:dyDescent="0.25">
      <c r="A891" s="130">
        <v>43311</v>
      </c>
      <c r="B891" s="107">
        <v>104</v>
      </c>
      <c r="C891" s="107">
        <v>103.4</v>
      </c>
      <c r="D891" s="107">
        <v>98.05</v>
      </c>
      <c r="E891" s="107">
        <v>98.05</v>
      </c>
      <c r="F891" s="107">
        <v>103.4</v>
      </c>
      <c r="G891">
        <v>1362826</v>
      </c>
      <c r="H891" s="107"/>
      <c r="I891" s="107"/>
      <c r="L891" s="130">
        <v>43311</v>
      </c>
      <c r="M891" s="107">
        <v>103.25</v>
      </c>
      <c r="N891" s="107">
        <v>104.15</v>
      </c>
      <c r="O891" s="107">
        <v>98.85</v>
      </c>
      <c r="P891" s="107">
        <v>99</v>
      </c>
      <c r="Q891" s="107">
        <v>103.25</v>
      </c>
      <c r="R891">
        <v>15015297</v>
      </c>
    </row>
    <row r="892" spans="1:18" x14ac:dyDescent="0.25">
      <c r="A892" s="130">
        <v>43312</v>
      </c>
      <c r="B892" s="107">
        <v>104.3</v>
      </c>
      <c r="C892" s="107">
        <v>94.35</v>
      </c>
      <c r="D892" s="107">
        <v>93.75</v>
      </c>
      <c r="E892" s="107">
        <v>103.95</v>
      </c>
      <c r="F892" s="107">
        <v>94.35</v>
      </c>
      <c r="G892">
        <v>3898492</v>
      </c>
      <c r="H892" s="107"/>
      <c r="I892" s="107"/>
      <c r="L892" s="130">
        <v>43312</v>
      </c>
      <c r="M892" s="107">
        <v>94.4</v>
      </c>
      <c r="N892" s="107">
        <v>104.35</v>
      </c>
      <c r="O892" s="107">
        <v>93.3</v>
      </c>
      <c r="P892" s="107">
        <v>103.5</v>
      </c>
      <c r="Q892" s="107">
        <v>94.4</v>
      </c>
      <c r="R892">
        <v>39904156</v>
      </c>
    </row>
    <row r="893" spans="1:18" x14ac:dyDescent="0.25">
      <c r="A893" s="130">
        <v>43313</v>
      </c>
      <c r="B893" s="107">
        <v>96.3</v>
      </c>
      <c r="C893" s="107">
        <v>95.45</v>
      </c>
      <c r="D893" s="107">
        <v>93.15</v>
      </c>
      <c r="E893" s="107">
        <v>94.05</v>
      </c>
      <c r="F893" s="107">
        <v>95.45</v>
      </c>
      <c r="G893">
        <v>1701047</v>
      </c>
      <c r="H893" s="107"/>
      <c r="I893" s="107"/>
      <c r="L893" s="130">
        <v>43313</v>
      </c>
      <c r="M893" s="107">
        <v>95.35</v>
      </c>
      <c r="N893" s="107">
        <v>96.35</v>
      </c>
      <c r="O893" s="107">
        <v>93</v>
      </c>
      <c r="P893" s="107">
        <v>94</v>
      </c>
      <c r="Q893" s="107">
        <v>95.35</v>
      </c>
      <c r="R893">
        <v>15797718</v>
      </c>
    </row>
    <row r="894" spans="1:18" x14ac:dyDescent="0.25">
      <c r="A894" s="130">
        <v>43314</v>
      </c>
      <c r="B894" s="107">
        <v>95.65</v>
      </c>
      <c r="C894" s="107">
        <v>94.65</v>
      </c>
      <c r="D894" s="107">
        <v>92.7</v>
      </c>
      <c r="E894" s="107">
        <v>94.9</v>
      </c>
      <c r="F894" s="107">
        <v>94.65</v>
      </c>
      <c r="G894">
        <v>793014</v>
      </c>
      <c r="H894" s="107"/>
      <c r="I894" s="107"/>
      <c r="L894" s="130">
        <v>43314</v>
      </c>
      <c r="M894" s="107">
        <v>94.65</v>
      </c>
      <c r="N894" s="107">
        <v>95.7</v>
      </c>
      <c r="O894" s="107">
        <v>92.6</v>
      </c>
      <c r="P894" s="107">
        <v>94.4</v>
      </c>
      <c r="Q894" s="107">
        <v>94.65</v>
      </c>
      <c r="R894">
        <v>8841351</v>
      </c>
    </row>
    <row r="895" spans="1:18" x14ac:dyDescent="0.25">
      <c r="A895" s="130">
        <v>43315</v>
      </c>
      <c r="B895" s="107">
        <v>96.65</v>
      </c>
      <c r="C895" s="107">
        <v>95.65</v>
      </c>
      <c r="D895" s="107">
        <v>94.5</v>
      </c>
      <c r="E895" s="107">
        <v>94.5</v>
      </c>
      <c r="F895" s="107">
        <v>95.65</v>
      </c>
      <c r="G895">
        <v>657167</v>
      </c>
      <c r="H895" s="107"/>
      <c r="I895" s="107"/>
      <c r="L895" s="130">
        <v>43315</v>
      </c>
      <c r="M895" s="107">
        <v>95.65</v>
      </c>
      <c r="N895" s="107">
        <v>96.75</v>
      </c>
      <c r="O895" s="107">
        <v>94.5</v>
      </c>
      <c r="P895" s="107">
        <v>94.6</v>
      </c>
      <c r="Q895" s="107">
        <v>95.65</v>
      </c>
      <c r="R895">
        <v>7722981</v>
      </c>
    </row>
    <row r="896" spans="1:18" x14ac:dyDescent="0.25">
      <c r="A896" s="130">
        <v>43318</v>
      </c>
      <c r="B896" s="107">
        <v>98.2</v>
      </c>
      <c r="C896" s="107">
        <v>97.5</v>
      </c>
      <c r="D896" s="107">
        <v>95.8</v>
      </c>
      <c r="E896" s="107">
        <v>96.8</v>
      </c>
      <c r="F896" s="107">
        <v>97.5</v>
      </c>
      <c r="G896">
        <v>730115</v>
      </c>
      <c r="H896" s="107"/>
      <c r="I896" s="107"/>
      <c r="L896" s="130">
        <v>43318</v>
      </c>
      <c r="M896" s="107">
        <v>97.5</v>
      </c>
      <c r="N896" s="107">
        <v>98.2</v>
      </c>
      <c r="O896" s="107">
        <v>95.7</v>
      </c>
      <c r="P896" s="107">
        <v>96</v>
      </c>
      <c r="Q896" s="107">
        <v>97.5</v>
      </c>
      <c r="R896">
        <v>8261126</v>
      </c>
    </row>
    <row r="897" spans="1:18" x14ac:dyDescent="0.25">
      <c r="A897" s="130">
        <v>43319</v>
      </c>
      <c r="B897" s="107">
        <v>98.35</v>
      </c>
      <c r="C897" s="107">
        <v>94.9</v>
      </c>
      <c r="D897" s="107">
        <v>94.25</v>
      </c>
      <c r="E897" s="107">
        <v>97.9</v>
      </c>
      <c r="F897" s="107">
        <v>94.9</v>
      </c>
      <c r="G897">
        <v>763017</v>
      </c>
      <c r="H897" s="107"/>
      <c r="I897" s="107"/>
      <c r="L897" s="130">
        <v>43319</v>
      </c>
      <c r="M897" s="107">
        <v>94.95</v>
      </c>
      <c r="N897" s="107">
        <v>98.35</v>
      </c>
      <c r="O897" s="107">
        <v>94.2</v>
      </c>
      <c r="P897" s="107">
        <v>98</v>
      </c>
      <c r="Q897" s="107">
        <v>94.95</v>
      </c>
      <c r="R897">
        <v>7886180</v>
      </c>
    </row>
    <row r="898" spans="1:18" x14ac:dyDescent="0.25">
      <c r="A898" s="130">
        <v>43320</v>
      </c>
      <c r="B898" s="107">
        <v>95.9</v>
      </c>
      <c r="C898" s="107">
        <v>94</v>
      </c>
      <c r="D898" s="107">
        <v>93.4</v>
      </c>
      <c r="E898" s="107">
        <v>95.25</v>
      </c>
      <c r="F898" s="107">
        <v>94</v>
      </c>
      <c r="G898">
        <v>524153</v>
      </c>
      <c r="H898" s="107"/>
      <c r="I898" s="107"/>
      <c r="L898" s="130">
        <v>43320</v>
      </c>
      <c r="M898" s="107">
        <v>94</v>
      </c>
      <c r="N898" s="107">
        <v>95.9</v>
      </c>
      <c r="O898" s="107">
        <v>93.35</v>
      </c>
      <c r="P898" s="107">
        <v>95.7</v>
      </c>
      <c r="Q898" s="107">
        <v>94</v>
      </c>
      <c r="R898">
        <v>5602605</v>
      </c>
    </row>
    <row r="899" spans="1:18" x14ac:dyDescent="0.25">
      <c r="A899" s="130">
        <v>43321</v>
      </c>
      <c r="B899" s="107">
        <v>98.85</v>
      </c>
      <c r="C899" s="107">
        <v>98.05</v>
      </c>
      <c r="D899" s="107">
        <v>94.8</v>
      </c>
      <c r="E899" s="107">
        <v>95.7</v>
      </c>
      <c r="F899" s="107">
        <v>98.05</v>
      </c>
      <c r="G899">
        <v>1224710</v>
      </c>
      <c r="H899" s="107"/>
      <c r="I899" s="107"/>
      <c r="L899" s="130">
        <v>43321</v>
      </c>
      <c r="M899" s="107">
        <v>98</v>
      </c>
      <c r="N899" s="107">
        <v>98.8</v>
      </c>
      <c r="O899" s="107">
        <v>94.75</v>
      </c>
      <c r="P899" s="107">
        <v>95.15</v>
      </c>
      <c r="Q899" s="107">
        <v>98</v>
      </c>
      <c r="R899">
        <v>11522528</v>
      </c>
    </row>
    <row r="900" spans="1:18" x14ac:dyDescent="0.25">
      <c r="A900" s="130">
        <v>43322</v>
      </c>
      <c r="B900" s="107">
        <v>99</v>
      </c>
      <c r="C900" s="107">
        <v>93.5</v>
      </c>
      <c r="D900" s="107">
        <v>92.85</v>
      </c>
      <c r="E900" s="107">
        <v>99</v>
      </c>
      <c r="F900" s="107">
        <v>93.5</v>
      </c>
      <c r="G900">
        <v>1432258</v>
      </c>
      <c r="H900" s="107"/>
      <c r="I900" s="107"/>
      <c r="L900" s="130">
        <v>43322</v>
      </c>
      <c r="M900" s="107">
        <v>93.6</v>
      </c>
      <c r="N900" s="107">
        <v>98.4</v>
      </c>
      <c r="O900" s="107">
        <v>92.75</v>
      </c>
      <c r="P900" s="107">
        <v>98.4</v>
      </c>
      <c r="Q900" s="107">
        <v>93.6</v>
      </c>
      <c r="R900">
        <v>11674121</v>
      </c>
    </row>
    <row r="901" spans="1:18" x14ac:dyDescent="0.25">
      <c r="A901" s="130">
        <v>43325</v>
      </c>
      <c r="B901" s="107">
        <v>93.7</v>
      </c>
      <c r="C901" s="107">
        <v>89.9</v>
      </c>
      <c r="D901" s="107">
        <v>88.25</v>
      </c>
      <c r="E901" s="107">
        <v>93.7</v>
      </c>
      <c r="F901" s="107">
        <v>89.9</v>
      </c>
      <c r="G901">
        <v>722925</v>
      </c>
      <c r="H901" s="107"/>
      <c r="I901" s="107"/>
      <c r="L901" s="130">
        <v>43325</v>
      </c>
      <c r="M901" s="107">
        <v>90</v>
      </c>
      <c r="N901" s="107">
        <v>93</v>
      </c>
      <c r="O901" s="107">
        <v>88.05</v>
      </c>
      <c r="P901" s="107">
        <v>93</v>
      </c>
      <c r="Q901" s="107">
        <v>90</v>
      </c>
      <c r="R901">
        <v>7508900</v>
      </c>
    </row>
    <row r="902" spans="1:18" x14ac:dyDescent="0.25">
      <c r="A902" s="130">
        <v>43326</v>
      </c>
      <c r="B902" s="107">
        <v>91.8</v>
      </c>
      <c r="C902" s="107">
        <v>90.35</v>
      </c>
      <c r="D902" s="107">
        <v>89.25</v>
      </c>
      <c r="E902" s="107">
        <v>90</v>
      </c>
      <c r="F902" s="107">
        <v>90.35</v>
      </c>
      <c r="G902">
        <v>757002</v>
      </c>
      <c r="H902" s="107"/>
      <c r="I902" s="107"/>
      <c r="L902" s="130">
        <v>43326</v>
      </c>
      <c r="M902" s="107">
        <v>90.45</v>
      </c>
      <c r="N902" s="107">
        <v>91.8</v>
      </c>
      <c r="O902" s="107">
        <v>89.15</v>
      </c>
      <c r="P902" s="107">
        <v>90.8</v>
      </c>
      <c r="Q902" s="107">
        <v>90.45</v>
      </c>
      <c r="R902">
        <v>7662377</v>
      </c>
    </row>
    <row r="903" spans="1:18" x14ac:dyDescent="0.25">
      <c r="A903" s="130">
        <v>43328</v>
      </c>
      <c r="B903" s="107">
        <v>91.5</v>
      </c>
      <c r="C903" s="107">
        <v>88.95</v>
      </c>
      <c r="D903" s="107">
        <v>87.95</v>
      </c>
      <c r="E903" s="107">
        <v>90.5</v>
      </c>
      <c r="F903" s="107">
        <v>88.95</v>
      </c>
      <c r="G903">
        <v>685622</v>
      </c>
      <c r="H903" s="107"/>
      <c r="I903" s="107"/>
      <c r="L903" s="130">
        <v>43328</v>
      </c>
      <c r="M903" s="107">
        <v>88.85</v>
      </c>
      <c r="N903" s="107">
        <v>91.5</v>
      </c>
      <c r="O903" s="107">
        <v>87.75</v>
      </c>
      <c r="P903" s="107">
        <v>90.2</v>
      </c>
      <c r="Q903" s="107">
        <v>88.85</v>
      </c>
      <c r="R903">
        <v>6402432</v>
      </c>
    </row>
    <row r="904" spans="1:18" x14ac:dyDescent="0.25">
      <c r="A904" s="130">
        <v>43329</v>
      </c>
      <c r="B904" s="107">
        <v>93.95</v>
      </c>
      <c r="C904" s="107">
        <v>93.3</v>
      </c>
      <c r="D904" s="107">
        <v>90.25</v>
      </c>
      <c r="E904" s="107">
        <v>90.45</v>
      </c>
      <c r="F904" s="107">
        <v>93.3</v>
      </c>
      <c r="G904">
        <v>1117673</v>
      </c>
      <c r="H904" s="107"/>
      <c r="I904" s="107"/>
      <c r="L904" s="130">
        <v>43329</v>
      </c>
      <c r="M904" s="107">
        <v>93.3</v>
      </c>
      <c r="N904" s="107">
        <v>93.9</v>
      </c>
      <c r="O904" s="107">
        <v>90.15</v>
      </c>
      <c r="P904" s="107">
        <v>90.15</v>
      </c>
      <c r="Q904" s="107">
        <v>93.3</v>
      </c>
      <c r="R904">
        <v>12970922</v>
      </c>
    </row>
    <row r="905" spans="1:18" x14ac:dyDescent="0.25">
      <c r="A905" s="130">
        <v>43332</v>
      </c>
      <c r="B905" s="107">
        <v>96</v>
      </c>
      <c r="C905" s="107">
        <v>95.55</v>
      </c>
      <c r="D905" s="107">
        <v>93</v>
      </c>
      <c r="E905" s="107">
        <v>94.05</v>
      </c>
      <c r="F905" s="107">
        <v>95.55</v>
      </c>
      <c r="G905">
        <v>836669</v>
      </c>
      <c r="H905" s="107"/>
      <c r="I905" s="107"/>
      <c r="L905" s="130">
        <v>43332</v>
      </c>
      <c r="M905" s="107">
        <v>95.6</v>
      </c>
      <c r="N905" s="107">
        <v>96</v>
      </c>
      <c r="O905" s="107">
        <v>93</v>
      </c>
      <c r="P905" s="107">
        <v>94.25</v>
      </c>
      <c r="Q905" s="107">
        <v>95.6</v>
      </c>
      <c r="R905">
        <v>7281785</v>
      </c>
    </row>
    <row r="906" spans="1:18" x14ac:dyDescent="0.25">
      <c r="A906" s="130">
        <v>43333</v>
      </c>
      <c r="B906" s="107">
        <v>96.75</v>
      </c>
      <c r="C906" s="107">
        <v>95.8</v>
      </c>
      <c r="D906" s="107">
        <v>94.7</v>
      </c>
      <c r="E906" s="107">
        <v>96</v>
      </c>
      <c r="F906" s="107">
        <v>95.8</v>
      </c>
      <c r="G906">
        <v>631544</v>
      </c>
      <c r="H906" s="107"/>
      <c r="I906" s="107"/>
      <c r="L906" s="130">
        <v>43333</v>
      </c>
      <c r="M906" s="107">
        <v>95.95</v>
      </c>
      <c r="N906" s="107">
        <v>96.85</v>
      </c>
      <c r="O906" s="107">
        <v>94.6</v>
      </c>
      <c r="P906" s="107">
        <v>95.9</v>
      </c>
      <c r="Q906" s="107">
        <v>95.95</v>
      </c>
      <c r="R906">
        <v>6258726</v>
      </c>
    </row>
    <row r="907" spans="1:18" x14ac:dyDescent="0.25">
      <c r="A907" s="130">
        <v>43335</v>
      </c>
      <c r="B907" s="107">
        <v>96.3</v>
      </c>
      <c r="C907" s="107">
        <v>93.7</v>
      </c>
      <c r="D907" s="107">
        <v>92.1</v>
      </c>
      <c r="E907" s="107">
        <v>95.7</v>
      </c>
      <c r="F907" s="107">
        <v>93.7</v>
      </c>
      <c r="G907">
        <v>1181524</v>
      </c>
      <c r="H907" s="107"/>
      <c r="I907" s="107"/>
      <c r="L907" s="130">
        <v>43335</v>
      </c>
      <c r="M907" s="107">
        <v>93.85</v>
      </c>
      <c r="N907" s="107">
        <v>96.35</v>
      </c>
      <c r="O907" s="107">
        <v>92</v>
      </c>
      <c r="P907" s="107">
        <v>96</v>
      </c>
      <c r="Q907" s="107">
        <v>93.85</v>
      </c>
      <c r="R907">
        <v>8908729</v>
      </c>
    </row>
    <row r="908" spans="1:18" x14ac:dyDescent="0.25">
      <c r="A908" s="130">
        <v>43336</v>
      </c>
      <c r="B908" s="107">
        <v>94.7</v>
      </c>
      <c r="C908" s="107">
        <v>92.95</v>
      </c>
      <c r="D908" s="107">
        <v>92.65</v>
      </c>
      <c r="E908" s="107">
        <v>93.65</v>
      </c>
      <c r="F908" s="107">
        <v>92.95</v>
      </c>
      <c r="G908">
        <v>602312</v>
      </c>
      <c r="H908" s="107"/>
      <c r="I908" s="107"/>
      <c r="L908" s="130">
        <v>43336</v>
      </c>
      <c r="M908" s="107">
        <v>93.1</v>
      </c>
      <c r="N908" s="107">
        <v>94.7</v>
      </c>
      <c r="O908" s="107">
        <v>92.6</v>
      </c>
      <c r="P908" s="107">
        <v>93.5</v>
      </c>
      <c r="Q908" s="107">
        <v>93.1</v>
      </c>
      <c r="R908">
        <v>5545129</v>
      </c>
    </row>
    <row r="909" spans="1:18" x14ac:dyDescent="0.25">
      <c r="A909" s="130">
        <v>43339</v>
      </c>
      <c r="B909" s="107">
        <v>95.8</v>
      </c>
      <c r="C909" s="107">
        <v>94.75</v>
      </c>
      <c r="D909" s="107">
        <v>93.55</v>
      </c>
      <c r="E909" s="107">
        <v>93.55</v>
      </c>
      <c r="F909" s="107">
        <v>94.75</v>
      </c>
      <c r="G909">
        <v>569529</v>
      </c>
      <c r="H909" s="107"/>
      <c r="I909" s="107"/>
      <c r="L909" s="130">
        <v>43339</v>
      </c>
      <c r="M909" s="107">
        <v>94.75</v>
      </c>
      <c r="N909" s="107">
        <v>95.85</v>
      </c>
      <c r="O909" s="107">
        <v>93.5</v>
      </c>
      <c r="P909" s="107">
        <v>93.5</v>
      </c>
      <c r="Q909" s="107">
        <v>94.75</v>
      </c>
      <c r="R909">
        <v>6329518</v>
      </c>
    </row>
    <row r="910" spans="1:18" x14ac:dyDescent="0.25">
      <c r="A910" s="130">
        <v>43340</v>
      </c>
      <c r="B910" s="107">
        <v>95.5</v>
      </c>
      <c r="C910" s="107">
        <v>91.45</v>
      </c>
      <c r="D910" s="107">
        <v>90.6</v>
      </c>
      <c r="E910" s="107">
        <v>95.5</v>
      </c>
      <c r="F910" s="107">
        <v>91.45</v>
      </c>
      <c r="G910">
        <v>1063085</v>
      </c>
      <c r="H910" s="107"/>
      <c r="I910" s="107"/>
      <c r="L910" s="130">
        <v>43340</v>
      </c>
      <c r="M910" s="107">
        <v>91.5</v>
      </c>
      <c r="N910" s="107">
        <v>95</v>
      </c>
      <c r="O910" s="107">
        <v>90.6</v>
      </c>
      <c r="P910" s="107">
        <v>95</v>
      </c>
      <c r="Q910" s="107">
        <v>91.5</v>
      </c>
      <c r="R910">
        <v>8445521</v>
      </c>
    </row>
    <row r="911" spans="1:18" x14ac:dyDescent="0.25">
      <c r="A911" s="130">
        <v>43341</v>
      </c>
      <c r="B911" s="107">
        <v>95.8</v>
      </c>
      <c r="C911" s="107">
        <v>95.1</v>
      </c>
      <c r="D911" s="107">
        <v>91.6</v>
      </c>
      <c r="E911" s="107">
        <v>91.6</v>
      </c>
      <c r="F911" s="107">
        <v>95.1</v>
      </c>
      <c r="G911">
        <v>935616</v>
      </c>
      <c r="H911" s="107"/>
      <c r="I911" s="107"/>
      <c r="L911" s="130">
        <v>43341</v>
      </c>
      <c r="M911" s="107">
        <v>95.25</v>
      </c>
      <c r="N911" s="107">
        <v>95.8</v>
      </c>
      <c r="O911" s="107">
        <v>91.4</v>
      </c>
      <c r="P911" s="107">
        <v>91.9</v>
      </c>
      <c r="Q911" s="107">
        <v>95.25</v>
      </c>
      <c r="R911">
        <v>9749862</v>
      </c>
    </row>
    <row r="912" spans="1:18" x14ac:dyDescent="0.25">
      <c r="A912" s="130">
        <v>43342</v>
      </c>
      <c r="B912" s="107">
        <v>100.45</v>
      </c>
      <c r="C912" s="107">
        <v>99.75</v>
      </c>
      <c r="D912" s="107">
        <v>94</v>
      </c>
      <c r="E912" s="107">
        <v>96</v>
      </c>
      <c r="F912" s="107">
        <v>99.75</v>
      </c>
      <c r="G912">
        <v>1271855</v>
      </c>
      <c r="H912" s="107"/>
      <c r="I912" s="107"/>
      <c r="L912" s="130">
        <v>43342</v>
      </c>
      <c r="M912" s="107">
        <v>99.85</v>
      </c>
      <c r="N912" s="107">
        <v>100.7</v>
      </c>
      <c r="O912" s="107">
        <v>93.85</v>
      </c>
      <c r="P912" s="107">
        <v>95.6</v>
      </c>
      <c r="Q912" s="107">
        <v>99.85</v>
      </c>
      <c r="R912">
        <v>14271823</v>
      </c>
    </row>
    <row r="913" spans="1:18" x14ac:dyDescent="0.25">
      <c r="A913" s="130">
        <v>43343</v>
      </c>
      <c r="B913" s="107">
        <v>101.1</v>
      </c>
      <c r="C913" s="107">
        <v>100.45</v>
      </c>
      <c r="D913" s="107">
        <v>96.55</v>
      </c>
      <c r="E913" s="107">
        <v>98</v>
      </c>
      <c r="F913" s="107">
        <v>100.45</v>
      </c>
      <c r="G913">
        <v>1382316</v>
      </c>
      <c r="H913" s="107"/>
      <c r="I913" s="107"/>
      <c r="L913" s="130">
        <v>43343</v>
      </c>
      <c r="M913" s="107">
        <v>100.45</v>
      </c>
      <c r="N913" s="107">
        <v>101</v>
      </c>
      <c r="O913" s="107">
        <v>96.45</v>
      </c>
      <c r="P913" s="107">
        <v>99</v>
      </c>
      <c r="Q913" s="107">
        <v>100.45</v>
      </c>
      <c r="R913">
        <v>11090429</v>
      </c>
    </row>
    <row r="914" spans="1:18" x14ac:dyDescent="0.25">
      <c r="A914" s="130">
        <v>43346</v>
      </c>
      <c r="B914" s="107">
        <v>102.9</v>
      </c>
      <c r="C914" s="107">
        <v>99.7</v>
      </c>
      <c r="D914" s="107">
        <v>98.8</v>
      </c>
      <c r="E914" s="107">
        <v>101.5</v>
      </c>
      <c r="F914" s="107">
        <v>99.7</v>
      </c>
      <c r="G914">
        <v>1052297</v>
      </c>
      <c r="H914" s="107"/>
      <c r="I914" s="107"/>
      <c r="L914" s="130">
        <v>43346</v>
      </c>
      <c r="M914" s="107">
        <v>99.65</v>
      </c>
      <c r="N914" s="107">
        <v>103</v>
      </c>
      <c r="O914" s="107">
        <v>99</v>
      </c>
      <c r="P914" s="107">
        <v>100.7</v>
      </c>
      <c r="Q914" s="107">
        <v>99.65</v>
      </c>
      <c r="R914">
        <v>8751388</v>
      </c>
    </row>
    <row r="915" spans="1:18" x14ac:dyDescent="0.25">
      <c r="A915" s="130">
        <v>43347</v>
      </c>
      <c r="B915" s="107">
        <v>99.75</v>
      </c>
      <c r="C915" s="107">
        <v>94.95</v>
      </c>
      <c r="D915" s="107">
        <v>94.7</v>
      </c>
      <c r="E915" s="107">
        <v>99.7</v>
      </c>
      <c r="F915" s="107">
        <v>94.95</v>
      </c>
      <c r="G915">
        <v>834423</v>
      </c>
      <c r="H915" s="107"/>
      <c r="I915" s="107"/>
      <c r="L915" s="130">
        <v>43347</v>
      </c>
      <c r="M915" s="107">
        <v>94.95</v>
      </c>
      <c r="N915" s="107">
        <v>99.8</v>
      </c>
      <c r="O915" s="107">
        <v>94.7</v>
      </c>
      <c r="P915" s="107">
        <v>99.4</v>
      </c>
      <c r="Q915" s="107">
        <v>94.95</v>
      </c>
      <c r="R915">
        <v>8643715</v>
      </c>
    </row>
    <row r="916" spans="1:18" x14ac:dyDescent="0.25">
      <c r="A916" s="130">
        <v>43348</v>
      </c>
      <c r="B916" s="107">
        <v>95.25</v>
      </c>
      <c r="C916" s="107">
        <v>94.15</v>
      </c>
      <c r="D916" s="107">
        <v>91.35</v>
      </c>
      <c r="E916" s="107">
        <v>94.95</v>
      </c>
      <c r="F916" s="107">
        <v>94.15</v>
      </c>
      <c r="G916">
        <v>1069885</v>
      </c>
      <c r="H916" s="107"/>
      <c r="I916" s="107"/>
      <c r="L916" s="130">
        <v>43348</v>
      </c>
      <c r="M916" s="107">
        <v>94.1</v>
      </c>
      <c r="N916" s="107">
        <v>95.2</v>
      </c>
      <c r="O916" s="107">
        <v>91.3</v>
      </c>
      <c r="P916" s="107">
        <v>94.9</v>
      </c>
      <c r="Q916" s="107">
        <v>94.1</v>
      </c>
      <c r="R916">
        <v>8864529</v>
      </c>
    </row>
    <row r="917" spans="1:18" x14ac:dyDescent="0.25">
      <c r="A917" s="130">
        <v>43349</v>
      </c>
      <c r="B917" s="107">
        <v>95.5</v>
      </c>
      <c r="C917" s="107">
        <v>93.55</v>
      </c>
      <c r="D917" s="107">
        <v>92.4</v>
      </c>
      <c r="E917" s="107">
        <v>94.95</v>
      </c>
      <c r="F917" s="107">
        <v>93.55</v>
      </c>
      <c r="G917">
        <v>702365</v>
      </c>
      <c r="H917" s="107"/>
      <c r="I917" s="107"/>
      <c r="L917" s="130">
        <v>43349</v>
      </c>
      <c r="M917" s="107">
        <v>93.65</v>
      </c>
      <c r="N917" s="107">
        <v>95.55</v>
      </c>
      <c r="O917" s="107">
        <v>92.35</v>
      </c>
      <c r="P917" s="107">
        <v>94.9</v>
      </c>
      <c r="Q917" s="107">
        <v>93.65</v>
      </c>
      <c r="R917">
        <v>6785011</v>
      </c>
    </row>
    <row r="918" spans="1:18" x14ac:dyDescent="0.25">
      <c r="A918" s="130">
        <v>43350</v>
      </c>
      <c r="B918" s="107">
        <v>94.75</v>
      </c>
      <c r="C918" s="107">
        <v>94.05</v>
      </c>
      <c r="D918" s="107">
        <v>92.45</v>
      </c>
      <c r="E918" s="107">
        <v>93.55</v>
      </c>
      <c r="F918" s="107">
        <v>94.05</v>
      </c>
      <c r="G918">
        <v>714103</v>
      </c>
      <c r="H918" s="107"/>
      <c r="I918" s="107"/>
      <c r="L918" s="130">
        <v>43350</v>
      </c>
      <c r="M918" s="107">
        <v>94.15</v>
      </c>
      <c r="N918" s="107">
        <v>94.8</v>
      </c>
      <c r="O918" s="107">
        <v>92.4</v>
      </c>
      <c r="P918" s="107">
        <v>93.9</v>
      </c>
      <c r="Q918" s="107">
        <v>94.15</v>
      </c>
      <c r="R918">
        <v>5737097</v>
      </c>
    </row>
    <row r="919" spans="1:18" x14ac:dyDescent="0.25">
      <c r="A919" s="130">
        <v>43353</v>
      </c>
      <c r="B919" s="107">
        <v>93.85</v>
      </c>
      <c r="C919" s="107">
        <v>91.95</v>
      </c>
      <c r="D919" s="107">
        <v>91.4</v>
      </c>
      <c r="E919" s="107">
        <v>93</v>
      </c>
      <c r="F919" s="107">
        <v>91.95</v>
      </c>
      <c r="G919">
        <v>657574</v>
      </c>
      <c r="H919" s="107"/>
      <c r="I919" s="107"/>
      <c r="L919" s="130">
        <v>43353</v>
      </c>
      <c r="M919" s="107">
        <v>92</v>
      </c>
      <c r="N919" s="107">
        <v>93.85</v>
      </c>
      <c r="O919" s="107">
        <v>91.5</v>
      </c>
      <c r="P919" s="107">
        <v>92.8</v>
      </c>
      <c r="Q919" s="107">
        <v>92</v>
      </c>
      <c r="R919">
        <v>6073063</v>
      </c>
    </row>
    <row r="920" spans="1:18" x14ac:dyDescent="0.25">
      <c r="A920" s="130">
        <v>43354</v>
      </c>
      <c r="B920" s="107">
        <v>93.9</v>
      </c>
      <c r="C920" s="107">
        <v>90.85</v>
      </c>
      <c r="D920" s="107">
        <v>90.05</v>
      </c>
      <c r="E920" s="107">
        <v>92.95</v>
      </c>
      <c r="F920" s="107">
        <v>90.85</v>
      </c>
      <c r="G920">
        <v>682366</v>
      </c>
      <c r="H920" s="107"/>
      <c r="I920" s="107"/>
      <c r="L920" s="130">
        <v>43354</v>
      </c>
      <c r="M920" s="107">
        <v>90.7</v>
      </c>
      <c r="N920" s="107">
        <v>93.9</v>
      </c>
      <c r="O920" s="107">
        <v>90.25</v>
      </c>
      <c r="P920" s="107">
        <v>92.3</v>
      </c>
      <c r="Q920" s="107">
        <v>90.7</v>
      </c>
      <c r="R920">
        <v>7993270</v>
      </c>
    </row>
    <row r="921" spans="1:18" x14ac:dyDescent="0.25">
      <c r="A921" s="130">
        <v>43355</v>
      </c>
      <c r="B921" s="107">
        <v>92.05</v>
      </c>
      <c r="C921" s="107">
        <v>91.2</v>
      </c>
      <c r="D921" s="107">
        <v>89.3</v>
      </c>
      <c r="E921" s="107">
        <v>90.9</v>
      </c>
      <c r="F921" s="107">
        <v>91.2</v>
      </c>
      <c r="G921">
        <v>822250</v>
      </c>
      <c r="H921" s="107"/>
      <c r="I921" s="107"/>
      <c r="L921" s="130">
        <v>43355</v>
      </c>
      <c r="M921" s="107">
        <v>91.3</v>
      </c>
      <c r="N921" s="107">
        <v>92.1</v>
      </c>
      <c r="O921" s="107">
        <v>89.15</v>
      </c>
      <c r="P921" s="107">
        <v>91</v>
      </c>
      <c r="Q921" s="107">
        <v>91.3</v>
      </c>
      <c r="R921">
        <v>8634365</v>
      </c>
    </row>
    <row r="922" spans="1:18" x14ac:dyDescent="0.25">
      <c r="A922" s="130">
        <v>43357</v>
      </c>
      <c r="B922" s="107">
        <v>93.95</v>
      </c>
      <c r="C922" s="107">
        <v>93.15</v>
      </c>
      <c r="D922" s="107">
        <v>92</v>
      </c>
      <c r="E922" s="107">
        <v>92</v>
      </c>
      <c r="F922" s="107">
        <v>93.15</v>
      </c>
      <c r="G922">
        <v>497621</v>
      </c>
      <c r="H922" s="107"/>
      <c r="I922" s="107"/>
      <c r="L922" s="130">
        <v>43357</v>
      </c>
      <c r="M922" s="107">
        <v>93.2</v>
      </c>
      <c r="N922" s="107">
        <v>93.9</v>
      </c>
      <c r="O922" s="107">
        <v>92.05</v>
      </c>
      <c r="P922" s="107">
        <v>92.5</v>
      </c>
      <c r="Q922" s="107">
        <v>93.2</v>
      </c>
      <c r="R922">
        <v>5742873</v>
      </c>
    </row>
    <row r="923" spans="1:18" x14ac:dyDescent="0.25">
      <c r="A923" s="130">
        <v>43360</v>
      </c>
      <c r="B923" s="107">
        <v>94.75</v>
      </c>
      <c r="C923" s="107">
        <v>93.35</v>
      </c>
      <c r="D923" s="107">
        <v>92.1</v>
      </c>
      <c r="E923" s="107">
        <v>93.95</v>
      </c>
      <c r="F923" s="107">
        <v>93.35</v>
      </c>
      <c r="G923">
        <v>933362</v>
      </c>
      <c r="H923" s="107"/>
      <c r="I923" s="107"/>
      <c r="L923" s="130">
        <v>43360</v>
      </c>
      <c r="M923" s="107">
        <v>93.45</v>
      </c>
      <c r="N923" s="107">
        <v>94.8</v>
      </c>
      <c r="O923" s="107">
        <v>92</v>
      </c>
      <c r="P923" s="107">
        <v>93.5</v>
      </c>
      <c r="Q923" s="107">
        <v>93.45</v>
      </c>
      <c r="R923">
        <v>8048159</v>
      </c>
    </row>
    <row r="924" spans="1:18" x14ac:dyDescent="0.25">
      <c r="A924" s="130">
        <v>43361</v>
      </c>
      <c r="B924" s="107">
        <v>94.9</v>
      </c>
      <c r="C924" s="107">
        <v>89.7</v>
      </c>
      <c r="D924" s="107">
        <v>87.75</v>
      </c>
      <c r="E924" s="107">
        <v>93.4</v>
      </c>
      <c r="F924" s="107">
        <v>89.7</v>
      </c>
      <c r="G924">
        <v>1409069</v>
      </c>
      <c r="H924" s="107"/>
      <c r="I924" s="107"/>
      <c r="L924" s="130">
        <v>43361</v>
      </c>
      <c r="M924" s="107">
        <v>89.8</v>
      </c>
      <c r="N924" s="107">
        <v>94.95</v>
      </c>
      <c r="O924" s="107">
        <v>87.6</v>
      </c>
      <c r="P924" s="107">
        <v>92.7</v>
      </c>
      <c r="Q924" s="107">
        <v>89.8</v>
      </c>
      <c r="R924">
        <v>13925708</v>
      </c>
    </row>
    <row r="925" spans="1:18" x14ac:dyDescent="0.25">
      <c r="A925" s="130">
        <v>43362</v>
      </c>
      <c r="B925" s="107">
        <v>91.5</v>
      </c>
      <c r="C925" s="107">
        <v>90.15</v>
      </c>
      <c r="D925" s="107">
        <v>88.6</v>
      </c>
      <c r="E925" s="107">
        <v>90.2</v>
      </c>
      <c r="F925" s="107">
        <v>90.15</v>
      </c>
      <c r="G925">
        <v>703165</v>
      </c>
      <c r="H925" s="107"/>
      <c r="I925" s="107"/>
      <c r="L925" s="130">
        <v>43362</v>
      </c>
      <c r="M925" s="107">
        <v>90.15</v>
      </c>
      <c r="N925" s="107">
        <v>91.4</v>
      </c>
      <c r="O925" s="107">
        <v>88.5</v>
      </c>
      <c r="P925" s="107">
        <v>90.55</v>
      </c>
      <c r="Q925" s="107">
        <v>90.15</v>
      </c>
      <c r="R925">
        <v>6443158</v>
      </c>
    </row>
    <row r="926" spans="1:18" x14ac:dyDescent="0.25">
      <c r="A926" s="130">
        <v>43364</v>
      </c>
      <c r="B926" s="107">
        <v>91.85</v>
      </c>
      <c r="C926" s="107">
        <v>86.55</v>
      </c>
      <c r="D926" s="107">
        <v>81.150000000000006</v>
      </c>
      <c r="E926" s="107">
        <v>90.5</v>
      </c>
      <c r="F926" s="107">
        <v>86.55</v>
      </c>
      <c r="G926">
        <v>940927</v>
      </c>
      <c r="H926" s="107"/>
      <c r="I926" s="107"/>
      <c r="L926" s="130">
        <v>43364</v>
      </c>
      <c r="M926" s="107">
        <v>86.45</v>
      </c>
      <c r="N926" s="107">
        <v>91.9</v>
      </c>
      <c r="O926" s="107">
        <v>81.150000000000006</v>
      </c>
      <c r="P926" s="107">
        <v>91</v>
      </c>
      <c r="Q926" s="107">
        <v>86.45</v>
      </c>
      <c r="R926">
        <v>9518376</v>
      </c>
    </row>
    <row r="927" spans="1:18" x14ac:dyDescent="0.25">
      <c r="A927" s="130">
        <v>43367</v>
      </c>
      <c r="B927" s="107">
        <v>87.85</v>
      </c>
      <c r="C927" s="107">
        <v>83.45</v>
      </c>
      <c r="D927" s="107">
        <v>82.5</v>
      </c>
      <c r="E927" s="107">
        <v>86.7</v>
      </c>
      <c r="F927" s="107">
        <v>83.45</v>
      </c>
      <c r="G927">
        <v>739399</v>
      </c>
      <c r="H927" s="107"/>
      <c r="I927" s="107"/>
      <c r="L927" s="130">
        <v>43367</v>
      </c>
      <c r="M927" s="107">
        <v>83.5</v>
      </c>
      <c r="N927" s="107">
        <v>87.9</v>
      </c>
      <c r="O927" s="107">
        <v>82.7</v>
      </c>
      <c r="P927" s="107">
        <v>87</v>
      </c>
      <c r="Q927" s="107">
        <v>83.5</v>
      </c>
      <c r="R927">
        <v>8101723</v>
      </c>
    </row>
    <row r="928" spans="1:18" x14ac:dyDescent="0.25">
      <c r="A928" s="130">
        <v>43368</v>
      </c>
      <c r="B928" s="107">
        <v>84.75</v>
      </c>
      <c r="C928" s="107">
        <v>84.2</v>
      </c>
      <c r="D928" s="107">
        <v>80.45</v>
      </c>
      <c r="E928" s="107">
        <v>83.7</v>
      </c>
      <c r="F928" s="107">
        <v>84.2</v>
      </c>
      <c r="G928">
        <v>1057258</v>
      </c>
      <c r="H928" s="107"/>
      <c r="I928" s="107"/>
      <c r="L928" s="130">
        <v>43368</v>
      </c>
      <c r="M928" s="107">
        <v>84.25</v>
      </c>
      <c r="N928" s="107">
        <v>84.7</v>
      </c>
      <c r="O928" s="107">
        <v>80.45</v>
      </c>
      <c r="P928" s="107">
        <v>83</v>
      </c>
      <c r="Q928" s="107">
        <v>84.25</v>
      </c>
      <c r="R928">
        <v>9917421</v>
      </c>
    </row>
    <row r="929" spans="1:18" x14ac:dyDescent="0.25">
      <c r="A929" s="130">
        <v>43369</v>
      </c>
      <c r="B929" s="107">
        <v>85.25</v>
      </c>
      <c r="C929" s="107">
        <v>83.8</v>
      </c>
      <c r="D929" s="107">
        <v>81.650000000000006</v>
      </c>
      <c r="E929" s="107">
        <v>84.5</v>
      </c>
      <c r="F929" s="107">
        <v>83.8</v>
      </c>
      <c r="G929">
        <v>963911</v>
      </c>
      <c r="H929" s="107"/>
      <c r="I929" s="107"/>
      <c r="L929" s="130">
        <v>43369</v>
      </c>
      <c r="M929" s="107">
        <v>83.85</v>
      </c>
      <c r="N929" s="107">
        <v>85.4</v>
      </c>
      <c r="O929" s="107">
        <v>81.75</v>
      </c>
      <c r="P929" s="107">
        <v>84.7</v>
      </c>
      <c r="Q929" s="107">
        <v>83.85</v>
      </c>
      <c r="R929">
        <v>8849865</v>
      </c>
    </row>
    <row r="930" spans="1:18" x14ac:dyDescent="0.25">
      <c r="A930" s="130">
        <v>43370</v>
      </c>
      <c r="B930" s="107">
        <v>84.2</v>
      </c>
      <c r="C930" s="107">
        <v>80.45</v>
      </c>
      <c r="D930" s="107">
        <v>80</v>
      </c>
      <c r="E930" s="107">
        <v>83.5</v>
      </c>
      <c r="F930" s="107">
        <v>80.45</v>
      </c>
      <c r="G930">
        <v>499352</v>
      </c>
      <c r="H930" s="107"/>
      <c r="I930" s="107"/>
      <c r="L930" s="130">
        <v>43370</v>
      </c>
      <c r="M930" s="107">
        <v>80.45</v>
      </c>
      <c r="N930" s="107">
        <v>84.35</v>
      </c>
      <c r="O930" s="107">
        <v>79.849999999999994</v>
      </c>
      <c r="P930" s="107">
        <v>83.75</v>
      </c>
      <c r="Q930" s="107">
        <v>80.45</v>
      </c>
      <c r="R930">
        <v>6606824</v>
      </c>
    </row>
    <row r="931" spans="1:18" x14ac:dyDescent="0.25">
      <c r="A931" s="130">
        <v>43371</v>
      </c>
      <c r="B931" s="107">
        <v>81.349999999999994</v>
      </c>
      <c r="C931" s="107">
        <v>76.900000000000006</v>
      </c>
      <c r="D931" s="107">
        <v>75.849999999999994</v>
      </c>
      <c r="E931" s="107">
        <v>80.95</v>
      </c>
      <c r="F931" s="107">
        <v>76.900000000000006</v>
      </c>
      <c r="G931">
        <v>1039802</v>
      </c>
      <c r="H931" s="107"/>
      <c r="I931" s="107"/>
      <c r="L931" s="130">
        <v>43371</v>
      </c>
      <c r="M931" s="107">
        <v>76.900000000000006</v>
      </c>
      <c r="N931" s="107">
        <v>81.349999999999994</v>
      </c>
      <c r="O931" s="107">
        <v>75.8</v>
      </c>
      <c r="P931" s="107">
        <v>80.599999999999994</v>
      </c>
      <c r="Q931" s="107">
        <v>76.900000000000006</v>
      </c>
      <c r="R931">
        <v>10815113</v>
      </c>
    </row>
    <row r="932" spans="1:18" x14ac:dyDescent="0.25">
      <c r="A932" s="130">
        <v>43374</v>
      </c>
      <c r="B932" s="107">
        <v>81.05</v>
      </c>
      <c r="C932" s="107">
        <v>79.05</v>
      </c>
      <c r="D932" s="107">
        <v>73.55</v>
      </c>
      <c r="E932" s="107">
        <v>76.099999999999994</v>
      </c>
      <c r="F932" s="107">
        <v>79.05</v>
      </c>
      <c r="G932">
        <v>1118497</v>
      </c>
      <c r="H932" s="107"/>
      <c r="I932" s="107"/>
      <c r="L932" s="130">
        <v>43374</v>
      </c>
      <c r="M932" s="107">
        <v>79.150000000000006</v>
      </c>
      <c r="N932" s="107">
        <v>81.2</v>
      </c>
      <c r="O932" s="107">
        <v>73.45</v>
      </c>
      <c r="P932" s="107">
        <v>76.7</v>
      </c>
      <c r="Q932" s="107">
        <v>79.150000000000006</v>
      </c>
      <c r="R932">
        <v>10042107</v>
      </c>
    </row>
    <row r="933" spans="1:18" x14ac:dyDescent="0.25">
      <c r="A933" s="130">
        <v>43376</v>
      </c>
      <c r="B933" s="107">
        <v>83.95</v>
      </c>
      <c r="C933" s="107">
        <v>80.650000000000006</v>
      </c>
      <c r="D933" s="107">
        <v>78.3</v>
      </c>
      <c r="E933" s="107">
        <v>79.099999999999994</v>
      </c>
      <c r="F933" s="107">
        <v>80.650000000000006</v>
      </c>
      <c r="G933">
        <v>950915</v>
      </c>
      <c r="H933" s="107"/>
      <c r="I933" s="107"/>
      <c r="L933" s="130">
        <v>43376</v>
      </c>
      <c r="M933" s="107">
        <v>80.599999999999994</v>
      </c>
      <c r="N933" s="107">
        <v>83.95</v>
      </c>
      <c r="O933" s="107">
        <v>78.099999999999994</v>
      </c>
      <c r="P933" s="107">
        <v>78.95</v>
      </c>
      <c r="Q933" s="107">
        <v>80.599999999999994</v>
      </c>
      <c r="R933">
        <v>9719469</v>
      </c>
    </row>
    <row r="934" spans="1:18" x14ac:dyDescent="0.25">
      <c r="A934" s="130">
        <v>43377</v>
      </c>
      <c r="B934" s="107">
        <v>81.55</v>
      </c>
      <c r="C934" s="107">
        <v>79.05</v>
      </c>
      <c r="D934" s="107">
        <v>77.25</v>
      </c>
      <c r="E934" s="107">
        <v>78.650000000000006</v>
      </c>
      <c r="F934" s="107">
        <v>79.05</v>
      </c>
      <c r="G934">
        <v>948668</v>
      </c>
      <c r="H934" s="107"/>
      <c r="I934" s="107"/>
      <c r="L934" s="130">
        <v>43377</v>
      </c>
      <c r="M934" s="107">
        <v>79.099999999999994</v>
      </c>
      <c r="N934" s="107">
        <v>81.650000000000006</v>
      </c>
      <c r="O934" s="107">
        <v>77.099999999999994</v>
      </c>
      <c r="P934" s="107">
        <v>78.849999999999994</v>
      </c>
      <c r="Q934" s="107">
        <v>79.099999999999994</v>
      </c>
      <c r="R934">
        <v>7927360</v>
      </c>
    </row>
    <row r="935" spans="1:18" x14ac:dyDescent="0.25">
      <c r="A935" s="130">
        <v>43378</v>
      </c>
      <c r="B935" s="107">
        <v>80</v>
      </c>
      <c r="C935" s="107">
        <v>76.95</v>
      </c>
      <c r="D935" s="107">
        <v>75.5</v>
      </c>
      <c r="E935" s="107">
        <v>79.5</v>
      </c>
      <c r="F935" s="107">
        <v>76.95</v>
      </c>
      <c r="G935">
        <v>959729</v>
      </c>
      <c r="H935" s="107"/>
      <c r="I935" s="107"/>
      <c r="L935" s="130">
        <v>43378</v>
      </c>
      <c r="M935" s="107">
        <v>76.8</v>
      </c>
      <c r="N935" s="107">
        <v>79.95</v>
      </c>
      <c r="O935" s="107">
        <v>75.5</v>
      </c>
      <c r="P935" s="107">
        <v>78.900000000000006</v>
      </c>
      <c r="Q935" s="107">
        <v>76.8</v>
      </c>
      <c r="R935">
        <v>7698118</v>
      </c>
    </row>
    <row r="936" spans="1:18" x14ac:dyDescent="0.25">
      <c r="A936" s="130">
        <v>43381</v>
      </c>
      <c r="B936" s="107">
        <v>77.55</v>
      </c>
      <c r="C936" s="107">
        <v>76</v>
      </c>
      <c r="D936" s="107">
        <v>74.099999999999994</v>
      </c>
      <c r="E936" s="107">
        <v>76.900000000000006</v>
      </c>
      <c r="F936" s="107">
        <v>76</v>
      </c>
      <c r="G936">
        <v>1065431</v>
      </c>
      <c r="H936" s="107"/>
      <c r="I936" s="107"/>
      <c r="L936" s="130">
        <v>43381</v>
      </c>
      <c r="M936" s="107">
        <v>76</v>
      </c>
      <c r="N936" s="107">
        <v>77.5</v>
      </c>
      <c r="O936" s="107">
        <v>74</v>
      </c>
      <c r="P936" s="107">
        <v>76.599999999999994</v>
      </c>
      <c r="Q936" s="107">
        <v>76</v>
      </c>
      <c r="R936">
        <v>7324522</v>
      </c>
    </row>
    <row r="937" spans="1:18" x14ac:dyDescent="0.25">
      <c r="A937" s="130">
        <v>43382</v>
      </c>
      <c r="B937" s="107">
        <v>77</v>
      </c>
      <c r="C937" s="107">
        <v>75.2</v>
      </c>
      <c r="D937" s="107">
        <v>73.55</v>
      </c>
      <c r="E937" s="107">
        <v>76.3</v>
      </c>
      <c r="F937" s="107">
        <v>75.2</v>
      </c>
      <c r="G937">
        <v>679132</v>
      </c>
      <c r="H937" s="107"/>
      <c r="I937" s="107"/>
      <c r="L937" s="130">
        <v>43382</v>
      </c>
      <c r="M937" s="107">
        <v>75.400000000000006</v>
      </c>
      <c r="N937" s="107">
        <v>77</v>
      </c>
      <c r="O937" s="107">
        <v>73.55</v>
      </c>
      <c r="P937" s="107">
        <v>76.7</v>
      </c>
      <c r="Q937" s="107">
        <v>75.400000000000006</v>
      </c>
      <c r="R937">
        <v>7103320</v>
      </c>
    </row>
    <row r="938" spans="1:18" x14ac:dyDescent="0.25">
      <c r="A938" s="130">
        <v>43383</v>
      </c>
      <c r="B938" s="107">
        <v>80.650000000000006</v>
      </c>
      <c r="C938" s="107">
        <v>79.25</v>
      </c>
      <c r="D938" s="107">
        <v>74.8</v>
      </c>
      <c r="E938" s="107">
        <v>75.400000000000006</v>
      </c>
      <c r="F938" s="107">
        <v>79.25</v>
      </c>
      <c r="G938">
        <v>844508</v>
      </c>
      <c r="H938" s="107"/>
      <c r="I938" s="107"/>
      <c r="L938" s="130">
        <v>43383</v>
      </c>
      <c r="M938" s="107">
        <v>79.349999999999994</v>
      </c>
      <c r="N938" s="107">
        <v>80.8</v>
      </c>
      <c r="O938" s="107">
        <v>74.7</v>
      </c>
      <c r="P938" s="107">
        <v>75.3</v>
      </c>
      <c r="Q938" s="107">
        <v>79.349999999999994</v>
      </c>
      <c r="R938">
        <v>8179463</v>
      </c>
    </row>
    <row r="939" spans="1:18" x14ac:dyDescent="0.25">
      <c r="A939" s="130">
        <v>43384</v>
      </c>
      <c r="B939" s="107">
        <v>78.2</v>
      </c>
      <c r="C939" s="107">
        <v>75.5</v>
      </c>
      <c r="D939" s="107">
        <v>75</v>
      </c>
      <c r="E939" s="107">
        <v>75.8</v>
      </c>
      <c r="F939" s="107">
        <v>75.5</v>
      </c>
      <c r="G939">
        <v>830982</v>
      </c>
      <c r="H939" s="107"/>
      <c r="I939" s="107"/>
      <c r="L939" s="130">
        <v>43384</v>
      </c>
      <c r="M939" s="107">
        <v>75.599999999999994</v>
      </c>
      <c r="N939" s="107">
        <v>78.2</v>
      </c>
      <c r="O939" s="107">
        <v>74.900000000000006</v>
      </c>
      <c r="P939" s="107">
        <v>75.349999999999994</v>
      </c>
      <c r="Q939" s="107">
        <v>75.599999999999994</v>
      </c>
      <c r="R939">
        <v>7185158</v>
      </c>
    </row>
    <row r="940" spans="1:18" x14ac:dyDescent="0.25">
      <c r="A940" s="130">
        <v>43385</v>
      </c>
      <c r="B940" s="107">
        <v>78.650000000000006</v>
      </c>
      <c r="C940" s="107">
        <v>77.2</v>
      </c>
      <c r="D940" s="107">
        <v>76.650000000000006</v>
      </c>
      <c r="E940" s="107">
        <v>77</v>
      </c>
      <c r="F940" s="107">
        <v>77.2</v>
      </c>
      <c r="G940">
        <v>655059</v>
      </c>
      <c r="H940" s="107"/>
      <c r="I940" s="107"/>
      <c r="L940" s="130">
        <v>43385</v>
      </c>
      <c r="M940" s="107">
        <v>77.150000000000006</v>
      </c>
      <c r="N940" s="107">
        <v>78.55</v>
      </c>
      <c r="O940" s="107">
        <v>76.5</v>
      </c>
      <c r="P940" s="107">
        <v>76.55</v>
      </c>
      <c r="Q940" s="107">
        <v>77.150000000000006</v>
      </c>
      <c r="R940">
        <v>4733008</v>
      </c>
    </row>
    <row r="941" spans="1:18" x14ac:dyDescent="0.25">
      <c r="A941" s="130">
        <v>43388</v>
      </c>
      <c r="B941" s="107">
        <v>78.2</v>
      </c>
      <c r="C941" s="107">
        <v>77.400000000000006</v>
      </c>
      <c r="D941" s="107">
        <v>75.849999999999994</v>
      </c>
      <c r="E941" s="107">
        <v>78.2</v>
      </c>
      <c r="F941" s="107">
        <v>77.400000000000006</v>
      </c>
      <c r="G941">
        <v>684779</v>
      </c>
      <c r="H941" s="107"/>
      <c r="I941" s="107"/>
      <c r="L941" s="130">
        <v>43388</v>
      </c>
      <c r="M941" s="107">
        <v>77.45</v>
      </c>
      <c r="N941" s="107">
        <v>78.099999999999994</v>
      </c>
      <c r="O941" s="107">
        <v>75.75</v>
      </c>
      <c r="P941" s="107">
        <v>77.400000000000006</v>
      </c>
      <c r="Q941" s="107">
        <v>77.45</v>
      </c>
      <c r="R941">
        <v>5148901</v>
      </c>
    </row>
    <row r="942" spans="1:18" x14ac:dyDescent="0.25">
      <c r="A942" s="130">
        <v>43389</v>
      </c>
      <c r="B942" s="107">
        <v>80.45</v>
      </c>
      <c r="C942" s="107">
        <v>80.05</v>
      </c>
      <c r="D942" s="107">
        <v>77.599999999999994</v>
      </c>
      <c r="E942" s="107">
        <v>78.5</v>
      </c>
      <c r="F942" s="107">
        <v>80.05</v>
      </c>
      <c r="G942">
        <v>630833</v>
      </c>
      <c r="H942" s="107"/>
      <c r="I942" s="107"/>
      <c r="L942" s="130">
        <v>43389</v>
      </c>
      <c r="M942" s="107">
        <v>80.05</v>
      </c>
      <c r="N942" s="107">
        <v>80.45</v>
      </c>
      <c r="O942" s="107">
        <v>77.55</v>
      </c>
      <c r="P942" s="107">
        <v>77.75</v>
      </c>
      <c r="Q942" s="107">
        <v>80.05</v>
      </c>
      <c r="R942">
        <v>5700198</v>
      </c>
    </row>
    <row r="943" spans="1:18" x14ac:dyDescent="0.25">
      <c r="A943" s="130">
        <v>43390</v>
      </c>
      <c r="B943" s="107">
        <v>81.900000000000006</v>
      </c>
      <c r="C943" s="107">
        <v>76.7</v>
      </c>
      <c r="D943" s="107">
        <v>76.400000000000006</v>
      </c>
      <c r="E943" s="107">
        <v>81.45</v>
      </c>
      <c r="F943" s="107">
        <v>76.7</v>
      </c>
      <c r="G943">
        <v>969648</v>
      </c>
      <c r="H943" s="107"/>
      <c r="I943" s="107"/>
      <c r="L943" s="130">
        <v>43390</v>
      </c>
      <c r="M943" s="107">
        <v>76.75</v>
      </c>
      <c r="N943" s="107">
        <v>81.900000000000006</v>
      </c>
      <c r="O943" s="107">
        <v>76.45</v>
      </c>
      <c r="P943" s="107">
        <v>81.55</v>
      </c>
      <c r="Q943" s="107">
        <v>76.75</v>
      </c>
      <c r="R943">
        <v>6810399</v>
      </c>
    </row>
    <row r="944" spans="1:18" x14ac:dyDescent="0.25">
      <c r="A944" s="130">
        <v>43392</v>
      </c>
      <c r="B944" s="107">
        <v>78.150000000000006</v>
      </c>
      <c r="C944" s="107">
        <v>76.75</v>
      </c>
      <c r="D944" s="107">
        <v>75.900000000000006</v>
      </c>
      <c r="E944" s="107">
        <v>76.2</v>
      </c>
      <c r="F944" s="107">
        <v>76.75</v>
      </c>
      <c r="G944">
        <v>848844</v>
      </c>
      <c r="H944" s="107"/>
      <c r="I944" s="107"/>
      <c r="L944" s="130">
        <v>43392</v>
      </c>
      <c r="M944" s="107">
        <v>76.8</v>
      </c>
      <c r="N944" s="107">
        <v>78.2</v>
      </c>
      <c r="O944" s="107">
        <v>75.75</v>
      </c>
      <c r="P944" s="107">
        <v>76.2</v>
      </c>
      <c r="Q944" s="107">
        <v>76.8</v>
      </c>
      <c r="R944">
        <v>5077319</v>
      </c>
    </row>
    <row r="945" spans="1:18" x14ac:dyDescent="0.25">
      <c r="A945" s="130">
        <v>43395</v>
      </c>
      <c r="B945" s="107">
        <v>77.7</v>
      </c>
      <c r="C945" s="107">
        <v>75.3</v>
      </c>
      <c r="D945" s="107">
        <v>75</v>
      </c>
      <c r="E945" s="107">
        <v>76.75</v>
      </c>
      <c r="F945" s="107">
        <v>75.3</v>
      </c>
      <c r="G945">
        <v>874523</v>
      </c>
      <c r="H945" s="107"/>
      <c r="I945" s="107"/>
      <c r="L945" s="130">
        <v>43395</v>
      </c>
      <c r="M945" s="107">
        <v>75.400000000000006</v>
      </c>
      <c r="N945" s="107">
        <v>77.75</v>
      </c>
      <c r="O945" s="107">
        <v>75.099999999999994</v>
      </c>
      <c r="P945" s="107">
        <v>77.5</v>
      </c>
      <c r="Q945" s="107">
        <v>75.400000000000006</v>
      </c>
      <c r="R945">
        <v>5588405</v>
      </c>
    </row>
    <row r="946" spans="1:18" x14ac:dyDescent="0.25">
      <c r="A946" s="130">
        <v>43396</v>
      </c>
      <c r="B946" s="107">
        <v>75.75</v>
      </c>
      <c r="C946" s="107">
        <v>75.3</v>
      </c>
      <c r="D946" s="107">
        <v>74.150000000000006</v>
      </c>
      <c r="E946" s="107">
        <v>74.599999999999994</v>
      </c>
      <c r="F946" s="107">
        <v>75.3</v>
      </c>
      <c r="G946">
        <v>613096</v>
      </c>
      <c r="H946" s="107"/>
      <c r="I946" s="107"/>
      <c r="L946" s="130">
        <v>43396</v>
      </c>
      <c r="M946" s="107">
        <v>75.400000000000006</v>
      </c>
      <c r="N946" s="107">
        <v>75.75</v>
      </c>
      <c r="O946" s="107">
        <v>74.150000000000006</v>
      </c>
      <c r="P946" s="107">
        <v>74.8</v>
      </c>
      <c r="Q946" s="107">
        <v>75.400000000000006</v>
      </c>
      <c r="R946">
        <v>4610971</v>
      </c>
    </row>
    <row r="947" spans="1:18" x14ac:dyDescent="0.25">
      <c r="A947" s="130">
        <v>43397</v>
      </c>
      <c r="B947" s="107">
        <v>77</v>
      </c>
      <c r="C947" s="107">
        <v>75.75</v>
      </c>
      <c r="D947" s="107">
        <v>74.7</v>
      </c>
      <c r="E947" s="107">
        <v>75.900000000000006</v>
      </c>
      <c r="F947" s="107">
        <v>75.75</v>
      </c>
      <c r="G947">
        <v>616884</v>
      </c>
      <c r="H947" s="107"/>
      <c r="I947" s="107"/>
      <c r="L947" s="130">
        <v>43397</v>
      </c>
      <c r="M947" s="107">
        <v>75.95</v>
      </c>
      <c r="N947" s="107">
        <v>77.05</v>
      </c>
      <c r="O947" s="107">
        <v>74.650000000000006</v>
      </c>
      <c r="P947" s="107">
        <v>76.5</v>
      </c>
      <c r="Q947" s="107">
        <v>75.95</v>
      </c>
      <c r="R947">
        <v>4629032</v>
      </c>
    </row>
    <row r="948" spans="1:18" x14ac:dyDescent="0.25">
      <c r="A948" s="130">
        <v>43398</v>
      </c>
      <c r="B948" s="107">
        <v>76.45</v>
      </c>
      <c r="C948" s="107">
        <v>74.8</v>
      </c>
      <c r="D948" s="107">
        <v>73.3</v>
      </c>
      <c r="E948" s="107">
        <v>74.650000000000006</v>
      </c>
      <c r="F948" s="107">
        <v>74.8</v>
      </c>
      <c r="G948">
        <v>826491</v>
      </c>
      <c r="H948" s="107"/>
      <c r="I948" s="107"/>
      <c r="L948" s="130">
        <v>43398</v>
      </c>
      <c r="M948" s="107">
        <v>74.900000000000006</v>
      </c>
      <c r="N948" s="107">
        <v>76.599999999999994</v>
      </c>
      <c r="O948" s="107">
        <v>73.2</v>
      </c>
      <c r="P948" s="107">
        <v>75.05</v>
      </c>
      <c r="Q948" s="107">
        <v>74.900000000000006</v>
      </c>
      <c r="R948">
        <v>6155722</v>
      </c>
    </row>
    <row r="949" spans="1:18" x14ac:dyDescent="0.25">
      <c r="A949" s="130">
        <v>43399</v>
      </c>
      <c r="B949" s="107">
        <v>75.849999999999994</v>
      </c>
      <c r="C949" s="107">
        <v>74.55</v>
      </c>
      <c r="D949" s="107">
        <v>73.900000000000006</v>
      </c>
      <c r="E949" s="107">
        <v>75</v>
      </c>
      <c r="F949" s="107">
        <v>74.55</v>
      </c>
      <c r="G949">
        <v>711961</v>
      </c>
      <c r="H949" s="107"/>
      <c r="I949" s="107"/>
      <c r="L949" s="130">
        <v>43399</v>
      </c>
      <c r="M949" s="107">
        <v>74.55</v>
      </c>
      <c r="N949" s="107">
        <v>75.95</v>
      </c>
      <c r="O949" s="107">
        <v>73.8</v>
      </c>
      <c r="P949" s="107">
        <v>75.7</v>
      </c>
      <c r="Q949" s="107">
        <v>74.55</v>
      </c>
      <c r="R949">
        <v>5300359</v>
      </c>
    </row>
    <row r="950" spans="1:18" x14ac:dyDescent="0.25">
      <c r="A950" s="130">
        <v>43402</v>
      </c>
      <c r="B950" s="107">
        <v>81.650000000000006</v>
      </c>
      <c r="C950" s="107">
        <v>81</v>
      </c>
      <c r="D950" s="107">
        <v>74.5</v>
      </c>
      <c r="E950" s="107">
        <v>75</v>
      </c>
      <c r="F950" s="107">
        <v>81</v>
      </c>
      <c r="G950">
        <v>1195574</v>
      </c>
      <c r="H950" s="107"/>
      <c r="I950" s="107"/>
      <c r="L950" s="130">
        <v>43402</v>
      </c>
      <c r="M950" s="107">
        <v>81.099999999999994</v>
      </c>
      <c r="N950" s="107">
        <v>81.95</v>
      </c>
      <c r="O950" s="107">
        <v>74.3</v>
      </c>
      <c r="P950" s="107">
        <v>74.8</v>
      </c>
      <c r="Q950" s="107">
        <v>81.099999999999994</v>
      </c>
      <c r="R950">
        <v>9190684</v>
      </c>
    </row>
    <row r="951" spans="1:18" x14ac:dyDescent="0.25">
      <c r="A951" s="130">
        <v>43403</v>
      </c>
      <c r="B951" s="107">
        <v>88</v>
      </c>
      <c r="C951" s="107">
        <v>84.3</v>
      </c>
      <c r="D951" s="107">
        <v>80.349999999999994</v>
      </c>
      <c r="E951" s="107">
        <v>81.8</v>
      </c>
      <c r="F951" s="107">
        <v>84.3</v>
      </c>
      <c r="G951">
        <v>1461229</v>
      </c>
      <c r="H951" s="107"/>
      <c r="I951" s="107"/>
      <c r="L951" s="130">
        <v>43403</v>
      </c>
      <c r="M951" s="107">
        <v>84.35</v>
      </c>
      <c r="N951" s="107">
        <v>88</v>
      </c>
      <c r="O951" s="107">
        <v>80.25</v>
      </c>
      <c r="P951" s="107">
        <v>80.75</v>
      </c>
      <c r="Q951" s="107">
        <v>84.35</v>
      </c>
      <c r="R951">
        <v>13718542</v>
      </c>
    </row>
    <row r="952" spans="1:18" x14ac:dyDescent="0.25">
      <c r="A952" s="130">
        <v>43404</v>
      </c>
      <c r="B952" s="107">
        <v>86.7</v>
      </c>
      <c r="C952" s="107">
        <v>86</v>
      </c>
      <c r="D952" s="107">
        <v>82.8</v>
      </c>
      <c r="E952" s="107">
        <v>85.8</v>
      </c>
      <c r="F952" s="107">
        <v>86</v>
      </c>
      <c r="G952">
        <v>961856</v>
      </c>
      <c r="H952" s="107"/>
      <c r="I952" s="107"/>
      <c r="L952" s="130">
        <v>43404</v>
      </c>
      <c r="M952" s="107">
        <v>86</v>
      </c>
      <c r="N952" s="107">
        <v>86.7</v>
      </c>
      <c r="O952" s="107">
        <v>82.7</v>
      </c>
      <c r="P952" s="107">
        <v>85.5</v>
      </c>
      <c r="Q952" s="107">
        <v>86</v>
      </c>
      <c r="R952">
        <v>8568254</v>
      </c>
    </row>
    <row r="953" spans="1:18" x14ac:dyDescent="0.25">
      <c r="A953" s="130">
        <v>43405</v>
      </c>
      <c r="B953" s="107">
        <v>87.65</v>
      </c>
      <c r="C953" s="107">
        <v>86</v>
      </c>
      <c r="D953" s="107">
        <v>84.95</v>
      </c>
      <c r="E953" s="107">
        <v>86.5</v>
      </c>
      <c r="F953" s="107">
        <v>86</v>
      </c>
      <c r="G953">
        <v>710368</v>
      </c>
      <c r="H953" s="107"/>
      <c r="I953" s="107"/>
      <c r="L953" s="130">
        <v>43405</v>
      </c>
      <c r="M953" s="107">
        <v>86.05</v>
      </c>
      <c r="N953" s="107">
        <v>87.65</v>
      </c>
      <c r="O953" s="107">
        <v>84.9</v>
      </c>
      <c r="P953" s="107">
        <v>86.1</v>
      </c>
      <c r="Q953" s="107">
        <v>86.05</v>
      </c>
      <c r="R953">
        <v>6032960</v>
      </c>
    </row>
    <row r="954" spans="1:18" x14ac:dyDescent="0.25">
      <c r="A954" s="130">
        <v>43406</v>
      </c>
      <c r="B954" s="107">
        <v>90.25</v>
      </c>
      <c r="C954" s="107">
        <v>84.35</v>
      </c>
      <c r="D954" s="107">
        <v>83.95</v>
      </c>
      <c r="E954" s="107">
        <v>86.3</v>
      </c>
      <c r="F954" s="107">
        <v>84.35</v>
      </c>
      <c r="G954">
        <v>1144415</v>
      </c>
      <c r="H954" s="107"/>
      <c r="I954" s="107"/>
      <c r="L954" s="130">
        <v>43406</v>
      </c>
      <c r="M954" s="107">
        <v>84.25</v>
      </c>
      <c r="N954" s="107">
        <v>90.45</v>
      </c>
      <c r="O954" s="107">
        <v>83.8</v>
      </c>
      <c r="P954" s="107">
        <v>87</v>
      </c>
      <c r="Q954" s="107">
        <v>84.25</v>
      </c>
      <c r="R954">
        <v>10494652</v>
      </c>
    </row>
    <row r="955" spans="1:18" x14ac:dyDescent="0.25">
      <c r="A955" s="130">
        <v>43409</v>
      </c>
      <c r="B955" s="107">
        <v>86.6</v>
      </c>
      <c r="C955" s="107">
        <v>86</v>
      </c>
      <c r="D955" s="107">
        <v>83.1</v>
      </c>
      <c r="E955" s="107">
        <v>84.3</v>
      </c>
      <c r="F955" s="107">
        <v>86</v>
      </c>
      <c r="G955">
        <v>755309</v>
      </c>
      <c r="H955" s="107"/>
      <c r="I955" s="107"/>
      <c r="L955" s="130">
        <v>43409</v>
      </c>
      <c r="M955" s="107">
        <v>86</v>
      </c>
      <c r="N955" s="107">
        <v>86.6</v>
      </c>
      <c r="O955" s="107">
        <v>83</v>
      </c>
      <c r="P955" s="107">
        <v>83.8</v>
      </c>
      <c r="Q955" s="107">
        <v>86</v>
      </c>
      <c r="R955">
        <v>6286227</v>
      </c>
    </row>
    <row r="956" spans="1:18" x14ac:dyDescent="0.25">
      <c r="A956" s="130">
        <v>43410</v>
      </c>
      <c r="B956" s="107">
        <v>87.4</v>
      </c>
      <c r="C956" s="107">
        <v>85.9</v>
      </c>
      <c r="D956" s="107">
        <v>85.15</v>
      </c>
      <c r="E956" s="107">
        <v>86.8</v>
      </c>
      <c r="F956" s="107">
        <v>85.9</v>
      </c>
      <c r="G956">
        <v>515467</v>
      </c>
      <c r="H956" s="107"/>
      <c r="I956" s="107"/>
      <c r="L956" s="130">
        <v>43410</v>
      </c>
      <c r="M956" s="107">
        <v>85.9</v>
      </c>
      <c r="N956" s="107">
        <v>87.4</v>
      </c>
      <c r="O956" s="107">
        <v>85.1</v>
      </c>
      <c r="P956" s="107">
        <v>86.5</v>
      </c>
      <c r="Q956" s="107">
        <v>85.9</v>
      </c>
      <c r="R956">
        <v>5154173</v>
      </c>
    </row>
    <row r="957" spans="1:18" x14ac:dyDescent="0.25">
      <c r="A957" s="130">
        <v>43411</v>
      </c>
      <c r="B957" s="107">
        <v>87.1</v>
      </c>
      <c r="C957" s="107">
        <v>86.45</v>
      </c>
      <c r="D957" s="107">
        <v>85.85</v>
      </c>
      <c r="E957" s="107">
        <v>87.1</v>
      </c>
      <c r="F957" s="107">
        <v>86.45</v>
      </c>
      <c r="G957">
        <v>85794</v>
      </c>
      <c r="H957" s="107"/>
      <c r="I957" s="107"/>
      <c r="L957" s="130">
        <v>43411</v>
      </c>
      <c r="M957" s="107">
        <v>86.35</v>
      </c>
      <c r="N957" s="107">
        <v>86.9</v>
      </c>
      <c r="O957" s="107">
        <v>86</v>
      </c>
      <c r="P957" s="107">
        <v>86.9</v>
      </c>
      <c r="Q957" s="107">
        <v>86.35</v>
      </c>
      <c r="R957">
        <v>549292</v>
      </c>
    </row>
    <row r="958" spans="1:18" x14ac:dyDescent="0.25">
      <c r="A958" s="130">
        <v>43413</v>
      </c>
      <c r="B958" s="107">
        <v>92.95</v>
      </c>
      <c r="C958" s="107">
        <v>91.7</v>
      </c>
      <c r="D958" s="107">
        <v>86.15</v>
      </c>
      <c r="E958" s="107">
        <v>86.55</v>
      </c>
      <c r="F958" s="107">
        <v>91.7</v>
      </c>
      <c r="G958">
        <v>1845401</v>
      </c>
      <c r="H958" s="107"/>
      <c r="I958" s="107"/>
      <c r="L958" s="130">
        <v>43413</v>
      </c>
      <c r="M958" s="107">
        <v>91.7</v>
      </c>
      <c r="N958" s="107">
        <v>93</v>
      </c>
      <c r="O958" s="107">
        <v>86.05</v>
      </c>
      <c r="P958" s="107">
        <v>86.05</v>
      </c>
      <c r="Q958" s="107">
        <v>91.7</v>
      </c>
      <c r="R958">
        <v>18802084</v>
      </c>
    </row>
    <row r="959" spans="1:18" x14ac:dyDescent="0.25">
      <c r="A959" s="130">
        <v>43416</v>
      </c>
      <c r="B959" s="107">
        <v>92.65</v>
      </c>
      <c r="C959" s="107">
        <v>87.25</v>
      </c>
      <c r="D959" s="107">
        <v>86.05</v>
      </c>
      <c r="E959" s="107">
        <v>91.9</v>
      </c>
      <c r="F959" s="107">
        <v>87.25</v>
      </c>
      <c r="G959">
        <v>1480313</v>
      </c>
      <c r="H959" s="107"/>
      <c r="I959" s="107"/>
      <c r="L959" s="130">
        <v>43416</v>
      </c>
      <c r="M959" s="107">
        <v>87.15</v>
      </c>
      <c r="N959" s="107">
        <v>92.4</v>
      </c>
      <c r="O959" s="107">
        <v>86.3</v>
      </c>
      <c r="P959" s="107">
        <v>92.2</v>
      </c>
      <c r="Q959" s="107">
        <v>87.15</v>
      </c>
      <c r="R959">
        <v>11535975</v>
      </c>
    </row>
    <row r="960" spans="1:18" x14ac:dyDescent="0.25">
      <c r="A960" s="130">
        <v>43417</v>
      </c>
      <c r="B960" s="107">
        <v>85.45</v>
      </c>
      <c r="C960" s="107">
        <v>81</v>
      </c>
      <c r="D960" s="107">
        <v>79.7</v>
      </c>
      <c r="E960" s="107">
        <v>85.1</v>
      </c>
      <c r="F960" s="107">
        <v>81</v>
      </c>
      <c r="G960">
        <v>2922946</v>
      </c>
      <c r="H960" s="107"/>
      <c r="I960" s="107"/>
      <c r="L960" s="130">
        <v>43417</v>
      </c>
      <c r="M960" s="107">
        <v>81</v>
      </c>
      <c r="N960" s="107">
        <v>85.45</v>
      </c>
      <c r="O960" s="107">
        <v>79.599999999999994</v>
      </c>
      <c r="P960" s="107">
        <v>85.2</v>
      </c>
      <c r="Q960" s="107">
        <v>81</v>
      </c>
      <c r="R960">
        <v>34691996</v>
      </c>
    </row>
    <row r="961" spans="1:18" x14ac:dyDescent="0.25">
      <c r="A961" s="130">
        <v>43418</v>
      </c>
      <c r="B961" s="107">
        <v>83.85</v>
      </c>
      <c r="C961" s="107">
        <v>82.3</v>
      </c>
      <c r="D961" s="107">
        <v>81.2</v>
      </c>
      <c r="E961" s="107">
        <v>81.8</v>
      </c>
      <c r="F961" s="107">
        <v>82.3</v>
      </c>
      <c r="G961">
        <v>1266252</v>
      </c>
      <c r="H961" s="107"/>
      <c r="I961" s="107"/>
      <c r="L961" s="130">
        <v>43418</v>
      </c>
      <c r="M961" s="107">
        <v>82.5</v>
      </c>
      <c r="N961" s="107">
        <v>83.85</v>
      </c>
      <c r="O961" s="107">
        <v>81.099999999999994</v>
      </c>
      <c r="P961" s="107">
        <v>81.55</v>
      </c>
      <c r="Q961" s="107">
        <v>82.5</v>
      </c>
      <c r="R961">
        <v>13011145</v>
      </c>
    </row>
    <row r="962" spans="1:18" x14ac:dyDescent="0.25">
      <c r="A962" s="130">
        <v>43419</v>
      </c>
      <c r="B962" s="107">
        <v>85.2</v>
      </c>
      <c r="C962" s="107">
        <v>84.3</v>
      </c>
      <c r="D962" s="107">
        <v>80.8</v>
      </c>
      <c r="E962" s="107">
        <v>83.5</v>
      </c>
      <c r="F962" s="107">
        <v>84.3</v>
      </c>
      <c r="G962">
        <v>1014828</v>
      </c>
      <c r="H962" s="107"/>
      <c r="I962" s="107"/>
      <c r="L962" s="130">
        <v>43419</v>
      </c>
      <c r="M962" s="107">
        <v>84.3</v>
      </c>
      <c r="N962" s="107">
        <v>84.8</v>
      </c>
      <c r="O962" s="107">
        <v>80.75</v>
      </c>
      <c r="P962" s="107">
        <v>82.55</v>
      </c>
      <c r="Q962" s="107">
        <v>84.3</v>
      </c>
      <c r="R962">
        <v>9257148</v>
      </c>
    </row>
    <row r="963" spans="1:18" x14ac:dyDescent="0.25">
      <c r="A963" s="130">
        <v>43420</v>
      </c>
      <c r="B963" s="107">
        <v>89.2</v>
      </c>
      <c r="C963" s="107">
        <v>88.15</v>
      </c>
      <c r="D963" s="107">
        <v>83.45</v>
      </c>
      <c r="E963" s="107">
        <v>84.95</v>
      </c>
      <c r="F963" s="107">
        <v>88.15</v>
      </c>
      <c r="G963">
        <v>1411436</v>
      </c>
      <c r="H963" s="107"/>
      <c r="I963" s="107"/>
      <c r="L963" s="130">
        <v>43420</v>
      </c>
      <c r="M963" s="107">
        <v>88.15</v>
      </c>
      <c r="N963" s="107">
        <v>89.25</v>
      </c>
      <c r="O963" s="107">
        <v>83.35</v>
      </c>
      <c r="P963" s="107">
        <v>84.5</v>
      </c>
      <c r="Q963" s="107">
        <v>88.15</v>
      </c>
      <c r="R963">
        <v>13103035</v>
      </c>
    </row>
    <row r="964" spans="1:18" x14ac:dyDescent="0.25">
      <c r="A964" s="130">
        <v>43423</v>
      </c>
      <c r="B964" s="107">
        <v>89.9</v>
      </c>
      <c r="C964" s="107">
        <v>87.5</v>
      </c>
      <c r="D964" s="107">
        <v>85.1</v>
      </c>
      <c r="E964" s="107">
        <v>89.4</v>
      </c>
      <c r="F964" s="107">
        <v>87.5</v>
      </c>
      <c r="G964">
        <v>1869987</v>
      </c>
      <c r="H964" s="107"/>
      <c r="I964" s="107"/>
      <c r="L964" s="130">
        <v>43423</v>
      </c>
      <c r="M964" s="107">
        <v>87.45</v>
      </c>
      <c r="N964" s="107">
        <v>89.9</v>
      </c>
      <c r="O964" s="107">
        <v>85.1</v>
      </c>
      <c r="P964" s="107">
        <v>88.7</v>
      </c>
      <c r="Q964" s="107">
        <v>87.45</v>
      </c>
      <c r="R964">
        <v>12566521</v>
      </c>
    </row>
    <row r="965" spans="1:18" x14ac:dyDescent="0.25">
      <c r="A965" s="130">
        <v>43424</v>
      </c>
      <c r="B965" s="107">
        <v>88.05</v>
      </c>
      <c r="C965" s="107">
        <v>85.8</v>
      </c>
      <c r="D965" s="107">
        <v>82.85</v>
      </c>
      <c r="E965" s="107">
        <v>86.3</v>
      </c>
      <c r="F965" s="107">
        <v>85.8</v>
      </c>
      <c r="G965">
        <v>1509578</v>
      </c>
      <c r="H965" s="107"/>
      <c r="I965" s="107"/>
      <c r="L965" s="130">
        <v>43424</v>
      </c>
      <c r="M965" s="107">
        <v>85.85</v>
      </c>
      <c r="N965" s="107">
        <v>88.1</v>
      </c>
      <c r="O965" s="107">
        <v>82.9</v>
      </c>
      <c r="P965" s="107">
        <v>86.4</v>
      </c>
      <c r="Q965" s="107">
        <v>85.85</v>
      </c>
      <c r="R965">
        <v>13867586</v>
      </c>
    </row>
    <row r="966" spans="1:18" x14ac:dyDescent="0.25">
      <c r="A966" s="130">
        <v>43425</v>
      </c>
      <c r="B966" s="107">
        <v>89</v>
      </c>
      <c r="C966" s="107">
        <v>87.55</v>
      </c>
      <c r="D966" s="107">
        <v>85.8</v>
      </c>
      <c r="E966" s="107">
        <v>85.8</v>
      </c>
      <c r="F966" s="107">
        <v>87.55</v>
      </c>
      <c r="G966">
        <v>1098546</v>
      </c>
      <c r="H966" s="107"/>
      <c r="I966" s="107"/>
      <c r="L966" s="130">
        <v>43425</v>
      </c>
      <c r="M966" s="107">
        <v>87.5</v>
      </c>
      <c r="N966" s="107">
        <v>89</v>
      </c>
      <c r="O966" s="107">
        <v>85.75</v>
      </c>
      <c r="P966" s="107">
        <v>86.2</v>
      </c>
      <c r="Q966" s="107">
        <v>87.5</v>
      </c>
      <c r="R966">
        <v>9371109</v>
      </c>
    </row>
    <row r="967" spans="1:18" x14ac:dyDescent="0.25">
      <c r="A967" s="130">
        <v>43426</v>
      </c>
      <c r="B967" s="107">
        <v>88.5</v>
      </c>
      <c r="C967" s="107">
        <v>85.95</v>
      </c>
      <c r="D967" s="107">
        <v>85.45</v>
      </c>
      <c r="E967" s="107">
        <v>88.5</v>
      </c>
      <c r="F967" s="107">
        <v>85.95</v>
      </c>
      <c r="G967">
        <v>741487</v>
      </c>
      <c r="H967" s="107"/>
      <c r="I967" s="107"/>
      <c r="L967" s="130">
        <v>43426</v>
      </c>
      <c r="M967" s="107">
        <v>86</v>
      </c>
      <c r="N967" s="107">
        <v>88</v>
      </c>
      <c r="O967" s="107">
        <v>85.35</v>
      </c>
      <c r="P967" s="107">
        <v>87.7</v>
      </c>
      <c r="Q967" s="107">
        <v>86</v>
      </c>
      <c r="R967">
        <v>8669323</v>
      </c>
    </row>
    <row r="968" spans="1:18" x14ac:dyDescent="0.25">
      <c r="A968" s="130">
        <v>43430</v>
      </c>
      <c r="B968" s="107">
        <v>86.95</v>
      </c>
      <c r="C968" s="107">
        <v>84.5</v>
      </c>
      <c r="D968" s="107">
        <v>82.35</v>
      </c>
      <c r="E968" s="107">
        <v>86.95</v>
      </c>
      <c r="F968" s="107">
        <v>84.5</v>
      </c>
      <c r="G968">
        <v>1188742</v>
      </c>
      <c r="H968" s="107"/>
      <c r="I968" s="107"/>
      <c r="L968" s="130">
        <v>43430</v>
      </c>
      <c r="M968" s="107">
        <v>84.55</v>
      </c>
      <c r="N968" s="107">
        <v>86.9</v>
      </c>
      <c r="O968" s="107">
        <v>82.3</v>
      </c>
      <c r="P968" s="107">
        <v>86.1</v>
      </c>
      <c r="Q968" s="107">
        <v>84.55</v>
      </c>
      <c r="R968">
        <v>10604798</v>
      </c>
    </row>
    <row r="969" spans="1:18" x14ac:dyDescent="0.25">
      <c r="A969" s="130">
        <v>43431</v>
      </c>
      <c r="B969" s="107">
        <v>86.45</v>
      </c>
      <c r="C969" s="107">
        <v>85.75</v>
      </c>
      <c r="D969" s="107">
        <v>84</v>
      </c>
      <c r="E969" s="107">
        <v>85</v>
      </c>
      <c r="F969" s="107">
        <v>85.75</v>
      </c>
      <c r="G969">
        <v>795690</v>
      </c>
      <c r="H969" s="107"/>
      <c r="I969" s="107"/>
      <c r="L969" s="130">
        <v>43431</v>
      </c>
      <c r="M969" s="107">
        <v>85.75</v>
      </c>
      <c r="N969" s="107">
        <v>86.5</v>
      </c>
      <c r="O969" s="107">
        <v>83.85</v>
      </c>
      <c r="P969" s="107">
        <v>85</v>
      </c>
      <c r="Q969" s="107">
        <v>85.75</v>
      </c>
      <c r="R969">
        <v>7821923</v>
      </c>
    </row>
    <row r="970" spans="1:18" x14ac:dyDescent="0.25">
      <c r="A970" s="130">
        <v>43432</v>
      </c>
      <c r="B970" s="107">
        <v>86.9</v>
      </c>
      <c r="C970" s="107">
        <v>82.9</v>
      </c>
      <c r="D970" s="107">
        <v>82.5</v>
      </c>
      <c r="E970" s="107">
        <v>86.9</v>
      </c>
      <c r="F970" s="107">
        <v>82.9</v>
      </c>
      <c r="G970">
        <v>1048001</v>
      </c>
      <c r="H970" s="107"/>
      <c r="I970" s="107"/>
      <c r="L970" s="130">
        <v>43432</v>
      </c>
      <c r="M970" s="107">
        <v>82.85</v>
      </c>
      <c r="N970" s="107">
        <v>86.9</v>
      </c>
      <c r="O970" s="107">
        <v>82.5</v>
      </c>
      <c r="P970" s="107">
        <v>86.65</v>
      </c>
      <c r="Q970" s="107">
        <v>82.85</v>
      </c>
      <c r="R970">
        <v>8668702</v>
      </c>
    </row>
    <row r="971" spans="1:18" x14ac:dyDescent="0.25">
      <c r="A971" s="130">
        <v>43433</v>
      </c>
      <c r="B971" s="107">
        <v>85.4</v>
      </c>
      <c r="C971" s="107">
        <v>85</v>
      </c>
      <c r="D971" s="107">
        <v>81.8</v>
      </c>
      <c r="E971" s="107">
        <v>83.5</v>
      </c>
      <c r="F971" s="107">
        <v>85</v>
      </c>
      <c r="G971">
        <v>1155833</v>
      </c>
      <c r="H971" s="107"/>
      <c r="I971" s="107"/>
      <c r="L971" s="130">
        <v>43433</v>
      </c>
      <c r="M971" s="107">
        <v>85.3</v>
      </c>
      <c r="N971" s="107">
        <v>86.45</v>
      </c>
      <c r="O971" s="107">
        <v>81.75</v>
      </c>
      <c r="P971" s="107">
        <v>83.5</v>
      </c>
      <c r="Q971" s="107">
        <v>85.3</v>
      </c>
      <c r="R971">
        <v>9104052</v>
      </c>
    </row>
    <row r="972" spans="1:18" x14ac:dyDescent="0.25">
      <c r="A972" s="130">
        <v>43434</v>
      </c>
      <c r="B972" s="107">
        <v>86.05</v>
      </c>
      <c r="C972" s="107">
        <v>84.85</v>
      </c>
      <c r="D972" s="107">
        <v>83.5</v>
      </c>
      <c r="E972" s="107">
        <v>86</v>
      </c>
      <c r="F972" s="107">
        <v>84.85</v>
      </c>
      <c r="G972">
        <v>781812</v>
      </c>
      <c r="H972" s="107"/>
      <c r="I972" s="107"/>
      <c r="L972" s="130">
        <v>43434</v>
      </c>
      <c r="M972" s="107">
        <v>84.85</v>
      </c>
      <c r="N972" s="107">
        <v>86.25</v>
      </c>
      <c r="O972" s="107">
        <v>84.1</v>
      </c>
      <c r="P972" s="107">
        <v>85.8</v>
      </c>
      <c r="Q972" s="107">
        <v>84.85</v>
      </c>
      <c r="R972">
        <v>5259126</v>
      </c>
    </row>
    <row r="973" spans="1:18" x14ac:dyDescent="0.25">
      <c r="A973" s="130">
        <v>43437</v>
      </c>
      <c r="B973" s="107">
        <v>89.75</v>
      </c>
      <c r="C973" s="107">
        <v>88.75</v>
      </c>
      <c r="D973" s="107">
        <v>84.55</v>
      </c>
      <c r="E973" s="107">
        <v>85</v>
      </c>
      <c r="F973" s="107">
        <v>88.75</v>
      </c>
      <c r="G973">
        <v>989139</v>
      </c>
      <c r="H973" s="107"/>
      <c r="I973" s="107"/>
      <c r="L973" s="130">
        <v>43437</v>
      </c>
      <c r="M973" s="107">
        <v>88.65</v>
      </c>
      <c r="N973" s="107">
        <v>89.3</v>
      </c>
      <c r="O973" s="107">
        <v>84.55</v>
      </c>
      <c r="P973" s="107">
        <v>84.55</v>
      </c>
      <c r="Q973" s="107">
        <v>88.65</v>
      </c>
      <c r="R973">
        <v>9515981</v>
      </c>
    </row>
    <row r="974" spans="1:18" x14ac:dyDescent="0.25">
      <c r="A974" s="130">
        <v>43438</v>
      </c>
      <c r="B974" s="107">
        <v>89.85</v>
      </c>
      <c r="C974" s="107">
        <v>85.55</v>
      </c>
      <c r="D974" s="107">
        <v>85.25</v>
      </c>
      <c r="E974" s="107">
        <v>88.75</v>
      </c>
      <c r="F974" s="107">
        <v>85.55</v>
      </c>
      <c r="G974">
        <v>960033</v>
      </c>
      <c r="H974" s="107"/>
      <c r="I974" s="107"/>
      <c r="L974" s="130">
        <v>43438</v>
      </c>
      <c r="M974" s="107">
        <v>85.6</v>
      </c>
      <c r="N974" s="107">
        <v>89.9</v>
      </c>
      <c r="O974" s="107">
        <v>85.3</v>
      </c>
      <c r="P974" s="107">
        <v>89</v>
      </c>
      <c r="Q974" s="107">
        <v>85.6</v>
      </c>
      <c r="R974">
        <v>9172839</v>
      </c>
    </row>
    <row r="975" spans="1:18" x14ac:dyDescent="0.25">
      <c r="A975" s="130">
        <v>43439</v>
      </c>
      <c r="B975" s="107">
        <v>85.8</v>
      </c>
      <c r="C975" s="107">
        <v>83.45</v>
      </c>
      <c r="D975" s="107">
        <v>82.65</v>
      </c>
      <c r="E975" s="107">
        <v>85</v>
      </c>
      <c r="F975" s="107">
        <v>83.45</v>
      </c>
      <c r="G975">
        <v>1430496</v>
      </c>
      <c r="H975" s="107"/>
      <c r="I975" s="107"/>
      <c r="L975" s="130">
        <v>43439</v>
      </c>
      <c r="M975" s="107">
        <v>83.45</v>
      </c>
      <c r="N975" s="107">
        <v>85.9</v>
      </c>
      <c r="O975" s="107">
        <v>82.65</v>
      </c>
      <c r="P975" s="107">
        <v>85.05</v>
      </c>
      <c r="Q975" s="107">
        <v>83.45</v>
      </c>
      <c r="R975">
        <v>8043908</v>
      </c>
    </row>
    <row r="976" spans="1:18" x14ac:dyDescent="0.25">
      <c r="A976" s="130">
        <v>43440</v>
      </c>
      <c r="B976" s="107">
        <v>83</v>
      </c>
      <c r="C976" s="107">
        <v>80.8</v>
      </c>
      <c r="D976" s="107">
        <v>80</v>
      </c>
      <c r="E976" s="107">
        <v>82.9</v>
      </c>
      <c r="F976" s="107">
        <v>80.8</v>
      </c>
      <c r="G976">
        <v>859527</v>
      </c>
      <c r="H976" s="107"/>
      <c r="I976" s="107"/>
      <c r="L976" s="130">
        <v>43440</v>
      </c>
      <c r="M976" s="107">
        <v>80.95</v>
      </c>
      <c r="N976" s="107">
        <v>83</v>
      </c>
      <c r="O976" s="107">
        <v>80.55</v>
      </c>
      <c r="P976" s="107">
        <v>82.8</v>
      </c>
      <c r="Q976" s="107">
        <v>80.95</v>
      </c>
      <c r="R976">
        <v>7310142</v>
      </c>
    </row>
    <row r="977" spans="1:18" x14ac:dyDescent="0.25">
      <c r="A977" s="130">
        <v>43441</v>
      </c>
      <c r="B977" s="107">
        <v>81.75</v>
      </c>
      <c r="C977" s="107">
        <v>79.5</v>
      </c>
      <c r="D977" s="107">
        <v>78.400000000000006</v>
      </c>
      <c r="E977" s="107">
        <v>81.2</v>
      </c>
      <c r="F977" s="107">
        <v>79.5</v>
      </c>
      <c r="G977">
        <v>982748</v>
      </c>
      <c r="H977" s="107"/>
      <c r="I977" s="107"/>
      <c r="L977" s="130">
        <v>43441</v>
      </c>
      <c r="M977" s="107">
        <v>79.55</v>
      </c>
      <c r="N977" s="107">
        <v>81.849999999999994</v>
      </c>
      <c r="O977" s="107">
        <v>78.3</v>
      </c>
      <c r="P977" s="107">
        <v>81.5</v>
      </c>
      <c r="Q977" s="107">
        <v>79.55</v>
      </c>
      <c r="R977">
        <v>9034326</v>
      </c>
    </row>
    <row r="978" spans="1:18" x14ac:dyDescent="0.25">
      <c r="A978" s="130">
        <v>43444</v>
      </c>
      <c r="B978" s="107">
        <v>79.8</v>
      </c>
      <c r="C978" s="107">
        <v>77.8</v>
      </c>
      <c r="D978" s="107">
        <v>77.2</v>
      </c>
      <c r="E978" s="107">
        <v>78</v>
      </c>
      <c r="F978" s="107">
        <v>77.8</v>
      </c>
      <c r="G978">
        <v>729245</v>
      </c>
      <c r="H978" s="107"/>
      <c r="I978" s="107"/>
      <c r="L978" s="130">
        <v>43444</v>
      </c>
      <c r="M978" s="107">
        <v>77.650000000000006</v>
      </c>
      <c r="N978" s="107">
        <v>78.95</v>
      </c>
      <c r="O978" s="107">
        <v>77.099999999999994</v>
      </c>
      <c r="P978" s="107">
        <v>78</v>
      </c>
      <c r="Q978" s="107">
        <v>77.650000000000006</v>
      </c>
      <c r="R978">
        <v>5315105</v>
      </c>
    </row>
    <row r="979" spans="1:18" x14ac:dyDescent="0.25">
      <c r="A979" s="130">
        <v>43445</v>
      </c>
      <c r="B979" s="107">
        <v>80.400000000000006</v>
      </c>
      <c r="C979" s="107">
        <v>79.75</v>
      </c>
      <c r="D979" s="107">
        <v>76.25</v>
      </c>
      <c r="E979" s="107">
        <v>76.95</v>
      </c>
      <c r="F979" s="107">
        <v>79.75</v>
      </c>
      <c r="G979">
        <v>1449533</v>
      </c>
      <c r="H979" s="107"/>
      <c r="I979" s="107"/>
      <c r="L979" s="130">
        <v>43445</v>
      </c>
      <c r="M979" s="107">
        <v>79.5</v>
      </c>
      <c r="N979" s="107">
        <v>80.400000000000006</v>
      </c>
      <c r="O979" s="107">
        <v>76.099999999999994</v>
      </c>
      <c r="P979" s="107">
        <v>76.400000000000006</v>
      </c>
      <c r="Q979" s="107">
        <v>79.5</v>
      </c>
      <c r="R979">
        <v>10333920</v>
      </c>
    </row>
    <row r="980" spans="1:18" x14ac:dyDescent="0.25">
      <c r="A980" s="130">
        <v>43446</v>
      </c>
      <c r="B980" s="107">
        <v>86.45</v>
      </c>
      <c r="C980" s="107">
        <v>85.7</v>
      </c>
      <c r="D980" s="107">
        <v>81</v>
      </c>
      <c r="E980" s="107">
        <v>81.400000000000006</v>
      </c>
      <c r="F980" s="107">
        <v>85.7</v>
      </c>
      <c r="G980">
        <v>2088933</v>
      </c>
      <c r="H980" s="107"/>
      <c r="I980" s="107"/>
      <c r="L980" s="130">
        <v>43446</v>
      </c>
      <c r="M980" s="107">
        <v>85.6</v>
      </c>
      <c r="N980" s="107">
        <v>86.5</v>
      </c>
      <c r="O980" s="107">
        <v>81</v>
      </c>
      <c r="P980" s="107">
        <v>81</v>
      </c>
      <c r="Q980" s="107">
        <v>85.6</v>
      </c>
      <c r="R980">
        <v>22428523</v>
      </c>
    </row>
    <row r="981" spans="1:18" x14ac:dyDescent="0.25">
      <c r="A981" s="130">
        <v>43447</v>
      </c>
      <c r="B981" s="107">
        <v>88.05</v>
      </c>
      <c r="C981" s="107">
        <v>86.45</v>
      </c>
      <c r="D981" s="107">
        <v>85.7</v>
      </c>
      <c r="E981" s="107">
        <v>86.2</v>
      </c>
      <c r="F981" s="107">
        <v>86.45</v>
      </c>
      <c r="G981">
        <v>968182</v>
      </c>
      <c r="H981" s="107"/>
      <c r="I981" s="107"/>
      <c r="L981" s="130">
        <v>43447</v>
      </c>
      <c r="M981" s="107">
        <v>86.35</v>
      </c>
      <c r="N981" s="107">
        <v>88.15</v>
      </c>
      <c r="O981" s="107">
        <v>85.65</v>
      </c>
      <c r="P981" s="107">
        <v>86</v>
      </c>
      <c r="Q981" s="107">
        <v>86.35</v>
      </c>
      <c r="R981">
        <v>11830019</v>
      </c>
    </row>
    <row r="982" spans="1:18" x14ac:dyDescent="0.25">
      <c r="A982" s="130">
        <v>43448</v>
      </c>
      <c r="B982" s="107">
        <v>88.65</v>
      </c>
      <c r="C982" s="107">
        <v>88</v>
      </c>
      <c r="D982" s="107">
        <v>86.25</v>
      </c>
      <c r="E982" s="107">
        <v>86.4</v>
      </c>
      <c r="F982" s="107">
        <v>88</v>
      </c>
      <c r="G982">
        <v>1349037</v>
      </c>
      <c r="H982" s="107"/>
      <c r="I982" s="107"/>
      <c r="L982" s="130">
        <v>43448</v>
      </c>
      <c r="M982" s="107">
        <v>88</v>
      </c>
      <c r="N982" s="107">
        <v>88.6</v>
      </c>
      <c r="O982" s="107">
        <v>86.05</v>
      </c>
      <c r="P982" s="107">
        <v>86.35</v>
      </c>
      <c r="Q982" s="107">
        <v>88</v>
      </c>
      <c r="R982">
        <v>11003643</v>
      </c>
    </row>
    <row r="983" spans="1:18" x14ac:dyDescent="0.25">
      <c r="A983" s="130">
        <v>43451</v>
      </c>
      <c r="B983" s="107">
        <v>89.1</v>
      </c>
      <c r="C983" s="107">
        <v>88.35</v>
      </c>
      <c r="D983" s="107">
        <v>87.6</v>
      </c>
      <c r="E983" s="107">
        <v>88.6</v>
      </c>
      <c r="F983" s="107">
        <v>88.35</v>
      </c>
      <c r="G983">
        <v>588503</v>
      </c>
      <c r="H983" s="107"/>
      <c r="I983" s="107"/>
      <c r="L983" s="130">
        <v>43451</v>
      </c>
      <c r="M983" s="107">
        <v>88.45</v>
      </c>
      <c r="N983" s="107">
        <v>89.1</v>
      </c>
      <c r="O983" s="107">
        <v>87.45</v>
      </c>
      <c r="P983" s="107">
        <v>88</v>
      </c>
      <c r="Q983" s="107">
        <v>88.45</v>
      </c>
      <c r="R983">
        <v>6003651</v>
      </c>
    </row>
    <row r="984" spans="1:18" x14ac:dyDescent="0.25">
      <c r="A984" s="130">
        <v>43452</v>
      </c>
      <c r="B984" s="107">
        <v>92.05</v>
      </c>
      <c r="C984" s="107">
        <v>91.35</v>
      </c>
      <c r="D984" s="107">
        <v>87.6</v>
      </c>
      <c r="E984" s="107">
        <v>88.2</v>
      </c>
      <c r="F984" s="107">
        <v>91.35</v>
      </c>
      <c r="G984">
        <v>1319063</v>
      </c>
      <c r="H984" s="107"/>
      <c r="I984" s="107"/>
      <c r="L984" s="130">
        <v>43452</v>
      </c>
      <c r="M984" s="107">
        <v>91.45</v>
      </c>
      <c r="N984" s="107">
        <v>92.1</v>
      </c>
      <c r="O984" s="107">
        <v>87.7</v>
      </c>
      <c r="P984" s="107">
        <v>87.75</v>
      </c>
      <c r="Q984" s="107">
        <v>91.45</v>
      </c>
      <c r="R984">
        <v>13811770</v>
      </c>
    </row>
    <row r="985" spans="1:18" x14ac:dyDescent="0.25">
      <c r="A985" s="130">
        <v>43453</v>
      </c>
      <c r="B985" s="107">
        <v>98.45</v>
      </c>
      <c r="C985" s="107">
        <v>97.35</v>
      </c>
      <c r="D985" s="107">
        <v>91.75</v>
      </c>
      <c r="E985" s="107">
        <v>92.1</v>
      </c>
      <c r="F985" s="107">
        <v>97.35</v>
      </c>
      <c r="G985">
        <v>2312635</v>
      </c>
      <c r="H985" s="107"/>
      <c r="I985" s="107"/>
      <c r="L985" s="130">
        <v>43453</v>
      </c>
      <c r="M985" s="107">
        <v>97.35</v>
      </c>
      <c r="N985" s="107">
        <v>98.4</v>
      </c>
      <c r="O985" s="107">
        <v>91.5</v>
      </c>
      <c r="P985" s="107">
        <v>92</v>
      </c>
      <c r="Q985" s="107">
        <v>97.35</v>
      </c>
      <c r="R985">
        <v>20987292</v>
      </c>
    </row>
    <row r="986" spans="1:18" x14ac:dyDescent="0.25">
      <c r="A986" s="130">
        <v>43454</v>
      </c>
      <c r="B986" s="107">
        <v>100.2</v>
      </c>
      <c r="C986" s="107">
        <v>97.5</v>
      </c>
      <c r="D986" s="107">
        <v>95.7</v>
      </c>
      <c r="E986" s="107">
        <v>97.35</v>
      </c>
      <c r="F986" s="107">
        <v>97.5</v>
      </c>
      <c r="G986">
        <v>1968672</v>
      </c>
      <c r="H986" s="107"/>
      <c r="I986" s="107"/>
      <c r="L986" s="130">
        <v>43454</v>
      </c>
      <c r="M986" s="107">
        <v>97.5</v>
      </c>
      <c r="N986" s="107">
        <v>100.25</v>
      </c>
      <c r="O986" s="107">
        <v>95.6</v>
      </c>
      <c r="P986" s="107">
        <v>97.3</v>
      </c>
      <c r="Q986" s="107">
        <v>97.5</v>
      </c>
      <c r="R986">
        <v>22261202</v>
      </c>
    </row>
    <row r="987" spans="1:18" x14ac:dyDescent="0.25">
      <c r="A987" s="130">
        <v>43455</v>
      </c>
      <c r="B987" s="107">
        <v>99.2</v>
      </c>
      <c r="C987" s="107">
        <v>97.85</v>
      </c>
      <c r="D987" s="107">
        <v>95.45</v>
      </c>
      <c r="E987" s="107">
        <v>98.9</v>
      </c>
      <c r="F987" s="107">
        <v>97.85</v>
      </c>
      <c r="G987">
        <v>1209853</v>
      </c>
      <c r="H987" s="107"/>
      <c r="I987" s="107"/>
      <c r="L987" s="130">
        <v>43455</v>
      </c>
      <c r="M987" s="107">
        <v>97.9</v>
      </c>
      <c r="N987" s="107">
        <v>99.25</v>
      </c>
      <c r="O987" s="107">
        <v>95.4</v>
      </c>
      <c r="P987" s="107">
        <v>98.4</v>
      </c>
      <c r="Q987" s="107">
        <v>97.9</v>
      </c>
      <c r="R987">
        <v>13158696</v>
      </c>
    </row>
    <row r="988" spans="1:18" x14ac:dyDescent="0.25">
      <c r="A988" s="130">
        <v>43458</v>
      </c>
      <c r="B988" s="107">
        <v>101.9</v>
      </c>
      <c r="C988" s="107">
        <v>100.9</v>
      </c>
      <c r="D988" s="107">
        <v>96.75</v>
      </c>
      <c r="E988" s="107">
        <v>98.55</v>
      </c>
      <c r="F988" s="107">
        <v>100.9</v>
      </c>
      <c r="G988">
        <v>1734132</v>
      </c>
      <c r="H988" s="107"/>
      <c r="I988" s="107"/>
      <c r="L988" s="130">
        <v>43458</v>
      </c>
      <c r="M988" s="107">
        <v>100.9</v>
      </c>
      <c r="N988" s="107">
        <v>101.9</v>
      </c>
      <c r="O988" s="107">
        <v>96.7</v>
      </c>
      <c r="P988" s="107">
        <v>98.45</v>
      </c>
      <c r="Q988" s="107">
        <v>100.9</v>
      </c>
      <c r="R988">
        <v>16027081</v>
      </c>
    </row>
    <row r="989" spans="1:18" x14ac:dyDescent="0.25">
      <c r="A989" s="130">
        <v>43460</v>
      </c>
      <c r="B989" s="107">
        <v>101.6</v>
      </c>
      <c r="C989" s="107">
        <v>100.8</v>
      </c>
      <c r="D989" s="107">
        <v>97.05</v>
      </c>
      <c r="E989" s="107">
        <v>100.7</v>
      </c>
      <c r="F989" s="107">
        <v>100.8</v>
      </c>
      <c r="G989">
        <v>1502721</v>
      </c>
      <c r="H989" s="107"/>
      <c r="I989" s="107"/>
      <c r="L989" s="130">
        <v>43460</v>
      </c>
      <c r="M989" s="107">
        <v>100.65</v>
      </c>
      <c r="N989" s="107">
        <v>101.55</v>
      </c>
      <c r="O989" s="107">
        <v>97.05</v>
      </c>
      <c r="P989" s="107">
        <v>100.2</v>
      </c>
      <c r="Q989" s="107">
        <v>100.65</v>
      </c>
      <c r="R989">
        <v>17019629</v>
      </c>
    </row>
    <row r="990" spans="1:18" x14ac:dyDescent="0.25">
      <c r="A990" s="130">
        <v>43461</v>
      </c>
      <c r="B990" s="107">
        <v>103.5</v>
      </c>
      <c r="C990" s="107">
        <v>101.75</v>
      </c>
      <c r="D990" s="107">
        <v>101.05</v>
      </c>
      <c r="E990" s="107">
        <v>103.1</v>
      </c>
      <c r="F990" s="107">
        <v>101.75</v>
      </c>
      <c r="G990">
        <v>1776770</v>
      </c>
      <c r="H990" s="107"/>
      <c r="I990" s="107"/>
      <c r="L990" s="130">
        <v>43461</v>
      </c>
      <c r="M990" s="107">
        <v>101.8</v>
      </c>
      <c r="N990" s="107">
        <v>103.7</v>
      </c>
      <c r="O990" s="107">
        <v>101.05</v>
      </c>
      <c r="P990" s="107">
        <v>103.1</v>
      </c>
      <c r="Q990" s="107">
        <v>101.8</v>
      </c>
      <c r="R990">
        <v>20801965</v>
      </c>
    </row>
    <row r="991" spans="1:18" x14ac:dyDescent="0.25">
      <c r="A991" s="130">
        <v>43462</v>
      </c>
      <c r="B991" s="107">
        <v>103.55</v>
      </c>
      <c r="C991" s="107">
        <v>102.95</v>
      </c>
      <c r="D991" s="107">
        <v>102.2</v>
      </c>
      <c r="E991" s="107">
        <v>103</v>
      </c>
      <c r="F991" s="107">
        <v>102.95</v>
      </c>
      <c r="G991">
        <v>898168</v>
      </c>
      <c r="H991" s="107"/>
      <c r="I991" s="107"/>
      <c r="L991" s="130">
        <v>43462</v>
      </c>
      <c r="M991" s="107">
        <v>102.95</v>
      </c>
      <c r="N991" s="107">
        <v>103.55</v>
      </c>
      <c r="O991" s="107">
        <v>102.05</v>
      </c>
      <c r="P991" s="107">
        <v>103.15</v>
      </c>
      <c r="Q991" s="107">
        <v>102.95</v>
      </c>
      <c r="R991">
        <v>11861429</v>
      </c>
    </row>
    <row r="992" spans="1:18" x14ac:dyDescent="0.25">
      <c r="A992" s="130">
        <v>43465</v>
      </c>
      <c r="B992" s="107">
        <v>105.2</v>
      </c>
      <c r="C992" s="107">
        <v>104.05</v>
      </c>
      <c r="D992" s="107">
        <v>103.35</v>
      </c>
      <c r="E992" s="107">
        <v>104</v>
      </c>
      <c r="F992" s="107">
        <v>104.05</v>
      </c>
      <c r="G992">
        <v>848318</v>
      </c>
      <c r="H992" s="107"/>
      <c r="I992" s="107"/>
      <c r="L992" s="130">
        <v>43465</v>
      </c>
      <c r="M992" s="107">
        <v>104.1</v>
      </c>
      <c r="N992" s="107">
        <v>105.15</v>
      </c>
      <c r="O992" s="107">
        <v>103.3</v>
      </c>
      <c r="P992" s="107">
        <v>103.95</v>
      </c>
      <c r="Q992" s="107">
        <v>104.1</v>
      </c>
      <c r="R992">
        <v>11927697</v>
      </c>
    </row>
    <row r="993" spans="1:18" x14ac:dyDescent="0.25">
      <c r="A993" s="130">
        <v>43466</v>
      </c>
      <c r="B993" s="107">
        <v>107</v>
      </c>
      <c r="C993" s="107">
        <v>106.35</v>
      </c>
      <c r="D993" s="107">
        <v>103.7</v>
      </c>
      <c r="E993" s="107">
        <v>104.5</v>
      </c>
      <c r="F993" s="107">
        <v>106.35</v>
      </c>
      <c r="G993">
        <v>1018695</v>
      </c>
      <c r="H993" s="107"/>
      <c r="I993" s="107"/>
      <c r="L993" s="130">
        <v>43466</v>
      </c>
      <c r="M993" s="107">
        <v>106.35</v>
      </c>
      <c r="N993" s="107">
        <v>107.15</v>
      </c>
      <c r="O993" s="107">
        <v>103.7</v>
      </c>
      <c r="P993" s="107">
        <v>104.55</v>
      </c>
      <c r="Q993" s="107">
        <v>106.35</v>
      </c>
      <c r="R993">
        <v>11779714</v>
      </c>
    </row>
    <row r="994" spans="1:18" x14ac:dyDescent="0.25">
      <c r="A994" s="130">
        <v>43467</v>
      </c>
      <c r="B994" s="107">
        <v>107.9</v>
      </c>
      <c r="C994" s="107">
        <v>104.75</v>
      </c>
      <c r="D994" s="107">
        <v>103.85</v>
      </c>
      <c r="E994" s="107">
        <v>106.85</v>
      </c>
      <c r="F994" s="107">
        <v>104.75</v>
      </c>
      <c r="G994">
        <v>1574734</v>
      </c>
      <c r="H994" s="107"/>
      <c r="I994" s="107"/>
      <c r="L994" s="130">
        <v>43467</v>
      </c>
      <c r="M994" s="107">
        <v>104.8</v>
      </c>
      <c r="N994" s="107">
        <v>107.9</v>
      </c>
      <c r="O994" s="107">
        <v>103.8</v>
      </c>
      <c r="P994" s="107">
        <v>106.25</v>
      </c>
      <c r="Q994" s="107">
        <v>104.8</v>
      </c>
      <c r="R994">
        <v>16984848</v>
      </c>
    </row>
    <row r="995" spans="1:18" x14ac:dyDescent="0.25">
      <c r="A995" s="130">
        <v>43468</v>
      </c>
      <c r="B995" s="107">
        <v>107.15</v>
      </c>
      <c r="C995" s="107">
        <v>105.75</v>
      </c>
      <c r="D995" s="107">
        <v>104.1</v>
      </c>
      <c r="E995" s="107">
        <v>104.7</v>
      </c>
      <c r="F995" s="107">
        <v>105.75</v>
      </c>
      <c r="G995">
        <v>1146115</v>
      </c>
      <c r="H995" s="107"/>
      <c r="I995" s="107"/>
      <c r="L995" s="130">
        <v>43468</v>
      </c>
      <c r="M995" s="107">
        <v>105.75</v>
      </c>
      <c r="N995" s="107">
        <v>107.1</v>
      </c>
      <c r="O995" s="107">
        <v>104</v>
      </c>
      <c r="P995" s="107">
        <v>104.85</v>
      </c>
      <c r="Q995" s="107">
        <v>105.75</v>
      </c>
      <c r="R995">
        <v>12299077</v>
      </c>
    </row>
    <row r="996" spans="1:18" x14ac:dyDescent="0.25">
      <c r="A996" s="130">
        <v>43469</v>
      </c>
      <c r="B996" s="107">
        <v>109.2</v>
      </c>
      <c r="C996" s="107">
        <v>108.75</v>
      </c>
      <c r="D996" s="107">
        <v>105.4</v>
      </c>
      <c r="E996" s="107">
        <v>106.5</v>
      </c>
      <c r="F996" s="107">
        <v>108.75</v>
      </c>
      <c r="G996">
        <v>1130227</v>
      </c>
      <c r="H996" s="107"/>
      <c r="I996" s="107"/>
      <c r="L996" s="130">
        <v>43469</v>
      </c>
      <c r="M996" s="107">
        <v>108.7</v>
      </c>
      <c r="N996" s="107">
        <v>109.3</v>
      </c>
      <c r="O996" s="107">
        <v>105.3</v>
      </c>
      <c r="P996" s="107">
        <v>106.1</v>
      </c>
      <c r="Q996" s="107">
        <v>108.7</v>
      </c>
      <c r="R996">
        <v>13165314</v>
      </c>
    </row>
    <row r="997" spans="1:18" x14ac:dyDescent="0.25">
      <c r="A997" s="130">
        <v>43472</v>
      </c>
      <c r="B997" s="107">
        <v>110.05</v>
      </c>
      <c r="C997" s="107">
        <v>106.3</v>
      </c>
      <c r="D997" s="107">
        <v>105.7</v>
      </c>
      <c r="E997" s="107">
        <v>109.45</v>
      </c>
      <c r="F997" s="107">
        <v>106.3</v>
      </c>
      <c r="G997">
        <v>707250</v>
      </c>
      <c r="H997" s="107"/>
      <c r="I997" s="107"/>
      <c r="L997" s="130">
        <v>43472</v>
      </c>
      <c r="M997" s="107">
        <v>106.4</v>
      </c>
      <c r="N997" s="107">
        <v>110.15</v>
      </c>
      <c r="O997" s="107">
        <v>105.7</v>
      </c>
      <c r="P997" s="107">
        <v>109.6</v>
      </c>
      <c r="Q997" s="107">
        <v>106.4</v>
      </c>
      <c r="R997">
        <v>8123090</v>
      </c>
    </row>
    <row r="998" spans="1:18" x14ac:dyDescent="0.25">
      <c r="A998" s="130">
        <v>43473</v>
      </c>
      <c r="B998" s="107">
        <v>109.2</v>
      </c>
      <c r="C998" s="107">
        <v>108.85</v>
      </c>
      <c r="D998" s="107">
        <v>105.2</v>
      </c>
      <c r="E998" s="107">
        <v>106</v>
      </c>
      <c r="F998" s="107">
        <v>108.85</v>
      </c>
      <c r="G998">
        <v>581175</v>
      </c>
      <c r="H998" s="107"/>
      <c r="I998" s="107"/>
      <c r="L998" s="130">
        <v>43473</v>
      </c>
      <c r="M998" s="107">
        <v>108.8</v>
      </c>
      <c r="N998" s="107">
        <v>109.3</v>
      </c>
      <c r="O998" s="107">
        <v>105.1</v>
      </c>
      <c r="P998" s="107">
        <v>105.75</v>
      </c>
      <c r="Q998" s="107">
        <v>108.8</v>
      </c>
      <c r="R998">
        <v>9794700</v>
      </c>
    </row>
    <row r="999" spans="1:18" x14ac:dyDescent="0.25">
      <c r="A999" s="130">
        <v>43474</v>
      </c>
      <c r="B999" s="107">
        <v>109.8</v>
      </c>
      <c r="C999" s="107">
        <v>105.5</v>
      </c>
      <c r="D999" s="107">
        <v>104.2</v>
      </c>
      <c r="E999" s="107">
        <v>109.8</v>
      </c>
      <c r="F999" s="107">
        <v>105.5</v>
      </c>
      <c r="G999">
        <v>934454</v>
      </c>
      <c r="H999" s="107"/>
      <c r="I999" s="107"/>
      <c r="L999" s="130">
        <v>43474</v>
      </c>
      <c r="M999" s="107">
        <v>105.45</v>
      </c>
      <c r="N999" s="107">
        <v>109.75</v>
      </c>
      <c r="O999" s="107">
        <v>104.2</v>
      </c>
      <c r="P999" s="107">
        <v>109.75</v>
      </c>
      <c r="Q999" s="107">
        <v>105.45</v>
      </c>
      <c r="R999">
        <v>13267879</v>
      </c>
    </row>
    <row r="1000" spans="1:18" x14ac:dyDescent="0.25">
      <c r="A1000" s="130">
        <v>43475</v>
      </c>
      <c r="B1000" s="107">
        <v>107</v>
      </c>
      <c r="C1000" s="107">
        <v>106.1</v>
      </c>
      <c r="D1000" s="107">
        <v>105.2</v>
      </c>
      <c r="E1000" s="107">
        <v>105.5</v>
      </c>
      <c r="F1000" s="107">
        <v>106.1</v>
      </c>
      <c r="G1000">
        <v>449943</v>
      </c>
      <c r="H1000" s="107"/>
      <c r="I1000" s="107"/>
      <c r="L1000" s="130">
        <v>43475</v>
      </c>
      <c r="M1000" s="107">
        <v>106.1</v>
      </c>
      <c r="N1000" s="107">
        <v>107.1</v>
      </c>
      <c r="O1000" s="107">
        <v>105.15</v>
      </c>
      <c r="P1000" s="107">
        <v>105.45</v>
      </c>
      <c r="Q1000" s="107">
        <v>106.1</v>
      </c>
      <c r="R1000">
        <v>6715175</v>
      </c>
    </row>
    <row r="1001" spans="1:18" x14ac:dyDescent="0.25">
      <c r="A1001" s="130">
        <v>43476</v>
      </c>
      <c r="B1001" s="107">
        <v>106.65</v>
      </c>
      <c r="C1001" s="107">
        <v>103.1</v>
      </c>
      <c r="D1001" s="107">
        <v>102.5</v>
      </c>
      <c r="E1001" s="107">
        <v>106.25</v>
      </c>
      <c r="F1001" s="107">
        <v>103.1</v>
      </c>
      <c r="G1001">
        <v>753629</v>
      </c>
      <c r="H1001" s="107"/>
      <c r="I1001" s="107"/>
      <c r="L1001" s="130">
        <v>43476</v>
      </c>
      <c r="M1001" s="107">
        <v>103.25</v>
      </c>
      <c r="N1001" s="107">
        <v>106.8</v>
      </c>
      <c r="O1001" s="107">
        <v>102.65</v>
      </c>
      <c r="P1001" s="107">
        <v>106.45</v>
      </c>
      <c r="Q1001" s="107">
        <v>103.25</v>
      </c>
      <c r="R1001">
        <v>9438958</v>
      </c>
    </row>
    <row r="1002" spans="1:18" x14ac:dyDescent="0.25">
      <c r="A1002" s="130">
        <v>43479</v>
      </c>
      <c r="B1002" s="107">
        <v>105.05</v>
      </c>
      <c r="C1002" s="107">
        <v>103.8</v>
      </c>
      <c r="D1002" s="107">
        <v>100.75</v>
      </c>
      <c r="E1002" s="107">
        <v>103.1</v>
      </c>
      <c r="F1002" s="107">
        <v>103.8</v>
      </c>
      <c r="G1002">
        <v>796190</v>
      </c>
      <c r="H1002" s="107"/>
      <c r="I1002" s="107"/>
      <c r="L1002" s="130">
        <v>43479</v>
      </c>
      <c r="M1002" s="107">
        <v>104</v>
      </c>
      <c r="N1002" s="107">
        <v>105.15</v>
      </c>
      <c r="O1002" s="107">
        <v>100.7</v>
      </c>
      <c r="P1002" s="107">
        <v>102.7</v>
      </c>
      <c r="Q1002" s="107">
        <v>104</v>
      </c>
      <c r="R1002">
        <v>11068475</v>
      </c>
    </row>
    <row r="1003" spans="1:18" x14ac:dyDescent="0.25">
      <c r="A1003" s="130">
        <v>43480</v>
      </c>
      <c r="B1003" s="107">
        <v>104.85</v>
      </c>
      <c r="C1003" s="107">
        <v>104.05</v>
      </c>
      <c r="D1003" s="107">
        <v>103.1</v>
      </c>
      <c r="E1003" s="107">
        <v>104.5</v>
      </c>
      <c r="F1003" s="107">
        <v>104.05</v>
      </c>
      <c r="G1003">
        <v>716756</v>
      </c>
      <c r="H1003" s="107"/>
      <c r="I1003" s="107"/>
      <c r="L1003" s="130">
        <v>43480</v>
      </c>
      <c r="M1003" s="107">
        <v>104.1</v>
      </c>
      <c r="N1003" s="107">
        <v>104.85</v>
      </c>
      <c r="O1003" s="107">
        <v>103.05</v>
      </c>
      <c r="P1003" s="107">
        <v>104.6</v>
      </c>
      <c r="Q1003" s="107">
        <v>104.1</v>
      </c>
      <c r="R1003">
        <v>5804977</v>
      </c>
    </row>
    <row r="1004" spans="1:18" x14ac:dyDescent="0.25">
      <c r="A1004" s="130">
        <v>43481</v>
      </c>
      <c r="B1004" s="107">
        <v>106.45</v>
      </c>
      <c r="C1004" s="107">
        <v>105.4</v>
      </c>
      <c r="D1004" s="107">
        <v>103.4</v>
      </c>
      <c r="E1004" s="107">
        <v>104.1</v>
      </c>
      <c r="F1004" s="107">
        <v>105.4</v>
      </c>
      <c r="G1004">
        <v>581596</v>
      </c>
      <c r="H1004" s="107"/>
      <c r="I1004" s="107"/>
      <c r="L1004" s="130">
        <v>43481</v>
      </c>
      <c r="M1004" s="107">
        <v>105.3</v>
      </c>
      <c r="N1004" s="107">
        <v>106.5</v>
      </c>
      <c r="O1004" s="107">
        <v>103.65</v>
      </c>
      <c r="P1004" s="107">
        <v>104</v>
      </c>
      <c r="Q1004" s="107">
        <v>105.3</v>
      </c>
      <c r="R1004">
        <v>6408689</v>
      </c>
    </row>
    <row r="1005" spans="1:18" x14ac:dyDescent="0.25">
      <c r="A1005" s="130">
        <v>43482</v>
      </c>
      <c r="B1005" s="107">
        <v>106.2</v>
      </c>
      <c r="C1005" s="107">
        <v>104.3</v>
      </c>
      <c r="D1005" s="107">
        <v>102.9</v>
      </c>
      <c r="E1005" s="107">
        <v>105.8</v>
      </c>
      <c r="F1005" s="107">
        <v>104.3</v>
      </c>
      <c r="G1005">
        <v>524293</v>
      </c>
      <c r="H1005" s="107"/>
      <c r="I1005" s="107"/>
      <c r="L1005" s="130">
        <v>43482</v>
      </c>
      <c r="M1005" s="107">
        <v>104.35</v>
      </c>
      <c r="N1005" s="107">
        <v>105.85</v>
      </c>
      <c r="O1005" s="107">
        <v>102.8</v>
      </c>
      <c r="P1005" s="107">
        <v>105.6</v>
      </c>
      <c r="Q1005" s="107">
        <v>104.35</v>
      </c>
      <c r="R1005">
        <v>5644751</v>
      </c>
    </row>
    <row r="1006" spans="1:18" x14ac:dyDescent="0.25">
      <c r="A1006" s="130">
        <v>43483</v>
      </c>
      <c r="B1006" s="107">
        <v>104.8</v>
      </c>
      <c r="C1006" s="107">
        <v>102.55</v>
      </c>
      <c r="D1006" s="107">
        <v>102.05</v>
      </c>
      <c r="E1006" s="107">
        <v>104.1</v>
      </c>
      <c r="F1006" s="107">
        <v>102.55</v>
      </c>
      <c r="G1006">
        <v>688254</v>
      </c>
      <c r="H1006" s="107"/>
      <c r="I1006" s="107"/>
      <c r="L1006" s="130">
        <v>43483</v>
      </c>
      <c r="M1006" s="107">
        <v>102.65</v>
      </c>
      <c r="N1006" s="107">
        <v>104.8</v>
      </c>
      <c r="O1006" s="107">
        <v>102.25</v>
      </c>
      <c r="P1006" s="107">
        <v>104.4</v>
      </c>
      <c r="Q1006" s="107">
        <v>102.65</v>
      </c>
      <c r="R1006">
        <v>5684518</v>
      </c>
    </row>
    <row r="1007" spans="1:18" x14ac:dyDescent="0.25">
      <c r="A1007" s="130">
        <v>43486</v>
      </c>
      <c r="B1007" s="107">
        <v>104.65</v>
      </c>
      <c r="C1007" s="107">
        <v>100.65</v>
      </c>
      <c r="D1007" s="107">
        <v>99.8</v>
      </c>
      <c r="E1007" s="107">
        <v>102.6</v>
      </c>
      <c r="F1007" s="107">
        <v>100.65</v>
      </c>
      <c r="G1007">
        <v>771329</v>
      </c>
      <c r="H1007" s="107"/>
      <c r="I1007" s="107"/>
      <c r="L1007" s="130">
        <v>43486</v>
      </c>
      <c r="M1007" s="107">
        <v>100.65</v>
      </c>
      <c r="N1007" s="107">
        <v>104.6</v>
      </c>
      <c r="O1007" s="107">
        <v>99.65</v>
      </c>
      <c r="P1007" s="107">
        <v>102.85</v>
      </c>
      <c r="Q1007" s="107">
        <v>100.65</v>
      </c>
      <c r="R1007">
        <v>8168459</v>
      </c>
    </row>
    <row r="1008" spans="1:18" x14ac:dyDescent="0.25">
      <c r="A1008" s="130">
        <v>43487</v>
      </c>
      <c r="B1008" s="107">
        <v>100.7</v>
      </c>
      <c r="C1008" s="107">
        <v>97.8</v>
      </c>
      <c r="D1008" s="107">
        <v>97.3</v>
      </c>
      <c r="E1008" s="107">
        <v>100.3</v>
      </c>
      <c r="F1008" s="107">
        <v>97.8</v>
      </c>
      <c r="G1008">
        <v>672985</v>
      </c>
      <c r="H1008" s="107"/>
      <c r="I1008" s="107"/>
      <c r="L1008" s="130">
        <v>43487</v>
      </c>
      <c r="M1008" s="107">
        <v>97.85</v>
      </c>
      <c r="N1008" s="107">
        <v>100.6</v>
      </c>
      <c r="O1008" s="107">
        <v>97.4</v>
      </c>
      <c r="P1008" s="107">
        <v>99.9</v>
      </c>
      <c r="Q1008" s="107">
        <v>97.85</v>
      </c>
      <c r="R1008">
        <v>6434495</v>
      </c>
    </row>
    <row r="1009" spans="1:18" x14ac:dyDescent="0.25">
      <c r="A1009" s="130">
        <v>43488</v>
      </c>
      <c r="B1009" s="107">
        <v>98.65</v>
      </c>
      <c r="C1009" s="107">
        <v>96.9</v>
      </c>
      <c r="D1009" s="107">
        <v>96.5</v>
      </c>
      <c r="E1009" s="107">
        <v>98</v>
      </c>
      <c r="F1009" s="107">
        <v>96.9</v>
      </c>
      <c r="G1009">
        <v>601121</v>
      </c>
      <c r="H1009" s="107"/>
      <c r="I1009" s="107"/>
      <c r="L1009" s="130">
        <v>43488</v>
      </c>
      <c r="M1009" s="107">
        <v>97.1</v>
      </c>
      <c r="N1009" s="107">
        <v>98.65</v>
      </c>
      <c r="O1009" s="107">
        <v>96.35</v>
      </c>
      <c r="P1009" s="107">
        <v>98</v>
      </c>
      <c r="Q1009" s="107">
        <v>97.1</v>
      </c>
      <c r="R1009">
        <v>5267979</v>
      </c>
    </row>
    <row r="1010" spans="1:18" x14ac:dyDescent="0.25">
      <c r="A1010" s="130">
        <v>43489</v>
      </c>
      <c r="B1010" s="107">
        <v>97.9</v>
      </c>
      <c r="C1010" s="107">
        <v>97.35</v>
      </c>
      <c r="D1010" s="107">
        <v>96.35</v>
      </c>
      <c r="E1010" s="107">
        <v>96.9</v>
      </c>
      <c r="F1010" s="107">
        <v>97.35</v>
      </c>
      <c r="G1010">
        <v>497242</v>
      </c>
      <c r="H1010" s="107"/>
      <c r="I1010" s="107"/>
      <c r="L1010" s="130">
        <v>43489</v>
      </c>
      <c r="M1010" s="107">
        <v>97.3</v>
      </c>
      <c r="N1010" s="107">
        <v>97.95</v>
      </c>
      <c r="O1010" s="107">
        <v>96.35</v>
      </c>
      <c r="P1010" s="107">
        <v>97.05</v>
      </c>
      <c r="Q1010" s="107">
        <v>97.3</v>
      </c>
      <c r="R1010">
        <v>5449282</v>
      </c>
    </row>
    <row r="1011" spans="1:18" x14ac:dyDescent="0.25">
      <c r="A1011" s="130">
        <v>43490</v>
      </c>
      <c r="B1011" s="107">
        <v>98.95</v>
      </c>
      <c r="C1011" s="107">
        <v>94.35</v>
      </c>
      <c r="D1011" s="107">
        <v>93.45</v>
      </c>
      <c r="E1011" s="107">
        <v>98</v>
      </c>
      <c r="F1011" s="107">
        <v>94.35</v>
      </c>
      <c r="G1011">
        <v>742616</v>
      </c>
      <c r="H1011" s="107"/>
      <c r="I1011" s="107"/>
      <c r="L1011" s="130">
        <v>43490</v>
      </c>
      <c r="M1011" s="107">
        <v>94.45</v>
      </c>
      <c r="N1011" s="107">
        <v>98.95</v>
      </c>
      <c r="O1011" s="107">
        <v>93.75</v>
      </c>
      <c r="P1011" s="107">
        <v>97.8</v>
      </c>
      <c r="Q1011" s="107">
        <v>94.45</v>
      </c>
      <c r="R1011">
        <v>7123775</v>
      </c>
    </row>
    <row r="1012" spans="1:18" x14ac:dyDescent="0.25">
      <c r="A1012" s="130">
        <v>43493</v>
      </c>
      <c r="B1012" s="107">
        <v>95.5</v>
      </c>
      <c r="C1012" s="107">
        <v>90.6</v>
      </c>
      <c r="D1012" s="107">
        <v>87.25</v>
      </c>
      <c r="E1012" s="107">
        <v>95</v>
      </c>
      <c r="F1012" s="107">
        <v>90.6</v>
      </c>
      <c r="G1012">
        <v>1131013</v>
      </c>
      <c r="H1012" s="107"/>
      <c r="I1012" s="107"/>
      <c r="L1012" s="130">
        <v>43493</v>
      </c>
      <c r="M1012" s="107">
        <v>90.6</v>
      </c>
      <c r="N1012" s="107">
        <v>95.55</v>
      </c>
      <c r="O1012" s="107">
        <v>85.4</v>
      </c>
      <c r="P1012" s="107">
        <v>94.9</v>
      </c>
      <c r="Q1012" s="107">
        <v>90.6</v>
      </c>
      <c r="R1012">
        <v>9725854</v>
      </c>
    </row>
    <row r="1013" spans="1:18" x14ac:dyDescent="0.25">
      <c r="A1013" s="130">
        <v>43494</v>
      </c>
      <c r="B1013" s="107">
        <v>99</v>
      </c>
      <c r="C1013" s="107">
        <v>97.9</v>
      </c>
      <c r="D1013" s="107">
        <v>85</v>
      </c>
      <c r="E1013" s="107">
        <v>85</v>
      </c>
      <c r="F1013" s="107">
        <v>97.9</v>
      </c>
      <c r="G1013">
        <v>3796145</v>
      </c>
      <c r="H1013" s="107"/>
      <c r="I1013" s="107"/>
      <c r="L1013" s="130">
        <v>43494</v>
      </c>
      <c r="M1013" s="107">
        <v>98.15</v>
      </c>
      <c r="N1013" s="107">
        <v>100.2</v>
      </c>
      <c r="O1013" s="107">
        <v>85.5</v>
      </c>
      <c r="P1013" s="107">
        <v>85.5</v>
      </c>
      <c r="Q1013" s="107">
        <v>98.15</v>
      </c>
      <c r="R1013">
        <v>50522736</v>
      </c>
    </row>
    <row r="1014" spans="1:18" x14ac:dyDescent="0.25">
      <c r="A1014" s="130">
        <v>43495</v>
      </c>
      <c r="B1014" s="107">
        <v>100.35</v>
      </c>
      <c r="C1014" s="107">
        <v>99.2</v>
      </c>
      <c r="D1014" s="107">
        <v>95.65</v>
      </c>
      <c r="E1014" s="107">
        <v>98.25</v>
      </c>
      <c r="F1014" s="107">
        <v>99.2</v>
      </c>
      <c r="G1014">
        <v>1962358</v>
      </c>
      <c r="H1014" s="107"/>
      <c r="I1014" s="107"/>
      <c r="L1014" s="130">
        <v>43495</v>
      </c>
      <c r="M1014" s="107">
        <v>99.15</v>
      </c>
      <c r="N1014" s="107">
        <v>100.2</v>
      </c>
      <c r="O1014" s="107">
        <v>95.55</v>
      </c>
      <c r="P1014" s="107">
        <v>98.1</v>
      </c>
      <c r="Q1014" s="107">
        <v>99.15</v>
      </c>
      <c r="R1014">
        <v>14637481</v>
      </c>
    </row>
    <row r="1015" spans="1:18" x14ac:dyDescent="0.25">
      <c r="A1015" s="130">
        <v>43496</v>
      </c>
      <c r="B1015" s="107">
        <v>104.8</v>
      </c>
      <c r="C1015" s="107">
        <v>102.65</v>
      </c>
      <c r="D1015" s="107">
        <v>97.4</v>
      </c>
      <c r="E1015" s="107">
        <v>99.2</v>
      </c>
      <c r="F1015" s="107">
        <v>102.65</v>
      </c>
      <c r="G1015">
        <v>1343652</v>
      </c>
      <c r="H1015" s="107"/>
      <c r="I1015" s="107"/>
      <c r="L1015" s="130">
        <v>43496</v>
      </c>
      <c r="M1015" s="107">
        <v>102.8</v>
      </c>
      <c r="N1015" s="107">
        <v>104.7</v>
      </c>
      <c r="O1015" s="107">
        <v>97.3</v>
      </c>
      <c r="P1015" s="107">
        <v>99.4</v>
      </c>
      <c r="Q1015" s="107">
        <v>102.8</v>
      </c>
      <c r="R1015">
        <v>13627828</v>
      </c>
    </row>
    <row r="1016" spans="1:18" x14ac:dyDescent="0.25">
      <c r="A1016" s="130">
        <v>43497</v>
      </c>
      <c r="B1016" s="107">
        <v>106.9</v>
      </c>
      <c r="C1016" s="107">
        <v>94.85</v>
      </c>
      <c r="D1016" s="107">
        <v>91.95</v>
      </c>
      <c r="E1016" s="107">
        <v>106.8</v>
      </c>
      <c r="F1016" s="107">
        <v>94.85</v>
      </c>
      <c r="G1016">
        <v>3036029</v>
      </c>
      <c r="H1016" s="107"/>
      <c r="I1016" s="107"/>
      <c r="L1016" s="130">
        <v>43497</v>
      </c>
      <c r="M1016" s="107">
        <v>94.85</v>
      </c>
      <c r="N1016" s="107">
        <v>106.65</v>
      </c>
      <c r="O1016" s="107">
        <v>88.85</v>
      </c>
      <c r="P1016" s="107">
        <v>106.4</v>
      </c>
      <c r="Q1016" s="107">
        <v>94.85</v>
      </c>
      <c r="R1016">
        <v>25180357</v>
      </c>
    </row>
    <row r="1017" spans="1:18" x14ac:dyDescent="0.25">
      <c r="A1017" s="130">
        <v>43500</v>
      </c>
      <c r="B1017" s="107">
        <v>95.2</v>
      </c>
      <c r="C1017" s="107">
        <v>93.4</v>
      </c>
      <c r="D1017" s="107">
        <v>90.45</v>
      </c>
      <c r="E1017" s="107">
        <v>94.85</v>
      </c>
      <c r="F1017" s="107">
        <v>93.4</v>
      </c>
      <c r="G1017">
        <v>1070440</v>
      </c>
      <c r="H1017" s="107"/>
      <c r="I1017" s="107"/>
      <c r="L1017" s="130">
        <v>43500</v>
      </c>
      <c r="M1017" s="107">
        <v>93.25</v>
      </c>
      <c r="N1017" s="107">
        <v>95.3</v>
      </c>
      <c r="O1017" s="107">
        <v>90.4</v>
      </c>
      <c r="P1017" s="107">
        <v>94.5</v>
      </c>
      <c r="Q1017" s="107">
        <v>93.25</v>
      </c>
      <c r="R1017">
        <v>9729435</v>
      </c>
    </row>
    <row r="1018" spans="1:18" x14ac:dyDescent="0.25">
      <c r="A1018" s="130">
        <v>43501</v>
      </c>
      <c r="B1018" s="107">
        <v>94.25</v>
      </c>
      <c r="C1018" s="107">
        <v>90.95</v>
      </c>
      <c r="D1018" s="107">
        <v>89.4</v>
      </c>
      <c r="E1018" s="107">
        <v>93.8</v>
      </c>
      <c r="F1018" s="107">
        <v>90.95</v>
      </c>
      <c r="G1018">
        <v>1522143</v>
      </c>
      <c r="H1018" s="107"/>
      <c r="I1018" s="107"/>
      <c r="L1018" s="130">
        <v>43501</v>
      </c>
      <c r="M1018" s="107">
        <v>90.95</v>
      </c>
      <c r="N1018" s="107">
        <v>94.2</v>
      </c>
      <c r="O1018" s="107">
        <v>89.35</v>
      </c>
      <c r="P1018" s="107">
        <v>93.45</v>
      </c>
      <c r="Q1018" s="107">
        <v>90.95</v>
      </c>
      <c r="R1018">
        <v>8987658</v>
      </c>
    </row>
    <row r="1019" spans="1:18" x14ac:dyDescent="0.25">
      <c r="A1019" s="130">
        <v>43502</v>
      </c>
      <c r="B1019" s="107">
        <v>92.4</v>
      </c>
      <c r="C1019" s="107">
        <v>91.95</v>
      </c>
      <c r="D1019" s="107">
        <v>87.4</v>
      </c>
      <c r="E1019" s="107">
        <v>91.45</v>
      </c>
      <c r="F1019" s="107">
        <v>91.95</v>
      </c>
      <c r="G1019">
        <v>1017400</v>
      </c>
      <c r="H1019" s="107"/>
      <c r="I1019" s="107"/>
      <c r="L1019" s="130">
        <v>43502</v>
      </c>
      <c r="M1019" s="107">
        <v>91.9</v>
      </c>
      <c r="N1019" s="107">
        <v>92.5</v>
      </c>
      <c r="O1019" s="107">
        <v>87.35</v>
      </c>
      <c r="P1019" s="107">
        <v>91.65</v>
      </c>
      <c r="Q1019" s="107">
        <v>91.9</v>
      </c>
      <c r="R1019">
        <v>9854021</v>
      </c>
    </row>
    <row r="1020" spans="1:18" x14ac:dyDescent="0.25">
      <c r="A1020" s="130">
        <v>43503</v>
      </c>
      <c r="B1020" s="107">
        <v>95.2</v>
      </c>
      <c r="C1020" s="107">
        <v>92.15</v>
      </c>
      <c r="D1020" s="107">
        <v>90.9</v>
      </c>
      <c r="E1020" s="107">
        <v>92.25</v>
      </c>
      <c r="F1020" s="107">
        <v>92.15</v>
      </c>
      <c r="G1020">
        <v>796427</v>
      </c>
      <c r="H1020" s="107"/>
      <c r="I1020" s="107"/>
      <c r="L1020" s="130">
        <v>43503</v>
      </c>
      <c r="M1020" s="107">
        <v>92.05</v>
      </c>
      <c r="N1020" s="107">
        <v>95.2</v>
      </c>
      <c r="O1020" s="107">
        <v>90.8</v>
      </c>
      <c r="P1020" s="107">
        <v>91.5</v>
      </c>
      <c r="Q1020" s="107">
        <v>92.05</v>
      </c>
      <c r="R1020">
        <v>9023352</v>
      </c>
    </row>
    <row r="1021" spans="1:18" x14ac:dyDescent="0.25">
      <c r="A1021" s="130">
        <v>43504</v>
      </c>
      <c r="B1021" s="107">
        <v>91.75</v>
      </c>
      <c r="C1021" s="107">
        <v>86.7</v>
      </c>
      <c r="D1021" s="107">
        <v>86.05</v>
      </c>
      <c r="E1021" s="107">
        <v>91.75</v>
      </c>
      <c r="F1021" s="107">
        <v>86.7</v>
      </c>
      <c r="G1021">
        <v>1368370</v>
      </c>
      <c r="H1021" s="107"/>
      <c r="I1021" s="107"/>
      <c r="L1021" s="130">
        <v>43504</v>
      </c>
      <c r="M1021" s="107">
        <v>86.55</v>
      </c>
      <c r="N1021" s="107">
        <v>91.4</v>
      </c>
      <c r="O1021" s="107">
        <v>85.9</v>
      </c>
      <c r="P1021" s="107">
        <v>91.4</v>
      </c>
      <c r="Q1021" s="107">
        <v>86.55</v>
      </c>
      <c r="R1021">
        <v>12532032</v>
      </c>
    </row>
    <row r="1022" spans="1:18" x14ac:dyDescent="0.25">
      <c r="A1022" s="130">
        <v>43507</v>
      </c>
      <c r="B1022" s="107">
        <v>87</v>
      </c>
      <c r="C1022" s="107">
        <v>84.8</v>
      </c>
      <c r="D1022" s="107">
        <v>84.15</v>
      </c>
      <c r="E1022" s="107">
        <v>87</v>
      </c>
      <c r="F1022" s="107">
        <v>84.8</v>
      </c>
      <c r="G1022">
        <v>602060</v>
      </c>
      <c r="H1022" s="107"/>
      <c r="I1022" s="107"/>
      <c r="L1022" s="130">
        <v>43507</v>
      </c>
      <c r="M1022" s="107">
        <v>84.7</v>
      </c>
      <c r="N1022" s="107">
        <v>87</v>
      </c>
      <c r="O1022" s="107">
        <v>84.05</v>
      </c>
      <c r="P1022" s="107">
        <v>86.3</v>
      </c>
      <c r="Q1022" s="107">
        <v>84.7</v>
      </c>
      <c r="R1022">
        <v>5596055</v>
      </c>
    </row>
    <row r="1023" spans="1:18" x14ac:dyDescent="0.25">
      <c r="A1023" s="130">
        <v>43508</v>
      </c>
      <c r="B1023" s="107">
        <v>85.9</v>
      </c>
      <c r="C1023" s="107">
        <v>82.9</v>
      </c>
      <c r="D1023" s="107">
        <v>82.4</v>
      </c>
      <c r="E1023" s="107">
        <v>85.05</v>
      </c>
      <c r="F1023" s="107">
        <v>82.9</v>
      </c>
      <c r="G1023">
        <v>719481</v>
      </c>
      <c r="H1023" s="107"/>
      <c r="I1023" s="107"/>
      <c r="L1023" s="130">
        <v>43508</v>
      </c>
      <c r="M1023" s="107">
        <v>82.95</v>
      </c>
      <c r="N1023" s="107">
        <v>85.7</v>
      </c>
      <c r="O1023" s="107">
        <v>82.3</v>
      </c>
      <c r="P1023" s="107">
        <v>84.75</v>
      </c>
      <c r="Q1023" s="107">
        <v>82.95</v>
      </c>
      <c r="R1023">
        <v>7317079</v>
      </c>
    </row>
    <row r="1024" spans="1:18" x14ac:dyDescent="0.25">
      <c r="A1024" s="130">
        <v>43509</v>
      </c>
      <c r="B1024" s="107">
        <v>83.9</v>
      </c>
      <c r="C1024" s="107">
        <v>81.8</v>
      </c>
      <c r="D1024" s="107">
        <v>81</v>
      </c>
      <c r="E1024" s="107">
        <v>83.9</v>
      </c>
      <c r="F1024" s="107">
        <v>81.8</v>
      </c>
      <c r="G1024">
        <v>559510</v>
      </c>
      <c r="H1024" s="107"/>
      <c r="I1024" s="107"/>
      <c r="L1024" s="130">
        <v>43509</v>
      </c>
      <c r="M1024" s="107">
        <v>81.650000000000006</v>
      </c>
      <c r="N1024" s="107">
        <v>83.65</v>
      </c>
      <c r="O1024" s="107">
        <v>80.900000000000006</v>
      </c>
      <c r="P1024" s="107">
        <v>83.25</v>
      </c>
      <c r="Q1024" s="107">
        <v>81.650000000000006</v>
      </c>
      <c r="R1024">
        <v>6409243</v>
      </c>
    </row>
    <row r="1025" spans="1:18" x14ac:dyDescent="0.25">
      <c r="A1025" s="130">
        <v>43510</v>
      </c>
      <c r="B1025" s="107">
        <v>83.9</v>
      </c>
      <c r="C1025" s="107">
        <v>83</v>
      </c>
      <c r="D1025" s="107">
        <v>80</v>
      </c>
      <c r="E1025" s="107">
        <v>81.5</v>
      </c>
      <c r="F1025" s="107">
        <v>83</v>
      </c>
      <c r="G1025">
        <v>926050</v>
      </c>
      <c r="H1025" s="107"/>
      <c r="I1025" s="107"/>
      <c r="L1025" s="130">
        <v>43510</v>
      </c>
      <c r="M1025" s="107">
        <v>82.8</v>
      </c>
      <c r="N1025" s="107">
        <v>83.85</v>
      </c>
      <c r="O1025" s="107">
        <v>79.900000000000006</v>
      </c>
      <c r="P1025" s="107">
        <v>81.05</v>
      </c>
      <c r="Q1025" s="107">
        <v>82.8</v>
      </c>
      <c r="R1025">
        <v>10152708</v>
      </c>
    </row>
    <row r="1026" spans="1:18" x14ac:dyDescent="0.25">
      <c r="A1026" s="130">
        <v>43511</v>
      </c>
      <c r="B1026" s="107">
        <v>83.05</v>
      </c>
      <c r="C1026" s="107">
        <v>80.150000000000006</v>
      </c>
      <c r="D1026" s="107">
        <v>79.400000000000006</v>
      </c>
      <c r="E1026" s="107">
        <v>83</v>
      </c>
      <c r="F1026" s="107">
        <v>80.150000000000006</v>
      </c>
      <c r="G1026">
        <v>943853</v>
      </c>
      <c r="H1026" s="107"/>
      <c r="I1026" s="107"/>
      <c r="L1026" s="130">
        <v>43511</v>
      </c>
      <c r="M1026" s="107">
        <v>80.2</v>
      </c>
      <c r="N1026" s="107">
        <v>82.8</v>
      </c>
      <c r="O1026" s="107">
        <v>79.3</v>
      </c>
      <c r="P1026" s="107">
        <v>82.75</v>
      </c>
      <c r="Q1026" s="107">
        <v>80.2</v>
      </c>
      <c r="R1026">
        <v>8123327</v>
      </c>
    </row>
    <row r="1027" spans="1:18" x14ac:dyDescent="0.25">
      <c r="A1027" s="130">
        <v>43514</v>
      </c>
      <c r="B1027" s="107">
        <v>81.349999999999994</v>
      </c>
      <c r="C1027" s="107">
        <v>78.75</v>
      </c>
      <c r="D1027" s="107">
        <v>78.150000000000006</v>
      </c>
      <c r="E1027" s="107">
        <v>80</v>
      </c>
      <c r="F1027" s="107">
        <v>78.75</v>
      </c>
      <c r="G1027">
        <v>759614</v>
      </c>
      <c r="H1027" s="107"/>
      <c r="I1027" s="107"/>
      <c r="L1027" s="130">
        <v>43514</v>
      </c>
      <c r="M1027" s="107">
        <v>78.650000000000006</v>
      </c>
      <c r="N1027" s="107">
        <v>81.400000000000006</v>
      </c>
      <c r="O1027" s="107">
        <v>77.5</v>
      </c>
      <c r="P1027" s="107">
        <v>80.150000000000006</v>
      </c>
      <c r="Q1027" s="107">
        <v>78.650000000000006</v>
      </c>
      <c r="R1027">
        <v>6787894</v>
      </c>
    </row>
    <row r="1028" spans="1:18" x14ac:dyDescent="0.25">
      <c r="A1028" s="130">
        <v>43515</v>
      </c>
      <c r="B1028" s="107">
        <v>83.55</v>
      </c>
      <c r="C1028" s="107">
        <v>81.150000000000006</v>
      </c>
      <c r="D1028" s="107">
        <v>78.75</v>
      </c>
      <c r="E1028" s="107">
        <v>78.75</v>
      </c>
      <c r="F1028" s="107">
        <v>81.150000000000006</v>
      </c>
      <c r="G1028">
        <v>1156665</v>
      </c>
      <c r="H1028" s="107"/>
      <c r="I1028" s="107"/>
      <c r="L1028" s="130">
        <v>43515</v>
      </c>
      <c r="M1028" s="107">
        <v>81.099999999999994</v>
      </c>
      <c r="N1028" s="107">
        <v>83.6</v>
      </c>
      <c r="O1028" s="107">
        <v>78.650000000000006</v>
      </c>
      <c r="P1028" s="107">
        <v>78.900000000000006</v>
      </c>
      <c r="Q1028" s="107">
        <v>81.099999999999994</v>
      </c>
      <c r="R1028">
        <v>11757622</v>
      </c>
    </row>
    <row r="1029" spans="1:18" x14ac:dyDescent="0.25">
      <c r="A1029" s="130">
        <v>43516</v>
      </c>
      <c r="B1029" s="107">
        <v>82.85</v>
      </c>
      <c r="C1029" s="107">
        <v>81.8</v>
      </c>
      <c r="D1029" s="107">
        <v>80.95</v>
      </c>
      <c r="E1029" s="107">
        <v>81.25</v>
      </c>
      <c r="F1029" s="107">
        <v>81.8</v>
      </c>
      <c r="G1029">
        <v>725195</v>
      </c>
      <c r="H1029" s="107"/>
      <c r="I1029" s="107"/>
      <c r="L1029" s="130">
        <v>43516</v>
      </c>
      <c r="M1029" s="107">
        <v>81.849999999999994</v>
      </c>
      <c r="N1029" s="107">
        <v>82.9</v>
      </c>
      <c r="O1029" s="107">
        <v>80.75</v>
      </c>
      <c r="P1029" s="107">
        <v>81</v>
      </c>
      <c r="Q1029" s="107">
        <v>81.849999999999994</v>
      </c>
      <c r="R1029">
        <v>6905288</v>
      </c>
    </row>
    <row r="1030" spans="1:18" x14ac:dyDescent="0.25">
      <c r="A1030" s="130">
        <v>43517</v>
      </c>
      <c r="B1030" s="107">
        <v>86</v>
      </c>
      <c r="C1030" s="107">
        <v>83.3</v>
      </c>
      <c r="D1030" s="107">
        <v>82.9</v>
      </c>
      <c r="E1030" s="107">
        <v>85.5</v>
      </c>
      <c r="F1030" s="107">
        <v>83.3</v>
      </c>
      <c r="G1030">
        <v>1052515</v>
      </c>
      <c r="H1030" s="107"/>
      <c r="I1030" s="107"/>
      <c r="L1030" s="130">
        <v>43517</v>
      </c>
      <c r="M1030" s="107">
        <v>83.25</v>
      </c>
      <c r="N1030" s="107">
        <v>85.8</v>
      </c>
      <c r="O1030" s="107">
        <v>82.95</v>
      </c>
      <c r="P1030" s="107">
        <v>85.1</v>
      </c>
      <c r="Q1030" s="107">
        <v>83.25</v>
      </c>
      <c r="R1030">
        <v>13401572</v>
      </c>
    </row>
    <row r="1031" spans="1:18" x14ac:dyDescent="0.25">
      <c r="A1031" s="130">
        <v>43518</v>
      </c>
      <c r="B1031" s="107">
        <v>84.6</v>
      </c>
      <c r="C1031" s="107">
        <v>82.95</v>
      </c>
      <c r="D1031" s="107">
        <v>82.6</v>
      </c>
      <c r="E1031" s="107">
        <v>83.1</v>
      </c>
      <c r="F1031" s="107">
        <v>82.95</v>
      </c>
      <c r="G1031">
        <v>658331</v>
      </c>
      <c r="H1031" s="107"/>
      <c r="I1031" s="107"/>
      <c r="L1031" s="130">
        <v>43518</v>
      </c>
      <c r="M1031" s="107">
        <v>83</v>
      </c>
      <c r="N1031" s="107">
        <v>84.6</v>
      </c>
      <c r="O1031" s="107">
        <v>82.55</v>
      </c>
      <c r="P1031" s="107">
        <v>82.55</v>
      </c>
      <c r="Q1031" s="107">
        <v>83</v>
      </c>
      <c r="R1031">
        <v>6463463</v>
      </c>
    </row>
    <row r="1032" spans="1:18" x14ac:dyDescent="0.25">
      <c r="A1032" s="130">
        <v>43521</v>
      </c>
      <c r="B1032" s="107">
        <v>83.6</v>
      </c>
      <c r="C1032" s="107">
        <v>83</v>
      </c>
      <c r="D1032" s="107">
        <v>82.05</v>
      </c>
      <c r="E1032" s="107">
        <v>83.2</v>
      </c>
      <c r="F1032" s="107">
        <v>83</v>
      </c>
      <c r="G1032">
        <v>454940</v>
      </c>
      <c r="H1032" s="107"/>
      <c r="I1032" s="107"/>
      <c r="L1032" s="130">
        <v>43521</v>
      </c>
      <c r="M1032" s="107">
        <v>82.9</v>
      </c>
      <c r="N1032" s="107">
        <v>83.6</v>
      </c>
      <c r="O1032" s="107">
        <v>81.95</v>
      </c>
      <c r="P1032" s="107">
        <v>83.1</v>
      </c>
      <c r="Q1032" s="107">
        <v>82.9</v>
      </c>
      <c r="R1032">
        <v>5586375</v>
      </c>
    </row>
    <row r="1033" spans="1:18" x14ac:dyDescent="0.25">
      <c r="A1033" s="130">
        <v>43522</v>
      </c>
      <c r="B1033" s="107">
        <v>82.1</v>
      </c>
      <c r="C1033" s="107">
        <v>81.25</v>
      </c>
      <c r="D1033" s="107">
        <v>79.55</v>
      </c>
      <c r="E1033" s="107">
        <v>81.099999999999994</v>
      </c>
      <c r="F1033" s="107">
        <v>81.25</v>
      </c>
      <c r="G1033">
        <v>712125</v>
      </c>
      <c r="H1033" s="107"/>
      <c r="I1033" s="107"/>
      <c r="L1033" s="130">
        <v>43522</v>
      </c>
      <c r="M1033" s="107">
        <v>81.150000000000006</v>
      </c>
      <c r="N1033" s="107">
        <v>82.1</v>
      </c>
      <c r="O1033" s="107">
        <v>79.45</v>
      </c>
      <c r="P1033" s="107">
        <v>81.7</v>
      </c>
      <c r="Q1033" s="107">
        <v>81.150000000000006</v>
      </c>
      <c r="R1033">
        <v>6563004</v>
      </c>
    </row>
    <row r="1034" spans="1:18" x14ac:dyDescent="0.25">
      <c r="A1034" s="130">
        <v>43523</v>
      </c>
      <c r="B1034" s="107">
        <v>84.15</v>
      </c>
      <c r="C1034" s="107">
        <v>81.75</v>
      </c>
      <c r="D1034" s="107">
        <v>80.599999999999994</v>
      </c>
      <c r="E1034" s="107">
        <v>81.5</v>
      </c>
      <c r="F1034" s="107">
        <v>81.75</v>
      </c>
      <c r="G1034">
        <v>978198</v>
      </c>
      <c r="H1034" s="107"/>
      <c r="I1034" s="107"/>
      <c r="L1034" s="130">
        <v>43523</v>
      </c>
      <c r="M1034" s="107">
        <v>81.650000000000006</v>
      </c>
      <c r="N1034" s="107">
        <v>84.1</v>
      </c>
      <c r="O1034" s="107">
        <v>80.5</v>
      </c>
      <c r="P1034" s="107">
        <v>81.599999999999994</v>
      </c>
      <c r="Q1034" s="107">
        <v>81.650000000000006</v>
      </c>
      <c r="R1034">
        <v>10063668</v>
      </c>
    </row>
    <row r="1035" spans="1:18" x14ac:dyDescent="0.25">
      <c r="A1035" s="130">
        <v>43524</v>
      </c>
      <c r="B1035" s="107">
        <v>83.9</v>
      </c>
      <c r="C1035" s="107">
        <v>83.05</v>
      </c>
      <c r="D1035" s="107">
        <v>81.599999999999994</v>
      </c>
      <c r="E1035" s="107">
        <v>82</v>
      </c>
      <c r="F1035" s="107">
        <v>83.05</v>
      </c>
      <c r="G1035">
        <v>470674</v>
      </c>
      <c r="H1035" s="107"/>
      <c r="I1035" s="107"/>
      <c r="L1035" s="130">
        <v>43524</v>
      </c>
      <c r="M1035" s="107">
        <v>83.1</v>
      </c>
      <c r="N1035" s="107">
        <v>83.45</v>
      </c>
      <c r="O1035" s="107">
        <v>81.599999999999994</v>
      </c>
      <c r="P1035" s="107">
        <v>82</v>
      </c>
      <c r="Q1035" s="107">
        <v>83.1</v>
      </c>
      <c r="R1035">
        <v>5339038</v>
      </c>
    </row>
    <row r="1036" spans="1:18" x14ac:dyDescent="0.25">
      <c r="A1036" s="130">
        <v>43525</v>
      </c>
      <c r="B1036" s="107">
        <v>88.3</v>
      </c>
      <c r="C1036" s="107">
        <v>87.7</v>
      </c>
      <c r="D1036" s="107">
        <v>83.2</v>
      </c>
      <c r="E1036" s="107">
        <v>83.5</v>
      </c>
      <c r="F1036" s="107">
        <v>87.7</v>
      </c>
      <c r="G1036">
        <v>1353816</v>
      </c>
      <c r="H1036" s="107"/>
      <c r="I1036" s="107"/>
      <c r="L1036" s="130">
        <v>43525</v>
      </c>
      <c r="M1036" s="107">
        <v>87.5</v>
      </c>
      <c r="N1036" s="107">
        <v>88.25</v>
      </c>
      <c r="O1036" s="107">
        <v>83.15</v>
      </c>
      <c r="P1036" s="107">
        <v>83.2</v>
      </c>
      <c r="Q1036" s="107">
        <v>87.5</v>
      </c>
      <c r="R1036">
        <v>13952084</v>
      </c>
    </row>
    <row r="1037" spans="1:18" x14ac:dyDescent="0.25">
      <c r="A1037" s="130">
        <v>43529</v>
      </c>
      <c r="B1037" s="107">
        <v>91.4</v>
      </c>
      <c r="C1037" s="107">
        <v>90.55</v>
      </c>
      <c r="D1037" s="107">
        <v>87.8</v>
      </c>
      <c r="E1037" s="107">
        <v>88.9</v>
      </c>
      <c r="F1037" s="107">
        <v>90.55</v>
      </c>
      <c r="G1037">
        <v>1239897</v>
      </c>
      <c r="H1037" s="107"/>
      <c r="I1037" s="107"/>
      <c r="L1037" s="130">
        <v>43529</v>
      </c>
      <c r="M1037" s="107">
        <v>90.75</v>
      </c>
      <c r="N1037" s="107">
        <v>91.6</v>
      </c>
      <c r="O1037" s="107">
        <v>87.8</v>
      </c>
      <c r="P1037" s="107">
        <v>88.3</v>
      </c>
      <c r="Q1037" s="107">
        <v>90.75</v>
      </c>
      <c r="R1037">
        <v>11636958</v>
      </c>
    </row>
    <row r="1038" spans="1:18" x14ac:dyDescent="0.25">
      <c r="A1038" s="130">
        <v>43530</v>
      </c>
      <c r="B1038" s="107">
        <v>92.5</v>
      </c>
      <c r="C1038" s="107">
        <v>89.7</v>
      </c>
      <c r="D1038" s="107">
        <v>89.05</v>
      </c>
      <c r="E1038" s="107">
        <v>90.7</v>
      </c>
      <c r="F1038" s="107">
        <v>89.7</v>
      </c>
      <c r="G1038">
        <v>993857</v>
      </c>
      <c r="H1038" s="107"/>
      <c r="I1038" s="107"/>
      <c r="L1038" s="130">
        <v>43530</v>
      </c>
      <c r="M1038" s="107">
        <v>89.8</v>
      </c>
      <c r="N1038" s="107">
        <v>92.45</v>
      </c>
      <c r="O1038" s="107">
        <v>89.2</v>
      </c>
      <c r="P1038" s="107">
        <v>90.5</v>
      </c>
      <c r="Q1038" s="107">
        <v>89.8</v>
      </c>
      <c r="R1038">
        <v>9593204</v>
      </c>
    </row>
    <row r="1039" spans="1:18" x14ac:dyDescent="0.25">
      <c r="A1039" s="130">
        <v>43531</v>
      </c>
      <c r="B1039" s="107">
        <v>92.3</v>
      </c>
      <c r="C1039" s="107">
        <v>90.85</v>
      </c>
      <c r="D1039" s="107">
        <v>88.55</v>
      </c>
      <c r="E1039" s="107">
        <v>89.7</v>
      </c>
      <c r="F1039" s="107">
        <v>90.85</v>
      </c>
      <c r="G1039">
        <v>1099108</v>
      </c>
      <c r="H1039" s="107"/>
      <c r="I1039" s="107"/>
      <c r="L1039" s="130">
        <v>43531</v>
      </c>
      <c r="M1039" s="107">
        <v>90.7</v>
      </c>
      <c r="N1039" s="107">
        <v>92.3</v>
      </c>
      <c r="O1039" s="107">
        <v>88.45</v>
      </c>
      <c r="P1039" s="107">
        <v>90</v>
      </c>
      <c r="Q1039" s="107">
        <v>90.7</v>
      </c>
      <c r="R1039">
        <v>11420223</v>
      </c>
    </row>
    <row r="1040" spans="1:18" x14ac:dyDescent="0.25">
      <c r="A1040" s="130">
        <v>43532</v>
      </c>
      <c r="B1040" s="107">
        <v>91.65</v>
      </c>
      <c r="C1040" s="107">
        <v>88.9</v>
      </c>
      <c r="D1040" s="107">
        <v>88.45</v>
      </c>
      <c r="E1040" s="107">
        <v>90.7</v>
      </c>
      <c r="F1040" s="107">
        <v>88.9</v>
      </c>
      <c r="G1040">
        <v>874458</v>
      </c>
      <c r="H1040" s="107"/>
      <c r="I1040" s="107"/>
      <c r="L1040" s="130">
        <v>43532</v>
      </c>
      <c r="M1040" s="107">
        <v>88.8</v>
      </c>
      <c r="N1040" s="107">
        <v>91.4</v>
      </c>
      <c r="O1040" s="107">
        <v>88.4</v>
      </c>
      <c r="P1040" s="107">
        <v>90.85</v>
      </c>
      <c r="Q1040" s="107">
        <v>88.8</v>
      </c>
      <c r="R1040">
        <v>8168221</v>
      </c>
    </row>
    <row r="1041" spans="1:18" x14ac:dyDescent="0.25">
      <c r="A1041" s="130">
        <v>43535</v>
      </c>
      <c r="B1041" s="107">
        <v>92.65</v>
      </c>
      <c r="C1041" s="107">
        <v>92.25</v>
      </c>
      <c r="D1041" s="107">
        <v>88.9</v>
      </c>
      <c r="E1041" s="107">
        <v>89.45</v>
      </c>
      <c r="F1041" s="107">
        <v>92.25</v>
      </c>
      <c r="G1041">
        <v>1086209</v>
      </c>
      <c r="H1041" s="107"/>
      <c r="I1041" s="107"/>
      <c r="L1041" s="130">
        <v>43535</v>
      </c>
      <c r="M1041" s="107">
        <v>92.25</v>
      </c>
      <c r="N1041" s="107">
        <v>92.75</v>
      </c>
      <c r="O1041" s="107">
        <v>88.55</v>
      </c>
      <c r="P1041" s="107">
        <v>88.55</v>
      </c>
      <c r="Q1041" s="107">
        <v>92.25</v>
      </c>
      <c r="R1041">
        <v>10662535</v>
      </c>
    </row>
    <row r="1042" spans="1:18" x14ac:dyDescent="0.25">
      <c r="A1042" s="130">
        <v>43536</v>
      </c>
      <c r="B1042" s="107">
        <v>94.6</v>
      </c>
      <c r="C1042" s="107">
        <v>92.45</v>
      </c>
      <c r="D1042" s="107">
        <v>91.4</v>
      </c>
      <c r="E1042" s="107">
        <v>93.5</v>
      </c>
      <c r="F1042" s="107">
        <v>92.45</v>
      </c>
      <c r="G1042">
        <v>1026771</v>
      </c>
      <c r="H1042" s="107"/>
      <c r="I1042" s="107"/>
      <c r="L1042" s="130">
        <v>43536</v>
      </c>
      <c r="M1042" s="107">
        <v>92.45</v>
      </c>
      <c r="N1042" s="107">
        <v>94.5</v>
      </c>
      <c r="O1042" s="107">
        <v>91.45</v>
      </c>
      <c r="P1042" s="107">
        <v>93.7</v>
      </c>
      <c r="Q1042" s="107">
        <v>92.45</v>
      </c>
      <c r="R1042">
        <v>10690301</v>
      </c>
    </row>
    <row r="1043" spans="1:18" x14ac:dyDescent="0.25">
      <c r="A1043" s="130">
        <v>43537</v>
      </c>
      <c r="B1043" s="107">
        <v>93.35</v>
      </c>
      <c r="C1043" s="107">
        <v>91.95</v>
      </c>
      <c r="D1043" s="107">
        <v>90.6</v>
      </c>
      <c r="E1043" s="107">
        <v>92.85</v>
      </c>
      <c r="F1043" s="107">
        <v>91.95</v>
      </c>
      <c r="G1043">
        <v>862473</v>
      </c>
      <c r="H1043" s="107"/>
      <c r="I1043" s="107"/>
      <c r="L1043" s="130">
        <v>43537</v>
      </c>
      <c r="M1043" s="107">
        <v>92.05</v>
      </c>
      <c r="N1043" s="107">
        <v>93.4</v>
      </c>
      <c r="O1043" s="107">
        <v>90.5</v>
      </c>
      <c r="P1043" s="107">
        <v>92.45</v>
      </c>
      <c r="Q1043" s="107">
        <v>92.05</v>
      </c>
      <c r="R1043">
        <v>7883178</v>
      </c>
    </row>
    <row r="1044" spans="1:18" x14ac:dyDescent="0.25">
      <c r="A1044" s="130">
        <v>43538</v>
      </c>
      <c r="B1044" s="107">
        <v>93.35</v>
      </c>
      <c r="C1044" s="107">
        <v>92.35</v>
      </c>
      <c r="D1044" s="107">
        <v>90.95</v>
      </c>
      <c r="E1044" s="107">
        <v>92.85</v>
      </c>
      <c r="F1044" s="107">
        <v>92.35</v>
      </c>
      <c r="G1044">
        <v>940090</v>
      </c>
      <c r="H1044" s="107"/>
      <c r="I1044" s="107"/>
      <c r="L1044" s="130">
        <v>43538</v>
      </c>
      <c r="M1044" s="107">
        <v>92.35</v>
      </c>
      <c r="N1044" s="107">
        <v>93.3</v>
      </c>
      <c r="O1044" s="107">
        <v>90.85</v>
      </c>
      <c r="P1044" s="107">
        <v>92.5</v>
      </c>
      <c r="Q1044" s="107">
        <v>92.35</v>
      </c>
      <c r="R1044">
        <v>8124067</v>
      </c>
    </row>
    <row r="1045" spans="1:18" x14ac:dyDescent="0.25">
      <c r="A1045" s="130">
        <v>43539</v>
      </c>
      <c r="B1045" s="107">
        <v>95</v>
      </c>
      <c r="C1045" s="107">
        <v>92.95</v>
      </c>
      <c r="D1045" s="107">
        <v>92.55</v>
      </c>
      <c r="E1045" s="107">
        <v>93</v>
      </c>
      <c r="F1045" s="107">
        <v>92.95</v>
      </c>
      <c r="G1045">
        <v>1087557</v>
      </c>
      <c r="H1045" s="107"/>
      <c r="I1045" s="107"/>
      <c r="L1045" s="130">
        <v>43539</v>
      </c>
      <c r="M1045" s="107">
        <v>93.15</v>
      </c>
      <c r="N1045" s="107">
        <v>95</v>
      </c>
      <c r="O1045" s="107">
        <v>92.7</v>
      </c>
      <c r="P1045" s="107">
        <v>92.9</v>
      </c>
      <c r="Q1045" s="107">
        <v>93.15</v>
      </c>
      <c r="R1045">
        <v>11633846</v>
      </c>
    </row>
    <row r="1046" spans="1:18" x14ac:dyDescent="0.25">
      <c r="A1046" s="130">
        <v>43542</v>
      </c>
      <c r="B1046" s="107">
        <v>95.6</v>
      </c>
      <c r="C1046" s="107">
        <v>94.95</v>
      </c>
      <c r="D1046" s="107">
        <v>92.9</v>
      </c>
      <c r="E1046" s="107">
        <v>93.05</v>
      </c>
      <c r="F1046" s="107">
        <v>94.95</v>
      </c>
      <c r="G1046">
        <v>929483</v>
      </c>
      <c r="H1046" s="107"/>
      <c r="I1046" s="107"/>
      <c r="L1046" s="130">
        <v>43542</v>
      </c>
      <c r="M1046" s="107">
        <v>95.05</v>
      </c>
      <c r="N1046" s="107">
        <v>95.55</v>
      </c>
      <c r="O1046" s="107">
        <v>92.8</v>
      </c>
      <c r="P1046" s="107">
        <v>93.2</v>
      </c>
      <c r="Q1046" s="107">
        <v>95.05</v>
      </c>
      <c r="R1046">
        <v>8252958</v>
      </c>
    </row>
    <row r="1047" spans="1:18" x14ac:dyDescent="0.25">
      <c r="A1047" s="130">
        <v>43543</v>
      </c>
      <c r="B1047" s="107">
        <v>103.15</v>
      </c>
      <c r="C1047" s="107">
        <v>100.6</v>
      </c>
      <c r="D1047" s="107">
        <v>95.3</v>
      </c>
      <c r="E1047" s="107">
        <v>95.5</v>
      </c>
      <c r="F1047" s="107">
        <v>100.6</v>
      </c>
      <c r="G1047">
        <v>2774547</v>
      </c>
      <c r="H1047" s="107"/>
      <c r="I1047" s="107"/>
      <c r="L1047" s="130">
        <v>43543</v>
      </c>
      <c r="M1047" s="107">
        <v>100.6</v>
      </c>
      <c r="N1047" s="107">
        <v>103.15</v>
      </c>
      <c r="O1047" s="107">
        <v>95.3</v>
      </c>
      <c r="P1047" s="107">
        <v>95.95</v>
      </c>
      <c r="Q1047" s="107">
        <v>100.6</v>
      </c>
      <c r="R1047">
        <v>27944350</v>
      </c>
    </row>
    <row r="1048" spans="1:18" x14ac:dyDescent="0.25">
      <c r="A1048" s="130">
        <v>43544</v>
      </c>
      <c r="B1048" s="107">
        <v>101.8</v>
      </c>
      <c r="C1048" s="107">
        <v>100.6</v>
      </c>
      <c r="D1048" s="107">
        <v>98.75</v>
      </c>
      <c r="E1048" s="107">
        <v>101.4</v>
      </c>
      <c r="F1048" s="107">
        <v>100.6</v>
      </c>
      <c r="G1048">
        <v>1189342</v>
      </c>
      <c r="H1048" s="107"/>
      <c r="I1048" s="107"/>
      <c r="L1048" s="130">
        <v>43544</v>
      </c>
      <c r="M1048" s="107">
        <v>100.55</v>
      </c>
      <c r="N1048" s="107">
        <v>101.75</v>
      </c>
      <c r="O1048" s="107">
        <v>98.55</v>
      </c>
      <c r="P1048" s="107">
        <v>100.85</v>
      </c>
      <c r="Q1048" s="107">
        <v>100.55</v>
      </c>
      <c r="R1048">
        <v>15540939</v>
      </c>
    </row>
    <row r="1049" spans="1:18" x14ac:dyDescent="0.25">
      <c r="A1049" s="130">
        <v>43546</v>
      </c>
      <c r="B1049" s="107">
        <v>101.95</v>
      </c>
      <c r="C1049" s="107">
        <v>98.7</v>
      </c>
      <c r="D1049" s="107">
        <v>98</v>
      </c>
      <c r="E1049" s="107">
        <v>101</v>
      </c>
      <c r="F1049" s="107">
        <v>98.7</v>
      </c>
      <c r="G1049">
        <v>889563</v>
      </c>
      <c r="H1049" s="107"/>
      <c r="I1049" s="107"/>
      <c r="L1049" s="130">
        <v>43546</v>
      </c>
      <c r="M1049" s="107">
        <v>98.6</v>
      </c>
      <c r="N1049" s="107">
        <v>101.9</v>
      </c>
      <c r="O1049" s="107">
        <v>98.05</v>
      </c>
      <c r="P1049" s="107">
        <v>101.3</v>
      </c>
      <c r="Q1049" s="107">
        <v>98.6</v>
      </c>
      <c r="R1049">
        <v>8803257</v>
      </c>
    </row>
    <row r="1050" spans="1:18" x14ac:dyDescent="0.25">
      <c r="A1050" s="130">
        <v>43549</v>
      </c>
      <c r="B1050" s="107">
        <v>99.2</v>
      </c>
      <c r="C1050" s="107">
        <v>98.55</v>
      </c>
      <c r="D1050" s="107">
        <v>96.4</v>
      </c>
      <c r="E1050" s="107">
        <v>97.4</v>
      </c>
      <c r="F1050" s="107">
        <v>98.55</v>
      </c>
      <c r="G1050">
        <v>771866</v>
      </c>
      <c r="H1050" s="107"/>
      <c r="I1050" s="107"/>
      <c r="L1050" s="130">
        <v>43549</v>
      </c>
      <c r="M1050" s="107">
        <v>98.5</v>
      </c>
      <c r="N1050" s="107">
        <v>99.3</v>
      </c>
      <c r="O1050" s="107">
        <v>96.45</v>
      </c>
      <c r="P1050" s="107">
        <v>97</v>
      </c>
      <c r="Q1050" s="107">
        <v>98.5</v>
      </c>
      <c r="R1050">
        <v>8032860</v>
      </c>
    </row>
    <row r="1051" spans="1:18" x14ac:dyDescent="0.25">
      <c r="A1051" s="130">
        <v>43550</v>
      </c>
      <c r="B1051" s="107">
        <v>102.6</v>
      </c>
      <c r="C1051" s="107">
        <v>101.85</v>
      </c>
      <c r="D1051" s="107">
        <v>98.55</v>
      </c>
      <c r="E1051" s="107">
        <v>98.55</v>
      </c>
      <c r="F1051" s="107">
        <v>101.85</v>
      </c>
      <c r="G1051">
        <v>765634</v>
      </c>
      <c r="H1051" s="107"/>
      <c r="I1051" s="107"/>
      <c r="L1051" s="130">
        <v>43550</v>
      </c>
      <c r="M1051" s="107">
        <v>101.85</v>
      </c>
      <c r="N1051" s="107">
        <v>102.5</v>
      </c>
      <c r="O1051" s="107">
        <v>98.8</v>
      </c>
      <c r="P1051" s="107">
        <v>99.05</v>
      </c>
      <c r="Q1051" s="107">
        <v>101.85</v>
      </c>
      <c r="R1051">
        <v>7946467</v>
      </c>
    </row>
    <row r="1052" spans="1:18" x14ac:dyDescent="0.25">
      <c r="A1052" s="130">
        <v>43551</v>
      </c>
      <c r="B1052" s="107">
        <v>103.5</v>
      </c>
      <c r="C1052" s="107">
        <v>103.1</v>
      </c>
      <c r="D1052" s="107">
        <v>101.5</v>
      </c>
      <c r="E1052" s="107">
        <v>102.75</v>
      </c>
      <c r="F1052" s="107">
        <v>103.1</v>
      </c>
      <c r="G1052">
        <v>1319968</v>
      </c>
      <c r="H1052" s="107"/>
      <c r="I1052" s="107"/>
      <c r="L1052" s="130">
        <v>43551</v>
      </c>
      <c r="M1052" s="107">
        <v>103.15</v>
      </c>
      <c r="N1052" s="107">
        <v>103.7</v>
      </c>
      <c r="O1052" s="107">
        <v>101.55</v>
      </c>
      <c r="P1052" s="107">
        <v>102.4</v>
      </c>
      <c r="Q1052" s="107">
        <v>103.15</v>
      </c>
      <c r="R1052">
        <v>11566973</v>
      </c>
    </row>
    <row r="1053" spans="1:18" x14ac:dyDescent="0.25">
      <c r="A1053" s="130">
        <v>43552</v>
      </c>
      <c r="B1053" s="107">
        <v>106.3</v>
      </c>
      <c r="C1053" s="107">
        <v>105.6</v>
      </c>
      <c r="D1053" s="107">
        <v>102.9</v>
      </c>
      <c r="E1053" s="107">
        <v>103.1</v>
      </c>
      <c r="F1053" s="107">
        <v>105.6</v>
      </c>
      <c r="G1053">
        <v>973437</v>
      </c>
      <c r="H1053" s="107"/>
      <c r="I1053" s="107"/>
      <c r="L1053" s="130">
        <v>43552</v>
      </c>
      <c r="M1053" s="107">
        <v>105.85</v>
      </c>
      <c r="N1053" s="107">
        <v>106.5</v>
      </c>
      <c r="O1053" s="107">
        <v>102.8</v>
      </c>
      <c r="P1053" s="107">
        <v>103</v>
      </c>
      <c r="Q1053" s="107">
        <v>105.85</v>
      </c>
      <c r="R1053">
        <v>12405815</v>
      </c>
    </row>
    <row r="1054" spans="1:18" x14ac:dyDescent="0.25">
      <c r="A1054" s="130">
        <v>43553</v>
      </c>
      <c r="B1054" s="107">
        <v>106.9</v>
      </c>
      <c r="C1054" s="107">
        <v>104.3</v>
      </c>
      <c r="D1054" s="107">
        <v>103.25</v>
      </c>
      <c r="E1054" s="107">
        <v>106</v>
      </c>
      <c r="F1054" s="107">
        <v>104.3</v>
      </c>
      <c r="G1054">
        <v>887617</v>
      </c>
      <c r="H1054" s="107"/>
      <c r="I1054" s="107"/>
      <c r="L1054" s="130">
        <v>43553</v>
      </c>
      <c r="M1054" s="107">
        <v>104.25</v>
      </c>
      <c r="N1054" s="107">
        <v>106.9</v>
      </c>
      <c r="O1054" s="107">
        <v>103.3</v>
      </c>
      <c r="P1054" s="107">
        <v>106.4</v>
      </c>
      <c r="Q1054" s="107">
        <v>104.25</v>
      </c>
      <c r="R1054">
        <v>11198651</v>
      </c>
    </row>
    <row r="1055" spans="1:18" x14ac:dyDescent="0.25">
      <c r="A1055" s="130">
        <v>43556</v>
      </c>
      <c r="B1055" s="107">
        <v>108.15</v>
      </c>
      <c r="C1055" s="107">
        <v>104.75</v>
      </c>
      <c r="D1055" s="107">
        <v>104</v>
      </c>
      <c r="E1055" s="107">
        <v>104.8</v>
      </c>
      <c r="F1055" s="107">
        <v>104.75</v>
      </c>
      <c r="G1055">
        <v>917244</v>
      </c>
      <c r="H1055" s="107"/>
      <c r="I1055" s="107"/>
      <c r="L1055" s="130">
        <v>43556</v>
      </c>
      <c r="M1055" s="107">
        <v>104.65</v>
      </c>
      <c r="N1055" s="107">
        <v>108.15</v>
      </c>
      <c r="O1055" s="107">
        <v>103.9</v>
      </c>
      <c r="P1055" s="107">
        <v>104.8</v>
      </c>
      <c r="Q1055" s="107">
        <v>104.65</v>
      </c>
      <c r="R1055">
        <v>10096894</v>
      </c>
    </row>
    <row r="1056" spans="1:18" x14ac:dyDescent="0.25">
      <c r="A1056" s="130">
        <v>43557</v>
      </c>
      <c r="B1056" s="107">
        <v>107.8</v>
      </c>
      <c r="C1056" s="107">
        <v>105.55</v>
      </c>
      <c r="D1056" s="107">
        <v>103.4</v>
      </c>
      <c r="E1056" s="107">
        <v>104.5</v>
      </c>
      <c r="F1056" s="107">
        <v>105.55</v>
      </c>
      <c r="G1056">
        <v>1032707</v>
      </c>
      <c r="H1056" s="107"/>
      <c r="I1056" s="107"/>
      <c r="L1056" s="130">
        <v>43557</v>
      </c>
      <c r="M1056" s="107">
        <v>105.6</v>
      </c>
      <c r="N1056" s="107">
        <v>107.8</v>
      </c>
      <c r="O1056" s="107">
        <v>103.3</v>
      </c>
      <c r="P1056" s="107">
        <v>104.9</v>
      </c>
      <c r="Q1056" s="107">
        <v>105.6</v>
      </c>
      <c r="R1056">
        <v>11545420</v>
      </c>
    </row>
    <row r="1057" spans="1:18" x14ac:dyDescent="0.25">
      <c r="A1057" s="130">
        <v>43558</v>
      </c>
      <c r="B1057" s="107">
        <v>107.35</v>
      </c>
      <c r="C1057" s="107">
        <v>101.55</v>
      </c>
      <c r="D1057" s="107">
        <v>101.05</v>
      </c>
      <c r="E1057" s="107">
        <v>106</v>
      </c>
      <c r="F1057" s="107">
        <v>101.55</v>
      </c>
      <c r="G1057">
        <v>943044</v>
      </c>
      <c r="H1057" s="107"/>
      <c r="I1057" s="107"/>
      <c r="L1057" s="130">
        <v>43558</v>
      </c>
      <c r="M1057" s="107">
        <v>101.7</v>
      </c>
      <c r="N1057" s="107">
        <v>107.4</v>
      </c>
      <c r="O1057" s="107">
        <v>101.35</v>
      </c>
      <c r="P1057" s="107">
        <v>106.2</v>
      </c>
      <c r="Q1057" s="107">
        <v>101.7</v>
      </c>
      <c r="R1057">
        <v>10979283</v>
      </c>
    </row>
    <row r="1058" spans="1:18" x14ac:dyDescent="0.25">
      <c r="A1058" s="130">
        <v>43559</v>
      </c>
      <c r="B1058" s="107">
        <v>104.65</v>
      </c>
      <c r="C1058" s="107">
        <v>101</v>
      </c>
      <c r="D1058" s="107">
        <v>100.55</v>
      </c>
      <c r="E1058" s="107">
        <v>101.9</v>
      </c>
      <c r="F1058" s="107">
        <v>101</v>
      </c>
      <c r="G1058">
        <v>837770</v>
      </c>
      <c r="H1058" s="107"/>
      <c r="I1058" s="107"/>
      <c r="L1058" s="130">
        <v>43559</v>
      </c>
      <c r="M1058" s="107">
        <v>101.1</v>
      </c>
      <c r="N1058" s="107">
        <v>104.6</v>
      </c>
      <c r="O1058" s="107">
        <v>100.5</v>
      </c>
      <c r="P1058" s="107">
        <v>101.65</v>
      </c>
      <c r="Q1058" s="107">
        <v>101.1</v>
      </c>
      <c r="R1058">
        <v>11702884</v>
      </c>
    </row>
    <row r="1059" spans="1:18" x14ac:dyDescent="0.25">
      <c r="A1059" s="130">
        <v>43560</v>
      </c>
      <c r="B1059" s="107">
        <v>102.4</v>
      </c>
      <c r="C1059" s="107">
        <v>100.9</v>
      </c>
      <c r="D1059" s="107">
        <v>99.55</v>
      </c>
      <c r="E1059" s="107">
        <v>101.55</v>
      </c>
      <c r="F1059" s="107">
        <v>100.9</v>
      </c>
      <c r="G1059">
        <v>516134</v>
      </c>
      <c r="H1059" s="107"/>
      <c r="I1059" s="107"/>
      <c r="L1059" s="130">
        <v>43560</v>
      </c>
      <c r="M1059" s="107">
        <v>100.8</v>
      </c>
      <c r="N1059" s="107">
        <v>102.4</v>
      </c>
      <c r="O1059" s="107">
        <v>99.5</v>
      </c>
      <c r="P1059" s="107">
        <v>101.7</v>
      </c>
      <c r="Q1059" s="107">
        <v>100.8</v>
      </c>
      <c r="R1059">
        <v>6556229</v>
      </c>
    </row>
    <row r="1060" spans="1:18" x14ac:dyDescent="0.25">
      <c r="A1060" s="130">
        <v>43563</v>
      </c>
      <c r="B1060" s="107">
        <v>103.2</v>
      </c>
      <c r="C1060" s="107">
        <v>98.55</v>
      </c>
      <c r="D1060" s="107">
        <v>98</v>
      </c>
      <c r="E1060" s="107">
        <v>100.7</v>
      </c>
      <c r="F1060" s="107">
        <v>98.55</v>
      </c>
      <c r="G1060">
        <v>636030</v>
      </c>
      <c r="H1060" s="107"/>
      <c r="I1060" s="107"/>
      <c r="L1060" s="130">
        <v>43563</v>
      </c>
      <c r="M1060" s="107">
        <v>98.5</v>
      </c>
      <c r="N1060" s="107">
        <v>103.1</v>
      </c>
      <c r="O1060" s="107">
        <v>97.9</v>
      </c>
      <c r="P1060" s="107">
        <v>101.5</v>
      </c>
      <c r="Q1060" s="107">
        <v>98.5</v>
      </c>
      <c r="R1060">
        <v>8836550</v>
      </c>
    </row>
    <row r="1061" spans="1:18" x14ac:dyDescent="0.25">
      <c r="A1061" s="130">
        <v>43564</v>
      </c>
      <c r="B1061" s="107">
        <v>102.7</v>
      </c>
      <c r="C1061" s="107">
        <v>102.15</v>
      </c>
      <c r="D1061" s="107">
        <v>97.55</v>
      </c>
      <c r="E1061" s="107">
        <v>99</v>
      </c>
      <c r="F1061" s="107">
        <v>102.15</v>
      </c>
      <c r="G1061">
        <v>889902</v>
      </c>
      <c r="H1061" s="107"/>
      <c r="I1061" s="107"/>
      <c r="L1061" s="130">
        <v>43564</v>
      </c>
      <c r="M1061" s="107">
        <v>102.25</v>
      </c>
      <c r="N1061" s="107">
        <v>102.85</v>
      </c>
      <c r="O1061" s="107">
        <v>97.55</v>
      </c>
      <c r="P1061" s="107">
        <v>98.9</v>
      </c>
      <c r="Q1061" s="107">
        <v>102.25</v>
      </c>
      <c r="R1061">
        <v>10873813</v>
      </c>
    </row>
    <row r="1062" spans="1:18" x14ac:dyDescent="0.25">
      <c r="A1062" s="130">
        <v>43565</v>
      </c>
      <c r="B1062" s="107">
        <v>103.55</v>
      </c>
      <c r="C1062" s="107">
        <v>100.7</v>
      </c>
      <c r="D1062" s="107">
        <v>100.25</v>
      </c>
      <c r="E1062" s="107">
        <v>102.15</v>
      </c>
      <c r="F1062" s="107">
        <v>100.7</v>
      </c>
      <c r="G1062">
        <v>687936</v>
      </c>
      <c r="H1062" s="107"/>
      <c r="I1062" s="107"/>
      <c r="L1062" s="130">
        <v>43565</v>
      </c>
      <c r="M1062" s="107">
        <v>100.5</v>
      </c>
      <c r="N1062" s="107">
        <v>103.5</v>
      </c>
      <c r="O1062" s="107">
        <v>100.2</v>
      </c>
      <c r="P1062" s="107">
        <v>101.9</v>
      </c>
      <c r="Q1062" s="107">
        <v>100.5</v>
      </c>
      <c r="R1062">
        <v>8176340</v>
      </c>
    </row>
    <row r="1063" spans="1:18" x14ac:dyDescent="0.25">
      <c r="A1063" s="130">
        <v>43566</v>
      </c>
      <c r="B1063" s="107">
        <v>101.2</v>
      </c>
      <c r="C1063" s="107">
        <v>99.45</v>
      </c>
      <c r="D1063" s="107">
        <v>98.85</v>
      </c>
      <c r="E1063" s="107">
        <v>100.9</v>
      </c>
      <c r="F1063" s="107">
        <v>99.45</v>
      </c>
      <c r="G1063">
        <v>545963</v>
      </c>
      <c r="H1063" s="107"/>
      <c r="I1063" s="107"/>
      <c r="L1063" s="130">
        <v>43566</v>
      </c>
      <c r="M1063" s="107">
        <v>99.4</v>
      </c>
      <c r="N1063" s="107">
        <v>101.25</v>
      </c>
      <c r="O1063" s="107">
        <v>98.7</v>
      </c>
      <c r="P1063" s="107">
        <v>100.65</v>
      </c>
      <c r="Q1063" s="107">
        <v>99.4</v>
      </c>
      <c r="R1063">
        <v>7104380</v>
      </c>
    </row>
    <row r="1064" spans="1:18" x14ac:dyDescent="0.25">
      <c r="A1064" s="130">
        <v>43567</v>
      </c>
      <c r="B1064" s="107">
        <v>100.15</v>
      </c>
      <c r="C1064" s="107">
        <v>99.55</v>
      </c>
      <c r="D1064" s="107">
        <v>97.8</v>
      </c>
      <c r="E1064" s="107">
        <v>99.05</v>
      </c>
      <c r="F1064" s="107">
        <v>99.55</v>
      </c>
      <c r="G1064">
        <v>635731</v>
      </c>
      <c r="H1064" s="107"/>
      <c r="I1064" s="107"/>
      <c r="L1064" s="130">
        <v>43567</v>
      </c>
      <c r="M1064" s="107">
        <v>99.55</v>
      </c>
      <c r="N1064" s="107">
        <v>100.1</v>
      </c>
      <c r="O1064" s="107">
        <v>97.7</v>
      </c>
      <c r="P1064" s="107">
        <v>99.4</v>
      </c>
      <c r="Q1064" s="107">
        <v>99.55</v>
      </c>
      <c r="R1064">
        <v>7444154</v>
      </c>
    </row>
    <row r="1065" spans="1:18" x14ac:dyDescent="0.25">
      <c r="A1065" s="130">
        <v>43570</v>
      </c>
      <c r="B1065" s="107">
        <v>101.3</v>
      </c>
      <c r="C1065" s="107">
        <v>99.05</v>
      </c>
      <c r="D1065" s="107">
        <v>98.7</v>
      </c>
      <c r="E1065" s="107">
        <v>100</v>
      </c>
      <c r="F1065" s="107">
        <v>99.05</v>
      </c>
      <c r="G1065">
        <v>636453</v>
      </c>
      <c r="H1065" s="107"/>
      <c r="I1065" s="107"/>
      <c r="L1065" s="130">
        <v>43570</v>
      </c>
      <c r="M1065" s="107">
        <v>99.05</v>
      </c>
      <c r="N1065" s="107">
        <v>101.2</v>
      </c>
      <c r="O1065" s="107">
        <v>98.8</v>
      </c>
      <c r="P1065" s="107">
        <v>99.6</v>
      </c>
      <c r="Q1065" s="107">
        <v>99.05</v>
      </c>
      <c r="R1065">
        <v>5242978</v>
      </c>
    </row>
    <row r="1066" spans="1:18" x14ac:dyDescent="0.25">
      <c r="A1066" s="130">
        <v>43571</v>
      </c>
      <c r="B1066" s="107">
        <v>100</v>
      </c>
      <c r="C1066" s="107">
        <v>98.9</v>
      </c>
      <c r="D1066" s="107">
        <v>98.5</v>
      </c>
      <c r="E1066" s="107">
        <v>99.15</v>
      </c>
      <c r="F1066" s="107">
        <v>98.9</v>
      </c>
      <c r="G1066">
        <v>422780</v>
      </c>
      <c r="H1066" s="107"/>
      <c r="I1066" s="107"/>
      <c r="L1066" s="130">
        <v>43571</v>
      </c>
      <c r="M1066" s="107">
        <v>98.95</v>
      </c>
      <c r="N1066" s="107">
        <v>99.95</v>
      </c>
      <c r="O1066" s="107">
        <v>98.55</v>
      </c>
      <c r="P1066" s="107">
        <v>99.2</v>
      </c>
      <c r="Q1066" s="107">
        <v>98.95</v>
      </c>
      <c r="R1066">
        <v>4279945</v>
      </c>
    </row>
    <row r="1067" spans="1:18" x14ac:dyDescent="0.25">
      <c r="A1067" s="130">
        <v>43573</v>
      </c>
      <c r="B1067" s="107">
        <v>99.7</v>
      </c>
      <c r="C1067" s="107">
        <v>96.6</v>
      </c>
      <c r="D1067" s="107">
        <v>96.1</v>
      </c>
      <c r="E1067" s="107">
        <v>99</v>
      </c>
      <c r="F1067" s="107">
        <v>96.6</v>
      </c>
      <c r="G1067">
        <v>716311</v>
      </c>
      <c r="H1067" s="107"/>
      <c r="I1067" s="107"/>
      <c r="L1067" s="130">
        <v>43573</v>
      </c>
      <c r="M1067" s="107">
        <v>96.75</v>
      </c>
      <c r="N1067" s="107">
        <v>99.6</v>
      </c>
      <c r="O1067" s="107">
        <v>96.05</v>
      </c>
      <c r="P1067" s="107">
        <v>99.05</v>
      </c>
      <c r="Q1067" s="107">
        <v>96.75</v>
      </c>
      <c r="R1067">
        <v>5875305</v>
      </c>
    </row>
    <row r="1068" spans="1:18" x14ac:dyDescent="0.25">
      <c r="A1068" s="130">
        <v>43577</v>
      </c>
      <c r="B1068" s="107">
        <v>96.5</v>
      </c>
      <c r="C1068" s="107">
        <v>92.6</v>
      </c>
      <c r="D1068" s="107">
        <v>92</v>
      </c>
      <c r="E1068" s="107">
        <v>96.3</v>
      </c>
      <c r="F1068" s="107">
        <v>92.6</v>
      </c>
      <c r="G1068">
        <v>358917</v>
      </c>
      <c r="H1068" s="107"/>
      <c r="I1068" s="107"/>
      <c r="L1068" s="130">
        <v>43577</v>
      </c>
      <c r="M1068" s="107">
        <v>92.5</v>
      </c>
      <c r="N1068" s="107">
        <v>96.25</v>
      </c>
      <c r="O1068" s="107">
        <v>91.8</v>
      </c>
      <c r="P1068" s="107">
        <v>96.15</v>
      </c>
      <c r="Q1068" s="107">
        <v>92.5</v>
      </c>
      <c r="R1068">
        <v>5808200</v>
      </c>
    </row>
    <row r="1069" spans="1:18" x14ac:dyDescent="0.25">
      <c r="A1069" s="130">
        <v>43578</v>
      </c>
      <c r="B1069" s="107">
        <v>93.7</v>
      </c>
      <c r="C1069" s="107">
        <v>91.45</v>
      </c>
      <c r="D1069" s="107">
        <v>91.2</v>
      </c>
      <c r="E1069" s="107">
        <v>92.3</v>
      </c>
      <c r="F1069" s="107">
        <v>91.45</v>
      </c>
      <c r="G1069">
        <v>662387</v>
      </c>
      <c r="H1069" s="107"/>
      <c r="I1069" s="107"/>
      <c r="L1069" s="130">
        <v>43578</v>
      </c>
      <c r="M1069" s="107">
        <v>91.65</v>
      </c>
      <c r="N1069" s="107">
        <v>93.75</v>
      </c>
      <c r="O1069" s="107">
        <v>91.25</v>
      </c>
      <c r="P1069" s="107">
        <v>91.9</v>
      </c>
      <c r="Q1069" s="107">
        <v>91.65</v>
      </c>
      <c r="R1069">
        <v>6059894</v>
      </c>
    </row>
    <row r="1070" spans="1:18" x14ac:dyDescent="0.25">
      <c r="A1070" s="130">
        <v>43579</v>
      </c>
      <c r="B1070" s="107">
        <v>93.6</v>
      </c>
      <c r="C1070" s="107">
        <v>93.05</v>
      </c>
      <c r="D1070" s="107">
        <v>91.15</v>
      </c>
      <c r="E1070" s="107">
        <v>92.35</v>
      </c>
      <c r="F1070" s="107">
        <v>93.05</v>
      </c>
      <c r="G1070">
        <v>479514</v>
      </c>
      <c r="H1070" s="107"/>
      <c r="I1070" s="107"/>
      <c r="L1070" s="130">
        <v>43579</v>
      </c>
      <c r="M1070" s="107">
        <v>93.05</v>
      </c>
      <c r="N1070" s="107">
        <v>93.55</v>
      </c>
      <c r="O1070" s="107">
        <v>91</v>
      </c>
      <c r="P1070" s="107">
        <v>92.5</v>
      </c>
      <c r="Q1070" s="107">
        <v>93.05</v>
      </c>
      <c r="R1070">
        <v>6643762</v>
      </c>
    </row>
    <row r="1071" spans="1:18" x14ac:dyDescent="0.25">
      <c r="A1071" s="130">
        <v>43580</v>
      </c>
      <c r="B1071" s="107">
        <v>93.8</v>
      </c>
      <c r="C1071" s="107">
        <v>92.05</v>
      </c>
      <c r="D1071" s="107">
        <v>91.5</v>
      </c>
      <c r="E1071" s="107">
        <v>93.05</v>
      </c>
      <c r="F1071" s="107">
        <v>92.05</v>
      </c>
      <c r="G1071">
        <v>561387</v>
      </c>
      <c r="H1071" s="107"/>
      <c r="I1071" s="107"/>
      <c r="L1071" s="130">
        <v>43580</v>
      </c>
      <c r="M1071" s="107">
        <v>91.9</v>
      </c>
      <c r="N1071" s="107">
        <v>93.8</v>
      </c>
      <c r="O1071" s="107">
        <v>91.5</v>
      </c>
      <c r="P1071" s="107">
        <v>93.05</v>
      </c>
      <c r="Q1071" s="107">
        <v>91.9</v>
      </c>
      <c r="R1071">
        <v>6583138</v>
      </c>
    </row>
    <row r="1072" spans="1:18" x14ac:dyDescent="0.25">
      <c r="A1072" s="130">
        <v>43581</v>
      </c>
      <c r="B1072" s="107">
        <v>94.5</v>
      </c>
      <c r="C1072" s="107">
        <v>92.15</v>
      </c>
      <c r="D1072" s="107">
        <v>91.3</v>
      </c>
      <c r="E1072" s="107">
        <v>92.5</v>
      </c>
      <c r="F1072" s="107">
        <v>92.15</v>
      </c>
      <c r="G1072">
        <v>471867</v>
      </c>
      <c r="H1072" s="107"/>
      <c r="I1072" s="107"/>
      <c r="L1072" s="130">
        <v>43581</v>
      </c>
      <c r="M1072" s="107">
        <v>92.3</v>
      </c>
      <c r="N1072" s="107">
        <v>92.75</v>
      </c>
      <c r="O1072" s="107">
        <v>91.25</v>
      </c>
      <c r="P1072" s="107">
        <v>92.4</v>
      </c>
      <c r="Q1072" s="107">
        <v>92.3</v>
      </c>
      <c r="R1072">
        <v>5312132</v>
      </c>
    </row>
    <row r="1073" spans="1:18" x14ac:dyDescent="0.25">
      <c r="A1073" s="130">
        <v>43585</v>
      </c>
      <c r="B1073" s="107">
        <v>92.15</v>
      </c>
      <c r="C1073" s="107">
        <v>88.3</v>
      </c>
      <c r="D1073" s="107">
        <v>87</v>
      </c>
      <c r="E1073" s="107">
        <v>92.15</v>
      </c>
      <c r="F1073" s="107">
        <v>88.3</v>
      </c>
      <c r="G1073">
        <v>743226</v>
      </c>
      <c r="H1073" s="107"/>
      <c r="I1073" s="107"/>
      <c r="L1073" s="130">
        <v>43585</v>
      </c>
      <c r="M1073" s="107">
        <v>88.25</v>
      </c>
      <c r="N1073" s="107">
        <v>92.2</v>
      </c>
      <c r="O1073" s="107">
        <v>87</v>
      </c>
      <c r="P1073" s="107">
        <v>92.2</v>
      </c>
      <c r="Q1073" s="107">
        <v>88.25</v>
      </c>
      <c r="R1073">
        <v>8356446</v>
      </c>
    </row>
    <row r="1074" spans="1:18" x14ac:dyDescent="0.25">
      <c r="A1074" s="130">
        <v>43587</v>
      </c>
      <c r="B1074" s="107">
        <v>91.35</v>
      </c>
      <c r="C1074" s="107">
        <v>89.15</v>
      </c>
      <c r="D1074" s="107">
        <v>87.15</v>
      </c>
      <c r="E1074" s="107">
        <v>88.35</v>
      </c>
      <c r="F1074" s="107">
        <v>89.15</v>
      </c>
      <c r="G1074">
        <v>649240</v>
      </c>
      <c r="H1074" s="107"/>
      <c r="I1074" s="107"/>
      <c r="L1074" s="130">
        <v>43587</v>
      </c>
      <c r="M1074" s="107">
        <v>88.95</v>
      </c>
      <c r="N1074" s="107">
        <v>91.4</v>
      </c>
      <c r="O1074" s="107">
        <v>87.15</v>
      </c>
      <c r="P1074" s="107">
        <v>87.15</v>
      </c>
      <c r="Q1074" s="107">
        <v>88.95</v>
      </c>
      <c r="R1074">
        <v>8135666</v>
      </c>
    </row>
    <row r="1075" spans="1:18" x14ac:dyDescent="0.25">
      <c r="A1075" s="130">
        <v>43588</v>
      </c>
      <c r="B1075" s="107">
        <v>90.65</v>
      </c>
      <c r="C1075" s="107">
        <v>89.65</v>
      </c>
      <c r="D1075" s="107">
        <v>89</v>
      </c>
      <c r="E1075" s="107">
        <v>89.1</v>
      </c>
      <c r="F1075" s="107">
        <v>89.65</v>
      </c>
      <c r="G1075">
        <v>324898</v>
      </c>
      <c r="H1075" s="107"/>
      <c r="I1075" s="107"/>
      <c r="L1075" s="130">
        <v>43588</v>
      </c>
      <c r="M1075" s="107">
        <v>89.7</v>
      </c>
      <c r="N1075" s="107">
        <v>90.7</v>
      </c>
      <c r="O1075" s="107">
        <v>88.95</v>
      </c>
      <c r="P1075" s="107">
        <v>89.3</v>
      </c>
      <c r="Q1075" s="107">
        <v>89.7</v>
      </c>
      <c r="R1075">
        <v>4856188</v>
      </c>
    </row>
    <row r="1076" spans="1:18" x14ac:dyDescent="0.25">
      <c r="A1076" s="130">
        <v>43591</v>
      </c>
      <c r="B1076" s="107">
        <v>89.25</v>
      </c>
      <c r="C1076" s="107">
        <v>87.35</v>
      </c>
      <c r="D1076" s="107">
        <v>86.9</v>
      </c>
      <c r="E1076" s="107">
        <v>89.05</v>
      </c>
      <c r="F1076" s="107">
        <v>87.35</v>
      </c>
      <c r="G1076">
        <v>603871</v>
      </c>
      <c r="H1076" s="107"/>
      <c r="I1076" s="107"/>
      <c r="L1076" s="130">
        <v>43591</v>
      </c>
      <c r="M1076" s="107">
        <v>87.75</v>
      </c>
      <c r="N1076" s="107">
        <v>89.25</v>
      </c>
      <c r="O1076" s="107">
        <v>87</v>
      </c>
      <c r="P1076" s="107">
        <v>87</v>
      </c>
      <c r="Q1076" s="107">
        <v>87.75</v>
      </c>
      <c r="R1076">
        <v>3474372</v>
      </c>
    </row>
    <row r="1077" spans="1:18" x14ac:dyDescent="0.25">
      <c r="A1077" s="130">
        <v>43592</v>
      </c>
      <c r="B1077" s="107">
        <v>88.65</v>
      </c>
      <c r="C1077" s="107">
        <v>84.7</v>
      </c>
      <c r="D1077" s="107">
        <v>84</v>
      </c>
      <c r="E1077" s="107">
        <v>87.6</v>
      </c>
      <c r="F1077" s="107">
        <v>84.7</v>
      </c>
      <c r="G1077">
        <v>436903</v>
      </c>
      <c r="H1077" s="107"/>
      <c r="I1077" s="107"/>
      <c r="L1077" s="130">
        <v>43592</v>
      </c>
      <c r="M1077" s="107">
        <v>84.75</v>
      </c>
      <c r="N1077" s="107">
        <v>88.7</v>
      </c>
      <c r="O1077" s="107">
        <v>84.25</v>
      </c>
      <c r="P1077" s="107">
        <v>88.25</v>
      </c>
      <c r="Q1077" s="107">
        <v>84.75</v>
      </c>
      <c r="R1077">
        <v>5049227</v>
      </c>
    </row>
    <row r="1078" spans="1:18" x14ac:dyDescent="0.25">
      <c r="A1078" s="130">
        <v>43593</v>
      </c>
      <c r="B1078" s="107">
        <v>85.65</v>
      </c>
      <c r="C1078" s="107">
        <v>83.7</v>
      </c>
      <c r="D1078" s="107">
        <v>83.5</v>
      </c>
      <c r="E1078" s="107">
        <v>85.2</v>
      </c>
      <c r="F1078" s="107">
        <v>83.7</v>
      </c>
      <c r="G1078">
        <v>772817</v>
      </c>
      <c r="H1078" s="107"/>
      <c r="I1078" s="107"/>
      <c r="L1078" s="130">
        <v>43593</v>
      </c>
      <c r="M1078" s="107">
        <v>83.9</v>
      </c>
      <c r="N1078" s="107">
        <v>85.7</v>
      </c>
      <c r="O1078" s="107">
        <v>83.35</v>
      </c>
      <c r="P1078" s="107">
        <v>84.3</v>
      </c>
      <c r="Q1078" s="107">
        <v>83.9</v>
      </c>
      <c r="R1078">
        <v>5829503</v>
      </c>
    </row>
    <row r="1079" spans="1:18" x14ac:dyDescent="0.25">
      <c r="A1079" s="130">
        <v>43594</v>
      </c>
      <c r="B1079" s="107">
        <v>84.95</v>
      </c>
      <c r="C1079" s="107">
        <v>84.1</v>
      </c>
      <c r="D1079" s="107">
        <v>83.4</v>
      </c>
      <c r="E1079" s="107">
        <v>83.7</v>
      </c>
      <c r="F1079" s="107">
        <v>84.1</v>
      </c>
      <c r="G1079">
        <v>583796</v>
      </c>
      <c r="H1079" s="107"/>
      <c r="I1079" s="107"/>
      <c r="L1079" s="130">
        <v>43594</v>
      </c>
      <c r="M1079" s="107">
        <v>84.15</v>
      </c>
      <c r="N1079" s="107">
        <v>84.95</v>
      </c>
      <c r="O1079" s="107">
        <v>83.4</v>
      </c>
      <c r="P1079" s="107">
        <v>83.8</v>
      </c>
      <c r="Q1079" s="107">
        <v>84.15</v>
      </c>
      <c r="R1079">
        <v>4983729</v>
      </c>
    </row>
    <row r="1080" spans="1:18" x14ac:dyDescent="0.25">
      <c r="A1080" s="130">
        <v>43595</v>
      </c>
      <c r="B1080" s="107">
        <v>86.6</v>
      </c>
      <c r="C1080" s="107">
        <v>85.4</v>
      </c>
      <c r="D1080" s="107">
        <v>84.3</v>
      </c>
      <c r="E1080" s="107">
        <v>84.3</v>
      </c>
      <c r="F1080" s="107">
        <v>85.4</v>
      </c>
      <c r="G1080">
        <v>869786</v>
      </c>
      <c r="H1080" s="107"/>
      <c r="I1080" s="107"/>
      <c r="L1080" s="130">
        <v>43595</v>
      </c>
      <c r="M1080" s="107">
        <v>85.5</v>
      </c>
      <c r="N1080" s="107">
        <v>86.65</v>
      </c>
      <c r="O1080" s="107">
        <v>84.25</v>
      </c>
      <c r="P1080" s="107">
        <v>84.3</v>
      </c>
      <c r="Q1080" s="107">
        <v>85.5</v>
      </c>
      <c r="R1080">
        <v>7727714</v>
      </c>
    </row>
    <row r="1081" spans="1:18" x14ac:dyDescent="0.25">
      <c r="A1081" s="130">
        <v>43598</v>
      </c>
      <c r="B1081" s="107">
        <v>85.8</v>
      </c>
      <c r="C1081" s="107">
        <v>80.650000000000006</v>
      </c>
      <c r="D1081" s="107">
        <v>80.05</v>
      </c>
      <c r="E1081" s="107">
        <v>85.8</v>
      </c>
      <c r="F1081" s="107">
        <v>80.650000000000006</v>
      </c>
      <c r="G1081">
        <v>974515</v>
      </c>
      <c r="H1081" s="107"/>
      <c r="I1081" s="107"/>
      <c r="L1081" s="130">
        <v>43598</v>
      </c>
      <c r="M1081" s="107">
        <v>80.7</v>
      </c>
      <c r="N1081" s="107">
        <v>85.7</v>
      </c>
      <c r="O1081" s="107">
        <v>80.05</v>
      </c>
      <c r="P1081" s="107">
        <v>85.2</v>
      </c>
      <c r="Q1081" s="107">
        <v>80.7</v>
      </c>
      <c r="R1081">
        <v>7493263</v>
      </c>
    </row>
    <row r="1082" spans="1:18" x14ac:dyDescent="0.25">
      <c r="A1082" s="130">
        <v>43599</v>
      </c>
      <c r="B1082" s="107">
        <v>84</v>
      </c>
      <c r="C1082" s="107">
        <v>83</v>
      </c>
      <c r="D1082" s="107">
        <v>78.8</v>
      </c>
      <c r="E1082" s="107">
        <v>80</v>
      </c>
      <c r="F1082" s="107">
        <v>83</v>
      </c>
      <c r="G1082">
        <v>761605</v>
      </c>
      <c r="H1082" s="107"/>
      <c r="I1082" s="107"/>
      <c r="L1082" s="130">
        <v>43599</v>
      </c>
      <c r="M1082" s="107">
        <v>82.9</v>
      </c>
      <c r="N1082" s="107">
        <v>83.6</v>
      </c>
      <c r="O1082" s="107">
        <v>78.95</v>
      </c>
      <c r="P1082" s="107">
        <v>80.2</v>
      </c>
      <c r="Q1082" s="107">
        <v>82.9</v>
      </c>
      <c r="R1082">
        <v>7552638</v>
      </c>
    </row>
    <row r="1083" spans="1:18" x14ac:dyDescent="0.25">
      <c r="A1083" s="130">
        <v>43600</v>
      </c>
      <c r="B1083" s="107">
        <v>83.5</v>
      </c>
      <c r="C1083" s="107">
        <v>80.099999999999994</v>
      </c>
      <c r="D1083" s="107">
        <v>79.7</v>
      </c>
      <c r="E1083" s="107">
        <v>83.5</v>
      </c>
      <c r="F1083" s="107">
        <v>80.099999999999994</v>
      </c>
      <c r="G1083">
        <v>909285</v>
      </c>
      <c r="H1083" s="107"/>
      <c r="I1083" s="107"/>
      <c r="L1083" s="130">
        <v>43600</v>
      </c>
      <c r="M1083" s="107">
        <v>80.150000000000006</v>
      </c>
      <c r="N1083" s="107">
        <v>83.4</v>
      </c>
      <c r="O1083" s="107">
        <v>79.849999999999994</v>
      </c>
      <c r="P1083" s="107">
        <v>83</v>
      </c>
      <c r="Q1083" s="107">
        <v>80.150000000000006</v>
      </c>
      <c r="R1083">
        <v>6508069</v>
      </c>
    </row>
    <row r="1084" spans="1:18" x14ac:dyDescent="0.25">
      <c r="A1084" s="130">
        <v>43601</v>
      </c>
      <c r="B1084" s="107">
        <v>83.3</v>
      </c>
      <c r="C1084" s="107">
        <v>81.650000000000006</v>
      </c>
      <c r="D1084" s="107">
        <v>79.400000000000006</v>
      </c>
      <c r="E1084" s="107">
        <v>80.900000000000006</v>
      </c>
      <c r="F1084" s="107">
        <v>81.650000000000006</v>
      </c>
      <c r="G1084">
        <v>1831425</v>
      </c>
      <c r="H1084" s="107"/>
      <c r="I1084" s="107"/>
      <c r="L1084" s="130">
        <v>43601</v>
      </c>
      <c r="M1084" s="107">
        <v>81.650000000000006</v>
      </c>
      <c r="N1084" s="107">
        <v>83.2</v>
      </c>
      <c r="O1084" s="107">
        <v>79.3</v>
      </c>
      <c r="P1084" s="107">
        <v>80.7</v>
      </c>
      <c r="Q1084" s="107">
        <v>81.650000000000006</v>
      </c>
      <c r="R1084">
        <v>19413943</v>
      </c>
    </row>
    <row r="1085" spans="1:18" x14ac:dyDescent="0.25">
      <c r="A1085" s="130">
        <v>43602</v>
      </c>
      <c r="B1085" s="107">
        <v>82.35</v>
      </c>
      <c r="C1085" s="107">
        <v>81.650000000000006</v>
      </c>
      <c r="D1085" s="107">
        <v>79.650000000000006</v>
      </c>
      <c r="E1085" s="107">
        <v>81.599999999999994</v>
      </c>
      <c r="F1085" s="107">
        <v>81.650000000000006</v>
      </c>
      <c r="G1085">
        <v>1318455</v>
      </c>
      <c r="H1085" s="107"/>
      <c r="I1085" s="107"/>
      <c r="L1085" s="130">
        <v>43602</v>
      </c>
      <c r="M1085" s="107">
        <v>81.7</v>
      </c>
      <c r="N1085" s="107">
        <v>82.35</v>
      </c>
      <c r="O1085" s="107">
        <v>79.599999999999994</v>
      </c>
      <c r="P1085" s="107">
        <v>81.3</v>
      </c>
      <c r="Q1085" s="107">
        <v>81.7</v>
      </c>
      <c r="R1085">
        <v>12824142</v>
      </c>
    </row>
    <row r="1086" spans="1:18" x14ac:dyDescent="0.25">
      <c r="A1086" s="130">
        <v>43605</v>
      </c>
      <c r="B1086" s="107">
        <v>90.9</v>
      </c>
      <c r="C1086" s="107">
        <v>90.1</v>
      </c>
      <c r="D1086" s="107">
        <v>84.65</v>
      </c>
      <c r="E1086" s="107">
        <v>85</v>
      </c>
      <c r="F1086" s="107">
        <v>90.1</v>
      </c>
      <c r="G1086">
        <v>1521436</v>
      </c>
      <c r="H1086" s="107"/>
      <c r="I1086" s="107"/>
      <c r="L1086" s="130">
        <v>43605</v>
      </c>
      <c r="M1086" s="107">
        <v>89.9</v>
      </c>
      <c r="N1086" s="107">
        <v>90.6</v>
      </c>
      <c r="O1086" s="107">
        <v>84.55</v>
      </c>
      <c r="P1086" s="107">
        <v>86</v>
      </c>
      <c r="Q1086" s="107">
        <v>89.9</v>
      </c>
      <c r="R1086">
        <v>15415198</v>
      </c>
    </row>
    <row r="1087" spans="1:18" x14ac:dyDescent="0.25">
      <c r="A1087" s="130">
        <v>43606</v>
      </c>
      <c r="B1087" s="107">
        <v>91.8</v>
      </c>
      <c r="C1087" s="107">
        <v>88.2</v>
      </c>
      <c r="D1087" s="107">
        <v>87.15</v>
      </c>
      <c r="E1087" s="107">
        <v>90.9</v>
      </c>
      <c r="F1087" s="107">
        <v>88.2</v>
      </c>
      <c r="G1087">
        <v>989619</v>
      </c>
      <c r="H1087" s="107"/>
      <c r="I1087" s="107"/>
      <c r="L1087" s="130">
        <v>43606</v>
      </c>
      <c r="M1087" s="107">
        <v>88.1</v>
      </c>
      <c r="N1087" s="107">
        <v>91.45</v>
      </c>
      <c r="O1087" s="107">
        <v>87.15</v>
      </c>
      <c r="P1087" s="107">
        <v>90.5</v>
      </c>
      <c r="Q1087" s="107">
        <v>88.1</v>
      </c>
      <c r="R1087">
        <v>10255781</v>
      </c>
    </row>
    <row r="1088" spans="1:18" x14ac:dyDescent="0.25">
      <c r="A1088" s="130">
        <v>43607</v>
      </c>
      <c r="B1088" s="107">
        <v>90.1</v>
      </c>
      <c r="C1088" s="107">
        <v>89.7</v>
      </c>
      <c r="D1088" s="107">
        <v>87</v>
      </c>
      <c r="E1088" s="107">
        <v>88.2</v>
      </c>
      <c r="F1088" s="107">
        <v>89.7</v>
      </c>
      <c r="G1088">
        <v>592752</v>
      </c>
      <c r="H1088" s="107"/>
      <c r="I1088" s="107"/>
      <c r="L1088" s="130">
        <v>43607</v>
      </c>
      <c r="M1088" s="107">
        <v>89.65</v>
      </c>
      <c r="N1088" s="107">
        <v>90.4</v>
      </c>
      <c r="O1088" s="107">
        <v>86.9</v>
      </c>
      <c r="P1088" s="107">
        <v>88.2</v>
      </c>
      <c r="Q1088" s="107">
        <v>89.65</v>
      </c>
      <c r="R1088">
        <v>9187082</v>
      </c>
    </row>
    <row r="1089" spans="1:18" x14ac:dyDescent="0.25">
      <c r="A1089" s="130">
        <v>43608</v>
      </c>
      <c r="B1089" s="107">
        <v>96.2</v>
      </c>
      <c r="C1089" s="107">
        <v>89.1</v>
      </c>
      <c r="D1089" s="107">
        <v>88.2</v>
      </c>
      <c r="E1089" s="107">
        <v>92.5</v>
      </c>
      <c r="F1089" s="107">
        <v>89.1</v>
      </c>
      <c r="G1089">
        <v>1768647</v>
      </c>
      <c r="H1089" s="107"/>
      <c r="I1089" s="107"/>
      <c r="L1089" s="130">
        <v>43608</v>
      </c>
      <c r="M1089" s="107">
        <v>89.2</v>
      </c>
      <c r="N1089" s="107">
        <v>96.3</v>
      </c>
      <c r="O1089" s="107">
        <v>88.4</v>
      </c>
      <c r="P1089" s="107">
        <v>93</v>
      </c>
      <c r="Q1089" s="107">
        <v>89.2</v>
      </c>
      <c r="R1089">
        <v>17428202</v>
      </c>
    </row>
    <row r="1090" spans="1:18" x14ac:dyDescent="0.25">
      <c r="A1090" s="130">
        <v>43609</v>
      </c>
      <c r="B1090" s="107">
        <v>98</v>
      </c>
      <c r="C1090" s="107">
        <v>96.9</v>
      </c>
      <c r="D1090" s="107">
        <v>90</v>
      </c>
      <c r="E1090" s="107">
        <v>90.4</v>
      </c>
      <c r="F1090" s="107">
        <v>96.9</v>
      </c>
      <c r="G1090">
        <v>1892536</v>
      </c>
      <c r="H1090" s="107"/>
      <c r="I1090" s="107"/>
      <c r="L1090" s="130">
        <v>43609</v>
      </c>
      <c r="M1090" s="107">
        <v>96.7</v>
      </c>
      <c r="N1090" s="107">
        <v>97.5</v>
      </c>
      <c r="O1090" s="107">
        <v>89.9</v>
      </c>
      <c r="P1090" s="107">
        <v>90</v>
      </c>
      <c r="Q1090" s="107">
        <v>96.7</v>
      </c>
      <c r="R1090">
        <v>17144294</v>
      </c>
    </row>
    <row r="1091" spans="1:18" x14ac:dyDescent="0.25">
      <c r="A1091" s="130">
        <v>43612</v>
      </c>
      <c r="B1091" s="107">
        <v>99.45</v>
      </c>
      <c r="C1091" s="107">
        <v>98.25</v>
      </c>
      <c r="D1091" s="107">
        <v>96.4</v>
      </c>
      <c r="E1091" s="107">
        <v>97.4</v>
      </c>
      <c r="F1091" s="107">
        <v>98.25</v>
      </c>
      <c r="G1091">
        <v>1396528</v>
      </c>
      <c r="H1091" s="107"/>
      <c r="I1091" s="107"/>
      <c r="L1091" s="130">
        <v>43612</v>
      </c>
      <c r="M1091" s="107">
        <v>98.4</v>
      </c>
      <c r="N1091" s="107">
        <v>99.45</v>
      </c>
      <c r="O1091" s="107">
        <v>96.25</v>
      </c>
      <c r="P1091" s="107">
        <v>96.6</v>
      </c>
      <c r="Q1091" s="107">
        <v>98.4</v>
      </c>
      <c r="R1091">
        <v>11227667</v>
      </c>
    </row>
    <row r="1092" spans="1:18" x14ac:dyDescent="0.25">
      <c r="A1092" s="130">
        <v>43613</v>
      </c>
      <c r="B1092" s="107">
        <v>101.05</v>
      </c>
      <c r="C1092" s="107">
        <v>99.15</v>
      </c>
      <c r="D1092" s="107">
        <v>96.75</v>
      </c>
      <c r="E1092" s="107">
        <v>98</v>
      </c>
      <c r="F1092" s="107">
        <v>99.15</v>
      </c>
      <c r="G1092">
        <v>1050480</v>
      </c>
      <c r="H1092" s="107"/>
      <c r="I1092" s="107"/>
      <c r="L1092" s="130">
        <v>43613</v>
      </c>
      <c r="M1092" s="107">
        <v>99.1</v>
      </c>
      <c r="N1092" s="107">
        <v>101.2</v>
      </c>
      <c r="O1092" s="107">
        <v>96.8</v>
      </c>
      <c r="P1092" s="107">
        <v>98.5</v>
      </c>
      <c r="Q1092" s="107">
        <v>99.1</v>
      </c>
      <c r="R1092">
        <v>11634268</v>
      </c>
    </row>
    <row r="1093" spans="1:18" x14ac:dyDescent="0.25">
      <c r="A1093" s="130">
        <v>43614</v>
      </c>
      <c r="B1093" s="107">
        <v>99.05</v>
      </c>
      <c r="C1093" s="107">
        <v>96.25</v>
      </c>
      <c r="D1093" s="107">
        <v>95.95</v>
      </c>
      <c r="E1093" s="107">
        <v>99.05</v>
      </c>
      <c r="F1093" s="107">
        <v>96.25</v>
      </c>
      <c r="G1093">
        <v>647254</v>
      </c>
      <c r="H1093" s="107"/>
      <c r="I1093" s="107"/>
      <c r="L1093" s="130">
        <v>43614</v>
      </c>
      <c r="M1093" s="107">
        <v>96.4</v>
      </c>
      <c r="N1093" s="107">
        <v>98.9</v>
      </c>
      <c r="O1093" s="107">
        <v>96</v>
      </c>
      <c r="P1093" s="107">
        <v>98.9</v>
      </c>
      <c r="Q1093" s="107">
        <v>96.4</v>
      </c>
      <c r="R1093">
        <v>5351808</v>
      </c>
    </row>
    <row r="1094" spans="1:18" x14ac:dyDescent="0.25">
      <c r="A1094" s="130">
        <v>43615</v>
      </c>
      <c r="B1094" s="107">
        <v>97.9</v>
      </c>
      <c r="C1094" s="107">
        <v>97.45</v>
      </c>
      <c r="D1094" s="107">
        <v>95.3</v>
      </c>
      <c r="E1094" s="107">
        <v>95.75</v>
      </c>
      <c r="F1094" s="107">
        <v>97.45</v>
      </c>
      <c r="G1094">
        <v>661603</v>
      </c>
      <c r="H1094" s="107"/>
      <c r="I1094" s="107"/>
      <c r="L1094" s="130">
        <v>43615</v>
      </c>
      <c r="M1094" s="107">
        <v>97.55</v>
      </c>
      <c r="N1094" s="107">
        <v>98</v>
      </c>
      <c r="O1094" s="107">
        <v>95.2</v>
      </c>
      <c r="P1094" s="107">
        <v>96.8</v>
      </c>
      <c r="Q1094" s="107">
        <v>97.55</v>
      </c>
      <c r="R1094">
        <v>6071809</v>
      </c>
    </row>
    <row r="1095" spans="1:18" x14ac:dyDescent="0.25">
      <c r="A1095" s="130">
        <v>43616</v>
      </c>
      <c r="B1095" s="107">
        <v>99.2</v>
      </c>
      <c r="C1095" s="107">
        <v>94.5</v>
      </c>
      <c r="D1095" s="107">
        <v>92.9</v>
      </c>
      <c r="E1095" s="107">
        <v>97.25</v>
      </c>
      <c r="F1095" s="107">
        <v>94.5</v>
      </c>
      <c r="G1095">
        <v>1333870</v>
      </c>
      <c r="H1095" s="107"/>
      <c r="I1095" s="107"/>
      <c r="L1095" s="130">
        <v>43616</v>
      </c>
      <c r="M1095" s="107">
        <v>94.65</v>
      </c>
      <c r="N1095" s="107">
        <v>99.2</v>
      </c>
      <c r="O1095" s="107">
        <v>92.8</v>
      </c>
      <c r="P1095" s="107">
        <v>98.5</v>
      </c>
      <c r="Q1095" s="107">
        <v>94.65</v>
      </c>
      <c r="R1095">
        <v>11253655</v>
      </c>
    </row>
    <row r="1096" spans="1:18" x14ac:dyDescent="0.25">
      <c r="A1096" s="130">
        <v>43619</v>
      </c>
      <c r="B1096" s="107">
        <v>95.6</v>
      </c>
      <c r="C1096" s="107">
        <v>95.2</v>
      </c>
      <c r="D1096" s="107">
        <v>93.4</v>
      </c>
      <c r="E1096" s="107">
        <v>95.4</v>
      </c>
      <c r="F1096" s="107">
        <v>95.2</v>
      </c>
      <c r="G1096">
        <v>725714</v>
      </c>
      <c r="H1096" s="107"/>
      <c r="I1096" s="107"/>
      <c r="L1096" s="130">
        <v>43619</v>
      </c>
      <c r="M1096" s="107">
        <v>95.25</v>
      </c>
      <c r="N1096" s="107">
        <v>95.6</v>
      </c>
      <c r="O1096" s="107">
        <v>93.25</v>
      </c>
      <c r="P1096" s="107">
        <v>94.85</v>
      </c>
      <c r="Q1096" s="107">
        <v>95.25</v>
      </c>
      <c r="R1096">
        <v>6556319</v>
      </c>
    </row>
    <row r="1097" spans="1:18" x14ac:dyDescent="0.25">
      <c r="A1097" s="130">
        <v>43620</v>
      </c>
      <c r="B1097" s="107">
        <v>98.5</v>
      </c>
      <c r="C1097" s="107">
        <v>96.15</v>
      </c>
      <c r="D1097" s="107">
        <v>94.75</v>
      </c>
      <c r="E1097" s="107">
        <v>95</v>
      </c>
      <c r="F1097" s="107">
        <v>96.15</v>
      </c>
      <c r="G1097">
        <v>1021918</v>
      </c>
      <c r="H1097" s="107"/>
      <c r="I1097" s="107"/>
      <c r="L1097" s="130">
        <v>43620</v>
      </c>
      <c r="M1097" s="107">
        <v>96.4</v>
      </c>
      <c r="N1097" s="107">
        <v>98.5</v>
      </c>
      <c r="O1097" s="107">
        <v>94.5</v>
      </c>
      <c r="P1097" s="107">
        <v>94.7</v>
      </c>
      <c r="Q1097" s="107">
        <v>96.4</v>
      </c>
      <c r="R1097">
        <v>10527117</v>
      </c>
    </row>
    <row r="1098" spans="1:18" x14ac:dyDescent="0.25">
      <c r="A1098" s="130">
        <v>43622</v>
      </c>
      <c r="B1098" s="107">
        <v>96.3</v>
      </c>
      <c r="C1098" s="107">
        <v>90.75</v>
      </c>
      <c r="D1098" s="107">
        <v>90.1</v>
      </c>
      <c r="E1098" s="107">
        <v>96.3</v>
      </c>
      <c r="F1098" s="107">
        <v>90.75</v>
      </c>
      <c r="G1098">
        <v>1513497</v>
      </c>
      <c r="H1098" s="107"/>
      <c r="I1098" s="107"/>
      <c r="L1098" s="130">
        <v>43622</v>
      </c>
      <c r="M1098" s="107">
        <v>90.7</v>
      </c>
      <c r="N1098" s="107">
        <v>95.6</v>
      </c>
      <c r="O1098" s="107">
        <v>90.1</v>
      </c>
      <c r="P1098" s="107">
        <v>95</v>
      </c>
      <c r="Q1098" s="107">
        <v>90.7</v>
      </c>
      <c r="R1098">
        <v>12264824</v>
      </c>
    </row>
    <row r="1099" spans="1:18" x14ac:dyDescent="0.25">
      <c r="A1099" s="130">
        <v>43623</v>
      </c>
      <c r="B1099" s="107">
        <v>91.5</v>
      </c>
      <c r="C1099" s="107">
        <v>89.85</v>
      </c>
      <c r="D1099" s="107">
        <v>88.7</v>
      </c>
      <c r="E1099" s="107">
        <v>90.4</v>
      </c>
      <c r="F1099" s="107">
        <v>89.85</v>
      </c>
      <c r="G1099">
        <v>1014701</v>
      </c>
      <c r="H1099" s="107"/>
      <c r="I1099" s="107"/>
      <c r="L1099" s="130">
        <v>43623</v>
      </c>
      <c r="M1099" s="107">
        <v>89.75</v>
      </c>
      <c r="N1099" s="107">
        <v>91.5</v>
      </c>
      <c r="O1099" s="107">
        <v>88.65</v>
      </c>
      <c r="P1099" s="107">
        <v>90.15</v>
      </c>
      <c r="Q1099" s="107">
        <v>89.75</v>
      </c>
      <c r="R1099">
        <v>8164977</v>
      </c>
    </row>
    <row r="1100" spans="1:18" x14ac:dyDescent="0.25">
      <c r="A1100" s="130">
        <v>43626</v>
      </c>
      <c r="B1100" s="107">
        <v>91.95</v>
      </c>
      <c r="C1100" s="107">
        <v>87.15</v>
      </c>
      <c r="D1100" s="107">
        <v>86.6</v>
      </c>
      <c r="E1100" s="107">
        <v>90.55</v>
      </c>
      <c r="F1100" s="107">
        <v>87.15</v>
      </c>
      <c r="G1100">
        <v>1043407</v>
      </c>
      <c r="H1100" s="107"/>
      <c r="I1100" s="107"/>
      <c r="L1100" s="130">
        <v>43626</v>
      </c>
      <c r="M1100" s="107">
        <v>87.35</v>
      </c>
      <c r="N1100" s="107">
        <v>91.8</v>
      </c>
      <c r="O1100" s="107">
        <v>86.55</v>
      </c>
      <c r="P1100" s="107">
        <v>90.55</v>
      </c>
      <c r="Q1100" s="107">
        <v>87.35</v>
      </c>
      <c r="R1100">
        <v>7853962</v>
      </c>
    </row>
    <row r="1101" spans="1:18" x14ac:dyDescent="0.25">
      <c r="A1101" s="130">
        <v>43627</v>
      </c>
      <c r="B1101" s="107">
        <v>89.2</v>
      </c>
      <c r="C1101" s="107">
        <v>88.7</v>
      </c>
      <c r="D1101" s="107">
        <v>86.7</v>
      </c>
      <c r="E1101" s="107">
        <v>88.1</v>
      </c>
      <c r="F1101" s="107">
        <v>88.7</v>
      </c>
      <c r="G1101">
        <v>808552</v>
      </c>
      <c r="H1101" s="107"/>
      <c r="I1101" s="107"/>
      <c r="L1101" s="130">
        <v>43627</v>
      </c>
      <c r="M1101" s="107">
        <v>88.6</v>
      </c>
      <c r="N1101" s="107">
        <v>89.25</v>
      </c>
      <c r="O1101" s="107">
        <v>86.65</v>
      </c>
      <c r="P1101" s="107">
        <v>87.3</v>
      </c>
      <c r="Q1101" s="107">
        <v>88.6</v>
      </c>
      <c r="R1101">
        <v>6919788</v>
      </c>
    </row>
    <row r="1102" spans="1:18" x14ac:dyDescent="0.25">
      <c r="A1102" s="130">
        <v>43628</v>
      </c>
      <c r="B1102" s="107">
        <v>89.9</v>
      </c>
      <c r="C1102" s="107">
        <v>87.9</v>
      </c>
      <c r="D1102" s="107">
        <v>87.35</v>
      </c>
      <c r="E1102" s="107">
        <v>88.05</v>
      </c>
      <c r="F1102" s="107">
        <v>87.9</v>
      </c>
      <c r="G1102">
        <v>677375</v>
      </c>
      <c r="H1102" s="107"/>
      <c r="I1102" s="107"/>
      <c r="L1102" s="130">
        <v>43628</v>
      </c>
      <c r="M1102" s="107">
        <v>87.9</v>
      </c>
      <c r="N1102" s="107">
        <v>89.85</v>
      </c>
      <c r="O1102" s="107">
        <v>87.3</v>
      </c>
      <c r="P1102" s="107">
        <v>88.4</v>
      </c>
      <c r="Q1102" s="107">
        <v>87.9</v>
      </c>
      <c r="R1102">
        <v>6499682</v>
      </c>
    </row>
    <row r="1103" spans="1:18" x14ac:dyDescent="0.25">
      <c r="A1103" s="130">
        <v>43629</v>
      </c>
      <c r="B1103" s="107">
        <v>88</v>
      </c>
      <c r="C1103" s="107">
        <v>86.5</v>
      </c>
      <c r="D1103" s="107">
        <v>84.05</v>
      </c>
      <c r="E1103" s="107">
        <v>87</v>
      </c>
      <c r="F1103" s="107">
        <v>86.5</v>
      </c>
      <c r="G1103">
        <v>749316</v>
      </c>
      <c r="H1103" s="107"/>
      <c r="I1103" s="107"/>
      <c r="L1103" s="130">
        <v>43629</v>
      </c>
      <c r="M1103" s="107">
        <v>86.5</v>
      </c>
      <c r="N1103" s="107">
        <v>88</v>
      </c>
      <c r="O1103" s="107">
        <v>83.95</v>
      </c>
      <c r="P1103" s="107">
        <v>87.5</v>
      </c>
      <c r="Q1103" s="107">
        <v>86.5</v>
      </c>
      <c r="R1103">
        <v>8001310</v>
      </c>
    </row>
    <row r="1104" spans="1:18" x14ac:dyDescent="0.25">
      <c r="A1104" s="130">
        <v>43630</v>
      </c>
      <c r="B1104" s="107">
        <v>87.7</v>
      </c>
      <c r="C1104" s="107">
        <v>86.3</v>
      </c>
      <c r="D1104" s="107">
        <v>85.5</v>
      </c>
      <c r="E1104" s="107">
        <v>86.25</v>
      </c>
      <c r="F1104" s="107">
        <v>86.3</v>
      </c>
      <c r="G1104">
        <v>483517</v>
      </c>
      <c r="H1104" s="107"/>
      <c r="I1104" s="107"/>
      <c r="L1104" s="130">
        <v>43630</v>
      </c>
      <c r="M1104" s="107">
        <v>86.2</v>
      </c>
      <c r="N1104" s="107">
        <v>87.7</v>
      </c>
      <c r="O1104" s="107">
        <v>85.6</v>
      </c>
      <c r="P1104" s="107">
        <v>86.45</v>
      </c>
      <c r="Q1104" s="107">
        <v>86.2</v>
      </c>
      <c r="R1104">
        <v>5077698</v>
      </c>
    </row>
    <row r="1105" spans="1:18" x14ac:dyDescent="0.25">
      <c r="A1105" s="130">
        <v>43633</v>
      </c>
      <c r="B1105" s="107">
        <v>87.05</v>
      </c>
      <c r="C1105" s="107">
        <v>84.25</v>
      </c>
      <c r="D1105" s="107">
        <v>84</v>
      </c>
      <c r="E1105" s="107">
        <v>86.2</v>
      </c>
      <c r="F1105" s="107">
        <v>84.25</v>
      </c>
      <c r="G1105">
        <v>482211</v>
      </c>
      <c r="H1105" s="107"/>
      <c r="I1105" s="107"/>
      <c r="L1105" s="130">
        <v>43633</v>
      </c>
      <c r="M1105" s="107">
        <v>84.3</v>
      </c>
      <c r="N1105" s="107">
        <v>87.1</v>
      </c>
      <c r="O1105" s="107">
        <v>84.1</v>
      </c>
      <c r="P1105" s="107">
        <v>86</v>
      </c>
      <c r="Q1105" s="107">
        <v>84.3</v>
      </c>
      <c r="R1105">
        <v>5086736</v>
      </c>
    </row>
    <row r="1106" spans="1:18" x14ac:dyDescent="0.25">
      <c r="A1106" s="130">
        <v>43634</v>
      </c>
      <c r="B1106" s="107">
        <v>85.75</v>
      </c>
      <c r="C1106" s="107">
        <v>84.3</v>
      </c>
      <c r="D1106" s="107">
        <v>83.4</v>
      </c>
      <c r="E1106" s="107">
        <v>84.25</v>
      </c>
      <c r="F1106" s="107">
        <v>84.3</v>
      </c>
      <c r="G1106">
        <v>580670</v>
      </c>
      <c r="H1106" s="107"/>
      <c r="I1106" s="107"/>
      <c r="L1106" s="130">
        <v>43634</v>
      </c>
      <c r="M1106" s="107">
        <v>84.3</v>
      </c>
      <c r="N1106" s="107">
        <v>85.8</v>
      </c>
      <c r="O1106" s="107">
        <v>83.35</v>
      </c>
      <c r="P1106" s="107">
        <v>84.4</v>
      </c>
      <c r="Q1106" s="107">
        <v>84.3</v>
      </c>
      <c r="R1106">
        <v>5809152</v>
      </c>
    </row>
    <row r="1107" spans="1:18" x14ac:dyDescent="0.25">
      <c r="A1107" s="130">
        <v>43635</v>
      </c>
      <c r="B1107" s="107">
        <v>85.7</v>
      </c>
      <c r="C1107" s="107">
        <v>82.55</v>
      </c>
      <c r="D1107" s="107">
        <v>81.900000000000006</v>
      </c>
      <c r="E1107" s="107">
        <v>84.55</v>
      </c>
      <c r="F1107" s="107">
        <v>82.55</v>
      </c>
      <c r="G1107">
        <v>658994</v>
      </c>
      <c r="H1107" s="107"/>
      <c r="I1107" s="107"/>
      <c r="L1107" s="130">
        <v>43635</v>
      </c>
      <c r="M1107" s="107">
        <v>82.65</v>
      </c>
      <c r="N1107" s="107">
        <v>85.65</v>
      </c>
      <c r="O1107" s="107">
        <v>81.900000000000006</v>
      </c>
      <c r="P1107" s="107">
        <v>84.95</v>
      </c>
      <c r="Q1107" s="107">
        <v>82.65</v>
      </c>
      <c r="R1107">
        <v>5980486</v>
      </c>
    </row>
    <row r="1108" spans="1:18" x14ac:dyDescent="0.25">
      <c r="A1108" s="130">
        <v>43636</v>
      </c>
      <c r="B1108" s="107">
        <v>85.9</v>
      </c>
      <c r="C1108" s="107">
        <v>85.65</v>
      </c>
      <c r="D1108" s="107">
        <v>82.3</v>
      </c>
      <c r="E1108" s="107">
        <v>82.55</v>
      </c>
      <c r="F1108" s="107">
        <v>85.65</v>
      </c>
      <c r="G1108">
        <v>485610</v>
      </c>
      <c r="H1108" s="107"/>
      <c r="I1108" s="107"/>
      <c r="L1108" s="130">
        <v>43636</v>
      </c>
      <c r="M1108" s="107">
        <v>85.65</v>
      </c>
      <c r="N1108" s="107">
        <v>86</v>
      </c>
      <c r="O1108" s="107">
        <v>82.2</v>
      </c>
      <c r="P1108" s="107">
        <v>83</v>
      </c>
      <c r="Q1108" s="107">
        <v>85.65</v>
      </c>
      <c r="R1108">
        <v>5651858</v>
      </c>
    </row>
    <row r="1109" spans="1:18" x14ac:dyDescent="0.25">
      <c r="A1109" s="130">
        <v>43637</v>
      </c>
      <c r="B1109" s="107">
        <v>87.65</v>
      </c>
      <c r="C1109" s="107">
        <v>86.9</v>
      </c>
      <c r="D1109" s="107">
        <v>84.55</v>
      </c>
      <c r="E1109" s="107">
        <v>85.45</v>
      </c>
      <c r="F1109" s="107">
        <v>86.9</v>
      </c>
      <c r="G1109">
        <v>572885</v>
      </c>
      <c r="H1109" s="107"/>
      <c r="I1109" s="107"/>
      <c r="L1109" s="130">
        <v>43637</v>
      </c>
      <c r="M1109" s="107">
        <v>86.95</v>
      </c>
      <c r="N1109" s="107">
        <v>87.65</v>
      </c>
      <c r="O1109" s="107">
        <v>84.5</v>
      </c>
      <c r="P1109" s="107">
        <v>85.6</v>
      </c>
      <c r="Q1109" s="107">
        <v>86.95</v>
      </c>
      <c r="R1109">
        <v>6140827</v>
      </c>
    </row>
    <row r="1110" spans="1:18" x14ac:dyDescent="0.25">
      <c r="A1110" s="130">
        <v>43640</v>
      </c>
      <c r="B1110" s="107">
        <v>87.9</v>
      </c>
      <c r="C1110" s="107">
        <v>86.4</v>
      </c>
      <c r="D1110" s="107">
        <v>85.95</v>
      </c>
      <c r="E1110" s="107">
        <v>87</v>
      </c>
      <c r="F1110" s="107">
        <v>86.4</v>
      </c>
      <c r="G1110">
        <v>628367</v>
      </c>
      <c r="H1110" s="107"/>
      <c r="I1110" s="107"/>
      <c r="L1110" s="130">
        <v>43640</v>
      </c>
      <c r="M1110" s="107">
        <v>86.35</v>
      </c>
      <c r="N1110" s="107">
        <v>88</v>
      </c>
      <c r="O1110" s="107">
        <v>85.85</v>
      </c>
      <c r="P1110" s="107">
        <v>87</v>
      </c>
      <c r="Q1110" s="107">
        <v>86.35</v>
      </c>
      <c r="R1110">
        <v>4248911</v>
      </c>
    </row>
    <row r="1111" spans="1:18" x14ac:dyDescent="0.25">
      <c r="A1111" s="130">
        <v>43641</v>
      </c>
      <c r="B1111" s="107">
        <v>87</v>
      </c>
      <c r="C1111" s="107">
        <v>86.5</v>
      </c>
      <c r="D1111" s="107">
        <v>85.75</v>
      </c>
      <c r="E1111" s="107">
        <v>86.25</v>
      </c>
      <c r="F1111" s="107">
        <v>86.5</v>
      </c>
      <c r="G1111">
        <v>342510</v>
      </c>
      <c r="H1111" s="107"/>
      <c r="I1111" s="107"/>
      <c r="L1111" s="130">
        <v>43641</v>
      </c>
      <c r="M1111" s="107">
        <v>86.55</v>
      </c>
      <c r="N1111" s="107">
        <v>87.05</v>
      </c>
      <c r="O1111" s="107">
        <v>85.75</v>
      </c>
      <c r="P1111" s="107">
        <v>86</v>
      </c>
      <c r="Q1111" s="107">
        <v>86.55</v>
      </c>
      <c r="R1111">
        <v>3697250</v>
      </c>
    </row>
    <row r="1112" spans="1:18" x14ac:dyDescent="0.25">
      <c r="A1112" s="130">
        <v>43642</v>
      </c>
      <c r="B1112" s="107">
        <v>89.8</v>
      </c>
      <c r="C1112" s="107">
        <v>88.75</v>
      </c>
      <c r="D1112" s="107">
        <v>86</v>
      </c>
      <c r="E1112" s="107">
        <v>86.5</v>
      </c>
      <c r="F1112" s="107">
        <v>88.75</v>
      </c>
      <c r="G1112">
        <v>569665</v>
      </c>
      <c r="H1112" s="107"/>
      <c r="I1112" s="107"/>
      <c r="L1112" s="130">
        <v>43642</v>
      </c>
      <c r="M1112" s="107">
        <v>88.8</v>
      </c>
      <c r="N1112" s="107">
        <v>89.95</v>
      </c>
      <c r="O1112" s="107">
        <v>85.9</v>
      </c>
      <c r="P1112" s="107">
        <v>86.25</v>
      </c>
      <c r="Q1112" s="107">
        <v>88.8</v>
      </c>
      <c r="R1112">
        <v>5926489</v>
      </c>
    </row>
    <row r="1113" spans="1:18" x14ac:dyDescent="0.25">
      <c r="A1113" s="130">
        <v>43643</v>
      </c>
      <c r="B1113" s="107">
        <v>89.85</v>
      </c>
      <c r="C1113" s="107">
        <v>88.4</v>
      </c>
      <c r="D1113" s="107">
        <v>87.5</v>
      </c>
      <c r="E1113" s="107">
        <v>88.75</v>
      </c>
      <c r="F1113" s="107">
        <v>88.4</v>
      </c>
      <c r="G1113">
        <v>555930</v>
      </c>
      <c r="H1113" s="107"/>
      <c r="I1113" s="107"/>
      <c r="L1113" s="130">
        <v>43643</v>
      </c>
      <c r="M1113" s="107">
        <v>88.4</v>
      </c>
      <c r="N1113" s="107">
        <v>89.85</v>
      </c>
      <c r="O1113" s="107">
        <v>87.45</v>
      </c>
      <c r="P1113" s="107">
        <v>88.55</v>
      </c>
      <c r="Q1113" s="107">
        <v>88.4</v>
      </c>
      <c r="R1113">
        <v>5244888</v>
      </c>
    </row>
    <row r="1114" spans="1:18" x14ac:dyDescent="0.25">
      <c r="A1114" s="130">
        <v>43644</v>
      </c>
      <c r="B1114" s="107">
        <v>93</v>
      </c>
      <c r="C1114" s="107">
        <v>90.15</v>
      </c>
      <c r="D1114" s="107">
        <v>87.9</v>
      </c>
      <c r="E1114" s="107">
        <v>88.6</v>
      </c>
      <c r="F1114" s="107">
        <v>90.15</v>
      </c>
      <c r="G1114">
        <v>1484314</v>
      </c>
      <c r="H1114" s="107"/>
      <c r="I1114" s="107"/>
      <c r="L1114" s="130">
        <v>43644</v>
      </c>
      <c r="M1114" s="107">
        <v>90.15</v>
      </c>
      <c r="N1114" s="107">
        <v>93</v>
      </c>
      <c r="O1114" s="107">
        <v>87.85</v>
      </c>
      <c r="P1114" s="107">
        <v>88.5</v>
      </c>
      <c r="Q1114" s="107">
        <v>90.15</v>
      </c>
      <c r="R1114">
        <v>15393522</v>
      </c>
    </row>
    <row r="1115" spans="1:18" x14ac:dyDescent="0.25">
      <c r="A1115" s="130">
        <v>43647</v>
      </c>
      <c r="B1115" s="107">
        <v>91.5</v>
      </c>
      <c r="C1115" s="107">
        <v>90.7</v>
      </c>
      <c r="D1115" s="107">
        <v>88.9</v>
      </c>
      <c r="E1115" s="107">
        <v>91</v>
      </c>
      <c r="F1115" s="107">
        <v>90.7</v>
      </c>
      <c r="G1115">
        <v>909440</v>
      </c>
      <c r="H1115" s="107"/>
      <c r="I1115" s="107"/>
      <c r="L1115" s="130">
        <v>43647</v>
      </c>
      <c r="M1115" s="107">
        <v>90.7</v>
      </c>
      <c r="N1115" s="107">
        <v>91.5</v>
      </c>
      <c r="O1115" s="107">
        <v>88.85</v>
      </c>
      <c r="P1115" s="107">
        <v>90.9</v>
      </c>
      <c r="Q1115" s="107">
        <v>90.7</v>
      </c>
      <c r="R1115">
        <v>8806840</v>
      </c>
    </row>
    <row r="1116" spans="1:18" x14ac:dyDescent="0.25">
      <c r="A1116" s="130">
        <v>43648</v>
      </c>
      <c r="B1116" s="107">
        <v>91.4</v>
      </c>
      <c r="C1116" s="107">
        <v>90.2</v>
      </c>
      <c r="D1116" s="107">
        <v>88.5</v>
      </c>
      <c r="E1116" s="107">
        <v>91</v>
      </c>
      <c r="F1116" s="107">
        <v>90.2</v>
      </c>
      <c r="G1116">
        <v>585869</v>
      </c>
      <c r="H1116" s="107"/>
      <c r="I1116" s="107"/>
      <c r="L1116" s="130">
        <v>43648</v>
      </c>
      <c r="M1116" s="107">
        <v>90.2</v>
      </c>
      <c r="N1116" s="107">
        <v>91.4</v>
      </c>
      <c r="O1116" s="107">
        <v>88.4</v>
      </c>
      <c r="P1116" s="107">
        <v>91.4</v>
      </c>
      <c r="Q1116" s="107">
        <v>90.2</v>
      </c>
      <c r="R1116">
        <v>6249938</v>
      </c>
    </row>
    <row r="1117" spans="1:18" x14ac:dyDescent="0.25">
      <c r="A1117" s="130">
        <v>43649</v>
      </c>
      <c r="B1117" s="107">
        <v>92.9</v>
      </c>
      <c r="C1117" s="107">
        <v>92.6</v>
      </c>
      <c r="D1117" s="107">
        <v>90.15</v>
      </c>
      <c r="E1117" s="107">
        <v>90.2</v>
      </c>
      <c r="F1117" s="107">
        <v>92.6</v>
      </c>
      <c r="G1117">
        <v>831783</v>
      </c>
      <c r="H1117" s="107"/>
      <c r="I1117" s="107"/>
      <c r="L1117" s="130">
        <v>43649</v>
      </c>
      <c r="M1117" s="107">
        <v>92.5</v>
      </c>
      <c r="N1117" s="107">
        <v>93</v>
      </c>
      <c r="O1117" s="107">
        <v>90.05</v>
      </c>
      <c r="P1117" s="107">
        <v>90.6</v>
      </c>
      <c r="Q1117" s="107">
        <v>92.5</v>
      </c>
      <c r="R1117">
        <v>7918243</v>
      </c>
    </row>
    <row r="1118" spans="1:18" x14ac:dyDescent="0.25">
      <c r="A1118" s="130">
        <v>43650</v>
      </c>
      <c r="B1118" s="107">
        <v>95.8</v>
      </c>
      <c r="C1118" s="107">
        <v>94.45</v>
      </c>
      <c r="D1118" s="107">
        <v>93.4</v>
      </c>
      <c r="E1118" s="107">
        <v>93.55</v>
      </c>
      <c r="F1118" s="107">
        <v>94.45</v>
      </c>
      <c r="G1118">
        <v>1463015</v>
      </c>
      <c r="H1118" s="107"/>
      <c r="I1118" s="107"/>
      <c r="L1118" s="130">
        <v>43650</v>
      </c>
      <c r="M1118" s="107">
        <v>94.5</v>
      </c>
      <c r="N1118" s="107">
        <v>95.8</v>
      </c>
      <c r="O1118" s="107">
        <v>93.35</v>
      </c>
      <c r="P1118" s="107">
        <v>93.4</v>
      </c>
      <c r="Q1118" s="107">
        <v>94.5</v>
      </c>
      <c r="R1118">
        <v>15369281</v>
      </c>
    </row>
    <row r="1119" spans="1:18" x14ac:dyDescent="0.25">
      <c r="A1119" s="130">
        <v>43651</v>
      </c>
      <c r="B1119" s="107">
        <v>96.4</v>
      </c>
      <c r="C1119" s="107">
        <v>93.85</v>
      </c>
      <c r="D1119" s="107">
        <v>92.5</v>
      </c>
      <c r="E1119" s="107">
        <v>95.9</v>
      </c>
      <c r="F1119" s="107">
        <v>93.85</v>
      </c>
      <c r="G1119">
        <v>2273068</v>
      </c>
      <c r="H1119" s="107"/>
      <c r="I1119" s="107"/>
      <c r="L1119" s="130">
        <v>43651</v>
      </c>
      <c r="M1119" s="107">
        <v>93.95</v>
      </c>
      <c r="N1119" s="107">
        <v>96.4</v>
      </c>
      <c r="O1119" s="107">
        <v>92.45</v>
      </c>
      <c r="P1119" s="107">
        <v>95.05</v>
      </c>
      <c r="Q1119" s="107">
        <v>93.95</v>
      </c>
      <c r="R1119">
        <v>16998790</v>
      </c>
    </row>
    <row r="1120" spans="1:18" x14ac:dyDescent="0.25">
      <c r="A1120" s="130">
        <v>43654</v>
      </c>
      <c r="B1120" s="107">
        <v>93.55</v>
      </c>
      <c r="C1120" s="107">
        <v>84.6</v>
      </c>
      <c r="D1120" s="107">
        <v>81.2</v>
      </c>
      <c r="E1120" s="107">
        <v>93.25</v>
      </c>
      <c r="F1120" s="107">
        <v>84.6</v>
      </c>
      <c r="G1120">
        <v>1675069</v>
      </c>
      <c r="H1120" s="107"/>
      <c r="I1120" s="107"/>
      <c r="L1120" s="130">
        <v>43654</v>
      </c>
      <c r="M1120" s="107">
        <v>84.45</v>
      </c>
      <c r="N1120" s="107">
        <v>93.6</v>
      </c>
      <c r="O1120" s="107">
        <v>81.599999999999994</v>
      </c>
      <c r="P1120" s="107">
        <v>93.6</v>
      </c>
      <c r="Q1120" s="107">
        <v>84.45</v>
      </c>
      <c r="R1120">
        <v>19045284</v>
      </c>
    </row>
    <row r="1121" spans="1:18" x14ac:dyDescent="0.25">
      <c r="A1121" s="130">
        <v>43655</v>
      </c>
      <c r="B1121" s="107">
        <v>86.45</v>
      </c>
      <c r="C1121" s="107">
        <v>85.6</v>
      </c>
      <c r="D1121" s="107">
        <v>83.4</v>
      </c>
      <c r="E1121" s="107">
        <v>83.55</v>
      </c>
      <c r="F1121" s="107">
        <v>85.6</v>
      </c>
      <c r="G1121">
        <v>1236517</v>
      </c>
      <c r="H1121" s="107"/>
      <c r="I1121" s="107"/>
      <c r="L1121" s="130">
        <v>43655</v>
      </c>
      <c r="M1121" s="107">
        <v>85.6</v>
      </c>
      <c r="N1121" s="107">
        <v>86.5</v>
      </c>
      <c r="O1121" s="107">
        <v>83.45</v>
      </c>
      <c r="P1121" s="107">
        <v>84.25</v>
      </c>
      <c r="Q1121" s="107">
        <v>85.6</v>
      </c>
      <c r="R1121">
        <v>11074406</v>
      </c>
    </row>
    <row r="1122" spans="1:18" x14ac:dyDescent="0.25">
      <c r="A1122" s="130">
        <v>43656</v>
      </c>
      <c r="B1122" s="107">
        <v>86.9</v>
      </c>
      <c r="C1122" s="107">
        <v>85.2</v>
      </c>
      <c r="D1122" s="107">
        <v>84.25</v>
      </c>
      <c r="E1122" s="107">
        <v>86.9</v>
      </c>
      <c r="F1122" s="107">
        <v>85.2</v>
      </c>
      <c r="G1122">
        <v>1041984</v>
      </c>
      <c r="H1122" s="107"/>
      <c r="I1122" s="107"/>
      <c r="L1122" s="130">
        <v>43656</v>
      </c>
      <c r="M1122" s="107">
        <v>85.3</v>
      </c>
      <c r="N1122" s="107">
        <v>86.9</v>
      </c>
      <c r="O1122" s="107">
        <v>84.15</v>
      </c>
      <c r="P1122" s="107">
        <v>86.75</v>
      </c>
      <c r="Q1122" s="107">
        <v>85.3</v>
      </c>
      <c r="R1122">
        <v>9679981</v>
      </c>
    </row>
    <row r="1123" spans="1:18" x14ac:dyDescent="0.25">
      <c r="A1123" s="130">
        <v>43657</v>
      </c>
      <c r="B1123" s="107">
        <v>87.5</v>
      </c>
      <c r="C1123" s="107">
        <v>86.8</v>
      </c>
      <c r="D1123" s="107">
        <v>84.5</v>
      </c>
      <c r="E1123" s="107">
        <v>85.9</v>
      </c>
      <c r="F1123" s="107">
        <v>86.8</v>
      </c>
      <c r="G1123">
        <v>838678</v>
      </c>
      <c r="H1123" s="107"/>
      <c r="I1123" s="107"/>
      <c r="L1123" s="130">
        <v>43657</v>
      </c>
      <c r="M1123" s="107">
        <v>86.85</v>
      </c>
      <c r="N1123" s="107">
        <v>87.65</v>
      </c>
      <c r="O1123" s="107">
        <v>84.4</v>
      </c>
      <c r="P1123" s="107">
        <v>85.8</v>
      </c>
      <c r="Q1123" s="107">
        <v>86.85</v>
      </c>
      <c r="R1123">
        <v>8097948</v>
      </c>
    </row>
    <row r="1124" spans="1:18" x14ac:dyDescent="0.25">
      <c r="A1124" s="130">
        <v>43658</v>
      </c>
      <c r="B1124" s="107">
        <v>87.9</v>
      </c>
      <c r="C1124" s="107">
        <v>87</v>
      </c>
      <c r="D1124" s="107">
        <v>85.7</v>
      </c>
      <c r="E1124" s="107">
        <v>86.8</v>
      </c>
      <c r="F1124" s="107">
        <v>87</v>
      </c>
      <c r="G1124">
        <v>613261</v>
      </c>
      <c r="H1124" s="107"/>
      <c r="I1124" s="107"/>
      <c r="L1124" s="130">
        <v>43658</v>
      </c>
      <c r="M1124" s="107">
        <v>87.05</v>
      </c>
      <c r="N1124" s="107">
        <v>87.95</v>
      </c>
      <c r="O1124" s="107">
        <v>85.7</v>
      </c>
      <c r="P1124" s="107">
        <v>86.7</v>
      </c>
      <c r="Q1124" s="107">
        <v>87.05</v>
      </c>
      <c r="R1124">
        <v>6270238</v>
      </c>
    </row>
    <row r="1125" spans="1:18" x14ac:dyDescent="0.25">
      <c r="A1125" s="130">
        <v>43661</v>
      </c>
      <c r="B1125" s="107">
        <v>87.4</v>
      </c>
      <c r="C1125" s="107">
        <v>83.9</v>
      </c>
      <c r="D1125" s="107">
        <v>83.2</v>
      </c>
      <c r="E1125" s="107">
        <v>87</v>
      </c>
      <c r="F1125" s="107">
        <v>83.9</v>
      </c>
      <c r="G1125">
        <v>955087</v>
      </c>
      <c r="H1125" s="107"/>
      <c r="I1125" s="107"/>
      <c r="L1125" s="130">
        <v>43661</v>
      </c>
      <c r="M1125" s="107">
        <v>83.95</v>
      </c>
      <c r="N1125" s="107">
        <v>87.4</v>
      </c>
      <c r="O1125" s="107">
        <v>83.1</v>
      </c>
      <c r="P1125" s="107">
        <v>87.4</v>
      </c>
      <c r="Q1125" s="107">
        <v>83.95</v>
      </c>
      <c r="R1125">
        <v>8032740</v>
      </c>
    </row>
    <row r="1126" spans="1:18" x14ac:dyDescent="0.25">
      <c r="A1126" s="130">
        <v>43662</v>
      </c>
      <c r="B1126" s="107">
        <v>85.1</v>
      </c>
      <c r="C1126" s="107">
        <v>84.9</v>
      </c>
      <c r="D1126" s="107">
        <v>82.9</v>
      </c>
      <c r="E1126" s="107">
        <v>84.1</v>
      </c>
      <c r="F1126" s="107">
        <v>84.9</v>
      </c>
      <c r="G1126">
        <v>709913</v>
      </c>
      <c r="H1126" s="107"/>
      <c r="I1126" s="107"/>
      <c r="L1126" s="130">
        <v>43662</v>
      </c>
      <c r="M1126" s="107">
        <v>84.9</v>
      </c>
      <c r="N1126" s="107">
        <v>85.15</v>
      </c>
      <c r="O1126" s="107">
        <v>82.85</v>
      </c>
      <c r="P1126" s="107">
        <v>83.95</v>
      </c>
      <c r="Q1126" s="107">
        <v>84.9</v>
      </c>
      <c r="R1126">
        <v>7187017</v>
      </c>
    </row>
    <row r="1127" spans="1:18" x14ac:dyDescent="0.25">
      <c r="A1127" s="130">
        <v>43663</v>
      </c>
      <c r="B1127" s="107">
        <v>85.9</v>
      </c>
      <c r="C1127" s="107">
        <v>84.9</v>
      </c>
      <c r="D1127" s="107">
        <v>83.7</v>
      </c>
      <c r="E1127" s="107">
        <v>85.25</v>
      </c>
      <c r="F1127" s="107">
        <v>84.9</v>
      </c>
      <c r="G1127">
        <v>871260</v>
      </c>
      <c r="H1127" s="107"/>
      <c r="I1127" s="107"/>
      <c r="L1127" s="130">
        <v>43663</v>
      </c>
      <c r="M1127" s="107">
        <v>84.9</v>
      </c>
      <c r="N1127" s="107">
        <v>85.95</v>
      </c>
      <c r="O1127" s="107">
        <v>83.7</v>
      </c>
      <c r="P1127" s="107">
        <v>85.3</v>
      </c>
      <c r="Q1127" s="107">
        <v>84.9</v>
      </c>
      <c r="R1127">
        <v>7977374</v>
      </c>
    </row>
    <row r="1128" spans="1:18" x14ac:dyDescent="0.25">
      <c r="A1128" s="130">
        <v>43664</v>
      </c>
      <c r="B1128" s="107">
        <v>85.35</v>
      </c>
      <c r="C1128" s="107">
        <v>82.15</v>
      </c>
      <c r="D1128" s="107">
        <v>81.599999999999994</v>
      </c>
      <c r="E1128" s="107">
        <v>85</v>
      </c>
      <c r="F1128" s="107">
        <v>82.15</v>
      </c>
      <c r="G1128">
        <v>885435</v>
      </c>
      <c r="H1128" s="107"/>
      <c r="I1128" s="107"/>
      <c r="L1128" s="130">
        <v>43664</v>
      </c>
      <c r="M1128" s="107">
        <v>82.15</v>
      </c>
      <c r="N1128" s="107">
        <v>85.5</v>
      </c>
      <c r="O1128" s="107">
        <v>81.599999999999994</v>
      </c>
      <c r="P1128" s="107">
        <v>84.95</v>
      </c>
      <c r="Q1128" s="107">
        <v>82.15</v>
      </c>
      <c r="R1128">
        <v>9321591</v>
      </c>
    </row>
    <row r="1129" spans="1:18" x14ac:dyDescent="0.25">
      <c r="A1129" s="130">
        <v>43665</v>
      </c>
      <c r="B1129" s="107">
        <v>83.25</v>
      </c>
      <c r="C1129" s="107">
        <v>80.150000000000006</v>
      </c>
      <c r="D1129" s="107">
        <v>80</v>
      </c>
      <c r="E1129" s="107">
        <v>82.55</v>
      </c>
      <c r="F1129" s="107">
        <v>80.150000000000006</v>
      </c>
      <c r="G1129">
        <v>868757</v>
      </c>
      <c r="H1129" s="107"/>
      <c r="I1129" s="107"/>
      <c r="L1129" s="130">
        <v>43665</v>
      </c>
      <c r="M1129" s="107">
        <v>80.150000000000006</v>
      </c>
      <c r="N1129" s="107">
        <v>83.3</v>
      </c>
      <c r="O1129" s="107">
        <v>80</v>
      </c>
      <c r="P1129" s="107">
        <v>82.9</v>
      </c>
      <c r="Q1129" s="107">
        <v>80.150000000000006</v>
      </c>
      <c r="R1129">
        <v>7077546</v>
      </c>
    </row>
    <row r="1130" spans="1:18" x14ac:dyDescent="0.25">
      <c r="A1130" s="130">
        <v>43668</v>
      </c>
      <c r="B1130" s="107">
        <v>81</v>
      </c>
      <c r="C1130" s="107">
        <v>80.650000000000006</v>
      </c>
      <c r="D1130" s="107">
        <v>78.8</v>
      </c>
      <c r="E1130" s="107">
        <v>80</v>
      </c>
      <c r="F1130" s="107">
        <v>80.650000000000006</v>
      </c>
      <c r="G1130">
        <v>997789</v>
      </c>
      <c r="H1130" s="107"/>
      <c r="I1130" s="107"/>
      <c r="L1130" s="130">
        <v>43668</v>
      </c>
      <c r="M1130" s="107">
        <v>80.650000000000006</v>
      </c>
      <c r="N1130" s="107">
        <v>81</v>
      </c>
      <c r="O1130" s="107">
        <v>78.8</v>
      </c>
      <c r="P1130" s="107">
        <v>80</v>
      </c>
      <c r="Q1130" s="107">
        <v>80.650000000000006</v>
      </c>
      <c r="R1130">
        <v>7350038</v>
      </c>
    </row>
    <row r="1131" spans="1:18" x14ac:dyDescent="0.25">
      <c r="A1131" s="130">
        <v>43669</v>
      </c>
      <c r="B1131" s="107">
        <v>81.400000000000006</v>
      </c>
      <c r="C1131" s="107">
        <v>78.650000000000006</v>
      </c>
      <c r="D1131" s="107">
        <v>78.099999999999994</v>
      </c>
      <c r="E1131" s="107">
        <v>80.2</v>
      </c>
      <c r="F1131" s="107">
        <v>78.650000000000006</v>
      </c>
      <c r="G1131">
        <v>782907</v>
      </c>
      <c r="H1131" s="107"/>
      <c r="I1131" s="107"/>
      <c r="L1131" s="130">
        <v>43669</v>
      </c>
      <c r="M1131" s="107">
        <v>78.650000000000006</v>
      </c>
      <c r="N1131" s="107">
        <v>81.75</v>
      </c>
      <c r="O1131" s="107">
        <v>78</v>
      </c>
      <c r="P1131" s="107">
        <v>81.400000000000006</v>
      </c>
      <c r="Q1131" s="107">
        <v>78.650000000000006</v>
      </c>
      <c r="R1131">
        <v>7696668</v>
      </c>
    </row>
    <row r="1132" spans="1:18" x14ac:dyDescent="0.25">
      <c r="A1132" s="130">
        <v>43670</v>
      </c>
      <c r="B1132" s="107">
        <v>78.900000000000006</v>
      </c>
      <c r="C1132" s="107">
        <v>76.5</v>
      </c>
      <c r="D1132" s="107">
        <v>76</v>
      </c>
      <c r="E1132" s="107">
        <v>78.8</v>
      </c>
      <c r="F1132" s="107">
        <v>76.5</v>
      </c>
      <c r="G1132">
        <v>1010398</v>
      </c>
      <c r="H1132" s="107"/>
      <c r="I1132" s="107"/>
      <c r="L1132" s="130">
        <v>43670</v>
      </c>
      <c r="M1132" s="107">
        <v>76.5</v>
      </c>
      <c r="N1132" s="107">
        <v>78.95</v>
      </c>
      <c r="O1132" s="107">
        <v>76</v>
      </c>
      <c r="P1132" s="107">
        <v>78.599999999999994</v>
      </c>
      <c r="Q1132" s="107">
        <v>76.5</v>
      </c>
      <c r="R1132">
        <v>8391943</v>
      </c>
    </row>
    <row r="1133" spans="1:18" x14ac:dyDescent="0.25">
      <c r="A1133" s="130">
        <v>43671</v>
      </c>
      <c r="B1133" s="107">
        <v>77.45</v>
      </c>
      <c r="C1133" s="107">
        <v>75.400000000000006</v>
      </c>
      <c r="D1133" s="107">
        <v>74.400000000000006</v>
      </c>
      <c r="E1133" s="107">
        <v>76.75</v>
      </c>
      <c r="F1133" s="107">
        <v>75.400000000000006</v>
      </c>
      <c r="G1133">
        <v>686541</v>
      </c>
      <c r="H1133" s="107"/>
      <c r="I1133" s="107"/>
      <c r="L1133" s="130">
        <v>43671</v>
      </c>
      <c r="M1133" s="107">
        <v>75.400000000000006</v>
      </c>
      <c r="N1133" s="107">
        <v>77.5</v>
      </c>
      <c r="O1133" s="107">
        <v>74.400000000000006</v>
      </c>
      <c r="P1133" s="107">
        <v>76.650000000000006</v>
      </c>
      <c r="Q1133" s="107">
        <v>75.400000000000006</v>
      </c>
      <c r="R1133">
        <v>7457025</v>
      </c>
    </row>
    <row r="1134" spans="1:18" x14ac:dyDescent="0.25">
      <c r="A1134" s="130">
        <v>43672</v>
      </c>
      <c r="B1134" s="107">
        <v>78.25</v>
      </c>
      <c r="C1134" s="107">
        <v>76.099999999999994</v>
      </c>
      <c r="D1134" s="107">
        <v>74.8</v>
      </c>
      <c r="E1134" s="107">
        <v>74.8</v>
      </c>
      <c r="F1134" s="107">
        <v>76.099999999999994</v>
      </c>
      <c r="G1134">
        <v>976487</v>
      </c>
      <c r="H1134" s="107"/>
      <c r="I1134" s="107"/>
      <c r="L1134" s="130">
        <v>43672</v>
      </c>
      <c r="M1134" s="107">
        <v>76.05</v>
      </c>
      <c r="N1134" s="107">
        <v>78.3</v>
      </c>
      <c r="O1134" s="107">
        <v>74.849999999999994</v>
      </c>
      <c r="P1134" s="107">
        <v>75.650000000000006</v>
      </c>
      <c r="Q1134" s="107">
        <v>76.05</v>
      </c>
      <c r="R1134">
        <v>10020072</v>
      </c>
    </row>
    <row r="1135" spans="1:18" x14ac:dyDescent="0.25">
      <c r="A1135" s="130">
        <v>43675</v>
      </c>
      <c r="B1135" s="107">
        <v>76.900000000000006</v>
      </c>
      <c r="C1135" s="107">
        <v>75.650000000000006</v>
      </c>
      <c r="D1135" s="107">
        <v>74.349999999999994</v>
      </c>
      <c r="E1135" s="107">
        <v>76.3</v>
      </c>
      <c r="F1135" s="107">
        <v>75.650000000000006</v>
      </c>
      <c r="G1135">
        <v>860920</v>
      </c>
      <c r="H1135" s="107"/>
      <c r="I1135" s="107"/>
      <c r="L1135" s="130">
        <v>43675</v>
      </c>
      <c r="M1135" s="107">
        <v>75.7</v>
      </c>
      <c r="N1135" s="107">
        <v>76.900000000000006</v>
      </c>
      <c r="O1135" s="107">
        <v>74.25</v>
      </c>
      <c r="P1135" s="107">
        <v>76.5</v>
      </c>
      <c r="Q1135" s="107">
        <v>75.7</v>
      </c>
      <c r="R1135">
        <v>7533538</v>
      </c>
    </row>
    <row r="1136" spans="1:18" x14ac:dyDescent="0.25">
      <c r="A1136" s="130">
        <v>43676</v>
      </c>
      <c r="B1136" s="107">
        <v>76.5</v>
      </c>
      <c r="C1136" s="107">
        <v>70.7</v>
      </c>
      <c r="D1136" s="107">
        <v>69.95</v>
      </c>
      <c r="E1136" s="107">
        <v>75.900000000000006</v>
      </c>
      <c r="F1136" s="107">
        <v>70.7</v>
      </c>
      <c r="G1136">
        <v>2104583</v>
      </c>
      <c r="H1136" s="107"/>
      <c r="I1136" s="107"/>
      <c r="L1136" s="130">
        <v>43676</v>
      </c>
      <c r="M1136" s="107">
        <v>70.8</v>
      </c>
      <c r="N1136" s="107">
        <v>76.5</v>
      </c>
      <c r="O1136" s="107">
        <v>69.8</v>
      </c>
      <c r="P1136" s="107">
        <v>75.95</v>
      </c>
      <c r="Q1136" s="107">
        <v>70.8</v>
      </c>
      <c r="R1136">
        <v>25218546</v>
      </c>
    </row>
    <row r="1137" spans="1:18" x14ac:dyDescent="0.25">
      <c r="A1137" s="130">
        <v>43677</v>
      </c>
      <c r="B1137" s="107">
        <v>72.599999999999994</v>
      </c>
      <c r="C1137" s="107">
        <v>72.2</v>
      </c>
      <c r="D1137" s="107">
        <v>70.3</v>
      </c>
      <c r="E1137" s="107">
        <v>71</v>
      </c>
      <c r="F1137" s="107">
        <v>72.2</v>
      </c>
      <c r="G1137">
        <v>948311</v>
      </c>
      <c r="H1137" s="107"/>
      <c r="I1137" s="107"/>
      <c r="L1137" s="130">
        <v>43677</v>
      </c>
      <c r="M1137" s="107">
        <v>72.2</v>
      </c>
      <c r="N1137" s="107">
        <v>72.5</v>
      </c>
      <c r="O1137" s="107">
        <v>70.3</v>
      </c>
      <c r="P1137" s="107">
        <v>70.95</v>
      </c>
      <c r="Q1137" s="107">
        <v>72.2</v>
      </c>
      <c r="R1137">
        <v>9210827</v>
      </c>
    </row>
    <row r="1138" spans="1:18" x14ac:dyDescent="0.25">
      <c r="A1138" s="130">
        <v>43678</v>
      </c>
      <c r="B1138" s="107">
        <v>72.2</v>
      </c>
      <c r="C1138" s="107">
        <v>70.2</v>
      </c>
      <c r="D1138" s="107">
        <v>69.2</v>
      </c>
      <c r="E1138" s="107">
        <v>72.2</v>
      </c>
      <c r="F1138" s="107">
        <v>70.2</v>
      </c>
      <c r="G1138">
        <v>753791</v>
      </c>
      <c r="H1138" s="107"/>
      <c r="I1138" s="107"/>
      <c r="L1138" s="130">
        <v>43678</v>
      </c>
      <c r="M1138" s="107">
        <v>70.2</v>
      </c>
      <c r="N1138" s="107">
        <v>71.95</v>
      </c>
      <c r="O1138" s="107">
        <v>69.25</v>
      </c>
      <c r="P1138" s="107">
        <v>71.900000000000006</v>
      </c>
      <c r="Q1138" s="107">
        <v>70.2</v>
      </c>
      <c r="R1138">
        <v>8692057</v>
      </c>
    </row>
    <row r="1139" spans="1:18" x14ac:dyDescent="0.25">
      <c r="A1139" s="130">
        <v>43679</v>
      </c>
      <c r="B1139" s="107">
        <v>71.150000000000006</v>
      </c>
      <c r="C1139" s="107">
        <v>69.7</v>
      </c>
      <c r="D1139" s="107">
        <v>68.150000000000006</v>
      </c>
      <c r="E1139" s="107">
        <v>69.5</v>
      </c>
      <c r="F1139" s="107">
        <v>69.7</v>
      </c>
      <c r="G1139">
        <v>1103224</v>
      </c>
      <c r="H1139" s="107"/>
      <c r="I1139" s="107"/>
      <c r="L1139" s="130">
        <v>43679</v>
      </c>
      <c r="M1139" s="107">
        <v>69.75</v>
      </c>
      <c r="N1139" s="107">
        <v>71.2</v>
      </c>
      <c r="O1139" s="107">
        <v>68.099999999999994</v>
      </c>
      <c r="P1139" s="107">
        <v>69.75</v>
      </c>
      <c r="Q1139" s="107">
        <v>69.75</v>
      </c>
      <c r="R1139">
        <v>9706091</v>
      </c>
    </row>
    <row r="1140" spans="1:18" x14ac:dyDescent="0.25">
      <c r="A1140" s="130">
        <v>43682</v>
      </c>
      <c r="B1140" s="107">
        <v>69.599999999999994</v>
      </c>
      <c r="C1140" s="107">
        <v>68.95</v>
      </c>
      <c r="D1140" s="107">
        <v>66.05</v>
      </c>
      <c r="E1140" s="107">
        <v>69</v>
      </c>
      <c r="F1140" s="107">
        <v>68.95</v>
      </c>
      <c r="G1140">
        <v>1322466</v>
      </c>
      <c r="H1140" s="107"/>
      <c r="I1140" s="107"/>
      <c r="L1140" s="130">
        <v>43682</v>
      </c>
      <c r="M1140" s="107">
        <v>68.95</v>
      </c>
      <c r="N1140" s="107">
        <v>69.599999999999994</v>
      </c>
      <c r="O1140" s="107">
        <v>66.099999999999994</v>
      </c>
      <c r="P1140" s="107">
        <v>69</v>
      </c>
      <c r="Q1140" s="107">
        <v>68.95</v>
      </c>
      <c r="R1140">
        <v>8773480</v>
      </c>
    </row>
    <row r="1141" spans="1:18" x14ac:dyDescent="0.25">
      <c r="A1141" s="130">
        <v>43683</v>
      </c>
      <c r="B1141" s="107">
        <v>70.5</v>
      </c>
      <c r="C1141" s="107">
        <v>69.900000000000006</v>
      </c>
      <c r="D1141" s="107">
        <v>68.099999999999994</v>
      </c>
      <c r="E1141" s="107">
        <v>69</v>
      </c>
      <c r="F1141" s="107">
        <v>69.900000000000006</v>
      </c>
      <c r="G1141">
        <v>917739</v>
      </c>
      <c r="H1141" s="107"/>
      <c r="I1141" s="107"/>
      <c r="L1141" s="130">
        <v>43683</v>
      </c>
      <c r="M1141" s="107">
        <v>69.900000000000006</v>
      </c>
      <c r="N1141" s="107">
        <v>70.5</v>
      </c>
      <c r="O1141" s="107">
        <v>68.05</v>
      </c>
      <c r="P1141" s="107">
        <v>68.5</v>
      </c>
      <c r="Q1141" s="107">
        <v>69.900000000000006</v>
      </c>
      <c r="R1141">
        <v>7955510</v>
      </c>
    </row>
    <row r="1142" spans="1:18" x14ac:dyDescent="0.25">
      <c r="A1142" s="130">
        <v>43684</v>
      </c>
      <c r="B1142" s="107">
        <v>70.900000000000006</v>
      </c>
      <c r="C1142" s="107">
        <v>66.75</v>
      </c>
      <c r="D1142" s="107">
        <v>66.400000000000006</v>
      </c>
      <c r="E1142" s="107">
        <v>70.75</v>
      </c>
      <c r="F1142" s="107">
        <v>66.75</v>
      </c>
      <c r="G1142">
        <v>1029797</v>
      </c>
      <c r="H1142" s="107"/>
      <c r="I1142" s="107"/>
      <c r="L1142" s="130">
        <v>43684</v>
      </c>
      <c r="M1142" s="107">
        <v>66.75</v>
      </c>
      <c r="N1142" s="107">
        <v>70.900000000000006</v>
      </c>
      <c r="O1142" s="107">
        <v>66.349999999999994</v>
      </c>
      <c r="P1142" s="107">
        <v>70</v>
      </c>
      <c r="Q1142" s="107">
        <v>66.75</v>
      </c>
      <c r="R1142">
        <v>9827192</v>
      </c>
    </row>
    <row r="1143" spans="1:18" x14ac:dyDescent="0.25">
      <c r="A1143" s="130">
        <v>43685</v>
      </c>
      <c r="B1143" s="107">
        <v>69.349999999999994</v>
      </c>
      <c r="C1143" s="107">
        <v>68.849999999999994</v>
      </c>
      <c r="D1143" s="107">
        <v>66.5</v>
      </c>
      <c r="E1143" s="107">
        <v>67.099999999999994</v>
      </c>
      <c r="F1143" s="107">
        <v>68.849999999999994</v>
      </c>
      <c r="G1143">
        <v>1051916</v>
      </c>
      <c r="H1143" s="107"/>
      <c r="I1143" s="107"/>
      <c r="L1143" s="130">
        <v>43685</v>
      </c>
      <c r="M1143" s="107">
        <v>68.849999999999994</v>
      </c>
      <c r="N1143" s="107">
        <v>69.45</v>
      </c>
      <c r="O1143" s="107">
        <v>66.400000000000006</v>
      </c>
      <c r="P1143" s="107">
        <v>67.5</v>
      </c>
      <c r="Q1143" s="107">
        <v>68.849999999999994</v>
      </c>
      <c r="R1143">
        <v>7998702</v>
      </c>
    </row>
    <row r="1144" spans="1:18" x14ac:dyDescent="0.25">
      <c r="A1144" s="130">
        <v>43686</v>
      </c>
      <c r="B1144" s="107">
        <v>70</v>
      </c>
      <c r="C1144" s="107">
        <v>68.05</v>
      </c>
      <c r="D1144" s="107">
        <v>67.2</v>
      </c>
      <c r="E1144" s="107">
        <v>69.099999999999994</v>
      </c>
      <c r="F1144" s="107">
        <v>68.05</v>
      </c>
      <c r="G1144">
        <v>883304</v>
      </c>
      <c r="H1144" s="107"/>
      <c r="I1144" s="107"/>
      <c r="L1144" s="130">
        <v>43686</v>
      </c>
      <c r="M1144" s="107">
        <v>68.05</v>
      </c>
      <c r="N1144" s="107">
        <v>70.150000000000006</v>
      </c>
      <c r="O1144" s="107">
        <v>67.2</v>
      </c>
      <c r="P1144" s="107">
        <v>69.25</v>
      </c>
      <c r="Q1144" s="107">
        <v>68.05</v>
      </c>
      <c r="R1144">
        <v>8803936</v>
      </c>
    </row>
    <row r="1145" spans="1:18" x14ac:dyDescent="0.25">
      <c r="A1145" s="130">
        <v>43690</v>
      </c>
      <c r="B1145" s="107">
        <v>69.400000000000006</v>
      </c>
      <c r="C1145" s="107">
        <v>66.7</v>
      </c>
      <c r="D1145" s="107">
        <v>66.3</v>
      </c>
      <c r="E1145" s="107">
        <v>69</v>
      </c>
      <c r="F1145" s="107">
        <v>66.7</v>
      </c>
      <c r="G1145">
        <v>740247</v>
      </c>
      <c r="H1145" s="107"/>
      <c r="I1145" s="107"/>
      <c r="L1145" s="130">
        <v>43690</v>
      </c>
      <c r="M1145" s="107">
        <v>66.7</v>
      </c>
      <c r="N1145" s="107">
        <v>69.45</v>
      </c>
      <c r="O1145" s="107">
        <v>66.099999999999994</v>
      </c>
      <c r="P1145" s="107">
        <v>69.2</v>
      </c>
      <c r="Q1145" s="107">
        <v>66.7</v>
      </c>
      <c r="R1145">
        <v>5875135</v>
      </c>
    </row>
    <row r="1146" spans="1:18" x14ac:dyDescent="0.25">
      <c r="A1146" s="130">
        <v>43691</v>
      </c>
      <c r="B1146" s="107">
        <v>68.099999999999994</v>
      </c>
      <c r="C1146" s="107">
        <v>67.650000000000006</v>
      </c>
      <c r="D1146" s="107">
        <v>66.3</v>
      </c>
      <c r="E1146" s="107">
        <v>67.400000000000006</v>
      </c>
      <c r="F1146" s="107">
        <v>67.650000000000006</v>
      </c>
      <c r="G1146">
        <v>658118</v>
      </c>
      <c r="H1146" s="107"/>
      <c r="I1146" s="107"/>
      <c r="L1146" s="130">
        <v>43691</v>
      </c>
      <c r="M1146" s="107">
        <v>67.75</v>
      </c>
      <c r="N1146" s="107">
        <v>68.2</v>
      </c>
      <c r="O1146" s="107">
        <v>66.25</v>
      </c>
      <c r="P1146" s="107">
        <v>67.099999999999994</v>
      </c>
      <c r="Q1146" s="107">
        <v>67.75</v>
      </c>
      <c r="R1146">
        <v>6393034</v>
      </c>
    </row>
    <row r="1147" spans="1:18" x14ac:dyDescent="0.25">
      <c r="A1147" s="130">
        <v>43693</v>
      </c>
      <c r="B1147" s="107">
        <v>70</v>
      </c>
      <c r="C1147" s="107">
        <v>69.349999999999994</v>
      </c>
      <c r="D1147" s="107">
        <v>66.5</v>
      </c>
      <c r="E1147" s="107">
        <v>67.650000000000006</v>
      </c>
      <c r="F1147" s="107">
        <v>69.349999999999994</v>
      </c>
      <c r="G1147">
        <v>715298</v>
      </c>
      <c r="H1147" s="107"/>
      <c r="I1147" s="107"/>
      <c r="L1147" s="130">
        <v>43693</v>
      </c>
      <c r="M1147" s="107">
        <v>69.400000000000006</v>
      </c>
      <c r="N1147" s="107">
        <v>70</v>
      </c>
      <c r="O1147" s="107">
        <v>66.45</v>
      </c>
      <c r="P1147" s="107">
        <v>67.25</v>
      </c>
      <c r="Q1147" s="107">
        <v>69.400000000000006</v>
      </c>
      <c r="R1147">
        <v>7078429</v>
      </c>
    </row>
    <row r="1148" spans="1:18" x14ac:dyDescent="0.25">
      <c r="A1148" s="130">
        <v>43696</v>
      </c>
      <c r="B1148" s="107">
        <v>70.400000000000006</v>
      </c>
      <c r="C1148" s="107">
        <v>68.95</v>
      </c>
      <c r="D1148" s="107">
        <v>68.55</v>
      </c>
      <c r="E1148" s="107">
        <v>70.400000000000006</v>
      </c>
      <c r="F1148" s="107">
        <v>68.95</v>
      </c>
      <c r="G1148">
        <v>591714</v>
      </c>
      <c r="H1148" s="107"/>
      <c r="I1148" s="107"/>
      <c r="L1148" s="130">
        <v>43696</v>
      </c>
      <c r="M1148" s="107">
        <v>69</v>
      </c>
      <c r="N1148" s="107">
        <v>70.400000000000006</v>
      </c>
      <c r="O1148" s="107">
        <v>68.5</v>
      </c>
      <c r="P1148" s="107">
        <v>69.7</v>
      </c>
      <c r="Q1148" s="107">
        <v>69</v>
      </c>
      <c r="R1148">
        <v>5732410</v>
      </c>
    </row>
    <row r="1149" spans="1:18" x14ac:dyDescent="0.25">
      <c r="A1149" s="130">
        <v>43697</v>
      </c>
      <c r="B1149" s="107">
        <v>69</v>
      </c>
      <c r="C1149" s="107">
        <v>66.599999999999994</v>
      </c>
      <c r="D1149" s="107">
        <v>65.599999999999994</v>
      </c>
      <c r="E1149" s="107">
        <v>68.55</v>
      </c>
      <c r="F1149" s="107">
        <v>66.599999999999994</v>
      </c>
      <c r="G1149">
        <v>896556</v>
      </c>
      <c r="H1149" s="107"/>
      <c r="I1149" s="107"/>
      <c r="L1149" s="130">
        <v>43697</v>
      </c>
      <c r="M1149" s="107">
        <v>66.55</v>
      </c>
      <c r="N1149" s="107">
        <v>69</v>
      </c>
      <c r="O1149" s="107">
        <v>65.599999999999994</v>
      </c>
      <c r="P1149" s="107">
        <v>68.849999999999994</v>
      </c>
      <c r="Q1149" s="107">
        <v>66.55</v>
      </c>
      <c r="R1149">
        <v>8621332</v>
      </c>
    </row>
    <row r="1150" spans="1:18" x14ac:dyDescent="0.25">
      <c r="A1150" s="130">
        <v>43698</v>
      </c>
      <c r="B1150" s="107">
        <v>67.599999999999994</v>
      </c>
      <c r="C1150" s="107">
        <v>65.05</v>
      </c>
      <c r="D1150" s="107">
        <v>64.3</v>
      </c>
      <c r="E1150" s="107">
        <v>66.599999999999994</v>
      </c>
      <c r="F1150" s="107">
        <v>65.05</v>
      </c>
      <c r="G1150">
        <v>1006087</v>
      </c>
      <c r="H1150" s="107"/>
      <c r="I1150" s="107"/>
      <c r="L1150" s="130">
        <v>43698</v>
      </c>
      <c r="M1150" s="107">
        <v>65.05</v>
      </c>
      <c r="N1150" s="107">
        <v>67.650000000000006</v>
      </c>
      <c r="O1150" s="107">
        <v>64.349999999999994</v>
      </c>
      <c r="P1150" s="107">
        <v>66.55</v>
      </c>
      <c r="Q1150" s="107">
        <v>65.05</v>
      </c>
      <c r="R1150">
        <v>7592307</v>
      </c>
    </row>
    <row r="1151" spans="1:18" x14ac:dyDescent="0.25">
      <c r="A1151" s="130">
        <v>43699</v>
      </c>
      <c r="B1151" s="107">
        <v>65.25</v>
      </c>
      <c r="C1151" s="107">
        <v>62.35</v>
      </c>
      <c r="D1151" s="107">
        <v>61.7</v>
      </c>
      <c r="E1151" s="107">
        <v>65.25</v>
      </c>
      <c r="F1151" s="107">
        <v>62.35</v>
      </c>
      <c r="G1151">
        <v>1000198</v>
      </c>
      <c r="H1151" s="107"/>
      <c r="I1151" s="107"/>
      <c r="L1151" s="130">
        <v>43699</v>
      </c>
      <c r="M1151" s="107">
        <v>62.4</v>
      </c>
      <c r="N1151" s="107">
        <v>65.25</v>
      </c>
      <c r="O1151" s="107">
        <v>61.75</v>
      </c>
      <c r="P1151" s="107">
        <v>65</v>
      </c>
      <c r="Q1151" s="107">
        <v>62.4</v>
      </c>
      <c r="R1151">
        <v>8158794</v>
      </c>
    </row>
    <row r="1152" spans="1:18" x14ac:dyDescent="0.25">
      <c r="A1152" s="130">
        <v>43700</v>
      </c>
      <c r="B1152" s="107">
        <v>64.75</v>
      </c>
      <c r="C1152" s="107">
        <v>64.400000000000006</v>
      </c>
      <c r="D1152" s="107">
        <v>61.4</v>
      </c>
      <c r="E1152" s="107">
        <v>62.3</v>
      </c>
      <c r="F1152" s="107">
        <v>64.400000000000006</v>
      </c>
      <c r="G1152">
        <v>1093227</v>
      </c>
      <c r="H1152" s="107"/>
      <c r="I1152" s="107"/>
      <c r="L1152" s="130">
        <v>43700</v>
      </c>
      <c r="M1152" s="107">
        <v>64.400000000000006</v>
      </c>
      <c r="N1152" s="107">
        <v>64.95</v>
      </c>
      <c r="O1152" s="107">
        <v>61.4</v>
      </c>
      <c r="P1152" s="107">
        <v>62.4</v>
      </c>
      <c r="Q1152" s="107">
        <v>64.400000000000006</v>
      </c>
      <c r="R1152">
        <v>8929326</v>
      </c>
    </row>
    <row r="1153" spans="1:18" x14ac:dyDescent="0.25">
      <c r="A1153" s="130">
        <v>43703</v>
      </c>
      <c r="B1153" s="107">
        <v>68.3</v>
      </c>
      <c r="C1153" s="107">
        <v>66.95</v>
      </c>
      <c r="D1153" s="107">
        <v>65.099999999999994</v>
      </c>
      <c r="E1153" s="107">
        <v>68</v>
      </c>
      <c r="F1153" s="107">
        <v>66.95</v>
      </c>
      <c r="G1153">
        <v>1937834</v>
      </c>
      <c r="H1153" s="107"/>
      <c r="I1153" s="107"/>
      <c r="L1153" s="130">
        <v>43703</v>
      </c>
      <c r="M1153" s="107">
        <v>66.849999999999994</v>
      </c>
      <c r="N1153" s="107">
        <v>68.349999999999994</v>
      </c>
      <c r="O1153" s="107">
        <v>65.05</v>
      </c>
      <c r="P1153" s="107">
        <v>67.95</v>
      </c>
      <c r="Q1153" s="107">
        <v>66.849999999999994</v>
      </c>
      <c r="R1153">
        <v>13280468</v>
      </c>
    </row>
    <row r="1154" spans="1:18" x14ac:dyDescent="0.25">
      <c r="A1154" s="130">
        <v>43704</v>
      </c>
      <c r="B1154" s="107">
        <v>69.849999999999994</v>
      </c>
      <c r="C1154" s="107">
        <v>69.3</v>
      </c>
      <c r="D1154" s="107">
        <v>67.2</v>
      </c>
      <c r="E1154" s="107">
        <v>67.900000000000006</v>
      </c>
      <c r="F1154" s="107">
        <v>69.3</v>
      </c>
      <c r="G1154">
        <v>1057481</v>
      </c>
      <c r="H1154" s="107"/>
      <c r="I1154" s="107"/>
      <c r="L1154" s="130">
        <v>43704</v>
      </c>
      <c r="M1154" s="107">
        <v>69.3</v>
      </c>
      <c r="N1154" s="107">
        <v>69.95</v>
      </c>
      <c r="O1154" s="107">
        <v>67.150000000000006</v>
      </c>
      <c r="P1154" s="107">
        <v>67.5</v>
      </c>
      <c r="Q1154" s="107">
        <v>69.3</v>
      </c>
      <c r="R1154">
        <v>9111173</v>
      </c>
    </row>
    <row r="1155" spans="1:18" x14ac:dyDescent="0.25">
      <c r="A1155" s="130">
        <v>43705</v>
      </c>
      <c r="B1155" s="107">
        <v>70.599999999999994</v>
      </c>
      <c r="C1155" s="107">
        <v>67.7</v>
      </c>
      <c r="D1155" s="107">
        <v>66.599999999999994</v>
      </c>
      <c r="E1155" s="107">
        <v>69.75</v>
      </c>
      <c r="F1155" s="107">
        <v>67.7</v>
      </c>
      <c r="G1155">
        <v>1013286</v>
      </c>
      <c r="H1155" s="107"/>
      <c r="I1155" s="107"/>
      <c r="L1155" s="130">
        <v>43705</v>
      </c>
      <c r="M1155" s="107">
        <v>67.7</v>
      </c>
      <c r="N1155" s="107">
        <v>70.650000000000006</v>
      </c>
      <c r="O1155" s="107">
        <v>66.7</v>
      </c>
      <c r="P1155" s="107">
        <v>69.25</v>
      </c>
      <c r="Q1155" s="107">
        <v>67.7</v>
      </c>
      <c r="R1155">
        <v>7898518</v>
      </c>
    </row>
    <row r="1156" spans="1:18" x14ac:dyDescent="0.25">
      <c r="A1156" s="130">
        <v>43706</v>
      </c>
      <c r="B1156" s="107">
        <v>68</v>
      </c>
      <c r="C1156" s="107">
        <v>65.849999999999994</v>
      </c>
      <c r="D1156" s="107">
        <v>64.650000000000006</v>
      </c>
      <c r="E1156" s="107">
        <v>67.7</v>
      </c>
      <c r="F1156" s="107">
        <v>65.849999999999994</v>
      </c>
      <c r="G1156">
        <v>987612</v>
      </c>
      <c r="H1156" s="107"/>
      <c r="I1156" s="107"/>
      <c r="L1156" s="130">
        <v>43706</v>
      </c>
      <c r="M1156" s="107">
        <v>65.900000000000006</v>
      </c>
      <c r="N1156" s="107">
        <v>68.05</v>
      </c>
      <c r="O1156" s="107">
        <v>64.650000000000006</v>
      </c>
      <c r="P1156" s="107">
        <v>67.25</v>
      </c>
      <c r="Q1156" s="107">
        <v>65.900000000000006</v>
      </c>
      <c r="R1156">
        <v>6960975</v>
      </c>
    </row>
    <row r="1157" spans="1:18" x14ac:dyDescent="0.25">
      <c r="A1157" s="130">
        <v>43707</v>
      </c>
      <c r="B1157" s="107">
        <v>67</v>
      </c>
      <c r="C1157" s="107">
        <v>65.55</v>
      </c>
      <c r="D1157" s="107">
        <v>63.8</v>
      </c>
      <c r="E1157" s="107">
        <v>66.95</v>
      </c>
      <c r="F1157" s="107">
        <v>65.55</v>
      </c>
      <c r="G1157">
        <v>930548</v>
      </c>
      <c r="H1157" s="107"/>
      <c r="I1157" s="107"/>
      <c r="L1157" s="130">
        <v>43707</v>
      </c>
      <c r="M1157" s="107">
        <v>65.55</v>
      </c>
      <c r="N1157" s="107">
        <v>67</v>
      </c>
      <c r="O1157" s="107">
        <v>63.75</v>
      </c>
      <c r="P1157" s="107">
        <v>66.599999999999994</v>
      </c>
      <c r="Q1157" s="107">
        <v>65.55</v>
      </c>
      <c r="R1157">
        <v>10180707</v>
      </c>
    </row>
    <row r="1158" spans="1:18" x14ac:dyDescent="0.25">
      <c r="A1158" s="130">
        <v>43711</v>
      </c>
      <c r="B1158" s="107">
        <v>65.349999999999994</v>
      </c>
      <c r="C1158" s="107">
        <v>62.85</v>
      </c>
      <c r="D1158" s="107">
        <v>62.45</v>
      </c>
      <c r="E1158" s="107">
        <v>64</v>
      </c>
      <c r="F1158" s="107">
        <v>62.85</v>
      </c>
      <c r="G1158">
        <v>993151</v>
      </c>
      <c r="H1158" s="107"/>
      <c r="I1158" s="107"/>
      <c r="L1158" s="130">
        <v>43711</v>
      </c>
      <c r="M1158" s="107">
        <v>62.85</v>
      </c>
      <c r="N1158" s="107">
        <v>65.45</v>
      </c>
      <c r="O1158" s="107">
        <v>62.4</v>
      </c>
      <c r="P1158" s="107">
        <v>63.15</v>
      </c>
      <c r="Q1158" s="107">
        <v>62.85</v>
      </c>
      <c r="R1158">
        <v>7387096</v>
      </c>
    </row>
    <row r="1159" spans="1:18" x14ac:dyDescent="0.25">
      <c r="A1159" s="130">
        <v>43712</v>
      </c>
      <c r="B1159" s="107">
        <v>64.45</v>
      </c>
      <c r="C1159" s="107">
        <v>63.85</v>
      </c>
      <c r="D1159" s="107">
        <v>62.1</v>
      </c>
      <c r="E1159" s="107">
        <v>63.45</v>
      </c>
      <c r="F1159" s="107">
        <v>63.85</v>
      </c>
      <c r="G1159">
        <v>845072</v>
      </c>
      <c r="H1159" s="107"/>
      <c r="I1159" s="107"/>
      <c r="L1159" s="130">
        <v>43712</v>
      </c>
      <c r="M1159" s="107">
        <v>63.85</v>
      </c>
      <c r="N1159" s="107">
        <v>64.5</v>
      </c>
      <c r="O1159" s="107">
        <v>62.1</v>
      </c>
      <c r="P1159" s="107">
        <v>63.05</v>
      </c>
      <c r="Q1159" s="107">
        <v>63.85</v>
      </c>
      <c r="R1159">
        <v>7188225</v>
      </c>
    </row>
    <row r="1160" spans="1:18" x14ac:dyDescent="0.25">
      <c r="A1160" s="130">
        <v>43713</v>
      </c>
      <c r="B1160" s="107">
        <v>64.349999999999994</v>
      </c>
      <c r="C1160" s="107">
        <v>63.6</v>
      </c>
      <c r="D1160" s="107">
        <v>62.45</v>
      </c>
      <c r="E1160" s="107">
        <v>64.150000000000006</v>
      </c>
      <c r="F1160" s="107">
        <v>63.6</v>
      </c>
      <c r="G1160">
        <v>679381</v>
      </c>
      <c r="H1160" s="107"/>
      <c r="I1160" s="107"/>
      <c r="L1160" s="130">
        <v>43713</v>
      </c>
      <c r="M1160" s="107">
        <v>63.7</v>
      </c>
      <c r="N1160" s="107">
        <v>64.3</v>
      </c>
      <c r="O1160" s="107">
        <v>62.4</v>
      </c>
      <c r="P1160" s="107">
        <v>64.099999999999994</v>
      </c>
      <c r="Q1160" s="107">
        <v>63.7</v>
      </c>
      <c r="R1160">
        <v>6886376</v>
      </c>
    </row>
    <row r="1161" spans="1:18" x14ac:dyDescent="0.25">
      <c r="A1161" s="130">
        <v>43714</v>
      </c>
      <c r="B1161" s="107">
        <v>64.849999999999994</v>
      </c>
      <c r="C1161" s="107">
        <v>63.7</v>
      </c>
      <c r="D1161" s="107">
        <v>62.9</v>
      </c>
      <c r="E1161" s="107">
        <v>63.1</v>
      </c>
      <c r="F1161" s="107">
        <v>63.7</v>
      </c>
      <c r="G1161">
        <v>560679</v>
      </c>
      <c r="H1161" s="107"/>
      <c r="I1161" s="107"/>
      <c r="L1161" s="130">
        <v>43714</v>
      </c>
      <c r="M1161" s="107">
        <v>63.7</v>
      </c>
      <c r="N1161" s="107">
        <v>64.900000000000006</v>
      </c>
      <c r="O1161" s="107">
        <v>62.8</v>
      </c>
      <c r="P1161" s="107">
        <v>63.8</v>
      </c>
      <c r="Q1161" s="107">
        <v>63.7</v>
      </c>
      <c r="R1161">
        <v>6979117</v>
      </c>
    </row>
    <row r="1162" spans="1:18" x14ac:dyDescent="0.25">
      <c r="A1162" s="130">
        <v>43717</v>
      </c>
      <c r="B1162" s="107">
        <v>66.3</v>
      </c>
      <c r="C1162" s="107">
        <v>66.05</v>
      </c>
      <c r="D1162" s="107">
        <v>63.15</v>
      </c>
      <c r="E1162" s="107">
        <v>64.2</v>
      </c>
      <c r="F1162" s="107">
        <v>66.05</v>
      </c>
      <c r="G1162">
        <v>1161045</v>
      </c>
      <c r="H1162" s="107"/>
      <c r="I1162" s="107"/>
      <c r="L1162" s="130">
        <v>43717</v>
      </c>
      <c r="M1162" s="107">
        <v>66.099999999999994</v>
      </c>
      <c r="N1162" s="107">
        <v>66.349999999999994</v>
      </c>
      <c r="O1162" s="107">
        <v>63.1</v>
      </c>
      <c r="P1162" s="107">
        <v>63.45</v>
      </c>
      <c r="Q1162" s="107">
        <v>66.099999999999994</v>
      </c>
      <c r="R1162">
        <v>7933209</v>
      </c>
    </row>
    <row r="1163" spans="1:18" x14ac:dyDescent="0.25">
      <c r="A1163" s="130">
        <v>43719</v>
      </c>
      <c r="B1163" s="107">
        <v>68.400000000000006</v>
      </c>
      <c r="C1163" s="107">
        <v>68.2</v>
      </c>
      <c r="D1163" s="107">
        <v>66</v>
      </c>
      <c r="E1163" s="107">
        <v>66.45</v>
      </c>
      <c r="F1163" s="107">
        <v>68.2</v>
      </c>
      <c r="G1163">
        <v>811833</v>
      </c>
      <c r="H1163" s="107"/>
      <c r="I1163" s="107"/>
      <c r="L1163" s="130">
        <v>43719</v>
      </c>
      <c r="M1163" s="107">
        <v>68.150000000000006</v>
      </c>
      <c r="N1163" s="107">
        <v>68.45</v>
      </c>
      <c r="O1163" s="107">
        <v>65.849999999999994</v>
      </c>
      <c r="P1163" s="107">
        <v>66.150000000000006</v>
      </c>
      <c r="Q1163" s="107">
        <v>68.150000000000006</v>
      </c>
      <c r="R1163">
        <v>6813652</v>
      </c>
    </row>
    <row r="1164" spans="1:18" x14ac:dyDescent="0.25">
      <c r="A1164" s="130">
        <v>43720</v>
      </c>
      <c r="B1164" s="107">
        <v>69.7</v>
      </c>
      <c r="C1164" s="107">
        <v>68.349999999999994</v>
      </c>
      <c r="D1164" s="107">
        <v>67.95</v>
      </c>
      <c r="E1164" s="107">
        <v>69.45</v>
      </c>
      <c r="F1164" s="107">
        <v>68.349999999999994</v>
      </c>
      <c r="G1164">
        <v>814980</v>
      </c>
      <c r="H1164" s="107"/>
      <c r="I1164" s="107"/>
      <c r="L1164" s="130">
        <v>43720</v>
      </c>
      <c r="M1164" s="107">
        <v>68.25</v>
      </c>
      <c r="N1164" s="107">
        <v>69.75</v>
      </c>
      <c r="O1164" s="107">
        <v>67.900000000000006</v>
      </c>
      <c r="P1164" s="107">
        <v>68.3</v>
      </c>
      <c r="Q1164" s="107">
        <v>68.25</v>
      </c>
      <c r="R1164">
        <v>8691994</v>
      </c>
    </row>
    <row r="1165" spans="1:18" x14ac:dyDescent="0.25">
      <c r="A1165" s="130">
        <v>43721</v>
      </c>
      <c r="B1165" s="107">
        <v>69.599999999999994</v>
      </c>
      <c r="C1165" s="107">
        <v>69.099999999999994</v>
      </c>
      <c r="D1165" s="107">
        <v>66</v>
      </c>
      <c r="E1165" s="107">
        <v>68.3</v>
      </c>
      <c r="F1165" s="107">
        <v>69.099999999999994</v>
      </c>
      <c r="G1165">
        <v>725996</v>
      </c>
      <c r="H1165" s="107"/>
      <c r="I1165" s="107"/>
      <c r="L1165" s="130">
        <v>43721</v>
      </c>
      <c r="M1165" s="107">
        <v>69.099999999999994</v>
      </c>
      <c r="N1165" s="107">
        <v>69.650000000000006</v>
      </c>
      <c r="O1165" s="107">
        <v>66</v>
      </c>
      <c r="P1165" s="107">
        <v>67.849999999999994</v>
      </c>
      <c r="Q1165" s="107">
        <v>69.099999999999994</v>
      </c>
      <c r="R1165">
        <v>7542764</v>
      </c>
    </row>
    <row r="1166" spans="1:18" x14ac:dyDescent="0.25">
      <c r="A1166" s="130">
        <v>43724</v>
      </c>
      <c r="B1166" s="107">
        <v>69.650000000000006</v>
      </c>
      <c r="C1166" s="107">
        <v>68.400000000000006</v>
      </c>
      <c r="D1166" s="107">
        <v>67.650000000000006</v>
      </c>
      <c r="E1166" s="107">
        <v>68.400000000000006</v>
      </c>
      <c r="F1166" s="107">
        <v>68.400000000000006</v>
      </c>
      <c r="G1166">
        <v>819866</v>
      </c>
      <c r="H1166" s="107"/>
      <c r="I1166" s="107"/>
      <c r="L1166" s="130">
        <v>43724</v>
      </c>
      <c r="M1166" s="107">
        <v>68.400000000000006</v>
      </c>
      <c r="N1166" s="107">
        <v>69.7</v>
      </c>
      <c r="O1166" s="107">
        <v>67.599999999999994</v>
      </c>
      <c r="P1166" s="107">
        <v>68.25</v>
      </c>
      <c r="Q1166" s="107">
        <v>68.400000000000006</v>
      </c>
      <c r="R1166">
        <v>6411448</v>
      </c>
    </row>
    <row r="1167" spans="1:18" x14ac:dyDescent="0.25">
      <c r="A1167" s="130">
        <v>43725</v>
      </c>
      <c r="B1167" s="107">
        <v>68.900000000000006</v>
      </c>
      <c r="C1167" s="107">
        <v>64.8</v>
      </c>
      <c r="D1167" s="107">
        <v>64.55</v>
      </c>
      <c r="E1167" s="107">
        <v>68.900000000000006</v>
      </c>
      <c r="F1167" s="107">
        <v>64.8</v>
      </c>
      <c r="G1167">
        <v>702484</v>
      </c>
      <c r="H1167" s="107"/>
      <c r="I1167" s="107"/>
      <c r="L1167" s="130">
        <v>43725</v>
      </c>
      <c r="M1167" s="107">
        <v>64.75</v>
      </c>
      <c r="N1167" s="107">
        <v>68.55</v>
      </c>
      <c r="O1167" s="107">
        <v>64.5</v>
      </c>
      <c r="P1167" s="107">
        <v>68.099999999999994</v>
      </c>
      <c r="Q1167" s="107">
        <v>64.75</v>
      </c>
      <c r="R1167">
        <v>7062169</v>
      </c>
    </row>
    <row r="1168" spans="1:18" x14ac:dyDescent="0.25">
      <c r="A1168" s="130">
        <v>43726</v>
      </c>
      <c r="B1168" s="107">
        <v>66.05</v>
      </c>
      <c r="C1168" s="107">
        <v>64.95</v>
      </c>
      <c r="D1168" s="107">
        <v>64.5</v>
      </c>
      <c r="E1168" s="107">
        <v>65.55</v>
      </c>
      <c r="F1168" s="107">
        <v>64.95</v>
      </c>
      <c r="G1168">
        <v>541336</v>
      </c>
      <c r="H1168" s="107"/>
      <c r="I1168" s="107"/>
      <c r="L1168" s="130">
        <v>43726</v>
      </c>
      <c r="M1168" s="107">
        <v>64.95</v>
      </c>
      <c r="N1168" s="107">
        <v>66.099999999999994</v>
      </c>
      <c r="O1168" s="107">
        <v>64.45</v>
      </c>
      <c r="P1168" s="107">
        <v>65.45</v>
      </c>
      <c r="Q1168" s="107">
        <v>64.95</v>
      </c>
      <c r="R1168">
        <v>6316170</v>
      </c>
    </row>
    <row r="1169" spans="1:18" x14ac:dyDescent="0.25">
      <c r="A1169" s="130">
        <v>43727</v>
      </c>
      <c r="B1169" s="107">
        <v>65</v>
      </c>
      <c r="C1169" s="107">
        <v>63.35</v>
      </c>
      <c r="D1169" s="107">
        <v>62.6</v>
      </c>
      <c r="E1169" s="107">
        <v>64.900000000000006</v>
      </c>
      <c r="F1169" s="107">
        <v>63.35</v>
      </c>
      <c r="G1169">
        <v>549001</v>
      </c>
      <c r="H1169" s="107"/>
      <c r="I1169" s="107"/>
      <c r="L1169" s="130">
        <v>43727</v>
      </c>
      <c r="M1169" s="107">
        <v>63.4</v>
      </c>
      <c r="N1169" s="107">
        <v>65.150000000000006</v>
      </c>
      <c r="O1169" s="107">
        <v>62.5</v>
      </c>
      <c r="P1169" s="107">
        <v>65</v>
      </c>
      <c r="Q1169" s="107">
        <v>63.4</v>
      </c>
      <c r="R1169">
        <v>6386322</v>
      </c>
    </row>
    <row r="1170" spans="1:18" x14ac:dyDescent="0.25">
      <c r="A1170" s="130">
        <v>43728</v>
      </c>
      <c r="B1170" s="107">
        <v>69.650000000000006</v>
      </c>
      <c r="C1170" s="107">
        <v>68.650000000000006</v>
      </c>
      <c r="D1170" s="107">
        <v>62</v>
      </c>
      <c r="E1170" s="107">
        <v>63.7</v>
      </c>
      <c r="F1170" s="107">
        <v>68.650000000000006</v>
      </c>
      <c r="G1170">
        <v>1876110</v>
      </c>
      <c r="H1170" s="107"/>
      <c r="I1170" s="107"/>
      <c r="L1170" s="130">
        <v>43728</v>
      </c>
      <c r="M1170" s="107">
        <v>68.650000000000006</v>
      </c>
      <c r="N1170" s="107">
        <v>69.7</v>
      </c>
      <c r="O1170" s="107">
        <v>61.95</v>
      </c>
      <c r="P1170" s="107">
        <v>63.4</v>
      </c>
      <c r="Q1170" s="107">
        <v>68.650000000000006</v>
      </c>
      <c r="R1170">
        <v>16038537</v>
      </c>
    </row>
    <row r="1171" spans="1:18" x14ac:dyDescent="0.25">
      <c r="A1171" s="130">
        <v>43731</v>
      </c>
      <c r="B1171" s="107">
        <v>72.099999999999994</v>
      </c>
      <c r="C1171" s="107">
        <v>71.45</v>
      </c>
      <c r="D1171" s="107">
        <v>67.55</v>
      </c>
      <c r="E1171" s="107">
        <v>70</v>
      </c>
      <c r="F1171" s="107">
        <v>71.45</v>
      </c>
      <c r="G1171">
        <v>1421848</v>
      </c>
      <c r="H1171" s="107"/>
      <c r="I1171" s="107"/>
      <c r="L1171" s="130">
        <v>43731</v>
      </c>
      <c r="M1171" s="107">
        <v>71.599999999999994</v>
      </c>
      <c r="N1171" s="107">
        <v>72.2</v>
      </c>
      <c r="O1171" s="107">
        <v>67.5</v>
      </c>
      <c r="P1171" s="107">
        <v>70.5</v>
      </c>
      <c r="Q1171" s="107">
        <v>71.599999999999994</v>
      </c>
      <c r="R1171">
        <v>13946736</v>
      </c>
    </row>
    <row r="1172" spans="1:18" x14ac:dyDescent="0.25">
      <c r="A1172" s="130">
        <v>43732</v>
      </c>
      <c r="B1172" s="107">
        <v>72.900000000000006</v>
      </c>
      <c r="C1172" s="107">
        <v>70.650000000000006</v>
      </c>
      <c r="D1172" s="107">
        <v>69.75</v>
      </c>
      <c r="E1172" s="107">
        <v>71.05</v>
      </c>
      <c r="F1172" s="107">
        <v>70.650000000000006</v>
      </c>
      <c r="G1172">
        <v>1268652</v>
      </c>
      <c r="H1172" s="107"/>
      <c r="I1172" s="107"/>
      <c r="L1172" s="130">
        <v>43732</v>
      </c>
      <c r="M1172" s="107">
        <v>70.599999999999994</v>
      </c>
      <c r="N1172" s="107">
        <v>72.849999999999994</v>
      </c>
      <c r="O1172" s="107">
        <v>69.7</v>
      </c>
      <c r="P1172" s="107">
        <v>71.400000000000006</v>
      </c>
      <c r="Q1172" s="107">
        <v>70.599999999999994</v>
      </c>
      <c r="R1172">
        <v>11693496</v>
      </c>
    </row>
    <row r="1173" spans="1:18" x14ac:dyDescent="0.25">
      <c r="A1173" s="130">
        <v>43733</v>
      </c>
      <c r="B1173" s="107">
        <v>70.5</v>
      </c>
      <c r="C1173" s="107">
        <v>66.400000000000006</v>
      </c>
      <c r="D1173" s="107">
        <v>65.75</v>
      </c>
      <c r="E1173" s="107">
        <v>70.45</v>
      </c>
      <c r="F1173" s="107">
        <v>66.400000000000006</v>
      </c>
      <c r="G1173">
        <v>737829</v>
      </c>
      <c r="H1173" s="107"/>
      <c r="I1173" s="107"/>
      <c r="L1173" s="130">
        <v>43733</v>
      </c>
      <c r="M1173" s="107">
        <v>66.45</v>
      </c>
      <c r="N1173" s="107">
        <v>70.400000000000006</v>
      </c>
      <c r="O1173" s="107">
        <v>65.7</v>
      </c>
      <c r="P1173" s="107">
        <v>70.400000000000006</v>
      </c>
      <c r="Q1173" s="107">
        <v>66.45</v>
      </c>
      <c r="R1173">
        <v>10350823</v>
      </c>
    </row>
    <row r="1174" spans="1:18" x14ac:dyDescent="0.25">
      <c r="A1174" s="130">
        <v>43734</v>
      </c>
      <c r="B1174" s="107">
        <v>69.099999999999994</v>
      </c>
      <c r="C1174" s="107">
        <v>67.7</v>
      </c>
      <c r="D1174" s="107">
        <v>66.25</v>
      </c>
      <c r="E1174" s="107">
        <v>66.25</v>
      </c>
      <c r="F1174" s="107">
        <v>67.7</v>
      </c>
      <c r="G1174">
        <v>879350</v>
      </c>
      <c r="H1174" s="107"/>
      <c r="I1174" s="107"/>
      <c r="L1174" s="130">
        <v>43734</v>
      </c>
      <c r="M1174" s="107">
        <v>67.8</v>
      </c>
      <c r="N1174" s="107">
        <v>69.150000000000006</v>
      </c>
      <c r="O1174" s="107">
        <v>66.25</v>
      </c>
      <c r="P1174" s="107">
        <v>66.3</v>
      </c>
      <c r="Q1174" s="107">
        <v>67.8</v>
      </c>
      <c r="R1174">
        <v>8909032</v>
      </c>
    </row>
    <row r="1175" spans="1:18" x14ac:dyDescent="0.25">
      <c r="A1175" s="130">
        <v>43735</v>
      </c>
      <c r="B1175" s="107">
        <v>67.7</v>
      </c>
      <c r="C1175" s="107">
        <v>66.099999999999994</v>
      </c>
      <c r="D1175" s="107">
        <v>64.849999999999994</v>
      </c>
      <c r="E1175" s="107">
        <v>67.5</v>
      </c>
      <c r="F1175" s="107">
        <v>66.099999999999994</v>
      </c>
      <c r="G1175">
        <v>994372</v>
      </c>
      <c r="H1175" s="107"/>
      <c r="I1175" s="107"/>
      <c r="L1175" s="130">
        <v>43735</v>
      </c>
      <c r="M1175" s="107">
        <v>66.2</v>
      </c>
      <c r="N1175" s="107">
        <v>67.75</v>
      </c>
      <c r="O1175" s="107">
        <v>64.8</v>
      </c>
      <c r="P1175" s="107">
        <v>67.400000000000006</v>
      </c>
      <c r="Q1175" s="107">
        <v>66.2</v>
      </c>
      <c r="R1175">
        <v>9184518</v>
      </c>
    </row>
    <row r="1176" spans="1:18" x14ac:dyDescent="0.25">
      <c r="A1176" s="130">
        <v>43738</v>
      </c>
      <c r="B1176" s="107">
        <v>66.400000000000006</v>
      </c>
      <c r="C1176" s="107">
        <v>62.95</v>
      </c>
      <c r="D1176" s="107">
        <v>62.3</v>
      </c>
      <c r="E1176" s="107">
        <v>66.400000000000006</v>
      </c>
      <c r="F1176" s="107">
        <v>62.95</v>
      </c>
      <c r="G1176">
        <v>1320473</v>
      </c>
      <c r="H1176" s="107"/>
      <c r="I1176" s="107"/>
      <c r="L1176" s="130">
        <v>43738</v>
      </c>
      <c r="M1176" s="107">
        <v>62.95</v>
      </c>
      <c r="N1176" s="107">
        <v>66.2</v>
      </c>
      <c r="O1176" s="107">
        <v>62.35</v>
      </c>
      <c r="P1176" s="107">
        <v>66.2</v>
      </c>
      <c r="Q1176" s="107">
        <v>62.95</v>
      </c>
      <c r="R1176">
        <v>12141961</v>
      </c>
    </row>
    <row r="1177" spans="1:18" x14ac:dyDescent="0.25">
      <c r="A1177" s="130">
        <v>43739</v>
      </c>
      <c r="B1177" s="107">
        <v>64</v>
      </c>
      <c r="C1177" s="107">
        <v>61.15</v>
      </c>
      <c r="D1177" s="107">
        <v>58.7</v>
      </c>
      <c r="E1177" s="107">
        <v>63.5</v>
      </c>
      <c r="F1177" s="107">
        <v>61.15</v>
      </c>
      <c r="G1177">
        <v>1234023</v>
      </c>
      <c r="H1177" s="107"/>
      <c r="I1177" s="107"/>
      <c r="L1177" s="130">
        <v>43739</v>
      </c>
      <c r="M1177" s="107">
        <v>61.1</v>
      </c>
      <c r="N1177" s="107">
        <v>64.05</v>
      </c>
      <c r="O1177" s="107">
        <v>58.7</v>
      </c>
      <c r="P1177" s="107">
        <v>63.5</v>
      </c>
      <c r="Q1177" s="107">
        <v>61.1</v>
      </c>
      <c r="R1177">
        <v>11637480</v>
      </c>
    </row>
    <row r="1178" spans="1:18" x14ac:dyDescent="0.25">
      <c r="A1178" s="130">
        <v>43741</v>
      </c>
      <c r="B1178" s="107">
        <v>62.5</v>
      </c>
      <c r="C1178" s="107">
        <v>61.85</v>
      </c>
      <c r="D1178" s="107">
        <v>59.55</v>
      </c>
      <c r="E1178" s="107">
        <v>61.35</v>
      </c>
      <c r="F1178" s="107">
        <v>61.85</v>
      </c>
      <c r="G1178">
        <v>1337823</v>
      </c>
      <c r="H1178" s="107"/>
      <c r="I1178" s="107"/>
      <c r="L1178" s="130">
        <v>43741</v>
      </c>
      <c r="M1178" s="107">
        <v>61.9</v>
      </c>
      <c r="N1178" s="107">
        <v>62.5</v>
      </c>
      <c r="O1178" s="107">
        <v>59.45</v>
      </c>
      <c r="P1178" s="107">
        <v>60.9</v>
      </c>
      <c r="Q1178" s="107">
        <v>61.9</v>
      </c>
      <c r="R1178">
        <v>9250868</v>
      </c>
    </row>
    <row r="1179" spans="1:18" x14ac:dyDescent="0.25">
      <c r="A1179" s="130">
        <v>43742</v>
      </c>
      <c r="B1179" s="107">
        <v>62.65</v>
      </c>
      <c r="C1179" s="107">
        <v>60.3</v>
      </c>
      <c r="D1179" s="107">
        <v>59.8</v>
      </c>
      <c r="E1179" s="107">
        <v>62.2</v>
      </c>
      <c r="F1179" s="107">
        <v>60.3</v>
      </c>
      <c r="G1179">
        <v>1274149</v>
      </c>
      <c r="H1179" s="107"/>
      <c r="I1179" s="107"/>
      <c r="L1179" s="130">
        <v>43742</v>
      </c>
      <c r="M1179" s="107">
        <v>60.35</v>
      </c>
      <c r="N1179" s="107">
        <v>62.7</v>
      </c>
      <c r="O1179" s="107">
        <v>59.85</v>
      </c>
      <c r="P1179" s="107">
        <v>62.2</v>
      </c>
      <c r="Q1179" s="107">
        <v>60.35</v>
      </c>
      <c r="R1179">
        <v>10620824</v>
      </c>
    </row>
    <row r="1180" spans="1:18" x14ac:dyDescent="0.25">
      <c r="A1180" s="130">
        <v>43745</v>
      </c>
      <c r="B1180" s="107">
        <v>60.7</v>
      </c>
      <c r="C1180" s="107">
        <v>59.45</v>
      </c>
      <c r="D1180" s="107">
        <v>58.95</v>
      </c>
      <c r="E1180" s="107">
        <v>60</v>
      </c>
      <c r="F1180" s="107">
        <v>59.45</v>
      </c>
      <c r="G1180">
        <v>660140</v>
      </c>
      <c r="H1180" s="107"/>
      <c r="I1180" s="107"/>
      <c r="L1180" s="130">
        <v>43745</v>
      </c>
      <c r="M1180" s="107">
        <v>59.5</v>
      </c>
      <c r="N1180" s="107">
        <v>60.75</v>
      </c>
      <c r="O1180" s="107">
        <v>58.8</v>
      </c>
      <c r="P1180" s="107">
        <v>60.35</v>
      </c>
      <c r="Q1180" s="107">
        <v>59.5</v>
      </c>
      <c r="R1180">
        <v>6710375</v>
      </c>
    </row>
    <row r="1181" spans="1:18" x14ac:dyDescent="0.25">
      <c r="A1181" s="130">
        <v>43747</v>
      </c>
      <c r="B1181" s="107">
        <v>62.15</v>
      </c>
      <c r="C1181" s="107">
        <v>61.65</v>
      </c>
      <c r="D1181" s="107">
        <v>57.45</v>
      </c>
      <c r="E1181" s="107">
        <v>60.5</v>
      </c>
      <c r="F1181" s="107">
        <v>61.65</v>
      </c>
      <c r="G1181">
        <v>1284491</v>
      </c>
      <c r="H1181" s="107"/>
      <c r="I1181" s="107"/>
      <c r="L1181" s="130">
        <v>43747</v>
      </c>
      <c r="M1181" s="107">
        <v>61.6</v>
      </c>
      <c r="N1181" s="107">
        <v>62.2</v>
      </c>
      <c r="O1181" s="107">
        <v>57.45</v>
      </c>
      <c r="P1181" s="107">
        <v>59.25</v>
      </c>
      <c r="Q1181" s="107">
        <v>61.6</v>
      </c>
      <c r="R1181">
        <v>11049824</v>
      </c>
    </row>
    <row r="1182" spans="1:18" x14ac:dyDescent="0.25">
      <c r="A1182" s="130">
        <v>43748</v>
      </c>
      <c r="B1182" s="107">
        <v>61.5</v>
      </c>
      <c r="C1182" s="107">
        <v>59.85</v>
      </c>
      <c r="D1182" s="107">
        <v>59.3</v>
      </c>
      <c r="E1182" s="107">
        <v>61.5</v>
      </c>
      <c r="F1182" s="107">
        <v>59.85</v>
      </c>
      <c r="G1182">
        <v>853385</v>
      </c>
      <c r="H1182" s="107"/>
      <c r="I1182" s="107"/>
      <c r="L1182" s="130">
        <v>43748</v>
      </c>
      <c r="M1182" s="107">
        <v>59.9</v>
      </c>
      <c r="N1182" s="107">
        <v>61.25</v>
      </c>
      <c r="O1182" s="107">
        <v>59.25</v>
      </c>
      <c r="P1182" s="107">
        <v>61</v>
      </c>
      <c r="Q1182" s="107">
        <v>59.9</v>
      </c>
      <c r="R1182">
        <v>7031788</v>
      </c>
    </row>
    <row r="1183" spans="1:18" x14ac:dyDescent="0.25">
      <c r="A1183" s="130">
        <v>43749</v>
      </c>
      <c r="B1183" s="107">
        <v>61.4</v>
      </c>
      <c r="C1183" s="107">
        <v>59.5</v>
      </c>
      <c r="D1183" s="107">
        <v>58.4</v>
      </c>
      <c r="E1183" s="107">
        <v>60.1</v>
      </c>
      <c r="F1183" s="107">
        <v>59.5</v>
      </c>
      <c r="G1183">
        <v>1712398</v>
      </c>
      <c r="H1183" s="107"/>
      <c r="I1183" s="107"/>
      <c r="L1183" s="130">
        <v>43749</v>
      </c>
      <c r="M1183" s="107">
        <v>59.5</v>
      </c>
      <c r="N1183" s="107">
        <v>61.4</v>
      </c>
      <c r="O1183" s="107">
        <v>58.3</v>
      </c>
      <c r="P1183" s="107">
        <v>60.25</v>
      </c>
      <c r="Q1183" s="107">
        <v>59.5</v>
      </c>
      <c r="R1183">
        <v>13567988</v>
      </c>
    </row>
    <row r="1184" spans="1:18" x14ac:dyDescent="0.25">
      <c r="A1184" s="130">
        <v>43752</v>
      </c>
      <c r="B1184" s="107">
        <v>61.85</v>
      </c>
      <c r="C1184" s="107">
        <v>60.1</v>
      </c>
      <c r="D1184" s="107">
        <v>59.1</v>
      </c>
      <c r="E1184" s="107">
        <v>60.15</v>
      </c>
      <c r="F1184" s="107">
        <v>60.1</v>
      </c>
      <c r="G1184">
        <v>1448907</v>
      </c>
      <c r="H1184" s="107"/>
      <c r="I1184" s="107"/>
      <c r="L1184" s="130">
        <v>43752</v>
      </c>
      <c r="M1184" s="107">
        <v>60.05</v>
      </c>
      <c r="N1184" s="107">
        <v>61.85</v>
      </c>
      <c r="O1184" s="107">
        <v>59.1</v>
      </c>
      <c r="P1184" s="107">
        <v>59.85</v>
      </c>
      <c r="Q1184" s="107">
        <v>60.05</v>
      </c>
      <c r="R1184">
        <v>11056726</v>
      </c>
    </row>
    <row r="1185" spans="1:18" x14ac:dyDescent="0.25">
      <c r="A1185" s="130">
        <v>43753</v>
      </c>
      <c r="B1185" s="107">
        <v>61.5</v>
      </c>
      <c r="C1185" s="107">
        <v>61.2</v>
      </c>
      <c r="D1185" s="107">
        <v>59.45</v>
      </c>
      <c r="E1185" s="107">
        <v>60.2</v>
      </c>
      <c r="F1185" s="107">
        <v>61.2</v>
      </c>
      <c r="G1185">
        <v>503346</v>
      </c>
      <c r="H1185" s="107"/>
      <c r="I1185" s="107"/>
      <c r="L1185" s="130">
        <v>43753</v>
      </c>
      <c r="M1185" s="107">
        <v>61.25</v>
      </c>
      <c r="N1185" s="107">
        <v>61.6</v>
      </c>
      <c r="O1185" s="107">
        <v>59.65</v>
      </c>
      <c r="P1185" s="107">
        <v>60.2</v>
      </c>
      <c r="Q1185" s="107">
        <v>61.25</v>
      </c>
      <c r="R1185">
        <v>6295769</v>
      </c>
    </row>
    <row r="1186" spans="1:18" x14ac:dyDescent="0.25">
      <c r="A1186" s="130">
        <v>43754</v>
      </c>
      <c r="B1186" s="107">
        <v>62.6</v>
      </c>
      <c r="C1186" s="107">
        <v>60.95</v>
      </c>
      <c r="D1186" s="107">
        <v>60.3</v>
      </c>
      <c r="E1186" s="107">
        <v>61.5</v>
      </c>
      <c r="F1186" s="107">
        <v>60.95</v>
      </c>
      <c r="G1186">
        <v>578773</v>
      </c>
      <c r="H1186" s="107"/>
      <c r="I1186" s="107"/>
      <c r="L1186" s="130">
        <v>43754</v>
      </c>
      <c r="M1186" s="107">
        <v>61</v>
      </c>
      <c r="N1186" s="107">
        <v>62.6</v>
      </c>
      <c r="O1186" s="107">
        <v>60.3</v>
      </c>
      <c r="P1186" s="107">
        <v>61.65</v>
      </c>
      <c r="Q1186" s="107">
        <v>61</v>
      </c>
      <c r="R1186">
        <v>6945121</v>
      </c>
    </row>
    <row r="1187" spans="1:18" x14ac:dyDescent="0.25">
      <c r="A1187" s="130">
        <v>43755</v>
      </c>
      <c r="B1187" s="107">
        <v>64.099999999999994</v>
      </c>
      <c r="C1187" s="107">
        <v>63.65</v>
      </c>
      <c r="D1187" s="107">
        <v>60.55</v>
      </c>
      <c r="E1187" s="107">
        <v>60.95</v>
      </c>
      <c r="F1187" s="107">
        <v>63.65</v>
      </c>
      <c r="G1187">
        <v>746118</v>
      </c>
      <c r="H1187" s="107"/>
      <c r="I1187" s="107"/>
      <c r="L1187" s="130">
        <v>43755</v>
      </c>
      <c r="M1187" s="107">
        <v>63.7</v>
      </c>
      <c r="N1187" s="107">
        <v>64.150000000000006</v>
      </c>
      <c r="O1187" s="107">
        <v>60.5</v>
      </c>
      <c r="P1187" s="107">
        <v>60.7</v>
      </c>
      <c r="Q1187" s="107">
        <v>63.7</v>
      </c>
      <c r="R1187">
        <v>8292352</v>
      </c>
    </row>
    <row r="1188" spans="1:18" x14ac:dyDescent="0.25">
      <c r="A1188" s="130">
        <v>43756</v>
      </c>
      <c r="B1188" s="107">
        <v>65.3</v>
      </c>
      <c r="C1188" s="107">
        <v>64.150000000000006</v>
      </c>
      <c r="D1188" s="107">
        <v>62.55</v>
      </c>
      <c r="E1188" s="107">
        <v>63.4</v>
      </c>
      <c r="F1188" s="107">
        <v>64.150000000000006</v>
      </c>
      <c r="G1188">
        <v>1259628</v>
      </c>
      <c r="H1188" s="107"/>
      <c r="I1188" s="107"/>
      <c r="L1188" s="130">
        <v>43756</v>
      </c>
      <c r="M1188" s="107">
        <v>64.2</v>
      </c>
      <c r="N1188" s="107">
        <v>65.3</v>
      </c>
      <c r="O1188" s="107">
        <v>62.55</v>
      </c>
      <c r="P1188" s="107">
        <v>63.55</v>
      </c>
      <c r="Q1188" s="107">
        <v>64.2</v>
      </c>
      <c r="R1188">
        <v>9549933</v>
      </c>
    </row>
    <row r="1189" spans="1:18" x14ac:dyDescent="0.25">
      <c r="A1189" s="130">
        <v>43760</v>
      </c>
      <c r="B1189" s="107">
        <v>66.8</v>
      </c>
      <c r="C1189" s="107">
        <v>64.25</v>
      </c>
      <c r="D1189" s="107">
        <v>63.75</v>
      </c>
      <c r="E1189" s="107">
        <v>64.5</v>
      </c>
      <c r="F1189" s="107">
        <v>64.25</v>
      </c>
      <c r="G1189">
        <v>410862</v>
      </c>
      <c r="H1189" s="107"/>
      <c r="I1189" s="107"/>
      <c r="L1189" s="130">
        <v>43760</v>
      </c>
      <c r="M1189" s="107">
        <v>64.3</v>
      </c>
      <c r="N1189" s="107">
        <v>66.849999999999994</v>
      </c>
      <c r="O1189" s="107">
        <v>63.7</v>
      </c>
      <c r="P1189" s="107">
        <v>64</v>
      </c>
      <c r="Q1189" s="107">
        <v>64.3</v>
      </c>
      <c r="R1189">
        <v>8759605</v>
      </c>
    </row>
    <row r="1190" spans="1:18" x14ac:dyDescent="0.25">
      <c r="A1190" s="130">
        <v>43761</v>
      </c>
      <c r="B1190" s="107">
        <v>66.7</v>
      </c>
      <c r="C1190" s="107">
        <v>66.349999999999994</v>
      </c>
      <c r="D1190" s="107">
        <v>63.65</v>
      </c>
      <c r="E1190" s="107">
        <v>64.849999999999994</v>
      </c>
      <c r="F1190" s="107">
        <v>66.349999999999994</v>
      </c>
      <c r="G1190">
        <v>858697</v>
      </c>
      <c r="H1190" s="107"/>
      <c r="I1190" s="107"/>
      <c r="L1190" s="130">
        <v>43761</v>
      </c>
      <c r="M1190" s="107">
        <v>66.25</v>
      </c>
      <c r="N1190" s="107">
        <v>66.8</v>
      </c>
      <c r="O1190" s="107">
        <v>63.6</v>
      </c>
      <c r="P1190" s="107">
        <v>64.5</v>
      </c>
      <c r="Q1190" s="107">
        <v>66.25</v>
      </c>
      <c r="R1190">
        <v>6537540</v>
      </c>
    </row>
    <row r="1191" spans="1:18" x14ac:dyDescent="0.25">
      <c r="A1191" s="130">
        <v>43762</v>
      </c>
      <c r="B1191" s="107">
        <v>67.2</v>
      </c>
      <c r="C1191" s="107">
        <v>64.05</v>
      </c>
      <c r="D1191" s="107">
        <v>63.1</v>
      </c>
      <c r="E1191" s="107">
        <v>67.099999999999994</v>
      </c>
      <c r="F1191" s="107">
        <v>64.05</v>
      </c>
      <c r="G1191">
        <v>848755</v>
      </c>
      <c r="H1191" s="107"/>
      <c r="I1191" s="107"/>
      <c r="L1191" s="130">
        <v>43762</v>
      </c>
      <c r="M1191" s="107">
        <v>64.05</v>
      </c>
      <c r="N1191" s="107">
        <v>67.2</v>
      </c>
      <c r="O1191" s="107">
        <v>63.1</v>
      </c>
      <c r="P1191" s="107">
        <v>66.650000000000006</v>
      </c>
      <c r="Q1191" s="107">
        <v>64.05</v>
      </c>
      <c r="R1191">
        <v>8562173</v>
      </c>
    </row>
    <row r="1192" spans="1:18" x14ac:dyDescent="0.25">
      <c r="A1192" s="130">
        <v>43763</v>
      </c>
      <c r="B1192" s="107">
        <v>66.400000000000006</v>
      </c>
      <c r="C1192" s="107">
        <v>65.8</v>
      </c>
      <c r="D1192" s="107">
        <v>63.1</v>
      </c>
      <c r="E1192" s="107">
        <v>63.5</v>
      </c>
      <c r="F1192" s="107">
        <v>65.8</v>
      </c>
      <c r="G1192">
        <v>563973</v>
      </c>
      <c r="H1192" s="107"/>
      <c r="I1192" s="107"/>
      <c r="L1192" s="130">
        <v>43763</v>
      </c>
      <c r="M1192" s="107">
        <v>65.849999999999994</v>
      </c>
      <c r="N1192" s="107">
        <v>66.45</v>
      </c>
      <c r="O1192" s="107">
        <v>63.05</v>
      </c>
      <c r="P1192" s="107">
        <v>64.099999999999994</v>
      </c>
      <c r="Q1192" s="107">
        <v>65.849999999999994</v>
      </c>
      <c r="R1192">
        <v>8463208</v>
      </c>
    </row>
    <row r="1193" spans="1:18" x14ac:dyDescent="0.25">
      <c r="A1193" s="130">
        <v>43765</v>
      </c>
      <c r="B1193" s="107">
        <v>66.8</v>
      </c>
      <c r="C1193" s="107">
        <v>66.2</v>
      </c>
      <c r="D1193" s="107">
        <v>65.8</v>
      </c>
      <c r="E1193" s="107">
        <v>66.45</v>
      </c>
      <c r="F1193" s="107">
        <v>66.2</v>
      </c>
      <c r="G1193">
        <v>35765</v>
      </c>
      <c r="H1193" s="107"/>
      <c r="I1193" s="107"/>
      <c r="L1193" s="130">
        <v>43765</v>
      </c>
      <c r="M1193" s="107">
        <v>66.099999999999994</v>
      </c>
      <c r="N1193" s="107">
        <v>66.75</v>
      </c>
      <c r="O1193" s="107">
        <v>65.599999999999994</v>
      </c>
      <c r="P1193" s="107">
        <v>66.150000000000006</v>
      </c>
      <c r="Q1193" s="107">
        <v>66.099999999999994</v>
      </c>
      <c r="R1193">
        <v>702637</v>
      </c>
    </row>
    <row r="1194" spans="1:18" x14ac:dyDescent="0.25">
      <c r="A1194" s="130">
        <v>43767</v>
      </c>
      <c r="B1194" s="107">
        <v>68.45</v>
      </c>
      <c r="C1194" s="107">
        <v>67.150000000000006</v>
      </c>
      <c r="D1194" s="107">
        <v>65.599999999999994</v>
      </c>
      <c r="E1194" s="107">
        <v>66</v>
      </c>
      <c r="F1194" s="107">
        <v>67.150000000000006</v>
      </c>
      <c r="G1194">
        <v>386916</v>
      </c>
      <c r="H1194" s="107"/>
      <c r="I1194" s="107"/>
      <c r="L1194" s="130">
        <v>43767</v>
      </c>
      <c r="M1194" s="107">
        <v>67.2</v>
      </c>
      <c r="N1194" s="107">
        <v>68.5</v>
      </c>
      <c r="O1194" s="107">
        <v>65.5</v>
      </c>
      <c r="P1194" s="107">
        <v>65.900000000000006</v>
      </c>
      <c r="Q1194" s="107">
        <v>67.2</v>
      </c>
      <c r="R1194">
        <v>6293802</v>
      </c>
    </row>
    <row r="1195" spans="1:18" x14ac:dyDescent="0.25">
      <c r="A1195" s="130">
        <v>43768</v>
      </c>
      <c r="B1195" s="107">
        <v>71.400000000000006</v>
      </c>
      <c r="C1195" s="107">
        <v>71</v>
      </c>
      <c r="D1195" s="107">
        <v>67</v>
      </c>
      <c r="E1195" s="107">
        <v>67.8</v>
      </c>
      <c r="F1195" s="107">
        <v>71</v>
      </c>
      <c r="G1195">
        <v>818639</v>
      </c>
      <c r="H1195" s="107"/>
      <c r="I1195" s="107"/>
      <c r="L1195" s="130">
        <v>43768</v>
      </c>
      <c r="M1195" s="107">
        <v>71.05</v>
      </c>
      <c r="N1195" s="107">
        <v>71.400000000000006</v>
      </c>
      <c r="O1195" s="107">
        <v>66.900000000000006</v>
      </c>
      <c r="P1195" s="107">
        <v>67.55</v>
      </c>
      <c r="Q1195" s="107">
        <v>71.05</v>
      </c>
      <c r="R1195">
        <v>11650110</v>
      </c>
    </row>
    <row r="1196" spans="1:18" x14ac:dyDescent="0.25">
      <c r="A1196" s="130">
        <v>43769</v>
      </c>
      <c r="B1196" s="107">
        <v>72.650000000000006</v>
      </c>
      <c r="C1196" s="107">
        <v>71.3</v>
      </c>
      <c r="D1196" s="107">
        <v>70.900000000000006</v>
      </c>
      <c r="E1196" s="107">
        <v>71.900000000000006</v>
      </c>
      <c r="F1196" s="107">
        <v>71.3</v>
      </c>
      <c r="G1196">
        <v>834729</v>
      </c>
      <c r="H1196" s="107"/>
      <c r="I1196" s="107"/>
      <c r="L1196" s="130">
        <v>43769</v>
      </c>
      <c r="M1196" s="107">
        <v>71.25</v>
      </c>
      <c r="N1196" s="107">
        <v>72.650000000000006</v>
      </c>
      <c r="O1196" s="107">
        <v>70.900000000000006</v>
      </c>
      <c r="P1196" s="107">
        <v>72</v>
      </c>
      <c r="Q1196" s="107">
        <v>71.25</v>
      </c>
      <c r="R1196">
        <v>14024205</v>
      </c>
    </row>
    <row r="1197" spans="1:18" x14ac:dyDescent="0.25">
      <c r="A1197" s="130">
        <v>43770</v>
      </c>
      <c r="B1197" s="107">
        <v>75.5</v>
      </c>
      <c r="C1197" s="107">
        <v>71</v>
      </c>
      <c r="D1197" s="107">
        <v>70.5</v>
      </c>
      <c r="E1197" s="107">
        <v>71.8</v>
      </c>
      <c r="F1197" s="107">
        <v>71</v>
      </c>
      <c r="G1197">
        <v>3022993</v>
      </c>
      <c r="H1197" s="107"/>
      <c r="I1197" s="107"/>
      <c r="L1197" s="130">
        <v>43770</v>
      </c>
      <c r="M1197" s="107">
        <v>71</v>
      </c>
      <c r="N1197" s="107">
        <v>75.55</v>
      </c>
      <c r="O1197" s="107">
        <v>70.400000000000006</v>
      </c>
      <c r="P1197" s="107">
        <v>71.5</v>
      </c>
      <c r="Q1197" s="107">
        <v>71</v>
      </c>
      <c r="R1197">
        <v>40226962</v>
      </c>
    </row>
    <row r="1198" spans="1:18" x14ac:dyDescent="0.25">
      <c r="A1198" s="130">
        <v>43773</v>
      </c>
      <c r="B1198" s="107">
        <v>73.099999999999994</v>
      </c>
      <c r="C1198" s="107">
        <v>71.3</v>
      </c>
      <c r="D1198" s="107">
        <v>71.099999999999994</v>
      </c>
      <c r="E1198" s="107">
        <v>71.7</v>
      </c>
      <c r="F1198" s="107">
        <v>71.3</v>
      </c>
      <c r="G1198">
        <v>847240</v>
      </c>
      <c r="H1198" s="107"/>
      <c r="I1198" s="107"/>
      <c r="L1198" s="130">
        <v>43773</v>
      </c>
      <c r="M1198" s="107">
        <v>71.349999999999994</v>
      </c>
      <c r="N1198" s="107">
        <v>73.150000000000006</v>
      </c>
      <c r="O1198" s="107">
        <v>71</v>
      </c>
      <c r="P1198" s="107">
        <v>71.25</v>
      </c>
      <c r="Q1198" s="107">
        <v>71.349999999999994</v>
      </c>
      <c r="R1198">
        <v>13445702</v>
      </c>
    </row>
    <row r="1199" spans="1:18" x14ac:dyDescent="0.25">
      <c r="A1199" s="130">
        <v>43774</v>
      </c>
      <c r="B1199" s="107">
        <v>72.599999999999994</v>
      </c>
      <c r="C1199" s="107">
        <v>70.349999999999994</v>
      </c>
      <c r="D1199" s="107">
        <v>70.150000000000006</v>
      </c>
      <c r="E1199" s="107">
        <v>71.900000000000006</v>
      </c>
      <c r="F1199" s="107">
        <v>70.349999999999994</v>
      </c>
      <c r="G1199">
        <v>1096736</v>
      </c>
      <c r="H1199" s="107"/>
      <c r="I1199" s="107"/>
      <c r="L1199" s="130">
        <v>43774</v>
      </c>
      <c r="M1199" s="107">
        <v>70.400000000000006</v>
      </c>
      <c r="N1199" s="107">
        <v>72.650000000000006</v>
      </c>
      <c r="O1199" s="107">
        <v>70.099999999999994</v>
      </c>
      <c r="P1199" s="107">
        <v>71.349999999999994</v>
      </c>
      <c r="Q1199" s="107">
        <v>70.400000000000006</v>
      </c>
      <c r="R1199">
        <v>9819361</v>
      </c>
    </row>
    <row r="1200" spans="1:18" x14ac:dyDescent="0.25">
      <c r="A1200" s="130">
        <v>43775</v>
      </c>
      <c r="B1200" s="107">
        <v>70.900000000000006</v>
      </c>
      <c r="C1200" s="107">
        <v>69.900000000000006</v>
      </c>
      <c r="D1200" s="107">
        <v>68.7</v>
      </c>
      <c r="E1200" s="107">
        <v>70.900000000000006</v>
      </c>
      <c r="F1200" s="107">
        <v>69.900000000000006</v>
      </c>
      <c r="G1200">
        <v>1537700</v>
      </c>
      <c r="H1200" s="107"/>
      <c r="I1200" s="107"/>
      <c r="L1200" s="130">
        <v>43775</v>
      </c>
      <c r="M1200" s="107">
        <v>69.95</v>
      </c>
      <c r="N1200" s="107">
        <v>70.900000000000006</v>
      </c>
      <c r="O1200" s="107">
        <v>68.650000000000006</v>
      </c>
      <c r="P1200" s="107">
        <v>70.3</v>
      </c>
      <c r="Q1200" s="107">
        <v>69.95</v>
      </c>
      <c r="R1200">
        <v>12651773</v>
      </c>
    </row>
    <row r="1201" spans="1:18" x14ac:dyDescent="0.25">
      <c r="A1201" s="130">
        <v>43776</v>
      </c>
      <c r="B1201" s="107">
        <v>70.599999999999994</v>
      </c>
      <c r="C1201" s="107">
        <v>68.5</v>
      </c>
      <c r="D1201" s="107">
        <v>68</v>
      </c>
      <c r="E1201" s="107">
        <v>70</v>
      </c>
      <c r="F1201" s="107">
        <v>68.5</v>
      </c>
      <c r="G1201">
        <v>654252</v>
      </c>
      <c r="H1201" s="107"/>
      <c r="I1201" s="107"/>
      <c r="L1201" s="130">
        <v>43776</v>
      </c>
      <c r="M1201" s="107">
        <v>68.75</v>
      </c>
      <c r="N1201" s="107">
        <v>70.650000000000006</v>
      </c>
      <c r="O1201" s="107">
        <v>68.05</v>
      </c>
      <c r="P1201" s="107">
        <v>70.25</v>
      </c>
      <c r="Q1201" s="107">
        <v>68.75</v>
      </c>
      <c r="R1201">
        <v>7872854</v>
      </c>
    </row>
    <row r="1202" spans="1:18" x14ac:dyDescent="0.25">
      <c r="A1202" s="130">
        <v>43777</v>
      </c>
      <c r="B1202" s="107">
        <v>69.25</v>
      </c>
      <c r="C1202" s="107">
        <v>66.400000000000006</v>
      </c>
      <c r="D1202" s="107">
        <v>66.05</v>
      </c>
      <c r="E1202" s="107">
        <v>68.5</v>
      </c>
      <c r="F1202" s="107">
        <v>66.400000000000006</v>
      </c>
      <c r="G1202">
        <v>786202</v>
      </c>
      <c r="H1202" s="107"/>
      <c r="I1202" s="107"/>
      <c r="L1202" s="130">
        <v>43777</v>
      </c>
      <c r="M1202" s="107">
        <v>66.45</v>
      </c>
      <c r="N1202" s="107">
        <v>69.2</v>
      </c>
      <c r="O1202" s="107">
        <v>66.099999999999994</v>
      </c>
      <c r="P1202" s="107">
        <v>68</v>
      </c>
      <c r="Q1202" s="107">
        <v>66.45</v>
      </c>
      <c r="R1202">
        <v>8076600</v>
      </c>
    </row>
    <row r="1203" spans="1:18" x14ac:dyDescent="0.25">
      <c r="A1203" s="130">
        <v>43780</v>
      </c>
      <c r="B1203" s="107">
        <v>67.7</v>
      </c>
      <c r="C1203" s="107">
        <v>67.099999999999994</v>
      </c>
      <c r="D1203" s="107">
        <v>66.099999999999994</v>
      </c>
      <c r="E1203" s="107">
        <v>66.400000000000006</v>
      </c>
      <c r="F1203" s="107">
        <v>67.099999999999994</v>
      </c>
      <c r="G1203">
        <v>552823</v>
      </c>
      <c r="H1203" s="107"/>
      <c r="I1203" s="107"/>
      <c r="L1203" s="130">
        <v>43780</v>
      </c>
      <c r="M1203" s="107">
        <v>67.150000000000006</v>
      </c>
      <c r="N1203" s="107">
        <v>67.650000000000006</v>
      </c>
      <c r="O1203" s="107">
        <v>66</v>
      </c>
      <c r="P1203" s="107">
        <v>66.099999999999994</v>
      </c>
      <c r="Q1203" s="107">
        <v>67.150000000000006</v>
      </c>
      <c r="R1203">
        <v>5110559</v>
      </c>
    </row>
    <row r="1204" spans="1:18" x14ac:dyDescent="0.25">
      <c r="A1204" s="130">
        <v>43782</v>
      </c>
      <c r="B1204" s="107">
        <v>67.75</v>
      </c>
      <c r="C1204" s="107">
        <v>65.55</v>
      </c>
      <c r="D1204" s="107">
        <v>65</v>
      </c>
      <c r="E1204" s="107">
        <v>67.5</v>
      </c>
      <c r="F1204" s="107">
        <v>65.55</v>
      </c>
      <c r="G1204">
        <v>378894</v>
      </c>
      <c r="H1204" s="107"/>
      <c r="I1204" s="107"/>
      <c r="L1204" s="130">
        <v>43782</v>
      </c>
      <c r="M1204" s="107">
        <v>65.5</v>
      </c>
      <c r="N1204" s="107">
        <v>67.75</v>
      </c>
      <c r="O1204" s="107">
        <v>65</v>
      </c>
      <c r="P1204" s="107">
        <v>67.2</v>
      </c>
      <c r="Q1204" s="107">
        <v>65.5</v>
      </c>
      <c r="R1204">
        <v>5485479</v>
      </c>
    </row>
    <row r="1205" spans="1:18" x14ac:dyDescent="0.25">
      <c r="A1205" s="130">
        <v>43783</v>
      </c>
      <c r="B1205" s="107">
        <v>66.7</v>
      </c>
      <c r="C1205" s="107">
        <v>66.25</v>
      </c>
      <c r="D1205" s="107">
        <v>63.9</v>
      </c>
      <c r="E1205" s="107">
        <v>65.75</v>
      </c>
      <c r="F1205" s="107">
        <v>66.25</v>
      </c>
      <c r="G1205">
        <v>684654</v>
      </c>
      <c r="H1205" s="107"/>
      <c r="I1205" s="107"/>
      <c r="L1205" s="130">
        <v>43783</v>
      </c>
      <c r="M1205" s="107">
        <v>66.25</v>
      </c>
      <c r="N1205" s="107">
        <v>66.75</v>
      </c>
      <c r="O1205" s="107">
        <v>63.9</v>
      </c>
      <c r="P1205" s="107">
        <v>65.55</v>
      </c>
      <c r="Q1205" s="107">
        <v>66.25</v>
      </c>
      <c r="R1205">
        <v>7293774</v>
      </c>
    </row>
    <row r="1206" spans="1:18" x14ac:dyDescent="0.25">
      <c r="A1206" s="130">
        <v>43784</v>
      </c>
      <c r="B1206" s="107">
        <v>71.25</v>
      </c>
      <c r="C1206" s="107">
        <v>69.349999999999994</v>
      </c>
      <c r="D1206" s="107">
        <v>66.55</v>
      </c>
      <c r="E1206" s="107">
        <v>66.55</v>
      </c>
      <c r="F1206" s="107">
        <v>69.349999999999994</v>
      </c>
      <c r="G1206">
        <v>1594891</v>
      </c>
      <c r="H1206" s="107"/>
      <c r="I1206" s="107"/>
      <c r="L1206" s="130">
        <v>43784</v>
      </c>
      <c r="M1206" s="107">
        <v>69.349999999999994</v>
      </c>
      <c r="N1206" s="107">
        <v>71.25</v>
      </c>
      <c r="O1206" s="107">
        <v>66.599999999999994</v>
      </c>
      <c r="P1206" s="107">
        <v>66.599999999999994</v>
      </c>
      <c r="Q1206" s="107">
        <v>69.349999999999994</v>
      </c>
      <c r="R1206">
        <v>19836274</v>
      </c>
    </row>
    <row r="1207" spans="1:18" x14ac:dyDescent="0.25">
      <c r="A1207" s="130">
        <v>43787</v>
      </c>
      <c r="B1207" s="107">
        <v>71.599999999999994</v>
      </c>
      <c r="C1207" s="107">
        <v>71.3</v>
      </c>
      <c r="D1207" s="107">
        <v>68.95</v>
      </c>
      <c r="E1207" s="107">
        <v>69.45</v>
      </c>
      <c r="F1207" s="107">
        <v>71.3</v>
      </c>
      <c r="G1207">
        <v>1153647</v>
      </c>
      <c r="H1207" s="107"/>
      <c r="I1207" s="107"/>
      <c r="L1207" s="130">
        <v>43787</v>
      </c>
      <c r="M1207" s="107">
        <v>71.3</v>
      </c>
      <c r="N1207" s="107">
        <v>71.599999999999994</v>
      </c>
      <c r="O1207" s="107">
        <v>68.900000000000006</v>
      </c>
      <c r="P1207" s="107">
        <v>69.650000000000006</v>
      </c>
      <c r="Q1207" s="107">
        <v>71.3</v>
      </c>
      <c r="R1207">
        <v>10705199</v>
      </c>
    </row>
    <row r="1208" spans="1:18" x14ac:dyDescent="0.25">
      <c r="A1208" s="130">
        <v>43788</v>
      </c>
      <c r="B1208" s="107">
        <v>75.349999999999994</v>
      </c>
      <c r="C1208" s="107">
        <v>74.2</v>
      </c>
      <c r="D1208" s="107">
        <v>70.849999999999994</v>
      </c>
      <c r="E1208" s="107">
        <v>71.5</v>
      </c>
      <c r="F1208" s="107">
        <v>74.2</v>
      </c>
      <c r="G1208">
        <v>1807586</v>
      </c>
      <c r="H1208" s="107"/>
      <c r="I1208" s="107"/>
      <c r="L1208" s="130">
        <v>43788</v>
      </c>
      <c r="M1208" s="107">
        <v>74.099999999999994</v>
      </c>
      <c r="N1208" s="107">
        <v>75.400000000000006</v>
      </c>
      <c r="O1208" s="107">
        <v>70.8</v>
      </c>
      <c r="P1208" s="107">
        <v>71.5</v>
      </c>
      <c r="Q1208" s="107">
        <v>74.099999999999994</v>
      </c>
      <c r="R1208">
        <v>20170328</v>
      </c>
    </row>
    <row r="1209" spans="1:18" x14ac:dyDescent="0.25">
      <c r="A1209" s="130">
        <v>43789</v>
      </c>
      <c r="B1209" s="107">
        <v>76.099999999999994</v>
      </c>
      <c r="C1209" s="107">
        <v>73.599999999999994</v>
      </c>
      <c r="D1209" s="107">
        <v>72.849999999999994</v>
      </c>
      <c r="E1209" s="107">
        <v>74.900000000000006</v>
      </c>
      <c r="F1209" s="107">
        <v>73.599999999999994</v>
      </c>
      <c r="G1209">
        <v>1319709</v>
      </c>
      <c r="H1209" s="107"/>
      <c r="I1209" s="107"/>
      <c r="L1209" s="130">
        <v>43789</v>
      </c>
      <c r="M1209" s="107">
        <v>73.599999999999994</v>
      </c>
      <c r="N1209" s="107">
        <v>76.150000000000006</v>
      </c>
      <c r="O1209" s="107">
        <v>72.8</v>
      </c>
      <c r="P1209" s="107">
        <v>74.95</v>
      </c>
      <c r="Q1209" s="107">
        <v>73.599999999999994</v>
      </c>
      <c r="R1209">
        <v>16356384</v>
      </c>
    </row>
    <row r="1210" spans="1:18" x14ac:dyDescent="0.25">
      <c r="A1210" s="130">
        <v>43790</v>
      </c>
      <c r="B1210" s="107">
        <v>74.849999999999994</v>
      </c>
      <c r="C1210" s="107">
        <v>73.099999999999994</v>
      </c>
      <c r="D1210" s="107">
        <v>72.849999999999994</v>
      </c>
      <c r="E1210" s="107">
        <v>74.8</v>
      </c>
      <c r="F1210" s="107">
        <v>73.099999999999994</v>
      </c>
      <c r="G1210">
        <v>618861</v>
      </c>
      <c r="H1210" s="107"/>
      <c r="I1210" s="107"/>
      <c r="L1210" s="130">
        <v>43790</v>
      </c>
      <c r="M1210" s="107">
        <v>73.150000000000006</v>
      </c>
      <c r="N1210" s="107">
        <v>74.849999999999994</v>
      </c>
      <c r="O1210" s="107">
        <v>72.849999999999994</v>
      </c>
      <c r="P1210" s="107">
        <v>74.45</v>
      </c>
      <c r="Q1210" s="107">
        <v>73.150000000000006</v>
      </c>
      <c r="R1210">
        <v>7478130</v>
      </c>
    </row>
    <row r="1211" spans="1:18" x14ac:dyDescent="0.25">
      <c r="A1211" s="130">
        <v>43791</v>
      </c>
      <c r="B1211" s="107">
        <v>74.099999999999994</v>
      </c>
      <c r="C1211" s="107">
        <v>73</v>
      </c>
      <c r="D1211" s="107">
        <v>72.25</v>
      </c>
      <c r="E1211" s="107">
        <v>72.55</v>
      </c>
      <c r="F1211" s="107">
        <v>73</v>
      </c>
      <c r="G1211">
        <v>1077029</v>
      </c>
      <c r="H1211" s="107"/>
      <c r="I1211" s="107"/>
      <c r="L1211" s="130">
        <v>43791</v>
      </c>
      <c r="M1211" s="107">
        <v>73.05</v>
      </c>
      <c r="N1211" s="107">
        <v>74.150000000000006</v>
      </c>
      <c r="O1211" s="107">
        <v>72.25</v>
      </c>
      <c r="P1211" s="107">
        <v>73.25</v>
      </c>
      <c r="Q1211" s="107">
        <v>73.05</v>
      </c>
      <c r="R1211">
        <v>9925433</v>
      </c>
    </row>
    <row r="1212" spans="1:18" x14ac:dyDescent="0.25">
      <c r="A1212" s="130">
        <v>43794</v>
      </c>
      <c r="B1212" s="107">
        <v>74.849999999999994</v>
      </c>
      <c r="C1212" s="107">
        <v>74.55</v>
      </c>
      <c r="D1212" s="107">
        <v>72.75</v>
      </c>
      <c r="E1212" s="107">
        <v>73.25</v>
      </c>
      <c r="F1212" s="107">
        <v>74.55</v>
      </c>
      <c r="G1212">
        <v>762197</v>
      </c>
      <c r="H1212" s="107"/>
      <c r="I1212" s="107"/>
      <c r="L1212" s="130">
        <v>43794</v>
      </c>
      <c r="M1212" s="107">
        <v>74.599999999999994</v>
      </c>
      <c r="N1212" s="107">
        <v>74.849999999999994</v>
      </c>
      <c r="O1212" s="107">
        <v>72.7</v>
      </c>
      <c r="P1212" s="107">
        <v>73.150000000000006</v>
      </c>
      <c r="Q1212" s="107">
        <v>74.599999999999994</v>
      </c>
      <c r="R1212">
        <v>7777899</v>
      </c>
    </row>
    <row r="1213" spans="1:18" x14ac:dyDescent="0.25">
      <c r="A1213" s="130">
        <v>43795</v>
      </c>
      <c r="B1213" s="107">
        <v>78.150000000000006</v>
      </c>
      <c r="C1213" s="107">
        <v>74.599999999999994</v>
      </c>
      <c r="D1213" s="107">
        <v>73.05</v>
      </c>
      <c r="E1213" s="107">
        <v>75</v>
      </c>
      <c r="F1213" s="107">
        <v>74.599999999999994</v>
      </c>
      <c r="G1213">
        <v>1639751</v>
      </c>
      <c r="H1213" s="107"/>
      <c r="I1213" s="107"/>
      <c r="L1213" s="130">
        <v>43795</v>
      </c>
      <c r="M1213" s="107">
        <v>74.55</v>
      </c>
      <c r="N1213" s="107">
        <v>78.150000000000006</v>
      </c>
      <c r="O1213" s="107">
        <v>73.150000000000006</v>
      </c>
      <c r="P1213" s="107">
        <v>75.099999999999994</v>
      </c>
      <c r="Q1213" s="107">
        <v>74.55</v>
      </c>
      <c r="R1213">
        <v>19932357</v>
      </c>
    </row>
    <row r="1214" spans="1:18" x14ac:dyDescent="0.25">
      <c r="A1214" s="130">
        <v>43796</v>
      </c>
      <c r="B1214" s="107">
        <v>77.400000000000006</v>
      </c>
      <c r="C1214" s="107">
        <v>76.900000000000006</v>
      </c>
      <c r="D1214" s="107">
        <v>74.75</v>
      </c>
      <c r="E1214" s="107">
        <v>75.599999999999994</v>
      </c>
      <c r="F1214" s="107">
        <v>76.900000000000006</v>
      </c>
      <c r="G1214">
        <v>926278</v>
      </c>
      <c r="H1214" s="107"/>
      <c r="I1214" s="107"/>
      <c r="L1214" s="130">
        <v>43796</v>
      </c>
      <c r="M1214" s="107">
        <v>76.849999999999994</v>
      </c>
      <c r="N1214" s="107">
        <v>77.400000000000006</v>
      </c>
      <c r="O1214" s="107">
        <v>74.8</v>
      </c>
      <c r="P1214" s="107">
        <v>75.25</v>
      </c>
      <c r="Q1214" s="107">
        <v>76.849999999999994</v>
      </c>
      <c r="R1214">
        <v>9202396</v>
      </c>
    </row>
    <row r="1215" spans="1:18" x14ac:dyDescent="0.25">
      <c r="A1215" s="130">
        <v>43797</v>
      </c>
      <c r="B1215" s="107">
        <v>79.8</v>
      </c>
      <c r="C1215" s="107">
        <v>77.2</v>
      </c>
      <c r="D1215" s="107">
        <v>76.3</v>
      </c>
      <c r="E1215" s="107">
        <v>77.3</v>
      </c>
      <c r="F1215" s="107">
        <v>77.2</v>
      </c>
      <c r="G1215">
        <v>1555293</v>
      </c>
      <c r="H1215" s="107"/>
      <c r="I1215" s="107"/>
      <c r="L1215" s="130">
        <v>43797</v>
      </c>
      <c r="M1215" s="107">
        <v>77.400000000000006</v>
      </c>
      <c r="N1215" s="107">
        <v>79.8</v>
      </c>
      <c r="O1215" s="107">
        <v>76.25</v>
      </c>
      <c r="P1215" s="107">
        <v>77.150000000000006</v>
      </c>
      <c r="Q1215" s="107">
        <v>77.400000000000006</v>
      </c>
      <c r="R1215">
        <v>16993173</v>
      </c>
    </row>
    <row r="1216" spans="1:18" x14ac:dyDescent="0.25">
      <c r="A1216" s="130">
        <v>43798</v>
      </c>
      <c r="B1216" s="107">
        <v>77.95</v>
      </c>
      <c r="C1216" s="107">
        <v>75.900000000000006</v>
      </c>
      <c r="D1216" s="107">
        <v>75.5</v>
      </c>
      <c r="E1216" s="107">
        <v>77.45</v>
      </c>
      <c r="F1216" s="107">
        <v>75.900000000000006</v>
      </c>
      <c r="G1216">
        <v>538831</v>
      </c>
      <c r="H1216" s="107"/>
      <c r="I1216" s="107"/>
      <c r="L1216" s="130">
        <v>43798</v>
      </c>
      <c r="M1216" s="107">
        <v>75.900000000000006</v>
      </c>
      <c r="N1216" s="107">
        <v>77.95</v>
      </c>
      <c r="O1216" s="107">
        <v>75.5</v>
      </c>
      <c r="P1216" s="107">
        <v>77</v>
      </c>
      <c r="Q1216" s="107">
        <v>75.900000000000006</v>
      </c>
      <c r="R1216">
        <v>4333117</v>
      </c>
    </row>
    <row r="1217" spans="1:18" x14ac:dyDescent="0.25">
      <c r="A1217" s="130">
        <v>43801</v>
      </c>
      <c r="B1217" s="107">
        <v>76.400000000000006</v>
      </c>
      <c r="C1217" s="107">
        <v>74.900000000000006</v>
      </c>
      <c r="D1217" s="107">
        <v>74.45</v>
      </c>
      <c r="E1217" s="107">
        <v>76</v>
      </c>
      <c r="F1217" s="107">
        <v>74.900000000000006</v>
      </c>
      <c r="G1217">
        <v>234158</v>
      </c>
      <c r="H1217" s="107"/>
      <c r="I1217" s="107"/>
      <c r="L1217" s="130">
        <v>43801</v>
      </c>
      <c r="M1217" s="107">
        <v>74.900000000000006</v>
      </c>
      <c r="N1217" s="107">
        <v>76.5</v>
      </c>
      <c r="O1217" s="107">
        <v>74.349999999999994</v>
      </c>
      <c r="P1217" s="107">
        <v>76.5</v>
      </c>
      <c r="Q1217" s="107">
        <v>74.900000000000006</v>
      </c>
      <c r="R1217">
        <v>2888461</v>
      </c>
    </row>
    <row r="1218" spans="1:18" x14ac:dyDescent="0.25">
      <c r="A1218" s="130">
        <v>43802</v>
      </c>
      <c r="B1218" s="107">
        <v>75.2</v>
      </c>
      <c r="C1218" s="107">
        <v>71.349999999999994</v>
      </c>
      <c r="D1218" s="107">
        <v>70.849999999999994</v>
      </c>
      <c r="E1218" s="107">
        <v>74.599999999999994</v>
      </c>
      <c r="F1218" s="107">
        <v>71.349999999999994</v>
      </c>
      <c r="G1218">
        <v>211749</v>
      </c>
      <c r="H1218" s="107"/>
      <c r="I1218" s="107"/>
      <c r="L1218" s="130">
        <v>43802</v>
      </c>
      <c r="M1218" s="107">
        <v>71.400000000000006</v>
      </c>
      <c r="N1218" s="107">
        <v>75.25</v>
      </c>
      <c r="O1218" s="107">
        <v>70.849999999999994</v>
      </c>
      <c r="P1218" s="107">
        <v>75</v>
      </c>
      <c r="Q1218" s="107">
        <v>71.400000000000006</v>
      </c>
      <c r="R1218">
        <v>2992850</v>
      </c>
    </row>
    <row r="1219" spans="1:18" x14ac:dyDescent="0.25">
      <c r="A1219" s="130">
        <v>43803</v>
      </c>
      <c r="B1219" s="107">
        <v>72.55</v>
      </c>
      <c r="C1219" s="107">
        <v>72.099999999999994</v>
      </c>
      <c r="D1219" s="107">
        <v>70.05</v>
      </c>
      <c r="E1219" s="107">
        <v>71.5</v>
      </c>
      <c r="F1219" s="107">
        <v>72.099999999999994</v>
      </c>
      <c r="G1219">
        <v>360041</v>
      </c>
      <c r="H1219" s="107"/>
      <c r="I1219" s="107"/>
      <c r="L1219" s="130">
        <v>43803</v>
      </c>
      <c r="M1219" s="107">
        <v>72.2</v>
      </c>
      <c r="N1219" s="107">
        <v>72.5</v>
      </c>
      <c r="O1219" s="107">
        <v>70.05</v>
      </c>
      <c r="P1219" s="107">
        <v>70.75</v>
      </c>
      <c r="Q1219" s="107">
        <v>72.2</v>
      </c>
      <c r="R1219">
        <v>3921450</v>
      </c>
    </row>
    <row r="1220" spans="1:18" x14ac:dyDescent="0.25">
      <c r="A1220" s="130">
        <v>43804</v>
      </c>
      <c r="B1220" s="107">
        <v>73.3</v>
      </c>
      <c r="C1220" s="107">
        <v>70.95</v>
      </c>
      <c r="D1220" s="107">
        <v>70.55</v>
      </c>
      <c r="E1220" s="107">
        <v>72.900000000000006</v>
      </c>
      <c r="F1220" s="107">
        <v>70.95</v>
      </c>
      <c r="G1220">
        <v>286786</v>
      </c>
      <c r="H1220" s="107"/>
      <c r="I1220" s="107"/>
      <c r="L1220" s="130">
        <v>43804</v>
      </c>
      <c r="M1220" s="107">
        <v>70.95</v>
      </c>
      <c r="N1220" s="107">
        <v>73.349999999999994</v>
      </c>
      <c r="O1220" s="107">
        <v>70.5</v>
      </c>
      <c r="P1220" s="107">
        <v>72.400000000000006</v>
      </c>
      <c r="Q1220" s="107">
        <v>70.95</v>
      </c>
      <c r="R1220">
        <v>3390760</v>
      </c>
    </row>
    <row r="1221" spans="1:18" x14ac:dyDescent="0.25">
      <c r="A1221" s="130">
        <v>43805</v>
      </c>
      <c r="B1221" s="107">
        <v>71.5</v>
      </c>
      <c r="C1221" s="107">
        <v>68.349999999999994</v>
      </c>
      <c r="D1221" s="107">
        <v>67.8</v>
      </c>
      <c r="E1221" s="107">
        <v>71.5</v>
      </c>
      <c r="F1221" s="107">
        <v>68.349999999999994</v>
      </c>
      <c r="G1221">
        <v>336901</v>
      </c>
      <c r="H1221" s="107"/>
      <c r="I1221" s="107"/>
      <c r="L1221" s="130">
        <v>43805</v>
      </c>
      <c r="M1221" s="107">
        <v>68.400000000000006</v>
      </c>
      <c r="N1221" s="107">
        <v>71.599999999999994</v>
      </c>
      <c r="O1221" s="107">
        <v>67.650000000000006</v>
      </c>
      <c r="P1221" s="107">
        <v>71.3</v>
      </c>
      <c r="Q1221" s="107">
        <v>68.400000000000006</v>
      </c>
      <c r="R1221">
        <v>3078818</v>
      </c>
    </row>
    <row r="1222" spans="1:18" x14ac:dyDescent="0.25">
      <c r="A1222" s="130">
        <v>43808</v>
      </c>
      <c r="B1222" s="107">
        <v>69.5</v>
      </c>
      <c r="C1222" s="107">
        <v>68.349999999999994</v>
      </c>
      <c r="D1222" s="107">
        <v>67.2</v>
      </c>
      <c r="E1222" s="107">
        <v>68.3</v>
      </c>
      <c r="F1222" s="107">
        <v>68.349999999999994</v>
      </c>
      <c r="G1222">
        <v>315199</v>
      </c>
      <c r="H1222" s="107"/>
      <c r="I1222" s="107"/>
      <c r="L1222" s="130">
        <v>43808</v>
      </c>
      <c r="M1222" s="107">
        <v>68.3</v>
      </c>
      <c r="N1222" s="107">
        <v>69.5</v>
      </c>
      <c r="O1222" s="107">
        <v>67.25</v>
      </c>
      <c r="P1222" s="107">
        <v>68.05</v>
      </c>
      <c r="Q1222" s="107">
        <v>68.3</v>
      </c>
      <c r="R1222">
        <v>2964339</v>
      </c>
    </row>
    <row r="1223" spans="1:18" x14ac:dyDescent="0.25">
      <c r="A1223" s="130">
        <v>43809</v>
      </c>
      <c r="B1223" s="107">
        <v>68.900000000000006</v>
      </c>
      <c r="C1223" s="107">
        <v>67.099999999999994</v>
      </c>
      <c r="D1223" s="107">
        <v>66.849999999999994</v>
      </c>
      <c r="E1223" s="107">
        <v>68.55</v>
      </c>
      <c r="F1223" s="107">
        <v>67.099999999999994</v>
      </c>
      <c r="G1223">
        <v>242248</v>
      </c>
      <c r="H1223" s="107"/>
      <c r="I1223" s="107"/>
      <c r="L1223" s="130">
        <v>43809</v>
      </c>
      <c r="M1223" s="107">
        <v>67.05</v>
      </c>
      <c r="N1223" s="107">
        <v>68.95</v>
      </c>
      <c r="O1223" s="107">
        <v>66.8</v>
      </c>
      <c r="P1223" s="107">
        <v>68.75</v>
      </c>
      <c r="Q1223" s="107">
        <v>67.05</v>
      </c>
      <c r="R1223">
        <v>2186009</v>
      </c>
    </row>
    <row r="1224" spans="1:18" x14ac:dyDescent="0.25">
      <c r="A1224" s="130">
        <v>43810</v>
      </c>
      <c r="B1224" s="107">
        <v>68.5</v>
      </c>
      <c r="C1224" s="107">
        <v>67.95</v>
      </c>
      <c r="D1224" s="107">
        <v>65.900000000000006</v>
      </c>
      <c r="E1224" s="107">
        <v>67.900000000000006</v>
      </c>
      <c r="F1224" s="107">
        <v>67.95</v>
      </c>
      <c r="G1224">
        <v>185223</v>
      </c>
      <c r="H1224" s="107"/>
      <c r="I1224" s="107"/>
      <c r="L1224" s="130">
        <v>43810</v>
      </c>
      <c r="M1224" s="107">
        <v>68.05</v>
      </c>
      <c r="N1224" s="107">
        <v>68.349999999999994</v>
      </c>
      <c r="O1224" s="107">
        <v>65.849999999999994</v>
      </c>
      <c r="P1224" s="107">
        <v>67.150000000000006</v>
      </c>
      <c r="Q1224" s="107">
        <v>68.05</v>
      </c>
      <c r="R1224">
        <v>2611531</v>
      </c>
    </row>
    <row r="1225" spans="1:18" x14ac:dyDescent="0.25">
      <c r="A1225" s="130">
        <v>43811</v>
      </c>
      <c r="B1225" s="107">
        <v>69.2</v>
      </c>
      <c r="C1225" s="107">
        <v>68.75</v>
      </c>
      <c r="D1225" s="107">
        <v>68.150000000000006</v>
      </c>
      <c r="E1225" s="107">
        <v>68.95</v>
      </c>
      <c r="F1225" s="107">
        <v>68.75</v>
      </c>
      <c r="G1225">
        <v>147510</v>
      </c>
      <c r="H1225" s="107"/>
      <c r="I1225" s="107"/>
      <c r="L1225" s="130">
        <v>43811</v>
      </c>
      <c r="M1225" s="107">
        <v>68.8</v>
      </c>
      <c r="N1225" s="107">
        <v>69.2</v>
      </c>
      <c r="O1225" s="107">
        <v>68.2</v>
      </c>
      <c r="P1225" s="107">
        <v>68.45</v>
      </c>
      <c r="Q1225" s="107">
        <v>68.8</v>
      </c>
      <c r="R1225">
        <v>2218573</v>
      </c>
    </row>
    <row r="1226" spans="1:18" x14ac:dyDescent="0.25">
      <c r="A1226" s="130">
        <v>43812</v>
      </c>
      <c r="B1226" s="107">
        <v>71.400000000000006</v>
      </c>
      <c r="C1226" s="107">
        <v>70.95</v>
      </c>
      <c r="D1226" s="107">
        <v>69.2</v>
      </c>
      <c r="E1226" s="107">
        <v>69.5</v>
      </c>
      <c r="F1226" s="107">
        <v>70.95</v>
      </c>
      <c r="G1226">
        <v>588891</v>
      </c>
      <c r="H1226" s="107"/>
      <c r="I1226" s="107"/>
      <c r="L1226" s="130">
        <v>43812</v>
      </c>
      <c r="M1226" s="107">
        <v>70.900000000000006</v>
      </c>
      <c r="N1226" s="107">
        <v>71.3</v>
      </c>
      <c r="O1226" s="107">
        <v>69.099999999999994</v>
      </c>
      <c r="P1226" s="107">
        <v>69.150000000000006</v>
      </c>
      <c r="Q1226" s="107">
        <v>70.900000000000006</v>
      </c>
      <c r="R1226">
        <v>4419601</v>
      </c>
    </row>
    <row r="1227" spans="1:18" x14ac:dyDescent="0.25">
      <c r="A1227" s="130">
        <v>43815</v>
      </c>
      <c r="B1227" s="107">
        <v>72.45</v>
      </c>
      <c r="C1227" s="107">
        <v>70.95</v>
      </c>
      <c r="D1227" s="107">
        <v>70.55</v>
      </c>
      <c r="E1227" s="107">
        <v>71.900000000000006</v>
      </c>
      <c r="F1227" s="107">
        <v>70.95</v>
      </c>
      <c r="G1227">
        <v>231668</v>
      </c>
      <c r="H1227" s="107"/>
      <c r="I1227" s="107"/>
      <c r="L1227" s="130">
        <v>43815</v>
      </c>
      <c r="M1227" s="107">
        <v>71.05</v>
      </c>
      <c r="N1227" s="107">
        <v>72.400000000000006</v>
      </c>
      <c r="O1227" s="107">
        <v>70.55</v>
      </c>
      <c r="P1227" s="107">
        <v>71.5</v>
      </c>
      <c r="Q1227" s="107">
        <v>71.05</v>
      </c>
      <c r="R1227">
        <v>2650660</v>
      </c>
    </row>
    <row r="1228" spans="1:18" x14ac:dyDescent="0.25">
      <c r="A1228" s="130">
        <v>43816</v>
      </c>
      <c r="B1228" s="107">
        <v>72.2</v>
      </c>
      <c r="C1228" s="107">
        <v>71.25</v>
      </c>
      <c r="D1228" s="107">
        <v>70.900000000000006</v>
      </c>
      <c r="E1228" s="107">
        <v>71.55</v>
      </c>
      <c r="F1228" s="107">
        <v>71.25</v>
      </c>
      <c r="G1228">
        <v>176031</v>
      </c>
      <c r="H1228" s="107"/>
      <c r="I1228" s="107"/>
      <c r="L1228" s="130">
        <v>43816</v>
      </c>
      <c r="M1228" s="107">
        <v>71.25</v>
      </c>
      <c r="N1228" s="107">
        <v>72.3</v>
      </c>
      <c r="O1228" s="107">
        <v>70.8</v>
      </c>
      <c r="P1228" s="107">
        <v>71.400000000000006</v>
      </c>
      <c r="Q1228" s="107">
        <v>71.25</v>
      </c>
      <c r="R1228">
        <v>1839246</v>
      </c>
    </row>
    <row r="1229" spans="1:18" x14ac:dyDescent="0.25">
      <c r="A1229" s="130">
        <v>43817</v>
      </c>
      <c r="B1229" s="107">
        <v>73.25</v>
      </c>
      <c r="C1229" s="107">
        <v>71.349999999999994</v>
      </c>
      <c r="D1229" s="107">
        <v>69.45</v>
      </c>
      <c r="E1229" s="107">
        <v>71</v>
      </c>
      <c r="F1229" s="107">
        <v>71.349999999999994</v>
      </c>
      <c r="G1229">
        <v>230713</v>
      </c>
      <c r="H1229" s="107"/>
      <c r="I1229" s="107"/>
      <c r="L1229" s="130">
        <v>43817</v>
      </c>
      <c r="M1229" s="107">
        <v>71.349999999999994</v>
      </c>
      <c r="N1229" s="107">
        <v>73.55</v>
      </c>
      <c r="O1229" s="107">
        <v>69.400000000000006</v>
      </c>
      <c r="P1229" s="107">
        <v>71.2</v>
      </c>
      <c r="Q1229" s="107">
        <v>71.349999999999994</v>
      </c>
      <c r="R1229">
        <v>2478131</v>
      </c>
    </row>
    <row r="1230" spans="1:18" x14ac:dyDescent="0.25">
      <c r="A1230" s="130">
        <v>43818</v>
      </c>
      <c r="B1230" s="107">
        <v>71.849999999999994</v>
      </c>
      <c r="C1230" s="107">
        <v>71.45</v>
      </c>
      <c r="D1230" s="107">
        <v>70.650000000000006</v>
      </c>
      <c r="E1230" s="107">
        <v>71.400000000000006</v>
      </c>
      <c r="F1230" s="107">
        <v>71.45</v>
      </c>
      <c r="G1230">
        <v>164242</v>
      </c>
      <c r="H1230" s="107"/>
      <c r="I1230" s="107"/>
      <c r="L1230" s="130">
        <v>43818</v>
      </c>
      <c r="M1230" s="107">
        <v>71.45</v>
      </c>
      <c r="N1230" s="107">
        <v>72</v>
      </c>
      <c r="O1230" s="107">
        <v>70.5</v>
      </c>
      <c r="P1230" s="107">
        <v>71.7</v>
      </c>
      <c r="Q1230" s="107">
        <v>71.45</v>
      </c>
      <c r="R1230">
        <v>2082189</v>
      </c>
    </row>
    <row r="1231" spans="1:18" x14ac:dyDescent="0.25">
      <c r="A1231" s="130">
        <v>43819</v>
      </c>
      <c r="B1231" s="107">
        <v>72.2</v>
      </c>
      <c r="C1231" s="107">
        <v>69.900000000000006</v>
      </c>
      <c r="D1231" s="107">
        <v>69.349999999999994</v>
      </c>
      <c r="E1231" s="107">
        <v>72</v>
      </c>
      <c r="F1231" s="107">
        <v>69.900000000000006</v>
      </c>
      <c r="G1231">
        <v>338782</v>
      </c>
      <c r="H1231" s="107"/>
      <c r="I1231" s="107"/>
      <c r="L1231" s="130">
        <v>43819</v>
      </c>
      <c r="M1231" s="107">
        <v>69.900000000000006</v>
      </c>
      <c r="N1231" s="107">
        <v>72.2</v>
      </c>
      <c r="O1231" s="107">
        <v>69</v>
      </c>
      <c r="P1231" s="107">
        <v>71.5</v>
      </c>
      <c r="Q1231" s="107">
        <v>69.900000000000006</v>
      </c>
      <c r="R1231">
        <v>3206039</v>
      </c>
    </row>
    <row r="1232" spans="1:18" x14ac:dyDescent="0.25">
      <c r="A1232" s="130">
        <v>43822</v>
      </c>
      <c r="B1232" s="107">
        <v>70.2</v>
      </c>
      <c r="C1232" s="107">
        <v>69.5</v>
      </c>
      <c r="D1232" s="107">
        <v>68.900000000000006</v>
      </c>
      <c r="E1232" s="107">
        <v>69.849999999999994</v>
      </c>
      <c r="F1232" s="107">
        <v>69.5</v>
      </c>
      <c r="G1232">
        <v>239580</v>
      </c>
      <c r="H1232" s="107"/>
      <c r="I1232" s="107"/>
      <c r="L1232" s="130">
        <v>43822</v>
      </c>
      <c r="M1232" s="107">
        <v>69.599999999999994</v>
      </c>
      <c r="N1232" s="107">
        <v>70.3</v>
      </c>
      <c r="O1232" s="107">
        <v>68.849999999999994</v>
      </c>
      <c r="P1232" s="107">
        <v>69.900000000000006</v>
      </c>
      <c r="Q1232" s="107">
        <v>69.599999999999994</v>
      </c>
      <c r="R1232">
        <v>1972983</v>
      </c>
    </row>
    <row r="1233" spans="1:18" x14ac:dyDescent="0.25">
      <c r="A1233" s="130">
        <v>43823</v>
      </c>
      <c r="B1233" s="107">
        <v>70</v>
      </c>
      <c r="C1233" s="107">
        <v>69.099999999999994</v>
      </c>
      <c r="D1233" s="107">
        <v>68.849999999999994</v>
      </c>
      <c r="E1233" s="107">
        <v>70</v>
      </c>
      <c r="F1233" s="107">
        <v>69.099999999999994</v>
      </c>
      <c r="G1233">
        <v>125607</v>
      </c>
      <c r="H1233" s="107"/>
      <c r="I1233" s="107"/>
      <c r="L1233" s="130">
        <v>43823</v>
      </c>
      <c r="M1233" s="107">
        <v>69.150000000000006</v>
      </c>
      <c r="N1233" s="107">
        <v>69.900000000000006</v>
      </c>
      <c r="O1233" s="107">
        <v>68.849999999999994</v>
      </c>
      <c r="P1233" s="107">
        <v>69.75</v>
      </c>
      <c r="Q1233" s="107">
        <v>69.150000000000006</v>
      </c>
      <c r="R1233">
        <v>1315830</v>
      </c>
    </row>
    <row r="1234" spans="1:18" x14ac:dyDescent="0.25">
      <c r="A1234" s="130">
        <v>43825</v>
      </c>
      <c r="B1234" s="107">
        <v>71.599999999999994</v>
      </c>
      <c r="C1234" s="107">
        <v>70.900000000000006</v>
      </c>
      <c r="D1234" s="107">
        <v>68.650000000000006</v>
      </c>
      <c r="E1234" s="107">
        <v>69.3</v>
      </c>
      <c r="F1234" s="107">
        <v>70.900000000000006</v>
      </c>
      <c r="G1234">
        <v>220495</v>
      </c>
      <c r="H1234" s="107"/>
      <c r="I1234" s="107"/>
      <c r="L1234" s="130">
        <v>43825</v>
      </c>
      <c r="M1234" s="107">
        <v>70.95</v>
      </c>
      <c r="N1234" s="107">
        <v>71.8</v>
      </c>
      <c r="O1234" s="107">
        <v>68.599999999999994</v>
      </c>
      <c r="P1234" s="107">
        <v>69.400000000000006</v>
      </c>
      <c r="Q1234" s="107">
        <v>70.95</v>
      </c>
      <c r="R1234">
        <v>2397295</v>
      </c>
    </row>
    <row r="1235" spans="1:18" x14ac:dyDescent="0.25">
      <c r="A1235" s="130">
        <v>43826</v>
      </c>
      <c r="B1235" s="107">
        <v>72.7</v>
      </c>
      <c r="C1235" s="107">
        <v>71.8</v>
      </c>
      <c r="D1235" s="107">
        <v>71.099999999999994</v>
      </c>
      <c r="E1235" s="107">
        <v>71.25</v>
      </c>
      <c r="F1235" s="107">
        <v>71.8</v>
      </c>
      <c r="G1235">
        <v>277920</v>
      </c>
      <c r="H1235" s="107"/>
      <c r="I1235" s="107"/>
      <c r="L1235" s="130">
        <v>43826</v>
      </c>
      <c r="M1235" s="107">
        <v>71.8</v>
      </c>
      <c r="N1235" s="107">
        <v>72.75</v>
      </c>
      <c r="O1235" s="107">
        <v>71.099999999999994</v>
      </c>
      <c r="P1235" s="107">
        <v>71.45</v>
      </c>
      <c r="Q1235" s="107">
        <v>71.8</v>
      </c>
      <c r="R1235">
        <v>2886692</v>
      </c>
    </row>
    <row r="1236" spans="1:18" x14ac:dyDescent="0.25">
      <c r="A1236" s="130">
        <v>43829</v>
      </c>
      <c r="B1236" s="107">
        <v>71.7</v>
      </c>
      <c r="C1236" s="107">
        <v>69.7</v>
      </c>
      <c r="D1236" s="107">
        <v>69.599999999999994</v>
      </c>
      <c r="E1236" s="107">
        <v>71.599999999999994</v>
      </c>
      <c r="F1236" s="107">
        <v>69.7</v>
      </c>
      <c r="G1236">
        <v>150032</v>
      </c>
      <c r="H1236" s="107"/>
      <c r="I1236" s="107"/>
      <c r="L1236" s="130">
        <v>43829</v>
      </c>
      <c r="M1236" s="107">
        <v>69.75</v>
      </c>
      <c r="N1236" s="107">
        <v>71.75</v>
      </c>
      <c r="O1236" s="107">
        <v>69.5</v>
      </c>
      <c r="P1236" s="107">
        <v>71.75</v>
      </c>
      <c r="Q1236" s="107">
        <v>69.75</v>
      </c>
      <c r="R1236">
        <v>2749884</v>
      </c>
    </row>
    <row r="1237" spans="1:18" x14ac:dyDescent="0.25">
      <c r="A1237" s="130">
        <v>43830</v>
      </c>
      <c r="B1237" s="107">
        <v>71.349999999999994</v>
      </c>
      <c r="C1237" s="107">
        <v>70.45</v>
      </c>
      <c r="D1237" s="107">
        <v>69.25</v>
      </c>
      <c r="E1237" s="107">
        <v>69.25</v>
      </c>
      <c r="F1237" s="107">
        <v>70.45</v>
      </c>
      <c r="G1237">
        <v>200344</v>
      </c>
      <c r="H1237" s="107"/>
      <c r="I1237" s="107"/>
      <c r="L1237" s="130">
        <v>43830</v>
      </c>
      <c r="M1237" s="107">
        <v>70.400000000000006</v>
      </c>
      <c r="N1237" s="107">
        <v>71.400000000000006</v>
      </c>
      <c r="O1237" s="107">
        <v>69.5</v>
      </c>
      <c r="P1237" s="107">
        <v>69.599999999999994</v>
      </c>
      <c r="Q1237" s="107">
        <v>70.400000000000006</v>
      </c>
      <c r="R1237">
        <v>2871913</v>
      </c>
    </row>
    <row r="1238" spans="1:18" x14ac:dyDescent="0.25">
      <c r="A1238" s="130">
        <v>43831</v>
      </c>
      <c r="B1238" s="107">
        <v>71</v>
      </c>
      <c r="C1238" s="107">
        <v>70.3</v>
      </c>
      <c r="D1238" s="107">
        <v>69.650000000000006</v>
      </c>
      <c r="E1238" s="107">
        <v>70.5</v>
      </c>
      <c r="F1238" s="107">
        <v>70.3</v>
      </c>
      <c r="G1238">
        <v>131664</v>
      </c>
      <c r="H1238" s="107"/>
      <c r="I1238" s="107"/>
      <c r="L1238" s="130">
        <v>43831</v>
      </c>
      <c r="M1238" s="107">
        <v>70.45</v>
      </c>
      <c r="N1238" s="107">
        <v>71.099999999999994</v>
      </c>
      <c r="O1238" s="107">
        <v>69.599999999999994</v>
      </c>
      <c r="P1238" s="107">
        <v>70.099999999999994</v>
      </c>
      <c r="Q1238" s="107">
        <v>70.45</v>
      </c>
      <c r="R1238">
        <v>1611534</v>
      </c>
    </row>
    <row r="1239" spans="1:18" x14ac:dyDescent="0.25">
      <c r="A1239" s="130">
        <v>43832</v>
      </c>
      <c r="B1239" s="107">
        <v>71.7</v>
      </c>
      <c r="C1239" s="107">
        <v>71.25</v>
      </c>
      <c r="D1239" s="107">
        <v>69.7</v>
      </c>
      <c r="E1239" s="107">
        <v>70.2</v>
      </c>
      <c r="F1239" s="107">
        <v>71.25</v>
      </c>
      <c r="G1239">
        <v>235282</v>
      </c>
      <c r="H1239" s="107"/>
      <c r="I1239" s="107"/>
      <c r="L1239" s="130">
        <v>43832</v>
      </c>
      <c r="M1239" s="107">
        <v>71.25</v>
      </c>
      <c r="N1239" s="107">
        <v>71.75</v>
      </c>
      <c r="O1239" s="107">
        <v>69.599999999999994</v>
      </c>
      <c r="P1239" s="107">
        <v>70.099999999999994</v>
      </c>
      <c r="Q1239" s="107">
        <v>71.25</v>
      </c>
      <c r="R1239">
        <v>2310241</v>
      </c>
    </row>
    <row r="1240" spans="1:18" x14ac:dyDescent="0.25">
      <c r="A1240" s="130">
        <v>43833</v>
      </c>
      <c r="B1240" s="107">
        <v>71.25</v>
      </c>
      <c r="C1240" s="107">
        <v>70.7</v>
      </c>
      <c r="D1240" s="107">
        <v>69.95</v>
      </c>
      <c r="E1240" s="107">
        <v>71.25</v>
      </c>
      <c r="F1240" s="107">
        <v>70.7</v>
      </c>
      <c r="G1240">
        <v>77738</v>
      </c>
      <c r="H1240" s="107"/>
      <c r="I1240" s="107"/>
      <c r="L1240" s="130">
        <v>43833</v>
      </c>
      <c r="M1240" s="107">
        <v>70.7</v>
      </c>
      <c r="N1240" s="107">
        <v>71.099999999999994</v>
      </c>
      <c r="O1240" s="107">
        <v>70</v>
      </c>
      <c r="P1240" s="107">
        <v>70.8</v>
      </c>
      <c r="Q1240" s="107">
        <v>70.7</v>
      </c>
      <c r="R1240">
        <v>1432268</v>
      </c>
    </row>
    <row r="1241" spans="1:18" x14ac:dyDescent="0.25">
      <c r="A1241" s="130">
        <v>43836</v>
      </c>
      <c r="B1241" s="107">
        <v>70.7</v>
      </c>
      <c r="C1241" s="107">
        <v>68.55</v>
      </c>
      <c r="D1241" s="107">
        <v>67.75</v>
      </c>
      <c r="E1241" s="107">
        <v>70.7</v>
      </c>
      <c r="F1241" s="107">
        <v>68.55</v>
      </c>
      <c r="G1241">
        <v>141698</v>
      </c>
      <c r="H1241" s="107"/>
      <c r="I1241" s="107"/>
      <c r="L1241" s="130">
        <v>43836</v>
      </c>
      <c r="M1241" s="107">
        <v>68.599999999999994</v>
      </c>
      <c r="N1241" s="107">
        <v>70.099999999999994</v>
      </c>
      <c r="O1241" s="107">
        <v>67.650000000000006</v>
      </c>
      <c r="P1241" s="107">
        <v>70</v>
      </c>
      <c r="Q1241" s="107">
        <v>68.599999999999994</v>
      </c>
      <c r="R1241">
        <v>2189295</v>
      </c>
    </row>
    <row r="1242" spans="1:18" x14ac:dyDescent="0.25">
      <c r="A1242" s="130">
        <v>43837</v>
      </c>
      <c r="B1242" s="107">
        <v>69.900000000000006</v>
      </c>
      <c r="C1242" s="107">
        <v>68.5</v>
      </c>
      <c r="D1242" s="107">
        <v>67.900000000000006</v>
      </c>
      <c r="E1242" s="107">
        <v>69.45</v>
      </c>
      <c r="F1242" s="107">
        <v>68.5</v>
      </c>
      <c r="G1242">
        <v>141580</v>
      </c>
      <c r="H1242" s="107"/>
      <c r="I1242" s="107"/>
      <c r="L1242" s="130">
        <v>43837</v>
      </c>
      <c r="M1242" s="107">
        <v>68.55</v>
      </c>
      <c r="N1242" s="107">
        <v>69.900000000000006</v>
      </c>
      <c r="O1242" s="107">
        <v>67.849999999999994</v>
      </c>
      <c r="P1242" s="107">
        <v>69.05</v>
      </c>
      <c r="Q1242" s="107">
        <v>68.55</v>
      </c>
      <c r="R1242">
        <v>1841065</v>
      </c>
    </row>
    <row r="1243" spans="1:18" x14ac:dyDescent="0.25">
      <c r="A1243" s="130">
        <v>43838</v>
      </c>
      <c r="B1243" s="107">
        <v>68.45</v>
      </c>
      <c r="C1243" s="107">
        <v>67.8</v>
      </c>
      <c r="D1243" s="107">
        <v>66.900000000000006</v>
      </c>
      <c r="E1243" s="107">
        <v>68.25</v>
      </c>
      <c r="F1243" s="107">
        <v>67.8</v>
      </c>
      <c r="G1243">
        <v>129243</v>
      </c>
      <c r="H1243" s="107"/>
      <c r="I1243" s="107"/>
      <c r="L1243" s="130">
        <v>43838</v>
      </c>
      <c r="M1243" s="107">
        <v>67.849999999999994</v>
      </c>
      <c r="N1243" s="107">
        <v>68.5</v>
      </c>
      <c r="O1243" s="107">
        <v>66.8</v>
      </c>
      <c r="P1243" s="107">
        <v>67.599999999999994</v>
      </c>
      <c r="Q1243" s="107">
        <v>67.849999999999994</v>
      </c>
      <c r="R1243">
        <v>1572645</v>
      </c>
    </row>
    <row r="1244" spans="1:18" x14ac:dyDescent="0.25">
      <c r="A1244" s="130">
        <v>43839</v>
      </c>
      <c r="B1244" s="107">
        <v>69.400000000000006</v>
      </c>
      <c r="C1244" s="107">
        <v>68.650000000000006</v>
      </c>
      <c r="D1244" s="107">
        <v>68.400000000000006</v>
      </c>
      <c r="E1244" s="107">
        <v>68.400000000000006</v>
      </c>
      <c r="F1244" s="107">
        <v>68.650000000000006</v>
      </c>
      <c r="G1244">
        <v>337773</v>
      </c>
      <c r="H1244" s="107"/>
      <c r="I1244" s="107"/>
      <c r="L1244" s="130">
        <v>43839</v>
      </c>
      <c r="M1244" s="107">
        <v>68.75</v>
      </c>
      <c r="N1244" s="107">
        <v>69.45</v>
      </c>
      <c r="O1244" s="107">
        <v>68.400000000000006</v>
      </c>
      <c r="P1244" s="107">
        <v>68.900000000000006</v>
      </c>
      <c r="Q1244" s="107">
        <v>68.75</v>
      </c>
      <c r="R1244">
        <v>1894825</v>
      </c>
    </row>
    <row r="1245" spans="1:18" x14ac:dyDescent="0.25">
      <c r="A1245" s="130">
        <v>43840</v>
      </c>
      <c r="B1245" s="107">
        <v>69.7</v>
      </c>
      <c r="C1245" s="107">
        <v>68.8</v>
      </c>
      <c r="D1245" s="107">
        <v>68.2</v>
      </c>
      <c r="E1245" s="107">
        <v>68.95</v>
      </c>
      <c r="F1245" s="107">
        <v>68.8</v>
      </c>
      <c r="G1245">
        <v>101622</v>
      </c>
      <c r="H1245" s="107"/>
      <c r="I1245" s="107"/>
      <c r="L1245" s="130">
        <v>43840</v>
      </c>
      <c r="M1245" s="107">
        <v>68.849999999999994</v>
      </c>
      <c r="N1245" s="107">
        <v>69.75</v>
      </c>
      <c r="O1245" s="107">
        <v>68.150000000000006</v>
      </c>
      <c r="P1245" s="107">
        <v>69</v>
      </c>
      <c r="Q1245" s="107">
        <v>68.849999999999994</v>
      </c>
      <c r="R1245">
        <v>1918919</v>
      </c>
    </row>
    <row r="1246" spans="1:18" x14ac:dyDescent="0.25">
      <c r="A1246" s="130">
        <v>43843</v>
      </c>
      <c r="B1246" s="107">
        <v>69.45</v>
      </c>
      <c r="C1246" s="107">
        <v>68.849999999999994</v>
      </c>
      <c r="D1246" s="107">
        <v>68.25</v>
      </c>
      <c r="E1246" s="107">
        <v>68.8</v>
      </c>
      <c r="F1246" s="107">
        <v>68.849999999999994</v>
      </c>
      <c r="G1246">
        <v>483323</v>
      </c>
      <c r="H1246" s="107"/>
      <c r="I1246" s="107"/>
      <c r="L1246" s="130">
        <v>43843</v>
      </c>
      <c r="M1246" s="107">
        <v>68.849999999999994</v>
      </c>
      <c r="N1246" s="107">
        <v>69.45</v>
      </c>
      <c r="O1246" s="107">
        <v>68.2</v>
      </c>
      <c r="P1246" s="107">
        <v>68.7</v>
      </c>
      <c r="Q1246" s="107">
        <v>68.849999999999994</v>
      </c>
      <c r="R1246">
        <v>1384949</v>
      </c>
    </row>
    <row r="1247" spans="1:18" x14ac:dyDescent="0.25">
      <c r="A1247" s="130">
        <v>43844</v>
      </c>
      <c r="B1247" s="107">
        <v>69.5</v>
      </c>
      <c r="C1247" s="107">
        <v>68.849999999999994</v>
      </c>
      <c r="D1247" s="107">
        <v>68.3</v>
      </c>
      <c r="E1247" s="107">
        <v>69.5</v>
      </c>
      <c r="F1247" s="107">
        <v>68.849999999999994</v>
      </c>
      <c r="G1247">
        <v>337263</v>
      </c>
      <c r="H1247" s="107"/>
      <c r="I1247" s="107"/>
      <c r="L1247" s="130">
        <v>43844</v>
      </c>
      <c r="M1247" s="107">
        <v>68.849999999999994</v>
      </c>
      <c r="N1247" s="107">
        <v>69.2</v>
      </c>
      <c r="O1247" s="107">
        <v>68.3</v>
      </c>
      <c r="P1247" s="107">
        <v>68.8</v>
      </c>
      <c r="Q1247" s="107">
        <v>68.849999999999994</v>
      </c>
      <c r="R1247">
        <v>1505771</v>
      </c>
    </row>
    <row r="1248" spans="1:18" x14ac:dyDescent="0.25">
      <c r="A1248" s="130">
        <v>43845</v>
      </c>
      <c r="B1248" s="107">
        <v>69.5</v>
      </c>
      <c r="C1248" s="107">
        <v>69.05</v>
      </c>
      <c r="D1248" s="107">
        <v>68.5</v>
      </c>
      <c r="E1248" s="107">
        <v>69.349999999999994</v>
      </c>
      <c r="F1248" s="107">
        <v>69.05</v>
      </c>
      <c r="G1248">
        <v>311592</v>
      </c>
      <c r="H1248" s="107"/>
      <c r="I1248" s="107"/>
      <c r="L1248" s="130">
        <v>43845</v>
      </c>
      <c r="M1248" s="107">
        <v>69.150000000000006</v>
      </c>
      <c r="N1248" s="107">
        <v>69.5</v>
      </c>
      <c r="O1248" s="107">
        <v>68.3</v>
      </c>
      <c r="P1248" s="107">
        <v>68.599999999999994</v>
      </c>
      <c r="Q1248" s="107">
        <v>69.150000000000006</v>
      </c>
      <c r="R1248">
        <v>1320376</v>
      </c>
    </row>
    <row r="1249" spans="1:18" x14ac:dyDescent="0.25">
      <c r="A1249" s="130">
        <v>43846</v>
      </c>
      <c r="B1249" s="107">
        <v>69.55</v>
      </c>
      <c r="C1249" s="107">
        <v>69</v>
      </c>
      <c r="D1249" s="107">
        <v>68.7</v>
      </c>
      <c r="E1249" s="107">
        <v>69</v>
      </c>
      <c r="F1249" s="107">
        <v>69</v>
      </c>
      <c r="G1249">
        <v>243373</v>
      </c>
      <c r="H1249" s="107"/>
      <c r="I1249" s="107"/>
      <c r="L1249" s="130">
        <v>43846</v>
      </c>
      <c r="M1249" s="107">
        <v>69.099999999999994</v>
      </c>
      <c r="N1249" s="107">
        <v>69.599999999999994</v>
      </c>
      <c r="O1249" s="107">
        <v>68.7</v>
      </c>
      <c r="P1249" s="107">
        <v>69</v>
      </c>
      <c r="Q1249" s="107">
        <v>69.099999999999994</v>
      </c>
      <c r="R1249">
        <v>1517048</v>
      </c>
    </row>
    <row r="1250" spans="1:18" x14ac:dyDescent="0.25">
      <c r="A1250" s="130">
        <v>43847</v>
      </c>
      <c r="B1250" s="107">
        <v>69.55</v>
      </c>
      <c r="C1250" s="107">
        <v>68.8</v>
      </c>
      <c r="D1250" s="107">
        <v>68.400000000000006</v>
      </c>
      <c r="E1250" s="107">
        <v>69</v>
      </c>
      <c r="F1250" s="107">
        <v>68.8</v>
      </c>
      <c r="G1250">
        <v>143612</v>
      </c>
      <c r="H1250" s="107"/>
      <c r="I1250" s="107"/>
      <c r="L1250" s="130">
        <v>43847</v>
      </c>
      <c r="M1250" s="107">
        <v>68.849999999999994</v>
      </c>
      <c r="N1250" s="107">
        <v>69.599999999999994</v>
      </c>
      <c r="O1250" s="107">
        <v>68.3</v>
      </c>
      <c r="P1250" s="107">
        <v>68.900000000000006</v>
      </c>
      <c r="Q1250" s="107">
        <v>68.849999999999994</v>
      </c>
      <c r="R1250">
        <v>1423339</v>
      </c>
    </row>
    <row r="1251" spans="1:18" x14ac:dyDescent="0.25">
      <c r="A1251" s="130">
        <v>43850</v>
      </c>
      <c r="B1251" s="107">
        <v>69.95</v>
      </c>
      <c r="C1251" s="107">
        <v>67.099999999999994</v>
      </c>
      <c r="D1251" s="107">
        <v>66.849999999999994</v>
      </c>
      <c r="E1251" s="107">
        <v>69.95</v>
      </c>
      <c r="F1251" s="107">
        <v>67.099999999999994</v>
      </c>
      <c r="G1251">
        <v>606587</v>
      </c>
      <c r="H1251" s="107"/>
      <c r="I1251" s="107"/>
      <c r="L1251" s="130">
        <v>43850</v>
      </c>
      <c r="M1251" s="107">
        <v>67.05</v>
      </c>
      <c r="N1251" s="107">
        <v>69.45</v>
      </c>
      <c r="O1251" s="107">
        <v>66.75</v>
      </c>
      <c r="P1251" s="107">
        <v>69.099999999999994</v>
      </c>
      <c r="Q1251" s="107">
        <v>67.05</v>
      </c>
      <c r="R1251">
        <v>2130478</v>
      </c>
    </row>
    <row r="1252" spans="1:18" x14ac:dyDescent="0.25">
      <c r="A1252" s="130">
        <v>43851</v>
      </c>
      <c r="B1252" s="107">
        <v>67.7</v>
      </c>
      <c r="C1252" s="107">
        <v>67.3</v>
      </c>
      <c r="D1252" s="107">
        <v>66.849999999999994</v>
      </c>
      <c r="E1252" s="107">
        <v>67.400000000000006</v>
      </c>
      <c r="F1252" s="107">
        <v>67.3</v>
      </c>
      <c r="G1252">
        <v>122017</v>
      </c>
      <c r="H1252" s="107"/>
      <c r="I1252" s="107"/>
      <c r="L1252" s="130">
        <v>43851</v>
      </c>
      <c r="M1252" s="107">
        <v>67.349999999999994</v>
      </c>
      <c r="N1252" s="107">
        <v>67.75</v>
      </c>
      <c r="O1252" s="107">
        <v>66.7</v>
      </c>
      <c r="P1252" s="107">
        <v>66.8</v>
      </c>
      <c r="Q1252" s="107">
        <v>67.349999999999994</v>
      </c>
      <c r="R1252">
        <v>1239835</v>
      </c>
    </row>
    <row r="1253" spans="1:18" x14ac:dyDescent="0.25">
      <c r="A1253" s="130">
        <v>43852</v>
      </c>
      <c r="B1253" s="107">
        <v>67.849999999999994</v>
      </c>
      <c r="C1253" s="107">
        <v>67.45</v>
      </c>
      <c r="D1253" s="107">
        <v>66.75</v>
      </c>
      <c r="E1253" s="107">
        <v>67.400000000000006</v>
      </c>
      <c r="F1253" s="107">
        <v>67.45</v>
      </c>
      <c r="G1253">
        <v>79115</v>
      </c>
      <c r="H1253" s="107"/>
      <c r="I1253" s="107"/>
      <c r="L1253" s="130">
        <v>43852</v>
      </c>
      <c r="M1253" s="107">
        <v>67.45</v>
      </c>
      <c r="N1253" s="107">
        <v>67.8</v>
      </c>
      <c r="O1253" s="107">
        <v>66.7</v>
      </c>
      <c r="P1253" s="107">
        <v>67.599999999999994</v>
      </c>
      <c r="Q1253" s="107">
        <v>67.45</v>
      </c>
      <c r="R1253">
        <v>1081492</v>
      </c>
    </row>
    <row r="1254" spans="1:18" x14ac:dyDescent="0.25">
      <c r="A1254" s="130">
        <v>43853</v>
      </c>
      <c r="B1254" s="107">
        <v>68.2</v>
      </c>
      <c r="C1254" s="107">
        <v>67.599999999999994</v>
      </c>
      <c r="D1254" s="107">
        <v>66.599999999999994</v>
      </c>
      <c r="E1254" s="107">
        <v>66.599999999999994</v>
      </c>
      <c r="F1254" s="107">
        <v>67.599999999999994</v>
      </c>
      <c r="G1254">
        <v>91557</v>
      </c>
      <c r="H1254" s="107"/>
      <c r="I1254" s="107"/>
      <c r="L1254" s="130">
        <v>43853</v>
      </c>
      <c r="M1254" s="107">
        <v>67.55</v>
      </c>
      <c r="N1254" s="107">
        <v>68.2</v>
      </c>
      <c r="O1254" s="107">
        <v>67.05</v>
      </c>
      <c r="P1254" s="107">
        <v>67.25</v>
      </c>
      <c r="Q1254" s="107">
        <v>67.55</v>
      </c>
      <c r="R1254">
        <v>1465295</v>
      </c>
    </row>
    <row r="1255" spans="1:18" x14ac:dyDescent="0.25">
      <c r="A1255" s="130">
        <v>43854</v>
      </c>
      <c r="B1255" s="107">
        <v>68.3</v>
      </c>
      <c r="C1255" s="107">
        <v>67.7</v>
      </c>
      <c r="D1255" s="107">
        <v>67.400000000000006</v>
      </c>
      <c r="E1255" s="107">
        <v>67.55</v>
      </c>
      <c r="F1255" s="107">
        <v>67.7</v>
      </c>
      <c r="G1255">
        <v>51528</v>
      </c>
      <c r="H1255" s="107"/>
      <c r="I1255" s="107"/>
      <c r="L1255" s="130">
        <v>43854</v>
      </c>
      <c r="M1255" s="107">
        <v>67.7</v>
      </c>
      <c r="N1255" s="107">
        <v>68.349999999999994</v>
      </c>
      <c r="O1255" s="107">
        <v>67.25</v>
      </c>
      <c r="P1255" s="107">
        <v>67.650000000000006</v>
      </c>
      <c r="Q1255" s="107">
        <v>67.7</v>
      </c>
      <c r="R1255">
        <v>1160432</v>
      </c>
    </row>
    <row r="1256" spans="1:18" x14ac:dyDescent="0.25">
      <c r="A1256" s="130">
        <v>43857</v>
      </c>
      <c r="B1256" s="107">
        <v>67.400000000000006</v>
      </c>
      <c r="C1256" s="107">
        <v>67</v>
      </c>
      <c r="D1256" s="107">
        <v>66.75</v>
      </c>
      <c r="E1256" s="107">
        <v>67.3</v>
      </c>
      <c r="F1256" s="107">
        <v>67</v>
      </c>
      <c r="G1256">
        <v>55562</v>
      </c>
      <c r="H1256" s="107"/>
      <c r="I1256" s="107"/>
      <c r="L1256" s="130">
        <v>43857</v>
      </c>
      <c r="M1256" s="107">
        <v>66.95</v>
      </c>
      <c r="N1256" s="107">
        <v>67.45</v>
      </c>
      <c r="O1256" s="107">
        <v>66.8</v>
      </c>
      <c r="P1256" s="107">
        <v>67</v>
      </c>
      <c r="Q1256" s="107">
        <v>66.95</v>
      </c>
      <c r="R1256">
        <v>1099606</v>
      </c>
    </row>
    <row r="1257" spans="1:18" x14ac:dyDescent="0.25">
      <c r="A1257" s="130">
        <v>43858</v>
      </c>
      <c r="B1257" s="107">
        <v>67.3</v>
      </c>
      <c r="C1257" s="107">
        <v>66.400000000000006</v>
      </c>
      <c r="D1257" s="107">
        <v>65.900000000000006</v>
      </c>
      <c r="E1257" s="107">
        <v>67</v>
      </c>
      <c r="F1257" s="107">
        <v>66.400000000000006</v>
      </c>
      <c r="G1257">
        <v>115888</v>
      </c>
      <c r="H1257" s="107"/>
      <c r="I1257" s="107"/>
      <c r="L1257" s="130">
        <v>43858</v>
      </c>
      <c r="M1257" s="107">
        <v>66.3</v>
      </c>
      <c r="N1257" s="107">
        <v>67.3</v>
      </c>
      <c r="O1257" s="107">
        <v>65.900000000000006</v>
      </c>
      <c r="P1257" s="107">
        <v>67</v>
      </c>
      <c r="Q1257" s="107">
        <v>66.3</v>
      </c>
      <c r="R1257">
        <v>1276379</v>
      </c>
    </row>
    <row r="1258" spans="1:18" x14ac:dyDescent="0.25">
      <c r="A1258" s="130">
        <v>43859</v>
      </c>
      <c r="B1258" s="107">
        <v>67.25</v>
      </c>
      <c r="C1258" s="107">
        <v>66.400000000000006</v>
      </c>
      <c r="D1258" s="107">
        <v>66.25</v>
      </c>
      <c r="E1258" s="107">
        <v>66.400000000000006</v>
      </c>
      <c r="F1258" s="107">
        <v>66.400000000000006</v>
      </c>
      <c r="G1258">
        <v>42896</v>
      </c>
      <c r="H1258" s="107"/>
      <c r="I1258" s="107"/>
      <c r="L1258" s="130">
        <v>43859</v>
      </c>
      <c r="M1258" s="107">
        <v>66.45</v>
      </c>
      <c r="N1258" s="107">
        <v>67.2</v>
      </c>
      <c r="O1258" s="107">
        <v>66.2</v>
      </c>
      <c r="P1258" s="107">
        <v>66.900000000000006</v>
      </c>
      <c r="Q1258" s="107">
        <v>66.45</v>
      </c>
      <c r="R1258">
        <v>846686</v>
      </c>
    </row>
    <row r="1259" spans="1:18" x14ac:dyDescent="0.25">
      <c r="A1259" s="130">
        <v>43860</v>
      </c>
      <c r="B1259" s="107">
        <v>66.7</v>
      </c>
      <c r="C1259" s="107">
        <v>66.05</v>
      </c>
      <c r="D1259" s="107">
        <v>65.8</v>
      </c>
      <c r="E1259" s="107">
        <v>66.7</v>
      </c>
      <c r="F1259" s="107">
        <v>66.05</v>
      </c>
      <c r="G1259">
        <v>77498</v>
      </c>
      <c r="H1259" s="107"/>
      <c r="I1259" s="107"/>
      <c r="L1259" s="130">
        <v>43860</v>
      </c>
      <c r="M1259" s="107">
        <v>66.099999999999994</v>
      </c>
      <c r="N1259" s="107">
        <v>67</v>
      </c>
      <c r="O1259" s="107">
        <v>65.8</v>
      </c>
      <c r="P1259" s="107">
        <v>67</v>
      </c>
      <c r="Q1259" s="107">
        <v>66.099999999999994</v>
      </c>
      <c r="R1259">
        <v>728343</v>
      </c>
    </row>
    <row r="1260" spans="1:18" x14ac:dyDescent="0.25">
      <c r="A1260" s="130">
        <v>43861</v>
      </c>
      <c r="B1260" s="107">
        <v>68.900000000000006</v>
      </c>
      <c r="C1260" s="107">
        <v>67.75</v>
      </c>
      <c r="D1260" s="107">
        <v>65.25</v>
      </c>
      <c r="E1260" s="107">
        <v>66.650000000000006</v>
      </c>
      <c r="F1260" s="107">
        <v>67.75</v>
      </c>
      <c r="G1260">
        <v>365792</v>
      </c>
      <c r="H1260" s="107"/>
      <c r="I1260" s="107"/>
      <c r="L1260" s="130">
        <v>43861</v>
      </c>
      <c r="M1260" s="107">
        <v>67.8</v>
      </c>
      <c r="N1260" s="107">
        <v>68.95</v>
      </c>
      <c r="O1260" s="107">
        <v>65.150000000000006</v>
      </c>
      <c r="P1260" s="107">
        <v>66.55</v>
      </c>
      <c r="Q1260" s="107">
        <v>67.8</v>
      </c>
      <c r="R1260">
        <v>6726700</v>
      </c>
    </row>
    <row r="1261" spans="1:18" x14ac:dyDescent="0.25">
      <c r="A1261" s="130">
        <v>43862</v>
      </c>
      <c r="B1261" s="107">
        <v>68.849999999999994</v>
      </c>
      <c r="C1261" s="107">
        <v>65.2</v>
      </c>
      <c r="D1261" s="107">
        <v>64.900000000000006</v>
      </c>
      <c r="E1261" s="107">
        <v>68.45</v>
      </c>
      <c r="F1261" s="107">
        <v>65.2</v>
      </c>
      <c r="G1261">
        <v>183241</v>
      </c>
      <c r="H1261" s="107"/>
      <c r="I1261" s="107"/>
      <c r="L1261" s="130">
        <v>43862</v>
      </c>
      <c r="M1261" s="107">
        <v>65.25</v>
      </c>
      <c r="N1261" s="107">
        <v>68.849999999999994</v>
      </c>
      <c r="O1261" s="107">
        <v>64.5</v>
      </c>
      <c r="P1261" s="107">
        <v>68.849999999999994</v>
      </c>
      <c r="Q1261" s="107">
        <v>65.25</v>
      </c>
      <c r="R1261">
        <v>1585214</v>
      </c>
    </row>
    <row r="1262" spans="1:18" x14ac:dyDescent="0.25">
      <c r="A1262" s="130">
        <v>43864</v>
      </c>
      <c r="B1262" s="107">
        <v>66.400000000000006</v>
      </c>
      <c r="C1262" s="107">
        <v>64.95</v>
      </c>
      <c r="D1262" s="107">
        <v>64.400000000000006</v>
      </c>
      <c r="E1262" s="107">
        <v>66.400000000000006</v>
      </c>
      <c r="F1262" s="107">
        <v>64.95</v>
      </c>
      <c r="G1262">
        <v>72532</v>
      </c>
      <c r="H1262" s="107"/>
      <c r="I1262" s="107"/>
      <c r="L1262" s="130">
        <v>43864</v>
      </c>
      <c r="M1262" s="107">
        <v>65.099999999999994</v>
      </c>
      <c r="N1262" s="107">
        <v>65.7</v>
      </c>
      <c r="O1262" s="107">
        <v>64.150000000000006</v>
      </c>
      <c r="P1262" s="107">
        <v>64.5</v>
      </c>
      <c r="Q1262" s="107">
        <v>65.099999999999994</v>
      </c>
      <c r="R1262">
        <v>1136112</v>
      </c>
    </row>
    <row r="1263" spans="1:18" x14ac:dyDescent="0.25">
      <c r="A1263" s="130">
        <v>43865</v>
      </c>
      <c r="B1263" s="107">
        <v>66.099999999999994</v>
      </c>
      <c r="C1263" s="107">
        <v>65.5</v>
      </c>
      <c r="D1263" s="107">
        <v>64.8</v>
      </c>
      <c r="E1263" s="107">
        <v>65.349999999999994</v>
      </c>
      <c r="F1263" s="107">
        <v>65.5</v>
      </c>
      <c r="G1263">
        <v>110388</v>
      </c>
      <c r="H1263" s="107"/>
      <c r="I1263" s="107"/>
      <c r="L1263" s="130">
        <v>43865</v>
      </c>
      <c r="M1263" s="107">
        <v>65.55</v>
      </c>
      <c r="N1263" s="107">
        <v>66.099999999999994</v>
      </c>
      <c r="O1263" s="107">
        <v>64.8</v>
      </c>
      <c r="P1263" s="107">
        <v>65.099999999999994</v>
      </c>
      <c r="Q1263" s="107">
        <v>65.55</v>
      </c>
      <c r="R1263">
        <v>1323547</v>
      </c>
    </row>
    <row r="1264" spans="1:18" x14ac:dyDescent="0.25">
      <c r="A1264" s="130">
        <v>43866</v>
      </c>
      <c r="B1264" s="107">
        <v>66.150000000000006</v>
      </c>
      <c r="C1264" s="107">
        <v>65</v>
      </c>
      <c r="D1264" s="107">
        <v>64.7</v>
      </c>
      <c r="E1264" s="107">
        <v>65.7</v>
      </c>
      <c r="F1264" s="107">
        <v>65</v>
      </c>
      <c r="G1264">
        <v>51038</v>
      </c>
      <c r="H1264" s="107"/>
      <c r="I1264" s="107"/>
      <c r="L1264" s="130">
        <v>43866</v>
      </c>
      <c r="M1264" s="107">
        <v>65.05</v>
      </c>
      <c r="N1264" s="107">
        <v>66.3</v>
      </c>
      <c r="O1264" s="107">
        <v>64.599999999999994</v>
      </c>
      <c r="P1264" s="107">
        <v>65.5</v>
      </c>
      <c r="Q1264" s="107">
        <v>65.05</v>
      </c>
      <c r="R1264">
        <v>949755</v>
      </c>
    </row>
    <row r="1265" spans="1:18" x14ac:dyDescent="0.25">
      <c r="A1265" s="130">
        <v>43867</v>
      </c>
      <c r="B1265" s="107">
        <v>67.2</v>
      </c>
      <c r="C1265" s="107">
        <v>64.95</v>
      </c>
      <c r="D1265" s="107">
        <v>64.5</v>
      </c>
      <c r="E1265" s="107">
        <v>65.95</v>
      </c>
      <c r="F1265" s="107">
        <v>64.95</v>
      </c>
      <c r="G1265">
        <v>209820</v>
      </c>
      <c r="H1265" s="107"/>
      <c r="I1265" s="107"/>
      <c r="L1265" s="130">
        <v>43867</v>
      </c>
      <c r="M1265" s="107">
        <v>65</v>
      </c>
      <c r="N1265" s="107">
        <v>67.2</v>
      </c>
      <c r="O1265" s="107">
        <v>64.650000000000006</v>
      </c>
      <c r="P1265" s="107">
        <v>65.8</v>
      </c>
      <c r="Q1265" s="107">
        <v>65</v>
      </c>
      <c r="R1265">
        <v>2449303</v>
      </c>
    </row>
    <row r="1266" spans="1:18" x14ac:dyDescent="0.25">
      <c r="A1266" s="130">
        <v>43868</v>
      </c>
      <c r="B1266" s="107">
        <v>66.25</v>
      </c>
      <c r="C1266" s="107">
        <v>64.7</v>
      </c>
      <c r="D1266" s="107">
        <v>64.349999999999994</v>
      </c>
      <c r="E1266" s="107">
        <v>66.25</v>
      </c>
      <c r="F1266" s="107">
        <v>64.7</v>
      </c>
      <c r="G1266">
        <v>156757</v>
      </c>
      <c r="H1266" s="107"/>
      <c r="I1266" s="107"/>
      <c r="L1266" s="130">
        <v>43868</v>
      </c>
      <c r="M1266" s="107">
        <v>64.75</v>
      </c>
      <c r="N1266" s="107">
        <v>65.7</v>
      </c>
      <c r="O1266" s="107">
        <v>64.25</v>
      </c>
      <c r="P1266" s="107">
        <v>65.05</v>
      </c>
      <c r="Q1266" s="107">
        <v>64.75</v>
      </c>
      <c r="R1266">
        <v>1269896</v>
      </c>
    </row>
    <row r="1267" spans="1:18" x14ac:dyDescent="0.25">
      <c r="A1267" s="130">
        <v>43871</v>
      </c>
      <c r="B1267" s="107">
        <v>64.900000000000006</v>
      </c>
      <c r="C1267" s="107">
        <v>64.650000000000006</v>
      </c>
      <c r="D1267" s="107">
        <v>64</v>
      </c>
      <c r="E1267" s="107">
        <v>64.7</v>
      </c>
      <c r="F1267" s="107">
        <v>64.650000000000006</v>
      </c>
      <c r="G1267">
        <v>123035</v>
      </c>
      <c r="H1267" s="107"/>
      <c r="I1267" s="107"/>
      <c r="L1267" s="130">
        <v>43871</v>
      </c>
      <c r="M1267" s="107">
        <v>64.650000000000006</v>
      </c>
      <c r="N1267" s="107">
        <v>65</v>
      </c>
      <c r="O1267" s="107">
        <v>64</v>
      </c>
      <c r="P1267" s="107">
        <v>64.75</v>
      </c>
      <c r="Q1267" s="107">
        <v>64.650000000000006</v>
      </c>
      <c r="R1267">
        <v>1012501</v>
      </c>
    </row>
    <row r="1268" spans="1:18" x14ac:dyDescent="0.25">
      <c r="A1268" s="130">
        <v>43872</v>
      </c>
      <c r="B1268" s="107">
        <v>65.45</v>
      </c>
      <c r="C1268" s="107">
        <v>64.349999999999994</v>
      </c>
      <c r="D1268" s="107">
        <v>64.05</v>
      </c>
      <c r="E1268" s="107">
        <v>64.75</v>
      </c>
      <c r="F1268" s="107">
        <v>64.349999999999994</v>
      </c>
      <c r="G1268">
        <v>66396</v>
      </c>
      <c r="H1268" s="107"/>
      <c r="I1268" s="107"/>
      <c r="L1268" s="130">
        <v>43872</v>
      </c>
      <c r="M1268" s="107">
        <v>64.400000000000006</v>
      </c>
      <c r="N1268" s="107">
        <v>65.400000000000006</v>
      </c>
      <c r="O1268" s="107">
        <v>63.9</v>
      </c>
      <c r="P1268" s="107">
        <v>65.099999999999994</v>
      </c>
      <c r="Q1268" s="107">
        <v>64.400000000000006</v>
      </c>
      <c r="R1268">
        <v>955718</v>
      </c>
    </row>
    <row r="1269" spans="1:18" x14ac:dyDescent="0.25">
      <c r="A1269" s="130">
        <v>43873</v>
      </c>
      <c r="B1269" s="107">
        <v>64.900000000000006</v>
      </c>
      <c r="C1269" s="107">
        <v>63.45</v>
      </c>
      <c r="D1269" s="107">
        <v>63.05</v>
      </c>
      <c r="E1269" s="107">
        <v>64.900000000000006</v>
      </c>
      <c r="F1269" s="107">
        <v>63.45</v>
      </c>
      <c r="G1269">
        <v>124504</v>
      </c>
      <c r="H1269" s="107"/>
      <c r="I1269" s="107"/>
      <c r="L1269" s="130">
        <v>43873</v>
      </c>
      <c r="M1269" s="107">
        <v>63.45</v>
      </c>
      <c r="N1269" s="107">
        <v>64.900000000000006</v>
      </c>
      <c r="O1269" s="107">
        <v>63.1</v>
      </c>
      <c r="P1269" s="107">
        <v>64.8</v>
      </c>
      <c r="Q1269" s="107">
        <v>63.45</v>
      </c>
      <c r="R1269">
        <v>861663</v>
      </c>
    </row>
    <row r="1270" spans="1:18" x14ac:dyDescent="0.25">
      <c r="A1270" s="130">
        <v>43874</v>
      </c>
      <c r="B1270" s="107">
        <v>63.85</v>
      </c>
      <c r="C1270" s="107">
        <v>63.1</v>
      </c>
      <c r="D1270" s="107">
        <v>62.7</v>
      </c>
      <c r="E1270" s="107">
        <v>63.3</v>
      </c>
      <c r="F1270" s="107">
        <v>63.1</v>
      </c>
      <c r="G1270">
        <v>543662</v>
      </c>
      <c r="H1270" s="107"/>
      <c r="I1270" s="107"/>
      <c r="L1270" s="130">
        <v>43874</v>
      </c>
      <c r="M1270" s="107">
        <v>63.1</v>
      </c>
      <c r="N1270" s="107">
        <v>63.8</v>
      </c>
      <c r="O1270" s="107">
        <v>62.75</v>
      </c>
      <c r="P1270" s="107">
        <v>63.35</v>
      </c>
      <c r="Q1270" s="107">
        <v>63.1</v>
      </c>
      <c r="R1270">
        <v>1047518</v>
      </c>
    </row>
    <row r="1271" spans="1:18" x14ac:dyDescent="0.25">
      <c r="A1271" s="130">
        <v>43875</v>
      </c>
      <c r="B1271" s="107">
        <v>63.5</v>
      </c>
      <c r="C1271" s="107">
        <v>63</v>
      </c>
      <c r="D1271" s="107">
        <v>62.7</v>
      </c>
      <c r="E1271" s="107">
        <v>63</v>
      </c>
      <c r="F1271" s="107">
        <v>63</v>
      </c>
      <c r="G1271">
        <v>546722</v>
      </c>
      <c r="H1271" s="107"/>
      <c r="I1271" s="107"/>
      <c r="L1271" s="130">
        <v>43875</v>
      </c>
      <c r="M1271" s="107">
        <v>63.05</v>
      </c>
      <c r="N1271" s="107">
        <v>63.55</v>
      </c>
      <c r="O1271" s="107">
        <v>62.65</v>
      </c>
      <c r="P1271" s="107">
        <v>63.25</v>
      </c>
      <c r="Q1271" s="107">
        <v>63.05</v>
      </c>
      <c r="R1271">
        <v>999669</v>
      </c>
    </row>
    <row r="1272" spans="1:18" x14ac:dyDescent="0.25">
      <c r="A1272" s="130">
        <v>43878</v>
      </c>
      <c r="B1272" s="107">
        <v>63.2</v>
      </c>
      <c r="C1272" s="107">
        <v>61.05</v>
      </c>
      <c r="D1272" s="107">
        <v>60.85</v>
      </c>
      <c r="E1272" s="107">
        <v>63.2</v>
      </c>
      <c r="F1272" s="107">
        <v>61.05</v>
      </c>
      <c r="G1272">
        <v>604710</v>
      </c>
      <c r="H1272" s="107"/>
      <c r="I1272" s="107"/>
      <c r="L1272" s="130">
        <v>43878</v>
      </c>
      <c r="M1272" s="107">
        <v>61.15</v>
      </c>
      <c r="N1272" s="107">
        <v>63.3</v>
      </c>
      <c r="O1272" s="107">
        <v>60.8</v>
      </c>
      <c r="P1272" s="107">
        <v>63.05</v>
      </c>
      <c r="Q1272" s="107">
        <v>61.15</v>
      </c>
      <c r="R1272">
        <v>1263934</v>
      </c>
    </row>
    <row r="1273" spans="1:18" x14ac:dyDescent="0.25">
      <c r="A1273" s="130">
        <v>43879</v>
      </c>
      <c r="B1273" s="107">
        <v>60.7</v>
      </c>
      <c r="C1273" s="107">
        <v>60.35</v>
      </c>
      <c r="D1273" s="107">
        <v>58.35</v>
      </c>
      <c r="E1273" s="107">
        <v>60.25</v>
      </c>
      <c r="F1273" s="107">
        <v>60.35</v>
      </c>
      <c r="G1273">
        <v>387606</v>
      </c>
      <c r="H1273" s="107"/>
      <c r="I1273" s="107"/>
      <c r="L1273" s="130">
        <v>43879</v>
      </c>
      <c r="M1273" s="107">
        <v>60.3</v>
      </c>
      <c r="N1273" s="107">
        <v>60.8</v>
      </c>
      <c r="O1273" s="107">
        <v>58.45</v>
      </c>
      <c r="P1273" s="107">
        <v>60.6</v>
      </c>
      <c r="Q1273" s="107">
        <v>60.3</v>
      </c>
      <c r="R1273">
        <v>1608057</v>
      </c>
    </row>
    <row r="1274" spans="1:18" x14ac:dyDescent="0.25">
      <c r="A1274" s="130">
        <v>43880</v>
      </c>
      <c r="B1274" s="107">
        <v>62</v>
      </c>
      <c r="C1274" s="107">
        <v>60.35</v>
      </c>
      <c r="D1274" s="107">
        <v>59.7</v>
      </c>
      <c r="E1274" s="107">
        <v>62</v>
      </c>
      <c r="F1274" s="107">
        <v>60.35</v>
      </c>
      <c r="G1274">
        <v>636669</v>
      </c>
      <c r="H1274" s="107"/>
      <c r="I1274" s="107"/>
      <c r="L1274" s="130">
        <v>43880</v>
      </c>
      <c r="M1274" s="107">
        <v>60.35</v>
      </c>
      <c r="N1274" s="107">
        <v>61.8</v>
      </c>
      <c r="O1274" s="107">
        <v>59.7</v>
      </c>
      <c r="P1274" s="107">
        <v>60.6</v>
      </c>
      <c r="Q1274" s="107">
        <v>60.35</v>
      </c>
      <c r="R1274">
        <v>1388779</v>
      </c>
    </row>
    <row r="1275" spans="1:18" x14ac:dyDescent="0.25">
      <c r="A1275" s="130">
        <v>43881</v>
      </c>
      <c r="B1275" s="107">
        <v>60.85</v>
      </c>
      <c r="C1275" s="107">
        <v>59.95</v>
      </c>
      <c r="D1275" s="107">
        <v>59.65</v>
      </c>
      <c r="E1275" s="107">
        <v>60.5</v>
      </c>
      <c r="F1275" s="107">
        <v>59.95</v>
      </c>
      <c r="G1275">
        <v>354209</v>
      </c>
      <c r="H1275" s="107"/>
      <c r="I1275" s="107"/>
      <c r="L1275" s="130">
        <v>43881</v>
      </c>
      <c r="M1275" s="107">
        <v>59.95</v>
      </c>
      <c r="N1275" s="107">
        <v>60.95</v>
      </c>
      <c r="O1275" s="107">
        <v>59.55</v>
      </c>
      <c r="P1275" s="107">
        <v>60.3</v>
      </c>
      <c r="Q1275" s="107">
        <v>59.95</v>
      </c>
      <c r="R1275">
        <v>1351308</v>
      </c>
    </row>
    <row r="1276" spans="1:18" x14ac:dyDescent="0.25">
      <c r="A1276" s="130">
        <v>43885</v>
      </c>
      <c r="B1276" s="107">
        <v>59.7</v>
      </c>
      <c r="C1276" s="107">
        <v>58.8</v>
      </c>
      <c r="D1276" s="107">
        <v>58.65</v>
      </c>
      <c r="E1276" s="107">
        <v>58.9</v>
      </c>
      <c r="F1276" s="107">
        <v>58.8</v>
      </c>
      <c r="G1276">
        <v>445012</v>
      </c>
      <c r="H1276" s="107"/>
      <c r="I1276" s="107"/>
      <c r="L1276" s="130">
        <v>43885</v>
      </c>
      <c r="M1276" s="107">
        <v>58.8</v>
      </c>
      <c r="N1276" s="107">
        <v>59.7</v>
      </c>
      <c r="O1276" s="107">
        <v>58.5</v>
      </c>
      <c r="P1276" s="107">
        <v>59</v>
      </c>
      <c r="Q1276" s="107">
        <v>58.8</v>
      </c>
      <c r="R1276">
        <v>1024784</v>
      </c>
    </row>
    <row r="1277" spans="1:18" x14ac:dyDescent="0.25">
      <c r="A1277" s="130">
        <v>43886</v>
      </c>
      <c r="B1277" s="107">
        <v>59.2</v>
      </c>
      <c r="C1277" s="107">
        <v>58.25</v>
      </c>
      <c r="D1277" s="107">
        <v>58</v>
      </c>
      <c r="E1277" s="107">
        <v>59.2</v>
      </c>
      <c r="F1277" s="107">
        <v>58.25</v>
      </c>
      <c r="G1277">
        <v>219347</v>
      </c>
      <c r="H1277" s="107"/>
      <c r="I1277" s="107"/>
      <c r="L1277" s="130">
        <v>43886</v>
      </c>
      <c r="M1277" s="107">
        <v>58.35</v>
      </c>
      <c r="N1277" s="107">
        <v>59.3</v>
      </c>
      <c r="O1277" s="107">
        <v>58</v>
      </c>
      <c r="P1277" s="107">
        <v>59</v>
      </c>
      <c r="Q1277" s="107">
        <v>58.35</v>
      </c>
      <c r="R1277">
        <v>1045929</v>
      </c>
    </row>
    <row r="1278" spans="1:18" x14ac:dyDescent="0.25">
      <c r="A1278" s="130">
        <v>43887</v>
      </c>
      <c r="B1278" s="107">
        <v>58.3</v>
      </c>
      <c r="C1278" s="107">
        <v>56.8</v>
      </c>
      <c r="D1278" s="107">
        <v>56.55</v>
      </c>
      <c r="E1278" s="107">
        <v>58.25</v>
      </c>
      <c r="F1278" s="107">
        <v>56.8</v>
      </c>
      <c r="G1278">
        <v>239125</v>
      </c>
      <c r="H1278" s="107"/>
      <c r="I1278" s="107"/>
      <c r="L1278" s="130">
        <v>43887</v>
      </c>
      <c r="M1278" s="107">
        <v>56.9</v>
      </c>
      <c r="N1278" s="107">
        <v>58.05</v>
      </c>
      <c r="O1278" s="107">
        <v>56.55</v>
      </c>
      <c r="P1278" s="107">
        <v>57.9</v>
      </c>
      <c r="Q1278" s="107">
        <v>56.9</v>
      </c>
      <c r="R1278">
        <v>1283896</v>
      </c>
    </row>
    <row r="1279" spans="1:18" x14ac:dyDescent="0.25">
      <c r="A1279" s="130">
        <v>43888</v>
      </c>
      <c r="B1279" s="107">
        <v>56.7</v>
      </c>
      <c r="C1279" s="107">
        <v>55.2</v>
      </c>
      <c r="D1279" s="107">
        <v>54.65</v>
      </c>
      <c r="E1279" s="107">
        <v>56.6</v>
      </c>
      <c r="F1279" s="107">
        <v>55.2</v>
      </c>
      <c r="G1279">
        <v>360637</v>
      </c>
      <c r="H1279" s="107"/>
      <c r="I1279" s="107"/>
      <c r="L1279" s="130">
        <v>43888</v>
      </c>
      <c r="M1279" s="107">
        <v>55.3</v>
      </c>
      <c r="N1279" s="107">
        <v>56.85</v>
      </c>
      <c r="O1279" s="107">
        <v>54.5</v>
      </c>
      <c r="P1279" s="107">
        <v>56.85</v>
      </c>
      <c r="Q1279" s="107">
        <v>55.3</v>
      </c>
      <c r="R1279">
        <v>1287501</v>
      </c>
    </row>
    <row r="1280" spans="1:18" x14ac:dyDescent="0.25">
      <c r="A1280" s="130">
        <v>43889</v>
      </c>
      <c r="B1280" s="107">
        <v>54.65</v>
      </c>
      <c r="C1280" s="107">
        <v>50.9</v>
      </c>
      <c r="D1280" s="107">
        <v>50.3</v>
      </c>
      <c r="E1280" s="107">
        <v>54.65</v>
      </c>
      <c r="F1280" s="107">
        <v>50.9</v>
      </c>
      <c r="G1280">
        <v>607581</v>
      </c>
      <c r="H1280" s="107"/>
      <c r="I1280" s="107"/>
      <c r="L1280" s="130">
        <v>43889</v>
      </c>
      <c r="M1280" s="107">
        <v>51.05</v>
      </c>
      <c r="N1280" s="107">
        <v>53.75</v>
      </c>
      <c r="O1280" s="107">
        <v>50.3</v>
      </c>
      <c r="P1280" s="107">
        <v>53.55</v>
      </c>
      <c r="Q1280" s="107">
        <v>51.05</v>
      </c>
      <c r="R1280">
        <v>1960487</v>
      </c>
    </row>
    <row r="1281" spans="1:18" x14ac:dyDescent="0.25">
      <c r="A1281" s="130">
        <v>43892</v>
      </c>
      <c r="B1281" s="107">
        <v>53</v>
      </c>
      <c r="C1281" s="107">
        <v>50.1</v>
      </c>
      <c r="D1281" s="107">
        <v>49.25</v>
      </c>
      <c r="E1281" s="107">
        <v>53</v>
      </c>
      <c r="F1281" s="107">
        <v>50.1</v>
      </c>
      <c r="G1281">
        <v>858249</v>
      </c>
      <c r="H1281" s="107"/>
      <c r="I1281" s="107"/>
      <c r="L1281" s="130">
        <v>43892</v>
      </c>
      <c r="M1281" s="107">
        <v>50.05</v>
      </c>
      <c r="N1281" s="107">
        <v>54.2</v>
      </c>
      <c r="O1281" s="107">
        <v>49.3</v>
      </c>
      <c r="P1281" s="107">
        <v>51.25</v>
      </c>
      <c r="Q1281" s="107">
        <v>50.05</v>
      </c>
      <c r="R1281">
        <v>1861547</v>
      </c>
    </row>
    <row r="1282" spans="1:18" x14ac:dyDescent="0.25">
      <c r="A1282" s="130">
        <v>43893</v>
      </c>
      <c r="B1282" s="107">
        <v>51.15</v>
      </c>
      <c r="C1282" s="107">
        <v>49.3</v>
      </c>
      <c r="D1282" s="107">
        <v>48.9</v>
      </c>
      <c r="E1282" s="107">
        <v>51.15</v>
      </c>
      <c r="F1282" s="107">
        <v>49.3</v>
      </c>
      <c r="G1282">
        <v>270239</v>
      </c>
      <c r="H1282" s="107"/>
      <c r="I1282" s="107"/>
      <c r="L1282" s="130">
        <v>43893</v>
      </c>
      <c r="M1282" s="107">
        <v>49.35</v>
      </c>
      <c r="N1282" s="107">
        <v>51</v>
      </c>
      <c r="O1282" s="107">
        <v>49</v>
      </c>
      <c r="P1282" s="107">
        <v>50.8</v>
      </c>
      <c r="Q1282" s="107">
        <v>49.35</v>
      </c>
      <c r="R1282">
        <v>1622792</v>
      </c>
    </row>
    <row r="1283" spans="1:18" x14ac:dyDescent="0.25">
      <c r="A1283" s="130">
        <v>43894</v>
      </c>
      <c r="B1283" s="107">
        <v>50.3</v>
      </c>
      <c r="C1283" s="107">
        <v>48.25</v>
      </c>
      <c r="D1283" s="107">
        <v>47.65</v>
      </c>
      <c r="E1283" s="107">
        <v>50.3</v>
      </c>
      <c r="F1283" s="107">
        <v>48.25</v>
      </c>
      <c r="G1283">
        <v>576076</v>
      </c>
      <c r="H1283" s="107"/>
      <c r="I1283" s="107"/>
      <c r="L1283" s="130">
        <v>43894</v>
      </c>
      <c r="M1283" s="107">
        <v>48.2</v>
      </c>
      <c r="N1283" s="107">
        <v>50.3</v>
      </c>
      <c r="O1283" s="107">
        <v>47.7</v>
      </c>
      <c r="P1283" s="107">
        <v>49.6</v>
      </c>
      <c r="Q1283" s="107">
        <v>48.2</v>
      </c>
      <c r="R1283">
        <v>2801651</v>
      </c>
    </row>
    <row r="1284" spans="1:18" x14ac:dyDescent="0.25">
      <c r="A1284" s="130">
        <v>43895</v>
      </c>
      <c r="B1284" s="107">
        <v>49.35</v>
      </c>
      <c r="C1284" s="107">
        <v>48.2</v>
      </c>
      <c r="D1284" s="107">
        <v>47.7</v>
      </c>
      <c r="E1284" s="107">
        <v>49</v>
      </c>
      <c r="F1284" s="107">
        <v>48.2</v>
      </c>
      <c r="G1284">
        <v>325786</v>
      </c>
      <c r="H1284" s="107"/>
      <c r="I1284" s="107"/>
      <c r="L1284" s="130">
        <v>43895</v>
      </c>
      <c r="M1284" s="107">
        <v>48.25</v>
      </c>
      <c r="N1284" s="107">
        <v>49.35</v>
      </c>
      <c r="O1284" s="107">
        <v>47.7</v>
      </c>
      <c r="P1284" s="107">
        <v>48.2</v>
      </c>
      <c r="Q1284" s="107">
        <v>48.25</v>
      </c>
      <c r="R1284">
        <v>3033072</v>
      </c>
    </row>
    <row r="1285" spans="1:18" x14ac:dyDescent="0.25">
      <c r="A1285" s="130">
        <v>43896</v>
      </c>
      <c r="B1285" s="107">
        <v>47</v>
      </c>
      <c r="C1285" s="107">
        <v>45.45</v>
      </c>
      <c r="D1285" s="107">
        <v>43.95</v>
      </c>
      <c r="E1285" s="107">
        <v>47</v>
      </c>
      <c r="F1285" s="107">
        <v>45.45</v>
      </c>
      <c r="G1285">
        <v>538409</v>
      </c>
      <c r="H1285" s="107"/>
      <c r="I1285" s="107"/>
      <c r="L1285" s="130">
        <v>43896</v>
      </c>
      <c r="M1285" s="107">
        <v>45.5</v>
      </c>
      <c r="N1285" s="107">
        <v>46.4</v>
      </c>
      <c r="O1285" s="107">
        <v>44.5</v>
      </c>
      <c r="P1285" s="107">
        <v>45.05</v>
      </c>
      <c r="Q1285" s="107">
        <v>45.5</v>
      </c>
      <c r="R1285">
        <v>2142612</v>
      </c>
    </row>
    <row r="1286" spans="1:18" x14ac:dyDescent="0.25">
      <c r="A1286" s="130">
        <v>43899</v>
      </c>
      <c r="B1286" s="107">
        <v>45.5</v>
      </c>
      <c r="C1286" s="107">
        <v>40.35</v>
      </c>
      <c r="D1286" s="107">
        <v>40.049999999999997</v>
      </c>
      <c r="E1286" s="107">
        <v>45.5</v>
      </c>
      <c r="F1286" s="107">
        <v>40.35</v>
      </c>
      <c r="G1286">
        <v>573006</v>
      </c>
      <c r="H1286" s="107"/>
      <c r="I1286" s="107"/>
      <c r="L1286" s="130">
        <v>43899</v>
      </c>
      <c r="M1286" s="107">
        <v>40.450000000000003</v>
      </c>
      <c r="N1286" s="107">
        <v>43.6</v>
      </c>
      <c r="O1286" s="107">
        <v>40</v>
      </c>
      <c r="P1286" s="107">
        <v>42.6</v>
      </c>
      <c r="Q1286" s="107">
        <v>40.450000000000003</v>
      </c>
      <c r="R1286">
        <v>3130422</v>
      </c>
    </row>
    <row r="1287" spans="1:18" x14ac:dyDescent="0.25">
      <c r="A1287" s="130">
        <v>43901</v>
      </c>
      <c r="B1287" s="107">
        <v>42.25</v>
      </c>
      <c r="C1287" s="107">
        <v>38.9</v>
      </c>
      <c r="D1287" s="107">
        <v>38.6</v>
      </c>
      <c r="E1287" s="107">
        <v>42.25</v>
      </c>
      <c r="F1287" s="107">
        <v>38.9</v>
      </c>
      <c r="G1287">
        <v>1743064</v>
      </c>
      <c r="H1287" s="107"/>
      <c r="I1287" s="107"/>
      <c r="L1287" s="130">
        <v>43901</v>
      </c>
      <c r="M1287" s="107">
        <v>38.9</v>
      </c>
      <c r="N1287" s="107">
        <v>41.2</v>
      </c>
      <c r="O1287" s="107">
        <v>38.5</v>
      </c>
      <c r="P1287" s="107">
        <v>40.5</v>
      </c>
      <c r="Q1287" s="107">
        <v>38.9</v>
      </c>
      <c r="R1287">
        <v>3779481</v>
      </c>
    </row>
    <row r="1288" spans="1:18" x14ac:dyDescent="0.25">
      <c r="A1288" s="130">
        <v>43902</v>
      </c>
      <c r="B1288" s="107">
        <v>38</v>
      </c>
      <c r="C1288" s="107">
        <v>33.799999999999997</v>
      </c>
      <c r="D1288" s="107">
        <v>32.4</v>
      </c>
      <c r="E1288" s="107">
        <v>38</v>
      </c>
      <c r="F1288" s="107">
        <v>33.799999999999997</v>
      </c>
      <c r="G1288">
        <v>1444213</v>
      </c>
      <c r="H1288" s="107"/>
      <c r="I1288" s="107"/>
      <c r="L1288" s="130">
        <v>43902</v>
      </c>
      <c r="M1288" s="107">
        <v>33.75</v>
      </c>
      <c r="N1288" s="107">
        <v>35.9</v>
      </c>
      <c r="O1288" s="107">
        <v>33.5</v>
      </c>
      <c r="P1288" s="107">
        <v>35</v>
      </c>
      <c r="Q1288" s="107">
        <v>33.75</v>
      </c>
      <c r="R1288">
        <v>3306910</v>
      </c>
    </row>
    <row r="1289" spans="1:18" x14ac:dyDescent="0.25">
      <c r="A1289" s="130">
        <v>43903</v>
      </c>
      <c r="B1289" s="107">
        <v>37.15</v>
      </c>
      <c r="C1289" s="107">
        <v>36.75</v>
      </c>
      <c r="D1289" s="107">
        <v>30.45</v>
      </c>
      <c r="E1289" s="107">
        <v>31</v>
      </c>
      <c r="F1289" s="107">
        <v>36.75</v>
      </c>
      <c r="G1289">
        <v>935000</v>
      </c>
      <c r="H1289" s="107"/>
      <c r="I1289" s="107"/>
      <c r="L1289" s="130">
        <v>43903</v>
      </c>
      <c r="M1289" s="107">
        <v>36.799999999999997</v>
      </c>
      <c r="N1289" s="107">
        <v>37.1</v>
      </c>
      <c r="O1289" s="107">
        <v>30.4</v>
      </c>
      <c r="P1289" s="107">
        <v>31</v>
      </c>
      <c r="Q1289" s="107">
        <v>36.799999999999997</v>
      </c>
      <c r="R1289">
        <v>3636454</v>
      </c>
    </row>
    <row r="1290" spans="1:18" x14ac:dyDescent="0.25">
      <c r="A1290" s="130">
        <v>43906</v>
      </c>
      <c r="B1290" s="107">
        <v>36.75</v>
      </c>
      <c r="C1290" s="107">
        <v>35.450000000000003</v>
      </c>
      <c r="D1290" s="107">
        <v>34.5</v>
      </c>
      <c r="E1290" s="107">
        <v>36.75</v>
      </c>
      <c r="F1290" s="107">
        <v>35.450000000000003</v>
      </c>
      <c r="G1290">
        <v>1088111</v>
      </c>
      <c r="H1290" s="107"/>
      <c r="I1290" s="107"/>
      <c r="L1290" s="130">
        <v>43906</v>
      </c>
      <c r="M1290" s="107">
        <v>35.5</v>
      </c>
      <c r="N1290" s="107">
        <v>36.549999999999997</v>
      </c>
      <c r="O1290" s="107">
        <v>34.049999999999997</v>
      </c>
      <c r="P1290" s="107">
        <v>36.299999999999997</v>
      </c>
      <c r="Q1290" s="107">
        <v>35.5</v>
      </c>
      <c r="R1290">
        <v>2450397</v>
      </c>
    </row>
    <row r="1291" spans="1:18" x14ac:dyDescent="0.25">
      <c r="A1291" s="130">
        <v>43907</v>
      </c>
      <c r="B1291" s="107">
        <v>37.15</v>
      </c>
      <c r="C1291" s="107">
        <v>35.9</v>
      </c>
      <c r="D1291" s="107">
        <v>35</v>
      </c>
      <c r="E1291" s="107">
        <v>35.6</v>
      </c>
      <c r="F1291" s="107">
        <v>35.9</v>
      </c>
      <c r="G1291">
        <v>704009</v>
      </c>
      <c r="H1291" s="107"/>
      <c r="I1291" s="107"/>
      <c r="L1291" s="130">
        <v>43907</v>
      </c>
      <c r="M1291" s="107">
        <v>35.85</v>
      </c>
      <c r="N1291" s="107">
        <v>37.1</v>
      </c>
      <c r="O1291" s="107">
        <v>35</v>
      </c>
      <c r="P1291" s="107">
        <v>35.5</v>
      </c>
      <c r="Q1291" s="107">
        <v>35.85</v>
      </c>
      <c r="R1291">
        <v>2106997</v>
      </c>
    </row>
    <row r="1292" spans="1:18" x14ac:dyDescent="0.25">
      <c r="A1292" s="130">
        <v>43908</v>
      </c>
      <c r="B1292" s="107">
        <v>37.4</v>
      </c>
      <c r="C1292" s="107">
        <v>36.4</v>
      </c>
      <c r="D1292" s="107">
        <v>34.1</v>
      </c>
      <c r="E1292" s="107">
        <v>35.549999999999997</v>
      </c>
      <c r="F1292" s="107">
        <v>36.4</v>
      </c>
      <c r="G1292">
        <v>420229</v>
      </c>
      <c r="H1292" s="107"/>
      <c r="I1292" s="107"/>
      <c r="L1292" s="130">
        <v>43908</v>
      </c>
      <c r="M1292" s="107">
        <v>35.950000000000003</v>
      </c>
      <c r="N1292" s="107">
        <v>37.4</v>
      </c>
      <c r="O1292" s="107">
        <v>34</v>
      </c>
      <c r="P1292" s="107">
        <v>36.1</v>
      </c>
      <c r="Q1292" s="107">
        <v>35.950000000000003</v>
      </c>
      <c r="R1292">
        <v>1995977</v>
      </c>
    </row>
    <row r="1293" spans="1:18" x14ac:dyDescent="0.25">
      <c r="A1293" s="130">
        <v>43909</v>
      </c>
      <c r="B1293" s="107">
        <v>36.799999999999997</v>
      </c>
      <c r="C1293" s="107">
        <v>35.549999999999997</v>
      </c>
      <c r="D1293" s="107">
        <v>33.700000000000003</v>
      </c>
      <c r="E1293" s="107">
        <v>35</v>
      </c>
      <c r="F1293" s="107">
        <v>35.549999999999997</v>
      </c>
      <c r="G1293">
        <v>359072</v>
      </c>
      <c r="H1293" s="107"/>
      <c r="I1293" s="107"/>
      <c r="L1293" s="130">
        <v>43909</v>
      </c>
      <c r="M1293" s="107">
        <v>35.450000000000003</v>
      </c>
      <c r="N1293" s="107">
        <v>36.85</v>
      </c>
      <c r="O1293" s="107">
        <v>33.65</v>
      </c>
      <c r="P1293" s="107">
        <v>34.5</v>
      </c>
      <c r="Q1293" s="107">
        <v>35.450000000000003</v>
      </c>
      <c r="R1293">
        <v>1975725</v>
      </c>
    </row>
    <row r="1294" spans="1:18" x14ac:dyDescent="0.25">
      <c r="A1294" s="130">
        <v>43910</v>
      </c>
      <c r="B1294" s="107">
        <v>36.65</v>
      </c>
      <c r="C1294" s="107">
        <v>35.25</v>
      </c>
      <c r="D1294" s="107">
        <v>34.700000000000003</v>
      </c>
      <c r="E1294" s="107">
        <v>36</v>
      </c>
      <c r="F1294" s="107">
        <v>35.25</v>
      </c>
      <c r="G1294">
        <v>1434266</v>
      </c>
      <c r="H1294" s="107"/>
      <c r="I1294" s="107"/>
      <c r="L1294" s="130">
        <v>43910</v>
      </c>
      <c r="M1294" s="107">
        <v>35.450000000000003</v>
      </c>
      <c r="N1294" s="107">
        <v>36.700000000000003</v>
      </c>
      <c r="O1294" s="107">
        <v>35</v>
      </c>
      <c r="P1294" s="107">
        <v>36</v>
      </c>
      <c r="Q1294" s="107">
        <v>35.450000000000003</v>
      </c>
      <c r="R1294">
        <v>2237714</v>
      </c>
    </row>
    <row r="1295" spans="1:18" x14ac:dyDescent="0.25">
      <c r="A1295" s="130">
        <v>43913</v>
      </c>
      <c r="B1295" s="107">
        <v>34.4</v>
      </c>
      <c r="C1295" s="107">
        <v>32</v>
      </c>
      <c r="D1295" s="107">
        <v>31.75</v>
      </c>
      <c r="E1295" s="107">
        <v>34.4</v>
      </c>
      <c r="F1295" s="107">
        <v>32</v>
      </c>
      <c r="G1295">
        <v>177537</v>
      </c>
      <c r="H1295" s="107"/>
      <c r="I1295" s="107"/>
      <c r="L1295" s="130">
        <v>43913</v>
      </c>
      <c r="M1295" s="107">
        <v>31.95</v>
      </c>
      <c r="N1295" s="107">
        <v>34.4</v>
      </c>
      <c r="O1295" s="107">
        <v>31.95</v>
      </c>
      <c r="P1295" s="107">
        <v>32.299999999999997</v>
      </c>
      <c r="Q1295" s="107">
        <v>31.95</v>
      </c>
      <c r="R1295">
        <v>1233031</v>
      </c>
    </row>
    <row r="1296" spans="1:18" x14ac:dyDescent="0.25">
      <c r="A1296" s="130">
        <v>43914</v>
      </c>
      <c r="B1296" s="107">
        <v>33.299999999999997</v>
      </c>
      <c r="C1296" s="107">
        <v>31.8</v>
      </c>
      <c r="D1296" s="107">
        <v>31</v>
      </c>
      <c r="E1296" s="107">
        <v>32.85</v>
      </c>
      <c r="F1296" s="107">
        <v>31.8</v>
      </c>
      <c r="G1296">
        <v>186520</v>
      </c>
      <c r="H1296" s="107"/>
      <c r="I1296" s="107"/>
      <c r="L1296" s="130">
        <v>43914</v>
      </c>
      <c r="M1296" s="107">
        <v>31.75</v>
      </c>
      <c r="N1296" s="107">
        <v>33.299999999999997</v>
      </c>
      <c r="O1296" s="107">
        <v>31</v>
      </c>
      <c r="P1296" s="107">
        <v>32.9</v>
      </c>
      <c r="Q1296" s="107">
        <v>31.75</v>
      </c>
      <c r="R1296">
        <v>1182402</v>
      </c>
    </row>
    <row r="1297" spans="1:18" x14ac:dyDescent="0.25">
      <c r="A1297" s="130">
        <v>43915</v>
      </c>
      <c r="B1297" s="107">
        <v>32.700000000000003</v>
      </c>
      <c r="C1297" s="107">
        <v>31.8</v>
      </c>
      <c r="D1297" s="107">
        <v>31</v>
      </c>
      <c r="E1297" s="107">
        <v>31.8</v>
      </c>
      <c r="F1297" s="107">
        <v>31.8</v>
      </c>
      <c r="G1297">
        <v>109827</v>
      </c>
      <c r="H1297" s="107"/>
      <c r="I1297" s="107"/>
      <c r="L1297" s="130">
        <v>43915</v>
      </c>
      <c r="M1297" s="107">
        <v>31.75</v>
      </c>
      <c r="N1297" s="107">
        <v>32.700000000000003</v>
      </c>
      <c r="O1297" s="107">
        <v>30.9</v>
      </c>
      <c r="P1297" s="107">
        <v>31.95</v>
      </c>
      <c r="Q1297" s="107">
        <v>31.75</v>
      </c>
      <c r="R1297">
        <v>1027126</v>
      </c>
    </row>
    <row r="1298" spans="1:18" x14ac:dyDescent="0.25">
      <c r="A1298" s="130">
        <v>43916</v>
      </c>
      <c r="B1298" s="107">
        <v>34.799999999999997</v>
      </c>
      <c r="C1298" s="107">
        <v>33</v>
      </c>
      <c r="D1298" s="107">
        <v>31.75</v>
      </c>
      <c r="E1298" s="107">
        <v>33</v>
      </c>
      <c r="F1298" s="107">
        <v>33</v>
      </c>
      <c r="G1298">
        <v>154539</v>
      </c>
      <c r="H1298" s="107"/>
      <c r="I1298" s="107"/>
      <c r="L1298" s="130">
        <v>43916</v>
      </c>
      <c r="M1298" s="107">
        <v>33.15</v>
      </c>
      <c r="N1298" s="107">
        <v>34.75</v>
      </c>
      <c r="O1298" s="107">
        <v>31.75</v>
      </c>
      <c r="P1298" s="107">
        <v>31.85</v>
      </c>
      <c r="Q1298" s="107">
        <v>33.15</v>
      </c>
      <c r="R1298">
        <v>1386758</v>
      </c>
    </row>
    <row r="1299" spans="1:18" x14ac:dyDescent="0.25">
      <c r="A1299" s="130">
        <v>43917</v>
      </c>
      <c r="B1299" s="107">
        <v>35.700000000000003</v>
      </c>
      <c r="C1299" s="107">
        <v>33.299999999999997</v>
      </c>
      <c r="D1299" s="107">
        <v>33.049999999999997</v>
      </c>
      <c r="E1299" s="107">
        <v>34.6</v>
      </c>
      <c r="F1299" s="107">
        <v>33.299999999999997</v>
      </c>
      <c r="G1299">
        <v>179827</v>
      </c>
      <c r="H1299" s="107"/>
      <c r="I1299" s="107"/>
      <c r="L1299" s="130">
        <v>43917</v>
      </c>
      <c r="M1299" s="107">
        <v>33.25</v>
      </c>
      <c r="N1299" s="107">
        <v>35.65</v>
      </c>
      <c r="O1299" s="107">
        <v>33</v>
      </c>
      <c r="P1299" s="107">
        <v>34</v>
      </c>
      <c r="Q1299" s="107">
        <v>33.25</v>
      </c>
      <c r="R1299">
        <v>1901680</v>
      </c>
    </row>
    <row r="1300" spans="1:18" x14ac:dyDescent="0.25">
      <c r="A1300" s="130">
        <v>43920</v>
      </c>
      <c r="B1300" s="107">
        <v>33.4</v>
      </c>
      <c r="C1300" s="107">
        <v>32.35</v>
      </c>
      <c r="D1300" s="107">
        <v>32.1</v>
      </c>
      <c r="E1300" s="107">
        <v>33</v>
      </c>
      <c r="F1300" s="107">
        <v>32.35</v>
      </c>
      <c r="G1300">
        <v>56973</v>
      </c>
      <c r="H1300" s="107"/>
      <c r="I1300" s="107"/>
      <c r="L1300" s="130">
        <v>43920</v>
      </c>
      <c r="M1300" s="107">
        <v>32.35</v>
      </c>
      <c r="N1300" s="107">
        <v>33.450000000000003</v>
      </c>
      <c r="O1300" s="107">
        <v>32.1</v>
      </c>
      <c r="P1300" s="107">
        <v>33.25</v>
      </c>
      <c r="Q1300" s="107">
        <v>32.35</v>
      </c>
      <c r="R1300">
        <v>859584</v>
      </c>
    </row>
    <row r="1301" spans="1:18" x14ac:dyDescent="0.25">
      <c r="A1301" s="130">
        <v>43921</v>
      </c>
      <c r="B1301" s="107">
        <v>33.700000000000003</v>
      </c>
      <c r="C1301" s="107">
        <v>32.25</v>
      </c>
      <c r="D1301" s="107">
        <v>31.95</v>
      </c>
      <c r="E1301" s="107">
        <v>33.700000000000003</v>
      </c>
      <c r="F1301" s="107">
        <v>32.25</v>
      </c>
      <c r="G1301">
        <v>89886</v>
      </c>
      <c r="H1301" s="107"/>
      <c r="I1301" s="107"/>
      <c r="L1301" s="130">
        <v>43921</v>
      </c>
      <c r="M1301" s="107">
        <v>32.25</v>
      </c>
      <c r="N1301" s="107">
        <v>33.25</v>
      </c>
      <c r="O1301" s="107">
        <v>31.95</v>
      </c>
      <c r="P1301" s="107">
        <v>33.1</v>
      </c>
      <c r="Q1301" s="107">
        <v>32.25</v>
      </c>
      <c r="R1301">
        <v>1066729</v>
      </c>
    </row>
    <row r="1302" spans="1:18" x14ac:dyDescent="0.25">
      <c r="A1302" s="130">
        <v>43922</v>
      </c>
      <c r="B1302" s="107">
        <v>32.700000000000003</v>
      </c>
      <c r="C1302" s="107">
        <v>32.35</v>
      </c>
      <c r="D1302" s="107">
        <v>32</v>
      </c>
      <c r="E1302" s="107">
        <v>32</v>
      </c>
      <c r="F1302" s="107">
        <v>32.35</v>
      </c>
      <c r="G1302">
        <v>75451</v>
      </c>
      <c r="H1302" s="107"/>
      <c r="I1302" s="107"/>
      <c r="L1302" s="130">
        <v>43922</v>
      </c>
      <c r="M1302" s="107">
        <v>32.4</v>
      </c>
      <c r="N1302" s="107">
        <v>32.700000000000003</v>
      </c>
      <c r="O1302" s="107">
        <v>32.1</v>
      </c>
      <c r="P1302" s="107">
        <v>32.299999999999997</v>
      </c>
      <c r="Q1302" s="107">
        <v>32.4</v>
      </c>
      <c r="R1302">
        <v>727916</v>
      </c>
    </row>
    <row r="1303" spans="1:18" x14ac:dyDescent="0.25">
      <c r="A1303" s="130">
        <v>43924</v>
      </c>
      <c r="B1303" s="107">
        <v>32.799999999999997</v>
      </c>
      <c r="C1303" s="107">
        <v>32.5</v>
      </c>
      <c r="D1303" s="107">
        <v>31.7</v>
      </c>
      <c r="E1303" s="107">
        <v>32.700000000000003</v>
      </c>
      <c r="F1303" s="107">
        <v>32.5</v>
      </c>
      <c r="G1303">
        <v>81665</v>
      </c>
      <c r="H1303" s="107"/>
      <c r="I1303" s="107"/>
      <c r="L1303" s="130">
        <v>43924</v>
      </c>
      <c r="M1303" s="107">
        <v>32.549999999999997</v>
      </c>
      <c r="N1303" s="107">
        <v>32.9</v>
      </c>
      <c r="O1303" s="107">
        <v>31.7</v>
      </c>
      <c r="P1303" s="107">
        <v>32.450000000000003</v>
      </c>
      <c r="Q1303" s="107">
        <v>32.549999999999997</v>
      </c>
      <c r="R1303">
        <v>713521</v>
      </c>
    </row>
    <row r="1304" spans="1:18" x14ac:dyDescent="0.25">
      <c r="A1304" s="130">
        <v>43928</v>
      </c>
      <c r="B1304" s="107">
        <v>33.6</v>
      </c>
      <c r="C1304" s="107">
        <v>32.950000000000003</v>
      </c>
      <c r="D1304" s="107">
        <v>32.549999999999997</v>
      </c>
      <c r="E1304" s="107">
        <v>33.6</v>
      </c>
      <c r="F1304" s="107">
        <v>32.950000000000003</v>
      </c>
      <c r="G1304">
        <v>103063</v>
      </c>
      <c r="H1304" s="107"/>
      <c r="I1304" s="107"/>
      <c r="L1304" s="130">
        <v>43928</v>
      </c>
      <c r="M1304" s="107">
        <v>32.950000000000003</v>
      </c>
      <c r="N1304" s="107">
        <v>33.5</v>
      </c>
      <c r="O1304" s="107">
        <v>32.6</v>
      </c>
      <c r="P1304" s="107">
        <v>32.700000000000003</v>
      </c>
      <c r="Q1304" s="107">
        <v>32.950000000000003</v>
      </c>
      <c r="R1304">
        <v>900678</v>
      </c>
    </row>
    <row r="1305" spans="1:18" x14ac:dyDescent="0.25">
      <c r="A1305" s="130">
        <v>43929</v>
      </c>
      <c r="B1305" s="107">
        <v>34.75</v>
      </c>
      <c r="C1305" s="107">
        <v>33.299999999999997</v>
      </c>
      <c r="D1305" s="107">
        <v>32.700000000000003</v>
      </c>
      <c r="E1305" s="107">
        <v>33</v>
      </c>
      <c r="F1305" s="107">
        <v>33.299999999999997</v>
      </c>
      <c r="G1305">
        <v>148184</v>
      </c>
      <c r="H1305" s="107"/>
      <c r="I1305" s="107"/>
      <c r="L1305" s="130">
        <v>43929</v>
      </c>
      <c r="M1305" s="107">
        <v>33.35</v>
      </c>
      <c r="N1305" s="107">
        <v>34.75</v>
      </c>
      <c r="O1305" s="107">
        <v>32.5</v>
      </c>
      <c r="P1305" s="107">
        <v>32.700000000000003</v>
      </c>
      <c r="Q1305" s="107">
        <v>33.35</v>
      </c>
      <c r="R1305">
        <v>1236627</v>
      </c>
    </row>
    <row r="1306" spans="1:18" x14ac:dyDescent="0.25">
      <c r="A1306" s="130">
        <v>43930</v>
      </c>
      <c r="B1306" s="107">
        <v>35.200000000000003</v>
      </c>
      <c r="C1306" s="107">
        <v>34.299999999999997</v>
      </c>
      <c r="D1306" s="107">
        <v>33.4</v>
      </c>
      <c r="E1306" s="107">
        <v>34</v>
      </c>
      <c r="F1306" s="107">
        <v>34.299999999999997</v>
      </c>
      <c r="G1306">
        <v>318790</v>
      </c>
      <c r="H1306" s="107"/>
      <c r="I1306" s="107"/>
      <c r="L1306" s="130">
        <v>43930</v>
      </c>
      <c r="M1306" s="107">
        <v>34.35</v>
      </c>
      <c r="N1306" s="107">
        <v>35.25</v>
      </c>
      <c r="O1306" s="107">
        <v>33.4</v>
      </c>
      <c r="P1306" s="107">
        <v>34.200000000000003</v>
      </c>
      <c r="Q1306" s="107">
        <v>34.35</v>
      </c>
      <c r="R1306">
        <v>2268719</v>
      </c>
    </row>
    <row r="1307" spans="1:18" x14ac:dyDescent="0.25">
      <c r="A1307" s="130">
        <v>43934</v>
      </c>
      <c r="B1307" s="107">
        <v>34.65</v>
      </c>
      <c r="C1307" s="107">
        <v>34.049999999999997</v>
      </c>
      <c r="D1307" s="107">
        <v>33.65</v>
      </c>
      <c r="E1307" s="107">
        <v>34.5</v>
      </c>
      <c r="F1307" s="107">
        <v>34.049999999999997</v>
      </c>
      <c r="G1307">
        <v>134155</v>
      </c>
      <c r="H1307" s="107"/>
      <c r="I1307" s="107"/>
      <c r="L1307" s="130">
        <v>43934</v>
      </c>
      <c r="M1307" s="107">
        <v>34</v>
      </c>
      <c r="N1307" s="107">
        <v>34.700000000000003</v>
      </c>
      <c r="O1307" s="107">
        <v>33.65</v>
      </c>
      <c r="P1307" s="107">
        <v>34.299999999999997</v>
      </c>
      <c r="Q1307" s="107">
        <v>34</v>
      </c>
      <c r="R1307">
        <v>1137243</v>
      </c>
    </row>
    <row r="1308" spans="1:18" x14ac:dyDescent="0.25">
      <c r="A1308" s="130">
        <v>43936</v>
      </c>
      <c r="B1308" s="107">
        <v>34.75</v>
      </c>
      <c r="C1308" s="107">
        <v>34.4</v>
      </c>
      <c r="D1308" s="107">
        <v>33.799999999999997</v>
      </c>
      <c r="E1308" s="107">
        <v>34.4</v>
      </c>
      <c r="F1308" s="107">
        <v>34.4</v>
      </c>
      <c r="G1308">
        <v>116680</v>
      </c>
      <c r="H1308" s="107"/>
      <c r="I1308" s="107"/>
      <c r="L1308" s="130">
        <v>43936</v>
      </c>
      <c r="M1308" s="107">
        <v>34.299999999999997</v>
      </c>
      <c r="N1308" s="107">
        <v>34.700000000000003</v>
      </c>
      <c r="O1308" s="107">
        <v>33.700000000000003</v>
      </c>
      <c r="P1308" s="107">
        <v>34.049999999999997</v>
      </c>
      <c r="Q1308" s="107">
        <v>34.299999999999997</v>
      </c>
      <c r="R1308">
        <v>1323418</v>
      </c>
    </row>
    <row r="1309" spans="1:18" x14ac:dyDescent="0.25">
      <c r="A1309" s="130">
        <v>43937</v>
      </c>
      <c r="B1309" s="107">
        <v>34.549999999999997</v>
      </c>
      <c r="C1309" s="107">
        <v>34.4</v>
      </c>
      <c r="D1309" s="107">
        <v>33.799999999999997</v>
      </c>
      <c r="E1309" s="107">
        <v>34.4</v>
      </c>
      <c r="F1309" s="107">
        <v>34.4</v>
      </c>
      <c r="G1309">
        <v>58762</v>
      </c>
      <c r="H1309" s="107"/>
      <c r="I1309" s="107"/>
      <c r="L1309" s="130">
        <v>43937</v>
      </c>
      <c r="M1309" s="107">
        <v>34.4</v>
      </c>
      <c r="N1309" s="107">
        <v>34.549999999999997</v>
      </c>
      <c r="O1309" s="107">
        <v>33.799999999999997</v>
      </c>
      <c r="P1309" s="107">
        <v>34.299999999999997</v>
      </c>
      <c r="Q1309" s="107">
        <v>34.4</v>
      </c>
      <c r="R1309">
        <v>853251</v>
      </c>
    </row>
    <row r="1310" spans="1:18" x14ac:dyDescent="0.25">
      <c r="A1310" s="130">
        <v>43938</v>
      </c>
      <c r="B1310" s="107">
        <v>36</v>
      </c>
      <c r="C1310" s="107">
        <v>34.200000000000003</v>
      </c>
      <c r="D1310" s="107">
        <v>33.549999999999997</v>
      </c>
      <c r="E1310" s="107">
        <v>34.5</v>
      </c>
      <c r="F1310" s="107">
        <v>34.200000000000003</v>
      </c>
      <c r="G1310">
        <v>196678</v>
      </c>
      <c r="H1310" s="107"/>
      <c r="I1310" s="107"/>
      <c r="L1310" s="130">
        <v>43938</v>
      </c>
      <c r="M1310" s="107">
        <v>34.1</v>
      </c>
      <c r="N1310" s="107">
        <v>35.75</v>
      </c>
      <c r="O1310" s="107">
        <v>33.5</v>
      </c>
      <c r="P1310" s="107">
        <v>35.75</v>
      </c>
      <c r="Q1310" s="107">
        <v>34.1</v>
      </c>
      <c r="R1310">
        <v>2336563</v>
      </c>
    </row>
    <row r="1311" spans="1:18" x14ac:dyDescent="0.25">
      <c r="A1311" s="130">
        <v>43941</v>
      </c>
      <c r="B1311" s="107">
        <v>37.85</v>
      </c>
      <c r="C1311" s="107">
        <v>35.950000000000003</v>
      </c>
      <c r="D1311" s="107">
        <v>33.75</v>
      </c>
      <c r="E1311" s="107">
        <v>34.950000000000003</v>
      </c>
      <c r="F1311" s="107">
        <v>35.950000000000003</v>
      </c>
      <c r="G1311">
        <v>2694244</v>
      </c>
      <c r="H1311" s="107"/>
      <c r="I1311" s="107"/>
      <c r="L1311" s="130">
        <v>43941</v>
      </c>
      <c r="M1311" s="107">
        <v>35.950000000000003</v>
      </c>
      <c r="N1311" s="107">
        <v>37.85</v>
      </c>
      <c r="O1311" s="107">
        <v>33.75</v>
      </c>
      <c r="P1311" s="107">
        <v>34.950000000000003</v>
      </c>
      <c r="Q1311" s="107">
        <v>35.950000000000003</v>
      </c>
      <c r="R1311">
        <v>11350586</v>
      </c>
    </row>
    <row r="1312" spans="1:18" x14ac:dyDescent="0.25">
      <c r="A1312" s="130">
        <v>43942</v>
      </c>
      <c r="B1312" s="107">
        <v>36</v>
      </c>
      <c r="C1312" s="107">
        <v>34.9</v>
      </c>
      <c r="D1312" s="107">
        <v>34.5</v>
      </c>
      <c r="E1312" s="107">
        <v>35.450000000000003</v>
      </c>
      <c r="F1312" s="107">
        <v>34.9</v>
      </c>
      <c r="G1312">
        <v>3388653</v>
      </c>
      <c r="H1312" s="107"/>
      <c r="I1312" s="107"/>
      <c r="L1312" s="130">
        <v>43942</v>
      </c>
      <c r="M1312" s="107">
        <v>34.9</v>
      </c>
      <c r="N1312" s="107">
        <v>35.9</v>
      </c>
      <c r="O1312" s="107">
        <v>34.5</v>
      </c>
      <c r="P1312" s="107">
        <v>35</v>
      </c>
      <c r="Q1312" s="107">
        <v>34.9</v>
      </c>
      <c r="R1312">
        <v>4390644</v>
      </c>
    </row>
    <row r="1313" spans="1:18" x14ac:dyDescent="0.25">
      <c r="A1313" s="130">
        <v>43943</v>
      </c>
      <c r="B1313" s="107">
        <v>35</v>
      </c>
      <c r="C1313" s="107">
        <v>34.35</v>
      </c>
      <c r="D1313" s="107">
        <v>33.85</v>
      </c>
      <c r="E1313" s="107">
        <v>35</v>
      </c>
      <c r="F1313" s="107">
        <v>34.35</v>
      </c>
      <c r="G1313">
        <v>4493439</v>
      </c>
      <c r="H1313" s="107"/>
      <c r="I1313" s="107"/>
      <c r="L1313" s="130">
        <v>43943</v>
      </c>
      <c r="M1313" s="107">
        <v>34.299999999999997</v>
      </c>
      <c r="N1313" s="107">
        <v>34.950000000000003</v>
      </c>
      <c r="O1313" s="107">
        <v>33.799999999999997</v>
      </c>
      <c r="P1313" s="107">
        <v>34.549999999999997</v>
      </c>
      <c r="Q1313" s="107">
        <v>34.299999999999997</v>
      </c>
      <c r="R1313">
        <v>3724578</v>
      </c>
    </row>
    <row r="1314" spans="1:18" x14ac:dyDescent="0.25">
      <c r="A1314" s="130">
        <v>43944</v>
      </c>
      <c r="B1314" s="107">
        <v>35.35</v>
      </c>
      <c r="C1314" s="107">
        <v>34.4</v>
      </c>
      <c r="D1314" s="107">
        <v>34.299999999999997</v>
      </c>
      <c r="E1314" s="107">
        <v>35.35</v>
      </c>
      <c r="F1314" s="107">
        <v>34.4</v>
      </c>
      <c r="G1314">
        <v>1965207</v>
      </c>
      <c r="H1314" s="107"/>
      <c r="I1314" s="107"/>
      <c r="L1314" s="130">
        <v>43944</v>
      </c>
      <c r="M1314" s="107">
        <v>34.450000000000003</v>
      </c>
      <c r="N1314" s="107">
        <v>35.15</v>
      </c>
      <c r="O1314" s="107">
        <v>34.299999999999997</v>
      </c>
      <c r="P1314" s="107">
        <v>34.4</v>
      </c>
      <c r="Q1314" s="107">
        <v>34.450000000000003</v>
      </c>
      <c r="R1314">
        <v>2659058</v>
      </c>
    </row>
    <row r="1315" spans="1:18" x14ac:dyDescent="0.25">
      <c r="A1315" s="130">
        <v>43945</v>
      </c>
      <c r="B1315" s="107">
        <v>34.4</v>
      </c>
      <c r="C1315" s="107">
        <v>33.6</v>
      </c>
      <c r="D1315" s="107">
        <v>33.5</v>
      </c>
      <c r="E1315" s="107">
        <v>34.299999999999997</v>
      </c>
      <c r="F1315" s="107">
        <v>33.6</v>
      </c>
      <c r="G1315">
        <v>4011923</v>
      </c>
      <c r="H1315" s="107"/>
      <c r="I1315" s="107"/>
      <c r="L1315" s="130">
        <v>43945</v>
      </c>
      <c r="M1315" s="107">
        <v>33.6</v>
      </c>
      <c r="N1315" s="107">
        <v>34.4</v>
      </c>
      <c r="O1315" s="107">
        <v>33.5</v>
      </c>
      <c r="P1315" s="107">
        <v>34.1</v>
      </c>
      <c r="Q1315" s="107">
        <v>33.6</v>
      </c>
      <c r="R1315">
        <v>3680914</v>
      </c>
    </row>
    <row r="1316" spans="1:18" x14ac:dyDescent="0.25">
      <c r="A1316" s="130">
        <v>43948</v>
      </c>
      <c r="B1316" s="107">
        <v>34.299999999999997</v>
      </c>
      <c r="C1316" s="107">
        <v>33.85</v>
      </c>
      <c r="D1316" s="107">
        <v>33.5</v>
      </c>
      <c r="E1316" s="107">
        <v>34.299999999999997</v>
      </c>
      <c r="F1316" s="107">
        <v>33.85</v>
      </c>
      <c r="G1316">
        <v>3767454</v>
      </c>
      <c r="H1316" s="107"/>
      <c r="I1316" s="107"/>
      <c r="L1316" s="130">
        <v>43948</v>
      </c>
      <c r="M1316" s="107">
        <v>33.75</v>
      </c>
      <c r="N1316" s="107">
        <v>34.200000000000003</v>
      </c>
      <c r="O1316" s="107">
        <v>33.5</v>
      </c>
      <c r="P1316" s="107">
        <v>34</v>
      </c>
      <c r="Q1316" s="107">
        <v>33.75</v>
      </c>
      <c r="R1316">
        <v>3617200</v>
      </c>
    </row>
    <row r="1317" spans="1:18" x14ac:dyDescent="0.25">
      <c r="A1317" s="130">
        <v>43949</v>
      </c>
      <c r="B1317" s="107">
        <v>34.799999999999997</v>
      </c>
      <c r="C1317" s="107">
        <v>34.35</v>
      </c>
      <c r="D1317" s="107">
        <v>33.549999999999997</v>
      </c>
      <c r="E1317" s="107">
        <v>33.85</v>
      </c>
      <c r="F1317" s="107">
        <v>34.35</v>
      </c>
      <c r="G1317">
        <v>2221471</v>
      </c>
      <c r="H1317" s="107"/>
      <c r="I1317" s="107"/>
      <c r="L1317" s="130">
        <v>43949</v>
      </c>
      <c r="M1317" s="107">
        <v>34.299999999999997</v>
      </c>
      <c r="N1317" s="107">
        <v>34.799999999999997</v>
      </c>
      <c r="O1317" s="107">
        <v>33.6</v>
      </c>
      <c r="P1317" s="107">
        <v>33.950000000000003</v>
      </c>
      <c r="Q1317" s="107">
        <v>34.299999999999997</v>
      </c>
      <c r="R1317">
        <v>3606089</v>
      </c>
    </row>
    <row r="1318" spans="1:18" x14ac:dyDescent="0.25">
      <c r="A1318" s="130">
        <v>43950</v>
      </c>
      <c r="B1318" s="107">
        <v>35.049999999999997</v>
      </c>
      <c r="C1318" s="107">
        <v>34.6</v>
      </c>
      <c r="D1318" s="107">
        <v>34.299999999999997</v>
      </c>
      <c r="E1318" s="107">
        <v>34.799999999999997</v>
      </c>
      <c r="F1318" s="107">
        <v>34.6</v>
      </c>
      <c r="G1318">
        <v>1378996</v>
      </c>
      <c r="H1318" s="107"/>
      <c r="I1318" s="107"/>
      <c r="L1318" s="130">
        <v>43950</v>
      </c>
      <c r="M1318" s="107">
        <v>34.549999999999997</v>
      </c>
      <c r="N1318" s="107">
        <v>35.1</v>
      </c>
      <c r="O1318" s="107">
        <v>34.299999999999997</v>
      </c>
      <c r="P1318" s="107">
        <v>34.6</v>
      </c>
      <c r="Q1318" s="107">
        <v>34.549999999999997</v>
      </c>
      <c r="R1318">
        <v>3079171</v>
      </c>
    </row>
    <row r="1319" spans="1:18" x14ac:dyDescent="0.25">
      <c r="A1319" s="130">
        <v>43951</v>
      </c>
      <c r="B1319" s="107">
        <v>36.35</v>
      </c>
      <c r="C1319" s="107">
        <v>35.200000000000003</v>
      </c>
      <c r="D1319" s="107">
        <v>34.950000000000003</v>
      </c>
      <c r="E1319" s="107">
        <v>35.1</v>
      </c>
      <c r="F1319" s="107">
        <v>35.200000000000003</v>
      </c>
      <c r="G1319">
        <v>3873419</v>
      </c>
      <c r="H1319" s="107"/>
      <c r="I1319" s="107"/>
      <c r="L1319" s="130">
        <v>43951</v>
      </c>
      <c r="M1319" s="107">
        <v>35.200000000000003</v>
      </c>
      <c r="N1319" s="107">
        <v>36.200000000000003</v>
      </c>
      <c r="O1319" s="107">
        <v>34.9</v>
      </c>
      <c r="P1319" s="107">
        <v>35.200000000000003</v>
      </c>
      <c r="Q1319" s="107">
        <v>35.200000000000003</v>
      </c>
      <c r="R1319">
        <v>7918011</v>
      </c>
    </row>
    <row r="1320" spans="1:18" x14ac:dyDescent="0.25">
      <c r="A1320" s="130">
        <v>43955</v>
      </c>
      <c r="B1320" s="107">
        <v>35.5</v>
      </c>
      <c r="C1320" s="107">
        <v>33.75</v>
      </c>
      <c r="D1320" s="107">
        <v>33.5</v>
      </c>
      <c r="E1320" s="107">
        <v>35.5</v>
      </c>
      <c r="F1320" s="107">
        <v>33.75</v>
      </c>
      <c r="G1320">
        <v>2072572</v>
      </c>
      <c r="H1320" s="107"/>
      <c r="I1320" s="107"/>
      <c r="L1320" s="130">
        <v>43955</v>
      </c>
      <c r="M1320" s="107">
        <v>33.700000000000003</v>
      </c>
      <c r="N1320" s="107">
        <v>35.200000000000003</v>
      </c>
      <c r="O1320" s="107">
        <v>33.5</v>
      </c>
      <c r="P1320" s="107">
        <v>35.200000000000003</v>
      </c>
      <c r="Q1320" s="107">
        <v>33.700000000000003</v>
      </c>
      <c r="R1320">
        <v>3622631</v>
      </c>
    </row>
    <row r="1321" spans="1:18" x14ac:dyDescent="0.25">
      <c r="A1321" s="130">
        <v>43956</v>
      </c>
      <c r="B1321" s="107">
        <v>34.15</v>
      </c>
      <c r="C1321" s="107">
        <v>32.549999999999997</v>
      </c>
      <c r="D1321" s="107">
        <v>32.4</v>
      </c>
      <c r="E1321" s="107">
        <v>33.75</v>
      </c>
      <c r="F1321" s="107">
        <v>32.549999999999997</v>
      </c>
      <c r="G1321">
        <v>3295236</v>
      </c>
      <c r="H1321" s="107"/>
      <c r="I1321" s="107"/>
      <c r="L1321" s="130">
        <v>43956</v>
      </c>
      <c r="M1321" s="107">
        <v>32.6</v>
      </c>
      <c r="N1321" s="107">
        <v>34.4</v>
      </c>
      <c r="O1321" s="107">
        <v>32.299999999999997</v>
      </c>
      <c r="P1321" s="107">
        <v>33.700000000000003</v>
      </c>
      <c r="Q1321" s="107">
        <v>32.6</v>
      </c>
      <c r="R1321">
        <v>5854625</v>
      </c>
    </row>
    <row r="1322" spans="1:18" x14ac:dyDescent="0.25">
      <c r="A1322" s="130">
        <v>43957</v>
      </c>
      <c r="B1322" s="107">
        <v>33.15</v>
      </c>
      <c r="C1322" s="107">
        <v>32.6</v>
      </c>
      <c r="D1322" s="107">
        <v>31.65</v>
      </c>
      <c r="E1322" s="107">
        <v>33.15</v>
      </c>
      <c r="F1322" s="107">
        <v>32.6</v>
      </c>
      <c r="G1322">
        <v>819644</v>
      </c>
      <c r="H1322" s="107"/>
      <c r="I1322" s="107"/>
      <c r="L1322" s="130">
        <v>43957</v>
      </c>
      <c r="M1322" s="107">
        <v>32.6</v>
      </c>
      <c r="N1322" s="107">
        <v>32.9</v>
      </c>
      <c r="O1322" s="107">
        <v>31.6</v>
      </c>
      <c r="P1322" s="107">
        <v>32.9</v>
      </c>
      <c r="Q1322" s="107">
        <v>32.6</v>
      </c>
      <c r="R1322">
        <v>2972391</v>
      </c>
    </row>
    <row r="1323" spans="1:18" x14ac:dyDescent="0.25">
      <c r="A1323" s="130">
        <v>43958</v>
      </c>
      <c r="B1323" s="107">
        <v>33.200000000000003</v>
      </c>
      <c r="C1323" s="107">
        <v>32.6</v>
      </c>
      <c r="D1323" s="107">
        <v>32.200000000000003</v>
      </c>
      <c r="E1323" s="107">
        <v>32.75</v>
      </c>
      <c r="F1323" s="107">
        <v>32.6</v>
      </c>
      <c r="G1323">
        <v>1403773</v>
      </c>
      <c r="H1323" s="107"/>
      <c r="I1323" s="107"/>
      <c r="L1323" s="130">
        <v>43958</v>
      </c>
      <c r="M1323" s="107">
        <v>32.5</v>
      </c>
      <c r="N1323" s="107">
        <v>33.200000000000003</v>
      </c>
      <c r="O1323" s="107">
        <v>32.1</v>
      </c>
      <c r="P1323" s="107">
        <v>32.5</v>
      </c>
      <c r="Q1323" s="107">
        <v>32.5</v>
      </c>
      <c r="R1323">
        <v>2307551</v>
      </c>
    </row>
    <row r="1324" spans="1:18" x14ac:dyDescent="0.25">
      <c r="A1324" s="130">
        <v>43959</v>
      </c>
      <c r="B1324" s="107">
        <v>33.9</v>
      </c>
      <c r="C1324" s="107">
        <v>32.15</v>
      </c>
      <c r="D1324" s="107">
        <v>32</v>
      </c>
      <c r="E1324" s="107">
        <v>33.9</v>
      </c>
      <c r="F1324" s="107">
        <v>32.15</v>
      </c>
      <c r="G1324">
        <v>415524</v>
      </c>
      <c r="H1324" s="107"/>
      <c r="I1324" s="107"/>
      <c r="L1324" s="130">
        <v>43959</v>
      </c>
      <c r="M1324" s="107">
        <v>32.15</v>
      </c>
      <c r="N1324" s="107">
        <v>33.200000000000003</v>
      </c>
      <c r="O1324" s="107">
        <v>32</v>
      </c>
      <c r="P1324" s="107">
        <v>33.200000000000003</v>
      </c>
      <c r="Q1324" s="107">
        <v>32.15</v>
      </c>
      <c r="R1324">
        <v>1513945</v>
      </c>
    </row>
    <row r="1325" spans="1:18" x14ac:dyDescent="0.25">
      <c r="A1325" s="130">
        <v>43962</v>
      </c>
      <c r="B1325" s="107">
        <v>32.950000000000003</v>
      </c>
      <c r="C1325" s="107">
        <v>32.65</v>
      </c>
      <c r="D1325" s="107">
        <v>31.65</v>
      </c>
      <c r="E1325" s="107">
        <v>32.950000000000003</v>
      </c>
      <c r="F1325" s="107">
        <v>32.65</v>
      </c>
      <c r="G1325">
        <v>1148918</v>
      </c>
      <c r="H1325" s="107"/>
      <c r="I1325" s="107"/>
      <c r="L1325" s="130">
        <v>43962</v>
      </c>
      <c r="M1325" s="107">
        <v>32.65</v>
      </c>
      <c r="N1325" s="107">
        <v>32.950000000000003</v>
      </c>
      <c r="O1325" s="107">
        <v>31.6</v>
      </c>
      <c r="P1325" s="107">
        <v>32.299999999999997</v>
      </c>
      <c r="Q1325" s="107">
        <v>32.65</v>
      </c>
      <c r="R1325">
        <v>2991644</v>
      </c>
    </row>
    <row r="1326" spans="1:18" x14ac:dyDescent="0.25">
      <c r="A1326" s="130">
        <v>43963</v>
      </c>
      <c r="B1326" s="107">
        <v>33.049999999999997</v>
      </c>
      <c r="C1326" s="107">
        <v>32.799999999999997</v>
      </c>
      <c r="D1326" s="107">
        <v>31.9</v>
      </c>
      <c r="E1326" s="107">
        <v>32.65</v>
      </c>
      <c r="F1326" s="107">
        <v>32.799999999999997</v>
      </c>
      <c r="G1326">
        <v>625938</v>
      </c>
      <c r="H1326" s="107"/>
      <c r="I1326" s="107"/>
      <c r="L1326" s="130">
        <v>43963</v>
      </c>
      <c r="M1326" s="107">
        <v>32.85</v>
      </c>
      <c r="N1326" s="107">
        <v>33.1</v>
      </c>
      <c r="O1326" s="107">
        <v>31.85</v>
      </c>
      <c r="P1326" s="107">
        <v>32.549999999999997</v>
      </c>
      <c r="Q1326" s="107">
        <v>32.85</v>
      </c>
      <c r="R1326">
        <v>1975008</v>
      </c>
    </row>
    <row r="1327" spans="1:18" x14ac:dyDescent="0.25">
      <c r="A1327" s="130">
        <v>43964</v>
      </c>
      <c r="B1327" s="107">
        <v>35.700000000000003</v>
      </c>
      <c r="C1327" s="107">
        <v>34.25</v>
      </c>
      <c r="D1327" s="107">
        <v>33.1</v>
      </c>
      <c r="E1327" s="107">
        <v>35.700000000000003</v>
      </c>
      <c r="F1327" s="107">
        <v>34.25</v>
      </c>
      <c r="G1327">
        <v>1715976</v>
      </c>
      <c r="H1327" s="107"/>
      <c r="I1327" s="107"/>
      <c r="L1327" s="130">
        <v>43964</v>
      </c>
      <c r="M1327" s="107">
        <v>34.15</v>
      </c>
      <c r="N1327" s="107">
        <v>34.799999999999997</v>
      </c>
      <c r="O1327" s="107">
        <v>33.15</v>
      </c>
      <c r="P1327" s="107">
        <v>34.549999999999997</v>
      </c>
      <c r="Q1327" s="107">
        <v>34.15</v>
      </c>
      <c r="R1327">
        <v>3917355</v>
      </c>
    </row>
    <row r="1328" spans="1:18" x14ac:dyDescent="0.25">
      <c r="A1328" s="130">
        <v>43965</v>
      </c>
      <c r="B1328" s="107">
        <v>34.35</v>
      </c>
      <c r="C1328" s="107">
        <v>33.85</v>
      </c>
      <c r="D1328" s="107">
        <v>33.1</v>
      </c>
      <c r="E1328" s="107">
        <v>34.25</v>
      </c>
      <c r="F1328" s="107">
        <v>33.85</v>
      </c>
      <c r="G1328">
        <v>2448064</v>
      </c>
      <c r="H1328" s="107"/>
      <c r="I1328" s="107"/>
      <c r="L1328" s="130">
        <v>43965</v>
      </c>
      <c r="M1328" s="107">
        <v>33.85</v>
      </c>
      <c r="N1328" s="107">
        <v>34.4</v>
      </c>
      <c r="O1328" s="107">
        <v>33.049999999999997</v>
      </c>
      <c r="P1328" s="107">
        <v>33.75</v>
      </c>
      <c r="Q1328" s="107">
        <v>33.85</v>
      </c>
      <c r="R1328">
        <v>3945976</v>
      </c>
    </row>
    <row r="1329" spans="1:18" x14ac:dyDescent="0.25">
      <c r="A1329" s="130">
        <v>43966</v>
      </c>
      <c r="B1329" s="107">
        <v>33.950000000000003</v>
      </c>
      <c r="C1329" s="107">
        <v>33.450000000000003</v>
      </c>
      <c r="D1329" s="107">
        <v>33.25</v>
      </c>
      <c r="E1329" s="107">
        <v>33.85</v>
      </c>
      <c r="F1329" s="107">
        <v>33.450000000000003</v>
      </c>
      <c r="G1329">
        <v>762374</v>
      </c>
      <c r="H1329" s="107"/>
      <c r="I1329" s="107"/>
      <c r="L1329" s="130">
        <v>43966</v>
      </c>
      <c r="M1329" s="107">
        <v>33.450000000000003</v>
      </c>
      <c r="N1329" s="107">
        <v>33.950000000000003</v>
      </c>
      <c r="O1329" s="107">
        <v>33.299999999999997</v>
      </c>
      <c r="P1329" s="107">
        <v>33.700000000000003</v>
      </c>
      <c r="Q1329" s="107">
        <v>33.450000000000003</v>
      </c>
      <c r="R1329">
        <v>2139277</v>
      </c>
    </row>
    <row r="1330" spans="1:18" x14ac:dyDescent="0.25">
      <c r="A1330" s="130">
        <v>43969</v>
      </c>
      <c r="B1330" s="107">
        <v>33.450000000000003</v>
      </c>
      <c r="C1330" s="107">
        <v>32.049999999999997</v>
      </c>
      <c r="D1330" s="107">
        <v>31.7</v>
      </c>
      <c r="E1330" s="107">
        <v>33.450000000000003</v>
      </c>
      <c r="F1330" s="107">
        <v>32.049999999999997</v>
      </c>
      <c r="G1330">
        <v>1699867</v>
      </c>
      <c r="H1330" s="107"/>
      <c r="I1330" s="107"/>
      <c r="L1330" s="130">
        <v>43969</v>
      </c>
      <c r="M1330" s="107">
        <v>32</v>
      </c>
      <c r="N1330" s="107">
        <v>33.35</v>
      </c>
      <c r="O1330" s="107">
        <v>31.65</v>
      </c>
      <c r="P1330" s="107">
        <v>33.25</v>
      </c>
      <c r="Q1330" s="107">
        <v>32</v>
      </c>
      <c r="R1330">
        <v>2849502</v>
      </c>
    </row>
    <row r="1331" spans="1:18" x14ac:dyDescent="0.25">
      <c r="A1331" s="130">
        <v>43970</v>
      </c>
      <c r="B1331" s="107">
        <v>32.299999999999997</v>
      </c>
      <c r="C1331" s="107">
        <v>31.35</v>
      </c>
      <c r="D1331" s="107">
        <v>31.15</v>
      </c>
      <c r="E1331" s="107">
        <v>32.1</v>
      </c>
      <c r="F1331" s="107">
        <v>31.35</v>
      </c>
      <c r="G1331">
        <v>1326972</v>
      </c>
      <c r="H1331" s="107"/>
      <c r="I1331" s="107"/>
      <c r="L1331" s="130">
        <v>43970</v>
      </c>
      <c r="M1331" s="107">
        <v>31.35</v>
      </c>
      <c r="N1331" s="107">
        <v>32.4</v>
      </c>
      <c r="O1331" s="107">
        <v>31.15</v>
      </c>
      <c r="P1331" s="107">
        <v>32.4</v>
      </c>
      <c r="Q1331" s="107">
        <v>31.35</v>
      </c>
      <c r="R1331">
        <v>2671342</v>
      </c>
    </row>
    <row r="1332" spans="1:18" x14ac:dyDescent="0.25">
      <c r="A1332" s="130">
        <v>43971</v>
      </c>
      <c r="B1332" s="107">
        <v>31.6</v>
      </c>
      <c r="C1332" s="107">
        <v>31.4</v>
      </c>
      <c r="D1332" s="107">
        <v>31</v>
      </c>
      <c r="E1332" s="107">
        <v>31.05</v>
      </c>
      <c r="F1332" s="107">
        <v>31.4</v>
      </c>
      <c r="G1332">
        <v>761997</v>
      </c>
      <c r="H1332" s="107"/>
      <c r="I1332" s="107"/>
      <c r="L1332" s="130">
        <v>43971</v>
      </c>
      <c r="M1332" s="107">
        <v>31.4</v>
      </c>
      <c r="N1332" s="107">
        <v>31.65</v>
      </c>
      <c r="O1332" s="107">
        <v>31</v>
      </c>
      <c r="P1332" s="107">
        <v>31.4</v>
      </c>
      <c r="Q1332" s="107">
        <v>31.4</v>
      </c>
      <c r="R1332">
        <v>2046726</v>
      </c>
    </row>
    <row r="1333" spans="1:18" x14ac:dyDescent="0.25">
      <c r="A1333" s="130">
        <v>43972</v>
      </c>
      <c r="B1333" s="107">
        <v>32.5</v>
      </c>
      <c r="C1333" s="107">
        <v>31.65</v>
      </c>
      <c r="D1333" s="107">
        <v>31.4</v>
      </c>
      <c r="E1333" s="107">
        <v>31.6</v>
      </c>
      <c r="F1333" s="107">
        <v>31.65</v>
      </c>
      <c r="G1333">
        <v>1036231</v>
      </c>
      <c r="H1333" s="107"/>
      <c r="I1333" s="107"/>
      <c r="L1333" s="130">
        <v>43972</v>
      </c>
      <c r="M1333" s="107">
        <v>31.7</v>
      </c>
      <c r="N1333" s="107">
        <v>32.549999999999997</v>
      </c>
      <c r="O1333" s="107">
        <v>31.3</v>
      </c>
      <c r="P1333" s="107">
        <v>31.5</v>
      </c>
      <c r="Q1333" s="107">
        <v>31.7</v>
      </c>
      <c r="R1333">
        <v>2711866</v>
      </c>
    </row>
    <row r="1334" spans="1:18" x14ac:dyDescent="0.25">
      <c r="A1334" s="130">
        <v>43973</v>
      </c>
      <c r="B1334" s="107">
        <v>32.549999999999997</v>
      </c>
      <c r="C1334" s="107">
        <v>31.65</v>
      </c>
      <c r="D1334" s="107">
        <v>31.2</v>
      </c>
      <c r="E1334" s="107">
        <v>32.4</v>
      </c>
      <c r="F1334" s="107">
        <v>31.65</v>
      </c>
      <c r="G1334">
        <v>1066123</v>
      </c>
      <c r="H1334" s="107"/>
      <c r="I1334" s="107"/>
      <c r="L1334" s="130">
        <v>43973</v>
      </c>
      <c r="M1334" s="107">
        <v>31.5</v>
      </c>
      <c r="N1334" s="107">
        <v>32.5</v>
      </c>
      <c r="O1334" s="107">
        <v>31.2</v>
      </c>
      <c r="P1334" s="107">
        <v>31.45</v>
      </c>
      <c r="Q1334" s="107">
        <v>31.5</v>
      </c>
      <c r="R1334">
        <v>3541947</v>
      </c>
    </row>
    <row r="1335" spans="1:18" x14ac:dyDescent="0.25">
      <c r="A1335" s="130">
        <v>43977</v>
      </c>
      <c r="B1335" s="107">
        <v>32.15</v>
      </c>
      <c r="C1335" s="107">
        <v>31.4</v>
      </c>
      <c r="D1335" s="107">
        <v>31.15</v>
      </c>
      <c r="E1335" s="107">
        <v>32.15</v>
      </c>
      <c r="F1335" s="107">
        <v>31.4</v>
      </c>
      <c r="G1335">
        <v>153488</v>
      </c>
      <c r="H1335" s="107"/>
      <c r="I1335" s="107"/>
      <c r="L1335" s="130">
        <v>43977</v>
      </c>
      <c r="M1335" s="107">
        <v>31.4</v>
      </c>
      <c r="N1335" s="107">
        <v>31.95</v>
      </c>
      <c r="O1335" s="107">
        <v>31.2</v>
      </c>
      <c r="P1335" s="107">
        <v>31.85</v>
      </c>
      <c r="Q1335" s="107">
        <v>31.4</v>
      </c>
      <c r="R1335">
        <v>1004592</v>
      </c>
    </row>
    <row r="1336" spans="1:18" x14ac:dyDescent="0.25">
      <c r="A1336" s="130">
        <v>43978</v>
      </c>
      <c r="B1336" s="107">
        <v>32.200000000000003</v>
      </c>
      <c r="C1336" s="107">
        <v>32</v>
      </c>
      <c r="D1336" s="107">
        <v>31.3</v>
      </c>
      <c r="E1336" s="107">
        <v>31.55</v>
      </c>
      <c r="F1336" s="107">
        <v>32</v>
      </c>
      <c r="G1336">
        <v>571579</v>
      </c>
      <c r="H1336" s="107"/>
      <c r="I1336" s="107"/>
      <c r="L1336" s="130">
        <v>43978</v>
      </c>
      <c r="M1336" s="107">
        <v>32</v>
      </c>
      <c r="N1336" s="107">
        <v>32.200000000000003</v>
      </c>
      <c r="O1336" s="107">
        <v>31.3</v>
      </c>
      <c r="P1336" s="107">
        <v>31.5</v>
      </c>
      <c r="Q1336" s="107">
        <v>32</v>
      </c>
      <c r="R1336">
        <v>2044998</v>
      </c>
    </row>
    <row r="1337" spans="1:18" x14ac:dyDescent="0.25">
      <c r="A1337" s="130">
        <v>43979</v>
      </c>
      <c r="B1337" s="107">
        <v>32.799999999999997</v>
      </c>
      <c r="C1337" s="107">
        <v>32</v>
      </c>
      <c r="D1337" s="107">
        <v>31.85</v>
      </c>
      <c r="E1337" s="107">
        <v>32.450000000000003</v>
      </c>
      <c r="F1337" s="107">
        <v>32</v>
      </c>
      <c r="G1337">
        <v>487335</v>
      </c>
      <c r="H1337" s="107"/>
      <c r="I1337" s="107"/>
      <c r="L1337" s="130">
        <v>43979</v>
      </c>
      <c r="M1337" s="107">
        <v>32.049999999999997</v>
      </c>
      <c r="N1337" s="107">
        <v>32.85</v>
      </c>
      <c r="O1337" s="107">
        <v>31.9</v>
      </c>
      <c r="P1337" s="107">
        <v>32.049999999999997</v>
      </c>
      <c r="Q1337" s="107">
        <v>32.049999999999997</v>
      </c>
      <c r="R1337">
        <v>1662013</v>
      </c>
    </row>
    <row r="1338" spans="1:18" x14ac:dyDescent="0.25">
      <c r="A1338" s="130">
        <v>43980</v>
      </c>
      <c r="B1338" s="107">
        <v>32</v>
      </c>
      <c r="C1338" s="107">
        <v>31.5</v>
      </c>
      <c r="D1338" s="107">
        <v>31.1</v>
      </c>
      <c r="E1338" s="107">
        <v>32</v>
      </c>
      <c r="F1338" s="107">
        <v>31.5</v>
      </c>
      <c r="G1338">
        <v>637320</v>
      </c>
      <c r="H1338" s="107"/>
      <c r="I1338" s="107"/>
      <c r="L1338" s="130">
        <v>43980</v>
      </c>
      <c r="M1338" s="107">
        <v>31.45</v>
      </c>
      <c r="N1338" s="107">
        <v>31.8</v>
      </c>
      <c r="O1338" s="107">
        <v>31.05</v>
      </c>
      <c r="P1338" s="107">
        <v>31.55</v>
      </c>
      <c r="Q1338" s="107">
        <v>31.45</v>
      </c>
      <c r="R1338">
        <v>3082936</v>
      </c>
    </row>
    <row r="1339" spans="1:18" x14ac:dyDescent="0.25">
      <c r="A1339" s="130">
        <v>43983</v>
      </c>
      <c r="B1339" s="107">
        <v>34.9</v>
      </c>
      <c r="C1339" s="107">
        <v>34.549999999999997</v>
      </c>
      <c r="D1339" s="107">
        <v>32</v>
      </c>
      <c r="E1339" s="107">
        <v>32</v>
      </c>
      <c r="F1339" s="107">
        <v>34.549999999999997</v>
      </c>
      <c r="G1339">
        <v>3128948</v>
      </c>
      <c r="H1339" s="107"/>
      <c r="I1339" s="107"/>
      <c r="L1339" s="130">
        <v>43983</v>
      </c>
      <c r="M1339" s="107">
        <v>34.549999999999997</v>
      </c>
      <c r="N1339" s="107">
        <v>34.9</v>
      </c>
      <c r="O1339" s="107">
        <v>31.9</v>
      </c>
      <c r="P1339" s="107">
        <v>32.200000000000003</v>
      </c>
      <c r="Q1339" s="107">
        <v>34.549999999999997</v>
      </c>
      <c r="R1339">
        <v>7335035</v>
      </c>
    </row>
    <row r="1340" spans="1:18" x14ac:dyDescent="0.25">
      <c r="A1340" s="130">
        <v>43984</v>
      </c>
      <c r="B1340" s="107">
        <v>35.4</v>
      </c>
      <c r="C1340" s="107">
        <v>35.25</v>
      </c>
      <c r="D1340" s="107">
        <v>34.200000000000003</v>
      </c>
      <c r="E1340" s="107">
        <v>35</v>
      </c>
      <c r="F1340" s="107">
        <v>35.25</v>
      </c>
      <c r="G1340">
        <v>837826</v>
      </c>
      <c r="H1340" s="107"/>
      <c r="I1340" s="107"/>
      <c r="L1340" s="130">
        <v>43984</v>
      </c>
      <c r="M1340" s="107">
        <v>35.200000000000003</v>
      </c>
      <c r="N1340" s="107">
        <v>35.450000000000003</v>
      </c>
      <c r="O1340" s="107">
        <v>34.15</v>
      </c>
      <c r="P1340" s="107">
        <v>35</v>
      </c>
      <c r="Q1340" s="107">
        <v>35.200000000000003</v>
      </c>
      <c r="R1340">
        <v>3623696</v>
      </c>
    </row>
    <row r="1341" spans="1:18" x14ac:dyDescent="0.25">
      <c r="A1341" s="130">
        <v>43985</v>
      </c>
      <c r="B1341" s="107">
        <v>41.75</v>
      </c>
      <c r="C1341" s="107">
        <v>39.5</v>
      </c>
      <c r="D1341" s="107">
        <v>35.35</v>
      </c>
      <c r="E1341" s="107">
        <v>36</v>
      </c>
      <c r="F1341" s="107">
        <v>39.5</v>
      </c>
      <c r="G1341">
        <v>1086474</v>
      </c>
      <c r="H1341" s="107"/>
      <c r="I1341" s="107"/>
      <c r="L1341" s="130">
        <v>43985</v>
      </c>
      <c r="M1341" s="107">
        <v>39.5</v>
      </c>
      <c r="N1341" s="107">
        <v>41.75</v>
      </c>
      <c r="O1341" s="107">
        <v>35.65</v>
      </c>
      <c r="P1341" s="107">
        <v>36.200000000000003</v>
      </c>
      <c r="Q1341" s="107">
        <v>39.5</v>
      </c>
      <c r="R1341">
        <v>11133317</v>
      </c>
    </row>
    <row r="1342" spans="1:18" x14ac:dyDescent="0.25">
      <c r="A1342" s="130">
        <v>43986</v>
      </c>
      <c r="B1342" s="107">
        <v>41.4</v>
      </c>
      <c r="C1342" s="107">
        <v>40.65</v>
      </c>
      <c r="D1342" s="107">
        <v>39.5</v>
      </c>
      <c r="E1342" s="107">
        <v>39.6</v>
      </c>
      <c r="F1342" s="107">
        <v>40.65</v>
      </c>
      <c r="G1342">
        <v>583705</v>
      </c>
      <c r="H1342" s="107"/>
      <c r="I1342" s="107"/>
      <c r="L1342" s="130">
        <v>43986</v>
      </c>
      <c r="M1342" s="107">
        <v>40.65</v>
      </c>
      <c r="N1342" s="107">
        <v>41.4</v>
      </c>
      <c r="O1342" s="107">
        <v>39.450000000000003</v>
      </c>
      <c r="P1342" s="107">
        <v>39.5</v>
      </c>
      <c r="Q1342" s="107">
        <v>40.65</v>
      </c>
      <c r="R1342">
        <v>7278079</v>
      </c>
    </row>
    <row r="1343" spans="1:18" x14ac:dyDescent="0.25">
      <c r="A1343" s="130">
        <v>43987</v>
      </c>
      <c r="B1343" s="107">
        <v>42.75</v>
      </c>
      <c r="C1343" s="107">
        <v>42.1</v>
      </c>
      <c r="D1343" s="107">
        <v>40.9</v>
      </c>
      <c r="E1343" s="107">
        <v>40.9</v>
      </c>
      <c r="F1343" s="107">
        <v>42.1</v>
      </c>
      <c r="G1343">
        <v>772780</v>
      </c>
      <c r="H1343" s="107"/>
      <c r="I1343" s="107"/>
      <c r="L1343" s="130">
        <v>43987</v>
      </c>
      <c r="M1343" s="107">
        <v>42.1</v>
      </c>
      <c r="N1343" s="107">
        <v>42.8</v>
      </c>
      <c r="O1343" s="107">
        <v>41</v>
      </c>
      <c r="P1343" s="107">
        <v>41.6</v>
      </c>
      <c r="Q1343" s="107">
        <v>42.1</v>
      </c>
      <c r="R1343">
        <v>6044364</v>
      </c>
    </row>
    <row r="1344" spans="1:18" x14ac:dyDescent="0.25">
      <c r="A1344" s="130">
        <v>43990</v>
      </c>
      <c r="B1344" s="107">
        <v>43.95</v>
      </c>
      <c r="C1344" s="107">
        <v>42.3</v>
      </c>
      <c r="D1344" s="107">
        <v>41.9</v>
      </c>
      <c r="E1344" s="107">
        <v>43.95</v>
      </c>
      <c r="F1344" s="107">
        <v>42.3</v>
      </c>
      <c r="G1344">
        <v>736269</v>
      </c>
      <c r="H1344" s="107"/>
      <c r="I1344" s="107"/>
      <c r="L1344" s="130">
        <v>43990</v>
      </c>
      <c r="M1344" s="107">
        <v>42.35</v>
      </c>
      <c r="N1344" s="107">
        <v>43.8</v>
      </c>
      <c r="O1344" s="107">
        <v>41.8</v>
      </c>
      <c r="P1344" s="107">
        <v>43.5</v>
      </c>
      <c r="Q1344" s="107">
        <v>42.35</v>
      </c>
      <c r="R1344">
        <v>3643791</v>
      </c>
    </row>
    <row r="1345" spans="1:18" x14ac:dyDescent="0.25">
      <c r="A1345" s="130">
        <v>43991</v>
      </c>
      <c r="B1345" s="107">
        <v>42.6</v>
      </c>
      <c r="C1345" s="107">
        <v>41</v>
      </c>
      <c r="D1345" s="107">
        <v>40.65</v>
      </c>
      <c r="E1345" s="107">
        <v>42.5</v>
      </c>
      <c r="F1345" s="107">
        <v>41</v>
      </c>
      <c r="G1345">
        <v>1456883</v>
      </c>
      <c r="H1345" s="107"/>
      <c r="I1345" s="107"/>
      <c r="L1345" s="130">
        <v>43991</v>
      </c>
      <c r="M1345" s="107">
        <v>41.05</v>
      </c>
      <c r="N1345" s="107">
        <v>42.8</v>
      </c>
      <c r="O1345" s="107">
        <v>40.549999999999997</v>
      </c>
      <c r="P1345" s="107">
        <v>42.35</v>
      </c>
      <c r="Q1345" s="107">
        <v>41.05</v>
      </c>
      <c r="R1345">
        <v>4657746</v>
      </c>
    </row>
    <row r="1346" spans="1:18" x14ac:dyDescent="0.25">
      <c r="A1346" s="130">
        <v>43992</v>
      </c>
      <c r="B1346" s="107">
        <v>42.7</v>
      </c>
      <c r="C1346" s="107">
        <v>42.2</v>
      </c>
      <c r="D1346" s="107">
        <v>40.6</v>
      </c>
      <c r="E1346" s="107">
        <v>41.5</v>
      </c>
      <c r="F1346" s="107">
        <v>42.2</v>
      </c>
      <c r="G1346">
        <v>515492</v>
      </c>
      <c r="H1346" s="107"/>
      <c r="I1346" s="107"/>
      <c r="L1346" s="130">
        <v>43992</v>
      </c>
      <c r="M1346" s="107">
        <v>42.2</v>
      </c>
      <c r="N1346" s="107">
        <v>42.75</v>
      </c>
      <c r="O1346" s="107">
        <v>40.549999999999997</v>
      </c>
      <c r="P1346" s="107">
        <v>41.05</v>
      </c>
      <c r="Q1346" s="107">
        <v>42.2</v>
      </c>
      <c r="R1346">
        <v>3190269</v>
      </c>
    </row>
    <row r="1347" spans="1:18" x14ac:dyDescent="0.25">
      <c r="A1347" s="130">
        <v>43993</v>
      </c>
      <c r="B1347" s="107">
        <v>43</v>
      </c>
      <c r="C1347" s="107">
        <v>40.950000000000003</v>
      </c>
      <c r="D1347" s="107">
        <v>40.65</v>
      </c>
      <c r="E1347" s="107">
        <v>42.2</v>
      </c>
      <c r="F1347" s="107">
        <v>40.950000000000003</v>
      </c>
      <c r="G1347">
        <v>369767</v>
      </c>
      <c r="H1347" s="107"/>
      <c r="I1347" s="107"/>
      <c r="L1347" s="130">
        <v>43993</v>
      </c>
      <c r="M1347" s="107">
        <v>40.950000000000003</v>
      </c>
      <c r="N1347" s="107">
        <v>43</v>
      </c>
      <c r="O1347" s="107">
        <v>40.6</v>
      </c>
      <c r="P1347" s="107">
        <v>42</v>
      </c>
      <c r="Q1347" s="107">
        <v>40.950000000000003</v>
      </c>
      <c r="R1347">
        <v>2810968</v>
      </c>
    </row>
    <row r="1348" spans="1:18" x14ac:dyDescent="0.25">
      <c r="A1348" s="130">
        <v>43994</v>
      </c>
      <c r="B1348" s="107">
        <v>41</v>
      </c>
      <c r="C1348" s="107">
        <v>40.799999999999997</v>
      </c>
      <c r="D1348" s="107">
        <v>38</v>
      </c>
      <c r="E1348" s="107">
        <v>39.9</v>
      </c>
      <c r="F1348" s="107">
        <v>40.799999999999997</v>
      </c>
      <c r="G1348">
        <v>366622</v>
      </c>
      <c r="H1348" s="107"/>
      <c r="I1348" s="107"/>
      <c r="L1348" s="130">
        <v>43994</v>
      </c>
      <c r="M1348" s="107">
        <v>40.799999999999997</v>
      </c>
      <c r="N1348" s="107">
        <v>41</v>
      </c>
      <c r="O1348" s="107">
        <v>38</v>
      </c>
      <c r="P1348" s="107">
        <v>38</v>
      </c>
      <c r="Q1348" s="107">
        <v>40.799999999999997</v>
      </c>
      <c r="R1348">
        <v>2445328</v>
      </c>
    </row>
    <row r="1349" spans="1:18" x14ac:dyDescent="0.25">
      <c r="A1349" s="130">
        <v>43997</v>
      </c>
      <c r="B1349" s="107">
        <v>48.95</v>
      </c>
      <c r="C1349" s="107">
        <v>48.2</v>
      </c>
      <c r="D1349" s="107">
        <v>40.85</v>
      </c>
      <c r="E1349" s="107">
        <v>40.85</v>
      </c>
      <c r="F1349" s="107">
        <v>48.2</v>
      </c>
      <c r="G1349">
        <v>1970319</v>
      </c>
      <c r="H1349" s="107"/>
      <c r="I1349" s="107"/>
      <c r="L1349" s="130">
        <v>43997</v>
      </c>
      <c r="M1349" s="107">
        <v>48.15</v>
      </c>
      <c r="N1349" s="107">
        <v>48.95</v>
      </c>
      <c r="O1349" s="107">
        <v>40.950000000000003</v>
      </c>
      <c r="P1349" s="107">
        <v>41.3</v>
      </c>
      <c r="Q1349" s="107">
        <v>48.15</v>
      </c>
      <c r="R1349">
        <v>22181779</v>
      </c>
    </row>
    <row r="1350" spans="1:18" x14ac:dyDescent="0.25">
      <c r="A1350" s="130">
        <v>43998</v>
      </c>
      <c r="B1350" s="107">
        <v>52.5</v>
      </c>
      <c r="C1350" s="107">
        <v>49.65</v>
      </c>
      <c r="D1350" s="107">
        <v>48.2</v>
      </c>
      <c r="E1350" s="107">
        <v>49.7</v>
      </c>
      <c r="F1350" s="107">
        <v>49.65</v>
      </c>
      <c r="G1350">
        <v>3003817</v>
      </c>
      <c r="H1350" s="107"/>
      <c r="I1350" s="107"/>
      <c r="L1350" s="130">
        <v>43998</v>
      </c>
      <c r="M1350" s="107">
        <v>49.75</v>
      </c>
      <c r="N1350" s="107">
        <v>52.5</v>
      </c>
      <c r="O1350" s="107">
        <v>48.15</v>
      </c>
      <c r="P1350" s="107">
        <v>49.65</v>
      </c>
      <c r="Q1350" s="107">
        <v>49.75</v>
      </c>
      <c r="R1350">
        <v>33492218</v>
      </c>
    </row>
    <row r="1351" spans="1:18" x14ac:dyDescent="0.25">
      <c r="A1351" s="130">
        <v>43999</v>
      </c>
      <c r="B1351" s="107">
        <v>50.4</v>
      </c>
      <c r="C1351" s="107">
        <v>49.3</v>
      </c>
      <c r="D1351" s="107">
        <v>47.85</v>
      </c>
      <c r="E1351" s="107">
        <v>49.65</v>
      </c>
      <c r="F1351" s="107">
        <v>49.3</v>
      </c>
      <c r="G1351">
        <v>658242</v>
      </c>
      <c r="H1351" s="107"/>
      <c r="I1351" s="107"/>
      <c r="L1351" s="130">
        <v>43999</v>
      </c>
      <c r="M1351" s="107">
        <v>49.35</v>
      </c>
      <c r="N1351" s="107">
        <v>50.4</v>
      </c>
      <c r="O1351" s="107">
        <v>47.8</v>
      </c>
      <c r="P1351" s="107">
        <v>49.65</v>
      </c>
      <c r="Q1351" s="107">
        <v>49.35</v>
      </c>
      <c r="R1351">
        <v>9659626</v>
      </c>
    </row>
    <row r="1352" spans="1:18" x14ac:dyDescent="0.25">
      <c r="A1352" s="130">
        <v>44000</v>
      </c>
      <c r="B1352" s="107">
        <v>52.7</v>
      </c>
      <c r="C1352" s="107">
        <v>51.15</v>
      </c>
      <c r="D1352" s="107">
        <v>48</v>
      </c>
      <c r="E1352" s="107">
        <v>48.5</v>
      </c>
      <c r="F1352" s="107">
        <v>51.15</v>
      </c>
      <c r="G1352">
        <v>844572</v>
      </c>
      <c r="H1352" s="107"/>
      <c r="I1352" s="107"/>
      <c r="L1352" s="130">
        <v>44000</v>
      </c>
      <c r="M1352" s="107">
        <v>51.2</v>
      </c>
      <c r="N1352" s="107">
        <v>52.7</v>
      </c>
      <c r="O1352" s="107">
        <v>48.05</v>
      </c>
      <c r="P1352" s="107">
        <v>48.05</v>
      </c>
      <c r="Q1352" s="107">
        <v>51.2</v>
      </c>
      <c r="R1352">
        <v>8532361</v>
      </c>
    </row>
    <row r="1353" spans="1:18" x14ac:dyDescent="0.25">
      <c r="A1353" s="130">
        <v>44001</v>
      </c>
      <c r="B1353" s="107">
        <v>52.35</v>
      </c>
      <c r="C1353" s="107">
        <v>51.55</v>
      </c>
      <c r="D1353" s="107">
        <v>50.9</v>
      </c>
      <c r="E1353" s="107">
        <v>51.6</v>
      </c>
      <c r="F1353" s="107">
        <v>51.55</v>
      </c>
      <c r="G1353">
        <v>454043</v>
      </c>
      <c r="H1353" s="107"/>
      <c r="I1353" s="107"/>
      <c r="L1353" s="130">
        <v>44001</v>
      </c>
      <c r="M1353" s="107">
        <v>51.45</v>
      </c>
      <c r="N1353" s="107">
        <v>52.4</v>
      </c>
      <c r="O1353" s="107">
        <v>50.8</v>
      </c>
      <c r="P1353" s="107">
        <v>51.75</v>
      </c>
      <c r="Q1353" s="107">
        <v>51.45</v>
      </c>
      <c r="R1353">
        <v>6665069</v>
      </c>
    </row>
    <row r="1354" spans="1:18" x14ac:dyDescent="0.25">
      <c r="A1354" s="130">
        <v>44004</v>
      </c>
      <c r="B1354" s="107">
        <v>52.9</v>
      </c>
      <c r="C1354" s="107">
        <v>52</v>
      </c>
      <c r="D1354" s="107">
        <v>51.6</v>
      </c>
      <c r="E1354" s="107">
        <v>51.6</v>
      </c>
      <c r="F1354" s="107">
        <v>52</v>
      </c>
      <c r="G1354">
        <v>491452</v>
      </c>
      <c r="H1354" s="107"/>
      <c r="I1354" s="107"/>
      <c r="L1354" s="130">
        <v>44004</v>
      </c>
      <c r="M1354" s="107">
        <v>52.05</v>
      </c>
      <c r="N1354" s="107">
        <v>52.9</v>
      </c>
      <c r="O1354" s="107">
        <v>51.6</v>
      </c>
      <c r="P1354" s="107">
        <v>52.5</v>
      </c>
      <c r="Q1354" s="107">
        <v>52.05</v>
      </c>
      <c r="R1354">
        <v>4681285</v>
      </c>
    </row>
    <row r="1355" spans="1:18" x14ac:dyDescent="0.25">
      <c r="A1355" s="130">
        <v>44005</v>
      </c>
      <c r="B1355" s="107">
        <v>53.4</v>
      </c>
      <c r="C1355" s="107">
        <v>53</v>
      </c>
      <c r="D1355" s="107">
        <v>51.95</v>
      </c>
      <c r="E1355" s="107">
        <v>52.45</v>
      </c>
      <c r="F1355" s="107">
        <v>53</v>
      </c>
      <c r="G1355">
        <v>490704</v>
      </c>
      <c r="H1355" s="107"/>
      <c r="I1355" s="107"/>
      <c r="L1355" s="130">
        <v>44005</v>
      </c>
      <c r="M1355" s="107">
        <v>53</v>
      </c>
      <c r="N1355" s="107">
        <v>53.4</v>
      </c>
      <c r="O1355" s="107">
        <v>51.65</v>
      </c>
      <c r="P1355" s="107">
        <v>51.9</v>
      </c>
      <c r="Q1355" s="107">
        <v>53</v>
      </c>
      <c r="R1355">
        <v>5359900</v>
      </c>
    </row>
    <row r="1356" spans="1:18" x14ac:dyDescent="0.25">
      <c r="A1356" s="130">
        <v>44006</v>
      </c>
      <c r="B1356" s="107">
        <v>58.9</v>
      </c>
      <c r="C1356" s="107">
        <v>54.9</v>
      </c>
      <c r="D1356" s="107">
        <v>53.15</v>
      </c>
      <c r="E1356" s="107">
        <v>54</v>
      </c>
      <c r="F1356" s="107">
        <v>54.9</v>
      </c>
      <c r="G1356">
        <v>2229518</v>
      </c>
      <c r="H1356" s="107"/>
      <c r="I1356" s="107"/>
      <c r="L1356" s="130">
        <v>44006</v>
      </c>
      <c r="M1356" s="107">
        <v>55</v>
      </c>
      <c r="N1356" s="107">
        <v>58.9</v>
      </c>
      <c r="O1356" s="107">
        <v>53.15</v>
      </c>
      <c r="P1356" s="107">
        <v>53.9</v>
      </c>
      <c r="Q1356" s="107">
        <v>55</v>
      </c>
      <c r="R1356">
        <v>13010740</v>
      </c>
    </row>
    <row r="1357" spans="1:18" x14ac:dyDescent="0.25">
      <c r="A1357" s="130">
        <v>44007</v>
      </c>
      <c r="B1357" s="107">
        <v>58.4</v>
      </c>
      <c r="C1357" s="107">
        <v>50.4</v>
      </c>
      <c r="D1357" s="107">
        <v>48.5</v>
      </c>
      <c r="E1357" s="107">
        <v>54.7</v>
      </c>
      <c r="F1357" s="107">
        <v>50.4</v>
      </c>
      <c r="G1357">
        <v>3079642</v>
      </c>
      <c r="H1357" s="107"/>
      <c r="I1357" s="107"/>
      <c r="L1357" s="130">
        <v>44007</v>
      </c>
      <c r="M1357" s="107">
        <v>50.25</v>
      </c>
      <c r="N1357" s="107">
        <v>58.5</v>
      </c>
      <c r="O1357" s="107">
        <v>48.3</v>
      </c>
      <c r="P1357" s="107">
        <v>55.9</v>
      </c>
      <c r="Q1357" s="107">
        <v>50.25</v>
      </c>
      <c r="R1357">
        <v>29600469</v>
      </c>
    </row>
    <row r="1358" spans="1:18" x14ac:dyDescent="0.25">
      <c r="A1358" s="130">
        <v>44008</v>
      </c>
      <c r="B1358" s="107">
        <v>52.25</v>
      </c>
      <c r="C1358" s="107">
        <v>51.2</v>
      </c>
      <c r="D1358" s="107">
        <v>50.15</v>
      </c>
      <c r="E1358" s="107">
        <v>50.6</v>
      </c>
      <c r="F1358" s="107">
        <v>51.2</v>
      </c>
      <c r="G1358">
        <v>2357960</v>
      </c>
      <c r="H1358" s="107"/>
      <c r="I1358" s="107"/>
      <c r="L1358" s="130">
        <v>44008</v>
      </c>
      <c r="M1358" s="107">
        <v>51.35</v>
      </c>
      <c r="N1358" s="107">
        <v>52.3</v>
      </c>
      <c r="O1358" s="107">
        <v>50.2</v>
      </c>
      <c r="P1358" s="107">
        <v>51.2</v>
      </c>
      <c r="Q1358" s="107">
        <v>51.35</v>
      </c>
      <c r="R1358">
        <v>8346330</v>
      </c>
    </row>
    <row r="1359" spans="1:18" x14ac:dyDescent="0.25">
      <c r="A1359" s="130">
        <v>44011</v>
      </c>
      <c r="B1359" s="107">
        <v>51.9</v>
      </c>
      <c r="C1359" s="107">
        <v>49.65</v>
      </c>
      <c r="D1359" s="107">
        <v>49.4</v>
      </c>
      <c r="E1359" s="107">
        <v>51.85</v>
      </c>
      <c r="F1359" s="107">
        <v>49.65</v>
      </c>
      <c r="G1359">
        <v>493195</v>
      </c>
      <c r="H1359" s="107"/>
      <c r="I1359" s="107"/>
      <c r="L1359" s="130">
        <v>44011</v>
      </c>
      <c r="M1359" s="107">
        <v>49.65</v>
      </c>
      <c r="N1359" s="107">
        <v>51.65</v>
      </c>
      <c r="O1359" s="107">
        <v>49.4</v>
      </c>
      <c r="P1359" s="107">
        <v>51.65</v>
      </c>
      <c r="Q1359" s="107">
        <v>49.65</v>
      </c>
      <c r="R1359">
        <v>3934958</v>
      </c>
    </row>
    <row r="1360" spans="1:18" x14ac:dyDescent="0.25">
      <c r="A1360" s="130">
        <v>44012</v>
      </c>
      <c r="B1360" s="107">
        <v>50.7</v>
      </c>
      <c r="C1360" s="107">
        <v>48.9</v>
      </c>
      <c r="D1360" s="107">
        <v>48.3</v>
      </c>
      <c r="E1360" s="107">
        <v>50.1</v>
      </c>
      <c r="F1360" s="107">
        <v>48.9</v>
      </c>
      <c r="G1360">
        <v>755214</v>
      </c>
      <c r="H1360" s="107"/>
      <c r="I1360" s="107"/>
      <c r="L1360" s="130">
        <v>44012</v>
      </c>
      <c r="M1360" s="107">
        <v>48.8</v>
      </c>
      <c r="N1360" s="107">
        <v>50.7</v>
      </c>
      <c r="O1360" s="107">
        <v>47</v>
      </c>
      <c r="P1360" s="107">
        <v>50.1</v>
      </c>
      <c r="Q1360" s="107">
        <v>48.8</v>
      </c>
      <c r="R1360">
        <v>2590310</v>
      </c>
    </row>
    <row r="1361" spans="1:18" x14ac:dyDescent="0.25">
      <c r="A1361" s="130">
        <v>44013</v>
      </c>
      <c r="B1361" s="107">
        <v>51</v>
      </c>
      <c r="C1361" s="107">
        <v>50.2</v>
      </c>
      <c r="D1361" s="107">
        <v>48</v>
      </c>
      <c r="E1361" s="107">
        <v>48.3</v>
      </c>
      <c r="F1361" s="107">
        <v>50.2</v>
      </c>
      <c r="G1361">
        <v>808142</v>
      </c>
      <c r="H1361" s="107"/>
      <c r="I1361" s="107"/>
      <c r="L1361" s="130">
        <v>44013</v>
      </c>
      <c r="M1361" s="107">
        <v>50.15</v>
      </c>
      <c r="N1361" s="107">
        <v>50.5</v>
      </c>
      <c r="O1361" s="107">
        <v>48.05</v>
      </c>
      <c r="P1361" s="107">
        <v>49</v>
      </c>
      <c r="Q1361" s="107">
        <v>50.15</v>
      </c>
      <c r="R1361">
        <v>4126731</v>
      </c>
    </row>
    <row r="1362" spans="1:18" x14ac:dyDescent="0.25">
      <c r="A1362" s="130">
        <v>44014</v>
      </c>
      <c r="B1362" s="107">
        <v>50.8</v>
      </c>
      <c r="C1362" s="107">
        <v>49.9</v>
      </c>
      <c r="D1362" s="107">
        <v>49.5</v>
      </c>
      <c r="E1362" s="107">
        <v>50.3</v>
      </c>
      <c r="F1362" s="107">
        <v>49.9</v>
      </c>
      <c r="G1362">
        <v>487003</v>
      </c>
      <c r="H1362" s="107"/>
      <c r="I1362" s="107"/>
      <c r="L1362" s="130">
        <v>44014</v>
      </c>
      <c r="M1362" s="107">
        <v>49.95</v>
      </c>
      <c r="N1362" s="107">
        <v>50.8</v>
      </c>
      <c r="O1362" s="107">
        <v>49.5</v>
      </c>
      <c r="P1362" s="107">
        <v>50.6</v>
      </c>
      <c r="Q1362" s="107">
        <v>49.95</v>
      </c>
      <c r="R1362">
        <v>2402349</v>
      </c>
    </row>
    <row r="1363" spans="1:18" x14ac:dyDescent="0.25">
      <c r="A1363" s="130">
        <v>44015</v>
      </c>
      <c r="B1363" s="107">
        <v>52.7</v>
      </c>
      <c r="C1363" s="107">
        <v>50.7</v>
      </c>
      <c r="D1363" s="107">
        <v>49.2</v>
      </c>
      <c r="E1363" s="107">
        <v>50.9</v>
      </c>
      <c r="F1363" s="107">
        <v>50.7</v>
      </c>
      <c r="G1363">
        <v>554974</v>
      </c>
      <c r="H1363" s="107"/>
      <c r="I1363" s="107"/>
      <c r="L1363" s="130">
        <v>44015</v>
      </c>
      <c r="M1363" s="107">
        <v>50.55</v>
      </c>
      <c r="N1363" s="107">
        <v>52.7</v>
      </c>
      <c r="O1363" s="107">
        <v>49.2</v>
      </c>
      <c r="P1363" s="107">
        <v>50.5</v>
      </c>
      <c r="Q1363" s="107">
        <v>50.55</v>
      </c>
      <c r="R1363">
        <v>4885261</v>
      </c>
    </row>
    <row r="1364" spans="1:18" x14ac:dyDescent="0.25">
      <c r="A1364" s="130">
        <v>44018</v>
      </c>
      <c r="B1364" s="107">
        <v>50.9</v>
      </c>
      <c r="C1364" s="107">
        <v>49.8</v>
      </c>
      <c r="D1364" s="107">
        <v>49.3</v>
      </c>
      <c r="E1364" s="107">
        <v>50.8</v>
      </c>
      <c r="F1364" s="107">
        <v>49.8</v>
      </c>
      <c r="G1364">
        <v>542426</v>
      </c>
      <c r="H1364" s="107"/>
      <c r="I1364" s="107"/>
      <c r="L1364" s="130">
        <v>44018</v>
      </c>
      <c r="M1364" s="107">
        <v>49.85</v>
      </c>
      <c r="N1364" s="107">
        <v>50.95</v>
      </c>
      <c r="O1364" s="107">
        <v>49</v>
      </c>
      <c r="P1364" s="107">
        <v>50.55</v>
      </c>
      <c r="Q1364" s="107">
        <v>49.85</v>
      </c>
      <c r="R1364">
        <v>3417213</v>
      </c>
    </row>
    <row r="1365" spans="1:18" x14ac:dyDescent="0.25">
      <c r="A1365" s="130">
        <v>44019</v>
      </c>
      <c r="B1365" s="107">
        <v>50.45</v>
      </c>
      <c r="C1365" s="107">
        <v>49.55</v>
      </c>
      <c r="D1365" s="107">
        <v>49.25</v>
      </c>
      <c r="E1365" s="107">
        <v>50.3</v>
      </c>
      <c r="F1365" s="107">
        <v>49.55</v>
      </c>
      <c r="G1365">
        <v>276758</v>
      </c>
      <c r="H1365" s="107"/>
      <c r="I1365" s="107"/>
      <c r="L1365" s="130">
        <v>44019</v>
      </c>
      <c r="M1365" s="107">
        <v>49.55</v>
      </c>
      <c r="N1365" s="107">
        <v>50.45</v>
      </c>
      <c r="O1365" s="107">
        <v>49.2</v>
      </c>
      <c r="P1365" s="107">
        <v>49.65</v>
      </c>
      <c r="Q1365" s="107">
        <v>49.55</v>
      </c>
      <c r="R1365">
        <v>2720420</v>
      </c>
    </row>
    <row r="1366" spans="1:18" x14ac:dyDescent="0.25">
      <c r="A1366" s="130">
        <v>44020</v>
      </c>
      <c r="B1366" s="107">
        <v>52</v>
      </c>
      <c r="C1366" s="107">
        <v>49.9</v>
      </c>
      <c r="D1366" s="107">
        <v>49.5</v>
      </c>
      <c r="E1366" s="107">
        <v>49.55</v>
      </c>
      <c r="F1366" s="107">
        <v>49.9</v>
      </c>
      <c r="G1366">
        <v>756147</v>
      </c>
      <c r="H1366" s="107"/>
      <c r="I1366" s="107"/>
      <c r="L1366" s="130">
        <v>44020</v>
      </c>
      <c r="M1366" s="107">
        <v>49.9</v>
      </c>
      <c r="N1366" s="107">
        <v>52</v>
      </c>
      <c r="O1366" s="107">
        <v>49.5</v>
      </c>
      <c r="P1366" s="107">
        <v>49.8</v>
      </c>
      <c r="Q1366" s="107">
        <v>49.9</v>
      </c>
      <c r="R1366">
        <v>7808684</v>
      </c>
    </row>
    <row r="1367" spans="1:18" x14ac:dyDescent="0.25">
      <c r="A1367" s="130">
        <v>44021</v>
      </c>
      <c r="B1367" s="107">
        <v>50.8</v>
      </c>
      <c r="C1367" s="107">
        <v>50.05</v>
      </c>
      <c r="D1367" s="107">
        <v>49.75</v>
      </c>
      <c r="E1367" s="107">
        <v>50.25</v>
      </c>
      <c r="F1367" s="107">
        <v>50.05</v>
      </c>
      <c r="G1367">
        <v>212570</v>
      </c>
      <c r="H1367" s="107"/>
      <c r="I1367" s="107"/>
      <c r="L1367" s="130">
        <v>44021</v>
      </c>
      <c r="M1367" s="107">
        <v>50.1</v>
      </c>
      <c r="N1367" s="107">
        <v>50.9</v>
      </c>
      <c r="O1367" s="107">
        <v>49.7</v>
      </c>
      <c r="P1367" s="107">
        <v>50.05</v>
      </c>
      <c r="Q1367" s="107">
        <v>50.1</v>
      </c>
      <c r="R1367">
        <v>2847686</v>
      </c>
    </row>
    <row r="1368" spans="1:18" x14ac:dyDescent="0.25">
      <c r="A1368" s="130">
        <v>44022</v>
      </c>
      <c r="B1368" s="107">
        <v>50.3</v>
      </c>
      <c r="C1368" s="107">
        <v>49.3</v>
      </c>
      <c r="D1368" s="107">
        <v>49</v>
      </c>
      <c r="E1368" s="107">
        <v>49.85</v>
      </c>
      <c r="F1368" s="107">
        <v>49.3</v>
      </c>
      <c r="G1368">
        <v>794626</v>
      </c>
      <c r="H1368" s="107"/>
      <c r="I1368" s="107"/>
      <c r="L1368" s="130">
        <v>44022</v>
      </c>
      <c r="M1368" s="107">
        <v>49.3</v>
      </c>
      <c r="N1368" s="107">
        <v>50.3</v>
      </c>
      <c r="O1368" s="107">
        <v>49</v>
      </c>
      <c r="P1368" s="107">
        <v>49.9</v>
      </c>
      <c r="Q1368" s="107">
        <v>49.3</v>
      </c>
      <c r="R1368">
        <v>2784390</v>
      </c>
    </row>
    <row r="1369" spans="1:18" x14ac:dyDescent="0.25">
      <c r="A1369" s="130">
        <v>44025</v>
      </c>
      <c r="B1369" s="107">
        <v>49.95</v>
      </c>
      <c r="C1369" s="107">
        <v>48.3</v>
      </c>
      <c r="D1369" s="107">
        <v>48</v>
      </c>
      <c r="E1369" s="107">
        <v>49.5</v>
      </c>
      <c r="F1369" s="107">
        <v>48.3</v>
      </c>
      <c r="G1369">
        <v>177643</v>
      </c>
      <c r="H1369" s="107"/>
      <c r="I1369" s="107"/>
      <c r="L1369" s="130">
        <v>44025</v>
      </c>
      <c r="M1369" s="107">
        <v>48.25</v>
      </c>
      <c r="N1369" s="107">
        <v>49.9</v>
      </c>
      <c r="O1369" s="107">
        <v>48</v>
      </c>
      <c r="P1369" s="107">
        <v>49.9</v>
      </c>
      <c r="Q1369" s="107">
        <v>48.25</v>
      </c>
      <c r="R1369">
        <v>1888289</v>
      </c>
    </row>
    <row r="1370" spans="1:18" x14ac:dyDescent="0.25">
      <c r="A1370" s="130">
        <v>44026</v>
      </c>
      <c r="B1370" s="107">
        <v>48.4</v>
      </c>
      <c r="C1370" s="107">
        <v>46.7</v>
      </c>
      <c r="D1370" s="107">
        <v>46.45</v>
      </c>
      <c r="E1370" s="107">
        <v>48.4</v>
      </c>
      <c r="F1370" s="107">
        <v>46.7</v>
      </c>
      <c r="G1370">
        <v>237992</v>
      </c>
      <c r="H1370" s="107"/>
      <c r="I1370" s="107"/>
      <c r="L1370" s="130">
        <v>44026</v>
      </c>
      <c r="M1370" s="107">
        <v>46.75</v>
      </c>
      <c r="N1370" s="107">
        <v>48.2</v>
      </c>
      <c r="O1370" s="107">
        <v>46.5</v>
      </c>
      <c r="P1370" s="107">
        <v>48.2</v>
      </c>
      <c r="Q1370" s="107">
        <v>46.75</v>
      </c>
      <c r="R1370">
        <v>1421423</v>
      </c>
    </row>
    <row r="1371" spans="1:18" x14ac:dyDescent="0.25">
      <c r="A1371" s="130">
        <v>44027</v>
      </c>
      <c r="B1371" s="107">
        <v>47.6</v>
      </c>
      <c r="C1371" s="107">
        <v>46.35</v>
      </c>
      <c r="D1371" s="107">
        <v>46.15</v>
      </c>
      <c r="E1371" s="107">
        <v>47.4</v>
      </c>
      <c r="F1371" s="107">
        <v>46.35</v>
      </c>
      <c r="G1371">
        <v>731666</v>
      </c>
      <c r="H1371" s="107"/>
      <c r="I1371" s="107"/>
      <c r="L1371" s="130">
        <v>44027</v>
      </c>
      <c r="M1371" s="107">
        <v>46.4</v>
      </c>
      <c r="N1371" s="107">
        <v>47.65</v>
      </c>
      <c r="O1371" s="107">
        <v>46.15</v>
      </c>
      <c r="P1371" s="107">
        <v>47.05</v>
      </c>
      <c r="Q1371" s="107">
        <v>46.4</v>
      </c>
      <c r="R1371">
        <v>1759677</v>
      </c>
    </row>
    <row r="1372" spans="1:18" x14ac:dyDescent="0.25">
      <c r="A1372" s="130">
        <v>44028</v>
      </c>
      <c r="B1372" s="107">
        <v>46.8</v>
      </c>
      <c r="C1372" s="107">
        <v>45.7</v>
      </c>
      <c r="D1372" s="107">
        <v>45.1</v>
      </c>
      <c r="E1372" s="107">
        <v>46.55</v>
      </c>
      <c r="F1372" s="107">
        <v>45.7</v>
      </c>
      <c r="G1372">
        <v>526282</v>
      </c>
      <c r="H1372" s="107"/>
      <c r="I1372" s="107"/>
      <c r="L1372" s="130">
        <v>44028</v>
      </c>
      <c r="M1372" s="107">
        <v>45.65</v>
      </c>
      <c r="N1372" s="107">
        <v>46.9</v>
      </c>
      <c r="O1372" s="107">
        <v>45.1</v>
      </c>
      <c r="P1372" s="107">
        <v>46.8</v>
      </c>
      <c r="Q1372" s="107">
        <v>45.65</v>
      </c>
      <c r="R1372">
        <v>1876323</v>
      </c>
    </row>
    <row r="1373" spans="1:18" x14ac:dyDescent="0.25">
      <c r="A1373" s="130">
        <v>44029</v>
      </c>
      <c r="B1373" s="107">
        <v>46.8</v>
      </c>
      <c r="C1373" s="107">
        <v>46.55</v>
      </c>
      <c r="D1373" s="107">
        <v>46</v>
      </c>
      <c r="E1373" s="107">
        <v>46.4</v>
      </c>
      <c r="F1373" s="107">
        <v>46.55</v>
      </c>
      <c r="G1373">
        <v>750354</v>
      </c>
      <c r="H1373" s="107"/>
      <c r="I1373" s="107"/>
      <c r="L1373" s="130">
        <v>44029</v>
      </c>
      <c r="M1373" s="107">
        <v>46.55</v>
      </c>
      <c r="N1373" s="107">
        <v>46.8</v>
      </c>
      <c r="O1373" s="107">
        <v>45.85</v>
      </c>
      <c r="P1373" s="107">
        <v>46.15</v>
      </c>
      <c r="Q1373" s="107">
        <v>46.55</v>
      </c>
      <c r="R1373">
        <v>1973111</v>
      </c>
    </row>
    <row r="1374" spans="1:18" x14ac:dyDescent="0.25">
      <c r="A1374" s="130">
        <v>44032</v>
      </c>
      <c r="B1374" s="107">
        <v>47.85</v>
      </c>
      <c r="C1374" s="107">
        <v>47.05</v>
      </c>
      <c r="D1374" s="107">
        <v>46.8</v>
      </c>
      <c r="E1374" s="107">
        <v>47.1</v>
      </c>
      <c r="F1374" s="107">
        <v>47.05</v>
      </c>
      <c r="G1374">
        <v>496885</v>
      </c>
      <c r="H1374" s="107"/>
      <c r="I1374" s="107"/>
      <c r="L1374" s="130">
        <v>44032</v>
      </c>
      <c r="M1374" s="107">
        <v>47.1</v>
      </c>
      <c r="N1374" s="107">
        <v>47.9</v>
      </c>
      <c r="O1374" s="107">
        <v>46.8</v>
      </c>
      <c r="P1374" s="107">
        <v>47.9</v>
      </c>
      <c r="Q1374" s="107">
        <v>47.1</v>
      </c>
      <c r="R1374">
        <v>2126017</v>
      </c>
    </row>
    <row r="1375" spans="1:18" x14ac:dyDescent="0.25">
      <c r="A1375" s="130">
        <v>44033</v>
      </c>
      <c r="B1375" s="107">
        <v>51.65</v>
      </c>
      <c r="C1375" s="107">
        <v>50.3</v>
      </c>
      <c r="D1375" s="107">
        <v>49.6</v>
      </c>
      <c r="E1375" s="107">
        <v>50.25</v>
      </c>
      <c r="F1375" s="107">
        <v>50.3</v>
      </c>
      <c r="G1375">
        <v>712549</v>
      </c>
      <c r="H1375" s="107"/>
      <c r="I1375" s="107"/>
      <c r="L1375" s="130">
        <v>44033</v>
      </c>
      <c r="M1375" s="107">
        <v>50.25</v>
      </c>
      <c r="N1375" s="107">
        <v>51.6</v>
      </c>
      <c r="O1375" s="107">
        <v>49.65</v>
      </c>
      <c r="P1375" s="107">
        <v>51</v>
      </c>
      <c r="Q1375" s="107">
        <v>50.25</v>
      </c>
      <c r="R1375">
        <v>11253714</v>
      </c>
    </row>
    <row r="1376" spans="1:18" x14ac:dyDescent="0.25">
      <c r="A1376" s="130">
        <v>44034</v>
      </c>
      <c r="B1376" s="107">
        <v>50.45</v>
      </c>
      <c r="C1376" s="107">
        <v>48.5</v>
      </c>
      <c r="D1376" s="107">
        <v>48.4</v>
      </c>
      <c r="E1376" s="107">
        <v>50.3</v>
      </c>
      <c r="F1376" s="107">
        <v>48.5</v>
      </c>
      <c r="G1376">
        <v>346849</v>
      </c>
      <c r="H1376" s="107"/>
      <c r="I1376" s="107"/>
      <c r="L1376" s="130">
        <v>44034</v>
      </c>
      <c r="M1376" s="107">
        <v>48.55</v>
      </c>
      <c r="N1376" s="107">
        <v>50.6</v>
      </c>
      <c r="O1376" s="107">
        <v>48.45</v>
      </c>
      <c r="P1376" s="107">
        <v>50.25</v>
      </c>
      <c r="Q1376" s="107">
        <v>48.55</v>
      </c>
      <c r="R1376">
        <v>2540505</v>
      </c>
    </row>
    <row r="1377" spans="1:18" x14ac:dyDescent="0.25">
      <c r="A1377" s="130">
        <v>44035</v>
      </c>
      <c r="B1377" s="107">
        <v>48.8</v>
      </c>
      <c r="C1377" s="107">
        <v>48.4</v>
      </c>
      <c r="D1377" s="107">
        <v>48.1</v>
      </c>
      <c r="E1377" s="107">
        <v>48.1</v>
      </c>
      <c r="F1377" s="107">
        <v>48.4</v>
      </c>
      <c r="G1377">
        <v>283954</v>
      </c>
      <c r="H1377" s="107"/>
      <c r="I1377" s="107"/>
      <c r="L1377" s="130">
        <v>44035</v>
      </c>
      <c r="M1377" s="107">
        <v>48.4</v>
      </c>
      <c r="N1377" s="107">
        <v>48.85</v>
      </c>
      <c r="O1377" s="107">
        <v>48</v>
      </c>
      <c r="P1377" s="107">
        <v>48.25</v>
      </c>
      <c r="Q1377" s="107">
        <v>48.4</v>
      </c>
      <c r="R1377">
        <v>1985882</v>
      </c>
    </row>
    <row r="1378" spans="1:18" x14ac:dyDescent="0.25">
      <c r="A1378" s="130">
        <v>44036</v>
      </c>
      <c r="B1378" s="107">
        <v>48.1</v>
      </c>
      <c r="C1378" s="107">
        <v>47.45</v>
      </c>
      <c r="D1378" s="107">
        <v>47.1</v>
      </c>
      <c r="E1378" s="107">
        <v>48.1</v>
      </c>
      <c r="F1378" s="107">
        <v>47.45</v>
      </c>
      <c r="G1378">
        <v>931723</v>
      </c>
      <c r="H1378" s="107"/>
      <c r="I1378" s="107"/>
      <c r="L1378" s="130">
        <v>44036</v>
      </c>
      <c r="M1378" s="107">
        <v>47.45</v>
      </c>
      <c r="N1378" s="107">
        <v>48</v>
      </c>
      <c r="O1378" s="107">
        <v>47.1</v>
      </c>
      <c r="P1378" s="107">
        <v>48</v>
      </c>
      <c r="Q1378" s="107">
        <v>47.45</v>
      </c>
      <c r="R1378">
        <v>1927916</v>
      </c>
    </row>
    <row r="1379" spans="1:18" x14ac:dyDescent="0.25">
      <c r="A1379" s="130">
        <v>44039</v>
      </c>
      <c r="B1379" s="107">
        <v>47.45</v>
      </c>
      <c r="C1379" s="107">
        <v>45.95</v>
      </c>
      <c r="D1379" s="107">
        <v>45.8</v>
      </c>
      <c r="E1379" s="107">
        <v>47.45</v>
      </c>
      <c r="F1379" s="107">
        <v>45.95</v>
      </c>
      <c r="G1379">
        <v>175411</v>
      </c>
      <c r="H1379" s="107"/>
      <c r="I1379" s="107"/>
      <c r="L1379" s="130">
        <v>44039</v>
      </c>
      <c r="M1379" s="107">
        <v>45.9</v>
      </c>
      <c r="N1379" s="107">
        <v>47.45</v>
      </c>
      <c r="O1379" s="107">
        <v>45.75</v>
      </c>
      <c r="P1379" s="107">
        <v>47.4</v>
      </c>
      <c r="Q1379" s="107">
        <v>45.9</v>
      </c>
      <c r="R1379">
        <v>1406512</v>
      </c>
    </row>
    <row r="1380" spans="1:18" x14ac:dyDescent="0.25">
      <c r="A1380" s="130">
        <v>44040</v>
      </c>
      <c r="B1380" s="107">
        <v>46.6</v>
      </c>
      <c r="C1380" s="107">
        <v>45.75</v>
      </c>
      <c r="D1380" s="107">
        <v>45.4</v>
      </c>
      <c r="E1380" s="107">
        <v>45.95</v>
      </c>
      <c r="F1380" s="107">
        <v>45.75</v>
      </c>
      <c r="G1380">
        <v>996244</v>
      </c>
      <c r="H1380" s="107"/>
      <c r="I1380" s="107"/>
      <c r="L1380" s="130">
        <v>44040</v>
      </c>
      <c r="M1380" s="107">
        <v>45.7</v>
      </c>
      <c r="N1380" s="107">
        <v>46.6</v>
      </c>
      <c r="O1380" s="107">
        <v>45.2</v>
      </c>
      <c r="P1380" s="107">
        <v>46</v>
      </c>
      <c r="Q1380" s="107">
        <v>45.7</v>
      </c>
      <c r="R1380">
        <v>1985849</v>
      </c>
    </row>
    <row r="1381" spans="1:18" x14ac:dyDescent="0.25">
      <c r="A1381" s="130">
        <v>44041</v>
      </c>
      <c r="B1381" s="107">
        <v>48.25</v>
      </c>
      <c r="C1381" s="107">
        <v>46.75</v>
      </c>
      <c r="D1381" s="107">
        <v>45.6</v>
      </c>
      <c r="E1381" s="107">
        <v>45.75</v>
      </c>
      <c r="F1381" s="107">
        <v>46.75</v>
      </c>
      <c r="G1381">
        <v>1449176</v>
      </c>
      <c r="H1381" s="107"/>
      <c r="I1381" s="107"/>
      <c r="L1381" s="130">
        <v>44041</v>
      </c>
      <c r="M1381" s="107">
        <v>46.75</v>
      </c>
      <c r="N1381" s="107">
        <v>48.3</v>
      </c>
      <c r="O1381" s="107">
        <v>45.8</v>
      </c>
      <c r="P1381" s="107">
        <v>46.3</v>
      </c>
      <c r="Q1381" s="107">
        <v>46.75</v>
      </c>
      <c r="R1381">
        <v>4871166</v>
      </c>
    </row>
    <row r="1382" spans="1:18" x14ac:dyDescent="0.25">
      <c r="A1382" s="130">
        <v>44042</v>
      </c>
      <c r="B1382" s="107">
        <v>49.35</v>
      </c>
      <c r="C1382" s="107">
        <v>46.4</v>
      </c>
      <c r="D1382" s="107">
        <v>45.1</v>
      </c>
      <c r="E1382" s="107">
        <v>46.95</v>
      </c>
      <c r="F1382" s="107">
        <v>46.4</v>
      </c>
      <c r="G1382">
        <v>518878</v>
      </c>
      <c r="H1382" s="107"/>
      <c r="I1382" s="107"/>
      <c r="L1382" s="130">
        <v>44042</v>
      </c>
      <c r="M1382" s="107">
        <v>46.35</v>
      </c>
      <c r="N1382" s="107">
        <v>49.4</v>
      </c>
      <c r="O1382" s="107">
        <v>45</v>
      </c>
      <c r="P1382" s="107">
        <v>47.3</v>
      </c>
      <c r="Q1382" s="107">
        <v>46.35</v>
      </c>
      <c r="R1382">
        <v>5029389</v>
      </c>
    </row>
    <row r="1383" spans="1:18" x14ac:dyDescent="0.25">
      <c r="A1383" s="130">
        <v>44043</v>
      </c>
      <c r="B1383" s="107">
        <v>47.75</v>
      </c>
      <c r="C1383" s="107">
        <v>47.1</v>
      </c>
      <c r="D1383" s="107">
        <v>45.85</v>
      </c>
      <c r="E1383" s="107">
        <v>46.85</v>
      </c>
      <c r="F1383" s="107">
        <v>47.1</v>
      </c>
      <c r="G1383">
        <v>758388</v>
      </c>
      <c r="H1383" s="107"/>
      <c r="I1383" s="107"/>
      <c r="L1383" s="130">
        <v>44043</v>
      </c>
      <c r="M1383" s="107">
        <v>47.05</v>
      </c>
      <c r="N1383" s="107">
        <v>47.7</v>
      </c>
      <c r="O1383" s="107">
        <v>45.7</v>
      </c>
      <c r="P1383" s="107">
        <v>46.5</v>
      </c>
      <c r="Q1383" s="107">
        <v>47.05</v>
      </c>
      <c r="R1383">
        <v>2236543</v>
      </c>
    </row>
    <row r="1384" spans="1:18" x14ac:dyDescent="0.25">
      <c r="A1384" s="130">
        <v>44046</v>
      </c>
      <c r="B1384" s="107">
        <v>50.15</v>
      </c>
      <c r="C1384" s="107">
        <v>48.05</v>
      </c>
      <c r="D1384" s="107">
        <v>46</v>
      </c>
      <c r="E1384" s="107">
        <v>46</v>
      </c>
      <c r="F1384" s="107">
        <v>48.05</v>
      </c>
      <c r="G1384">
        <v>1057544</v>
      </c>
      <c r="H1384" s="107"/>
      <c r="I1384" s="107"/>
      <c r="L1384" s="130">
        <v>44046</v>
      </c>
      <c r="M1384" s="107">
        <v>48.15</v>
      </c>
      <c r="N1384" s="107">
        <v>50.4</v>
      </c>
      <c r="O1384" s="107">
        <v>47.05</v>
      </c>
      <c r="P1384" s="107">
        <v>47.7</v>
      </c>
      <c r="Q1384" s="107">
        <v>48.15</v>
      </c>
      <c r="R1384">
        <v>11207502</v>
      </c>
    </row>
    <row r="1385" spans="1:18" x14ac:dyDescent="0.25">
      <c r="A1385" s="130">
        <v>44047</v>
      </c>
      <c r="B1385" s="107">
        <v>49.9</v>
      </c>
      <c r="C1385" s="107">
        <v>48.85</v>
      </c>
      <c r="D1385" s="107">
        <v>48.45</v>
      </c>
      <c r="E1385" s="107">
        <v>49.9</v>
      </c>
      <c r="F1385" s="107">
        <v>48.85</v>
      </c>
      <c r="G1385">
        <v>191675</v>
      </c>
      <c r="H1385" s="107"/>
      <c r="I1385" s="107"/>
      <c r="L1385" s="130">
        <v>44047</v>
      </c>
      <c r="M1385" s="107">
        <v>48.9</v>
      </c>
      <c r="N1385" s="107">
        <v>49.8</v>
      </c>
      <c r="O1385" s="107">
        <v>48.45</v>
      </c>
      <c r="P1385" s="107">
        <v>49.2</v>
      </c>
      <c r="Q1385" s="107">
        <v>48.9</v>
      </c>
      <c r="R1385">
        <v>3645354</v>
      </c>
    </row>
    <row r="1386" spans="1:18" x14ac:dyDescent="0.25">
      <c r="A1386" s="130">
        <v>44048</v>
      </c>
      <c r="B1386" s="107">
        <v>49.3</v>
      </c>
      <c r="C1386" s="107">
        <v>48.3</v>
      </c>
      <c r="D1386" s="107">
        <v>48.05</v>
      </c>
      <c r="E1386" s="107">
        <v>49.3</v>
      </c>
      <c r="F1386" s="107">
        <v>48.3</v>
      </c>
      <c r="G1386">
        <v>710076</v>
      </c>
      <c r="H1386" s="107"/>
      <c r="I1386" s="107"/>
      <c r="L1386" s="130">
        <v>44048</v>
      </c>
      <c r="M1386" s="107">
        <v>48.3</v>
      </c>
      <c r="N1386" s="107">
        <v>49.35</v>
      </c>
      <c r="O1386" s="107">
        <v>48.05</v>
      </c>
      <c r="P1386" s="107">
        <v>48.9</v>
      </c>
      <c r="Q1386" s="107">
        <v>48.3</v>
      </c>
      <c r="R1386">
        <v>2126975</v>
      </c>
    </row>
    <row r="1387" spans="1:18" x14ac:dyDescent="0.25">
      <c r="A1387" s="130">
        <v>44049</v>
      </c>
      <c r="B1387" s="107">
        <v>49</v>
      </c>
      <c r="C1387" s="107">
        <v>48.5</v>
      </c>
      <c r="D1387" s="107">
        <v>48</v>
      </c>
      <c r="E1387" s="107">
        <v>48.3</v>
      </c>
      <c r="F1387" s="107">
        <v>48.5</v>
      </c>
      <c r="G1387">
        <v>278931</v>
      </c>
      <c r="H1387" s="107"/>
      <c r="I1387" s="107"/>
      <c r="L1387" s="130">
        <v>44049</v>
      </c>
      <c r="M1387" s="107">
        <v>48.6</v>
      </c>
      <c r="N1387" s="107">
        <v>49.1</v>
      </c>
      <c r="O1387" s="107">
        <v>48</v>
      </c>
      <c r="P1387" s="107">
        <v>48.4</v>
      </c>
      <c r="Q1387" s="107">
        <v>48.6</v>
      </c>
      <c r="R1387">
        <v>1810969</v>
      </c>
    </row>
    <row r="1388" spans="1:18" x14ac:dyDescent="0.25">
      <c r="A1388" s="130">
        <v>44050</v>
      </c>
      <c r="B1388" s="107">
        <v>49.8</v>
      </c>
      <c r="C1388" s="107">
        <v>48.9</v>
      </c>
      <c r="D1388" s="107">
        <v>48</v>
      </c>
      <c r="E1388" s="107">
        <v>48</v>
      </c>
      <c r="F1388" s="107">
        <v>48.9</v>
      </c>
      <c r="G1388">
        <v>437486</v>
      </c>
      <c r="H1388" s="107"/>
      <c r="I1388" s="107"/>
      <c r="L1388" s="130">
        <v>44050</v>
      </c>
      <c r="M1388" s="107">
        <v>48.95</v>
      </c>
      <c r="N1388" s="107">
        <v>49.8</v>
      </c>
      <c r="O1388" s="107">
        <v>48.1</v>
      </c>
      <c r="P1388" s="107">
        <v>48.5</v>
      </c>
      <c r="Q1388" s="107">
        <v>48.95</v>
      </c>
      <c r="R1388">
        <v>2735923</v>
      </c>
    </row>
    <row r="1389" spans="1:18" x14ac:dyDescent="0.25">
      <c r="A1389" s="130">
        <v>44053</v>
      </c>
      <c r="B1389" s="107">
        <v>49.4</v>
      </c>
      <c r="C1389" s="107">
        <v>48.75</v>
      </c>
      <c r="D1389" s="107">
        <v>48.55</v>
      </c>
      <c r="E1389" s="107">
        <v>49.2</v>
      </c>
      <c r="F1389" s="107">
        <v>48.75</v>
      </c>
      <c r="G1389">
        <v>96318</v>
      </c>
      <c r="H1389" s="107"/>
      <c r="I1389" s="107"/>
      <c r="L1389" s="130">
        <v>44053</v>
      </c>
      <c r="M1389" s="107">
        <v>48.8</v>
      </c>
      <c r="N1389" s="107">
        <v>49.45</v>
      </c>
      <c r="O1389" s="107">
        <v>48.5</v>
      </c>
      <c r="P1389" s="107">
        <v>49.2</v>
      </c>
      <c r="Q1389" s="107">
        <v>48.8</v>
      </c>
      <c r="R1389">
        <v>1194082</v>
      </c>
    </row>
    <row r="1390" spans="1:18" x14ac:dyDescent="0.25">
      <c r="A1390" s="130">
        <v>44054</v>
      </c>
      <c r="B1390" s="107">
        <v>49.3</v>
      </c>
      <c r="C1390" s="107">
        <v>48.1</v>
      </c>
      <c r="D1390" s="107">
        <v>48</v>
      </c>
      <c r="E1390" s="107">
        <v>48.25</v>
      </c>
      <c r="F1390" s="107">
        <v>48.1</v>
      </c>
      <c r="G1390">
        <v>457474</v>
      </c>
      <c r="H1390" s="107"/>
      <c r="I1390" s="107"/>
      <c r="L1390" s="130">
        <v>44054</v>
      </c>
      <c r="M1390" s="107">
        <v>48.15</v>
      </c>
      <c r="N1390" s="107">
        <v>49.3</v>
      </c>
      <c r="O1390" s="107">
        <v>47.9</v>
      </c>
      <c r="P1390" s="107">
        <v>48.7</v>
      </c>
      <c r="Q1390" s="107">
        <v>48.15</v>
      </c>
      <c r="R1390">
        <v>2031765</v>
      </c>
    </row>
    <row r="1391" spans="1:18" x14ac:dyDescent="0.25">
      <c r="A1391" s="130">
        <v>44055</v>
      </c>
      <c r="B1391" s="107">
        <v>50.2</v>
      </c>
      <c r="C1391" s="107">
        <v>49.05</v>
      </c>
      <c r="D1391" s="107">
        <v>48.35</v>
      </c>
      <c r="E1391" s="107">
        <v>49</v>
      </c>
      <c r="F1391" s="107">
        <v>49.05</v>
      </c>
      <c r="G1391">
        <v>728126</v>
      </c>
      <c r="H1391" s="107"/>
      <c r="I1391" s="107"/>
      <c r="L1391" s="130">
        <v>44055</v>
      </c>
      <c r="M1391" s="107">
        <v>49.05</v>
      </c>
      <c r="N1391" s="107">
        <v>50.2</v>
      </c>
      <c r="O1391" s="107">
        <v>48.25</v>
      </c>
      <c r="P1391" s="107">
        <v>48.9</v>
      </c>
      <c r="Q1391" s="107">
        <v>49.05</v>
      </c>
      <c r="R1391">
        <v>6040828</v>
      </c>
    </row>
    <row r="1392" spans="1:18" x14ac:dyDescent="0.25">
      <c r="A1392" s="130">
        <v>44056</v>
      </c>
      <c r="B1392" s="107">
        <v>49.6</v>
      </c>
      <c r="C1392" s="107">
        <v>48.4</v>
      </c>
      <c r="D1392" s="107">
        <v>48</v>
      </c>
      <c r="E1392" s="107">
        <v>49.05</v>
      </c>
      <c r="F1392" s="107">
        <v>48.4</v>
      </c>
      <c r="G1392">
        <v>714154</v>
      </c>
      <c r="H1392" s="107"/>
      <c r="I1392" s="107"/>
      <c r="L1392" s="130">
        <v>44056</v>
      </c>
      <c r="M1392" s="107">
        <v>48.4</v>
      </c>
      <c r="N1392" s="107">
        <v>49.55</v>
      </c>
      <c r="O1392" s="107">
        <v>47.85</v>
      </c>
      <c r="P1392" s="107">
        <v>49.3</v>
      </c>
      <c r="Q1392" s="107">
        <v>48.4</v>
      </c>
      <c r="R1392">
        <v>1820359</v>
      </c>
    </row>
    <row r="1393" spans="1:18" x14ac:dyDescent="0.25">
      <c r="A1393" s="130">
        <v>44057</v>
      </c>
      <c r="B1393" s="107">
        <v>49.25</v>
      </c>
      <c r="C1393" s="107">
        <v>47.4</v>
      </c>
      <c r="D1393" s="107">
        <v>46.9</v>
      </c>
      <c r="E1393" s="107">
        <v>49.25</v>
      </c>
      <c r="F1393" s="107">
        <v>47.4</v>
      </c>
      <c r="G1393">
        <v>172229</v>
      </c>
      <c r="H1393" s="107"/>
      <c r="I1393" s="107"/>
      <c r="L1393" s="130">
        <v>44057</v>
      </c>
      <c r="M1393" s="107">
        <v>47.4</v>
      </c>
      <c r="N1393" s="107">
        <v>48.95</v>
      </c>
      <c r="O1393" s="107">
        <v>46.8</v>
      </c>
      <c r="P1393" s="107">
        <v>48.9</v>
      </c>
      <c r="Q1393" s="107">
        <v>47.4</v>
      </c>
      <c r="R1393">
        <v>2380615</v>
      </c>
    </row>
    <row r="1394" spans="1:18" x14ac:dyDescent="0.25">
      <c r="A1394" s="130">
        <v>44060</v>
      </c>
      <c r="B1394" s="107">
        <v>47.8</v>
      </c>
      <c r="C1394" s="107">
        <v>46.85</v>
      </c>
      <c r="D1394" s="107">
        <v>46.5</v>
      </c>
      <c r="E1394" s="107">
        <v>47.4</v>
      </c>
      <c r="F1394" s="107">
        <v>46.85</v>
      </c>
      <c r="G1394">
        <v>237895</v>
      </c>
      <c r="H1394" s="107"/>
      <c r="I1394" s="107"/>
      <c r="L1394" s="130">
        <v>44060</v>
      </c>
      <c r="M1394" s="107">
        <v>46.8</v>
      </c>
      <c r="N1394" s="107">
        <v>47.8</v>
      </c>
      <c r="O1394" s="107">
        <v>46.5</v>
      </c>
      <c r="P1394" s="107">
        <v>47.6</v>
      </c>
      <c r="Q1394" s="107">
        <v>46.8</v>
      </c>
      <c r="R1394">
        <v>1328982</v>
      </c>
    </row>
    <row r="1395" spans="1:18" x14ac:dyDescent="0.25">
      <c r="A1395" s="130">
        <v>44061</v>
      </c>
      <c r="B1395" s="107">
        <v>47.2</v>
      </c>
      <c r="C1395" s="107">
        <v>46.5</v>
      </c>
      <c r="D1395" s="107">
        <v>46.2</v>
      </c>
      <c r="E1395" s="107">
        <v>46.85</v>
      </c>
      <c r="F1395" s="107">
        <v>46.5</v>
      </c>
      <c r="G1395">
        <v>597195</v>
      </c>
      <c r="H1395" s="107"/>
      <c r="I1395" s="107"/>
      <c r="L1395" s="130">
        <v>44061</v>
      </c>
      <c r="M1395" s="107">
        <v>46.5</v>
      </c>
      <c r="N1395" s="107">
        <v>47.2</v>
      </c>
      <c r="O1395" s="107">
        <v>46.15</v>
      </c>
      <c r="P1395" s="107">
        <v>46.5</v>
      </c>
      <c r="Q1395" s="107">
        <v>46.5</v>
      </c>
      <c r="R1395">
        <v>1774522</v>
      </c>
    </row>
    <row r="1396" spans="1:18" x14ac:dyDescent="0.25">
      <c r="A1396" s="130">
        <v>44062</v>
      </c>
      <c r="B1396" s="107">
        <v>49.05</v>
      </c>
      <c r="C1396" s="107">
        <v>48.6</v>
      </c>
      <c r="D1396" s="107">
        <v>46.6</v>
      </c>
      <c r="E1396" s="107">
        <v>46.6</v>
      </c>
      <c r="F1396" s="107">
        <v>48.6</v>
      </c>
      <c r="G1396">
        <v>1254332</v>
      </c>
      <c r="H1396" s="107"/>
      <c r="I1396" s="107"/>
      <c r="L1396" s="130">
        <v>44062</v>
      </c>
      <c r="M1396" s="107">
        <v>48.65</v>
      </c>
      <c r="N1396" s="107">
        <v>49.1</v>
      </c>
      <c r="O1396" s="107">
        <v>46.75</v>
      </c>
      <c r="P1396" s="107">
        <v>47.25</v>
      </c>
      <c r="Q1396" s="107">
        <v>48.65</v>
      </c>
      <c r="R1396">
        <v>6523650</v>
      </c>
    </row>
    <row r="1397" spans="1:18" x14ac:dyDescent="0.25">
      <c r="A1397" s="130">
        <v>44063</v>
      </c>
      <c r="B1397" s="107">
        <v>48.75</v>
      </c>
      <c r="C1397" s="107">
        <v>48.05</v>
      </c>
      <c r="D1397" s="107">
        <v>47.55</v>
      </c>
      <c r="E1397" s="107">
        <v>47.9</v>
      </c>
      <c r="F1397" s="107">
        <v>48.05</v>
      </c>
      <c r="G1397">
        <v>1354680</v>
      </c>
      <c r="H1397" s="107"/>
      <c r="I1397" s="107"/>
      <c r="L1397" s="130">
        <v>44063</v>
      </c>
      <c r="M1397" s="107">
        <v>48</v>
      </c>
      <c r="N1397" s="107">
        <v>48.75</v>
      </c>
      <c r="O1397" s="107">
        <v>47.5</v>
      </c>
      <c r="P1397" s="107">
        <v>47.65</v>
      </c>
      <c r="Q1397" s="107">
        <v>48</v>
      </c>
      <c r="R1397">
        <v>3236826</v>
      </c>
    </row>
    <row r="1398" spans="1:18" x14ac:dyDescent="0.25">
      <c r="A1398" s="130">
        <v>44064</v>
      </c>
      <c r="B1398" s="107">
        <v>48.85</v>
      </c>
      <c r="C1398" s="107">
        <v>48.15</v>
      </c>
      <c r="D1398" s="107">
        <v>48.05</v>
      </c>
      <c r="E1398" s="107">
        <v>48.2</v>
      </c>
      <c r="F1398" s="107">
        <v>48.15</v>
      </c>
      <c r="G1398">
        <v>523928</v>
      </c>
      <c r="H1398" s="107"/>
      <c r="I1398" s="107"/>
      <c r="L1398" s="130">
        <v>44064</v>
      </c>
      <c r="M1398" s="107">
        <v>48.2</v>
      </c>
      <c r="N1398" s="107">
        <v>49</v>
      </c>
      <c r="O1398" s="107">
        <v>48</v>
      </c>
      <c r="P1398" s="107">
        <v>48.9</v>
      </c>
      <c r="Q1398" s="107">
        <v>48.2</v>
      </c>
      <c r="R1398">
        <v>2415443</v>
      </c>
    </row>
    <row r="1399" spans="1:18" x14ac:dyDescent="0.25">
      <c r="A1399" s="130">
        <v>44067</v>
      </c>
      <c r="B1399" s="107">
        <v>48.65</v>
      </c>
      <c r="C1399" s="107">
        <v>47.9</v>
      </c>
      <c r="D1399" s="107">
        <v>47.7</v>
      </c>
      <c r="E1399" s="107">
        <v>48.4</v>
      </c>
      <c r="F1399" s="107">
        <v>47.9</v>
      </c>
      <c r="G1399">
        <v>213808</v>
      </c>
      <c r="H1399" s="107"/>
      <c r="I1399" s="107"/>
      <c r="L1399" s="130">
        <v>44067</v>
      </c>
      <c r="M1399" s="107">
        <v>47.9</v>
      </c>
      <c r="N1399" s="107">
        <v>48.6</v>
      </c>
      <c r="O1399" s="107">
        <v>47.7</v>
      </c>
      <c r="P1399" s="107">
        <v>48.5</v>
      </c>
      <c r="Q1399" s="107">
        <v>47.9</v>
      </c>
      <c r="R1399">
        <v>1262831</v>
      </c>
    </row>
    <row r="1400" spans="1:18" x14ac:dyDescent="0.25">
      <c r="A1400" s="130">
        <v>44068</v>
      </c>
      <c r="B1400" s="107">
        <v>48.55</v>
      </c>
      <c r="C1400" s="107">
        <v>47.7</v>
      </c>
      <c r="D1400" s="107">
        <v>47.5</v>
      </c>
      <c r="E1400" s="107">
        <v>47.95</v>
      </c>
      <c r="F1400" s="107">
        <v>47.7</v>
      </c>
      <c r="G1400">
        <v>868979</v>
      </c>
      <c r="H1400" s="107"/>
      <c r="I1400" s="107"/>
      <c r="L1400" s="130">
        <v>44068</v>
      </c>
      <c r="M1400" s="107">
        <v>47.75</v>
      </c>
      <c r="N1400" s="107">
        <v>48.6</v>
      </c>
      <c r="O1400" s="107">
        <v>47.55</v>
      </c>
      <c r="P1400" s="107">
        <v>48.3</v>
      </c>
      <c r="Q1400" s="107">
        <v>47.75</v>
      </c>
      <c r="R1400">
        <v>2631183</v>
      </c>
    </row>
    <row r="1401" spans="1:18" x14ac:dyDescent="0.25">
      <c r="A1401" s="130">
        <v>44069</v>
      </c>
      <c r="B1401" s="107">
        <v>48.65</v>
      </c>
      <c r="C1401" s="107">
        <v>48.45</v>
      </c>
      <c r="D1401" s="107">
        <v>47.3</v>
      </c>
      <c r="E1401" s="107">
        <v>48.15</v>
      </c>
      <c r="F1401" s="107">
        <v>48.45</v>
      </c>
      <c r="G1401">
        <v>799513</v>
      </c>
      <c r="H1401" s="107"/>
      <c r="I1401" s="107"/>
      <c r="L1401" s="130">
        <v>44069</v>
      </c>
      <c r="M1401" s="107">
        <v>48.4</v>
      </c>
      <c r="N1401" s="107">
        <v>48.65</v>
      </c>
      <c r="O1401" s="107">
        <v>47.25</v>
      </c>
      <c r="P1401" s="107">
        <v>47.8</v>
      </c>
      <c r="Q1401" s="107">
        <v>48.4</v>
      </c>
      <c r="R1401">
        <v>2622810</v>
      </c>
    </row>
    <row r="1402" spans="1:18" x14ac:dyDescent="0.25">
      <c r="A1402" s="130">
        <v>44070</v>
      </c>
      <c r="B1402" s="107">
        <v>51</v>
      </c>
      <c r="C1402" s="107">
        <v>49.9</v>
      </c>
      <c r="D1402" s="107">
        <v>48.4</v>
      </c>
      <c r="E1402" s="107">
        <v>48.45</v>
      </c>
      <c r="F1402" s="107">
        <v>49.9</v>
      </c>
      <c r="G1402">
        <v>1244441</v>
      </c>
      <c r="H1402" s="107"/>
      <c r="I1402" s="107"/>
      <c r="L1402" s="130">
        <v>44070</v>
      </c>
      <c r="M1402" s="107">
        <v>49.9</v>
      </c>
      <c r="N1402" s="107">
        <v>51.1</v>
      </c>
      <c r="O1402" s="107">
        <v>48.15</v>
      </c>
      <c r="P1402" s="107">
        <v>48.6</v>
      </c>
      <c r="Q1402" s="107">
        <v>49.9</v>
      </c>
      <c r="R1402">
        <v>6899464</v>
      </c>
    </row>
    <row r="1403" spans="1:18" x14ac:dyDescent="0.25">
      <c r="A1403" s="130">
        <v>44071</v>
      </c>
      <c r="B1403" s="107">
        <v>53.4</v>
      </c>
      <c r="C1403" s="107">
        <v>52.55</v>
      </c>
      <c r="D1403" s="107">
        <v>50</v>
      </c>
      <c r="E1403" s="107">
        <v>50</v>
      </c>
      <c r="F1403" s="107">
        <v>52.55</v>
      </c>
      <c r="G1403">
        <v>897854</v>
      </c>
      <c r="H1403" s="107"/>
      <c r="I1403" s="107"/>
      <c r="L1403" s="130">
        <v>44071</v>
      </c>
      <c r="M1403" s="107">
        <v>52.55</v>
      </c>
      <c r="N1403" s="107">
        <v>53.5</v>
      </c>
      <c r="O1403" s="107">
        <v>50.1</v>
      </c>
      <c r="P1403" s="107">
        <v>50.45</v>
      </c>
      <c r="Q1403" s="107">
        <v>52.55</v>
      </c>
      <c r="R1403">
        <v>14248949</v>
      </c>
    </row>
    <row r="1404" spans="1:18" x14ac:dyDescent="0.25">
      <c r="A1404" s="130">
        <v>44074</v>
      </c>
      <c r="B1404" s="107">
        <v>59</v>
      </c>
      <c r="C1404" s="107">
        <v>54.25</v>
      </c>
      <c r="D1404" s="107">
        <v>51.5</v>
      </c>
      <c r="E1404" s="107">
        <v>59</v>
      </c>
      <c r="F1404" s="107">
        <v>54.25</v>
      </c>
      <c r="G1404">
        <v>2847583</v>
      </c>
      <c r="H1404" s="107"/>
      <c r="I1404" s="107"/>
      <c r="L1404" s="130">
        <v>44074</v>
      </c>
      <c r="M1404" s="107">
        <v>54.35</v>
      </c>
      <c r="N1404" s="107">
        <v>59</v>
      </c>
      <c r="O1404" s="107">
        <v>51.3</v>
      </c>
      <c r="P1404" s="107">
        <v>59</v>
      </c>
      <c r="Q1404" s="107">
        <v>54.35</v>
      </c>
      <c r="R1404">
        <v>32556464</v>
      </c>
    </row>
    <row r="1405" spans="1:18" x14ac:dyDescent="0.25">
      <c r="A1405" s="130">
        <v>44075</v>
      </c>
      <c r="B1405" s="107">
        <v>54.8</v>
      </c>
      <c r="C1405" s="107">
        <v>52.25</v>
      </c>
      <c r="D1405" s="107">
        <v>51.2</v>
      </c>
      <c r="E1405" s="107">
        <v>54.8</v>
      </c>
      <c r="F1405" s="107">
        <v>52.25</v>
      </c>
      <c r="G1405">
        <v>863771</v>
      </c>
      <c r="H1405" s="107"/>
      <c r="I1405" s="107"/>
      <c r="L1405" s="130">
        <v>44075</v>
      </c>
      <c r="M1405" s="107">
        <v>52.1</v>
      </c>
      <c r="N1405" s="107">
        <v>54.75</v>
      </c>
      <c r="O1405" s="107">
        <v>51.1</v>
      </c>
      <c r="P1405" s="107">
        <v>54.45</v>
      </c>
      <c r="Q1405" s="107">
        <v>52.1</v>
      </c>
      <c r="R1405">
        <v>4928342</v>
      </c>
    </row>
    <row r="1406" spans="1:18" x14ac:dyDescent="0.25">
      <c r="A1406" s="130">
        <v>44076</v>
      </c>
      <c r="B1406" s="107">
        <v>52</v>
      </c>
      <c r="C1406" s="107">
        <v>51.4</v>
      </c>
      <c r="D1406" s="107">
        <v>50.25</v>
      </c>
      <c r="E1406" s="107">
        <v>52</v>
      </c>
      <c r="F1406" s="107">
        <v>51.4</v>
      </c>
      <c r="G1406">
        <v>1369166</v>
      </c>
      <c r="H1406" s="107"/>
      <c r="I1406" s="107"/>
      <c r="L1406" s="130">
        <v>44076</v>
      </c>
      <c r="M1406" s="107">
        <v>51.4</v>
      </c>
      <c r="N1406" s="107">
        <v>52.1</v>
      </c>
      <c r="O1406" s="107">
        <v>50.2</v>
      </c>
      <c r="P1406" s="107">
        <v>51.95</v>
      </c>
      <c r="Q1406" s="107">
        <v>51.4</v>
      </c>
      <c r="R1406">
        <v>4234612</v>
      </c>
    </row>
    <row r="1407" spans="1:18" x14ac:dyDescent="0.25">
      <c r="A1407" s="130">
        <v>44077</v>
      </c>
      <c r="B1407" s="107">
        <v>52.15</v>
      </c>
      <c r="C1407" s="107">
        <v>50.45</v>
      </c>
      <c r="D1407" s="107">
        <v>50.2</v>
      </c>
      <c r="E1407" s="107">
        <v>51</v>
      </c>
      <c r="F1407" s="107">
        <v>50.45</v>
      </c>
      <c r="G1407">
        <v>1682633</v>
      </c>
      <c r="H1407" s="107"/>
      <c r="I1407" s="107"/>
      <c r="L1407" s="130">
        <v>44077</v>
      </c>
      <c r="M1407" s="107">
        <v>50.55</v>
      </c>
      <c r="N1407" s="107">
        <v>52.25</v>
      </c>
      <c r="O1407" s="107">
        <v>50.2</v>
      </c>
      <c r="P1407" s="107">
        <v>51.3</v>
      </c>
      <c r="Q1407" s="107">
        <v>50.55</v>
      </c>
      <c r="R1407">
        <v>3059406</v>
      </c>
    </row>
    <row r="1408" spans="1:18" x14ac:dyDescent="0.25">
      <c r="A1408" s="130">
        <v>44078</v>
      </c>
      <c r="B1408" s="107">
        <v>49.85</v>
      </c>
      <c r="C1408" s="107">
        <v>48.55</v>
      </c>
      <c r="D1408" s="107">
        <v>48.35</v>
      </c>
      <c r="E1408" s="107">
        <v>49.45</v>
      </c>
      <c r="F1408" s="107">
        <v>48.55</v>
      </c>
      <c r="G1408">
        <v>478998</v>
      </c>
      <c r="H1408" s="107"/>
      <c r="I1408" s="107"/>
      <c r="L1408" s="130">
        <v>44078</v>
      </c>
      <c r="M1408" s="107">
        <v>48.55</v>
      </c>
      <c r="N1408" s="107">
        <v>49.9</v>
      </c>
      <c r="O1408" s="107">
        <v>48.35</v>
      </c>
      <c r="P1408" s="107">
        <v>49.9</v>
      </c>
      <c r="Q1408" s="107">
        <v>48.55</v>
      </c>
      <c r="R1408">
        <v>3450531</v>
      </c>
    </row>
    <row r="1409" spans="1:18" x14ac:dyDescent="0.25">
      <c r="A1409" s="130">
        <v>44081</v>
      </c>
      <c r="B1409" s="107">
        <v>48.9</v>
      </c>
      <c r="C1409" s="107">
        <v>47.9</v>
      </c>
      <c r="D1409" s="107">
        <v>47.75</v>
      </c>
      <c r="E1409" s="107">
        <v>48.9</v>
      </c>
      <c r="F1409" s="107">
        <v>47.9</v>
      </c>
      <c r="G1409">
        <v>440308</v>
      </c>
      <c r="H1409" s="107"/>
      <c r="I1409" s="107"/>
      <c r="L1409" s="130">
        <v>44081</v>
      </c>
      <c r="M1409" s="107">
        <v>47.85</v>
      </c>
      <c r="N1409" s="107">
        <v>49.25</v>
      </c>
      <c r="O1409" s="107">
        <v>47.75</v>
      </c>
      <c r="P1409" s="107">
        <v>48.55</v>
      </c>
      <c r="Q1409" s="107">
        <v>47.85</v>
      </c>
      <c r="R1409">
        <v>1554070</v>
      </c>
    </row>
    <row r="1410" spans="1:18" x14ac:dyDescent="0.25">
      <c r="A1410" s="130">
        <v>44082</v>
      </c>
      <c r="B1410" s="107">
        <v>48</v>
      </c>
      <c r="C1410" s="107">
        <v>46.5</v>
      </c>
      <c r="D1410" s="107">
        <v>46</v>
      </c>
      <c r="E1410" s="107">
        <v>48</v>
      </c>
      <c r="F1410" s="107">
        <v>46.5</v>
      </c>
      <c r="G1410">
        <v>163958</v>
      </c>
      <c r="H1410" s="107"/>
      <c r="I1410" s="107"/>
      <c r="L1410" s="130">
        <v>44082</v>
      </c>
      <c r="M1410" s="107">
        <v>46.5</v>
      </c>
      <c r="N1410" s="107">
        <v>48.15</v>
      </c>
      <c r="O1410" s="107">
        <v>46</v>
      </c>
      <c r="P1410" s="107">
        <v>47.8</v>
      </c>
      <c r="Q1410" s="107">
        <v>46.5</v>
      </c>
      <c r="R1410">
        <v>1515077</v>
      </c>
    </row>
    <row r="1411" spans="1:18" x14ac:dyDescent="0.25">
      <c r="A1411" s="130">
        <v>44083</v>
      </c>
      <c r="B1411" s="107">
        <v>46</v>
      </c>
      <c r="C1411" s="107">
        <v>45.25</v>
      </c>
      <c r="D1411" s="107">
        <v>44.7</v>
      </c>
      <c r="E1411" s="107">
        <v>46</v>
      </c>
      <c r="F1411" s="107">
        <v>45.25</v>
      </c>
      <c r="G1411">
        <v>279327</v>
      </c>
      <c r="H1411" s="107"/>
      <c r="I1411" s="107"/>
      <c r="L1411" s="130">
        <v>44083</v>
      </c>
      <c r="M1411" s="107">
        <v>45.3</v>
      </c>
      <c r="N1411" s="107">
        <v>46</v>
      </c>
      <c r="O1411" s="107">
        <v>44.65</v>
      </c>
      <c r="P1411" s="107">
        <v>46</v>
      </c>
      <c r="Q1411" s="107">
        <v>45.3</v>
      </c>
      <c r="R1411">
        <v>1854054</v>
      </c>
    </row>
    <row r="1412" spans="1:18" x14ac:dyDescent="0.25">
      <c r="A1412" s="130">
        <v>44084</v>
      </c>
      <c r="B1412" s="107">
        <v>49.45</v>
      </c>
      <c r="C1412" s="107">
        <v>48.85</v>
      </c>
      <c r="D1412" s="107">
        <v>45.7</v>
      </c>
      <c r="E1412" s="107">
        <v>46</v>
      </c>
      <c r="F1412" s="107">
        <v>48.85</v>
      </c>
      <c r="G1412">
        <v>305719</v>
      </c>
      <c r="H1412" s="107"/>
      <c r="I1412" s="107"/>
      <c r="L1412" s="130">
        <v>44084</v>
      </c>
      <c r="M1412" s="107">
        <v>48.9</v>
      </c>
      <c r="N1412" s="107">
        <v>49.5</v>
      </c>
      <c r="O1412" s="107">
        <v>45.7</v>
      </c>
      <c r="P1412" s="107">
        <v>45.8</v>
      </c>
      <c r="Q1412" s="107">
        <v>48.9</v>
      </c>
      <c r="R1412">
        <v>4562592</v>
      </c>
    </row>
    <row r="1413" spans="1:18" x14ac:dyDescent="0.25">
      <c r="A1413" s="130">
        <v>44085</v>
      </c>
      <c r="B1413" s="107">
        <v>49.4</v>
      </c>
      <c r="C1413" s="107">
        <v>47.65</v>
      </c>
      <c r="D1413" s="107">
        <v>47.05</v>
      </c>
      <c r="E1413" s="107">
        <v>49.4</v>
      </c>
      <c r="F1413" s="107">
        <v>47.65</v>
      </c>
      <c r="G1413">
        <v>183630</v>
      </c>
      <c r="H1413" s="107"/>
      <c r="I1413" s="107"/>
      <c r="L1413" s="130">
        <v>44085</v>
      </c>
      <c r="M1413" s="107">
        <v>47.65</v>
      </c>
      <c r="N1413" s="107">
        <v>49</v>
      </c>
      <c r="O1413" s="107">
        <v>47.05</v>
      </c>
      <c r="P1413" s="107">
        <v>49</v>
      </c>
      <c r="Q1413" s="107">
        <v>47.65</v>
      </c>
      <c r="R1413">
        <v>2588631</v>
      </c>
    </row>
    <row r="1414" spans="1:18" x14ac:dyDescent="0.25">
      <c r="A1414" s="130">
        <v>44088</v>
      </c>
      <c r="B1414" s="107">
        <v>48.2</v>
      </c>
      <c r="C1414" s="107">
        <v>47.25</v>
      </c>
      <c r="D1414" s="107">
        <v>46.75</v>
      </c>
      <c r="E1414" s="107">
        <v>47.7</v>
      </c>
      <c r="F1414" s="107">
        <v>47.25</v>
      </c>
      <c r="G1414">
        <v>1493503</v>
      </c>
      <c r="H1414" s="107"/>
      <c r="I1414" s="107"/>
      <c r="L1414" s="130">
        <v>44088</v>
      </c>
      <c r="M1414" s="107">
        <v>47.25</v>
      </c>
      <c r="N1414" s="107">
        <v>48.3</v>
      </c>
      <c r="O1414" s="107">
        <v>46.7</v>
      </c>
      <c r="P1414" s="107">
        <v>47.75</v>
      </c>
      <c r="Q1414" s="107">
        <v>47.25</v>
      </c>
      <c r="R1414">
        <v>2549198</v>
      </c>
    </row>
    <row r="1415" spans="1:18" x14ac:dyDescent="0.25">
      <c r="A1415" s="130">
        <v>44089</v>
      </c>
      <c r="B1415" s="107">
        <v>47.55</v>
      </c>
      <c r="C1415" s="107">
        <v>46.55</v>
      </c>
      <c r="D1415" s="107">
        <v>46.3</v>
      </c>
      <c r="E1415" s="107">
        <v>47.25</v>
      </c>
      <c r="F1415" s="107">
        <v>46.55</v>
      </c>
      <c r="G1415">
        <v>412377</v>
      </c>
      <c r="H1415" s="107"/>
      <c r="I1415" s="107"/>
      <c r="L1415" s="130">
        <v>44089</v>
      </c>
      <c r="M1415" s="107">
        <v>46.55</v>
      </c>
      <c r="N1415" s="107">
        <v>47.75</v>
      </c>
      <c r="O1415" s="107">
        <v>46.2</v>
      </c>
      <c r="P1415" s="107">
        <v>47.75</v>
      </c>
      <c r="Q1415" s="107">
        <v>46.55</v>
      </c>
      <c r="R1415">
        <v>2216657</v>
      </c>
    </row>
    <row r="1416" spans="1:18" x14ac:dyDescent="0.25">
      <c r="A1416" s="130">
        <v>44090</v>
      </c>
      <c r="B1416" s="107">
        <v>47.1</v>
      </c>
      <c r="C1416" s="107">
        <v>46.1</v>
      </c>
      <c r="D1416" s="107">
        <v>45.4</v>
      </c>
      <c r="E1416" s="107">
        <v>47</v>
      </c>
      <c r="F1416" s="107">
        <v>46.1</v>
      </c>
      <c r="G1416">
        <v>508859</v>
      </c>
      <c r="H1416" s="107"/>
      <c r="I1416" s="107"/>
      <c r="L1416" s="130">
        <v>44090</v>
      </c>
      <c r="M1416" s="107">
        <v>46.1</v>
      </c>
      <c r="N1416" s="107">
        <v>47.2</v>
      </c>
      <c r="O1416" s="107">
        <v>45.3</v>
      </c>
      <c r="P1416" s="107">
        <v>46.6</v>
      </c>
      <c r="Q1416" s="107">
        <v>46.1</v>
      </c>
      <c r="R1416">
        <v>2784780</v>
      </c>
    </row>
    <row r="1417" spans="1:18" x14ac:dyDescent="0.25">
      <c r="A1417" s="130">
        <v>44091</v>
      </c>
      <c r="B1417" s="107">
        <v>46.45</v>
      </c>
      <c r="C1417" s="107">
        <v>45.4</v>
      </c>
      <c r="D1417" s="107">
        <v>45.05</v>
      </c>
      <c r="E1417" s="107">
        <v>46.1</v>
      </c>
      <c r="F1417" s="107">
        <v>45.4</v>
      </c>
      <c r="G1417">
        <v>1108811</v>
      </c>
      <c r="H1417" s="107"/>
      <c r="I1417" s="107"/>
      <c r="L1417" s="130">
        <v>44091</v>
      </c>
      <c r="M1417" s="107">
        <v>45.35</v>
      </c>
      <c r="N1417" s="107">
        <v>46.4</v>
      </c>
      <c r="O1417" s="107">
        <v>45</v>
      </c>
      <c r="P1417" s="107">
        <v>45.8</v>
      </c>
      <c r="Q1417" s="107">
        <v>45.35</v>
      </c>
      <c r="R1417">
        <v>2888431</v>
      </c>
    </row>
    <row r="1418" spans="1:18" x14ac:dyDescent="0.25">
      <c r="A1418" s="130">
        <v>44092</v>
      </c>
      <c r="B1418" s="107">
        <v>45.75</v>
      </c>
      <c r="C1418" s="107">
        <v>44.35</v>
      </c>
      <c r="D1418" s="107">
        <v>44.1</v>
      </c>
      <c r="E1418" s="107">
        <v>45.75</v>
      </c>
      <c r="F1418" s="107">
        <v>44.35</v>
      </c>
      <c r="G1418">
        <v>333159</v>
      </c>
      <c r="H1418" s="107"/>
      <c r="I1418" s="107"/>
      <c r="L1418" s="130">
        <v>44092</v>
      </c>
      <c r="M1418" s="107">
        <v>44.3</v>
      </c>
      <c r="N1418" s="107">
        <v>45.8</v>
      </c>
      <c r="O1418" s="107">
        <v>44.1</v>
      </c>
      <c r="P1418" s="107">
        <v>45.5</v>
      </c>
      <c r="Q1418" s="107">
        <v>44.3</v>
      </c>
      <c r="R1418">
        <v>2759526</v>
      </c>
    </row>
    <row r="1419" spans="1:18" x14ac:dyDescent="0.25">
      <c r="A1419" s="130">
        <v>44095</v>
      </c>
      <c r="B1419" s="107">
        <v>44.9</v>
      </c>
      <c r="C1419" s="107">
        <v>42.1</v>
      </c>
      <c r="D1419" s="107">
        <v>41.55</v>
      </c>
      <c r="E1419" s="107">
        <v>44.3</v>
      </c>
      <c r="F1419" s="107">
        <v>42.1</v>
      </c>
      <c r="G1419">
        <v>1064840</v>
      </c>
      <c r="H1419" s="107"/>
      <c r="I1419" s="107"/>
      <c r="L1419" s="130">
        <v>44095</v>
      </c>
      <c r="M1419" s="107">
        <v>42.1</v>
      </c>
      <c r="N1419" s="107">
        <v>44.9</v>
      </c>
      <c r="O1419" s="107">
        <v>41.15</v>
      </c>
      <c r="P1419" s="107">
        <v>44.5</v>
      </c>
      <c r="Q1419" s="107">
        <v>42.1</v>
      </c>
      <c r="R1419">
        <v>3407434</v>
      </c>
    </row>
    <row r="1420" spans="1:18" x14ac:dyDescent="0.25">
      <c r="A1420" s="130">
        <v>44096</v>
      </c>
      <c r="B1420" s="107">
        <v>42</v>
      </c>
      <c r="C1420" s="107">
        <v>41</v>
      </c>
      <c r="D1420" s="107">
        <v>38.25</v>
      </c>
      <c r="E1420" s="107">
        <v>40</v>
      </c>
      <c r="F1420" s="107">
        <v>41</v>
      </c>
      <c r="G1420">
        <v>882631</v>
      </c>
      <c r="H1420" s="107"/>
      <c r="I1420" s="107"/>
      <c r="L1420" s="130">
        <v>44096</v>
      </c>
      <c r="M1420" s="107">
        <v>41</v>
      </c>
      <c r="N1420" s="107">
        <v>42</v>
      </c>
      <c r="O1420" s="107">
        <v>40.1</v>
      </c>
      <c r="P1420" s="107">
        <v>42</v>
      </c>
      <c r="Q1420" s="107">
        <v>41</v>
      </c>
      <c r="R1420">
        <v>3418400</v>
      </c>
    </row>
    <row r="1421" spans="1:18" x14ac:dyDescent="0.25">
      <c r="A1421" s="130">
        <v>44097</v>
      </c>
      <c r="B1421" s="107">
        <v>41.85</v>
      </c>
      <c r="C1421" s="107">
        <v>40.4</v>
      </c>
      <c r="D1421" s="107">
        <v>39.700000000000003</v>
      </c>
      <c r="E1421" s="107">
        <v>41.35</v>
      </c>
      <c r="F1421" s="107">
        <v>40.4</v>
      </c>
      <c r="G1421">
        <v>2448265</v>
      </c>
      <c r="H1421" s="107"/>
      <c r="I1421" s="107"/>
      <c r="L1421" s="130">
        <v>44097</v>
      </c>
      <c r="M1421" s="107">
        <v>40.450000000000003</v>
      </c>
      <c r="N1421" s="107">
        <v>41.9</v>
      </c>
      <c r="O1421" s="107">
        <v>39.700000000000003</v>
      </c>
      <c r="P1421" s="107">
        <v>41.5</v>
      </c>
      <c r="Q1421" s="107">
        <v>40.450000000000003</v>
      </c>
      <c r="R1421">
        <v>3600437</v>
      </c>
    </row>
    <row r="1422" spans="1:18" x14ac:dyDescent="0.25">
      <c r="A1422" s="130">
        <v>44098</v>
      </c>
      <c r="B1422" s="107">
        <v>40.4</v>
      </c>
      <c r="C1422" s="107">
        <v>39.299999999999997</v>
      </c>
      <c r="D1422" s="107">
        <v>39</v>
      </c>
      <c r="E1422" s="107">
        <v>40.4</v>
      </c>
      <c r="F1422" s="107">
        <v>39.299999999999997</v>
      </c>
      <c r="G1422">
        <v>321568</v>
      </c>
      <c r="H1422" s="107"/>
      <c r="I1422" s="107"/>
      <c r="L1422" s="130">
        <v>44098</v>
      </c>
      <c r="M1422" s="107">
        <v>39.25</v>
      </c>
      <c r="N1422" s="107">
        <v>39.85</v>
      </c>
      <c r="O1422" s="107">
        <v>38.950000000000003</v>
      </c>
      <c r="P1422" s="107">
        <v>39.85</v>
      </c>
      <c r="Q1422" s="107">
        <v>39.25</v>
      </c>
      <c r="R1422">
        <v>1524111</v>
      </c>
    </row>
    <row r="1423" spans="1:18" x14ac:dyDescent="0.25">
      <c r="A1423" s="130">
        <v>44099</v>
      </c>
      <c r="B1423" s="107">
        <v>40.549999999999997</v>
      </c>
      <c r="C1423" s="107">
        <v>40.25</v>
      </c>
      <c r="D1423" s="107">
        <v>38.6</v>
      </c>
      <c r="E1423" s="107">
        <v>39</v>
      </c>
      <c r="F1423" s="107">
        <v>40.25</v>
      </c>
      <c r="G1423">
        <v>726973</v>
      </c>
      <c r="H1423" s="107"/>
      <c r="I1423" s="107"/>
      <c r="L1423" s="130">
        <v>44099</v>
      </c>
      <c r="M1423" s="107">
        <v>40.15</v>
      </c>
      <c r="N1423" s="107">
        <v>40.549999999999997</v>
      </c>
      <c r="O1423" s="107">
        <v>38.549999999999997</v>
      </c>
      <c r="P1423" s="107">
        <v>39.25</v>
      </c>
      <c r="Q1423" s="107">
        <v>40.15</v>
      </c>
      <c r="R1423">
        <v>2391345</v>
      </c>
    </row>
    <row r="1424" spans="1:18" x14ac:dyDescent="0.25">
      <c r="A1424" s="130">
        <v>44102</v>
      </c>
      <c r="B1424" s="107">
        <v>42.4</v>
      </c>
      <c r="C1424" s="107">
        <v>42.05</v>
      </c>
      <c r="D1424" s="107">
        <v>40.299999999999997</v>
      </c>
      <c r="E1424" s="107">
        <v>40.299999999999997</v>
      </c>
      <c r="F1424" s="107">
        <v>42.05</v>
      </c>
      <c r="G1424">
        <v>423914</v>
      </c>
      <c r="H1424" s="107"/>
      <c r="I1424" s="107"/>
      <c r="L1424" s="130">
        <v>44102</v>
      </c>
      <c r="M1424" s="107">
        <v>42.1</v>
      </c>
      <c r="N1424" s="107">
        <v>42.35</v>
      </c>
      <c r="O1424" s="107">
        <v>40.6</v>
      </c>
      <c r="P1424" s="107">
        <v>40.799999999999997</v>
      </c>
      <c r="Q1424" s="107">
        <v>42.1</v>
      </c>
      <c r="R1424">
        <v>1877972</v>
      </c>
    </row>
    <row r="1425" spans="1:18" x14ac:dyDescent="0.25">
      <c r="A1425" s="130">
        <v>44103</v>
      </c>
      <c r="B1425" s="107">
        <v>42.6</v>
      </c>
      <c r="C1425" s="107">
        <v>41.35</v>
      </c>
      <c r="D1425" s="107">
        <v>40.049999999999997</v>
      </c>
      <c r="E1425" s="107">
        <v>42.55</v>
      </c>
      <c r="F1425" s="107">
        <v>41.35</v>
      </c>
      <c r="G1425">
        <v>235996</v>
      </c>
      <c r="H1425" s="107"/>
      <c r="I1425" s="107"/>
      <c r="L1425" s="130">
        <v>44103</v>
      </c>
      <c r="M1425" s="107">
        <v>41.35</v>
      </c>
      <c r="N1425" s="107">
        <v>42.7</v>
      </c>
      <c r="O1425" s="107">
        <v>40.9</v>
      </c>
      <c r="P1425" s="107">
        <v>42.5</v>
      </c>
      <c r="Q1425" s="107">
        <v>41.35</v>
      </c>
      <c r="R1425">
        <v>1155009</v>
      </c>
    </row>
    <row r="1426" spans="1:18" x14ac:dyDescent="0.25">
      <c r="A1426" s="130">
        <v>44104</v>
      </c>
      <c r="B1426" s="107">
        <v>41.85</v>
      </c>
      <c r="C1426" s="107">
        <v>40.700000000000003</v>
      </c>
      <c r="D1426" s="107">
        <v>40.549999999999997</v>
      </c>
      <c r="E1426" s="107">
        <v>41.85</v>
      </c>
      <c r="F1426" s="107">
        <v>40.700000000000003</v>
      </c>
      <c r="G1426">
        <v>161447</v>
      </c>
      <c r="H1426" s="107"/>
      <c r="I1426" s="107"/>
      <c r="L1426" s="130">
        <v>44104</v>
      </c>
      <c r="M1426" s="107">
        <v>40.65</v>
      </c>
      <c r="N1426" s="107">
        <v>41.4</v>
      </c>
      <c r="O1426" s="107">
        <v>40.5</v>
      </c>
      <c r="P1426" s="107">
        <v>41.05</v>
      </c>
      <c r="Q1426" s="107">
        <v>40.65</v>
      </c>
      <c r="R1426">
        <v>1096243</v>
      </c>
    </row>
    <row r="1427" spans="1:18" x14ac:dyDescent="0.25">
      <c r="A1427" s="130">
        <v>44105</v>
      </c>
      <c r="B1427" s="107">
        <v>41.8</v>
      </c>
      <c r="C1427" s="107">
        <v>40.85</v>
      </c>
      <c r="D1427" s="107">
        <v>40.65</v>
      </c>
      <c r="E1427" s="107">
        <v>41.8</v>
      </c>
      <c r="F1427" s="107">
        <v>40.85</v>
      </c>
      <c r="G1427">
        <v>141085</v>
      </c>
      <c r="H1427" s="107"/>
      <c r="I1427" s="107"/>
      <c r="L1427" s="130">
        <v>44105</v>
      </c>
      <c r="M1427" s="107">
        <v>40.85</v>
      </c>
      <c r="N1427" s="107">
        <v>41.65</v>
      </c>
      <c r="O1427" s="107">
        <v>40.5</v>
      </c>
      <c r="P1427" s="107">
        <v>41</v>
      </c>
      <c r="Q1427" s="107">
        <v>40.85</v>
      </c>
      <c r="R1427">
        <v>1421405</v>
      </c>
    </row>
    <row r="1428" spans="1:18" x14ac:dyDescent="0.25">
      <c r="A1428" s="130">
        <v>44109</v>
      </c>
      <c r="B1428" s="107">
        <v>41.75</v>
      </c>
      <c r="C1428" s="107">
        <v>40.75</v>
      </c>
      <c r="D1428" s="107">
        <v>40.450000000000003</v>
      </c>
      <c r="E1428" s="107">
        <v>41.75</v>
      </c>
      <c r="F1428" s="107">
        <v>40.75</v>
      </c>
      <c r="G1428">
        <v>151395</v>
      </c>
      <c r="H1428" s="107"/>
      <c r="I1428" s="107"/>
      <c r="L1428" s="130">
        <v>44109</v>
      </c>
      <c r="M1428" s="107">
        <v>40.75</v>
      </c>
      <c r="N1428" s="107">
        <v>41.7</v>
      </c>
      <c r="O1428" s="107">
        <v>40.4</v>
      </c>
      <c r="P1428" s="107">
        <v>41.1</v>
      </c>
      <c r="Q1428" s="107">
        <v>40.75</v>
      </c>
      <c r="R1428">
        <v>1335539</v>
      </c>
    </row>
    <row r="1429" spans="1:18" x14ac:dyDescent="0.25">
      <c r="A1429" s="130">
        <v>44110</v>
      </c>
      <c r="B1429" s="107">
        <v>41.25</v>
      </c>
      <c r="C1429" s="107">
        <v>40.4</v>
      </c>
      <c r="D1429" s="107">
        <v>40.15</v>
      </c>
      <c r="E1429" s="107">
        <v>41.25</v>
      </c>
      <c r="F1429" s="107">
        <v>40.4</v>
      </c>
      <c r="G1429">
        <v>103157</v>
      </c>
      <c r="H1429" s="107"/>
      <c r="I1429" s="107"/>
      <c r="L1429" s="130">
        <v>44110</v>
      </c>
      <c r="M1429" s="107">
        <v>40.450000000000003</v>
      </c>
      <c r="N1429" s="107">
        <v>41.2</v>
      </c>
      <c r="O1429" s="107">
        <v>40.1</v>
      </c>
      <c r="P1429" s="107">
        <v>41</v>
      </c>
      <c r="Q1429" s="107">
        <v>40.450000000000003</v>
      </c>
      <c r="R1429">
        <v>1025940</v>
      </c>
    </row>
    <row r="1430" spans="1:18" x14ac:dyDescent="0.25">
      <c r="A1430" s="130">
        <v>44111</v>
      </c>
      <c r="B1430" s="107">
        <v>41.1</v>
      </c>
      <c r="C1430" s="107">
        <v>40.1</v>
      </c>
      <c r="D1430" s="107">
        <v>40</v>
      </c>
      <c r="E1430" s="107">
        <v>41.1</v>
      </c>
      <c r="F1430" s="107">
        <v>40.1</v>
      </c>
      <c r="G1430">
        <v>72690</v>
      </c>
      <c r="H1430" s="107"/>
      <c r="I1430" s="107"/>
      <c r="L1430" s="130">
        <v>44111</v>
      </c>
      <c r="M1430" s="107">
        <v>40.1</v>
      </c>
      <c r="N1430" s="107">
        <v>40.799999999999997</v>
      </c>
      <c r="O1430" s="107">
        <v>40</v>
      </c>
      <c r="P1430" s="107">
        <v>40.549999999999997</v>
      </c>
      <c r="Q1430" s="107">
        <v>40.1</v>
      </c>
      <c r="R1430">
        <v>923084</v>
      </c>
    </row>
    <row r="1431" spans="1:18" x14ac:dyDescent="0.25">
      <c r="A1431" s="130">
        <v>44112</v>
      </c>
      <c r="B1431" s="107">
        <v>41.65</v>
      </c>
      <c r="C1431" s="107">
        <v>40.5</v>
      </c>
      <c r="D1431" s="107">
        <v>40.200000000000003</v>
      </c>
      <c r="E1431" s="107">
        <v>40.200000000000003</v>
      </c>
      <c r="F1431" s="107">
        <v>40.5</v>
      </c>
      <c r="G1431">
        <v>236875</v>
      </c>
      <c r="H1431" s="107"/>
      <c r="I1431" s="107"/>
      <c r="L1431" s="130">
        <v>44112</v>
      </c>
      <c r="M1431" s="107">
        <v>40.5</v>
      </c>
      <c r="N1431" s="107">
        <v>41.75</v>
      </c>
      <c r="O1431" s="107">
        <v>40.299999999999997</v>
      </c>
      <c r="P1431" s="107">
        <v>40.549999999999997</v>
      </c>
      <c r="Q1431" s="107">
        <v>40.5</v>
      </c>
      <c r="R1431">
        <v>1862604</v>
      </c>
    </row>
    <row r="1432" spans="1:18" x14ac:dyDescent="0.25">
      <c r="A1432" s="130">
        <v>44113</v>
      </c>
      <c r="B1432" s="107">
        <v>42</v>
      </c>
      <c r="C1432" s="107">
        <v>41.55</v>
      </c>
      <c r="D1432" s="107">
        <v>40.200000000000003</v>
      </c>
      <c r="E1432" s="107">
        <v>40.200000000000003</v>
      </c>
      <c r="F1432" s="107">
        <v>41.55</v>
      </c>
      <c r="G1432">
        <v>267121</v>
      </c>
      <c r="H1432" s="107"/>
      <c r="I1432" s="107"/>
      <c r="L1432" s="130">
        <v>44113</v>
      </c>
      <c r="M1432" s="107">
        <v>41.55</v>
      </c>
      <c r="N1432" s="107">
        <v>42.05</v>
      </c>
      <c r="O1432" s="107">
        <v>40.25</v>
      </c>
      <c r="P1432" s="107">
        <v>40.9</v>
      </c>
      <c r="Q1432" s="107">
        <v>41.55</v>
      </c>
      <c r="R1432">
        <v>2742453</v>
      </c>
    </row>
    <row r="1433" spans="1:18" x14ac:dyDescent="0.25">
      <c r="A1433" s="130">
        <v>44116</v>
      </c>
      <c r="B1433" s="107">
        <v>42.5</v>
      </c>
      <c r="C1433" s="107">
        <v>41.05</v>
      </c>
      <c r="D1433" s="107">
        <v>40.6</v>
      </c>
      <c r="E1433" s="107">
        <v>42</v>
      </c>
      <c r="F1433" s="107">
        <v>41.05</v>
      </c>
      <c r="G1433">
        <v>170125</v>
      </c>
      <c r="H1433" s="107"/>
      <c r="I1433" s="107"/>
      <c r="L1433" s="130">
        <v>44116</v>
      </c>
      <c r="M1433" s="107">
        <v>41.05</v>
      </c>
      <c r="N1433" s="107">
        <v>42.55</v>
      </c>
      <c r="O1433" s="107">
        <v>40.6</v>
      </c>
      <c r="P1433" s="107">
        <v>41.7</v>
      </c>
      <c r="Q1433" s="107">
        <v>41.05</v>
      </c>
      <c r="R1433">
        <v>1854830</v>
      </c>
    </row>
    <row r="1434" spans="1:18" x14ac:dyDescent="0.25">
      <c r="A1434" s="130">
        <v>44117</v>
      </c>
      <c r="B1434" s="107">
        <v>41</v>
      </c>
      <c r="C1434" s="107">
        <v>40.4</v>
      </c>
      <c r="D1434" s="107">
        <v>40.25</v>
      </c>
      <c r="E1434" s="107">
        <v>40.700000000000003</v>
      </c>
      <c r="F1434" s="107">
        <v>40.4</v>
      </c>
      <c r="G1434">
        <v>225474</v>
      </c>
      <c r="H1434" s="107"/>
      <c r="I1434" s="107"/>
      <c r="L1434" s="130">
        <v>44117</v>
      </c>
      <c r="M1434" s="107">
        <v>40.4</v>
      </c>
      <c r="N1434" s="107">
        <v>41.15</v>
      </c>
      <c r="O1434" s="107">
        <v>40.200000000000003</v>
      </c>
      <c r="P1434" s="107">
        <v>40.9</v>
      </c>
      <c r="Q1434" s="107">
        <v>40.4</v>
      </c>
      <c r="R1434">
        <v>1310734</v>
      </c>
    </row>
    <row r="1435" spans="1:18" x14ac:dyDescent="0.25">
      <c r="A1435" s="130">
        <v>44118</v>
      </c>
      <c r="B1435" s="107">
        <v>40.700000000000003</v>
      </c>
      <c r="C1435" s="107">
        <v>40.299999999999997</v>
      </c>
      <c r="D1435" s="107">
        <v>39.6</v>
      </c>
      <c r="E1435" s="107">
        <v>40.1</v>
      </c>
      <c r="F1435" s="107">
        <v>40.299999999999997</v>
      </c>
      <c r="G1435">
        <v>637007</v>
      </c>
      <c r="H1435" s="107"/>
      <c r="I1435" s="107"/>
      <c r="L1435" s="130">
        <v>44118</v>
      </c>
      <c r="M1435" s="107">
        <v>40.299999999999997</v>
      </c>
      <c r="N1435" s="107">
        <v>40.799999999999997</v>
      </c>
      <c r="O1435" s="107">
        <v>39.6</v>
      </c>
      <c r="P1435" s="107">
        <v>40</v>
      </c>
      <c r="Q1435" s="107">
        <v>40.299999999999997</v>
      </c>
      <c r="R1435">
        <v>2353471</v>
      </c>
    </row>
    <row r="1436" spans="1:18" x14ac:dyDescent="0.25">
      <c r="A1436" s="130">
        <v>44119</v>
      </c>
      <c r="B1436" s="107">
        <v>40.950000000000003</v>
      </c>
      <c r="C1436" s="107">
        <v>39.5</v>
      </c>
      <c r="D1436" s="107">
        <v>39.35</v>
      </c>
      <c r="E1436" s="107">
        <v>40.6</v>
      </c>
      <c r="F1436" s="107">
        <v>39.5</v>
      </c>
      <c r="G1436">
        <v>493868</v>
      </c>
      <c r="H1436" s="107"/>
      <c r="I1436" s="107"/>
      <c r="L1436" s="130">
        <v>44119</v>
      </c>
      <c r="M1436" s="107">
        <v>39.549999999999997</v>
      </c>
      <c r="N1436" s="107">
        <v>41</v>
      </c>
      <c r="O1436" s="107">
        <v>39.4</v>
      </c>
      <c r="P1436" s="107">
        <v>40.75</v>
      </c>
      <c r="Q1436" s="107">
        <v>39.549999999999997</v>
      </c>
      <c r="R1436">
        <v>1711614</v>
      </c>
    </row>
    <row r="1437" spans="1:18" x14ac:dyDescent="0.25">
      <c r="A1437" s="130">
        <v>44120</v>
      </c>
      <c r="B1437" s="107">
        <v>40.5</v>
      </c>
      <c r="C1437" s="107">
        <v>39.4</v>
      </c>
      <c r="D1437" s="107">
        <v>39.200000000000003</v>
      </c>
      <c r="E1437" s="107">
        <v>40.5</v>
      </c>
      <c r="F1437" s="107">
        <v>39.4</v>
      </c>
      <c r="G1437">
        <v>1281087</v>
      </c>
      <c r="H1437" s="107"/>
      <c r="I1437" s="107"/>
      <c r="L1437" s="130">
        <v>44120</v>
      </c>
      <c r="M1437" s="107">
        <v>39.4</v>
      </c>
      <c r="N1437" s="107">
        <v>40.25</v>
      </c>
      <c r="O1437" s="107">
        <v>39.200000000000003</v>
      </c>
      <c r="P1437" s="107">
        <v>39.5</v>
      </c>
      <c r="Q1437" s="107">
        <v>39.4</v>
      </c>
      <c r="R1437">
        <v>2071928</v>
      </c>
    </row>
    <row r="1438" spans="1:18" x14ac:dyDescent="0.25">
      <c r="A1438" s="130">
        <v>44123</v>
      </c>
      <c r="B1438" s="107">
        <v>41.05</v>
      </c>
      <c r="C1438" s="107">
        <v>40.549999999999997</v>
      </c>
      <c r="D1438" s="107">
        <v>39.450000000000003</v>
      </c>
      <c r="E1438" s="107">
        <v>39.450000000000003</v>
      </c>
      <c r="F1438" s="107">
        <v>40.549999999999997</v>
      </c>
      <c r="G1438">
        <v>316704</v>
      </c>
      <c r="H1438" s="107"/>
      <c r="I1438" s="107"/>
      <c r="L1438" s="130">
        <v>44123</v>
      </c>
      <c r="M1438" s="107">
        <v>40.6</v>
      </c>
      <c r="N1438" s="107">
        <v>41.1</v>
      </c>
      <c r="O1438" s="107">
        <v>39.5</v>
      </c>
      <c r="P1438" s="107">
        <v>39.700000000000003</v>
      </c>
      <c r="Q1438" s="107">
        <v>40.6</v>
      </c>
      <c r="R1438">
        <v>2656016</v>
      </c>
    </row>
    <row r="1439" spans="1:18" x14ac:dyDescent="0.25">
      <c r="A1439" s="130">
        <v>44124</v>
      </c>
      <c r="B1439" s="107">
        <v>40.700000000000003</v>
      </c>
      <c r="C1439" s="107">
        <v>40.049999999999997</v>
      </c>
      <c r="D1439" s="107">
        <v>39.75</v>
      </c>
      <c r="E1439" s="107">
        <v>40.700000000000003</v>
      </c>
      <c r="F1439" s="107">
        <v>40.049999999999997</v>
      </c>
      <c r="G1439">
        <v>181858</v>
      </c>
      <c r="H1439" s="107"/>
      <c r="I1439" s="107"/>
      <c r="L1439" s="130">
        <v>44124</v>
      </c>
      <c r="M1439" s="107">
        <v>40.049999999999997</v>
      </c>
      <c r="N1439" s="107">
        <v>40.65</v>
      </c>
      <c r="O1439" s="107">
        <v>39.75</v>
      </c>
      <c r="P1439" s="107">
        <v>40.65</v>
      </c>
      <c r="Q1439" s="107">
        <v>40.049999999999997</v>
      </c>
      <c r="R1439">
        <v>1053710</v>
      </c>
    </row>
    <row r="1440" spans="1:18" x14ac:dyDescent="0.25">
      <c r="A1440" s="130">
        <v>44125</v>
      </c>
      <c r="B1440" s="107">
        <v>41</v>
      </c>
      <c r="C1440" s="107">
        <v>40.200000000000003</v>
      </c>
      <c r="D1440" s="107">
        <v>39.799999999999997</v>
      </c>
      <c r="E1440" s="107">
        <v>40.25</v>
      </c>
      <c r="F1440" s="107">
        <v>40.200000000000003</v>
      </c>
      <c r="G1440">
        <v>218224</v>
      </c>
      <c r="H1440" s="107"/>
      <c r="I1440" s="107"/>
      <c r="L1440" s="130">
        <v>44125</v>
      </c>
      <c r="M1440" s="107">
        <v>40.200000000000003</v>
      </c>
      <c r="N1440" s="107">
        <v>41</v>
      </c>
      <c r="O1440" s="107">
        <v>39.799999999999997</v>
      </c>
      <c r="P1440" s="107">
        <v>40.4</v>
      </c>
      <c r="Q1440" s="107">
        <v>40.200000000000003</v>
      </c>
      <c r="R1440">
        <v>1458271</v>
      </c>
    </row>
    <row r="1441" spans="1:18" x14ac:dyDescent="0.25">
      <c r="A1441" s="130">
        <v>44126</v>
      </c>
      <c r="B1441" s="107">
        <v>40.4</v>
      </c>
      <c r="C1441" s="107">
        <v>40</v>
      </c>
      <c r="D1441" s="107">
        <v>39.65</v>
      </c>
      <c r="E1441" s="107">
        <v>40.4</v>
      </c>
      <c r="F1441" s="107">
        <v>40</v>
      </c>
      <c r="G1441">
        <v>107727</v>
      </c>
      <c r="H1441" s="107"/>
      <c r="I1441" s="107"/>
      <c r="L1441" s="130">
        <v>44126</v>
      </c>
      <c r="M1441" s="107">
        <v>40</v>
      </c>
      <c r="N1441" s="107">
        <v>40.4</v>
      </c>
      <c r="O1441" s="107">
        <v>39.700000000000003</v>
      </c>
      <c r="P1441" s="107">
        <v>40.15</v>
      </c>
      <c r="Q1441" s="107">
        <v>40</v>
      </c>
      <c r="R1441">
        <v>1160906</v>
      </c>
    </row>
    <row r="1442" spans="1:18" x14ac:dyDescent="0.25">
      <c r="A1442" s="130">
        <v>44127</v>
      </c>
      <c r="B1442" s="107">
        <v>40.5</v>
      </c>
      <c r="C1442" s="107">
        <v>40.200000000000003</v>
      </c>
      <c r="D1442" s="107">
        <v>40</v>
      </c>
      <c r="E1442" s="107">
        <v>40.25</v>
      </c>
      <c r="F1442" s="107">
        <v>40.200000000000003</v>
      </c>
      <c r="G1442">
        <v>261966</v>
      </c>
      <c r="H1442" s="107"/>
      <c r="I1442" s="107"/>
      <c r="L1442" s="130">
        <v>44127</v>
      </c>
      <c r="M1442" s="107">
        <v>40.200000000000003</v>
      </c>
      <c r="N1442" s="107">
        <v>40.5</v>
      </c>
      <c r="O1442" s="107">
        <v>39.950000000000003</v>
      </c>
      <c r="P1442" s="107">
        <v>40.25</v>
      </c>
      <c r="Q1442" s="107">
        <v>40.200000000000003</v>
      </c>
      <c r="R1442">
        <v>940568</v>
      </c>
    </row>
    <row r="1443" spans="1:18" x14ac:dyDescent="0.25">
      <c r="A1443" s="130">
        <v>44130</v>
      </c>
      <c r="B1443" s="107">
        <v>40.549999999999997</v>
      </c>
      <c r="C1443" s="107">
        <v>39.85</v>
      </c>
      <c r="D1443" s="107">
        <v>39.700000000000003</v>
      </c>
      <c r="E1443" s="107">
        <v>40</v>
      </c>
      <c r="F1443" s="107">
        <v>39.85</v>
      </c>
      <c r="G1443">
        <v>640054</v>
      </c>
      <c r="H1443" s="107"/>
      <c r="I1443" s="107"/>
      <c r="L1443" s="130">
        <v>44130</v>
      </c>
      <c r="M1443" s="107">
        <v>39.950000000000003</v>
      </c>
      <c r="N1443" s="107">
        <v>40.75</v>
      </c>
      <c r="O1443" s="107">
        <v>39.75</v>
      </c>
      <c r="P1443" s="107">
        <v>40</v>
      </c>
      <c r="Q1443" s="107">
        <v>39.950000000000003</v>
      </c>
      <c r="R1443">
        <v>1526351</v>
      </c>
    </row>
    <row r="1444" spans="1:18" x14ac:dyDescent="0.25">
      <c r="A1444" s="130">
        <v>44131</v>
      </c>
      <c r="B1444" s="107">
        <v>40.200000000000003</v>
      </c>
      <c r="C1444" s="107">
        <v>39.799999999999997</v>
      </c>
      <c r="D1444" s="107">
        <v>39.5</v>
      </c>
      <c r="E1444" s="107">
        <v>39.950000000000003</v>
      </c>
      <c r="F1444" s="107">
        <v>39.799999999999997</v>
      </c>
      <c r="G1444">
        <v>98826</v>
      </c>
      <c r="H1444" s="107"/>
      <c r="I1444" s="107"/>
      <c r="L1444" s="130">
        <v>44131</v>
      </c>
      <c r="M1444" s="107">
        <v>39.799999999999997</v>
      </c>
      <c r="N1444" s="107">
        <v>40.200000000000003</v>
      </c>
      <c r="O1444" s="107">
        <v>39.450000000000003</v>
      </c>
      <c r="P1444" s="107">
        <v>40.049999999999997</v>
      </c>
      <c r="Q1444" s="107">
        <v>39.799999999999997</v>
      </c>
      <c r="R1444">
        <v>820525</v>
      </c>
    </row>
    <row r="1445" spans="1:18" x14ac:dyDescent="0.25">
      <c r="A1445" s="130">
        <v>44132</v>
      </c>
      <c r="B1445" s="107">
        <v>39.9</v>
      </c>
      <c r="C1445" s="107">
        <v>39.549999999999997</v>
      </c>
      <c r="D1445" s="107">
        <v>39.450000000000003</v>
      </c>
      <c r="E1445" s="107">
        <v>39.799999999999997</v>
      </c>
      <c r="F1445" s="107">
        <v>39.549999999999997</v>
      </c>
      <c r="G1445">
        <v>108064</v>
      </c>
      <c r="H1445" s="107"/>
      <c r="I1445" s="107"/>
      <c r="L1445" s="130">
        <v>44132</v>
      </c>
      <c r="M1445" s="107">
        <v>39.549999999999997</v>
      </c>
      <c r="N1445" s="107">
        <v>39.9</v>
      </c>
      <c r="O1445" s="107">
        <v>39.35</v>
      </c>
      <c r="P1445" s="107">
        <v>39.6</v>
      </c>
      <c r="Q1445" s="107">
        <v>39.549999999999997</v>
      </c>
      <c r="R1445">
        <v>618138</v>
      </c>
    </row>
    <row r="1446" spans="1:18" x14ac:dyDescent="0.25">
      <c r="A1446" s="130">
        <v>44133</v>
      </c>
      <c r="B1446" s="107">
        <v>39.35</v>
      </c>
      <c r="C1446" s="107">
        <v>39</v>
      </c>
      <c r="D1446" s="107">
        <v>38.75</v>
      </c>
      <c r="E1446" s="107">
        <v>39</v>
      </c>
      <c r="F1446" s="107">
        <v>39</v>
      </c>
      <c r="G1446">
        <v>107382</v>
      </c>
      <c r="H1446" s="107"/>
      <c r="I1446" s="107"/>
      <c r="L1446" s="130">
        <v>44133</v>
      </c>
      <c r="M1446" s="107">
        <v>38.950000000000003</v>
      </c>
      <c r="N1446" s="107">
        <v>39.4</v>
      </c>
      <c r="O1446" s="107">
        <v>38.75</v>
      </c>
      <c r="P1446" s="107">
        <v>39.1</v>
      </c>
      <c r="Q1446" s="107">
        <v>38.950000000000003</v>
      </c>
      <c r="R1446">
        <v>902115</v>
      </c>
    </row>
    <row r="1447" spans="1:18" x14ac:dyDescent="0.25">
      <c r="A1447" s="130">
        <v>44134</v>
      </c>
      <c r="B1447" s="107">
        <v>39.450000000000003</v>
      </c>
      <c r="C1447" s="107">
        <v>38.6</v>
      </c>
      <c r="D1447" s="107">
        <v>38.200000000000003</v>
      </c>
      <c r="E1447" s="107">
        <v>39.299999999999997</v>
      </c>
      <c r="F1447" s="107">
        <v>38.6</v>
      </c>
      <c r="G1447">
        <v>112777</v>
      </c>
      <c r="H1447" s="107"/>
      <c r="I1447" s="107"/>
      <c r="L1447" s="130">
        <v>44134</v>
      </c>
      <c r="M1447" s="107">
        <v>38.6</v>
      </c>
      <c r="N1447" s="107">
        <v>39.5</v>
      </c>
      <c r="O1447" s="107">
        <v>38.200000000000003</v>
      </c>
      <c r="P1447" s="107">
        <v>39.1</v>
      </c>
      <c r="Q1447" s="107">
        <v>38.6</v>
      </c>
      <c r="R1447">
        <v>1124981</v>
      </c>
    </row>
    <row r="1448" spans="1:18" x14ac:dyDescent="0.25">
      <c r="A1448" s="130">
        <v>44137</v>
      </c>
      <c r="B1448" s="107">
        <v>39.6</v>
      </c>
      <c r="C1448" s="107">
        <v>39.1</v>
      </c>
      <c r="D1448" s="107">
        <v>38.25</v>
      </c>
      <c r="E1448" s="107">
        <v>39</v>
      </c>
      <c r="F1448" s="107">
        <v>39.1</v>
      </c>
      <c r="G1448">
        <v>386085</v>
      </c>
      <c r="H1448" s="107"/>
      <c r="I1448" s="107"/>
      <c r="L1448" s="130">
        <v>44137</v>
      </c>
      <c r="M1448" s="107">
        <v>39.049999999999997</v>
      </c>
      <c r="N1448" s="107">
        <v>39.65</v>
      </c>
      <c r="O1448" s="107">
        <v>38.299999999999997</v>
      </c>
      <c r="P1448" s="107">
        <v>38.9</v>
      </c>
      <c r="Q1448" s="107">
        <v>39.049999999999997</v>
      </c>
      <c r="R1448">
        <v>2119763</v>
      </c>
    </row>
    <row r="1449" spans="1:18" x14ac:dyDescent="0.25">
      <c r="A1449" s="130">
        <v>44138</v>
      </c>
      <c r="B1449" s="107">
        <v>40.200000000000003</v>
      </c>
      <c r="C1449" s="107">
        <v>39.450000000000003</v>
      </c>
      <c r="D1449" s="107">
        <v>39.15</v>
      </c>
      <c r="E1449" s="107">
        <v>39.9</v>
      </c>
      <c r="F1449" s="107">
        <v>39.450000000000003</v>
      </c>
      <c r="G1449">
        <v>166208</v>
      </c>
      <c r="H1449" s="107"/>
      <c r="I1449" s="107"/>
      <c r="L1449" s="130">
        <v>44138</v>
      </c>
      <c r="M1449" s="107">
        <v>39.4</v>
      </c>
      <c r="N1449" s="107">
        <v>40.200000000000003</v>
      </c>
      <c r="O1449" s="107">
        <v>39.200000000000003</v>
      </c>
      <c r="P1449" s="107">
        <v>39.9</v>
      </c>
      <c r="Q1449" s="107">
        <v>39.4</v>
      </c>
      <c r="R1449">
        <v>1825746</v>
      </c>
    </row>
    <row r="1450" spans="1:18" x14ac:dyDescent="0.25">
      <c r="A1450" s="130">
        <v>44139</v>
      </c>
      <c r="B1450" s="107">
        <v>39.6</v>
      </c>
      <c r="C1450" s="107">
        <v>39.35</v>
      </c>
      <c r="D1450" s="107">
        <v>38.75</v>
      </c>
      <c r="E1450" s="107">
        <v>39.5</v>
      </c>
      <c r="F1450" s="107">
        <v>39.35</v>
      </c>
      <c r="G1450">
        <v>238561</v>
      </c>
      <c r="H1450" s="107"/>
      <c r="I1450" s="107"/>
      <c r="L1450" s="130">
        <v>44139</v>
      </c>
      <c r="M1450" s="107">
        <v>39.35</v>
      </c>
      <c r="N1450" s="107">
        <v>39.6</v>
      </c>
      <c r="O1450" s="107">
        <v>38.75</v>
      </c>
      <c r="P1450" s="107">
        <v>39.5</v>
      </c>
      <c r="Q1450" s="107">
        <v>39.35</v>
      </c>
      <c r="R1450">
        <v>1160021</v>
      </c>
    </row>
    <row r="1451" spans="1:18" x14ac:dyDescent="0.25">
      <c r="A1451" s="130">
        <v>44140</v>
      </c>
      <c r="B1451" s="107">
        <v>40.4</v>
      </c>
      <c r="C1451" s="107">
        <v>39.9</v>
      </c>
      <c r="D1451" s="107">
        <v>39.35</v>
      </c>
      <c r="E1451" s="107">
        <v>39.35</v>
      </c>
      <c r="F1451" s="107">
        <v>39.9</v>
      </c>
      <c r="G1451">
        <v>280981</v>
      </c>
      <c r="H1451" s="107"/>
      <c r="I1451" s="107"/>
      <c r="L1451" s="130">
        <v>44140</v>
      </c>
      <c r="M1451" s="107">
        <v>39.85</v>
      </c>
      <c r="N1451" s="107">
        <v>40.4</v>
      </c>
      <c r="O1451" s="107">
        <v>39.549999999999997</v>
      </c>
      <c r="P1451" s="107">
        <v>39.549999999999997</v>
      </c>
      <c r="Q1451" s="107">
        <v>39.85</v>
      </c>
      <c r="R1451">
        <v>1762068</v>
      </c>
    </row>
    <row r="1452" spans="1:18" x14ac:dyDescent="0.25">
      <c r="A1452" s="130">
        <v>44141</v>
      </c>
      <c r="B1452" s="107">
        <v>41.85</v>
      </c>
      <c r="C1452" s="107">
        <v>41.1</v>
      </c>
      <c r="D1452" s="107">
        <v>40.299999999999997</v>
      </c>
      <c r="E1452" s="107">
        <v>40.5</v>
      </c>
      <c r="F1452" s="107">
        <v>41.1</v>
      </c>
      <c r="G1452">
        <v>697060</v>
      </c>
      <c r="H1452" s="107"/>
      <c r="I1452" s="107"/>
      <c r="L1452" s="130">
        <v>44141</v>
      </c>
      <c r="M1452" s="107">
        <v>41.1</v>
      </c>
      <c r="N1452" s="107">
        <v>41.9</v>
      </c>
      <c r="O1452" s="107">
        <v>40.299999999999997</v>
      </c>
      <c r="P1452" s="107">
        <v>40.450000000000003</v>
      </c>
      <c r="Q1452" s="107">
        <v>41.1</v>
      </c>
      <c r="R1452">
        <v>7153117</v>
      </c>
    </row>
    <row r="1453" spans="1:18" x14ac:dyDescent="0.25">
      <c r="A1453" s="130">
        <v>44144</v>
      </c>
      <c r="B1453" s="107">
        <v>41.9</v>
      </c>
      <c r="C1453" s="107">
        <v>41</v>
      </c>
      <c r="D1453" s="107">
        <v>40.85</v>
      </c>
      <c r="E1453" s="107">
        <v>41.7</v>
      </c>
      <c r="F1453" s="107">
        <v>41</v>
      </c>
      <c r="G1453">
        <v>326042</v>
      </c>
      <c r="H1453" s="107"/>
      <c r="I1453" s="107"/>
      <c r="L1453" s="130">
        <v>44144</v>
      </c>
      <c r="M1453" s="107">
        <v>41</v>
      </c>
      <c r="N1453" s="107">
        <v>42.2</v>
      </c>
      <c r="O1453" s="107">
        <v>40.799999999999997</v>
      </c>
      <c r="P1453" s="107">
        <v>42</v>
      </c>
      <c r="Q1453" s="107">
        <v>41</v>
      </c>
      <c r="R1453">
        <v>2361035</v>
      </c>
    </row>
    <row r="1454" spans="1:18" x14ac:dyDescent="0.25">
      <c r="A1454" s="130">
        <v>44145</v>
      </c>
      <c r="B1454" s="107">
        <v>41.8</v>
      </c>
      <c r="C1454" s="107">
        <v>41.2</v>
      </c>
      <c r="D1454" s="107">
        <v>40.9</v>
      </c>
      <c r="E1454" s="107">
        <v>41</v>
      </c>
      <c r="F1454" s="107">
        <v>41.2</v>
      </c>
      <c r="G1454">
        <v>355733</v>
      </c>
      <c r="H1454" s="107"/>
      <c r="I1454" s="107"/>
      <c r="L1454" s="130">
        <v>44145</v>
      </c>
      <c r="M1454" s="107">
        <v>41.25</v>
      </c>
      <c r="N1454" s="107">
        <v>41.8</v>
      </c>
      <c r="O1454" s="107">
        <v>40.9</v>
      </c>
      <c r="P1454" s="107">
        <v>41.1</v>
      </c>
      <c r="Q1454" s="107">
        <v>41.25</v>
      </c>
      <c r="R1454">
        <v>3041406</v>
      </c>
    </row>
    <row r="1455" spans="1:18" x14ac:dyDescent="0.25">
      <c r="A1455" s="130">
        <v>44146</v>
      </c>
      <c r="B1455" s="107">
        <v>41.95</v>
      </c>
      <c r="C1455" s="107">
        <v>40.950000000000003</v>
      </c>
      <c r="D1455" s="107">
        <v>40.799999999999997</v>
      </c>
      <c r="E1455" s="107">
        <v>41.2</v>
      </c>
      <c r="F1455" s="107">
        <v>40.950000000000003</v>
      </c>
      <c r="G1455">
        <v>90442</v>
      </c>
      <c r="H1455" s="107"/>
      <c r="I1455" s="107"/>
      <c r="L1455" s="130">
        <v>44146</v>
      </c>
      <c r="M1455" s="107">
        <v>41</v>
      </c>
      <c r="N1455" s="107">
        <v>41.9</v>
      </c>
      <c r="O1455" s="107">
        <v>40.799999999999997</v>
      </c>
      <c r="P1455" s="107">
        <v>41.3</v>
      </c>
      <c r="Q1455" s="107">
        <v>41</v>
      </c>
      <c r="R1455">
        <v>2310206</v>
      </c>
    </row>
    <row r="1456" spans="1:18" x14ac:dyDescent="0.25">
      <c r="A1456" s="130">
        <v>44147</v>
      </c>
      <c r="B1456" s="107">
        <v>41.5</v>
      </c>
      <c r="C1456" s="107">
        <v>40.549999999999997</v>
      </c>
      <c r="D1456" s="107">
        <v>40.4</v>
      </c>
      <c r="E1456" s="107">
        <v>40.700000000000003</v>
      </c>
      <c r="F1456" s="107">
        <v>40.549999999999997</v>
      </c>
      <c r="G1456">
        <v>65953</v>
      </c>
      <c r="H1456" s="107"/>
      <c r="I1456" s="107"/>
      <c r="L1456" s="130">
        <v>44147</v>
      </c>
      <c r="M1456" s="107">
        <v>40.549999999999997</v>
      </c>
      <c r="N1456" s="107">
        <v>41.15</v>
      </c>
      <c r="O1456" s="107">
        <v>40.4</v>
      </c>
      <c r="P1456" s="107">
        <v>41</v>
      </c>
      <c r="Q1456" s="107">
        <v>40.549999999999997</v>
      </c>
      <c r="R1456">
        <v>1240317</v>
      </c>
    </row>
    <row r="1457" spans="1:18" x14ac:dyDescent="0.25">
      <c r="A1457" s="130">
        <v>44148</v>
      </c>
      <c r="B1457" s="107">
        <v>40.9</v>
      </c>
      <c r="C1457" s="107">
        <v>40.5</v>
      </c>
      <c r="D1457" s="107">
        <v>39.9</v>
      </c>
      <c r="E1457" s="107">
        <v>40.549999999999997</v>
      </c>
      <c r="F1457" s="107">
        <v>40.5</v>
      </c>
      <c r="G1457">
        <v>184557</v>
      </c>
      <c r="H1457" s="107"/>
      <c r="I1457" s="107"/>
      <c r="L1457" s="130">
        <v>44148</v>
      </c>
      <c r="M1457" s="107">
        <v>40.450000000000003</v>
      </c>
      <c r="N1457" s="107">
        <v>40.65</v>
      </c>
      <c r="O1457" s="107">
        <v>39.9</v>
      </c>
      <c r="P1457" s="107">
        <v>40.5</v>
      </c>
      <c r="Q1457" s="107">
        <v>40.450000000000003</v>
      </c>
      <c r="R1457">
        <v>1233360</v>
      </c>
    </row>
    <row r="1458" spans="1:18" x14ac:dyDescent="0.25">
      <c r="A1458" s="130">
        <v>44149</v>
      </c>
      <c r="B1458" s="107">
        <v>41</v>
      </c>
      <c r="C1458" s="107">
        <v>40.9</v>
      </c>
      <c r="D1458" s="107">
        <v>40.5</v>
      </c>
      <c r="E1458" s="107">
        <v>40.5</v>
      </c>
      <c r="F1458" s="107">
        <v>40.9</v>
      </c>
      <c r="G1458">
        <v>61284</v>
      </c>
      <c r="H1458" s="107"/>
      <c r="I1458" s="107"/>
      <c r="L1458" s="130">
        <v>44149</v>
      </c>
      <c r="M1458" s="107">
        <v>40.9</v>
      </c>
      <c r="N1458" s="107">
        <v>41.05</v>
      </c>
      <c r="O1458" s="107">
        <v>40.65</v>
      </c>
      <c r="P1458" s="107">
        <v>40.85</v>
      </c>
      <c r="Q1458" s="107">
        <v>40.9</v>
      </c>
      <c r="R1458">
        <v>361643</v>
      </c>
    </row>
    <row r="1459" spans="1:18" x14ac:dyDescent="0.25">
      <c r="A1459" s="130">
        <v>44152</v>
      </c>
      <c r="B1459" s="107">
        <v>41.45</v>
      </c>
      <c r="C1459" s="107">
        <v>40.9</v>
      </c>
      <c r="D1459" s="107">
        <v>40.75</v>
      </c>
      <c r="E1459" s="107">
        <v>40.9</v>
      </c>
      <c r="F1459" s="107">
        <v>40.9</v>
      </c>
      <c r="G1459">
        <v>210242</v>
      </c>
      <c r="H1459" s="107"/>
      <c r="I1459" s="107"/>
      <c r="L1459" s="130">
        <v>44152</v>
      </c>
      <c r="M1459" s="107">
        <v>40.9</v>
      </c>
      <c r="N1459" s="107">
        <v>41.5</v>
      </c>
      <c r="O1459" s="107">
        <v>40.75</v>
      </c>
      <c r="P1459" s="107">
        <v>41.1</v>
      </c>
      <c r="Q1459" s="107">
        <v>40.9</v>
      </c>
      <c r="R1459">
        <v>1776083</v>
      </c>
    </row>
    <row r="1460" spans="1:18" x14ac:dyDescent="0.25">
      <c r="A1460" s="130">
        <v>44153</v>
      </c>
      <c r="B1460" s="107">
        <v>42.2</v>
      </c>
      <c r="C1460" s="107">
        <v>41.85</v>
      </c>
      <c r="D1460" s="107">
        <v>40.35</v>
      </c>
      <c r="E1460" s="107">
        <v>40.35</v>
      </c>
      <c r="F1460" s="107">
        <v>41.85</v>
      </c>
      <c r="G1460">
        <v>580673</v>
      </c>
      <c r="H1460" s="107"/>
      <c r="I1460" s="107"/>
      <c r="L1460" s="130">
        <v>44153</v>
      </c>
      <c r="M1460" s="107">
        <v>41.85</v>
      </c>
      <c r="N1460" s="107">
        <v>42.25</v>
      </c>
      <c r="O1460" s="107">
        <v>40.6</v>
      </c>
      <c r="P1460" s="107">
        <v>40.799999999999997</v>
      </c>
      <c r="Q1460" s="107">
        <v>41.85</v>
      </c>
      <c r="R1460">
        <v>3850816</v>
      </c>
    </row>
    <row r="1461" spans="1:18" x14ac:dyDescent="0.25">
      <c r="A1461" s="130">
        <v>44154</v>
      </c>
      <c r="B1461" s="107">
        <v>42.5</v>
      </c>
      <c r="C1461" s="107">
        <v>41.4</v>
      </c>
      <c r="D1461" s="107">
        <v>41.2</v>
      </c>
      <c r="E1461" s="107">
        <v>41.75</v>
      </c>
      <c r="F1461" s="107">
        <v>41.4</v>
      </c>
      <c r="G1461">
        <v>400819</v>
      </c>
      <c r="H1461" s="107"/>
      <c r="I1461" s="107"/>
      <c r="L1461" s="130">
        <v>44154</v>
      </c>
      <c r="M1461" s="107">
        <v>41.35</v>
      </c>
      <c r="N1461" s="107">
        <v>42.55</v>
      </c>
      <c r="O1461" s="107">
        <v>41.1</v>
      </c>
      <c r="P1461" s="107">
        <v>41.85</v>
      </c>
      <c r="Q1461" s="107">
        <v>41.35</v>
      </c>
      <c r="R1461">
        <v>3552630</v>
      </c>
    </row>
    <row r="1462" spans="1:18" x14ac:dyDescent="0.25">
      <c r="A1462" s="130">
        <v>44155</v>
      </c>
      <c r="B1462" s="107">
        <v>45</v>
      </c>
      <c r="C1462" s="107">
        <v>44</v>
      </c>
      <c r="D1462" s="107">
        <v>41.1</v>
      </c>
      <c r="E1462" s="107">
        <v>41.4</v>
      </c>
      <c r="F1462" s="107">
        <v>44</v>
      </c>
      <c r="G1462">
        <v>1610939</v>
      </c>
      <c r="H1462" s="107"/>
      <c r="I1462" s="107"/>
      <c r="L1462" s="130">
        <v>44155</v>
      </c>
      <c r="M1462" s="107">
        <v>43.95</v>
      </c>
      <c r="N1462" s="107">
        <v>45.05</v>
      </c>
      <c r="O1462" s="107">
        <v>41.05</v>
      </c>
      <c r="P1462" s="107">
        <v>41.5</v>
      </c>
      <c r="Q1462" s="107">
        <v>43.95</v>
      </c>
      <c r="R1462">
        <v>11649124</v>
      </c>
    </row>
    <row r="1463" spans="1:18" x14ac:dyDescent="0.25">
      <c r="A1463" s="130">
        <v>44158</v>
      </c>
      <c r="B1463" s="107">
        <v>44.7</v>
      </c>
      <c r="C1463" s="107">
        <v>43.5</v>
      </c>
      <c r="D1463" s="107">
        <v>42.75</v>
      </c>
      <c r="E1463" s="107">
        <v>44.7</v>
      </c>
      <c r="F1463" s="107">
        <v>43.5</v>
      </c>
      <c r="G1463">
        <v>589868</v>
      </c>
      <c r="H1463" s="107"/>
      <c r="I1463" s="107"/>
      <c r="L1463" s="130">
        <v>44158</v>
      </c>
      <c r="M1463" s="107">
        <v>43.5</v>
      </c>
      <c r="N1463" s="107">
        <v>44.75</v>
      </c>
      <c r="O1463" s="107">
        <v>42.75</v>
      </c>
      <c r="P1463" s="107">
        <v>44.7</v>
      </c>
      <c r="Q1463" s="107">
        <v>43.5</v>
      </c>
      <c r="R1463">
        <v>3034568</v>
      </c>
    </row>
    <row r="1464" spans="1:18" x14ac:dyDescent="0.25">
      <c r="A1464" s="130">
        <v>44159</v>
      </c>
      <c r="B1464" s="107">
        <v>43.95</v>
      </c>
      <c r="C1464" s="107">
        <v>43.7</v>
      </c>
      <c r="D1464" s="107">
        <v>43.25</v>
      </c>
      <c r="E1464" s="107">
        <v>43.9</v>
      </c>
      <c r="F1464" s="107">
        <v>43.7</v>
      </c>
      <c r="G1464">
        <v>387049</v>
      </c>
      <c r="H1464" s="107"/>
      <c r="I1464" s="107"/>
      <c r="L1464" s="130">
        <v>44159</v>
      </c>
      <c r="M1464" s="107">
        <v>43.75</v>
      </c>
      <c r="N1464" s="107">
        <v>44.05</v>
      </c>
      <c r="O1464" s="107">
        <v>43.25</v>
      </c>
      <c r="P1464" s="107">
        <v>44</v>
      </c>
      <c r="Q1464" s="107">
        <v>43.75</v>
      </c>
      <c r="R1464">
        <v>1639286</v>
      </c>
    </row>
    <row r="1465" spans="1:18" x14ac:dyDescent="0.25">
      <c r="A1465" s="130">
        <v>44160</v>
      </c>
      <c r="B1465" s="107">
        <v>46.45</v>
      </c>
      <c r="C1465" s="107">
        <v>44.4</v>
      </c>
      <c r="D1465" s="107">
        <v>43.7</v>
      </c>
      <c r="E1465" s="107">
        <v>43.7</v>
      </c>
      <c r="F1465" s="107">
        <v>44.4</v>
      </c>
      <c r="G1465">
        <v>688480</v>
      </c>
      <c r="H1465" s="107"/>
      <c r="I1465" s="107"/>
      <c r="L1465" s="130">
        <v>44160</v>
      </c>
      <c r="M1465" s="107">
        <v>44.35</v>
      </c>
      <c r="N1465" s="107">
        <v>46.45</v>
      </c>
      <c r="O1465" s="107">
        <v>43.65</v>
      </c>
      <c r="P1465" s="107">
        <v>44</v>
      </c>
      <c r="Q1465" s="107">
        <v>44.35</v>
      </c>
      <c r="R1465">
        <v>11320938</v>
      </c>
    </row>
    <row r="1466" spans="1:18" x14ac:dyDescent="0.25">
      <c r="A1466" s="130">
        <v>44161</v>
      </c>
      <c r="B1466" s="107">
        <v>44.9</v>
      </c>
      <c r="C1466" s="107">
        <v>44.7</v>
      </c>
      <c r="D1466" s="107">
        <v>44</v>
      </c>
      <c r="E1466" s="107">
        <v>44.7</v>
      </c>
      <c r="F1466" s="107">
        <v>44.7</v>
      </c>
      <c r="G1466">
        <v>368826</v>
      </c>
      <c r="H1466" s="107"/>
      <c r="I1466" s="107"/>
      <c r="L1466" s="130">
        <v>44161</v>
      </c>
      <c r="M1466" s="107">
        <v>44.65</v>
      </c>
      <c r="N1466" s="107">
        <v>44.9</v>
      </c>
      <c r="O1466" s="107">
        <v>44</v>
      </c>
      <c r="P1466" s="107">
        <v>44.7</v>
      </c>
      <c r="Q1466" s="107">
        <v>44.65</v>
      </c>
      <c r="R1466">
        <v>3487617</v>
      </c>
    </row>
    <row r="1467" spans="1:18" x14ac:dyDescent="0.25">
      <c r="A1467" s="130">
        <v>44162</v>
      </c>
      <c r="B1467" s="107">
        <v>46.15</v>
      </c>
      <c r="C1467" s="107">
        <v>45.1</v>
      </c>
      <c r="D1467" s="107">
        <v>44.8</v>
      </c>
      <c r="E1467" s="107">
        <v>44.8</v>
      </c>
      <c r="F1467" s="107">
        <v>45.1</v>
      </c>
      <c r="G1467">
        <v>711831</v>
      </c>
      <c r="H1467" s="107"/>
      <c r="I1467" s="107"/>
      <c r="L1467" s="130">
        <v>44162</v>
      </c>
      <c r="M1467" s="107">
        <v>45.05</v>
      </c>
      <c r="N1467" s="107">
        <v>46.2</v>
      </c>
      <c r="O1467" s="107">
        <v>44.8</v>
      </c>
      <c r="P1467" s="107">
        <v>44.9</v>
      </c>
      <c r="Q1467" s="107">
        <v>45.05</v>
      </c>
      <c r="R1467">
        <v>4827782</v>
      </c>
    </row>
    <row r="1468" spans="1:18" x14ac:dyDescent="0.25">
      <c r="A1468" s="130">
        <v>44166</v>
      </c>
      <c r="B1468" s="107">
        <v>47.15</v>
      </c>
      <c r="C1468" s="107">
        <v>46.6</v>
      </c>
      <c r="D1468" s="107">
        <v>45.1</v>
      </c>
      <c r="E1468" s="107">
        <v>45.5</v>
      </c>
      <c r="F1468" s="107">
        <v>46.6</v>
      </c>
      <c r="G1468">
        <v>623441</v>
      </c>
      <c r="H1468" s="107"/>
      <c r="I1468" s="107"/>
      <c r="L1468" s="130">
        <v>44166</v>
      </c>
      <c r="M1468" s="107">
        <v>46.6</v>
      </c>
      <c r="N1468" s="107">
        <v>47.2</v>
      </c>
      <c r="O1468" s="107">
        <v>45.1</v>
      </c>
      <c r="P1468" s="107">
        <v>45.45</v>
      </c>
      <c r="Q1468" s="107">
        <v>46.6</v>
      </c>
      <c r="R1468">
        <v>5725794</v>
      </c>
    </row>
    <row r="1469" spans="1:18" x14ac:dyDescent="0.25">
      <c r="A1469" s="130">
        <v>44167</v>
      </c>
      <c r="B1469" s="107">
        <v>48.8</v>
      </c>
      <c r="C1469" s="107">
        <v>47.4</v>
      </c>
      <c r="D1469" s="107">
        <v>46.8</v>
      </c>
      <c r="E1469" s="107">
        <v>47.2</v>
      </c>
      <c r="F1469" s="107">
        <v>47.4</v>
      </c>
      <c r="G1469">
        <v>704296</v>
      </c>
      <c r="H1469" s="107"/>
      <c r="I1469" s="107"/>
      <c r="L1469" s="130">
        <v>44167</v>
      </c>
      <c r="M1469" s="107">
        <v>47.45</v>
      </c>
      <c r="N1469" s="107">
        <v>48.8</v>
      </c>
      <c r="O1469" s="107">
        <v>46.75</v>
      </c>
      <c r="P1469" s="107">
        <v>47.15</v>
      </c>
      <c r="Q1469" s="107">
        <v>47.45</v>
      </c>
      <c r="R1469">
        <v>6978212</v>
      </c>
    </row>
    <row r="1470" spans="1:18" x14ac:dyDescent="0.25">
      <c r="A1470" s="130">
        <v>44168</v>
      </c>
      <c r="B1470" s="107">
        <v>49.45</v>
      </c>
      <c r="C1470" s="107">
        <v>48.75</v>
      </c>
      <c r="D1470" s="107">
        <v>47.5</v>
      </c>
      <c r="E1470" s="107">
        <v>47.5</v>
      </c>
      <c r="F1470" s="107">
        <v>48.75</v>
      </c>
      <c r="G1470">
        <v>607700</v>
      </c>
      <c r="H1470" s="107"/>
      <c r="I1470" s="107"/>
      <c r="L1470" s="130">
        <v>44168</v>
      </c>
      <c r="M1470" s="107">
        <v>48.75</v>
      </c>
      <c r="N1470" s="107">
        <v>49.45</v>
      </c>
      <c r="O1470" s="107">
        <v>47.7</v>
      </c>
      <c r="P1470" s="107">
        <v>47.9</v>
      </c>
      <c r="Q1470" s="107">
        <v>48.75</v>
      </c>
      <c r="R1470">
        <v>8918677</v>
      </c>
    </row>
    <row r="1471" spans="1:18" x14ac:dyDescent="0.25">
      <c r="A1471" s="130">
        <v>44169</v>
      </c>
      <c r="B1471" s="107">
        <v>49.95</v>
      </c>
      <c r="C1471" s="107">
        <v>48.15</v>
      </c>
      <c r="D1471" s="107">
        <v>42</v>
      </c>
      <c r="E1471" s="107">
        <v>49.8</v>
      </c>
      <c r="F1471" s="107">
        <v>48.15</v>
      </c>
      <c r="G1471">
        <v>1092459</v>
      </c>
      <c r="H1471" s="107"/>
      <c r="I1471" s="107"/>
      <c r="L1471" s="130">
        <v>44169</v>
      </c>
      <c r="M1471" s="107">
        <v>48.7</v>
      </c>
      <c r="N1471" s="107">
        <v>49.9</v>
      </c>
      <c r="O1471" s="107">
        <v>48</v>
      </c>
      <c r="P1471" s="107">
        <v>49.5</v>
      </c>
      <c r="Q1471" s="107">
        <v>48.7</v>
      </c>
      <c r="R1471">
        <v>7358048</v>
      </c>
    </row>
    <row r="1472" spans="1:18" x14ac:dyDescent="0.25">
      <c r="A1472" s="130">
        <v>44172</v>
      </c>
      <c r="B1472" s="107">
        <v>49.4</v>
      </c>
      <c r="C1472" s="107">
        <v>48.85</v>
      </c>
      <c r="D1472" s="107">
        <v>48.5</v>
      </c>
      <c r="E1472" s="107">
        <v>48.7</v>
      </c>
      <c r="F1472" s="107">
        <v>48.85</v>
      </c>
      <c r="G1472">
        <v>342174</v>
      </c>
      <c r="H1472" s="107"/>
      <c r="I1472" s="107"/>
      <c r="L1472" s="130">
        <v>44172</v>
      </c>
      <c r="M1472" s="107">
        <v>48.85</v>
      </c>
      <c r="N1472" s="107">
        <v>49.4</v>
      </c>
      <c r="O1472" s="107">
        <v>48.25</v>
      </c>
      <c r="P1472" s="107">
        <v>48.9</v>
      </c>
      <c r="Q1472" s="107">
        <v>48.85</v>
      </c>
      <c r="R1472">
        <v>3793769</v>
      </c>
    </row>
    <row r="1473" spans="1:18" x14ac:dyDescent="0.25">
      <c r="A1473" s="130">
        <v>44173</v>
      </c>
      <c r="B1473" s="107">
        <v>54</v>
      </c>
      <c r="C1473" s="107">
        <v>53.2</v>
      </c>
      <c r="D1473" s="107">
        <v>48.95</v>
      </c>
      <c r="E1473" s="107">
        <v>49.5</v>
      </c>
      <c r="F1473" s="107">
        <v>53.2</v>
      </c>
      <c r="G1473">
        <v>1105871</v>
      </c>
      <c r="H1473" s="107"/>
      <c r="I1473" s="107"/>
      <c r="L1473" s="130">
        <v>44173</v>
      </c>
      <c r="M1473" s="107">
        <v>53</v>
      </c>
      <c r="N1473" s="107">
        <v>53.8</v>
      </c>
      <c r="O1473" s="107">
        <v>48.9</v>
      </c>
      <c r="P1473" s="107">
        <v>49.35</v>
      </c>
      <c r="Q1473" s="107">
        <v>53</v>
      </c>
      <c r="R1473">
        <v>19303810</v>
      </c>
    </row>
    <row r="1474" spans="1:18" x14ac:dyDescent="0.25">
      <c r="A1474" s="130">
        <v>44174</v>
      </c>
      <c r="B1474" s="107">
        <v>55</v>
      </c>
      <c r="C1474" s="107">
        <v>53.25</v>
      </c>
      <c r="D1474" s="107">
        <v>52.8</v>
      </c>
      <c r="E1474" s="107">
        <v>53.95</v>
      </c>
      <c r="F1474" s="107">
        <v>53.25</v>
      </c>
      <c r="G1474">
        <v>1136080</v>
      </c>
      <c r="H1474" s="107"/>
      <c r="I1474" s="107"/>
      <c r="L1474" s="130">
        <v>44174</v>
      </c>
      <c r="M1474" s="107">
        <v>53.25</v>
      </c>
      <c r="N1474" s="107">
        <v>55</v>
      </c>
      <c r="O1474" s="107">
        <v>52.75</v>
      </c>
      <c r="P1474" s="107">
        <v>54</v>
      </c>
      <c r="Q1474" s="107">
        <v>53.25</v>
      </c>
      <c r="R1474">
        <v>11616363</v>
      </c>
    </row>
    <row r="1475" spans="1:18" x14ac:dyDescent="0.25">
      <c r="A1475" s="130">
        <v>44175</v>
      </c>
      <c r="B1475" s="107">
        <v>52.95</v>
      </c>
      <c r="C1475" s="107">
        <v>51.6</v>
      </c>
      <c r="D1475" s="107">
        <v>50.65</v>
      </c>
      <c r="E1475" s="107">
        <v>51.6</v>
      </c>
      <c r="F1475" s="107">
        <v>51.6</v>
      </c>
      <c r="G1475">
        <v>680054</v>
      </c>
      <c r="H1475" s="107"/>
      <c r="I1475" s="107"/>
      <c r="L1475" s="130">
        <v>44175</v>
      </c>
      <c r="M1475" s="107">
        <v>51.6</v>
      </c>
      <c r="N1475" s="107">
        <v>53.05</v>
      </c>
      <c r="O1475" s="107">
        <v>50.65</v>
      </c>
      <c r="P1475" s="107">
        <v>53.05</v>
      </c>
      <c r="Q1475" s="107">
        <v>51.6</v>
      </c>
      <c r="R1475">
        <v>5215158</v>
      </c>
    </row>
    <row r="1476" spans="1:18" x14ac:dyDescent="0.25">
      <c r="A1476" s="130">
        <v>44176</v>
      </c>
      <c r="B1476" s="107">
        <v>52.85</v>
      </c>
      <c r="C1476" s="107">
        <v>51.15</v>
      </c>
      <c r="D1476" s="107">
        <v>50.75</v>
      </c>
      <c r="E1476" s="107">
        <v>51.95</v>
      </c>
      <c r="F1476" s="107">
        <v>51.15</v>
      </c>
      <c r="G1476">
        <v>633281</v>
      </c>
      <c r="H1476" s="107"/>
      <c r="I1476" s="107"/>
      <c r="L1476" s="130">
        <v>44176</v>
      </c>
      <c r="M1476" s="107">
        <v>51.15</v>
      </c>
      <c r="N1476" s="107">
        <v>52.85</v>
      </c>
      <c r="O1476" s="107">
        <v>50.8</v>
      </c>
      <c r="P1476" s="107">
        <v>51.95</v>
      </c>
      <c r="Q1476" s="107">
        <v>51.15</v>
      </c>
      <c r="R1476">
        <v>5790771</v>
      </c>
    </row>
    <row r="1477" spans="1:18" x14ac:dyDescent="0.25">
      <c r="A1477" s="130">
        <v>44179</v>
      </c>
      <c r="B1477" s="107">
        <v>53.3</v>
      </c>
      <c r="C1477" s="107">
        <v>52.85</v>
      </c>
      <c r="D1477" s="107">
        <v>51.8</v>
      </c>
      <c r="E1477" s="107">
        <v>52</v>
      </c>
      <c r="F1477" s="107">
        <v>52.85</v>
      </c>
      <c r="G1477">
        <v>633503</v>
      </c>
      <c r="H1477" s="107"/>
      <c r="I1477" s="107"/>
      <c r="L1477" s="130">
        <v>44179</v>
      </c>
      <c r="M1477" s="107">
        <v>52.8</v>
      </c>
      <c r="N1477" s="107">
        <v>53.3</v>
      </c>
      <c r="O1477" s="107">
        <v>51.6</v>
      </c>
      <c r="P1477" s="107">
        <v>51.8</v>
      </c>
      <c r="Q1477" s="107">
        <v>52.8</v>
      </c>
      <c r="R1477">
        <v>5390168</v>
      </c>
    </row>
    <row r="1478" spans="1:18" x14ac:dyDescent="0.25">
      <c r="A1478" s="130">
        <v>44180</v>
      </c>
      <c r="B1478" s="107">
        <v>53</v>
      </c>
      <c r="C1478" s="107">
        <v>52.15</v>
      </c>
      <c r="D1478" s="107">
        <v>51.6</v>
      </c>
      <c r="E1478" s="107">
        <v>53</v>
      </c>
      <c r="F1478" s="107">
        <v>52.15</v>
      </c>
      <c r="G1478">
        <v>407591</v>
      </c>
      <c r="H1478" s="107"/>
      <c r="I1478" s="107"/>
      <c r="L1478" s="130">
        <v>44180</v>
      </c>
      <c r="M1478" s="107">
        <v>52.15</v>
      </c>
      <c r="N1478" s="107">
        <v>52.7</v>
      </c>
      <c r="O1478" s="107">
        <v>51.6</v>
      </c>
      <c r="P1478" s="107">
        <v>52.7</v>
      </c>
      <c r="Q1478" s="107">
        <v>52.15</v>
      </c>
      <c r="R1478">
        <v>3586916</v>
      </c>
    </row>
    <row r="1479" spans="1:18" x14ac:dyDescent="0.25">
      <c r="A1479" s="130">
        <v>44181</v>
      </c>
      <c r="B1479" s="107">
        <v>52.8</v>
      </c>
      <c r="C1479" s="107">
        <v>51.4</v>
      </c>
      <c r="D1479" s="107">
        <v>51</v>
      </c>
      <c r="E1479" s="107">
        <v>52.5</v>
      </c>
      <c r="F1479" s="107">
        <v>51.4</v>
      </c>
      <c r="G1479">
        <v>322519</v>
      </c>
      <c r="H1479" s="107"/>
      <c r="I1479" s="107"/>
      <c r="L1479" s="130">
        <v>44181</v>
      </c>
      <c r="M1479" s="107">
        <v>51.5</v>
      </c>
      <c r="N1479" s="107">
        <v>53</v>
      </c>
      <c r="O1479" s="107">
        <v>50.55</v>
      </c>
      <c r="P1479" s="107">
        <v>52.5</v>
      </c>
      <c r="Q1479" s="107">
        <v>51.5</v>
      </c>
      <c r="R1479">
        <v>2842067</v>
      </c>
    </row>
    <row r="1480" spans="1:18" x14ac:dyDescent="0.25">
      <c r="A1480" s="130">
        <v>44182</v>
      </c>
      <c r="B1480" s="107">
        <v>52.25</v>
      </c>
      <c r="C1480" s="107">
        <v>50.25</v>
      </c>
      <c r="D1480" s="107">
        <v>50</v>
      </c>
      <c r="E1480" s="107">
        <v>51.65</v>
      </c>
      <c r="F1480" s="107">
        <v>50.25</v>
      </c>
      <c r="G1480">
        <v>195454</v>
      </c>
      <c r="H1480" s="107"/>
      <c r="I1480" s="107"/>
      <c r="L1480" s="130">
        <v>44182</v>
      </c>
      <c r="M1480" s="107">
        <v>50.4</v>
      </c>
      <c r="N1480" s="107">
        <v>52.2</v>
      </c>
      <c r="O1480" s="107">
        <v>50.05</v>
      </c>
      <c r="P1480" s="107">
        <v>51.5</v>
      </c>
      <c r="Q1480" s="107">
        <v>50.4</v>
      </c>
      <c r="R1480">
        <v>3262585</v>
      </c>
    </row>
    <row r="1481" spans="1:18" x14ac:dyDescent="0.25">
      <c r="A1481" s="130">
        <v>44183</v>
      </c>
      <c r="B1481" s="107">
        <v>50.6</v>
      </c>
      <c r="C1481" s="107">
        <v>49.65</v>
      </c>
      <c r="D1481" s="107">
        <v>48.95</v>
      </c>
      <c r="E1481" s="107">
        <v>50.5</v>
      </c>
      <c r="F1481" s="107">
        <v>49.65</v>
      </c>
      <c r="G1481">
        <v>254721</v>
      </c>
      <c r="H1481" s="107"/>
      <c r="I1481" s="107"/>
      <c r="L1481" s="130">
        <v>44183</v>
      </c>
      <c r="M1481" s="107">
        <v>49.6</v>
      </c>
      <c r="N1481" s="107">
        <v>50.9</v>
      </c>
      <c r="O1481" s="107">
        <v>48.9</v>
      </c>
      <c r="P1481" s="107">
        <v>50.8</v>
      </c>
      <c r="Q1481" s="107">
        <v>49.6</v>
      </c>
      <c r="R1481">
        <v>4122456</v>
      </c>
    </row>
    <row r="1482" spans="1:18" x14ac:dyDescent="0.25">
      <c r="A1482" s="130">
        <v>44186</v>
      </c>
      <c r="B1482" s="107">
        <v>51.45</v>
      </c>
      <c r="C1482" s="107">
        <v>47.15</v>
      </c>
      <c r="D1482" s="107">
        <v>45.15</v>
      </c>
      <c r="E1482" s="107">
        <v>49.5</v>
      </c>
      <c r="F1482" s="107">
        <v>47.15</v>
      </c>
      <c r="G1482">
        <v>1261655</v>
      </c>
      <c r="H1482" s="107"/>
      <c r="I1482" s="107"/>
      <c r="L1482" s="130">
        <v>44186</v>
      </c>
      <c r="M1482" s="107">
        <v>47.25</v>
      </c>
      <c r="N1482" s="107">
        <v>51.45</v>
      </c>
      <c r="O1482" s="107">
        <v>45.15</v>
      </c>
      <c r="P1482" s="107">
        <v>49.9</v>
      </c>
      <c r="Q1482" s="107">
        <v>47.25</v>
      </c>
      <c r="R1482">
        <v>10206874</v>
      </c>
    </row>
    <row r="1483" spans="1:18" x14ac:dyDescent="0.25">
      <c r="A1483" s="130">
        <v>44187</v>
      </c>
      <c r="B1483" s="107">
        <v>48.25</v>
      </c>
      <c r="C1483" s="107">
        <v>47.3</v>
      </c>
      <c r="D1483" s="107">
        <v>45.15</v>
      </c>
      <c r="E1483" s="107">
        <v>46.2</v>
      </c>
      <c r="F1483" s="107">
        <v>47.3</v>
      </c>
      <c r="G1483">
        <v>407799</v>
      </c>
      <c r="H1483" s="107"/>
      <c r="I1483" s="107"/>
      <c r="L1483" s="130">
        <v>44187</v>
      </c>
      <c r="M1483" s="107">
        <v>47.25</v>
      </c>
      <c r="N1483" s="107">
        <v>48.5</v>
      </c>
      <c r="O1483" s="107">
        <v>45.1</v>
      </c>
      <c r="P1483" s="107">
        <v>47.6</v>
      </c>
      <c r="Q1483" s="107">
        <v>47.25</v>
      </c>
      <c r="R1483">
        <v>6077688</v>
      </c>
    </row>
    <row r="1484" spans="1:18" x14ac:dyDescent="0.25">
      <c r="A1484" s="130">
        <v>44188</v>
      </c>
      <c r="B1484" s="107">
        <v>48.9</v>
      </c>
      <c r="C1484" s="107">
        <v>48.7</v>
      </c>
      <c r="D1484" s="107">
        <v>47.4</v>
      </c>
      <c r="E1484" s="107">
        <v>48</v>
      </c>
      <c r="F1484" s="107">
        <v>48.7</v>
      </c>
      <c r="G1484">
        <v>1005371</v>
      </c>
      <c r="H1484" s="107"/>
      <c r="I1484" s="107"/>
      <c r="L1484" s="130">
        <v>44188</v>
      </c>
      <c r="M1484" s="107">
        <v>48.7</v>
      </c>
      <c r="N1484" s="107">
        <v>48.95</v>
      </c>
      <c r="O1484" s="107">
        <v>47.35</v>
      </c>
      <c r="P1484" s="107">
        <v>47.35</v>
      </c>
      <c r="Q1484" s="107">
        <v>48.7</v>
      </c>
      <c r="R1484">
        <v>3018069</v>
      </c>
    </row>
    <row r="1485" spans="1:18" x14ac:dyDescent="0.25">
      <c r="A1485" s="130">
        <v>44189</v>
      </c>
      <c r="B1485" s="107">
        <v>49.8</v>
      </c>
      <c r="C1485" s="107">
        <v>48.95</v>
      </c>
      <c r="D1485" s="107">
        <v>48.6</v>
      </c>
      <c r="E1485" s="107">
        <v>49.1</v>
      </c>
      <c r="F1485" s="107">
        <v>48.95</v>
      </c>
      <c r="G1485">
        <v>1136397</v>
      </c>
      <c r="H1485" s="107"/>
      <c r="I1485" s="107"/>
      <c r="L1485" s="130">
        <v>44189</v>
      </c>
      <c r="M1485" s="107">
        <v>48.9</v>
      </c>
      <c r="N1485" s="107">
        <v>49.75</v>
      </c>
      <c r="O1485" s="107">
        <v>48.6</v>
      </c>
      <c r="P1485" s="107">
        <v>49.35</v>
      </c>
      <c r="Q1485" s="107">
        <v>48.9</v>
      </c>
      <c r="R1485">
        <v>2688514</v>
      </c>
    </row>
    <row r="1486" spans="1:18" x14ac:dyDescent="0.25">
      <c r="A1486" s="130">
        <v>44193</v>
      </c>
      <c r="B1486" s="107">
        <v>49.9</v>
      </c>
      <c r="C1486" s="107">
        <v>49.45</v>
      </c>
      <c r="D1486" s="107">
        <v>49</v>
      </c>
      <c r="E1486" s="107">
        <v>49</v>
      </c>
      <c r="F1486" s="107">
        <v>49.45</v>
      </c>
      <c r="G1486">
        <v>821551</v>
      </c>
      <c r="H1486" s="107"/>
      <c r="I1486" s="107"/>
      <c r="L1486" s="130">
        <v>44193</v>
      </c>
      <c r="M1486" s="107">
        <v>49.4</v>
      </c>
      <c r="N1486" s="107">
        <v>49.9</v>
      </c>
      <c r="O1486" s="107">
        <v>49</v>
      </c>
      <c r="P1486" s="107">
        <v>49</v>
      </c>
      <c r="Q1486" s="107">
        <v>49.4</v>
      </c>
      <c r="R1486">
        <v>3613475</v>
      </c>
    </row>
    <row r="1487" spans="1:18" x14ac:dyDescent="0.25">
      <c r="A1487" s="130">
        <v>44194</v>
      </c>
      <c r="B1487" s="107">
        <v>50.75</v>
      </c>
      <c r="C1487" s="107">
        <v>49.4</v>
      </c>
      <c r="D1487" s="107">
        <v>49.1</v>
      </c>
      <c r="E1487" s="107">
        <v>50.4</v>
      </c>
      <c r="F1487" s="107">
        <v>49.4</v>
      </c>
      <c r="G1487">
        <v>407333</v>
      </c>
      <c r="H1487" s="107"/>
      <c r="I1487" s="107"/>
      <c r="L1487" s="130">
        <v>44194</v>
      </c>
      <c r="M1487" s="107">
        <v>49.4</v>
      </c>
      <c r="N1487" s="107">
        <v>50.85</v>
      </c>
      <c r="O1487" s="107">
        <v>49.05</v>
      </c>
      <c r="P1487" s="107">
        <v>50</v>
      </c>
      <c r="Q1487" s="107">
        <v>49.4</v>
      </c>
      <c r="R1487">
        <v>3514879</v>
      </c>
    </row>
    <row r="1488" spans="1:18" x14ac:dyDescent="0.25">
      <c r="A1488" s="130">
        <v>44195</v>
      </c>
      <c r="B1488" s="107">
        <v>49.85</v>
      </c>
      <c r="C1488" s="107">
        <v>49.15</v>
      </c>
      <c r="D1488" s="107">
        <v>48.85</v>
      </c>
      <c r="E1488" s="107">
        <v>49.5</v>
      </c>
      <c r="F1488" s="107">
        <v>49.15</v>
      </c>
      <c r="G1488">
        <v>907846</v>
      </c>
      <c r="H1488" s="107"/>
      <c r="I1488" s="107"/>
      <c r="L1488" s="130">
        <v>44195</v>
      </c>
      <c r="M1488" s="107">
        <v>49.2</v>
      </c>
      <c r="N1488" s="107">
        <v>49.9</v>
      </c>
      <c r="O1488" s="107">
        <v>48.8</v>
      </c>
      <c r="P1488" s="107">
        <v>49.8</v>
      </c>
      <c r="Q1488" s="107">
        <v>49.2</v>
      </c>
      <c r="R1488">
        <v>3155428</v>
      </c>
    </row>
    <row r="1489" spans="1:18" x14ac:dyDescent="0.25">
      <c r="A1489" s="130">
        <v>44196</v>
      </c>
      <c r="B1489" s="107">
        <v>49.55</v>
      </c>
      <c r="C1489" s="107">
        <v>48.65</v>
      </c>
      <c r="D1489" s="107">
        <v>48.4</v>
      </c>
      <c r="E1489" s="107">
        <v>49.15</v>
      </c>
      <c r="F1489" s="107">
        <v>48.65</v>
      </c>
      <c r="G1489">
        <v>528324</v>
      </c>
      <c r="H1489" s="107"/>
      <c r="I1489" s="107"/>
      <c r="L1489" s="130">
        <v>44196</v>
      </c>
      <c r="M1489" s="107">
        <v>48.7</v>
      </c>
      <c r="N1489" s="107">
        <v>49.6</v>
      </c>
      <c r="O1489" s="107">
        <v>48.5</v>
      </c>
      <c r="P1489" s="107">
        <v>48.6</v>
      </c>
      <c r="Q1489" s="107">
        <v>48.7</v>
      </c>
      <c r="R1489">
        <v>2335432</v>
      </c>
    </row>
    <row r="1490" spans="1:18" x14ac:dyDescent="0.25">
      <c r="A1490" s="130">
        <v>44197</v>
      </c>
      <c r="B1490" s="107">
        <v>50.35</v>
      </c>
      <c r="C1490" s="107">
        <v>50.15</v>
      </c>
      <c r="D1490" s="107">
        <v>49</v>
      </c>
      <c r="E1490" s="107">
        <v>49</v>
      </c>
      <c r="F1490" s="107">
        <v>50.15</v>
      </c>
      <c r="G1490">
        <v>444160</v>
      </c>
      <c r="H1490" s="107"/>
      <c r="I1490" s="107"/>
      <c r="L1490" s="130">
        <v>44197</v>
      </c>
      <c r="M1490" s="107">
        <v>50.15</v>
      </c>
      <c r="N1490" s="107">
        <v>50.4</v>
      </c>
      <c r="O1490" s="107">
        <v>48.8</v>
      </c>
      <c r="P1490" s="107">
        <v>49</v>
      </c>
      <c r="Q1490" s="107">
        <v>50.15</v>
      </c>
      <c r="R1490">
        <v>3975811</v>
      </c>
    </row>
    <row r="1491" spans="1:18" x14ac:dyDescent="0.25">
      <c r="A1491" s="130">
        <v>44200</v>
      </c>
      <c r="B1491" s="107">
        <v>50.95</v>
      </c>
      <c r="C1491" s="107">
        <v>50.35</v>
      </c>
      <c r="D1491" s="107">
        <v>50.1</v>
      </c>
      <c r="E1491" s="107">
        <v>50.3</v>
      </c>
      <c r="F1491" s="107">
        <v>50.35</v>
      </c>
      <c r="G1491">
        <v>347232</v>
      </c>
      <c r="H1491" s="107"/>
      <c r="I1491" s="107"/>
      <c r="L1491" s="130">
        <v>44200</v>
      </c>
      <c r="M1491" s="107">
        <v>50.35</v>
      </c>
      <c r="N1491" s="107">
        <v>50.95</v>
      </c>
      <c r="O1491" s="107">
        <v>50</v>
      </c>
      <c r="P1491" s="107">
        <v>50.65</v>
      </c>
      <c r="Q1491" s="107">
        <v>50.35</v>
      </c>
      <c r="R1491">
        <v>3442715</v>
      </c>
    </row>
    <row r="1492" spans="1:18" x14ac:dyDescent="0.25">
      <c r="A1492" s="130">
        <v>44201</v>
      </c>
      <c r="B1492" s="107">
        <v>50.65</v>
      </c>
      <c r="C1492" s="107">
        <v>50.55</v>
      </c>
      <c r="D1492" s="107">
        <v>49.55</v>
      </c>
      <c r="E1492" s="107">
        <v>50.2</v>
      </c>
      <c r="F1492" s="107">
        <v>50.55</v>
      </c>
      <c r="G1492">
        <v>435372</v>
      </c>
      <c r="H1492" s="107"/>
      <c r="I1492" s="107"/>
      <c r="L1492" s="130">
        <v>44201</v>
      </c>
      <c r="M1492" s="107">
        <v>50.55</v>
      </c>
      <c r="N1492" s="107">
        <v>50.75</v>
      </c>
      <c r="O1492" s="107">
        <v>49.5</v>
      </c>
      <c r="P1492" s="107">
        <v>50</v>
      </c>
      <c r="Q1492" s="107">
        <v>50.55</v>
      </c>
      <c r="R1492">
        <v>3742764</v>
      </c>
    </row>
    <row r="1493" spans="1:18" x14ac:dyDescent="0.25">
      <c r="A1493" s="130">
        <v>44202</v>
      </c>
      <c r="B1493" s="107">
        <v>52.45</v>
      </c>
      <c r="C1493" s="107">
        <v>51.3</v>
      </c>
      <c r="D1493" s="107">
        <v>50.65</v>
      </c>
      <c r="E1493" s="107">
        <v>51</v>
      </c>
      <c r="F1493" s="107">
        <v>51.3</v>
      </c>
      <c r="G1493">
        <v>957094</v>
      </c>
      <c r="H1493" s="107"/>
      <c r="I1493" s="107"/>
      <c r="L1493" s="130">
        <v>44202</v>
      </c>
      <c r="M1493" s="107">
        <v>51.2</v>
      </c>
      <c r="N1493" s="107">
        <v>52.45</v>
      </c>
      <c r="O1493" s="107">
        <v>50.6</v>
      </c>
      <c r="P1493" s="107">
        <v>51</v>
      </c>
      <c r="Q1493" s="107">
        <v>51.2</v>
      </c>
      <c r="R1493">
        <v>7617139</v>
      </c>
    </row>
    <row r="1494" spans="1:18" x14ac:dyDescent="0.25">
      <c r="A1494" s="130">
        <v>44203</v>
      </c>
      <c r="B1494" s="107">
        <v>52</v>
      </c>
      <c r="C1494" s="107">
        <v>51.15</v>
      </c>
      <c r="D1494" s="107">
        <v>51</v>
      </c>
      <c r="E1494" s="107">
        <v>51.8</v>
      </c>
      <c r="F1494" s="107">
        <v>51.15</v>
      </c>
      <c r="G1494">
        <v>307243</v>
      </c>
      <c r="H1494" s="107"/>
      <c r="I1494" s="107"/>
      <c r="L1494" s="130">
        <v>44203</v>
      </c>
      <c r="M1494" s="107">
        <v>51.15</v>
      </c>
      <c r="N1494" s="107">
        <v>52.15</v>
      </c>
      <c r="O1494" s="107">
        <v>51</v>
      </c>
      <c r="P1494" s="107">
        <v>51.95</v>
      </c>
      <c r="Q1494" s="107">
        <v>51.15</v>
      </c>
      <c r="R1494">
        <v>2850900</v>
      </c>
    </row>
    <row r="1495" spans="1:18" x14ac:dyDescent="0.25">
      <c r="A1495" s="130">
        <v>44204</v>
      </c>
      <c r="B1495" s="107">
        <v>51.95</v>
      </c>
      <c r="C1495" s="107">
        <v>50.9</v>
      </c>
      <c r="D1495" s="107">
        <v>50.6</v>
      </c>
      <c r="E1495" s="107">
        <v>51.05</v>
      </c>
      <c r="F1495" s="107">
        <v>50.9</v>
      </c>
      <c r="G1495">
        <v>269801</v>
      </c>
      <c r="H1495" s="107"/>
      <c r="I1495" s="107"/>
      <c r="L1495" s="130">
        <v>44204</v>
      </c>
      <c r="M1495" s="107">
        <v>50.9</v>
      </c>
      <c r="N1495" s="107">
        <v>51.95</v>
      </c>
      <c r="O1495" s="107">
        <v>50.6</v>
      </c>
      <c r="P1495" s="107">
        <v>51.5</v>
      </c>
      <c r="Q1495" s="107">
        <v>50.9</v>
      </c>
      <c r="R1495">
        <v>2473192</v>
      </c>
    </row>
    <row r="1496" spans="1:18" x14ac:dyDescent="0.25">
      <c r="A1496" s="130">
        <v>44207</v>
      </c>
      <c r="B1496" s="107">
        <v>51.3</v>
      </c>
      <c r="C1496" s="107">
        <v>49.9</v>
      </c>
      <c r="D1496" s="107">
        <v>49.4</v>
      </c>
      <c r="E1496" s="107">
        <v>51</v>
      </c>
      <c r="F1496" s="107">
        <v>49.9</v>
      </c>
      <c r="G1496">
        <v>401424</v>
      </c>
      <c r="H1496" s="107"/>
      <c r="I1496" s="107"/>
      <c r="L1496" s="130">
        <v>44207</v>
      </c>
      <c r="M1496" s="107">
        <v>49.85</v>
      </c>
      <c r="N1496" s="107">
        <v>51.45</v>
      </c>
      <c r="O1496" s="107">
        <v>49.25</v>
      </c>
      <c r="P1496" s="107">
        <v>51.35</v>
      </c>
      <c r="Q1496" s="107">
        <v>49.85</v>
      </c>
      <c r="R1496">
        <v>1668085</v>
      </c>
    </row>
    <row r="1497" spans="1:18" x14ac:dyDescent="0.25">
      <c r="A1497" s="130">
        <v>44208</v>
      </c>
      <c r="B1497" s="107">
        <v>54.7</v>
      </c>
      <c r="C1497" s="107">
        <v>53.85</v>
      </c>
      <c r="D1497" s="107">
        <v>48.65</v>
      </c>
      <c r="E1497" s="107">
        <v>49.7</v>
      </c>
      <c r="F1497" s="107">
        <v>53.85</v>
      </c>
      <c r="G1497">
        <v>1839035</v>
      </c>
      <c r="H1497" s="107"/>
      <c r="I1497" s="107"/>
      <c r="L1497" s="130">
        <v>44208</v>
      </c>
      <c r="M1497" s="107">
        <v>53.9</v>
      </c>
      <c r="N1497" s="107">
        <v>54.7</v>
      </c>
      <c r="O1497" s="107">
        <v>48.55</v>
      </c>
      <c r="P1497" s="107">
        <v>49.8</v>
      </c>
      <c r="Q1497" s="107">
        <v>53.9</v>
      </c>
      <c r="R1497">
        <v>14786188</v>
      </c>
    </row>
    <row r="1498" spans="1:18" x14ac:dyDescent="0.25">
      <c r="A1498" s="130">
        <v>44209</v>
      </c>
      <c r="B1498" s="107">
        <v>56.75</v>
      </c>
      <c r="C1498" s="107">
        <v>54.2</v>
      </c>
      <c r="D1498" s="107">
        <v>52.5</v>
      </c>
      <c r="E1498" s="107">
        <v>53.85</v>
      </c>
      <c r="F1498" s="107">
        <v>54.2</v>
      </c>
      <c r="G1498">
        <v>2057232</v>
      </c>
      <c r="H1498" s="107"/>
      <c r="I1498" s="107"/>
      <c r="L1498" s="130">
        <v>44209</v>
      </c>
      <c r="M1498" s="107">
        <v>54.3</v>
      </c>
      <c r="N1498" s="107">
        <v>56.75</v>
      </c>
      <c r="O1498" s="107">
        <v>52.55</v>
      </c>
      <c r="P1498" s="107">
        <v>54</v>
      </c>
      <c r="Q1498" s="107">
        <v>54.3</v>
      </c>
      <c r="R1498">
        <v>22583101</v>
      </c>
    </row>
    <row r="1499" spans="1:18" x14ac:dyDescent="0.25">
      <c r="A1499" s="130">
        <v>44210</v>
      </c>
      <c r="B1499" s="107">
        <v>55.45</v>
      </c>
      <c r="C1499" s="107">
        <v>54.85</v>
      </c>
      <c r="D1499" s="107">
        <v>53.8</v>
      </c>
      <c r="E1499" s="107">
        <v>54.7</v>
      </c>
      <c r="F1499" s="107">
        <v>54.85</v>
      </c>
      <c r="G1499">
        <v>767524</v>
      </c>
      <c r="H1499" s="107"/>
      <c r="I1499" s="107"/>
      <c r="L1499" s="130">
        <v>44210</v>
      </c>
      <c r="M1499" s="107">
        <v>54.85</v>
      </c>
      <c r="N1499" s="107">
        <v>55.5</v>
      </c>
      <c r="O1499" s="107">
        <v>53.75</v>
      </c>
      <c r="P1499" s="107">
        <v>54.3</v>
      </c>
      <c r="Q1499" s="107">
        <v>54.85</v>
      </c>
      <c r="R1499">
        <v>9496409</v>
      </c>
    </row>
    <row r="1500" spans="1:18" x14ac:dyDescent="0.25">
      <c r="A1500" s="130">
        <v>44211</v>
      </c>
      <c r="B1500" s="107">
        <v>55.25</v>
      </c>
      <c r="C1500" s="107">
        <v>53.5</v>
      </c>
      <c r="D1500" s="107">
        <v>53</v>
      </c>
      <c r="E1500" s="107">
        <v>54.8</v>
      </c>
      <c r="F1500" s="107">
        <v>53.5</v>
      </c>
      <c r="G1500">
        <v>1276635</v>
      </c>
      <c r="H1500" s="107"/>
      <c r="I1500" s="107"/>
      <c r="L1500" s="130">
        <v>44211</v>
      </c>
      <c r="M1500" s="107">
        <v>53.55</v>
      </c>
      <c r="N1500" s="107">
        <v>55.25</v>
      </c>
      <c r="O1500" s="107">
        <v>53</v>
      </c>
      <c r="P1500" s="107">
        <v>54.8</v>
      </c>
      <c r="Q1500" s="107">
        <v>53.55</v>
      </c>
      <c r="R1500">
        <v>7511542</v>
      </c>
    </row>
    <row r="1501" spans="1:18" x14ac:dyDescent="0.25">
      <c r="A1501" s="130">
        <v>44214</v>
      </c>
      <c r="B1501" s="107">
        <v>54.8</v>
      </c>
      <c r="C1501" s="107">
        <v>52.4</v>
      </c>
      <c r="D1501" s="107">
        <v>51.6</v>
      </c>
      <c r="E1501" s="107">
        <v>54</v>
      </c>
      <c r="F1501" s="107">
        <v>52.4</v>
      </c>
      <c r="G1501">
        <v>714251</v>
      </c>
      <c r="H1501" s="107"/>
      <c r="I1501" s="107"/>
      <c r="L1501" s="130">
        <v>44214</v>
      </c>
      <c r="M1501" s="107">
        <v>52.4</v>
      </c>
      <c r="N1501" s="107">
        <v>54.8</v>
      </c>
      <c r="O1501" s="107">
        <v>51.5</v>
      </c>
      <c r="P1501" s="107">
        <v>53.95</v>
      </c>
      <c r="Q1501" s="107">
        <v>52.4</v>
      </c>
      <c r="R1501">
        <v>6013471</v>
      </c>
    </row>
    <row r="1502" spans="1:18" x14ac:dyDescent="0.25">
      <c r="A1502" s="130">
        <v>44215</v>
      </c>
      <c r="B1502" s="107">
        <v>54.1</v>
      </c>
      <c r="C1502" s="107">
        <v>53.25</v>
      </c>
      <c r="D1502" s="107">
        <v>52.5</v>
      </c>
      <c r="E1502" s="107">
        <v>53</v>
      </c>
      <c r="F1502" s="107">
        <v>53.25</v>
      </c>
      <c r="G1502">
        <v>560799</v>
      </c>
      <c r="H1502" s="107"/>
      <c r="I1502" s="107"/>
      <c r="L1502" s="130">
        <v>44215</v>
      </c>
      <c r="M1502" s="107">
        <v>53.25</v>
      </c>
      <c r="N1502" s="107">
        <v>54.15</v>
      </c>
      <c r="O1502" s="107">
        <v>52.35</v>
      </c>
      <c r="P1502" s="107">
        <v>52.4</v>
      </c>
      <c r="Q1502" s="107">
        <v>53.25</v>
      </c>
      <c r="R1502">
        <v>4132622</v>
      </c>
    </row>
    <row r="1503" spans="1:18" x14ac:dyDescent="0.25">
      <c r="A1503" s="130">
        <v>44216</v>
      </c>
      <c r="B1503" s="107">
        <v>54.85</v>
      </c>
      <c r="C1503" s="107">
        <v>53.95</v>
      </c>
      <c r="D1503" s="107">
        <v>53.05</v>
      </c>
      <c r="E1503" s="107">
        <v>53.25</v>
      </c>
      <c r="F1503" s="107">
        <v>53.95</v>
      </c>
      <c r="G1503">
        <v>778859</v>
      </c>
      <c r="H1503" s="107"/>
      <c r="I1503" s="107"/>
      <c r="L1503" s="130">
        <v>44216</v>
      </c>
      <c r="M1503" s="107">
        <v>53.85</v>
      </c>
      <c r="N1503" s="107">
        <v>54.9</v>
      </c>
      <c r="O1503" s="107">
        <v>53</v>
      </c>
      <c r="P1503" s="107">
        <v>53.65</v>
      </c>
      <c r="Q1503" s="107">
        <v>53.85</v>
      </c>
      <c r="R1503">
        <v>6396782</v>
      </c>
    </row>
    <row r="1504" spans="1:18" x14ac:dyDescent="0.25">
      <c r="A1504" s="130">
        <v>44217</v>
      </c>
      <c r="B1504" s="107">
        <v>54.55</v>
      </c>
      <c r="C1504" s="107">
        <v>52.85</v>
      </c>
      <c r="D1504" s="107">
        <v>52.4</v>
      </c>
      <c r="E1504" s="107">
        <v>54.2</v>
      </c>
      <c r="F1504" s="107">
        <v>52.85</v>
      </c>
      <c r="G1504">
        <v>1084362</v>
      </c>
      <c r="H1504" s="107"/>
      <c r="I1504" s="107"/>
      <c r="L1504" s="130">
        <v>44217</v>
      </c>
      <c r="M1504" s="107">
        <v>52.85</v>
      </c>
      <c r="N1504" s="107">
        <v>54.65</v>
      </c>
      <c r="O1504" s="107">
        <v>52.45</v>
      </c>
      <c r="P1504" s="107">
        <v>54.6</v>
      </c>
      <c r="Q1504" s="107">
        <v>52.85</v>
      </c>
      <c r="R1504">
        <v>5208979</v>
      </c>
    </row>
    <row r="1505" spans="1:18" x14ac:dyDescent="0.25">
      <c r="A1505" s="130">
        <v>44218</v>
      </c>
      <c r="B1505" s="107">
        <v>53.2</v>
      </c>
      <c r="C1505" s="107">
        <v>51</v>
      </c>
      <c r="D1505" s="107">
        <v>50.65</v>
      </c>
      <c r="E1505" s="107">
        <v>52.6</v>
      </c>
      <c r="F1505" s="107">
        <v>51</v>
      </c>
      <c r="G1505">
        <v>609503</v>
      </c>
      <c r="H1505" s="107"/>
      <c r="I1505" s="107"/>
      <c r="L1505" s="130">
        <v>44218</v>
      </c>
      <c r="M1505" s="107">
        <v>51</v>
      </c>
      <c r="N1505" s="107">
        <v>53.2</v>
      </c>
      <c r="O1505" s="107">
        <v>50.7</v>
      </c>
      <c r="P1505" s="107">
        <v>53</v>
      </c>
      <c r="Q1505" s="107">
        <v>51</v>
      </c>
      <c r="R1505">
        <v>3205981</v>
      </c>
    </row>
    <row r="1506" spans="1:18" x14ac:dyDescent="0.25">
      <c r="A1506" s="130">
        <v>44221</v>
      </c>
      <c r="B1506" s="107">
        <v>51.75</v>
      </c>
      <c r="C1506" s="107">
        <v>50.5</v>
      </c>
      <c r="D1506" s="107">
        <v>49.65</v>
      </c>
      <c r="E1506" s="107">
        <v>51.5</v>
      </c>
      <c r="F1506" s="107">
        <v>50.5</v>
      </c>
      <c r="G1506">
        <v>382489</v>
      </c>
      <c r="H1506" s="107"/>
      <c r="I1506" s="107"/>
      <c r="L1506" s="130">
        <v>44221</v>
      </c>
      <c r="M1506" s="107">
        <v>50.4</v>
      </c>
      <c r="N1506" s="107">
        <v>51.75</v>
      </c>
      <c r="O1506" s="107">
        <v>49.55</v>
      </c>
      <c r="P1506" s="107">
        <v>51.5</v>
      </c>
      <c r="Q1506" s="107">
        <v>50.4</v>
      </c>
      <c r="R1506">
        <v>3353735</v>
      </c>
    </row>
    <row r="1507" spans="1:18" x14ac:dyDescent="0.25">
      <c r="A1507" s="130">
        <v>44223</v>
      </c>
      <c r="B1507" s="107">
        <v>50.65</v>
      </c>
      <c r="C1507" s="107">
        <v>49</v>
      </c>
      <c r="D1507" s="107">
        <v>48.7</v>
      </c>
      <c r="E1507" s="107">
        <v>49.7</v>
      </c>
      <c r="F1507" s="107">
        <v>49</v>
      </c>
      <c r="G1507">
        <v>424932</v>
      </c>
      <c r="H1507" s="107"/>
      <c r="I1507" s="107"/>
      <c r="L1507" s="130">
        <v>44223</v>
      </c>
      <c r="M1507" s="107">
        <v>49.05</v>
      </c>
      <c r="N1507" s="107">
        <v>50.7</v>
      </c>
      <c r="O1507" s="107">
        <v>48.65</v>
      </c>
      <c r="P1507" s="107">
        <v>50</v>
      </c>
      <c r="Q1507" s="107">
        <v>49.05</v>
      </c>
      <c r="R1507">
        <v>3430898</v>
      </c>
    </row>
    <row r="1508" spans="1:18" x14ac:dyDescent="0.25">
      <c r="A1508" s="130">
        <v>44224</v>
      </c>
      <c r="B1508" s="107">
        <v>49.25</v>
      </c>
      <c r="C1508" s="107">
        <v>48.55</v>
      </c>
      <c r="D1508" s="107">
        <v>47.95</v>
      </c>
      <c r="E1508" s="107">
        <v>48.8</v>
      </c>
      <c r="F1508" s="107">
        <v>48.55</v>
      </c>
      <c r="G1508">
        <v>262592</v>
      </c>
      <c r="H1508" s="107"/>
      <c r="I1508" s="107"/>
      <c r="L1508" s="130">
        <v>44224</v>
      </c>
      <c r="M1508" s="107">
        <v>48.55</v>
      </c>
      <c r="N1508" s="107">
        <v>49.25</v>
      </c>
      <c r="O1508" s="107">
        <v>47.9</v>
      </c>
      <c r="P1508" s="107">
        <v>48.1</v>
      </c>
      <c r="Q1508" s="107">
        <v>48.55</v>
      </c>
      <c r="R1508">
        <v>3092605</v>
      </c>
    </row>
    <row r="1509" spans="1:18" x14ac:dyDescent="0.25">
      <c r="A1509" s="130">
        <v>44225</v>
      </c>
      <c r="B1509" s="107">
        <v>51.05</v>
      </c>
      <c r="C1509" s="107">
        <v>49.7</v>
      </c>
      <c r="D1509" s="107">
        <v>48.8</v>
      </c>
      <c r="E1509" s="107">
        <v>49.6</v>
      </c>
      <c r="F1509" s="107">
        <v>49.7</v>
      </c>
      <c r="G1509">
        <v>225393</v>
      </c>
      <c r="H1509" s="107"/>
      <c r="I1509" s="107"/>
      <c r="L1509" s="130">
        <v>44225</v>
      </c>
      <c r="M1509" s="107">
        <v>49.8</v>
      </c>
      <c r="N1509" s="107">
        <v>51.05</v>
      </c>
      <c r="O1509" s="107">
        <v>48.8</v>
      </c>
      <c r="P1509" s="107">
        <v>49</v>
      </c>
      <c r="Q1509" s="107">
        <v>49.8</v>
      </c>
      <c r="R1509">
        <v>4690747</v>
      </c>
    </row>
    <row r="1510" spans="1:18" x14ac:dyDescent="0.25">
      <c r="A1510" s="130">
        <v>44228</v>
      </c>
      <c r="B1510" s="107">
        <v>55.3</v>
      </c>
      <c r="C1510" s="107">
        <v>53.4</v>
      </c>
      <c r="D1510" s="107">
        <v>49.7</v>
      </c>
      <c r="E1510" s="107">
        <v>50.85</v>
      </c>
      <c r="F1510" s="107">
        <v>53.4</v>
      </c>
      <c r="G1510">
        <v>1655032</v>
      </c>
      <c r="H1510" s="107"/>
      <c r="I1510" s="107"/>
      <c r="L1510" s="130">
        <v>44228</v>
      </c>
      <c r="M1510" s="107">
        <v>53.45</v>
      </c>
      <c r="N1510" s="107">
        <v>55.4</v>
      </c>
      <c r="O1510" s="107">
        <v>49.6</v>
      </c>
      <c r="P1510" s="107">
        <v>49.85</v>
      </c>
      <c r="Q1510" s="107">
        <v>53.45</v>
      </c>
      <c r="R1510">
        <v>10537553</v>
      </c>
    </row>
    <row r="1511" spans="1:18" x14ac:dyDescent="0.25">
      <c r="A1511" s="130">
        <v>44229</v>
      </c>
      <c r="B1511" s="107">
        <v>55.15</v>
      </c>
      <c r="C1511" s="107">
        <v>53.4</v>
      </c>
      <c r="D1511" s="107">
        <v>51.65</v>
      </c>
      <c r="E1511" s="107">
        <v>54.1</v>
      </c>
      <c r="F1511" s="107">
        <v>53.4</v>
      </c>
      <c r="G1511">
        <v>823693</v>
      </c>
      <c r="H1511" s="107"/>
      <c r="I1511" s="107"/>
      <c r="L1511" s="130">
        <v>44229</v>
      </c>
      <c r="M1511" s="107">
        <v>53.4</v>
      </c>
      <c r="N1511" s="107">
        <v>55.15</v>
      </c>
      <c r="O1511" s="107">
        <v>51.6</v>
      </c>
      <c r="P1511" s="107">
        <v>54</v>
      </c>
      <c r="Q1511" s="107">
        <v>53.4</v>
      </c>
      <c r="R1511">
        <v>11979786</v>
      </c>
    </row>
    <row r="1512" spans="1:18" x14ac:dyDescent="0.25">
      <c r="A1512" s="130">
        <v>44230</v>
      </c>
      <c r="B1512" s="107">
        <v>54.85</v>
      </c>
      <c r="C1512" s="107">
        <v>54.05</v>
      </c>
      <c r="D1512" s="107">
        <v>52.45</v>
      </c>
      <c r="E1512" s="107">
        <v>53.4</v>
      </c>
      <c r="F1512" s="107">
        <v>54.05</v>
      </c>
      <c r="G1512">
        <v>835736</v>
      </c>
      <c r="H1512" s="107"/>
      <c r="I1512" s="107"/>
      <c r="L1512" s="130">
        <v>44230</v>
      </c>
      <c r="M1512" s="107">
        <v>54</v>
      </c>
      <c r="N1512" s="107">
        <v>54.9</v>
      </c>
      <c r="O1512" s="107">
        <v>52.5</v>
      </c>
      <c r="P1512" s="107">
        <v>53.9</v>
      </c>
      <c r="Q1512" s="107">
        <v>54</v>
      </c>
      <c r="R1512">
        <v>8584468</v>
      </c>
    </row>
    <row r="1513" spans="1:18" x14ac:dyDescent="0.25">
      <c r="A1513" s="130">
        <v>44231</v>
      </c>
      <c r="B1513" s="107">
        <v>57.95</v>
      </c>
      <c r="C1513" s="107">
        <v>57.4</v>
      </c>
      <c r="D1513" s="107">
        <v>53.15</v>
      </c>
      <c r="E1513" s="107">
        <v>53.9</v>
      </c>
      <c r="F1513" s="107">
        <v>57.4</v>
      </c>
      <c r="G1513">
        <v>1955725</v>
      </c>
      <c r="H1513" s="107"/>
      <c r="I1513" s="107"/>
      <c r="L1513" s="130">
        <v>44231</v>
      </c>
      <c r="M1513" s="107">
        <v>57.4</v>
      </c>
      <c r="N1513" s="107">
        <v>57.95</v>
      </c>
      <c r="O1513" s="107">
        <v>53.15</v>
      </c>
      <c r="P1513" s="107">
        <v>53.9</v>
      </c>
      <c r="Q1513" s="107">
        <v>57.4</v>
      </c>
      <c r="R1513">
        <v>24069542</v>
      </c>
    </row>
    <row r="1514" spans="1:18" x14ac:dyDescent="0.25">
      <c r="A1514" s="130">
        <v>44232</v>
      </c>
      <c r="B1514" s="107">
        <v>63.45</v>
      </c>
      <c r="C1514" s="107">
        <v>59.55</v>
      </c>
      <c r="D1514" s="107">
        <v>58.7</v>
      </c>
      <c r="E1514" s="107">
        <v>59.7</v>
      </c>
      <c r="F1514" s="107">
        <v>59.55</v>
      </c>
      <c r="G1514">
        <v>2182964</v>
      </c>
      <c r="H1514" s="107"/>
      <c r="I1514" s="107"/>
      <c r="L1514" s="130">
        <v>44232</v>
      </c>
      <c r="M1514" s="107">
        <v>59.55</v>
      </c>
      <c r="N1514" s="107">
        <v>63.45</v>
      </c>
      <c r="O1514" s="107">
        <v>58.5</v>
      </c>
      <c r="P1514" s="107">
        <v>58.5</v>
      </c>
      <c r="Q1514" s="107">
        <v>59.55</v>
      </c>
      <c r="R1514">
        <v>31909754</v>
      </c>
    </row>
    <row r="1515" spans="1:18" x14ac:dyDescent="0.25">
      <c r="A1515" s="130">
        <v>44235</v>
      </c>
      <c r="B1515" s="107">
        <v>62.1</v>
      </c>
      <c r="C1515" s="107">
        <v>59.05</v>
      </c>
      <c r="D1515" s="107">
        <v>58.15</v>
      </c>
      <c r="E1515" s="107">
        <v>60.4</v>
      </c>
      <c r="F1515" s="107">
        <v>59.05</v>
      </c>
      <c r="G1515">
        <v>792847</v>
      </c>
      <c r="H1515" s="107"/>
      <c r="I1515" s="107"/>
      <c r="L1515" s="130">
        <v>44235</v>
      </c>
      <c r="M1515" s="107">
        <v>59.05</v>
      </c>
      <c r="N1515" s="107">
        <v>62.45</v>
      </c>
      <c r="O1515" s="107">
        <v>58.15</v>
      </c>
      <c r="P1515" s="107">
        <v>60.35</v>
      </c>
      <c r="Q1515" s="107">
        <v>59.05</v>
      </c>
      <c r="R1515">
        <v>8201504</v>
      </c>
    </row>
    <row r="1516" spans="1:18" x14ac:dyDescent="0.25">
      <c r="A1516" s="130">
        <v>44236</v>
      </c>
      <c r="B1516" s="107">
        <v>62</v>
      </c>
      <c r="C1516" s="107">
        <v>59.2</v>
      </c>
      <c r="D1516" s="107">
        <v>57.35</v>
      </c>
      <c r="E1516" s="107">
        <v>59.65</v>
      </c>
      <c r="F1516" s="107">
        <v>59.2</v>
      </c>
      <c r="G1516">
        <v>820181</v>
      </c>
      <c r="H1516" s="107"/>
      <c r="I1516" s="107"/>
      <c r="L1516" s="130">
        <v>44236</v>
      </c>
      <c r="M1516" s="107">
        <v>59.25</v>
      </c>
      <c r="N1516" s="107">
        <v>62</v>
      </c>
      <c r="O1516" s="107">
        <v>57.35</v>
      </c>
      <c r="P1516" s="107">
        <v>59.15</v>
      </c>
      <c r="Q1516" s="107">
        <v>59.25</v>
      </c>
      <c r="R1516">
        <v>11395962</v>
      </c>
    </row>
    <row r="1517" spans="1:18" x14ac:dyDescent="0.25">
      <c r="A1517" s="130">
        <v>44237</v>
      </c>
      <c r="B1517" s="107">
        <v>61.8</v>
      </c>
      <c r="C1517" s="107">
        <v>60.8</v>
      </c>
      <c r="D1517" s="107">
        <v>58.75</v>
      </c>
      <c r="E1517" s="107">
        <v>59.25</v>
      </c>
      <c r="F1517" s="107">
        <v>60.8</v>
      </c>
      <c r="G1517">
        <v>1216350</v>
      </c>
      <c r="H1517" s="107"/>
      <c r="I1517" s="107"/>
      <c r="L1517" s="130">
        <v>44237</v>
      </c>
      <c r="M1517" s="107">
        <v>60.8</v>
      </c>
      <c r="N1517" s="107">
        <v>61.85</v>
      </c>
      <c r="O1517" s="107">
        <v>58.6</v>
      </c>
      <c r="P1517" s="107">
        <v>59.8</v>
      </c>
      <c r="Q1517" s="107">
        <v>60.8</v>
      </c>
      <c r="R1517">
        <v>13888342</v>
      </c>
    </row>
    <row r="1518" spans="1:18" x14ac:dyDescent="0.25">
      <c r="A1518" s="130">
        <v>44238</v>
      </c>
      <c r="B1518" s="107">
        <v>62.1</v>
      </c>
      <c r="C1518" s="107">
        <v>59.85</v>
      </c>
      <c r="D1518" s="107">
        <v>59.2</v>
      </c>
      <c r="E1518" s="107">
        <v>61.5</v>
      </c>
      <c r="F1518" s="107">
        <v>59.85</v>
      </c>
      <c r="G1518">
        <v>496667</v>
      </c>
      <c r="H1518" s="107"/>
      <c r="I1518" s="107"/>
      <c r="L1518" s="130">
        <v>44238</v>
      </c>
      <c r="M1518" s="107">
        <v>59.8</v>
      </c>
      <c r="N1518" s="107">
        <v>62.05</v>
      </c>
      <c r="O1518" s="107">
        <v>59.15</v>
      </c>
      <c r="P1518" s="107">
        <v>61</v>
      </c>
      <c r="Q1518" s="107">
        <v>59.8</v>
      </c>
      <c r="R1518">
        <v>5963601</v>
      </c>
    </row>
    <row r="1519" spans="1:18" x14ac:dyDescent="0.25">
      <c r="A1519" s="130">
        <v>44239</v>
      </c>
      <c r="B1519" s="107">
        <v>60.55</v>
      </c>
      <c r="C1519" s="107">
        <v>58.8</v>
      </c>
      <c r="D1519" s="107">
        <v>58.5</v>
      </c>
      <c r="E1519" s="107">
        <v>59</v>
      </c>
      <c r="F1519" s="107">
        <v>58.8</v>
      </c>
      <c r="G1519">
        <v>577712</v>
      </c>
      <c r="H1519" s="107"/>
      <c r="I1519" s="107"/>
      <c r="L1519" s="130">
        <v>44239</v>
      </c>
      <c r="M1519" s="107">
        <v>58.85</v>
      </c>
      <c r="N1519" s="107">
        <v>60.55</v>
      </c>
      <c r="O1519" s="107">
        <v>58.6</v>
      </c>
      <c r="P1519" s="107">
        <v>59.25</v>
      </c>
      <c r="Q1519" s="107">
        <v>58.85</v>
      </c>
      <c r="R1519">
        <v>4074956</v>
      </c>
    </row>
    <row r="1520" spans="1:18" x14ac:dyDescent="0.25">
      <c r="A1520" s="130">
        <v>44242</v>
      </c>
      <c r="B1520" s="107">
        <v>60.15</v>
      </c>
      <c r="C1520" s="107">
        <v>58.8</v>
      </c>
      <c r="D1520" s="107">
        <v>58.55</v>
      </c>
      <c r="E1520" s="107">
        <v>59.6</v>
      </c>
      <c r="F1520" s="107">
        <v>58.8</v>
      </c>
      <c r="G1520">
        <v>277104</v>
      </c>
      <c r="H1520" s="107"/>
      <c r="I1520" s="107"/>
      <c r="L1520" s="130">
        <v>44242</v>
      </c>
      <c r="M1520" s="107">
        <v>58.85</v>
      </c>
      <c r="N1520" s="107">
        <v>60.15</v>
      </c>
      <c r="O1520" s="107">
        <v>58.55</v>
      </c>
      <c r="P1520" s="107">
        <v>59.2</v>
      </c>
      <c r="Q1520" s="107">
        <v>58.85</v>
      </c>
      <c r="R1520">
        <v>3945828</v>
      </c>
    </row>
    <row r="1521" spans="1:18" x14ac:dyDescent="0.25">
      <c r="A1521" s="130">
        <v>44243</v>
      </c>
      <c r="B1521" s="107">
        <v>70.55</v>
      </c>
      <c r="C1521" s="107">
        <v>70.55</v>
      </c>
      <c r="D1521" s="107">
        <v>62.5</v>
      </c>
      <c r="E1521" s="107">
        <v>63.7</v>
      </c>
      <c r="F1521" s="107">
        <v>70.55</v>
      </c>
      <c r="G1521">
        <v>4411361</v>
      </c>
      <c r="H1521" s="107"/>
      <c r="I1521" s="107"/>
      <c r="L1521" s="130">
        <v>44243</v>
      </c>
      <c r="M1521" s="107">
        <v>70.599999999999994</v>
      </c>
      <c r="N1521" s="107">
        <v>70.599999999999994</v>
      </c>
      <c r="O1521" s="107">
        <v>62.3</v>
      </c>
      <c r="P1521" s="107">
        <v>63.5</v>
      </c>
      <c r="Q1521" s="107">
        <v>70.599999999999994</v>
      </c>
      <c r="R1521">
        <v>57354880</v>
      </c>
    </row>
    <row r="1522" spans="1:18" x14ac:dyDescent="0.25">
      <c r="A1522" s="130">
        <v>44244</v>
      </c>
      <c r="B1522" s="107">
        <v>84.65</v>
      </c>
      <c r="C1522" s="107">
        <v>84.65</v>
      </c>
      <c r="D1522" s="107">
        <v>71.05</v>
      </c>
      <c r="E1522" s="107">
        <v>71.5</v>
      </c>
      <c r="F1522" s="107">
        <v>84.65</v>
      </c>
      <c r="G1522">
        <v>8370255</v>
      </c>
      <c r="H1522" s="107"/>
      <c r="I1522" s="107"/>
      <c r="L1522" s="130">
        <v>44244</v>
      </c>
      <c r="M1522" s="107">
        <v>84.7</v>
      </c>
      <c r="N1522" s="107">
        <v>84.7</v>
      </c>
      <c r="O1522" s="107">
        <v>71</v>
      </c>
      <c r="P1522" s="107">
        <v>71.7</v>
      </c>
      <c r="Q1522" s="107">
        <v>84.7</v>
      </c>
      <c r="R1522">
        <v>105678632</v>
      </c>
    </row>
    <row r="1523" spans="1:18" x14ac:dyDescent="0.25">
      <c r="A1523" s="130">
        <v>44245</v>
      </c>
      <c r="B1523" s="107">
        <v>93.1</v>
      </c>
      <c r="C1523" s="107">
        <v>93.1</v>
      </c>
      <c r="D1523" s="107">
        <v>87.85</v>
      </c>
      <c r="E1523" s="107">
        <v>89.7</v>
      </c>
      <c r="F1523" s="107">
        <v>93.1</v>
      </c>
      <c r="G1523">
        <v>4026492</v>
      </c>
      <c r="H1523" s="107"/>
      <c r="I1523" s="107"/>
      <c r="L1523" s="130">
        <v>44245</v>
      </c>
      <c r="M1523" s="107">
        <v>93.15</v>
      </c>
      <c r="N1523" s="107">
        <v>93.15</v>
      </c>
      <c r="O1523" s="107">
        <v>87.5</v>
      </c>
      <c r="P1523" s="107">
        <v>88.85</v>
      </c>
      <c r="Q1523" s="107">
        <v>93.15</v>
      </c>
      <c r="R1523">
        <v>45153208</v>
      </c>
    </row>
    <row r="1524" spans="1:18" x14ac:dyDescent="0.25">
      <c r="A1524" s="130">
        <v>44246</v>
      </c>
      <c r="B1524" s="107">
        <v>101.45</v>
      </c>
      <c r="C1524" s="107">
        <v>84.2</v>
      </c>
      <c r="D1524" s="107">
        <v>83.8</v>
      </c>
      <c r="E1524" s="107">
        <v>97</v>
      </c>
      <c r="F1524" s="107">
        <v>84.2</v>
      </c>
      <c r="G1524">
        <v>4609217</v>
      </c>
      <c r="H1524" s="107"/>
      <c r="I1524" s="107"/>
      <c r="L1524" s="130">
        <v>44246</v>
      </c>
      <c r="M1524" s="107">
        <v>84.3</v>
      </c>
      <c r="N1524" s="107">
        <v>101.4</v>
      </c>
      <c r="O1524" s="107">
        <v>83.85</v>
      </c>
      <c r="P1524" s="107">
        <v>95.9</v>
      </c>
      <c r="Q1524" s="107">
        <v>84.3</v>
      </c>
      <c r="R1524">
        <v>65963704</v>
      </c>
    </row>
    <row r="1525" spans="1:18" x14ac:dyDescent="0.25">
      <c r="A1525" s="130">
        <v>44249</v>
      </c>
      <c r="B1525" s="107">
        <v>88.75</v>
      </c>
      <c r="C1525" s="107">
        <v>87.35</v>
      </c>
      <c r="D1525" s="107">
        <v>77.75</v>
      </c>
      <c r="E1525" s="107">
        <v>83</v>
      </c>
      <c r="F1525" s="107">
        <v>87.35</v>
      </c>
      <c r="G1525">
        <v>2627942</v>
      </c>
      <c r="H1525" s="107"/>
      <c r="I1525" s="107"/>
      <c r="L1525" s="130">
        <v>44249</v>
      </c>
      <c r="M1525" s="107">
        <v>87.2</v>
      </c>
      <c r="N1525" s="107">
        <v>88.75</v>
      </c>
      <c r="O1525" s="107">
        <v>77.599999999999994</v>
      </c>
      <c r="P1525" s="107">
        <v>82.5</v>
      </c>
      <c r="Q1525" s="107">
        <v>87.2</v>
      </c>
      <c r="R1525">
        <v>37712527</v>
      </c>
    </row>
    <row r="1526" spans="1:18" x14ac:dyDescent="0.25">
      <c r="A1526" s="130">
        <v>44250</v>
      </c>
      <c r="B1526" s="107">
        <v>88.25</v>
      </c>
      <c r="C1526" s="107">
        <v>83.55</v>
      </c>
      <c r="D1526" s="107">
        <v>82.75</v>
      </c>
      <c r="E1526" s="107">
        <v>86.1</v>
      </c>
      <c r="F1526" s="107">
        <v>83.55</v>
      </c>
      <c r="G1526">
        <v>1728949</v>
      </c>
      <c r="H1526" s="107"/>
      <c r="I1526" s="107"/>
      <c r="L1526" s="130">
        <v>44250</v>
      </c>
      <c r="M1526" s="107">
        <v>83.55</v>
      </c>
      <c r="N1526" s="107">
        <v>88.3</v>
      </c>
      <c r="O1526" s="107">
        <v>82.65</v>
      </c>
      <c r="P1526" s="107">
        <v>86.7</v>
      </c>
      <c r="Q1526" s="107">
        <v>83.55</v>
      </c>
      <c r="R1526">
        <v>14036172</v>
      </c>
    </row>
    <row r="1527" spans="1:18" x14ac:dyDescent="0.25">
      <c r="A1527" s="130">
        <v>44251</v>
      </c>
      <c r="B1527" s="107">
        <v>90.1</v>
      </c>
      <c r="C1527" s="107">
        <v>86.4</v>
      </c>
      <c r="D1527" s="107">
        <v>75.2</v>
      </c>
      <c r="E1527" s="107">
        <v>84.05</v>
      </c>
      <c r="F1527" s="107">
        <v>86.4</v>
      </c>
      <c r="G1527">
        <v>2926005</v>
      </c>
      <c r="H1527" s="107"/>
      <c r="I1527" s="107"/>
      <c r="L1527" s="130">
        <v>44251</v>
      </c>
      <c r="M1527" s="107">
        <v>87.15</v>
      </c>
      <c r="N1527" s="107">
        <v>90.25</v>
      </c>
      <c r="O1527" s="107">
        <v>84.2</v>
      </c>
      <c r="P1527" s="107">
        <v>84.6</v>
      </c>
      <c r="Q1527" s="107">
        <v>87.15</v>
      </c>
      <c r="R1527">
        <v>15407692</v>
      </c>
    </row>
    <row r="1528" spans="1:18" x14ac:dyDescent="0.25">
      <c r="A1528" s="130">
        <v>44252</v>
      </c>
      <c r="B1528" s="107">
        <v>89.7</v>
      </c>
      <c r="C1528" s="107">
        <v>86.5</v>
      </c>
      <c r="D1528" s="107">
        <v>86.1</v>
      </c>
      <c r="E1528" s="107">
        <v>88.9</v>
      </c>
      <c r="F1528" s="107">
        <v>86.5</v>
      </c>
      <c r="G1528">
        <v>771918</v>
      </c>
      <c r="H1528" s="107"/>
      <c r="I1528" s="107"/>
      <c r="L1528" s="130">
        <v>44252</v>
      </c>
      <c r="M1528" s="107">
        <v>86.5</v>
      </c>
      <c r="N1528" s="107">
        <v>89.7</v>
      </c>
      <c r="O1528" s="107">
        <v>86.05</v>
      </c>
      <c r="P1528" s="107">
        <v>88.7</v>
      </c>
      <c r="Q1528" s="107">
        <v>86.5</v>
      </c>
      <c r="R1528">
        <v>9856511</v>
      </c>
    </row>
    <row r="1529" spans="1:18" x14ac:dyDescent="0.25">
      <c r="A1529" s="130">
        <v>44253</v>
      </c>
      <c r="B1529" s="107">
        <v>84.9</v>
      </c>
      <c r="C1529" s="107">
        <v>82.45</v>
      </c>
      <c r="D1529" s="107">
        <v>82</v>
      </c>
      <c r="E1529" s="107">
        <v>82</v>
      </c>
      <c r="F1529" s="107">
        <v>82.45</v>
      </c>
      <c r="G1529">
        <v>525864</v>
      </c>
      <c r="H1529" s="107"/>
      <c r="I1529" s="107"/>
      <c r="L1529" s="130">
        <v>44253</v>
      </c>
      <c r="M1529" s="107">
        <v>82.45</v>
      </c>
      <c r="N1529" s="107">
        <v>84.9</v>
      </c>
      <c r="O1529" s="107">
        <v>82.1</v>
      </c>
      <c r="P1529" s="107">
        <v>84</v>
      </c>
      <c r="Q1529" s="107">
        <v>82.45</v>
      </c>
      <c r="R1529">
        <v>6626295</v>
      </c>
    </row>
    <row r="1530" spans="1:18" x14ac:dyDescent="0.25">
      <c r="A1530" s="130">
        <v>44256</v>
      </c>
      <c r="B1530" s="107">
        <v>84.15</v>
      </c>
      <c r="C1530" s="107">
        <v>80.900000000000006</v>
      </c>
      <c r="D1530" s="107">
        <v>80.599999999999994</v>
      </c>
      <c r="E1530" s="107">
        <v>84</v>
      </c>
      <c r="F1530" s="107">
        <v>80.900000000000006</v>
      </c>
      <c r="G1530">
        <v>397003</v>
      </c>
      <c r="H1530" s="107"/>
      <c r="I1530" s="107"/>
      <c r="L1530" s="130">
        <v>44256</v>
      </c>
      <c r="M1530" s="107">
        <v>80.900000000000006</v>
      </c>
      <c r="N1530" s="107">
        <v>84.2</v>
      </c>
      <c r="O1530" s="107">
        <v>80.599999999999994</v>
      </c>
      <c r="P1530" s="107">
        <v>83.3</v>
      </c>
      <c r="Q1530" s="107">
        <v>80.900000000000006</v>
      </c>
      <c r="R1530">
        <v>4473304</v>
      </c>
    </row>
    <row r="1531" spans="1:18" x14ac:dyDescent="0.25">
      <c r="A1531" s="130">
        <v>44257</v>
      </c>
      <c r="B1531" s="107">
        <v>82.6</v>
      </c>
      <c r="C1531" s="107">
        <v>80.400000000000006</v>
      </c>
      <c r="D1531" s="107">
        <v>80.099999999999994</v>
      </c>
      <c r="E1531" s="107">
        <v>81.099999999999994</v>
      </c>
      <c r="F1531" s="107">
        <v>80.400000000000006</v>
      </c>
      <c r="G1531">
        <v>511400</v>
      </c>
      <c r="H1531" s="107"/>
      <c r="I1531" s="107"/>
      <c r="L1531" s="130">
        <v>44257</v>
      </c>
      <c r="M1531" s="107">
        <v>80.400000000000006</v>
      </c>
      <c r="N1531" s="107">
        <v>82.6</v>
      </c>
      <c r="O1531" s="107">
        <v>80.099999999999994</v>
      </c>
      <c r="P1531" s="107">
        <v>81.400000000000006</v>
      </c>
      <c r="Q1531" s="107">
        <v>80.400000000000006</v>
      </c>
      <c r="R1531">
        <v>4179426</v>
      </c>
    </row>
    <row r="1532" spans="1:18" x14ac:dyDescent="0.25">
      <c r="A1532" s="130">
        <v>44258</v>
      </c>
      <c r="B1532" s="107">
        <v>84.85</v>
      </c>
      <c r="C1532" s="107">
        <v>80.650000000000006</v>
      </c>
      <c r="D1532" s="107">
        <v>80.349999999999994</v>
      </c>
      <c r="E1532" s="107">
        <v>80.650000000000006</v>
      </c>
      <c r="F1532" s="107">
        <v>80.650000000000006</v>
      </c>
      <c r="G1532">
        <v>1110181</v>
      </c>
      <c r="H1532" s="107"/>
      <c r="I1532" s="107"/>
      <c r="L1532" s="130">
        <v>44258</v>
      </c>
      <c r="M1532" s="107">
        <v>80.650000000000006</v>
      </c>
      <c r="N1532" s="107">
        <v>84.85</v>
      </c>
      <c r="O1532" s="107">
        <v>80.3</v>
      </c>
      <c r="P1532" s="107">
        <v>81.099999999999994</v>
      </c>
      <c r="Q1532" s="107">
        <v>80.650000000000006</v>
      </c>
      <c r="R1532">
        <v>7910798</v>
      </c>
    </row>
    <row r="1533" spans="1:18" x14ac:dyDescent="0.25">
      <c r="A1533" s="130">
        <v>44259</v>
      </c>
      <c r="B1533" s="107">
        <v>81.8</v>
      </c>
      <c r="C1533" s="107">
        <v>79.7</v>
      </c>
      <c r="D1533" s="107">
        <v>79.55</v>
      </c>
      <c r="E1533" s="107">
        <v>80</v>
      </c>
      <c r="F1533" s="107">
        <v>79.7</v>
      </c>
      <c r="G1533">
        <v>526879</v>
      </c>
      <c r="H1533" s="107"/>
      <c r="I1533" s="107"/>
      <c r="L1533" s="130">
        <v>44259</v>
      </c>
      <c r="M1533" s="107">
        <v>79.7</v>
      </c>
      <c r="N1533" s="107">
        <v>81.849999999999994</v>
      </c>
      <c r="O1533" s="107">
        <v>79.5</v>
      </c>
      <c r="P1533" s="107">
        <v>80.05</v>
      </c>
      <c r="Q1533" s="107">
        <v>79.7</v>
      </c>
      <c r="R1533">
        <v>4502499</v>
      </c>
    </row>
    <row r="1534" spans="1:18" x14ac:dyDescent="0.25">
      <c r="A1534" s="130">
        <v>44260</v>
      </c>
      <c r="B1534" s="107">
        <v>80.400000000000006</v>
      </c>
      <c r="C1534" s="107">
        <v>76.95</v>
      </c>
      <c r="D1534" s="107">
        <v>76.5</v>
      </c>
      <c r="E1534" s="107">
        <v>79.650000000000006</v>
      </c>
      <c r="F1534" s="107">
        <v>76.95</v>
      </c>
      <c r="G1534">
        <v>656941</v>
      </c>
      <c r="H1534" s="107"/>
      <c r="I1534" s="107"/>
      <c r="L1534" s="130">
        <v>44260</v>
      </c>
      <c r="M1534" s="107">
        <v>76.900000000000006</v>
      </c>
      <c r="N1534" s="107">
        <v>80.5</v>
      </c>
      <c r="O1534" s="107">
        <v>76.5</v>
      </c>
      <c r="P1534" s="107">
        <v>80</v>
      </c>
      <c r="Q1534" s="107">
        <v>76.900000000000006</v>
      </c>
      <c r="R1534">
        <v>4836960</v>
      </c>
    </row>
    <row r="1535" spans="1:18" x14ac:dyDescent="0.25">
      <c r="A1535" s="130">
        <v>44263</v>
      </c>
      <c r="B1535" s="107">
        <v>84.6</v>
      </c>
      <c r="C1535" s="107">
        <v>81.599999999999994</v>
      </c>
      <c r="D1535" s="107">
        <v>80</v>
      </c>
      <c r="E1535" s="107">
        <v>81.900000000000006</v>
      </c>
      <c r="F1535" s="107">
        <v>81.599999999999994</v>
      </c>
      <c r="G1535">
        <v>2161929</v>
      </c>
      <c r="H1535" s="107"/>
      <c r="I1535" s="107"/>
      <c r="L1535" s="130">
        <v>44263</v>
      </c>
      <c r="M1535" s="107">
        <v>81.55</v>
      </c>
      <c r="N1535" s="107">
        <v>84.55</v>
      </c>
      <c r="O1535" s="107">
        <v>79.7</v>
      </c>
      <c r="P1535" s="107">
        <v>81.8</v>
      </c>
      <c r="Q1535" s="107">
        <v>81.55</v>
      </c>
      <c r="R1535">
        <v>14980157</v>
      </c>
    </row>
    <row r="1536" spans="1:18" x14ac:dyDescent="0.25">
      <c r="A1536" s="130">
        <v>44264</v>
      </c>
      <c r="B1536" s="107">
        <v>82.8</v>
      </c>
      <c r="C1536" s="107">
        <v>77.95</v>
      </c>
      <c r="D1536" s="107">
        <v>77.3</v>
      </c>
      <c r="E1536" s="107">
        <v>81.599999999999994</v>
      </c>
      <c r="F1536" s="107">
        <v>77.95</v>
      </c>
      <c r="G1536">
        <v>894861</v>
      </c>
      <c r="H1536" s="107"/>
      <c r="I1536" s="107"/>
      <c r="L1536" s="130">
        <v>44264</v>
      </c>
      <c r="M1536" s="107">
        <v>77.900000000000006</v>
      </c>
      <c r="N1536" s="107">
        <v>82.8</v>
      </c>
      <c r="O1536" s="107">
        <v>77.25</v>
      </c>
      <c r="P1536" s="107">
        <v>82.2</v>
      </c>
      <c r="Q1536" s="107">
        <v>77.900000000000006</v>
      </c>
      <c r="R1536">
        <v>6577597</v>
      </c>
    </row>
    <row r="1537" spans="1:18" x14ac:dyDescent="0.25">
      <c r="A1537" s="130">
        <v>44265</v>
      </c>
      <c r="B1537" s="107">
        <v>79.05</v>
      </c>
      <c r="C1537" s="107">
        <v>76.95</v>
      </c>
      <c r="D1537" s="107">
        <v>76.599999999999994</v>
      </c>
      <c r="E1537" s="107">
        <v>78</v>
      </c>
      <c r="F1537" s="107">
        <v>76.95</v>
      </c>
      <c r="G1537">
        <v>480248</v>
      </c>
      <c r="H1537" s="107"/>
      <c r="I1537" s="107"/>
      <c r="L1537" s="130">
        <v>44265</v>
      </c>
      <c r="M1537" s="107">
        <v>76.95</v>
      </c>
      <c r="N1537" s="107">
        <v>79.099999999999994</v>
      </c>
      <c r="O1537" s="107">
        <v>76.55</v>
      </c>
      <c r="P1537" s="107">
        <v>78.7</v>
      </c>
      <c r="Q1537" s="107">
        <v>76.95</v>
      </c>
      <c r="R1537">
        <v>3786508</v>
      </c>
    </row>
    <row r="1538" spans="1:18" x14ac:dyDescent="0.25">
      <c r="A1538" s="130">
        <v>44267</v>
      </c>
      <c r="B1538" s="107">
        <v>78.400000000000006</v>
      </c>
      <c r="C1538" s="107">
        <v>75.900000000000006</v>
      </c>
      <c r="D1538" s="107">
        <v>75.150000000000006</v>
      </c>
      <c r="E1538" s="107">
        <v>77.25</v>
      </c>
      <c r="F1538" s="107">
        <v>75.900000000000006</v>
      </c>
      <c r="G1538">
        <v>404749</v>
      </c>
      <c r="H1538" s="107"/>
      <c r="I1538" s="107"/>
      <c r="L1538" s="130">
        <v>44267</v>
      </c>
      <c r="M1538" s="107">
        <v>75.849999999999994</v>
      </c>
      <c r="N1538" s="107">
        <v>78.5</v>
      </c>
      <c r="O1538" s="107">
        <v>75.2</v>
      </c>
      <c r="P1538" s="107">
        <v>77.849999999999994</v>
      </c>
      <c r="Q1538" s="107">
        <v>75.849999999999994</v>
      </c>
      <c r="R1538">
        <v>3944641</v>
      </c>
    </row>
    <row r="1539" spans="1:18" x14ac:dyDescent="0.25">
      <c r="A1539" s="130">
        <v>44270</v>
      </c>
      <c r="B1539" s="107">
        <v>76.45</v>
      </c>
      <c r="C1539" s="107">
        <v>73.599999999999994</v>
      </c>
      <c r="D1539" s="107">
        <v>72.099999999999994</v>
      </c>
      <c r="E1539" s="107">
        <v>72.099999999999994</v>
      </c>
      <c r="F1539" s="107">
        <v>73.599999999999994</v>
      </c>
      <c r="G1539">
        <v>547690</v>
      </c>
      <c r="H1539" s="107"/>
      <c r="I1539" s="107"/>
      <c r="L1539" s="130">
        <v>44270</v>
      </c>
      <c r="M1539" s="107">
        <v>73.599999999999994</v>
      </c>
      <c r="N1539" s="107">
        <v>76.55</v>
      </c>
      <c r="O1539" s="107">
        <v>72.650000000000006</v>
      </c>
      <c r="P1539" s="107">
        <v>76.400000000000006</v>
      </c>
      <c r="Q1539" s="107">
        <v>73.599999999999994</v>
      </c>
      <c r="R1539">
        <v>4152352</v>
      </c>
    </row>
    <row r="1540" spans="1:18" x14ac:dyDescent="0.25">
      <c r="A1540" s="130">
        <v>44271</v>
      </c>
      <c r="B1540" s="107">
        <v>74.150000000000006</v>
      </c>
      <c r="C1540" s="107">
        <v>72</v>
      </c>
      <c r="D1540" s="107">
        <v>71.75</v>
      </c>
      <c r="E1540" s="107">
        <v>74</v>
      </c>
      <c r="F1540" s="107">
        <v>72</v>
      </c>
      <c r="G1540">
        <v>358646</v>
      </c>
      <c r="H1540" s="107"/>
      <c r="I1540" s="107"/>
      <c r="L1540" s="130">
        <v>44271</v>
      </c>
      <c r="M1540" s="107">
        <v>71.95</v>
      </c>
      <c r="N1540" s="107">
        <v>74.2</v>
      </c>
      <c r="O1540" s="107">
        <v>71.599999999999994</v>
      </c>
      <c r="P1540" s="107">
        <v>74.2</v>
      </c>
      <c r="Q1540" s="107">
        <v>71.95</v>
      </c>
      <c r="R1540">
        <v>3631166</v>
      </c>
    </row>
    <row r="1541" spans="1:18" x14ac:dyDescent="0.25">
      <c r="A1541" s="130">
        <v>44272</v>
      </c>
      <c r="B1541" s="107">
        <v>72.599999999999994</v>
      </c>
      <c r="C1541" s="107">
        <v>68.599999999999994</v>
      </c>
      <c r="D1541" s="107">
        <v>68.25</v>
      </c>
      <c r="E1541" s="107">
        <v>72.45</v>
      </c>
      <c r="F1541" s="107">
        <v>68.599999999999994</v>
      </c>
      <c r="G1541">
        <v>603642</v>
      </c>
      <c r="H1541" s="107"/>
      <c r="I1541" s="107"/>
      <c r="L1541" s="130">
        <v>44272</v>
      </c>
      <c r="M1541" s="107">
        <v>68.599999999999994</v>
      </c>
      <c r="N1541" s="107">
        <v>72.599999999999994</v>
      </c>
      <c r="O1541" s="107">
        <v>68.150000000000006</v>
      </c>
      <c r="P1541" s="107">
        <v>72.349999999999994</v>
      </c>
      <c r="Q1541" s="107">
        <v>68.599999999999994</v>
      </c>
      <c r="R1541">
        <v>3843901</v>
      </c>
    </row>
    <row r="1542" spans="1:18" x14ac:dyDescent="0.25">
      <c r="A1542" s="130">
        <v>44273</v>
      </c>
      <c r="B1542" s="107">
        <v>70.099999999999994</v>
      </c>
      <c r="C1542" s="107">
        <v>65.25</v>
      </c>
      <c r="D1542" s="107">
        <v>64.650000000000006</v>
      </c>
      <c r="E1542" s="107">
        <v>69.099999999999994</v>
      </c>
      <c r="F1542" s="107">
        <v>65.25</v>
      </c>
      <c r="G1542">
        <v>816421</v>
      </c>
      <c r="H1542" s="107"/>
      <c r="I1542" s="107"/>
      <c r="L1542" s="130">
        <v>44273</v>
      </c>
      <c r="M1542" s="107">
        <v>65.3</v>
      </c>
      <c r="N1542" s="107">
        <v>70.099999999999994</v>
      </c>
      <c r="O1542" s="107">
        <v>64.650000000000006</v>
      </c>
      <c r="P1542" s="107">
        <v>69.599999999999994</v>
      </c>
      <c r="Q1542" s="107">
        <v>65.3</v>
      </c>
      <c r="R1542">
        <v>5656035</v>
      </c>
    </row>
    <row r="1543" spans="1:18" x14ac:dyDescent="0.25">
      <c r="A1543" s="130">
        <v>44274</v>
      </c>
      <c r="B1543" s="107">
        <v>67</v>
      </c>
      <c r="C1543" s="107">
        <v>66.75</v>
      </c>
      <c r="D1543" s="107">
        <v>62.5</v>
      </c>
      <c r="E1543" s="107">
        <v>65</v>
      </c>
      <c r="F1543" s="107">
        <v>66.75</v>
      </c>
      <c r="G1543">
        <v>477573</v>
      </c>
      <c r="H1543" s="107"/>
      <c r="I1543" s="107"/>
      <c r="L1543" s="130">
        <v>44274</v>
      </c>
      <c r="M1543" s="107">
        <v>66.7</v>
      </c>
      <c r="N1543" s="107">
        <v>67</v>
      </c>
      <c r="O1543" s="107">
        <v>62.5</v>
      </c>
      <c r="P1543" s="107">
        <v>64.25</v>
      </c>
      <c r="Q1543" s="107">
        <v>66.7</v>
      </c>
      <c r="R1543">
        <v>6748587</v>
      </c>
    </row>
    <row r="1544" spans="1:18" x14ac:dyDescent="0.25">
      <c r="A1544" s="130">
        <v>44277</v>
      </c>
      <c r="B1544" s="107">
        <v>69.2</v>
      </c>
      <c r="C1544" s="107">
        <v>68.400000000000006</v>
      </c>
      <c r="D1544" s="107">
        <v>66.25</v>
      </c>
      <c r="E1544" s="107">
        <v>66.8</v>
      </c>
      <c r="F1544" s="107">
        <v>68.400000000000006</v>
      </c>
      <c r="G1544">
        <v>788099</v>
      </c>
      <c r="H1544" s="107"/>
      <c r="I1544" s="107"/>
      <c r="L1544" s="130">
        <v>44277</v>
      </c>
      <c r="M1544" s="107">
        <v>68.400000000000006</v>
      </c>
      <c r="N1544" s="107">
        <v>69.25</v>
      </c>
      <c r="O1544" s="107">
        <v>66.349999999999994</v>
      </c>
      <c r="P1544" s="107">
        <v>67</v>
      </c>
      <c r="Q1544" s="107">
        <v>68.400000000000006</v>
      </c>
      <c r="R1544">
        <v>4182860</v>
      </c>
    </row>
    <row r="1545" spans="1:18" x14ac:dyDescent="0.25">
      <c r="A1545" s="130">
        <v>44278</v>
      </c>
      <c r="B1545" s="107">
        <v>75.2</v>
      </c>
      <c r="C1545" s="107">
        <v>75.2</v>
      </c>
      <c r="D1545" s="107">
        <v>69.150000000000006</v>
      </c>
      <c r="E1545" s="107">
        <v>69.849999999999994</v>
      </c>
      <c r="F1545" s="107">
        <v>75.2</v>
      </c>
      <c r="G1545">
        <v>667858</v>
      </c>
      <c r="H1545" s="107"/>
      <c r="I1545" s="107"/>
      <c r="L1545" s="130">
        <v>44278</v>
      </c>
      <c r="M1545" s="107">
        <v>75.2</v>
      </c>
      <c r="N1545" s="107">
        <v>75.2</v>
      </c>
      <c r="O1545" s="107">
        <v>69.05</v>
      </c>
      <c r="P1545" s="107">
        <v>69.349999999999994</v>
      </c>
      <c r="Q1545" s="107">
        <v>75.2</v>
      </c>
      <c r="R1545">
        <v>12223535</v>
      </c>
    </row>
    <row r="1546" spans="1:18" x14ac:dyDescent="0.25">
      <c r="A1546" s="130">
        <v>44279</v>
      </c>
      <c r="B1546" s="107">
        <v>80.95</v>
      </c>
      <c r="C1546" s="107">
        <v>72.2</v>
      </c>
      <c r="D1546" s="107">
        <v>70.75</v>
      </c>
      <c r="E1546" s="107">
        <v>77.55</v>
      </c>
      <c r="F1546" s="107">
        <v>72.2</v>
      </c>
      <c r="G1546">
        <v>1307345</v>
      </c>
      <c r="H1546" s="107"/>
      <c r="I1546" s="107"/>
      <c r="L1546" s="130">
        <v>44279</v>
      </c>
      <c r="M1546" s="107">
        <v>72.099999999999994</v>
      </c>
      <c r="N1546" s="107">
        <v>80.900000000000006</v>
      </c>
      <c r="O1546" s="107">
        <v>70.7</v>
      </c>
      <c r="P1546" s="107">
        <v>78</v>
      </c>
      <c r="Q1546" s="107">
        <v>72.099999999999994</v>
      </c>
      <c r="R1546">
        <v>19427869</v>
      </c>
    </row>
    <row r="1547" spans="1:18" x14ac:dyDescent="0.25">
      <c r="A1547" s="130">
        <v>44280</v>
      </c>
      <c r="B1547" s="107">
        <v>72.849999999999994</v>
      </c>
      <c r="C1547" s="107">
        <v>69.3</v>
      </c>
      <c r="D1547" s="107">
        <v>67.650000000000006</v>
      </c>
      <c r="E1547" s="107">
        <v>72.849999999999994</v>
      </c>
      <c r="F1547" s="107">
        <v>69.3</v>
      </c>
      <c r="G1547">
        <v>776161</v>
      </c>
      <c r="H1547" s="107"/>
      <c r="I1547" s="107"/>
      <c r="L1547" s="130">
        <v>44280</v>
      </c>
      <c r="M1547" s="107">
        <v>69.25</v>
      </c>
      <c r="N1547" s="107">
        <v>72.650000000000006</v>
      </c>
      <c r="O1547" s="107">
        <v>67.75</v>
      </c>
      <c r="P1547" s="107">
        <v>72.400000000000006</v>
      </c>
      <c r="Q1547" s="107">
        <v>69.25</v>
      </c>
      <c r="R1547">
        <v>7119787</v>
      </c>
    </row>
    <row r="1548" spans="1:18" x14ac:dyDescent="0.25">
      <c r="A1548" s="130">
        <v>44281</v>
      </c>
      <c r="B1548" s="107">
        <v>71.95</v>
      </c>
      <c r="C1548" s="107">
        <v>69.7</v>
      </c>
      <c r="D1548" s="107">
        <v>69.3</v>
      </c>
      <c r="E1548" s="107">
        <v>71.25</v>
      </c>
      <c r="F1548" s="107">
        <v>69.7</v>
      </c>
      <c r="G1548">
        <v>494073</v>
      </c>
      <c r="H1548" s="107"/>
      <c r="I1548" s="107"/>
      <c r="L1548" s="130">
        <v>44281</v>
      </c>
      <c r="M1548" s="107">
        <v>69.7</v>
      </c>
      <c r="N1548" s="107">
        <v>71.900000000000006</v>
      </c>
      <c r="O1548" s="107">
        <v>69.3</v>
      </c>
      <c r="P1548" s="107">
        <v>70.5</v>
      </c>
      <c r="Q1548" s="107">
        <v>69.7</v>
      </c>
      <c r="R1548">
        <v>4904308</v>
      </c>
    </row>
    <row r="1549" spans="1:18" x14ac:dyDescent="0.25">
      <c r="A1549" s="130">
        <v>44285</v>
      </c>
      <c r="B1549" s="107">
        <v>70.349999999999994</v>
      </c>
      <c r="C1549" s="107">
        <v>69.75</v>
      </c>
      <c r="D1549" s="107">
        <v>69</v>
      </c>
      <c r="E1549" s="107">
        <v>69.900000000000006</v>
      </c>
      <c r="F1549" s="107">
        <v>69.75</v>
      </c>
      <c r="G1549">
        <v>166565</v>
      </c>
      <c r="H1549" s="107"/>
      <c r="I1549" s="107"/>
      <c r="L1549" s="130">
        <v>44285</v>
      </c>
      <c r="M1549" s="107">
        <v>69.75</v>
      </c>
      <c r="N1549" s="107">
        <v>70.3</v>
      </c>
      <c r="O1549" s="107">
        <v>69.099999999999994</v>
      </c>
      <c r="P1549" s="107">
        <v>70.05</v>
      </c>
      <c r="Q1549" s="107">
        <v>69.75</v>
      </c>
      <c r="R1549">
        <v>3178425</v>
      </c>
    </row>
    <row r="1550" spans="1:18" x14ac:dyDescent="0.25">
      <c r="A1550" s="130">
        <v>44286</v>
      </c>
      <c r="B1550" s="107">
        <v>70.599999999999994</v>
      </c>
      <c r="C1550" s="107">
        <v>67.849999999999994</v>
      </c>
      <c r="D1550" s="107">
        <v>67.45</v>
      </c>
      <c r="E1550" s="107">
        <v>70.05</v>
      </c>
      <c r="F1550" s="107">
        <v>67.849999999999994</v>
      </c>
      <c r="G1550">
        <v>244836</v>
      </c>
      <c r="H1550" s="107"/>
      <c r="I1550" s="107"/>
      <c r="L1550" s="130">
        <v>44286</v>
      </c>
      <c r="M1550" s="107">
        <v>67.849999999999994</v>
      </c>
      <c r="N1550" s="107">
        <v>70.599999999999994</v>
      </c>
      <c r="O1550" s="107">
        <v>67.349999999999994</v>
      </c>
      <c r="P1550" s="107">
        <v>70.400000000000006</v>
      </c>
      <c r="Q1550" s="107">
        <v>67.849999999999994</v>
      </c>
      <c r="R1550">
        <v>4906544</v>
      </c>
    </row>
    <row r="1551" spans="1:18" x14ac:dyDescent="0.25">
      <c r="A1551" s="130">
        <v>44287</v>
      </c>
      <c r="B1551" s="107">
        <v>72.3</v>
      </c>
      <c r="C1551" s="107">
        <v>69.849999999999994</v>
      </c>
      <c r="D1551" s="107">
        <v>68.95</v>
      </c>
      <c r="E1551" s="107">
        <v>71.400000000000006</v>
      </c>
      <c r="F1551" s="107">
        <v>69.849999999999994</v>
      </c>
      <c r="G1551">
        <v>387404</v>
      </c>
      <c r="H1551" s="107"/>
      <c r="I1551" s="107"/>
      <c r="L1551" s="130">
        <v>44287</v>
      </c>
      <c r="M1551" s="107">
        <v>69.900000000000006</v>
      </c>
      <c r="N1551" s="107">
        <v>72.3</v>
      </c>
      <c r="O1551" s="107">
        <v>68.900000000000006</v>
      </c>
      <c r="P1551" s="107">
        <v>69.45</v>
      </c>
      <c r="Q1551" s="107">
        <v>69.900000000000006</v>
      </c>
      <c r="R1551">
        <v>10593022</v>
      </c>
    </row>
    <row r="1552" spans="1:18" x14ac:dyDescent="0.25">
      <c r="A1552" s="130">
        <v>44291</v>
      </c>
      <c r="B1552" s="107">
        <v>70</v>
      </c>
      <c r="C1552" s="107">
        <v>67.25</v>
      </c>
      <c r="D1552" s="107">
        <v>66.55</v>
      </c>
      <c r="E1552" s="107">
        <v>70</v>
      </c>
      <c r="F1552" s="107">
        <v>67.25</v>
      </c>
      <c r="G1552">
        <v>267865</v>
      </c>
      <c r="H1552" s="107"/>
      <c r="I1552" s="107"/>
      <c r="L1552" s="130">
        <v>44291</v>
      </c>
      <c r="M1552" s="107">
        <v>67.25</v>
      </c>
      <c r="N1552" s="107">
        <v>69.7</v>
      </c>
      <c r="O1552" s="107">
        <v>66.55</v>
      </c>
      <c r="P1552" s="107">
        <v>69.7</v>
      </c>
      <c r="Q1552" s="107">
        <v>67.25</v>
      </c>
      <c r="R1552">
        <v>4030619</v>
      </c>
    </row>
    <row r="1553" spans="1:18" x14ac:dyDescent="0.25">
      <c r="A1553" s="130">
        <v>44292</v>
      </c>
      <c r="B1553" s="107">
        <v>68.2</v>
      </c>
      <c r="C1553" s="107">
        <v>66.55</v>
      </c>
      <c r="D1553" s="107">
        <v>65.5</v>
      </c>
      <c r="E1553" s="107">
        <v>68.2</v>
      </c>
      <c r="F1553" s="107">
        <v>66.55</v>
      </c>
      <c r="G1553">
        <v>313278</v>
      </c>
      <c r="H1553" s="107"/>
      <c r="I1553" s="107"/>
      <c r="L1553" s="130">
        <v>44292</v>
      </c>
      <c r="M1553" s="107">
        <v>66.599999999999994</v>
      </c>
      <c r="N1553" s="107">
        <v>67.8</v>
      </c>
      <c r="O1553" s="107">
        <v>65.5</v>
      </c>
      <c r="P1553" s="107">
        <v>67.2</v>
      </c>
      <c r="Q1553" s="107">
        <v>66.599999999999994</v>
      </c>
      <c r="R1553">
        <v>3229177</v>
      </c>
    </row>
    <row r="1554" spans="1:18" x14ac:dyDescent="0.25">
      <c r="A1554" s="130">
        <v>44293</v>
      </c>
      <c r="B1554" s="107">
        <v>69.75</v>
      </c>
      <c r="C1554" s="107">
        <v>68.75</v>
      </c>
      <c r="D1554" s="107">
        <v>66.55</v>
      </c>
      <c r="E1554" s="107">
        <v>66.55</v>
      </c>
      <c r="F1554" s="107">
        <v>68.75</v>
      </c>
      <c r="G1554">
        <v>355272</v>
      </c>
      <c r="H1554" s="107"/>
      <c r="I1554" s="107"/>
      <c r="L1554" s="130">
        <v>44293</v>
      </c>
      <c r="M1554" s="107">
        <v>68.7</v>
      </c>
      <c r="N1554" s="107">
        <v>69.849999999999994</v>
      </c>
      <c r="O1554" s="107">
        <v>66.55</v>
      </c>
      <c r="P1554" s="107">
        <v>66.599999999999994</v>
      </c>
      <c r="Q1554" s="107">
        <v>68.7</v>
      </c>
      <c r="R1554">
        <v>6008751</v>
      </c>
    </row>
    <row r="1555" spans="1:18" x14ac:dyDescent="0.25">
      <c r="A1555" s="130">
        <v>44294</v>
      </c>
      <c r="B1555" s="107">
        <v>70</v>
      </c>
      <c r="C1555" s="107">
        <v>68.150000000000006</v>
      </c>
      <c r="D1555" s="107">
        <v>68</v>
      </c>
      <c r="E1555" s="107">
        <v>70</v>
      </c>
      <c r="F1555" s="107">
        <v>68.150000000000006</v>
      </c>
      <c r="G1555">
        <v>301084</v>
      </c>
      <c r="H1555" s="107"/>
      <c r="I1555" s="107"/>
      <c r="L1555" s="130">
        <v>44294</v>
      </c>
      <c r="M1555" s="107">
        <v>68.2</v>
      </c>
      <c r="N1555" s="107">
        <v>69.5</v>
      </c>
      <c r="O1555" s="107">
        <v>68</v>
      </c>
      <c r="P1555" s="107">
        <v>69.45</v>
      </c>
      <c r="Q1555" s="107">
        <v>68.2</v>
      </c>
      <c r="R1555">
        <v>2677241</v>
      </c>
    </row>
    <row r="1556" spans="1:18" x14ac:dyDescent="0.25">
      <c r="A1556" s="130">
        <v>44295</v>
      </c>
      <c r="B1556" s="107">
        <v>75.349999999999994</v>
      </c>
      <c r="C1556" s="107">
        <v>74.45</v>
      </c>
      <c r="D1556" s="107">
        <v>67.599999999999994</v>
      </c>
      <c r="E1556" s="107">
        <v>68.900000000000006</v>
      </c>
      <c r="F1556" s="107">
        <v>74.45</v>
      </c>
      <c r="G1556">
        <v>1800910</v>
      </c>
      <c r="H1556" s="107"/>
      <c r="I1556" s="107"/>
      <c r="L1556" s="130">
        <v>44295</v>
      </c>
      <c r="M1556" s="107">
        <v>74.5</v>
      </c>
      <c r="N1556" s="107">
        <v>75.5</v>
      </c>
      <c r="O1556" s="107">
        <v>67.599999999999994</v>
      </c>
      <c r="P1556" s="107">
        <v>68.3</v>
      </c>
      <c r="Q1556" s="107">
        <v>74.5</v>
      </c>
      <c r="R1556">
        <v>26856958</v>
      </c>
    </row>
    <row r="1557" spans="1:18" x14ac:dyDescent="0.25">
      <c r="A1557" s="130">
        <v>44298</v>
      </c>
      <c r="B1557" s="107">
        <v>71.75</v>
      </c>
      <c r="C1557" s="107">
        <v>66.7</v>
      </c>
      <c r="D1557" s="107">
        <v>63.7</v>
      </c>
      <c r="E1557" s="107">
        <v>71.400000000000006</v>
      </c>
      <c r="F1557" s="107">
        <v>66.7</v>
      </c>
      <c r="G1557">
        <v>1167911</v>
      </c>
      <c r="H1557" s="107"/>
      <c r="I1557" s="107"/>
      <c r="L1557" s="130">
        <v>44298</v>
      </c>
      <c r="M1557" s="107">
        <v>66.650000000000006</v>
      </c>
      <c r="N1557" s="107">
        <v>71.849999999999994</v>
      </c>
      <c r="O1557" s="107">
        <v>63.65</v>
      </c>
      <c r="P1557" s="107">
        <v>71.099999999999994</v>
      </c>
      <c r="Q1557" s="107">
        <v>66.650000000000006</v>
      </c>
      <c r="R1557">
        <v>14200290</v>
      </c>
    </row>
    <row r="1558" spans="1:18" x14ac:dyDescent="0.25">
      <c r="A1558" s="130">
        <v>44299</v>
      </c>
      <c r="B1558" s="107">
        <v>73.400000000000006</v>
      </c>
      <c r="C1558" s="107">
        <v>71.55</v>
      </c>
      <c r="D1558" s="107">
        <v>66.2</v>
      </c>
      <c r="E1558" s="107">
        <v>67.7</v>
      </c>
      <c r="F1558" s="107">
        <v>71.55</v>
      </c>
      <c r="G1558">
        <v>1926996</v>
      </c>
      <c r="H1558" s="107"/>
      <c r="I1558" s="107"/>
      <c r="L1558" s="130">
        <v>44299</v>
      </c>
      <c r="M1558" s="107">
        <v>71.5</v>
      </c>
      <c r="N1558" s="107">
        <v>73.45</v>
      </c>
      <c r="O1558" s="107">
        <v>66.150000000000006</v>
      </c>
      <c r="P1558" s="107">
        <v>67.599999999999994</v>
      </c>
      <c r="Q1558" s="107">
        <v>71.5</v>
      </c>
      <c r="R1558">
        <v>17595747</v>
      </c>
    </row>
    <row r="1559" spans="1:18" x14ac:dyDescent="0.25">
      <c r="A1559" s="130">
        <v>44301</v>
      </c>
      <c r="B1559" s="107">
        <v>71</v>
      </c>
      <c r="C1559" s="107">
        <v>69.099999999999994</v>
      </c>
      <c r="D1559" s="107">
        <v>67.75</v>
      </c>
      <c r="E1559" s="107">
        <v>70.05</v>
      </c>
      <c r="F1559" s="107">
        <v>69.099999999999994</v>
      </c>
      <c r="G1559">
        <v>1669205</v>
      </c>
      <c r="H1559" s="107"/>
      <c r="I1559" s="107"/>
      <c r="L1559" s="130">
        <v>44301</v>
      </c>
      <c r="M1559" s="107">
        <v>69.150000000000006</v>
      </c>
      <c r="N1559" s="107">
        <v>70</v>
      </c>
      <c r="O1559" s="107">
        <v>67.7</v>
      </c>
      <c r="P1559" s="107">
        <v>70</v>
      </c>
      <c r="Q1559" s="107">
        <v>69.150000000000006</v>
      </c>
      <c r="R1559">
        <v>8185033</v>
      </c>
    </row>
    <row r="1560" spans="1:18" x14ac:dyDescent="0.25">
      <c r="A1560" s="130">
        <v>44302</v>
      </c>
      <c r="B1560" s="107">
        <v>72.25</v>
      </c>
      <c r="C1560" s="107">
        <v>69.7</v>
      </c>
      <c r="D1560" s="107">
        <v>69.25</v>
      </c>
      <c r="E1560" s="107">
        <v>69.900000000000006</v>
      </c>
      <c r="F1560" s="107">
        <v>69.7</v>
      </c>
      <c r="G1560">
        <v>573931</v>
      </c>
      <c r="H1560" s="107"/>
      <c r="I1560" s="107"/>
      <c r="L1560" s="130">
        <v>44302</v>
      </c>
      <c r="M1560" s="107">
        <v>69.650000000000006</v>
      </c>
      <c r="N1560" s="107">
        <v>72.25</v>
      </c>
      <c r="O1560" s="107">
        <v>69.150000000000006</v>
      </c>
      <c r="P1560" s="107">
        <v>69.5</v>
      </c>
      <c r="Q1560" s="107">
        <v>69.650000000000006</v>
      </c>
      <c r="R1560">
        <v>7972743</v>
      </c>
    </row>
    <row r="1561" spans="1:18" x14ac:dyDescent="0.25">
      <c r="A1561" s="130">
        <v>44305</v>
      </c>
      <c r="B1561" s="107">
        <v>66.8</v>
      </c>
      <c r="C1561" s="107">
        <v>64.599999999999994</v>
      </c>
      <c r="D1561" s="107">
        <v>63.8</v>
      </c>
      <c r="E1561" s="107">
        <v>66.8</v>
      </c>
      <c r="F1561" s="107">
        <v>64.599999999999994</v>
      </c>
      <c r="G1561">
        <v>1065345</v>
      </c>
      <c r="H1561" s="107"/>
      <c r="I1561" s="107"/>
      <c r="L1561" s="130">
        <v>44305</v>
      </c>
      <c r="M1561" s="107">
        <v>64.599999999999994</v>
      </c>
      <c r="N1561" s="107">
        <v>66.900000000000006</v>
      </c>
      <c r="O1561" s="107">
        <v>63.85</v>
      </c>
      <c r="P1561" s="107">
        <v>66.05</v>
      </c>
      <c r="Q1561" s="107">
        <v>64.599999999999994</v>
      </c>
      <c r="R1561">
        <v>7952903</v>
      </c>
    </row>
    <row r="1562" spans="1:18" x14ac:dyDescent="0.25">
      <c r="A1562" s="130">
        <v>44306</v>
      </c>
      <c r="B1562" s="107">
        <v>66.5</v>
      </c>
      <c r="C1562" s="107">
        <v>61.7</v>
      </c>
      <c r="D1562" s="107">
        <v>53</v>
      </c>
      <c r="E1562" s="107">
        <v>65</v>
      </c>
      <c r="F1562" s="107">
        <v>61.7</v>
      </c>
      <c r="G1562">
        <v>760548</v>
      </c>
      <c r="H1562" s="107"/>
      <c r="I1562" s="107"/>
      <c r="L1562" s="130">
        <v>44306</v>
      </c>
      <c r="M1562" s="107">
        <v>64.599999999999994</v>
      </c>
      <c r="N1562" s="107">
        <v>66.5</v>
      </c>
      <c r="O1562" s="107">
        <v>64</v>
      </c>
      <c r="P1562" s="107">
        <v>65.8</v>
      </c>
      <c r="Q1562" s="107">
        <v>64.599999999999994</v>
      </c>
      <c r="R1562">
        <v>5247880</v>
      </c>
    </row>
    <row r="1563" spans="1:18" x14ac:dyDescent="0.25">
      <c r="A1563" s="130">
        <v>44308</v>
      </c>
      <c r="B1563" s="107">
        <v>64.900000000000006</v>
      </c>
      <c r="C1563" s="107">
        <v>64.25</v>
      </c>
      <c r="D1563" s="107">
        <v>62.2</v>
      </c>
      <c r="E1563" s="107">
        <v>63.9</v>
      </c>
      <c r="F1563" s="107">
        <v>64.25</v>
      </c>
      <c r="G1563">
        <v>664968</v>
      </c>
      <c r="H1563" s="107"/>
      <c r="I1563" s="107"/>
      <c r="L1563" s="130">
        <v>44308</v>
      </c>
      <c r="M1563" s="107">
        <v>64.150000000000006</v>
      </c>
      <c r="N1563" s="107">
        <v>64.900000000000006</v>
      </c>
      <c r="O1563" s="107">
        <v>62.6</v>
      </c>
      <c r="P1563" s="107">
        <v>64</v>
      </c>
      <c r="Q1563" s="107">
        <v>64.150000000000006</v>
      </c>
      <c r="R1563">
        <v>4740342</v>
      </c>
    </row>
    <row r="1564" spans="1:18" x14ac:dyDescent="0.25">
      <c r="A1564" s="130">
        <v>44309</v>
      </c>
      <c r="B1564" s="107">
        <v>66.5</v>
      </c>
      <c r="C1564" s="107">
        <v>65.2</v>
      </c>
      <c r="D1564" s="107">
        <v>63.8</v>
      </c>
      <c r="E1564" s="107">
        <v>64.2</v>
      </c>
      <c r="F1564" s="107">
        <v>65.2</v>
      </c>
      <c r="G1564">
        <v>677108</v>
      </c>
      <c r="H1564" s="107"/>
      <c r="I1564" s="107"/>
      <c r="L1564" s="130">
        <v>44309</v>
      </c>
      <c r="M1564" s="107">
        <v>65.150000000000006</v>
      </c>
      <c r="N1564" s="107">
        <v>66.5</v>
      </c>
      <c r="O1564" s="107">
        <v>63.8</v>
      </c>
      <c r="P1564" s="107">
        <v>64.5</v>
      </c>
      <c r="Q1564" s="107">
        <v>65.150000000000006</v>
      </c>
      <c r="R1564">
        <v>6556715</v>
      </c>
    </row>
    <row r="1565" spans="1:18" x14ac:dyDescent="0.25">
      <c r="A1565" s="130">
        <v>44312</v>
      </c>
      <c r="B1565" s="107">
        <v>66.45</v>
      </c>
      <c r="C1565" s="107">
        <v>65.2</v>
      </c>
      <c r="D1565" s="107">
        <v>64.849999999999994</v>
      </c>
      <c r="E1565" s="107">
        <v>65</v>
      </c>
      <c r="F1565" s="107">
        <v>65.2</v>
      </c>
      <c r="G1565">
        <v>373635</v>
      </c>
      <c r="H1565" s="107"/>
      <c r="I1565" s="107"/>
      <c r="L1565" s="130">
        <v>44312</v>
      </c>
      <c r="M1565" s="107">
        <v>65.25</v>
      </c>
      <c r="N1565" s="107">
        <v>66.5</v>
      </c>
      <c r="O1565" s="107">
        <v>64.900000000000006</v>
      </c>
      <c r="P1565" s="107">
        <v>65.849999999999994</v>
      </c>
      <c r="Q1565" s="107">
        <v>65.25</v>
      </c>
      <c r="R1565">
        <v>3484853</v>
      </c>
    </row>
    <row r="1566" spans="1:18" x14ac:dyDescent="0.25">
      <c r="A1566" s="130">
        <v>44313</v>
      </c>
      <c r="B1566" s="107">
        <v>66.400000000000006</v>
      </c>
      <c r="C1566" s="107">
        <v>66.05</v>
      </c>
      <c r="D1566" s="107">
        <v>64.599999999999994</v>
      </c>
      <c r="E1566" s="107">
        <v>66.400000000000006</v>
      </c>
      <c r="F1566" s="107">
        <v>66.05</v>
      </c>
      <c r="G1566">
        <v>210498</v>
      </c>
      <c r="H1566" s="107"/>
      <c r="I1566" s="107"/>
      <c r="L1566" s="130">
        <v>44313</v>
      </c>
      <c r="M1566" s="107">
        <v>66</v>
      </c>
      <c r="N1566" s="107">
        <v>66.400000000000006</v>
      </c>
      <c r="O1566" s="107">
        <v>65.3</v>
      </c>
      <c r="P1566" s="107">
        <v>65.349999999999994</v>
      </c>
      <c r="Q1566" s="107">
        <v>66</v>
      </c>
      <c r="R1566">
        <v>3011145</v>
      </c>
    </row>
    <row r="1567" spans="1:18" x14ac:dyDescent="0.25">
      <c r="A1567" s="130">
        <v>44314</v>
      </c>
      <c r="B1567" s="107">
        <v>68.45</v>
      </c>
      <c r="C1567" s="107">
        <v>68.099999999999994</v>
      </c>
      <c r="D1567" s="107">
        <v>66.45</v>
      </c>
      <c r="E1567" s="107">
        <v>66.8</v>
      </c>
      <c r="F1567" s="107">
        <v>68.099999999999994</v>
      </c>
      <c r="G1567">
        <v>663629</v>
      </c>
      <c r="H1567" s="107"/>
      <c r="I1567" s="107"/>
      <c r="L1567" s="130">
        <v>44314</v>
      </c>
      <c r="M1567" s="107">
        <v>68.150000000000006</v>
      </c>
      <c r="N1567" s="107">
        <v>68.5</v>
      </c>
      <c r="O1567" s="107">
        <v>66.5</v>
      </c>
      <c r="P1567" s="107">
        <v>66.8</v>
      </c>
      <c r="Q1567" s="107">
        <v>68.150000000000006</v>
      </c>
      <c r="R1567">
        <v>5277940</v>
      </c>
    </row>
    <row r="1568" spans="1:18" x14ac:dyDescent="0.25">
      <c r="A1568" s="130">
        <v>44315</v>
      </c>
      <c r="B1568" s="107">
        <v>69.2</v>
      </c>
      <c r="C1568" s="107">
        <v>67.45</v>
      </c>
      <c r="D1568" s="107">
        <v>66.7</v>
      </c>
      <c r="E1568" s="107">
        <v>68.25</v>
      </c>
      <c r="F1568" s="107">
        <v>67.45</v>
      </c>
      <c r="G1568">
        <v>492402</v>
      </c>
      <c r="H1568" s="107"/>
      <c r="I1568" s="107"/>
      <c r="L1568" s="130">
        <v>44315</v>
      </c>
      <c r="M1568" s="107">
        <v>67.5</v>
      </c>
      <c r="N1568" s="107">
        <v>69.2</v>
      </c>
      <c r="O1568" s="107">
        <v>66.650000000000006</v>
      </c>
      <c r="P1568" s="107">
        <v>68.599999999999994</v>
      </c>
      <c r="Q1568" s="107">
        <v>67.5</v>
      </c>
      <c r="R1568">
        <v>5084967</v>
      </c>
    </row>
    <row r="1569" spans="1:18" x14ac:dyDescent="0.25">
      <c r="A1569" s="130">
        <v>44316</v>
      </c>
      <c r="B1569" s="107">
        <v>67.75</v>
      </c>
      <c r="C1569" s="107">
        <v>66.349999999999994</v>
      </c>
      <c r="D1569" s="107">
        <v>65.650000000000006</v>
      </c>
      <c r="E1569" s="107">
        <v>67.2</v>
      </c>
      <c r="F1569" s="107">
        <v>66.349999999999994</v>
      </c>
      <c r="G1569">
        <v>316573</v>
      </c>
      <c r="H1569" s="107"/>
      <c r="I1569" s="107"/>
      <c r="L1569" s="130">
        <v>44316</v>
      </c>
      <c r="M1569" s="107">
        <v>66.349999999999994</v>
      </c>
      <c r="N1569" s="107">
        <v>67.8</v>
      </c>
      <c r="O1569" s="107">
        <v>65</v>
      </c>
      <c r="P1569" s="107">
        <v>67</v>
      </c>
      <c r="Q1569" s="107">
        <v>66.349999999999994</v>
      </c>
      <c r="R1569">
        <v>4098425</v>
      </c>
    </row>
    <row r="1570" spans="1:18" x14ac:dyDescent="0.25">
      <c r="A1570" s="130">
        <v>44319</v>
      </c>
      <c r="B1570" s="107">
        <v>66.349999999999994</v>
      </c>
      <c r="C1570" s="107">
        <v>65.55</v>
      </c>
      <c r="D1570" s="107">
        <v>65</v>
      </c>
      <c r="E1570" s="107">
        <v>66.349999999999994</v>
      </c>
      <c r="F1570" s="107">
        <v>65.55</v>
      </c>
      <c r="G1570">
        <v>349337</v>
      </c>
      <c r="H1570" s="107"/>
      <c r="I1570" s="107"/>
      <c r="L1570" s="130">
        <v>44319</v>
      </c>
      <c r="M1570" s="107">
        <v>65.55</v>
      </c>
      <c r="N1570" s="107">
        <v>66.349999999999994</v>
      </c>
      <c r="O1570" s="107">
        <v>64.599999999999994</v>
      </c>
      <c r="P1570" s="107">
        <v>65</v>
      </c>
      <c r="Q1570" s="107">
        <v>65.55</v>
      </c>
      <c r="R1570">
        <v>3219945</v>
      </c>
    </row>
    <row r="1571" spans="1:18" x14ac:dyDescent="0.25">
      <c r="A1571" s="130">
        <v>44320</v>
      </c>
      <c r="B1571" s="107">
        <v>71.599999999999994</v>
      </c>
      <c r="C1571" s="107">
        <v>68.55</v>
      </c>
      <c r="D1571" s="107">
        <v>65.599999999999994</v>
      </c>
      <c r="E1571" s="107">
        <v>65.599999999999994</v>
      </c>
      <c r="F1571" s="107">
        <v>68.55</v>
      </c>
      <c r="G1571">
        <v>1640133</v>
      </c>
      <c r="H1571" s="107"/>
      <c r="I1571" s="107"/>
      <c r="L1571" s="130">
        <v>44320</v>
      </c>
      <c r="M1571" s="107">
        <v>68.55</v>
      </c>
      <c r="N1571" s="107">
        <v>71.650000000000006</v>
      </c>
      <c r="O1571" s="107">
        <v>66.099999999999994</v>
      </c>
      <c r="P1571" s="107">
        <v>66.2</v>
      </c>
      <c r="Q1571" s="107">
        <v>68.55</v>
      </c>
      <c r="R1571">
        <v>17402333</v>
      </c>
    </row>
    <row r="1572" spans="1:18" x14ac:dyDescent="0.25">
      <c r="A1572" s="130">
        <v>44321</v>
      </c>
      <c r="B1572" s="107">
        <v>70.75</v>
      </c>
      <c r="C1572" s="107">
        <v>69.150000000000006</v>
      </c>
      <c r="D1572" s="107">
        <v>68.8</v>
      </c>
      <c r="E1572" s="107">
        <v>70</v>
      </c>
      <c r="F1572" s="107">
        <v>69.150000000000006</v>
      </c>
      <c r="G1572">
        <v>648044</v>
      </c>
      <c r="H1572" s="107"/>
      <c r="I1572" s="107"/>
      <c r="L1572" s="130">
        <v>44321</v>
      </c>
      <c r="M1572" s="107">
        <v>69.2</v>
      </c>
      <c r="N1572" s="107">
        <v>70.8</v>
      </c>
      <c r="O1572" s="107">
        <v>68.849999999999994</v>
      </c>
      <c r="P1572" s="107">
        <v>69.599999999999994</v>
      </c>
      <c r="Q1572" s="107">
        <v>69.2</v>
      </c>
      <c r="R1572">
        <v>6705529</v>
      </c>
    </row>
    <row r="1573" spans="1:18" x14ac:dyDescent="0.25">
      <c r="A1573" s="130">
        <v>44322</v>
      </c>
      <c r="B1573" s="107">
        <v>70.400000000000006</v>
      </c>
      <c r="C1573" s="107">
        <v>68.25</v>
      </c>
      <c r="D1573" s="107">
        <v>67.900000000000006</v>
      </c>
      <c r="E1573" s="107">
        <v>69.8</v>
      </c>
      <c r="F1573" s="107">
        <v>68.25</v>
      </c>
      <c r="G1573">
        <v>325943</v>
      </c>
      <c r="H1573" s="107"/>
      <c r="I1573" s="107"/>
      <c r="L1573" s="130">
        <v>44322</v>
      </c>
      <c r="M1573" s="107">
        <v>68.3</v>
      </c>
      <c r="N1573" s="107">
        <v>70.5</v>
      </c>
      <c r="O1573" s="107">
        <v>67.849999999999994</v>
      </c>
      <c r="P1573" s="107">
        <v>69.900000000000006</v>
      </c>
      <c r="Q1573" s="107">
        <v>68.3</v>
      </c>
      <c r="R1573">
        <v>6158532</v>
      </c>
    </row>
    <row r="1574" spans="1:18" x14ac:dyDescent="0.25">
      <c r="A1574" s="130">
        <v>44323</v>
      </c>
      <c r="B1574" s="107">
        <v>69.45</v>
      </c>
      <c r="C1574" s="107">
        <v>67.650000000000006</v>
      </c>
      <c r="D1574" s="107">
        <v>67.3</v>
      </c>
      <c r="E1574" s="107">
        <v>69.45</v>
      </c>
      <c r="F1574" s="107">
        <v>67.650000000000006</v>
      </c>
      <c r="G1574">
        <v>149002</v>
      </c>
      <c r="H1574" s="107"/>
      <c r="I1574" s="107"/>
      <c r="L1574" s="130">
        <v>44323</v>
      </c>
      <c r="M1574" s="107">
        <v>67.650000000000006</v>
      </c>
      <c r="N1574" s="107">
        <v>69.400000000000006</v>
      </c>
      <c r="O1574" s="107">
        <v>67.2</v>
      </c>
      <c r="P1574" s="107">
        <v>68.8</v>
      </c>
      <c r="Q1574" s="107">
        <v>67.650000000000006</v>
      </c>
      <c r="R1574">
        <v>3171817</v>
      </c>
    </row>
    <row r="1575" spans="1:18" x14ac:dyDescent="0.25">
      <c r="A1575" s="130">
        <v>44326</v>
      </c>
      <c r="B1575" s="107">
        <v>70</v>
      </c>
      <c r="C1575" s="107">
        <v>67.95</v>
      </c>
      <c r="D1575" s="107">
        <v>67.599999999999994</v>
      </c>
      <c r="E1575" s="107">
        <v>67.8</v>
      </c>
      <c r="F1575" s="107">
        <v>67.95</v>
      </c>
      <c r="G1575">
        <v>608174</v>
      </c>
      <c r="H1575" s="107"/>
      <c r="I1575" s="107"/>
      <c r="L1575" s="130">
        <v>44326</v>
      </c>
      <c r="M1575" s="107">
        <v>68</v>
      </c>
      <c r="N1575" s="107">
        <v>70.05</v>
      </c>
      <c r="O1575" s="107">
        <v>67.599999999999994</v>
      </c>
      <c r="P1575" s="107">
        <v>68.5</v>
      </c>
      <c r="Q1575" s="107">
        <v>68</v>
      </c>
      <c r="R1575">
        <v>6378808</v>
      </c>
    </row>
    <row r="1576" spans="1:18" x14ac:dyDescent="0.25">
      <c r="A1576" s="130">
        <v>44327</v>
      </c>
      <c r="B1576" s="107">
        <v>69.8</v>
      </c>
      <c r="C1576" s="107">
        <v>69.349999999999994</v>
      </c>
      <c r="D1576" s="107">
        <v>66.849999999999994</v>
      </c>
      <c r="E1576" s="107">
        <v>67.25</v>
      </c>
      <c r="F1576" s="107">
        <v>69.349999999999994</v>
      </c>
      <c r="G1576">
        <v>495766</v>
      </c>
      <c r="H1576" s="107"/>
      <c r="I1576" s="107"/>
      <c r="L1576" s="130">
        <v>44327</v>
      </c>
      <c r="M1576" s="107">
        <v>69.400000000000006</v>
      </c>
      <c r="N1576" s="107">
        <v>69.849999999999994</v>
      </c>
      <c r="O1576" s="107">
        <v>66.5</v>
      </c>
      <c r="P1576" s="107">
        <v>67.599999999999994</v>
      </c>
      <c r="Q1576" s="107">
        <v>69.400000000000006</v>
      </c>
      <c r="R1576">
        <v>9099978</v>
      </c>
    </row>
    <row r="1577" spans="1:18" x14ac:dyDescent="0.25">
      <c r="A1577" s="130">
        <v>44328</v>
      </c>
      <c r="B1577" s="107">
        <v>74.5</v>
      </c>
      <c r="C1577" s="107">
        <v>72.8</v>
      </c>
      <c r="D1577" s="107">
        <v>69.349999999999994</v>
      </c>
      <c r="E1577" s="107">
        <v>69.7</v>
      </c>
      <c r="F1577" s="107">
        <v>72.8</v>
      </c>
      <c r="G1577">
        <v>1235294</v>
      </c>
      <c r="H1577" s="107"/>
      <c r="I1577" s="107"/>
      <c r="L1577" s="130">
        <v>44328</v>
      </c>
      <c r="M1577" s="107">
        <v>72.75</v>
      </c>
      <c r="N1577" s="107">
        <v>74.599999999999994</v>
      </c>
      <c r="O1577" s="107">
        <v>69.3</v>
      </c>
      <c r="P1577" s="107">
        <v>69.400000000000006</v>
      </c>
      <c r="Q1577" s="107">
        <v>72.75</v>
      </c>
      <c r="R1577">
        <v>21376954</v>
      </c>
    </row>
    <row r="1578" spans="1:18" x14ac:dyDescent="0.25">
      <c r="A1578" s="130">
        <v>44330</v>
      </c>
      <c r="B1578" s="107">
        <v>77.650000000000006</v>
      </c>
      <c r="C1578" s="107">
        <v>74.2</v>
      </c>
      <c r="D1578" s="107">
        <v>73.55</v>
      </c>
      <c r="E1578" s="107">
        <v>74</v>
      </c>
      <c r="F1578" s="107">
        <v>74.2</v>
      </c>
      <c r="G1578">
        <v>2261186</v>
      </c>
      <c r="H1578" s="107"/>
      <c r="I1578" s="107"/>
      <c r="L1578" s="130">
        <v>44330</v>
      </c>
      <c r="M1578" s="107">
        <v>74.25</v>
      </c>
      <c r="N1578" s="107">
        <v>77.650000000000006</v>
      </c>
      <c r="O1578" s="107">
        <v>73.55</v>
      </c>
      <c r="P1578" s="107">
        <v>74</v>
      </c>
      <c r="Q1578" s="107">
        <v>74.25</v>
      </c>
      <c r="R1578">
        <v>25880789</v>
      </c>
    </row>
    <row r="1579" spans="1:18" x14ac:dyDescent="0.25">
      <c r="A1579" s="130">
        <v>44333</v>
      </c>
      <c r="B1579" s="107">
        <v>76.3</v>
      </c>
      <c r="C1579" s="107">
        <v>75.5</v>
      </c>
      <c r="D1579" s="107">
        <v>74.55</v>
      </c>
      <c r="E1579" s="107">
        <v>75</v>
      </c>
      <c r="F1579" s="107">
        <v>75.5</v>
      </c>
      <c r="G1579">
        <v>610995</v>
      </c>
      <c r="H1579" s="107"/>
      <c r="I1579" s="107"/>
      <c r="L1579" s="130">
        <v>44333</v>
      </c>
      <c r="M1579" s="107">
        <v>75.5</v>
      </c>
      <c r="N1579" s="107">
        <v>76.400000000000006</v>
      </c>
      <c r="O1579" s="107">
        <v>74.5</v>
      </c>
      <c r="P1579" s="107">
        <v>74.849999999999994</v>
      </c>
      <c r="Q1579" s="107">
        <v>75.5</v>
      </c>
      <c r="R1579">
        <v>9055814</v>
      </c>
    </row>
    <row r="1580" spans="1:18" x14ac:dyDescent="0.25">
      <c r="A1580" s="130">
        <v>44334</v>
      </c>
      <c r="B1580" s="107">
        <v>76.849999999999994</v>
      </c>
      <c r="C1580" s="107">
        <v>74.599999999999994</v>
      </c>
      <c r="D1580" s="107">
        <v>73.900000000000006</v>
      </c>
      <c r="E1580" s="107">
        <v>76</v>
      </c>
      <c r="F1580" s="107">
        <v>74.599999999999994</v>
      </c>
      <c r="G1580">
        <v>472042</v>
      </c>
      <c r="H1580" s="107"/>
      <c r="I1580" s="107"/>
      <c r="L1580" s="130">
        <v>44334</v>
      </c>
      <c r="M1580" s="107">
        <v>74.650000000000006</v>
      </c>
      <c r="N1580" s="107">
        <v>76.900000000000006</v>
      </c>
      <c r="O1580" s="107">
        <v>73.849999999999994</v>
      </c>
      <c r="P1580" s="107">
        <v>76.150000000000006</v>
      </c>
      <c r="Q1580" s="107">
        <v>74.650000000000006</v>
      </c>
      <c r="R1580">
        <v>6185711</v>
      </c>
    </row>
    <row r="1581" spans="1:18" x14ac:dyDescent="0.25">
      <c r="A1581" s="130">
        <v>44335</v>
      </c>
      <c r="B1581" s="107">
        <v>82.7</v>
      </c>
      <c r="C1581" s="107">
        <v>77.55</v>
      </c>
      <c r="D1581" s="107">
        <v>73.8</v>
      </c>
      <c r="E1581" s="107">
        <v>75</v>
      </c>
      <c r="F1581" s="107">
        <v>77.55</v>
      </c>
      <c r="G1581">
        <v>3316964</v>
      </c>
      <c r="H1581" s="107"/>
      <c r="I1581" s="107"/>
      <c r="L1581" s="130">
        <v>44335</v>
      </c>
      <c r="M1581" s="107">
        <v>77.5</v>
      </c>
      <c r="N1581" s="107">
        <v>82.75</v>
      </c>
      <c r="O1581" s="107">
        <v>73.75</v>
      </c>
      <c r="P1581" s="107">
        <v>74.5</v>
      </c>
      <c r="Q1581" s="107">
        <v>77.5</v>
      </c>
      <c r="R1581">
        <v>39436913</v>
      </c>
    </row>
    <row r="1582" spans="1:18" x14ac:dyDescent="0.25">
      <c r="A1582" s="130">
        <v>44336</v>
      </c>
      <c r="B1582" s="107">
        <v>78.5</v>
      </c>
      <c r="C1582" s="107">
        <v>77.45</v>
      </c>
      <c r="D1582" s="107">
        <v>75.55</v>
      </c>
      <c r="E1582" s="107">
        <v>78.5</v>
      </c>
      <c r="F1582" s="107">
        <v>77.45</v>
      </c>
      <c r="G1582">
        <v>906535</v>
      </c>
      <c r="H1582" s="107"/>
      <c r="I1582" s="107"/>
      <c r="L1582" s="130">
        <v>44336</v>
      </c>
      <c r="M1582" s="107">
        <v>77.45</v>
      </c>
      <c r="N1582" s="107">
        <v>78.5</v>
      </c>
      <c r="O1582" s="107">
        <v>75.5</v>
      </c>
      <c r="P1582" s="107">
        <v>78.349999999999994</v>
      </c>
      <c r="Q1582" s="107">
        <v>77.45</v>
      </c>
      <c r="R1582">
        <v>8545884</v>
      </c>
    </row>
    <row r="1583" spans="1:18" x14ac:dyDescent="0.25">
      <c r="A1583" s="130">
        <v>44337</v>
      </c>
      <c r="B1583" s="107">
        <v>80</v>
      </c>
      <c r="C1583" s="107">
        <v>78.400000000000006</v>
      </c>
      <c r="D1583" s="107">
        <v>77.099999999999994</v>
      </c>
      <c r="E1583" s="107">
        <v>77.5</v>
      </c>
      <c r="F1583" s="107">
        <v>78.400000000000006</v>
      </c>
      <c r="G1583">
        <v>778079</v>
      </c>
      <c r="H1583" s="107"/>
      <c r="I1583" s="107"/>
      <c r="L1583" s="130">
        <v>44337</v>
      </c>
      <c r="M1583" s="107">
        <v>78.400000000000006</v>
      </c>
      <c r="N1583" s="107">
        <v>80</v>
      </c>
      <c r="O1583" s="107">
        <v>77.099999999999994</v>
      </c>
      <c r="P1583" s="107">
        <v>78.099999999999994</v>
      </c>
      <c r="Q1583" s="107">
        <v>78.400000000000006</v>
      </c>
      <c r="R1583">
        <v>12668355</v>
      </c>
    </row>
    <row r="1584" spans="1:18" x14ac:dyDescent="0.25">
      <c r="A1584" s="130">
        <v>44340</v>
      </c>
      <c r="B1584" s="107">
        <v>79.849999999999994</v>
      </c>
      <c r="C1584" s="107">
        <v>78.900000000000006</v>
      </c>
      <c r="D1584" s="107">
        <v>78.3</v>
      </c>
      <c r="E1584" s="107">
        <v>79.7</v>
      </c>
      <c r="F1584" s="107">
        <v>78.900000000000006</v>
      </c>
      <c r="G1584">
        <v>563516</v>
      </c>
      <c r="H1584" s="107"/>
      <c r="I1584" s="107"/>
      <c r="L1584" s="130">
        <v>44340</v>
      </c>
      <c r="M1584" s="107">
        <v>78.849999999999994</v>
      </c>
      <c r="N1584" s="107">
        <v>79.8</v>
      </c>
      <c r="O1584" s="107">
        <v>78.3</v>
      </c>
      <c r="P1584" s="107">
        <v>79.2</v>
      </c>
      <c r="Q1584" s="107">
        <v>78.849999999999994</v>
      </c>
      <c r="R1584">
        <v>8330642</v>
      </c>
    </row>
    <row r="1585" spans="1:18" x14ac:dyDescent="0.25">
      <c r="A1585" s="130">
        <v>44341</v>
      </c>
      <c r="B1585" s="107">
        <v>79.599999999999994</v>
      </c>
      <c r="C1585" s="107">
        <v>76.95</v>
      </c>
      <c r="D1585" s="107">
        <v>76.55</v>
      </c>
      <c r="E1585" s="107">
        <v>79.400000000000006</v>
      </c>
      <c r="F1585" s="107">
        <v>76.95</v>
      </c>
      <c r="G1585">
        <v>697009</v>
      </c>
      <c r="H1585" s="107"/>
      <c r="I1585" s="107"/>
      <c r="L1585" s="130">
        <v>44341</v>
      </c>
      <c r="M1585" s="107">
        <v>77</v>
      </c>
      <c r="N1585" s="107">
        <v>79.8</v>
      </c>
      <c r="O1585" s="107">
        <v>76.5</v>
      </c>
      <c r="P1585" s="107">
        <v>79.400000000000006</v>
      </c>
      <c r="Q1585" s="107">
        <v>77</v>
      </c>
      <c r="R1585">
        <v>5709900</v>
      </c>
    </row>
    <row r="1586" spans="1:18" x14ac:dyDescent="0.25">
      <c r="A1586" s="130">
        <v>44342</v>
      </c>
      <c r="B1586" s="107">
        <v>77.75</v>
      </c>
      <c r="C1586" s="107">
        <v>76.95</v>
      </c>
      <c r="D1586" s="107">
        <v>76.25</v>
      </c>
      <c r="E1586" s="107">
        <v>77.45</v>
      </c>
      <c r="F1586" s="107">
        <v>76.95</v>
      </c>
      <c r="G1586">
        <v>383753</v>
      </c>
      <c r="H1586" s="107"/>
      <c r="I1586" s="107"/>
      <c r="L1586" s="130">
        <v>44342</v>
      </c>
      <c r="M1586" s="107">
        <v>76.900000000000006</v>
      </c>
      <c r="N1586" s="107">
        <v>77.75</v>
      </c>
      <c r="O1586" s="107">
        <v>76.099999999999994</v>
      </c>
      <c r="P1586" s="107">
        <v>77.099999999999994</v>
      </c>
      <c r="Q1586" s="107">
        <v>76.900000000000006</v>
      </c>
      <c r="R1586">
        <v>4089734</v>
      </c>
    </row>
    <row r="1587" spans="1:18" x14ac:dyDescent="0.25">
      <c r="A1587" s="130">
        <v>44343</v>
      </c>
      <c r="B1587" s="107">
        <v>78.150000000000006</v>
      </c>
      <c r="C1587" s="107">
        <v>77.05</v>
      </c>
      <c r="D1587" s="107">
        <v>76.099999999999994</v>
      </c>
      <c r="E1587" s="107">
        <v>77</v>
      </c>
      <c r="F1587" s="107">
        <v>77.05</v>
      </c>
      <c r="G1587">
        <v>469014</v>
      </c>
      <c r="H1587" s="107"/>
      <c r="I1587" s="107"/>
      <c r="L1587" s="130">
        <v>44343</v>
      </c>
      <c r="M1587" s="107">
        <v>77</v>
      </c>
      <c r="N1587" s="107">
        <v>78.2</v>
      </c>
      <c r="O1587" s="107">
        <v>76.150000000000006</v>
      </c>
      <c r="P1587" s="107">
        <v>77</v>
      </c>
      <c r="Q1587" s="107">
        <v>77</v>
      </c>
      <c r="R1587">
        <v>4795650</v>
      </c>
    </row>
    <row r="1588" spans="1:18" x14ac:dyDescent="0.25">
      <c r="A1588" s="130">
        <v>44344</v>
      </c>
      <c r="B1588" s="107">
        <v>79.400000000000006</v>
      </c>
      <c r="C1588" s="107">
        <v>77.5</v>
      </c>
      <c r="D1588" s="107">
        <v>76.2</v>
      </c>
      <c r="E1588" s="107">
        <v>77.400000000000006</v>
      </c>
      <c r="F1588" s="107">
        <v>77.5</v>
      </c>
      <c r="G1588">
        <v>1498120</v>
      </c>
      <c r="H1588" s="107"/>
      <c r="I1588" s="107"/>
      <c r="L1588" s="130">
        <v>44344</v>
      </c>
      <c r="M1588" s="107">
        <v>77.55</v>
      </c>
      <c r="N1588" s="107">
        <v>79.45</v>
      </c>
      <c r="O1588" s="107">
        <v>76.95</v>
      </c>
      <c r="P1588" s="107">
        <v>78</v>
      </c>
      <c r="Q1588" s="107">
        <v>77.55</v>
      </c>
      <c r="R1588">
        <v>9115066</v>
      </c>
    </row>
    <row r="1589" spans="1:18" x14ac:dyDescent="0.25">
      <c r="A1589" s="130">
        <v>44347</v>
      </c>
      <c r="B1589" s="107">
        <v>78.150000000000006</v>
      </c>
      <c r="C1589" s="107">
        <v>77.150000000000006</v>
      </c>
      <c r="D1589" s="107">
        <v>76.3</v>
      </c>
      <c r="E1589" s="107">
        <v>77.25</v>
      </c>
      <c r="F1589" s="107">
        <v>77.150000000000006</v>
      </c>
      <c r="G1589">
        <v>320994</v>
      </c>
      <c r="H1589" s="107"/>
      <c r="I1589" s="107"/>
      <c r="L1589" s="130">
        <v>44347</v>
      </c>
      <c r="M1589" s="107">
        <v>77.2</v>
      </c>
      <c r="N1589" s="107">
        <v>78.099999999999994</v>
      </c>
      <c r="O1589" s="107">
        <v>76.349999999999994</v>
      </c>
      <c r="P1589" s="107">
        <v>77.900000000000006</v>
      </c>
      <c r="Q1589" s="107">
        <v>77.2</v>
      </c>
      <c r="R1589">
        <v>4394510</v>
      </c>
    </row>
    <row r="1590" spans="1:18" x14ac:dyDescent="0.25">
      <c r="A1590" s="130">
        <v>44348</v>
      </c>
      <c r="B1590" s="107">
        <v>77.7</v>
      </c>
      <c r="C1590" s="107">
        <v>76.150000000000006</v>
      </c>
      <c r="D1590" s="107">
        <v>76.099999999999994</v>
      </c>
      <c r="E1590" s="107">
        <v>77.599999999999994</v>
      </c>
      <c r="F1590" s="107">
        <v>76.150000000000006</v>
      </c>
      <c r="G1590">
        <v>226113</v>
      </c>
      <c r="H1590" s="107"/>
      <c r="I1590" s="107"/>
      <c r="L1590" s="130">
        <v>44348</v>
      </c>
      <c r="M1590" s="107">
        <v>76.2</v>
      </c>
      <c r="N1590" s="107">
        <v>77.75</v>
      </c>
      <c r="O1590" s="107">
        <v>76.05</v>
      </c>
      <c r="P1590" s="107">
        <v>77.7</v>
      </c>
      <c r="Q1590" s="107">
        <v>76.2</v>
      </c>
      <c r="R1590">
        <v>2994219</v>
      </c>
    </row>
    <row r="1591" spans="1:18" x14ac:dyDescent="0.25">
      <c r="A1591" s="130">
        <v>44349</v>
      </c>
      <c r="B1591" s="107">
        <v>79.3</v>
      </c>
      <c r="C1591" s="107">
        <v>78.3</v>
      </c>
      <c r="D1591" s="107">
        <v>76.150000000000006</v>
      </c>
      <c r="E1591" s="107">
        <v>77</v>
      </c>
      <c r="F1591" s="107">
        <v>78.3</v>
      </c>
      <c r="G1591">
        <v>443452</v>
      </c>
      <c r="H1591" s="107"/>
      <c r="I1591" s="107"/>
      <c r="L1591" s="130">
        <v>44349</v>
      </c>
      <c r="M1591" s="107">
        <v>78.349999999999994</v>
      </c>
      <c r="N1591" s="107">
        <v>79.349999999999994</v>
      </c>
      <c r="O1591" s="107">
        <v>76.099999999999994</v>
      </c>
      <c r="P1591" s="107">
        <v>76.2</v>
      </c>
      <c r="Q1591" s="107">
        <v>78.349999999999994</v>
      </c>
      <c r="R1591">
        <v>8624520</v>
      </c>
    </row>
    <row r="1592" spans="1:18" x14ac:dyDescent="0.25">
      <c r="A1592" s="130">
        <v>44350</v>
      </c>
      <c r="B1592" s="107">
        <v>81.2</v>
      </c>
      <c r="C1592" s="107">
        <v>80.2</v>
      </c>
      <c r="D1592" s="107">
        <v>78.95</v>
      </c>
      <c r="E1592" s="107">
        <v>79.400000000000006</v>
      </c>
      <c r="F1592" s="107">
        <v>80.2</v>
      </c>
      <c r="G1592">
        <v>1076465</v>
      </c>
      <c r="H1592" s="107"/>
      <c r="I1592" s="107"/>
      <c r="L1592" s="130">
        <v>44350</v>
      </c>
      <c r="M1592" s="107">
        <v>80.2</v>
      </c>
      <c r="N1592" s="107">
        <v>81.2</v>
      </c>
      <c r="O1592" s="107">
        <v>78.95</v>
      </c>
      <c r="P1592" s="107">
        <v>79.25</v>
      </c>
      <c r="Q1592" s="107">
        <v>80.2</v>
      </c>
      <c r="R1592">
        <v>17351338</v>
      </c>
    </row>
    <row r="1593" spans="1:18" x14ac:dyDescent="0.25">
      <c r="A1593" s="130">
        <v>44351</v>
      </c>
      <c r="B1593" s="107">
        <v>84.8</v>
      </c>
      <c r="C1593" s="107">
        <v>82.3</v>
      </c>
      <c r="D1593" s="107">
        <v>80.2</v>
      </c>
      <c r="E1593" s="107">
        <v>80.2</v>
      </c>
      <c r="F1593" s="107">
        <v>82.3</v>
      </c>
      <c r="G1593">
        <v>4295251</v>
      </c>
      <c r="H1593" s="107"/>
      <c r="I1593" s="107"/>
      <c r="L1593" s="130">
        <v>44351</v>
      </c>
      <c r="M1593" s="107">
        <v>82.4</v>
      </c>
      <c r="N1593" s="107">
        <v>84.8</v>
      </c>
      <c r="O1593" s="107">
        <v>80.55</v>
      </c>
      <c r="P1593" s="107">
        <v>80.849999999999994</v>
      </c>
      <c r="Q1593" s="107">
        <v>82.4</v>
      </c>
      <c r="R1593">
        <v>44924053</v>
      </c>
    </row>
    <row r="1594" spans="1:18" x14ac:dyDescent="0.25">
      <c r="A1594" s="130">
        <v>44354</v>
      </c>
      <c r="B1594" s="107">
        <v>86.95</v>
      </c>
      <c r="C1594" s="107">
        <v>84.65</v>
      </c>
      <c r="D1594" s="107">
        <v>81.099999999999994</v>
      </c>
      <c r="E1594" s="107">
        <v>82.9</v>
      </c>
      <c r="F1594" s="107">
        <v>84.65</v>
      </c>
      <c r="G1594">
        <v>1220094</v>
      </c>
      <c r="H1594" s="107"/>
      <c r="I1594" s="107"/>
      <c r="L1594" s="130">
        <v>44354</v>
      </c>
      <c r="M1594" s="107">
        <v>84.6</v>
      </c>
      <c r="N1594" s="107">
        <v>87</v>
      </c>
      <c r="O1594" s="107">
        <v>81.099999999999994</v>
      </c>
      <c r="P1594" s="107">
        <v>82.4</v>
      </c>
      <c r="Q1594" s="107">
        <v>84.6</v>
      </c>
      <c r="R1594">
        <v>19082021</v>
      </c>
    </row>
    <row r="1595" spans="1:18" x14ac:dyDescent="0.25">
      <c r="A1595" s="130">
        <v>44355</v>
      </c>
      <c r="B1595" s="107">
        <v>84.7</v>
      </c>
      <c r="C1595" s="107">
        <v>82.1</v>
      </c>
      <c r="D1595" s="107">
        <v>81.349999999999994</v>
      </c>
      <c r="E1595" s="107">
        <v>84.65</v>
      </c>
      <c r="F1595" s="107">
        <v>82.1</v>
      </c>
      <c r="G1595">
        <v>1401257</v>
      </c>
      <c r="H1595" s="107"/>
      <c r="I1595" s="107"/>
      <c r="L1595" s="130">
        <v>44355</v>
      </c>
      <c r="M1595" s="107">
        <v>82.1</v>
      </c>
      <c r="N1595" s="107">
        <v>84.9</v>
      </c>
      <c r="O1595" s="107">
        <v>81.400000000000006</v>
      </c>
      <c r="P1595" s="107">
        <v>84.9</v>
      </c>
      <c r="Q1595" s="107">
        <v>82.1</v>
      </c>
      <c r="R1595">
        <v>10293202</v>
      </c>
    </row>
    <row r="1596" spans="1:18" x14ac:dyDescent="0.25">
      <c r="A1596" s="130">
        <v>44356</v>
      </c>
      <c r="B1596" s="107">
        <v>83.45</v>
      </c>
      <c r="C1596" s="107">
        <v>80.2</v>
      </c>
      <c r="D1596" s="107">
        <v>79.5</v>
      </c>
      <c r="E1596" s="107">
        <v>82.5</v>
      </c>
      <c r="F1596" s="107">
        <v>80.2</v>
      </c>
      <c r="G1596">
        <v>1321194</v>
      </c>
      <c r="H1596" s="107"/>
      <c r="I1596" s="107"/>
      <c r="L1596" s="130">
        <v>44356</v>
      </c>
      <c r="M1596" s="107">
        <v>80.25</v>
      </c>
      <c r="N1596" s="107">
        <v>83.45</v>
      </c>
      <c r="O1596" s="107">
        <v>79.5</v>
      </c>
      <c r="P1596" s="107">
        <v>82.6</v>
      </c>
      <c r="Q1596" s="107">
        <v>80.25</v>
      </c>
      <c r="R1596">
        <v>8019375</v>
      </c>
    </row>
    <row r="1597" spans="1:18" x14ac:dyDescent="0.25">
      <c r="A1597" s="130">
        <v>44357</v>
      </c>
      <c r="B1597" s="107">
        <v>81.849999999999994</v>
      </c>
      <c r="C1597" s="107">
        <v>80.75</v>
      </c>
      <c r="D1597" s="107">
        <v>80.5</v>
      </c>
      <c r="E1597" s="107">
        <v>81</v>
      </c>
      <c r="F1597" s="107">
        <v>80.75</v>
      </c>
      <c r="G1597">
        <v>475840</v>
      </c>
      <c r="H1597" s="107"/>
      <c r="I1597" s="107"/>
      <c r="L1597" s="130">
        <v>44357</v>
      </c>
      <c r="M1597" s="107">
        <v>80.75</v>
      </c>
      <c r="N1597" s="107">
        <v>81.900000000000006</v>
      </c>
      <c r="O1597" s="107">
        <v>80.400000000000006</v>
      </c>
      <c r="P1597" s="107">
        <v>80.8</v>
      </c>
      <c r="Q1597" s="107">
        <v>80.75</v>
      </c>
      <c r="R1597">
        <v>5122960</v>
      </c>
    </row>
    <row r="1598" spans="1:18" x14ac:dyDescent="0.25">
      <c r="A1598" s="130">
        <v>44358</v>
      </c>
      <c r="B1598" s="107">
        <v>81.599999999999994</v>
      </c>
      <c r="C1598" s="107">
        <v>80.45</v>
      </c>
      <c r="D1598" s="107">
        <v>80.099999999999994</v>
      </c>
      <c r="E1598" s="107">
        <v>81.099999999999994</v>
      </c>
      <c r="F1598" s="107">
        <v>80.45</v>
      </c>
      <c r="G1598">
        <v>518229</v>
      </c>
      <c r="H1598" s="107"/>
      <c r="I1598" s="107"/>
      <c r="L1598" s="130">
        <v>44358</v>
      </c>
      <c r="M1598" s="107">
        <v>80.400000000000006</v>
      </c>
      <c r="N1598" s="107">
        <v>81.650000000000006</v>
      </c>
      <c r="O1598" s="107">
        <v>80.099999999999994</v>
      </c>
      <c r="P1598" s="107">
        <v>80.75</v>
      </c>
      <c r="Q1598" s="107">
        <v>80.400000000000006</v>
      </c>
      <c r="R1598">
        <v>3704868</v>
      </c>
    </row>
    <row r="1599" spans="1:18" x14ac:dyDescent="0.25">
      <c r="A1599" s="130">
        <v>44361</v>
      </c>
      <c r="B1599" s="107">
        <v>80.95</v>
      </c>
      <c r="C1599" s="107">
        <v>79.25</v>
      </c>
      <c r="D1599" s="107">
        <v>78.150000000000006</v>
      </c>
      <c r="E1599" s="107">
        <v>80.3</v>
      </c>
      <c r="F1599" s="107">
        <v>79.25</v>
      </c>
      <c r="G1599">
        <v>788317</v>
      </c>
      <c r="H1599" s="107"/>
      <c r="I1599" s="107"/>
      <c r="L1599" s="130">
        <v>44361</v>
      </c>
      <c r="M1599" s="107">
        <v>79.2</v>
      </c>
      <c r="N1599" s="107">
        <v>80.95</v>
      </c>
      <c r="O1599" s="107">
        <v>78.099999999999994</v>
      </c>
      <c r="P1599" s="107">
        <v>80.599999999999994</v>
      </c>
      <c r="Q1599" s="107">
        <v>79.2</v>
      </c>
      <c r="R1599">
        <v>6897282</v>
      </c>
    </row>
    <row r="1600" spans="1:18" x14ac:dyDescent="0.25">
      <c r="A1600" s="130">
        <v>44362</v>
      </c>
      <c r="B1600" s="107">
        <v>80.8</v>
      </c>
      <c r="C1600" s="107">
        <v>79.599999999999994</v>
      </c>
      <c r="D1600" s="107">
        <v>79.25</v>
      </c>
      <c r="E1600" s="107">
        <v>79.599999999999994</v>
      </c>
      <c r="F1600" s="107">
        <v>79.599999999999994</v>
      </c>
      <c r="G1600">
        <v>410150</v>
      </c>
      <c r="H1600" s="107"/>
      <c r="I1600" s="107"/>
      <c r="L1600" s="130">
        <v>44362</v>
      </c>
      <c r="M1600" s="107">
        <v>79.599999999999994</v>
      </c>
      <c r="N1600" s="107">
        <v>80.8</v>
      </c>
      <c r="O1600" s="107">
        <v>79.150000000000006</v>
      </c>
      <c r="P1600" s="107">
        <v>79.95</v>
      </c>
      <c r="Q1600" s="107">
        <v>79.599999999999994</v>
      </c>
      <c r="R1600">
        <v>3841393</v>
      </c>
    </row>
    <row r="1601" spans="1:18" x14ac:dyDescent="0.25">
      <c r="A1601" s="130">
        <v>44363</v>
      </c>
      <c r="B1601" s="107">
        <v>80.5</v>
      </c>
      <c r="C1601" s="107">
        <v>78.5</v>
      </c>
      <c r="D1601" s="107">
        <v>78.25</v>
      </c>
      <c r="E1601" s="107">
        <v>79.3</v>
      </c>
      <c r="F1601" s="107">
        <v>78.5</v>
      </c>
      <c r="G1601">
        <v>390991</v>
      </c>
      <c r="H1601" s="107"/>
      <c r="I1601" s="107"/>
      <c r="L1601" s="130">
        <v>44363</v>
      </c>
      <c r="M1601" s="107">
        <v>78.45</v>
      </c>
      <c r="N1601" s="107">
        <v>80.45</v>
      </c>
      <c r="O1601" s="107">
        <v>78.25</v>
      </c>
      <c r="P1601" s="107">
        <v>79.7</v>
      </c>
      <c r="Q1601" s="107">
        <v>78.45</v>
      </c>
      <c r="R1601">
        <v>3793556</v>
      </c>
    </row>
    <row r="1602" spans="1:18" x14ac:dyDescent="0.25">
      <c r="A1602" s="130">
        <v>44364</v>
      </c>
      <c r="B1602" s="107">
        <v>78.900000000000006</v>
      </c>
      <c r="C1602" s="107">
        <v>77.099999999999994</v>
      </c>
      <c r="D1602" s="107">
        <v>76.8</v>
      </c>
      <c r="E1602" s="107">
        <v>77.900000000000006</v>
      </c>
      <c r="F1602" s="107">
        <v>77.099999999999994</v>
      </c>
      <c r="G1602">
        <v>427103</v>
      </c>
      <c r="H1602" s="107"/>
      <c r="I1602" s="107"/>
      <c r="L1602" s="130">
        <v>44364</v>
      </c>
      <c r="M1602" s="107">
        <v>77.099999999999994</v>
      </c>
      <c r="N1602" s="107">
        <v>78.900000000000006</v>
      </c>
      <c r="O1602" s="107">
        <v>76.8</v>
      </c>
      <c r="P1602" s="107">
        <v>78</v>
      </c>
      <c r="Q1602" s="107">
        <v>77.099999999999994</v>
      </c>
      <c r="R1602">
        <v>3570633</v>
      </c>
    </row>
    <row r="1603" spans="1:18" x14ac:dyDescent="0.25">
      <c r="A1603" s="130">
        <v>44365</v>
      </c>
      <c r="B1603" s="107">
        <v>77.900000000000006</v>
      </c>
      <c r="C1603" s="107">
        <v>75.25</v>
      </c>
      <c r="D1603" s="107">
        <v>73.75</v>
      </c>
      <c r="E1603" s="107">
        <v>77.900000000000006</v>
      </c>
      <c r="F1603" s="107">
        <v>75.25</v>
      </c>
      <c r="G1603">
        <v>1106834</v>
      </c>
      <c r="H1603" s="107"/>
      <c r="I1603" s="107"/>
      <c r="L1603" s="130">
        <v>44365</v>
      </c>
      <c r="M1603" s="107">
        <v>75.25</v>
      </c>
      <c r="N1603" s="107">
        <v>77.849999999999994</v>
      </c>
      <c r="O1603" s="107">
        <v>73.8</v>
      </c>
      <c r="P1603" s="107">
        <v>77.7</v>
      </c>
      <c r="Q1603" s="107">
        <v>75.25</v>
      </c>
      <c r="R1603">
        <v>4973255</v>
      </c>
    </row>
    <row r="1604" spans="1:18" x14ac:dyDescent="0.25">
      <c r="A1604" s="130">
        <v>44368</v>
      </c>
      <c r="B1604" s="107">
        <v>81.849999999999994</v>
      </c>
      <c r="C1604" s="107">
        <v>79</v>
      </c>
      <c r="D1604" s="107">
        <v>73.05</v>
      </c>
      <c r="E1604" s="107">
        <v>73.8</v>
      </c>
      <c r="F1604" s="107">
        <v>79</v>
      </c>
      <c r="G1604">
        <v>1566809</v>
      </c>
      <c r="H1604" s="107"/>
      <c r="I1604" s="107"/>
      <c r="L1604" s="130">
        <v>44368</v>
      </c>
      <c r="M1604" s="107">
        <v>79.05</v>
      </c>
      <c r="N1604" s="107">
        <v>82</v>
      </c>
      <c r="O1604" s="107">
        <v>73.099999999999994</v>
      </c>
      <c r="P1604" s="107">
        <v>74.5</v>
      </c>
      <c r="Q1604" s="107">
        <v>79.05</v>
      </c>
      <c r="R1604">
        <v>14843808</v>
      </c>
    </row>
    <row r="1605" spans="1:18" x14ac:dyDescent="0.25">
      <c r="A1605" s="130">
        <v>44369</v>
      </c>
      <c r="B1605" s="107">
        <v>81.5</v>
      </c>
      <c r="C1605" s="107">
        <v>78.7</v>
      </c>
      <c r="D1605" s="107">
        <v>78.349999999999994</v>
      </c>
      <c r="E1605" s="107">
        <v>80.099999999999994</v>
      </c>
      <c r="F1605" s="107">
        <v>78.7</v>
      </c>
      <c r="G1605">
        <v>346602</v>
      </c>
      <c r="H1605" s="107"/>
      <c r="I1605" s="107"/>
      <c r="L1605" s="130">
        <v>44369</v>
      </c>
      <c r="M1605" s="107">
        <v>78.75</v>
      </c>
      <c r="N1605" s="107">
        <v>81.5</v>
      </c>
      <c r="O1605" s="107">
        <v>78.2</v>
      </c>
      <c r="P1605" s="107">
        <v>80</v>
      </c>
      <c r="Q1605" s="107">
        <v>78.75</v>
      </c>
      <c r="R1605">
        <v>6004846</v>
      </c>
    </row>
    <row r="1606" spans="1:18" x14ac:dyDescent="0.25">
      <c r="A1606" s="130">
        <v>44370</v>
      </c>
      <c r="B1606" s="107">
        <v>79.75</v>
      </c>
      <c r="C1606" s="107">
        <v>78.3</v>
      </c>
      <c r="D1606" s="107">
        <v>78.099999999999994</v>
      </c>
      <c r="E1606" s="107">
        <v>79.75</v>
      </c>
      <c r="F1606" s="107">
        <v>78.3</v>
      </c>
      <c r="G1606">
        <v>538607</v>
      </c>
      <c r="H1606" s="107"/>
      <c r="I1606" s="107"/>
      <c r="L1606" s="130">
        <v>44370</v>
      </c>
      <c r="M1606" s="107">
        <v>78.3</v>
      </c>
      <c r="N1606" s="107">
        <v>79.45</v>
      </c>
      <c r="O1606" s="107">
        <v>78.099999999999994</v>
      </c>
      <c r="P1606" s="107">
        <v>79.45</v>
      </c>
      <c r="Q1606" s="107">
        <v>78.3</v>
      </c>
      <c r="R1606">
        <v>3209585</v>
      </c>
    </row>
    <row r="1607" spans="1:18" x14ac:dyDescent="0.25">
      <c r="A1607" s="130">
        <v>44371</v>
      </c>
      <c r="B1607" s="107">
        <v>79.3</v>
      </c>
      <c r="C1607" s="107">
        <v>77</v>
      </c>
      <c r="D1607" s="107">
        <v>76.650000000000006</v>
      </c>
      <c r="E1607" s="107">
        <v>79.3</v>
      </c>
      <c r="F1607" s="107">
        <v>77</v>
      </c>
      <c r="G1607">
        <v>544942</v>
      </c>
      <c r="H1607" s="107"/>
      <c r="I1607" s="107"/>
      <c r="L1607" s="130">
        <v>44371</v>
      </c>
      <c r="M1607" s="107">
        <v>77</v>
      </c>
      <c r="N1607" s="107">
        <v>78.8</v>
      </c>
      <c r="O1607" s="107">
        <v>76.5</v>
      </c>
      <c r="P1607" s="107">
        <v>78.8</v>
      </c>
      <c r="Q1607" s="107">
        <v>77</v>
      </c>
      <c r="R1607">
        <v>2876335</v>
      </c>
    </row>
    <row r="1608" spans="1:18" x14ac:dyDescent="0.25">
      <c r="A1608" s="130">
        <v>44372</v>
      </c>
      <c r="B1608" s="107">
        <v>79.2</v>
      </c>
      <c r="C1608" s="107">
        <v>77.650000000000006</v>
      </c>
      <c r="D1608" s="107">
        <v>77</v>
      </c>
      <c r="E1608" s="107">
        <v>77.599999999999994</v>
      </c>
      <c r="F1608" s="107">
        <v>77.650000000000006</v>
      </c>
      <c r="G1608">
        <v>217399</v>
      </c>
      <c r="H1608" s="107"/>
      <c r="I1608" s="107"/>
      <c r="L1608" s="130">
        <v>44372</v>
      </c>
      <c r="M1608" s="107">
        <v>77.650000000000006</v>
      </c>
      <c r="N1608" s="107">
        <v>79.25</v>
      </c>
      <c r="O1608" s="107">
        <v>77</v>
      </c>
      <c r="P1608" s="107">
        <v>77.400000000000006</v>
      </c>
      <c r="Q1608" s="107">
        <v>77.650000000000006</v>
      </c>
      <c r="R1608">
        <v>3450125</v>
      </c>
    </row>
    <row r="1609" spans="1:18" x14ac:dyDescent="0.25">
      <c r="A1609" s="130">
        <v>44375</v>
      </c>
      <c r="B1609" s="107">
        <v>81.349999999999994</v>
      </c>
      <c r="C1609" s="107">
        <v>80.3</v>
      </c>
      <c r="D1609" s="107">
        <v>77.599999999999994</v>
      </c>
      <c r="E1609" s="107">
        <v>77.599999999999994</v>
      </c>
      <c r="F1609" s="107">
        <v>80.3</v>
      </c>
      <c r="G1609">
        <v>709149</v>
      </c>
      <c r="H1609" s="107"/>
      <c r="I1609" s="107"/>
      <c r="L1609" s="130">
        <v>44375</v>
      </c>
      <c r="M1609" s="107">
        <v>80.5</v>
      </c>
      <c r="N1609" s="107">
        <v>81.3</v>
      </c>
      <c r="O1609" s="107">
        <v>78</v>
      </c>
      <c r="P1609" s="107">
        <v>78.2</v>
      </c>
      <c r="Q1609" s="107">
        <v>80.5</v>
      </c>
      <c r="R1609">
        <v>9694122</v>
      </c>
    </row>
    <row r="1610" spans="1:18" x14ac:dyDescent="0.25">
      <c r="A1610" s="130">
        <v>44376</v>
      </c>
      <c r="B1610" s="107">
        <v>81</v>
      </c>
      <c r="C1610" s="107">
        <v>78.75</v>
      </c>
      <c r="D1610" s="107">
        <v>78.099999999999994</v>
      </c>
      <c r="E1610" s="107">
        <v>81</v>
      </c>
      <c r="F1610" s="107">
        <v>78.75</v>
      </c>
      <c r="G1610">
        <v>394375</v>
      </c>
      <c r="H1610" s="107"/>
      <c r="I1610" s="107"/>
      <c r="L1610" s="130">
        <v>44376</v>
      </c>
      <c r="M1610" s="107">
        <v>78.650000000000006</v>
      </c>
      <c r="N1610" s="107">
        <v>80.7</v>
      </c>
      <c r="O1610" s="107">
        <v>78.099999999999994</v>
      </c>
      <c r="P1610" s="107">
        <v>80.7</v>
      </c>
      <c r="Q1610" s="107">
        <v>78.650000000000006</v>
      </c>
      <c r="R1610">
        <v>3942390</v>
      </c>
    </row>
    <row r="1611" spans="1:18" x14ac:dyDescent="0.25">
      <c r="A1611" s="130">
        <v>44377</v>
      </c>
      <c r="B1611" s="107">
        <v>80.7</v>
      </c>
      <c r="C1611" s="107">
        <v>77.900000000000006</v>
      </c>
      <c r="D1611" s="107">
        <v>77.599999999999994</v>
      </c>
      <c r="E1611" s="107">
        <v>79.349999999999994</v>
      </c>
      <c r="F1611" s="107">
        <v>77.900000000000006</v>
      </c>
      <c r="G1611">
        <v>717114</v>
      </c>
      <c r="H1611" s="107"/>
      <c r="I1611" s="107"/>
      <c r="L1611" s="130">
        <v>44377</v>
      </c>
      <c r="M1611" s="107">
        <v>77.900000000000006</v>
      </c>
      <c r="N1611" s="107">
        <v>80.75</v>
      </c>
      <c r="O1611" s="107">
        <v>77.599999999999994</v>
      </c>
      <c r="P1611" s="107">
        <v>78.8</v>
      </c>
      <c r="Q1611" s="107">
        <v>77.900000000000006</v>
      </c>
      <c r="R1611">
        <v>5285263</v>
      </c>
    </row>
    <row r="1612" spans="1:18" x14ac:dyDescent="0.25">
      <c r="A1612" s="130">
        <v>44378</v>
      </c>
      <c r="B1612" s="107">
        <v>78.8</v>
      </c>
      <c r="C1612" s="107">
        <v>77.650000000000006</v>
      </c>
      <c r="D1612" s="107">
        <v>77.400000000000006</v>
      </c>
      <c r="E1612" s="107">
        <v>77.599999999999994</v>
      </c>
      <c r="F1612" s="107">
        <v>77.650000000000006</v>
      </c>
      <c r="G1612">
        <v>213004</v>
      </c>
      <c r="H1612" s="107"/>
      <c r="I1612" s="107"/>
      <c r="L1612" s="130">
        <v>44378</v>
      </c>
      <c r="M1612" s="107">
        <v>77.650000000000006</v>
      </c>
      <c r="N1612" s="107">
        <v>78.75</v>
      </c>
      <c r="O1612" s="107">
        <v>77.400000000000006</v>
      </c>
      <c r="P1612" s="107">
        <v>78.400000000000006</v>
      </c>
      <c r="Q1612" s="107">
        <v>77.650000000000006</v>
      </c>
      <c r="R1612">
        <v>2461643</v>
      </c>
    </row>
    <row r="1613" spans="1:18" x14ac:dyDescent="0.25">
      <c r="A1613" s="130">
        <v>44379</v>
      </c>
      <c r="B1613" s="107">
        <v>78.45</v>
      </c>
      <c r="C1613" s="107">
        <v>77.05</v>
      </c>
      <c r="D1613" s="107">
        <v>76.8</v>
      </c>
      <c r="E1613" s="107">
        <v>78.45</v>
      </c>
      <c r="F1613" s="107">
        <v>77.05</v>
      </c>
      <c r="G1613">
        <v>369568</v>
      </c>
      <c r="H1613" s="107"/>
      <c r="I1613" s="107"/>
      <c r="L1613" s="130">
        <v>44379</v>
      </c>
      <c r="M1613" s="107">
        <v>77.05</v>
      </c>
      <c r="N1613" s="107">
        <v>78.5</v>
      </c>
      <c r="O1613" s="107">
        <v>76.8</v>
      </c>
      <c r="P1613" s="107">
        <v>78.05</v>
      </c>
      <c r="Q1613" s="107">
        <v>77.05</v>
      </c>
      <c r="R1613">
        <v>2410006</v>
      </c>
    </row>
    <row r="1614" spans="1:18" x14ac:dyDescent="0.25">
      <c r="A1614" s="130">
        <v>44382</v>
      </c>
      <c r="B1614" s="107">
        <v>77.8</v>
      </c>
      <c r="C1614" s="107">
        <v>76.95</v>
      </c>
      <c r="D1614" s="107">
        <v>76.8</v>
      </c>
      <c r="E1614" s="107">
        <v>77.599999999999994</v>
      </c>
      <c r="F1614" s="107">
        <v>76.95</v>
      </c>
      <c r="G1614">
        <v>372534</v>
      </c>
      <c r="H1614" s="107"/>
      <c r="I1614" s="107"/>
      <c r="L1614" s="130">
        <v>44382</v>
      </c>
      <c r="M1614" s="107">
        <v>76.95</v>
      </c>
      <c r="N1614" s="107">
        <v>77.849999999999994</v>
      </c>
      <c r="O1614" s="107">
        <v>76.849999999999994</v>
      </c>
      <c r="P1614" s="107">
        <v>77.849999999999994</v>
      </c>
      <c r="Q1614" s="107">
        <v>76.95</v>
      </c>
      <c r="R1614">
        <v>2451575</v>
      </c>
    </row>
    <row r="1615" spans="1:18" x14ac:dyDescent="0.25">
      <c r="A1615" s="130">
        <v>44383</v>
      </c>
      <c r="B1615" s="107">
        <v>77.849999999999994</v>
      </c>
      <c r="C1615" s="107">
        <v>76.5</v>
      </c>
      <c r="D1615" s="107">
        <v>76.3</v>
      </c>
      <c r="E1615" s="107">
        <v>77.5</v>
      </c>
      <c r="F1615" s="107">
        <v>76.5</v>
      </c>
      <c r="G1615">
        <v>448214</v>
      </c>
      <c r="H1615" s="107"/>
      <c r="I1615" s="107"/>
      <c r="L1615" s="130">
        <v>44383</v>
      </c>
      <c r="M1615" s="107">
        <v>76.5</v>
      </c>
      <c r="N1615" s="107">
        <v>77.849999999999994</v>
      </c>
      <c r="O1615" s="107">
        <v>76.349999999999994</v>
      </c>
      <c r="P1615" s="107">
        <v>77.25</v>
      </c>
      <c r="Q1615" s="107">
        <v>76.5</v>
      </c>
      <c r="R1615">
        <v>2776089</v>
      </c>
    </row>
    <row r="1616" spans="1:18" x14ac:dyDescent="0.25">
      <c r="A1616" s="130">
        <v>44384</v>
      </c>
      <c r="B1616" s="107">
        <v>76.95</v>
      </c>
      <c r="C1616" s="107">
        <v>76.150000000000006</v>
      </c>
      <c r="D1616" s="107">
        <v>75.849999999999994</v>
      </c>
      <c r="E1616" s="107">
        <v>76.900000000000006</v>
      </c>
      <c r="F1616" s="107">
        <v>76.150000000000006</v>
      </c>
      <c r="G1616">
        <v>213482</v>
      </c>
      <c r="H1616" s="107"/>
      <c r="I1616" s="107"/>
      <c r="L1616" s="130">
        <v>44384</v>
      </c>
      <c r="M1616" s="107">
        <v>76.150000000000006</v>
      </c>
      <c r="N1616" s="107">
        <v>76.95</v>
      </c>
      <c r="O1616" s="107">
        <v>75.849999999999994</v>
      </c>
      <c r="P1616" s="107">
        <v>76.599999999999994</v>
      </c>
      <c r="Q1616" s="107">
        <v>76.150000000000006</v>
      </c>
      <c r="R1616">
        <v>1996736</v>
      </c>
    </row>
    <row r="1617" spans="1:18" x14ac:dyDescent="0.25">
      <c r="A1617" s="130">
        <v>44385</v>
      </c>
      <c r="B1617" s="107">
        <v>76.849999999999994</v>
      </c>
      <c r="C1617" s="107">
        <v>75.599999999999994</v>
      </c>
      <c r="D1617" s="107">
        <v>75.3</v>
      </c>
      <c r="E1617" s="107">
        <v>76.099999999999994</v>
      </c>
      <c r="F1617" s="107">
        <v>75.599999999999994</v>
      </c>
      <c r="G1617">
        <v>232901</v>
      </c>
      <c r="H1617" s="107"/>
      <c r="I1617" s="107"/>
      <c r="L1617" s="130">
        <v>44385</v>
      </c>
      <c r="M1617" s="107">
        <v>75.599999999999994</v>
      </c>
      <c r="N1617" s="107">
        <v>76.849999999999994</v>
      </c>
      <c r="O1617" s="107">
        <v>75.3</v>
      </c>
      <c r="P1617" s="107">
        <v>76.55</v>
      </c>
      <c r="Q1617" s="107">
        <v>75.599999999999994</v>
      </c>
      <c r="R1617">
        <v>1887000</v>
      </c>
    </row>
    <row r="1618" spans="1:18" x14ac:dyDescent="0.25">
      <c r="A1618" s="130">
        <v>44386</v>
      </c>
      <c r="B1618" s="107">
        <v>76.05</v>
      </c>
      <c r="C1618" s="107">
        <v>75.3</v>
      </c>
      <c r="D1618" s="107">
        <v>74.8</v>
      </c>
      <c r="E1618" s="107">
        <v>75.099999999999994</v>
      </c>
      <c r="F1618" s="107">
        <v>75.3</v>
      </c>
      <c r="G1618">
        <v>257325</v>
      </c>
      <c r="H1618" s="107"/>
      <c r="I1618" s="107"/>
      <c r="L1618" s="130">
        <v>44386</v>
      </c>
      <c r="M1618" s="107">
        <v>75.349999999999994</v>
      </c>
      <c r="N1618" s="107">
        <v>76.05</v>
      </c>
      <c r="O1618" s="107">
        <v>74.849999999999994</v>
      </c>
      <c r="P1618" s="107">
        <v>75.599999999999994</v>
      </c>
      <c r="Q1618" s="107">
        <v>75.349999999999994</v>
      </c>
      <c r="R1618">
        <v>1905578</v>
      </c>
    </row>
    <row r="1619" spans="1:18" x14ac:dyDescent="0.25">
      <c r="A1619" s="130">
        <v>44389</v>
      </c>
      <c r="B1619" s="107">
        <v>76.5</v>
      </c>
      <c r="C1619" s="107">
        <v>75.599999999999994</v>
      </c>
      <c r="D1619" s="107">
        <v>75.349999999999994</v>
      </c>
      <c r="E1619" s="107">
        <v>76.5</v>
      </c>
      <c r="F1619" s="107">
        <v>75.599999999999994</v>
      </c>
      <c r="G1619">
        <v>142705</v>
      </c>
      <c r="H1619" s="107"/>
      <c r="I1619" s="107"/>
      <c r="L1619" s="130">
        <v>44389</v>
      </c>
      <c r="M1619" s="107">
        <v>75.55</v>
      </c>
      <c r="N1619" s="107">
        <v>76.400000000000006</v>
      </c>
      <c r="O1619" s="107">
        <v>75.349999999999994</v>
      </c>
      <c r="P1619" s="107">
        <v>75.900000000000006</v>
      </c>
      <c r="Q1619" s="107">
        <v>75.55</v>
      </c>
      <c r="R1619">
        <v>1572192</v>
      </c>
    </row>
    <row r="1620" spans="1:18" x14ac:dyDescent="0.25">
      <c r="A1620" s="130">
        <v>44390</v>
      </c>
      <c r="B1620" s="107">
        <v>77.099999999999994</v>
      </c>
      <c r="C1620" s="107">
        <v>76.3</v>
      </c>
      <c r="D1620" s="107">
        <v>75.650000000000006</v>
      </c>
      <c r="E1620" s="107">
        <v>76.400000000000006</v>
      </c>
      <c r="F1620" s="107">
        <v>76.3</v>
      </c>
      <c r="G1620">
        <v>289720</v>
      </c>
      <c r="H1620" s="107"/>
      <c r="I1620" s="107"/>
      <c r="L1620" s="130">
        <v>44390</v>
      </c>
      <c r="M1620" s="107">
        <v>76.3</v>
      </c>
      <c r="N1620" s="107">
        <v>77.2</v>
      </c>
      <c r="O1620" s="107">
        <v>75.650000000000006</v>
      </c>
      <c r="P1620" s="107">
        <v>75.650000000000006</v>
      </c>
      <c r="Q1620" s="107">
        <v>76.3</v>
      </c>
      <c r="R1620">
        <v>2484174</v>
      </c>
    </row>
    <row r="1621" spans="1:18" x14ac:dyDescent="0.25">
      <c r="A1621" s="130">
        <v>44391</v>
      </c>
      <c r="B1621" s="107">
        <v>77</v>
      </c>
      <c r="C1621" s="107">
        <v>75.8</v>
      </c>
      <c r="D1621" s="107">
        <v>75.400000000000006</v>
      </c>
      <c r="E1621" s="107">
        <v>77</v>
      </c>
      <c r="F1621" s="107">
        <v>75.8</v>
      </c>
      <c r="G1621">
        <v>106000</v>
      </c>
      <c r="H1621" s="107"/>
      <c r="I1621" s="107"/>
      <c r="L1621" s="130">
        <v>44391</v>
      </c>
      <c r="M1621" s="107">
        <v>75.849999999999994</v>
      </c>
      <c r="N1621" s="107">
        <v>76.3</v>
      </c>
      <c r="O1621" s="107">
        <v>75.349999999999994</v>
      </c>
      <c r="P1621" s="107">
        <v>76.3</v>
      </c>
      <c r="Q1621" s="107">
        <v>75.849999999999994</v>
      </c>
      <c r="R1621">
        <v>2230365</v>
      </c>
    </row>
    <row r="1622" spans="1:18" x14ac:dyDescent="0.25">
      <c r="A1622" s="130">
        <v>44392</v>
      </c>
      <c r="B1622" s="107">
        <v>76.3</v>
      </c>
      <c r="C1622" s="107">
        <v>75.349999999999994</v>
      </c>
      <c r="D1622" s="107">
        <v>75.05</v>
      </c>
      <c r="E1622" s="107">
        <v>75.900000000000006</v>
      </c>
      <c r="F1622" s="107">
        <v>75.349999999999994</v>
      </c>
      <c r="G1622">
        <v>119030</v>
      </c>
      <c r="H1622" s="107"/>
      <c r="I1622" s="107"/>
      <c r="L1622" s="130">
        <v>44392</v>
      </c>
      <c r="M1622" s="107">
        <v>75.45</v>
      </c>
      <c r="N1622" s="107">
        <v>76.3</v>
      </c>
      <c r="O1622" s="107">
        <v>75.25</v>
      </c>
      <c r="P1622" s="107">
        <v>76.099999999999994</v>
      </c>
      <c r="Q1622" s="107">
        <v>75.45</v>
      </c>
      <c r="R1622">
        <v>1460483</v>
      </c>
    </row>
    <row r="1623" spans="1:18" x14ac:dyDescent="0.25">
      <c r="A1623" s="130">
        <v>44393</v>
      </c>
      <c r="B1623" s="107">
        <v>76.45</v>
      </c>
      <c r="C1623" s="107">
        <v>75.150000000000006</v>
      </c>
      <c r="D1623" s="107">
        <v>75.05</v>
      </c>
      <c r="E1623" s="107">
        <v>76.45</v>
      </c>
      <c r="F1623" s="107">
        <v>75.150000000000006</v>
      </c>
      <c r="G1623">
        <v>197790</v>
      </c>
      <c r="H1623" s="107"/>
      <c r="I1623" s="107"/>
      <c r="L1623" s="130">
        <v>44393</v>
      </c>
      <c r="M1623" s="107">
        <v>75.2</v>
      </c>
      <c r="N1623" s="107">
        <v>75.8</v>
      </c>
      <c r="O1623" s="107">
        <v>75.05</v>
      </c>
      <c r="P1623" s="107">
        <v>75.599999999999994</v>
      </c>
      <c r="Q1623" s="107">
        <v>75.2</v>
      </c>
      <c r="R1623">
        <v>1243604</v>
      </c>
    </row>
    <row r="1624" spans="1:18" x14ac:dyDescent="0.25">
      <c r="A1624" s="130">
        <v>44396</v>
      </c>
      <c r="B1624" s="107">
        <v>75</v>
      </c>
      <c r="C1624" s="107">
        <v>73.95</v>
      </c>
      <c r="D1624" s="107">
        <v>73.5</v>
      </c>
      <c r="E1624" s="107">
        <v>74.25</v>
      </c>
      <c r="F1624" s="107">
        <v>73.95</v>
      </c>
      <c r="G1624">
        <v>258044</v>
      </c>
      <c r="H1624" s="107"/>
      <c r="I1624" s="107"/>
      <c r="L1624" s="130">
        <v>44396</v>
      </c>
      <c r="M1624" s="107">
        <v>73.900000000000006</v>
      </c>
      <c r="N1624" s="107">
        <v>74.95</v>
      </c>
      <c r="O1624" s="107">
        <v>73.5</v>
      </c>
      <c r="P1624" s="107">
        <v>74.95</v>
      </c>
      <c r="Q1624" s="107">
        <v>73.900000000000006</v>
      </c>
      <c r="R1624">
        <v>1960982</v>
      </c>
    </row>
    <row r="1625" spans="1:18" x14ac:dyDescent="0.25">
      <c r="A1625" s="130">
        <v>44397</v>
      </c>
      <c r="B1625" s="107">
        <v>73.95</v>
      </c>
      <c r="C1625" s="107">
        <v>71.55</v>
      </c>
      <c r="D1625" s="107">
        <v>71.099999999999994</v>
      </c>
      <c r="E1625" s="107">
        <v>73.45</v>
      </c>
      <c r="F1625" s="107">
        <v>71.55</v>
      </c>
      <c r="G1625">
        <v>315789</v>
      </c>
      <c r="H1625" s="107"/>
      <c r="I1625" s="107"/>
      <c r="L1625" s="130">
        <v>44397</v>
      </c>
      <c r="M1625" s="107">
        <v>71.5</v>
      </c>
      <c r="N1625" s="107">
        <v>73.900000000000006</v>
      </c>
      <c r="O1625" s="107">
        <v>71.099999999999994</v>
      </c>
      <c r="P1625" s="107">
        <v>73.900000000000006</v>
      </c>
      <c r="Q1625" s="107">
        <v>71.5</v>
      </c>
      <c r="R1625">
        <v>2777371</v>
      </c>
    </row>
    <row r="1626" spans="1:18" x14ac:dyDescent="0.25">
      <c r="A1626" s="130">
        <v>44399</v>
      </c>
      <c r="B1626" s="107">
        <v>73</v>
      </c>
      <c r="C1626" s="107">
        <v>72.150000000000006</v>
      </c>
      <c r="D1626" s="107">
        <v>71.900000000000006</v>
      </c>
      <c r="E1626" s="107">
        <v>71.900000000000006</v>
      </c>
      <c r="F1626" s="107">
        <v>72.150000000000006</v>
      </c>
      <c r="G1626">
        <v>220547</v>
      </c>
      <c r="H1626" s="107"/>
      <c r="I1626" s="107"/>
      <c r="L1626" s="130">
        <v>44399</v>
      </c>
      <c r="M1626" s="107">
        <v>72.2</v>
      </c>
      <c r="N1626" s="107">
        <v>73</v>
      </c>
      <c r="O1626" s="107">
        <v>71.849999999999994</v>
      </c>
      <c r="P1626" s="107">
        <v>72.3</v>
      </c>
      <c r="Q1626" s="107">
        <v>72.2</v>
      </c>
      <c r="R1626">
        <v>1538232</v>
      </c>
    </row>
    <row r="1627" spans="1:18" x14ac:dyDescent="0.25">
      <c r="A1627" s="130">
        <v>44400</v>
      </c>
      <c r="B1627" s="107">
        <v>73.75</v>
      </c>
      <c r="C1627" s="107">
        <v>72.75</v>
      </c>
      <c r="D1627" s="107">
        <v>71.650000000000006</v>
      </c>
      <c r="E1627" s="107">
        <v>72</v>
      </c>
      <c r="F1627" s="107">
        <v>72.75</v>
      </c>
      <c r="G1627">
        <v>168925</v>
      </c>
      <c r="H1627" s="107"/>
      <c r="I1627" s="107"/>
      <c r="L1627" s="130">
        <v>44400</v>
      </c>
      <c r="M1627" s="107">
        <v>72.75</v>
      </c>
      <c r="N1627" s="107">
        <v>73.75</v>
      </c>
      <c r="O1627" s="107">
        <v>71.55</v>
      </c>
      <c r="P1627" s="107">
        <v>71.8</v>
      </c>
      <c r="Q1627" s="107">
        <v>72.75</v>
      </c>
      <c r="R1627">
        <v>2440865</v>
      </c>
    </row>
    <row r="1628" spans="1:18" x14ac:dyDescent="0.25">
      <c r="A1628" s="130">
        <v>44403</v>
      </c>
      <c r="B1628" s="107">
        <v>72.75</v>
      </c>
      <c r="C1628" s="107">
        <v>71.849999999999994</v>
      </c>
      <c r="D1628" s="107">
        <v>71.650000000000006</v>
      </c>
      <c r="E1628" s="107">
        <v>72.7</v>
      </c>
      <c r="F1628" s="107">
        <v>71.849999999999994</v>
      </c>
      <c r="G1628">
        <v>101344</v>
      </c>
      <c r="H1628" s="107"/>
      <c r="I1628" s="107"/>
      <c r="L1628" s="130">
        <v>44403</v>
      </c>
      <c r="M1628" s="107">
        <v>71.849999999999994</v>
      </c>
      <c r="N1628" s="107">
        <v>72.900000000000006</v>
      </c>
      <c r="O1628" s="107">
        <v>71.5</v>
      </c>
      <c r="P1628" s="107">
        <v>72.900000000000006</v>
      </c>
      <c r="Q1628" s="107">
        <v>71.849999999999994</v>
      </c>
      <c r="R1628">
        <v>1260084</v>
      </c>
    </row>
    <row r="1629" spans="1:18" x14ac:dyDescent="0.25">
      <c r="A1629" s="130">
        <v>44404</v>
      </c>
      <c r="B1629" s="107">
        <v>73</v>
      </c>
      <c r="C1629" s="107">
        <v>70.849999999999994</v>
      </c>
      <c r="D1629" s="107">
        <v>70.3</v>
      </c>
      <c r="E1629" s="107">
        <v>72</v>
      </c>
      <c r="F1629" s="107">
        <v>70.849999999999994</v>
      </c>
      <c r="G1629">
        <v>108239</v>
      </c>
      <c r="H1629" s="107"/>
      <c r="I1629" s="107"/>
      <c r="L1629" s="130">
        <v>44404</v>
      </c>
      <c r="M1629" s="107">
        <v>70.849999999999994</v>
      </c>
      <c r="N1629" s="107">
        <v>72.95</v>
      </c>
      <c r="O1629" s="107">
        <v>70.25</v>
      </c>
      <c r="P1629" s="107">
        <v>72</v>
      </c>
      <c r="Q1629" s="107">
        <v>70.849999999999994</v>
      </c>
      <c r="R1629">
        <v>2044140</v>
      </c>
    </row>
    <row r="1630" spans="1:18" x14ac:dyDescent="0.25">
      <c r="A1630" s="130">
        <v>44405</v>
      </c>
      <c r="B1630" s="107">
        <v>71.45</v>
      </c>
      <c r="C1630" s="107">
        <v>69.900000000000006</v>
      </c>
      <c r="D1630" s="107">
        <v>69.400000000000006</v>
      </c>
      <c r="E1630" s="107">
        <v>70.849999999999994</v>
      </c>
      <c r="F1630" s="107">
        <v>69.900000000000006</v>
      </c>
      <c r="G1630">
        <v>184433</v>
      </c>
      <c r="H1630" s="107"/>
      <c r="I1630" s="107"/>
      <c r="L1630" s="130">
        <v>44405</v>
      </c>
      <c r="M1630" s="107">
        <v>69.900000000000006</v>
      </c>
      <c r="N1630" s="107">
        <v>71.400000000000006</v>
      </c>
      <c r="O1630" s="107">
        <v>69.349999999999994</v>
      </c>
      <c r="P1630" s="107">
        <v>71.349999999999994</v>
      </c>
      <c r="Q1630" s="107">
        <v>69.900000000000006</v>
      </c>
      <c r="R1630">
        <v>1878525</v>
      </c>
    </row>
    <row r="1631" spans="1:18" x14ac:dyDescent="0.25">
      <c r="A1631" s="130">
        <v>44406</v>
      </c>
      <c r="B1631" s="107">
        <v>71.95</v>
      </c>
      <c r="C1631" s="107">
        <v>71.55</v>
      </c>
      <c r="D1631" s="107">
        <v>69.8</v>
      </c>
      <c r="E1631" s="107">
        <v>70</v>
      </c>
      <c r="F1631" s="107">
        <v>71.55</v>
      </c>
      <c r="G1631">
        <v>190018</v>
      </c>
      <c r="H1631" s="107"/>
      <c r="I1631" s="107"/>
      <c r="L1631" s="130">
        <v>44406</v>
      </c>
      <c r="M1631" s="107">
        <v>71.650000000000006</v>
      </c>
      <c r="N1631" s="107">
        <v>72</v>
      </c>
      <c r="O1631" s="107">
        <v>69.75</v>
      </c>
      <c r="P1631" s="107">
        <v>70.349999999999994</v>
      </c>
      <c r="Q1631" s="107">
        <v>71.650000000000006</v>
      </c>
      <c r="R1631">
        <v>2677815</v>
      </c>
    </row>
    <row r="1632" spans="1:18" x14ac:dyDescent="0.25">
      <c r="A1632" s="130">
        <v>44407</v>
      </c>
      <c r="B1632" s="107">
        <v>75.25</v>
      </c>
      <c r="C1632" s="107">
        <v>74.45</v>
      </c>
      <c r="D1632" s="107">
        <v>71.5</v>
      </c>
      <c r="E1632" s="107">
        <v>71.55</v>
      </c>
      <c r="F1632" s="107">
        <v>74.45</v>
      </c>
      <c r="G1632">
        <v>220284</v>
      </c>
      <c r="H1632" s="107"/>
      <c r="I1632" s="107"/>
      <c r="L1632" s="130">
        <v>44407</v>
      </c>
      <c r="M1632" s="107">
        <v>74.400000000000006</v>
      </c>
      <c r="N1632" s="107">
        <v>75.2</v>
      </c>
      <c r="O1632" s="107">
        <v>71.5</v>
      </c>
      <c r="P1632" s="107">
        <v>71.650000000000006</v>
      </c>
      <c r="Q1632" s="107">
        <v>74.400000000000006</v>
      </c>
      <c r="R1632">
        <v>4353217</v>
      </c>
    </row>
    <row r="1633" spans="1:18" x14ac:dyDescent="0.25">
      <c r="A1633" s="130">
        <v>44410</v>
      </c>
      <c r="B1633" s="107">
        <v>76.2</v>
      </c>
      <c r="C1633" s="107">
        <v>74.2</v>
      </c>
      <c r="D1633" s="107">
        <v>73.75</v>
      </c>
      <c r="E1633" s="107">
        <v>75.95</v>
      </c>
      <c r="F1633" s="107">
        <v>74.2</v>
      </c>
      <c r="G1633">
        <v>456189</v>
      </c>
      <c r="H1633" s="107"/>
      <c r="I1633" s="107"/>
      <c r="L1633" s="130">
        <v>44410</v>
      </c>
      <c r="M1633" s="107">
        <v>74.2</v>
      </c>
      <c r="N1633" s="107">
        <v>76.3</v>
      </c>
      <c r="O1633" s="107">
        <v>73.599999999999994</v>
      </c>
      <c r="P1633" s="107">
        <v>75.599999999999994</v>
      </c>
      <c r="Q1633" s="107">
        <v>74.2</v>
      </c>
      <c r="R1633">
        <v>4479220</v>
      </c>
    </row>
    <row r="1634" spans="1:18" x14ac:dyDescent="0.25">
      <c r="A1634" s="130">
        <v>44411</v>
      </c>
      <c r="B1634" s="107">
        <v>76.55</v>
      </c>
      <c r="C1634" s="107">
        <v>74.349999999999994</v>
      </c>
      <c r="D1634" s="107">
        <v>74.099999999999994</v>
      </c>
      <c r="E1634" s="107">
        <v>74.400000000000006</v>
      </c>
      <c r="F1634" s="107">
        <v>74.349999999999994</v>
      </c>
      <c r="G1634">
        <v>516381</v>
      </c>
      <c r="H1634" s="107"/>
      <c r="I1634" s="107"/>
      <c r="L1634" s="130">
        <v>44411</v>
      </c>
      <c r="M1634" s="107">
        <v>74.349999999999994</v>
      </c>
      <c r="N1634" s="107">
        <v>76.650000000000006</v>
      </c>
      <c r="O1634" s="107">
        <v>74.099999999999994</v>
      </c>
      <c r="P1634" s="107">
        <v>74.3</v>
      </c>
      <c r="Q1634" s="107">
        <v>74.349999999999994</v>
      </c>
      <c r="R1634">
        <v>7526644</v>
      </c>
    </row>
    <row r="1635" spans="1:18" x14ac:dyDescent="0.25">
      <c r="A1635" s="130">
        <v>44412</v>
      </c>
      <c r="B1635" s="107">
        <v>75</v>
      </c>
      <c r="C1635" s="107">
        <v>72.650000000000006</v>
      </c>
      <c r="D1635" s="107">
        <v>71.8</v>
      </c>
      <c r="E1635" s="107">
        <v>74.8</v>
      </c>
      <c r="F1635" s="107">
        <v>72.650000000000006</v>
      </c>
      <c r="G1635">
        <v>473537</v>
      </c>
      <c r="H1635" s="107"/>
      <c r="I1635" s="107"/>
      <c r="L1635" s="130">
        <v>44412</v>
      </c>
      <c r="M1635" s="107">
        <v>72.599999999999994</v>
      </c>
      <c r="N1635" s="107">
        <v>74.95</v>
      </c>
      <c r="O1635" s="107">
        <v>71.8</v>
      </c>
      <c r="P1635" s="107">
        <v>74.5</v>
      </c>
      <c r="Q1635" s="107">
        <v>72.599999999999994</v>
      </c>
      <c r="R1635">
        <v>4163795</v>
      </c>
    </row>
    <row r="1636" spans="1:18" x14ac:dyDescent="0.25">
      <c r="A1636" s="130">
        <v>44413</v>
      </c>
      <c r="B1636" s="107">
        <v>72.650000000000006</v>
      </c>
      <c r="C1636" s="107">
        <v>70.8</v>
      </c>
      <c r="D1636" s="107">
        <v>70.599999999999994</v>
      </c>
      <c r="E1636" s="107">
        <v>72.650000000000006</v>
      </c>
      <c r="F1636" s="107">
        <v>70.8</v>
      </c>
      <c r="G1636">
        <v>270850</v>
      </c>
      <c r="H1636" s="107"/>
      <c r="I1636" s="107"/>
      <c r="L1636" s="130">
        <v>44413</v>
      </c>
      <c r="M1636" s="107">
        <v>70.849999999999994</v>
      </c>
      <c r="N1636" s="107">
        <v>72.650000000000006</v>
      </c>
      <c r="O1636" s="107">
        <v>70.599999999999994</v>
      </c>
      <c r="P1636" s="107">
        <v>72</v>
      </c>
      <c r="Q1636" s="107">
        <v>70.849999999999994</v>
      </c>
      <c r="R1636">
        <v>2215337</v>
      </c>
    </row>
    <row r="1637" spans="1:18" x14ac:dyDescent="0.25">
      <c r="A1637" s="130">
        <v>44414</v>
      </c>
      <c r="B1637" s="107">
        <v>71.900000000000006</v>
      </c>
      <c r="C1637" s="107">
        <v>70.849999999999994</v>
      </c>
      <c r="D1637" s="107">
        <v>69.900000000000006</v>
      </c>
      <c r="E1637" s="107">
        <v>70.8</v>
      </c>
      <c r="F1637" s="107">
        <v>70.849999999999994</v>
      </c>
      <c r="G1637">
        <v>256116</v>
      </c>
      <c r="H1637" s="107"/>
      <c r="I1637" s="107"/>
      <c r="L1637" s="130">
        <v>44414</v>
      </c>
      <c r="M1637" s="107">
        <v>70.900000000000006</v>
      </c>
      <c r="N1637" s="107">
        <v>71.900000000000006</v>
      </c>
      <c r="O1637" s="107">
        <v>69.8</v>
      </c>
      <c r="P1637" s="107">
        <v>71.2</v>
      </c>
      <c r="Q1637" s="107">
        <v>70.900000000000006</v>
      </c>
      <c r="R1637">
        <v>3527252</v>
      </c>
    </row>
    <row r="1638" spans="1:18" x14ac:dyDescent="0.25">
      <c r="A1638" s="130">
        <v>44417</v>
      </c>
      <c r="B1638" s="107">
        <v>71.45</v>
      </c>
      <c r="C1638" s="107">
        <v>69.599999999999994</v>
      </c>
      <c r="D1638" s="107">
        <v>69</v>
      </c>
      <c r="E1638" s="107">
        <v>71.150000000000006</v>
      </c>
      <c r="F1638" s="107">
        <v>69.599999999999994</v>
      </c>
      <c r="G1638">
        <v>213190</v>
      </c>
      <c r="H1638" s="107"/>
      <c r="I1638" s="107"/>
      <c r="L1638" s="130">
        <v>44417</v>
      </c>
      <c r="M1638" s="107">
        <v>69.7</v>
      </c>
      <c r="N1638" s="107">
        <v>71.400000000000006</v>
      </c>
      <c r="O1638" s="107">
        <v>69</v>
      </c>
      <c r="P1638" s="107">
        <v>71</v>
      </c>
      <c r="Q1638" s="107">
        <v>69.7</v>
      </c>
      <c r="R1638">
        <v>2008718</v>
      </c>
    </row>
    <row r="1639" spans="1:18" x14ac:dyDescent="0.25">
      <c r="A1639" s="130">
        <v>44418</v>
      </c>
      <c r="B1639" s="107">
        <v>70.5</v>
      </c>
      <c r="C1639" s="107">
        <v>67.400000000000006</v>
      </c>
      <c r="D1639" s="107">
        <v>67</v>
      </c>
      <c r="E1639" s="107">
        <v>70.5</v>
      </c>
      <c r="F1639" s="107">
        <v>67.400000000000006</v>
      </c>
      <c r="G1639">
        <v>184307</v>
      </c>
      <c r="H1639" s="107"/>
      <c r="I1639" s="107"/>
      <c r="L1639" s="130">
        <v>44418</v>
      </c>
      <c r="M1639" s="107">
        <v>67.400000000000006</v>
      </c>
      <c r="N1639" s="107">
        <v>70.400000000000006</v>
      </c>
      <c r="O1639" s="107">
        <v>66.900000000000006</v>
      </c>
      <c r="P1639" s="107">
        <v>69.599999999999994</v>
      </c>
      <c r="Q1639" s="107">
        <v>67.400000000000006</v>
      </c>
      <c r="R1639">
        <v>2212138</v>
      </c>
    </row>
    <row r="1640" spans="1:18" x14ac:dyDescent="0.25">
      <c r="A1640" s="130">
        <v>44419</v>
      </c>
      <c r="B1640" s="107">
        <v>68</v>
      </c>
      <c r="C1640" s="107">
        <v>67.45</v>
      </c>
      <c r="D1640" s="107">
        <v>66</v>
      </c>
      <c r="E1640" s="107">
        <v>68</v>
      </c>
      <c r="F1640" s="107">
        <v>67.45</v>
      </c>
      <c r="G1640">
        <v>258620</v>
      </c>
      <c r="H1640" s="107"/>
      <c r="I1640" s="107"/>
      <c r="L1640" s="130">
        <v>44419</v>
      </c>
      <c r="M1640" s="107">
        <v>67.45</v>
      </c>
      <c r="N1640" s="107">
        <v>67.95</v>
      </c>
      <c r="O1640" s="107">
        <v>66</v>
      </c>
      <c r="P1640" s="107">
        <v>67.900000000000006</v>
      </c>
      <c r="Q1640" s="107">
        <v>67.45</v>
      </c>
      <c r="R1640">
        <v>2024384</v>
      </c>
    </row>
    <row r="1641" spans="1:18" x14ac:dyDescent="0.25">
      <c r="A1641" s="130">
        <v>44420</v>
      </c>
      <c r="B1641" s="107">
        <v>69.599999999999994</v>
      </c>
      <c r="C1641" s="107">
        <v>68.849999999999994</v>
      </c>
      <c r="D1641" s="107">
        <v>67.55</v>
      </c>
      <c r="E1641" s="107">
        <v>67.55</v>
      </c>
      <c r="F1641" s="107">
        <v>68.849999999999994</v>
      </c>
      <c r="G1641">
        <v>191456</v>
      </c>
      <c r="H1641" s="107"/>
      <c r="I1641" s="107"/>
      <c r="L1641" s="130">
        <v>44420</v>
      </c>
      <c r="M1641" s="107">
        <v>68.849999999999994</v>
      </c>
      <c r="N1641" s="107">
        <v>69.650000000000006</v>
      </c>
      <c r="O1641" s="107">
        <v>67.599999999999994</v>
      </c>
      <c r="P1641" s="107">
        <v>68.349999999999994</v>
      </c>
      <c r="Q1641" s="107">
        <v>68.849999999999994</v>
      </c>
      <c r="R1641">
        <v>1943902</v>
      </c>
    </row>
    <row r="1642" spans="1:18" x14ac:dyDescent="0.25">
      <c r="A1642" s="130">
        <v>44421</v>
      </c>
      <c r="B1642" s="107">
        <v>69.150000000000006</v>
      </c>
      <c r="C1642" s="107">
        <v>68.349999999999994</v>
      </c>
      <c r="D1642" s="107">
        <v>67.95</v>
      </c>
      <c r="E1642" s="107">
        <v>68.7</v>
      </c>
      <c r="F1642" s="107">
        <v>68.349999999999994</v>
      </c>
      <c r="G1642">
        <v>158024</v>
      </c>
      <c r="H1642" s="107"/>
      <c r="I1642" s="107"/>
      <c r="L1642" s="130">
        <v>44421</v>
      </c>
      <c r="M1642" s="107">
        <v>68.400000000000006</v>
      </c>
      <c r="N1642" s="107">
        <v>69.150000000000006</v>
      </c>
      <c r="O1642" s="107">
        <v>68</v>
      </c>
      <c r="P1642" s="107">
        <v>68.8</v>
      </c>
      <c r="Q1642" s="107">
        <v>68.400000000000006</v>
      </c>
      <c r="R1642">
        <v>1052480</v>
      </c>
    </row>
    <row r="1643" spans="1:18" x14ac:dyDescent="0.25">
      <c r="A1643" s="130">
        <v>44424</v>
      </c>
      <c r="B1643" s="107">
        <v>68.8</v>
      </c>
      <c r="C1643" s="107">
        <v>67.75</v>
      </c>
      <c r="D1643" s="107">
        <v>67.45</v>
      </c>
      <c r="E1643" s="107">
        <v>68.8</v>
      </c>
      <c r="F1643" s="107">
        <v>67.75</v>
      </c>
      <c r="G1643">
        <v>73851</v>
      </c>
      <c r="H1643" s="107"/>
      <c r="I1643" s="107"/>
      <c r="L1643" s="130">
        <v>44424</v>
      </c>
      <c r="M1643" s="107">
        <v>67.75</v>
      </c>
      <c r="N1643" s="107">
        <v>68.8</v>
      </c>
      <c r="O1643" s="107">
        <v>67.45</v>
      </c>
      <c r="P1643" s="107">
        <v>68.3</v>
      </c>
      <c r="Q1643" s="107">
        <v>67.75</v>
      </c>
      <c r="R1643">
        <v>796042</v>
      </c>
    </row>
    <row r="1644" spans="1:18" x14ac:dyDescent="0.25">
      <c r="A1644" s="130">
        <v>44425</v>
      </c>
      <c r="B1644" s="107">
        <v>67.75</v>
      </c>
      <c r="C1644" s="107">
        <v>66.650000000000006</v>
      </c>
      <c r="D1644" s="107">
        <v>66.25</v>
      </c>
      <c r="E1644" s="107">
        <v>67.75</v>
      </c>
      <c r="F1644" s="107">
        <v>66.650000000000006</v>
      </c>
      <c r="G1644">
        <v>216900</v>
      </c>
      <c r="H1644" s="107"/>
      <c r="I1644" s="107"/>
      <c r="L1644" s="130">
        <v>44425</v>
      </c>
      <c r="M1644" s="107">
        <v>66.7</v>
      </c>
      <c r="N1644" s="107">
        <v>67.7</v>
      </c>
      <c r="O1644" s="107">
        <v>66.2</v>
      </c>
      <c r="P1644" s="107">
        <v>67.45</v>
      </c>
      <c r="Q1644" s="107">
        <v>66.7</v>
      </c>
      <c r="R1644">
        <v>1220698</v>
      </c>
    </row>
    <row r="1645" spans="1:18" x14ac:dyDescent="0.25">
      <c r="A1645" s="130">
        <v>44426</v>
      </c>
      <c r="B1645" s="107">
        <v>67.8</v>
      </c>
      <c r="C1645" s="107">
        <v>66.7</v>
      </c>
      <c r="D1645" s="107">
        <v>66.3</v>
      </c>
      <c r="E1645" s="107">
        <v>67.8</v>
      </c>
      <c r="F1645" s="107">
        <v>66.7</v>
      </c>
      <c r="G1645">
        <v>112201</v>
      </c>
      <c r="H1645" s="107"/>
      <c r="I1645" s="107"/>
      <c r="L1645" s="130">
        <v>44426</v>
      </c>
      <c r="M1645" s="107">
        <v>66.7</v>
      </c>
      <c r="N1645" s="107">
        <v>67.7</v>
      </c>
      <c r="O1645" s="107">
        <v>66.400000000000006</v>
      </c>
      <c r="P1645" s="107">
        <v>66.599999999999994</v>
      </c>
      <c r="Q1645" s="107">
        <v>66.7</v>
      </c>
      <c r="R1645">
        <v>1481974</v>
      </c>
    </row>
    <row r="1646" spans="1:18" x14ac:dyDescent="0.25">
      <c r="A1646" s="130">
        <v>44428</v>
      </c>
      <c r="B1646" s="107">
        <v>66.400000000000006</v>
      </c>
      <c r="C1646" s="107">
        <v>64.150000000000006</v>
      </c>
      <c r="D1646" s="107">
        <v>63.9</v>
      </c>
      <c r="E1646" s="107">
        <v>66</v>
      </c>
      <c r="F1646" s="107">
        <v>64.150000000000006</v>
      </c>
      <c r="G1646">
        <v>135247</v>
      </c>
      <c r="H1646" s="107"/>
      <c r="I1646" s="107"/>
      <c r="L1646" s="130">
        <v>44428</v>
      </c>
      <c r="M1646" s="107">
        <v>64.150000000000006</v>
      </c>
      <c r="N1646" s="107">
        <v>66.45</v>
      </c>
      <c r="O1646" s="107">
        <v>64</v>
      </c>
      <c r="P1646" s="107">
        <v>66</v>
      </c>
      <c r="Q1646" s="107">
        <v>64.150000000000006</v>
      </c>
      <c r="R1646">
        <v>2067455</v>
      </c>
    </row>
    <row r="1647" spans="1:18" x14ac:dyDescent="0.25">
      <c r="A1647" s="130">
        <v>44431</v>
      </c>
      <c r="B1647" s="107">
        <v>65</v>
      </c>
      <c r="C1647" s="107">
        <v>62.6</v>
      </c>
      <c r="D1647" s="107">
        <v>62.1</v>
      </c>
      <c r="E1647" s="107">
        <v>64.2</v>
      </c>
      <c r="F1647" s="107">
        <v>62.6</v>
      </c>
      <c r="G1647">
        <v>198754</v>
      </c>
      <c r="H1647" s="107"/>
      <c r="I1647" s="107"/>
      <c r="L1647" s="130">
        <v>44431</v>
      </c>
      <c r="M1647" s="107">
        <v>62.5</v>
      </c>
      <c r="N1647" s="107">
        <v>65.150000000000006</v>
      </c>
      <c r="O1647" s="107">
        <v>62.1</v>
      </c>
      <c r="P1647" s="107">
        <v>65</v>
      </c>
      <c r="Q1647" s="107">
        <v>62.5</v>
      </c>
      <c r="R1647">
        <v>1924760</v>
      </c>
    </row>
    <row r="1648" spans="1:18" x14ac:dyDescent="0.25">
      <c r="A1648" s="130">
        <v>44432</v>
      </c>
      <c r="B1648" s="107">
        <v>64</v>
      </c>
      <c r="C1648" s="107">
        <v>63.6</v>
      </c>
      <c r="D1648" s="107">
        <v>61.45</v>
      </c>
      <c r="E1648" s="107">
        <v>61.45</v>
      </c>
      <c r="F1648" s="107">
        <v>63.6</v>
      </c>
      <c r="G1648">
        <v>190793</v>
      </c>
      <c r="H1648" s="107"/>
      <c r="I1648" s="107"/>
      <c r="L1648" s="130">
        <v>44432</v>
      </c>
      <c r="M1648" s="107">
        <v>63.5</v>
      </c>
      <c r="N1648" s="107">
        <v>63.9</v>
      </c>
      <c r="O1648" s="107">
        <v>62</v>
      </c>
      <c r="P1648" s="107">
        <v>62.2</v>
      </c>
      <c r="Q1648" s="107">
        <v>63.5</v>
      </c>
      <c r="R1648">
        <v>1519655</v>
      </c>
    </row>
    <row r="1649" spans="1:18" x14ac:dyDescent="0.25">
      <c r="A1649" s="130">
        <v>44433</v>
      </c>
      <c r="B1649" s="107">
        <v>65.3</v>
      </c>
      <c r="C1649" s="107">
        <v>64.900000000000006</v>
      </c>
      <c r="D1649" s="107">
        <v>63.65</v>
      </c>
      <c r="E1649" s="107">
        <v>63.65</v>
      </c>
      <c r="F1649" s="107">
        <v>64.900000000000006</v>
      </c>
      <c r="G1649">
        <v>168489</v>
      </c>
      <c r="H1649" s="107"/>
      <c r="I1649" s="107"/>
      <c r="L1649" s="130">
        <v>44433</v>
      </c>
      <c r="M1649" s="107">
        <v>64.849999999999994</v>
      </c>
      <c r="N1649" s="107">
        <v>65.400000000000006</v>
      </c>
      <c r="O1649" s="107">
        <v>63.65</v>
      </c>
      <c r="P1649" s="107">
        <v>64</v>
      </c>
      <c r="Q1649" s="107">
        <v>64.849999999999994</v>
      </c>
      <c r="R1649">
        <v>1719411</v>
      </c>
    </row>
    <row r="1650" spans="1:18" x14ac:dyDescent="0.25">
      <c r="A1650" s="130">
        <v>44434</v>
      </c>
      <c r="B1650" s="107">
        <v>66.5</v>
      </c>
      <c r="C1650" s="107">
        <v>65.7</v>
      </c>
      <c r="D1650" s="107">
        <v>65.05</v>
      </c>
      <c r="E1650" s="107">
        <v>65.75</v>
      </c>
      <c r="F1650" s="107">
        <v>65.7</v>
      </c>
      <c r="G1650">
        <v>229365</v>
      </c>
      <c r="H1650" s="107"/>
      <c r="I1650" s="107"/>
      <c r="L1650" s="130">
        <v>44434</v>
      </c>
      <c r="M1650" s="107">
        <v>65.75</v>
      </c>
      <c r="N1650" s="107">
        <v>66.349999999999994</v>
      </c>
      <c r="O1650" s="107">
        <v>65.099999999999994</v>
      </c>
      <c r="P1650" s="107">
        <v>65.75</v>
      </c>
      <c r="Q1650" s="107">
        <v>65.75</v>
      </c>
      <c r="R1650">
        <v>2186113</v>
      </c>
    </row>
    <row r="1651" spans="1:18" x14ac:dyDescent="0.25">
      <c r="A1651" s="130">
        <v>44435</v>
      </c>
      <c r="B1651" s="107">
        <v>68.400000000000006</v>
      </c>
      <c r="C1651" s="107">
        <v>67.349999999999994</v>
      </c>
      <c r="D1651" s="107">
        <v>64.8</v>
      </c>
      <c r="E1651" s="107">
        <v>65.650000000000006</v>
      </c>
      <c r="F1651" s="107">
        <v>67.349999999999994</v>
      </c>
      <c r="G1651">
        <v>190017</v>
      </c>
      <c r="H1651" s="107"/>
      <c r="I1651" s="107"/>
      <c r="L1651" s="130">
        <v>44435</v>
      </c>
      <c r="M1651" s="107">
        <v>67.400000000000006</v>
      </c>
      <c r="N1651" s="107">
        <v>68.5</v>
      </c>
      <c r="O1651" s="107">
        <v>64.7</v>
      </c>
      <c r="P1651" s="107">
        <v>65.3</v>
      </c>
      <c r="Q1651" s="107">
        <v>67.400000000000006</v>
      </c>
      <c r="R1651">
        <v>2313695</v>
      </c>
    </row>
    <row r="1652" spans="1:18" x14ac:dyDescent="0.25">
      <c r="A1652" s="130">
        <v>44438</v>
      </c>
      <c r="B1652" s="107">
        <v>68.599999999999994</v>
      </c>
      <c r="C1652" s="107">
        <v>68</v>
      </c>
      <c r="D1652" s="107">
        <v>67.55</v>
      </c>
      <c r="E1652" s="107">
        <v>68.599999999999994</v>
      </c>
      <c r="F1652" s="107">
        <v>68</v>
      </c>
      <c r="G1652">
        <v>95044</v>
      </c>
      <c r="H1652" s="107"/>
      <c r="I1652" s="107"/>
      <c r="L1652" s="130">
        <v>44438</v>
      </c>
      <c r="M1652" s="107">
        <v>67.95</v>
      </c>
      <c r="N1652" s="107">
        <v>68.55</v>
      </c>
      <c r="O1652" s="107">
        <v>67.5</v>
      </c>
      <c r="P1652" s="107">
        <v>68.55</v>
      </c>
      <c r="Q1652" s="107">
        <v>67.95</v>
      </c>
      <c r="R1652">
        <v>1798366</v>
      </c>
    </row>
    <row r="1653" spans="1:18" x14ac:dyDescent="0.25">
      <c r="A1653" s="130">
        <v>44439</v>
      </c>
      <c r="B1653" s="107">
        <v>68.5</v>
      </c>
      <c r="C1653" s="107">
        <v>66.400000000000006</v>
      </c>
      <c r="D1653" s="107">
        <v>66</v>
      </c>
      <c r="E1653" s="107">
        <v>68.5</v>
      </c>
      <c r="F1653" s="107">
        <v>66.400000000000006</v>
      </c>
      <c r="G1653">
        <v>382802</v>
      </c>
      <c r="H1653" s="107"/>
      <c r="I1653" s="107"/>
      <c r="L1653" s="130">
        <v>44439</v>
      </c>
      <c r="M1653" s="107">
        <v>66.349999999999994</v>
      </c>
      <c r="N1653" s="107">
        <v>68.45</v>
      </c>
      <c r="O1653" s="107">
        <v>66</v>
      </c>
      <c r="P1653" s="107">
        <v>68.45</v>
      </c>
      <c r="Q1653" s="107">
        <v>66.349999999999994</v>
      </c>
      <c r="R1653">
        <v>3740761</v>
      </c>
    </row>
    <row r="1654" spans="1:18" x14ac:dyDescent="0.25">
      <c r="A1654" s="130">
        <v>44440</v>
      </c>
      <c r="B1654" s="107">
        <v>66.7</v>
      </c>
      <c r="C1654" s="107">
        <v>63.55</v>
      </c>
      <c r="D1654" s="107">
        <v>63.3</v>
      </c>
      <c r="E1654" s="107">
        <v>66.7</v>
      </c>
      <c r="F1654" s="107">
        <v>63.55</v>
      </c>
      <c r="G1654">
        <v>632006</v>
      </c>
      <c r="H1654" s="107"/>
      <c r="I1654" s="107"/>
      <c r="L1654" s="130">
        <v>44440</v>
      </c>
      <c r="M1654" s="107">
        <v>63.55</v>
      </c>
      <c r="N1654" s="107">
        <v>66.75</v>
      </c>
      <c r="O1654" s="107">
        <v>63.2</v>
      </c>
      <c r="P1654" s="107">
        <v>66.2</v>
      </c>
      <c r="Q1654" s="107">
        <v>63.55</v>
      </c>
      <c r="R1654">
        <v>6550446</v>
      </c>
    </row>
    <row r="1655" spans="1:18" x14ac:dyDescent="0.25">
      <c r="A1655" s="130">
        <v>44441</v>
      </c>
      <c r="B1655" s="107">
        <v>62.6</v>
      </c>
      <c r="C1655" s="107">
        <v>59.65</v>
      </c>
      <c r="D1655" s="107">
        <v>59.2</v>
      </c>
      <c r="E1655" s="107">
        <v>62.6</v>
      </c>
      <c r="F1655" s="107">
        <v>59.65</v>
      </c>
      <c r="G1655">
        <v>945903</v>
      </c>
      <c r="H1655" s="107"/>
      <c r="I1655" s="107"/>
      <c r="L1655" s="130">
        <v>44441</v>
      </c>
      <c r="M1655" s="107">
        <v>59.6</v>
      </c>
      <c r="N1655" s="107">
        <v>62.5</v>
      </c>
      <c r="O1655" s="107">
        <v>59</v>
      </c>
      <c r="P1655" s="107">
        <v>62.5</v>
      </c>
      <c r="Q1655" s="107">
        <v>59.6</v>
      </c>
      <c r="R1655">
        <v>20950755</v>
      </c>
    </row>
    <row r="1656" spans="1:18" x14ac:dyDescent="0.25">
      <c r="A1656" s="130">
        <v>44442</v>
      </c>
      <c r="B1656" s="107">
        <v>61.45</v>
      </c>
      <c r="C1656" s="107">
        <v>59.3</v>
      </c>
      <c r="D1656" s="107">
        <v>59.2</v>
      </c>
      <c r="E1656" s="107">
        <v>60.2</v>
      </c>
      <c r="F1656" s="107">
        <v>59.3</v>
      </c>
      <c r="G1656">
        <v>1027150</v>
      </c>
      <c r="H1656" s="107"/>
      <c r="I1656" s="107"/>
      <c r="L1656" s="130">
        <v>44442</v>
      </c>
      <c r="M1656" s="107">
        <v>59.3</v>
      </c>
      <c r="N1656" s="107">
        <v>61.5</v>
      </c>
      <c r="O1656" s="107">
        <v>59.15</v>
      </c>
      <c r="P1656" s="107">
        <v>60</v>
      </c>
      <c r="Q1656" s="107">
        <v>59.3</v>
      </c>
      <c r="R1656">
        <v>10983099</v>
      </c>
    </row>
    <row r="1657" spans="1:18" x14ac:dyDescent="0.25">
      <c r="A1657" s="130">
        <v>44445</v>
      </c>
      <c r="B1657" s="107">
        <v>61.2</v>
      </c>
      <c r="C1657" s="107">
        <v>59.9</v>
      </c>
      <c r="D1657" s="107">
        <v>59.65</v>
      </c>
      <c r="E1657" s="107">
        <v>60.5</v>
      </c>
      <c r="F1657" s="107">
        <v>59.9</v>
      </c>
      <c r="G1657">
        <v>710552</v>
      </c>
      <c r="H1657" s="107"/>
      <c r="I1657" s="107"/>
      <c r="L1657" s="130">
        <v>44445</v>
      </c>
      <c r="M1657" s="107">
        <v>59.9</v>
      </c>
      <c r="N1657" s="107">
        <v>60.7</v>
      </c>
      <c r="O1657" s="107">
        <v>59.65</v>
      </c>
      <c r="P1657" s="107">
        <v>60.7</v>
      </c>
      <c r="Q1657" s="107">
        <v>59.9</v>
      </c>
      <c r="R1657">
        <v>5921285</v>
      </c>
    </row>
    <row r="1658" spans="1:18" x14ac:dyDescent="0.25">
      <c r="A1658" s="130">
        <v>44446</v>
      </c>
      <c r="B1658" s="107">
        <v>60.4</v>
      </c>
      <c r="C1658" s="107">
        <v>57.95</v>
      </c>
      <c r="D1658" s="107">
        <v>57.7</v>
      </c>
      <c r="E1658" s="107">
        <v>60.4</v>
      </c>
      <c r="F1658" s="107">
        <v>57.95</v>
      </c>
      <c r="G1658">
        <v>714335</v>
      </c>
      <c r="H1658" s="107"/>
      <c r="I1658" s="107"/>
      <c r="L1658" s="130">
        <v>44446</v>
      </c>
      <c r="M1658" s="107">
        <v>57.95</v>
      </c>
      <c r="N1658" s="107">
        <v>60.2</v>
      </c>
      <c r="O1658" s="107">
        <v>57.75</v>
      </c>
      <c r="P1658" s="107">
        <v>60.2</v>
      </c>
      <c r="Q1658" s="107">
        <v>57.95</v>
      </c>
      <c r="R1658">
        <v>7600953</v>
      </c>
    </row>
    <row r="1659" spans="1:18" x14ac:dyDescent="0.25">
      <c r="A1659" s="130">
        <v>44447</v>
      </c>
      <c r="B1659" s="107">
        <v>58.8</v>
      </c>
      <c r="C1659" s="107">
        <v>57.5</v>
      </c>
      <c r="D1659" s="107">
        <v>57.3</v>
      </c>
      <c r="E1659" s="107">
        <v>58.2</v>
      </c>
      <c r="F1659" s="107">
        <v>57.5</v>
      </c>
      <c r="G1659">
        <v>645731</v>
      </c>
      <c r="H1659" s="107"/>
      <c r="I1659" s="107"/>
      <c r="L1659" s="130">
        <v>44447</v>
      </c>
      <c r="M1659" s="107">
        <v>57.5</v>
      </c>
      <c r="N1659" s="107">
        <v>58.85</v>
      </c>
      <c r="O1659" s="107">
        <v>57.3</v>
      </c>
      <c r="P1659" s="107">
        <v>57.95</v>
      </c>
      <c r="Q1659" s="107">
        <v>57.5</v>
      </c>
      <c r="R1659">
        <v>7441491</v>
      </c>
    </row>
    <row r="1660" spans="1:18" x14ac:dyDescent="0.25">
      <c r="A1660" s="130">
        <v>44448</v>
      </c>
      <c r="B1660" s="107">
        <v>57.95</v>
      </c>
      <c r="C1660" s="107">
        <v>57.2</v>
      </c>
      <c r="D1660" s="107">
        <v>57</v>
      </c>
      <c r="E1660" s="107">
        <v>57.1</v>
      </c>
      <c r="F1660" s="107">
        <v>57.2</v>
      </c>
      <c r="G1660">
        <v>580177</v>
      </c>
      <c r="H1660" s="107"/>
      <c r="I1660" s="107"/>
      <c r="L1660" s="130">
        <v>44448</v>
      </c>
      <c r="M1660" s="107">
        <v>57.2</v>
      </c>
      <c r="N1660" s="107">
        <v>57.95</v>
      </c>
      <c r="O1660" s="107">
        <v>57</v>
      </c>
      <c r="P1660" s="107">
        <v>57.8</v>
      </c>
      <c r="Q1660" s="107">
        <v>57.2</v>
      </c>
      <c r="R1660">
        <v>5585134</v>
      </c>
    </row>
    <row r="1661" spans="1:18" x14ac:dyDescent="0.25">
      <c r="A1661" s="130">
        <v>44452</v>
      </c>
      <c r="B1661" s="107">
        <v>57.35</v>
      </c>
      <c r="C1661" s="107">
        <v>55.95</v>
      </c>
      <c r="D1661" s="107">
        <v>55.1</v>
      </c>
      <c r="E1661" s="107">
        <v>57.3</v>
      </c>
      <c r="F1661" s="107">
        <v>55.95</v>
      </c>
      <c r="G1661">
        <v>634149</v>
      </c>
      <c r="H1661" s="107"/>
      <c r="I1661" s="107"/>
      <c r="L1661" s="130">
        <v>44452</v>
      </c>
      <c r="M1661" s="107">
        <v>56.2</v>
      </c>
      <c r="N1661" s="107">
        <v>57.45</v>
      </c>
      <c r="O1661" s="107">
        <v>56.05</v>
      </c>
      <c r="P1661" s="107">
        <v>57.45</v>
      </c>
      <c r="Q1661" s="107">
        <v>56.2</v>
      </c>
      <c r="R1661">
        <v>5607025</v>
      </c>
    </row>
    <row r="1662" spans="1:18" x14ac:dyDescent="0.25">
      <c r="A1662" s="130">
        <v>44453</v>
      </c>
      <c r="B1662" s="107">
        <v>56.75</v>
      </c>
      <c r="C1662" s="107">
        <v>56.05</v>
      </c>
      <c r="D1662" s="107">
        <v>55.95</v>
      </c>
      <c r="E1662" s="107">
        <v>56.15</v>
      </c>
      <c r="F1662" s="107">
        <v>56.05</v>
      </c>
      <c r="G1662">
        <v>262799</v>
      </c>
      <c r="H1662" s="107"/>
      <c r="I1662" s="107"/>
      <c r="L1662" s="130">
        <v>44453</v>
      </c>
      <c r="M1662" s="107">
        <v>56.1</v>
      </c>
      <c r="N1662" s="107">
        <v>56.7</v>
      </c>
      <c r="O1662" s="107">
        <v>55.95</v>
      </c>
      <c r="P1662" s="107">
        <v>56.3</v>
      </c>
      <c r="Q1662" s="107">
        <v>56.1</v>
      </c>
      <c r="R1662">
        <v>5561610</v>
      </c>
    </row>
    <row r="1663" spans="1:18" x14ac:dyDescent="0.25">
      <c r="A1663" s="130">
        <v>44454</v>
      </c>
      <c r="B1663" s="107">
        <v>57.4</v>
      </c>
      <c r="C1663" s="107">
        <v>56.95</v>
      </c>
      <c r="D1663" s="107">
        <v>55.9</v>
      </c>
      <c r="E1663" s="107">
        <v>56.5</v>
      </c>
      <c r="F1663" s="107">
        <v>56.95</v>
      </c>
      <c r="G1663">
        <v>554639</v>
      </c>
      <c r="H1663" s="107"/>
      <c r="I1663" s="107"/>
      <c r="L1663" s="130">
        <v>44454</v>
      </c>
      <c r="M1663" s="107">
        <v>56.8</v>
      </c>
      <c r="N1663" s="107">
        <v>57.4</v>
      </c>
      <c r="O1663" s="107">
        <v>55.85</v>
      </c>
      <c r="P1663" s="107">
        <v>56.3</v>
      </c>
      <c r="Q1663" s="107">
        <v>56.8</v>
      </c>
      <c r="R1663">
        <v>10023714</v>
      </c>
    </row>
    <row r="1664" spans="1:18" x14ac:dyDescent="0.25">
      <c r="A1664" s="130">
        <v>44455</v>
      </c>
      <c r="B1664" s="107">
        <v>60.35</v>
      </c>
      <c r="C1664" s="107">
        <v>60</v>
      </c>
      <c r="D1664" s="107">
        <v>57.1</v>
      </c>
      <c r="E1664" s="107">
        <v>57.1</v>
      </c>
      <c r="F1664" s="107">
        <v>60</v>
      </c>
      <c r="G1664">
        <v>2134748</v>
      </c>
      <c r="H1664" s="107"/>
      <c r="I1664" s="107"/>
      <c r="L1664" s="130">
        <v>44455</v>
      </c>
      <c r="M1664" s="107">
        <v>60.05</v>
      </c>
      <c r="N1664" s="107">
        <v>60.45</v>
      </c>
      <c r="O1664" s="107">
        <v>57.2</v>
      </c>
      <c r="P1664" s="107">
        <v>57.5</v>
      </c>
      <c r="Q1664" s="107">
        <v>60.05</v>
      </c>
      <c r="R1664">
        <v>21060444</v>
      </c>
    </row>
    <row r="1665" spans="1:18" x14ac:dyDescent="0.25">
      <c r="A1665" s="130">
        <v>44456</v>
      </c>
      <c r="B1665" s="107">
        <v>62</v>
      </c>
      <c r="C1665" s="107">
        <v>58.15</v>
      </c>
      <c r="D1665" s="107">
        <v>57.55</v>
      </c>
      <c r="E1665" s="107">
        <v>61</v>
      </c>
      <c r="F1665" s="107">
        <v>58.15</v>
      </c>
      <c r="G1665">
        <v>1177343</v>
      </c>
      <c r="H1665" s="107"/>
      <c r="I1665" s="107"/>
      <c r="L1665" s="130">
        <v>44456</v>
      </c>
      <c r="M1665" s="107">
        <v>58.25</v>
      </c>
      <c r="N1665" s="107">
        <v>61.95</v>
      </c>
      <c r="O1665" s="107">
        <v>57.5</v>
      </c>
      <c r="P1665" s="107">
        <v>61</v>
      </c>
      <c r="Q1665" s="107">
        <v>58.25</v>
      </c>
      <c r="R1665">
        <v>17871450</v>
      </c>
    </row>
    <row r="1666" spans="1:18" x14ac:dyDescent="0.25">
      <c r="A1666" s="130">
        <v>44459</v>
      </c>
      <c r="B1666" s="107">
        <v>57.95</v>
      </c>
      <c r="C1666" s="107">
        <v>55.9</v>
      </c>
      <c r="D1666" s="107">
        <v>55.5</v>
      </c>
      <c r="E1666" s="107">
        <v>57.8</v>
      </c>
      <c r="F1666" s="107">
        <v>55.9</v>
      </c>
      <c r="G1666">
        <v>393611</v>
      </c>
      <c r="H1666" s="107"/>
      <c r="I1666" s="107"/>
      <c r="L1666" s="130">
        <v>44459</v>
      </c>
      <c r="M1666" s="107">
        <v>55.95</v>
      </c>
      <c r="N1666" s="107">
        <v>57.95</v>
      </c>
      <c r="O1666" s="107">
        <v>55.3</v>
      </c>
      <c r="P1666" s="107">
        <v>57.5</v>
      </c>
      <c r="Q1666" s="107">
        <v>55.95</v>
      </c>
      <c r="R1666">
        <v>6615910</v>
      </c>
    </row>
    <row r="1667" spans="1:18" x14ac:dyDescent="0.25">
      <c r="A1667" s="130">
        <v>44460</v>
      </c>
      <c r="B1667" s="107">
        <v>56.25</v>
      </c>
      <c r="C1667" s="107">
        <v>54.7</v>
      </c>
      <c r="D1667" s="107">
        <v>54.5</v>
      </c>
      <c r="E1667" s="107">
        <v>56</v>
      </c>
      <c r="F1667" s="107">
        <v>54.7</v>
      </c>
      <c r="G1667">
        <v>436912</v>
      </c>
      <c r="H1667" s="107"/>
      <c r="I1667" s="107"/>
      <c r="L1667" s="130">
        <v>44460</v>
      </c>
      <c r="M1667" s="107">
        <v>54.7</v>
      </c>
      <c r="N1667" s="107">
        <v>56.25</v>
      </c>
      <c r="O1667" s="107">
        <v>54.45</v>
      </c>
      <c r="P1667" s="107">
        <v>55.95</v>
      </c>
      <c r="Q1667" s="107">
        <v>54.7</v>
      </c>
      <c r="R1667">
        <v>8907778</v>
      </c>
    </row>
    <row r="1668" spans="1:18" x14ac:dyDescent="0.25">
      <c r="A1668" s="130">
        <v>44461</v>
      </c>
      <c r="B1668" s="107">
        <v>56.1</v>
      </c>
      <c r="C1668" s="107">
        <v>54.5</v>
      </c>
      <c r="D1668" s="107">
        <v>54.4</v>
      </c>
      <c r="E1668" s="107">
        <v>55.2</v>
      </c>
      <c r="F1668" s="107">
        <v>54.5</v>
      </c>
      <c r="G1668">
        <v>608800</v>
      </c>
      <c r="H1668" s="107"/>
      <c r="I1668" s="107"/>
      <c r="L1668" s="130">
        <v>44461</v>
      </c>
      <c r="M1668" s="107">
        <v>54.5</v>
      </c>
      <c r="N1668" s="107">
        <v>56.1</v>
      </c>
      <c r="O1668" s="107">
        <v>54.35</v>
      </c>
      <c r="P1668" s="107">
        <v>55.2</v>
      </c>
      <c r="Q1668" s="107">
        <v>54.5</v>
      </c>
      <c r="R1668">
        <v>6817850</v>
      </c>
    </row>
    <row r="1669" spans="1:18" x14ac:dyDescent="0.25">
      <c r="A1669" s="130">
        <v>44462</v>
      </c>
      <c r="B1669" s="107">
        <v>55.7</v>
      </c>
      <c r="C1669" s="107">
        <v>54.65</v>
      </c>
      <c r="D1669" s="107">
        <v>54.4</v>
      </c>
      <c r="E1669" s="107">
        <v>55.5</v>
      </c>
      <c r="F1669" s="107">
        <v>54.65</v>
      </c>
      <c r="G1669">
        <v>551729</v>
      </c>
      <c r="H1669" s="107"/>
      <c r="I1669" s="107"/>
      <c r="L1669" s="130">
        <v>44462</v>
      </c>
      <c r="M1669" s="107">
        <v>54.6</v>
      </c>
      <c r="N1669" s="107">
        <v>55.75</v>
      </c>
      <c r="O1669" s="107">
        <v>54.4</v>
      </c>
      <c r="P1669" s="107">
        <v>55.25</v>
      </c>
      <c r="Q1669" s="107">
        <v>54.6</v>
      </c>
      <c r="R1669">
        <v>5921861</v>
      </c>
    </row>
    <row r="1670" spans="1:18" x14ac:dyDescent="0.25">
      <c r="A1670" s="130">
        <v>44463</v>
      </c>
      <c r="B1670" s="107">
        <v>55.2</v>
      </c>
      <c r="C1670" s="107">
        <v>54</v>
      </c>
      <c r="D1670" s="107">
        <v>53.5</v>
      </c>
      <c r="E1670" s="107">
        <v>55</v>
      </c>
      <c r="F1670" s="107">
        <v>54</v>
      </c>
      <c r="G1670">
        <v>811623</v>
      </c>
      <c r="H1670" s="107"/>
      <c r="I1670" s="107"/>
      <c r="L1670" s="130">
        <v>44463</v>
      </c>
      <c r="M1670" s="107">
        <v>53.95</v>
      </c>
      <c r="N1670" s="107">
        <v>55.15</v>
      </c>
      <c r="O1670" s="107">
        <v>53.45</v>
      </c>
      <c r="P1670" s="107">
        <v>55.05</v>
      </c>
      <c r="Q1670" s="107">
        <v>53.95</v>
      </c>
      <c r="R1670">
        <v>6334580</v>
      </c>
    </row>
    <row r="1671" spans="1:18" x14ac:dyDescent="0.25">
      <c r="A1671" s="130">
        <v>44466</v>
      </c>
      <c r="B1671" s="107">
        <v>54.55</v>
      </c>
      <c r="C1671" s="107">
        <v>53.1</v>
      </c>
      <c r="D1671" s="107">
        <v>52.95</v>
      </c>
      <c r="E1671" s="107">
        <v>54.55</v>
      </c>
      <c r="F1671" s="107">
        <v>53.1</v>
      </c>
      <c r="G1671">
        <v>965025</v>
      </c>
      <c r="H1671" s="107"/>
      <c r="I1671" s="107"/>
      <c r="L1671" s="130">
        <v>44466</v>
      </c>
      <c r="M1671" s="107">
        <v>53.1</v>
      </c>
      <c r="N1671" s="107">
        <v>54.4</v>
      </c>
      <c r="O1671" s="107">
        <v>52.95</v>
      </c>
      <c r="P1671" s="107">
        <v>54.05</v>
      </c>
      <c r="Q1671" s="107">
        <v>53.1</v>
      </c>
      <c r="R1671">
        <v>6480025</v>
      </c>
    </row>
    <row r="1672" spans="1:18" x14ac:dyDescent="0.25">
      <c r="A1672" s="130">
        <v>44467</v>
      </c>
      <c r="B1672" s="107">
        <v>53.95</v>
      </c>
      <c r="C1672" s="107">
        <v>53.05</v>
      </c>
      <c r="D1672" s="107">
        <v>52.75</v>
      </c>
      <c r="E1672" s="107">
        <v>53.3</v>
      </c>
      <c r="F1672" s="107">
        <v>53.05</v>
      </c>
      <c r="G1672">
        <v>826354</v>
      </c>
      <c r="H1672" s="107"/>
      <c r="I1672" s="107"/>
      <c r="L1672" s="130">
        <v>44467</v>
      </c>
      <c r="M1672" s="107">
        <v>53.05</v>
      </c>
      <c r="N1672" s="107">
        <v>54</v>
      </c>
      <c r="O1672" s="107">
        <v>52.75</v>
      </c>
      <c r="P1672" s="107">
        <v>53.6</v>
      </c>
      <c r="Q1672" s="107">
        <v>53.05</v>
      </c>
      <c r="R1672">
        <v>7944198</v>
      </c>
    </row>
    <row r="1673" spans="1:18" x14ac:dyDescent="0.25">
      <c r="A1673" s="130">
        <v>44468</v>
      </c>
      <c r="B1673" s="107">
        <v>55.75</v>
      </c>
      <c r="C1673" s="107">
        <v>55.05</v>
      </c>
      <c r="D1673" s="107">
        <v>52.7</v>
      </c>
      <c r="E1673" s="107">
        <v>52.95</v>
      </c>
      <c r="F1673" s="107">
        <v>55.05</v>
      </c>
      <c r="G1673">
        <v>2112761</v>
      </c>
      <c r="H1673" s="107"/>
      <c r="I1673" s="107"/>
      <c r="L1673" s="130">
        <v>44468</v>
      </c>
      <c r="M1673" s="107">
        <v>55.1</v>
      </c>
      <c r="N1673" s="107">
        <v>55.75</v>
      </c>
      <c r="O1673" s="107">
        <v>52.7</v>
      </c>
      <c r="P1673" s="107">
        <v>52.9</v>
      </c>
      <c r="Q1673" s="107">
        <v>55.1</v>
      </c>
      <c r="R1673">
        <v>19661029</v>
      </c>
    </row>
    <row r="1674" spans="1:18" x14ac:dyDescent="0.25">
      <c r="A1674" s="130">
        <v>44469</v>
      </c>
      <c r="B1674" s="107">
        <v>57.85</v>
      </c>
      <c r="C1674" s="107">
        <v>55.45</v>
      </c>
      <c r="D1674" s="107">
        <v>55.25</v>
      </c>
      <c r="E1674" s="107">
        <v>55.5</v>
      </c>
      <c r="F1674" s="107">
        <v>55.45</v>
      </c>
      <c r="G1674">
        <v>1567799</v>
      </c>
      <c r="H1674" s="107"/>
      <c r="I1674" s="107"/>
      <c r="L1674" s="130">
        <v>44469</v>
      </c>
      <c r="M1674" s="107">
        <v>55.5</v>
      </c>
      <c r="N1674" s="107">
        <v>57.9</v>
      </c>
      <c r="O1674" s="107">
        <v>55.25</v>
      </c>
      <c r="P1674" s="107">
        <v>55.6</v>
      </c>
      <c r="Q1674" s="107">
        <v>55.5</v>
      </c>
      <c r="R1674">
        <v>18235786</v>
      </c>
    </row>
    <row r="1675" spans="1:18" x14ac:dyDescent="0.25">
      <c r="A1675" s="130">
        <v>44470</v>
      </c>
      <c r="B1675" s="107">
        <v>56.75</v>
      </c>
      <c r="C1675" s="107">
        <v>56.6</v>
      </c>
      <c r="D1675" s="107">
        <v>54.75</v>
      </c>
      <c r="E1675" s="107">
        <v>55.45</v>
      </c>
      <c r="F1675" s="107">
        <v>56.6</v>
      </c>
      <c r="G1675">
        <v>795270</v>
      </c>
      <c r="H1675" s="107"/>
      <c r="I1675" s="107"/>
      <c r="L1675" s="130">
        <v>44470</v>
      </c>
      <c r="M1675" s="107">
        <v>56.6</v>
      </c>
      <c r="N1675" s="107">
        <v>56.8</v>
      </c>
      <c r="O1675" s="107">
        <v>54.7</v>
      </c>
      <c r="P1675" s="107">
        <v>55.4</v>
      </c>
      <c r="Q1675" s="107">
        <v>56.6</v>
      </c>
      <c r="R1675">
        <v>13022709</v>
      </c>
    </row>
    <row r="1676" spans="1:18" x14ac:dyDescent="0.25">
      <c r="A1676" s="130">
        <v>44473</v>
      </c>
      <c r="B1676" s="107">
        <v>57.95</v>
      </c>
      <c r="C1676" s="107">
        <v>57.8</v>
      </c>
      <c r="D1676" s="107">
        <v>56.9</v>
      </c>
      <c r="E1676" s="107">
        <v>57</v>
      </c>
      <c r="F1676" s="107">
        <v>57.8</v>
      </c>
      <c r="G1676">
        <v>471245</v>
      </c>
      <c r="H1676" s="107"/>
      <c r="I1676" s="107"/>
      <c r="L1676" s="130">
        <v>44473</v>
      </c>
      <c r="M1676" s="107">
        <v>57.8</v>
      </c>
      <c r="N1676" s="107">
        <v>57.95</v>
      </c>
      <c r="O1676" s="107">
        <v>57</v>
      </c>
      <c r="P1676" s="107">
        <v>57.25</v>
      </c>
      <c r="Q1676" s="107">
        <v>57.8</v>
      </c>
      <c r="R1676">
        <v>8897221</v>
      </c>
    </row>
    <row r="1677" spans="1:18" x14ac:dyDescent="0.25">
      <c r="A1677" s="130">
        <v>44474</v>
      </c>
      <c r="B1677" s="107">
        <v>58.45</v>
      </c>
      <c r="C1677" s="107">
        <v>57.45</v>
      </c>
      <c r="D1677" s="107">
        <v>57.25</v>
      </c>
      <c r="E1677" s="107">
        <v>58.3</v>
      </c>
      <c r="F1677" s="107">
        <v>57.45</v>
      </c>
      <c r="G1677">
        <v>836339</v>
      </c>
      <c r="H1677" s="107"/>
      <c r="I1677" s="107"/>
      <c r="L1677" s="130">
        <v>44474</v>
      </c>
      <c r="M1677" s="107">
        <v>57.5</v>
      </c>
      <c r="N1677" s="107">
        <v>58.5</v>
      </c>
      <c r="O1677" s="107">
        <v>57.3</v>
      </c>
      <c r="P1677" s="107">
        <v>58</v>
      </c>
      <c r="Q1677" s="107">
        <v>57.5</v>
      </c>
      <c r="R1677">
        <v>6895984</v>
      </c>
    </row>
    <row r="1678" spans="1:18" x14ac:dyDescent="0.25">
      <c r="A1678" s="130">
        <v>44475</v>
      </c>
      <c r="B1678" s="107">
        <v>58.4</v>
      </c>
      <c r="C1678" s="107">
        <v>56.1</v>
      </c>
      <c r="D1678" s="107">
        <v>55.9</v>
      </c>
      <c r="E1678" s="107">
        <v>58.4</v>
      </c>
      <c r="F1678" s="107">
        <v>56.1</v>
      </c>
      <c r="G1678">
        <v>556736</v>
      </c>
      <c r="H1678" s="107"/>
      <c r="I1678" s="107"/>
      <c r="L1678" s="130">
        <v>44475</v>
      </c>
      <c r="M1678" s="107">
        <v>56.1</v>
      </c>
      <c r="N1678" s="107">
        <v>58.4</v>
      </c>
      <c r="O1678" s="107">
        <v>55.9</v>
      </c>
      <c r="P1678" s="107">
        <v>57.9</v>
      </c>
      <c r="Q1678" s="107">
        <v>56.1</v>
      </c>
      <c r="R1678">
        <v>8508015</v>
      </c>
    </row>
    <row r="1679" spans="1:18" x14ac:dyDescent="0.25">
      <c r="A1679" s="130">
        <v>44476</v>
      </c>
      <c r="B1679" s="107">
        <v>57.15</v>
      </c>
      <c r="C1679" s="107">
        <v>56.45</v>
      </c>
      <c r="D1679" s="107">
        <v>56.25</v>
      </c>
      <c r="E1679" s="107">
        <v>57.05</v>
      </c>
      <c r="F1679" s="107">
        <v>56.45</v>
      </c>
      <c r="G1679">
        <v>553201</v>
      </c>
      <c r="H1679" s="107"/>
      <c r="I1679" s="107"/>
      <c r="L1679" s="130">
        <v>44476</v>
      </c>
      <c r="M1679" s="107">
        <v>56.4</v>
      </c>
      <c r="N1679" s="107">
        <v>57.2</v>
      </c>
      <c r="O1679" s="107">
        <v>56.25</v>
      </c>
      <c r="P1679" s="107">
        <v>57</v>
      </c>
      <c r="Q1679" s="107">
        <v>56.4</v>
      </c>
      <c r="R1679">
        <v>3860147</v>
      </c>
    </row>
    <row r="1680" spans="1:18" x14ac:dyDescent="0.25">
      <c r="A1680" s="130">
        <v>44477</v>
      </c>
      <c r="B1680" s="107">
        <v>57.85</v>
      </c>
      <c r="C1680" s="107">
        <v>57.5</v>
      </c>
      <c r="D1680" s="107">
        <v>55.55</v>
      </c>
      <c r="E1680" s="107">
        <v>57.1</v>
      </c>
      <c r="F1680" s="107">
        <v>57.5</v>
      </c>
      <c r="G1680">
        <v>1106499</v>
      </c>
      <c r="H1680" s="107"/>
      <c r="I1680" s="107"/>
      <c r="L1680" s="130">
        <v>44477</v>
      </c>
      <c r="M1680" s="107">
        <v>57.5</v>
      </c>
      <c r="N1680" s="107">
        <v>57.85</v>
      </c>
      <c r="O1680" s="107">
        <v>55.5</v>
      </c>
      <c r="P1680" s="107">
        <v>56.9</v>
      </c>
      <c r="Q1680" s="107">
        <v>57.5</v>
      </c>
      <c r="R1680">
        <v>9076192</v>
      </c>
    </row>
    <row r="1681" spans="1:18" x14ac:dyDescent="0.25">
      <c r="A1681" s="130">
        <v>44480</v>
      </c>
      <c r="B1681" s="107">
        <v>58.75</v>
      </c>
      <c r="C1681" s="107">
        <v>57.7</v>
      </c>
      <c r="D1681" s="107">
        <v>57.5</v>
      </c>
      <c r="E1681" s="107">
        <v>57.7</v>
      </c>
      <c r="F1681" s="107">
        <v>57.7</v>
      </c>
      <c r="G1681">
        <v>1011181</v>
      </c>
      <c r="H1681" s="107"/>
      <c r="I1681" s="107"/>
      <c r="L1681" s="130">
        <v>44480</v>
      </c>
      <c r="M1681" s="107">
        <v>57.7</v>
      </c>
      <c r="N1681" s="107">
        <v>58.8</v>
      </c>
      <c r="O1681" s="107">
        <v>57.5</v>
      </c>
      <c r="P1681" s="107">
        <v>57.95</v>
      </c>
      <c r="Q1681" s="107">
        <v>57.7</v>
      </c>
      <c r="R1681">
        <v>8307657</v>
      </c>
    </row>
    <row r="1682" spans="1:18" x14ac:dyDescent="0.25">
      <c r="A1682" s="130">
        <v>44481</v>
      </c>
      <c r="B1682" s="107">
        <v>59.4</v>
      </c>
      <c r="C1682" s="107">
        <v>58.6</v>
      </c>
      <c r="D1682" s="107">
        <v>57.2</v>
      </c>
      <c r="E1682" s="107">
        <v>57.9</v>
      </c>
      <c r="F1682" s="107">
        <v>58.6</v>
      </c>
      <c r="G1682">
        <v>1129718</v>
      </c>
      <c r="H1682" s="107"/>
      <c r="I1682" s="107"/>
      <c r="L1682" s="130">
        <v>44481</v>
      </c>
      <c r="M1682" s="107">
        <v>58.6</v>
      </c>
      <c r="N1682" s="107">
        <v>59.4</v>
      </c>
      <c r="O1682" s="107">
        <v>57.25</v>
      </c>
      <c r="P1682" s="107">
        <v>57.6</v>
      </c>
      <c r="Q1682" s="107">
        <v>58.6</v>
      </c>
      <c r="R1682">
        <v>14028096</v>
      </c>
    </row>
    <row r="1683" spans="1:18" x14ac:dyDescent="0.25">
      <c r="A1683" s="130">
        <v>44482</v>
      </c>
      <c r="B1683" s="107">
        <v>60.4</v>
      </c>
      <c r="C1683" s="107">
        <v>59.25</v>
      </c>
      <c r="D1683" s="107">
        <v>58.95</v>
      </c>
      <c r="E1683" s="107">
        <v>59</v>
      </c>
      <c r="F1683" s="107">
        <v>59.25</v>
      </c>
      <c r="G1683">
        <v>1371054</v>
      </c>
      <c r="H1683" s="107"/>
      <c r="I1683" s="107"/>
      <c r="L1683" s="130">
        <v>44482</v>
      </c>
      <c r="M1683" s="107">
        <v>59.25</v>
      </c>
      <c r="N1683" s="107">
        <v>60.4</v>
      </c>
      <c r="O1683" s="107">
        <v>59</v>
      </c>
      <c r="P1683" s="107">
        <v>59.5</v>
      </c>
      <c r="Q1683" s="107">
        <v>59.25</v>
      </c>
      <c r="R1683">
        <v>19093199</v>
      </c>
    </row>
    <row r="1684" spans="1:18" x14ac:dyDescent="0.25">
      <c r="A1684" s="130">
        <v>44483</v>
      </c>
      <c r="B1684" s="107">
        <v>61.2</v>
      </c>
      <c r="C1684" s="107">
        <v>59.9</v>
      </c>
      <c r="D1684" s="107">
        <v>59.3</v>
      </c>
      <c r="E1684" s="107">
        <v>59.8</v>
      </c>
      <c r="F1684" s="107">
        <v>59.9</v>
      </c>
      <c r="G1684">
        <v>1254558</v>
      </c>
      <c r="H1684" s="107"/>
      <c r="I1684" s="107"/>
      <c r="L1684" s="130">
        <v>44483</v>
      </c>
      <c r="M1684" s="107">
        <v>59.85</v>
      </c>
      <c r="N1684" s="107">
        <v>61.2</v>
      </c>
      <c r="O1684" s="107">
        <v>59.3</v>
      </c>
      <c r="P1684" s="107">
        <v>59.75</v>
      </c>
      <c r="Q1684" s="107">
        <v>59.85</v>
      </c>
      <c r="R1684">
        <v>15139531</v>
      </c>
    </row>
    <row r="1685" spans="1:18" x14ac:dyDescent="0.25">
      <c r="A1685" s="130">
        <v>44487</v>
      </c>
      <c r="B1685" s="107">
        <v>62.65</v>
      </c>
      <c r="C1685" s="107">
        <v>62.15</v>
      </c>
      <c r="D1685" s="107">
        <v>60.2</v>
      </c>
      <c r="E1685" s="107">
        <v>60.4</v>
      </c>
      <c r="F1685" s="107">
        <v>62.15</v>
      </c>
      <c r="G1685">
        <v>2982733</v>
      </c>
      <c r="H1685" s="107"/>
      <c r="I1685" s="107"/>
      <c r="L1685" s="130">
        <v>44487</v>
      </c>
      <c r="M1685" s="107">
        <v>62.2</v>
      </c>
      <c r="N1685" s="107">
        <v>62.65</v>
      </c>
      <c r="O1685" s="107">
        <v>60.2</v>
      </c>
      <c r="P1685" s="107">
        <v>60.5</v>
      </c>
      <c r="Q1685" s="107">
        <v>62.2</v>
      </c>
      <c r="R1685">
        <v>24206735</v>
      </c>
    </row>
    <row r="1686" spans="1:18" x14ac:dyDescent="0.25">
      <c r="A1686" s="130">
        <v>44488</v>
      </c>
      <c r="B1686" s="107">
        <v>63.4</v>
      </c>
      <c r="C1686" s="107">
        <v>60.35</v>
      </c>
      <c r="D1686" s="107">
        <v>60</v>
      </c>
      <c r="E1686" s="107">
        <v>62.6</v>
      </c>
      <c r="F1686" s="107">
        <v>60.35</v>
      </c>
      <c r="G1686">
        <v>1268382</v>
      </c>
      <c r="H1686" s="107"/>
      <c r="I1686" s="107"/>
      <c r="L1686" s="130">
        <v>44488</v>
      </c>
      <c r="M1686" s="107">
        <v>60.3</v>
      </c>
      <c r="N1686" s="107">
        <v>63.4</v>
      </c>
      <c r="O1686" s="107">
        <v>60</v>
      </c>
      <c r="P1686" s="107">
        <v>62.8</v>
      </c>
      <c r="Q1686" s="107">
        <v>60.3</v>
      </c>
      <c r="R1686">
        <v>13669837</v>
      </c>
    </row>
    <row r="1687" spans="1:18" x14ac:dyDescent="0.25">
      <c r="A1687" s="130">
        <v>44489</v>
      </c>
      <c r="B1687" s="107">
        <v>61.15</v>
      </c>
      <c r="C1687" s="107">
        <v>59.6</v>
      </c>
      <c r="D1687" s="107">
        <v>58.75</v>
      </c>
      <c r="E1687" s="107">
        <v>60.7</v>
      </c>
      <c r="F1687" s="107">
        <v>59.6</v>
      </c>
      <c r="G1687">
        <v>1705487</v>
      </c>
      <c r="H1687" s="107"/>
      <c r="I1687" s="107"/>
      <c r="L1687" s="130">
        <v>44489</v>
      </c>
      <c r="M1687" s="107">
        <v>59.6</v>
      </c>
      <c r="N1687" s="107">
        <v>61.2</v>
      </c>
      <c r="O1687" s="107">
        <v>58.8</v>
      </c>
      <c r="P1687" s="107">
        <v>60.5</v>
      </c>
      <c r="Q1687" s="107">
        <v>59.6</v>
      </c>
      <c r="R1687">
        <v>11046290</v>
      </c>
    </row>
    <row r="1688" spans="1:18" x14ac:dyDescent="0.25">
      <c r="A1688" s="130">
        <v>44490</v>
      </c>
      <c r="B1688" s="107">
        <v>62.55</v>
      </c>
      <c r="C1688" s="107">
        <v>61.25</v>
      </c>
      <c r="D1688" s="107">
        <v>59.6</v>
      </c>
      <c r="E1688" s="107">
        <v>59.95</v>
      </c>
      <c r="F1688" s="107">
        <v>61.25</v>
      </c>
      <c r="G1688">
        <v>1304627</v>
      </c>
      <c r="H1688" s="107"/>
      <c r="I1688" s="107"/>
      <c r="L1688" s="130">
        <v>44490</v>
      </c>
      <c r="M1688" s="107">
        <v>61.25</v>
      </c>
      <c r="N1688" s="107">
        <v>62.6</v>
      </c>
      <c r="O1688" s="107">
        <v>59.6</v>
      </c>
      <c r="P1688" s="107">
        <v>60.25</v>
      </c>
      <c r="Q1688" s="107">
        <v>61.25</v>
      </c>
      <c r="R1688">
        <v>16145454</v>
      </c>
    </row>
    <row r="1689" spans="1:18" x14ac:dyDescent="0.25">
      <c r="A1689" s="130">
        <v>44491</v>
      </c>
      <c r="B1689" s="107">
        <v>62.75</v>
      </c>
      <c r="C1689" s="107">
        <v>60.9</v>
      </c>
      <c r="D1689" s="107">
        <v>60.25</v>
      </c>
      <c r="E1689" s="107">
        <v>61.9</v>
      </c>
      <c r="F1689" s="107">
        <v>60.9</v>
      </c>
      <c r="G1689">
        <v>1060618</v>
      </c>
      <c r="H1689" s="107"/>
      <c r="I1689" s="107"/>
      <c r="L1689" s="130">
        <v>44491</v>
      </c>
      <c r="M1689" s="107">
        <v>60.95</v>
      </c>
      <c r="N1689" s="107">
        <v>62.75</v>
      </c>
      <c r="O1689" s="107">
        <v>60.2</v>
      </c>
      <c r="P1689" s="107">
        <v>61.8</v>
      </c>
      <c r="Q1689" s="107">
        <v>60.95</v>
      </c>
      <c r="R1689">
        <v>12534305</v>
      </c>
    </row>
    <row r="1690" spans="1:18" x14ac:dyDescent="0.25">
      <c r="A1690" s="130">
        <v>44494</v>
      </c>
      <c r="B1690" s="107">
        <v>62.65</v>
      </c>
      <c r="C1690" s="107">
        <v>61.1</v>
      </c>
      <c r="D1690" s="107">
        <v>59.6</v>
      </c>
      <c r="E1690" s="107">
        <v>61.4</v>
      </c>
      <c r="F1690" s="107">
        <v>61.1</v>
      </c>
      <c r="G1690">
        <v>951071</v>
      </c>
      <c r="H1690" s="107"/>
      <c r="I1690" s="107"/>
      <c r="L1690" s="130">
        <v>44494</v>
      </c>
      <c r="M1690" s="107">
        <v>61.1</v>
      </c>
      <c r="N1690" s="107">
        <v>62.7</v>
      </c>
      <c r="O1690" s="107">
        <v>59.6</v>
      </c>
      <c r="P1690" s="107">
        <v>61.55</v>
      </c>
      <c r="Q1690" s="107">
        <v>61.1</v>
      </c>
      <c r="R1690">
        <v>14912840</v>
      </c>
    </row>
    <row r="1691" spans="1:18" x14ac:dyDescent="0.25">
      <c r="A1691" s="130">
        <v>44495</v>
      </c>
      <c r="B1691" s="107">
        <v>63.3</v>
      </c>
      <c r="C1691" s="107">
        <v>61.85</v>
      </c>
      <c r="D1691" s="107">
        <v>61.1</v>
      </c>
      <c r="E1691" s="107">
        <v>61.1</v>
      </c>
      <c r="F1691" s="107">
        <v>61.85</v>
      </c>
      <c r="G1691">
        <v>1166103</v>
      </c>
      <c r="H1691" s="107"/>
      <c r="I1691" s="107"/>
      <c r="L1691" s="130">
        <v>44495</v>
      </c>
      <c r="M1691" s="107">
        <v>61.85</v>
      </c>
      <c r="N1691" s="107">
        <v>63.25</v>
      </c>
      <c r="O1691" s="107">
        <v>61.05</v>
      </c>
      <c r="P1691" s="107">
        <v>61.35</v>
      </c>
      <c r="Q1691" s="107">
        <v>61.85</v>
      </c>
      <c r="R1691">
        <v>13826130</v>
      </c>
    </row>
    <row r="1692" spans="1:18" x14ac:dyDescent="0.25">
      <c r="A1692" s="130">
        <v>44496</v>
      </c>
      <c r="B1692" s="107">
        <v>64.7</v>
      </c>
      <c r="C1692" s="107">
        <v>62.8</v>
      </c>
      <c r="D1692" s="107">
        <v>61.9</v>
      </c>
      <c r="E1692" s="107">
        <v>62.4</v>
      </c>
      <c r="F1692" s="107">
        <v>62.8</v>
      </c>
      <c r="G1692">
        <v>1667009</v>
      </c>
      <c r="H1692" s="107"/>
      <c r="I1692" s="107"/>
      <c r="L1692" s="130">
        <v>44496</v>
      </c>
      <c r="M1692" s="107">
        <v>62.8</v>
      </c>
      <c r="N1692" s="107">
        <v>64.7</v>
      </c>
      <c r="O1692" s="107">
        <v>61.9</v>
      </c>
      <c r="P1692" s="107">
        <v>62.35</v>
      </c>
      <c r="Q1692" s="107">
        <v>62.8</v>
      </c>
      <c r="R1692">
        <v>21745209</v>
      </c>
    </row>
    <row r="1693" spans="1:18" x14ac:dyDescent="0.25">
      <c r="A1693" s="130">
        <v>44497</v>
      </c>
      <c r="B1693" s="107">
        <v>63.2</v>
      </c>
      <c r="C1693" s="107">
        <v>59.4</v>
      </c>
      <c r="D1693" s="107">
        <v>59</v>
      </c>
      <c r="E1693" s="107">
        <v>63.2</v>
      </c>
      <c r="F1693" s="107">
        <v>59.4</v>
      </c>
      <c r="G1693">
        <v>783810</v>
      </c>
      <c r="H1693" s="107"/>
      <c r="I1693" s="107"/>
      <c r="L1693" s="130">
        <v>44497</v>
      </c>
      <c r="M1693" s="107">
        <v>59.45</v>
      </c>
      <c r="N1693" s="107">
        <v>62.6</v>
      </c>
      <c r="O1693" s="107">
        <v>59</v>
      </c>
      <c r="P1693" s="107">
        <v>62.6</v>
      </c>
      <c r="Q1693" s="107">
        <v>59.45</v>
      </c>
      <c r="R1693">
        <v>10323547</v>
      </c>
    </row>
    <row r="1694" spans="1:18" x14ac:dyDescent="0.25">
      <c r="A1694" s="130">
        <v>44498</v>
      </c>
      <c r="B1694" s="107">
        <v>60.7</v>
      </c>
      <c r="C1694" s="107">
        <v>60</v>
      </c>
      <c r="D1694" s="107">
        <v>56.9</v>
      </c>
      <c r="E1694" s="107">
        <v>59.7</v>
      </c>
      <c r="F1694" s="107">
        <v>60</v>
      </c>
      <c r="G1694">
        <v>828023</v>
      </c>
      <c r="H1694" s="107"/>
      <c r="I1694" s="107"/>
      <c r="L1694" s="130">
        <v>44498</v>
      </c>
      <c r="M1694" s="107">
        <v>59.9</v>
      </c>
      <c r="N1694" s="107">
        <v>60.7</v>
      </c>
      <c r="O1694" s="107">
        <v>56.85</v>
      </c>
      <c r="P1694" s="107">
        <v>59.45</v>
      </c>
      <c r="Q1694" s="107">
        <v>59.9</v>
      </c>
      <c r="R1694">
        <v>13745789</v>
      </c>
    </row>
    <row r="1695" spans="1:18" x14ac:dyDescent="0.25">
      <c r="A1695" s="130">
        <v>44501</v>
      </c>
      <c r="B1695" s="107">
        <v>60.95</v>
      </c>
      <c r="C1695" s="107">
        <v>60.4</v>
      </c>
      <c r="D1695" s="107">
        <v>59.7</v>
      </c>
      <c r="E1695" s="107">
        <v>59.85</v>
      </c>
      <c r="F1695" s="107">
        <v>60.4</v>
      </c>
      <c r="G1695">
        <v>711347</v>
      </c>
      <c r="H1695" s="107"/>
      <c r="I1695" s="107"/>
      <c r="L1695" s="130">
        <v>44501</v>
      </c>
      <c r="M1695" s="107">
        <v>60.4</v>
      </c>
      <c r="N1695" s="107">
        <v>60.95</v>
      </c>
      <c r="O1695" s="107">
        <v>59.65</v>
      </c>
      <c r="P1695" s="107">
        <v>60.4</v>
      </c>
      <c r="Q1695" s="107">
        <v>60.4</v>
      </c>
      <c r="R1695">
        <v>5215816</v>
      </c>
    </row>
    <row r="1696" spans="1:18" x14ac:dyDescent="0.25">
      <c r="A1696" s="130">
        <v>44502</v>
      </c>
      <c r="B1696" s="107">
        <v>63.3</v>
      </c>
      <c r="C1696" s="107">
        <v>62.5</v>
      </c>
      <c r="D1696" s="107">
        <v>60.35</v>
      </c>
      <c r="E1696" s="107">
        <v>60.7</v>
      </c>
      <c r="F1696" s="107">
        <v>62.5</v>
      </c>
      <c r="G1696">
        <v>1604419</v>
      </c>
      <c r="H1696" s="107"/>
      <c r="I1696" s="107"/>
      <c r="L1696" s="130">
        <v>44502</v>
      </c>
      <c r="M1696" s="107">
        <v>62.55</v>
      </c>
      <c r="N1696" s="107">
        <v>63.35</v>
      </c>
      <c r="O1696" s="107">
        <v>60.25</v>
      </c>
      <c r="P1696" s="107">
        <v>60.85</v>
      </c>
      <c r="Q1696" s="107">
        <v>62.55</v>
      </c>
      <c r="R1696">
        <v>20875822</v>
      </c>
    </row>
    <row r="1697" spans="1:18" x14ac:dyDescent="0.25">
      <c r="A1697" s="130">
        <v>44503</v>
      </c>
      <c r="B1697" s="107">
        <v>63.8</v>
      </c>
      <c r="C1697" s="107">
        <v>62.65</v>
      </c>
      <c r="D1697" s="107">
        <v>62.2</v>
      </c>
      <c r="E1697" s="107">
        <v>63.45</v>
      </c>
      <c r="F1697" s="107">
        <v>62.65</v>
      </c>
      <c r="G1697">
        <v>797367</v>
      </c>
      <c r="H1697" s="107"/>
      <c r="I1697" s="107"/>
      <c r="L1697" s="130">
        <v>44503</v>
      </c>
      <c r="M1697" s="107">
        <v>62.6</v>
      </c>
      <c r="N1697" s="107">
        <v>63.8</v>
      </c>
      <c r="O1697" s="107">
        <v>62.2</v>
      </c>
      <c r="P1697" s="107">
        <v>63.3</v>
      </c>
      <c r="Q1697" s="107">
        <v>62.6</v>
      </c>
      <c r="R1697">
        <v>13309695</v>
      </c>
    </row>
    <row r="1698" spans="1:18" x14ac:dyDescent="0.25">
      <c r="A1698" s="130">
        <v>44504</v>
      </c>
      <c r="B1698" s="107">
        <v>63.5</v>
      </c>
      <c r="C1698" s="107">
        <v>63.1</v>
      </c>
      <c r="D1698" s="107">
        <v>62.9</v>
      </c>
      <c r="E1698" s="107">
        <v>63.3</v>
      </c>
      <c r="F1698" s="107">
        <v>63.1</v>
      </c>
      <c r="G1698">
        <v>208643</v>
      </c>
      <c r="H1698" s="107"/>
      <c r="I1698" s="107"/>
      <c r="L1698" s="130">
        <v>44504</v>
      </c>
      <c r="M1698" s="107">
        <v>63.1</v>
      </c>
      <c r="N1698" s="107">
        <v>63.5</v>
      </c>
      <c r="O1698" s="107">
        <v>62.9</v>
      </c>
      <c r="P1698" s="107">
        <v>63.3</v>
      </c>
      <c r="Q1698" s="107">
        <v>63.1</v>
      </c>
      <c r="R1698">
        <v>2090104</v>
      </c>
    </row>
    <row r="1699" spans="1:18" x14ac:dyDescent="0.25">
      <c r="A1699" s="130">
        <v>44508</v>
      </c>
      <c r="B1699" s="107">
        <v>63.95</v>
      </c>
      <c r="C1699" s="107">
        <v>63.2</v>
      </c>
      <c r="D1699" s="107">
        <v>62.3</v>
      </c>
      <c r="E1699" s="107">
        <v>63.2</v>
      </c>
      <c r="F1699" s="107">
        <v>63.2</v>
      </c>
      <c r="G1699">
        <v>1159397</v>
      </c>
      <c r="H1699" s="107"/>
      <c r="I1699" s="107"/>
      <c r="L1699" s="130">
        <v>44508</v>
      </c>
      <c r="M1699" s="107">
        <v>63.2</v>
      </c>
      <c r="N1699" s="107">
        <v>63.95</v>
      </c>
      <c r="O1699" s="107">
        <v>62.3</v>
      </c>
      <c r="P1699" s="107">
        <v>63.5</v>
      </c>
      <c r="Q1699" s="107">
        <v>63.2</v>
      </c>
      <c r="R1699">
        <v>8960699</v>
      </c>
    </row>
    <row r="1700" spans="1:18" x14ac:dyDescent="0.25">
      <c r="A1700" s="130">
        <v>44509</v>
      </c>
      <c r="B1700" s="107">
        <v>65.5</v>
      </c>
      <c r="C1700" s="107">
        <v>64.95</v>
      </c>
      <c r="D1700" s="107">
        <v>63.2</v>
      </c>
      <c r="E1700" s="107">
        <v>63.7</v>
      </c>
      <c r="F1700" s="107">
        <v>64.95</v>
      </c>
      <c r="G1700">
        <v>1639920</v>
      </c>
      <c r="H1700" s="107"/>
      <c r="I1700" s="107"/>
      <c r="L1700" s="130">
        <v>44509</v>
      </c>
      <c r="M1700" s="107">
        <v>64.95</v>
      </c>
      <c r="N1700" s="107">
        <v>65.55</v>
      </c>
      <c r="O1700" s="107">
        <v>63.15</v>
      </c>
      <c r="P1700" s="107">
        <v>63.45</v>
      </c>
      <c r="Q1700" s="107">
        <v>64.95</v>
      </c>
      <c r="R1700">
        <v>18959426</v>
      </c>
    </row>
    <row r="1701" spans="1:18" x14ac:dyDescent="0.25">
      <c r="A1701" s="130">
        <v>44510</v>
      </c>
      <c r="B1701" s="107">
        <v>65.8</v>
      </c>
      <c r="C1701" s="107">
        <v>64.3</v>
      </c>
      <c r="D1701" s="107">
        <v>64.099999999999994</v>
      </c>
      <c r="E1701" s="107">
        <v>64.900000000000006</v>
      </c>
      <c r="F1701" s="107">
        <v>64.3</v>
      </c>
      <c r="G1701">
        <v>1209359</v>
      </c>
      <c r="H1701" s="107"/>
      <c r="I1701" s="107"/>
      <c r="L1701" s="130">
        <v>44510</v>
      </c>
      <c r="M1701" s="107">
        <v>64.3</v>
      </c>
      <c r="N1701" s="107">
        <v>65.8</v>
      </c>
      <c r="O1701" s="107">
        <v>64.05</v>
      </c>
      <c r="P1701" s="107">
        <v>64.900000000000006</v>
      </c>
      <c r="Q1701" s="107">
        <v>64.3</v>
      </c>
      <c r="R1701">
        <v>13374524</v>
      </c>
    </row>
    <row r="1702" spans="1:18" x14ac:dyDescent="0.25">
      <c r="A1702" s="130">
        <v>44511</v>
      </c>
      <c r="B1702" s="107">
        <v>64.849999999999994</v>
      </c>
      <c r="C1702" s="107">
        <v>62.3</v>
      </c>
      <c r="D1702" s="107">
        <v>61.85</v>
      </c>
      <c r="E1702" s="107">
        <v>64.849999999999994</v>
      </c>
      <c r="F1702" s="107">
        <v>62.3</v>
      </c>
      <c r="G1702">
        <v>876415</v>
      </c>
      <c r="H1702" s="107"/>
      <c r="I1702" s="107"/>
      <c r="L1702" s="130">
        <v>44511</v>
      </c>
      <c r="M1702" s="107">
        <v>62.25</v>
      </c>
      <c r="N1702" s="107">
        <v>64.650000000000006</v>
      </c>
      <c r="O1702" s="107">
        <v>61.85</v>
      </c>
      <c r="P1702" s="107">
        <v>64.5</v>
      </c>
      <c r="Q1702" s="107">
        <v>62.25</v>
      </c>
      <c r="R1702">
        <v>8901813</v>
      </c>
    </row>
    <row r="1703" spans="1:18" x14ac:dyDescent="0.25">
      <c r="A1703" s="130">
        <v>44512</v>
      </c>
      <c r="B1703" s="107">
        <v>62.95</v>
      </c>
      <c r="C1703" s="107">
        <v>61.75</v>
      </c>
      <c r="D1703" s="107">
        <v>61.15</v>
      </c>
      <c r="E1703" s="107">
        <v>62.95</v>
      </c>
      <c r="F1703" s="107">
        <v>61.75</v>
      </c>
      <c r="G1703">
        <v>588039</v>
      </c>
      <c r="H1703" s="107"/>
      <c r="I1703" s="107"/>
      <c r="L1703" s="130">
        <v>44512</v>
      </c>
      <c r="M1703" s="107">
        <v>61.75</v>
      </c>
      <c r="N1703" s="107">
        <v>62.85</v>
      </c>
      <c r="O1703" s="107">
        <v>61.2</v>
      </c>
      <c r="P1703" s="107">
        <v>62.8</v>
      </c>
      <c r="Q1703" s="107">
        <v>61.75</v>
      </c>
      <c r="R1703">
        <v>5821598</v>
      </c>
    </row>
    <row r="1704" spans="1:18" x14ac:dyDescent="0.25">
      <c r="A1704" s="130">
        <v>44515</v>
      </c>
      <c r="B1704" s="107">
        <v>62.5</v>
      </c>
      <c r="C1704" s="107">
        <v>61.35</v>
      </c>
      <c r="D1704" s="107">
        <v>60.65</v>
      </c>
      <c r="E1704" s="107">
        <v>62.2</v>
      </c>
      <c r="F1704" s="107">
        <v>61.35</v>
      </c>
      <c r="G1704">
        <v>570850</v>
      </c>
      <c r="H1704" s="107"/>
      <c r="I1704" s="107"/>
      <c r="L1704" s="130">
        <v>44515</v>
      </c>
      <c r="M1704" s="107">
        <v>61.35</v>
      </c>
      <c r="N1704" s="107">
        <v>62.5</v>
      </c>
      <c r="O1704" s="107">
        <v>60.65</v>
      </c>
      <c r="P1704" s="107">
        <v>62.35</v>
      </c>
      <c r="Q1704" s="107">
        <v>61.35</v>
      </c>
      <c r="R1704">
        <v>4614352</v>
      </c>
    </row>
    <row r="1705" spans="1:18" x14ac:dyDescent="0.25">
      <c r="A1705" s="130">
        <v>44516</v>
      </c>
      <c r="B1705" s="107">
        <v>61.8</v>
      </c>
      <c r="C1705" s="107">
        <v>59.8</v>
      </c>
      <c r="D1705" s="107">
        <v>59.5</v>
      </c>
      <c r="E1705" s="107">
        <v>61.2</v>
      </c>
      <c r="F1705" s="107">
        <v>59.8</v>
      </c>
      <c r="G1705">
        <v>559423</v>
      </c>
      <c r="H1705" s="107"/>
      <c r="I1705" s="107"/>
      <c r="L1705" s="130">
        <v>44516</v>
      </c>
      <c r="M1705" s="107">
        <v>59.8</v>
      </c>
      <c r="N1705" s="107">
        <v>61.8</v>
      </c>
      <c r="O1705" s="107">
        <v>59.45</v>
      </c>
      <c r="P1705" s="107">
        <v>61.3</v>
      </c>
      <c r="Q1705" s="107">
        <v>59.8</v>
      </c>
      <c r="R1705">
        <v>5125242</v>
      </c>
    </row>
    <row r="1706" spans="1:18" x14ac:dyDescent="0.25">
      <c r="A1706" s="130">
        <v>44517</v>
      </c>
      <c r="B1706" s="107">
        <v>60.8</v>
      </c>
      <c r="C1706" s="107">
        <v>59.55</v>
      </c>
      <c r="D1706" s="107">
        <v>59.2</v>
      </c>
      <c r="E1706" s="107">
        <v>59.5</v>
      </c>
      <c r="F1706" s="107">
        <v>59.55</v>
      </c>
      <c r="G1706">
        <v>467714</v>
      </c>
      <c r="H1706" s="107"/>
      <c r="I1706" s="107"/>
      <c r="L1706" s="130">
        <v>44517</v>
      </c>
      <c r="M1706" s="107">
        <v>59.5</v>
      </c>
      <c r="N1706" s="107">
        <v>60.8</v>
      </c>
      <c r="O1706" s="107">
        <v>59.3</v>
      </c>
      <c r="P1706" s="107">
        <v>59.7</v>
      </c>
      <c r="Q1706" s="107">
        <v>59.5</v>
      </c>
      <c r="R1706">
        <v>3951051</v>
      </c>
    </row>
    <row r="1707" spans="1:18" x14ac:dyDescent="0.25">
      <c r="A1707" s="130">
        <v>44518</v>
      </c>
      <c r="B1707" s="107">
        <v>60.4</v>
      </c>
      <c r="C1707" s="107">
        <v>59</v>
      </c>
      <c r="D1707" s="107">
        <v>58.7</v>
      </c>
      <c r="E1707" s="107">
        <v>59.6</v>
      </c>
      <c r="F1707" s="107">
        <v>59</v>
      </c>
      <c r="G1707">
        <v>612344</v>
      </c>
      <c r="H1707" s="107"/>
      <c r="I1707" s="107"/>
      <c r="L1707" s="130">
        <v>44518</v>
      </c>
      <c r="M1707" s="107">
        <v>59.05</v>
      </c>
      <c r="N1707" s="107">
        <v>60.4</v>
      </c>
      <c r="O1707" s="107">
        <v>58.75</v>
      </c>
      <c r="P1707" s="107">
        <v>59.8</v>
      </c>
      <c r="Q1707" s="107">
        <v>59.05</v>
      </c>
      <c r="R1707">
        <v>4595163</v>
      </c>
    </row>
    <row r="1708" spans="1:18" x14ac:dyDescent="0.25">
      <c r="A1708" s="130">
        <v>44522</v>
      </c>
      <c r="B1708" s="107">
        <v>59.6</v>
      </c>
      <c r="C1708" s="107">
        <v>56.95</v>
      </c>
      <c r="D1708" s="107">
        <v>56.3</v>
      </c>
      <c r="E1708" s="107">
        <v>59</v>
      </c>
      <c r="F1708" s="107">
        <v>56.95</v>
      </c>
      <c r="G1708">
        <v>692981</v>
      </c>
      <c r="H1708" s="107"/>
      <c r="I1708" s="107"/>
      <c r="L1708" s="130">
        <v>44522</v>
      </c>
      <c r="M1708" s="107">
        <v>56.95</v>
      </c>
      <c r="N1708" s="107">
        <v>59.6</v>
      </c>
      <c r="O1708" s="107">
        <v>56.3</v>
      </c>
      <c r="P1708" s="107">
        <v>59.35</v>
      </c>
      <c r="Q1708" s="107">
        <v>56.95</v>
      </c>
      <c r="R1708">
        <v>7907691</v>
      </c>
    </row>
    <row r="1709" spans="1:18" x14ac:dyDescent="0.25">
      <c r="A1709" s="130">
        <v>44523</v>
      </c>
      <c r="B1709" s="107">
        <v>58.75</v>
      </c>
      <c r="C1709" s="107">
        <v>58.5</v>
      </c>
      <c r="D1709" s="107">
        <v>56.2</v>
      </c>
      <c r="E1709" s="107">
        <v>56.7</v>
      </c>
      <c r="F1709" s="107">
        <v>58.5</v>
      </c>
      <c r="G1709">
        <v>454307</v>
      </c>
      <c r="H1709" s="107"/>
      <c r="I1709" s="107"/>
      <c r="L1709" s="130">
        <v>44523</v>
      </c>
      <c r="M1709" s="107">
        <v>58.5</v>
      </c>
      <c r="N1709" s="107">
        <v>58.8</v>
      </c>
      <c r="O1709" s="107">
        <v>56.1</v>
      </c>
      <c r="P1709" s="107">
        <v>56.35</v>
      </c>
      <c r="Q1709" s="107">
        <v>58.5</v>
      </c>
      <c r="R1709">
        <v>4410488</v>
      </c>
    </row>
    <row r="1710" spans="1:18" x14ac:dyDescent="0.25">
      <c r="A1710" s="130">
        <v>44524</v>
      </c>
      <c r="B1710" s="107">
        <v>60.35</v>
      </c>
      <c r="C1710" s="107">
        <v>58.35</v>
      </c>
      <c r="D1710" s="107">
        <v>58.2</v>
      </c>
      <c r="E1710" s="107">
        <v>59.8</v>
      </c>
      <c r="F1710" s="107">
        <v>58.35</v>
      </c>
      <c r="G1710">
        <v>551845</v>
      </c>
      <c r="H1710" s="107"/>
      <c r="I1710" s="107"/>
      <c r="L1710" s="130">
        <v>44524</v>
      </c>
      <c r="M1710" s="107">
        <v>58.35</v>
      </c>
      <c r="N1710" s="107">
        <v>60.35</v>
      </c>
      <c r="O1710" s="107">
        <v>58.2</v>
      </c>
      <c r="P1710" s="107">
        <v>59.55</v>
      </c>
      <c r="Q1710" s="107">
        <v>58.35</v>
      </c>
      <c r="R1710">
        <v>6640369</v>
      </c>
    </row>
    <row r="1711" spans="1:18" x14ac:dyDescent="0.25">
      <c r="A1711" s="130">
        <v>44525</v>
      </c>
      <c r="B1711" s="107">
        <v>59.2</v>
      </c>
      <c r="C1711" s="107">
        <v>57.7</v>
      </c>
      <c r="D1711" s="107">
        <v>57.4</v>
      </c>
      <c r="E1711" s="107">
        <v>59.2</v>
      </c>
      <c r="F1711" s="107">
        <v>57.7</v>
      </c>
      <c r="G1711">
        <v>552871</v>
      </c>
      <c r="H1711" s="107"/>
      <c r="I1711" s="107"/>
      <c r="L1711" s="130">
        <v>44525</v>
      </c>
      <c r="M1711" s="107">
        <v>57.7</v>
      </c>
      <c r="N1711" s="107">
        <v>59.1</v>
      </c>
      <c r="O1711" s="107">
        <v>57.4</v>
      </c>
      <c r="P1711" s="107">
        <v>58.5</v>
      </c>
      <c r="Q1711" s="107">
        <v>57.7</v>
      </c>
      <c r="R1711">
        <v>5157952</v>
      </c>
    </row>
    <row r="1712" spans="1:18" x14ac:dyDescent="0.25">
      <c r="A1712" s="130">
        <v>44526</v>
      </c>
      <c r="B1712" s="107">
        <v>57.7</v>
      </c>
      <c r="C1712" s="107">
        <v>56.7</v>
      </c>
      <c r="D1712" s="107">
        <v>56.5</v>
      </c>
      <c r="E1712" s="107">
        <v>57.65</v>
      </c>
      <c r="F1712" s="107">
        <v>56.7</v>
      </c>
      <c r="G1712">
        <v>679022</v>
      </c>
      <c r="H1712" s="107"/>
      <c r="I1712" s="107"/>
      <c r="L1712" s="130">
        <v>44526</v>
      </c>
      <c r="M1712" s="107">
        <v>56.7</v>
      </c>
      <c r="N1712" s="107">
        <v>57.7</v>
      </c>
      <c r="O1712" s="107">
        <v>56.5</v>
      </c>
      <c r="P1712" s="107">
        <v>57.2</v>
      </c>
      <c r="Q1712" s="107">
        <v>56.7</v>
      </c>
      <c r="R1712">
        <v>4476910</v>
      </c>
    </row>
    <row r="1713" spans="1:18" x14ac:dyDescent="0.25">
      <c r="A1713" s="130">
        <v>44529</v>
      </c>
      <c r="B1713" s="107">
        <v>56.9</v>
      </c>
      <c r="C1713" s="107">
        <v>54.85</v>
      </c>
      <c r="D1713" s="107">
        <v>54.35</v>
      </c>
      <c r="E1713" s="107">
        <v>55.4</v>
      </c>
      <c r="F1713" s="107">
        <v>54.85</v>
      </c>
      <c r="G1713">
        <v>1085983</v>
      </c>
      <c r="H1713" s="107"/>
      <c r="I1713" s="107"/>
      <c r="L1713" s="130">
        <v>44529</v>
      </c>
      <c r="M1713" s="107">
        <v>54.85</v>
      </c>
      <c r="N1713" s="107">
        <v>57</v>
      </c>
      <c r="O1713" s="107">
        <v>54.35</v>
      </c>
      <c r="P1713" s="107">
        <v>56.75</v>
      </c>
      <c r="Q1713" s="107">
        <v>54.85</v>
      </c>
      <c r="R1713">
        <v>5387964</v>
      </c>
    </row>
    <row r="1714" spans="1:18" x14ac:dyDescent="0.25">
      <c r="A1714" s="130">
        <v>44530</v>
      </c>
      <c r="B1714" s="107">
        <v>56.4</v>
      </c>
      <c r="C1714" s="107">
        <v>54.3</v>
      </c>
      <c r="D1714" s="107">
        <v>54.1</v>
      </c>
      <c r="E1714" s="107">
        <v>54.75</v>
      </c>
      <c r="F1714" s="107">
        <v>54.3</v>
      </c>
      <c r="G1714">
        <v>822090</v>
      </c>
      <c r="H1714" s="107"/>
      <c r="I1714" s="107"/>
      <c r="L1714" s="130">
        <v>44530</v>
      </c>
      <c r="M1714" s="107">
        <v>54.3</v>
      </c>
      <c r="N1714" s="107">
        <v>56.35</v>
      </c>
      <c r="O1714" s="107">
        <v>54.1</v>
      </c>
      <c r="P1714" s="107">
        <v>55.2</v>
      </c>
      <c r="Q1714" s="107">
        <v>54.3</v>
      </c>
      <c r="R1714">
        <v>4918548</v>
      </c>
    </row>
    <row r="1715" spans="1:18" x14ac:dyDescent="0.25">
      <c r="A1715" s="130">
        <v>44531</v>
      </c>
      <c r="B1715" s="107">
        <v>55.3</v>
      </c>
      <c r="C1715" s="107">
        <v>54.1</v>
      </c>
      <c r="D1715" s="107">
        <v>53.6</v>
      </c>
      <c r="E1715" s="107">
        <v>55.3</v>
      </c>
      <c r="F1715" s="107">
        <v>54.1</v>
      </c>
      <c r="G1715">
        <v>615528</v>
      </c>
      <c r="H1715" s="107"/>
      <c r="I1715" s="107"/>
      <c r="L1715" s="130">
        <v>44531</v>
      </c>
      <c r="M1715" s="107">
        <v>54.1</v>
      </c>
      <c r="N1715" s="107">
        <v>55.2</v>
      </c>
      <c r="O1715" s="107">
        <v>53.6</v>
      </c>
      <c r="P1715" s="107">
        <v>55</v>
      </c>
      <c r="Q1715" s="107">
        <v>54.1</v>
      </c>
      <c r="R1715">
        <v>6598767</v>
      </c>
    </row>
    <row r="1716" spans="1:18" x14ac:dyDescent="0.25">
      <c r="A1716" s="130">
        <v>44532</v>
      </c>
      <c r="B1716" s="107">
        <v>54.7</v>
      </c>
      <c r="C1716" s="107">
        <v>54.35</v>
      </c>
      <c r="D1716" s="107">
        <v>53.6</v>
      </c>
      <c r="E1716" s="107">
        <v>54.5</v>
      </c>
      <c r="F1716" s="107">
        <v>54.35</v>
      </c>
      <c r="G1716">
        <v>449558</v>
      </c>
      <c r="H1716" s="107"/>
      <c r="I1716" s="107"/>
      <c r="L1716" s="130">
        <v>44532</v>
      </c>
      <c r="M1716" s="107">
        <v>54.35</v>
      </c>
      <c r="N1716" s="107">
        <v>54.7</v>
      </c>
      <c r="O1716" s="107">
        <v>53.55</v>
      </c>
      <c r="P1716" s="107">
        <v>54.1</v>
      </c>
      <c r="Q1716" s="107">
        <v>54.35</v>
      </c>
      <c r="R1716">
        <v>5969700</v>
      </c>
    </row>
    <row r="1717" spans="1:18" x14ac:dyDescent="0.25">
      <c r="A1717" s="130">
        <v>44533</v>
      </c>
      <c r="B1717" s="107">
        <v>55.05</v>
      </c>
      <c r="C1717" s="107">
        <v>54.1</v>
      </c>
      <c r="D1717" s="107">
        <v>54</v>
      </c>
      <c r="E1717" s="107">
        <v>54.35</v>
      </c>
      <c r="F1717" s="107">
        <v>54.1</v>
      </c>
      <c r="G1717">
        <v>564674</v>
      </c>
      <c r="H1717" s="107"/>
      <c r="I1717" s="107"/>
      <c r="L1717" s="130">
        <v>44533</v>
      </c>
      <c r="M1717" s="107">
        <v>54.1</v>
      </c>
      <c r="N1717" s="107">
        <v>55.1</v>
      </c>
      <c r="O1717" s="107">
        <v>54</v>
      </c>
      <c r="P1717" s="107">
        <v>54.5</v>
      </c>
      <c r="Q1717" s="107">
        <v>54.1</v>
      </c>
      <c r="R1717">
        <v>4572992</v>
      </c>
    </row>
    <row r="1718" spans="1:18" x14ac:dyDescent="0.25">
      <c r="A1718" s="130">
        <v>44536</v>
      </c>
      <c r="B1718" s="107">
        <v>54.65</v>
      </c>
      <c r="C1718" s="107">
        <v>53.75</v>
      </c>
      <c r="D1718" s="107">
        <v>53.6</v>
      </c>
      <c r="E1718" s="107">
        <v>54.15</v>
      </c>
      <c r="F1718" s="107">
        <v>53.75</v>
      </c>
      <c r="G1718">
        <v>403977</v>
      </c>
      <c r="H1718" s="107"/>
      <c r="I1718" s="107"/>
      <c r="L1718" s="130">
        <v>44536</v>
      </c>
      <c r="M1718" s="107">
        <v>53.75</v>
      </c>
      <c r="N1718" s="107">
        <v>54.6</v>
      </c>
      <c r="O1718" s="107">
        <v>53.65</v>
      </c>
      <c r="P1718" s="107">
        <v>54.45</v>
      </c>
      <c r="Q1718" s="107">
        <v>53.75</v>
      </c>
      <c r="R1718">
        <v>3721794</v>
      </c>
    </row>
    <row r="1719" spans="1:18" x14ac:dyDescent="0.25">
      <c r="A1719" s="130">
        <v>44537</v>
      </c>
      <c r="B1719" s="107">
        <v>54.45</v>
      </c>
      <c r="C1719" s="107">
        <v>53.95</v>
      </c>
      <c r="D1719" s="107">
        <v>53.85</v>
      </c>
      <c r="E1719" s="107">
        <v>54.3</v>
      </c>
      <c r="F1719" s="107">
        <v>53.95</v>
      </c>
      <c r="G1719">
        <v>418506</v>
      </c>
      <c r="H1719" s="107"/>
      <c r="I1719" s="107"/>
      <c r="L1719" s="130">
        <v>44537</v>
      </c>
      <c r="M1719" s="107">
        <v>53.95</v>
      </c>
      <c r="N1719" s="107">
        <v>54.5</v>
      </c>
      <c r="O1719" s="107">
        <v>53.85</v>
      </c>
      <c r="P1719" s="107">
        <v>54.25</v>
      </c>
      <c r="Q1719" s="107">
        <v>53.95</v>
      </c>
      <c r="R1719">
        <v>4130803</v>
      </c>
    </row>
    <row r="1720" spans="1:18" x14ac:dyDescent="0.25">
      <c r="A1720" s="130">
        <v>44538</v>
      </c>
      <c r="B1720" s="107">
        <v>55.2</v>
      </c>
      <c r="C1720" s="107">
        <v>54.8</v>
      </c>
      <c r="D1720" s="107">
        <v>54.2</v>
      </c>
      <c r="E1720" s="107">
        <v>54.2</v>
      </c>
      <c r="F1720" s="107">
        <v>54.8</v>
      </c>
      <c r="G1720">
        <v>602116</v>
      </c>
      <c r="H1720" s="107"/>
      <c r="I1720" s="107"/>
      <c r="L1720" s="130">
        <v>44538</v>
      </c>
      <c r="M1720" s="107">
        <v>54.8</v>
      </c>
      <c r="N1720" s="107">
        <v>55.25</v>
      </c>
      <c r="O1720" s="107">
        <v>54.2</v>
      </c>
      <c r="P1720" s="107">
        <v>54.35</v>
      </c>
      <c r="Q1720" s="107">
        <v>54.8</v>
      </c>
      <c r="R1720">
        <v>5244866</v>
      </c>
    </row>
    <row r="1721" spans="1:18" x14ac:dyDescent="0.25">
      <c r="A1721" s="130">
        <v>44539</v>
      </c>
      <c r="B1721" s="107">
        <v>55.5</v>
      </c>
      <c r="C1721" s="107">
        <v>54.9</v>
      </c>
      <c r="D1721" s="107">
        <v>54.45</v>
      </c>
      <c r="E1721" s="107">
        <v>54.8</v>
      </c>
      <c r="F1721" s="107">
        <v>54.9</v>
      </c>
      <c r="G1721">
        <v>623629</v>
      </c>
      <c r="H1721" s="107"/>
      <c r="I1721" s="107"/>
      <c r="L1721" s="130">
        <v>44539</v>
      </c>
      <c r="M1721" s="107">
        <v>54.85</v>
      </c>
      <c r="N1721" s="107">
        <v>55.5</v>
      </c>
      <c r="O1721" s="107">
        <v>54.5</v>
      </c>
      <c r="P1721" s="107">
        <v>55.1</v>
      </c>
      <c r="Q1721" s="107">
        <v>54.85</v>
      </c>
      <c r="R1721">
        <v>4716248</v>
      </c>
    </row>
    <row r="1722" spans="1:18" x14ac:dyDescent="0.25">
      <c r="A1722" s="130">
        <v>44540</v>
      </c>
      <c r="B1722" s="107">
        <v>57.45</v>
      </c>
      <c r="C1722" s="107">
        <v>57.15</v>
      </c>
      <c r="D1722" s="107">
        <v>54.75</v>
      </c>
      <c r="E1722" s="107">
        <v>55.2</v>
      </c>
      <c r="F1722" s="107">
        <v>57.15</v>
      </c>
      <c r="G1722">
        <v>1048944</v>
      </c>
      <c r="H1722" s="107"/>
      <c r="I1722" s="107"/>
      <c r="L1722" s="130">
        <v>44540</v>
      </c>
      <c r="M1722" s="107">
        <v>57.2</v>
      </c>
      <c r="N1722" s="107">
        <v>57.5</v>
      </c>
      <c r="O1722" s="107">
        <v>54.75</v>
      </c>
      <c r="P1722" s="107">
        <v>55</v>
      </c>
      <c r="Q1722" s="107">
        <v>57.2</v>
      </c>
      <c r="R1722">
        <v>9649608</v>
      </c>
    </row>
    <row r="1723" spans="1:18" x14ac:dyDescent="0.25">
      <c r="A1723" s="130">
        <v>44543</v>
      </c>
      <c r="B1723" s="107">
        <v>58.75</v>
      </c>
      <c r="C1723" s="107">
        <v>57.25</v>
      </c>
      <c r="D1723" s="107">
        <v>57.1</v>
      </c>
      <c r="E1723" s="107">
        <v>57.95</v>
      </c>
      <c r="F1723" s="107">
        <v>57.25</v>
      </c>
      <c r="G1723">
        <v>375853</v>
      </c>
      <c r="H1723" s="107"/>
      <c r="I1723" s="107"/>
      <c r="L1723" s="130">
        <v>44543</v>
      </c>
      <c r="M1723" s="107">
        <v>57.25</v>
      </c>
      <c r="N1723" s="107">
        <v>58.8</v>
      </c>
      <c r="O1723" s="107">
        <v>57.05</v>
      </c>
      <c r="P1723" s="107">
        <v>57.9</v>
      </c>
      <c r="Q1723" s="107">
        <v>57.25</v>
      </c>
      <c r="R1723">
        <v>5895670</v>
      </c>
    </row>
    <row r="1724" spans="1:18" x14ac:dyDescent="0.25">
      <c r="A1724" s="130">
        <v>44544</v>
      </c>
      <c r="B1724" s="107">
        <v>57.25</v>
      </c>
      <c r="C1724" s="107">
        <v>56.2</v>
      </c>
      <c r="D1724" s="107">
        <v>56</v>
      </c>
      <c r="E1724" s="107">
        <v>57.25</v>
      </c>
      <c r="F1724" s="107">
        <v>56.2</v>
      </c>
      <c r="G1724">
        <v>519275</v>
      </c>
      <c r="H1724" s="107"/>
      <c r="I1724" s="107"/>
      <c r="L1724" s="130">
        <v>44544</v>
      </c>
      <c r="M1724" s="107">
        <v>56.15</v>
      </c>
      <c r="N1724" s="107">
        <v>57.05</v>
      </c>
      <c r="O1724" s="107">
        <v>56</v>
      </c>
      <c r="P1724" s="107">
        <v>56.75</v>
      </c>
      <c r="Q1724" s="107">
        <v>56.15</v>
      </c>
      <c r="R1724">
        <v>5048826</v>
      </c>
    </row>
    <row r="1725" spans="1:18" x14ac:dyDescent="0.25">
      <c r="A1725" s="130">
        <v>44545</v>
      </c>
      <c r="B1725" s="107">
        <v>56.6</v>
      </c>
      <c r="C1725" s="107">
        <v>55.8</v>
      </c>
      <c r="D1725" s="107">
        <v>55.4</v>
      </c>
      <c r="E1725" s="107">
        <v>56.2</v>
      </c>
      <c r="F1725" s="107">
        <v>55.8</v>
      </c>
      <c r="G1725">
        <v>358595</v>
      </c>
      <c r="H1725" s="107"/>
      <c r="I1725" s="107"/>
      <c r="L1725" s="130">
        <v>44545</v>
      </c>
      <c r="M1725" s="107">
        <v>55.75</v>
      </c>
      <c r="N1725" s="107">
        <v>56.6</v>
      </c>
      <c r="O1725" s="107">
        <v>55.4</v>
      </c>
      <c r="P1725" s="107">
        <v>56.15</v>
      </c>
      <c r="Q1725" s="107">
        <v>55.75</v>
      </c>
      <c r="R1725">
        <v>2450234</v>
      </c>
    </row>
    <row r="1726" spans="1:18" x14ac:dyDescent="0.25">
      <c r="A1726" s="130">
        <v>44546</v>
      </c>
      <c r="B1726" s="107">
        <v>56.3</v>
      </c>
      <c r="C1726" s="107">
        <v>54.9</v>
      </c>
      <c r="D1726" s="107">
        <v>54.6</v>
      </c>
      <c r="E1726" s="107">
        <v>56</v>
      </c>
      <c r="F1726" s="107">
        <v>54.9</v>
      </c>
      <c r="G1726">
        <v>467956</v>
      </c>
      <c r="H1726" s="107"/>
      <c r="I1726" s="107"/>
      <c r="L1726" s="130">
        <v>44546</v>
      </c>
      <c r="M1726" s="107">
        <v>54.85</v>
      </c>
      <c r="N1726" s="107">
        <v>56.35</v>
      </c>
      <c r="O1726" s="107">
        <v>54.55</v>
      </c>
      <c r="P1726" s="107">
        <v>56.3</v>
      </c>
      <c r="Q1726" s="107">
        <v>54.85</v>
      </c>
      <c r="R1726">
        <v>3348844</v>
      </c>
    </row>
    <row r="1727" spans="1:18" x14ac:dyDescent="0.25">
      <c r="A1727" s="130">
        <v>44547</v>
      </c>
      <c r="B1727" s="107">
        <v>55.15</v>
      </c>
      <c r="C1727" s="107">
        <v>52.75</v>
      </c>
      <c r="D1727" s="107">
        <v>52.3</v>
      </c>
      <c r="E1727" s="107">
        <v>54.5</v>
      </c>
      <c r="F1727" s="107">
        <v>52.75</v>
      </c>
      <c r="G1727">
        <v>740755</v>
      </c>
      <c r="H1727" s="107"/>
      <c r="I1727" s="107"/>
      <c r="L1727" s="130">
        <v>44547</v>
      </c>
      <c r="M1727" s="107">
        <v>52.7</v>
      </c>
      <c r="N1727" s="107">
        <v>55.1</v>
      </c>
      <c r="O1727" s="107">
        <v>52.3</v>
      </c>
      <c r="P1727" s="107">
        <v>54.8</v>
      </c>
      <c r="Q1727" s="107">
        <v>52.7</v>
      </c>
      <c r="R1727">
        <v>6252100</v>
      </c>
    </row>
    <row r="1728" spans="1:18" x14ac:dyDescent="0.25">
      <c r="A1728" s="130">
        <v>44550</v>
      </c>
      <c r="B1728" s="107">
        <v>52.45</v>
      </c>
      <c r="C1728" s="107">
        <v>49.6</v>
      </c>
      <c r="D1728" s="107">
        <v>48.8</v>
      </c>
      <c r="E1728" s="107">
        <v>52.45</v>
      </c>
      <c r="F1728" s="107">
        <v>49.6</v>
      </c>
      <c r="G1728">
        <v>1497350</v>
      </c>
      <c r="H1728" s="107"/>
      <c r="I1728" s="107"/>
      <c r="L1728" s="130">
        <v>44550</v>
      </c>
      <c r="M1728" s="107">
        <v>49.55</v>
      </c>
      <c r="N1728" s="107">
        <v>52.4</v>
      </c>
      <c r="O1728" s="107">
        <v>48.8</v>
      </c>
      <c r="P1728" s="107">
        <v>52.4</v>
      </c>
      <c r="Q1728" s="107">
        <v>49.55</v>
      </c>
      <c r="R1728">
        <v>8348746</v>
      </c>
    </row>
    <row r="1729" spans="1:18" x14ac:dyDescent="0.25">
      <c r="A1729" s="130">
        <v>44551</v>
      </c>
      <c r="B1729" s="107">
        <v>51.65</v>
      </c>
      <c r="C1729" s="107">
        <v>50.8</v>
      </c>
      <c r="D1729" s="107">
        <v>49.95</v>
      </c>
      <c r="E1729" s="107">
        <v>50.25</v>
      </c>
      <c r="F1729" s="107">
        <v>50.8</v>
      </c>
      <c r="G1729">
        <v>531409</v>
      </c>
      <c r="H1729" s="107"/>
      <c r="I1729" s="107"/>
      <c r="L1729" s="130">
        <v>44551</v>
      </c>
      <c r="M1729" s="107">
        <v>50.8</v>
      </c>
      <c r="N1729" s="107">
        <v>51.6</v>
      </c>
      <c r="O1729" s="107">
        <v>50</v>
      </c>
      <c r="P1729" s="107">
        <v>50.4</v>
      </c>
      <c r="Q1729" s="107">
        <v>50.8</v>
      </c>
      <c r="R1729">
        <v>4840284</v>
      </c>
    </row>
    <row r="1730" spans="1:18" x14ac:dyDescent="0.25">
      <c r="A1730" s="130">
        <v>44552</v>
      </c>
      <c r="B1730" s="107">
        <v>51.95</v>
      </c>
      <c r="C1730" s="107">
        <v>51.55</v>
      </c>
      <c r="D1730" s="107">
        <v>51</v>
      </c>
      <c r="E1730" s="107">
        <v>51</v>
      </c>
      <c r="F1730" s="107">
        <v>51.55</v>
      </c>
      <c r="G1730">
        <v>353367</v>
      </c>
      <c r="H1730" s="107"/>
      <c r="I1730" s="107"/>
      <c r="L1730" s="130">
        <v>44552</v>
      </c>
      <c r="M1730" s="107">
        <v>51.55</v>
      </c>
      <c r="N1730" s="107">
        <v>51.95</v>
      </c>
      <c r="O1730" s="107">
        <v>51</v>
      </c>
      <c r="P1730" s="107">
        <v>51</v>
      </c>
      <c r="Q1730" s="107">
        <v>51.55</v>
      </c>
      <c r="R1730">
        <v>3641393</v>
      </c>
    </row>
    <row r="1731" spans="1:18" x14ac:dyDescent="0.25">
      <c r="A1731" s="130">
        <v>44553</v>
      </c>
      <c r="B1731" s="107">
        <v>53.05</v>
      </c>
      <c r="C1731" s="107">
        <v>52.7</v>
      </c>
      <c r="D1731" s="107">
        <v>51.65</v>
      </c>
      <c r="E1731" s="107">
        <v>51.65</v>
      </c>
      <c r="F1731" s="107">
        <v>52.7</v>
      </c>
      <c r="G1731">
        <v>410564</v>
      </c>
      <c r="H1731" s="107"/>
      <c r="I1731" s="107"/>
      <c r="L1731" s="130">
        <v>44553</v>
      </c>
      <c r="M1731" s="107">
        <v>52.7</v>
      </c>
      <c r="N1731" s="107">
        <v>53.1</v>
      </c>
      <c r="O1731" s="107">
        <v>51.8</v>
      </c>
      <c r="P1731" s="107">
        <v>52.05</v>
      </c>
      <c r="Q1731" s="107">
        <v>52.7</v>
      </c>
      <c r="R1731">
        <v>3880884</v>
      </c>
    </row>
    <row r="1732" spans="1:18" x14ac:dyDescent="0.25">
      <c r="A1732" s="130">
        <v>44554</v>
      </c>
      <c r="B1732" s="107">
        <v>53.15</v>
      </c>
      <c r="C1732" s="107">
        <v>51.5</v>
      </c>
      <c r="D1732" s="107">
        <v>51.4</v>
      </c>
      <c r="E1732" s="107">
        <v>52.15</v>
      </c>
      <c r="F1732" s="107">
        <v>51.5</v>
      </c>
      <c r="G1732">
        <v>448516</v>
      </c>
      <c r="H1732" s="107"/>
      <c r="I1732" s="107"/>
      <c r="L1732" s="130">
        <v>44554</v>
      </c>
      <c r="M1732" s="107">
        <v>51.55</v>
      </c>
      <c r="N1732" s="107">
        <v>53.15</v>
      </c>
      <c r="O1732" s="107">
        <v>51.35</v>
      </c>
      <c r="P1732" s="107">
        <v>53.15</v>
      </c>
      <c r="Q1732" s="107">
        <v>51.55</v>
      </c>
      <c r="R1732">
        <v>3560899</v>
      </c>
    </row>
    <row r="1733" spans="1:18" x14ac:dyDescent="0.25">
      <c r="A1733" s="130">
        <v>44557</v>
      </c>
      <c r="B1733" s="107">
        <v>51.5</v>
      </c>
      <c r="C1733" s="107">
        <v>51.15</v>
      </c>
      <c r="D1733" s="107">
        <v>50.35</v>
      </c>
      <c r="E1733" s="107">
        <v>51.5</v>
      </c>
      <c r="F1733" s="107">
        <v>51.15</v>
      </c>
      <c r="G1733">
        <v>312334</v>
      </c>
      <c r="H1733" s="107"/>
      <c r="I1733" s="107"/>
      <c r="L1733" s="130">
        <v>44557</v>
      </c>
      <c r="M1733" s="107">
        <v>51.1</v>
      </c>
      <c r="N1733" s="107">
        <v>51.45</v>
      </c>
      <c r="O1733" s="107">
        <v>50.4</v>
      </c>
      <c r="P1733" s="107">
        <v>51</v>
      </c>
      <c r="Q1733" s="107">
        <v>51.1</v>
      </c>
      <c r="R1733">
        <v>3252759</v>
      </c>
    </row>
    <row r="1734" spans="1:18" x14ac:dyDescent="0.25">
      <c r="A1734" s="130">
        <v>44558</v>
      </c>
      <c r="B1734" s="107">
        <v>51.6</v>
      </c>
      <c r="C1734" s="107">
        <v>51.35</v>
      </c>
      <c r="D1734" s="107">
        <v>50.6</v>
      </c>
      <c r="E1734" s="107">
        <v>50.6</v>
      </c>
      <c r="F1734" s="107">
        <v>51.35</v>
      </c>
      <c r="G1734">
        <v>755816</v>
      </c>
      <c r="H1734" s="107"/>
      <c r="I1734" s="107"/>
      <c r="L1734" s="130">
        <v>44558</v>
      </c>
      <c r="M1734" s="107">
        <v>51.35</v>
      </c>
      <c r="N1734" s="107">
        <v>51.6</v>
      </c>
      <c r="O1734" s="107">
        <v>50.85</v>
      </c>
      <c r="P1734" s="107">
        <v>51.3</v>
      </c>
      <c r="Q1734" s="107">
        <v>51.35</v>
      </c>
      <c r="R1734">
        <v>3332730</v>
      </c>
    </row>
    <row r="1735" spans="1:18" x14ac:dyDescent="0.25">
      <c r="A1735" s="130">
        <v>44559</v>
      </c>
      <c r="B1735" s="107">
        <v>52</v>
      </c>
      <c r="C1735" s="107">
        <v>51.3</v>
      </c>
      <c r="D1735" s="107">
        <v>51.15</v>
      </c>
      <c r="E1735" s="107">
        <v>51.4</v>
      </c>
      <c r="F1735" s="107">
        <v>51.3</v>
      </c>
      <c r="G1735">
        <v>344417</v>
      </c>
      <c r="H1735" s="107"/>
      <c r="I1735" s="107"/>
      <c r="L1735" s="130">
        <v>44559</v>
      </c>
      <c r="M1735" s="107">
        <v>51.35</v>
      </c>
      <c r="N1735" s="107">
        <v>52</v>
      </c>
      <c r="O1735" s="107">
        <v>51.15</v>
      </c>
      <c r="P1735" s="107">
        <v>51.45</v>
      </c>
      <c r="Q1735" s="107">
        <v>51.35</v>
      </c>
      <c r="R1735">
        <v>3053199</v>
      </c>
    </row>
    <row r="1736" spans="1:18" x14ac:dyDescent="0.25">
      <c r="A1736" s="130">
        <v>44560</v>
      </c>
      <c r="B1736" s="107">
        <v>51.45</v>
      </c>
      <c r="C1736" s="107">
        <v>50.85</v>
      </c>
      <c r="D1736" s="107">
        <v>50.8</v>
      </c>
      <c r="E1736" s="107">
        <v>51.45</v>
      </c>
      <c r="F1736" s="107">
        <v>50.85</v>
      </c>
      <c r="G1736">
        <v>177993</v>
      </c>
      <c r="H1736" s="107"/>
      <c r="I1736" s="107"/>
      <c r="L1736" s="130">
        <v>44560</v>
      </c>
      <c r="M1736" s="107">
        <v>50.85</v>
      </c>
      <c r="N1736" s="107">
        <v>51.5</v>
      </c>
      <c r="O1736" s="107">
        <v>50.8</v>
      </c>
      <c r="P1736" s="107">
        <v>51.4</v>
      </c>
      <c r="Q1736" s="107">
        <v>50.85</v>
      </c>
      <c r="R1736">
        <v>2802538</v>
      </c>
    </row>
    <row r="1737" spans="1:18" x14ac:dyDescent="0.25">
      <c r="A1737" s="130">
        <v>44561</v>
      </c>
      <c r="B1737" s="107">
        <v>51.6</v>
      </c>
      <c r="C1737" s="107">
        <v>51.35</v>
      </c>
      <c r="D1737" s="107">
        <v>50.45</v>
      </c>
      <c r="E1737" s="107">
        <v>50.8</v>
      </c>
      <c r="F1737" s="107">
        <v>51.35</v>
      </c>
      <c r="G1737">
        <v>792817</v>
      </c>
      <c r="H1737" s="107"/>
      <c r="I1737" s="107"/>
      <c r="L1737" s="130">
        <v>44561</v>
      </c>
      <c r="M1737" s="107">
        <v>51.4</v>
      </c>
      <c r="N1737" s="107">
        <v>51.6</v>
      </c>
      <c r="O1737" s="107">
        <v>50.4</v>
      </c>
      <c r="P1737" s="107">
        <v>50.45</v>
      </c>
      <c r="Q1737" s="107">
        <v>51.4</v>
      </c>
      <c r="R1737">
        <v>2777199</v>
      </c>
    </row>
    <row r="1738" spans="1:18" x14ac:dyDescent="0.25">
      <c r="A1738" s="130">
        <v>44564</v>
      </c>
      <c r="B1738" s="107">
        <v>52.8</v>
      </c>
      <c r="C1738" s="107">
        <v>52.7</v>
      </c>
      <c r="D1738" s="107">
        <v>51.45</v>
      </c>
      <c r="E1738" s="107">
        <v>52.05</v>
      </c>
      <c r="F1738" s="107">
        <v>52.7</v>
      </c>
      <c r="G1738">
        <v>448587</v>
      </c>
      <c r="H1738" s="107"/>
      <c r="I1738" s="107"/>
      <c r="L1738" s="130">
        <v>44564</v>
      </c>
      <c r="M1738" s="107">
        <v>52.65</v>
      </c>
      <c r="N1738" s="107">
        <v>52.8</v>
      </c>
      <c r="O1738" s="107">
        <v>51.4</v>
      </c>
      <c r="P1738" s="107">
        <v>51.65</v>
      </c>
      <c r="Q1738" s="107">
        <v>52.65</v>
      </c>
      <c r="R1738">
        <v>4204439</v>
      </c>
    </row>
    <row r="1739" spans="1:18" x14ac:dyDescent="0.25">
      <c r="A1739" s="130">
        <v>44565</v>
      </c>
      <c r="B1739" s="107">
        <v>53.3</v>
      </c>
      <c r="C1739" s="107">
        <v>52.95</v>
      </c>
      <c r="D1739" s="107">
        <v>52.3</v>
      </c>
      <c r="E1739" s="107">
        <v>52.7</v>
      </c>
      <c r="F1739" s="107">
        <v>52.95</v>
      </c>
      <c r="G1739">
        <v>514458</v>
      </c>
      <c r="H1739" s="107"/>
      <c r="I1739" s="107"/>
      <c r="L1739" s="130">
        <v>44565</v>
      </c>
      <c r="M1739" s="107">
        <v>52.95</v>
      </c>
      <c r="N1739" s="107">
        <v>53.3</v>
      </c>
      <c r="O1739" s="107">
        <v>52.3</v>
      </c>
      <c r="P1739" s="107">
        <v>52.9</v>
      </c>
      <c r="Q1739" s="107">
        <v>52.95</v>
      </c>
      <c r="R1739">
        <v>4090067</v>
      </c>
    </row>
    <row r="1740" spans="1:18" x14ac:dyDescent="0.25">
      <c r="A1740" s="130">
        <v>44566</v>
      </c>
      <c r="B1740" s="107">
        <v>54.2</v>
      </c>
      <c r="C1740" s="107">
        <v>54.1</v>
      </c>
      <c r="D1740" s="107">
        <v>52.75</v>
      </c>
      <c r="E1740" s="107">
        <v>52.8</v>
      </c>
      <c r="F1740" s="107">
        <v>54.1</v>
      </c>
      <c r="G1740">
        <v>621000</v>
      </c>
      <c r="H1740" s="107"/>
      <c r="I1740" s="107"/>
      <c r="L1740" s="130">
        <v>44566</v>
      </c>
      <c r="M1740" s="107">
        <v>54.1</v>
      </c>
      <c r="N1740" s="107">
        <v>54.25</v>
      </c>
      <c r="O1740" s="107">
        <v>52.7</v>
      </c>
      <c r="P1740" s="107">
        <v>52.95</v>
      </c>
      <c r="Q1740" s="107">
        <v>54.1</v>
      </c>
      <c r="R1740">
        <v>5343001</v>
      </c>
    </row>
    <row r="1741" spans="1:18" x14ac:dyDescent="0.25">
      <c r="A1741" s="130">
        <v>44567</v>
      </c>
      <c r="B1741" s="107">
        <v>54.45</v>
      </c>
      <c r="C1741" s="107">
        <v>53.95</v>
      </c>
      <c r="D1741" s="107">
        <v>53.3</v>
      </c>
      <c r="E1741" s="107">
        <v>53.9</v>
      </c>
      <c r="F1741" s="107">
        <v>53.95</v>
      </c>
      <c r="G1741">
        <v>573619</v>
      </c>
      <c r="H1741" s="107"/>
      <c r="I1741" s="107"/>
      <c r="L1741" s="130">
        <v>44567</v>
      </c>
      <c r="M1741" s="107">
        <v>53.95</v>
      </c>
      <c r="N1741" s="107">
        <v>54.45</v>
      </c>
      <c r="O1741" s="107">
        <v>53.35</v>
      </c>
      <c r="P1741" s="107">
        <v>53.75</v>
      </c>
      <c r="Q1741" s="107">
        <v>53.95</v>
      </c>
      <c r="R1741">
        <v>4967189</v>
      </c>
    </row>
    <row r="1742" spans="1:18" x14ac:dyDescent="0.25">
      <c r="A1742" s="130">
        <v>44568</v>
      </c>
      <c r="B1742" s="107">
        <v>55.3</v>
      </c>
      <c r="C1742" s="107">
        <v>54.4</v>
      </c>
      <c r="D1742" s="107">
        <v>53.8</v>
      </c>
      <c r="E1742" s="107">
        <v>53.95</v>
      </c>
      <c r="F1742" s="107">
        <v>54.4</v>
      </c>
      <c r="G1742">
        <v>774954</v>
      </c>
      <c r="H1742" s="107"/>
      <c r="I1742" s="107"/>
      <c r="L1742" s="130">
        <v>44568</v>
      </c>
      <c r="M1742" s="107">
        <v>54.45</v>
      </c>
      <c r="N1742" s="107">
        <v>55.35</v>
      </c>
      <c r="O1742" s="107">
        <v>53.8</v>
      </c>
      <c r="P1742" s="107">
        <v>54.15</v>
      </c>
      <c r="Q1742" s="107">
        <v>54.45</v>
      </c>
      <c r="R1742">
        <v>6613802</v>
      </c>
    </row>
    <row r="1743" spans="1:18" x14ac:dyDescent="0.25">
      <c r="A1743" s="130">
        <v>44571</v>
      </c>
      <c r="B1743" s="107">
        <v>55.65</v>
      </c>
      <c r="C1743" s="107">
        <v>55.45</v>
      </c>
      <c r="D1743" s="107">
        <v>54.35</v>
      </c>
      <c r="E1743" s="107">
        <v>54.95</v>
      </c>
      <c r="F1743" s="107">
        <v>55.45</v>
      </c>
      <c r="G1743">
        <v>426260</v>
      </c>
      <c r="H1743" s="107"/>
      <c r="I1743" s="107"/>
      <c r="L1743" s="130">
        <v>44571</v>
      </c>
      <c r="M1743" s="107">
        <v>55.45</v>
      </c>
      <c r="N1743" s="107">
        <v>55.7</v>
      </c>
      <c r="O1743" s="107">
        <v>54.35</v>
      </c>
      <c r="P1743" s="107">
        <v>54.5</v>
      </c>
      <c r="Q1743" s="107">
        <v>55.45</v>
      </c>
      <c r="R1743">
        <v>5548302</v>
      </c>
    </row>
    <row r="1744" spans="1:18" x14ac:dyDescent="0.25">
      <c r="A1744" s="130">
        <v>44572</v>
      </c>
      <c r="B1744" s="107">
        <v>55.5</v>
      </c>
      <c r="C1744" s="107">
        <v>54.65</v>
      </c>
      <c r="D1744" s="107">
        <v>54.4</v>
      </c>
      <c r="E1744" s="107">
        <v>55.05</v>
      </c>
      <c r="F1744" s="107">
        <v>54.65</v>
      </c>
      <c r="G1744">
        <v>522993</v>
      </c>
      <c r="H1744" s="107"/>
      <c r="I1744" s="107"/>
      <c r="L1744" s="130">
        <v>44572</v>
      </c>
      <c r="M1744" s="107">
        <v>54.7</v>
      </c>
      <c r="N1744" s="107">
        <v>55.5</v>
      </c>
      <c r="O1744" s="107">
        <v>54.6</v>
      </c>
      <c r="P1744" s="107">
        <v>55.4</v>
      </c>
      <c r="Q1744" s="107">
        <v>54.7</v>
      </c>
      <c r="R1744">
        <v>3094992</v>
      </c>
    </row>
    <row r="1745" spans="1:18" x14ac:dyDescent="0.25">
      <c r="A1745" s="130">
        <v>44573</v>
      </c>
      <c r="B1745" s="107">
        <v>55.4</v>
      </c>
      <c r="C1745" s="107">
        <v>54.7</v>
      </c>
      <c r="D1745" s="107">
        <v>54.45</v>
      </c>
      <c r="E1745" s="107">
        <v>55.4</v>
      </c>
      <c r="F1745" s="107">
        <v>54.7</v>
      </c>
      <c r="G1745">
        <v>275863</v>
      </c>
      <c r="H1745" s="107"/>
      <c r="I1745" s="107"/>
      <c r="L1745" s="130">
        <v>44573</v>
      </c>
      <c r="M1745" s="107">
        <v>54.65</v>
      </c>
      <c r="N1745" s="107">
        <v>55.4</v>
      </c>
      <c r="O1745" s="107">
        <v>54.45</v>
      </c>
      <c r="P1745" s="107">
        <v>55.2</v>
      </c>
      <c r="Q1745" s="107">
        <v>54.65</v>
      </c>
      <c r="R1745">
        <v>3600004</v>
      </c>
    </row>
    <row r="1746" spans="1:18" x14ac:dyDescent="0.25">
      <c r="A1746" s="130">
        <v>44574</v>
      </c>
      <c r="B1746" s="107">
        <v>54.8</v>
      </c>
      <c r="C1746" s="107">
        <v>54.2</v>
      </c>
      <c r="D1746" s="107">
        <v>54.1</v>
      </c>
      <c r="E1746" s="107">
        <v>54.7</v>
      </c>
      <c r="F1746" s="107">
        <v>54.2</v>
      </c>
      <c r="G1746">
        <v>528924</v>
      </c>
      <c r="H1746" s="107"/>
      <c r="I1746" s="107"/>
      <c r="L1746" s="130">
        <v>44574</v>
      </c>
      <c r="M1746" s="107">
        <v>54.2</v>
      </c>
      <c r="N1746" s="107">
        <v>54.9</v>
      </c>
      <c r="O1746" s="107">
        <v>54.1</v>
      </c>
      <c r="P1746" s="107">
        <v>54.9</v>
      </c>
      <c r="Q1746" s="107">
        <v>54.2</v>
      </c>
      <c r="R1746">
        <v>5021357</v>
      </c>
    </row>
    <row r="1747" spans="1:18" x14ac:dyDescent="0.25">
      <c r="A1747" s="130">
        <v>44575</v>
      </c>
      <c r="B1747" s="107">
        <v>54.9</v>
      </c>
      <c r="C1747" s="107">
        <v>54.4</v>
      </c>
      <c r="D1747" s="107">
        <v>53.9</v>
      </c>
      <c r="E1747" s="107">
        <v>54.5</v>
      </c>
      <c r="F1747" s="107">
        <v>54.4</v>
      </c>
      <c r="G1747">
        <v>375588</v>
      </c>
      <c r="H1747" s="107"/>
      <c r="I1747" s="107"/>
      <c r="L1747" s="130">
        <v>44575</v>
      </c>
      <c r="M1747" s="107">
        <v>54.4</v>
      </c>
      <c r="N1747" s="107">
        <v>54.9</v>
      </c>
      <c r="O1747" s="107">
        <v>53.8</v>
      </c>
      <c r="P1747" s="107">
        <v>54</v>
      </c>
      <c r="Q1747" s="107">
        <v>54.4</v>
      </c>
      <c r="R1747">
        <v>3221669</v>
      </c>
    </row>
    <row r="1748" spans="1:18" x14ac:dyDescent="0.25">
      <c r="A1748" s="130">
        <v>44578</v>
      </c>
      <c r="B1748" s="107">
        <v>55.6</v>
      </c>
      <c r="C1748" s="107">
        <v>54.35</v>
      </c>
      <c r="D1748" s="107">
        <v>54.1</v>
      </c>
      <c r="E1748" s="107">
        <v>54.65</v>
      </c>
      <c r="F1748" s="107">
        <v>54.35</v>
      </c>
      <c r="G1748">
        <v>518621</v>
      </c>
      <c r="H1748" s="107"/>
      <c r="I1748" s="107"/>
      <c r="L1748" s="130">
        <v>44578</v>
      </c>
      <c r="M1748" s="107">
        <v>54.35</v>
      </c>
      <c r="N1748" s="107">
        <v>55.6</v>
      </c>
      <c r="O1748" s="107">
        <v>54.1</v>
      </c>
      <c r="P1748" s="107">
        <v>54.7</v>
      </c>
      <c r="Q1748" s="107">
        <v>54.35</v>
      </c>
      <c r="R1748">
        <v>4734738</v>
      </c>
    </row>
    <row r="1749" spans="1:18" x14ac:dyDescent="0.25">
      <c r="A1749" s="130">
        <v>44579</v>
      </c>
      <c r="B1749" s="107">
        <v>54.75</v>
      </c>
      <c r="C1749" s="107">
        <v>53.1</v>
      </c>
      <c r="D1749" s="107">
        <v>52.4</v>
      </c>
      <c r="E1749" s="107">
        <v>54.35</v>
      </c>
      <c r="F1749" s="107">
        <v>53.1</v>
      </c>
      <c r="G1749">
        <v>572662</v>
      </c>
      <c r="H1749" s="107"/>
      <c r="I1749" s="107"/>
      <c r="L1749" s="130">
        <v>44579</v>
      </c>
      <c r="M1749" s="107">
        <v>53.2</v>
      </c>
      <c r="N1749" s="107">
        <v>54.75</v>
      </c>
      <c r="O1749" s="107">
        <v>53</v>
      </c>
      <c r="P1749" s="107">
        <v>54.6</v>
      </c>
      <c r="Q1749" s="107">
        <v>53.2</v>
      </c>
      <c r="R1749">
        <v>4661053</v>
      </c>
    </row>
    <row r="1750" spans="1:18" x14ac:dyDescent="0.25">
      <c r="A1750" s="130">
        <v>44580</v>
      </c>
      <c r="B1750" s="107">
        <v>54.3</v>
      </c>
      <c r="C1750" s="107">
        <v>54.15</v>
      </c>
      <c r="D1750" s="107">
        <v>52.8</v>
      </c>
      <c r="E1750" s="107">
        <v>53.8</v>
      </c>
      <c r="F1750" s="107">
        <v>54.15</v>
      </c>
      <c r="G1750">
        <v>363189</v>
      </c>
      <c r="H1750" s="107"/>
      <c r="I1750" s="107"/>
      <c r="L1750" s="130">
        <v>44580</v>
      </c>
      <c r="M1750" s="107">
        <v>54.1</v>
      </c>
      <c r="N1750" s="107">
        <v>54.35</v>
      </c>
      <c r="O1750" s="107">
        <v>52.8</v>
      </c>
      <c r="P1750" s="107">
        <v>53.3</v>
      </c>
      <c r="Q1750" s="107">
        <v>54.1</v>
      </c>
      <c r="R1750">
        <v>4250299</v>
      </c>
    </row>
    <row r="1751" spans="1:18" x14ac:dyDescent="0.25">
      <c r="A1751" s="130">
        <v>44581</v>
      </c>
      <c r="B1751" s="107">
        <v>54.7</v>
      </c>
      <c r="C1751" s="107">
        <v>53.75</v>
      </c>
      <c r="D1751" s="107">
        <v>53.4</v>
      </c>
      <c r="E1751" s="107">
        <v>54.4</v>
      </c>
      <c r="F1751" s="107">
        <v>53.75</v>
      </c>
      <c r="G1751">
        <v>617979</v>
      </c>
      <c r="H1751" s="107"/>
      <c r="I1751" s="107"/>
      <c r="L1751" s="130">
        <v>44581</v>
      </c>
      <c r="M1751" s="107">
        <v>53.8</v>
      </c>
      <c r="N1751" s="107">
        <v>54.7</v>
      </c>
      <c r="O1751" s="107">
        <v>53.4</v>
      </c>
      <c r="P1751" s="107">
        <v>54.25</v>
      </c>
      <c r="Q1751" s="107">
        <v>53.8</v>
      </c>
      <c r="R1751">
        <v>3742604</v>
      </c>
    </row>
    <row r="1752" spans="1:18" x14ac:dyDescent="0.25">
      <c r="A1752" s="130">
        <v>44582</v>
      </c>
      <c r="B1752" s="107">
        <v>53.45</v>
      </c>
      <c r="C1752" s="107">
        <v>52.25</v>
      </c>
      <c r="D1752" s="107">
        <v>52.1</v>
      </c>
      <c r="E1752" s="107">
        <v>52.85</v>
      </c>
      <c r="F1752" s="107">
        <v>52.25</v>
      </c>
      <c r="G1752">
        <v>376235</v>
      </c>
      <c r="H1752" s="107"/>
      <c r="I1752" s="107"/>
      <c r="L1752" s="130">
        <v>44582</v>
      </c>
      <c r="M1752" s="107">
        <v>52.3</v>
      </c>
      <c r="N1752" s="107">
        <v>53.5</v>
      </c>
      <c r="O1752" s="107">
        <v>52.05</v>
      </c>
      <c r="P1752" s="107">
        <v>53.4</v>
      </c>
      <c r="Q1752" s="107">
        <v>52.3</v>
      </c>
      <c r="R1752">
        <v>4196698</v>
      </c>
    </row>
    <row r="1753" spans="1:18" x14ac:dyDescent="0.25">
      <c r="A1753" s="130">
        <v>44585</v>
      </c>
      <c r="B1753" s="107">
        <v>52.7</v>
      </c>
      <c r="C1753" s="107">
        <v>51.1</v>
      </c>
      <c r="D1753" s="107">
        <v>50.65</v>
      </c>
      <c r="E1753" s="107">
        <v>52.7</v>
      </c>
      <c r="F1753" s="107">
        <v>51.1</v>
      </c>
      <c r="G1753">
        <v>473328</v>
      </c>
      <c r="H1753" s="107"/>
      <c r="I1753" s="107"/>
      <c r="L1753" s="130">
        <v>44585</v>
      </c>
      <c r="M1753" s="107">
        <v>51.15</v>
      </c>
      <c r="N1753" s="107">
        <v>52.6</v>
      </c>
      <c r="O1753" s="107">
        <v>50.6</v>
      </c>
      <c r="P1753" s="107">
        <v>52</v>
      </c>
      <c r="Q1753" s="107">
        <v>51.15</v>
      </c>
      <c r="R1753">
        <v>5174254</v>
      </c>
    </row>
    <row r="1754" spans="1:18" x14ac:dyDescent="0.25">
      <c r="A1754" s="130">
        <v>44586</v>
      </c>
      <c r="B1754" s="107">
        <v>52.6</v>
      </c>
      <c r="C1754" s="107">
        <v>52.35</v>
      </c>
      <c r="D1754" s="107">
        <v>50.4</v>
      </c>
      <c r="E1754" s="107">
        <v>51</v>
      </c>
      <c r="F1754" s="107">
        <v>52.35</v>
      </c>
      <c r="G1754">
        <v>628459</v>
      </c>
      <c r="H1754" s="107"/>
      <c r="I1754" s="107"/>
      <c r="L1754" s="130">
        <v>44586</v>
      </c>
      <c r="M1754" s="107">
        <v>52.35</v>
      </c>
      <c r="N1754" s="107">
        <v>52.65</v>
      </c>
      <c r="O1754" s="107">
        <v>50.35</v>
      </c>
      <c r="P1754" s="107">
        <v>51.1</v>
      </c>
      <c r="Q1754" s="107">
        <v>52.35</v>
      </c>
      <c r="R1754">
        <v>5523751</v>
      </c>
    </row>
    <row r="1755" spans="1:18" x14ac:dyDescent="0.25">
      <c r="A1755" s="130">
        <v>44588</v>
      </c>
      <c r="B1755" s="107">
        <v>55.5</v>
      </c>
      <c r="C1755" s="107">
        <v>55.15</v>
      </c>
      <c r="D1755" s="107">
        <v>51.55</v>
      </c>
      <c r="E1755" s="107">
        <v>52.25</v>
      </c>
      <c r="F1755" s="107">
        <v>55.15</v>
      </c>
      <c r="G1755">
        <v>2028062</v>
      </c>
      <c r="H1755" s="107"/>
      <c r="I1755" s="107"/>
      <c r="L1755" s="130">
        <v>44588</v>
      </c>
      <c r="M1755" s="107">
        <v>55.15</v>
      </c>
      <c r="N1755" s="107">
        <v>56</v>
      </c>
      <c r="O1755" s="107">
        <v>51.5</v>
      </c>
      <c r="P1755" s="107">
        <v>51.75</v>
      </c>
      <c r="Q1755" s="107">
        <v>55.15</v>
      </c>
      <c r="R1755">
        <v>12318436</v>
      </c>
    </row>
    <row r="1756" spans="1:18" x14ac:dyDescent="0.25">
      <c r="A1756" s="130">
        <v>44589</v>
      </c>
      <c r="B1756" s="107">
        <v>57.4</v>
      </c>
      <c r="C1756" s="107">
        <v>55.3</v>
      </c>
      <c r="D1756" s="107">
        <v>55</v>
      </c>
      <c r="E1756" s="107">
        <v>55.5</v>
      </c>
      <c r="F1756" s="107">
        <v>55.3</v>
      </c>
      <c r="G1756">
        <v>1671572</v>
      </c>
      <c r="H1756" s="107"/>
      <c r="I1756" s="107"/>
      <c r="L1756" s="130">
        <v>44589</v>
      </c>
      <c r="M1756" s="107">
        <v>55.25</v>
      </c>
      <c r="N1756" s="107">
        <v>57.45</v>
      </c>
      <c r="O1756" s="107">
        <v>55</v>
      </c>
      <c r="P1756" s="107">
        <v>55.85</v>
      </c>
      <c r="Q1756" s="107">
        <v>55.25</v>
      </c>
      <c r="R1756">
        <v>13957307</v>
      </c>
    </row>
    <row r="1757" spans="1:18" x14ac:dyDescent="0.25">
      <c r="A1757" s="130">
        <v>44592</v>
      </c>
      <c r="B1757" s="107">
        <v>56.55</v>
      </c>
      <c r="C1757" s="107">
        <v>54.35</v>
      </c>
      <c r="D1757" s="107">
        <v>53.75</v>
      </c>
      <c r="E1757" s="107">
        <v>55.9</v>
      </c>
      <c r="F1757" s="107">
        <v>54.35</v>
      </c>
      <c r="G1757">
        <v>1192785</v>
      </c>
      <c r="H1757" s="107"/>
      <c r="I1757" s="107"/>
      <c r="L1757" s="130">
        <v>44592</v>
      </c>
      <c r="M1757" s="107">
        <v>54.3</v>
      </c>
      <c r="N1757" s="107">
        <v>56.6</v>
      </c>
      <c r="O1757" s="107">
        <v>53.75</v>
      </c>
      <c r="P1757" s="107">
        <v>56</v>
      </c>
      <c r="Q1757" s="107">
        <v>54.3</v>
      </c>
      <c r="R1757">
        <v>14917995</v>
      </c>
    </row>
    <row r="1758" spans="1:18" x14ac:dyDescent="0.25">
      <c r="A1758" s="130">
        <v>44593</v>
      </c>
      <c r="B1758" s="107">
        <v>55.9</v>
      </c>
      <c r="C1758" s="107">
        <v>55.05</v>
      </c>
      <c r="D1758" s="107">
        <v>54</v>
      </c>
      <c r="E1758" s="107">
        <v>55</v>
      </c>
      <c r="F1758" s="107">
        <v>55.05</v>
      </c>
      <c r="G1758">
        <v>1529806</v>
      </c>
      <c r="H1758" s="107"/>
      <c r="I1758" s="107"/>
      <c r="L1758" s="130">
        <v>44593</v>
      </c>
      <c r="M1758" s="107">
        <v>55.05</v>
      </c>
      <c r="N1758" s="107">
        <v>55.9</v>
      </c>
      <c r="O1758" s="107">
        <v>54</v>
      </c>
      <c r="P1758" s="107">
        <v>54.9</v>
      </c>
      <c r="Q1758" s="107">
        <v>55.05</v>
      </c>
      <c r="R1758">
        <v>11296542</v>
      </c>
    </row>
    <row r="1759" spans="1:18" x14ac:dyDescent="0.25">
      <c r="A1759" s="130">
        <v>44594</v>
      </c>
      <c r="B1759" s="107">
        <v>57.95</v>
      </c>
      <c r="C1759" s="107">
        <v>57.75</v>
      </c>
      <c r="D1759" s="107">
        <v>55.05</v>
      </c>
      <c r="E1759" s="107">
        <v>55.05</v>
      </c>
      <c r="F1759" s="107">
        <v>57.75</v>
      </c>
      <c r="G1759">
        <v>1286364</v>
      </c>
      <c r="H1759" s="107"/>
      <c r="I1759" s="107"/>
      <c r="L1759" s="130">
        <v>44594</v>
      </c>
      <c r="M1759" s="107">
        <v>57.75</v>
      </c>
      <c r="N1759" s="107">
        <v>57.9</v>
      </c>
      <c r="O1759" s="107">
        <v>55.25</v>
      </c>
      <c r="P1759" s="107">
        <v>55.45</v>
      </c>
      <c r="Q1759" s="107">
        <v>57.75</v>
      </c>
      <c r="R1759">
        <v>15904957</v>
      </c>
    </row>
    <row r="1760" spans="1:18" x14ac:dyDescent="0.25">
      <c r="A1760" s="130">
        <v>44595</v>
      </c>
      <c r="B1760" s="107">
        <v>59.55</v>
      </c>
      <c r="C1760" s="107">
        <v>58.45</v>
      </c>
      <c r="D1760" s="107">
        <v>57.5</v>
      </c>
      <c r="E1760" s="107">
        <v>58.5</v>
      </c>
      <c r="F1760" s="107">
        <v>58.45</v>
      </c>
      <c r="G1760">
        <v>2134623</v>
      </c>
      <c r="H1760" s="107"/>
      <c r="I1760" s="107"/>
      <c r="L1760" s="130">
        <v>44595</v>
      </c>
      <c r="M1760" s="107">
        <v>58.45</v>
      </c>
      <c r="N1760" s="107">
        <v>59.6</v>
      </c>
      <c r="O1760" s="107">
        <v>57.5</v>
      </c>
      <c r="P1760" s="107">
        <v>58.25</v>
      </c>
      <c r="Q1760" s="107">
        <v>58.45</v>
      </c>
      <c r="R1760">
        <v>17408255</v>
      </c>
    </row>
    <row r="1761" spans="1:18" x14ac:dyDescent="0.25">
      <c r="A1761" s="130">
        <v>44596</v>
      </c>
      <c r="B1761" s="107">
        <v>59.35</v>
      </c>
      <c r="C1761" s="107">
        <v>56.5</v>
      </c>
      <c r="D1761" s="107">
        <v>56.2</v>
      </c>
      <c r="E1761" s="107">
        <v>58.75</v>
      </c>
      <c r="F1761" s="107">
        <v>56.5</v>
      </c>
      <c r="G1761">
        <v>1847141</v>
      </c>
      <c r="H1761" s="107"/>
      <c r="I1761" s="107"/>
      <c r="L1761" s="130">
        <v>44596</v>
      </c>
      <c r="M1761" s="107">
        <v>56.5</v>
      </c>
      <c r="N1761" s="107">
        <v>59.4</v>
      </c>
      <c r="O1761" s="107">
        <v>56.2</v>
      </c>
      <c r="P1761" s="107">
        <v>58.9</v>
      </c>
      <c r="Q1761" s="107">
        <v>56.5</v>
      </c>
      <c r="R1761">
        <v>17236563</v>
      </c>
    </row>
    <row r="1762" spans="1:18" x14ac:dyDescent="0.25">
      <c r="A1762" s="130">
        <v>44599</v>
      </c>
      <c r="B1762" s="107">
        <v>59.4</v>
      </c>
      <c r="C1762" s="107">
        <v>57.75</v>
      </c>
      <c r="D1762" s="107">
        <v>56.2</v>
      </c>
      <c r="E1762" s="107">
        <v>56.55</v>
      </c>
      <c r="F1762" s="107">
        <v>57.75</v>
      </c>
      <c r="G1762">
        <v>3020362</v>
      </c>
      <c r="H1762" s="107"/>
      <c r="I1762" s="107"/>
      <c r="L1762" s="130">
        <v>44599</v>
      </c>
      <c r="M1762" s="107">
        <v>57.75</v>
      </c>
      <c r="N1762" s="107">
        <v>59.4</v>
      </c>
      <c r="O1762" s="107">
        <v>56.2</v>
      </c>
      <c r="P1762" s="107">
        <v>57</v>
      </c>
      <c r="Q1762" s="107">
        <v>57.75</v>
      </c>
      <c r="R1762">
        <v>21473785</v>
      </c>
    </row>
    <row r="1763" spans="1:18" x14ac:dyDescent="0.25">
      <c r="A1763" s="130">
        <v>44600</v>
      </c>
      <c r="B1763" s="107">
        <v>58.5</v>
      </c>
      <c r="C1763" s="107">
        <v>57.3</v>
      </c>
      <c r="D1763" s="107">
        <v>55.8</v>
      </c>
      <c r="E1763" s="107">
        <v>57.9</v>
      </c>
      <c r="F1763" s="107">
        <v>57.3</v>
      </c>
      <c r="G1763">
        <v>1424376</v>
      </c>
      <c r="H1763" s="107"/>
      <c r="I1763" s="107"/>
      <c r="L1763" s="130">
        <v>44600</v>
      </c>
      <c r="M1763" s="107">
        <v>57.35</v>
      </c>
      <c r="N1763" s="107">
        <v>58.5</v>
      </c>
      <c r="O1763" s="107">
        <v>55.8</v>
      </c>
      <c r="P1763" s="107">
        <v>58.1</v>
      </c>
      <c r="Q1763" s="107">
        <v>57.35</v>
      </c>
      <c r="R1763">
        <v>12214209</v>
      </c>
    </row>
    <row r="1764" spans="1:18" x14ac:dyDescent="0.25">
      <c r="A1764" s="130">
        <v>44601</v>
      </c>
      <c r="B1764" s="107">
        <v>58</v>
      </c>
      <c r="C1764" s="107">
        <v>56.7</v>
      </c>
      <c r="D1764" s="107">
        <v>56.5</v>
      </c>
      <c r="E1764" s="107">
        <v>57.5</v>
      </c>
      <c r="F1764" s="107">
        <v>56.7</v>
      </c>
      <c r="G1764">
        <v>535719</v>
      </c>
      <c r="H1764" s="107"/>
      <c r="I1764" s="107"/>
      <c r="L1764" s="130">
        <v>44601</v>
      </c>
      <c r="M1764" s="107">
        <v>56.65</v>
      </c>
      <c r="N1764" s="107">
        <v>57.95</v>
      </c>
      <c r="O1764" s="107">
        <v>56.5</v>
      </c>
      <c r="P1764" s="107">
        <v>57.6</v>
      </c>
      <c r="Q1764" s="107">
        <v>56.65</v>
      </c>
      <c r="R1764">
        <v>5690067</v>
      </c>
    </row>
    <row r="1765" spans="1:18" x14ac:dyDescent="0.25">
      <c r="A1765" s="130">
        <v>44602</v>
      </c>
      <c r="B1765" s="107">
        <v>57.8</v>
      </c>
      <c r="C1765" s="107">
        <v>56.25</v>
      </c>
      <c r="D1765" s="107">
        <v>56</v>
      </c>
      <c r="E1765" s="107">
        <v>57.3</v>
      </c>
      <c r="F1765" s="107">
        <v>56.25</v>
      </c>
      <c r="G1765">
        <v>710752</v>
      </c>
      <c r="H1765" s="107"/>
      <c r="I1765" s="107"/>
      <c r="L1765" s="130">
        <v>44602</v>
      </c>
      <c r="M1765" s="107">
        <v>56.25</v>
      </c>
      <c r="N1765" s="107">
        <v>57.7</v>
      </c>
      <c r="O1765" s="107">
        <v>56</v>
      </c>
      <c r="P1765" s="107">
        <v>56.9</v>
      </c>
      <c r="Q1765" s="107">
        <v>56.25</v>
      </c>
      <c r="R1765">
        <v>6821612</v>
      </c>
    </row>
    <row r="1766" spans="1:18" x14ac:dyDescent="0.25">
      <c r="A1766" s="130">
        <v>44603</v>
      </c>
      <c r="B1766" s="107">
        <v>56.4</v>
      </c>
      <c r="C1766" s="107">
        <v>55.15</v>
      </c>
      <c r="D1766" s="107">
        <v>55</v>
      </c>
      <c r="E1766" s="107">
        <v>55.95</v>
      </c>
      <c r="F1766" s="107">
        <v>55.15</v>
      </c>
      <c r="G1766">
        <v>789926</v>
      </c>
      <c r="H1766" s="107"/>
      <c r="I1766" s="107"/>
      <c r="L1766" s="130">
        <v>44603</v>
      </c>
      <c r="M1766" s="107">
        <v>55.15</v>
      </c>
      <c r="N1766" s="107">
        <v>56.4</v>
      </c>
      <c r="O1766" s="107">
        <v>55.05</v>
      </c>
      <c r="P1766" s="107">
        <v>55.75</v>
      </c>
      <c r="Q1766" s="107">
        <v>55.15</v>
      </c>
      <c r="R1766">
        <v>4763279</v>
      </c>
    </row>
    <row r="1767" spans="1:18" x14ac:dyDescent="0.25">
      <c r="A1767" s="130">
        <v>44606</v>
      </c>
      <c r="B1767" s="107">
        <v>53.75</v>
      </c>
      <c r="C1767" s="107">
        <v>52.15</v>
      </c>
      <c r="D1767" s="107">
        <v>52</v>
      </c>
      <c r="E1767" s="107">
        <v>53.5</v>
      </c>
      <c r="F1767" s="107">
        <v>52.15</v>
      </c>
      <c r="G1767">
        <v>1281532</v>
      </c>
      <c r="H1767" s="107"/>
      <c r="I1767" s="107"/>
      <c r="L1767" s="130">
        <v>44606</v>
      </c>
      <c r="M1767" s="107">
        <v>52.15</v>
      </c>
      <c r="N1767" s="107">
        <v>54</v>
      </c>
      <c r="O1767" s="107">
        <v>52</v>
      </c>
      <c r="P1767" s="107">
        <v>54</v>
      </c>
      <c r="Q1767" s="107">
        <v>52.15</v>
      </c>
      <c r="R1767">
        <v>7844973</v>
      </c>
    </row>
    <row r="1768" spans="1:18" x14ac:dyDescent="0.25">
      <c r="A1768" s="130">
        <v>44607</v>
      </c>
      <c r="B1768" s="107">
        <v>53.55</v>
      </c>
      <c r="C1768" s="107">
        <v>53.3</v>
      </c>
      <c r="D1768" s="107">
        <v>51.5</v>
      </c>
      <c r="E1768" s="107">
        <v>51.55</v>
      </c>
      <c r="F1768" s="107">
        <v>53.3</v>
      </c>
      <c r="G1768">
        <v>961274</v>
      </c>
      <c r="H1768" s="107"/>
      <c r="I1768" s="107"/>
      <c r="L1768" s="130">
        <v>44607</v>
      </c>
      <c r="M1768" s="107">
        <v>53.35</v>
      </c>
      <c r="N1768" s="107">
        <v>53.6</v>
      </c>
      <c r="O1768" s="107">
        <v>51.55</v>
      </c>
      <c r="P1768" s="107">
        <v>52.25</v>
      </c>
      <c r="Q1768" s="107">
        <v>53.35</v>
      </c>
      <c r="R1768">
        <v>6126993</v>
      </c>
    </row>
    <row r="1769" spans="1:18" x14ac:dyDescent="0.25">
      <c r="A1769" s="130">
        <v>44608</v>
      </c>
      <c r="B1769" s="107">
        <v>54.2</v>
      </c>
      <c r="C1769" s="107">
        <v>53</v>
      </c>
      <c r="D1769" s="107">
        <v>52.65</v>
      </c>
      <c r="E1769" s="107">
        <v>53.95</v>
      </c>
      <c r="F1769" s="107">
        <v>53</v>
      </c>
      <c r="G1769">
        <v>462186</v>
      </c>
      <c r="H1769" s="107"/>
      <c r="I1769" s="107"/>
      <c r="L1769" s="130">
        <v>44608</v>
      </c>
      <c r="M1769" s="107">
        <v>53</v>
      </c>
      <c r="N1769" s="107">
        <v>54.2</v>
      </c>
      <c r="O1769" s="107">
        <v>52.7</v>
      </c>
      <c r="P1769" s="107">
        <v>53.85</v>
      </c>
      <c r="Q1769" s="107">
        <v>53</v>
      </c>
      <c r="R1769">
        <v>6023209</v>
      </c>
    </row>
    <row r="1770" spans="1:18" x14ac:dyDescent="0.25">
      <c r="A1770" s="130">
        <v>44609</v>
      </c>
      <c r="B1770" s="107">
        <v>53.7</v>
      </c>
      <c r="C1770" s="107">
        <v>52.2</v>
      </c>
      <c r="D1770" s="107">
        <v>52</v>
      </c>
      <c r="E1770" s="107">
        <v>52.8</v>
      </c>
      <c r="F1770" s="107">
        <v>52.2</v>
      </c>
      <c r="G1770">
        <v>589085</v>
      </c>
      <c r="H1770" s="107"/>
      <c r="I1770" s="107"/>
      <c r="L1770" s="130">
        <v>44609</v>
      </c>
      <c r="M1770" s="107">
        <v>52.2</v>
      </c>
      <c r="N1770" s="107">
        <v>53.7</v>
      </c>
      <c r="O1770" s="107">
        <v>52.05</v>
      </c>
      <c r="P1770" s="107">
        <v>53.2</v>
      </c>
      <c r="Q1770" s="107">
        <v>52.2</v>
      </c>
      <c r="R1770">
        <v>4528693</v>
      </c>
    </row>
    <row r="1771" spans="1:18" x14ac:dyDescent="0.25">
      <c r="A1771" s="130">
        <v>44610</v>
      </c>
      <c r="B1771" s="107">
        <v>53.05</v>
      </c>
      <c r="C1771" s="107">
        <v>52.5</v>
      </c>
      <c r="D1771" s="107">
        <v>51.75</v>
      </c>
      <c r="E1771" s="107">
        <v>52</v>
      </c>
      <c r="F1771" s="107">
        <v>52.5</v>
      </c>
      <c r="G1771">
        <v>502057</v>
      </c>
      <c r="H1771" s="107"/>
      <c r="I1771" s="107"/>
      <c r="L1771" s="130">
        <v>44610</v>
      </c>
      <c r="M1771" s="107">
        <v>52.55</v>
      </c>
      <c r="N1771" s="107">
        <v>53.1</v>
      </c>
      <c r="O1771" s="107">
        <v>51.75</v>
      </c>
      <c r="P1771" s="107">
        <v>52</v>
      </c>
      <c r="Q1771" s="107">
        <v>52.55</v>
      </c>
      <c r="R1771">
        <v>4048923</v>
      </c>
    </row>
    <row r="1772" spans="1:18" x14ac:dyDescent="0.25">
      <c r="A1772" s="130">
        <v>44613</v>
      </c>
      <c r="B1772" s="107">
        <v>52.65</v>
      </c>
      <c r="C1772" s="107">
        <v>51.4</v>
      </c>
      <c r="D1772" s="107">
        <v>51.05</v>
      </c>
      <c r="E1772" s="107">
        <v>52.65</v>
      </c>
      <c r="F1772" s="107">
        <v>51.4</v>
      </c>
      <c r="G1772">
        <v>360915</v>
      </c>
      <c r="H1772" s="107"/>
      <c r="I1772" s="107"/>
      <c r="L1772" s="130">
        <v>44613</v>
      </c>
      <c r="M1772" s="107">
        <v>51.35</v>
      </c>
      <c r="N1772" s="107">
        <v>52.55</v>
      </c>
      <c r="O1772" s="107">
        <v>51</v>
      </c>
      <c r="P1772" s="107">
        <v>52.55</v>
      </c>
      <c r="Q1772" s="107">
        <v>51.35</v>
      </c>
      <c r="R1772">
        <v>3767416</v>
      </c>
    </row>
    <row r="1773" spans="1:18" x14ac:dyDescent="0.25">
      <c r="A1773" s="130">
        <v>44614</v>
      </c>
      <c r="B1773" s="107">
        <v>50.75</v>
      </c>
      <c r="C1773" s="107">
        <v>50.15</v>
      </c>
      <c r="D1773" s="107">
        <v>49.55</v>
      </c>
      <c r="E1773" s="107">
        <v>50.75</v>
      </c>
      <c r="F1773" s="107">
        <v>50.15</v>
      </c>
      <c r="G1773">
        <v>576666</v>
      </c>
      <c r="H1773" s="107"/>
      <c r="I1773" s="107"/>
      <c r="L1773" s="130">
        <v>44614</v>
      </c>
      <c r="M1773" s="107">
        <v>50.2</v>
      </c>
      <c r="N1773" s="107">
        <v>50.5</v>
      </c>
      <c r="O1773" s="107">
        <v>49.6</v>
      </c>
      <c r="P1773" s="107">
        <v>50</v>
      </c>
      <c r="Q1773" s="107">
        <v>50.2</v>
      </c>
      <c r="R1773">
        <v>4096988</v>
      </c>
    </row>
    <row r="1774" spans="1:18" x14ac:dyDescent="0.25">
      <c r="A1774" s="130">
        <v>44615</v>
      </c>
      <c r="B1774" s="107">
        <v>51.45</v>
      </c>
      <c r="C1774" s="107">
        <v>51.05</v>
      </c>
      <c r="D1774" s="107">
        <v>50.75</v>
      </c>
      <c r="E1774" s="107">
        <v>50.85</v>
      </c>
      <c r="F1774" s="107">
        <v>51.05</v>
      </c>
      <c r="G1774">
        <v>416358</v>
      </c>
      <c r="H1774" s="107"/>
      <c r="I1774" s="107"/>
      <c r="L1774" s="130">
        <v>44615</v>
      </c>
      <c r="M1774" s="107">
        <v>51</v>
      </c>
      <c r="N1774" s="107">
        <v>51.5</v>
      </c>
      <c r="O1774" s="107">
        <v>50.65</v>
      </c>
      <c r="P1774" s="107">
        <v>51</v>
      </c>
      <c r="Q1774" s="107">
        <v>51</v>
      </c>
      <c r="R1774">
        <v>2991216</v>
      </c>
    </row>
    <row r="1775" spans="1:18" x14ac:dyDescent="0.25">
      <c r="A1775" s="130">
        <v>44616</v>
      </c>
      <c r="B1775" s="107">
        <v>49.6</v>
      </c>
      <c r="C1775" s="107">
        <v>44.35</v>
      </c>
      <c r="D1775" s="107">
        <v>43.3</v>
      </c>
      <c r="E1775" s="107">
        <v>49</v>
      </c>
      <c r="F1775" s="107">
        <v>44.35</v>
      </c>
      <c r="G1775">
        <v>2005896</v>
      </c>
      <c r="H1775" s="107"/>
      <c r="I1775" s="107"/>
      <c r="L1775" s="130">
        <v>44616</v>
      </c>
      <c r="M1775" s="107">
        <v>44.25</v>
      </c>
      <c r="N1775" s="107">
        <v>49.6</v>
      </c>
      <c r="O1775" s="107">
        <v>43.15</v>
      </c>
      <c r="P1775" s="107">
        <v>49.4</v>
      </c>
      <c r="Q1775" s="107">
        <v>44.25</v>
      </c>
      <c r="R1775">
        <v>9879327</v>
      </c>
    </row>
    <row r="1776" spans="1:18" x14ac:dyDescent="0.25">
      <c r="A1776" s="130">
        <v>44617</v>
      </c>
      <c r="B1776" s="107">
        <v>48.65</v>
      </c>
      <c r="C1776" s="107">
        <v>46.85</v>
      </c>
      <c r="D1776" s="107">
        <v>45.6</v>
      </c>
      <c r="E1776" s="107">
        <v>45.6</v>
      </c>
      <c r="F1776" s="107">
        <v>46.85</v>
      </c>
      <c r="G1776">
        <v>1208250</v>
      </c>
      <c r="H1776" s="107"/>
      <c r="I1776" s="107"/>
      <c r="L1776" s="130">
        <v>44617</v>
      </c>
      <c r="M1776" s="107">
        <v>46.8</v>
      </c>
      <c r="N1776" s="107">
        <v>48.65</v>
      </c>
      <c r="O1776" s="107">
        <v>46</v>
      </c>
      <c r="P1776" s="107">
        <v>46.2</v>
      </c>
      <c r="Q1776" s="107">
        <v>46.8</v>
      </c>
      <c r="R1776">
        <v>10832499</v>
      </c>
    </row>
    <row r="1777" spans="1:18" x14ac:dyDescent="0.25">
      <c r="A1777" s="130">
        <v>44620</v>
      </c>
      <c r="B1777" s="107">
        <v>47.1</v>
      </c>
      <c r="C1777" s="107">
        <v>46.8</v>
      </c>
      <c r="D1777" s="107">
        <v>45.75</v>
      </c>
      <c r="E1777" s="107">
        <v>47</v>
      </c>
      <c r="F1777" s="107">
        <v>46.8</v>
      </c>
      <c r="G1777">
        <v>794702</v>
      </c>
      <c r="H1777" s="107"/>
      <c r="I1777" s="107"/>
      <c r="L1777" s="130">
        <v>44620</v>
      </c>
      <c r="M1777" s="107">
        <v>46.85</v>
      </c>
      <c r="N1777" s="107">
        <v>47.2</v>
      </c>
      <c r="O1777" s="107">
        <v>45.8</v>
      </c>
      <c r="P1777" s="107">
        <v>46</v>
      </c>
      <c r="Q1777" s="107">
        <v>46.85</v>
      </c>
      <c r="R1777">
        <v>5337520</v>
      </c>
    </row>
    <row r="1778" spans="1:18" x14ac:dyDescent="0.25">
      <c r="A1778" s="130">
        <v>44622</v>
      </c>
      <c r="B1778" s="107">
        <v>48</v>
      </c>
      <c r="C1778" s="107">
        <v>47.65</v>
      </c>
      <c r="D1778" s="107">
        <v>46.4</v>
      </c>
      <c r="E1778" s="107">
        <v>47</v>
      </c>
      <c r="F1778" s="107">
        <v>47.65</v>
      </c>
      <c r="G1778">
        <v>526724</v>
      </c>
      <c r="H1778" s="107"/>
      <c r="I1778" s="107"/>
      <c r="L1778" s="130">
        <v>44622</v>
      </c>
      <c r="M1778" s="107">
        <v>47.75</v>
      </c>
      <c r="N1778" s="107">
        <v>48</v>
      </c>
      <c r="O1778" s="107">
        <v>46.35</v>
      </c>
      <c r="P1778" s="107">
        <v>46.55</v>
      </c>
      <c r="Q1778" s="107">
        <v>47.75</v>
      </c>
      <c r="R1778">
        <v>4888063</v>
      </c>
    </row>
    <row r="1779" spans="1:18" x14ac:dyDescent="0.25">
      <c r="A1779" s="130">
        <v>44623</v>
      </c>
      <c r="B1779" s="107">
        <v>48.75</v>
      </c>
      <c r="C1779" s="107">
        <v>47</v>
      </c>
      <c r="D1779" s="107">
        <v>46.9</v>
      </c>
      <c r="E1779" s="107">
        <v>48.75</v>
      </c>
      <c r="F1779" s="107">
        <v>47</v>
      </c>
      <c r="G1779">
        <v>419467</v>
      </c>
      <c r="H1779" s="107"/>
      <c r="I1779" s="107"/>
      <c r="L1779" s="130">
        <v>44623</v>
      </c>
      <c r="M1779" s="107">
        <v>47.05</v>
      </c>
      <c r="N1779" s="107">
        <v>48.75</v>
      </c>
      <c r="O1779" s="107">
        <v>46.95</v>
      </c>
      <c r="P1779" s="107">
        <v>48.35</v>
      </c>
      <c r="Q1779" s="107">
        <v>47.05</v>
      </c>
      <c r="R1779">
        <v>4374803</v>
      </c>
    </row>
    <row r="1780" spans="1:18" x14ac:dyDescent="0.25">
      <c r="A1780" s="130">
        <v>44624</v>
      </c>
      <c r="B1780" s="107">
        <v>47.3</v>
      </c>
      <c r="C1780" s="107">
        <v>46.7</v>
      </c>
      <c r="D1780" s="107">
        <v>46.3</v>
      </c>
      <c r="E1780" s="107">
        <v>46.55</v>
      </c>
      <c r="F1780" s="107">
        <v>46.7</v>
      </c>
      <c r="G1780">
        <v>393088</v>
      </c>
      <c r="H1780" s="107"/>
      <c r="I1780" s="107"/>
      <c r="L1780" s="130">
        <v>44624</v>
      </c>
      <c r="M1780" s="107">
        <v>46.7</v>
      </c>
      <c r="N1780" s="107">
        <v>47.35</v>
      </c>
      <c r="O1780" s="107">
        <v>46.3</v>
      </c>
      <c r="P1780" s="107">
        <v>46.8</v>
      </c>
      <c r="Q1780" s="107">
        <v>46.7</v>
      </c>
      <c r="R1780">
        <v>4254099</v>
      </c>
    </row>
    <row r="1781" spans="1:18" x14ac:dyDescent="0.25">
      <c r="A1781" s="130">
        <v>44627</v>
      </c>
      <c r="B1781" s="107">
        <v>47.1</v>
      </c>
      <c r="C1781" s="107">
        <v>46.2</v>
      </c>
      <c r="D1781" s="107">
        <v>45.05</v>
      </c>
      <c r="E1781" s="107">
        <v>45.6</v>
      </c>
      <c r="F1781" s="107">
        <v>46.2</v>
      </c>
      <c r="G1781">
        <v>627900</v>
      </c>
      <c r="H1781" s="107"/>
      <c r="I1781" s="107"/>
      <c r="L1781" s="130">
        <v>44627</v>
      </c>
      <c r="M1781" s="107">
        <v>46.25</v>
      </c>
      <c r="N1781" s="107">
        <v>47.1</v>
      </c>
      <c r="O1781" s="107">
        <v>45.05</v>
      </c>
      <c r="P1781" s="107">
        <v>45.85</v>
      </c>
      <c r="Q1781" s="107">
        <v>46.25</v>
      </c>
      <c r="R1781">
        <v>5200513</v>
      </c>
    </row>
    <row r="1782" spans="1:18" x14ac:dyDescent="0.25">
      <c r="A1782" s="130">
        <v>44628</v>
      </c>
      <c r="B1782" s="107">
        <v>47.6</v>
      </c>
      <c r="C1782" s="107">
        <v>47.35</v>
      </c>
      <c r="D1782" s="107">
        <v>46.1</v>
      </c>
      <c r="E1782" s="107">
        <v>46.2</v>
      </c>
      <c r="F1782" s="107">
        <v>47.35</v>
      </c>
      <c r="G1782">
        <v>453365</v>
      </c>
      <c r="H1782" s="107"/>
      <c r="I1782" s="107"/>
      <c r="L1782" s="130">
        <v>44628</v>
      </c>
      <c r="M1782" s="107">
        <v>47.35</v>
      </c>
      <c r="N1782" s="107">
        <v>47.6</v>
      </c>
      <c r="O1782" s="107">
        <v>46.4</v>
      </c>
      <c r="P1782" s="107">
        <v>46.5</v>
      </c>
      <c r="Q1782" s="107">
        <v>47.35</v>
      </c>
      <c r="R1782">
        <v>4069886</v>
      </c>
    </row>
    <row r="1783" spans="1:18" x14ac:dyDescent="0.25">
      <c r="A1783" s="130">
        <v>44629</v>
      </c>
      <c r="B1783" s="107">
        <v>48.45</v>
      </c>
      <c r="C1783" s="107">
        <v>48.1</v>
      </c>
      <c r="D1783" s="107">
        <v>47.2</v>
      </c>
      <c r="E1783" s="107">
        <v>48</v>
      </c>
      <c r="F1783" s="107">
        <v>48.1</v>
      </c>
      <c r="G1783">
        <v>486267</v>
      </c>
      <c r="H1783" s="107"/>
      <c r="I1783" s="107"/>
      <c r="L1783" s="130">
        <v>44629</v>
      </c>
      <c r="M1783" s="107">
        <v>48.1</v>
      </c>
      <c r="N1783" s="107">
        <v>48.45</v>
      </c>
      <c r="O1783" s="107">
        <v>47.25</v>
      </c>
      <c r="P1783" s="107">
        <v>47.9</v>
      </c>
      <c r="Q1783" s="107">
        <v>48.1</v>
      </c>
      <c r="R1783">
        <v>3650384</v>
      </c>
    </row>
    <row r="1784" spans="1:18" x14ac:dyDescent="0.25">
      <c r="A1784" s="130">
        <v>44630</v>
      </c>
      <c r="B1784" s="107">
        <v>50.3</v>
      </c>
      <c r="C1784" s="107">
        <v>48.45</v>
      </c>
      <c r="D1784" s="107">
        <v>47.15</v>
      </c>
      <c r="E1784" s="107">
        <v>49.85</v>
      </c>
      <c r="F1784" s="107">
        <v>48.45</v>
      </c>
      <c r="G1784">
        <v>825032</v>
      </c>
      <c r="H1784" s="107"/>
      <c r="I1784" s="107"/>
      <c r="L1784" s="130">
        <v>44630</v>
      </c>
      <c r="M1784" s="107">
        <v>48.6</v>
      </c>
      <c r="N1784" s="107">
        <v>50.3</v>
      </c>
      <c r="O1784" s="107">
        <v>47.8</v>
      </c>
      <c r="P1784" s="107">
        <v>49.75</v>
      </c>
      <c r="Q1784" s="107">
        <v>48.6</v>
      </c>
      <c r="R1784">
        <v>6526938</v>
      </c>
    </row>
    <row r="1785" spans="1:18" x14ac:dyDescent="0.25">
      <c r="A1785" s="130">
        <v>44631</v>
      </c>
      <c r="B1785" s="107">
        <v>49.2</v>
      </c>
      <c r="C1785" s="107">
        <v>48.7</v>
      </c>
      <c r="D1785" s="107">
        <v>48</v>
      </c>
      <c r="E1785" s="107">
        <v>48.9</v>
      </c>
      <c r="F1785" s="107">
        <v>48.7</v>
      </c>
      <c r="G1785">
        <v>365428</v>
      </c>
      <c r="H1785" s="107"/>
      <c r="I1785" s="107"/>
      <c r="L1785" s="130">
        <v>44631</v>
      </c>
      <c r="M1785" s="107">
        <v>48.7</v>
      </c>
      <c r="N1785" s="107">
        <v>49.1</v>
      </c>
      <c r="O1785" s="107">
        <v>48.3</v>
      </c>
      <c r="P1785" s="107">
        <v>48.6</v>
      </c>
      <c r="Q1785" s="107">
        <v>48.7</v>
      </c>
      <c r="R1785">
        <v>2835461</v>
      </c>
    </row>
    <row r="1786" spans="1:18" x14ac:dyDescent="0.25">
      <c r="A1786" s="130">
        <v>44634</v>
      </c>
      <c r="B1786" s="107">
        <v>49.2</v>
      </c>
      <c r="C1786" s="107">
        <v>48.85</v>
      </c>
      <c r="D1786" s="107">
        <v>48.15</v>
      </c>
      <c r="E1786" s="107">
        <v>49</v>
      </c>
      <c r="F1786" s="107">
        <v>48.85</v>
      </c>
      <c r="G1786">
        <v>454371</v>
      </c>
      <c r="H1786" s="107"/>
      <c r="I1786" s="107"/>
      <c r="L1786" s="130">
        <v>44634</v>
      </c>
      <c r="M1786" s="107">
        <v>48.85</v>
      </c>
      <c r="N1786" s="107">
        <v>49.25</v>
      </c>
      <c r="O1786" s="107">
        <v>48.1</v>
      </c>
      <c r="P1786" s="107">
        <v>48.7</v>
      </c>
      <c r="Q1786" s="107">
        <v>48.85</v>
      </c>
      <c r="R1786">
        <v>3272209</v>
      </c>
    </row>
    <row r="1787" spans="1:18" x14ac:dyDescent="0.25">
      <c r="A1787" s="130">
        <v>44635</v>
      </c>
      <c r="B1787" s="107">
        <v>49.15</v>
      </c>
      <c r="C1787" s="107">
        <v>47.35</v>
      </c>
      <c r="D1787" s="107">
        <v>47</v>
      </c>
      <c r="E1787" s="107">
        <v>48.85</v>
      </c>
      <c r="F1787" s="107">
        <v>47.35</v>
      </c>
      <c r="G1787">
        <v>545309</v>
      </c>
      <c r="H1787" s="107"/>
      <c r="I1787" s="107"/>
      <c r="L1787" s="130">
        <v>44635</v>
      </c>
      <c r="M1787" s="107">
        <v>47.3</v>
      </c>
      <c r="N1787" s="107">
        <v>49.25</v>
      </c>
      <c r="O1787" s="107">
        <v>47</v>
      </c>
      <c r="P1787" s="107">
        <v>49</v>
      </c>
      <c r="Q1787" s="107">
        <v>47.3</v>
      </c>
      <c r="R1787">
        <v>5049202</v>
      </c>
    </row>
    <row r="1788" spans="1:18" x14ac:dyDescent="0.25">
      <c r="A1788" s="130">
        <v>44636</v>
      </c>
      <c r="B1788" s="107">
        <v>48.6</v>
      </c>
      <c r="C1788" s="107">
        <v>48.45</v>
      </c>
      <c r="D1788" s="107">
        <v>47.9</v>
      </c>
      <c r="E1788" s="107">
        <v>48</v>
      </c>
      <c r="F1788" s="107">
        <v>48.45</v>
      </c>
      <c r="G1788">
        <v>363444</v>
      </c>
      <c r="H1788" s="107"/>
      <c r="I1788" s="107"/>
      <c r="L1788" s="130">
        <v>44636</v>
      </c>
      <c r="M1788" s="107">
        <v>48.45</v>
      </c>
      <c r="N1788" s="107">
        <v>48.65</v>
      </c>
      <c r="O1788" s="107">
        <v>47.85</v>
      </c>
      <c r="P1788" s="107">
        <v>48.25</v>
      </c>
      <c r="Q1788" s="107">
        <v>48.45</v>
      </c>
      <c r="R1788">
        <v>3188507</v>
      </c>
    </row>
    <row r="1789" spans="1:18" x14ac:dyDescent="0.25">
      <c r="A1789" s="130">
        <v>44637</v>
      </c>
      <c r="B1789" s="107">
        <v>49.2</v>
      </c>
      <c r="C1789" s="107">
        <v>48.05</v>
      </c>
      <c r="D1789" s="107">
        <v>47.8</v>
      </c>
      <c r="E1789" s="107">
        <v>48.75</v>
      </c>
      <c r="F1789" s="107">
        <v>48.05</v>
      </c>
      <c r="G1789">
        <v>457121</v>
      </c>
      <c r="H1789" s="107"/>
      <c r="I1789" s="107"/>
      <c r="L1789" s="130">
        <v>44637</v>
      </c>
      <c r="M1789" s="107">
        <v>48.05</v>
      </c>
      <c r="N1789" s="107">
        <v>49.2</v>
      </c>
      <c r="O1789" s="107">
        <v>47.75</v>
      </c>
      <c r="P1789" s="107">
        <v>48.9</v>
      </c>
      <c r="Q1789" s="107">
        <v>48.05</v>
      </c>
      <c r="R1789">
        <v>4434530</v>
      </c>
    </row>
    <row r="1790" spans="1:18" x14ac:dyDescent="0.25">
      <c r="A1790" s="130">
        <v>44641</v>
      </c>
      <c r="B1790" s="107">
        <v>48.8</v>
      </c>
      <c r="C1790" s="107">
        <v>47.5</v>
      </c>
      <c r="D1790" s="107">
        <v>47.2</v>
      </c>
      <c r="E1790" s="107">
        <v>48.8</v>
      </c>
      <c r="F1790" s="107">
        <v>47.5</v>
      </c>
      <c r="G1790">
        <v>529595</v>
      </c>
      <c r="H1790" s="107"/>
      <c r="I1790" s="107"/>
      <c r="L1790" s="130">
        <v>44641</v>
      </c>
      <c r="M1790" s="107">
        <v>47.45</v>
      </c>
      <c r="N1790" s="107">
        <v>48.7</v>
      </c>
      <c r="O1790" s="107">
        <v>47.2</v>
      </c>
      <c r="P1790" s="107">
        <v>48.15</v>
      </c>
      <c r="Q1790" s="107">
        <v>47.45</v>
      </c>
      <c r="R1790">
        <v>3195326</v>
      </c>
    </row>
    <row r="1791" spans="1:18" x14ac:dyDescent="0.25">
      <c r="A1791" s="130">
        <v>44642</v>
      </c>
      <c r="B1791" s="107">
        <v>47.95</v>
      </c>
      <c r="C1791" s="107">
        <v>47.75</v>
      </c>
      <c r="D1791" s="107">
        <v>46.95</v>
      </c>
      <c r="E1791" s="107">
        <v>47.75</v>
      </c>
      <c r="F1791" s="107">
        <v>47.75</v>
      </c>
      <c r="G1791">
        <v>422345</v>
      </c>
      <c r="H1791" s="107"/>
      <c r="I1791" s="107"/>
      <c r="L1791" s="130">
        <v>44642</v>
      </c>
      <c r="M1791" s="107">
        <v>47.8</v>
      </c>
      <c r="N1791" s="107">
        <v>47.95</v>
      </c>
      <c r="O1791" s="107">
        <v>47</v>
      </c>
      <c r="P1791" s="107">
        <v>47.8</v>
      </c>
      <c r="Q1791" s="107">
        <v>47.8</v>
      </c>
      <c r="R1791">
        <v>2787479</v>
      </c>
    </row>
    <row r="1792" spans="1:18" x14ac:dyDescent="0.25">
      <c r="A1792" s="130">
        <v>44643</v>
      </c>
      <c r="B1792" s="107">
        <v>48.6</v>
      </c>
      <c r="C1792" s="107">
        <v>47.35</v>
      </c>
      <c r="D1792" s="107">
        <v>47.2</v>
      </c>
      <c r="E1792" s="107">
        <v>47.95</v>
      </c>
      <c r="F1792" s="107">
        <v>47.35</v>
      </c>
      <c r="G1792">
        <v>324189</v>
      </c>
      <c r="H1792" s="107"/>
      <c r="I1792" s="107"/>
      <c r="L1792" s="130">
        <v>44643</v>
      </c>
      <c r="M1792" s="107">
        <v>47.3</v>
      </c>
      <c r="N1792" s="107">
        <v>48.6</v>
      </c>
      <c r="O1792" s="107">
        <v>47.2</v>
      </c>
      <c r="P1792" s="107">
        <v>48.05</v>
      </c>
      <c r="Q1792" s="107">
        <v>47.3</v>
      </c>
      <c r="R1792">
        <v>3644054</v>
      </c>
    </row>
    <row r="1793" spans="1:18" x14ac:dyDescent="0.25">
      <c r="A1793" s="130">
        <v>44644</v>
      </c>
      <c r="B1793" s="107">
        <v>47.5</v>
      </c>
      <c r="C1793" s="107">
        <v>47.2</v>
      </c>
      <c r="D1793" s="107">
        <v>47</v>
      </c>
      <c r="E1793" s="107">
        <v>47.4</v>
      </c>
      <c r="F1793" s="107">
        <v>47.2</v>
      </c>
      <c r="G1793">
        <v>534596</v>
      </c>
      <c r="H1793" s="107"/>
      <c r="I1793" s="107"/>
      <c r="L1793" s="130">
        <v>44644</v>
      </c>
      <c r="M1793" s="107">
        <v>47.2</v>
      </c>
      <c r="N1793" s="107">
        <v>47.8</v>
      </c>
      <c r="O1793" s="107">
        <v>47</v>
      </c>
      <c r="P1793" s="107">
        <v>47.4</v>
      </c>
      <c r="Q1793" s="107">
        <v>47.2</v>
      </c>
      <c r="R1793">
        <v>2940010</v>
      </c>
    </row>
    <row r="1794" spans="1:18" x14ac:dyDescent="0.25">
      <c r="A1794" s="130">
        <v>44645</v>
      </c>
      <c r="B1794" s="107">
        <v>47.5</v>
      </c>
      <c r="C1794" s="107">
        <v>46.8</v>
      </c>
      <c r="D1794" s="107">
        <v>46.7</v>
      </c>
      <c r="E1794" s="107">
        <v>47.3</v>
      </c>
      <c r="F1794" s="107">
        <v>46.8</v>
      </c>
      <c r="G1794">
        <v>444368</v>
      </c>
      <c r="H1794" s="107"/>
      <c r="I1794" s="107"/>
      <c r="L1794" s="130">
        <v>44645</v>
      </c>
      <c r="M1794" s="107">
        <v>46.8</v>
      </c>
      <c r="N1794" s="107">
        <v>47.6</v>
      </c>
      <c r="O1794" s="107">
        <v>46.7</v>
      </c>
      <c r="P1794" s="107">
        <v>47.6</v>
      </c>
      <c r="Q1794" s="107">
        <v>46.8</v>
      </c>
      <c r="R1794">
        <v>3292493</v>
      </c>
    </row>
    <row r="1795" spans="1:18" x14ac:dyDescent="0.25">
      <c r="A1795" s="130">
        <v>44648</v>
      </c>
      <c r="B1795" s="107">
        <v>46.9</v>
      </c>
      <c r="C1795" s="107">
        <v>45.95</v>
      </c>
      <c r="D1795" s="107">
        <v>45.7</v>
      </c>
      <c r="E1795" s="107">
        <v>46.8</v>
      </c>
      <c r="F1795" s="107">
        <v>45.95</v>
      </c>
      <c r="G1795">
        <v>889277</v>
      </c>
      <c r="H1795" s="107"/>
      <c r="I1795" s="107"/>
      <c r="L1795" s="130">
        <v>44648</v>
      </c>
      <c r="M1795" s="107">
        <v>46</v>
      </c>
      <c r="N1795" s="107">
        <v>46.95</v>
      </c>
      <c r="O1795" s="107">
        <v>45.7</v>
      </c>
      <c r="P1795" s="107">
        <v>46.9</v>
      </c>
      <c r="Q1795" s="107">
        <v>46</v>
      </c>
      <c r="R1795">
        <v>4142874</v>
      </c>
    </row>
    <row r="1796" spans="1:18" x14ac:dyDescent="0.25">
      <c r="A1796" s="130">
        <v>44649</v>
      </c>
      <c r="B1796" s="107">
        <v>46.55</v>
      </c>
      <c r="C1796" s="107">
        <v>45.45</v>
      </c>
      <c r="D1796" s="107">
        <v>45.1</v>
      </c>
      <c r="E1796" s="107">
        <v>45.95</v>
      </c>
      <c r="F1796" s="107">
        <v>45.45</v>
      </c>
      <c r="G1796">
        <v>573149</v>
      </c>
      <c r="H1796" s="107"/>
      <c r="I1796" s="107"/>
      <c r="L1796" s="130">
        <v>44649</v>
      </c>
      <c r="M1796" s="107">
        <v>45.4</v>
      </c>
      <c r="N1796" s="107">
        <v>46.55</v>
      </c>
      <c r="O1796" s="107">
        <v>45.05</v>
      </c>
      <c r="P1796" s="107">
        <v>46.2</v>
      </c>
      <c r="Q1796" s="107">
        <v>45.4</v>
      </c>
      <c r="R1796">
        <v>4689148</v>
      </c>
    </row>
    <row r="1797" spans="1:18" x14ac:dyDescent="0.25">
      <c r="A1797" s="130">
        <v>44650</v>
      </c>
      <c r="B1797" s="107">
        <v>47.75</v>
      </c>
      <c r="C1797" s="107">
        <v>46.75</v>
      </c>
      <c r="D1797" s="107">
        <v>45.5</v>
      </c>
      <c r="E1797" s="107">
        <v>45.95</v>
      </c>
      <c r="F1797" s="107">
        <v>46.75</v>
      </c>
      <c r="G1797">
        <v>816160</v>
      </c>
      <c r="H1797" s="107"/>
      <c r="I1797" s="107"/>
      <c r="L1797" s="130">
        <v>44650</v>
      </c>
      <c r="M1797" s="107">
        <v>46.9</v>
      </c>
      <c r="N1797" s="107">
        <v>47.9</v>
      </c>
      <c r="O1797" s="107">
        <v>45.5</v>
      </c>
      <c r="P1797" s="107">
        <v>46</v>
      </c>
      <c r="Q1797" s="107">
        <v>46.9</v>
      </c>
      <c r="R1797">
        <v>6841967</v>
      </c>
    </row>
    <row r="1798" spans="1:18" x14ac:dyDescent="0.25">
      <c r="A1798" s="130">
        <v>44651</v>
      </c>
      <c r="B1798" s="107">
        <v>47.55</v>
      </c>
      <c r="C1798" s="107">
        <v>45.85</v>
      </c>
      <c r="D1798" s="107">
        <v>45.75</v>
      </c>
      <c r="E1798" s="107">
        <v>46.8</v>
      </c>
      <c r="F1798" s="107">
        <v>45.85</v>
      </c>
      <c r="G1798">
        <v>358509</v>
      </c>
      <c r="H1798" s="107"/>
      <c r="I1798" s="107"/>
      <c r="L1798" s="130">
        <v>44651</v>
      </c>
      <c r="M1798" s="107">
        <v>45.85</v>
      </c>
      <c r="N1798" s="107">
        <v>47.5</v>
      </c>
      <c r="O1798" s="107">
        <v>45.7</v>
      </c>
      <c r="P1798" s="107">
        <v>47</v>
      </c>
      <c r="Q1798" s="107">
        <v>45.85</v>
      </c>
      <c r="R1798">
        <v>4568692</v>
      </c>
    </row>
    <row r="1799" spans="1:18" x14ac:dyDescent="0.25">
      <c r="A1799" s="130">
        <v>44652</v>
      </c>
      <c r="B1799" s="107">
        <v>48.6</v>
      </c>
      <c r="C1799" s="107">
        <v>48.3</v>
      </c>
      <c r="D1799" s="107">
        <v>45.85</v>
      </c>
      <c r="E1799" s="107">
        <v>45.9</v>
      </c>
      <c r="F1799" s="107">
        <v>48.3</v>
      </c>
      <c r="G1799">
        <v>802568</v>
      </c>
      <c r="H1799" s="107"/>
      <c r="I1799" s="107"/>
      <c r="L1799" s="130">
        <v>44652</v>
      </c>
      <c r="M1799" s="107">
        <v>48.3</v>
      </c>
      <c r="N1799" s="107">
        <v>48.6</v>
      </c>
      <c r="O1799" s="107">
        <v>45.8</v>
      </c>
      <c r="P1799" s="107">
        <v>45.8</v>
      </c>
      <c r="Q1799" s="107">
        <v>48.3</v>
      </c>
      <c r="R1799">
        <v>6312197</v>
      </c>
    </row>
    <row r="1800" spans="1:18" x14ac:dyDescent="0.25">
      <c r="A1800" s="130">
        <v>44655</v>
      </c>
      <c r="B1800" s="107">
        <v>49.5</v>
      </c>
      <c r="C1800" s="107">
        <v>49.25</v>
      </c>
      <c r="D1800" s="107">
        <v>48.35</v>
      </c>
      <c r="E1800" s="107">
        <v>48.35</v>
      </c>
      <c r="F1800" s="107">
        <v>49.25</v>
      </c>
      <c r="G1800">
        <v>603233</v>
      </c>
      <c r="H1800" s="107"/>
      <c r="I1800" s="107"/>
      <c r="L1800" s="130">
        <v>44655</v>
      </c>
      <c r="M1800" s="107">
        <v>49.25</v>
      </c>
      <c r="N1800" s="107">
        <v>49.6</v>
      </c>
      <c r="O1800" s="107">
        <v>48.6</v>
      </c>
      <c r="P1800" s="107">
        <v>48.6</v>
      </c>
      <c r="Q1800" s="107">
        <v>49.25</v>
      </c>
      <c r="R1800">
        <v>4558914</v>
      </c>
    </row>
    <row r="1801" spans="1:18" x14ac:dyDescent="0.25">
      <c r="A1801" s="130">
        <v>44656</v>
      </c>
      <c r="B1801" s="107">
        <v>51.35</v>
      </c>
      <c r="C1801" s="107">
        <v>50.75</v>
      </c>
      <c r="D1801" s="107">
        <v>49.2</v>
      </c>
      <c r="E1801" s="107">
        <v>49.55</v>
      </c>
      <c r="F1801" s="107">
        <v>50.75</v>
      </c>
      <c r="G1801">
        <v>1164357</v>
      </c>
      <c r="H1801" s="107"/>
      <c r="I1801" s="107"/>
      <c r="L1801" s="130">
        <v>44656</v>
      </c>
      <c r="M1801" s="107">
        <v>50.75</v>
      </c>
      <c r="N1801" s="107">
        <v>51.5</v>
      </c>
      <c r="O1801" s="107">
        <v>49.2</v>
      </c>
      <c r="P1801" s="107">
        <v>49.6</v>
      </c>
      <c r="Q1801" s="107">
        <v>50.75</v>
      </c>
      <c r="R1801">
        <v>7772528</v>
      </c>
    </row>
    <row r="1802" spans="1:18" x14ac:dyDescent="0.25">
      <c r="A1802" s="130">
        <v>44657</v>
      </c>
      <c r="B1802" s="107">
        <v>52.4</v>
      </c>
      <c r="C1802" s="107">
        <v>52.05</v>
      </c>
      <c r="D1802" s="107">
        <v>50.25</v>
      </c>
      <c r="E1802" s="107">
        <v>50.25</v>
      </c>
      <c r="F1802" s="107">
        <v>52.05</v>
      </c>
      <c r="G1802">
        <v>874687</v>
      </c>
      <c r="H1802" s="107"/>
      <c r="I1802" s="107"/>
      <c r="L1802" s="130">
        <v>44657</v>
      </c>
      <c r="M1802" s="107">
        <v>52.1</v>
      </c>
      <c r="N1802" s="107">
        <v>52.4</v>
      </c>
      <c r="O1802" s="107">
        <v>50.15</v>
      </c>
      <c r="P1802" s="107">
        <v>50.65</v>
      </c>
      <c r="Q1802" s="107">
        <v>52.1</v>
      </c>
      <c r="R1802">
        <v>6394097</v>
      </c>
    </row>
    <row r="1803" spans="1:18" x14ac:dyDescent="0.25">
      <c r="A1803" s="130">
        <v>44658</v>
      </c>
      <c r="B1803" s="107">
        <v>53.7</v>
      </c>
      <c r="C1803" s="107">
        <v>50.9</v>
      </c>
      <c r="D1803" s="107">
        <v>50.5</v>
      </c>
      <c r="E1803" s="107">
        <v>52.2</v>
      </c>
      <c r="F1803" s="107">
        <v>50.9</v>
      </c>
      <c r="G1803">
        <v>878275</v>
      </c>
      <c r="H1803" s="107"/>
      <c r="I1803" s="107"/>
      <c r="L1803" s="130">
        <v>44658</v>
      </c>
      <c r="M1803" s="107">
        <v>50.85</v>
      </c>
      <c r="N1803" s="107">
        <v>53.7</v>
      </c>
      <c r="O1803" s="107">
        <v>50.45</v>
      </c>
      <c r="P1803" s="107">
        <v>52.25</v>
      </c>
      <c r="Q1803" s="107">
        <v>50.85</v>
      </c>
      <c r="R1803">
        <v>8484966</v>
      </c>
    </row>
    <row r="1804" spans="1:18" x14ac:dyDescent="0.25">
      <c r="A1804" s="130">
        <v>44659</v>
      </c>
      <c r="B1804" s="107">
        <v>52.6</v>
      </c>
      <c r="C1804" s="107">
        <v>52.4</v>
      </c>
      <c r="D1804" s="107">
        <v>51.25</v>
      </c>
      <c r="E1804" s="107">
        <v>51.4</v>
      </c>
      <c r="F1804" s="107">
        <v>52.4</v>
      </c>
      <c r="G1804">
        <v>931470</v>
      </c>
      <c r="H1804" s="107"/>
      <c r="I1804" s="107"/>
      <c r="L1804" s="130">
        <v>44659</v>
      </c>
      <c r="M1804" s="107">
        <v>52.45</v>
      </c>
      <c r="N1804" s="107">
        <v>52.7</v>
      </c>
      <c r="O1804" s="107">
        <v>51.1</v>
      </c>
      <c r="P1804" s="107">
        <v>51.1</v>
      </c>
      <c r="Q1804" s="107">
        <v>52.45</v>
      </c>
      <c r="R1804">
        <v>6653342</v>
      </c>
    </row>
    <row r="1805" spans="1:18" x14ac:dyDescent="0.25">
      <c r="A1805" s="130">
        <v>44662</v>
      </c>
      <c r="B1805" s="107">
        <v>53.05</v>
      </c>
      <c r="C1805" s="107">
        <v>52.2</v>
      </c>
      <c r="D1805" s="107">
        <v>52</v>
      </c>
      <c r="E1805" s="107">
        <v>52.1</v>
      </c>
      <c r="F1805" s="107">
        <v>52.2</v>
      </c>
      <c r="G1805">
        <v>384585</v>
      </c>
      <c r="H1805" s="107"/>
      <c r="I1805" s="107"/>
      <c r="L1805" s="130">
        <v>44662</v>
      </c>
      <c r="M1805" s="107">
        <v>52.15</v>
      </c>
      <c r="N1805" s="107">
        <v>53.1</v>
      </c>
      <c r="O1805" s="107">
        <v>52</v>
      </c>
      <c r="P1805" s="107">
        <v>52.3</v>
      </c>
      <c r="Q1805" s="107">
        <v>52.15</v>
      </c>
      <c r="R1805">
        <v>3817247</v>
      </c>
    </row>
    <row r="1806" spans="1:18" x14ac:dyDescent="0.25">
      <c r="A1806" s="130">
        <v>44663</v>
      </c>
      <c r="B1806" s="107">
        <v>52.4</v>
      </c>
      <c r="C1806" s="107">
        <v>51</v>
      </c>
      <c r="D1806" s="107">
        <v>50.5</v>
      </c>
      <c r="E1806" s="107">
        <v>52.4</v>
      </c>
      <c r="F1806" s="107">
        <v>51</v>
      </c>
      <c r="G1806">
        <v>476803</v>
      </c>
      <c r="H1806" s="107"/>
      <c r="I1806" s="107"/>
      <c r="L1806" s="130">
        <v>44663</v>
      </c>
      <c r="M1806" s="107">
        <v>51</v>
      </c>
      <c r="N1806" s="107">
        <v>52.2</v>
      </c>
      <c r="O1806" s="107">
        <v>50.4</v>
      </c>
      <c r="P1806" s="107">
        <v>52.1</v>
      </c>
      <c r="Q1806" s="107">
        <v>51</v>
      </c>
      <c r="R1806">
        <v>3440331</v>
      </c>
    </row>
    <row r="1807" spans="1:18" x14ac:dyDescent="0.25">
      <c r="A1807" s="130">
        <v>44664</v>
      </c>
      <c r="B1807" s="107">
        <v>51.75</v>
      </c>
      <c r="C1807" s="107">
        <v>51.2</v>
      </c>
      <c r="D1807" s="107">
        <v>50.9</v>
      </c>
      <c r="E1807" s="107">
        <v>51.75</v>
      </c>
      <c r="F1807" s="107">
        <v>51.2</v>
      </c>
      <c r="G1807">
        <v>389168</v>
      </c>
      <c r="H1807" s="107"/>
      <c r="I1807" s="107"/>
      <c r="L1807" s="130">
        <v>44664</v>
      </c>
      <c r="M1807" s="107">
        <v>51.2</v>
      </c>
      <c r="N1807" s="107">
        <v>51.7</v>
      </c>
      <c r="O1807" s="107">
        <v>50.95</v>
      </c>
      <c r="P1807" s="107">
        <v>51.5</v>
      </c>
      <c r="Q1807" s="107">
        <v>51.2</v>
      </c>
      <c r="R1807">
        <v>2623329</v>
      </c>
    </row>
    <row r="1808" spans="1:18" x14ac:dyDescent="0.25">
      <c r="A1808" s="130">
        <v>44669</v>
      </c>
      <c r="B1808" s="107">
        <v>51</v>
      </c>
      <c r="C1808" s="107">
        <v>50.1</v>
      </c>
      <c r="D1808" s="107">
        <v>49.75</v>
      </c>
      <c r="E1808" s="107">
        <v>51</v>
      </c>
      <c r="F1808" s="107">
        <v>50.1</v>
      </c>
      <c r="G1808">
        <v>295111</v>
      </c>
      <c r="H1808" s="107"/>
      <c r="I1808" s="107"/>
      <c r="L1808" s="130">
        <v>44669</v>
      </c>
      <c r="M1808" s="107">
        <v>50.1</v>
      </c>
      <c r="N1808" s="107">
        <v>50.75</v>
      </c>
      <c r="O1808" s="107">
        <v>49.75</v>
      </c>
      <c r="P1808" s="107">
        <v>50.75</v>
      </c>
      <c r="Q1808" s="107">
        <v>50.1</v>
      </c>
      <c r="R1808">
        <v>2064525</v>
      </c>
    </row>
    <row r="1809" spans="1:18" x14ac:dyDescent="0.25">
      <c r="A1809" s="130">
        <v>44670</v>
      </c>
      <c r="B1809" s="107">
        <v>50.85</v>
      </c>
      <c r="C1809" s="107">
        <v>49.45</v>
      </c>
      <c r="D1809" s="107">
        <v>48.6</v>
      </c>
      <c r="E1809" s="107">
        <v>49.9</v>
      </c>
      <c r="F1809" s="107">
        <v>49.45</v>
      </c>
      <c r="G1809">
        <v>299815</v>
      </c>
      <c r="H1809" s="107"/>
      <c r="I1809" s="107"/>
      <c r="L1809" s="130">
        <v>44670</v>
      </c>
      <c r="M1809" s="107">
        <v>49.45</v>
      </c>
      <c r="N1809" s="107">
        <v>50.85</v>
      </c>
      <c r="O1809" s="107">
        <v>48.5</v>
      </c>
      <c r="P1809" s="107">
        <v>50.5</v>
      </c>
      <c r="Q1809" s="107">
        <v>49.45</v>
      </c>
      <c r="R1809">
        <v>3305214</v>
      </c>
    </row>
    <row r="1810" spans="1:18" x14ac:dyDescent="0.25">
      <c r="A1810" s="130">
        <v>44671</v>
      </c>
      <c r="B1810" s="107">
        <v>50.3</v>
      </c>
      <c r="C1810" s="107">
        <v>49.6</v>
      </c>
      <c r="D1810" s="107">
        <v>49.4</v>
      </c>
      <c r="E1810" s="107">
        <v>49.55</v>
      </c>
      <c r="F1810" s="107">
        <v>49.6</v>
      </c>
      <c r="G1810">
        <v>341617</v>
      </c>
      <c r="H1810" s="107"/>
      <c r="I1810" s="107"/>
      <c r="L1810" s="130">
        <v>44671</v>
      </c>
      <c r="M1810" s="107">
        <v>49.6</v>
      </c>
      <c r="N1810" s="107">
        <v>50.3</v>
      </c>
      <c r="O1810" s="107">
        <v>49.4</v>
      </c>
      <c r="P1810" s="107">
        <v>49.65</v>
      </c>
      <c r="Q1810" s="107">
        <v>49.6</v>
      </c>
      <c r="R1810">
        <v>2614259</v>
      </c>
    </row>
    <row r="1811" spans="1:18" x14ac:dyDescent="0.25">
      <c r="A1811" s="130">
        <v>44672</v>
      </c>
      <c r="B1811" s="107">
        <v>50.25</v>
      </c>
      <c r="C1811" s="107">
        <v>50.1</v>
      </c>
      <c r="D1811" s="107">
        <v>49.65</v>
      </c>
      <c r="E1811" s="107">
        <v>49.65</v>
      </c>
      <c r="F1811" s="107">
        <v>50.1</v>
      </c>
      <c r="G1811">
        <v>178599</v>
      </c>
      <c r="H1811" s="107"/>
      <c r="I1811" s="107"/>
      <c r="L1811" s="130">
        <v>44672</v>
      </c>
      <c r="M1811" s="107">
        <v>50.05</v>
      </c>
      <c r="N1811" s="107">
        <v>50.3</v>
      </c>
      <c r="O1811" s="107">
        <v>49.8</v>
      </c>
      <c r="P1811" s="107">
        <v>50</v>
      </c>
      <c r="Q1811" s="107">
        <v>50.05</v>
      </c>
      <c r="R1811">
        <v>1733196</v>
      </c>
    </row>
    <row r="1812" spans="1:18" x14ac:dyDescent="0.25">
      <c r="A1812" s="130">
        <v>44673</v>
      </c>
      <c r="B1812" s="107">
        <v>50.1</v>
      </c>
      <c r="C1812" s="107">
        <v>49.5</v>
      </c>
      <c r="D1812" s="107">
        <v>49.4</v>
      </c>
      <c r="E1812" s="107">
        <v>49.5</v>
      </c>
      <c r="F1812" s="107">
        <v>49.5</v>
      </c>
      <c r="G1812">
        <v>247556</v>
      </c>
      <c r="H1812" s="107"/>
      <c r="I1812" s="107"/>
      <c r="L1812" s="130">
        <v>44673</v>
      </c>
      <c r="M1812" s="107">
        <v>49.55</v>
      </c>
      <c r="N1812" s="107">
        <v>50.1</v>
      </c>
      <c r="O1812" s="107">
        <v>49.4</v>
      </c>
      <c r="P1812" s="107">
        <v>49.7</v>
      </c>
      <c r="Q1812" s="107">
        <v>49.55</v>
      </c>
      <c r="R1812">
        <v>1448552</v>
      </c>
    </row>
    <row r="1813" spans="1:18" x14ac:dyDescent="0.25">
      <c r="A1813" s="130">
        <v>44676</v>
      </c>
      <c r="B1813" s="107">
        <v>49.65</v>
      </c>
      <c r="C1813" s="107">
        <v>48.75</v>
      </c>
      <c r="D1813" s="107">
        <v>48.55</v>
      </c>
      <c r="E1813" s="107">
        <v>49.65</v>
      </c>
      <c r="F1813" s="107">
        <v>48.75</v>
      </c>
      <c r="G1813">
        <v>204354</v>
      </c>
      <c r="H1813" s="107"/>
      <c r="I1813" s="107"/>
      <c r="L1813" s="130">
        <v>44676</v>
      </c>
      <c r="M1813" s="107">
        <v>48.75</v>
      </c>
      <c r="N1813" s="107">
        <v>49.2</v>
      </c>
      <c r="O1813" s="107">
        <v>48.55</v>
      </c>
      <c r="P1813" s="107">
        <v>49</v>
      </c>
      <c r="Q1813" s="107">
        <v>48.75</v>
      </c>
      <c r="R1813">
        <v>1920086</v>
      </c>
    </row>
    <row r="1814" spans="1:18" x14ac:dyDescent="0.25">
      <c r="A1814" s="130">
        <v>44677</v>
      </c>
      <c r="B1814" s="107">
        <v>49.9</v>
      </c>
      <c r="C1814" s="107">
        <v>49.15</v>
      </c>
      <c r="D1814" s="107">
        <v>48.9</v>
      </c>
      <c r="E1814" s="107">
        <v>49.1</v>
      </c>
      <c r="F1814" s="107">
        <v>49.15</v>
      </c>
      <c r="G1814">
        <v>244746</v>
      </c>
      <c r="H1814" s="107"/>
      <c r="I1814" s="107"/>
      <c r="L1814" s="130">
        <v>44677</v>
      </c>
      <c r="M1814" s="107">
        <v>49.15</v>
      </c>
      <c r="N1814" s="107">
        <v>50</v>
      </c>
      <c r="O1814" s="107">
        <v>48.9</v>
      </c>
      <c r="P1814" s="107">
        <v>49.5</v>
      </c>
      <c r="Q1814" s="107">
        <v>49.15</v>
      </c>
      <c r="R1814">
        <v>2380972</v>
      </c>
    </row>
    <row r="1815" spans="1:18" x14ac:dyDescent="0.25">
      <c r="A1815" s="130">
        <v>44678</v>
      </c>
      <c r="B1815" s="107">
        <v>49.05</v>
      </c>
      <c r="C1815" s="107">
        <v>48.85</v>
      </c>
      <c r="D1815" s="107">
        <v>48.3</v>
      </c>
      <c r="E1815" s="107">
        <v>48.5</v>
      </c>
      <c r="F1815" s="107">
        <v>48.85</v>
      </c>
      <c r="G1815">
        <v>117835</v>
      </c>
      <c r="H1815" s="107"/>
      <c r="I1815" s="107"/>
      <c r="L1815" s="130">
        <v>44678</v>
      </c>
      <c r="M1815" s="107">
        <v>48.8</v>
      </c>
      <c r="N1815" s="107">
        <v>49.1</v>
      </c>
      <c r="O1815" s="107">
        <v>48.25</v>
      </c>
      <c r="P1815" s="107">
        <v>48.95</v>
      </c>
      <c r="Q1815" s="107">
        <v>48.8</v>
      </c>
      <c r="R1815">
        <v>1419803</v>
      </c>
    </row>
    <row r="1816" spans="1:18" x14ac:dyDescent="0.25">
      <c r="A1816" s="130">
        <v>44679</v>
      </c>
      <c r="B1816" s="107">
        <v>49.2</v>
      </c>
      <c r="C1816" s="107">
        <v>48.55</v>
      </c>
      <c r="D1816" s="107">
        <v>48.3</v>
      </c>
      <c r="E1816" s="107">
        <v>49.2</v>
      </c>
      <c r="F1816" s="107">
        <v>48.55</v>
      </c>
      <c r="G1816">
        <v>211857</v>
      </c>
      <c r="H1816" s="107"/>
      <c r="I1816" s="107"/>
      <c r="L1816" s="130">
        <v>44679</v>
      </c>
      <c r="M1816" s="107">
        <v>48.6</v>
      </c>
      <c r="N1816" s="107">
        <v>49.2</v>
      </c>
      <c r="O1816" s="107">
        <v>48.3</v>
      </c>
      <c r="P1816" s="107">
        <v>48.9</v>
      </c>
      <c r="Q1816" s="107">
        <v>48.6</v>
      </c>
      <c r="R1816">
        <v>1590974</v>
      </c>
    </row>
    <row r="1817" spans="1:18" x14ac:dyDescent="0.25">
      <c r="A1817" s="130">
        <v>44680</v>
      </c>
      <c r="B1817" s="107">
        <v>49.2</v>
      </c>
      <c r="C1817" s="107">
        <v>48.15</v>
      </c>
      <c r="D1817" s="107">
        <v>48</v>
      </c>
      <c r="E1817" s="107">
        <v>48.4</v>
      </c>
      <c r="F1817" s="107">
        <v>48.15</v>
      </c>
      <c r="G1817">
        <v>163337</v>
      </c>
      <c r="H1817" s="107"/>
      <c r="I1817" s="107"/>
      <c r="L1817" s="130">
        <v>44680</v>
      </c>
      <c r="M1817" s="107">
        <v>48.15</v>
      </c>
      <c r="N1817" s="107">
        <v>49.2</v>
      </c>
      <c r="O1817" s="107">
        <v>48</v>
      </c>
      <c r="P1817" s="107">
        <v>48.85</v>
      </c>
      <c r="Q1817" s="107">
        <v>48.15</v>
      </c>
      <c r="R1817">
        <v>2023278</v>
      </c>
    </row>
    <row r="1818" spans="1:18" x14ac:dyDescent="0.25">
      <c r="A1818" s="130">
        <v>44683</v>
      </c>
      <c r="B1818" s="107">
        <v>48.25</v>
      </c>
      <c r="C1818" s="107">
        <v>47.7</v>
      </c>
      <c r="D1818" s="107">
        <v>47.3</v>
      </c>
      <c r="E1818" s="107">
        <v>48.15</v>
      </c>
      <c r="F1818" s="107">
        <v>47.7</v>
      </c>
      <c r="G1818">
        <v>154349</v>
      </c>
      <c r="H1818" s="107"/>
      <c r="I1818" s="107"/>
      <c r="L1818" s="130">
        <v>44683</v>
      </c>
      <c r="M1818" s="107">
        <v>47.7</v>
      </c>
      <c r="N1818" s="107">
        <v>48.3</v>
      </c>
      <c r="O1818" s="107">
        <v>47.35</v>
      </c>
      <c r="P1818" s="107">
        <v>48.25</v>
      </c>
      <c r="Q1818" s="107">
        <v>47.7</v>
      </c>
      <c r="R1818">
        <v>1515510</v>
      </c>
    </row>
    <row r="1819" spans="1:18" x14ac:dyDescent="0.25">
      <c r="A1819" s="130">
        <v>44685</v>
      </c>
      <c r="B1819" s="107">
        <v>48.25</v>
      </c>
      <c r="C1819" s="107">
        <v>46.55</v>
      </c>
      <c r="D1819" s="107">
        <v>46.05</v>
      </c>
      <c r="E1819" s="107">
        <v>48.25</v>
      </c>
      <c r="F1819" s="107">
        <v>46.55</v>
      </c>
      <c r="G1819">
        <v>284484</v>
      </c>
      <c r="H1819" s="107"/>
      <c r="I1819" s="107"/>
      <c r="L1819" s="130">
        <v>44685</v>
      </c>
      <c r="M1819" s="107">
        <v>46.55</v>
      </c>
      <c r="N1819" s="107">
        <v>48.1</v>
      </c>
      <c r="O1819" s="107">
        <v>46</v>
      </c>
      <c r="P1819" s="107">
        <v>48</v>
      </c>
      <c r="Q1819" s="107">
        <v>46.55</v>
      </c>
      <c r="R1819">
        <v>2966841</v>
      </c>
    </row>
    <row r="1820" spans="1:18" x14ac:dyDescent="0.25">
      <c r="A1820" s="130">
        <v>44686</v>
      </c>
      <c r="B1820" s="107">
        <v>47.25</v>
      </c>
      <c r="C1820" s="107">
        <v>45.75</v>
      </c>
      <c r="D1820" s="107">
        <v>45.55</v>
      </c>
      <c r="E1820" s="107">
        <v>47.1</v>
      </c>
      <c r="F1820" s="107">
        <v>45.75</v>
      </c>
      <c r="G1820">
        <v>244475</v>
      </c>
      <c r="H1820" s="107"/>
      <c r="I1820" s="107"/>
      <c r="L1820" s="130">
        <v>44686</v>
      </c>
      <c r="M1820" s="107">
        <v>45.75</v>
      </c>
      <c r="N1820" s="107">
        <v>47.25</v>
      </c>
      <c r="O1820" s="107">
        <v>45.45</v>
      </c>
      <c r="P1820" s="107">
        <v>46.95</v>
      </c>
      <c r="Q1820" s="107">
        <v>45.75</v>
      </c>
      <c r="R1820">
        <v>2431280</v>
      </c>
    </row>
    <row r="1821" spans="1:18" x14ac:dyDescent="0.25">
      <c r="A1821" s="130">
        <v>44687</v>
      </c>
      <c r="B1821" s="107">
        <v>46.3</v>
      </c>
      <c r="C1821" s="107">
        <v>46.05</v>
      </c>
      <c r="D1821" s="107">
        <v>44.8</v>
      </c>
      <c r="E1821" s="107">
        <v>45.5</v>
      </c>
      <c r="F1821" s="107">
        <v>46.05</v>
      </c>
      <c r="G1821">
        <v>373853</v>
      </c>
      <c r="H1821" s="107"/>
      <c r="I1821" s="107"/>
      <c r="L1821" s="130">
        <v>44687</v>
      </c>
      <c r="M1821" s="107">
        <v>46</v>
      </c>
      <c r="N1821" s="107">
        <v>46.3</v>
      </c>
      <c r="O1821" s="107">
        <v>44.8</v>
      </c>
      <c r="P1821" s="107">
        <v>45.4</v>
      </c>
      <c r="Q1821" s="107">
        <v>46</v>
      </c>
      <c r="R1821">
        <v>2936589</v>
      </c>
    </row>
    <row r="1822" spans="1:18" x14ac:dyDescent="0.25">
      <c r="A1822" s="130">
        <v>44690</v>
      </c>
      <c r="B1822" s="107">
        <v>46.3</v>
      </c>
      <c r="C1822" s="107">
        <v>45.5</v>
      </c>
      <c r="D1822" s="107">
        <v>44.9</v>
      </c>
      <c r="E1822" s="107">
        <v>45.25</v>
      </c>
      <c r="F1822" s="107">
        <v>45.5</v>
      </c>
      <c r="G1822">
        <v>331788</v>
      </c>
      <c r="H1822" s="107"/>
      <c r="I1822" s="107"/>
      <c r="L1822" s="130">
        <v>44690</v>
      </c>
      <c r="M1822" s="107">
        <v>45.5</v>
      </c>
      <c r="N1822" s="107">
        <v>45.9</v>
      </c>
      <c r="O1822" s="107">
        <v>44.9</v>
      </c>
      <c r="P1822" s="107">
        <v>45.9</v>
      </c>
      <c r="Q1822" s="107">
        <v>45.5</v>
      </c>
      <c r="R1822">
        <v>2093620</v>
      </c>
    </row>
    <row r="1823" spans="1:18" x14ac:dyDescent="0.25">
      <c r="A1823" s="130">
        <v>44691</v>
      </c>
      <c r="B1823" s="107">
        <v>46</v>
      </c>
      <c r="C1823" s="107">
        <v>45.15</v>
      </c>
      <c r="D1823" s="107">
        <v>45</v>
      </c>
      <c r="E1823" s="107">
        <v>45.5</v>
      </c>
      <c r="F1823" s="107">
        <v>45.15</v>
      </c>
      <c r="G1823">
        <v>261073</v>
      </c>
      <c r="H1823" s="107"/>
      <c r="I1823" s="107"/>
      <c r="L1823" s="130">
        <v>44691</v>
      </c>
      <c r="M1823" s="107">
        <v>45.25</v>
      </c>
      <c r="N1823" s="107">
        <v>46.1</v>
      </c>
      <c r="O1823" s="107">
        <v>45</v>
      </c>
      <c r="P1823" s="107">
        <v>45.8</v>
      </c>
      <c r="Q1823" s="107">
        <v>45.25</v>
      </c>
      <c r="R1823">
        <v>2160619</v>
      </c>
    </row>
    <row r="1824" spans="1:18" x14ac:dyDescent="0.25">
      <c r="A1824" s="130">
        <v>44692</v>
      </c>
      <c r="B1824" s="107">
        <v>46.2</v>
      </c>
      <c r="C1824" s="107">
        <v>43.9</v>
      </c>
      <c r="D1824" s="107">
        <v>43.1</v>
      </c>
      <c r="E1824" s="107">
        <v>46.2</v>
      </c>
      <c r="F1824" s="107">
        <v>43.9</v>
      </c>
      <c r="G1824">
        <v>364368</v>
      </c>
      <c r="H1824" s="107"/>
      <c r="I1824" s="107"/>
      <c r="L1824" s="130">
        <v>44692</v>
      </c>
      <c r="M1824" s="107">
        <v>43.85</v>
      </c>
      <c r="N1824" s="107">
        <v>45.4</v>
      </c>
      <c r="O1824" s="107">
        <v>43.1</v>
      </c>
      <c r="P1824" s="107">
        <v>45.3</v>
      </c>
      <c r="Q1824" s="107">
        <v>43.85</v>
      </c>
      <c r="R1824">
        <v>3298635</v>
      </c>
    </row>
    <row r="1825" spans="1:18" x14ac:dyDescent="0.25">
      <c r="A1825" s="130">
        <v>44693</v>
      </c>
      <c r="B1825" s="107">
        <v>43.6</v>
      </c>
      <c r="C1825" s="107">
        <v>41</v>
      </c>
      <c r="D1825" s="107">
        <v>40.450000000000003</v>
      </c>
      <c r="E1825" s="107">
        <v>43.1</v>
      </c>
      <c r="F1825" s="107">
        <v>41</v>
      </c>
      <c r="G1825">
        <v>540764</v>
      </c>
      <c r="H1825" s="107"/>
      <c r="I1825" s="107"/>
      <c r="L1825" s="130">
        <v>44693</v>
      </c>
      <c r="M1825" s="107">
        <v>41</v>
      </c>
      <c r="N1825" s="107">
        <v>43.6</v>
      </c>
      <c r="O1825" s="107">
        <v>40.5</v>
      </c>
      <c r="P1825" s="107">
        <v>43.6</v>
      </c>
      <c r="Q1825" s="107">
        <v>41</v>
      </c>
      <c r="R1825">
        <v>4639508</v>
      </c>
    </row>
    <row r="1826" spans="1:18" x14ac:dyDescent="0.25">
      <c r="A1826" s="130">
        <v>44694</v>
      </c>
      <c r="B1826" s="107">
        <v>43.45</v>
      </c>
      <c r="C1826" s="107">
        <v>42.15</v>
      </c>
      <c r="D1826" s="107">
        <v>41.55</v>
      </c>
      <c r="E1826" s="107">
        <v>42.45</v>
      </c>
      <c r="F1826" s="107">
        <v>42.15</v>
      </c>
      <c r="G1826">
        <v>544689</v>
      </c>
      <c r="H1826" s="107"/>
      <c r="I1826" s="107"/>
      <c r="L1826" s="130">
        <v>44694</v>
      </c>
      <c r="M1826" s="107">
        <v>42.1</v>
      </c>
      <c r="N1826" s="107">
        <v>43.45</v>
      </c>
      <c r="O1826" s="107">
        <v>41.55</v>
      </c>
      <c r="P1826" s="107">
        <v>41.8</v>
      </c>
      <c r="Q1826" s="107">
        <v>42.1</v>
      </c>
      <c r="R1826">
        <v>3817134</v>
      </c>
    </row>
    <row r="1827" spans="1:18" x14ac:dyDescent="0.25">
      <c r="A1827" s="130">
        <v>44697</v>
      </c>
      <c r="B1827" s="107">
        <v>43.6</v>
      </c>
      <c r="C1827" s="107">
        <v>43.35</v>
      </c>
      <c r="D1827" s="107">
        <v>42.25</v>
      </c>
      <c r="E1827" s="107">
        <v>42.6</v>
      </c>
      <c r="F1827" s="107">
        <v>43.35</v>
      </c>
      <c r="G1827">
        <v>226034</v>
      </c>
      <c r="H1827" s="107"/>
      <c r="I1827" s="107"/>
      <c r="L1827" s="130">
        <v>44697</v>
      </c>
      <c r="M1827" s="107">
        <v>43.35</v>
      </c>
      <c r="N1827" s="107">
        <v>43.6</v>
      </c>
      <c r="O1827" s="107">
        <v>42.25</v>
      </c>
      <c r="P1827" s="107">
        <v>42.8</v>
      </c>
      <c r="Q1827" s="107">
        <v>43.35</v>
      </c>
      <c r="R1827">
        <v>2017686</v>
      </c>
    </row>
    <row r="1828" spans="1:18" x14ac:dyDescent="0.25">
      <c r="A1828" s="130">
        <v>44698</v>
      </c>
      <c r="B1828" s="107">
        <v>44.95</v>
      </c>
      <c r="C1828" s="107">
        <v>44.8</v>
      </c>
      <c r="D1828" s="107">
        <v>43.5</v>
      </c>
      <c r="E1828" s="107">
        <v>43.95</v>
      </c>
      <c r="F1828" s="107">
        <v>44.8</v>
      </c>
      <c r="G1828">
        <v>267449</v>
      </c>
      <c r="H1828" s="107"/>
      <c r="I1828" s="107"/>
      <c r="L1828" s="130">
        <v>44698</v>
      </c>
      <c r="M1828" s="107">
        <v>44.8</v>
      </c>
      <c r="N1828" s="107">
        <v>44.95</v>
      </c>
      <c r="O1828" s="107">
        <v>43.55</v>
      </c>
      <c r="P1828" s="107">
        <v>43.7</v>
      </c>
      <c r="Q1828" s="107">
        <v>44.8</v>
      </c>
      <c r="R1828">
        <v>1984117</v>
      </c>
    </row>
    <row r="1829" spans="1:18" x14ac:dyDescent="0.25">
      <c r="A1829" s="130">
        <v>44699</v>
      </c>
      <c r="B1829" s="107">
        <v>45.8</v>
      </c>
      <c r="C1829" s="107">
        <v>44.6</v>
      </c>
      <c r="D1829" s="107">
        <v>44.25</v>
      </c>
      <c r="E1829" s="107">
        <v>45.1</v>
      </c>
      <c r="F1829" s="107">
        <v>44.6</v>
      </c>
      <c r="G1829">
        <v>296201</v>
      </c>
      <c r="H1829" s="107"/>
      <c r="I1829" s="107"/>
      <c r="L1829" s="130">
        <v>44699</v>
      </c>
      <c r="M1829" s="107">
        <v>44.6</v>
      </c>
      <c r="N1829" s="107">
        <v>45.9</v>
      </c>
      <c r="O1829" s="107">
        <v>44.25</v>
      </c>
      <c r="P1829" s="107">
        <v>44.8</v>
      </c>
      <c r="Q1829" s="107">
        <v>44.6</v>
      </c>
      <c r="R1829">
        <v>2214315</v>
      </c>
    </row>
    <row r="1830" spans="1:18" x14ac:dyDescent="0.25">
      <c r="A1830" s="130">
        <v>44700</v>
      </c>
      <c r="B1830" s="107">
        <v>43.85</v>
      </c>
      <c r="C1830" s="107">
        <v>43.55</v>
      </c>
      <c r="D1830" s="107">
        <v>42.8</v>
      </c>
      <c r="E1830" s="107">
        <v>42.8</v>
      </c>
      <c r="F1830" s="107">
        <v>43.55</v>
      </c>
      <c r="G1830">
        <v>352812</v>
      </c>
      <c r="H1830" s="107"/>
      <c r="I1830" s="107"/>
      <c r="L1830" s="130">
        <v>44700</v>
      </c>
      <c r="M1830" s="107">
        <v>43.6</v>
      </c>
      <c r="N1830" s="107">
        <v>43.85</v>
      </c>
      <c r="O1830" s="107">
        <v>43.2</v>
      </c>
      <c r="P1830" s="107">
        <v>43.7</v>
      </c>
      <c r="Q1830" s="107">
        <v>43.6</v>
      </c>
      <c r="R1830">
        <v>1739318</v>
      </c>
    </row>
    <row r="1831" spans="1:18" x14ac:dyDescent="0.25">
      <c r="A1831" s="130">
        <v>44701</v>
      </c>
      <c r="B1831" s="107">
        <v>45.15</v>
      </c>
      <c r="C1831" s="107">
        <v>45</v>
      </c>
      <c r="D1831" s="107">
        <v>44.4</v>
      </c>
      <c r="E1831" s="107">
        <v>44.5</v>
      </c>
      <c r="F1831" s="107">
        <v>45</v>
      </c>
      <c r="G1831">
        <v>127825</v>
      </c>
      <c r="H1831" s="107"/>
      <c r="I1831" s="107"/>
      <c r="L1831" s="130">
        <v>44701</v>
      </c>
      <c r="M1831" s="107">
        <v>45.05</v>
      </c>
      <c r="N1831" s="107">
        <v>45.2</v>
      </c>
      <c r="O1831" s="107">
        <v>44.35</v>
      </c>
      <c r="P1831" s="107">
        <v>44.6</v>
      </c>
      <c r="Q1831" s="107">
        <v>45.05</v>
      </c>
      <c r="R1831">
        <v>1698052</v>
      </c>
    </row>
    <row r="1832" spans="1:18" x14ac:dyDescent="0.25">
      <c r="A1832" s="130">
        <v>44704</v>
      </c>
      <c r="B1832" s="107">
        <v>46.9</v>
      </c>
      <c r="C1832" s="107">
        <v>46.45</v>
      </c>
      <c r="D1832" s="107">
        <v>44.7</v>
      </c>
      <c r="E1832" s="107">
        <v>45.15</v>
      </c>
      <c r="F1832" s="107">
        <v>46.45</v>
      </c>
      <c r="G1832">
        <v>207664</v>
      </c>
      <c r="H1832" s="107"/>
      <c r="I1832" s="107"/>
      <c r="L1832" s="130">
        <v>44704</v>
      </c>
      <c r="M1832" s="107">
        <v>46.3</v>
      </c>
      <c r="N1832" s="107">
        <v>46.95</v>
      </c>
      <c r="O1832" s="107">
        <v>44.65</v>
      </c>
      <c r="P1832" s="107">
        <v>45.7</v>
      </c>
      <c r="Q1832" s="107">
        <v>46.3</v>
      </c>
      <c r="R1832">
        <v>2756798</v>
      </c>
    </row>
    <row r="1833" spans="1:18" x14ac:dyDescent="0.25">
      <c r="A1833" s="130">
        <v>44705</v>
      </c>
      <c r="B1833" s="107">
        <v>48.3</v>
      </c>
      <c r="C1833" s="107">
        <v>47.15</v>
      </c>
      <c r="D1833" s="107">
        <v>46</v>
      </c>
      <c r="E1833" s="107">
        <v>46.55</v>
      </c>
      <c r="F1833" s="107">
        <v>47.15</v>
      </c>
      <c r="G1833">
        <v>882942</v>
      </c>
      <c r="H1833" s="107"/>
      <c r="I1833" s="107"/>
      <c r="L1833" s="130">
        <v>44705</v>
      </c>
      <c r="M1833" s="107">
        <v>47.15</v>
      </c>
      <c r="N1833" s="107">
        <v>48.4</v>
      </c>
      <c r="O1833" s="107">
        <v>46</v>
      </c>
      <c r="P1833" s="107">
        <v>46.6</v>
      </c>
      <c r="Q1833" s="107">
        <v>47.15</v>
      </c>
      <c r="R1833">
        <v>9403078</v>
      </c>
    </row>
    <row r="1834" spans="1:18" x14ac:dyDescent="0.25">
      <c r="A1834" s="130">
        <v>44706</v>
      </c>
      <c r="B1834" s="107">
        <v>47.8</v>
      </c>
      <c r="C1834" s="107">
        <v>45.55</v>
      </c>
      <c r="D1834" s="107">
        <v>45.2</v>
      </c>
      <c r="E1834" s="107">
        <v>47.6</v>
      </c>
      <c r="F1834" s="107">
        <v>45.55</v>
      </c>
      <c r="G1834">
        <v>409019</v>
      </c>
      <c r="H1834" s="107"/>
      <c r="I1834" s="107"/>
      <c r="L1834" s="130">
        <v>44706</v>
      </c>
      <c r="M1834" s="107">
        <v>45.6</v>
      </c>
      <c r="N1834" s="107">
        <v>47.9</v>
      </c>
      <c r="O1834" s="107">
        <v>45</v>
      </c>
      <c r="P1834" s="107">
        <v>47.9</v>
      </c>
      <c r="Q1834" s="107">
        <v>45.6</v>
      </c>
      <c r="R1834">
        <v>3316371</v>
      </c>
    </row>
    <row r="1835" spans="1:18" x14ac:dyDescent="0.25">
      <c r="A1835" s="130">
        <v>44707</v>
      </c>
      <c r="B1835" s="107">
        <v>46.2</v>
      </c>
      <c r="C1835" s="107">
        <v>45.6</v>
      </c>
      <c r="D1835" s="107">
        <v>44.35</v>
      </c>
      <c r="E1835" s="107">
        <v>45.55</v>
      </c>
      <c r="F1835" s="107">
        <v>45.6</v>
      </c>
      <c r="G1835">
        <v>319110</v>
      </c>
      <c r="H1835" s="107"/>
      <c r="I1835" s="107"/>
      <c r="L1835" s="130">
        <v>44707</v>
      </c>
      <c r="M1835" s="107">
        <v>45.7</v>
      </c>
      <c r="N1835" s="107">
        <v>46.25</v>
      </c>
      <c r="O1835" s="107">
        <v>44.25</v>
      </c>
      <c r="P1835" s="107">
        <v>45.95</v>
      </c>
      <c r="Q1835" s="107">
        <v>45.7</v>
      </c>
      <c r="R1835">
        <v>3593193</v>
      </c>
    </row>
    <row r="1836" spans="1:18" x14ac:dyDescent="0.25">
      <c r="A1836" s="130">
        <v>44708</v>
      </c>
      <c r="B1836" s="107">
        <v>47.1</v>
      </c>
      <c r="C1836" s="107">
        <v>46.95</v>
      </c>
      <c r="D1836" s="107">
        <v>45.6</v>
      </c>
      <c r="E1836" s="107">
        <v>46.6</v>
      </c>
      <c r="F1836" s="107">
        <v>46.95</v>
      </c>
      <c r="G1836">
        <v>287703</v>
      </c>
      <c r="H1836" s="107"/>
      <c r="I1836" s="107"/>
      <c r="L1836" s="130">
        <v>44708</v>
      </c>
      <c r="M1836" s="107">
        <v>46.95</v>
      </c>
      <c r="N1836" s="107">
        <v>47.15</v>
      </c>
      <c r="O1836" s="107">
        <v>45.55</v>
      </c>
      <c r="P1836" s="107">
        <v>46.2</v>
      </c>
      <c r="Q1836" s="107">
        <v>46.95</v>
      </c>
      <c r="R1836">
        <v>3164732</v>
      </c>
    </row>
    <row r="1837" spans="1:18" x14ac:dyDescent="0.25">
      <c r="A1837" s="130">
        <v>44711</v>
      </c>
      <c r="B1837" s="107">
        <v>48.85</v>
      </c>
      <c r="C1837" s="107">
        <v>48.55</v>
      </c>
      <c r="D1837" s="107">
        <v>47</v>
      </c>
      <c r="E1837" s="107">
        <v>47</v>
      </c>
      <c r="F1837" s="107">
        <v>48.55</v>
      </c>
      <c r="G1837">
        <v>473544</v>
      </c>
      <c r="H1837" s="107"/>
      <c r="I1837" s="107"/>
      <c r="L1837" s="130">
        <v>44711</v>
      </c>
      <c r="M1837" s="107">
        <v>48.6</v>
      </c>
      <c r="N1837" s="107">
        <v>48.9</v>
      </c>
      <c r="O1837" s="107">
        <v>47.3</v>
      </c>
      <c r="P1837" s="107">
        <v>47.45</v>
      </c>
      <c r="Q1837" s="107">
        <v>48.6</v>
      </c>
      <c r="R1837">
        <v>3559557</v>
      </c>
    </row>
    <row r="1838" spans="1:18" x14ac:dyDescent="0.25">
      <c r="A1838" s="130">
        <v>44712</v>
      </c>
      <c r="B1838" s="107">
        <v>49.1</v>
      </c>
      <c r="C1838" s="107">
        <v>47.9</v>
      </c>
      <c r="D1838" s="107">
        <v>47.75</v>
      </c>
      <c r="E1838" s="107">
        <v>48.55</v>
      </c>
      <c r="F1838" s="107">
        <v>47.9</v>
      </c>
      <c r="G1838">
        <v>238531</v>
      </c>
      <c r="H1838" s="107"/>
      <c r="I1838" s="107"/>
      <c r="L1838" s="130">
        <v>44712</v>
      </c>
      <c r="M1838" s="107">
        <v>47.95</v>
      </c>
      <c r="N1838" s="107">
        <v>49.2</v>
      </c>
      <c r="O1838" s="107">
        <v>47.8</v>
      </c>
      <c r="P1838" s="107">
        <v>48.2</v>
      </c>
      <c r="Q1838" s="107">
        <v>47.95</v>
      </c>
      <c r="R1838">
        <v>2292211</v>
      </c>
    </row>
    <row r="1839" spans="1:18" x14ac:dyDescent="0.25">
      <c r="A1839" s="130">
        <v>44713</v>
      </c>
      <c r="B1839" s="107">
        <v>48.3</v>
      </c>
      <c r="C1839" s="107">
        <v>47.95</v>
      </c>
      <c r="D1839" s="107">
        <v>47.4</v>
      </c>
      <c r="E1839" s="107">
        <v>47.9</v>
      </c>
      <c r="F1839" s="107">
        <v>47.95</v>
      </c>
      <c r="G1839">
        <v>139327</v>
      </c>
      <c r="H1839" s="107"/>
      <c r="I1839" s="107"/>
      <c r="L1839" s="130">
        <v>44713</v>
      </c>
      <c r="M1839" s="107">
        <v>47.95</v>
      </c>
      <c r="N1839" s="107">
        <v>48.3</v>
      </c>
      <c r="O1839" s="107">
        <v>47.35</v>
      </c>
      <c r="P1839" s="107">
        <v>47.9</v>
      </c>
      <c r="Q1839" s="107">
        <v>47.95</v>
      </c>
      <c r="R1839">
        <v>1578253</v>
      </c>
    </row>
    <row r="1840" spans="1:18" x14ac:dyDescent="0.25">
      <c r="A1840" s="130">
        <v>44714</v>
      </c>
      <c r="B1840" s="107">
        <v>48.7</v>
      </c>
      <c r="C1840" s="107">
        <v>48.25</v>
      </c>
      <c r="D1840" s="107">
        <v>47.75</v>
      </c>
      <c r="E1840" s="107">
        <v>48.1</v>
      </c>
      <c r="F1840" s="107">
        <v>48.25</v>
      </c>
      <c r="G1840">
        <v>165442</v>
      </c>
      <c r="H1840" s="107"/>
      <c r="I1840" s="107"/>
      <c r="L1840" s="130">
        <v>44714</v>
      </c>
      <c r="M1840" s="107">
        <v>48.3</v>
      </c>
      <c r="N1840" s="107">
        <v>48.75</v>
      </c>
      <c r="O1840" s="107">
        <v>47.6</v>
      </c>
      <c r="P1840" s="107">
        <v>47.9</v>
      </c>
      <c r="Q1840" s="107">
        <v>48.3</v>
      </c>
      <c r="R1840">
        <v>2277858</v>
      </c>
    </row>
    <row r="1841" spans="1:18" x14ac:dyDescent="0.25">
      <c r="A1841" s="130">
        <v>44715</v>
      </c>
      <c r="B1841" s="107">
        <v>48.95</v>
      </c>
      <c r="C1841" s="107">
        <v>47.35</v>
      </c>
      <c r="D1841" s="107">
        <v>47.15</v>
      </c>
      <c r="E1841" s="107">
        <v>48.95</v>
      </c>
      <c r="F1841" s="107">
        <v>47.35</v>
      </c>
      <c r="G1841">
        <v>203227</v>
      </c>
      <c r="H1841" s="107"/>
      <c r="I1841" s="107"/>
      <c r="L1841" s="130">
        <v>44715</v>
      </c>
      <c r="M1841" s="107">
        <v>47.4</v>
      </c>
      <c r="N1841" s="107">
        <v>48.9</v>
      </c>
      <c r="O1841" s="107">
        <v>47.15</v>
      </c>
      <c r="P1841" s="107">
        <v>48.7</v>
      </c>
      <c r="Q1841" s="107">
        <v>47.4</v>
      </c>
      <c r="R1841">
        <v>2101572</v>
      </c>
    </row>
    <row r="1842" spans="1:18" x14ac:dyDescent="0.25">
      <c r="A1842" s="130">
        <v>44718</v>
      </c>
      <c r="B1842" s="107">
        <v>47.7</v>
      </c>
      <c r="C1842" s="107">
        <v>46.7</v>
      </c>
      <c r="D1842" s="107">
        <v>46.4</v>
      </c>
      <c r="E1842" s="107">
        <v>47.7</v>
      </c>
      <c r="F1842" s="107">
        <v>46.7</v>
      </c>
      <c r="G1842">
        <v>88881</v>
      </c>
      <c r="H1842" s="107"/>
      <c r="I1842" s="107"/>
      <c r="L1842" s="130">
        <v>44718</v>
      </c>
      <c r="M1842" s="107">
        <v>46.75</v>
      </c>
      <c r="N1842" s="107">
        <v>47.65</v>
      </c>
      <c r="O1842" s="107">
        <v>46.35</v>
      </c>
      <c r="P1842" s="107">
        <v>47.55</v>
      </c>
      <c r="Q1842" s="107">
        <v>46.75</v>
      </c>
      <c r="R1842">
        <v>1059376</v>
      </c>
    </row>
    <row r="1843" spans="1:18" x14ac:dyDescent="0.25">
      <c r="A1843" s="130">
        <v>44719</v>
      </c>
      <c r="B1843" s="107">
        <v>47.25</v>
      </c>
      <c r="C1843" s="107">
        <v>46.8</v>
      </c>
      <c r="D1843" s="107">
        <v>46</v>
      </c>
      <c r="E1843" s="107">
        <v>47.1</v>
      </c>
      <c r="F1843" s="107">
        <v>46.8</v>
      </c>
      <c r="G1843">
        <v>98076</v>
      </c>
      <c r="H1843" s="107"/>
      <c r="I1843" s="107"/>
      <c r="L1843" s="130">
        <v>44719</v>
      </c>
      <c r="M1843" s="107">
        <v>46.95</v>
      </c>
      <c r="N1843" s="107">
        <v>47.25</v>
      </c>
      <c r="O1843" s="107">
        <v>46.15</v>
      </c>
      <c r="P1843" s="107">
        <v>46.4</v>
      </c>
      <c r="Q1843" s="107">
        <v>46.95</v>
      </c>
      <c r="R1843">
        <v>1220243</v>
      </c>
    </row>
    <row r="1844" spans="1:18" x14ac:dyDescent="0.25">
      <c r="A1844" s="130">
        <v>44720</v>
      </c>
      <c r="B1844" s="107">
        <v>47.5</v>
      </c>
      <c r="C1844" s="107">
        <v>46.7</v>
      </c>
      <c r="D1844" s="107">
        <v>46.55</v>
      </c>
      <c r="E1844" s="107">
        <v>46.95</v>
      </c>
      <c r="F1844" s="107">
        <v>46.7</v>
      </c>
      <c r="G1844">
        <v>182212</v>
      </c>
      <c r="H1844" s="107"/>
      <c r="I1844" s="107"/>
      <c r="L1844" s="130">
        <v>44720</v>
      </c>
      <c r="M1844" s="107">
        <v>46.8</v>
      </c>
      <c r="N1844" s="107">
        <v>47.6</v>
      </c>
      <c r="O1844" s="107">
        <v>46.55</v>
      </c>
      <c r="P1844" s="107">
        <v>47.2</v>
      </c>
      <c r="Q1844" s="107">
        <v>46.8</v>
      </c>
      <c r="R1844">
        <v>1494680</v>
      </c>
    </row>
    <row r="1845" spans="1:18" x14ac:dyDescent="0.25">
      <c r="A1845" s="130">
        <v>44721</v>
      </c>
      <c r="B1845" s="107">
        <v>47.3</v>
      </c>
      <c r="C1845" s="107">
        <v>46.45</v>
      </c>
      <c r="D1845" s="107">
        <v>46.1</v>
      </c>
      <c r="E1845" s="107">
        <v>47.3</v>
      </c>
      <c r="F1845" s="107">
        <v>46.45</v>
      </c>
      <c r="G1845">
        <v>73501</v>
      </c>
      <c r="H1845" s="107"/>
      <c r="I1845" s="107"/>
      <c r="L1845" s="130">
        <v>44721</v>
      </c>
      <c r="M1845" s="107">
        <v>46.5</v>
      </c>
      <c r="N1845" s="107">
        <v>47</v>
      </c>
      <c r="O1845" s="107">
        <v>46.05</v>
      </c>
      <c r="P1845" s="107">
        <v>46.65</v>
      </c>
      <c r="Q1845" s="107">
        <v>46.5</v>
      </c>
      <c r="R1845">
        <v>1250659</v>
      </c>
    </row>
    <row r="1846" spans="1:18" x14ac:dyDescent="0.25">
      <c r="A1846" s="130">
        <v>44722</v>
      </c>
      <c r="B1846" s="107">
        <v>46.75</v>
      </c>
      <c r="C1846" s="107">
        <v>46.2</v>
      </c>
      <c r="D1846" s="107">
        <v>45.9</v>
      </c>
      <c r="E1846" s="107">
        <v>46</v>
      </c>
      <c r="F1846" s="107">
        <v>46.2</v>
      </c>
      <c r="G1846">
        <v>81444</v>
      </c>
      <c r="H1846" s="107"/>
      <c r="I1846" s="107"/>
      <c r="L1846" s="130">
        <v>44722</v>
      </c>
      <c r="M1846" s="107">
        <v>46.15</v>
      </c>
      <c r="N1846" s="107">
        <v>46.4</v>
      </c>
      <c r="O1846" s="107">
        <v>45.9</v>
      </c>
      <c r="P1846" s="107">
        <v>46.15</v>
      </c>
      <c r="Q1846" s="107">
        <v>46.15</v>
      </c>
      <c r="R1846">
        <v>1257265</v>
      </c>
    </row>
    <row r="1847" spans="1:18" x14ac:dyDescent="0.25">
      <c r="A1847" s="130">
        <v>44725</v>
      </c>
      <c r="B1847" s="107">
        <v>45.3</v>
      </c>
      <c r="C1847" s="107">
        <v>44.8</v>
      </c>
      <c r="D1847" s="107">
        <v>44.5</v>
      </c>
      <c r="E1847" s="107">
        <v>44.7</v>
      </c>
      <c r="F1847" s="107">
        <v>44.8</v>
      </c>
      <c r="G1847">
        <v>167987</v>
      </c>
      <c r="H1847" s="107"/>
      <c r="I1847" s="107"/>
      <c r="L1847" s="130">
        <v>44725</v>
      </c>
      <c r="M1847" s="107">
        <v>44.85</v>
      </c>
      <c r="N1847" s="107">
        <v>45.25</v>
      </c>
      <c r="O1847" s="107">
        <v>44.5</v>
      </c>
      <c r="P1847" s="107">
        <v>45.1</v>
      </c>
      <c r="Q1847" s="107">
        <v>44.85</v>
      </c>
      <c r="R1847">
        <v>1443357</v>
      </c>
    </row>
    <row r="1848" spans="1:18" x14ac:dyDescent="0.25">
      <c r="A1848" s="130">
        <v>44726</v>
      </c>
      <c r="B1848" s="107">
        <v>45.1</v>
      </c>
      <c r="C1848" s="107">
        <v>44.3</v>
      </c>
      <c r="D1848" s="107">
        <v>44</v>
      </c>
      <c r="E1848" s="107">
        <v>44.4</v>
      </c>
      <c r="F1848" s="107">
        <v>44.3</v>
      </c>
      <c r="G1848">
        <v>136526</v>
      </c>
      <c r="H1848" s="107"/>
      <c r="I1848" s="107"/>
      <c r="L1848" s="130">
        <v>44726</v>
      </c>
      <c r="M1848" s="107">
        <v>44.3</v>
      </c>
      <c r="N1848" s="107">
        <v>45.15</v>
      </c>
      <c r="O1848" s="107">
        <v>44</v>
      </c>
      <c r="P1848" s="107">
        <v>44</v>
      </c>
      <c r="Q1848" s="107">
        <v>44.3</v>
      </c>
      <c r="R1848">
        <v>1742941</v>
      </c>
    </row>
    <row r="1849" spans="1:18" x14ac:dyDescent="0.25">
      <c r="A1849" s="130">
        <v>44727</v>
      </c>
      <c r="B1849" s="107">
        <v>44.8</v>
      </c>
      <c r="C1849" s="107">
        <v>44.35</v>
      </c>
      <c r="D1849" s="107">
        <v>44.2</v>
      </c>
      <c r="E1849" s="107">
        <v>44.35</v>
      </c>
      <c r="F1849" s="107">
        <v>44.35</v>
      </c>
      <c r="G1849">
        <v>90962</v>
      </c>
      <c r="H1849" s="107"/>
      <c r="I1849" s="107"/>
      <c r="L1849" s="130">
        <v>44727</v>
      </c>
      <c r="M1849" s="107">
        <v>44.45</v>
      </c>
      <c r="N1849" s="107">
        <v>44.75</v>
      </c>
      <c r="O1849" s="107">
        <v>44.2</v>
      </c>
      <c r="P1849" s="107">
        <v>44.45</v>
      </c>
      <c r="Q1849" s="107">
        <v>44.45</v>
      </c>
      <c r="R1849">
        <v>972030</v>
      </c>
    </row>
    <row r="1850" spans="1:18" x14ac:dyDescent="0.25">
      <c r="A1850" s="130">
        <v>44728</v>
      </c>
      <c r="B1850" s="107">
        <v>45.25</v>
      </c>
      <c r="C1850" s="107">
        <v>42.4</v>
      </c>
      <c r="D1850" s="107">
        <v>42.15</v>
      </c>
      <c r="E1850" s="107">
        <v>45</v>
      </c>
      <c r="F1850" s="107">
        <v>42.4</v>
      </c>
      <c r="G1850">
        <v>289626</v>
      </c>
      <c r="H1850" s="107"/>
      <c r="I1850" s="107"/>
      <c r="L1850" s="130">
        <v>44728</v>
      </c>
      <c r="M1850" s="107">
        <v>42.45</v>
      </c>
      <c r="N1850" s="107">
        <v>45.25</v>
      </c>
      <c r="O1850" s="107">
        <v>42.1</v>
      </c>
      <c r="P1850" s="107">
        <v>45</v>
      </c>
      <c r="Q1850" s="107">
        <v>42.45</v>
      </c>
      <c r="R1850">
        <v>2138593</v>
      </c>
    </row>
    <row r="1851" spans="1:18" x14ac:dyDescent="0.25">
      <c r="A1851" s="130">
        <v>44729</v>
      </c>
      <c r="B1851" s="107">
        <v>42.8</v>
      </c>
      <c r="C1851" s="107">
        <v>41.7</v>
      </c>
      <c r="D1851" s="107">
        <v>40.799999999999997</v>
      </c>
      <c r="E1851" s="107">
        <v>42.4</v>
      </c>
      <c r="F1851" s="107">
        <v>41.7</v>
      </c>
      <c r="G1851">
        <v>198850</v>
      </c>
      <c r="H1851" s="107"/>
      <c r="I1851" s="107"/>
      <c r="L1851" s="130">
        <v>44729</v>
      </c>
      <c r="M1851" s="107">
        <v>41.65</v>
      </c>
      <c r="N1851" s="107">
        <v>42.85</v>
      </c>
      <c r="O1851" s="107">
        <v>40.799999999999997</v>
      </c>
      <c r="P1851" s="107">
        <v>42.25</v>
      </c>
      <c r="Q1851" s="107">
        <v>41.65</v>
      </c>
      <c r="R1851">
        <v>2110256</v>
      </c>
    </row>
    <row r="1852" spans="1:18" x14ac:dyDescent="0.25">
      <c r="A1852" s="130">
        <v>44732</v>
      </c>
      <c r="B1852" s="107">
        <v>42.4</v>
      </c>
      <c r="C1852" s="107">
        <v>41</v>
      </c>
      <c r="D1852" s="107">
        <v>40.4</v>
      </c>
      <c r="E1852" s="107">
        <v>41.7</v>
      </c>
      <c r="F1852" s="107">
        <v>41</v>
      </c>
      <c r="G1852">
        <v>300749</v>
      </c>
      <c r="H1852" s="107"/>
      <c r="I1852" s="107"/>
      <c r="L1852" s="130">
        <v>44732</v>
      </c>
      <c r="M1852" s="107">
        <v>41.05</v>
      </c>
      <c r="N1852" s="107">
        <v>42.1</v>
      </c>
      <c r="O1852" s="107">
        <v>40.4</v>
      </c>
      <c r="P1852" s="107">
        <v>41.9</v>
      </c>
      <c r="Q1852" s="107">
        <v>41.05</v>
      </c>
      <c r="R1852">
        <v>2040547</v>
      </c>
    </row>
    <row r="1853" spans="1:18" x14ac:dyDescent="0.25">
      <c r="A1853" s="130">
        <v>44733</v>
      </c>
      <c r="B1853" s="107">
        <v>42.75</v>
      </c>
      <c r="C1853" s="107">
        <v>42.5</v>
      </c>
      <c r="D1853" s="107">
        <v>41.45</v>
      </c>
      <c r="E1853" s="107">
        <v>41.8</v>
      </c>
      <c r="F1853" s="107">
        <v>42.5</v>
      </c>
      <c r="G1853">
        <v>207669</v>
      </c>
      <c r="H1853" s="107"/>
      <c r="I1853" s="107"/>
      <c r="L1853" s="130">
        <v>44733</v>
      </c>
      <c r="M1853" s="107">
        <v>42.45</v>
      </c>
      <c r="N1853" s="107">
        <v>42.8</v>
      </c>
      <c r="O1853" s="107">
        <v>41.5</v>
      </c>
      <c r="P1853" s="107">
        <v>41.5</v>
      </c>
      <c r="Q1853" s="107">
        <v>42.45</v>
      </c>
      <c r="R1853">
        <v>1798720</v>
      </c>
    </row>
    <row r="1854" spans="1:18" x14ac:dyDescent="0.25">
      <c r="A1854" s="130">
        <v>44734</v>
      </c>
      <c r="B1854" s="107">
        <v>44.4</v>
      </c>
      <c r="C1854" s="107">
        <v>44.05</v>
      </c>
      <c r="D1854" s="107">
        <v>41.5</v>
      </c>
      <c r="E1854" s="107">
        <v>42.5</v>
      </c>
      <c r="F1854" s="107">
        <v>44.05</v>
      </c>
      <c r="G1854">
        <v>466744</v>
      </c>
      <c r="H1854" s="107"/>
      <c r="I1854" s="107"/>
      <c r="L1854" s="130">
        <v>44734</v>
      </c>
      <c r="M1854" s="107">
        <v>44</v>
      </c>
      <c r="N1854" s="107">
        <v>44.4</v>
      </c>
      <c r="O1854" s="107">
        <v>41.4</v>
      </c>
      <c r="P1854" s="107">
        <v>42.4</v>
      </c>
      <c r="Q1854" s="107">
        <v>44</v>
      </c>
      <c r="R1854">
        <v>4711196</v>
      </c>
    </row>
    <row r="1855" spans="1:18" x14ac:dyDescent="0.25">
      <c r="A1855" s="130">
        <v>44735</v>
      </c>
      <c r="B1855" s="107">
        <v>44.5</v>
      </c>
      <c r="C1855" s="107">
        <v>43.8</v>
      </c>
      <c r="D1855" s="107">
        <v>42.75</v>
      </c>
      <c r="E1855" s="107">
        <v>44.5</v>
      </c>
      <c r="F1855" s="107">
        <v>43.8</v>
      </c>
      <c r="G1855">
        <v>218320</v>
      </c>
      <c r="H1855" s="107"/>
      <c r="I1855" s="107"/>
      <c r="L1855" s="130">
        <v>44735</v>
      </c>
      <c r="M1855" s="107">
        <v>43.9</v>
      </c>
      <c r="N1855" s="107">
        <v>44.6</v>
      </c>
      <c r="O1855" s="107">
        <v>42.75</v>
      </c>
      <c r="P1855" s="107">
        <v>44.6</v>
      </c>
      <c r="Q1855" s="107">
        <v>43.9</v>
      </c>
      <c r="R1855">
        <v>2306111</v>
      </c>
    </row>
    <row r="1856" spans="1:18" x14ac:dyDescent="0.25">
      <c r="A1856" s="130">
        <v>44736</v>
      </c>
      <c r="B1856" s="107">
        <v>45.9</v>
      </c>
      <c r="C1856" s="107">
        <v>45.5</v>
      </c>
      <c r="D1856" s="107">
        <v>43.95</v>
      </c>
      <c r="E1856" s="107">
        <v>44.5</v>
      </c>
      <c r="F1856" s="107">
        <v>45.5</v>
      </c>
      <c r="G1856">
        <v>174125</v>
      </c>
      <c r="H1856" s="107"/>
      <c r="I1856" s="107"/>
      <c r="L1856" s="130">
        <v>44736</v>
      </c>
      <c r="M1856" s="107">
        <v>45.5</v>
      </c>
      <c r="N1856" s="107">
        <v>46</v>
      </c>
      <c r="O1856" s="107">
        <v>43.95</v>
      </c>
      <c r="P1856" s="107">
        <v>44.05</v>
      </c>
      <c r="Q1856" s="107">
        <v>45.5</v>
      </c>
      <c r="R1856">
        <v>2295336</v>
      </c>
    </row>
    <row r="1857" spans="1:18" x14ac:dyDescent="0.25">
      <c r="A1857" s="130">
        <v>44739</v>
      </c>
      <c r="B1857" s="107">
        <v>46.5</v>
      </c>
      <c r="C1857" s="107">
        <v>45.5</v>
      </c>
      <c r="D1857" s="107">
        <v>45.25</v>
      </c>
      <c r="E1857" s="107">
        <v>45.6</v>
      </c>
      <c r="F1857" s="107">
        <v>45.5</v>
      </c>
      <c r="G1857">
        <v>151430</v>
      </c>
      <c r="H1857" s="107"/>
      <c r="I1857" s="107"/>
      <c r="L1857" s="130">
        <v>44739</v>
      </c>
      <c r="M1857" s="107">
        <v>45.55</v>
      </c>
      <c r="N1857" s="107">
        <v>46.6</v>
      </c>
      <c r="O1857" s="107">
        <v>45.15</v>
      </c>
      <c r="P1857" s="107">
        <v>46.5</v>
      </c>
      <c r="Q1857" s="107">
        <v>45.55</v>
      </c>
      <c r="R1857">
        <v>1299777</v>
      </c>
    </row>
    <row r="1858" spans="1:18" x14ac:dyDescent="0.25">
      <c r="A1858" s="130">
        <v>44740</v>
      </c>
      <c r="B1858" s="107">
        <v>45.5</v>
      </c>
      <c r="C1858" s="107">
        <v>44.95</v>
      </c>
      <c r="D1858" s="107">
        <v>44.6</v>
      </c>
      <c r="E1858" s="107">
        <v>45.5</v>
      </c>
      <c r="F1858" s="107">
        <v>44.95</v>
      </c>
      <c r="G1858">
        <v>315996</v>
      </c>
      <c r="H1858" s="107"/>
      <c r="I1858" s="107"/>
      <c r="L1858" s="130">
        <v>44740</v>
      </c>
      <c r="M1858" s="107">
        <v>44.9</v>
      </c>
      <c r="N1858" s="107">
        <v>45.55</v>
      </c>
      <c r="O1858" s="107">
        <v>44.6</v>
      </c>
      <c r="P1858" s="107">
        <v>45.4</v>
      </c>
      <c r="Q1858" s="107">
        <v>44.9</v>
      </c>
      <c r="R1858">
        <v>1271193</v>
      </c>
    </row>
    <row r="1859" spans="1:18" x14ac:dyDescent="0.25">
      <c r="A1859" s="130">
        <v>44741</v>
      </c>
      <c r="B1859" s="107">
        <v>44.9</v>
      </c>
      <c r="C1859" s="107">
        <v>44.1</v>
      </c>
      <c r="D1859" s="107">
        <v>44</v>
      </c>
      <c r="E1859" s="107">
        <v>44.85</v>
      </c>
      <c r="F1859" s="107">
        <v>44.1</v>
      </c>
      <c r="G1859">
        <v>144085</v>
      </c>
      <c r="H1859" s="107"/>
      <c r="I1859" s="107"/>
      <c r="L1859" s="130">
        <v>44741</v>
      </c>
      <c r="M1859" s="107">
        <v>44.1</v>
      </c>
      <c r="N1859" s="107">
        <v>44.9</v>
      </c>
      <c r="O1859" s="107">
        <v>44</v>
      </c>
      <c r="P1859" s="107">
        <v>44.7</v>
      </c>
      <c r="Q1859" s="107">
        <v>44.1</v>
      </c>
      <c r="R1859">
        <v>1358709</v>
      </c>
    </row>
    <row r="1860" spans="1:18" x14ac:dyDescent="0.25">
      <c r="A1860" s="130">
        <v>44742</v>
      </c>
      <c r="B1860" s="107">
        <v>44.7</v>
      </c>
      <c r="C1860" s="107">
        <v>44.35</v>
      </c>
      <c r="D1860" s="107">
        <v>44</v>
      </c>
      <c r="E1860" s="107">
        <v>44.2</v>
      </c>
      <c r="F1860" s="107">
        <v>44.35</v>
      </c>
      <c r="G1860">
        <v>123020</v>
      </c>
      <c r="H1860" s="107"/>
      <c r="I1860" s="107"/>
      <c r="L1860" s="130">
        <v>44742</v>
      </c>
      <c r="M1860" s="107">
        <v>44.35</v>
      </c>
      <c r="N1860" s="107">
        <v>44.8</v>
      </c>
      <c r="O1860" s="107">
        <v>44</v>
      </c>
      <c r="P1860" s="107">
        <v>44.1</v>
      </c>
      <c r="Q1860" s="107">
        <v>44.35</v>
      </c>
      <c r="R1860">
        <v>1149518</v>
      </c>
    </row>
    <row r="1861" spans="1:18" x14ac:dyDescent="0.25">
      <c r="A1861" s="130">
        <v>44743</v>
      </c>
      <c r="B1861" s="107">
        <v>44.95</v>
      </c>
      <c r="C1861" s="107">
        <v>44.7</v>
      </c>
      <c r="D1861" s="107">
        <v>43.9</v>
      </c>
      <c r="E1861" s="107">
        <v>44.3</v>
      </c>
      <c r="F1861" s="107">
        <v>44.7</v>
      </c>
      <c r="G1861">
        <v>106329</v>
      </c>
      <c r="H1861" s="107"/>
      <c r="I1861" s="107"/>
      <c r="L1861" s="130">
        <v>44743</v>
      </c>
      <c r="M1861" s="107">
        <v>44.75</v>
      </c>
      <c r="N1861" s="107">
        <v>45</v>
      </c>
      <c r="O1861" s="107">
        <v>43.9</v>
      </c>
      <c r="P1861" s="107">
        <v>44.2</v>
      </c>
      <c r="Q1861" s="107">
        <v>44.75</v>
      </c>
      <c r="R1861">
        <v>1053018</v>
      </c>
    </row>
    <row r="1862" spans="1:18" x14ac:dyDescent="0.25">
      <c r="A1862" s="130">
        <v>44746</v>
      </c>
      <c r="B1862" s="107">
        <v>45.95</v>
      </c>
      <c r="C1862" s="107">
        <v>45.8</v>
      </c>
      <c r="D1862" s="107">
        <v>44.7</v>
      </c>
      <c r="E1862" s="107">
        <v>44.7</v>
      </c>
      <c r="F1862" s="107">
        <v>45.8</v>
      </c>
      <c r="G1862">
        <v>165578</v>
      </c>
      <c r="H1862" s="107"/>
      <c r="I1862" s="107"/>
      <c r="L1862" s="130">
        <v>44746</v>
      </c>
      <c r="M1862" s="107">
        <v>45.65</v>
      </c>
      <c r="N1862" s="107">
        <v>45.9</v>
      </c>
      <c r="O1862" s="107">
        <v>44.75</v>
      </c>
      <c r="P1862" s="107">
        <v>44.9</v>
      </c>
      <c r="Q1862" s="107">
        <v>45.65</v>
      </c>
      <c r="R1862">
        <v>1497489</v>
      </c>
    </row>
    <row r="1863" spans="1:18" x14ac:dyDescent="0.25">
      <c r="A1863" s="130">
        <v>44747</v>
      </c>
      <c r="B1863" s="107">
        <v>46.35</v>
      </c>
      <c r="C1863" s="107">
        <v>45.8</v>
      </c>
      <c r="D1863" s="107">
        <v>45.65</v>
      </c>
      <c r="E1863" s="107">
        <v>46</v>
      </c>
      <c r="F1863" s="107">
        <v>45.8</v>
      </c>
      <c r="G1863">
        <v>191209</v>
      </c>
      <c r="H1863" s="107"/>
      <c r="I1863" s="107"/>
      <c r="L1863" s="130">
        <v>44747</v>
      </c>
      <c r="M1863" s="107">
        <v>45.85</v>
      </c>
      <c r="N1863" s="107">
        <v>46.35</v>
      </c>
      <c r="O1863" s="107">
        <v>45.7</v>
      </c>
      <c r="P1863" s="107">
        <v>46</v>
      </c>
      <c r="Q1863" s="107">
        <v>45.85</v>
      </c>
      <c r="R1863">
        <v>1429722</v>
      </c>
    </row>
    <row r="1864" spans="1:18" x14ac:dyDescent="0.25">
      <c r="A1864" s="130">
        <v>44748</v>
      </c>
      <c r="B1864" s="107">
        <v>46.95</v>
      </c>
      <c r="C1864" s="107">
        <v>46.6</v>
      </c>
      <c r="D1864" s="107">
        <v>45.55</v>
      </c>
      <c r="E1864" s="107">
        <v>46.2</v>
      </c>
      <c r="F1864" s="107">
        <v>46.6</v>
      </c>
      <c r="G1864">
        <v>115282</v>
      </c>
      <c r="H1864" s="107"/>
      <c r="I1864" s="107"/>
      <c r="L1864" s="130">
        <v>44748</v>
      </c>
      <c r="M1864" s="107">
        <v>46.65</v>
      </c>
      <c r="N1864" s="107">
        <v>47</v>
      </c>
      <c r="O1864" s="107">
        <v>45.5</v>
      </c>
      <c r="P1864" s="107">
        <v>45.85</v>
      </c>
      <c r="Q1864" s="107">
        <v>46.65</v>
      </c>
      <c r="R1864">
        <v>1725570</v>
      </c>
    </row>
    <row r="1865" spans="1:18" x14ac:dyDescent="0.25">
      <c r="A1865" s="130">
        <v>44749</v>
      </c>
      <c r="B1865" s="107">
        <v>46.6</v>
      </c>
      <c r="C1865" s="107">
        <v>46</v>
      </c>
      <c r="D1865" s="107">
        <v>45.4</v>
      </c>
      <c r="E1865" s="107">
        <v>45.6</v>
      </c>
      <c r="F1865" s="107">
        <v>46</v>
      </c>
      <c r="G1865">
        <v>158878</v>
      </c>
      <c r="H1865" s="107"/>
      <c r="I1865" s="107"/>
      <c r="L1865" s="130">
        <v>44749</v>
      </c>
      <c r="M1865" s="107">
        <v>46</v>
      </c>
      <c r="N1865" s="107">
        <v>46.6</v>
      </c>
      <c r="O1865" s="107">
        <v>45.4</v>
      </c>
      <c r="P1865" s="107">
        <v>45.6</v>
      </c>
      <c r="Q1865" s="107">
        <v>46</v>
      </c>
      <c r="R1865">
        <v>3191027</v>
      </c>
    </row>
    <row r="1866" spans="1:18" x14ac:dyDescent="0.25">
      <c r="A1866" s="130">
        <v>44750</v>
      </c>
      <c r="B1866" s="107">
        <v>46.35</v>
      </c>
      <c r="C1866" s="107">
        <v>45.65</v>
      </c>
      <c r="D1866" s="107">
        <v>45.25</v>
      </c>
      <c r="E1866" s="107">
        <v>46.2</v>
      </c>
      <c r="F1866" s="107">
        <v>45.65</v>
      </c>
      <c r="G1866">
        <v>127903</v>
      </c>
      <c r="H1866" s="107"/>
      <c r="I1866" s="107"/>
      <c r="L1866" s="130">
        <v>44750</v>
      </c>
      <c r="M1866" s="107">
        <v>45.75</v>
      </c>
      <c r="N1866" s="107">
        <v>46.4</v>
      </c>
      <c r="O1866" s="107">
        <v>45</v>
      </c>
      <c r="P1866" s="107">
        <v>46.25</v>
      </c>
      <c r="Q1866" s="107">
        <v>45.75</v>
      </c>
      <c r="R1866">
        <v>1557552</v>
      </c>
    </row>
    <row r="1867" spans="1:18" x14ac:dyDescent="0.25">
      <c r="A1867" s="130">
        <v>44753</v>
      </c>
      <c r="B1867" s="107">
        <v>46.75</v>
      </c>
      <c r="C1867" s="107">
        <v>46.5</v>
      </c>
      <c r="D1867" s="107">
        <v>45.25</v>
      </c>
      <c r="E1867" s="107">
        <v>45.3</v>
      </c>
      <c r="F1867" s="107">
        <v>46.5</v>
      </c>
      <c r="G1867">
        <v>163468</v>
      </c>
      <c r="H1867" s="107"/>
      <c r="I1867" s="107"/>
      <c r="L1867" s="130">
        <v>44753</v>
      </c>
      <c r="M1867" s="107">
        <v>46.5</v>
      </c>
      <c r="N1867" s="107">
        <v>46.7</v>
      </c>
      <c r="O1867" s="107">
        <v>45.15</v>
      </c>
      <c r="P1867" s="107">
        <v>45.5</v>
      </c>
      <c r="Q1867" s="107">
        <v>46.5</v>
      </c>
      <c r="R1867">
        <v>2423291</v>
      </c>
    </row>
    <row r="1868" spans="1:18" x14ac:dyDescent="0.25">
      <c r="A1868" s="130">
        <v>44754</v>
      </c>
      <c r="B1868" s="107">
        <v>46.7</v>
      </c>
      <c r="C1868" s="107">
        <v>46.5</v>
      </c>
      <c r="D1868" s="107">
        <v>45.8</v>
      </c>
      <c r="E1868" s="107">
        <v>46.15</v>
      </c>
      <c r="F1868" s="107">
        <v>46.5</v>
      </c>
      <c r="G1868">
        <v>174100</v>
      </c>
      <c r="H1868" s="107"/>
      <c r="I1868" s="107"/>
      <c r="L1868" s="130">
        <v>44754</v>
      </c>
      <c r="M1868" s="107">
        <v>46.5</v>
      </c>
      <c r="N1868" s="107">
        <v>46.7</v>
      </c>
      <c r="O1868" s="107">
        <v>45.8</v>
      </c>
      <c r="P1868" s="107">
        <v>46.5</v>
      </c>
      <c r="Q1868" s="107">
        <v>46.5</v>
      </c>
      <c r="R1868">
        <v>2124174</v>
      </c>
    </row>
    <row r="1869" spans="1:18" x14ac:dyDescent="0.25">
      <c r="A1869" s="130">
        <v>44755</v>
      </c>
      <c r="B1869" s="107">
        <v>47.05</v>
      </c>
      <c r="C1869" s="107">
        <v>46.05</v>
      </c>
      <c r="D1869" s="107">
        <v>45.9</v>
      </c>
      <c r="E1869" s="107">
        <v>46.85</v>
      </c>
      <c r="F1869" s="107">
        <v>46.05</v>
      </c>
      <c r="G1869">
        <v>210532</v>
      </c>
      <c r="H1869" s="107"/>
      <c r="I1869" s="107"/>
      <c r="L1869" s="130">
        <v>44755</v>
      </c>
      <c r="M1869" s="107">
        <v>46.15</v>
      </c>
      <c r="N1869" s="107">
        <v>47.1</v>
      </c>
      <c r="O1869" s="107">
        <v>45.9</v>
      </c>
      <c r="P1869" s="107">
        <v>46.9</v>
      </c>
      <c r="Q1869" s="107">
        <v>46.15</v>
      </c>
      <c r="R1869">
        <v>1980793</v>
      </c>
    </row>
    <row r="1870" spans="1:18" x14ac:dyDescent="0.25">
      <c r="A1870" s="130">
        <v>44756</v>
      </c>
      <c r="B1870" s="107">
        <v>46.55</v>
      </c>
      <c r="C1870" s="107">
        <v>45.65</v>
      </c>
      <c r="D1870" s="107">
        <v>45.3</v>
      </c>
      <c r="E1870" s="107">
        <v>46.5</v>
      </c>
      <c r="F1870" s="107">
        <v>45.65</v>
      </c>
      <c r="G1870">
        <v>78258</v>
      </c>
      <c r="H1870" s="107"/>
      <c r="I1870" s="107"/>
      <c r="L1870" s="130">
        <v>44756</v>
      </c>
      <c r="M1870" s="107">
        <v>45.75</v>
      </c>
      <c r="N1870" s="107">
        <v>46.75</v>
      </c>
      <c r="O1870" s="107">
        <v>45.3</v>
      </c>
      <c r="P1870" s="107">
        <v>46.2</v>
      </c>
      <c r="Q1870" s="107">
        <v>45.75</v>
      </c>
      <c r="R1870">
        <v>1208839</v>
      </c>
    </row>
    <row r="1871" spans="1:18" x14ac:dyDescent="0.25">
      <c r="A1871" s="130">
        <v>44757</v>
      </c>
      <c r="B1871" s="107">
        <v>45.95</v>
      </c>
      <c r="C1871" s="107">
        <v>45.55</v>
      </c>
      <c r="D1871" s="107">
        <v>45.1</v>
      </c>
      <c r="E1871" s="107">
        <v>45.95</v>
      </c>
      <c r="F1871" s="107">
        <v>45.55</v>
      </c>
      <c r="G1871">
        <v>48104</v>
      </c>
      <c r="H1871" s="107"/>
      <c r="I1871" s="107"/>
      <c r="L1871" s="130">
        <v>44757</v>
      </c>
      <c r="M1871" s="107">
        <v>45.6</v>
      </c>
      <c r="N1871" s="107">
        <v>46</v>
      </c>
      <c r="O1871" s="107">
        <v>45.1</v>
      </c>
      <c r="P1871" s="107">
        <v>46</v>
      </c>
      <c r="Q1871" s="107">
        <v>45.6</v>
      </c>
      <c r="R1871">
        <v>790116</v>
      </c>
    </row>
    <row r="1872" spans="1:18" x14ac:dyDescent="0.25">
      <c r="A1872" s="130">
        <v>44760</v>
      </c>
      <c r="B1872" s="107">
        <v>47.3</v>
      </c>
      <c r="C1872" s="107">
        <v>46.95</v>
      </c>
      <c r="D1872" s="107">
        <v>45.8</v>
      </c>
      <c r="E1872" s="107">
        <v>46.2</v>
      </c>
      <c r="F1872" s="107">
        <v>46.95</v>
      </c>
      <c r="G1872">
        <v>224659</v>
      </c>
      <c r="H1872" s="107"/>
      <c r="I1872" s="107"/>
      <c r="L1872" s="130">
        <v>44760</v>
      </c>
      <c r="M1872" s="107">
        <v>46.9</v>
      </c>
      <c r="N1872" s="107">
        <v>47.3</v>
      </c>
      <c r="O1872" s="107">
        <v>45.8</v>
      </c>
      <c r="P1872" s="107">
        <v>46</v>
      </c>
      <c r="Q1872" s="107">
        <v>46.9</v>
      </c>
      <c r="R1872">
        <v>3021071</v>
      </c>
    </row>
    <row r="1873" spans="1:18" x14ac:dyDescent="0.25">
      <c r="A1873" s="130">
        <v>44761</v>
      </c>
      <c r="B1873" s="107">
        <v>47.5</v>
      </c>
      <c r="C1873" s="107">
        <v>47.35</v>
      </c>
      <c r="D1873" s="107">
        <v>46.7</v>
      </c>
      <c r="E1873" s="107">
        <v>46.95</v>
      </c>
      <c r="F1873" s="107">
        <v>47.35</v>
      </c>
      <c r="G1873">
        <v>224994</v>
      </c>
      <c r="H1873" s="107"/>
      <c r="I1873" s="107"/>
      <c r="L1873" s="130">
        <v>44761</v>
      </c>
      <c r="M1873" s="107">
        <v>47.4</v>
      </c>
      <c r="N1873" s="107">
        <v>47.55</v>
      </c>
      <c r="O1873" s="107">
        <v>46.7</v>
      </c>
      <c r="P1873" s="107">
        <v>46.9</v>
      </c>
      <c r="Q1873" s="107">
        <v>47.4</v>
      </c>
      <c r="R1873">
        <v>2337191</v>
      </c>
    </row>
    <row r="1874" spans="1:18" x14ac:dyDescent="0.25">
      <c r="A1874" s="130">
        <v>44762</v>
      </c>
      <c r="B1874" s="107">
        <v>48.2</v>
      </c>
      <c r="C1874" s="107">
        <v>47.95</v>
      </c>
      <c r="D1874" s="107">
        <v>47.4</v>
      </c>
      <c r="E1874" s="107">
        <v>47.4</v>
      </c>
      <c r="F1874" s="107">
        <v>47.95</v>
      </c>
      <c r="G1874">
        <v>185799</v>
      </c>
      <c r="H1874" s="107"/>
      <c r="I1874" s="107"/>
      <c r="L1874" s="130">
        <v>44762</v>
      </c>
      <c r="M1874" s="107">
        <v>48</v>
      </c>
      <c r="N1874" s="107">
        <v>48.3</v>
      </c>
      <c r="O1874" s="107">
        <v>47.55</v>
      </c>
      <c r="P1874" s="107">
        <v>48</v>
      </c>
      <c r="Q1874" s="107">
        <v>48</v>
      </c>
      <c r="R1874">
        <v>2736221</v>
      </c>
    </row>
    <row r="1875" spans="1:18" x14ac:dyDescent="0.25">
      <c r="A1875" s="130">
        <v>44763</v>
      </c>
      <c r="B1875" s="107">
        <v>49.65</v>
      </c>
      <c r="C1875" s="107">
        <v>49.15</v>
      </c>
      <c r="D1875" s="107">
        <v>47.55</v>
      </c>
      <c r="E1875" s="107">
        <v>47.95</v>
      </c>
      <c r="F1875" s="107">
        <v>49.15</v>
      </c>
      <c r="G1875">
        <v>277832</v>
      </c>
      <c r="H1875" s="107"/>
      <c r="I1875" s="107"/>
      <c r="L1875" s="130">
        <v>44763</v>
      </c>
      <c r="M1875" s="107">
        <v>49.15</v>
      </c>
      <c r="N1875" s="107">
        <v>49.65</v>
      </c>
      <c r="O1875" s="107">
        <v>47.6</v>
      </c>
      <c r="P1875" s="107">
        <v>47.95</v>
      </c>
      <c r="Q1875" s="107">
        <v>49.15</v>
      </c>
      <c r="R1875">
        <v>4096964</v>
      </c>
    </row>
    <row r="1876" spans="1:18" x14ac:dyDescent="0.25">
      <c r="A1876" s="130">
        <v>44764</v>
      </c>
      <c r="B1876" s="107">
        <v>49.8</v>
      </c>
      <c r="C1876" s="107">
        <v>49.05</v>
      </c>
      <c r="D1876" s="107">
        <v>48.7</v>
      </c>
      <c r="E1876" s="107">
        <v>49.2</v>
      </c>
      <c r="F1876" s="107">
        <v>49.05</v>
      </c>
      <c r="G1876">
        <v>292414</v>
      </c>
      <c r="H1876" s="107"/>
      <c r="I1876" s="107"/>
      <c r="L1876" s="130">
        <v>44764</v>
      </c>
      <c r="M1876" s="107">
        <v>49.05</v>
      </c>
      <c r="N1876" s="107">
        <v>49.9</v>
      </c>
      <c r="O1876" s="107">
        <v>48.7</v>
      </c>
      <c r="P1876" s="107">
        <v>49.25</v>
      </c>
      <c r="Q1876" s="107">
        <v>49.05</v>
      </c>
      <c r="R1876">
        <v>2748317</v>
      </c>
    </row>
    <row r="1877" spans="1:18" x14ac:dyDescent="0.25">
      <c r="A1877" s="130">
        <v>44767</v>
      </c>
      <c r="B1877" s="107">
        <v>49.05</v>
      </c>
      <c r="C1877" s="107">
        <v>48.25</v>
      </c>
      <c r="D1877" s="107">
        <v>48.05</v>
      </c>
      <c r="E1877" s="107">
        <v>48.8</v>
      </c>
      <c r="F1877" s="107">
        <v>48.25</v>
      </c>
      <c r="G1877">
        <v>179879</v>
      </c>
      <c r="H1877" s="107"/>
      <c r="I1877" s="107"/>
      <c r="L1877" s="130">
        <v>44767</v>
      </c>
      <c r="M1877" s="107">
        <v>48.25</v>
      </c>
      <c r="N1877" s="107">
        <v>49.05</v>
      </c>
      <c r="O1877" s="107">
        <v>48.05</v>
      </c>
      <c r="P1877" s="107">
        <v>49.05</v>
      </c>
      <c r="Q1877" s="107">
        <v>48.25</v>
      </c>
      <c r="R1877">
        <v>1583087</v>
      </c>
    </row>
    <row r="1878" spans="1:18" x14ac:dyDescent="0.25">
      <c r="A1878" s="130">
        <v>44768</v>
      </c>
      <c r="B1878" s="107">
        <v>48.25</v>
      </c>
      <c r="C1878" s="107">
        <v>46.45</v>
      </c>
      <c r="D1878" s="107">
        <v>46.15</v>
      </c>
      <c r="E1878" s="107">
        <v>48</v>
      </c>
      <c r="F1878" s="107">
        <v>46.45</v>
      </c>
      <c r="G1878">
        <v>222459</v>
      </c>
      <c r="H1878" s="107"/>
      <c r="I1878" s="107"/>
      <c r="L1878" s="130">
        <v>44768</v>
      </c>
      <c r="M1878" s="107">
        <v>46.45</v>
      </c>
      <c r="N1878" s="107">
        <v>48.4</v>
      </c>
      <c r="O1878" s="107">
        <v>46.2</v>
      </c>
      <c r="P1878" s="107">
        <v>48.25</v>
      </c>
      <c r="Q1878" s="107">
        <v>46.45</v>
      </c>
      <c r="R1878">
        <v>2774840</v>
      </c>
    </row>
    <row r="1879" spans="1:18" x14ac:dyDescent="0.25">
      <c r="A1879" s="130">
        <v>44769</v>
      </c>
      <c r="B1879" s="107">
        <v>48.4</v>
      </c>
      <c r="C1879" s="107">
        <v>48.05</v>
      </c>
      <c r="D1879" s="107">
        <v>46.15</v>
      </c>
      <c r="E1879" s="107">
        <v>46.15</v>
      </c>
      <c r="F1879" s="107">
        <v>48.05</v>
      </c>
      <c r="G1879">
        <v>340860</v>
      </c>
      <c r="H1879" s="107"/>
      <c r="I1879" s="107"/>
      <c r="L1879" s="130">
        <v>44769</v>
      </c>
      <c r="M1879" s="107">
        <v>48.05</v>
      </c>
      <c r="N1879" s="107">
        <v>48.5</v>
      </c>
      <c r="O1879" s="107">
        <v>46.3</v>
      </c>
      <c r="P1879" s="107">
        <v>46.5</v>
      </c>
      <c r="Q1879" s="107">
        <v>48.05</v>
      </c>
      <c r="R1879">
        <v>2848851</v>
      </c>
    </row>
    <row r="1880" spans="1:18" x14ac:dyDescent="0.25">
      <c r="A1880" s="130">
        <v>44770</v>
      </c>
      <c r="B1880" s="107">
        <v>48.7</v>
      </c>
      <c r="C1880" s="107">
        <v>48.05</v>
      </c>
      <c r="D1880" s="107">
        <v>47.7</v>
      </c>
      <c r="E1880" s="107">
        <v>48.5</v>
      </c>
      <c r="F1880" s="107">
        <v>48.05</v>
      </c>
      <c r="G1880">
        <v>200183</v>
      </c>
      <c r="H1880" s="107"/>
      <c r="I1880" s="107"/>
      <c r="L1880" s="130">
        <v>44770</v>
      </c>
      <c r="M1880" s="107">
        <v>48</v>
      </c>
      <c r="N1880" s="107">
        <v>48.7</v>
      </c>
      <c r="O1880" s="107">
        <v>47.65</v>
      </c>
      <c r="P1880" s="107">
        <v>48.2</v>
      </c>
      <c r="Q1880" s="107">
        <v>48</v>
      </c>
      <c r="R1880">
        <v>2010471</v>
      </c>
    </row>
    <row r="1881" spans="1:18" x14ac:dyDescent="0.25">
      <c r="A1881" s="130">
        <v>44771</v>
      </c>
      <c r="B1881" s="107">
        <v>48.65</v>
      </c>
      <c r="C1881" s="107">
        <v>47.7</v>
      </c>
      <c r="D1881" s="107">
        <v>47.6</v>
      </c>
      <c r="E1881" s="107">
        <v>48.15</v>
      </c>
      <c r="F1881" s="107">
        <v>47.7</v>
      </c>
      <c r="G1881">
        <v>252024</v>
      </c>
      <c r="H1881" s="107"/>
      <c r="I1881" s="107"/>
      <c r="L1881" s="130">
        <v>44771</v>
      </c>
      <c r="M1881" s="107">
        <v>47.7</v>
      </c>
      <c r="N1881" s="107">
        <v>48.7</v>
      </c>
      <c r="O1881" s="107">
        <v>47.5</v>
      </c>
      <c r="P1881" s="107">
        <v>48.2</v>
      </c>
      <c r="Q1881" s="107">
        <v>47.7</v>
      </c>
      <c r="R1881">
        <v>2128517</v>
      </c>
    </row>
    <row r="1882" spans="1:18" x14ac:dyDescent="0.25">
      <c r="A1882" s="130">
        <v>44774</v>
      </c>
      <c r="B1882" s="107">
        <v>49.3</v>
      </c>
      <c r="C1882" s="107">
        <v>49.1</v>
      </c>
      <c r="D1882" s="107">
        <v>47.55</v>
      </c>
      <c r="E1882" s="107">
        <v>47.95</v>
      </c>
      <c r="F1882" s="107">
        <v>49.1</v>
      </c>
      <c r="G1882">
        <v>316329</v>
      </c>
      <c r="H1882" s="107"/>
      <c r="I1882" s="107"/>
      <c r="L1882" s="130">
        <v>44774</v>
      </c>
      <c r="M1882" s="107">
        <v>49.15</v>
      </c>
      <c r="N1882" s="107">
        <v>49.4</v>
      </c>
      <c r="O1882" s="107">
        <v>47.5</v>
      </c>
      <c r="P1882" s="107">
        <v>47.95</v>
      </c>
      <c r="Q1882" s="107">
        <v>49.15</v>
      </c>
      <c r="R1882">
        <v>3184117</v>
      </c>
    </row>
    <row r="1883" spans="1:18" x14ac:dyDescent="0.25">
      <c r="A1883" s="130">
        <v>44775</v>
      </c>
      <c r="B1883" s="107">
        <v>52</v>
      </c>
      <c r="C1883" s="107">
        <v>50.4</v>
      </c>
      <c r="D1883" s="107">
        <v>48.8</v>
      </c>
      <c r="E1883" s="107">
        <v>49.25</v>
      </c>
      <c r="F1883" s="107">
        <v>50.4</v>
      </c>
      <c r="G1883">
        <v>1111030</v>
      </c>
      <c r="H1883" s="107"/>
      <c r="I1883" s="107"/>
      <c r="L1883" s="130">
        <v>44775</v>
      </c>
      <c r="M1883" s="107">
        <v>50.4</v>
      </c>
      <c r="N1883" s="107">
        <v>52</v>
      </c>
      <c r="O1883" s="107">
        <v>48.6</v>
      </c>
      <c r="P1883" s="107">
        <v>48.95</v>
      </c>
      <c r="Q1883" s="107">
        <v>50.4</v>
      </c>
      <c r="R1883">
        <v>16733540</v>
      </c>
    </row>
    <row r="1884" spans="1:18" x14ac:dyDescent="0.25">
      <c r="A1884" s="130">
        <v>44776</v>
      </c>
      <c r="B1884" s="107">
        <v>50.4</v>
      </c>
      <c r="C1884" s="107">
        <v>49.25</v>
      </c>
      <c r="D1884" s="107">
        <v>48.8</v>
      </c>
      <c r="E1884" s="107">
        <v>50.4</v>
      </c>
      <c r="F1884" s="107">
        <v>49.25</v>
      </c>
      <c r="G1884">
        <v>307986</v>
      </c>
      <c r="H1884" s="107"/>
      <c r="I1884" s="107"/>
      <c r="L1884" s="130">
        <v>44776</v>
      </c>
      <c r="M1884" s="107">
        <v>49.3</v>
      </c>
      <c r="N1884" s="107">
        <v>50.2</v>
      </c>
      <c r="O1884" s="107">
        <v>48.85</v>
      </c>
      <c r="P1884" s="107">
        <v>50.05</v>
      </c>
      <c r="Q1884" s="107">
        <v>49.3</v>
      </c>
      <c r="R1884">
        <v>3324877</v>
      </c>
    </row>
    <row r="1885" spans="1:18" x14ac:dyDescent="0.25">
      <c r="A1885" s="130">
        <v>44777</v>
      </c>
      <c r="B1885" s="107">
        <v>50</v>
      </c>
      <c r="C1885" s="107">
        <v>48.7</v>
      </c>
      <c r="D1885" s="107">
        <v>48.1</v>
      </c>
      <c r="E1885" s="107">
        <v>49.8</v>
      </c>
      <c r="F1885" s="107">
        <v>48.7</v>
      </c>
      <c r="G1885">
        <v>185949</v>
      </c>
      <c r="H1885" s="107"/>
      <c r="I1885" s="107"/>
      <c r="L1885" s="130">
        <v>44777</v>
      </c>
      <c r="M1885" s="107">
        <v>48.75</v>
      </c>
      <c r="N1885" s="107">
        <v>50</v>
      </c>
      <c r="O1885" s="107">
        <v>48.1</v>
      </c>
      <c r="P1885" s="107">
        <v>49.5</v>
      </c>
      <c r="Q1885" s="107">
        <v>48.75</v>
      </c>
      <c r="R1885">
        <v>3217118</v>
      </c>
    </row>
    <row r="1886" spans="1:18" x14ac:dyDescent="0.25">
      <c r="A1886" s="130">
        <v>44778</v>
      </c>
      <c r="B1886" s="107">
        <v>49.45</v>
      </c>
      <c r="C1886" s="107">
        <v>48.8</v>
      </c>
      <c r="D1886" s="107">
        <v>48.35</v>
      </c>
      <c r="E1886" s="107">
        <v>49.1</v>
      </c>
      <c r="F1886" s="107">
        <v>48.8</v>
      </c>
      <c r="G1886">
        <v>152432</v>
      </c>
      <c r="H1886" s="107"/>
      <c r="I1886" s="107"/>
      <c r="L1886" s="130">
        <v>44778</v>
      </c>
      <c r="M1886" s="107">
        <v>48.75</v>
      </c>
      <c r="N1886" s="107">
        <v>49.5</v>
      </c>
      <c r="O1886" s="107">
        <v>48.3</v>
      </c>
      <c r="P1886" s="107">
        <v>49.2</v>
      </c>
      <c r="Q1886" s="107">
        <v>48.75</v>
      </c>
      <c r="R1886">
        <v>2595425</v>
      </c>
    </row>
    <row r="1887" spans="1:18" x14ac:dyDescent="0.25">
      <c r="A1887" s="130">
        <v>44781</v>
      </c>
      <c r="B1887" s="107">
        <v>49.2</v>
      </c>
      <c r="C1887" s="107">
        <v>48.65</v>
      </c>
      <c r="D1887" s="107">
        <v>48.25</v>
      </c>
      <c r="E1887" s="107">
        <v>49</v>
      </c>
      <c r="F1887" s="107">
        <v>48.65</v>
      </c>
      <c r="G1887">
        <v>118498</v>
      </c>
      <c r="H1887" s="107"/>
      <c r="I1887" s="107"/>
      <c r="L1887" s="130">
        <v>44781</v>
      </c>
      <c r="M1887" s="107">
        <v>48.65</v>
      </c>
      <c r="N1887" s="107">
        <v>49.25</v>
      </c>
      <c r="O1887" s="107">
        <v>48.25</v>
      </c>
      <c r="P1887" s="107">
        <v>48.75</v>
      </c>
      <c r="Q1887" s="107">
        <v>48.65</v>
      </c>
      <c r="R1887">
        <v>1433148</v>
      </c>
    </row>
    <row r="1888" spans="1:18" x14ac:dyDescent="0.25">
      <c r="A1888" s="130">
        <v>44783</v>
      </c>
      <c r="B1888" s="107">
        <v>48.95</v>
      </c>
      <c r="C1888" s="107">
        <v>48.2</v>
      </c>
      <c r="D1888" s="107">
        <v>48</v>
      </c>
      <c r="E1888" s="107">
        <v>48.95</v>
      </c>
      <c r="F1888" s="107">
        <v>48.2</v>
      </c>
      <c r="G1888">
        <v>155450</v>
      </c>
      <c r="H1888" s="107"/>
      <c r="I1888" s="107"/>
      <c r="L1888" s="130">
        <v>44783</v>
      </c>
      <c r="M1888" s="107">
        <v>48.3</v>
      </c>
      <c r="N1888" s="107">
        <v>48.95</v>
      </c>
      <c r="O1888" s="107">
        <v>48.05</v>
      </c>
      <c r="P1888" s="107">
        <v>48.7</v>
      </c>
      <c r="Q1888" s="107">
        <v>48.3</v>
      </c>
      <c r="R1888">
        <v>1320089</v>
      </c>
    </row>
    <row r="1889" spans="1:18" x14ac:dyDescent="0.25">
      <c r="A1889" s="130">
        <v>44784</v>
      </c>
      <c r="B1889" s="107">
        <v>49.7</v>
      </c>
      <c r="C1889" s="107">
        <v>49</v>
      </c>
      <c r="D1889" s="107">
        <v>48.3</v>
      </c>
      <c r="E1889" s="107">
        <v>48.3</v>
      </c>
      <c r="F1889" s="107">
        <v>49</v>
      </c>
      <c r="G1889">
        <v>147713</v>
      </c>
      <c r="H1889" s="107"/>
      <c r="I1889" s="107"/>
      <c r="L1889" s="130">
        <v>44784</v>
      </c>
      <c r="M1889" s="107">
        <v>49.1</v>
      </c>
      <c r="N1889" s="107">
        <v>49.7</v>
      </c>
      <c r="O1889" s="107">
        <v>48.6</v>
      </c>
      <c r="P1889" s="107">
        <v>48.8</v>
      </c>
      <c r="Q1889" s="107">
        <v>49.1</v>
      </c>
      <c r="R1889">
        <v>3035252</v>
      </c>
    </row>
    <row r="1890" spans="1:18" x14ac:dyDescent="0.25">
      <c r="A1890" s="130">
        <v>44785</v>
      </c>
      <c r="B1890" s="107">
        <v>49.75</v>
      </c>
      <c r="C1890" s="107">
        <v>49.25</v>
      </c>
      <c r="D1890" s="107">
        <v>49</v>
      </c>
      <c r="E1890" s="107">
        <v>49.75</v>
      </c>
      <c r="F1890" s="107">
        <v>49.25</v>
      </c>
      <c r="G1890">
        <v>144675</v>
      </c>
      <c r="H1890" s="107"/>
      <c r="I1890" s="107"/>
      <c r="L1890" s="130">
        <v>44785</v>
      </c>
      <c r="M1890" s="107">
        <v>49.25</v>
      </c>
      <c r="N1890" s="107">
        <v>49.7</v>
      </c>
      <c r="O1890" s="107">
        <v>48.9</v>
      </c>
      <c r="P1890" s="107">
        <v>49.2</v>
      </c>
      <c r="Q1890" s="107">
        <v>49.25</v>
      </c>
      <c r="R1890">
        <v>2103438</v>
      </c>
    </row>
    <row r="1891" spans="1:18" x14ac:dyDescent="0.25">
      <c r="A1891" s="130">
        <v>44789</v>
      </c>
      <c r="B1891" s="107">
        <v>49.7</v>
      </c>
      <c r="C1891" s="107">
        <v>49.1</v>
      </c>
      <c r="D1891" s="107">
        <v>48.85</v>
      </c>
      <c r="E1891" s="107">
        <v>49.3</v>
      </c>
      <c r="F1891" s="107">
        <v>49.1</v>
      </c>
      <c r="G1891">
        <v>188847</v>
      </c>
      <c r="H1891" s="107"/>
      <c r="I1891" s="107"/>
      <c r="L1891" s="130">
        <v>44789</v>
      </c>
      <c r="M1891" s="107">
        <v>49.1</v>
      </c>
      <c r="N1891" s="107">
        <v>49.8</v>
      </c>
      <c r="O1891" s="107">
        <v>48.8</v>
      </c>
      <c r="P1891" s="107">
        <v>49.7</v>
      </c>
      <c r="Q1891" s="107">
        <v>49.1</v>
      </c>
      <c r="R1891">
        <v>2116380</v>
      </c>
    </row>
    <row r="1892" spans="1:18" x14ac:dyDescent="0.25">
      <c r="A1892" s="130">
        <v>44790</v>
      </c>
      <c r="B1892" s="107">
        <v>51.1</v>
      </c>
      <c r="C1892" s="107">
        <v>50.55</v>
      </c>
      <c r="D1892" s="107">
        <v>49.05</v>
      </c>
      <c r="E1892" s="107">
        <v>49.05</v>
      </c>
      <c r="F1892" s="107">
        <v>50.55</v>
      </c>
      <c r="G1892">
        <v>488030</v>
      </c>
      <c r="H1892" s="107"/>
      <c r="I1892" s="107"/>
      <c r="L1892" s="130">
        <v>44790</v>
      </c>
      <c r="M1892" s="107">
        <v>50.6</v>
      </c>
      <c r="N1892" s="107">
        <v>51.1</v>
      </c>
      <c r="O1892" s="107">
        <v>49.2</v>
      </c>
      <c r="P1892" s="107">
        <v>49.25</v>
      </c>
      <c r="Q1892" s="107">
        <v>50.6</v>
      </c>
      <c r="R1892">
        <v>4163085</v>
      </c>
    </row>
    <row r="1893" spans="1:18" x14ac:dyDescent="0.25">
      <c r="A1893" s="130">
        <v>44791</v>
      </c>
      <c r="B1893" s="107">
        <v>51.65</v>
      </c>
      <c r="C1893" s="107">
        <v>50.95</v>
      </c>
      <c r="D1893" s="107">
        <v>50.2</v>
      </c>
      <c r="E1893" s="107">
        <v>50.6</v>
      </c>
      <c r="F1893" s="107">
        <v>50.95</v>
      </c>
      <c r="G1893">
        <v>255779</v>
      </c>
      <c r="H1893" s="107"/>
      <c r="I1893" s="107"/>
      <c r="L1893" s="130">
        <v>44791</v>
      </c>
      <c r="M1893" s="107">
        <v>50.9</v>
      </c>
      <c r="N1893" s="107">
        <v>51.7</v>
      </c>
      <c r="O1893" s="107">
        <v>50.1</v>
      </c>
      <c r="P1893" s="107">
        <v>50.5</v>
      </c>
      <c r="Q1893" s="107">
        <v>50.9</v>
      </c>
      <c r="R1893">
        <v>4653861</v>
      </c>
    </row>
    <row r="1894" spans="1:18" x14ac:dyDescent="0.25">
      <c r="A1894" s="130">
        <v>44792</v>
      </c>
      <c r="B1894" s="107">
        <v>51.55</v>
      </c>
      <c r="C1894" s="107">
        <v>49.85</v>
      </c>
      <c r="D1894" s="107">
        <v>49.6</v>
      </c>
      <c r="E1894" s="107">
        <v>51.05</v>
      </c>
      <c r="F1894" s="107">
        <v>49.85</v>
      </c>
      <c r="G1894">
        <v>324333</v>
      </c>
      <c r="H1894" s="107"/>
      <c r="I1894" s="107"/>
      <c r="L1894" s="130">
        <v>44792</v>
      </c>
      <c r="M1894" s="107">
        <v>49.85</v>
      </c>
      <c r="N1894" s="107">
        <v>51.6</v>
      </c>
      <c r="O1894" s="107">
        <v>49.5</v>
      </c>
      <c r="P1894" s="107">
        <v>51.4</v>
      </c>
      <c r="Q1894" s="107">
        <v>49.85</v>
      </c>
      <c r="R1894">
        <v>2839285</v>
      </c>
    </row>
    <row r="1895" spans="1:18" x14ac:dyDescent="0.25">
      <c r="A1895" s="130">
        <v>44795</v>
      </c>
      <c r="B1895" s="107">
        <v>49.55</v>
      </c>
      <c r="C1895" s="107">
        <v>48.7</v>
      </c>
      <c r="D1895" s="107">
        <v>48.5</v>
      </c>
      <c r="E1895" s="107">
        <v>49.55</v>
      </c>
      <c r="F1895" s="107">
        <v>48.7</v>
      </c>
      <c r="G1895">
        <v>208101</v>
      </c>
      <c r="H1895" s="107"/>
      <c r="I1895" s="107"/>
      <c r="L1895" s="130">
        <v>44795</v>
      </c>
      <c r="M1895" s="107">
        <v>48.75</v>
      </c>
      <c r="N1895" s="107">
        <v>49.8</v>
      </c>
      <c r="O1895" s="107">
        <v>48.6</v>
      </c>
      <c r="P1895" s="107">
        <v>49.75</v>
      </c>
      <c r="Q1895" s="107">
        <v>48.75</v>
      </c>
      <c r="R1895">
        <v>1570820</v>
      </c>
    </row>
    <row r="1896" spans="1:18" x14ac:dyDescent="0.25">
      <c r="A1896" s="130">
        <v>44796</v>
      </c>
      <c r="B1896" s="107">
        <v>49.15</v>
      </c>
      <c r="C1896" s="107">
        <v>49</v>
      </c>
      <c r="D1896" s="107">
        <v>48.35</v>
      </c>
      <c r="E1896" s="107">
        <v>48.7</v>
      </c>
      <c r="F1896" s="107">
        <v>49</v>
      </c>
      <c r="G1896">
        <v>106469</v>
      </c>
      <c r="H1896" s="107"/>
      <c r="I1896" s="107"/>
      <c r="L1896" s="130">
        <v>44796</v>
      </c>
      <c r="M1896" s="107">
        <v>49</v>
      </c>
      <c r="N1896" s="107">
        <v>49.15</v>
      </c>
      <c r="O1896" s="107">
        <v>48.3</v>
      </c>
      <c r="P1896" s="107">
        <v>48.5</v>
      </c>
      <c r="Q1896" s="107">
        <v>49</v>
      </c>
      <c r="R1896">
        <v>1918402</v>
      </c>
    </row>
    <row r="1897" spans="1:18" x14ac:dyDescent="0.25">
      <c r="A1897" s="130">
        <v>44797</v>
      </c>
      <c r="B1897" s="107">
        <v>49.8</v>
      </c>
      <c r="C1897" s="107">
        <v>49.5</v>
      </c>
      <c r="D1897" s="107">
        <v>48.65</v>
      </c>
      <c r="E1897" s="107">
        <v>48.65</v>
      </c>
      <c r="F1897" s="107">
        <v>49.5</v>
      </c>
      <c r="G1897">
        <v>208761</v>
      </c>
      <c r="H1897" s="107"/>
      <c r="I1897" s="107"/>
      <c r="L1897" s="130">
        <v>44797</v>
      </c>
      <c r="M1897" s="107">
        <v>49.55</v>
      </c>
      <c r="N1897" s="107">
        <v>49.85</v>
      </c>
      <c r="O1897" s="107">
        <v>48.75</v>
      </c>
      <c r="P1897" s="107">
        <v>48.9</v>
      </c>
      <c r="Q1897" s="107">
        <v>49.55</v>
      </c>
      <c r="R1897">
        <v>1752669</v>
      </c>
    </row>
    <row r="1898" spans="1:18" x14ac:dyDescent="0.25">
      <c r="A1898" s="130">
        <v>44798</v>
      </c>
      <c r="B1898" s="107">
        <v>52.3</v>
      </c>
      <c r="C1898" s="107">
        <v>51.7</v>
      </c>
      <c r="D1898" s="107">
        <v>49.25</v>
      </c>
      <c r="E1898" s="107">
        <v>49.25</v>
      </c>
      <c r="F1898" s="107">
        <v>51.7</v>
      </c>
      <c r="G1898">
        <v>622981</v>
      </c>
      <c r="H1898" s="107"/>
      <c r="I1898" s="107"/>
      <c r="L1898" s="130">
        <v>44798</v>
      </c>
      <c r="M1898" s="107">
        <v>51.65</v>
      </c>
      <c r="N1898" s="107">
        <v>52.4</v>
      </c>
      <c r="O1898" s="107">
        <v>49.75</v>
      </c>
      <c r="P1898" s="107">
        <v>49.95</v>
      </c>
      <c r="Q1898" s="107">
        <v>51.65</v>
      </c>
      <c r="R1898">
        <v>9369040</v>
      </c>
    </row>
    <row r="1899" spans="1:18" x14ac:dyDescent="0.25">
      <c r="A1899" s="130">
        <v>44799</v>
      </c>
      <c r="B1899" s="107">
        <v>53.15</v>
      </c>
      <c r="C1899" s="107">
        <v>51.85</v>
      </c>
      <c r="D1899" s="107">
        <v>51.6</v>
      </c>
      <c r="E1899" s="107">
        <v>52</v>
      </c>
      <c r="F1899" s="107">
        <v>51.85</v>
      </c>
      <c r="G1899">
        <v>600695</v>
      </c>
      <c r="H1899" s="107"/>
      <c r="I1899" s="107"/>
      <c r="L1899" s="130">
        <v>44799</v>
      </c>
      <c r="M1899" s="107">
        <v>51.9</v>
      </c>
      <c r="N1899" s="107">
        <v>53.2</v>
      </c>
      <c r="O1899" s="107">
        <v>51.6</v>
      </c>
      <c r="P1899" s="107">
        <v>52</v>
      </c>
      <c r="Q1899" s="107">
        <v>51.9</v>
      </c>
      <c r="R1899">
        <v>4897072</v>
      </c>
    </row>
    <row r="1900" spans="1:18" x14ac:dyDescent="0.25">
      <c r="A1900" s="130">
        <v>44802</v>
      </c>
      <c r="B1900" s="107">
        <v>51.4</v>
      </c>
      <c r="C1900" s="107">
        <v>50.9</v>
      </c>
      <c r="D1900" s="107">
        <v>50.05</v>
      </c>
      <c r="E1900" s="107">
        <v>50.95</v>
      </c>
      <c r="F1900" s="107">
        <v>50.9</v>
      </c>
      <c r="G1900">
        <v>140928</v>
      </c>
      <c r="H1900" s="107"/>
      <c r="I1900" s="107"/>
      <c r="L1900" s="130">
        <v>44802</v>
      </c>
      <c r="M1900" s="107">
        <v>50.9</v>
      </c>
      <c r="N1900" s="107">
        <v>51.4</v>
      </c>
      <c r="O1900" s="107">
        <v>50</v>
      </c>
      <c r="P1900" s="107">
        <v>50.7</v>
      </c>
      <c r="Q1900" s="107">
        <v>50.9</v>
      </c>
      <c r="R1900">
        <v>2230074</v>
      </c>
    </row>
    <row r="1901" spans="1:18" x14ac:dyDescent="0.25">
      <c r="A1901" s="130">
        <v>44803</v>
      </c>
      <c r="B1901" s="107">
        <v>52.15</v>
      </c>
      <c r="C1901" s="107">
        <v>51.85</v>
      </c>
      <c r="D1901" s="107">
        <v>50.9</v>
      </c>
      <c r="E1901" s="107">
        <v>50.9</v>
      </c>
      <c r="F1901" s="107">
        <v>51.85</v>
      </c>
      <c r="G1901">
        <v>259850</v>
      </c>
      <c r="H1901" s="107"/>
      <c r="I1901" s="107"/>
      <c r="L1901" s="130">
        <v>44803</v>
      </c>
      <c r="M1901" s="107">
        <v>51.9</v>
      </c>
      <c r="N1901" s="107">
        <v>52.2</v>
      </c>
      <c r="O1901" s="107">
        <v>51.2</v>
      </c>
      <c r="P1901" s="107">
        <v>51.4</v>
      </c>
      <c r="Q1901" s="107">
        <v>51.9</v>
      </c>
      <c r="R1901">
        <v>2617837</v>
      </c>
    </row>
    <row r="1902" spans="1:18" x14ac:dyDescent="0.25">
      <c r="A1902" s="130">
        <v>44805</v>
      </c>
      <c r="B1902" s="107">
        <v>52.7</v>
      </c>
      <c r="C1902" s="107">
        <v>51.65</v>
      </c>
      <c r="D1902" s="107">
        <v>51.35</v>
      </c>
      <c r="E1902" s="107">
        <v>51.9</v>
      </c>
      <c r="F1902" s="107">
        <v>51.65</v>
      </c>
      <c r="G1902">
        <v>245247</v>
      </c>
      <c r="H1902" s="107"/>
      <c r="I1902" s="107"/>
      <c r="L1902" s="130">
        <v>44805</v>
      </c>
      <c r="M1902" s="107">
        <v>51.6</v>
      </c>
      <c r="N1902" s="107">
        <v>52.7</v>
      </c>
      <c r="O1902" s="107">
        <v>51.35</v>
      </c>
      <c r="P1902" s="107">
        <v>51.55</v>
      </c>
      <c r="Q1902" s="107">
        <v>51.6</v>
      </c>
      <c r="R1902">
        <v>2919668</v>
      </c>
    </row>
    <row r="1903" spans="1:18" x14ac:dyDescent="0.25">
      <c r="A1903" s="130">
        <v>44806</v>
      </c>
      <c r="B1903" s="107">
        <v>52.25</v>
      </c>
      <c r="C1903" s="107">
        <v>50.9</v>
      </c>
      <c r="D1903" s="107">
        <v>50.7</v>
      </c>
      <c r="E1903" s="107">
        <v>51.9</v>
      </c>
      <c r="F1903" s="107">
        <v>50.9</v>
      </c>
      <c r="G1903">
        <v>255646</v>
      </c>
      <c r="H1903" s="107"/>
      <c r="I1903" s="107"/>
      <c r="L1903" s="130">
        <v>44806</v>
      </c>
      <c r="M1903" s="107">
        <v>50.9</v>
      </c>
      <c r="N1903" s="107">
        <v>52.2</v>
      </c>
      <c r="O1903" s="107">
        <v>50.65</v>
      </c>
      <c r="P1903" s="107">
        <v>51.9</v>
      </c>
      <c r="Q1903" s="107">
        <v>50.9</v>
      </c>
      <c r="R1903">
        <v>1944978</v>
      </c>
    </row>
    <row r="1904" spans="1:18" x14ac:dyDescent="0.25">
      <c r="A1904" s="130">
        <v>44809</v>
      </c>
      <c r="B1904" s="107">
        <v>51.8</v>
      </c>
      <c r="C1904" s="107">
        <v>50.9</v>
      </c>
      <c r="D1904" s="107">
        <v>50.55</v>
      </c>
      <c r="E1904" s="107">
        <v>50.55</v>
      </c>
      <c r="F1904" s="107">
        <v>50.9</v>
      </c>
      <c r="G1904">
        <v>281900</v>
      </c>
      <c r="H1904" s="107"/>
      <c r="I1904" s="107"/>
      <c r="L1904" s="130">
        <v>44809</v>
      </c>
      <c r="M1904" s="107">
        <v>50.9</v>
      </c>
      <c r="N1904" s="107">
        <v>51.8</v>
      </c>
      <c r="O1904" s="107">
        <v>50.6</v>
      </c>
      <c r="P1904" s="107">
        <v>50.9</v>
      </c>
      <c r="Q1904" s="107">
        <v>50.9</v>
      </c>
      <c r="R1904">
        <v>3405749</v>
      </c>
    </row>
    <row r="1905" spans="1:18" x14ac:dyDescent="0.25">
      <c r="A1905" s="130">
        <v>44810</v>
      </c>
      <c r="B1905" s="107">
        <v>51.9</v>
      </c>
      <c r="C1905" s="107">
        <v>51</v>
      </c>
      <c r="D1905" s="107">
        <v>50.55</v>
      </c>
      <c r="E1905" s="107">
        <v>50.95</v>
      </c>
      <c r="F1905" s="107">
        <v>51</v>
      </c>
      <c r="G1905">
        <v>329591</v>
      </c>
      <c r="H1905" s="107"/>
      <c r="I1905" s="107"/>
      <c r="L1905" s="130">
        <v>44810</v>
      </c>
      <c r="M1905" s="107">
        <v>51</v>
      </c>
      <c r="N1905" s="107">
        <v>51.95</v>
      </c>
      <c r="O1905" s="107">
        <v>50.55</v>
      </c>
      <c r="P1905" s="107">
        <v>51.3</v>
      </c>
      <c r="Q1905" s="107">
        <v>51</v>
      </c>
      <c r="R1905">
        <v>4416307</v>
      </c>
    </row>
    <row r="1906" spans="1:18" x14ac:dyDescent="0.25">
      <c r="A1906" s="130">
        <v>44811</v>
      </c>
      <c r="B1906" s="107">
        <v>51.5</v>
      </c>
      <c r="C1906" s="107">
        <v>51.2</v>
      </c>
      <c r="D1906" s="107">
        <v>50.6</v>
      </c>
      <c r="E1906" s="107">
        <v>50.9</v>
      </c>
      <c r="F1906" s="107">
        <v>51.2</v>
      </c>
      <c r="G1906">
        <v>208957</v>
      </c>
      <c r="H1906" s="107"/>
      <c r="I1906" s="107"/>
      <c r="L1906" s="130">
        <v>44811</v>
      </c>
      <c r="M1906" s="107">
        <v>51.2</v>
      </c>
      <c r="N1906" s="107">
        <v>51.45</v>
      </c>
      <c r="O1906" s="107">
        <v>50.6</v>
      </c>
      <c r="P1906" s="107">
        <v>50.7</v>
      </c>
      <c r="Q1906" s="107">
        <v>51.2</v>
      </c>
      <c r="R1906">
        <v>2631352</v>
      </c>
    </row>
    <row r="1907" spans="1:18" x14ac:dyDescent="0.25">
      <c r="A1907" s="130">
        <v>44812</v>
      </c>
      <c r="B1907" s="107">
        <v>52.95</v>
      </c>
      <c r="C1907" s="107">
        <v>52.6</v>
      </c>
      <c r="D1907" s="107">
        <v>51.55</v>
      </c>
      <c r="E1907" s="107">
        <v>51.55</v>
      </c>
      <c r="F1907" s="107">
        <v>52.6</v>
      </c>
      <c r="G1907">
        <v>773423</v>
      </c>
      <c r="H1907" s="107"/>
      <c r="I1907" s="107"/>
      <c r="L1907" s="130">
        <v>44812</v>
      </c>
      <c r="M1907" s="107">
        <v>52.6</v>
      </c>
      <c r="N1907" s="107">
        <v>53</v>
      </c>
      <c r="O1907" s="107">
        <v>51.5</v>
      </c>
      <c r="P1907" s="107">
        <v>51.7</v>
      </c>
      <c r="Q1907" s="107">
        <v>52.6</v>
      </c>
      <c r="R1907">
        <v>7345847</v>
      </c>
    </row>
    <row r="1908" spans="1:18" x14ac:dyDescent="0.25">
      <c r="A1908" s="130">
        <v>44813</v>
      </c>
      <c r="B1908" s="107">
        <v>53.35</v>
      </c>
      <c r="C1908" s="107">
        <v>52</v>
      </c>
      <c r="D1908" s="107">
        <v>51.75</v>
      </c>
      <c r="E1908" s="107">
        <v>52.75</v>
      </c>
      <c r="F1908" s="107">
        <v>52</v>
      </c>
      <c r="G1908">
        <v>483179</v>
      </c>
      <c r="H1908" s="107"/>
      <c r="I1908" s="107"/>
      <c r="L1908" s="130">
        <v>44813</v>
      </c>
      <c r="M1908" s="107">
        <v>52.05</v>
      </c>
      <c r="N1908" s="107">
        <v>53.4</v>
      </c>
      <c r="O1908" s="107">
        <v>51.7</v>
      </c>
      <c r="P1908" s="107">
        <v>53</v>
      </c>
      <c r="Q1908" s="107">
        <v>52.05</v>
      </c>
      <c r="R1908">
        <v>4680889</v>
      </c>
    </row>
    <row r="1909" spans="1:18" x14ac:dyDescent="0.25">
      <c r="A1909" s="130">
        <v>44816</v>
      </c>
      <c r="B1909" s="107">
        <v>52.75</v>
      </c>
      <c r="C1909" s="107">
        <v>52.35</v>
      </c>
      <c r="D1909" s="107">
        <v>52</v>
      </c>
      <c r="E1909" s="107">
        <v>52</v>
      </c>
      <c r="F1909" s="107">
        <v>52.35</v>
      </c>
      <c r="G1909">
        <v>237038</v>
      </c>
      <c r="H1909" s="107"/>
      <c r="I1909" s="107"/>
      <c r="L1909" s="130">
        <v>44816</v>
      </c>
      <c r="M1909" s="107">
        <v>52.45</v>
      </c>
      <c r="N1909" s="107">
        <v>52.75</v>
      </c>
      <c r="O1909" s="107">
        <v>52.05</v>
      </c>
      <c r="P1909" s="107">
        <v>52.45</v>
      </c>
      <c r="Q1909" s="107">
        <v>52.45</v>
      </c>
      <c r="R1909">
        <v>4294747</v>
      </c>
    </row>
    <row r="1910" spans="1:18" x14ac:dyDescent="0.25">
      <c r="A1910" s="130">
        <v>44817</v>
      </c>
      <c r="B1910" s="107">
        <v>53.3</v>
      </c>
      <c r="C1910" s="107">
        <v>52.7</v>
      </c>
      <c r="D1910" s="107">
        <v>52.45</v>
      </c>
      <c r="E1910" s="107">
        <v>52.9</v>
      </c>
      <c r="F1910" s="107">
        <v>52.7</v>
      </c>
      <c r="G1910">
        <v>292633</v>
      </c>
      <c r="H1910" s="107"/>
      <c r="I1910" s="107"/>
      <c r="L1910" s="130">
        <v>44817</v>
      </c>
      <c r="M1910" s="107">
        <v>52.65</v>
      </c>
      <c r="N1910" s="107">
        <v>53.25</v>
      </c>
      <c r="O1910" s="107">
        <v>52.4</v>
      </c>
      <c r="P1910" s="107">
        <v>52.75</v>
      </c>
      <c r="Q1910" s="107">
        <v>52.65</v>
      </c>
      <c r="R1910">
        <v>5055236</v>
      </c>
    </row>
    <row r="1911" spans="1:18" x14ac:dyDescent="0.25">
      <c r="A1911" s="130">
        <v>44818</v>
      </c>
      <c r="B1911" s="107">
        <v>53.5</v>
      </c>
      <c r="C1911" s="107">
        <v>53.05</v>
      </c>
      <c r="D1911" s="107">
        <v>51</v>
      </c>
      <c r="E1911" s="107">
        <v>51</v>
      </c>
      <c r="F1911" s="107">
        <v>53.05</v>
      </c>
      <c r="G1911">
        <v>777438</v>
      </c>
      <c r="H1911" s="107"/>
      <c r="I1911" s="107"/>
      <c r="L1911" s="130">
        <v>44818</v>
      </c>
      <c r="M1911" s="107">
        <v>53.05</v>
      </c>
      <c r="N1911" s="107">
        <v>53.5</v>
      </c>
      <c r="O1911" s="107">
        <v>51.1</v>
      </c>
      <c r="P1911" s="107">
        <v>51.5</v>
      </c>
      <c r="Q1911" s="107">
        <v>53.05</v>
      </c>
      <c r="R1911">
        <v>6800826</v>
      </c>
    </row>
    <row r="1912" spans="1:18" x14ac:dyDescent="0.25">
      <c r="A1912" s="130">
        <v>44819</v>
      </c>
      <c r="B1912" s="107">
        <v>54.4</v>
      </c>
      <c r="C1912" s="107">
        <v>52.95</v>
      </c>
      <c r="D1912" s="107">
        <v>52.6</v>
      </c>
      <c r="E1912" s="107">
        <v>53.1</v>
      </c>
      <c r="F1912" s="107">
        <v>52.95</v>
      </c>
      <c r="G1912">
        <v>609915</v>
      </c>
      <c r="H1912" s="107"/>
      <c r="I1912" s="107"/>
      <c r="L1912" s="130">
        <v>44819</v>
      </c>
      <c r="M1912" s="107">
        <v>53</v>
      </c>
      <c r="N1912" s="107">
        <v>54.45</v>
      </c>
      <c r="O1912" s="107">
        <v>52.6</v>
      </c>
      <c r="P1912" s="107">
        <v>53.5</v>
      </c>
      <c r="Q1912" s="107">
        <v>53</v>
      </c>
      <c r="R1912">
        <v>5534460</v>
      </c>
    </row>
    <row r="1913" spans="1:18" x14ac:dyDescent="0.25">
      <c r="A1913" s="130">
        <v>44820</v>
      </c>
      <c r="B1913" s="107">
        <v>52.95</v>
      </c>
      <c r="C1913" s="107">
        <v>51.1</v>
      </c>
      <c r="D1913" s="107">
        <v>50.8</v>
      </c>
      <c r="E1913" s="107">
        <v>52.6</v>
      </c>
      <c r="F1913" s="107">
        <v>51.1</v>
      </c>
      <c r="G1913">
        <v>317293</v>
      </c>
      <c r="H1913" s="107"/>
      <c r="I1913" s="107"/>
      <c r="L1913" s="130">
        <v>44820</v>
      </c>
      <c r="M1913" s="107">
        <v>51.1</v>
      </c>
      <c r="N1913" s="107">
        <v>52.95</v>
      </c>
      <c r="O1913" s="107">
        <v>50.85</v>
      </c>
      <c r="P1913" s="107">
        <v>52.85</v>
      </c>
      <c r="Q1913" s="107">
        <v>51.1</v>
      </c>
      <c r="R1913">
        <v>4546535</v>
      </c>
    </row>
    <row r="1914" spans="1:18" x14ac:dyDescent="0.25">
      <c r="A1914" s="130">
        <v>44823</v>
      </c>
      <c r="B1914" s="107">
        <v>53.15</v>
      </c>
      <c r="C1914" s="107">
        <v>52.65</v>
      </c>
      <c r="D1914" s="107">
        <v>51</v>
      </c>
      <c r="E1914" s="107">
        <v>51.75</v>
      </c>
      <c r="F1914" s="107">
        <v>52.65</v>
      </c>
      <c r="G1914">
        <v>599341</v>
      </c>
      <c r="H1914" s="107"/>
      <c r="I1914" s="107"/>
      <c r="L1914" s="130">
        <v>44823</v>
      </c>
      <c r="M1914" s="107">
        <v>52.55</v>
      </c>
      <c r="N1914" s="107">
        <v>53.15</v>
      </c>
      <c r="O1914" s="107">
        <v>51</v>
      </c>
      <c r="P1914" s="107">
        <v>51.25</v>
      </c>
      <c r="Q1914" s="107">
        <v>52.55</v>
      </c>
      <c r="R1914">
        <v>5056765</v>
      </c>
    </row>
    <row r="1915" spans="1:18" x14ac:dyDescent="0.25">
      <c r="A1915" s="130">
        <v>44824</v>
      </c>
      <c r="B1915" s="107">
        <v>53.35</v>
      </c>
      <c r="C1915" s="107">
        <v>52.2</v>
      </c>
      <c r="D1915" s="107">
        <v>52</v>
      </c>
      <c r="E1915" s="107">
        <v>52.75</v>
      </c>
      <c r="F1915" s="107">
        <v>52.2</v>
      </c>
      <c r="G1915">
        <v>374605</v>
      </c>
      <c r="H1915" s="107"/>
      <c r="I1915" s="107"/>
      <c r="L1915" s="130">
        <v>44824</v>
      </c>
      <c r="M1915" s="107">
        <v>52.2</v>
      </c>
      <c r="N1915" s="107">
        <v>53.4</v>
      </c>
      <c r="O1915" s="107">
        <v>52.05</v>
      </c>
      <c r="P1915" s="107">
        <v>52.95</v>
      </c>
      <c r="Q1915" s="107">
        <v>52.2</v>
      </c>
      <c r="R1915">
        <v>4406321</v>
      </c>
    </row>
    <row r="1916" spans="1:18" x14ac:dyDescent="0.25">
      <c r="A1916" s="130">
        <v>44825</v>
      </c>
      <c r="B1916" s="107">
        <v>52.8</v>
      </c>
      <c r="C1916" s="107">
        <v>51.75</v>
      </c>
      <c r="D1916" s="107">
        <v>51.6</v>
      </c>
      <c r="E1916" s="107">
        <v>52.3</v>
      </c>
      <c r="F1916" s="107">
        <v>51.75</v>
      </c>
      <c r="G1916">
        <v>245119</v>
      </c>
      <c r="H1916" s="107"/>
      <c r="I1916" s="107"/>
      <c r="L1916" s="130">
        <v>44825</v>
      </c>
      <c r="M1916" s="107">
        <v>51.75</v>
      </c>
      <c r="N1916" s="107">
        <v>52.75</v>
      </c>
      <c r="O1916" s="107">
        <v>51.6</v>
      </c>
      <c r="P1916" s="107">
        <v>52.35</v>
      </c>
      <c r="Q1916" s="107">
        <v>51.75</v>
      </c>
      <c r="R1916">
        <v>2279941</v>
      </c>
    </row>
    <row r="1917" spans="1:18" x14ac:dyDescent="0.25">
      <c r="A1917" s="130">
        <v>44826</v>
      </c>
      <c r="B1917" s="107">
        <v>52.35</v>
      </c>
      <c r="C1917" s="107">
        <v>51.15</v>
      </c>
      <c r="D1917" s="107">
        <v>51.05</v>
      </c>
      <c r="E1917" s="107">
        <v>51.75</v>
      </c>
      <c r="F1917" s="107">
        <v>51.15</v>
      </c>
      <c r="G1917">
        <v>381649</v>
      </c>
      <c r="H1917" s="107"/>
      <c r="I1917" s="107"/>
      <c r="L1917" s="130">
        <v>44826</v>
      </c>
      <c r="M1917" s="107">
        <v>51.2</v>
      </c>
      <c r="N1917" s="107">
        <v>52.4</v>
      </c>
      <c r="O1917" s="107">
        <v>51.05</v>
      </c>
      <c r="P1917" s="107">
        <v>51.6</v>
      </c>
      <c r="Q1917" s="107">
        <v>51.2</v>
      </c>
      <c r="R1917">
        <v>4175237</v>
      </c>
    </row>
    <row r="1918" spans="1:18" x14ac:dyDescent="0.25">
      <c r="A1918" s="130">
        <v>44827</v>
      </c>
      <c r="B1918" s="107">
        <v>51.35</v>
      </c>
      <c r="C1918" s="107">
        <v>49.9</v>
      </c>
      <c r="D1918" s="107">
        <v>49.55</v>
      </c>
      <c r="E1918" s="107">
        <v>50.85</v>
      </c>
      <c r="F1918" s="107">
        <v>49.9</v>
      </c>
      <c r="G1918">
        <v>195119</v>
      </c>
      <c r="H1918" s="107"/>
      <c r="I1918" s="107"/>
      <c r="L1918" s="130">
        <v>44827</v>
      </c>
      <c r="M1918" s="107">
        <v>49.95</v>
      </c>
      <c r="N1918" s="107">
        <v>51.45</v>
      </c>
      <c r="O1918" s="107">
        <v>49.5</v>
      </c>
      <c r="P1918" s="107">
        <v>51.2</v>
      </c>
      <c r="Q1918" s="107">
        <v>49.95</v>
      </c>
      <c r="R1918">
        <v>3019475</v>
      </c>
    </row>
    <row r="1919" spans="1:18" x14ac:dyDescent="0.25">
      <c r="A1919" s="130">
        <v>44830</v>
      </c>
      <c r="B1919" s="107">
        <v>49.35</v>
      </c>
      <c r="C1919" s="107">
        <v>47.4</v>
      </c>
      <c r="D1919" s="107">
        <v>47</v>
      </c>
      <c r="E1919" s="107">
        <v>49</v>
      </c>
      <c r="F1919" s="107">
        <v>47.4</v>
      </c>
      <c r="G1919">
        <v>236616</v>
      </c>
      <c r="H1919" s="107"/>
      <c r="I1919" s="107"/>
      <c r="L1919" s="130">
        <v>44830</v>
      </c>
      <c r="M1919" s="107">
        <v>47.4</v>
      </c>
      <c r="N1919" s="107">
        <v>49.45</v>
      </c>
      <c r="O1919" s="107">
        <v>46.95</v>
      </c>
      <c r="P1919" s="107">
        <v>49.25</v>
      </c>
      <c r="Q1919" s="107">
        <v>47.4</v>
      </c>
      <c r="R1919">
        <v>3113162</v>
      </c>
    </row>
    <row r="1920" spans="1:18" x14ac:dyDescent="0.25">
      <c r="A1920" s="130">
        <v>44831</v>
      </c>
      <c r="B1920" s="107">
        <v>48.2</v>
      </c>
      <c r="C1920" s="107">
        <v>46.75</v>
      </c>
      <c r="D1920" s="107">
        <v>46.25</v>
      </c>
      <c r="E1920" s="107">
        <v>47.65</v>
      </c>
      <c r="F1920" s="107">
        <v>46.75</v>
      </c>
      <c r="G1920">
        <v>375492</v>
      </c>
      <c r="H1920" s="107"/>
      <c r="I1920" s="107"/>
      <c r="L1920" s="130">
        <v>44831</v>
      </c>
      <c r="M1920" s="107">
        <v>46.75</v>
      </c>
      <c r="N1920" s="107">
        <v>48.2</v>
      </c>
      <c r="O1920" s="107">
        <v>46.25</v>
      </c>
      <c r="P1920" s="107">
        <v>47.85</v>
      </c>
      <c r="Q1920" s="107">
        <v>46.75</v>
      </c>
      <c r="R1920">
        <v>3889659</v>
      </c>
    </row>
    <row r="1921" spans="1:18" x14ac:dyDescent="0.25">
      <c r="A1921" s="130">
        <v>44832</v>
      </c>
      <c r="B1921" s="107">
        <v>47.25</v>
      </c>
      <c r="C1921" s="107">
        <v>46.1</v>
      </c>
      <c r="D1921" s="107">
        <v>46</v>
      </c>
      <c r="E1921" s="107">
        <v>46.75</v>
      </c>
      <c r="F1921" s="107">
        <v>46.1</v>
      </c>
      <c r="G1921">
        <v>312670</v>
      </c>
      <c r="H1921" s="107"/>
      <c r="I1921" s="107"/>
      <c r="L1921" s="130">
        <v>44832</v>
      </c>
      <c r="M1921" s="107">
        <v>46.1</v>
      </c>
      <c r="N1921" s="107">
        <v>47.25</v>
      </c>
      <c r="O1921" s="107">
        <v>46</v>
      </c>
      <c r="P1921" s="107">
        <v>46.2</v>
      </c>
      <c r="Q1921" s="107">
        <v>46.1</v>
      </c>
      <c r="R1921">
        <v>2669603</v>
      </c>
    </row>
    <row r="1922" spans="1:18" x14ac:dyDescent="0.25">
      <c r="A1922" s="130">
        <v>44833</v>
      </c>
      <c r="B1922" s="107">
        <v>49.7</v>
      </c>
      <c r="C1922" s="107">
        <v>48.5</v>
      </c>
      <c r="D1922" s="107">
        <v>45.9</v>
      </c>
      <c r="E1922" s="107">
        <v>47.15</v>
      </c>
      <c r="F1922" s="107">
        <v>48.5</v>
      </c>
      <c r="G1922">
        <v>352156</v>
      </c>
      <c r="H1922" s="107"/>
      <c r="I1922" s="107"/>
      <c r="L1922" s="130">
        <v>44833</v>
      </c>
      <c r="M1922" s="107">
        <v>48.2</v>
      </c>
      <c r="N1922" s="107">
        <v>49.75</v>
      </c>
      <c r="O1922" s="107">
        <v>45.85</v>
      </c>
      <c r="P1922" s="107">
        <v>46.55</v>
      </c>
      <c r="Q1922" s="107">
        <v>48.2</v>
      </c>
      <c r="R1922">
        <v>4034029</v>
      </c>
    </row>
    <row r="1923" spans="1:18" x14ac:dyDescent="0.25">
      <c r="A1923" s="130">
        <v>44834</v>
      </c>
      <c r="B1923" s="107">
        <v>49.35</v>
      </c>
      <c r="C1923" s="107">
        <v>48.2</v>
      </c>
      <c r="D1923" s="107">
        <v>47.25</v>
      </c>
      <c r="E1923" s="107">
        <v>48</v>
      </c>
      <c r="F1923" s="107">
        <v>48.2</v>
      </c>
      <c r="G1923">
        <v>438500</v>
      </c>
      <c r="H1923" s="107"/>
      <c r="I1923" s="107"/>
      <c r="L1923" s="130">
        <v>44834</v>
      </c>
      <c r="M1923" s="107">
        <v>48.2</v>
      </c>
      <c r="N1923" s="107">
        <v>49.4</v>
      </c>
      <c r="O1923" s="107">
        <v>47.2</v>
      </c>
      <c r="P1923" s="107">
        <v>47.65</v>
      </c>
      <c r="Q1923" s="107">
        <v>48.2</v>
      </c>
      <c r="R1923">
        <v>4214203</v>
      </c>
    </row>
    <row r="1924" spans="1:18" x14ac:dyDescent="0.25">
      <c r="A1924" s="130">
        <v>44837</v>
      </c>
      <c r="B1924" s="107">
        <v>48.4</v>
      </c>
      <c r="C1924" s="107">
        <v>47.2</v>
      </c>
      <c r="D1924" s="107">
        <v>47.05</v>
      </c>
      <c r="E1924" s="107">
        <v>48.1</v>
      </c>
      <c r="F1924" s="107">
        <v>47.2</v>
      </c>
      <c r="G1924">
        <v>261843</v>
      </c>
      <c r="H1924" s="107"/>
      <c r="I1924" s="107"/>
      <c r="L1924" s="130">
        <v>44837</v>
      </c>
      <c r="M1924" s="107">
        <v>47.3</v>
      </c>
      <c r="N1924" s="107">
        <v>48.4</v>
      </c>
      <c r="O1924" s="107">
        <v>47.05</v>
      </c>
      <c r="P1924" s="107">
        <v>48.15</v>
      </c>
      <c r="Q1924" s="107">
        <v>47.3</v>
      </c>
      <c r="R1924">
        <v>1949872</v>
      </c>
    </row>
    <row r="1925" spans="1:18" x14ac:dyDescent="0.25">
      <c r="A1925" s="130">
        <v>44838</v>
      </c>
      <c r="B1925" s="107">
        <v>48.3</v>
      </c>
      <c r="C1925" s="107">
        <v>48</v>
      </c>
      <c r="D1925" s="107">
        <v>47.35</v>
      </c>
      <c r="E1925" s="107">
        <v>47.35</v>
      </c>
      <c r="F1925" s="107">
        <v>48</v>
      </c>
      <c r="G1925">
        <v>193294</v>
      </c>
      <c r="H1925" s="107"/>
      <c r="I1925" s="107"/>
      <c r="L1925" s="130">
        <v>44838</v>
      </c>
      <c r="M1925" s="107">
        <v>48</v>
      </c>
      <c r="N1925" s="107">
        <v>48.3</v>
      </c>
      <c r="O1925" s="107">
        <v>47.5</v>
      </c>
      <c r="P1925" s="107">
        <v>48</v>
      </c>
      <c r="Q1925" s="107">
        <v>48</v>
      </c>
      <c r="R1925">
        <v>3105252</v>
      </c>
    </row>
    <row r="1926" spans="1:18" x14ac:dyDescent="0.25">
      <c r="A1926" s="130">
        <v>44840</v>
      </c>
      <c r="B1926" s="107">
        <v>49.2</v>
      </c>
      <c r="C1926" s="107">
        <v>48.5</v>
      </c>
      <c r="D1926" s="107">
        <v>48.4</v>
      </c>
      <c r="E1926" s="107">
        <v>49.2</v>
      </c>
      <c r="F1926" s="107">
        <v>48.5</v>
      </c>
      <c r="G1926">
        <v>232893</v>
      </c>
      <c r="H1926" s="107"/>
      <c r="I1926" s="107"/>
      <c r="L1926" s="130">
        <v>44840</v>
      </c>
      <c r="M1926" s="107">
        <v>48.5</v>
      </c>
      <c r="N1926" s="107">
        <v>48.95</v>
      </c>
      <c r="O1926" s="107">
        <v>48.3</v>
      </c>
      <c r="P1926" s="107">
        <v>48.5</v>
      </c>
      <c r="Q1926" s="107">
        <v>48.5</v>
      </c>
      <c r="R1926">
        <v>1766243</v>
      </c>
    </row>
    <row r="1927" spans="1:18" x14ac:dyDescent="0.25">
      <c r="A1927" s="130">
        <v>44841</v>
      </c>
      <c r="B1927" s="107">
        <v>49</v>
      </c>
      <c r="C1927" s="107">
        <v>48.85</v>
      </c>
      <c r="D1927" s="107">
        <v>48.05</v>
      </c>
      <c r="E1927" s="107">
        <v>48.1</v>
      </c>
      <c r="F1927" s="107">
        <v>48.85</v>
      </c>
      <c r="G1927">
        <v>197596</v>
      </c>
      <c r="H1927" s="107"/>
      <c r="I1927" s="107"/>
      <c r="L1927" s="130">
        <v>44841</v>
      </c>
      <c r="M1927" s="107">
        <v>48.85</v>
      </c>
      <c r="N1927" s="107">
        <v>49</v>
      </c>
      <c r="O1927" s="107">
        <v>48</v>
      </c>
      <c r="P1927" s="107">
        <v>48.15</v>
      </c>
      <c r="Q1927" s="107">
        <v>48.85</v>
      </c>
      <c r="R1927">
        <v>1640232</v>
      </c>
    </row>
    <row r="1928" spans="1:18" x14ac:dyDescent="0.25">
      <c r="A1928" s="130">
        <v>44844</v>
      </c>
      <c r="B1928" s="107">
        <v>48.4</v>
      </c>
      <c r="C1928" s="107">
        <v>47.65</v>
      </c>
      <c r="D1928" s="107">
        <v>47.5</v>
      </c>
      <c r="E1928" s="107">
        <v>48.05</v>
      </c>
      <c r="F1928" s="107">
        <v>47.65</v>
      </c>
      <c r="G1928">
        <v>271488</v>
      </c>
      <c r="H1928" s="107"/>
      <c r="I1928" s="107"/>
      <c r="L1928" s="130">
        <v>44844</v>
      </c>
      <c r="M1928" s="107">
        <v>47.6</v>
      </c>
      <c r="N1928" s="107">
        <v>48.4</v>
      </c>
      <c r="O1928" s="107">
        <v>47.5</v>
      </c>
      <c r="P1928" s="107">
        <v>48.2</v>
      </c>
      <c r="Q1928" s="107">
        <v>47.6</v>
      </c>
      <c r="R1928">
        <v>2561677</v>
      </c>
    </row>
    <row r="1929" spans="1:18" x14ac:dyDescent="0.25">
      <c r="A1929" s="130">
        <v>44845</v>
      </c>
      <c r="B1929" s="107">
        <v>47.95</v>
      </c>
      <c r="C1929" s="107">
        <v>46.9</v>
      </c>
      <c r="D1929" s="107">
        <v>46.75</v>
      </c>
      <c r="E1929" s="107">
        <v>47.9</v>
      </c>
      <c r="F1929" s="107">
        <v>46.9</v>
      </c>
      <c r="G1929">
        <v>238995</v>
      </c>
      <c r="H1929" s="107"/>
      <c r="I1929" s="107"/>
      <c r="L1929" s="130">
        <v>44845</v>
      </c>
      <c r="M1929" s="107">
        <v>46.9</v>
      </c>
      <c r="N1929" s="107">
        <v>47.95</v>
      </c>
      <c r="O1929" s="107">
        <v>46.8</v>
      </c>
      <c r="P1929" s="107">
        <v>47.7</v>
      </c>
      <c r="Q1929" s="107">
        <v>46.9</v>
      </c>
      <c r="R1929">
        <v>1460402</v>
      </c>
    </row>
    <row r="1930" spans="1:18" x14ac:dyDescent="0.25">
      <c r="A1930" s="130">
        <v>44846</v>
      </c>
      <c r="B1930" s="107">
        <v>47.75</v>
      </c>
      <c r="C1930" s="107">
        <v>47.2</v>
      </c>
      <c r="D1930" s="107">
        <v>46.95</v>
      </c>
      <c r="E1930" s="107">
        <v>47</v>
      </c>
      <c r="F1930" s="107">
        <v>47.2</v>
      </c>
      <c r="G1930">
        <v>275613</v>
      </c>
      <c r="H1930" s="107"/>
      <c r="I1930" s="107"/>
      <c r="L1930" s="130">
        <v>44846</v>
      </c>
      <c r="M1930" s="107">
        <v>47.15</v>
      </c>
      <c r="N1930" s="107">
        <v>47.8</v>
      </c>
      <c r="O1930" s="107">
        <v>46.9</v>
      </c>
      <c r="P1930" s="107">
        <v>47.15</v>
      </c>
      <c r="Q1930" s="107">
        <v>47.15</v>
      </c>
      <c r="R1930">
        <v>1835280</v>
      </c>
    </row>
    <row r="1931" spans="1:18" x14ac:dyDescent="0.25">
      <c r="A1931" s="130">
        <v>44847</v>
      </c>
      <c r="B1931" s="107">
        <v>47.45</v>
      </c>
      <c r="C1931" s="107">
        <v>46.3</v>
      </c>
      <c r="D1931" s="107">
        <v>46.05</v>
      </c>
      <c r="E1931" s="107">
        <v>47.2</v>
      </c>
      <c r="F1931" s="107">
        <v>46.3</v>
      </c>
      <c r="G1931">
        <v>226038</v>
      </c>
      <c r="H1931" s="107"/>
      <c r="I1931" s="107"/>
      <c r="L1931" s="130">
        <v>44847</v>
      </c>
      <c r="M1931" s="107">
        <v>46.3</v>
      </c>
      <c r="N1931" s="107">
        <v>47.45</v>
      </c>
      <c r="O1931" s="107">
        <v>46.15</v>
      </c>
      <c r="P1931" s="107">
        <v>47.2</v>
      </c>
      <c r="Q1931" s="107">
        <v>46.3</v>
      </c>
      <c r="R1931">
        <v>1699594</v>
      </c>
    </row>
    <row r="1932" spans="1:18" x14ac:dyDescent="0.25">
      <c r="A1932" s="130">
        <v>44848</v>
      </c>
      <c r="B1932" s="107">
        <v>47.2</v>
      </c>
      <c r="C1932" s="107">
        <v>46.5</v>
      </c>
      <c r="D1932" s="107">
        <v>46.3</v>
      </c>
      <c r="E1932" s="107">
        <v>46.9</v>
      </c>
      <c r="F1932" s="107">
        <v>46.5</v>
      </c>
      <c r="G1932">
        <v>294459</v>
      </c>
      <c r="H1932" s="107"/>
      <c r="I1932" s="107"/>
      <c r="L1932" s="130">
        <v>44848</v>
      </c>
      <c r="M1932" s="107">
        <v>46.6</v>
      </c>
      <c r="N1932" s="107">
        <v>47.3</v>
      </c>
      <c r="O1932" s="107">
        <v>46.3</v>
      </c>
      <c r="P1932" s="107">
        <v>46.9</v>
      </c>
      <c r="Q1932" s="107">
        <v>46.6</v>
      </c>
      <c r="R1932">
        <v>1973949</v>
      </c>
    </row>
    <row r="1933" spans="1:18" x14ac:dyDescent="0.25">
      <c r="A1933" s="130">
        <v>44851</v>
      </c>
      <c r="B1933" s="107">
        <v>47.15</v>
      </c>
      <c r="C1933" s="107">
        <v>46.9</v>
      </c>
      <c r="D1933" s="107">
        <v>46.2</v>
      </c>
      <c r="E1933" s="107">
        <v>46.55</v>
      </c>
      <c r="F1933" s="107">
        <v>46.9</v>
      </c>
      <c r="G1933">
        <v>177366</v>
      </c>
      <c r="H1933" s="107"/>
      <c r="I1933" s="107"/>
      <c r="L1933" s="130">
        <v>44851</v>
      </c>
      <c r="M1933" s="107">
        <v>46.9</v>
      </c>
      <c r="N1933" s="107">
        <v>47.2</v>
      </c>
      <c r="O1933" s="107">
        <v>46.2</v>
      </c>
      <c r="P1933" s="107">
        <v>46.75</v>
      </c>
      <c r="Q1933" s="107">
        <v>46.9</v>
      </c>
      <c r="R1933">
        <v>3043504</v>
      </c>
    </row>
    <row r="1934" spans="1:18" x14ac:dyDescent="0.25">
      <c r="A1934" s="130">
        <v>44852</v>
      </c>
      <c r="B1934" s="107">
        <v>49</v>
      </c>
      <c r="C1934" s="107">
        <v>48.2</v>
      </c>
      <c r="D1934" s="107">
        <v>46.8</v>
      </c>
      <c r="E1934" s="107">
        <v>46.8</v>
      </c>
      <c r="F1934" s="107">
        <v>48.2</v>
      </c>
      <c r="G1934">
        <v>789731</v>
      </c>
      <c r="H1934" s="107"/>
      <c r="I1934" s="107"/>
      <c r="L1934" s="130">
        <v>44852</v>
      </c>
      <c r="M1934" s="107">
        <v>48.1</v>
      </c>
      <c r="N1934" s="107">
        <v>48.95</v>
      </c>
      <c r="O1934" s="107">
        <v>47.1</v>
      </c>
      <c r="P1934" s="107">
        <v>47.2</v>
      </c>
      <c r="Q1934" s="107">
        <v>48.1</v>
      </c>
      <c r="R1934">
        <v>6650448</v>
      </c>
    </row>
    <row r="1935" spans="1:18" x14ac:dyDescent="0.25">
      <c r="A1935" s="130">
        <v>44853</v>
      </c>
      <c r="B1935" s="107">
        <v>49.15</v>
      </c>
      <c r="C1935" s="107">
        <v>48.55</v>
      </c>
      <c r="D1935" s="107">
        <v>48.35</v>
      </c>
      <c r="E1935" s="107">
        <v>48.35</v>
      </c>
      <c r="F1935" s="107">
        <v>48.55</v>
      </c>
      <c r="G1935">
        <v>423145</v>
      </c>
      <c r="H1935" s="107"/>
      <c r="I1935" s="107"/>
      <c r="L1935" s="130">
        <v>44853</v>
      </c>
      <c r="M1935" s="107">
        <v>48.55</v>
      </c>
      <c r="N1935" s="107">
        <v>49.2</v>
      </c>
      <c r="O1935" s="107">
        <v>48.4</v>
      </c>
      <c r="P1935" s="107">
        <v>48.6</v>
      </c>
      <c r="Q1935" s="107">
        <v>48.55</v>
      </c>
      <c r="R1935">
        <v>4604215</v>
      </c>
    </row>
    <row r="1936" spans="1:18" x14ac:dyDescent="0.25">
      <c r="A1936" s="130">
        <v>44854</v>
      </c>
      <c r="B1936" s="107">
        <v>49.95</v>
      </c>
      <c r="C1936" s="107">
        <v>49.7</v>
      </c>
      <c r="D1936" s="107">
        <v>48.1</v>
      </c>
      <c r="E1936" s="107">
        <v>48.5</v>
      </c>
      <c r="F1936" s="107">
        <v>49.7</v>
      </c>
      <c r="G1936">
        <v>426836</v>
      </c>
      <c r="H1936" s="107"/>
      <c r="I1936" s="107"/>
      <c r="L1936" s="130">
        <v>44854</v>
      </c>
      <c r="M1936" s="107">
        <v>49.7</v>
      </c>
      <c r="N1936" s="107">
        <v>50</v>
      </c>
      <c r="O1936" s="107">
        <v>48.1</v>
      </c>
      <c r="P1936" s="107">
        <v>48.2</v>
      </c>
      <c r="Q1936" s="107">
        <v>49.7</v>
      </c>
      <c r="R1936">
        <v>4755561</v>
      </c>
    </row>
    <row r="1937" spans="1:18" x14ac:dyDescent="0.25">
      <c r="A1937" s="130">
        <v>44855</v>
      </c>
      <c r="B1937" s="107">
        <v>51.95</v>
      </c>
      <c r="C1937" s="107">
        <v>50.5</v>
      </c>
      <c r="D1937" s="107">
        <v>49.45</v>
      </c>
      <c r="E1937" s="107">
        <v>49.6</v>
      </c>
      <c r="F1937" s="107">
        <v>50.5</v>
      </c>
      <c r="G1937">
        <v>1062012</v>
      </c>
      <c r="H1937" s="107"/>
      <c r="I1937" s="107"/>
      <c r="L1937" s="130">
        <v>44855</v>
      </c>
      <c r="M1937" s="107">
        <v>50.5</v>
      </c>
      <c r="N1937" s="107">
        <v>52</v>
      </c>
      <c r="O1937" s="107">
        <v>49.35</v>
      </c>
      <c r="P1937" s="107">
        <v>49.35</v>
      </c>
      <c r="Q1937" s="107">
        <v>50.5</v>
      </c>
      <c r="R1937">
        <v>7941385</v>
      </c>
    </row>
    <row r="1938" spans="1:18" x14ac:dyDescent="0.25">
      <c r="A1938" s="130">
        <v>44858</v>
      </c>
      <c r="B1938" s="107">
        <v>51.65</v>
      </c>
      <c r="C1938" s="107">
        <v>51.25</v>
      </c>
      <c r="D1938" s="107">
        <v>50.85</v>
      </c>
      <c r="E1938" s="107">
        <v>50.85</v>
      </c>
      <c r="F1938" s="107">
        <v>51.25</v>
      </c>
      <c r="G1938">
        <v>127322</v>
      </c>
      <c r="H1938" s="107"/>
      <c r="I1938" s="107"/>
      <c r="L1938" s="130">
        <v>44858</v>
      </c>
      <c r="M1938" s="107">
        <v>51.25</v>
      </c>
      <c r="N1938" s="107">
        <v>51.7</v>
      </c>
      <c r="O1938" s="107">
        <v>51</v>
      </c>
      <c r="P1938" s="107">
        <v>51</v>
      </c>
      <c r="Q1938" s="107">
        <v>51.25</v>
      </c>
      <c r="R1938">
        <v>1271612</v>
      </c>
    </row>
    <row r="1939" spans="1:18" x14ac:dyDescent="0.25">
      <c r="A1939" s="130">
        <v>44859</v>
      </c>
      <c r="B1939" s="107">
        <v>57.55</v>
      </c>
      <c r="C1939" s="107">
        <v>56.45</v>
      </c>
      <c r="D1939" s="107">
        <v>50.5</v>
      </c>
      <c r="E1939" s="107">
        <v>51</v>
      </c>
      <c r="F1939" s="107">
        <v>56.45</v>
      </c>
      <c r="G1939">
        <v>3982543</v>
      </c>
      <c r="H1939" s="107"/>
      <c r="I1939" s="107"/>
      <c r="L1939" s="130">
        <v>44859</v>
      </c>
      <c r="M1939" s="107">
        <v>56.45</v>
      </c>
      <c r="N1939" s="107">
        <v>57.55</v>
      </c>
      <c r="O1939" s="107">
        <v>50.5</v>
      </c>
      <c r="P1939" s="107">
        <v>51.1</v>
      </c>
      <c r="Q1939" s="107">
        <v>56.45</v>
      </c>
      <c r="R1939">
        <v>33792078</v>
      </c>
    </row>
    <row r="1940" spans="1:18" x14ac:dyDescent="0.25">
      <c r="A1940" s="130">
        <v>44861</v>
      </c>
      <c r="B1940" s="107">
        <v>58.1</v>
      </c>
      <c r="C1940" s="107">
        <v>57.25</v>
      </c>
      <c r="D1940" s="107">
        <v>55.8</v>
      </c>
      <c r="E1940" s="107">
        <v>56.5</v>
      </c>
      <c r="F1940" s="107">
        <v>57.25</v>
      </c>
      <c r="G1940">
        <v>1883967</v>
      </c>
      <c r="H1940" s="107"/>
      <c r="I1940" s="107"/>
      <c r="L1940" s="130">
        <v>44861</v>
      </c>
      <c r="M1940" s="107">
        <v>57.3</v>
      </c>
      <c r="N1940" s="107">
        <v>58.15</v>
      </c>
      <c r="O1940" s="107">
        <v>55.8</v>
      </c>
      <c r="P1940" s="107">
        <v>56.5</v>
      </c>
      <c r="Q1940" s="107">
        <v>57.3</v>
      </c>
      <c r="R1940">
        <v>16947608</v>
      </c>
    </row>
    <row r="1941" spans="1:18" x14ac:dyDescent="0.25">
      <c r="A1941" s="130">
        <v>44862</v>
      </c>
      <c r="B1941" s="107">
        <v>59.1</v>
      </c>
      <c r="C1941" s="107">
        <v>58.65</v>
      </c>
      <c r="D1941" s="107">
        <v>57</v>
      </c>
      <c r="E1941" s="107">
        <v>57.2</v>
      </c>
      <c r="F1941" s="107">
        <v>58.65</v>
      </c>
      <c r="G1941">
        <v>1573803</v>
      </c>
      <c r="H1941" s="107"/>
      <c r="I1941" s="107"/>
      <c r="L1941" s="130">
        <v>44862</v>
      </c>
      <c r="M1941" s="107">
        <v>58.7</v>
      </c>
      <c r="N1941" s="107">
        <v>59.1</v>
      </c>
      <c r="O1941" s="107">
        <v>56.7</v>
      </c>
      <c r="P1941" s="107">
        <v>57</v>
      </c>
      <c r="Q1941" s="107">
        <v>58.7</v>
      </c>
      <c r="R1941">
        <v>20684616</v>
      </c>
    </row>
    <row r="1942" spans="1:18" x14ac:dyDescent="0.25">
      <c r="A1942" s="130">
        <v>44865</v>
      </c>
      <c r="B1942" s="107">
        <v>60.75</v>
      </c>
      <c r="C1942" s="107">
        <v>60.3</v>
      </c>
      <c r="D1942" s="107">
        <v>58.3</v>
      </c>
      <c r="E1942" s="107">
        <v>59.25</v>
      </c>
      <c r="F1942" s="107">
        <v>60.3</v>
      </c>
      <c r="G1942">
        <v>1247478</v>
      </c>
      <c r="H1942" s="107"/>
      <c r="I1942" s="107"/>
      <c r="L1942" s="130">
        <v>44865</v>
      </c>
      <c r="M1942" s="107">
        <v>60.25</v>
      </c>
      <c r="N1942" s="107">
        <v>60.75</v>
      </c>
      <c r="O1942" s="107">
        <v>58.3</v>
      </c>
      <c r="P1942" s="107">
        <v>59.55</v>
      </c>
      <c r="Q1942" s="107">
        <v>60.25</v>
      </c>
      <c r="R1942">
        <v>17616159</v>
      </c>
    </row>
    <row r="1943" spans="1:18" x14ac:dyDescent="0.25">
      <c r="A1943" s="130">
        <v>44866</v>
      </c>
      <c r="B1943" s="107">
        <v>62.3</v>
      </c>
      <c r="C1943" s="107">
        <v>61.8</v>
      </c>
      <c r="D1943" s="107">
        <v>60.1</v>
      </c>
      <c r="E1943" s="107">
        <v>60.35</v>
      </c>
      <c r="F1943" s="107">
        <v>61.8</v>
      </c>
      <c r="G1943">
        <v>2138096</v>
      </c>
      <c r="H1943" s="107"/>
      <c r="I1943" s="107"/>
      <c r="L1943" s="130">
        <v>44866</v>
      </c>
      <c r="M1943" s="107">
        <v>61.8</v>
      </c>
      <c r="N1943" s="107">
        <v>62.35</v>
      </c>
      <c r="O1943" s="107">
        <v>60.1</v>
      </c>
      <c r="P1943" s="107">
        <v>60.5</v>
      </c>
      <c r="Q1943" s="107">
        <v>61.8</v>
      </c>
      <c r="R1943">
        <v>22673305</v>
      </c>
    </row>
    <row r="1944" spans="1:18" x14ac:dyDescent="0.25">
      <c r="A1944" s="130">
        <v>44867</v>
      </c>
      <c r="B1944" s="107">
        <v>62.2</v>
      </c>
      <c r="C1944" s="107">
        <v>61.05</v>
      </c>
      <c r="D1944" s="107">
        <v>59.3</v>
      </c>
      <c r="E1944" s="107">
        <v>61.65</v>
      </c>
      <c r="F1944" s="107">
        <v>61.05</v>
      </c>
      <c r="G1944">
        <v>1894252</v>
      </c>
      <c r="H1944" s="107"/>
      <c r="I1944" s="107"/>
      <c r="L1944" s="130">
        <v>44867</v>
      </c>
      <c r="M1944" s="107">
        <v>61</v>
      </c>
      <c r="N1944" s="107">
        <v>62.15</v>
      </c>
      <c r="O1944" s="107">
        <v>59.25</v>
      </c>
      <c r="P1944" s="107">
        <v>62</v>
      </c>
      <c r="Q1944" s="107">
        <v>61</v>
      </c>
      <c r="R1944">
        <v>14712379</v>
      </c>
    </row>
    <row r="1945" spans="1:18" x14ac:dyDescent="0.25">
      <c r="A1945" s="130">
        <v>44868</v>
      </c>
      <c r="B1945" s="107">
        <v>64.75</v>
      </c>
      <c r="C1945" s="107">
        <v>64</v>
      </c>
      <c r="D1945" s="107">
        <v>60.35</v>
      </c>
      <c r="E1945" s="107">
        <v>60.6</v>
      </c>
      <c r="F1945" s="107">
        <v>64</v>
      </c>
      <c r="G1945">
        <v>5040324</v>
      </c>
      <c r="H1945" s="107"/>
      <c r="I1945" s="107"/>
      <c r="L1945" s="130">
        <v>44868</v>
      </c>
      <c r="M1945" s="107">
        <v>64</v>
      </c>
      <c r="N1945" s="107">
        <v>64.8</v>
      </c>
      <c r="O1945" s="107">
        <v>60.3</v>
      </c>
      <c r="P1945" s="107">
        <v>60.8</v>
      </c>
      <c r="Q1945" s="107">
        <v>64</v>
      </c>
      <c r="R1945">
        <v>45789813</v>
      </c>
    </row>
    <row r="1946" spans="1:18" x14ac:dyDescent="0.25">
      <c r="A1946" s="130">
        <v>44869</v>
      </c>
      <c r="B1946" s="107">
        <v>67.95</v>
      </c>
      <c r="C1946" s="107">
        <v>66.95</v>
      </c>
      <c r="D1946" s="107">
        <v>65.2</v>
      </c>
      <c r="E1946" s="107">
        <v>65.2</v>
      </c>
      <c r="F1946" s="107">
        <v>66.95</v>
      </c>
      <c r="G1946">
        <v>5505311</v>
      </c>
      <c r="H1946" s="107"/>
      <c r="I1946" s="107"/>
      <c r="L1946" s="130">
        <v>44869</v>
      </c>
      <c r="M1946" s="107">
        <v>66.95</v>
      </c>
      <c r="N1946" s="107">
        <v>68</v>
      </c>
      <c r="O1946" s="107">
        <v>65.349999999999994</v>
      </c>
      <c r="P1946" s="107">
        <v>65.400000000000006</v>
      </c>
      <c r="Q1946" s="107">
        <v>66.95</v>
      </c>
      <c r="R1946">
        <v>51275333</v>
      </c>
    </row>
    <row r="1947" spans="1:18" x14ac:dyDescent="0.25">
      <c r="A1947" s="130">
        <v>44872</v>
      </c>
      <c r="B1947" s="107">
        <v>71</v>
      </c>
      <c r="C1947" s="107">
        <v>70.599999999999994</v>
      </c>
      <c r="D1947" s="107">
        <v>68.2</v>
      </c>
      <c r="E1947" s="107">
        <v>68.349999999999994</v>
      </c>
      <c r="F1947" s="107">
        <v>70.599999999999994</v>
      </c>
      <c r="G1947">
        <v>3637279</v>
      </c>
      <c r="H1947" s="107"/>
      <c r="I1947" s="107"/>
      <c r="L1947" s="130">
        <v>44872</v>
      </c>
      <c r="M1947" s="107">
        <v>70.650000000000006</v>
      </c>
      <c r="N1947" s="107">
        <v>71</v>
      </c>
      <c r="O1947" s="107">
        <v>68.099999999999994</v>
      </c>
      <c r="P1947" s="107">
        <v>68.900000000000006</v>
      </c>
      <c r="Q1947" s="107">
        <v>70.650000000000006</v>
      </c>
      <c r="R1947">
        <v>37785088</v>
      </c>
    </row>
    <row r="1948" spans="1:18" x14ac:dyDescent="0.25">
      <c r="A1948" s="130">
        <v>44874</v>
      </c>
      <c r="B1948" s="107">
        <v>77.900000000000006</v>
      </c>
      <c r="C1948" s="107">
        <v>77</v>
      </c>
      <c r="D1948" s="107">
        <v>69.45</v>
      </c>
      <c r="E1948" s="107">
        <v>70.75</v>
      </c>
      <c r="F1948" s="107">
        <v>77</v>
      </c>
      <c r="G1948">
        <v>5610139</v>
      </c>
      <c r="H1948" s="107"/>
      <c r="I1948" s="107"/>
      <c r="L1948" s="130">
        <v>44874</v>
      </c>
      <c r="M1948" s="107">
        <v>76.95</v>
      </c>
      <c r="N1948" s="107">
        <v>77.7</v>
      </c>
      <c r="O1948" s="107">
        <v>69.400000000000006</v>
      </c>
      <c r="P1948" s="107">
        <v>71.25</v>
      </c>
      <c r="Q1948" s="107">
        <v>76.95</v>
      </c>
      <c r="R1948">
        <v>66064082</v>
      </c>
    </row>
    <row r="1949" spans="1:18" x14ac:dyDescent="0.25">
      <c r="A1949" s="130">
        <v>44875</v>
      </c>
      <c r="B1949" s="107">
        <v>77.45</v>
      </c>
      <c r="C1949" s="107">
        <v>73.7</v>
      </c>
      <c r="D1949" s="107">
        <v>72.25</v>
      </c>
      <c r="E1949" s="107">
        <v>76</v>
      </c>
      <c r="F1949" s="107">
        <v>73.7</v>
      </c>
      <c r="G1949">
        <v>2683416</v>
      </c>
      <c r="H1949" s="107"/>
      <c r="I1949" s="107"/>
      <c r="L1949" s="130">
        <v>44875</v>
      </c>
      <c r="M1949" s="107">
        <v>73.7</v>
      </c>
      <c r="N1949" s="107">
        <v>77.5</v>
      </c>
      <c r="O1949" s="107">
        <v>72.25</v>
      </c>
      <c r="P1949" s="107">
        <v>76</v>
      </c>
      <c r="Q1949" s="107">
        <v>73.7</v>
      </c>
      <c r="R1949">
        <v>28076509</v>
      </c>
    </row>
    <row r="1950" spans="1:18" x14ac:dyDescent="0.25">
      <c r="A1950" s="130">
        <v>44876</v>
      </c>
      <c r="B1950" s="107">
        <v>77.099999999999994</v>
      </c>
      <c r="C1950" s="107">
        <v>74.650000000000006</v>
      </c>
      <c r="D1950" s="107">
        <v>73.95</v>
      </c>
      <c r="E1950" s="107">
        <v>75.05</v>
      </c>
      <c r="F1950" s="107">
        <v>74.650000000000006</v>
      </c>
      <c r="G1950">
        <v>1718928</v>
      </c>
      <c r="H1950" s="107"/>
      <c r="I1950" s="107"/>
      <c r="L1950" s="130">
        <v>44876</v>
      </c>
      <c r="M1950" s="107">
        <v>74.599999999999994</v>
      </c>
      <c r="N1950" s="107">
        <v>76</v>
      </c>
      <c r="O1950" s="107">
        <v>74</v>
      </c>
      <c r="P1950" s="107">
        <v>75.349999999999994</v>
      </c>
      <c r="Q1950" s="107">
        <v>74.599999999999994</v>
      </c>
      <c r="R1950">
        <v>17506025</v>
      </c>
    </row>
    <row r="1951" spans="1:18" x14ac:dyDescent="0.25">
      <c r="A1951" s="130">
        <v>44879</v>
      </c>
      <c r="B1951" s="107">
        <v>76.400000000000006</v>
      </c>
      <c r="C1951" s="107">
        <v>75.05</v>
      </c>
      <c r="D1951" s="107">
        <v>72.849999999999994</v>
      </c>
      <c r="E1951" s="107">
        <v>73.95</v>
      </c>
      <c r="F1951" s="107">
        <v>75.05</v>
      </c>
      <c r="G1951">
        <v>1503527</v>
      </c>
      <c r="H1951" s="107"/>
      <c r="I1951" s="107"/>
      <c r="L1951" s="130">
        <v>44879</v>
      </c>
      <c r="M1951" s="107">
        <v>75.05</v>
      </c>
      <c r="N1951" s="107">
        <v>76.45</v>
      </c>
      <c r="O1951" s="107">
        <v>72.8</v>
      </c>
      <c r="P1951" s="107">
        <v>74.099999999999994</v>
      </c>
      <c r="Q1951" s="107">
        <v>75.05</v>
      </c>
      <c r="R1951">
        <v>12588052</v>
      </c>
    </row>
    <row r="1952" spans="1:18" x14ac:dyDescent="0.25">
      <c r="A1952" s="130">
        <v>44880</v>
      </c>
      <c r="B1952" s="107">
        <v>75.2</v>
      </c>
      <c r="C1952" s="107">
        <v>74.2</v>
      </c>
      <c r="D1952" s="107">
        <v>73.5</v>
      </c>
      <c r="E1952" s="107">
        <v>75.05</v>
      </c>
      <c r="F1952" s="107">
        <v>74.2</v>
      </c>
      <c r="G1952">
        <v>787861</v>
      </c>
      <c r="H1952" s="107"/>
      <c r="I1952" s="107"/>
      <c r="L1952" s="130">
        <v>44880</v>
      </c>
      <c r="M1952" s="107">
        <v>74.25</v>
      </c>
      <c r="N1952" s="107">
        <v>75.5</v>
      </c>
      <c r="O1952" s="107">
        <v>73.5</v>
      </c>
      <c r="P1952" s="107">
        <v>75.5</v>
      </c>
      <c r="Q1952" s="107">
        <v>74.25</v>
      </c>
      <c r="R1952">
        <v>8312658</v>
      </c>
    </row>
    <row r="1953" spans="1:18" x14ac:dyDescent="0.25">
      <c r="A1953" s="130">
        <v>44881</v>
      </c>
      <c r="B1953" s="107">
        <v>75.5</v>
      </c>
      <c r="C1953" s="107">
        <v>74.05</v>
      </c>
      <c r="D1953" s="107">
        <v>73.5</v>
      </c>
      <c r="E1953" s="107">
        <v>73.7</v>
      </c>
      <c r="F1953" s="107">
        <v>74.05</v>
      </c>
      <c r="G1953">
        <v>736294</v>
      </c>
      <c r="H1953" s="107"/>
      <c r="I1953" s="107"/>
      <c r="L1953" s="130">
        <v>44881</v>
      </c>
      <c r="M1953" s="107">
        <v>74.05</v>
      </c>
      <c r="N1953" s="107">
        <v>75.5</v>
      </c>
      <c r="O1953" s="107">
        <v>73.5</v>
      </c>
      <c r="P1953" s="107">
        <v>74.2</v>
      </c>
      <c r="Q1953" s="107">
        <v>74.05</v>
      </c>
      <c r="R1953">
        <v>10919208</v>
      </c>
    </row>
    <row r="1954" spans="1:18" x14ac:dyDescent="0.25">
      <c r="A1954" s="130">
        <v>44882</v>
      </c>
      <c r="B1954" s="107">
        <v>75.3</v>
      </c>
      <c r="C1954" s="107">
        <v>74.349999999999994</v>
      </c>
      <c r="D1954" s="107">
        <v>73.400000000000006</v>
      </c>
      <c r="E1954" s="107">
        <v>73.55</v>
      </c>
      <c r="F1954" s="107">
        <v>74.349999999999994</v>
      </c>
      <c r="G1954">
        <v>746704</v>
      </c>
      <c r="H1954" s="107"/>
      <c r="I1954" s="107"/>
      <c r="L1954" s="130">
        <v>44882</v>
      </c>
      <c r="M1954" s="107">
        <v>74.3</v>
      </c>
      <c r="N1954" s="107">
        <v>75.349999999999994</v>
      </c>
      <c r="O1954" s="107">
        <v>73.400000000000006</v>
      </c>
      <c r="P1954" s="107">
        <v>73.849999999999994</v>
      </c>
      <c r="Q1954" s="107">
        <v>74.3</v>
      </c>
      <c r="R1954">
        <v>8874301</v>
      </c>
    </row>
    <row r="1955" spans="1:18" x14ac:dyDescent="0.25">
      <c r="A1955" s="130">
        <v>44883</v>
      </c>
      <c r="B1955" s="107">
        <v>77.900000000000006</v>
      </c>
      <c r="C1955" s="107">
        <v>75.05</v>
      </c>
      <c r="D1955" s="107">
        <v>74</v>
      </c>
      <c r="E1955" s="107">
        <v>74.45</v>
      </c>
      <c r="F1955" s="107">
        <v>75.05</v>
      </c>
      <c r="G1955">
        <v>1993468</v>
      </c>
      <c r="H1955" s="107"/>
      <c r="I1955" s="107"/>
      <c r="L1955" s="130">
        <v>44883</v>
      </c>
      <c r="M1955" s="107">
        <v>75.099999999999994</v>
      </c>
      <c r="N1955" s="107">
        <v>77.900000000000006</v>
      </c>
      <c r="O1955" s="107">
        <v>74</v>
      </c>
      <c r="P1955" s="107">
        <v>74.7</v>
      </c>
      <c r="Q1955" s="107">
        <v>75.099999999999994</v>
      </c>
      <c r="R1955">
        <v>23611698</v>
      </c>
    </row>
    <row r="1956" spans="1:18" x14ac:dyDescent="0.25">
      <c r="A1956" s="130">
        <v>44886</v>
      </c>
      <c r="B1956" s="107">
        <v>78.400000000000006</v>
      </c>
      <c r="C1956" s="107">
        <v>77.099999999999994</v>
      </c>
      <c r="D1956" s="107">
        <v>74.650000000000006</v>
      </c>
      <c r="E1956" s="107">
        <v>75</v>
      </c>
      <c r="F1956" s="107">
        <v>77.099999999999994</v>
      </c>
      <c r="G1956">
        <v>1085278</v>
      </c>
      <c r="H1956" s="107"/>
      <c r="I1956" s="107"/>
      <c r="L1956" s="130">
        <v>44886</v>
      </c>
      <c r="M1956" s="107">
        <v>77.099999999999994</v>
      </c>
      <c r="N1956" s="107">
        <v>78.400000000000006</v>
      </c>
      <c r="O1956" s="107">
        <v>74.650000000000006</v>
      </c>
      <c r="P1956" s="107">
        <v>75</v>
      </c>
      <c r="Q1956" s="107">
        <v>77.099999999999994</v>
      </c>
      <c r="R1956">
        <v>19948870</v>
      </c>
    </row>
    <row r="1957" spans="1:18" x14ac:dyDescent="0.25">
      <c r="A1957" s="130">
        <v>44887</v>
      </c>
      <c r="B1957" s="107">
        <v>80.900000000000006</v>
      </c>
      <c r="C1957" s="107">
        <v>80.400000000000006</v>
      </c>
      <c r="D1957" s="107">
        <v>77.349999999999994</v>
      </c>
      <c r="E1957" s="107">
        <v>78.2</v>
      </c>
      <c r="F1957" s="107">
        <v>80.400000000000006</v>
      </c>
      <c r="G1957">
        <v>2952495</v>
      </c>
      <c r="H1957" s="107"/>
      <c r="I1957" s="107"/>
      <c r="L1957" s="130">
        <v>44887</v>
      </c>
      <c r="M1957" s="107">
        <v>80.45</v>
      </c>
      <c r="N1957" s="107">
        <v>80.95</v>
      </c>
      <c r="O1957" s="107">
        <v>77.349999999999994</v>
      </c>
      <c r="P1957" s="107">
        <v>78.5</v>
      </c>
      <c r="Q1957" s="107">
        <v>80.45</v>
      </c>
      <c r="R1957">
        <v>28943108</v>
      </c>
    </row>
    <row r="1958" spans="1:18" x14ac:dyDescent="0.25">
      <c r="A1958" s="130">
        <v>44888</v>
      </c>
      <c r="B1958" s="107">
        <v>81</v>
      </c>
      <c r="C1958" s="107">
        <v>79.3</v>
      </c>
      <c r="D1958" s="107">
        <v>78.400000000000006</v>
      </c>
      <c r="E1958" s="107">
        <v>80.55</v>
      </c>
      <c r="F1958" s="107">
        <v>79.3</v>
      </c>
      <c r="G1958">
        <v>1303737</v>
      </c>
      <c r="H1958" s="107"/>
      <c r="I1958" s="107"/>
      <c r="L1958" s="130">
        <v>44888</v>
      </c>
      <c r="M1958" s="107">
        <v>79.349999999999994</v>
      </c>
      <c r="N1958" s="107">
        <v>81</v>
      </c>
      <c r="O1958" s="107">
        <v>78.349999999999994</v>
      </c>
      <c r="P1958" s="107">
        <v>81</v>
      </c>
      <c r="Q1958" s="107">
        <v>79.349999999999994</v>
      </c>
      <c r="R1958">
        <v>18982148</v>
      </c>
    </row>
    <row r="1959" spans="1:18" x14ac:dyDescent="0.25">
      <c r="A1959" s="130">
        <v>44889</v>
      </c>
      <c r="B1959" s="107">
        <v>83.25</v>
      </c>
      <c r="C1959" s="107">
        <v>81.25</v>
      </c>
      <c r="D1959" s="107">
        <v>79.599999999999994</v>
      </c>
      <c r="E1959" s="107">
        <v>79.599999999999994</v>
      </c>
      <c r="F1959" s="107">
        <v>81.25</v>
      </c>
      <c r="G1959">
        <v>1829284</v>
      </c>
      <c r="H1959" s="107"/>
      <c r="I1959" s="107"/>
      <c r="L1959" s="130">
        <v>44889</v>
      </c>
      <c r="M1959" s="107">
        <v>81.3</v>
      </c>
      <c r="N1959" s="107">
        <v>83.25</v>
      </c>
      <c r="O1959" s="107">
        <v>79.599999999999994</v>
      </c>
      <c r="P1959" s="107">
        <v>79.599999999999994</v>
      </c>
      <c r="Q1959" s="107">
        <v>81.3</v>
      </c>
      <c r="R1959">
        <v>26150814</v>
      </c>
    </row>
    <row r="1960" spans="1:18" x14ac:dyDescent="0.25">
      <c r="A1960" s="130">
        <v>44890</v>
      </c>
      <c r="B1960" s="107">
        <v>84.6</v>
      </c>
      <c r="C1960" s="107">
        <v>81.75</v>
      </c>
      <c r="D1960" s="107">
        <v>81</v>
      </c>
      <c r="E1960" s="107">
        <v>82</v>
      </c>
      <c r="F1960" s="107">
        <v>81.75</v>
      </c>
      <c r="G1960">
        <v>1233970</v>
      </c>
      <c r="H1960" s="107"/>
      <c r="I1960" s="107"/>
      <c r="L1960" s="130">
        <v>44890</v>
      </c>
      <c r="M1960" s="107">
        <v>81.8</v>
      </c>
      <c r="N1960" s="107">
        <v>84.6</v>
      </c>
      <c r="O1960" s="107">
        <v>81</v>
      </c>
      <c r="P1960" s="107">
        <v>82.05</v>
      </c>
      <c r="Q1960" s="107">
        <v>81.8</v>
      </c>
      <c r="R1960">
        <v>17424428</v>
      </c>
    </row>
    <row r="1961" spans="1:18" x14ac:dyDescent="0.25">
      <c r="A1961" s="130">
        <v>44893</v>
      </c>
      <c r="B1961" s="107">
        <v>83.15</v>
      </c>
      <c r="C1961" s="107">
        <v>81.349999999999994</v>
      </c>
      <c r="D1961" s="107">
        <v>79.650000000000006</v>
      </c>
      <c r="E1961" s="107">
        <v>82</v>
      </c>
      <c r="F1961" s="107">
        <v>81.349999999999994</v>
      </c>
      <c r="G1961">
        <v>772963</v>
      </c>
      <c r="H1961" s="107"/>
      <c r="I1961" s="107"/>
      <c r="L1961" s="130">
        <v>44893</v>
      </c>
      <c r="M1961" s="107">
        <v>81.25</v>
      </c>
      <c r="N1961" s="107">
        <v>83.15</v>
      </c>
      <c r="O1961" s="107">
        <v>79.7</v>
      </c>
      <c r="P1961" s="107">
        <v>81.8</v>
      </c>
      <c r="Q1961" s="107">
        <v>81.25</v>
      </c>
      <c r="R1961">
        <v>11460216</v>
      </c>
    </row>
    <row r="1962" spans="1:18" x14ac:dyDescent="0.25">
      <c r="A1962" s="130">
        <v>44894</v>
      </c>
      <c r="B1962" s="107">
        <v>85.5</v>
      </c>
      <c r="C1962" s="107">
        <v>83.75</v>
      </c>
      <c r="D1962" s="107">
        <v>81.099999999999994</v>
      </c>
      <c r="E1962" s="107">
        <v>81.349999999999994</v>
      </c>
      <c r="F1962" s="107">
        <v>83.75</v>
      </c>
      <c r="G1962">
        <v>2399057</v>
      </c>
      <c r="H1962" s="107"/>
      <c r="I1962" s="107"/>
      <c r="L1962" s="130">
        <v>44894</v>
      </c>
      <c r="M1962" s="107">
        <v>83.75</v>
      </c>
      <c r="N1962" s="107">
        <v>85.5</v>
      </c>
      <c r="O1962" s="107">
        <v>81.150000000000006</v>
      </c>
      <c r="P1962" s="107">
        <v>81.599999999999994</v>
      </c>
      <c r="Q1962" s="107">
        <v>83.75</v>
      </c>
      <c r="R1962">
        <v>22577829</v>
      </c>
    </row>
    <row r="1963" spans="1:18" x14ac:dyDescent="0.25">
      <c r="A1963" s="130">
        <v>44895</v>
      </c>
      <c r="B1963" s="107">
        <v>85</v>
      </c>
      <c r="C1963" s="107">
        <v>82.25</v>
      </c>
      <c r="D1963" s="107">
        <v>81.7</v>
      </c>
      <c r="E1963" s="107">
        <v>83.9</v>
      </c>
      <c r="F1963" s="107">
        <v>82.25</v>
      </c>
      <c r="G1963">
        <v>957351</v>
      </c>
      <c r="H1963" s="107"/>
      <c r="I1963" s="107"/>
      <c r="L1963" s="130">
        <v>44895</v>
      </c>
      <c r="M1963" s="107">
        <v>82.3</v>
      </c>
      <c r="N1963" s="107">
        <v>85</v>
      </c>
      <c r="O1963" s="107">
        <v>81.8</v>
      </c>
      <c r="P1963" s="107">
        <v>84.2</v>
      </c>
      <c r="Q1963" s="107">
        <v>82.3</v>
      </c>
      <c r="R1963">
        <v>10057927</v>
      </c>
    </row>
    <row r="1964" spans="1:18" x14ac:dyDescent="0.25">
      <c r="A1964" s="130">
        <v>44896</v>
      </c>
      <c r="B1964" s="107">
        <v>84</v>
      </c>
      <c r="C1964" s="107">
        <v>83.1</v>
      </c>
      <c r="D1964" s="107">
        <v>80.2</v>
      </c>
      <c r="E1964" s="107">
        <v>82.75</v>
      </c>
      <c r="F1964" s="107">
        <v>83.1</v>
      </c>
      <c r="G1964">
        <v>1181625</v>
      </c>
      <c r="H1964" s="107"/>
      <c r="I1964" s="107"/>
      <c r="L1964" s="130">
        <v>44896</v>
      </c>
      <c r="M1964" s="107">
        <v>83.1</v>
      </c>
      <c r="N1964" s="107">
        <v>84</v>
      </c>
      <c r="O1964" s="107">
        <v>80.150000000000006</v>
      </c>
      <c r="P1964" s="107">
        <v>82.55</v>
      </c>
      <c r="Q1964" s="107">
        <v>83.1</v>
      </c>
      <c r="R1964">
        <v>16662882</v>
      </c>
    </row>
    <row r="1965" spans="1:18" x14ac:dyDescent="0.25">
      <c r="A1965" s="130">
        <v>44897</v>
      </c>
      <c r="B1965" s="107">
        <v>85.6</v>
      </c>
      <c r="C1965" s="107">
        <v>84.5</v>
      </c>
      <c r="D1965" s="107">
        <v>82.55</v>
      </c>
      <c r="E1965" s="107">
        <v>82.8</v>
      </c>
      <c r="F1965" s="107">
        <v>84.5</v>
      </c>
      <c r="G1965">
        <v>1336991</v>
      </c>
      <c r="H1965" s="107"/>
      <c r="I1965" s="107"/>
      <c r="L1965" s="130">
        <v>44897</v>
      </c>
      <c r="M1965" s="107">
        <v>84.55</v>
      </c>
      <c r="N1965" s="107">
        <v>85.7</v>
      </c>
      <c r="O1965" s="107">
        <v>82.5</v>
      </c>
      <c r="P1965" s="107">
        <v>82.5</v>
      </c>
      <c r="Q1965" s="107">
        <v>84.55</v>
      </c>
      <c r="R1965">
        <v>19118072</v>
      </c>
    </row>
    <row r="1966" spans="1:18" x14ac:dyDescent="0.25">
      <c r="A1966" s="130">
        <v>44900</v>
      </c>
      <c r="B1966" s="107">
        <v>87.5</v>
      </c>
      <c r="C1966" s="107">
        <v>86.25</v>
      </c>
      <c r="D1966" s="107">
        <v>84.6</v>
      </c>
      <c r="E1966" s="107">
        <v>84.6</v>
      </c>
      <c r="F1966" s="107">
        <v>86.25</v>
      </c>
      <c r="G1966">
        <v>1156971</v>
      </c>
      <c r="H1966" s="107"/>
      <c r="I1966" s="107"/>
      <c r="L1966" s="130">
        <v>44900</v>
      </c>
      <c r="M1966" s="107">
        <v>86.3</v>
      </c>
      <c r="N1966" s="107">
        <v>87.5</v>
      </c>
      <c r="O1966" s="107">
        <v>84.9</v>
      </c>
      <c r="P1966" s="107">
        <v>85.1</v>
      </c>
      <c r="Q1966" s="107">
        <v>86.3</v>
      </c>
      <c r="R1966">
        <v>16512468</v>
      </c>
    </row>
    <row r="1967" spans="1:18" x14ac:dyDescent="0.25">
      <c r="A1967" s="130">
        <v>44901</v>
      </c>
      <c r="B1967" s="107">
        <v>94.85</v>
      </c>
      <c r="C1967" s="107">
        <v>90.25</v>
      </c>
      <c r="D1967" s="107">
        <v>87.25</v>
      </c>
      <c r="E1967" s="107">
        <v>87.25</v>
      </c>
      <c r="F1967" s="107">
        <v>90.25</v>
      </c>
      <c r="G1967">
        <v>4011706</v>
      </c>
      <c r="H1967" s="107"/>
      <c r="I1967" s="107"/>
      <c r="L1967" s="130">
        <v>44901</v>
      </c>
      <c r="M1967" s="107">
        <v>90.3</v>
      </c>
      <c r="N1967" s="107">
        <v>94.9</v>
      </c>
      <c r="O1967" s="107">
        <v>87.35</v>
      </c>
      <c r="P1967" s="107">
        <v>87.5</v>
      </c>
      <c r="Q1967" s="107">
        <v>90.3</v>
      </c>
      <c r="R1967">
        <v>64566563</v>
      </c>
    </row>
    <row r="1968" spans="1:18" x14ac:dyDescent="0.25">
      <c r="A1968" s="130">
        <v>44902</v>
      </c>
      <c r="B1968" s="107">
        <v>95.15</v>
      </c>
      <c r="C1968" s="107">
        <v>92.85</v>
      </c>
      <c r="D1968" s="107">
        <v>90.5</v>
      </c>
      <c r="E1968" s="107">
        <v>92.35</v>
      </c>
      <c r="F1968" s="107">
        <v>92.85</v>
      </c>
      <c r="G1968">
        <v>2589013</v>
      </c>
      <c r="H1968" s="107"/>
      <c r="I1968" s="107"/>
      <c r="L1968" s="130">
        <v>44902</v>
      </c>
      <c r="M1968" s="107">
        <v>92.85</v>
      </c>
      <c r="N1968" s="107">
        <v>95.2</v>
      </c>
      <c r="O1968" s="107">
        <v>90.55</v>
      </c>
      <c r="P1968" s="107">
        <v>91.7</v>
      </c>
      <c r="Q1968" s="107">
        <v>92.85</v>
      </c>
      <c r="R1968">
        <v>40632070</v>
      </c>
    </row>
    <row r="1969" spans="1:18" x14ac:dyDescent="0.25">
      <c r="A1969" s="130">
        <v>44903</v>
      </c>
      <c r="B1969" s="107">
        <v>101</v>
      </c>
      <c r="C1969" s="107">
        <v>100.25</v>
      </c>
      <c r="D1969" s="107">
        <v>93.25</v>
      </c>
      <c r="E1969" s="107">
        <v>93.25</v>
      </c>
      <c r="F1969" s="107">
        <v>100.25</v>
      </c>
      <c r="G1969">
        <v>5361426</v>
      </c>
      <c r="H1969" s="107"/>
      <c r="I1969" s="107"/>
      <c r="L1969" s="130">
        <v>44903</v>
      </c>
      <c r="M1969" s="107">
        <v>100.2</v>
      </c>
      <c r="N1969" s="107">
        <v>101.2</v>
      </c>
      <c r="O1969" s="107">
        <v>93.45</v>
      </c>
      <c r="P1969" s="107">
        <v>93.6</v>
      </c>
      <c r="Q1969" s="107">
        <v>100.2</v>
      </c>
      <c r="R1969">
        <v>65938068</v>
      </c>
    </row>
    <row r="1970" spans="1:18" x14ac:dyDescent="0.25">
      <c r="A1970" s="130">
        <v>44904</v>
      </c>
      <c r="B1970" s="107">
        <v>103</v>
      </c>
      <c r="C1970" s="107">
        <v>95.25</v>
      </c>
      <c r="D1970" s="107">
        <v>90.65</v>
      </c>
      <c r="E1970" s="107">
        <v>101.8</v>
      </c>
      <c r="F1970" s="107">
        <v>95.25</v>
      </c>
      <c r="G1970">
        <v>6966865</v>
      </c>
      <c r="H1970" s="107"/>
      <c r="I1970" s="107"/>
      <c r="L1970" s="130">
        <v>44904</v>
      </c>
      <c r="M1970" s="107">
        <v>95.25</v>
      </c>
      <c r="N1970" s="107">
        <v>102.85</v>
      </c>
      <c r="O1970" s="107">
        <v>90.7</v>
      </c>
      <c r="P1970" s="107">
        <v>101.8</v>
      </c>
      <c r="Q1970" s="107">
        <v>95.25</v>
      </c>
      <c r="R1970">
        <v>64253084</v>
      </c>
    </row>
    <row r="1971" spans="1:18" x14ac:dyDescent="0.25">
      <c r="A1971" s="130">
        <v>44907</v>
      </c>
      <c r="B1971" s="107">
        <v>99.15</v>
      </c>
      <c r="C1971" s="107">
        <v>97.95</v>
      </c>
      <c r="D1971" s="107">
        <v>93.15</v>
      </c>
      <c r="E1971" s="107">
        <v>94.25</v>
      </c>
      <c r="F1971" s="107">
        <v>97.95</v>
      </c>
      <c r="G1971">
        <v>2975082</v>
      </c>
      <c r="H1971" s="107"/>
      <c r="I1971" s="107"/>
      <c r="L1971" s="130">
        <v>44907</v>
      </c>
      <c r="M1971" s="107">
        <v>98</v>
      </c>
      <c r="N1971" s="107">
        <v>99.1</v>
      </c>
      <c r="O1971" s="107">
        <v>93.2</v>
      </c>
      <c r="P1971" s="107">
        <v>94.6</v>
      </c>
      <c r="Q1971" s="107">
        <v>98</v>
      </c>
      <c r="R1971">
        <v>32045806</v>
      </c>
    </row>
    <row r="1972" spans="1:18" x14ac:dyDescent="0.25">
      <c r="A1972" s="130">
        <v>44908</v>
      </c>
      <c r="B1972" s="107">
        <v>103.4</v>
      </c>
      <c r="C1972" s="107">
        <v>101.8</v>
      </c>
      <c r="D1972" s="107">
        <v>97.35</v>
      </c>
      <c r="E1972" s="107">
        <v>98.75</v>
      </c>
      <c r="F1972" s="107">
        <v>101.8</v>
      </c>
      <c r="G1972">
        <v>3077371</v>
      </c>
      <c r="H1972" s="107"/>
      <c r="I1972" s="107"/>
      <c r="L1972" s="130">
        <v>44908</v>
      </c>
      <c r="M1972" s="107">
        <v>101.8</v>
      </c>
      <c r="N1972" s="107">
        <v>102.95</v>
      </c>
      <c r="O1972" s="107">
        <v>97.3</v>
      </c>
      <c r="P1972" s="107">
        <v>98.5</v>
      </c>
      <c r="Q1972" s="107">
        <v>101.8</v>
      </c>
      <c r="R1972">
        <v>38377035</v>
      </c>
    </row>
    <row r="1973" spans="1:18" x14ac:dyDescent="0.25">
      <c r="A1973" s="130">
        <v>44909</v>
      </c>
      <c r="B1973" s="107">
        <v>102.8</v>
      </c>
      <c r="C1973" s="107">
        <v>99.5</v>
      </c>
      <c r="D1973" s="107">
        <v>98.85</v>
      </c>
      <c r="E1973" s="107">
        <v>102</v>
      </c>
      <c r="F1973" s="107">
        <v>99.5</v>
      </c>
      <c r="G1973">
        <v>2617794</v>
      </c>
      <c r="H1973" s="107"/>
      <c r="I1973" s="107"/>
      <c r="L1973" s="130">
        <v>44909</v>
      </c>
      <c r="M1973" s="107">
        <v>99.55</v>
      </c>
      <c r="N1973" s="107">
        <v>102.7</v>
      </c>
      <c r="O1973" s="107">
        <v>98.8</v>
      </c>
      <c r="P1973" s="107">
        <v>102.3</v>
      </c>
      <c r="Q1973" s="107">
        <v>99.55</v>
      </c>
      <c r="R1973">
        <v>28459879</v>
      </c>
    </row>
    <row r="1974" spans="1:18" x14ac:dyDescent="0.25">
      <c r="A1974" s="130">
        <v>44910</v>
      </c>
      <c r="B1974" s="107">
        <v>103.5</v>
      </c>
      <c r="C1974" s="107">
        <v>94.3</v>
      </c>
      <c r="D1974" s="107">
        <v>93.5</v>
      </c>
      <c r="E1974" s="107">
        <v>100.1</v>
      </c>
      <c r="F1974" s="107">
        <v>94.3</v>
      </c>
      <c r="G1974">
        <v>3663615</v>
      </c>
      <c r="H1974" s="107"/>
      <c r="I1974" s="107"/>
      <c r="L1974" s="130">
        <v>44910</v>
      </c>
      <c r="M1974" s="107">
        <v>94.45</v>
      </c>
      <c r="N1974" s="107">
        <v>103.5</v>
      </c>
      <c r="O1974" s="107">
        <v>94</v>
      </c>
      <c r="P1974" s="107">
        <v>99.8</v>
      </c>
      <c r="Q1974" s="107">
        <v>94.45</v>
      </c>
      <c r="R1974">
        <v>54070468</v>
      </c>
    </row>
    <row r="1975" spans="1:18" x14ac:dyDescent="0.25">
      <c r="A1975" s="130">
        <v>44911</v>
      </c>
      <c r="B1975" s="107">
        <v>95.65</v>
      </c>
      <c r="C1975" s="107">
        <v>91.05</v>
      </c>
      <c r="D1975" s="107">
        <v>90.7</v>
      </c>
      <c r="E1975" s="107">
        <v>94</v>
      </c>
      <c r="F1975" s="107">
        <v>91.05</v>
      </c>
      <c r="G1975">
        <v>2336501</v>
      </c>
      <c r="H1975" s="107"/>
      <c r="I1975" s="107"/>
      <c r="L1975" s="130">
        <v>44911</v>
      </c>
      <c r="M1975" s="107">
        <v>91.05</v>
      </c>
      <c r="N1975" s="107">
        <v>95.65</v>
      </c>
      <c r="O1975" s="107">
        <v>90.6</v>
      </c>
      <c r="P1975" s="107">
        <v>94.5</v>
      </c>
      <c r="Q1975" s="107">
        <v>91.05</v>
      </c>
      <c r="R1975">
        <v>31214748</v>
      </c>
    </row>
    <row r="1976" spans="1:18" x14ac:dyDescent="0.25">
      <c r="A1976" s="130">
        <v>44914</v>
      </c>
      <c r="B1976" s="107">
        <v>92.5</v>
      </c>
      <c r="C1976" s="107">
        <v>89.95</v>
      </c>
      <c r="D1976" s="107">
        <v>88.5</v>
      </c>
      <c r="E1976" s="107">
        <v>91.95</v>
      </c>
      <c r="F1976" s="107">
        <v>89.95</v>
      </c>
      <c r="G1976">
        <v>2309777</v>
      </c>
      <c r="H1976" s="107"/>
      <c r="I1976" s="107"/>
      <c r="L1976" s="130">
        <v>44914</v>
      </c>
      <c r="M1976" s="107">
        <v>90.05</v>
      </c>
      <c r="N1976" s="107">
        <v>92.45</v>
      </c>
      <c r="O1976" s="107">
        <v>88.5</v>
      </c>
      <c r="P1976" s="107">
        <v>91.55</v>
      </c>
      <c r="Q1976" s="107">
        <v>90.05</v>
      </c>
      <c r="R1976">
        <v>22859602</v>
      </c>
    </row>
    <row r="1977" spans="1:18" x14ac:dyDescent="0.25">
      <c r="A1977" s="130">
        <v>44915</v>
      </c>
      <c r="B1977" s="107">
        <v>91</v>
      </c>
      <c r="C1977" s="107">
        <v>88.5</v>
      </c>
      <c r="D1977" s="107">
        <v>87.4</v>
      </c>
      <c r="E1977" s="107">
        <v>91</v>
      </c>
      <c r="F1977" s="107">
        <v>88.5</v>
      </c>
      <c r="G1977">
        <v>1024213</v>
      </c>
      <c r="H1977" s="107"/>
      <c r="I1977" s="107"/>
      <c r="L1977" s="130">
        <v>44915</v>
      </c>
      <c r="M1977" s="107">
        <v>88.5</v>
      </c>
      <c r="N1977" s="107">
        <v>90.8</v>
      </c>
      <c r="O1977" s="107">
        <v>87.45</v>
      </c>
      <c r="P1977" s="107">
        <v>90.8</v>
      </c>
      <c r="Q1977" s="107">
        <v>88.5</v>
      </c>
      <c r="R1977">
        <v>15966771</v>
      </c>
    </row>
    <row r="1978" spans="1:18" x14ac:dyDescent="0.25">
      <c r="A1978" s="130">
        <v>44916</v>
      </c>
      <c r="B1978" s="107">
        <v>93.9</v>
      </c>
      <c r="C1978" s="107">
        <v>86.65</v>
      </c>
      <c r="D1978" s="107">
        <v>85.5</v>
      </c>
      <c r="E1978" s="107">
        <v>88.65</v>
      </c>
      <c r="F1978" s="107">
        <v>86.65</v>
      </c>
      <c r="G1978">
        <v>3485770</v>
      </c>
      <c r="H1978" s="107"/>
      <c r="I1978" s="107"/>
      <c r="L1978" s="130">
        <v>44916</v>
      </c>
      <c r="M1978" s="107">
        <v>86.6</v>
      </c>
      <c r="N1978" s="107">
        <v>93.95</v>
      </c>
      <c r="O1978" s="107">
        <v>85.55</v>
      </c>
      <c r="P1978" s="107">
        <v>89</v>
      </c>
      <c r="Q1978" s="107">
        <v>86.6</v>
      </c>
      <c r="R1978">
        <v>36766532</v>
      </c>
    </row>
    <row r="1979" spans="1:18" x14ac:dyDescent="0.25">
      <c r="A1979" s="130">
        <v>44917</v>
      </c>
      <c r="B1979" s="107">
        <v>88.8</v>
      </c>
      <c r="C1979" s="107">
        <v>83.1</v>
      </c>
      <c r="D1979" s="107">
        <v>81.150000000000006</v>
      </c>
      <c r="E1979" s="107">
        <v>87.25</v>
      </c>
      <c r="F1979" s="107">
        <v>83.1</v>
      </c>
      <c r="G1979">
        <v>3685997</v>
      </c>
      <c r="H1979" s="107"/>
      <c r="I1979" s="107"/>
      <c r="L1979" s="130">
        <v>44917</v>
      </c>
      <c r="M1979" s="107">
        <v>83.15</v>
      </c>
      <c r="N1979" s="107">
        <v>88.85</v>
      </c>
      <c r="O1979" s="107">
        <v>81.150000000000006</v>
      </c>
      <c r="P1979" s="107">
        <v>87.75</v>
      </c>
      <c r="Q1979" s="107">
        <v>83.15</v>
      </c>
      <c r="R1979">
        <v>34029343</v>
      </c>
    </row>
    <row r="1980" spans="1:18" x14ac:dyDescent="0.25">
      <c r="A1980" s="130">
        <v>44918</v>
      </c>
      <c r="B1980" s="107">
        <v>82.45</v>
      </c>
      <c r="C1980" s="107">
        <v>77.45</v>
      </c>
      <c r="D1980" s="107">
        <v>76.7</v>
      </c>
      <c r="E1980" s="107">
        <v>81.5</v>
      </c>
      <c r="F1980" s="107">
        <v>77.45</v>
      </c>
      <c r="G1980">
        <v>2187797</v>
      </c>
      <c r="H1980" s="107"/>
      <c r="I1980" s="107"/>
      <c r="L1980" s="130">
        <v>44918</v>
      </c>
      <c r="M1980" s="107">
        <v>77.400000000000006</v>
      </c>
      <c r="N1980" s="107">
        <v>82.5</v>
      </c>
      <c r="O1980" s="107">
        <v>76.650000000000006</v>
      </c>
      <c r="P1980" s="107">
        <v>82.1</v>
      </c>
      <c r="Q1980" s="107">
        <v>77.400000000000006</v>
      </c>
      <c r="R1980">
        <v>33696758</v>
      </c>
    </row>
    <row r="1981" spans="1:18" x14ac:dyDescent="0.25">
      <c r="A1981" s="130">
        <v>44921</v>
      </c>
      <c r="B1981" s="107">
        <v>88.55</v>
      </c>
      <c r="C1981" s="107">
        <v>87.35</v>
      </c>
      <c r="D1981" s="107">
        <v>74.8</v>
      </c>
      <c r="E1981" s="107">
        <v>76.650000000000006</v>
      </c>
      <c r="F1981" s="107">
        <v>87.35</v>
      </c>
      <c r="G1981">
        <v>3903618</v>
      </c>
      <c r="H1981" s="107"/>
      <c r="I1981" s="107"/>
      <c r="L1981" s="130">
        <v>44921</v>
      </c>
      <c r="M1981" s="107">
        <v>87.45</v>
      </c>
      <c r="N1981" s="107">
        <v>88.7</v>
      </c>
      <c r="O1981" s="107">
        <v>75</v>
      </c>
      <c r="P1981" s="107">
        <v>77.400000000000006</v>
      </c>
      <c r="Q1981" s="107">
        <v>87.45</v>
      </c>
      <c r="R1981">
        <v>44666926</v>
      </c>
    </row>
    <row r="1982" spans="1:18" x14ac:dyDescent="0.25">
      <c r="A1982" s="130">
        <v>44922</v>
      </c>
      <c r="B1982" s="107">
        <v>90.5</v>
      </c>
      <c r="C1982" s="107">
        <v>88.9</v>
      </c>
      <c r="D1982" s="107">
        <v>86.75</v>
      </c>
      <c r="E1982" s="107">
        <v>89.5</v>
      </c>
      <c r="F1982" s="107">
        <v>88.9</v>
      </c>
      <c r="G1982">
        <v>1848788</v>
      </c>
      <c r="H1982" s="107"/>
      <c r="I1982" s="107"/>
      <c r="L1982" s="130">
        <v>44922</v>
      </c>
      <c r="M1982" s="107">
        <v>88.9</v>
      </c>
      <c r="N1982" s="107">
        <v>90.5</v>
      </c>
      <c r="O1982" s="107">
        <v>86.7</v>
      </c>
      <c r="P1982" s="107">
        <v>89.25</v>
      </c>
      <c r="Q1982" s="107">
        <v>88.9</v>
      </c>
      <c r="R1982">
        <v>28152129</v>
      </c>
    </row>
    <row r="1983" spans="1:18" x14ac:dyDescent="0.25">
      <c r="A1983" s="130">
        <v>44923</v>
      </c>
      <c r="B1983" s="107">
        <v>91.45</v>
      </c>
      <c r="C1983" s="107">
        <v>87.1</v>
      </c>
      <c r="D1983" s="107">
        <v>85.35</v>
      </c>
      <c r="E1983" s="107">
        <v>88.95</v>
      </c>
      <c r="F1983" s="107">
        <v>87.1</v>
      </c>
      <c r="G1983">
        <v>2822340</v>
      </c>
      <c r="H1983" s="107"/>
      <c r="I1983" s="107"/>
      <c r="L1983" s="130">
        <v>44923</v>
      </c>
      <c r="M1983" s="107">
        <v>87.15</v>
      </c>
      <c r="N1983" s="107">
        <v>91.45</v>
      </c>
      <c r="O1983" s="107">
        <v>85.1</v>
      </c>
      <c r="P1983" s="107">
        <v>89.3</v>
      </c>
      <c r="Q1983" s="107">
        <v>87.15</v>
      </c>
      <c r="R1983">
        <v>29300061</v>
      </c>
    </row>
    <row r="1984" spans="1:18" x14ac:dyDescent="0.25">
      <c r="A1984" s="130">
        <v>44924</v>
      </c>
      <c r="B1984" s="107">
        <v>87.35</v>
      </c>
      <c r="C1984" s="107">
        <v>86.15</v>
      </c>
      <c r="D1984" s="107">
        <v>84.3</v>
      </c>
      <c r="E1984" s="107">
        <v>87.1</v>
      </c>
      <c r="F1984" s="107">
        <v>86.15</v>
      </c>
      <c r="G1984">
        <v>1961561</v>
      </c>
      <c r="H1984" s="107"/>
      <c r="I1984" s="107"/>
      <c r="L1984" s="130">
        <v>44924</v>
      </c>
      <c r="M1984" s="107">
        <v>86.2</v>
      </c>
      <c r="N1984" s="107">
        <v>87.45</v>
      </c>
      <c r="O1984" s="107">
        <v>84.3</v>
      </c>
      <c r="P1984" s="107">
        <v>86.7</v>
      </c>
      <c r="Q1984" s="107">
        <v>86.2</v>
      </c>
      <c r="R1984">
        <v>26957053</v>
      </c>
    </row>
    <row r="1985" spans="1:18" x14ac:dyDescent="0.25">
      <c r="A1985" s="130">
        <v>44925</v>
      </c>
      <c r="B1985" s="107">
        <v>89.75</v>
      </c>
      <c r="C1985" s="107">
        <v>88.2</v>
      </c>
      <c r="D1985" s="107">
        <v>86.9</v>
      </c>
      <c r="E1985" s="107">
        <v>87.35</v>
      </c>
      <c r="F1985" s="107">
        <v>88.2</v>
      </c>
      <c r="G1985">
        <v>1576669</v>
      </c>
      <c r="H1985" s="107"/>
      <c r="I1985" s="107"/>
      <c r="L1985" s="130">
        <v>44925</v>
      </c>
      <c r="M1985" s="107">
        <v>88.25</v>
      </c>
      <c r="N1985" s="107">
        <v>89.75</v>
      </c>
      <c r="O1985" s="107">
        <v>86.75</v>
      </c>
      <c r="P1985" s="107">
        <v>87.3</v>
      </c>
      <c r="Q1985" s="107">
        <v>88.25</v>
      </c>
      <c r="R1985">
        <v>23297296</v>
      </c>
    </row>
    <row r="1986" spans="1:18" x14ac:dyDescent="0.25">
      <c r="A1986" s="130">
        <v>44928</v>
      </c>
      <c r="B1986" s="107">
        <v>92.25</v>
      </c>
      <c r="C1986" s="107">
        <v>91.4</v>
      </c>
      <c r="D1986" s="107">
        <v>88.25</v>
      </c>
      <c r="E1986" s="107">
        <v>88.65</v>
      </c>
      <c r="F1986" s="107">
        <v>91.4</v>
      </c>
      <c r="G1986">
        <v>1690546</v>
      </c>
      <c r="H1986" s="107"/>
      <c r="I1986" s="107"/>
      <c r="L1986" s="130">
        <v>44928</v>
      </c>
      <c r="M1986" s="107">
        <v>91.5</v>
      </c>
      <c r="N1986" s="107">
        <v>92.4</v>
      </c>
      <c r="O1986" s="107">
        <v>88.25</v>
      </c>
      <c r="P1986" s="107">
        <v>88.95</v>
      </c>
      <c r="Q1986" s="107">
        <v>91.5</v>
      </c>
      <c r="R1986">
        <v>24017164</v>
      </c>
    </row>
    <row r="1987" spans="1:18" x14ac:dyDescent="0.25">
      <c r="A1987" s="130">
        <v>44929</v>
      </c>
      <c r="B1987" s="107">
        <v>94.5</v>
      </c>
      <c r="C1987" s="107">
        <v>93.7</v>
      </c>
      <c r="D1987" s="107">
        <v>92.25</v>
      </c>
      <c r="E1987" s="107">
        <v>92.45</v>
      </c>
      <c r="F1987" s="107">
        <v>93.7</v>
      </c>
      <c r="G1987">
        <v>2243447</v>
      </c>
      <c r="H1987" s="107"/>
      <c r="I1987" s="107"/>
      <c r="L1987" s="130">
        <v>44929</v>
      </c>
      <c r="M1987" s="107">
        <v>93.7</v>
      </c>
      <c r="N1987" s="107">
        <v>94.5</v>
      </c>
      <c r="O1987" s="107">
        <v>92.15</v>
      </c>
      <c r="P1987" s="107">
        <v>92.3</v>
      </c>
      <c r="Q1987" s="107">
        <v>93.7</v>
      </c>
      <c r="R1987">
        <v>28822322</v>
      </c>
    </row>
    <row r="1988" spans="1:18" x14ac:dyDescent="0.25">
      <c r="A1988" s="130">
        <v>44930</v>
      </c>
      <c r="B1988" s="107">
        <v>95.85</v>
      </c>
      <c r="C1988" s="107">
        <v>94.15</v>
      </c>
      <c r="D1988" s="107">
        <v>92.2</v>
      </c>
      <c r="E1988" s="107">
        <v>94.2</v>
      </c>
      <c r="F1988" s="107">
        <v>94.15</v>
      </c>
      <c r="G1988">
        <v>3144827</v>
      </c>
      <c r="H1988" s="107"/>
      <c r="I1988" s="107"/>
      <c r="L1988" s="130">
        <v>44930</v>
      </c>
      <c r="M1988" s="107">
        <v>94.15</v>
      </c>
      <c r="N1988" s="107">
        <v>95.9</v>
      </c>
      <c r="O1988" s="107">
        <v>92.15</v>
      </c>
      <c r="P1988" s="107">
        <v>94.55</v>
      </c>
      <c r="Q1988" s="107">
        <v>94.15</v>
      </c>
      <c r="R1988">
        <v>32925860</v>
      </c>
    </row>
    <row r="1989" spans="1:18" x14ac:dyDescent="0.25">
      <c r="A1989" s="130">
        <v>44931</v>
      </c>
      <c r="B1989" s="107">
        <v>95.85</v>
      </c>
      <c r="C1989" s="107">
        <v>94.2</v>
      </c>
      <c r="D1989" s="107">
        <v>92.2</v>
      </c>
      <c r="E1989" s="107">
        <v>94.3</v>
      </c>
      <c r="F1989" s="107">
        <v>94.2</v>
      </c>
      <c r="G1989">
        <v>3074147</v>
      </c>
      <c r="H1989" s="107"/>
      <c r="I1989" s="107"/>
      <c r="L1989" s="130">
        <v>44931</v>
      </c>
      <c r="M1989" s="107">
        <v>94.2</v>
      </c>
      <c r="N1989" s="107">
        <v>95.9</v>
      </c>
      <c r="O1989" s="107">
        <v>92.1</v>
      </c>
      <c r="P1989" s="107">
        <v>94.5</v>
      </c>
      <c r="Q1989" s="107">
        <v>94.2</v>
      </c>
      <c r="R1989">
        <v>23254902</v>
      </c>
    </row>
    <row r="1990" spans="1:18" x14ac:dyDescent="0.25">
      <c r="A1990" s="130">
        <v>44932</v>
      </c>
      <c r="B1990" s="107">
        <v>95.15</v>
      </c>
      <c r="C1990" s="107">
        <v>93.5</v>
      </c>
      <c r="D1990" s="107">
        <v>92.5</v>
      </c>
      <c r="E1990" s="107">
        <v>94.4</v>
      </c>
      <c r="F1990" s="107">
        <v>93.5</v>
      </c>
      <c r="G1990">
        <v>1469542</v>
      </c>
      <c r="H1990" s="107"/>
      <c r="I1990" s="107"/>
      <c r="L1990" s="130">
        <v>44932</v>
      </c>
      <c r="M1990" s="107">
        <v>93.45</v>
      </c>
      <c r="N1990" s="107">
        <v>95.2</v>
      </c>
      <c r="O1990" s="107">
        <v>92.55</v>
      </c>
      <c r="P1990" s="107">
        <v>94.85</v>
      </c>
      <c r="Q1990" s="107">
        <v>93.45</v>
      </c>
      <c r="R1990">
        <v>14508676</v>
      </c>
    </row>
    <row r="1991" spans="1:18" x14ac:dyDescent="0.25">
      <c r="A1991" s="130">
        <v>44935</v>
      </c>
      <c r="B1991" s="107">
        <v>96</v>
      </c>
      <c r="C1991" s="107">
        <v>95.25</v>
      </c>
      <c r="D1991" s="107">
        <v>93.2</v>
      </c>
      <c r="E1991" s="107">
        <v>93.9</v>
      </c>
      <c r="F1991" s="107">
        <v>95.25</v>
      </c>
      <c r="G1991">
        <v>2299528</v>
      </c>
      <c r="H1991" s="107"/>
      <c r="I1991" s="107"/>
      <c r="L1991" s="130">
        <v>44935</v>
      </c>
      <c r="M1991" s="107">
        <v>95.25</v>
      </c>
      <c r="N1991" s="107">
        <v>96</v>
      </c>
      <c r="O1991" s="107">
        <v>93.3</v>
      </c>
      <c r="P1991" s="107">
        <v>94.2</v>
      </c>
      <c r="Q1991" s="107">
        <v>95.25</v>
      </c>
      <c r="R1991">
        <v>18826588</v>
      </c>
    </row>
    <row r="1992" spans="1:18" x14ac:dyDescent="0.25">
      <c r="A1992" s="130">
        <v>44936</v>
      </c>
      <c r="B1992" s="107">
        <v>95.5</v>
      </c>
      <c r="C1992" s="107">
        <v>91.7</v>
      </c>
      <c r="D1992" s="107">
        <v>91.05</v>
      </c>
      <c r="E1992" s="107">
        <v>95.45</v>
      </c>
      <c r="F1992" s="107">
        <v>91.7</v>
      </c>
      <c r="G1992">
        <v>1439545</v>
      </c>
      <c r="H1992" s="107"/>
      <c r="I1992" s="107"/>
      <c r="L1992" s="130">
        <v>44936</v>
      </c>
      <c r="M1992" s="107">
        <v>91.85</v>
      </c>
      <c r="N1992" s="107">
        <v>95.5</v>
      </c>
      <c r="O1992" s="107">
        <v>90.95</v>
      </c>
      <c r="P1992" s="107">
        <v>95.5</v>
      </c>
      <c r="Q1992" s="107">
        <v>91.85</v>
      </c>
      <c r="R1992">
        <v>13471211</v>
      </c>
    </row>
    <row r="1993" spans="1:18" x14ac:dyDescent="0.25">
      <c r="A1993" s="130">
        <v>44937</v>
      </c>
      <c r="B1993" s="107">
        <v>95.3</v>
      </c>
      <c r="C1993" s="107">
        <v>94.85</v>
      </c>
      <c r="D1993" s="107">
        <v>89.9</v>
      </c>
      <c r="E1993" s="107">
        <v>91.9</v>
      </c>
      <c r="F1993" s="107">
        <v>94.85</v>
      </c>
      <c r="G1993">
        <v>2348629</v>
      </c>
      <c r="H1993" s="107"/>
      <c r="I1993" s="107"/>
      <c r="L1993" s="130">
        <v>44937</v>
      </c>
      <c r="M1993" s="107">
        <v>94.85</v>
      </c>
      <c r="N1993" s="107">
        <v>95.3</v>
      </c>
      <c r="O1993" s="107">
        <v>89.85</v>
      </c>
      <c r="P1993" s="107">
        <v>92.2</v>
      </c>
      <c r="Q1993" s="107">
        <v>94.85</v>
      </c>
      <c r="R1993">
        <v>26419316</v>
      </c>
    </row>
    <row r="1994" spans="1:18" x14ac:dyDescent="0.25">
      <c r="A1994" s="130">
        <v>44938</v>
      </c>
      <c r="B1994" s="107">
        <v>95.15</v>
      </c>
      <c r="C1994" s="107">
        <v>94.85</v>
      </c>
      <c r="D1994" s="107">
        <v>93.5</v>
      </c>
      <c r="E1994" s="107">
        <v>94.85</v>
      </c>
      <c r="F1994" s="107">
        <v>94.85</v>
      </c>
      <c r="G1994">
        <v>1397425</v>
      </c>
      <c r="H1994" s="107"/>
      <c r="I1994" s="107"/>
      <c r="L1994" s="130">
        <v>44938</v>
      </c>
      <c r="M1994" s="107">
        <v>94.85</v>
      </c>
      <c r="N1994" s="107">
        <v>95.2</v>
      </c>
      <c r="O1994" s="107">
        <v>93.45</v>
      </c>
      <c r="P1994" s="107">
        <v>95</v>
      </c>
      <c r="Q1994" s="107">
        <v>94.85</v>
      </c>
      <c r="R1994">
        <v>13399632</v>
      </c>
    </row>
    <row r="1995" spans="1:18" x14ac:dyDescent="0.25">
      <c r="A1995" s="130">
        <v>44939</v>
      </c>
      <c r="B1995" s="107">
        <v>97</v>
      </c>
      <c r="C1995" s="107">
        <v>96.4</v>
      </c>
      <c r="D1995" s="107">
        <v>94.1</v>
      </c>
      <c r="E1995" s="107">
        <v>94.35</v>
      </c>
      <c r="F1995" s="107">
        <v>96.4</v>
      </c>
      <c r="G1995">
        <v>1625243</v>
      </c>
      <c r="H1995" s="107"/>
      <c r="I1995" s="107"/>
      <c r="L1995" s="130">
        <v>44939</v>
      </c>
      <c r="M1995" s="107">
        <v>96.4</v>
      </c>
      <c r="N1995" s="107">
        <v>97</v>
      </c>
      <c r="O1995" s="107">
        <v>94.15</v>
      </c>
      <c r="P1995" s="107">
        <v>95.25</v>
      </c>
      <c r="Q1995" s="107">
        <v>96.4</v>
      </c>
      <c r="R1995">
        <v>20195109</v>
      </c>
    </row>
    <row r="1996" spans="1:18" x14ac:dyDescent="0.25">
      <c r="A1996" s="130">
        <v>44942</v>
      </c>
      <c r="B1996" s="107">
        <v>101.25</v>
      </c>
      <c r="C1996" s="107">
        <v>97.8</v>
      </c>
      <c r="D1996" s="107">
        <v>96.6</v>
      </c>
      <c r="E1996" s="107">
        <v>97</v>
      </c>
      <c r="F1996" s="107">
        <v>97.8</v>
      </c>
      <c r="G1996">
        <v>2838806</v>
      </c>
      <c r="H1996" s="107"/>
      <c r="I1996" s="107"/>
      <c r="L1996" s="130">
        <v>44942</v>
      </c>
      <c r="M1996" s="107">
        <v>97.85</v>
      </c>
      <c r="N1996" s="107">
        <v>101.3</v>
      </c>
      <c r="O1996" s="107">
        <v>96.5</v>
      </c>
      <c r="P1996" s="107">
        <v>96.6</v>
      </c>
      <c r="Q1996" s="107">
        <v>97.85</v>
      </c>
      <c r="R1996">
        <v>29233309</v>
      </c>
    </row>
    <row r="1997" spans="1:18" x14ac:dyDescent="0.25">
      <c r="A1997" s="130">
        <v>44943</v>
      </c>
      <c r="B1997" s="107">
        <v>100</v>
      </c>
      <c r="C1997" s="107">
        <v>93.35</v>
      </c>
      <c r="D1997" s="107">
        <v>89.6</v>
      </c>
      <c r="E1997" s="107">
        <v>98.65</v>
      </c>
      <c r="F1997" s="107">
        <v>93.35</v>
      </c>
      <c r="G1997">
        <v>6339682</v>
      </c>
      <c r="H1997" s="107"/>
      <c r="I1997" s="107"/>
      <c r="L1997" s="130">
        <v>44943</v>
      </c>
      <c r="M1997" s="107">
        <v>93.4</v>
      </c>
      <c r="N1997" s="107">
        <v>100</v>
      </c>
      <c r="O1997" s="107">
        <v>89.65</v>
      </c>
      <c r="P1997" s="107">
        <v>98.9</v>
      </c>
      <c r="Q1997" s="107">
        <v>93.4</v>
      </c>
      <c r="R1997">
        <v>70466402</v>
      </c>
    </row>
    <row r="1998" spans="1:18" x14ac:dyDescent="0.25">
      <c r="A1998" s="130">
        <v>44944</v>
      </c>
      <c r="B1998" s="107">
        <v>92.9</v>
      </c>
      <c r="C1998" s="107">
        <v>89.4</v>
      </c>
      <c r="D1998" s="107">
        <v>89</v>
      </c>
      <c r="E1998" s="107">
        <v>92.9</v>
      </c>
      <c r="F1998" s="107">
        <v>89.4</v>
      </c>
      <c r="G1998">
        <v>3290953</v>
      </c>
      <c r="H1998" s="107"/>
      <c r="I1998" s="107"/>
      <c r="L1998" s="130">
        <v>44944</v>
      </c>
      <c r="M1998" s="107">
        <v>89.35</v>
      </c>
      <c r="N1998" s="107">
        <v>92.65</v>
      </c>
      <c r="O1998" s="107">
        <v>89</v>
      </c>
      <c r="P1998" s="107">
        <v>92.05</v>
      </c>
      <c r="Q1998" s="107">
        <v>89.35</v>
      </c>
      <c r="R1998">
        <v>43303240</v>
      </c>
    </row>
    <row r="1999" spans="1:18" x14ac:dyDescent="0.25">
      <c r="A1999" s="130">
        <v>44945</v>
      </c>
      <c r="B1999" s="107">
        <v>90.9</v>
      </c>
      <c r="C1999" s="107">
        <v>90</v>
      </c>
      <c r="D1999" s="107">
        <v>88.7</v>
      </c>
      <c r="E1999" s="107">
        <v>89.1</v>
      </c>
      <c r="F1999" s="107">
        <v>90</v>
      </c>
      <c r="G1999">
        <v>1663261</v>
      </c>
      <c r="H1999" s="107"/>
      <c r="I1999" s="107"/>
      <c r="L1999" s="130">
        <v>44945</v>
      </c>
      <c r="M1999" s="107">
        <v>90.05</v>
      </c>
      <c r="N1999" s="107">
        <v>90.9</v>
      </c>
      <c r="O1999" s="107">
        <v>88.8</v>
      </c>
      <c r="P1999" s="107">
        <v>89.3</v>
      </c>
      <c r="Q1999" s="107">
        <v>90.05</v>
      </c>
      <c r="R1999">
        <v>20169417</v>
      </c>
    </row>
    <row r="2000" spans="1:18" x14ac:dyDescent="0.25">
      <c r="A2000" s="130">
        <v>44946</v>
      </c>
      <c r="B2000" s="107">
        <v>91.15</v>
      </c>
      <c r="C2000" s="107">
        <v>90.2</v>
      </c>
      <c r="D2000" s="107">
        <v>89.7</v>
      </c>
      <c r="E2000" s="107">
        <v>90.8</v>
      </c>
      <c r="F2000" s="107">
        <v>90.2</v>
      </c>
      <c r="G2000">
        <v>1169302</v>
      </c>
      <c r="H2000" s="107"/>
      <c r="I2000" s="107"/>
      <c r="L2000" s="130">
        <v>44946</v>
      </c>
      <c r="M2000" s="107">
        <v>90.2</v>
      </c>
      <c r="N2000" s="107">
        <v>91.2</v>
      </c>
      <c r="O2000" s="107">
        <v>89.65</v>
      </c>
      <c r="P2000" s="107">
        <v>90.45</v>
      </c>
      <c r="Q2000" s="107">
        <v>90.2</v>
      </c>
      <c r="R2000">
        <v>16244437</v>
      </c>
    </row>
    <row r="2001" spans="1:18" x14ac:dyDescent="0.25">
      <c r="A2001" s="130">
        <v>44949</v>
      </c>
      <c r="B2001" s="107">
        <v>91.4</v>
      </c>
      <c r="C2001" s="107">
        <v>87.65</v>
      </c>
      <c r="D2001" s="107">
        <v>86.6</v>
      </c>
      <c r="E2001" s="107">
        <v>90.45</v>
      </c>
      <c r="F2001" s="107">
        <v>87.65</v>
      </c>
      <c r="G2001">
        <v>1086827</v>
      </c>
      <c r="H2001" s="107"/>
      <c r="I2001" s="107"/>
      <c r="L2001" s="130">
        <v>44949</v>
      </c>
      <c r="M2001" s="107">
        <v>87.6</v>
      </c>
      <c r="N2001" s="107">
        <v>91.25</v>
      </c>
      <c r="O2001" s="107">
        <v>86.55</v>
      </c>
      <c r="P2001" s="107">
        <v>90.7</v>
      </c>
      <c r="Q2001" s="107">
        <v>87.6</v>
      </c>
      <c r="R2001">
        <v>8169869</v>
      </c>
    </row>
    <row r="2002" spans="1:18" x14ac:dyDescent="0.25">
      <c r="A2002" s="130">
        <v>44950</v>
      </c>
      <c r="B2002" s="107">
        <v>88.55</v>
      </c>
      <c r="C2002" s="107">
        <v>85.9</v>
      </c>
      <c r="D2002" s="107">
        <v>84.9</v>
      </c>
      <c r="E2002" s="107">
        <v>87.7</v>
      </c>
      <c r="F2002" s="107">
        <v>85.9</v>
      </c>
      <c r="G2002">
        <v>1469287</v>
      </c>
      <c r="H2002" s="107"/>
      <c r="I2002" s="107"/>
      <c r="L2002" s="130">
        <v>44950</v>
      </c>
      <c r="M2002" s="107">
        <v>85.8</v>
      </c>
      <c r="N2002" s="107">
        <v>88.5</v>
      </c>
      <c r="O2002" s="107">
        <v>84.8</v>
      </c>
      <c r="P2002" s="107">
        <v>88.1</v>
      </c>
      <c r="Q2002" s="107">
        <v>85.8</v>
      </c>
      <c r="R2002">
        <v>9460911</v>
      </c>
    </row>
    <row r="2003" spans="1:18" x14ac:dyDescent="0.25">
      <c r="A2003" s="130">
        <v>44951</v>
      </c>
      <c r="B2003" s="107">
        <v>85.75</v>
      </c>
      <c r="C2003" s="107">
        <v>82.55</v>
      </c>
      <c r="D2003" s="107">
        <v>80.75</v>
      </c>
      <c r="E2003" s="107">
        <v>85.05</v>
      </c>
      <c r="F2003" s="107">
        <v>82.55</v>
      </c>
      <c r="G2003">
        <v>1937421</v>
      </c>
      <c r="H2003" s="107"/>
      <c r="I2003" s="107"/>
      <c r="L2003" s="130">
        <v>44951</v>
      </c>
      <c r="M2003" s="107">
        <v>82.55</v>
      </c>
      <c r="N2003" s="107">
        <v>85.8</v>
      </c>
      <c r="O2003" s="107">
        <v>80.75</v>
      </c>
      <c r="P2003" s="107">
        <v>85.25</v>
      </c>
      <c r="Q2003" s="107">
        <v>82.55</v>
      </c>
      <c r="R2003">
        <v>17793136</v>
      </c>
    </row>
    <row r="2004" spans="1:18" x14ac:dyDescent="0.25">
      <c r="A2004" s="130">
        <v>44953</v>
      </c>
      <c r="B2004" s="107">
        <v>83.2</v>
      </c>
      <c r="C2004" s="107">
        <v>77.900000000000006</v>
      </c>
      <c r="D2004" s="107">
        <v>75.95</v>
      </c>
      <c r="E2004" s="107">
        <v>82.85</v>
      </c>
      <c r="F2004" s="107">
        <v>77.900000000000006</v>
      </c>
      <c r="G2004">
        <v>3344101</v>
      </c>
      <c r="H2004" s="107"/>
      <c r="I2004" s="107"/>
      <c r="L2004" s="130">
        <v>44953</v>
      </c>
      <c r="M2004" s="107">
        <v>77.900000000000006</v>
      </c>
      <c r="N2004" s="107">
        <v>83.4</v>
      </c>
      <c r="O2004" s="107">
        <v>75.900000000000006</v>
      </c>
      <c r="P2004" s="107">
        <v>82.55</v>
      </c>
      <c r="Q2004" s="107">
        <v>77.900000000000006</v>
      </c>
      <c r="R2004">
        <v>22272182</v>
      </c>
    </row>
    <row r="2005" spans="1:18" x14ac:dyDescent="0.25">
      <c r="A2005" s="130">
        <v>44956</v>
      </c>
      <c r="B2005" s="107">
        <v>81.2</v>
      </c>
      <c r="C2005" s="107">
        <v>78.349999999999994</v>
      </c>
      <c r="D2005" s="107">
        <v>75.95</v>
      </c>
      <c r="E2005" s="107">
        <v>76.599999999999994</v>
      </c>
      <c r="F2005" s="107">
        <v>78.349999999999994</v>
      </c>
      <c r="G2005">
        <v>2783683</v>
      </c>
      <c r="H2005" s="107"/>
      <c r="I2005" s="107"/>
      <c r="L2005" s="130">
        <v>44956</v>
      </c>
      <c r="M2005" s="107">
        <v>78.349999999999994</v>
      </c>
      <c r="N2005" s="107">
        <v>81.150000000000006</v>
      </c>
      <c r="O2005" s="107">
        <v>76</v>
      </c>
      <c r="P2005" s="107">
        <v>77.900000000000006</v>
      </c>
      <c r="Q2005" s="107">
        <v>78.349999999999994</v>
      </c>
      <c r="R2005">
        <v>18527169</v>
      </c>
    </row>
    <row r="2006" spans="1:18" x14ac:dyDescent="0.25">
      <c r="A2006" s="130">
        <v>44957</v>
      </c>
      <c r="B2006" s="107">
        <v>85.6</v>
      </c>
      <c r="C2006" s="107">
        <v>83.15</v>
      </c>
      <c r="D2006" s="107">
        <v>78.2</v>
      </c>
      <c r="E2006" s="107">
        <v>78.650000000000006</v>
      </c>
      <c r="F2006" s="107">
        <v>83.15</v>
      </c>
      <c r="G2006">
        <v>2838462</v>
      </c>
      <c r="H2006" s="107"/>
      <c r="I2006" s="107"/>
      <c r="L2006" s="130">
        <v>44957</v>
      </c>
      <c r="M2006" s="107">
        <v>82.7</v>
      </c>
      <c r="N2006" s="107">
        <v>84.3</v>
      </c>
      <c r="O2006" s="107">
        <v>78.2</v>
      </c>
      <c r="P2006" s="107">
        <v>79.05</v>
      </c>
      <c r="Q2006" s="107">
        <v>82.7</v>
      </c>
      <c r="R2006">
        <v>19018759</v>
      </c>
    </row>
    <row r="2007" spans="1:18" x14ac:dyDescent="0.25">
      <c r="A2007" s="130">
        <v>44958</v>
      </c>
      <c r="B2007" s="107">
        <v>85.75</v>
      </c>
      <c r="C2007" s="107">
        <v>79.650000000000006</v>
      </c>
      <c r="D2007" s="107">
        <v>77.849999999999994</v>
      </c>
      <c r="E2007" s="107">
        <v>84.3</v>
      </c>
      <c r="F2007" s="107">
        <v>79.650000000000006</v>
      </c>
      <c r="G2007">
        <v>4164929</v>
      </c>
      <c r="H2007" s="107"/>
      <c r="I2007" s="107"/>
      <c r="L2007" s="130">
        <v>44958</v>
      </c>
      <c r="M2007" s="107">
        <v>79.7</v>
      </c>
      <c r="N2007" s="107">
        <v>85.75</v>
      </c>
      <c r="O2007" s="107">
        <v>77.8</v>
      </c>
      <c r="P2007" s="107">
        <v>84</v>
      </c>
      <c r="Q2007" s="107">
        <v>79.7</v>
      </c>
      <c r="R2007">
        <v>25489251</v>
      </c>
    </row>
    <row r="2008" spans="1:18" x14ac:dyDescent="0.25">
      <c r="A2008" s="130">
        <v>44959</v>
      </c>
      <c r="B2008" s="107">
        <v>80.599999999999994</v>
      </c>
      <c r="C2008" s="107">
        <v>77.8</v>
      </c>
      <c r="D2008" s="107">
        <v>76.5</v>
      </c>
      <c r="E2008" s="107">
        <v>79.45</v>
      </c>
      <c r="F2008" s="107">
        <v>77.8</v>
      </c>
      <c r="G2008">
        <v>1148513</v>
      </c>
      <c r="H2008" s="107"/>
      <c r="I2008" s="107"/>
      <c r="L2008" s="130">
        <v>44959</v>
      </c>
      <c r="M2008" s="107">
        <v>77.75</v>
      </c>
      <c r="N2008" s="107">
        <v>80.7</v>
      </c>
      <c r="O2008" s="107">
        <v>76.5</v>
      </c>
      <c r="P2008" s="107">
        <v>79</v>
      </c>
      <c r="Q2008" s="107">
        <v>77.75</v>
      </c>
      <c r="R2008">
        <v>12734571</v>
      </c>
    </row>
    <row r="2009" spans="1:18" x14ac:dyDescent="0.25">
      <c r="A2009" s="130">
        <v>44960</v>
      </c>
      <c r="B2009" s="107">
        <v>80.400000000000006</v>
      </c>
      <c r="C2009" s="107">
        <v>79.75</v>
      </c>
      <c r="D2009" s="107">
        <v>76.7</v>
      </c>
      <c r="E2009" s="107">
        <v>78.7</v>
      </c>
      <c r="F2009" s="107">
        <v>79.75</v>
      </c>
      <c r="G2009">
        <v>2183464</v>
      </c>
      <c r="H2009" s="107"/>
      <c r="I2009" s="107"/>
      <c r="L2009" s="130">
        <v>44960</v>
      </c>
      <c r="M2009" s="107">
        <v>79.75</v>
      </c>
      <c r="N2009" s="107">
        <v>80.400000000000006</v>
      </c>
      <c r="O2009" s="107">
        <v>76.650000000000006</v>
      </c>
      <c r="P2009" s="107">
        <v>78.25</v>
      </c>
      <c r="Q2009" s="107">
        <v>79.75</v>
      </c>
      <c r="R2009">
        <v>17282156</v>
      </c>
    </row>
    <row r="2010" spans="1:18" x14ac:dyDescent="0.25">
      <c r="A2010" s="130">
        <v>44963</v>
      </c>
      <c r="B2010" s="107">
        <v>80.95</v>
      </c>
      <c r="C2010" s="107">
        <v>79.099999999999994</v>
      </c>
      <c r="D2010" s="107">
        <v>78.7</v>
      </c>
      <c r="E2010" s="107">
        <v>79.849999999999994</v>
      </c>
      <c r="F2010" s="107">
        <v>79.099999999999994</v>
      </c>
      <c r="G2010">
        <v>1070224</v>
      </c>
      <c r="H2010" s="107"/>
      <c r="I2010" s="107"/>
      <c r="L2010" s="130">
        <v>44963</v>
      </c>
      <c r="M2010" s="107">
        <v>79.099999999999994</v>
      </c>
      <c r="N2010" s="107">
        <v>81</v>
      </c>
      <c r="O2010" s="107">
        <v>78.75</v>
      </c>
      <c r="P2010" s="107">
        <v>80.2</v>
      </c>
      <c r="Q2010" s="107">
        <v>79.099999999999994</v>
      </c>
      <c r="R2010">
        <v>7402174</v>
      </c>
    </row>
    <row r="2011" spans="1:18" x14ac:dyDescent="0.25">
      <c r="A2011" s="130">
        <v>44964</v>
      </c>
      <c r="B2011" s="107">
        <v>79.349999999999994</v>
      </c>
      <c r="C2011" s="107">
        <v>78.05</v>
      </c>
      <c r="D2011" s="107">
        <v>77.650000000000006</v>
      </c>
      <c r="E2011" s="107">
        <v>78.7</v>
      </c>
      <c r="F2011" s="107">
        <v>78.05</v>
      </c>
      <c r="G2011">
        <v>765119</v>
      </c>
      <c r="H2011" s="107"/>
      <c r="I2011" s="107"/>
      <c r="L2011" s="130">
        <v>44964</v>
      </c>
      <c r="M2011" s="107">
        <v>78</v>
      </c>
      <c r="N2011" s="107">
        <v>79.45</v>
      </c>
      <c r="O2011" s="107">
        <v>77.599999999999994</v>
      </c>
      <c r="P2011" s="107">
        <v>79.45</v>
      </c>
      <c r="Q2011" s="107">
        <v>78</v>
      </c>
      <c r="R2011">
        <v>5804796</v>
      </c>
    </row>
    <row r="2012" spans="1:18" x14ac:dyDescent="0.25">
      <c r="A2012" s="130">
        <v>44965</v>
      </c>
      <c r="B2012" s="107">
        <v>80.95</v>
      </c>
      <c r="C2012" s="107">
        <v>80.45</v>
      </c>
      <c r="D2012" s="107">
        <v>77.75</v>
      </c>
      <c r="E2012" s="107">
        <v>78.150000000000006</v>
      </c>
      <c r="F2012" s="107">
        <v>80.45</v>
      </c>
      <c r="G2012">
        <v>1051051</v>
      </c>
      <c r="H2012" s="107"/>
      <c r="I2012" s="107"/>
      <c r="L2012" s="130">
        <v>44965</v>
      </c>
      <c r="M2012" s="107">
        <v>80.45</v>
      </c>
      <c r="N2012" s="107">
        <v>80.900000000000006</v>
      </c>
      <c r="O2012" s="107">
        <v>77.7</v>
      </c>
      <c r="P2012" s="107">
        <v>78.400000000000006</v>
      </c>
      <c r="Q2012" s="107">
        <v>80.45</v>
      </c>
      <c r="R2012">
        <v>9001344</v>
      </c>
    </row>
    <row r="2013" spans="1:18" x14ac:dyDescent="0.25">
      <c r="A2013" s="130">
        <v>44966</v>
      </c>
      <c r="B2013" s="107">
        <v>81.650000000000006</v>
      </c>
      <c r="C2013" s="107">
        <v>80.55</v>
      </c>
      <c r="D2013" s="107">
        <v>79.3</v>
      </c>
      <c r="E2013" s="107">
        <v>80.45</v>
      </c>
      <c r="F2013" s="107">
        <v>80.55</v>
      </c>
      <c r="G2013">
        <v>908478</v>
      </c>
      <c r="H2013" s="107"/>
      <c r="I2013" s="107"/>
      <c r="L2013" s="130">
        <v>44966</v>
      </c>
      <c r="M2013" s="107">
        <v>80.599999999999994</v>
      </c>
      <c r="N2013" s="107">
        <v>81.650000000000006</v>
      </c>
      <c r="O2013" s="107">
        <v>79.25</v>
      </c>
      <c r="P2013" s="107">
        <v>80.45</v>
      </c>
      <c r="Q2013" s="107">
        <v>80.599999999999994</v>
      </c>
      <c r="R2013">
        <v>8404132</v>
      </c>
    </row>
    <row r="2014" spans="1:18" x14ac:dyDescent="0.25">
      <c r="A2014" s="130">
        <v>44967</v>
      </c>
      <c r="B2014" s="107">
        <v>84.1</v>
      </c>
      <c r="C2014" s="107">
        <v>79.849999999999994</v>
      </c>
      <c r="D2014" s="107">
        <v>79.5</v>
      </c>
      <c r="E2014" s="107">
        <v>80</v>
      </c>
      <c r="F2014" s="107">
        <v>79.849999999999994</v>
      </c>
      <c r="G2014">
        <v>1645590</v>
      </c>
      <c r="H2014" s="107"/>
      <c r="I2014" s="107"/>
      <c r="L2014" s="130">
        <v>44967</v>
      </c>
      <c r="M2014" s="107">
        <v>79.849999999999994</v>
      </c>
      <c r="N2014" s="107">
        <v>84.1</v>
      </c>
      <c r="O2014" s="107">
        <v>79.400000000000006</v>
      </c>
      <c r="P2014" s="107">
        <v>80.150000000000006</v>
      </c>
      <c r="Q2014" s="107">
        <v>79.849999999999994</v>
      </c>
      <c r="R2014">
        <v>19524652</v>
      </c>
    </row>
    <row r="2015" spans="1:18" x14ac:dyDescent="0.25">
      <c r="A2015" s="130">
        <v>44970</v>
      </c>
      <c r="B2015" s="107">
        <v>80.400000000000006</v>
      </c>
      <c r="C2015" s="107">
        <v>79.2</v>
      </c>
      <c r="D2015" s="107">
        <v>78.400000000000006</v>
      </c>
      <c r="E2015" s="107">
        <v>80</v>
      </c>
      <c r="F2015" s="107">
        <v>79.2</v>
      </c>
      <c r="G2015">
        <v>593676</v>
      </c>
      <c r="H2015" s="107"/>
      <c r="I2015" s="107"/>
      <c r="L2015" s="130">
        <v>44970</v>
      </c>
      <c r="M2015" s="107">
        <v>79.2</v>
      </c>
      <c r="N2015" s="107">
        <v>80.349999999999994</v>
      </c>
      <c r="O2015" s="107">
        <v>78.45</v>
      </c>
      <c r="P2015" s="107">
        <v>80</v>
      </c>
      <c r="Q2015" s="107">
        <v>79.2</v>
      </c>
      <c r="R2015">
        <v>5646626</v>
      </c>
    </row>
    <row r="2016" spans="1:18" x14ac:dyDescent="0.25">
      <c r="A2016" s="130">
        <v>44971</v>
      </c>
      <c r="B2016" s="107">
        <v>79.2</v>
      </c>
      <c r="C2016" s="107">
        <v>77.75</v>
      </c>
      <c r="D2016" s="107">
        <v>76.05</v>
      </c>
      <c r="E2016" s="107">
        <v>79</v>
      </c>
      <c r="F2016" s="107">
        <v>77.75</v>
      </c>
      <c r="G2016">
        <v>911921</v>
      </c>
      <c r="H2016" s="107"/>
      <c r="I2016" s="107"/>
      <c r="L2016" s="130">
        <v>44971</v>
      </c>
      <c r="M2016" s="107">
        <v>77.75</v>
      </c>
      <c r="N2016" s="107">
        <v>79.099999999999994</v>
      </c>
      <c r="O2016" s="107">
        <v>76.05</v>
      </c>
      <c r="P2016" s="107">
        <v>79</v>
      </c>
      <c r="Q2016" s="107">
        <v>77.75</v>
      </c>
      <c r="R2016">
        <v>10354152</v>
      </c>
    </row>
    <row r="2017" spans="1:18" x14ac:dyDescent="0.25">
      <c r="A2017" s="130">
        <v>44972</v>
      </c>
      <c r="B2017" s="107">
        <v>78.5</v>
      </c>
      <c r="C2017" s="107">
        <v>78.150000000000006</v>
      </c>
      <c r="D2017" s="107">
        <v>76.95</v>
      </c>
      <c r="E2017" s="107">
        <v>77.05</v>
      </c>
      <c r="F2017" s="107">
        <v>78.150000000000006</v>
      </c>
      <c r="G2017">
        <v>507085</v>
      </c>
      <c r="H2017" s="107"/>
      <c r="I2017" s="107"/>
      <c r="L2017" s="130">
        <v>44972</v>
      </c>
      <c r="M2017" s="107">
        <v>78.2</v>
      </c>
      <c r="N2017" s="107">
        <v>78.599999999999994</v>
      </c>
      <c r="O2017" s="107">
        <v>76.849999999999994</v>
      </c>
      <c r="P2017" s="107">
        <v>77.2</v>
      </c>
      <c r="Q2017" s="107">
        <v>78.2</v>
      </c>
      <c r="R2017">
        <v>5509405</v>
      </c>
    </row>
    <row r="2018" spans="1:18" x14ac:dyDescent="0.25">
      <c r="A2018" s="130">
        <v>44973</v>
      </c>
      <c r="B2018" s="107">
        <v>79.2</v>
      </c>
      <c r="C2018" s="107">
        <v>77.5</v>
      </c>
      <c r="D2018" s="107">
        <v>76.8</v>
      </c>
      <c r="E2018" s="107">
        <v>78.2</v>
      </c>
      <c r="F2018" s="107">
        <v>77.5</v>
      </c>
      <c r="G2018">
        <v>354113</v>
      </c>
      <c r="H2018" s="107"/>
      <c r="I2018" s="107"/>
      <c r="L2018" s="130">
        <v>44973</v>
      </c>
      <c r="M2018" s="107">
        <v>77.650000000000006</v>
      </c>
      <c r="N2018" s="107">
        <v>79.2</v>
      </c>
      <c r="O2018" s="107">
        <v>76.849999999999994</v>
      </c>
      <c r="P2018" s="107">
        <v>78.650000000000006</v>
      </c>
      <c r="Q2018" s="107">
        <v>77.650000000000006</v>
      </c>
      <c r="R2018">
        <v>5018615</v>
      </c>
    </row>
    <row r="2019" spans="1:18" x14ac:dyDescent="0.25">
      <c r="A2019" s="130">
        <v>44974</v>
      </c>
      <c r="B2019" s="107">
        <v>77.349999999999994</v>
      </c>
      <c r="C2019" s="107">
        <v>75.55</v>
      </c>
      <c r="D2019" s="107">
        <v>75</v>
      </c>
      <c r="E2019" s="107">
        <v>77</v>
      </c>
      <c r="F2019" s="107">
        <v>75.55</v>
      </c>
      <c r="G2019">
        <v>530284</v>
      </c>
      <c r="H2019" s="107"/>
      <c r="I2019" s="107"/>
      <c r="L2019" s="130">
        <v>44974</v>
      </c>
      <c r="M2019" s="107">
        <v>75.55</v>
      </c>
      <c r="N2019" s="107">
        <v>77.400000000000006</v>
      </c>
      <c r="O2019" s="107">
        <v>75</v>
      </c>
      <c r="P2019" s="107">
        <v>76.95</v>
      </c>
      <c r="Q2019" s="107">
        <v>75.55</v>
      </c>
      <c r="R2019">
        <v>7763798</v>
      </c>
    </row>
    <row r="2020" spans="1:18" x14ac:dyDescent="0.25">
      <c r="A2020" s="130">
        <v>44977</v>
      </c>
      <c r="B2020" s="107">
        <v>76.2</v>
      </c>
      <c r="C2020" s="107">
        <v>75.599999999999994</v>
      </c>
      <c r="D2020" s="107">
        <v>74.8</v>
      </c>
      <c r="E2020" s="107">
        <v>75.55</v>
      </c>
      <c r="F2020" s="107">
        <v>75.599999999999994</v>
      </c>
      <c r="G2020">
        <v>768235</v>
      </c>
      <c r="H2020" s="107"/>
      <c r="I2020" s="107"/>
      <c r="L2020" s="130">
        <v>44977</v>
      </c>
      <c r="M2020" s="107">
        <v>75.599999999999994</v>
      </c>
      <c r="N2020" s="107">
        <v>76.150000000000006</v>
      </c>
      <c r="O2020" s="107">
        <v>74.7</v>
      </c>
      <c r="P2020" s="107">
        <v>75.7</v>
      </c>
      <c r="Q2020" s="107">
        <v>75.599999999999994</v>
      </c>
      <c r="R2020">
        <v>6669799</v>
      </c>
    </row>
    <row r="2021" spans="1:18" x14ac:dyDescent="0.25">
      <c r="A2021" s="130">
        <v>44978</v>
      </c>
      <c r="B2021" s="107">
        <v>75.849999999999994</v>
      </c>
      <c r="C2021" s="107">
        <v>70.849999999999994</v>
      </c>
      <c r="D2021" s="107">
        <v>70.45</v>
      </c>
      <c r="E2021" s="107">
        <v>75.2</v>
      </c>
      <c r="F2021" s="107">
        <v>70.849999999999994</v>
      </c>
      <c r="G2021">
        <v>4394814</v>
      </c>
      <c r="H2021" s="107"/>
      <c r="I2021" s="107"/>
      <c r="L2021" s="130">
        <v>44978</v>
      </c>
      <c r="M2021" s="107">
        <v>70.900000000000006</v>
      </c>
      <c r="N2021" s="107">
        <v>75.900000000000006</v>
      </c>
      <c r="O2021" s="107">
        <v>70.349999999999994</v>
      </c>
      <c r="P2021" s="107">
        <v>75.75</v>
      </c>
      <c r="Q2021" s="107">
        <v>70.900000000000006</v>
      </c>
      <c r="R2021">
        <v>22735891</v>
      </c>
    </row>
    <row r="2022" spans="1:18" x14ac:dyDescent="0.25">
      <c r="A2022" s="130">
        <v>44979</v>
      </c>
      <c r="B2022" s="107">
        <v>71.8</v>
      </c>
      <c r="C2022" s="107">
        <v>70.349999999999994</v>
      </c>
      <c r="D2022" s="107">
        <v>68.5</v>
      </c>
      <c r="E2022" s="107">
        <v>70.25</v>
      </c>
      <c r="F2022" s="107">
        <v>70.349999999999994</v>
      </c>
      <c r="G2022">
        <v>861023</v>
      </c>
      <c r="H2022" s="107"/>
      <c r="I2022" s="107"/>
      <c r="L2022" s="130">
        <v>44979</v>
      </c>
      <c r="M2022" s="107">
        <v>70.2</v>
      </c>
      <c r="N2022" s="107">
        <v>71.849999999999994</v>
      </c>
      <c r="O2022" s="107">
        <v>69.5</v>
      </c>
      <c r="P2022" s="107">
        <v>70.150000000000006</v>
      </c>
      <c r="Q2022" s="107">
        <v>70.2</v>
      </c>
      <c r="R2022">
        <v>11728238</v>
      </c>
    </row>
    <row r="2023" spans="1:18" x14ac:dyDescent="0.25">
      <c r="A2023" s="130">
        <v>44980</v>
      </c>
      <c r="B2023" s="107">
        <v>71.849999999999994</v>
      </c>
      <c r="C2023" s="107">
        <v>71.25</v>
      </c>
      <c r="D2023" s="107">
        <v>68.150000000000006</v>
      </c>
      <c r="E2023" s="107">
        <v>70.3</v>
      </c>
      <c r="F2023" s="107">
        <v>71.25</v>
      </c>
      <c r="G2023">
        <v>1092315</v>
      </c>
      <c r="H2023" s="107"/>
      <c r="I2023" s="107"/>
      <c r="L2023" s="130">
        <v>44980</v>
      </c>
      <c r="M2023" s="107">
        <v>71.150000000000006</v>
      </c>
      <c r="N2023" s="107">
        <v>71.900000000000006</v>
      </c>
      <c r="O2023" s="107">
        <v>68.25</v>
      </c>
      <c r="P2023" s="107">
        <v>70.2</v>
      </c>
      <c r="Q2023" s="107">
        <v>71.150000000000006</v>
      </c>
      <c r="R2023">
        <v>10931607</v>
      </c>
    </row>
    <row r="2024" spans="1:18" x14ac:dyDescent="0.25">
      <c r="A2024" s="130">
        <v>44981</v>
      </c>
      <c r="B2024" s="107">
        <v>71.95</v>
      </c>
      <c r="C2024" s="107">
        <v>70.05</v>
      </c>
      <c r="D2024" s="107">
        <v>69.7</v>
      </c>
      <c r="E2024" s="107">
        <v>71.900000000000006</v>
      </c>
      <c r="F2024" s="107">
        <v>70.05</v>
      </c>
      <c r="G2024">
        <v>747896</v>
      </c>
      <c r="H2024" s="107"/>
      <c r="I2024" s="107"/>
      <c r="L2024" s="130">
        <v>44981</v>
      </c>
      <c r="M2024" s="107">
        <v>70.099999999999994</v>
      </c>
      <c r="N2024" s="107">
        <v>72</v>
      </c>
      <c r="O2024" s="107">
        <v>69.650000000000006</v>
      </c>
      <c r="P2024" s="107">
        <v>71.8</v>
      </c>
      <c r="Q2024" s="107">
        <v>70.099999999999994</v>
      </c>
      <c r="R2024">
        <v>9112691</v>
      </c>
    </row>
    <row r="2025" spans="1:18" x14ac:dyDescent="0.25">
      <c r="A2025" s="130">
        <v>44984</v>
      </c>
      <c r="B2025" s="107">
        <v>70.400000000000006</v>
      </c>
      <c r="C2025" s="107">
        <v>66.900000000000006</v>
      </c>
      <c r="D2025" s="107">
        <v>66.05</v>
      </c>
      <c r="E2025" s="107">
        <v>69.099999999999994</v>
      </c>
      <c r="F2025" s="107">
        <v>66.900000000000006</v>
      </c>
      <c r="G2025">
        <v>1847371</v>
      </c>
      <c r="H2025" s="107"/>
      <c r="I2025" s="107"/>
      <c r="L2025" s="130">
        <v>44984</v>
      </c>
      <c r="M2025" s="107">
        <v>66.900000000000006</v>
      </c>
      <c r="N2025" s="107">
        <v>70.400000000000006</v>
      </c>
      <c r="O2025" s="107">
        <v>66.05</v>
      </c>
      <c r="P2025" s="107">
        <v>69.5</v>
      </c>
      <c r="Q2025" s="107">
        <v>66.900000000000006</v>
      </c>
      <c r="R2025">
        <v>23297557</v>
      </c>
    </row>
    <row r="2026" spans="1:18" x14ac:dyDescent="0.25">
      <c r="A2026" s="130">
        <v>44985</v>
      </c>
      <c r="B2026" s="107">
        <v>71.349999999999994</v>
      </c>
      <c r="C2026" s="107">
        <v>70.849999999999994</v>
      </c>
      <c r="D2026" s="107">
        <v>67.599999999999994</v>
      </c>
      <c r="E2026" s="107">
        <v>67.75</v>
      </c>
      <c r="F2026" s="107">
        <v>70.849999999999994</v>
      </c>
      <c r="G2026">
        <v>1679697</v>
      </c>
      <c r="H2026" s="107"/>
      <c r="I2026" s="107"/>
      <c r="L2026" s="130">
        <v>44985</v>
      </c>
      <c r="M2026" s="107">
        <v>70.849999999999994</v>
      </c>
      <c r="N2026" s="107">
        <v>71.400000000000006</v>
      </c>
      <c r="O2026" s="107">
        <v>67.55</v>
      </c>
      <c r="P2026" s="107">
        <v>67.650000000000006</v>
      </c>
      <c r="Q2026" s="107">
        <v>70.849999999999994</v>
      </c>
      <c r="R2026">
        <v>15510921</v>
      </c>
    </row>
    <row r="2027" spans="1:18" x14ac:dyDescent="0.25">
      <c r="A2027" s="130">
        <v>44986</v>
      </c>
      <c r="B2027" s="107">
        <v>74.349999999999994</v>
      </c>
      <c r="C2027" s="107">
        <v>74.02</v>
      </c>
      <c r="D2027" s="107">
        <v>69.819999999999993</v>
      </c>
      <c r="E2027" s="107">
        <v>71.39</v>
      </c>
      <c r="F2027" s="107">
        <v>74.02</v>
      </c>
      <c r="G2027">
        <v>1560266</v>
      </c>
      <c r="H2027" s="107"/>
      <c r="I2027" s="107"/>
      <c r="L2027" s="130">
        <v>44986</v>
      </c>
      <c r="M2027" s="107">
        <v>74.05</v>
      </c>
      <c r="N2027" s="107">
        <v>74.400000000000006</v>
      </c>
      <c r="O2027" s="107">
        <v>69.8</v>
      </c>
      <c r="P2027" s="107">
        <v>71</v>
      </c>
      <c r="Q2027" s="107">
        <v>74.05</v>
      </c>
      <c r="R2027">
        <v>17157626</v>
      </c>
    </row>
    <row r="2028" spans="1:18" x14ac:dyDescent="0.25">
      <c r="A2028" s="130">
        <v>44987</v>
      </c>
      <c r="B2028" s="107">
        <v>75.94</v>
      </c>
      <c r="C2028" s="107">
        <v>75.650000000000006</v>
      </c>
      <c r="D2028" s="107">
        <v>72.58</v>
      </c>
      <c r="E2028" s="107">
        <v>74.02</v>
      </c>
      <c r="F2028" s="107">
        <v>75.650000000000006</v>
      </c>
      <c r="G2028">
        <v>1851476</v>
      </c>
      <c r="H2028" s="107"/>
      <c r="I2028" s="107"/>
      <c r="L2028" s="130">
        <v>44987</v>
      </c>
      <c r="M2028" s="107">
        <v>75.650000000000006</v>
      </c>
      <c r="N2028" s="107">
        <v>75.95</v>
      </c>
      <c r="O2028" s="107">
        <v>72.599999999999994</v>
      </c>
      <c r="P2028" s="107">
        <v>74.2</v>
      </c>
      <c r="Q2028" s="107">
        <v>75.650000000000006</v>
      </c>
      <c r="R2028">
        <v>17236985</v>
      </c>
    </row>
    <row r="2029" spans="1:18" x14ac:dyDescent="0.25">
      <c r="A2029" s="130">
        <v>44988</v>
      </c>
      <c r="B2029" s="107">
        <v>80.849999999999994</v>
      </c>
      <c r="C2029" s="107">
        <v>80.38</v>
      </c>
      <c r="D2029" s="107">
        <v>76.06</v>
      </c>
      <c r="E2029" s="107">
        <v>76.06</v>
      </c>
      <c r="F2029" s="107">
        <v>80.38</v>
      </c>
      <c r="G2029">
        <v>3613113</v>
      </c>
      <c r="H2029" s="107"/>
      <c r="I2029" s="107"/>
      <c r="L2029" s="130">
        <v>44988</v>
      </c>
      <c r="M2029" s="107">
        <v>80.3</v>
      </c>
      <c r="N2029" s="107">
        <v>80.900000000000006</v>
      </c>
      <c r="O2029" s="107">
        <v>76.3</v>
      </c>
      <c r="P2029" s="107">
        <v>76.3</v>
      </c>
      <c r="Q2029" s="107">
        <v>80.3</v>
      </c>
      <c r="R2029">
        <v>27596572</v>
      </c>
    </row>
    <row r="2030" spans="1:18" x14ac:dyDescent="0.25">
      <c r="A2030" s="130">
        <v>44991</v>
      </c>
      <c r="B2030" s="107">
        <v>85.68</v>
      </c>
      <c r="C2030" s="107">
        <v>81.16</v>
      </c>
      <c r="D2030" s="107">
        <v>79.87</v>
      </c>
      <c r="E2030" s="107">
        <v>80.75</v>
      </c>
      <c r="F2030" s="107">
        <v>81.16</v>
      </c>
      <c r="G2030">
        <v>2459921</v>
      </c>
      <c r="H2030" s="107"/>
      <c r="I2030" s="107"/>
      <c r="L2030" s="130">
        <v>44991</v>
      </c>
      <c r="M2030" s="107">
        <v>81.150000000000006</v>
      </c>
      <c r="N2030" s="107">
        <v>85.9</v>
      </c>
      <c r="O2030" s="107">
        <v>79.8</v>
      </c>
      <c r="P2030" s="107">
        <v>80.7</v>
      </c>
      <c r="Q2030" s="107">
        <v>81.150000000000006</v>
      </c>
      <c r="R2030">
        <v>26494355</v>
      </c>
    </row>
    <row r="2031" spans="1:18" x14ac:dyDescent="0.25">
      <c r="A2031" s="130">
        <v>44993</v>
      </c>
      <c r="B2031" s="107">
        <v>80.849999999999994</v>
      </c>
      <c r="C2031" s="107">
        <v>79.959999999999994</v>
      </c>
      <c r="D2031" s="107">
        <v>79.2</v>
      </c>
      <c r="E2031" s="107">
        <v>80.849999999999994</v>
      </c>
      <c r="F2031" s="107">
        <v>79.959999999999994</v>
      </c>
      <c r="G2031">
        <v>774792</v>
      </c>
      <c r="H2031" s="107"/>
      <c r="I2031" s="107"/>
      <c r="L2031" s="130">
        <v>44993</v>
      </c>
      <c r="M2031" s="107">
        <v>79.95</v>
      </c>
      <c r="N2031" s="107">
        <v>80.7</v>
      </c>
      <c r="O2031" s="107">
        <v>79.2</v>
      </c>
      <c r="P2031" s="107">
        <v>80.5</v>
      </c>
      <c r="Q2031" s="107">
        <v>79.95</v>
      </c>
      <c r="R2031">
        <v>9029996</v>
      </c>
    </row>
    <row r="2032" spans="1:18" x14ac:dyDescent="0.25">
      <c r="A2032" s="130">
        <v>44994</v>
      </c>
      <c r="B2032" s="107">
        <v>81.599999999999994</v>
      </c>
      <c r="C2032" s="107">
        <v>79.39</v>
      </c>
      <c r="D2032" s="107">
        <v>78.650000000000006</v>
      </c>
      <c r="E2032" s="107">
        <v>79.959999999999994</v>
      </c>
      <c r="F2032" s="107">
        <v>79.39</v>
      </c>
      <c r="G2032">
        <v>2009574</v>
      </c>
      <c r="H2032" s="107"/>
      <c r="I2032" s="107"/>
      <c r="L2032" s="130">
        <v>44994</v>
      </c>
      <c r="M2032" s="107">
        <v>79.349999999999994</v>
      </c>
      <c r="N2032" s="107">
        <v>81.599999999999994</v>
      </c>
      <c r="O2032" s="107">
        <v>78.650000000000006</v>
      </c>
      <c r="P2032" s="107">
        <v>80.150000000000006</v>
      </c>
      <c r="Q2032" s="107">
        <v>79.349999999999994</v>
      </c>
      <c r="R2032">
        <v>14861735</v>
      </c>
    </row>
    <row r="2033" spans="1:18" x14ac:dyDescent="0.25">
      <c r="A2033" s="130">
        <v>44995</v>
      </c>
      <c r="B2033" s="107">
        <v>78.72</v>
      </c>
      <c r="C2033" s="107">
        <v>76.260000000000005</v>
      </c>
      <c r="D2033" s="107">
        <v>75.599999999999994</v>
      </c>
      <c r="E2033" s="107">
        <v>78.510000000000005</v>
      </c>
      <c r="F2033" s="107">
        <v>76.260000000000005</v>
      </c>
      <c r="G2033">
        <v>898961</v>
      </c>
      <c r="H2033" s="107"/>
      <c r="I2033" s="107"/>
      <c r="L2033" s="130">
        <v>44995</v>
      </c>
      <c r="M2033" s="107">
        <v>76.25</v>
      </c>
      <c r="N2033" s="107">
        <v>79</v>
      </c>
      <c r="O2033" s="107">
        <v>75.5</v>
      </c>
      <c r="P2033" s="107">
        <v>79</v>
      </c>
      <c r="Q2033" s="107">
        <v>76.25</v>
      </c>
      <c r="R2033">
        <v>10309135</v>
      </c>
    </row>
    <row r="2034" spans="1:18" x14ac:dyDescent="0.25">
      <c r="A2034" s="130">
        <v>44998</v>
      </c>
      <c r="B2034" s="107">
        <v>78.28</v>
      </c>
      <c r="C2034" s="107">
        <v>75.180000000000007</v>
      </c>
      <c r="D2034" s="107">
        <v>74.2</v>
      </c>
      <c r="E2034" s="107">
        <v>76.099999999999994</v>
      </c>
      <c r="F2034" s="107">
        <v>75.180000000000007</v>
      </c>
      <c r="G2034">
        <v>1644931</v>
      </c>
      <c r="H2034" s="107"/>
      <c r="I2034" s="107"/>
      <c r="L2034" s="130">
        <v>44998</v>
      </c>
      <c r="M2034" s="107">
        <v>75.25</v>
      </c>
      <c r="N2034" s="107">
        <v>78.3</v>
      </c>
      <c r="O2034" s="107">
        <v>74.599999999999994</v>
      </c>
      <c r="P2034" s="107">
        <v>76.3</v>
      </c>
      <c r="Q2034" s="107">
        <v>75.25</v>
      </c>
      <c r="R2034">
        <v>12354157</v>
      </c>
    </row>
    <row r="2035" spans="1:18" x14ac:dyDescent="0.25">
      <c r="A2035" s="130">
        <v>44999</v>
      </c>
      <c r="B2035" s="107">
        <v>75.17</v>
      </c>
      <c r="C2035" s="107">
        <v>70.88</v>
      </c>
      <c r="D2035" s="107">
        <v>70.400000000000006</v>
      </c>
      <c r="E2035" s="107">
        <v>75</v>
      </c>
      <c r="F2035" s="107">
        <v>70.88</v>
      </c>
      <c r="G2035">
        <v>939014</v>
      </c>
      <c r="H2035" s="107"/>
      <c r="I2035" s="107"/>
      <c r="L2035" s="130">
        <v>44999</v>
      </c>
      <c r="M2035" s="107">
        <v>70.849999999999994</v>
      </c>
      <c r="N2035" s="107">
        <v>75.25</v>
      </c>
      <c r="O2035" s="107">
        <v>70.349999999999994</v>
      </c>
      <c r="P2035" s="107">
        <v>75.25</v>
      </c>
      <c r="Q2035" s="107">
        <v>70.849999999999994</v>
      </c>
      <c r="R2035">
        <v>18030771</v>
      </c>
    </row>
    <row r="2036" spans="1:18" x14ac:dyDescent="0.25">
      <c r="A2036" s="130">
        <v>45000</v>
      </c>
      <c r="B2036" s="107">
        <v>73.400000000000006</v>
      </c>
      <c r="C2036" s="107">
        <v>69.77</v>
      </c>
      <c r="D2036" s="107">
        <v>69.06</v>
      </c>
      <c r="E2036" s="107">
        <v>71.81</v>
      </c>
      <c r="F2036" s="107">
        <v>69.77</v>
      </c>
      <c r="G2036">
        <v>1616048</v>
      </c>
      <c r="H2036" s="107"/>
      <c r="I2036" s="107"/>
      <c r="L2036" s="130">
        <v>45000</v>
      </c>
      <c r="M2036" s="107">
        <v>69.8</v>
      </c>
      <c r="N2036" s="107">
        <v>73.599999999999994</v>
      </c>
      <c r="O2036" s="107">
        <v>69</v>
      </c>
      <c r="P2036" s="107">
        <v>72</v>
      </c>
      <c r="Q2036" s="107">
        <v>69.8</v>
      </c>
      <c r="R2036">
        <v>14039598</v>
      </c>
    </row>
    <row r="2037" spans="1:18" x14ac:dyDescent="0.25">
      <c r="A2037" s="130">
        <v>45001</v>
      </c>
      <c r="B2037" s="107">
        <v>71.819999999999993</v>
      </c>
      <c r="C2037" s="107">
        <v>71.41</v>
      </c>
      <c r="D2037" s="107">
        <v>67.91</v>
      </c>
      <c r="E2037" s="107">
        <v>69.8</v>
      </c>
      <c r="F2037" s="107">
        <v>71.41</v>
      </c>
      <c r="G2037">
        <v>1387897</v>
      </c>
      <c r="H2037" s="107"/>
      <c r="I2037" s="107"/>
      <c r="L2037" s="130">
        <v>45001</v>
      </c>
      <c r="M2037" s="107">
        <v>71.400000000000006</v>
      </c>
      <c r="N2037" s="107">
        <v>71.900000000000006</v>
      </c>
      <c r="O2037" s="107">
        <v>67.900000000000006</v>
      </c>
      <c r="P2037" s="107">
        <v>70</v>
      </c>
      <c r="Q2037" s="107">
        <v>71.400000000000006</v>
      </c>
      <c r="R2037">
        <v>17883910</v>
      </c>
    </row>
    <row r="2038" spans="1:18" x14ac:dyDescent="0.25">
      <c r="A2038" s="130">
        <v>45002</v>
      </c>
      <c r="B2038" s="107">
        <v>75.599999999999994</v>
      </c>
      <c r="C2038" s="107">
        <v>74.58</v>
      </c>
      <c r="D2038" s="107">
        <v>71.599999999999994</v>
      </c>
      <c r="E2038" s="107">
        <v>72.510000000000005</v>
      </c>
      <c r="F2038" s="107">
        <v>74.58</v>
      </c>
      <c r="G2038">
        <v>1551836</v>
      </c>
      <c r="H2038" s="107"/>
      <c r="I2038" s="107"/>
      <c r="L2038" s="130">
        <v>45002</v>
      </c>
      <c r="M2038" s="107">
        <v>74.55</v>
      </c>
      <c r="N2038" s="107">
        <v>75.849999999999994</v>
      </c>
      <c r="O2038" s="107">
        <v>71.55</v>
      </c>
      <c r="P2038" s="107">
        <v>72.7</v>
      </c>
      <c r="Q2038" s="107">
        <v>74.55</v>
      </c>
      <c r="R2038">
        <v>29072424</v>
      </c>
    </row>
    <row r="2039" spans="1:18" x14ac:dyDescent="0.25">
      <c r="A2039" s="130">
        <v>45005</v>
      </c>
      <c r="B2039" s="107">
        <v>74.5</v>
      </c>
      <c r="C2039" s="107">
        <v>72.39</v>
      </c>
      <c r="D2039" s="107">
        <v>71.650000000000006</v>
      </c>
      <c r="E2039" s="107">
        <v>74.5</v>
      </c>
      <c r="F2039" s="107">
        <v>72.39</v>
      </c>
      <c r="G2039">
        <v>1156713</v>
      </c>
      <c r="H2039" s="107"/>
      <c r="I2039" s="107"/>
      <c r="L2039" s="130">
        <v>45005</v>
      </c>
      <c r="M2039" s="107">
        <v>72.45</v>
      </c>
      <c r="N2039" s="107">
        <v>74.599999999999994</v>
      </c>
      <c r="O2039" s="107">
        <v>71.599999999999994</v>
      </c>
      <c r="P2039" s="107">
        <v>74.599999999999994</v>
      </c>
      <c r="Q2039" s="107">
        <v>72.45</v>
      </c>
      <c r="R2039">
        <v>17859106</v>
      </c>
    </row>
    <row r="2040" spans="1:18" x14ac:dyDescent="0.25">
      <c r="A2040" s="130">
        <v>45006</v>
      </c>
      <c r="B2040" s="107">
        <v>73.790000000000006</v>
      </c>
      <c r="C2040" s="107">
        <v>73.44</v>
      </c>
      <c r="D2040" s="107">
        <v>72.400000000000006</v>
      </c>
      <c r="E2040" s="107">
        <v>73.06</v>
      </c>
      <c r="F2040" s="107">
        <v>73.44</v>
      </c>
      <c r="G2040">
        <v>832603</v>
      </c>
      <c r="H2040" s="107"/>
      <c r="I2040" s="107"/>
      <c r="L2040" s="130">
        <v>45006</v>
      </c>
      <c r="M2040" s="107">
        <v>73.45</v>
      </c>
      <c r="N2040" s="107">
        <v>73.8</v>
      </c>
      <c r="O2040" s="107">
        <v>72.349999999999994</v>
      </c>
      <c r="P2040" s="107">
        <v>73.5</v>
      </c>
      <c r="Q2040" s="107">
        <v>73.45</v>
      </c>
      <c r="R2040">
        <v>8241954</v>
      </c>
    </row>
    <row r="2041" spans="1:18" x14ac:dyDescent="0.25">
      <c r="A2041" s="130">
        <v>45007</v>
      </c>
      <c r="B2041" s="107">
        <v>75.59</v>
      </c>
      <c r="C2041" s="107">
        <v>74.599999999999994</v>
      </c>
      <c r="D2041" s="107">
        <v>73.34</v>
      </c>
      <c r="E2041" s="107">
        <v>73.599999999999994</v>
      </c>
      <c r="F2041" s="107">
        <v>74.599999999999994</v>
      </c>
      <c r="G2041">
        <v>1007653</v>
      </c>
      <c r="H2041" s="107"/>
      <c r="I2041" s="107"/>
      <c r="L2041" s="130">
        <v>45007</v>
      </c>
      <c r="M2041" s="107">
        <v>74.650000000000006</v>
      </c>
      <c r="N2041" s="107">
        <v>75.599999999999994</v>
      </c>
      <c r="O2041" s="107">
        <v>73.099999999999994</v>
      </c>
      <c r="P2041" s="107">
        <v>73.099999999999994</v>
      </c>
      <c r="Q2041" s="107">
        <v>74.650000000000006</v>
      </c>
      <c r="R2041">
        <v>10284502</v>
      </c>
    </row>
    <row r="2042" spans="1:18" x14ac:dyDescent="0.25">
      <c r="A2042" s="130">
        <v>45008</v>
      </c>
      <c r="B2042" s="107">
        <v>74.5</v>
      </c>
      <c r="C2042" s="107">
        <v>73.38</v>
      </c>
      <c r="D2042" s="107">
        <v>73.16</v>
      </c>
      <c r="E2042" s="107">
        <v>74.5</v>
      </c>
      <c r="F2042" s="107">
        <v>73.38</v>
      </c>
      <c r="G2042">
        <v>594731</v>
      </c>
      <c r="H2042" s="107"/>
      <c r="I2042" s="107"/>
      <c r="L2042" s="130">
        <v>45008</v>
      </c>
      <c r="M2042" s="107">
        <v>73.400000000000006</v>
      </c>
      <c r="N2042" s="107">
        <v>74.45</v>
      </c>
      <c r="O2042" s="107">
        <v>73</v>
      </c>
      <c r="P2042" s="107">
        <v>74.400000000000006</v>
      </c>
      <c r="Q2042" s="107">
        <v>73.400000000000006</v>
      </c>
      <c r="R2042">
        <v>7946657</v>
      </c>
    </row>
    <row r="2043" spans="1:18" x14ac:dyDescent="0.25">
      <c r="A2043" s="130">
        <v>45009</v>
      </c>
      <c r="B2043" s="107">
        <v>73.849999999999994</v>
      </c>
      <c r="C2043" s="107">
        <v>70.42</v>
      </c>
      <c r="D2043" s="107">
        <v>69.59</v>
      </c>
      <c r="E2043" s="107">
        <v>73.69</v>
      </c>
      <c r="F2043" s="107">
        <v>70.42</v>
      </c>
      <c r="G2043">
        <v>853749</v>
      </c>
      <c r="H2043" s="107"/>
      <c r="I2043" s="107"/>
      <c r="L2043" s="130">
        <v>45009</v>
      </c>
      <c r="M2043" s="107">
        <v>70.349999999999994</v>
      </c>
      <c r="N2043" s="107">
        <v>73.95</v>
      </c>
      <c r="O2043" s="107">
        <v>69.599999999999994</v>
      </c>
      <c r="P2043" s="107">
        <v>73.5</v>
      </c>
      <c r="Q2043" s="107">
        <v>70.349999999999994</v>
      </c>
      <c r="R2043">
        <v>9332025</v>
      </c>
    </row>
    <row r="2044" spans="1:18" x14ac:dyDescent="0.25">
      <c r="A2044" s="130">
        <v>45012</v>
      </c>
      <c r="B2044" s="107">
        <v>71.09</v>
      </c>
      <c r="C2044" s="107">
        <v>68.53</v>
      </c>
      <c r="D2044" s="107">
        <v>67</v>
      </c>
      <c r="E2044" s="107">
        <v>71.09</v>
      </c>
      <c r="F2044" s="107">
        <v>68.53</v>
      </c>
      <c r="G2044">
        <v>1467153</v>
      </c>
      <c r="H2044" s="107"/>
      <c r="I2044" s="107"/>
      <c r="L2044" s="130">
        <v>45012</v>
      </c>
      <c r="M2044" s="107">
        <v>69.05</v>
      </c>
      <c r="N2044" s="107">
        <v>71.5</v>
      </c>
      <c r="O2044" s="107">
        <v>67.599999999999994</v>
      </c>
      <c r="P2044" s="107">
        <v>70.849999999999994</v>
      </c>
      <c r="Q2044" s="107">
        <v>69.05</v>
      </c>
      <c r="R2044">
        <v>11732479</v>
      </c>
    </row>
    <row r="2045" spans="1:18" x14ac:dyDescent="0.25">
      <c r="A2045" s="130">
        <v>45013</v>
      </c>
      <c r="B2045" s="107">
        <v>72.739999999999995</v>
      </c>
      <c r="C2045" s="107">
        <v>71.48</v>
      </c>
      <c r="D2045" s="107">
        <v>69.06</v>
      </c>
      <c r="E2045" s="107">
        <v>69.06</v>
      </c>
      <c r="F2045" s="107">
        <v>71.48</v>
      </c>
      <c r="G2045">
        <v>995399</v>
      </c>
      <c r="H2045" s="107"/>
      <c r="I2045" s="107"/>
      <c r="L2045" s="130">
        <v>45013</v>
      </c>
      <c r="M2045" s="107">
        <v>71.55</v>
      </c>
      <c r="N2045" s="107">
        <v>72.8</v>
      </c>
      <c r="O2045" s="107">
        <v>69.150000000000006</v>
      </c>
      <c r="P2045" s="107">
        <v>69.45</v>
      </c>
      <c r="Q2045" s="107">
        <v>71.55</v>
      </c>
      <c r="R2045">
        <v>12632993</v>
      </c>
    </row>
    <row r="2046" spans="1:18" x14ac:dyDescent="0.25">
      <c r="A2046" s="130">
        <v>45014</v>
      </c>
      <c r="B2046" s="107">
        <v>77.87</v>
      </c>
      <c r="C2046" s="107">
        <v>76.7</v>
      </c>
      <c r="D2046" s="107">
        <v>70.81</v>
      </c>
      <c r="E2046" s="107">
        <v>70.81</v>
      </c>
      <c r="F2046" s="107">
        <v>76.7</v>
      </c>
      <c r="G2046">
        <v>1797823</v>
      </c>
      <c r="H2046" s="107"/>
      <c r="I2046" s="107"/>
      <c r="L2046" s="130">
        <v>45014</v>
      </c>
      <c r="M2046" s="107">
        <v>76.900000000000006</v>
      </c>
      <c r="N2046" s="107">
        <v>77.95</v>
      </c>
      <c r="O2046" s="107">
        <v>71.05</v>
      </c>
      <c r="P2046" s="107">
        <v>71.45</v>
      </c>
      <c r="Q2046" s="107">
        <v>76.900000000000006</v>
      </c>
      <c r="R2046">
        <v>20079281</v>
      </c>
    </row>
    <row r="2047" spans="1:18" x14ac:dyDescent="0.25">
      <c r="A2047" s="130">
        <v>45016</v>
      </c>
      <c r="B2047" s="107">
        <v>77.78</v>
      </c>
      <c r="C2047" s="107">
        <v>74.849999999999994</v>
      </c>
      <c r="D2047" s="107">
        <v>74.2</v>
      </c>
      <c r="E2047" s="107">
        <v>76.7</v>
      </c>
      <c r="F2047" s="107">
        <v>74.849999999999994</v>
      </c>
      <c r="G2047">
        <v>1125584</v>
      </c>
      <c r="H2047" s="107"/>
      <c r="I2047" s="107"/>
      <c r="L2047" s="130">
        <v>45016</v>
      </c>
      <c r="M2047" s="107">
        <v>74.650000000000006</v>
      </c>
      <c r="N2047" s="107">
        <v>77.900000000000006</v>
      </c>
      <c r="O2047" s="107">
        <v>74.099999999999994</v>
      </c>
      <c r="P2047" s="107">
        <v>76.900000000000006</v>
      </c>
      <c r="Q2047" s="107">
        <v>74.650000000000006</v>
      </c>
      <c r="R2047">
        <v>12444105</v>
      </c>
    </row>
    <row r="2048" spans="1:18" x14ac:dyDescent="0.25">
      <c r="A2048" s="130">
        <v>45019</v>
      </c>
      <c r="B2048" s="107">
        <v>76.400000000000006</v>
      </c>
      <c r="C2048" s="107">
        <v>76</v>
      </c>
      <c r="D2048" s="107">
        <v>74.099999999999994</v>
      </c>
      <c r="E2048" s="107">
        <v>74.61</v>
      </c>
      <c r="F2048" s="107">
        <v>76</v>
      </c>
      <c r="G2048">
        <v>936217</v>
      </c>
      <c r="H2048" s="107"/>
      <c r="I2048" s="107"/>
      <c r="L2048" s="130">
        <v>45019</v>
      </c>
      <c r="M2048" s="107">
        <v>75.95</v>
      </c>
      <c r="N2048" s="107">
        <v>76.45</v>
      </c>
      <c r="O2048" s="107">
        <v>74.099999999999994</v>
      </c>
      <c r="P2048" s="107">
        <v>75</v>
      </c>
      <c r="Q2048" s="107">
        <v>75.95</v>
      </c>
      <c r="R2048">
        <v>8102076</v>
      </c>
    </row>
    <row r="2049" spans="1:18" x14ac:dyDescent="0.25">
      <c r="A2049" s="130">
        <v>45021</v>
      </c>
      <c r="B2049" s="107">
        <v>77.8</v>
      </c>
      <c r="C2049" s="107">
        <v>77.430000000000007</v>
      </c>
      <c r="D2049" s="107">
        <v>75.3</v>
      </c>
      <c r="E2049" s="107">
        <v>76.03</v>
      </c>
      <c r="F2049" s="107">
        <v>77.430000000000007</v>
      </c>
      <c r="G2049">
        <v>1756883</v>
      </c>
      <c r="H2049" s="107"/>
      <c r="I2049" s="107"/>
      <c r="L2049" s="130">
        <v>45021</v>
      </c>
      <c r="M2049" s="107">
        <v>77.45</v>
      </c>
      <c r="N2049" s="107">
        <v>77.8</v>
      </c>
      <c r="O2049" s="107">
        <v>75.3</v>
      </c>
      <c r="P2049" s="107">
        <v>76.099999999999994</v>
      </c>
      <c r="Q2049" s="107">
        <v>77.45</v>
      </c>
      <c r="R2049">
        <v>10567616</v>
      </c>
    </row>
    <row r="2050" spans="1:18" x14ac:dyDescent="0.25">
      <c r="A2050" s="130">
        <v>45022</v>
      </c>
      <c r="B2050" s="107">
        <v>78.400000000000006</v>
      </c>
      <c r="C2050" s="107">
        <v>76.69</v>
      </c>
      <c r="D2050" s="107">
        <v>75.75</v>
      </c>
      <c r="E2050" s="107">
        <v>77.010000000000005</v>
      </c>
      <c r="F2050" s="107">
        <v>76.69</v>
      </c>
      <c r="G2050">
        <v>677611</v>
      </c>
      <c r="H2050" s="107"/>
      <c r="I2050" s="107"/>
      <c r="L2050" s="130">
        <v>45022</v>
      </c>
      <c r="M2050" s="107">
        <v>76.75</v>
      </c>
      <c r="N2050" s="107">
        <v>78.400000000000006</v>
      </c>
      <c r="O2050" s="107">
        <v>75.7</v>
      </c>
      <c r="P2050" s="107">
        <v>77.25</v>
      </c>
      <c r="Q2050" s="107">
        <v>76.75</v>
      </c>
      <c r="R2050">
        <v>10106794</v>
      </c>
    </row>
    <row r="2051" spans="1:18" x14ac:dyDescent="0.25">
      <c r="A2051" s="130">
        <v>45026</v>
      </c>
      <c r="B2051" s="107">
        <v>77.319999999999993</v>
      </c>
      <c r="C2051" s="107">
        <v>75.42</v>
      </c>
      <c r="D2051" s="107">
        <v>75.010000000000005</v>
      </c>
      <c r="E2051" s="107">
        <v>76.7</v>
      </c>
      <c r="F2051" s="107">
        <v>75.42</v>
      </c>
      <c r="G2051">
        <v>399306</v>
      </c>
      <c r="H2051" s="107"/>
      <c r="I2051" s="107"/>
      <c r="L2051" s="130">
        <v>45026</v>
      </c>
      <c r="M2051" s="107">
        <v>75.400000000000006</v>
      </c>
      <c r="N2051" s="107">
        <v>77.400000000000006</v>
      </c>
      <c r="O2051" s="107">
        <v>75</v>
      </c>
      <c r="P2051" s="107">
        <v>77.05</v>
      </c>
      <c r="Q2051" s="107">
        <v>75.400000000000006</v>
      </c>
      <c r="R2051">
        <v>5221913</v>
      </c>
    </row>
    <row r="2052" spans="1:18" x14ac:dyDescent="0.25">
      <c r="A2052" s="130">
        <v>45027</v>
      </c>
      <c r="B2052" s="107">
        <v>78.040000000000006</v>
      </c>
      <c r="C2052" s="107">
        <v>76.8</v>
      </c>
      <c r="D2052" s="107">
        <v>76.08</v>
      </c>
      <c r="E2052" s="107">
        <v>76.099999999999994</v>
      </c>
      <c r="F2052" s="107">
        <v>76.8</v>
      </c>
      <c r="G2052">
        <v>1123589</v>
      </c>
      <c r="H2052" s="107"/>
      <c r="I2052" s="107"/>
      <c r="L2052" s="130">
        <v>45027</v>
      </c>
      <c r="M2052" s="107">
        <v>76.75</v>
      </c>
      <c r="N2052" s="107">
        <v>78.2</v>
      </c>
      <c r="O2052" s="107">
        <v>76</v>
      </c>
      <c r="P2052" s="107">
        <v>76.150000000000006</v>
      </c>
      <c r="Q2052" s="107">
        <v>76.75</v>
      </c>
      <c r="R2052">
        <v>8243733</v>
      </c>
    </row>
    <row r="2053" spans="1:18" x14ac:dyDescent="0.25">
      <c r="A2053" s="130">
        <v>45028</v>
      </c>
      <c r="B2053" s="107">
        <v>77.39</v>
      </c>
      <c r="C2053" s="107">
        <v>75.41</v>
      </c>
      <c r="D2053" s="107">
        <v>75.05</v>
      </c>
      <c r="E2053" s="107">
        <v>77.39</v>
      </c>
      <c r="F2053" s="107">
        <v>75.41</v>
      </c>
      <c r="G2053">
        <v>506887</v>
      </c>
      <c r="H2053" s="107"/>
      <c r="I2053" s="107"/>
      <c r="L2053" s="130">
        <v>45028</v>
      </c>
      <c r="M2053" s="107">
        <v>75.400000000000006</v>
      </c>
      <c r="N2053" s="107">
        <v>77.150000000000006</v>
      </c>
      <c r="O2053" s="107">
        <v>75</v>
      </c>
      <c r="P2053" s="107">
        <v>77.099999999999994</v>
      </c>
      <c r="Q2053" s="107">
        <v>75.400000000000006</v>
      </c>
      <c r="R2053">
        <v>5357265</v>
      </c>
    </row>
    <row r="2054" spans="1:18" x14ac:dyDescent="0.25">
      <c r="A2054" s="130">
        <v>45029</v>
      </c>
      <c r="B2054" s="107">
        <v>77.599999999999994</v>
      </c>
      <c r="C2054" s="107">
        <v>77.03</v>
      </c>
      <c r="D2054" s="107">
        <v>74.790000000000006</v>
      </c>
      <c r="E2054" s="107">
        <v>75.989999999999995</v>
      </c>
      <c r="F2054" s="107">
        <v>77.03</v>
      </c>
      <c r="G2054">
        <v>929110</v>
      </c>
      <c r="H2054" s="107"/>
      <c r="I2054" s="107"/>
      <c r="L2054" s="130">
        <v>45029</v>
      </c>
      <c r="M2054" s="107">
        <v>77.05</v>
      </c>
      <c r="N2054" s="107">
        <v>77.650000000000006</v>
      </c>
      <c r="O2054" s="107">
        <v>74.75</v>
      </c>
      <c r="P2054" s="107">
        <v>75.650000000000006</v>
      </c>
      <c r="Q2054" s="107">
        <v>77.05</v>
      </c>
      <c r="R2054">
        <v>9394191</v>
      </c>
    </row>
    <row r="2055" spans="1:18" x14ac:dyDescent="0.25">
      <c r="A2055" s="130">
        <v>45033</v>
      </c>
      <c r="B2055" s="107">
        <v>80.25</v>
      </c>
      <c r="C2055" s="107">
        <v>79.97</v>
      </c>
      <c r="D2055" s="107">
        <v>76.19</v>
      </c>
      <c r="E2055" s="107">
        <v>77.03</v>
      </c>
      <c r="F2055" s="107">
        <v>79.97</v>
      </c>
      <c r="G2055">
        <v>1222699</v>
      </c>
      <c r="H2055" s="107"/>
      <c r="I2055" s="107"/>
      <c r="L2055" s="130">
        <v>45033</v>
      </c>
      <c r="M2055" s="107">
        <v>79.95</v>
      </c>
      <c r="N2055" s="107">
        <v>80.25</v>
      </c>
      <c r="O2055" s="107">
        <v>76.2</v>
      </c>
      <c r="P2055" s="107">
        <v>77.05</v>
      </c>
      <c r="Q2055" s="107">
        <v>79.95</v>
      </c>
      <c r="R2055">
        <v>16077036</v>
      </c>
    </row>
    <row r="2056" spans="1:18" x14ac:dyDescent="0.25">
      <c r="A2056" s="130">
        <v>45034</v>
      </c>
      <c r="B2056" s="107">
        <v>81.86</v>
      </c>
      <c r="C2056" s="107">
        <v>80.77</v>
      </c>
      <c r="D2056" s="107">
        <v>80.05</v>
      </c>
      <c r="E2056" s="107">
        <v>80.349999999999994</v>
      </c>
      <c r="F2056" s="107">
        <v>80.77</v>
      </c>
      <c r="G2056">
        <v>2162814</v>
      </c>
      <c r="H2056" s="107"/>
      <c r="I2056" s="107"/>
      <c r="L2056" s="130">
        <v>45034</v>
      </c>
      <c r="M2056" s="107">
        <v>80.75</v>
      </c>
      <c r="N2056" s="107">
        <v>81.900000000000006</v>
      </c>
      <c r="O2056" s="107">
        <v>80.05</v>
      </c>
      <c r="P2056" s="107">
        <v>80.400000000000006</v>
      </c>
      <c r="Q2056" s="107">
        <v>80.75</v>
      </c>
      <c r="R2056">
        <v>14038890</v>
      </c>
    </row>
    <row r="2057" spans="1:18" x14ac:dyDescent="0.25">
      <c r="A2057" s="130">
        <v>45035</v>
      </c>
      <c r="B2057" s="107">
        <v>82.22</v>
      </c>
      <c r="C2057" s="107">
        <v>80.23</v>
      </c>
      <c r="D2057" s="107">
        <v>79.599999999999994</v>
      </c>
      <c r="E2057" s="107">
        <v>81</v>
      </c>
      <c r="F2057" s="107">
        <v>80.23</v>
      </c>
      <c r="G2057">
        <v>1052632</v>
      </c>
      <c r="H2057" s="107"/>
      <c r="I2057" s="107"/>
      <c r="L2057" s="130">
        <v>45035</v>
      </c>
      <c r="M2057" s="107">
        <v>80.150000000000006</v>
      </c>
      <c r="N2057" s="107">
        <v>82.25</v>
      </c>
      <c r="O2057" s="107">
        <v>79.599999999999994</v>
      </c>
      <c r="P2057" s="107">
        <v>80.95</v>
      </c>
      <c r="Q2057" s="107">
        <v>80.150000000000006</v>
      </c>
      <c r="R2057">
        <v>11415718</v>
      </c>
    </row>
    <row r="2058" spans="1:18" x14ac:dyDescent="0.25">
      <c r="A2058" s="130">
        <v>45036</v>
      </c>
      <c r="B2058" s="107">
        <v>81.2</v>
      </c>
      <c r="C2058" s="107">
        <v>78.989999999999995</v>
      </c>
      <c r="D2058" s="107">
        <v>78.430000000000007</v>
      </c>
      <c r="E2058" s="107">
        <v>80.599999999999994</v>
      </c>
      <c r="F2058" s="107">
        <v>78.989999999999995</v>
      </c>
      <c r="G2058">
        <v>866972</v>
      </c>
      <c r="H2058" s="107"/>
      <c r="I2058" s="107"/>
      <c r="L2058" s="130">
        <v>45036</v>
      </c>
      <c r="M2058" s="107">
        <v>78.95</v>
      </c>
      <c r="N2058" s="107">
        <v>81.2</v>
      </c>
      <c r="O2058" s="107">
        <v>78.3</v>
      </c>
      <c r="P2058" s="107">
        <v>80.45</v>
      </c>
      <c r="Q2058" s="107">
        <v>78.95</v>
      </c>
      <c r="R2058">
        <v>7351282</v>
      </c>
    </row>
    <row r="2059" spans="1:18" x14ac:dyDescent="0.25">
      <c r="A2059" s="130">
        <v>45037</v>
      </c>
      <c r="B2059" s="107">
        <v>79.11</v>
      </c>
      <c r="C2059" s="107">
        <v>77.09</v>
      </c>
      <c r="D2059" s="107">
        <v>76.569999999999993</v>
      </c>
      <c r="E2059" s="107">
        <v>79.010000000000005</v>
      </c>
      <c r="F2059" s="107">
        <v>77.09</v>
      </c>
      <c r="G2059">
        <v>908594</v>
      </c>
      <c r="H2059" s="107"/>
      <c r="I2059" s="107"/>
      <c r="L2059" s="130">
        <v>45037</v>
      </c>
      <c r="M2059" s="107">
        <v>77.150000000000006</v>
      </c>
      <c r="N2059" s="107">
        <v>79.3</v>
      </c>
      <c r="O2059" s="107">
        <v>76.55</v>
      </c>
      <c r="P2059" s="107">
        <v>79.3</v>
      </c>
      <c r="Q2059" s="107">
        <v>77.150000000000006</v>
      </c>
      <c r="R2059">
        <v>7446780</v>
      </c>
    </row>
    <row r="2060" spans="1:18" x14ac:dyDescent="0.25">
      <c r="A2060" s="130">
        <v>45040</v>
      </c>
      <c r="B2060" s="107">
        <v>79.989999999999995</v>
      </c>
      <c r="C2060" s="107">
        <v>79.72</v>
      </c>
      <c r="D2060" s="107">
        <v>77</v>
      </c>
      <c r="E2060" s="107">
        <v>77.11</v>
      </c>
      <c r="F2060" s="107">
        <v>79.72</v>
      </c>
      <c r="G2060">
        <v>930299</v>
      </c>
      <c r="H2060" s="107"/>
      <c r="I2060" s="107"/>
      <c r="L2060" s="130">
        <v>45040</v>
      </c>
      <c r="M2060" s="107">
        <v>79.7</v>
      </c>
      <c r="N2060" s="107">
        <v>79.95</v>
      </c>
      <c r="O2060" s="107">
        <v>76.95</v>
      </c>
      <c r="P2060" s="107">
        <v>77.599999999999994</v>
      </c>
      <c r="Q2060" s="107">
        <v>79.7</v>
      </c>
      <c r="R2060">
        <v>9303016</v>
      </c>
    </row>
    <row r="2061" spans="1:18" x14ac:dyDescent="0.25">
      <c r="A2061" s="130">
        <v>45041</v>
      </c>
      <c r="B2061" s="107">
        <v>82.3</v>
      </c>
      <c r="C2061" s="107">
        <v>80.069999999999993</v>
      </c>
      <c r="D2061" s="107">
        <v>79.650000000000006</v>
      </c>
      <c r="E2061" s="107">
        <v>80.05</v>
      </c>
      <c r="F2061" s="107">
        <v>80.069999999999993</v>
      </c>
      <c r="G2061">
        <v>1294279</v>
      </c>
      <c r="H2061" s="107"/>
      <c r="I2061" s="107"/>
      <c r="L2061" s="130">
        <v>45041</v>
      </c>
      <c r="M2061" s="107">
        <v>80.05</v>
      </c>
      <c r="N2061" s="107">
        <v>82.3</v>
      </c>
      <c r="O2061" s="107">
        <v>79.599999999999994</v>
      </c>
      <c r="P2061" s="107">
        <v>80.2</v>
      </c>
      <c r="Q2061" s="107">
        <v>80.05</v>
      </c>
      <c r="R2061">
        <v>13250540</v>
      </c>
    </row>
    <row r="2062" spans="1:18" x14ac:dyDescent="0.25">
      <c r="A2062" s="130">
        <v>45042</v>
      </c>
      <c r="B2062" s="107">
        <v>80.739999999999995</v>
      </c>
      <c r="C2062" s="107">
        <v>80.010000000000005</v>
      </c>
      <c r="D2062" s="107">
        <v>79.05</v>
      </c>
      <c r="E2062" s="107">
        <v>80.239999999999995</v>
      </c>
      <c r="F2062" s="107">
        <v>80.010000000000005</v>
      </c>
      <c r="G2062">
        <v>898371</v>
      </c>
      <c r="H2062" s="107"/>
      <c r="I2062" s="107"/>
      <c r="L2062" s="130">
        <v>45042</v>
      </c>
      <c r="M2062" s="107">
        <v>79.95</v>
      </c>
      <c r="N2062" s="107">
        <v>80.75</v>
      </c>
      <c r="O2062" s="107">
        <v>79.05</v>
      </c>
      <c r="P2062" s="107">
        <v>80</v>
      </c>
      <c r="Q2062" s="107">
        <v>79.95</v>
      </c>
      <c r="R2062">
        <v>7990462</v>
      </c>
    </row>
    <row r="2063" spans="1:18" x14ac:dyDescent="0.25">
      <c r="A2063" s="130">
        <v>45043</v>
      </c>
      <c r="B2063" s="107">
        <v>81.37</v>
      </c>
      <c r="C2063" s="107">
        <v>81.16</v>
      </c>
      <c r="D2063" s="107">
        <v>79.709999999999994</v>
      </c>
      <c r="E2063" s="107">
        <v>80.290000000000006</v>
      </c>
      <c r="F2063" s="107">
        <v>81.16</v>
      </c>
      <c r="G2063">
        <v>1149304</v>
      </c>
      <c r="H2063" s="107"/>
      <c r="I2063" s="107"/>
      <c r="L2063" s="130">
        <v>45043</v>
      </c>
      <c r="M2063" s="107">
        <v>81.2</v>
      </c>
      <c r="N2063" s="107">
        <v>81.400000000000006</v>
      </c>
      <c r="O2063" s="107">
        <v>79.650000000000006</v>
      </c>
      <c r="P2063" s="107">
        <v>80</v>
      </c>
      <c r="Q2063" s="107">
        <v>81.2</v>
      </c>
      <c r="R2063">
        <v>7354407</v>
      </c>
    </row>
    <row r="2064" spans="1:18" x14ac:dyDescent="0.25">
      <c r="A2064" s="130">
        <v>45044</v>
      </c>
      <c r="B2064" s="107">
        <v>84.5</v>
      </c>
      <c r="C2064" s="107">
        <v>84.06</v>
      </c>
      <c r="D2064" s="107">
        <v>81.8</v>
      </c>
      <c r="E2064" s="107">
        <v>82.29</v>
      </c>
      <c r="F2064" s="107">
        <v>84.06</v>
      </c>
      <c r="G2064">
        <v>1221261</v>
      </c>
      <c r="H2064" s="107"/>
      <c r="I2064" s="107"/>
      <c r="L2064" s="130">
        <v>45044</v>
      </c>
      <c r="M2064" s="107">
        <v>84</v>
      </c>
      <c r="N2064" s="107">
        <v>84.5</v>
      </c>
      <c r="O2064" s="107">
        <v>81.7</v>
      </c>
      <c r="P2064" s="107">
        <v>81.7</v>
      </c>
      <c r="Q2064" s="107">
        <v>84</v>
      </c>
      <c r="R2064">
        <v>17197134</v>
      </c>
    </row>
    <row r="2065" spans="1:18" x14ac:dyDescent="0.25">
      <c r="A2065" s="130">
        <v>45048</v>
      </c>
      <c r="B2065" s="107">
        <v>86.75</v>
      </c>
      <c r="C2065" s="107">
        <v>84.8</v>
      </c>
      <c r="D2065" s="107">
        <v>84.27</v>
      </c>
      <c r="E2065" s="107">
        <v>84.56</v>
      </c>
      <c r="F2065" s="107">
        <v>84.8</v>
      </c>
      <c r="G2065">
        <v>1079751</v>
      </c>
      <c r="H2065" s="107"/>
      <c r="I2065" s="107"/>
      <c r="L2065" s="130">
        <v>45048</v>
      </c>
      <c r="M2065" s="107">
        <v>84.7</v>
      </c>
      <c r="N2065" s="107">
        <v>86.75</v>
      </c>
      <c r="O2065" s="107">
        <v>84.25</v>
      </c>
      <c r="P2065" s="107">
        <v>84.8</v>
      </c>
      <c r="Q2065" s="107">
        <v>84.7</v>
      </c>
      <c r="R2065">
        <v>15211839</v>
      </c>
    </row>
    <row r="2066" spans="1:18" x14ac:dyDescent="0.25">
      <c r="A2066" s="130">
        <v>45049</v>
      </c>
      <c r="B2066" s="107">
        <v>85.05</v>
      </c>
      <c r="C2066" s="107">
        <v>83.58</v>
      </c>
      <c r="D2066" s="107">
        <v>82.7</v>
      </c>
      <c r="E2066" s="107">
        <v>84.39</v>
      </c>
      <c r="F2066" s="107">
        <v>83.58</v>
      </c>
      <c r="G2066">
        <v>822211</v>
      </c>
      <c r="H2066" s="107"/>
      <c r="I2066" s="107"/>
      <c r="L2066" s="130">
        <v>45049</v>
      </c>
      <c r="M2066" s="107">
        <v>83.65</v>
      </c>
      <c r="N2066" s="107">
        <v>85.7</v>
      </c>
      <c r="O2066" s="107">
        <v>82.7</v>
      </c>
      <c r="P2066" s="107">
        <v>84</v>
      </c>
      <c r="Q2066" s="107">
        <v>83.65</v>
      </c>
      <c r="R2066">
        <v>9115680</v>
      </c>
    </row>
    <row r="2067" spans="1:18" x14ac:dyDescent="0.25">
      <c r="A2067" s="130">
        <v>45050</v>
      </c>
      <c r="B2067" s="107">
        <v>86.8</v>
      </c>
      <c r="C2067" s="107">
        <v>86.34</v>
      </c>
      <c r="D2067" s="107">
        <v>83.95</v>
      </c>
      <c r="E2067" s="107">
        <v>84</v>
      </c>
      <c r="F2067" s="107">
        <v>86.34</v>
      </c>
      <c r="G2067">
        <v>781096</v>
      </c>
      <c r="H2067" s="107"/>
      <c r="I2067" s="107"/>
      <c r="L2067" s="130">
        <v>45050</v>
      </c>
      <c r="M2067" s="107">
        <v>86.35</v>
      </c>
      <c r="N2067" s="107">
        <v>86.8</v>
      </c>
      <c r="O2067" s="107">
        <v>83.7</v>
      </c>
      <c r="P2067" s="107">
        <v>83.9</v>
      </c>
      <c r="Q2067" s="107">
        <v>86.35</v>
      </c>
      <c r="R2067">
        <v>12588309</v>
      </c>
    </row>
    <row r="2068" spans="1:18" x14ac:dyDescent="0.25">
      <c r="A2068" s="130">
        <v>45051</v>
      </c>
      <c r="B2068" s="107">
        <v>89.15</v>
      </c>
      <c r="C2068" s="107">
        <v>86.33</v>
      </c>
      <c r="D2068" s="107">
        <v>85.65</v>
      </c>
      <c r="E2068" s="107">
        <v>86.36</v>
      </c>
      <c r="F2068" s="107">
        <v>86.33</v>
      </c>
      <c r="G2068">
        <v>1054978</v>
      </c>
      <c r="H2068" s="107"/>
      <c r="I2068" s="107"/>
      <c r="L2068" s="130">
        <v>45051</v>
      </c>
      <c r="M2068" s="107">
        <v>86.2</v>
      </c>
      <c r="N2068" s="107">
        <v>89.2</v>
      </c>
      <c r="O2068" s="107">
        <v>85.6</v>
      </c>
      <c r="P2068" s="107">
        <v>86.5</v>
      </c>
      <c r="Q2068" s="107">
        <v>86.2</v>
      </c>
      <c r="R2068">
        <v>21390482</v>
      </c>
    </row>
    <row r="2069" spans="1:18" x14ac:dyDescent="0.25">
      <c r="A2069" s="130">
        <v>45054</v>
      </c>
      <c r="B2069" s="107">
        <v>84.49</v>
      </c>
      <c r="C2069" s="107">
        <v>81.180000000000007</v>
      </c>
      <c r="D2069" s="107">
        <v>79.41</v>
      </c>
      <c r="E2069" s="107">
        <v>84.49</v>
      </c>
      <c r="F2069" s="107">
        <v>81.180000000000007</v>
      </c>
      <c r="G2069">
        <v>2523596</v>
      </c>
      <c r="H2069" s="107"/>
      <c r="I2069" s="107"/>
      <c r="L2069" s="130">
        <v>45054</v>
      </c>
      <c r="M2069" s="107">
        <v>81.150000000000006</v>
      </c>
      <c r="N2069" s="107">
        <v>82.9</v>
      </c>
      <c r="O2069" s="107">
        <v>79.150000000000006</v>
      </c>
      <c r="P2069" s="107">
        <v>82</v>
      </c>
      <c r="Q2069" s="107">
        <v>81.150000000000006</v>
      </c>
      <c r="R2069">
        <v>31978754</v>
      </c>
    </row>
    <row r="2070" spans="1:18" x14ac:dyDescent="0.25">
      <c r="A2070" s="130">
        <v>45055</v>
      </c>
      <c r="B2070" s="107">
        <v>82.7</v>
      </c>
      <c r="C2070" s="107">
        <v>79.010000000000005</v>
      </c>
      <c r="D2070" s="107">
        <v>78.22</v>
      </c>
      <c r="E2070" s="107">
        <v>82</v>
      </c>
      <c r="F2070" s="107">
        <v>79.010000000000005</v>
      </c>
      <c r="G2070">
        <v>1222740</v>
      </c>
      <c r="H2070" s="107"/>
      <c r="I2070" s="107"/>
      <c r="L2070" s="130">
        <v>45055</v>
      </c>
      <c r="M2070" s="107">
        <v>79.05</v>
      </c>
      <c r="N2070" s="107">
        <v>82.75</v>
      </c>
      <c r="O2070" s="107">
        <v>78.150000000000006</v>
      </c>
      <c r="P2070" s="107">
        <v>82</v>
      </c>
      <c r="Q2070" s="107">
        <v>79.05</v>
      </c>
      <c r="R2070">
        <v>12625095</v>
      </c>
    </row>
    <row r="2071" spans="1:18" x14ac:dyDescent="0.25">
      <c r="A2071" s="130">
        <v>45056</v>
      </c>
      <c r="B2071" s="107">
        <v>79.13</v>
      </c>
      <c r="C2071" s="107">
        <v>78.06</v>
      </c>
      <c r="D2071" s="107">
        <v>77.25</v>
      </c>
      <c r="E2071" s="107">
        <v>78.510000000000005</v>
      </c>
      <c r="F2071" s="107">
        <v>78.06</v>
      </c>
      <c r="G2071">
        <v>654253</v>
      </c>
      <c r="H2071" s="107"/>
      <c r="I2071" s="107"/>
      <c r="L2071" s="130">
        <v>45056</v>
      </c>
      <c r="M2071" s="107">
        <v>78.099999999999994</v>
      </c>
      <c r="N2071" s="107">
        <v>79.099999999999994</v>
      </c>
      <c r="O2071" s="107">
        <v>77.2</v>
      </c>
      <c r="P2071" s="107">
        <v>78.95</v>
      </c>
      <c r="Q2071" s="107">
        <v>78.099999999999994</v>
      </c>
      <c r="R2071">
        <v>9066616</v>
      </c>
    </row>
    <row r="2072" spans="1:18" x14ac:dyDescent="0.25">
      <c r="A2072" s="130">
        <v>45057</v>
      </c>
      <c r="B2072" s="107">
        <v>79.290000000000006</v>
      </c>
      <c r="C2072" s="107">
        <v>78.19</v>
      </c>
      <c r="D2072" s="107">
        <v>77.989999999999995</v>
      </c>
      <c r="E2072" s="107">
        <v>79.290000000000006</v>
      </c>
      <c r="F2072" s="107">
        <v>78.19</v>
      </c>
      <c r="G2072">
        <v>434104</v>
      </c>
      <c r="H2072" s="107"/>
      <c r="I2072" s="107"/>
      <c r="L2072" s="130">
        <v>45057</v>
      </c>
      <c r="M2072" s="107">
        <v>78.25</v>
      </c>
      <c r="N2072" s="107">
        <v>79.150000000000006</v>
      </c>
      <c r="O2072" s="107">
        <v>77.849999999999994</v>
      </c>
      <c r="P2072" s="107">
        <v>78.900000000000006</v>
      </c>
      <c r="Q2072" s="107">
        <v>78.25</v>
      </c>
      <c r="R2072">
        <v>5788684</v>
      </c>
    </row>
    <row r="2073" spans="1:18" x14ac:dyDescent="0.25">
      <c r="A2073" s="130">
        <v>45058</v>
      </c>
      <c r="B2073" s="107">
        <v>78.569999999999993</v>
      </c>
      <c r="C2073" s="107">
        <v>77.61</v>
      </c>
      <c r="D2073" s="107">
        <v>77.239999999999995</v>
      </c>
      <c r="E2073" s="107">
        <v>78.569999999999993</v>
      </c>
      <c r="F2073" s="107">
        <v>77.61</v>
      </c>
      <c r="G2073">
        <v>331607</v>
      </c>
      <c r="H2073" s="107"/>
      <c r="I2073" s="107"/>
      <c r="L2073" s="130">
        <v>45058</v>
      </c>
      <c r="M2073" s="107">
        <v>77.5</v>
      </c>
      <c r="N2073" s="107">
        <v>78.400000000000006</v>
      </c>
      <c r="O2073" s="107">
        <v>77.25</v>
      </c>
      <c r="P2073" s="107">
        <v>78</v>
      </c>
      <c r="Q2073" s="107">
        <v>77.5</v>
      </c>
      <c r="R2073">
        <v>5123202</v>
      </c>
    </row>
    <row r="2074" spans="1:18" x14ac:dyDescent="0.25">
      <c r="A2074" s="130">
        <v>45061</v>
      </c>
      <c r="B2074" s="107">
        <v>79</v>
      </c>
      <c r="C2074" s="107">
        <v>78.34</v>
      </c>
      <c r="D2074" s="107">
        <v>76.260000000000005</v>
      </c>
      <c r="E2074" s="107">
        <v>77.11</v>
      </c>
      <c r="F2074" s="107">
        <v>78.34</v>
      </c>
      <c r="G2074">
        <v>604747</v>
      </c>
      <c r="H2074" s="107"/>
      <c r="I2074" s="107"/>
      <c r="L2074" s="130">
        <v>45061</v>
      </c>
      <c r="M2074" s="107">
        <v>78.45</v>
      </c>
      <c r="N2074" s="107">
        <v>79.099999999999994</v>
      </c>
      <c r="O2074" s="107">
        <v>76.25</v>
      </c>
      <c r="P2074" s="107">
        <v>77.45</v>
      </c>
      <c r="Q2074" s="107">
        <v>78.45</v>
      </c>
      <c r="R2074">
        <v>6984746</v>
      </c>
    </row>
    <row r="2075" spans="1:18" x14ac:dyDescent="0.25">
      <c r="A2075" s="130">
        <v>45062</v>
      </c>
      <c r="B2075" s="107">
        <v>80.37</v>
      </c>
      <c r="C2075" s="107">
        <v>77.05</v>
      </c>
      <c r="D2075" s="107">
        <v>76.900000000000006</v>
      </c>
      <c r="E2075" s="107">
        <v>79.489999999999995</v>
      </c>
      <c r="F2075" s="107">
        <v>77.05</v>
      </c>
      <c r="G2075">
        <v>578048</v>
      </c>
      <c r="H2075" s="107"/>
      <c r="I2075" s="107"/>
      <c r="L2075" s="130">
        <v>45062</v>
      </c>
      <c r="M2075" s="107">
        <v>77.099999999999994</v>
      </c>
      <c r="N2075" s="107">
        <v>80.349999999999994</v>
      </c>
      <c r="O2075" s="107">
        <v>76.900000000000006</v>
      </c>
      <c r="P2075" s="107">
        <v>79</v>
      </c>
      <c r="Q2075" s="107">
        <v>77.099999999999994</v>
      </c>
      <c r="R2075">
        <v>9467943</v>
      </c>
    </row>
    <row r="2076" spans="1:18" x14ac:dyDescent="0.25">
      <c r="A2076" s="130">
        <v>45063</v>
      </c>
      <c r="B2076" s="107">
        <v>78.19</v>
      </c>
      <c r="C2076" s="107">
        <v>76.510000000000005</v>
      </c>
      <c r="D2076" s="107">
        <v>75.87</v>
      </c>
      <c r="E2076" s="107">
        <v>77.400000000000006</v>
      </c>
      <c r="F2076" s="107">
        <v>76.510000000000005</v>
      </c>
      <c r="G2076">
        <v>380895</v>
      </c>
      <c r="H2076" s="107"/>
      <c r="I2076" s="107"/>
      <c r="L2076" s="130">
        <v>45063</v>
      </c>
      <c r="M2076" s="107">
        <v>76.55</v>
      </c>
      <c r="N2076" s="107">
        <v>78.2</v>
      </c>
      <c r="O2076" s="107">
        <v>75.849999999999994</v>
      </c>
      <c r="P2076" s="107">
        <v>77.3</v>
      </c>
      <c r="Q2076" s="107">
        <v>76.55</v>
      </c>
      <c r="R2076">
        <v>7285701</v>
      </c>
    </row>
    <row r="2077" spans="1:18" x14ac:dyDescent="0.25">
      <c r="A2077" s="130">
        <v>45064</v>
      </c>
      <c r="B2077" s="107">
        <v>77.8</v>
      </c>
      <c r="C2077" s="107">
        <v>76.3</v>
      </c>
      <c r="D2077" s="107">
        <v>76</v>
      </c>
      <c r="E2077" s="107">
        <v>77.489999999999995</v>
      </c>
      <c r="F2077" s="107">
        <v>76.3</v>
      </c>
      <c r="G2077">
        <v>324271</v>
      </c>
      <c r="H2077" s="107"/>
      <c r="I2077" s="107"/>
      <c r="L2077" s="130">
        <v>45064</v>
      </c>
      <c r="M2077" s="107">
        <v>76.349999999999994</v>
      </c>
      <c r="N2077" s="107">
        <v>77.849999999999994</v>
      </c>
      <c r="O2077" s="107">
        <v>76</v>
      </c>
      <c r="P2077" s="107">
        <v>77.2</v>
      </c>
      <c r="Q2077" s="107">
        <v>76.349999999999994</v>
      </c>
      <c r="R2077">
        <v>4464221</v>
      </c>
    </row>
    <row r="2078" spans="1:18" x14ac:dyDescent="0.25">
      <c r="A2078" s="130">
        <v>45065</v>
      </c>
      <c r="B2078" s="107">
        <v>76.64</v>
      </c>
      <c r="C2078" s="107">
        <v>75.7</v>
      </c>
      <c r="D2078" s="107">
        <v>75.099999999999994</v>
      </c>
      <c r="E2078" s="107">
        <v>76.349999999999994</v>
      </c>
      <c r="F2078" s="107">
        <v>75.7</v>
      </c>
      <c r="G2078">
        <v>357744</v>
      </c>
      <c r="H2078" s="107"/>
      <c r="I2078" s="107"/>
      <c r="L2078" s="130">
        <v>45065</v>
      </c>
      <c r="M2078" s="107">
        <v>75.7</v>
      </c>
      <c r="N2078" s="107">
        <v>76.75</v>
      </c>
      <c r="O2078" s="107">
        <v>75.05</v>
      </c>
      <c r="P2078" s="107">
        <v>76.400000000000006</v>
      </c>
      <c r="Q2078" s="107">
        <v>75.7</v>
      </c>
      <c r="R2078">
        <v>4778259</v>
      </c>
    </row>
    <row r="2079" spans="1:18" x14ac:dyDescent="0.25">
      <c r="A2079" s="130">
        <v>45068</v>
      </c>
      <c r="B2079" s="107">
        <v>75.989999999999995</v>
      </c>
      <c r="C2079" s="107">
        <v>75.260000000000005</v>
      </c>
      <c r="D2079" s="107">
        <v>75.010000000000005</v>
      </c>
      <c r="E2079" s="107">
        <v>75.510000000000005</v>
      </c>
      <c r="F2079" s="107">
        <v>75.260000000000005</v>
      </c>
      <c r="G2079">
        <v>437338</v>
      </c>
      <c r="H2079" s="107"/>
      <c r="I2079" s="107"/>
      <c r="L2079" s="130">
        <v>45068</v>
      </c>
      <c r="M2079" s="107">
        <v>75.3</v>
      </c>
      <c r="N2079" s="107">
        <v>75.95</v>
      </c>
      <c r="O2079" s="107">
        <v>74.8</v>
      </c>
      <c r="P2079" s="107">
        <v>75.75</v>
      </c>
      <c r="Q2079" s="107">
        <v>75.3</v>
      </c>
      <c r="R2079">
        <v>4437252</v>
      </c>
    </row>
    <row r="2080" spans="1:18" x14ac:dyDescent="0.25">
      <c r="A2080" s="130">
        <v>45069</v>
      </c>
      <c r="B2080" s="107">
        <v>75.989999999999995</v>
      </c>
      <c r="C2080" s="107">
        <v>74.739999999999995</v>
      </c>
      <c r="D2080" s="107">
        <v>74.5</v>
      </c>
      <c r="E2080" s="107">
        <v>75.989999999999995</v>
      </c>
      <c r="F2080" s="107">
        <v>74.739999999999995</v>
      </c>
      <c r="G2080">
        <v>244626</v>
      </c>
      <c r="H2080" s="107"/>
      <c r="I2080" s="107"/>
      <c r="L2080" s="130">
        <v>45069</v>
      </c>
      <c r="M2080" s="107">
        <v>74.7</v>
      </c>
      <c r="N2080" s="107">
        <v>75.900000000000006</v>
      </c>
      <c r="O2080" s="107">
        <v>74.3</v>
      </c>
      <c r="P2080" s="107">
        <v>75.7</v>
      </c>
      <c r="Q2080" s="107">
        <v>74.7</v>
      </c>
      <c r="R2080">
        <v>4756333</v>
      </c>
    </row>
    <row r="2081" spans="1:18" x14ac:dyDescent="0.25">
      <c r="A2081" s="130">
        <v>45070</v>
      </c>
      <c r="B2081" s="107">
        <v>74.989999999999995</v>
      </c>
      <c r="C2081" s="107">
        <v>73.66</v>
      </c>
      <c r="D2081" s="107">
        <v>73.400000000000006</v>
      </c>
      <c r="E2081" s="107">
        <v>74.739999999999995</v>
      </c>
      <c r="F2081" s="107">
        <v>73.66</v>
      </c>
      <c r="G2081">
        <v>511769</v>
      </c>
      <c r="H2081" s="107"/>
      <c r="I2081" s="107"/>
      <c r="L2081" s="130">
        <v>45070</v>
      </c>
      <c r="M2081" s="107">
        <v>73.55</v>
      </c>
      <c r="N2081" s="107">
        <v>75</v>
      </c>
      <c r="O2081" s="107">
        <v>73.3</v>
      </c>
      <c r="P2081" s="107">
        <v>74.55</v>
      </c>
      <c r="Q2081" s="107">
        <v>73.55</v>
      </c>
      <c r="R2081">
        <v>4709974</v>
      </c>
    </row>
    <row r="2082" spans="1:18" x14ac:dyDescent="0.25">
      <c r="A2082" s="130">
        <v>45071</v>
      </c>
      <c r="B2082" s="107">
        <v>73.7</v>
      </c>
      <c r="C2082" s="107">
        <v>72.48</v>
      </c>
      <c r="D2082" s="107">
        <v>72.05</v>
      </c>
      <c r="E2082" s="107">
        <v>73.7</v>
      </c>
      <c r="F2082" s="107">
        <v>72.48</v>
      </c>
      <c r="G2082">
        <v>1969067</v>
      </c>
      <c r="H2082" s="107"/>
      <c r="I2082" s="107"/>
      <c r="L2082" s="130">
        <v>45071</v>
      </c>
      <c r="M2082" s="107">
        <v>72.5</v>
      </c>
      <c r="N2082" s="107">
        <v>73.5</v>
      </c>
      <c r="O2082" s="107">
        <v>72</v>
      </c>
      <c r="P2082" s="107">
        <v>73.45</v>
      </c>
      <c r="Q2082" s="107">
        <v>72.5</v>
      </c>
      <c r="R2082">
        <v>7233513</v>
      </c>
    </row>
    <row r="2083" spans="1:18" x14ac:dyDescent="0.25">
      <c r="A2083" s="130">
        <v>45072</v>
      </c>
      <c r="B2083" s="107">
        <v>74.91</v>
      </c>
      <c r="C2083" s="107">
        <v>74.56</v>
      </c>
      <c r="D2083" s="107">
        <v>72.510000000000005</v>
      </c>
      <c r="E2083" s="107">
        <v>72.510000000000005</v>
      </c>
      <c r="F2083" s="107">
        <v>74.56</v>
      </c>
      <c r="G2083">
        <v>603271</v>
      </c>
      <c r="H2083" s="107"/>
      <c r="I2083" s="107"/>
      <c r="L2083" s="130">
        <v>45072</v>
      </c>
      <c r="M2083" s="107">
        <v>74.55</v>
      </c>
      <c r="N2083" s="107">
        <v>75</v>
      </c>
      <c r="O2083" s="107">
        <v>72.599999999999994</v>
      </c>
      <c r="P2083" s="107">
        <v>72.8</v>
      </c>
      <c r="Q2083" s="107">
        <v>74.55</v>
      </c>
      <c r="R2083">
        <v>7290651</v>
      </c>
    </row>
    <row r="2084" spans="1:18" x14ac:dyDescent="0.25">
      <c r="A2084" s="130">
        <v>45075</v>
      </c>
      <c r="B2084" s="107">
        <v>75.819999999999993</v>
      </c>
      <c r="C2084" s="107">
        <v>75.180000000000007</v>
      </c>
      <c r="D2084" s="107">
        <v>74.73</v>
      </c>
      <c r="E2084" s="107">
        <v>75.790000000000006</v>
      </c>
      <c r="F2084" s="107">
        <v>75.180000000000007</v>
      </c>
      <c r="G2084">
        <v>520711</v>
      </c>
      <c r="H2084" s="107"/>
      <c r="I2084" s="107"/>
      <c r="L2084" s="130">
        <v>45075</v>
      </c>
      <c r="M2084" s="107">
        <v>75.150000000000006</v>
      </c>
      <c r="N2084" s="107">
        <v>75.8</v>
      </c>
      <c r="O2084" s="107">
        <v>74.7</v>
      </c>
      <c r="P2084" s="107">
        <v>75.400000000000006</v>
      </c>
      <c r="Q2084" s="107">
        <v>75.150000000000006</v>
      </c>
      <c r="R2084">
        <v>5170603</v>
      </c>
    </row>
    <row r="2085" spans="1:18" x14ac:dyDescent="0.25">
      <c r="A2085" s="130">
        <v>45076</v>
      </c>
      <c r="B2085" s="107">
        <v>75.5</v>
      </c>
      <c r="C2085" s="107">
        <v>74.81</v>
      </c>
      <c r="D2085" s="107">
        <v>74.55</v>
      </c>
      <c r="E2085" s="107">
        <v>75.180000000000007</v>
      </c>
      <c r="F2085" s="107">
        <v>74.81</v>
      </c>
      <c r="G2085">
        <v>389653</v>
      </c>
      <c r="H2085" s="107"/>
      <c r="I2085" s="107"/>
      <c r="L2085" s="130">
        <v>45076</v>
      </c>
      <c r="M2085" s="107">
        <v>74.849999999999994</v>
      </c>
      <c r="N2085" s="107">
        <v>75.5</v>
      </c>
      <c r="O2085" s="107">
        <v>74.5</v>
      </c>
      <c r="P2085" s="107">
        <v>75.150000000000006</v>
      </c>
      <c r="Q2085" s="107">
        <v>74.849999999999994</v>
      </c>
      <c r="R2085">
        <v>2703655</v>
      </c>
    </row>
    <row r="2086" spans="1:18" x14ac:dyDescent="0.25">
      <c r="A2086" s="130">
        <v>45077</v>
      </c>
      <c r="B2086" s="107">
        <v>74.819999999999993</v>
      </c>
      <c r="C2086" s="107">
        <v>73.75</v>
      </c>
      <c r="D2086" s="107">
        <v>73.5</v>
      </c>
      <c r="E2086" s="107">
        <v>74.790000000000006</v>
      </c>
      <c r="F2086" s="107">
        <v>73.75</v>
      </c>
      <c r="G2086">
        <v>320308</v>
      </c>
      <c r="H2086" s="107"/>
      <c r="I2086" s="107"/>
      <c r="L2086" s="130">
        <v>45077</v>
      </c>
      <c r="M2086" s="107">
        <v>73.75</v>
      </c>
      <c r="N2086" s="107">
        <v>74.849999999999994</v>
      </c>
      <c r="O2086" s="107">
        <v>73.5</v>
      </c>
      <c r="P2086" s="107">
        <v>74.5</v>
      </c>
      <c r="Q2086" s="107">
        <v>73.75</v>
      </c>
      <c r="R2086">
        <v>6186430</v>
      </c>
    </row>
    <row r="2087" spans="1:18" x14ac:dyDescent="0.25">
      <c r="A2087" s="130">
        <v>45078</v>
      </c>
      <c r="B2087" s="107">
        <v>75.08</v>
      </c>
      <c r="C2087" s="107">
        <v>74.47</v>
      </c>
      <c r="D2087" s="107">
        <v>73.5</v>
      </c>
      <c r="E2087" s="107">
        <v>73.75</v>
      </c>
      <c r="F2087" s="107">
        <v>74.47</v>
      </c>
      <c r="G2087">
        <v>713951</v>
      </c>
      <c r="H2087" s="107"/>
      <c r="I2087" s="107"/>
      <c r="L2087" s="130">
        <v>45078</v>
      </c>
      <c r="M2087" s="107">
        <v>74.5</v>
      </c>
      <c r="N2087" s="107">
        <v>75.099999999999994</v>
      </c>
      <c r="O2087" s="107">
        <v>73.45</v>
      </c>
      <c r="P2087" s="107">
        <v>73.8</v>
      </c>
      <c r="Q2087" s="107">
        <v>74.5</v>
      </c>
      <c r="R2087">
        <v>7783523</v>
      </c>
    </row>
    <row r="2088" spans="1:18" x14ac:dyDescent="0.25">
      <c r="A2088" s="130">
        <v>45079</v>
      </c>
      <c r="B2088" s="107">
        <v>75.39</v>
      </c>
      <c r="C2088" s="107">
        <v>74.55</v>
      </c>
      <c r="D2088" s="107">
        <v>74.31</v>
      </c>
      <c r="E2088" s="107">
        <v>75.39</v>
      </c>
      <c r="F2088" s="107">
        <v>74.55</v>
      </c>
      <c r="G2088">
        <v>379455</v>
      </c>
      <c r="H2088" s="107"/>
      <c r="I2088" s="107"/>
      <c r="L2088" s="130">
        <v>45079</v>
      </c>
      <c r="M2088" s="107">
        <v>74.599999999999994</v>
      </c>
      <c r="N2088" s="107">
        <v>75.400000000000006</v>
      </c>
      <c r="O2088" s="107">
        <v>74.3</v>
      </c>
      <c r="P2088" s="107">
        <v>74.95</v>
      </c>
      <c r="Q2088" s="107">
        <v>74.599999999999994</v>
      </c>
      <c r="R2088">
        <v>6158885</v>
      </c>
    </row>
    <row r="2089" spans="1:18" x14ac:dyDescent="0.25">
      <c r="A2089" s="130">
        <v>45082</v>
      </c>
      <c r="B2089" s="107">
        <v>75.3</v>
      </c>
      <c r="C2089" s="107">
        <v>74.25</v>
      </c>
      <c r="D2089" s="107">
        <v>74.06</v>
      </c>
      <c r="E2089" s="107">
        <v>75.3</v>
      </c>
      <c r="F2089" s="107">
        <v>74.25</v>
      </c>
      <c r="G2089">
        <v>215779</v>
      </c>
      <c r="H2089" s="107"/>
      <c r="I2089" s="107"/>
      <c r="L2089" s="130">
        <v>45082</v>
      </c>
      <c r="M2089" s="107">
        <v>74.25</v>
      </c>
      <c r="N2089" s="107">
        <v>75.3</v>
      </c>
      <c r="O2089" s="107">
        <v>74.099999999999994</v>
      </c>
      <c r="P2089" s="107">
        <v>75.2</v>
      </c>
      <c r="Q2089" s="107">
        <v>74.25</v>
      </c>
      <c r="R2089">
        <v>3887735</v>
      </c>
    </row>
    <row r="2090" spans="1:18" x14ac:dyDescent="0.25">
      <c r="A2090" s="130">
        <v>45083</v>
      </c>
      <c r="B2090" s="107">
        <v>74.540000000000006</v>
      </c>
      <c r="C2090" s="107">
        <v>74.09</v>
      </c>
      <c r="D2090" s="107">
        <v>73.75</v>
      </c>
      <c r="E2090" s="107">
        <v>74.5</v>
      </c>
      <c r="F2090" s="107">
        <v>74.09</v>
      </c>
      <c r="G2090">
        <v>337910</v>
      </c>
      <c r="H2090" s="107"/>
      <c r="I2090" s="107"/>
      <c r="L2090" s="130">
        <v>45083</v>
      </c>
      <c r="M2090" s="107">
        <v>74.05</v>
      </c>
      <c r="N2090" s="107">
        <v>74.599999999999994</v>
      </c>
      <c r="O2090" s="107">
        <v>73.75</v>
      </c>
      <c r="P2090" s="107">
        <v>74.349999999999994</v>
      </c>
      <c r="Q2090" s="107">
        <v>74.05</v>
      </c>
      <c r="R2090">
        <v>2567455</v>
      </c>
    </row>
    <row r="2091" spans="1:18" x14ac:dyDescent="0.25">
      <c r="A2091" s="130">
        <v>45084</v>
      </c>
      <c r="B2091" s="107">
        <v>74.760000000000005</v>
      </c>
      <c r="C2091" s="107">
        <v>74.260000000000005</v>
      </c>
      <c r="D2091" s="107">
        <v>74.05</v>
      </c>
      <c r="E2091" s="107">
        <v>74.09</v>
      </c>
      <c r="F2091" s="107">
        <v>74.260000000000005</v>
      </c>
      <c r="G2091">
        <v>310717</v>
      </c>
      <c r="H2091" s="107"/>
      <c r="I2091" s="107"/>
      <c r="L2091" s="130">
        <v>45084</v>
      </c>
      <c r="M2091" s="107">
        <v>74.2</v>
      </c>
      <c r="N2091" s="107">
        <v>74.8</v>
      </c>
      <c r="O2091" s="107">
        <v>74.05</v>
      </c>
      <c r="P2091" s="107">
        <v>74.2</v>
      </c>
      <c r="Q2091" s="107">
        <v>74.2</v>
      </c>
      <c r="R2091">
        <v>3214305</v>
      </c>
    </row>
    <row r="2092" spans="1:18" x14ac:dyDescent="0.25">
      <c r="A2092" s="130">
        <v>45085</v>
      </c>
      <c r="B2092" s="107">
        <v>75</v>
      </c>
      <c r="C2092" s="107">
        <v>74.209999999999994</v>
      </c>
      <c r="D2092" s="107">
        <v>74.03</v>
      </c>
      <c r="E2092" s="107">
        <v>74.94</v>
      </c>
      <c r="F2092" s="107">
        <v>74.209999999999994</v>
      </c>
      <c r="G2092">
        <v>436935</v>
      </c>
      <c r="H2092" s="107"/>
      <c r="I2092" s="107"/>
      <c r="L2092" s="130">
        <v>45085</v>
      </c>
      <c r="M2092" s="107">
        <v>74.2</v>
      </c>
      <c r="N2092" s="107">
        <v>75</v>
      </c>
      <c r="O2092" s="107">
        <v>74</v>
      </c>
      <c r="P2092" s="107">
        <v>74.5</v>
      </c>
      <c r="Q2092" s="107">
        <v>74.2</v>
      </c>
      <c r="R2092">
        <v>4211618</v>
      </c>
    </row>
    <row r="2093" spans="1:18" x14ac:dyDescent="0.25">
      <c r="A2093" s="130">
        <v>45086</v>
      </c>
      <c r="B2093" s="107">
        <v>74.44</v>
      </c>
      <c r="C2093" s="107">
        <v>72.709999999999994</v>
      </c>
      <c r="D2093" s="107">
        <v>72.42</v>
      </c>
      <c r="E2093" s="107">
        <v>74.069999999999993</v>
      </c>
      <c r="F2093" s="107">
        <v>72.709999999999994</v>
      </c>
      <c r="G2093">
        <v>840818</v>
      </c>
      <c r="H2093" s="107"/>
      <c r="I2093" s="107"/>
      <c r="L2093" s="130">
        <v>45086</v>
      </c>
      <c r="M2093" s="107">
        <v>72.7</v>
      </c>
      <c r="N2093" s="107">
        <v>74.45</v>
      </c>
      <c r="O2093" s="107">
        <v>72.5</v>
      </c>
      <c r="P2093" s="107">
        <v>74.2</v>
      </c>
      <c r="Q2093" s="107">
        <v>72.7</v>
      </c>
      <c r="R2093">
        <v>4983983</v>
      </c>
    </row>
    <row r="2094" spans="1:18" x14ac:dyDescent="0.25">
      <c r="A2094" s="130">
        <v>45089</v>
      </c>
      <c r="B2094" s="107">
        <v>73.510000000000005</v>
      </c>
      <c r="C2094" s="107">
        <v>73.06</v>
      </c>
      <c r="D2094" s="107">
        <v>72.790000000000006</v>
      </c>
      <c r="E2094" s="107">
        <v>73</v>
      </c>
      <c r="F2094" s="107">
        <v>73.06</v>
      </c>
      <c r="G2094">
        <v>778945</v>
      </c>
      <c r="H2094" s="107"/>
      <c r="I2094" s="107"/>
      <c r="L2094" s="130">
        <v>45089</v>
      </c>
      <c r="M2094" s="107">
        <v>73.05</v>
      </c>
      <c r="N2094" s="107">
        <v>73.55</v>
      </c>
      <c r="O2094" s="107">
        <v>72.75</v>
      </c>
      <c r="P2094" s="107">
        <v>73</v>
      </c>
      <c r="Q2094" s="107">
        <v>73.05</v>
      </c>
      <c r="R2094">
        <v>3158863</v>
      </c>
    </row>
    <row r="2095" spans="1:18" x14ac:dyDescent="0.25">
      <c r="A2095" s="130">
        <v>45090</v>
      </c>
      <c r="B2095" s="107">
        <v>74</v>
      </c>
      <c r="C2095" s="107">
        <v>73.709999999999994</v>
      </c>
      <c r="D2095" s="107">
        <v>73.260000000000005</v>
      </c>
      <c r="E2095" s="107">
        <v>73.260000000000005</v>
      </c>
      <c r="F2095" s="107">
        <v>73.709999999999994</v>
      </c>
      <c r="G2095">
        <v>422173</v>
      </c>
      <c r="H2095" s="107"/>
      <c r="I2095" s="107"/>
      <c r="L2095" s="130">
        <v>45090</v>
      </c>
      <c r="M2095" s="107">
        <v>73.7</v>
      </c>
      <c r="N2095" s="107">
        <v>74</v>
      </c>
      <c r="O2095" s="107">
        <v>73.3</v>
      </c>
      <c r="P2095" s="107">
        <v>73.599999999999994</v>
      </c>
      <c r="Q2095" s="107">
        <v>73.7</v>
      </c>
      <c r="R2095">
        <v>3543341</v>
      </c>
    </row>
    <row r="2096" spans="1:18" x14ac:dyDescent="0.25">
      <c r="A2096" s="130">
        <v>45091</v>
      </c>
      <c r="B2096" s="107">
        <v>74.400000000000006</v>
      </c>
      <c r="C2096" s="107">
        <v>74.16</v>
      </c>
      <c r="D2096" s="107">
        <v>73.77</v>
      </c>
      <c r="E2096" s="107">
        <v>74</v>
      </c>
      <c r="F2096" s="107">
        <v>74.16</v>
      </c>
      <c r="G2096">
        <v>2496641</v>
      </c>
      <c r="H2096" s="107"/>
      <c r="I2096" s="107"/>
      <c r="L2096" s="130">
        <v>45091</v>
      </c>
      <c r="M2096" s="107">
        <v>74.2</v>
      </c>
      <c r="N2096" s="107">
        <v>74.5</v>
      </c>
      <c r="O2096" s="107">
        <v>73.8</v>
      </c>
      <c r="P2096" s="107">
        <v>74</v>
      </c>
      <c r="Q2096" s="107">
        <v>74.2</v>
      </c>
      <c r="R2096">
        <v>3568679</v>
      </c>
    </row>
    <row r="2097" spans="1:18" x14ac:dyDescent="0.25">
      <c r="A2097" s="130">
        <v>45092</v>
      </c>
      <c r="B2097" s="107">
        <v>74.650000000000006</v>
      </c>
      <c r="C2097" s="107">
        <v>73.19</v>
      </c>
      <c r="D2097" s="107">
        <v>72.94</v>
      </c>
      <c r="E2097" s="107">
        <v>74.25</v>
      </c>
      <c r="F2097" s="107">
        <v>73.19</v>
      </c>
      <c r="G2097">
        <v>615335</v>
      </c>
      <c r="H2097" s="107"/>
      <c r="I2097" s="107"/>
      <c r="L2097" s="130">
        <v>45092</v>
      </c>
      <c r="M2097" s="107">
        <v>73.2</v>
      </c>
      <c r="N2097" s="107">
        <v>74.75</v>
      </c>
      <c r="O2097" s="107">
        <v>73</v>
      </c>
      <c r="P2097" s="107">
        <v>74.2</v>
      </c>
      <c r="Q2097" s="107">
        <v>73.2</v>
      </c>
      <c r="R2097">
        <v>5009673</v>
      </c>
    </row>
    <row r="2098" spans="1:18" x14ac:dyDescent="0.25">
      <c r="A2098" s="130">
        <v>45093</v>
      </c>
      <c r="B2098" s="107">
        <v>74.150000000000006</v>
      </c>
      <c r="C2098" s="107">
        <v>73.17</v>
      </c>
      <c r="D2098" s="107">
        <v>72.849999999999994</v>
      </c>
      <c r="E2098" s="107">
        <v>73.209999999999994</v>
      </c>
      <c r="F2098" s="107">
        <v>73.17</v>
      </c>
      <c r="G2098">
        <v>481981</v>
      </c>
      <c r="H2098" s="107"/>
      <c r="I2098" s="107"/>
      <c r="L2098" s="130">
        <v>45093</v>
      </c>
      <c r="M2098" s="107">
        <v>73.150000000000006</v>
      </c>
      <c r="N2098" s="107">
        <v>74.25</v>
      </c>
      <c r="O2098" s="107">
        <v>72.8</v>
      </c>
      <c r="P2098" s="107">
        <v>73.7</v>
      </c>
      <c r="Q2098" s="107">
        <v>73.150000000000006</v>
      </c>
      <c r="R2098">
        <v>6492267</v>
      </c>
    </row>
    <row r="2099" spans="1:18" x14ac:dyDescent="0.25">
      <c r="A2099" s="130">
        <v>45096</v>
      </c>
      <c r="B2099" s="107">
        <v>75.849999999999994</v>
      </c>
      <c r="C2099" s="107">
        <v>75.099999999999994</v>
      </c>
      <c r="D2099" s="107">
        <v>73.5</v>
      </c>
      <c r="E2099" s="107">
        <v>73.5</v>
      </c>
      <c r="F2099" s="107">
        <v>75.099999999999994</v>
      </c>
      <c r="G2099">
        <v>2078591</v>
      </c>
      <c r="H2099" s="107"/>
      <c r="I2099" s="107"/>
      <c r="L2099" s="130">
        <v>45096</v>
      </c>
      <c r="M2099" s="107">
        <v>75.150000000000006</v>
      </c>
      <c r="N2099" s="107">
        <v>75.900000000000006</v>
      </c>
      <c r="O2099" s="107">
        <v>73.45</v>
      </c>
      <c r="P2099" s="107">
        <v>73.599999999999994</v>
      </c>
      <c r="Q2099" s="107">
        <v>75.150000000000006</v>
      </c>
      <c r="R2099">
        <v>12205690</v>
      </c>
    </row>
    <row r="2100" spans="1:18" x14ac:dyDescent="0.25">
      <c r="A2100" s="130">
        <v>45097</v>
      </c>
      <c r="B2100" s="107">
        <v>74.67</v>
      </c>
      <c r="C2100" s="107">
        <v>74.53</v>
      </c>
      <c r="D2100" s="107">
        <v>73.739999999999995</v>
      </c>
      <c r="E2100" s="107">
        <v>73.95</v>
      </c>
      <c r="F2100" s="107">
        <v>74.53</v>
      </c>
      <c r="G2100">
        <v>1712940</v>
      </c>
      <c r="H2100" s="107"/>
      <c r="I2100" s="107"/>
      <c r="L2100" s="130">
        <v>45097</v>
      </c>
      <c r="M2100" s="107">
        <v>74.45</v>
      </c>
      <c r="N2100" s="107">
        <v>74.7</v>
      </c>
      <c r="O2100" s="107">
        <v>73.8</v>
      </c>
      <c r="P2100" s="107">
        <v>73.95</v>
      </c>
      <c r="Q2100" s="107">
        <v>74.45</v>
      </c>
      <c r="R2100">
        <v>7523953</v>
      </c>
    </row>
    <row r="2101" spans="1:18" x14ac:dyDescent="0.25">
      <c r="A2101" s="130">
        <v>45098</v>
      </c>
      <c r="B2101" s="107">
        <v>74.95</v>
      </c>
      <c r="C2101" s="107">
        <v>73.47</v>
      </c>
      <c r="D2101" s="107">
        <v>73.2</v>
      </c>
      <c r="E2101" s="107">
        <v>74.239999999999995</v>
      </c>
      <c r="F2101" s="107">
        <v>73.47</v>
      </c>
      <c r="G2101">
        <v>720654</v>
      </c>
      <c r="H2101" s="107"/>
      <c r="I2101" s="107"/>
      <c r="L2101" s="130">
        <v>45098</v>
      </c>
      <c r="M2101" s="107">
        <v>73.400000000000006</v>
      </c>
      <c r="N2101" s="107">
        <v>74.900000000000006</v>
      </c>
      <c r="O2101" s="107">
        <v>73.2</v>
      </c>
      <c r="P2101" s="107">
        <v>74.599999999999994</v>
      </c>
      <c r="Q2101" s="107">
        <v>73.400000000000006</v>
      </c>
      <c r="R2101">
        <v>7530352</v>
      </c>
    </row>
    <row r="2102" spans="1:18" x14ac:dyDescent="0.25">
      <c r="A2102" s="130">
        <v>45099</v>
      </c>
      <c r="B2102" s="107">
        <v>73.900000000000006</v>
      </c>
      <c r="C2102" s="107">
        <v>72.760000000000005</v>
      </c>
      <c r="D2102" s="107">
        <v>72.62</v>
      </c>
      <c r="E2102" s="107">
        <v>73.849999999999994</v>
      </c>
      <c r="F2102" s="107">
        <v>72.760000000000005</v>
      </c>
      <c r="G2102">
        <v>728849</v>
      </c>
      <c r="H2102" s="107"/>
      <c r="I2102" s="107"/>
      <c r="L2102" s="130">
        <v>45099</v>
      </c>
      <c r="M2102" s="107">
        <v>72.849999999999994</v>
      </c>
      <c r="N2102" s="107">
        <v>73.95</v>
      </c>
      <c r="O2102" s="107">
        <v>72.599999999999994</v>
      </c>
      <c r="P2102" s="107">
        <v>73.7</v>
      </c>
      <c r="Q2102" s="107">
        <v>72.849999999999994</v>
      </c>
      <c r="R2102">
        <v>3923509</v>
      </c>
    </row>
    <row r="2103" spans="1:18" x14ac:dyDescent="0.25">
      <c r="A2103" s="130">
        <v>45100</v>
      </c>
      <c r="B2103" s="107">
        <v>72.91</v>
      </c>
      <c r="C2103" s="107">
        <v>71.62</v>
      </c>
      <c r="D2103" s="107">
        <v>71.2</v>
      </c>
      <c r="E2103" s="107">
        <v>72.849999999999994</v>
      </c>
      <c r="F2103" s="107">
        <v>71.62</v>
      </c>
      <c r="G2103">
        <v>1590670</v>
      </c>
      <c r="H2103" s="107"/>
      <c r="I2103" s="107"/>
      <c r="L2103" s="130">
        <v>45100</v>
      </c>
      <c r="M2103" s="107">
        <v>71.55</v>
      </c>
      <c r="N2103" s="107">
        <v>73</v>
      </c>
      <c r="O2103" s="107">
        <v>71.150000000000006</v>
      </c>
      <c r="P2103" s="107">
        <v>73</v>
      </c>
      <c r="Q2103" s="107">
        <v>71.55</v>
      </c>
      <c r="R2103">
        <v>4549019</v>
      </c>
    </row>
    <row r="2104" spans="1:18" x14ac:dyDescent="0.25">
      <c r="A2104" s="130">
        <v>45103</v>
      </c>
      <c r="B2104" s="107">
        <v>71.62</v>
      </c>
      <c r="C2104" s="107">
        <v>70.94</v>
      </c>
      <c r="D2104" s="107">
        <v>69.41</v>
      </c>
      <c r="E2104" s="107">
        <v>71.209999999999994</v>
      </c>
      <c r="F2104" s="107">
        <v>70.94</v>
      </c>
      <c r="G2104">
        <v>1133535</v>
      </c>
      <c r="H2104" s="107"/>
      <c r="I2104" s="107"/>
      <c r="L2104" s="130">
        <v>45103</v>
      </c>
      <c r="M2104" s="107">
        <v>70.95</v>
      </c>
      <c r="N2104" s="107">
        <v>71.599999999999994</v>
      </c>
      <c r="O2104" s="107">
        <v>69.5</v>
      </c>
      <c r="P2104" s="107">
        <v>71.45</v>
      </c>
      <c r="Q2104" s="107">
        <v>70.95</v>
      </c>
      <c r="R2104">
        <v>7102096</v>
      </c>
    </row>
    <row r="2105" spans="1:18" x14ac:dyDescent="0.25">
      <c r="A2105" s="130">
        <v>45104</v>
      </c>
      <c r="B2105" s="107">
        <v>72.59</v>
      </c>
      <c r="C2105" s="107">
        <v>72.349999999999994</v>
      </c>
      <c r="D2105" s="107">
        <v>70.5</v>
      </c>
      <c r="E2105" s="107">
        <v>70.5</v>
      </c>
      <c r="F2105" s="107">
        <v>72.349999999999994</v>
      </c>
      <c r="G2105">
        <v>222138</v>
      </c>
      <c r="H2105" s="107"/>
      <c r="I2105" s="107"/>
      <c r="L2105" s="130">
        <v>45104</v>
      </c>
      <c r="M2105" s="107">
        <v>72.349999999999994</v>
      </c>
      <c r="N2105" s="107">
        <v>72.599999999999994</v>
      </c>
      <c r="O2105" s="107">
        <v>70.5</v>
      </c>
      <c r="P2105" s="107">
        <v>70.5</v>
      </c>
      <c r="Q2105" s="107">
        <v>72.349999999999994</v>
      </c>
      <c r="R2105">
        <v>6269307</v>
      </c>
    </row>
    <row r="2106" spans="1:18" x14ac:dyDescent="0.25">
      <c r="A2106" s="130">
        <v>45105</v>
      </c>
      <c r="B2106" s="107">
        <v>73.849999999999994</v>
      </c>
      <c r="C2106" s="107">
        <v>72.08</v>
      </c>
      <c r="D2106" s="107">
        <v>71.83</v>
      </c>
      <c r="E2106" s="107">
        <v>72.94</v>
      </c>
      <c r="F2106" s="107">
        <v>72.08</v>
      </c>
      <c r="G2106">
        <v>344879</v>
      </c>
      <c r="H2106" s="107"/>
      <c r="I2106" s="107"/>
      <c r="L2106" s="130">
        <v>45105</v>
      </c>
      <c r="M2106" s="107">
        <v>72.150000000000006</v>
      </c>
      <c r="N2106" s="107">
        <v>73.900000000000006</v>
      </c>
      <c r="O2106" s="107">
        <v>71.7</v>
      </c>
      <c r="P2106" s="107">
        <v>72.75</v>
      </c>
      <c r="Q2106" s="107">
        <v>72.150000000000006</v>
      </c>
      <c r="R2106">
        <v>5174057</v>
      </c>
    </row>
    <row r="2107" spans="1:18" x14ac:dyDescent="0.25">
      <c r="A2107" s="130">
        <v>45107</v>
      </c>
      <c r="B2107" s="107">
        <v>73.88</v>
      </c>
      <c r="C2107" s="107">
        <v>73.599999999999994</v>
      </c>
      <c r="D2107" s="107">
        <v>71.77</v>
      </c>
      <c r="E2107" s="107">
        <v>72.010000000000005</v>
      </c>
      <c r="F2107" s="107">
        <v>73.599999999999994</v>
      </c>
      <c r="G2107">
        <v>293835</v>
      </c>
      <c r="H2107" s="107"/>
      <c r="I2107" s="107"/>
      <c r="L2107" s="130">
        <v>45107</v>
      </c>
      <c r="M2107" s="107">
        <v>73.599999999999994</v>
      </c>
      <c r="N2107" s="107">
        <v>73.900000000000006</v>
      </c>
      <c r="O2107" s="107">
        <v>71.75</v>
      </c>
      <c r="P2107" s="107">
        <v>72.5</v>
      </c>
      <c r="Q2107" s="107">
        <v>73.599999999999994</v>
      </c>
      <c r="R2107">
        <v>7980285</v>
      </c>
    </row>
    <row r="2108" spans="1:18" x14ac:dyDescent="0.25">
      <c r="A2108" s="130">
        <v>45110</v>
      </c>
      <c r="B2108" s="107">
        <v>77.540000000000006</v>
      </c>
      <c r="C2108" s="107">
        <v>77.28</v>
      </c>
      <c r="D2108" s="107">
        <v>74</v>
      </c>
      <c r="E2108" s="107">
        <v>74.010000000000005</v>
      </c>
      <c r="F2108" s="107">
        <v>77.28</v>
      </c>
      <c r="G2108">
        <v>2886735</v>
      </c>
      <c r="H2108" s="107"/>
      <c r="I2108" s="107"/>
      <c r="L2108" s="130">
        <v>45110</v>
      </c>
      <c r="M2108" s="107">
        <v>77.3</v>
      </c>
      <c r="N2108" s="107">
        <v>77.55</v>
      </c>
      <c r="O2108" s="107">
        <v>74</v>
      </c>
      <c r="P2108" s="107">
        <v>74.2</v>
      </c>
      <c r="Q2108" s="107">
        <v>77.3</v>
      </c>
      <c r="R2108">
        <v>19809313</v>
      </c>
    </row>
    <row r="2109" spans="1:18" x14ac:dyDescent="0.25">
      <c r="A2109" s="130">
        <v>45111</v>
      </c>
      <c r="B2109" s="107">
        <v>80.5</v>
      </c>
      <c r="C2109" s="107">
        <v>80.27</v>
      </c>
      <c r="D2109" s="107">
        <v>76.75</v>
      </c>
      <c r="E2109" s="107">
        <v>77.709999999999994</v>
      </c>
      <c r="F2109" s="107">
        <v>80.27</v>
      </c>
      <c r="G2109">
        <v>1441482</v>
      </c>
      <c r="H2109" s="107"/>
      <c r="I2109" s="107"/>
      <c r="L2109" s="130">
        <v>45111</v>
      </c>
      <c r="M2109" s="107">
        <v>80.25</v>
      </c>
      <c r="N2109" s="107">
        <v>80.45</v>
      </c>
      <c r="O2109" s="107">
        <v>76.7</v>
      </c>
      <c r="P2109" s="107">
        <v>77.95</v>
      </c>
      <c r="Q2109" s="107">
        <v>80.25</v>
      </c>
      <c r="R2109">
        <v>30069423</v>
      </c>
    </row>
    <row r="2110" spans="1:18" x14ac:dyDescent="0.25">
      <c r="A2110" s="130">
        <v>45112</v>
      </c>
      <c r="B2110" s="107">
        <v>81.099999999999994</v>
      </c>
      <c r="C2110" s="107">
        <v>80.22</v>
      </c>
      <c r="D2110" s="107">
        <v>79.41</v>
      </c>
      <c r="E2110" s="107">
        <v>80.5</v>
      </c>
      <c r="F2110" s="107">
        <v>80.22</v>
      </c>
      <c r="G2110">
        <v>1352984</v>
      </c>
      <c r="H2110" s="107"/>
      <c r="I2110" s="107"/>
      <c r="L2110" s="130">
        <v>45112</v>
      </c>
      <c r="M2110" s="107">
        <v>80.25</v>
      </c>
      <c r="N2110" s="107">
        <v>81.150000000000006</v>
      </c>
      <c r="O2110" s="107">
        <v>79.45</v>
      </c>
      <c r="P2110" s="107">
        <v>80.599999999999994</v>
      </c>
      <c r="Q2110" s="107">
        <v>80.25</v>
      </c>
      <c r="R2110">
        <v>13088977</v>
      </c>
    </row>
    <row r="2111" spans="1:18" x14ac:dyDescent="0.25">
      <c r="A2111" s="130">
        <v>45113</v>
      </c>
      <c r="B2111" s="107">
        <v>81.92</v>
      </c>
      <c r="C2111" s="107">
        <v>80.55</v>
      </c>
      <c r="D2111" s="107">
        <v>79.760000000000005</v>
      </c>
      <c r="E2111" s="107">
        <v>80.010000000000005</v>
      </c>
      <c r="F2111" s="107">
        <v>80.55</v>
      </c>
      <c r="G2111">
        <v>479409</v>
      </c>
      <c r="H2111" s="107"/>
      <c r="I2111" s="107"/>
      <c r="L2111" s="130">
        <v>45113</v>
      </c>
      <c r="M2111" s="107">
        <v>80.599999999999994</v>
      </c>
      <c r="N2111" s="107">
        <v>81.95</v>
      </c>
      <c r="O2111" s="107">
        <v>79.75</v>
      </c>
      <c r="P2111" s="107">
        <v>80.2</v>
      </c>
      <c r="Q2111" s="107">
        <v>80.599999999999994</v>
      </c>
      <c r="R2111">
        <v>9871399</v>
      </c>
    </row>
    <row r="2112" spans="1:18" x14ac:dyDescent="0.25">
      <c r="A2112" s="130">
        <v>45114</v>
      </c>
      <c r="B2112" s="107">
        <v>81.11</v>
      </c>
      <c r="C2112" s="107">
        <v>79.709999999999994</v>
      </c>
      <c r="D2112" s="107">
        <v>78.400000000000006</v>
      </c>
      <c r="E2112" s="107">
        <v>80.44</v>
      </c>
      <c r="F2112" s="107">
        <v>79.709999999999994</v>
      </c>
      <c r="G2112">
        <v>439947</v>
      </c>
      <c r="H2112" s="107"/>
      <c r="I2112" s="107"/>
      <c r="L2112" s="130">
        <v>45114</v>
      </c>
      <c r="M2112" s="107">
        <v>79.75</v>
      </c>
      <c r="N2112" s="107">
        <v>81.099999999999994</v>
      </c>
      <c r="O2112" s="107">
        <v>78.400000000000006</v>
      </c>
      <c r="P2112" s="107">
        <v>80.3</v>
      </c>
      <c r="Q2112" s="107">
        <v>79.75</v>
      </c>
      <c r="R2112">
        <v>12677351</v>
      </c>
    </row>
    <row r="2113" spans="1:18" x14ac:dyDescent="0.25">
      <c r="A2113" s="130">
        <v>45117</v>
      </c>
      <c r="B2113" s="107">
        <v>80.349999999999994</v>
      </c>
      <c r="C2113" s="107">
        <v>78.34</v>
      </c>
      <c r="D2113" s="107">
        <v>77.86</v>
      </c>
      <c r="E2113" s="107">
        <v>79.760000000000005</v>
      </c>
      <c r="F2113" s="107">
        <v>78.34</v>
      </c>
      <c r="G2113">
        <v>468654</v>
      </c>
      <c r="H2113" s="107"/>
      <c r="I2113" s="107"/>
      <c r="L2113" s="130">
        <v>45117</v>
      </c>
      <c r="M2113" s="107">
        <v>78.25</v>
      </c>
      <c r="N2113" s="107">
        <v>80.45</v>
      </c>
      <c r="O2113" s="107">
        <v>77.8</v>
      </c>
      <c r="P2113" s="107">
        <v>79.900000000000006</v>
      </c>
      <c r="Q2113" s="107">
        <v>78.25</v>
      </c>
      <c r="R2113">
        <v>10973971</v>
      </c>
    </row>
    <row r="2114" spans="1:18" x14ac:dyDescent="0.25">
      <c r="A2114" s="130">
        <v>45118</v>
      </c>
      <c r="B2114" s="107">
        <v>78.84</v>
      </c>
      <c r="C2114" s="107">
        <v>77.650000000000006</v>
      </c>
      <c r="D2114" s="107">
        <v>77.400000000000006</v>
      </c>
      <c r="E2114" s="107">
        <v>78.72</v>
      </c>
      <c r="F2114" s="107">
        <v>77.650000000000006</v>
      </c>
      <c r="G2114">
        <v>564559</v>
      </c>
      <c r="H2114" s="107"/>
      <c r="I2114" s="107"/>
      <c r="L2114" s="130">
        <v>45118</v>
      </c>
      <c r="M2114" s="107">
        <v>77.650000000000006</v>
      </c>
      <c r="N2114" s="107">
        <v>78.900000000000006</v>
      </c>
      <c r="O2114" s="107">
        <v>77.400000000000006</v>
      </c>
      <c r="P2114" s="107">
        <v>78.599999999999994</v>
      </c>
      <c r="Q2114" s="107">
        <v>77.650000000000006</v>
      </c>
      <c r="R2114">
        <v>6322004</v>
      </c>
    </row>
    <row r="2115" spans="1:18" x14ac:dyDescent="0.25">
      <c r="A2115" s="130">
        <v>45119</v>
      </c>
      <c r="B2115" s="107">
        <v>79.900000000000006</v>
      </c>
      <c r="C2115" s="107">
        <v>79.33</v>
      </c>
      <c r="D2115" s="107">
        <v>78.05</v>
      </c>
      <c r="E2115" s="107">
        <v>78.39</v>
      </c>
      <c r="F2115" s="107">
        <v>79.33</v>
      </c>
      <c r="G2115">
        <v>950984</v>
      </c>
      <c r="H2115" s="107"/>
      <c r="I2115" s="107"/>
      <c r="L2115" s="130">
        <v>45119</v>
      </c>
      <c r="M2115" s="107">
        <v>79.3</v>
      </c>
      <c r="N2115" s="107">
        <v>79.95</v>
      </c>
      <c r="O2115" s="107">
        <v>77.900000000000006</v>
      </c>
      <c r="P2115" s="107">
        <v>78.099999999999994</v>
      </c>
      <c r="Q2115" s="107">
        <v>79.3</v>
      </c>
      <c r="R2115">
        <v>10304142</v>
      </c>
    </row>
    <row r="2116" spans="1:18" x14ac:dyDescent="0.25">
      <c r="A2116" s="130">
        <v>45120</v>
      </c>
      <c r="B2116" s="107">
        <v>80.400000000000006</v>
      </c>
      <c r="C2116" s="107">
        <v>77.260000000000005</v>
      </c>
      <c r="D2116" s="107">
        <v>76.900000000000006</v>
      </c>
      <c r="E2116" s="107">
        <v>79.5</v>
      </c>
      <c r="F2116" s="107">
        <v>77.260000000000005</v>
      </c>
      <c r="G2116">
        <v>784691</v>
      </c>
      <c r="H2116" s="107"/>
      <c r="I2116" s="107"/>
      <c r="L2116" s="130">
        <v>45120</v>
      </c>
      <c r="M2116" s="107">
        <v>77.25</v>
      </c>
      <c r="N2116" s="107">
        <v>80.45</v>
      </c>
      <c r="O2116" s="107">
        <v>76.8</v>
      </c>
      <c r="P2116" s="107">
        <v>79.599999999999994</v>
      </c>
      <c r="Q2116" s="107">
        <v>77.25</v>
      </c>
      <c r="R2116">
        <v>8681612</v>
      </c>
    </row>
    <row r="2117" spans="1:18" x14ac:dyDescent="0.25">
      <c r="A2117" s="130">
        <v>45121</v>
      </c>
      <c r="B2117" s="107">
        <v>78.33</v>
      </c>
      <c r="C2117" s="107">
        <v>77.81</v>
      </c>
      <c r="D2117" s="107">
        <v>76.709999999999994</v>
      </c>
      <c r="E2117" s="107">
        <v>77.86</v>
      </c>
      <c r="F2117" s="107">
        <v>77.81</v>
      </c>
      <c r="G2117">
        <v>537099</v>
      </c>
      <c r="H2117" s="107"/>
      <c r="I2117" s="107"/>
      <c r="L2117" s="130">
        <v>45121</v>
      </c>
      <c r="M2117" s="107">
        <v>77.849999999999994</v>
      </c>
      <c r="N2117" s="107">
        <v>78.3</v>
      </c>
      <c r="O2117" s="107">
        <v>76.75</v>
      </c>
      <c r="P2117" s="107">
        <v>77.849999999999994</v>
      </c>
      <c r="Q2117" s="107">
        <v>77.849999999999994</v>
      </c>
      <c r="R2117">
        <v>8828498</v>
      </c>
    </row>
    <row r="2118" spans="1:18" x14ac:dyDescent="0.25">
      <c r="A2118" s="130">
        <v>45124</v>
      </c>
      <c r="B2118" s="107">
        <v>79.95</v>
      </c>
      <c r="C2118" s="107">
        <v>79.760000000000005</v>
      </c>
      <c r="D2118" s="107">
        <v>77.52</v>
      </c>
      <c r="E2118" s="107">
        <v>77.52</v>
      </c>
      <c r="F2118" s="107">
        <v>79.760000000000005</v>
      </c>
      <c r="G2118">
        <v>325832</v>
      </c>
      <c r="H2118" s="107"/>
      <c r="I2118" s="107"/>
      <c r="L2118" s="130">
        <v>45124</v>
      </c>
      <c r="M2118" s="107">
        <v>79.75</v>
      </c>
      <c r="N2118" s="107">
        <v>79.95</v>
      </c>
      <c r="O2118" s="107">
        <v>77.650000000000006</v>
      </c>
      <c r="P2118" s="107">
        <v>78.099999999999994</v>
      </c>
      <c r="Q2118" s="107">
        <v>79.75</v>
      </c>
      <c r="R2118">
        <v>7560542</v>
      </c>
    </row>
    <row r="2119" spans="1:18" x14ac:dyDescent="0.25">
      <c r="A2119" s="130">
        <v>45125</v>
      </c>
      <c r="B2119" s="107">
        <v>80.989999999999995</v>
      </c>
      <c r="C2119" s="107">
        <v>79.31</v>
      </c>
      <c r="D2119" s="107">
        <v>78.8</v>
      </c>
      <c r="E2119" s="107">
        <v>80.010000000000005</v>
      </c>
      <c r="F2119" s="107">
        <v>79.31</v>
      </c>
      <c r="G2119">
        <v>871788</v>
      </c>
      <c r="H2119" s="107"/>
      <c r="I2119" s="107"/>
      <c r="L2119" s="130">
        <v>45125</v>
      </c>
      <c r="M2119" s="107">
        <v>79.3</v>
      </c>
      <c r="N2119" s="107">
        <v>81</v>
      </c>
      <c r="O2119" s="107">
        <v>78.8</v>
      </c>
      <c r="P2119" s="107">
        <v>80.150000000000006</v>
      </c>
      <c r="Q2119" s="107">
        <v>79.3</v>
      </c>
      <c r="R2119">
        <v>9588130</v>
      </c>
    </row>
    <row r="2120" spans="1:18" x14ac:dyDescent="0.25">
      <c r="A2120" s="130">
        <v>45126</v>
      </c>
      <c r="B2120" s="107">
        <v>80.45</v>
      </c>
      <c r="C2120" s="107">
        <v>80.239999999999995</v>
      </c>
      <c r="D2120" s="107">
        <v>78.099999999999994</v>
      </c>
      <c r="E2120" s="107">
        <v>79.5</v>
      </c>
      <c r="F2120" s="107">
        <v>80.239999999999995</v>
      </c>
      <c r="G2120">
        <v>708390</v>
      </c>
      <c r="H2120" s="107"/>
      <c r="I2120" s="107"/>
      <c r="L2120" s="130">
        <v>45126</v>
      </c>
      <c r="M2120" s="107">
        <v>80.25</v>
      </c>
      <c r="N2120" s="107">
        <v>80.45</v>
      </c>
      <c r="O2120" s="107">
        <v>78.599999999999994</v>
      </c>
      <c r="P2120" s="107">
        <v>79.7</v>
      </c>
      <c r="Q2120" s="107">
        <v>80.25</v>
      </c>
      <c r="R2120">
        <v>8972188</v>
      </c>
    </row>
    <row r="2121" spans="1:18" x14ac:dyDescent="0.25">
      <c r="A2121" s="130">
        <v>45127</v>
      </c>
      <c r="B2121" s="107">
        <v>83.9</v>
      </c>
      <c r="C2121" s="107">
        <v>83.27</v>
      </c>
      <c r="D2121" s="107">
        <v>79.900000000000006</v>
      </c>
      <c r="E2121" s="107">
        <v>80.25</v>
      </c>
      <c r="F2121" s="107">
        <v>83.27</v>
      </c>
      <c r="G2121">
        <v>2140533</v>
      </c>
      <c r="H2121" s="107"/>
      <c r="I2121" s="107"/>
      <c r="L2121" s="130">
        <v>45127</v>
      </c>
      <c r="M2121" s="107">
        <v>83.2</v>
      </c>
      <c r="N2121" s="107">
        <v>83.9</v>
      </c>
      <c r="O2121" s="107">
        <v>80</v>
      </c>
      <c r="P2121" s="107">
        <v>80.3</v>
      </c>
      <c r="Q2121" s="107">
        <v>83.2</v>
      </c>
      <c r="R2121">
        <v>34870282</v>
      </c>
    </row>
    <row r="2122" spans="1:18" x14ac:dyDescent="0.25">
      <c r="A2122" s="130">
        <v>45128</v>
      </c>
      <c r="B2122" s="107">
        <v>84.83</v>
      </c>
      <c r="C2122" s="107">
        <v>84.38</v>
      </c>
      <c r="D2122" s="107">
        <v>83.59</v>
      </c>
      <c r="E2122" s="107">
        <v>83.59</v>
      </c>
      <c r="F2122" s="107">
        <v>84.38</v>
      </c>
      <c r="G2122">
        <v>1404342</v>
      </c>
      <c r="H2122" s="107"/>
      <c r="I2122" s="107"/>
      <c r="L2122" s="130">
        <v>45128</v>
      </c>
      <c r="M2122" s="107">
        <v>84.45</v>
      </c>
      <c r="N2122" s="107">
        <v>84.9</v>
      </c>
      <c r="O2122" s="107">
        <v>83.6</v>
      </c>
      <c r="P2122" s="107">
        <v>84</v>
      </c>
      <c r="Q2122" s="107">
        <v>84.45</v>
      </c>
      <c r="R2122">
        <v>15655189</v>
      </c>
    </row>
    <row r="2123" spans="1:18" x14ac:dyDescent="0.25">
      <c r="A2123" s="130">
        <v>45131</v>
      </c>
      <c r="B2123" s="107">
        <v>86.25</v>
      </c>
      <c r="C2123" s="107">
        <v>84.29</v>
      </c>
      <c r="D2123" s="107">
        <v>83.7</v>
      </c>
      <c r="E2123" s="107">
        <v>84.6</v>
      </c>
      <c r="F2123" s="107">
        <v>84.29</v>
      </c>
      <c r="G2123">
        <v>827614</v>
      </c>
      <c r="H2123" s="107"/>
      <c r="I2123" s="107"/>
      <c r="L2123" s="130">
        <v>45131</v>
      </c>
      <c r="M2123" s="107">
        <v>84.35</v>
      </c>
      <c r="N2123" s="107">
        <v>86.3</v>
      </c>
      <c r="O2123" s="107">
        <v>83.65</v>
      </c>
      <c r="P2123" s="107">
        <v>84.75</v>
      </c>
      <c r="Q2123" s="107">
        <v>84.35</v>
      </c>
      <c r="R2123">
        <v>17605173</v>
      </c>
    </row>
    <row r="2124" spans="1:18" x14ac:dyDescent="0.25">
      <c r="A2124" s="130">
        <v>45132</v>
      </c>
      <c r="B2124" s="107">
        <v>85.7</v>
      </c>
      <c r="C2124" s="107">
        <v>83.1</v>
      </c>
      <c r="D2124" s="107">
        <v>82.5</v>
      </c>
      <c r="E2124" s="107">
        <v>84.99</v>
      </c>
      <c r="F2124" s="107">
        <v>83.1</v>
      </c>
      <c r="G2124">
        <v>478748</v>
      </c>
      <c r="H2124" s="107"/>
      <c r="I2124" s="107"/>
      <c r="L2124" s="130">
        <v>45132</v>
      </c>
      <c r="M2124" s="107">
        <v>83.05</v>
      </c>
      <c r="N2124" s="107">
        <v>85.75</v>
      </c>
      <c r="O2124" s="107">
        <v>82.5</v>
      </c>
      <c r="P2124" s="107">
        <v>84.8</v>
      </c>
      <c r="Q2124" s="107">
        <v>83.05</v>
      </c>
      <c r="R2124">
        <v>9984464</v>
      </c>
    </row>
    <row r="2125" spans="1:18" x14ac:dyDescent="0.25">
      <c r="A2125" s="130">
        <v>45133</v>
      </c>
      <c r="B2125" s="107">
        <v>85</v>
      </c>
      <c r="C2125" s="107">
        <v>84.25</v>
      </c>
      <c r="D2125" s="107">
        <v>82.7</v>
      </c>
      <c r="E2125" s="107">
        <v>83.2</v>
      </c>
      <c r="F2125" s="107">
        <v>84.25</v>
      </c>
      <c r="G2125">
        <v>765515</v>
      </c>
      <c r="H2125" s="107"/>
      <c r="I2125" s="107"/>
      <c r="L2125" s="130">
        <v>45133</v>
      </c>
      <c r="M2125" s="107">
        <v>84.25</v>
      </c>
      <c r="N2125" s="107">
        <v>85.1</v>
      </c>
      <c r="O2125" s="107">
        <v>82.7</v>
      </c>
      <c r="P2125" s="107">
        <v>83.3</v>
      </c>
      <c r="Q2125" s="107">
        <v>84.25</v>
      </c>
      <c r="R2125">
        <v>8179237</v>
      </c>
    </row>
    <row r="2126" spans="1:18" x14ac:dyDescent="0.25">
      <c r="A2126" s="130">
        <v>45134</v>
      </c>
      <c r="B2126" s="107">
        <v>85.6</v>
      </c>
      <c r="C2126" s="107">
        <v>84.67</v>
      </c>
      <c r="D2126" s="107">
        <v>83.81</v>
      </c>
      <c r="E2126" s="107">
        <v>84.51</v>
      </c>
      <c r="F2126" s="107">
        <v>84.67</v>
      </c>
      <c r="G2126">
        <v>927757</v>
      </c>
      <c r="H2126" s="107"/>
      <c r="I2126" s="107"/>
      <c r="L2126" s="130">
        <v>45134</v>
      </c>
      <c r="M2126" s="107">
        <v>84.75</v>
      </c>
      <c r="N2126" s="107">
        <v>85.6</v>
      </c>
      <c r="O2126" s="107">
        <v>83.7</v>
      </c>
      <c r="P2126" s="107">
        <v>84.75</v>
      </c>
      <c r="Q2126" s="107">
        <v>84.75</v>
      </c>
      <c r="R2126">
        <v>9344357</v>
      </c>
    </row>
    <row r="2127" spans="1:18" x14ac:dyDescent="0.25">
      <c r="A2127" s="130">
        <v>45135</v>
      </c>
      <c r="B2127" s="107">
        <v>85.4</v>
      </c>
      <c r="C2127" s="107">
        <v>83.9</v>
      </c>
      <c r="D2127" s="107">
        <v>82.4</v>
      </c>
      <c r="E2127" s="107">
        <v>85</v>
      </c>
      <c r="F2127" s="107">
        <v>83.9</v>
      </c>
      <c r="G2127">
        <v>581849</v>
      </c>
      <c r="H2127" s="107"/>
      <c r="I2127" s="107"/>
      <c r="L2127" s="130">
        <v>45135</v>
      </c>
      <c r="M2127" s="107">
        <v>84</v>
      </c>
      <c r="N2127" s="107">
        <v>85.45</v>
      </c>
      <c r="O2127" s="107">
        <v>81.8</v>
      </c>
      <c r="P2127" s="107">
        <v>84.9</v>
      </c>
      <c r="Q2127" s="107">
        <v>84</v>
      </c>
      <c r="R2127">
        <v>10525169</v>
      </c>
    </row>
    <row r="2128" spans="1:18" x14ac:dyDescent="0.25">
      <c r="A2128" s="130">
        <v>45138</v>
      </c>
      <c r="B2128" s="107">
        <v>86.84</v>
      </c>
      <c r="C2128" s="107">
        <v>85.39</v>
      </c>
      <c r="D2128" s="107">
        <v>85.05</v>
      </c>
      <c r="E2128" s="107">
        <v>86</v>
      </c>
      <c r="F2128" s="107">
        <v>85.39</v>
      </c>
      <c r="G2128">
        <v>754385</v>
      </c>
      <c r="H2128" s="107"/>
      <c r="I2128" s="107"/>
      <c r="L2128" s="130">
        <v>45138</v>
      </c>
      <c r="M2128" s="107">
        <v>85.35</v>
      </c>
      <c r="N2128" s="107">
        <v>86.8</v>
      </c>
      <c r="O2128" s="107">
        <v>85</v>
      </c>
      <c r="P2128" s="107">
        <v>86</v>
      </c>
      <c r="Q2128" s="107">
        <v>85.35</v>
      </c>
      <c r="R2128">
        <v>21713178</v>
      </c>
    </row>
    <row r="2129" spans="1:18" x14ac:dyDescent="0.25">
      <c r="A2129" s="130">
        <v>45139</v>
      </c>
      <c r="B2129" s="107">
        <v>87.9</v>
      </c>
      <c r="C2129" s="107">
        <v>85.81</v>
      </c>
      <c r="D2129" s="107">
        <v>85.54</v>
      </c>
      <c r="E2129" s="107">
        <v>86</v>
      </c>
      <c r="F2129" s="107">
        <v>85.81</v>
      </c>
      <c r="G2129">
        <v>1694183</v>
      </c>
      <c r="H2129" s="107"/>
      <c r="I2129" s="107"/>
      <c r="L2129" s="130">
        <v>45139</v>
      </c>
      <c r="M2129" s="107">
        <v>85.8</v>
      </c>
      <c r="N2129" s="107">
        <v>87.95</v>
      </c>
      <c r="O2129" s="107">
        <v>85.55</v>
      </c>
      <c r="P2129" s="107">
        <v>85.95</v>
      </c>
      <c r="Q2129" s="107">
        <v>85.8</v>
      </c>
      <c r="R2129">
        <v>20269483</v>
      </c>
    </row>
    <row r="2130" spans="1:18" x14ac:dyDescent="0.25">
      <c r="A2130" s="130">
        <v>45140</v>
      </c>
      <c r="B2130" s="107">
        <v>86.45</v>
      </c>
      <c r="C2130" s="107">
        <v>83.44</v>
      </c>
      <c r="D2130" s="107">
        <v>82.5</v>
      </c>
      <c r="E2130" s="107">
        <v>85.8</v>
      </c>
      <c r="F2130" s="107">
        <v>83.44</v>
      </c>
      <c r="G2130">
        <v>877221</v>
      </c>
      <c r="H2130" s="107"/>
      <c r="I2130" s="107"/>
      <c r="L2130" s="130">
        <v>45140</v>
      </c>
      <c r="M2130" s="107">
        <v>83.5</v>
      </c>
      <c r="N2130" s="107">
        <v>86.45</v>
      </c>
      <c r="O2130" s="107">
        <v>82.55</v>
      </c>
      <c r="P2130" s="107">
        <v>85.5</v>
      </c>
      <c r="Q2130" s="107">
        <v>83.5</v>
      </c>
      <c r="R2130">
        <v>12747571</v>
      </c>
    </row>
    <row r="2131" spans="1:18" x14ac:dyDescent="0.25">
      <c r="A2131" s="130">
        <v>45141</v>
      </c>
      <c r="B2131" s="107">
        <v>84.89</v>
      </c>
      <c r="C2131" s="107">
        <v>83.72</v>
      </c>
      <c r="D2131" s="107">
        <v>82.85</v>
      </c>
      <c r="E2131" s="107">
        <v>84.89</v>
      </c>
      <c r="F2131" s="107">
        <v>83.72</v>
      </c>
      <c r="G2131">
        <v>257342</v>
      </c>
      <c r="H2131" s="107"/>
      <c r="I2131" s="107"/>
      <c r="L2131" s="130">
        <v>45141</v>
      </c>
      <c r="M2131" s="107">
        <v>83.65</v>
      </c>
      <c r="N2131" s="107">
        <v>84.25</v>
      </c>
      <c r="O2131" s="107">
        <v>82.85</v>
      </c>
      <c r="P2131" s="107">
        <v>83.8</v>
      </c>
      <c r="Q2131" s="107">
        <v>83.65</v>
      </c>
      <c r="R2131">
        <v>8008032</v>
      </c>
    </row>
    <row r="2132" spans="1:18" x14ac:dyDescent="0.25">
      <c r="A2132" s="130">
        <v>45142</v>
      </c>
      <c r="B2132" s="107">
        <v>85.4</v>
      </c>
      <c r="C2132" s="107">
        <v>84.2</v>
      </c>
      <c r="D2132" s="107">
        <v>83.7</v>
      </c>
      <c r="E2132" s="107">
        <v>83.73</v>
      </c>
      <c r="F2132" s="107">
        <v>84.2</v>
      </c>
      <c r="G2132">
        <v>640756</v>
      </c>
      <c r="H2132" s="107"/>
      <c r="I2132" s="107"/>
      <c r="L2132" s="130">
        <v>45142</v>
      </c>
      <c r="M2132" s="107">
        <v>84.2</v>
      </c>
      <c r="N2132" s="107">
        <v>85.4</v>
      </c>
      <c r="O2132" s="107">
        <v>83.65</v>
      </c>
      <c r="P2132" s="107">
        <v>84.05</v>
      </c>
      <c r="Q2132" s="107">
        <v>84.2</v>
      </c>
      <c r="R2132">
        <v>7655878</v>
      </c>
    </row>
    <row r="2133" spans="1:18" x14ac:dyDescent="0.25">
      <c r="A2133" s="130">
        <v>45145</v>
      </c>
      <c r="B2133" s="107">
        <v>84.5</v>
      </c>
      <c r="C2133" s="107">
        <v>83.28</v>
      </c>
      <c r="D2133" s="107">
        <v>83.05</v>
      </c>
      <c r="E2133" s="107">
        <v>83.81</v>
      </c>
      <c r="F2133" s="107">
        <v>83.28</v>
      </c>
      <c r="G2133">
        <v>447171</v>
      </c>
      <c r="H2133" s="107"/>
      <c r="I2133" s="107"/>
      <c r="L2133" s="130">
        <v>45145</v>
      </c>
      <c r="M2133" s="107">
        <v>83.25</v>
      </c>
      <c r="N2133" s="107">
        <v>84.5</v>
      </c>
      <c r="O2133" s="107">
        <v>83</v>
      </c>
      <c r="P2133" s="107">
        <v>84</v>
      </c>
      <c r="Q2133" s="107">
        <v>83.25</v>
      </c>
      <c r="R2133">
        <v>4625262</v>
      </c>
    </row>
    <row r="2134" spans="1:18" x14ac:dyDescent="0.25">
      <c r="A2134" s="130">
        <v>45146</v>
      </c>
      <c r="B2134" s="107">
        <v>86.15</v>
      </c>
      <c r="C2134" s="107">
        <v>85.92</v>
      </c>
      <c r="D2134" s="107">
        <v>83.16</v>
      </c>
      <c r="E2134" s="107">
        <v>83.16</v>
      </c>
      <c r="F2134" s="107">
        <v>85.92</v>
      </c>
      <c r="G2134">
        <v>1100598</v>
      </c>
      <c r="H2134" s="107"/>
      <c r="I2134" s="107"/>
      <c r="L2134" s="130">
        <v>45146</v>
      </c>
      <c r="M2134" s="107">
        <v>85.95</v>
      </c>
      <c r="N2134" s="107">
        <v>86.25</v>
      </c>
      <c r="O2134" s="107">
        <v>83.1</v>
      </c>
      <c r="P2134" s="107">
        <v>83.6</v>
      </c>
      <c r="Q2134" s="107">
        <v>85.95</v>
      </c>
      <c r="R2134">
        <v>12696187</v>
      </c>
    </row>
    <row r="2135" spans="1:18" x14ac:dyDescent="0.25">
      <c r="A2135" s="130">
        <v>45147</v>
      </c>
      <c r="B2135" s="107">
        <v>87.94</v>
      </c>
      <c r="C2135" s="107">
        <v>87.77</v>
      </c>
      <c r="D2135" s="107">
        <v>85.38</v>
      </c>
      <c r="E2135" s="107">
        <v>86.61</v>
      </c>
      <c r="F2135" s="107">
        <v>87.77</v>
      </c>
      <c r="G2135">
        <v>538570</v>
      </c>
      <c r="H2135" s="107"/>
      <c r="I2135" s="107"/>
      <c r="L2135" s="130">
        <v>45147</v>
      </c>
      <c r="M2135" s="107">
        <v>87.75</v>
      </c>
      <c r="N2135" s="107">
        <v>87.95</v>
      </c>
      <c r="O2135" s="107">
        <v>85.3</v>
      </c>
      <c r="P2135" s="107">
        <v>86.8</v>
      </c>
      <c r="Q2135" s="107">
        <v>87.75</v>
      </c>
      <c r="R2135">
        <v>14066381</v>
      </c>
    </row>
    <row r="2136" spans="1:18" x14ac:dyDescent="0.25">
      <c r="A2136" s="130">
        <v>45148</v>
      </c>
      <c r="B2136" s="107">
        <v>88.25</v>
      </c>
      <c r="C2136" s="107">
        <v>86.23</v>
      </c>
      <c r="D2136" s="107">
        <v>85.66</v>
      </c>
      <c r="E2136" s="107">
        <v>87.59</v>
      </c>
      <c r="F2136" s="107">
        <v>86.23</v>
      </c>
      <c r="G2136">
        <v>940818</v>
      </c>
      <c r="H2136" s="107"/>
      <c r="I2136" s="107"/>
      <c r="L2136" s="130">
        <v>45148</v>
      </c>
      <c r="M2136" s="107">
        <v>86.2</v>
      </c>
      <c r="N2136" s="107">
        <v>88.3</v>
      </c>
      <c r="O2136" s="107">
        <v>85.7</v>
      </c>
      <c r="P2136" s="107">
        <v>87.6</v>
      </c>
      <c r="Q2136" s="107">
        <v>86.2</v>
      </c>
      <c r="R2136">
        <v>10867234</v>
      </c>
    </row>
    <row r="2137" spans="1:18" x14ac:dyDescent="0.25">
      <c r="A2137" s="130">
        <v>45149</v>
      </c>
      <c r="B2137" s="107">
        <v>90.37</v>
      </c>
      <c r="C2137" s="107">
        <v>87.26</v>
      </c>
      <c r="D2137" s="107">
        <v>86.25</v>
      </c>
      <c r="E2137" s="107">
        <v>86.36</v>
      </c>
      <c r="F2137" s="107">
        <v>87.26</v>
      </c>
      <c r="G2137">
        <v>2153261</v>
      </c>
      <c r="H2137" s="107"/>
      <c r="I2137" s="107"/>
      <c r="L2137" s="130">
        <v>45149</v>
      </c>
      <c r="M2137" s="107">
        <v>87.25</v>
      </c>
      <c r="N2137" s="107">
        <v>90.35</v>
      </c>
      <c r="O2137" s="107">
        <v>86.25</v>
      </c>
      <c r="P2137" s="107">
        <v>86.6</v>
      </c>
      <c r="Q2137" s="107">
        <v>87.25</v>
      </c>
      <c r="R2137">
        <v>29715786</v>
      </c>
    </row>
    <row r="2138" spans="1:18" x14ac:dyDescent="0.25">
      <c r="A2138" s="130">
        <v>45152</v>
      </c>
      <c r="B2138" s="107">
        <v>89.95</v>
      </c>
      <c r="C2138" s="107">
        <v>89.69</v>
      </c>
      <c r="D2138" s="107">
        <v>85.1</v>
      </c>
      <c r="E2138" s="107">
        <v>86.47</v>
      </c>
      <c r="F2138" s="107">
        <v>89.69</v>
      </c>
      <c r="G2138">
        <v>1378797</v>
      </c>
      <c r="H2138" s="107"/>
      <c r="I2138" s="107"/>
      <c r="L2138" s="130">
        <v>45152</v>
      </c>
      <c r="M2138" s="107">
        <v>89.7</v>
      </c>
      <c r="N2138" s="107">
        <v>89.95</v>
      </c>
      <c r="O2138" s="107">
        <v>85.1</v>
      </c>
      <c r="P2138" s="107">
        <v>86.9</v>
      </c>
      <c r="Q2138" s="107">
        <v>89.7</v>
      </c>
      <c r="R2138">
        <v>15929019</v>
      </c>
    </row>
    <row r="2139" spans="1:18" x14ac:dyDescent="0.25">
      <c r="A2139" s="130">
        <v>45154</v>
      </c>
      <c r="B2139" s="107">
        <v>90.9</v>
      </c>
      <c r="C2139" s="107">
        <v>89.49</v>
      </c>
      <c r="D2139" s="107">
        <v>88.5</v>
      </c>
      <c r="E2139" s="107">
        <v>89.44</v>
      </c>
      <c r="F2139" s="107">
        <v>89.49</v>
      </c>
      <c r="G2139">
        <v>1076904</v>
      </c>
      <c r="H2139" s="107"/>
      <c r="I2139" s="107"/>
      <c r="L2139" s="130">
        <v>45154</v>
      </c>
      <c r="M2139" s="107">
        <v>89.55</v>
      </c>
      <c r="N2139" s="107">
        <v>90.9</v>
      </c>
      <c r="O2139" s="107">
        <v>88.4</v>
      </c>
      <c r="P2139" s="107">
        <v>89</v>
      </c>
      <c r="Q2139" s="107">
        <v>89.55</v>
      </c>
      <c r="R2139">
        <v>18683050</v>
      </c>
    </row>
    <row r="2140" spans="1:18" x14ac:dyDescent="0.25">
      <c r="A2140" s="130">
        <v>45155</v>
      </c>
      <c r="B2140" s="107">
        <v>90.9</v>
      </c>
      <c r="C2140" s="107">
        <v>89.39</v>
      </c>
      <c r="D2140" s="107">
        <v>89.01</v>
      </c>
      <c r="E2140" s="107">
        <v>89.5</v>
      </c>
      <c r="F2140" s="107">
        <v>89.39</v>
      </c>
      <c r="G2140">
        <v>737932</v>
      </c>
      <c r="H2140" s="107"/>
      <c r="I2140" s="107"/>
      <c r="L2140" s="130">
        <v>45155</v>
      </c>
      <c r="M2140" s="107">
        <v>89.35</v>
      </c>
      <c r="N2140" s="107">
        <v>90.95</v>
      </c>
      <c r="O2140" s="107">
        <v>89</v>
      </c>
      <c r="P2140" s="107">
        <v>89.5</v>
      </c>
      <c r="Q2140" s="107">
        <v>89.35</v>
      </c>
      <c r="R2140">
        <v>13724577</v>
      </c>
    </row>
    <row r="2141" spans="1:18" x14ac:dyDescent="0.25">
      <c r="A2141" s="130">
        <v>45156</v>
      </c>
      <c r="B2141" s="107">
        <v>91.89</v>
      </c>
      <c r="C2141" s="107">
        <v>91.35</v>
      </c>
      <c r="D2141" s="107">
        <v>88.45</v>
      </c>
      <c r="E2141" s="107">
        <v>89.38</v>
      </c>
      <c r="F2141" s="107">
        <v>91.35</v>
      </c>
      <c r="G2141">
        <v>1971310</v>
      </c>
      <c r="H2141" s="107"/>
      <c r="I2141" s="107"/>
      <c r="L2141" s="130">
        <v>45156</v>
      </c>
      <c r="M2141" s="107">
        <v>91.25</v>
      </c>
      <c r="N2141" s="107">
        <v>91.9</v>
      </c>
      <c r="O2141" s="107">
        <v>88.4</v>
      </c>
      <c r="P2141" s="107">
        <v>89.2</v>
      </c>
      <c r="Q2141" s="107">
        <v>91.25</v>
      </c>
      <c r="R2141">
        <v>22087157</v>
      </c>
    </row>
    <row r="2142" spans="1:18" x14ac:dyDescent="0.25">
      <c r="A2142" s="130">
        <v>45159</v>
      </c>
      <c r="B2142" s="107">
        <v>91.64</v>
      </c>
      <c r="C2142" s="107">
        <v>89.45</v>
      </c>
      <c r="D2142" s="107">
        <v>89.17</v>
      </c>
      <c r="E2142" s="107">
        <v>91.35</v>
      </c>
      <c r="F2142" s="107">
        <v>89.45</v>
      </c>
      <c r="G2142">
        <v>700992</v>
      </c>
      <c r="H2142" s="107"/>
      <c r="I2142" s="107"/>
      <c r="L2142" s="130">
        <v>45159</v>
      </c>
      <c r="M2142" s="107">
        <v>89.5</v>
      </c>
      <c r="N2142" s="107">
        <v>91.6</v>
      </c>
      <c r="O2142" s="107">
        <v>89.2</v>
      </c>
      <c r="P2142" s="107">
        <v>91.45</v>
      </c>
      <c r="Q2142" s="107">
        <v>89.5</v>
      </c>
      <c r="R2142">
        <v>10901499</v>
      </c>
    </row>
    <row r="2143" spans="1:18" x14ac:dyDescent="0.25">
      <c r="A2143" s="130">
        <v>45160</v>
      </c>
      <c r="B2143" s="107">
        <v>90.66</v>
      </c>
      <c r="C2143" s="107">
        <v>88.7</v>
      </c>
      <c r="D2143" s="107">
        <v>88.5</v>
      </c>
      <c r="E2143" s="107">
        <v>89.51</v>
      </c>
      <c r="F2143" s="107">
        <v>88.7</v>
      </c>
      <c r="G2143">
        <v>404328</v>
      </c>
      <c r="H2143" s="107"/>
      <c r="I2143" s="107"/>
      <c r="L2143" s="130">
        <v>45160</v>
      </c>
      <c r="M2143" s="107">
        <v>88.65</v>
      </c>
      <c r="N2143" s="107">
        <v>91</v>
      </c>
      <c r="O2143" s="107">
        <v>88.5</v>
      </c>
      <c r="P2143" s="107">
        <v>89.8</v>
      </c>
      <c r="Q2143" s="107">
        <v>88.65</v>
      </c>
      <c r="R2143">
        <v>9926681</v>
      </c>
    </row>
    <row r="2144" spans="1:18" x14ac:dyDescent="0.25">
      <c r="A2144" s="130">
        <v>45161</v>
      </c>
      <c r="B2144" s="107">
        <v>90.88</v>
      </c>
      <c r="C2144" s="107">
        <v>89.53</v>
      </c>
      <c r="D2144" s="107">
        <v>88.5</v>
      </c>
      <c r="E2144" s="107">
        <v>88.93</v>
      </c>
      <c r="F2144" s="107">
        <v>89.53</v>
      </c>
      <c r="G2144">
        <v>1106821</v>
      </c>
      <c r="H2144" s="107"/>
      <c r="I2144" s="107"/>
      <c r="L2144" s="130">
        <v>45161</v>
      </c>
      <c r="M2144" s="107">
        <v>89.55</v>
      </c>
      <c r="N2144" s="107">
        <v>90.9</v>
      </c>
      <c r="O2144" s="107">
        <v>88.45</v>
      </c>
      <c r="P2144" s="107">
        <v>88.9</v>
      </c>
      <c r="Q2144" s="107">
        <v>89.55</v>
      </c>
      <c r="R2144">
        <v>12574484</v>
      </c>
    </row>
    <row r="2145" spans="1:18" x14ac:dyDescent="0.25">
      <c r="A2145" s="130">
        <v>45162</v>
      </c>
      <c r="B2145" s="107">
        <v>90.76</v>
      </c>
      <c r="C2145" s="107">
        <v>87.57</v>
      </c>
      <c r="D2145" s="107">
        <v>86.84</v>
      </c>
      <c r="E2145" s="107">
        <v>89.83</v>
      </c>
      <c r="F2145" s="107">
        <v>87.57</v>
      </c>
      <c r="G2145">
        <v>545623</v>
      </c>
      <c r="H2145" s="107"/>
      <c r="I2145" s="107"/>
      <c r="L2145" s="130">
        <v>45162</v>
      </c>
      <c r="M2145" s="107">
        <v>87.45</v>
      </c>
      <c r="N2145" s="107">
        <v>90.75</v>
      </c>
      <c r="O2145" s="107">
        <v>86.8</v>
      </c>
      <c r="P2145" s="107">
        <v>90.2</v>
      </c>
      <c r="Q2145" s="107">
        <v>87.45</v>
      </c>
      <c r="R2145">
        <v>10811228</v>
      </c>
    </row>
    <row r="2146" spans="1:18" x14ac:dyDescent="0.25">
      <c r="A2146" s="130">
        <v>45163</v>
      </c>
      <c r="B2146" s="107">
        <v>87.8</v>
      </c>
      <c r="C2146" s="107">
        <v>86.13</v>
      </c>
      <c r="D2146" s="107">
        <v>85.45</v>
      </c>
      <c r="E2146" s="107">
        <v>87.22</v>
      </c>
      <c r="F2146" s="107">
        <v>86.13</v>
      </c>
      <c r="G2146">
        <v>874473</v>
      </c>
      <c r="H2146" s="107"/>
      <c r="I2146" s="107"/>
      <c r="L2146" s="130">
        <v>45163</v>
      </c>
      <c r="M2146" s="107">
        <v>86.15</v>
      </c>
      <c r="N2146" s="107">
        <v>87.85</v>
      </c>
      <c r="O2146" s="107">
        <v>85.35</v>
      </c>
      <c r="P2146" s="107">
        <v>86.9</v>
      </c>
      <c r="Q2146" s="107">
        <v>86.15</v>
      </c>
      <c r="R2146">
        <v>8544973</v>
      </c>
    </row>
    <row r="2147" spans="1:18" x14ac:dyDescent="0.25">
      <c r="A2147" s="130">
        <v>45166</v>
      </c>
      <c r="B2147" s="107">
        <v>88.25</v>
      </c>
      <c r="C2147" s="107">
        <v>86.85</v>
      </c>
      <c r="D2147" s="107">
        <v>86.3</v>
      </c>
      <c r="E2147" s="107">
        <v>86.5</v>
      </c>
      <c r="F2147" s="107">
        <v>86.85</v>
      </c>
      <c r="G2147">
        <v>492618</v>
      </c>
      <c r="H2147" s="107"/>
      <c r="I2147" s="107"/>
      <c r="L2147" s="130">
        <v>45166</v>
      </c>
      <c r="M2147" s="107">
        <v>86.9</v>
      </c>
      <c r="N2147" s="107">
        <v>88.25</v>
      </c>
      <c r="O2147" s="107">
        <v>86.25</v>
      </c>
      <c r="P2147" s="107">
        <v>86.65</v>
      </c>
      <c r="Q2147" s="107">
        <v>86.9</v>
      </c>
      <c r="R2147">
        <v>6758273</v>
      </c>
    </row>
    <row r="2148" spans="1:18" x14ac:dyDescent="0.25">
      <c r="A2148" s="130">
        <v>45167</v>
      </c>
      <c r="B2148" s="107">
        <v>87.54</v>
      </c>
      <c r="C2148" s="107">
        <v>86.4</v>
      </c>
      <c r="D2148" s="107">
        <v>86.15</v>
      </c>
      <c r="E2148" s="107">
        <v>87.11</v>
      </c>
      <c r="F2148" s="107">
        <v>86.4</v>
      </c>
      <c r="G2148">
        <v>292974</v>
      </c>
      <c r="H2148" s="107"/>
      <c r="I2148" s="107"/>
      <c r="L2148" s="130">
        <v>45167</v>
      </c>
      <c r="M2148" s="107">
        <v>86.35</v>
      </c>
      <c r="N2148" s="107">
        <v>87.6</v>
      </c>
      <c r="O2148" s="107">
        <v>86.05</v>
      </c>
      <c r="P2148" s="107">
        <v>87.15</v>
      </c>
      <c r="Q2148" s="107">
        <v>86.35</v>
      </c>
      <c r="R2148">
        <v>7258228</v>
      </c>
    </row>
    <row r="2149" spans="1:18" x14ac:dyDescent="0.25">
      <c r="A2149" s="130">
        <v>45168</v>
      </c>
      <c r="B2149" s="107">
        <v>88.14</v>
      </c>
      <c r="C2149" s="107">
        <v>87.48</v>
      </c>
      <c r="D2149" s="107">
        <v>86.56</v>
      </c>
      <c r="E2149" s="107">
        <v>87.34</v>
      </c>
      <c r="F2149" s="107">
        <v>87.48</v>
      </c>
      <c r="G2149">
        <v>491676</v>
      </c>
      <c r="H2149" s="107"/>
      <c r="I2149" s="107"/>
      <c r="L2149" s="130">
        <v>45168</v>
      </c>
      <c r="M2149" s="107">
        <v>87.5</v>
      </c>
      <c r="N2149" s="107">
        <v>88.2</v>
      </c>
      <c r="O2149" s="107">
        <v>86.55</v>
      </c>
      <c r="P2149" s="107">
        <v>86.75</v>
      </c>
      <c r="Q2149" s="107">
        <v>87.5</v>
      </c>
      <c r="R2149">
        <v>6583569</v>
      </c>
    </row>
    <row r="2150" spans="1:18" x14ac:dyDescent="0.25">
      <c r="A2150" s="130">
        <v>45169</v>
      </c>
      <c r="B2150" s="107">
        <v>88.02</v>
      </c>
      <c r="C2150" s="107">
        <v>85.91</v>
      </c>
      <c r="D2150" s="107">
        <v>85.6</v>
      </c>
      <c r="E2150" s="107">
        <v>87.89</v>
      </c>
      <c r="F2150" s="107">
        <v>85.91</v>
      </c>
      <c r="G2150">
        <v>262260</v>
      </c>
      <c r="H2150" s="107"/>
      <c r="I2150" s="107"/>
      <c r="L2150" s="130">
        <v>45169</v>
      </c>
      <c r="M2150" s="107">
        <v>85.8</v>
      </c>
      <c r="N2150" s="107">
        <v>88.05</v>
      </c>
      <c r="O2150" s="107">
        <v>85.5</v>
      </c>
      <c r="P2150" s="107">
        <v>87.8</v>
      </c>
      <c r="Q2150" s="107">
        <v>85.8</v>
      </c>
      <c r="R2150">
        <v>5857331</v>
      </c>
    </row>
    <row r="2151" spans="1:18" x14ac:dyDescent="0.25">
      <c r="A2151" s="130">
        <v>45170</v>
      </c>
      <c r="B2151" s="107">
        <v>88.49</v>
      </c>
      <c r="C2151" s="107">
        <v>87.95</v>
      </c>
      <c r="D2151" s="107">
        <v>85.27</v>
      </c>
      <c r="E2151" s="107">
        <v>85.98</v>
      </c>
      <c r="F2151" s="107">
        <v>87.95</v>
      </c>
      <c r="G2151">
        <v>1224829</v>
      </c>
      <c r="H2151" s="107"/>
      <c r="I2151" s="107"/>
      <c r="L2151" s="130">
        <v>45170</v>
      </c>
      <c r="M2151" s="107">
        <v>88</v>
      </c>
      <c r="N2151" s="107">
        <v>88.5</v>
      </c>
      <c r="O2151" s="107">
        <v>85.25</v>
      </c>
      <c r="P2151" s="107">
        <v>85.8</v>
      </c>
      <c r="Q2151" s="107">
        <v>88</v>
      </c>
      <c r="R2151">
        <v>10411546</v>
      </c>
    </row>
    <row r="2152" spans="1:18" x14ac:dyDescent="0.25">
      <c r="A2152" s="130">
        <v>45173</v>
      </c>
      <c r="B2152" s="107">
        <v>90.85</v>
      </c>
      <c r="C2152" s="107">
        <v>89.36</v>
      </c>
      <c r="D2152" s="107">
        <v>88.11</v>
      </c>
      <c r="E2152" s="107">
        <v>88.31</v>
      </c>
      <c r="F2152" s="107">
        <v>89.36</v>
      </c>
      <c r="G2152">
        <v>862974</v>
      </c>
      <c r="H2152" s="107"/>
      <c r="I2152" s="107"/>
      <c r="L2152" s="130">
        <v>45173</v>
      </c>
      <c r="M2152" s="107">
        <v>89.4</v>
      </c>
      <c r="N2152" s="107">
        <v>90.8</v>
      </c>
      <c r="O2152" s="107">
        <v>88.2</v>
      </c>
      <c r="P2152" s="107">
        <v>88.5</v>
      </c>
      <c r="Q2152" s="107">
        <v>89.4</v>
      </c>
      <c r="R2152">
        <v>15278755</v>
      </c>
    </row>
    <row r="2153" spans="1:18" x14ac:dyDescent="0.25">
      <c r="A2153" s="130">
        <v>45174</v>
      </c>
      <c r="B2153" s="107">
        <v>94.5</v>
      </c>
      <c r="C2153" s="107">
        <v>93.41</v>
      </c>
      <c r="D2153" s="107">
        <v>89.6</v>
      </c>
      <c r="E2153" s="107">
        <v>90.35</v>
      </c>
      <c r="F2153" s="107">
        <v>93.41</v>
      </c>
      <c r="G2153">
        <v>2327432</v>
      </c>
      <c r="H2153" s="107"/>
      <c r="I2153" s="107"/>
      <c r="L2153" s="130">
        <v>45174</v>
      </c>
      <c r="M2153" s="107">
        <v>93.4</v>
      </c>
      <c r="N2153" s="107">
        <v>94.5</v>
      </c>
      <c r="O2153" s="107">
        <v>89.65</v>
      </c>
      <c r="P2153" s="107">
        <v>89.65</v>
      </c>
      <c r="Q2153" s="107">
        <v>93.4</v>
      </c>
      <c r="R2153">
        <v>39876277</v>
      </c>
    </row>
    <row r="2154" spans="1:18" x14ac:dyDescent="0.25">
      <c r="A2154" s="130">
        <v>45175</v>
      </c>
      <c r="B2154" s="107">
        <v>94.35</v>
      </c>
      <c r="C2154" s="107">
        <v>92.82</v>
      </c>
      <c r="D2154" s="107">
        <v>91.7</v>
      </c>
      <c r="E2154" s="107">
        <v>94.19</v>
      </c>
      <c r="F2154" s="107">
        <v>92.82</v>
      </c>
      <c r="G2154">
        <v>1009535</v>
      </c>
      <c r="H2154" s="107"/>
      <c r="I2154" s="107"/>
      <c r="L2154" s="130">
        <v>45175</v>
      </c>
      <c r="M2154" s="107">
        <v>92.85</v>
      </c>
      <c r="N2154" s="107">
        <v>94.4</v>
      </c>
      <c r="O2154" s="107">
        <v>91.7</v>
      </c>
      <c r="P2154" s="107">
        <v>93.8</v>
      </c>
      <c r="Q2154" s="107">
        <v>92.85</v>
      </c>
      <c r="R2154">
        <v>12765884</v>
      </c>
    </row>
    <row r="2155" spans="1:18" x14ac:dyDescent="0.25">
      <c r="A2155" s="130">
        <v>45176</v>
      </c>
      <c r="B2155" s="107">
        <v>94.35</v>
      </c>
      <c r="C2155" s="107">
        <v>93.32</v>
      </c>
      <c r="D2155" s="107">
        <v>92.5</v>
      </c>
      <c r="E2155" s="107">
        <v>92.83</v>
      </c>
      <c r="F2155" s="107">
        <v>93.32</v>
      </c>
      <c r="G2155">
        <v>509563</v>
      </c>
      <c r="H2155" s="107"/>
      <c r="I2155" s="107"/>
      <c r="L2155" s="130">
        <v>45176</v>
      </c>
      <c r="M2155" s="107">
        <v>93.35</v>
      </c>
      <c r="N2155" s="107">
        <v>94.45</v>
      </c>
      <c r="O2155" s="107">
        <v>92.65</v>
      </c>
      <c r="P2155" s="107">
        <v>93.1</v>
      </c>
      <c r="Q2155" s="107">
        <v>93.35</v>
      </c>
      <c r="R2155">
        <v>10326143</v>
      </c>
    </row>
    <row r="2156" spans="1:18" x14ac:dyDescent="0.25">
      <c r="A2156" s="130">
        <v>45177</v>
      </c>
      <c r="B2156" s="107">
        <v>93.85</v>
      </c>
      <c r="C2156" s="107">
        <v>93.03</v>
      </c>
      <c r="D2156" s="107">
        <v>92.61</v>
      </c>
      <c r="E2156" s="107">
        <v>92.8</v>
      </c>
      <c r="F2156" s="107">
        <v>93.03</v>
      </c>
      <c r="G2156">
        <v>431922</v>
      </c>
      <c r="H2156" s="107"/>
      <c r="I2156" s="107"/>
      <c r="L2156" s="130">
        <v>45177</v>
      </c>
      <c r="M2156" s="107">
        <v>93</v>
      </c>
      <c r="N2156" s="107">
        <v>93.85</v>
      </c>
      <c r="O2156" s="107">
        <v>92.6</v>
      </c>
      <c r="P2156" s="107">
        <v>93.65</v>
      </c>
      <c r="Q2156" s="107">
        <v>93</v>
      </c>
      <c r="R2156">
        <v>11270995</v>
      </c>
    </row>
    <row r="2157" spans="1:18" x14ac:dyDescent="0.25">
      <c r="A2157" s="130">
        <v>45180</v>
      </c>
      <c r="B2157" s="107">
        <v>99.15</v>
      </c>
      <c r="C2157" s="107">
        <v>98.85</v>
      </c>
      <c r="D2157" s="107">
        <v>93.3</v>
      </c>
      <c r="E2157" s="107">
        <v>93.3</v>
      </c>
      <c r="F2157" s="107">
        <v>98.85</v>
      </c>
      <c r="G2157">
        <v>3473958</v>
      </c>
      <c r="H2157" s="107"/>
      <c r="I2157" s="107"/>
      <c r="L2157" s="130">
        <v>45180</v>
      </c>
      <c r="M2157" s="107">
        <v>98.8</v>
      </c>
      <c r="N2157" s="107">
        <v>99.2</v>
      </c>
      <c r="O2157" s="107">
        <v>93.75</v>
      </c>
      <c r="P2157" s="107">
        <v>93.9</v>
      </c>
      <c r="Q2157" s="107">
        <v>98.8</v>
      </c>
      <c r="R2157">
        <v>49237004</v>
      </c>
    </row>
    <row r="2158" spans="1:18" x14ac:dyDescent="0.25">
      <c r="A2158" s="130">
        <v>45181</v>
      </c>
      <c r="B2158" s="107">
        <v>101.65</v>
      </c>
      <c r="C2158" s="107">
        <v>98.33</v>
      </c>
      <c r="D2158" s="107">
        <v>95.63</v>
      </c>
      <c r="E2158" s="107">
        <v>99.71</v>
      </c>
      <c r="F2158" s="107">
        <v>98.33</v>
      </c>
      <c r="G2158">
        <v>3604220</v>
      </c>
      <c r="H2158" s="107"/>
      <c r="I2158" s="107"/>
      <c r="L2158" s="130">
        <v>45181</v>
      </c>
      <c r="M2158" s="107">
        <v>98.45</v>
      </c>
      <c r="N2158" s="107">
        <v>101.7</v>
      </c>
      <c r="O2158" s="107">
        <v>95.4</v>
      </c>
      <c r="P2158" s="107">
        <v>100.1</v>
      </c>
      <c r="Q2158" s="107">
        <v>98.45</v>
      </c>
      <c r="R2158">
        <v>48918012</v>
      </c>
    </row>
    <row r="2159" spans="1:18" x14ac:dyDescent="0.25">
      <c r="A2159" s="130">
        <v>45182</v>
      </c>
      <c r="B2159" s="107">
        <v>104.7</v>
      </c>
      <c r="C2159" s="107">
        <v>103.67</v>
      </c>
      <c r="D2159" s="107">
        <v>96.72</v>
      </c>
      <c r="E2159" s="107">
        <v>98.33</v>
      </c>
      <c r="F2159" s="107">
        <v>103.67</v>
      </c>
      <c r="G2159">
        <v>1964068</v>
      </c>
      <c r="H2159" s="107"/>
      <c r="I2159" s="107"/>
      <c r="L2159" s="130">
        <v>45182</v>
      </c>
      <c r="M2159" s="107">
        <v>103.55</v>
      </c>
      <c r="N2159" s="107">
        <v>104.55</v>
      </c>
      <c r="O2159" s="107">
        <v>96.7</v>
      </c>
      <c r="P2159" s="107">
        <v>98.4</v>
      </c>
      <c r="Q2159" s="107">
        <v>103.55</v>
      </c>
      <c r="R2159">
        <v>51789143</v>
      </c>
    </row>
    <row r="2160" spans="1:18" x14ac:dyDescent="0.25">
      <c r="A2160" s="130">
        <v>45183</v>
      </c>
      <c r="B2160" s="107">
        <v>108.32</v>
      </c>
      <c r="C2160" s="107">
        <v>107.25</v>
      </c>
      <c r="D2160" s="107">
        <v>104.37</v>
      </c>
      <c r="E2160" s="107">
        <v>104.7</v>
      </c>
      <c r="F2160" s="107">
        <v>107.25</v>
      </c>
      <c r="G2160">
        <v>4073241</v>
      </c>
      <c r="H2160" s="107"/>
      <c r="I2160" s="107"/>
      <c r="L2160" s="130">
        <v>45183</v>
      </c>
      <c r="M2160" s="107">
        <v>107.25</v>
      </c>
      <c r="N2160" s="107">
        <v>108.4</v>
      </c>
      <c r="O2160" s="107">
        <v>104.65</v>
      </c>
      <c r="P2160" s="107">
        <v>105.1</v>
      </c>
      <c r="Q2160" s="107">
        <v>107.25</v>
      </c>
      <c r="R2160">
        <v>48219117</v>
      </c>
    </row>
    <row r="2161" spans="1:18" x14ac:dyDescent="0.25">
      <c r="A2161" s="130">
        <v>45184</v>
      </c>
      <c r="B2161" s="107">
        <v>109.44</v>
      </c>
      <c r="C2161" s="107">
        <v>105.86</v>
      </c>
      <c r="D2161" s="107">
        <v>104.46</v>
      </c>
      <c r="E2161" s="107">
        <v>107.51</v>
      </c>
      <c r="F2161" s="107">
        <v>105.86</v>
      </c>
      <c r="G2161">
        <v>2600943</v>
      </c>
      <c r="H2161" s="107"/>
      <c r="I2161" s="107"/>
      <c r="L2161" s="130">
        <v>45184</v>
      </c>
      <c r="M2161" s="107">
        <v>105.75</v>
      </c>
      <c r="N2161" s="107">
        <v>109.45</v>
      </c>
      <c r="O2161" s="107">
        <v>104.45</v>
      </c>
      <c r="P2161" s="107">
        <v>107.65</v>
      </c>
      <c r="Q2161" s="107">
        <v>105.75</v>
      </c>
      <c r="R2161">
        <v>31986443</v>
      </c>
    </row>
    <row r="2162" spans="1:18" x14ac:dyDescent="0.25">
      <c r="A2162" s="130">
        <v>45187</v>
      </c>
      <c r="B2162" s="107">
        <v>113.64</v>
      </c>
      <c r="C2162" s="107">
        <v>109.57</v>
      </c>
      <c r="D2162" s="107">
        <v>105.15</v>
      </c>
      <c r="E2162" s="107">
        <v>105.79</v>
      </c>
      <c r="F2162" s="107">
        <v>109.57</v>
      </c>
      <c r="G2162">
        <v>5250952</v>
      </c>
      <c r="H2162" s="107"/>
      <c r="I2162" s="107"/>
      <c r="L2162" s="130">
        <v>45187</v>
      </c>
      <c r="M2162" s="107">
        <v>109.7</v>
      </c>
      <c r="N2162" s="107">
        <v>113.7</v>
      </c>
      <c r="O2162" s="107">
        <v>105</v>
      </c>
      <c r="P2162" s="107">
        <v>105.55</v>
      </c>
      <c r="Q2162" s="107">
        <v>109.7</v>
      </c>
      <c r="R2162">
        <v>55632514</v>
      </c>
    </row>
    <row r="2163" spans="1:18" x14ac:dyDescent="0.25">
      <c r="A2163" s="130">
        <v>45189</v>
      </c>
      <c r="B2163" s="107">
        <v>114.02</v>
      </c>
      <c r="C2163" s="107">
        <v>105.93</v>
      </c>
      <c r="D2163" s="107">
        <v>105.15</v>
      </c>
      <c r="E2163" s="107">
        <v>109.7</v>
      </c>
      <c r="F2163" s="107">
        <v>105.93</v>
      </c>
      <c r="G2163">
        <v>2112880</v>
      </c>
      <c r="H2163" s="107"/>
      <c r="I2163" s="107"/>
      <c r="L2163" s="130">
        <v>45189</v>
      </c>
      <c r="M2163" s="107">
        <v>106.1</v>
      </c>
      <c r="N2163" s="107">
        <v>113.8</v>
      </c>
      <c r="O2163" s="107">
        <v>105.1</v>
      </c>
      <c r="P2163" s="107">
        <v>109.35</v>
      </c>
      <c r="Q2163" s="107">
        <v>106.1</v>
      </c>
      <c r="R2163">
        <v>38895249</v>
      </c>
    </row>
    <row r="2164" spans="1:18" x14ac:dyDescent="0.25">
      <c r="A2164" s="130">
        <v>45190</v>
      </c>
      <c r="B2164" s="107">
        <v>110.41</v>
      </c>
      <c r="C2164" s="107">
        <v>107.16</v>
      </c>
      <c r="D2164" s="107">
        <v>105.93</v>
      </c>
      <c r="E2164" s="107">
        <v>106.99</v>
      </c>
      <c r="F2164" s="107">
        <v>107.16</v>
      </c>
      <c r="G2164">
        <v>1710861</v>
      </c>
      <c r="H2164" s="107"/>
      <c r="I2164" s="107"/>
      <c r="L2164" s="130">
        <v>45190</v>
      </c>
      <c r="M2164" s="107">
        <v>107.3</v>
      </c>
      <c r="N2164" s="107">
        <v>110.4</v>
      </c>
      <c r="O2164" s="107">
        <v>105.95</v>
      </c>
      <c r="P2164" s="107">
        <v>106.65</v>
      </c>
      <c r="Q2164" s="107">
        <v>107.3</v>
      </c>
      <c r="R2164">
        <v>33573298</v>
      </c>
    </row>
    <row r="2165" spans="1:18" x14ac:dyDescent="0.25">
      <c r="A2165" s="130">
        <v>45191</v>
      </c>
      <c r="B2165" s="107">
        <v>111.74</v>
      </c>
      <c r="C2165" s="107">
        <v>109.17</v>
      </c>
      <c r="D2165" s="107">
        <v>107.52</v>
      </c>
      <c r="E2165" s="107">
        <v>107.81</v>
      </c>
      <c r="F2165" s="107">
        <v>109.17</v>
      </c>
      <c r="G2165">
        <v>1427374</v>
      </c>
      <c r="H2165" s="107"/>
      <c r="I2165" s="107"/>
      <c r="L2165" s="130">
        <v>45191</v>
      </c>
      <c r="M2165" s="107">
        <v>109.2</v>
      </c>
      <c r="N2165" s="107">
        <v>111.7</v>
      </c>
      <c r="O2165" s="107">
        <v>107.5</v>
      </c>
      <c r="P2165" s="107">
        <v>108.5</v>
      </c>
      <c r="Q2165" s="107">
        <v>109.2</v>
      </c>
      <c r="R2165">
        <v>24986113</v>
      </c>
    </row>
    <row r="2166" spans="1:18" x14ac:dyDescent="0.25">
      <c r="A2166" s="130">
        <v>45194</v>
      </c>
      <c r="B2166" s="107">
        <v>110.58</v>
      </c>
      <c r="C2166" s="107">
        <v>106.52</v>
      </c>
      <c r="D2166" s="107">
        <v>106</v>
      </c>
      <c r="E2166" s="107">
        <v>110.58</v>
      </c>
      <c r="F2166" s="107">
        <v>106.52</v>
      </c>
      <c r="G2166">
        <v>831481</v>
      </c>
      <c r="H2166" s="107"/>
      <c r="I2166" s="107"/>
      <c r="L2166" s="130">
        <v>45194</v>
      </c>
      <c r="M2166" s="107">
        <v>106.55</v>
      </c>
      <c r="N2166" s="107">
        <v>110.5</v>
      </c>
      <c r="O2166" s="107">
        <v>106.05</v>
      </c>
      <c r="P2166" s="107">
        <v>109.85</v>
      </c>
      <c r="Q2166" s="107">
        <v>106.55</v>
      </c>
      <c r="R2166">
        <v>14756857</v>
      </c>
    </row>
    <row r="2167" spans="1:18" x14ac:dyDescent="0.25">
      <c r="A2167" s="130">
        <v>45195</v>
      </c>
      <c r="B2167" s="107">
        <v>109.37</v>
      </c>
      <c r="C2167" s="107">
        <v>108.22</v>
      </c>
      <c r="D2167" s="107">
        <v>107</v>
      </c>
      <c r="E2167" s="107">
        <v>107.17</v>
      </c>
      <c r="F2167" s="107">
        <v>108.22</v>
      </c>
      <c r="G2167">
        <v>681939</v>
      </c>
      <c r="H2167" s="107"/>
      <c r="I2167" s="107"/>
      <c r="L2167" s="130">
        <v>45195</v>
      </c>
      <c r="M2167" s="107">
        <v>108.25</v>
      </c>
      <c r="N2167" s="107">
        <v>109.4</v>
      </c>
      <c r="O2167" s="107">
        <v>107</v>
      </c>
      <c r="P2167" s="107">
        <v>107</v>
      </c>
      <c r="Q2167" s="107">
        <v>108.25</v>
      </c>
      <c r="R2167">
        <v>13880012</v>
      </c>
    </row>
    <row r="2168" spans="1:18" x14ac:dyDescent="0.25">
      <c r="A2168" s="130">
        <v>45196</v>
      </c>
      <c r="B2168" s="107">
        <v>109.45</v>
      </c>
      <c r="C2168" s="107">
        <v>108.45</v>
      </c>
      <c r="D2168" s="107">
        <v>106.36</v>
      </c>
      <c r="E2168" s="107">
        <v>108.33</v>
      </c>
      <c r="F2168" s="107">
        <v>108.45</v>
      </c>
      <c r="G2168">
        <v>795181</v>
      </c>
      <c r="H2168" s="107"/>
      <c r="I2168" s="107"/>
      <c r="L2168" s="130">
        <v>45196</v>
      </c>
      <c r="M2168" s="107">
        <v>108.35</v>
      </c>
      <c r="N2168" s="107">
        <v>109.45</v>
      </c>
      <c r="O2168" s="107">
        <v>106.3</v>
      </c>
      <c r="P2168" s="107">
        <v>108.2</v>
      </c>
      <c r="Q2168" s="107">
        <v>108.35</v>
      </c>
      <c r="R2168">
        <v>14479172</v>
      </c>
    </row>
    <row r="2169" spans="1:18" x14ac:dyDescent="0.25">
      <c r="A2169" s="130">
        <v>45197</v>
      </c>
      <c r="B2169" s="107">
        <v>110.9</v>
      </c>
      <c r="C2169" s="107">
        <v>105.15</v>
      </c>
      <c r="D2169" s="107">
        <v>103.16</v>
      </c>
      <c r="E2169" s="107">
        <v>108.46</v>
      </c>
      <c r="F2169" s="107">
        <v>105.15</v>
      </c>
      <c r="G2169">
        <v>1830035</v>
      </c>
      <c r="H2169" s="107"/>
      <c r="I2169" s="107"/>
      <c r="L2169" s="130">
        <v>45197</v>
      </c>
      <c r="M2169" s="107">
        <v>105.05</v>
      </c>
      <c r="N2169" s="107">
        <v>110.95</v>
      </c>
      <c r="O2169" s="107">
        <v>103.1</v>
      </c>
      <c r="P2169" s="107">
        <v>108.8</v>
      </c>
      <c r="Q2169" s="107">
        <v>105.05</v>
      </c>
      <c r="R2169">
        <v>24324010</v>
      </c>
    </row>
    <row r="2170" spans="1:18" x14ac:dyDescent="0.25">
      <c r="A2170" s="130">
        <v>45198</v>
      </c>
      <c r="B2170" s="107">
        <v>110.1</v>
      </c>
      <c r="C2170" s="107">
        <v>109.41</v>
      </c>
      <c r="D2170" s="107">
        <v>106.26</v>
      </c>
      <c r="E2170" s="107">
        <v>106.39</v>
      </c>
      <c r="F2170" s="107">
        <v>109.41</v>
      </c>
      <c r="G2170">
        <v>1288510</v>
      </c>
      <c r="H2170" s="107"/>
      <c r="I2170" s="107"/>
      <c r="L2170" s="130">
        <v>45198</v>
      </c>
      <c r="M2170" s="107">
        <v>109.4</v>
      </c>
      <c r="N2170" s="107">
        <v>110.1</v>
      </c>
      <c r="O2170" s="107">
        <v>106</v>
      </c>
      <c r="P2170" s="107">
        <v>106</v>
      </c>
      <c r="Q2170" s="107">
        <v>109.4</v>
      </c>
      <c r="R2170">
        <v>13059779</v>
      </c>
    </row>
    <row r="2171" spans="1:18" x14ac:dyDescent="0.25">
      <c r="A2171" s="130">
        <v>45202</v>
      </c>
      <c r="B2171" s="107">
        <v>113</v>
      </c>
      <c r="C2171" s="107">
        <v>112.75</v>
      </c>
      <c r="D2171" s="107">
        <v>108.2</v>
      </c>
      <c r="E2171" s="107">
        <v>108.9</v>
      </c>
      <c r="F2171" s="107">
        <v>112.75</v>
      </c>
      <c r="G2171">
        <v>2017265</v>
      </c>
      <c r="H2171" s="107"/>
      <c r="I2171" s="107"/>
      <c r="L2171" s="130">
        <v>45202</v>
      </c>
      <c r="M2171" s="107">
        <v>112.8</v>
      </c>
      <c r="N2171" s="107">
        <v>113.1</v>
      </c>
      <c r="O2171" s="107">
        <v>108.2</v>
      </c>
      <c r="P2171" s="107">
        <v>108.5</v>
      </c>
      <c r="Q2171" s="107">
        <v>112.8</v>
      </c>
      <c r="R2171">
        <v>23964066</v>
      </c>
    </row>
    <row r="2172" spans="1:18" x14ac:dyDescent="0.25">
      <c r="A2172" s="130">
        <v>45203</v>
      </c>
      <c r="B2172" s="107">
        <v>113.8</v>
      </c>
      <c r="C2172" s="107">
        <v>109.9</v>
      </c>
      <c r="D2172" s="107">
        <v>108.1</v>
      </c>
      <c r="E2172" s="107">
        <v>112.65</v>
      </c>
      <c r="F2172" s="107">
        <v>109.9</v>
      </c>
      <c r="G2172">
        <v>1553385</v>
      </c>
      <c r="H2172" s="107"/>
      <c r="I2172" s="107"/>
      <c r="L2172" s="130">
        <v>45203</v>
      </c>
      <c r="M2172" s="107">
        <v>110</v>
      </c>
      <c r="N2172" s="107">
        <v>113.8</v>
      </c>
      <c r="O2172" s="107">
        <v>108.1</v>
      </c>
      <c r="P2172" s="107">
        <v>112.5</v>
      </c>
      <c r="Q2172" s="107">
        <v>110</v>
      </c>
      <c r="R2172">
        <v>23703834</v>
      </c>
    </row>
    <row r="2173" spans="1:18" x14ac:dyDescent="0.25">
      <c r="A2173" s="130">
        <v>45204</v>
      </c>
      <c r="B2173" s="107">
        <v>112.2</v>
      </c>
      <c r="C2173" s="107">
        <v>109.85</v>
      </c>
      <c r="D2173" s="107">
        <v>109.1</v>
      </c>
      <c r="E2173" s="107">
        <v>111.2</v>
      </c>
      <c r="F2173" s="107">
        <v>109.85</v>
      </c>
      <c r="G2173">
        <v>820111</v>
      </c>
      <c r="H2173" s="107"/>
      <c r="I2173" s="107"/>
      <c r="L2173" s="130">
        <v>45204</v>
      </c>
      <c r="M2173" s="107">
        <v>109.9</v>
      </c>
      <c r="N2173" s="107">
        <v>112.25</v>
      </c>
      <c r="O2173" s="107">
        <v>109.05</v>
      </c>
      <c r="P2173" s="107">
        <v>111</v>
      </c>
      <c r="Q2173" s="107">
        <v>109.9</v>
      </c>
      <c r="R2173">
        <v>13307549</v>
      </c>
    </row>
    <row r="2174" spans="1:18" x14ac:dyDescent="0.25">
      <c r="A2174" s="130">
        <v>45205</v>
      </c>
      <c r="B2174" s="107">
        <v>110.45</v>
      </c>
      <c r="C2174" s="107">
        <v>108.45</v>
      </c>
      <c r="D2174" s="107">
        <v>107.15</v>
      </c>
      <c r="E2174" s="107">
        <v>108.65</v>
      </c>
      <c r="F2174" s="107">
        <v>108.45</v>
      </c>
      <c r="G2174">
        <v>734295</v>
      </c>
      <c r="H2174" s="107"/>
      <c r="I2174" s="107"/>
      <c r="L2174" s="130">
        <v>45205</v>
      </c>
      <c r="M2174" s="107">
        <v>108.55</v>
      </c>
      <c r="N2174" s="107">
        <v>110.5</v>
      </c>
      <c r="O2174" s="107">
        <v>106.85</v>
      </c>
      <c r="P2174" s="107">
        <v>110</v>
      </c>
      <c r="Q2174" s="107">
        <v>108.55</v>
      </c>
      <c r="R2174">
        <v>10844920</v>
      </c>
    </row>
    <row r="2175" spans="1:18" x14ac:dyDescent="0.25">
      <c r="A2175" s="130">
        <v>45208</v>
      </c>
      <c r="B2175" s="107">
        <v>107.75</v>
      </c>
      <c r="C2175" s="107">
        <v>104.3</v>
      </c>
      <c r="D2175" s="107">
        <v>103.55</v>
      </c>
      <c r="E2175" s="107">
        <v>107.75</v>
      </c>
      <c r="F2175" s="107">
        <v>104.3</v>
      </c>
      <c r="G2175">
        <v>761874</v>
      </c>
      <c r="H2175" s="107"/>
      <c r="I2175" s="107"/>
      <c r="L2175" s="130">
        <v>45208</v>
      </c>
      <c r="M2175" s="107">
        <v>104.3</v>
      </c>
      <c r="N2175" s="107">
        <v>107.25</v>
      </c>
      <c r="O2175" s="107">
        <v>103.5</v>
      </c>
      <c r="P2175" s="107">
        <v>107</v>
      </c>
      <c r="Q2175" s="107">
        <v>104.3</v>
      </c>
      <c r="R2175">
        <v>11296760</v>
      </c>
    </row>
    <row r="2176" spans="1:18" x14ac:dyDescent="0.25">
      <c r="A2176" s="130">
        <v>45209</v>
      </c>
      <c r="B2176" s="107">
        <v>107.7</v>
      </c>
      <c r="C2176" s="107">
        <v>107.25</v>
      </c>
      <c r="D2176" s="107">
        <v>104.15</v>
      </c>
      <c r="E2176" s="107">
        <v>104.15</v>
      </c>
      <c r="F2176" s="107">
        <v>107.25</v>
      </c>
      <c r="G2176">
        <v>921725</v>
      </c>
      <c r="H2176" s="107"/>
      <c r="I2176" s="107"/>
      <c r="L2176" s="130">
        <v>45209</v>
      </c>
      <c r="M2176" s="107">
        <v>107.3</v>
      </c>
      <c r="N2176" s="107">
        <v>107.7</v>
      </c>
      <c r="O2176" s="107">
        <v>104.3</v>
      </c>
      <c r="P2176" s="107">
        <v>104.3</v>
      </c>
      <c r="Q2176" s="107">
        <v>107.3</v>
      </c>
      <c r="R2176">
        <v>9813428</v>
      </c>
    </row>
    <row r="2177" spans="1:18" x14ac:dyDescent="0.25">
      <c r="A2177" s="130">
        <v>45210</v>
      </c>
      <c r="B2177" s="107">
        <v>108.95</v>
      </c>
      <c r="C2177" s="107">
        <v>106.9</v>
      </c>
      <c r="D2177" s="107">
        <v>106.7</v>
      </c>
      <c r="E2177" s="107">
        <v>107.3</v>
      </c>
      <c r="F2177" s="107">
        <v>106.9</v>
      </c>
      <c r="G2177">
        <v>459080</v>
      </c>
      <c r="H2177" s="107"/>
      <c r="I2177" s="107"/>
      <c r="L2177" s="130">
        <v>45210</v>
      </c>
      <c r="M2177" s="107">
        <v>106.9</v>
      </c>
      <c r="N2177" s="107">
        <v>109</v>
      </c>
      <c r="O2177" s="107">
        <v>106.6</v>
      </c>
      <c r="P2177" s="107">
        <v>107.9</v>
      </c>
      <c r="Q2177" s="107">
        <v>106.9</v>
      </c>
      <c r="R2177">
        <v>8100970</v>
      </c>
    </row>
    <row r="2178" spans="1:18" x14ac:dyDescent="0.25">
      <c r="A2178" s="130">
        <v>45211</v>
      </c>
      <c r="B2178" s="107">
        <v>108.7</v>
      </c>
      <c r="C2178" s="107">
        <v>107.75</v>
      </c>
      <c r="D2178" s="107">
        <v>106.7</v>
      </c>
      <c r="E2178" s="107">
        <v>107.25</v>
      </c>
      <c r="F2178" s="107">
        <v>107.75</v>
      </c>
      <c r="G2178">
        <v>384749</v>
      </c>
      <c r="H2178" s="107"/>
      <c r="I2178" s="107"/>
      <c r="L2178" s="130">
        <v>45211</v>
      </c>
      <c r="M2178" s="107">
        <v>107.8</v>
      </c>
      <c r="N2178" s="107">
        <v>108.65</v>
      </c>
      <c r="O2178" s="107">
        <v>106.7</v>
      </c>
      <c r="P2178" s="107">
        <v>107.4</v>
      </c>
      <c r="Q2178" s="107">
        <v>107.8</v>
      </c>
      <c r="R2178">
        <v>5295195</v>
      </c>
    </row>
    <row r="2179" spans="1:18" x14ac:dyDescent="0.25">
      <c r="A2179" s="130">
        <v>45212</v>
      </c>
      <c r="B2179" s="107">
        <v>107.55</v>
      </c>
      <c r="C2179" s="107">
        <v>106.05</v>
      </c>
      <c r="D2179" s="107">
        <v>105.7</v>
      </c>
      <c r="E2179" s="107">
        <v>106.65</v>
      </c>
      <c r="F2179" s="107">
        <v>106.05</v>
      </c>
      <c r="G2179">
        <v>446269</v>
      </c>
      <c r="H2179" s="107"/>
      <c r="I2179" s="107"/>
      <c r="L2179" s="130">
        <v>45212</v>
      </c>
      <c r="M2179" s="107">
        <v>106.1</v>
      </c>
      <c r="N2179" s="107">
        <v>107.6</v>
      </c>
      <c r="O2179" s="107">
        <v>105.55</v>
      </c>
      <c r="P2179" s="107">
        <v>107</v>
      </c>
      <c r="Q2179" s="107">
        <v>106.1</v>
      </c>
      <c r="R2179">
        <v>5427301</v>
      </c>
    </row>
    <row r="2180" spans="1:18" x14ac:dyDescent="0.25">
      <c r="A2180" s="130">
        <v>45215</v>
      </c>
      <c r="B2180" s="107">
        <v>106.5</v>
      </c>
      <c r="C2180" s="107">
        <v>105.2</v>
      </c>
      <c r="D2180" s="107">
        <v>104.95</v>
      </c>
      <c r="E2180" s="107">
        <v>105.9</v>
      </c>
      <c r="F2180" s="107">
        <v>105.2</v>
      </c>
      <c r="G2180">
        <v>430882</v>
      </c>
      <c r="H2180" s="107"/>
      <c r="I2180" s="107"/>
      <c r="L2180" s="130">
        <v>45215</v>
      </c>
      <c r="M2180" s="107">
        <v>105.2</v>
      </c>
      <c r="N2180" s="107">
        <v>106.45</v>
      </c>
      <c r="O2180" s="107">
        <v>104.95</v>
      </c>
      <c r="P2180" s="107">
        <v>106</v>
      </c>
      <c r="Q2180" s="107">
        <v>105.2</v>
      </c>
      <c r="R2180">
        <v>6200368</v>
      </c>
    </row>
    <row r="2181" spans="1:18" x14ac:dyDescent="0.25">
      <c r="A2181" s="130">
        <v>45216</v>
      </c>
      <c r="B2181" s="107">
        <v>107.5</v>
      </c>
      <c r="C2181" s="107">
        <v>106</v>
      </c>
      <c r="D2181" s="107">
        <v>105.1</v>
      </c>
      <c r="E2181" s="107">
        <v>105.65</v>
      </c>
      <c r="F2181" s="107">
        <v>106</v>
      </c>
      <c r="G2181">
        <v>409100</v>
      </c>
      <c r="H2181" s="107"/>
      <c r="I2181" s="107"/>
      <c r="L2181" s="130">
        <v>45216</v>
      </c>
      <c r="M2181" s="107">
        <v>106.05</v>
      </c>
      <c r="N2181" s="107">
        <v>107.6</v>
      </c>
      <c r="O2181" s="107">
        <v>105.05</v>
      </c>
      <c r="P2181" s="107">
        <v>105.95</v>
      </c>
      <c r="Q2181" s="107">
        <v>106.05</v>
      </c>
      <c r="R2181">
        <v>5475020</v>
      </c>
    </row>
    <row r="2182" spans="1:18" x14ac:dyDescent="0.25">
      <c r="A2182" s="130">
        <v>45217</v>
      </c>
      <c r="B2182" s="107">
        <v>106.65</v>
      </c>
      <c r="C2182" s="107">
        <v>104.5</v>
      </c>
      <c r="D2182" s="107">
        <v>104.1</v>
      </c>
      <c r="E2182" s="107">
        <v>106.05</v>
      </c>
      <c r="F2182" s="107">
        <v>104.5</v>
      </c>
      <c r="G2182">
        <v>418329</v>
      </c>
      <c r="H2182" s="107"/>
      <c r="I2182" s="107"/>
      <c r="L2182" s="130">
        <v>45217</v>
      </c>
      <c r="M2182" s="107">
        <v>104.7</v>
      </c>
      <c r="N2182" s="107">
        <v>106.8</v>
      </c>
      <c r="O2182" s="107">
        <v>104.1</v>
      </c>
      <c r="P2182" s="107">
        <v>106.3</v>
      </c>
      <c r="Q2182" s="107">
        <v>104.7</v>
      </c>
      <c r="R2182">
        <v>4623981</v>
      </c>
    </row>
    <row r="2183" spans="1:18" x14ac:dyDescent="0.25">
      <c r="A2183" s="130">
        <v>45218</v>
      </c>
      <c r="B2183" s="107">
        <v>104.85</v>
      </c>
      <c r="C2183" s="107">
        <v>103.35</v>
      </c>
      <c r="D2183" s="107">
        <v>103</v>
      </c>
      <c r="E2183" s="107">
        <v>104.55</v>
      </c>
      <c r="F2183" s="107">
        <v>103.35</v>
      </c>
      <c r="G2183">
        <v>387603</v>
      </c>
      <c r="H2183" s="107"/>
      <c r="I2183" s="107"/>
      <c r="L2183" s="130">
        <v>45218</v>
      </c>
      <c r="M2183" s="107">
        <v>103.3</v>
      </c>
      <c r="N2183" s="107">
        <v>104.8</v>
      </c>
      <c r="O2183" s="107">
        <v>103</v>
      </c>
      <c r="P2183" s="107">
        <v>104.4</v>
      </c>
      <c r="Q2183" s="107">
        <v>103.3</v>
      </c>
      <c r="R2183">
        <v>6123613</v>
      </c>
    </row>
    <row r="2184" spans="1:18" x14ac:dyDescent="0.25">
      <c r="A2184" s="130">
        <v>45219</v>
      </c>
      <c r="B2184" s="107">
        <v>104.3</v>
      </c>
      <c r="C2184" s="107">
        <v>99.55</v>
      </c>
      <c r="D2184" s="107">
        <v>98.5</v>
      </c>
      <c r="E2184" s="107">
        <v>103.35</v>
      </c>
      <c r="F2184" s="107">
        <v>99.55</v>
      </c>
      <c r="G2184">
        <v>1227959</v>
      </c>
      <c r="H2184" s="107"/>
      <c r="I2184" s="107"/>
      <c r="L2184" s="130">
        <v>45219</v>
      </c>
      <c r="M2184" s="107">
        <v>99.6</v>
      </c>
      <c r="N2184" s="107">
        <v>104.3</v>
      </c>
      <c r="O2184" s="107">
        <v>98.4</v>
      </c>
      <c r="P2184" s="107">
        <v>103.25</v>
      </c>
      <c r="Q2184" s="107">
        <v>99.6</v>
      </c>
      <c r="R2184">
        <v>10264340</v>
      </c>
    </row>
    <row r="2185" spans="1:18" x14ac:dyDescent="0.25">
      <c r="A2185" s="130">
        <v>45222</v>
      </c>
      <c r="B2185" s="107">
        <v>100.65</v>
      </c>
      <c r="C2185" s="107">
        <v>90.8</v>
      </c>
      <c r="D2185" s="107">
        <v>89.4</v>
      </c>
      <c r="E2185" s="107">
        <v>99.6</v>
      </c>
      <c r="F2185" s="107">
        <v>90.8</v>
      </c>
      <c r="G2185">
        <v>1336342</v>
      </c>
      <c r="H2185" s="107"/>
      <c r="I2185" s="107"/>
      <c r="L2185" s="130">
        <v>45222</v>
      </c>
      <c r="M2185" s="107">
        <v>90.8</v>
      </c>
      <c r="N2185" s="107">
        <v>101.1</v>
      </c>
      <c r="O2185" s="107">
        <v>89.75</v>
      </c>
      <c r="P2185" s="107">
        <v>100</v>
      </c>
      <c r="Q2185" s="107">
        <v>90.8</v>
      </c>
      <c r="R2185">
        <v>22089801</v>
      </c>
    </row>
    <row r="2186" spans="1:18" x14ac:dyDescent="0.25">
      <c r="A2186" s="130">
        <v>45224</v>
      </c>
      <c r="B2186" s="107">
        <v>94.45</v>
      </c>
      <c r="C2186" s="107">
        <v>89.4</v>
      </c>
      <c r="D2186" s="107">
        <v>88.5</v>
      </c>
      <c r="E2186" s="107">
        <v>91.3</v>
      </c>
      <c r="F2186" s="107">
        <v>89.4</v>
      </c>
      <c r="G2186">
        <v>2175984</v>
      </c>
      <c r="H2186" s="107"/>
      <c r="I2186" s="107"/>
      <c r="L2186" s="130">
        <v>45224</v>
      </c>
      <c r="M2186" s="107">
        <v>89.35</v>
      </c>
      <c r="N2186" s="107">
        <v>94.6</v>
      </c>
      <c r="O2186" s="107">
        <v>88.5</v>
      </c>
      <c r="P2186" s="107">
        <v>91.7</v>
      </c>
      <c r="Q2186" s="107">
        <v>89.35</v>
      </c>
      <c r="R2186">
        <v>19966700</v>
      </c>
    </row>
    <row r="2187" spans="1:18" x14ac:dyDescent="0.25">
      <c r="A2187" s="130">
        <v>45225</v>
      </c>
      <c r="B2187" s="107">
        <v>91.45</v>
      </c>
      <c r="C2187" s="107">
        <v>90.35</v>
      </c>
      <c r="D2187" s="107">
        <v>86.4</v>
      </c>
      <c r="E2187" s="107">
        <v>89.35</v>
      </c>
      <c r="F2187" s="107">
        <v>90.35</v>
      </c>
      <c r="G2187">
        <v>1941468</v>
      </c>
      <c r="H2187" s="107"/>
      <c r="I2187" s="107"/>
      <c r="L2187" s="130">
        <v>45225</v>
      </c>
      <c r="M2187" s="107">
        <v>90.25</v>
      </c>
      <c r="N2187" s="107">
        <v>91.45</v>
      </c>
      <c r="O2187" s="107">
        <v>86.4</v>
      </c>
      <c r="P2187" s="107">
        <v>89.1</v>
      </c>
      <c r="Q2187" s="107">
        <v>90.25</v>
      </c>
      <c r="R2187">
        <v>17580514</v>
      </c>
    </row>
    <row r="2188" spans="1:18" x14ac:dyDescent="0.25">
      <c r="A2188" s="130">
        <v>45226</v>
      </c>
      <c r="B2188" s="107">
        <v>97.5</v>
      </c>
      <c r="C2188" s="107">
        <v>96.75</v>
      </c>
      <c r="D2188" s="107">
        <v>91.15</v>
      </c>
      <c r="E2188" s="107">
        <v>91.15</v>
      </c>
      <c r="F2188" s="107">
        <v>96.75</v>
      </c>
      <c r="G2188">
        <v>2349062</v>
      </c>
      <c r="H2188" s="107"/>
      <c r="I2188" s="107"/>
      <c r="L2188" s="130">
        <v>45226</v>
      </c>
      <c r="M2188" s="107">
        <v>96.8</v>
      </c>
      <c r="N2188" s="107">
        <v>97.55</v>
      </c>
      <c r="O2188" s="107">
        <v>91.25</v>
      </c>
      <c r="P2188" s="107">
        <v>91.25</v>
      </c>
      <c r="Q2188" s="107">
        <v>96.8</v>
      </c>
      <c r="R2188">
        <v>27867753</v>
      </c>
    </row>
    <row r="2189" spans="1:18" x14ac:dyDescent="0.25">
      <c r="A2189" s="130">
        <v>45229</v>
      </c>
      <c r="B2189" s="107">
        <v>97.55</v>
      </c>
      <c r="C2189" s="107">
        <v>95.75</v>
      </c>
      <c r="D2189" s="107">
        <v>94.75</v>
      </c>
      <c r="E2189" s="107">
        <v>97.55</v>
      </c>
      <c r="F2189" s="107">
        <v>95.75</v>
      </c>
      <c r="G2189">
        <v>724575</v>
      </c>
      <c r="H2189" s="107"/>
      <c r="I2189" s="107"/>
      <c r="L2189" s="130">
        <v>45229</v>
      </c>
      <c r="M2189" s="107">
        <v>95.65</v>
      </c>
      <c r="N2189" s="107">
        <v>97.45</v>
      </c>
      <c r="O2189" s="107">
        <v>94.7</v>
      </c>
      <c r="P2189" s="107">
        <v>97.3</v>
      </c>
      <c r="Q2189" s="107">
        <v>95.65</v>
      </c>
      <c r="R2189">
        <v>9072361</v>
      </c>
    </row>
    <row r="2190" spans="1:18" x14ac:dyDescent="0.25">
      <c r="A2190" s="130">
        <v>45230</v>
      </c>
      <c r="B2190" s="107">
        <v>99.1</v>
      </c>
      <c r="C2190" s="107">
        <v>95.85</v>
      </c>
      <c r="D2190" s="107">
        <v>95.5</v>
      </c>
      <c r="E2190" s="107">
        <v>96.95</v>
      </c>
      <c r="F2190" s="107">
        <v>95.85</v>
      </c>
      <c r="G2190">
        <v>925839</v>
      </c>
      <c r="H2190" s="107"/>
      <c r="I2190" s="107"/>
      <c r="L2190" s="130">
        <v>45230</v>
      </c>
      <c r="M2190" s="107">
        <v>95.85</v>
      </c>
      <c r="N2190" s="107">
        <v>99.1</v>
      </c>
      <c r="O2190" s="107">
        <v>95.4</v>
      </c>
      <c r="P2190" s="107">
        <v>96.6</v>
      </c>
      <c r="Q2190" s="107">
        <v>95.85</v>
      </c>
      <c r="R2190">
        <v>13279697</v>
      </c>
    </row>
    <row r="2191" spans="1:18" x14ac:dyDescent="0.25">
      <c r="A2191" s="130">
        <v>45231</v>
      </c>
      <c r="B2191" s="107">
        <v>98.7</v>
      </c>
      <c r="C2191" s="107">
        <v>98.05</v>
      </c>
      <c r="D2191" s="107">
        <v>95</v>
      </c>
      <c r="E2191" s="107">
        <v>96</v>
      </c>
      <c r="F2191" s="107">
        <v>98.05</v>
      </c>
      <c r="G2191">
        <v>765370</v>
      </c>
      <c r="H2191" s="107"/>
      <c r="I2191" s="107"/>
      <c r="L2191" s="130">
        <v>45231</v>
      </c>
      <c r="M2191" s="107">
        <v>98.05</v>
      </c>
      <c r="N2191" s="107">
        <v>98.7</v>
      </c>
      <c r="O2191" s="107">
        <v>95.05</v>
      </c>
      <c r="P2191" s="107">
        <v>96.05</v>
      </c>
      <c r="Q2191" s="107">
        <v>98.05</v>
      </c>
      <c r="R2191">
        <v>11806551</v>
      </c>
    </row>
    <row r="2192" spans="1:18" x14ac:dyDescent="0.25">
      <c r="A2192" s="130">
        <v>45232</v>
      </c>
      <c r="B2192" s="107">
        <v>102.27</v>
      </c>
      <c r="C2192" s="107">
        <v>100.08</v>
      </c>
      <c r="D2192" s="107">
        <v>98.82</v>
      </c>
      <c r="E2192" s="107">
        <v>98.82</v>
      </c>
      <c r="F2192" s="107">
        <v>100.08</v>
      </c>
      <c r="G2192">
        <v>637034</v>
      </c>
      <c r="H2192" s="107"/>
      <c r="I2192" s="107"/>
      <c r="L2192" s="130">
        <v>45232</v>
      </c>
      <c r="M2192" s="107">
        <v>100.1</v>
      </c>
      <c r="N2192" s="107">
        <v>102.35</v>
      </c>
      <c r="O2192" s="107">
        <v>99</v>
      </c>
      <c r="P2192" s="107">
        <v>99.3</v>
      </c>
      <c r="Q2192" s="107">
        <v>100.1</v>
      </c>
      <c r="R2192">
        <v>13718201</v>
      </c>
    </row>
    <row r="2193" spans="1:18" x14ac:dyDescent="0.25">
      <c r="A2193" s="130">
        <v>45233</v>
      </c>
      <c r="B2193" s="107">
        <v>101.73</v>
      </c>
      <c r="C2193" s="107">
        <v>99.04</v>
      </c>
      <c r="D2193" s="107">
        <v>98.41</v>
      </c>
      <c r="E2193" s="107">
        <v>101.01</v>
      </c>
      <c r="F2193" s="107">
        <v>99.04</v>
      </c>
      <c r="G2193">
        <v>535490</v>
      </c>
      <c r="H2193" s="107"/>
      <c r="I2193" s="107"/>
      <c r="L2193" s="130">
        <v>45233</v>
      </c>
      <c r="M2193" s="107">
        <v>99</v>
      </c>
      <c r="N2193" s="107">
        <v>101.7</v>
      </c>
      <c r="O2193" s="107">
        <v>98.4</v>
      </c>
      <c r="P2193" s="107">
        <v>101.2</v>
      </c>
      <c r="Q2193" s="107">
        <v>99</v>
      </c>
      <c r="R2193">
        <v>9467653</v>
      </c>
    </row>
    <row r="2194" spans="1:18" x14ac:dyDescent="0.25">
      <c r="A2194" s="130">
        <v>45236</v>
      </c>
      <c r="B2194" s="107">
        <v>101.99</v>
      </c>
      <c r="C2194" s="107">
        <v>100.87</v>
      </c>
      <c r="D2194" s="107">
        <v>100.1</v>
      </c>
      <c r="E2194" s="107">
        <v>101.4</v>
      </c>
      <c r="F2194" s="107">
        <v>100.87</v>
      </c>
      <c r="G2194">
        <v>953056</v>
      </c>
      <c r="H2194" s="107"/>
      <c r="I2194" s="107"/>
      <c r="L2194" s="130">
        <v>45236</v>
      </c>
      <c r="M2194" s="107">
        <v>100.9</v>
      </c>
      <c r="N2194" s="107">
        <v>102</v>
      </c>
      <c r="O2194" s="107">
        <v>100.1</v>
      </c>
      <c r="P2194" s="107">
        <v>101.9</v>
      </c>
      <c r="Q2194" s="107">
        <v>100.9</v>
      </c>
      <c r="R2194">
        <v>11697575</v>
      </c>
    </row>
    <row r="2195" spans="1:18" x14ac:dyDescent="0.25">
      <c r="A2195" s="130">
        <v>45237</v>
      </c>
      <c r="B2195" s="107">
        <v>103.82</v>
      </c>
      <c r="C2195" s="107">
        <v>103.15</v>
      </c>
      <c r="D2195" s="107">
        <v>100.41</v>
      </c>
      <c r="E2195" s="107">
        <v>100.61</v>
      </c>
      <c r="F2195" s="107">
        <v>103.15</v>
      </c>
      <c r="G2195">
        <v>483464</v>
      </c>
      <c r="H2195" s="107"/>
      <c r="I2195" s="107"/>
      <c r="L2195" s="130">
        <v>45237</v>
      </c>
      <c r="M2195" s="107">
        <v>103.2</v>
      </c>
      <c r="N2195" s="107">
        <v>103.9</v>
      </c>
      <c r="O2195" s="107">
        <v>100.4</v>
      </c>
      <c r="P2195" s="107">
        <v>101</v>
      </c>
      <c r="Q2195" s="107">
        <v>103.2</v>
      </c>
      <c r="R2195">
        <v>11403064</v>
      </c>
    </row>
    <row r="2196" spans="1:18" x14ac:dyDescent="0.25">
      <c r="A2196" s="130">
        <v>45238</v>
      </c>
      <c r="B2196" s="107">
        <v>105.3</v>
      </c>
      <c r="C2196" s="107">
        <v>103.8</v>
      </c>
      <c r="D2196" s="107">
        <v>103.45</v>
      </c>
      <c r="E2196" s="107">
        <v>103.79</v>
      </c>
      <c r="F2196" s="107">
        <v>103.8</v>
      </c>
      <c r="G2196">
        <v>400421</v>
      </c>
      <c r="H2196" s="107"/>
      <c r="I2196" s="107"/>
      <c r="L2196" s="130">
        <v>45238</v>
      </c>
      <c r="M2196" s="107">
        <v>103.9</v>
      </c>
      <c r="N2196" s="107">
        <v>105.4</v>
      </c>
      <c r="O2196" s="107">
        <v>103.45</v>
      </c>
      <c r="P2196" s="107">
        <v>103.7</v>
      </c>
      <c r="Q2196" s="107">
        <v>103.9</v>
      </c>
      <c r="R2196">
        <v>7833095</v>
      </c>
    </row>
    <row r="2197" spans="1:18" x14ac:dyDescent="0.25">
      <c r="A2197" s="130">
        <v>45239</v>
      </c>
      <c r="B2197" s="107">
        <v>105.48</v>
      </c>
      <c r="C2197" s="107">
        <v>103.86</v>
      </c>
      <c r="D2197" s="107">
        <v>103.5</v>
      </c>
      <c r="E2197" s="107">
        <v>104.25</v>
      </c>
      <c r="F2197" s="107">
        <v>103.86</v>
      </c>
      <c r="G2197">
        <v>301470</v>
      </c>
      <c r="H2197" s="107"/>
      <c r="I2197" s="107"/>
      <c r="L2197" s="130">
        <v>45239</v>
      </c>
      <c r="M2197" s="107">
        <v>103.95</v>
      </c>
      <c r="N2197" s="107">
        <v>105.5</v>
      </c>
      <c r="O2197" s="107">
        <v>103.6</v>
      </c>
      <c r="P2197" s="107">
        <v>104.3</v>
      </c>
      <c r="Q2197" s="107">
        <v>103.95</v>
      </c>
      <c r="R2197">
        <v>7545149</v>
      </c>
    </row>
    <row r="2198" spans="1:18" x14ac:dyDescent="0.25">
      <c r="A2198" s="130">
        <v>45240</v>
      </c>
      <c r="B2198" s="107">
        <v>103.95</v>
      </c>
      <c r="C2198" s="107">
        <v>102.98</v>
      </c>
      <c r="D2198" s="107">
        <v>102.51</v>
      </c>
      <c r="E2198" s="107">
        <v>103.95</v>
      </c>
      <c r="F2198" s="107">
        <v>102.98</v>
      </c>
      <c r="G2198">
        <v>238940</v>
      </c>
      <c r="H2198" s="107"/>
      <c r="I2198" s="107"/>
      <c r="L2198" s="130">
        <v>45240</v>
      </c>
      <c r="M2198" s="107">
        <v>103</v>
      </c>
      <c r="N2198" s="107">
        <v>103.8</v>
      </c>
      <c r="O2198" s="107">
        <v>102.5</v>
      </c>
      <c r="P2198" s="107">
        <v>103.7</v>
      </c>
      <c r="Q2198" s="107">
        <v>103</v>
      </c>
      <c r="R2198">
        <v>5236922</v>
      </c>
    </row>
    <row r="2199" spans="1:18" x14ac:dyDescent="0.25">
      <c r="A2199" s="130">
        <v>45242</v>
      </c>
      <c r="B2199" s="107">
        <v>104.67</v>
      </c>
      <c r="C2199" s="107">
        <v>104.07</v>
      </c>
      <c r="D2199" s="107">
        <v>103.9</v>
      </c>
      <c r="E2199" s="107">
        <v>104.34</v>
      </c>
      <c r="F2199" s="107">
        <v>104.07</v>
      </c>
      <c r="G2199">
        <v>93813</v>
      </c>
      <c r="H2199" s="107"/>
      <c r="I2199" s="107"/>
      <c r="L2199" s="130">
        <v>45242</v>
      </c>
      <c r="M2199" s="107">
        <v>104.15</v>
      </c>
      <c r="N2199" s="107">
        <v>104.55</v>
      </c>
      <c r="O2199" s="107">
        <v>103.65</v>
      </c>
      <c r="P2199" s="107">
        <v>103.9</v>
      </c>
      <c r="Q2199" s="107">
        <v>104.15</v>
      </c>
      <c r="R2199">
        <v>1425105</v>
      </c>
    </row>
    <row r="2200" spans="1:18" x14ac:dyDescent="0.25">
      <c r="A2200" s="130">
        <v>45243</v>
      </c>
      <c r="B2200" s="107">
        <v>108.25</v>
      </c>
      <c r="C2200" s="107">
        <v>107.4</v>
      </c>
      <c r="D2200" s="107">
        <v>102.65</v>
      </c>
      <c r="E2200" s="107">
        <v>104.07</v>
      </c>
      <c r="F2200" s="107">
        <v>107.4</v>
      </c>
      <c r="G2200">
        <v>1247620</v>
      </c>
      <c r="H2200" s="107"/>
      <c r="I2200" s="107"/>
      <c r="L2200" s="130">
        <v>45243</v>
      </c>
      <c r="M2200" s="107">
        <v>107.4</v>
      </c>
      <c r="N2200" s="107">
        <v>108.2</v>
      </c>
      <c r="O2200" s="107">
        <v>102.65</v>
      </c>
      <c r="P2200" s="107">
        <v>104.15</v>
      </c>
      <c r="Q2200" s="107">
        <v>107.4</v>
      </c>
      <c r="R2200">
        <v>21374622</v>
      </c>
    </row>
    <row r="2201" spans="1:18" x14ac:dyDescent="0.25">
      <c r="A2201" s="130">
        <v>45245</v>
      </c>
      <c r="B2201" s="107">
        <v>110.75</v>
      </c>
      <c r="C2201" s="107">
        <v>107.94</v>
      </c>
      <c r="D2201" s="107">
        <v>107.69</v>
      </c>
      <c r="E2201" s="107">
        <v>108.4</v>
      </c>
      <c r="F2201" s="107">
        <v>107.94</v>
      </c>
      <c r="G2201">
        <v>1098753</v>
      </c>
      <c r="H2201" s="107"/>
      <c r="I2201" s="107"/>
      <c r="L2201" s="130">
        <v>45245</v>
      </c>
      <c r="M2201" s="107">
        <v>108</v>
      </c>
      <c r="N2201" s="107">
        <v>110.8</v>
      </c>
      <c r="O2201" s="107">
        <v>107.6</v>
      </c>
      <c r="P2201" s="107">
        <v>109.1</v>
      </c>
      <c r="Q2201" s="107">
        <v>108</v>
      </c>
      <c r="R2201">
        <v>13710851</v>
      </c>
    </row>
    <row r="2202" spans="1:18" x14ac:dyDescent="0.25">
      <c r="A2202" s="130">
        <v>45246</v>
      </c>
      <c r="B2202" s="107">
        <v>108.24</v>
      </c>
      <c r="C2202" s="107">
        <v>106.66</v>
      </c>
      <c r="D2202" s="107">
        <v>106.22</v>
      </c>
      <c r="E2202" s="107">
        <v>108.01</v>
      </c>
      <c r="F2202" s="107">
        <v>106.66</v>
      </c>
      <c r="G2202">
        <v>310173</v>
      </c>
      <c r="H2202" s="107"/>
      <c r="I2202" s="107"/>
      <c r="L2202" s="130">
        <v>45246</v>
      </c>
      <c r="M2202" s="107">
        <v>106.7</v>
      </c>
      <c r="N2202" s="107">
        <v>108.2</v>
      </c>
      <c r="O2202" s="107">
        <v>106</v>
      </c>
      <c r="P2202" s="107">
        <v>108.2</v>
      </c>
      <c r="Q2202" s="107">
        <v>106.7</v>
      </c>
      <c r="R2202">
        <v>5727373</v>
      </c>
    </row>
    <row r="2203" spans="1:18" x14ac:dyDescent="0.25">
      <c r="A2203" s="130">
        <v>45247</v>
      </c>
      <c r="B2203" s="107">
        <v>105.4</v>
      </c>
      <c r="C2203" s="107">
        <v>104.01</v>
      </c>
      <c r="D2203" s="107">
        <v>103.58</v>
      </c>
      <c r="E2203" s="107">
        <v>105</v>
      </c>
      <c r="F2203" s="107">
        <v>104.01</v>
      </c>
      <c r="G2203">
        <v>693522</v>
      </c>
      <c r="H2203" s="107"/>
      <c r="I2203" s="107"/>
      <c r="L2203" s="130">
        <v>45247</v>
      </c>
      <c r="M2203" s="107">
        <v>103.95</v>
      </c>
      <c r="N2203" s="107">
        <v>105.45</v>
      </c>
      <c r="O2203" s="107">
        <v>103.35</v>
      </c>
      <c r="P2203" s="107">
        <v>104.9</v>
      </c>
      <c r="Q2203" s="107">
        <v>103.95</v>
      </c>
      <c r="R2203">
        <v>8836732</v>
      </c>
    </row>
    <row r="2204" spans="1:18" x14ac:dyDescent="0.25">
      <c r="A2204" s="130">
        <v>45250</v>
      </c>
      <c r="B2204" s="107">
        <v>106.08</v>
      </c>
      <c r="C2204" s="107">
        <v>104.51</v>
      </c>
      <c r="D2204" s="107">
        <v>103.85</v>
      </c>
      <c r="E2204" s="107">
        <v>104.07</v>
      </c>
      <c r="F2204" s="107">
        <v>104.51</v>
      </c>
      <c r="G2204">
        <v>632700</v>
      </c>
      <c r="H2204" s="107"/>
      <c r="I2204" s="107"/>
      <c r="L2204" s="130">
        <v>45250</v>
      </c>
      <c r="M2204" s="107">
        <v>104.55</v>
      </c>
      <c r="N2204" s="107">
        <v>106.1</v>
      </c>
      <c r="O2204" s="107">
        <v>103.9</v>
      </c>
      <c r="P2204" s="107">
        <v>104.2</v>
      </c>
      <c r="Q2204" s="107">
        <v>104.55</v>
      </c>
      <c r="R2204">
        <v>6618098</v>
      </c>
    </row>
    <row r="2205" spans="1:18" x14ac:dyDescent="0.25">
      <c r="A2205" s="130">
        <v>45251</v>
      </c>
      <c r="B2205" s="107">
        <v>105.75</v>
      </c>
      <c r="C2205" s="107">
        <v>105.11</v>
      </c>
      <c r="D2205" s="107">
        <v>104.42</v>
      </c>
      <c r="E2205" s="107">
        <v>105.39</v>
      </c>
      <c r="F2205" s="107">
        <v>105.11</v>
      </c>
      <c r="G2205">
        <v>248002</v>
      </c>
      <c r="H2205" s="107"/>
      <c r="I2205" s="107"/>
      <c r="L2205" s="130">
        <v>45251</v>
      </c>
      <c r="M2205" s="107">
        <v>105.15</v>
      </c>
      <c r="N2205" s="107">
        <v>105.9</v>
      </c>
      <c r="O2205" s="107">
        <v>104.4</v>
      </c>
      <c r="P2205" s="107">
        <v>105.15</v>
      </c>
      <c r="Q2205" s="107">
        <v>105.15</v>
      </c>
      <c r="R2205">
        <v>6732684</v>
      </c>
    </row>
    <row r="2206" spans="1:18" x14ac:dyDescent="0.25">
      <c r="A2206" s="130">
        <v>45252</v>
      </c>
      <c r="B2206" s="107">
        <v>105.2</v>
      </c>
      <c r="C2206" s="107">
        <v>104.02</v>
      </c>
      <c r="D2206" s="107">
        <v>103.6</v>
      </c>
      <c r="E2206" s="107">
        <v>105.16</v>
      </c>
      <c r="F2206" s="107">
        <v>104.02</v>
      </c>
      <c r="G2206">
        <v>181472</v>
      </c>
      <c r="H2206" s="107"/>
      <c r="I2206" s="107"/>
      <c r="L2206" s="130">
        <v>45252</v>
      </c>
      <c r="M2206" s="107">
        <v>104</v>
      </c>
      <c r="N2206" s="107">
        <v>105.3</v>
      </c>
      <c r="O2206" s="107">
        <v>103.55</v>
      </c>
      <c r="P2206" s="107">
        <v>105.3</v>
      </c>
      <c r="Q2206" s="107">
        <v>104</v>
      </c>
      <c r="R2206">
        <v>9377801</v>
      </c>
    </row>
    <row r="2207" spans="1:18" x14ac:dyDescent="0.25">
      <c r="A2207" s="130">
        <v>45253</v>
      </c>
      <c r="B2207" s="107">
        <v>105</v>
      </c>
      <c r="C2207" s="107">
        <v>104.1</v>
      </c>
      <c r="D2207" s="107">
        <v>103.68</v>
      </c>
      <c r="E2207" s="107">
        <v>104.79</v>
      </c>
      <c r="F2207" s="107">
        <v>104.1</v>
      </c>
      <c r="G2207">
        <v>351575</v>
      </c>
      <c r="H2207" s="107"/>
      <c r="I2207" s="107"/>
      <c r="L2207" s="130">
        <v>45253</v>
      </c>
      <c r="M2207" s="107">
        <v>104.15</v>
      </c>
      <c r="N2207" s="107">
        <v>105.05</v>
      </c>
      <c r="O2207" s="107">
        <v>103.85</v>
      </c>
      <c r="P2207" s="107">
        <v>104.5</v>
      </c>
      <c r="Q2207" s="107">
        <v>104.15</v>
      </c>
      <c r="R2207">
        <v>3203905</v>
      </c>
    </row>
    <row r="2208" spans="1:18" x14ac:dyDescent="0.25">
      <c r="A2208" s="130">
        <v>45254</v>
      </c>
      <c r="B2208" s="107">
        <v>105.1</v>
      </c>
      <c r="C2208" s="107">
        <v>103.44</v>
      </c>
      <c r="D2208" s="107">
        <v>103.2</v>
      </c>
      <c r="E2208" s="107">
        <v>104.16</v>
      </c>
      <c r="F2208" s="107">
        <v>103.44</v>
      </c>
      <c r="G2208">
        <v>159378</v>
      </c>
      <c r="H2208" s="107"/>
      <c r="I2208" s="107"/>
      <c r="L2208" s="130">
        <v>45254</v>
      </c>
      <c r="M2208" s="107">
        <v>103.55</v>
      </c>
      <c r="N2208" s="107">
        <v>105.15</v>
      </c>
      <c r="O2208" s="107">
        <v>103.1</v>
      </c>
      <c r="P2208" s="107">
        <v>104.45</v>
      </c>
      <c r="Q2208" s="107">
        <v>103.55</v>
      </c>
      <c r="R2208">
        <v>3629578</v>
      </c>
    </row>
    <row r="2209" spans="1:18" x14ac:dyDescent="0.25">
      <c r="A2209" s="130">
        <v>45258</v>
      </c>
      <c r="B2209" s="107">
        <v>106.73</v>
      </c>
      <c r="C2209" s="107">
        <v>105.09</v>
      </c>
      <c r="D2209" s="107">
        <v>102.93</v>
      </c>
      <c r="E2209" s="107">
        <v>103.51</v>
      </c>
      <c r="F2209" s="107">
        <v>105.09</v>
      </c>
      <c r="G2209">
        <v>371495</v>
      </c>
      <c r="H2209" s="107"/>
      <c r="I2209" s="107"/>
      <c r="L2209" s="130">
        <v>45258</v>
      </c>
      <c r="M2209" s="107">
        <v>105.1</v>
      </c>
      <c r="N2209" s="107">
        <v>106.7</v>
      </c>
      <c r="O2209" s="107">
        <v>102.9</v>
      </c>
      <c r="P2209" s="107">
        <v>103.55</v>
      </c>
      <c r="Q2209" s="107">
        <v>105.1</v>
      </c>
      <c r="R2209">
        <v>7248889</v>
      </c>
    </row>
    <row r="2210" spans="1:18" x14ac:dyDescent="0.25">
      <c r="A2210" s="130">
        <v>45259</v>
      </c>
      <c r="B2210" s="107">
        <v>106.65</v>
      </c>
      <c r="C2210" s="107">
        <v>105.92</v>
      </c>
      <c r="D2210" s="107">
        <v>105.4</v>
      </c>
      <c r="E2210" s="107">
        <v>105.9</v>
      </c>
      <c r="F2210" s="107">
        <v>105.92</v>
      </c>
      <c r="G2210">
        <v>215008</v>
      </c>
      <c r="H2210" s="107"/>
      <c r="I2210" s="107"/>
      <c r="L2210" s="130">
        <v>45259</v>
      </c>
      <c r="M2210" s="107">
        <v>105.85</v>
      </c>
      <c r="N2210" s="107">
        <v>106.7</v>
      </c>
      <c r="O2210" s="107">
        <v>105.35</v>
      </c>
      <c r="P2210" s="107">
        <v>105.95</v>
      </c>
      <c r="Q2210" s="107">
        <v>105.85</v>
      </c>
      <c r="R2210">
        <v>5188935</v>
      </c>
    </row>
    <row r="2211" spans="1:18" x14ac:dyDescent="0.25">
      <c r="A2211" s="130">
        <v>45260</v>
      </c>
      <c r="B2211" s="107">
        <v>106.25</v>
      </c>
      <c r="C2211" s="107">
        <v>103.86</v>
      </c>
      <c r="D2211" s="107">
        <v>103.5</v>
      </c>
      <c r="E2211" s="107">
        <v>106.25</v>
      </c>
      <c r="F2211" s="107">
        <v>103.86</v>
      </c>
      <c r="G2211">
        <v>390043</v>
      </c>
      <c r="H2211" s="107"/>
      <c r="I2211" s="107"/>
      <c r="L2211" s="130">
        <v>45260</v>
      </c>
      <c r="M2211" s="107">
        <v>103.75</v>
      </c>
      <c r="N2211" s="107">
        <v>106.3</v>
      </c>
      <c r="O2211" s="107">
        <v>103.5</v>
      </c>
      <c r="P2211" s="107">
        <v>105.95</v>
      </c>
      <c r="Q2211" s="107">
        <v>103.75</v>
      </c>
      <c r="R2211">
        <v>4169016</v>
      </c>
    </row>
    <row r="2212" spans="1:18" x14ac:dyDescent="0.25">
      <c r="A2212" s="130">
        <v>45261</v>
      </c>
      <c r="B2212" s="107">
        <v>109.05</v>
      </c>
      <c r="C2212" s="107">
        <v>107.55</v>
      </c>
      <c r="D2212" s="107">
        <v>104.3</v>
      </c>
      <c r="E2212" s="107">
        <v>104.95</v>
      </c>
      <c r="F2212" s="107">
        <v>107.55</v>
      </c>
      <c r="G2212">
        <v>1864111</v>
      </c>
      <c r="H2212" s="107"/>
      <c r="I2212" s="107"/>
      <c r="L2212" s="130">
        <v>45261</v>
      </c>
      <c r="M2212" s="107">
        <v>107.5</v>
      </c>
      <c r="N2212" s="107">
        <v>109.05</v>
      </c>
      <c r="O2212" s="107">
        <v>104.2</v>
      </c>
      <c r="P2212" s="107">
        <v>104.5</v>
      </c>
      <c r="Q2212" s="107">
        <v>107.5</v>
      </c>
      <c r="R2212">
        <v>23926731</v>
      </c>
    </row>
    <row r="2213" spans="1:18" x14ac:dyDescent="0.25">
      <c r="A2213" s="130">
        <v>45264</v>
      </c>
      <c r="B2213" s="107">
        <v>111.6</v>
      </c>
      <c r="C2213" s="107">
        <v>109.2</v>
      </c>
      <c r="D2213" s="107">
        <v>108.6</v>
      </c>
      <c r="E2213" s="107">
        <v>111.15</v>
      </c>
      <c r="F2213" s="107">
        <v>109.2</v>
      </c>
      <c r="G2213">
        <v>1795434</v>
      </c>
      <c r="H2213" s="107"/>
      <c r="I2213" s="107"/>
      <c r="L2213" s="130">
        <v>45264</v>
      </c>
      <c r="M2213" s="107">
        <v>109.2</v>
      </c>
      <c r="N2213" s="107">
        <v>112</v>
      </c>
      <c r="O2213" s="107">
        <v>108.6</v>
      </c>
      <c r="P2213" s="107">
        <v>112</v>
      </c>
      <c r="Q2213" s="107">
        <v>109.2</v>
      </c>
      <c r="R2213">
        <v>22576787</v>
      </c>
    </row>
    <row r="2214" spans="1:18" x14ac:dyDescent="0.25">
      <c r="A2214" s="130">
        <v>45265</v>
      </c>
      <c r="B2214" s="107">
        <v>111.75</v>
      </c>
      <c r="C2214" s="107">
        <v>110.15</v>
      </c>
      <c r="D2214" s="107">
        <v>108.9</v>
      </c>
      <c r="E2214" s="107">
        <v>111</v>
      </c>
      <c r="F2214" s="107">
        <v>110.15</v>
      </c>
      <c r="G2214">
        <v>1928582</v>
      </c>
      <c r="H2214" s="107"/>
      <c r="I2214" s="107"/>
      <c r="L2214" s="130">
        <v>45265</v>
      </c>
      <c r="M2214" s="107">
        <v>110.2</v>
      </c>
      <c r="N2214" s="107">
        <v>111.8</v>
      </c>
      <c r="O2214" s="107">
        <v>108.8</v>
      </c>
      <c r="P2214" s="107">
        <v>110.9</v>
      </c>
      <c r="Q2214" s="107">
        <v>110.2</v>
      </c>
      <c r="R2214">
        <v>17447010</v>
      </c>
    </row>
    <row r="2215" spans="1:18" x14ac:dyDescent="0.25">
      <c r="A2215" s="130">
        <v>45266</v>
      </c>
      <c r="B2215" s="107">
        <v>118</v>
      </c>
      <c r="C2215" s="107">
        <v>116.8</v>
      </c>
      <c r="D2215" s="107">
        <v>110.1</v>
      </c>
      <c r="E2215" s="107">
        <v>112.05</v>
      </c>
      <c r="F2215" s="107">
        <v>116.8</v>
      </c>
      <c r="G2215">
        <v>3011164</v>
      </c>
      <c r="H2215" s="107"/>
      <c r="I2215" s="107"/>
      <c r="L2215" s="130">
        <v>45266</v>
      </c>
      <c r="M2215" s="107">
        <v>116.65</v>
      </c>
      <c r="N2215" s="107">
        <v>117.7</v>
      </c>
      <c r="O2215" s="107">
        <v>110.1</v>
      </c>
      <c r="P2215" s="107">
        <v>112.8</v>
      </c>
      <c r="Q2215" s="107">
        <v>116.65</v>
      </c>
      <c r="R2215">
        <v>48116745</v>
      </c>
    </row>
    <row r="2216" spans="1:18" x14ac:dyDescent="0.25">
      <c r="A2216" s="130">
        <v>45267</v>
      </c>
      <c r="B2216" s="107">
        <v>118.5</v>
      </c>
      <c r="C2216" s="107">
        <v>113.6</v>
      </c>
      <c r="D2216" s="107">
        <v>113</v>
      </c>
      <c r="E2216" s="107">
        <v>117.05</v>
      </c>
      <c r="F2216" s="107">
        <v>113.6</v>
      </c>
      <c r="G2216">
        <v>2053682</v>
      </c>
      <c r="H2216" s="107"/>
      <c r="I2216" s="107"/>
      <c r="L2216" s="130">
        <v>45267</v>
      </c>
      <c r="M2216" s="107">
        <v>113.7</v>
      </c>
      <c r="N2216" s="107">
        <v>118.25</v>
      </c>
      <c r="O2216" s="107">
        <v>113.25</v>
      </c>
      <c r="P2216" s="107">
        <v>118</v>
      </c>
      <c r="Q2216" s="107">
        <v>113.7</v>
      </c>
      <c r="R2216">
        <v>29741220</v>
      </c>
    </row>
    <row r="2217" spans="1:18" x14ac:dyDescent="0.25">
      <c r="A2217" s="130">
        <v>45268</v>
      </c>
      <c r="B2217" s="107">
        <v>116.05</v>
      </c>
      <c r="C2217" s="107">
        <v>114.3</v>
      </c>
      <c r="D2217" s="107">
        <v>112.4</v>
      </c>
      <c r="E2217" s="107">
        <v>113.85</v>
      </c>
      <c r="F2217" s="107">
        <v>114.3</v>
      </c>
      <c r="G2217">
        <v>1226090</v>
      </c>
      <c r="H2217" s="107"/>
      <c r="I2217" s="107"/>
      <c r="L2217" s="130">
        <v>45268</v>
      </c>
      <c r="M2217" s="107">
        <v>114.3</v>
      </c>
      <c r="N2217" s="107">
        <v>116.1</v>
      </c>
      <c r="O2217" s="107">
        <v>112.4</v>
      </c>
      <c r="P2217" s="107">
        <v>113.95</v>
      </c>
      <c r="Q2217" s="107">
        <v>114.3</v>
      </c>
      <c r="R2217">
        <v>17984221</v>
      </c>
    </row>
    <row r="2218" spans="1:18" x14ac:dyDescent="0.25">
      <c r="A2218" s="130">
        <v>45271</v>
      </c>
      <c r="B2218" s="107">
        <v>120</v>
      </c>
      <c r="C2218" s="107">
        <v>118.4</v>
      </c>
      <c r="D2218" s="107">
        <v>114.9</v>
      </c>
      <c r="E2218" s="107">
        <v>115</v>
      </c>
      <c r="F2218" s="107">
        <v>118.4</v>
      </c>
      <c r="G2218">
        <v>3220715</v>
      </c>
      <c r="H2218" s="107"/>
      <c r="I2218" s="107"/>
      <c r="L2218" s="130">
        <v>45271</v>
      </c>
      <c r="M2218" s="107">
        <v>118.45</v>
      </c>
      <c r="N2218" s="107">
        <v>120</v>
      </c>
      <c r="O2218" s="107">
        <v>114.85</v>
      </c>
      <c r="P2218" s="107">
        <v>114.9</v>
      </c>
      <c r="Q2218" s="107">
        <v>118.45</v>
      </c>
      <c r="R2218">
        <v>31923235</v>
      </c>
    </row>
    <row r="2219" spans="1:18" x14ac:dyDescent="0.25">
      <c r="A2219" s="130">
        <v>45272</v>
      </c>
      <c r="B2219" s="107">
        <v>120.95</v>
      </c>
      <c r="C2219" s="107">
        <v>115.7</v>
      </c>
      <c r="D2219" s="107">
        <v>114.75</v>
      </c>
      <c r="E2219" s="107">
        <v>119.5</v>
      </c>
      <c r="F2219" s="107">
        <v>115.7</v>
      </c>
      <c r="G2219">
        <v>1409799</v>
      </c>
      <c r="H2219" s="107"/>
      <c r="I2219" s="107"/>
      <c r="L2219" s="130">
        <v>45272</v>
      </c>
      <c r="M2219" s="107">
        <v>115.7</v>
      </c>
      <c r="N2219" s="107">
        <v>120.9</v>
      </c>
      <c r="O2219" s="107">
        <v>114.75</v>
      </c>
      <c r="P2219" s="107">
        <v>119.9</v>
      </c>
      <c r="Q2219" s="107">
        <v>115.7</v>
      </c>
      <c r="R2219">
        <v>28197994</v>
      </c>
    </row>
    <row r="2220" spans="1:18" x14ac:dyDescent="0.25">
      <c r="A2220" s="130">
        <v>45273</v>
      </c>
      <c r="B2220" s="107">
        <v>113.3</v>
      </c>
      <c r="C2220" s="107">
        <v>111.95</v>
      </c>
      <c r="D2220" s="107">
        <v>107.55</v>
      </c>
      <c r="E2220" s="107">
        <v>107.55</v>
      </c>
      <c r="F2220" s="107">
        <v>111.95</v>
      </c>
      <c r="G2220">
        <v>6642764</v>
      </c>
      <c r="H2220" s="107"/>
      <c r="I2220" s="107"/>
      <c r="L2220" s="130">
        <v>45273</v>
      </c>
      <c r="M2220" s="107">
        <v>112.15</v>
      </c>
      <c r="N2220" s="107">
        <v>113</v>
      </c>
      <c r="O2220" s="107">
        <v>108.2</v>
      </c>
      <c r="P2220" s="107">
        <v>108.55</v>
      </c>
      <c r="Q2220" s="107">
        <v>112.15</v>
      </c>
      <c r="R2220">
        <v>165698665</v>
      </c>
    </row>
    <row r="2221" spans="1:18" x14ac:dyDescent="0.25">
      <c r="A2221" s="130">
        <v>45274</v>
      </c>
      <c r="B2221" s="107">
        <v>114.85</v>
      </c>
      <c r="C2221" s="107">
        <v>111.5</v>
      </c>
      <c r="D2221" s="107">
        <v>111.2</v>
      </c>
      <c r="E2221" s="107">
        <v>114.3</v>
      </c>
      <c r="F2221" s="107">
        <v>111.5</v>
      </c>
      <c r="G2221">
        <v>1698647</v>
      </c>
      <c r="H2221" s="107"/>
      <c r="I2221" s="107"/>
      <c r="L2221" s="130">
        <v>45274</v>
      </c>
      <c r="M2221" s="107">
        <v>111.6</v>
      </c>
      <c r="N2221" s="107">
        <v>114.8</v>
      </c>
      <c r="O2221" s="107">
        <v>111.2</v>
      </c>
      <c r="P2221" s="107">
        <v>114.8</v>
      </c>
      <c r="Q2221" s="107">
        <v>111.6</v>
      </c>
      <c r="R2221">
        <v>37411189</v>
      </c>
    </row>
    <row r="2222" spans="1:18" x14ac:dyDescent="0.25">
      <c r="A2222" s="130">
        <v>45275</v>
      </c>
      <c r="B2222" s="107">
        <v>113.5</v>
      </c>
      <c r="C2222" s="107">
        <v>112.7</v>
      </c>
      <c r="D2222" s="107">
        <v>109.85</v>
      </c>
      <c r="E2222" s="107">
        <v>112.5</v>
      </c>
      <c r="F2222" s="107">
        <v>112.7</v>
      </c>
      <c r="G2222">
        <v>1602324</v>
      </c>
      <c r="H2222" s="107"/>
      <c r="I2222" s="107"/>
      <c r="L2222" s="130">
        <v>45275</v>
      </c>
      <c r="M2222" s="107">
        <v>112.55</v>
      </c>
      <c r="N2222" s="107">
        <v>113.8</v>
      </c>
      <c r="O2222" s="107">
        <v>109.85</v>
      </c>
      <c r="P2222" s="107">
        <v>112.5</v>
      </c>
      <c r="Q2222" s="107">
        <v>112.55</v>
      </c>
      <c r="R2222">
        <v>40633750</v>
      </c>
    </row>
    <row r="2223" spans="1:18" x14ac:dyDescent="0.25">
      <c r="A2223" s="130">
        <v>45278</v>
      </c>
      <c r="B2223" s="107">
        <v>113</v>
      </c>
      <c r="C2223" s="107">
        <v>111.5</v>
      </c>
      <c r="D2223" s="107">
        <v>110.8</v>
      </c>
      <c r="E2223" s="107">
        <v>112.8</v>
      </c>
      <c r="F2223" s="107">
        <v>111.5</v>
      </c>
      <c r="G2223">
        <v>1671482</v>
      </c>
      <c r="H2223" s="107"/>
      <c r="I2223" s="107"/>
      <c r="L2223" s="130">
        <v>45278</v>
      </c>
      <c r="M2223" s="107">
        <v>111.5</v>
      </c>
      <c r="N2223" s="107">
        <v>113</v>
      </c>
      <c r="O2223" s="107">
        <v>110.8</v>
      </c>
      <c r="P2223" s="107">
        <v>113</v>
      </c>
      <c r="Q2223" s="107">
        <v>111.5</v>
      </c>
      <c r="R2223">
        <v>24936286</v>
      </c>
    </row>
    <row r="2224" spans="1:18" x14ac:dyDescent="0.25">
      <c r="A2224" s="130">
        <v>45279</v>
      </c>
      <c r="B2224" s="107">
        <v>114.65</v>
      </c>
      <c r="C2224" s="107">
        <v>113.3</v>
      </c>
      <c r="D2224" s="107">
        <v>109.6</v>
      </c>
      <c r="E2224" s="107">
        <v>111.85</v>
      </c>
      <c r="F2224" s="107">
        <v>113.3</v>
      </c>
      <c r="G2224">
        <v>2971030</v>
      </c>
      <c r="H2224" s="107"/>
      <c r="I2224" s="107"/>
      <c r="L2224" s="130">
        <v>45279</v>
      </c>
      <c r="M2224" s="107">
        <v>113.35</v>
      </c>
      <c r="N2224" s="107">
        <v>114.7</v>
      </c>
      <c r="O2224" s="107">
        <v>109.6</v>
      </c>
      <c r="P2224" s="107">
        <v>111.5</v>
      </c>
      <c r="Q2224" s="107">
        <v>113.35</v>
      </c>
      <c r="R2224">
        <v>37200565</v>
      </c>
    </row>
    <row r="2225" spans="1:18" x14ac:dyDescent="0.25">
      <c r="A2225" s="130">
        <v>45280</v>
      </c>
      <c r="B2225" s="107">
        <v>114.35</v>
      </c>
      <c r="C2225" s="107">
        <v>107.8</v>
      </c>
      <c r="D2225" s="107">
        <v>107.1</v>
      </c>
      <c r="E2225" s="107">
        <v>114.35</v>
      </c>
      <c r="F2225" s="107">
        <v>107.8</v>
      </c>
      <c r="G2225">
        <v>2061723</v>
      </c>
      <c r="H2225" s="107"/>
      <c r="I2225" s="107"/>
      <c r="L2225" s="130">
        <v>45280</v>
      </c>
      <c r="M2225" s="107">
        <v>107.85</v>
      </c>
      <c r="N2225" s="107">
        <v>114.4</v>
      </c>
      <c r="O2225" s="107">
        <v>107</v>
      </c>
      <c r="P2225" s="107">
        <v>114</v>
      </c>
      <c r="Q2225" s="107">
        <v>107.85</v>
      </c>
      <c r="R2225">
        <v>33538886</v>
      </c>
    </row>
    <row r="2226" spans="1:18" x14ac:dyDescent="0.25">
      <c r="A2226" s="130">
        <v>45281</v>
      </c>
      <c r="B2226" s="107">
        <v>110.2</v>
      </c>
      <c r="C2226" s="107">
        <v>109.4</v>
      </c>
      <c r="D2226" s="107">
        <v>105.55</v>
      </c>
      <c r="E2226" s="107">
        <v>107.65</v>
      </c>
      <c r="F2226" s="107">
        <v>109.4</v>
      </c>
      <c r="G2226">
        <v>1274434</v>
      </c>
      <c r="H2226" s="107"/>
      <c r="I2226" s="107"/>
      <c r="L2226" s="130">
        <v>45281</v>
      </c>
      <c r="M2226" s="107">
        <v>109.5</v>
      </c>
      <c r="N2226" s="107">
        <v>110.2</v>
      </c>
      <c r="O2226" s="107">
        <v>105.5</v>
      </c>
      <c r="P2226" s="107">
        <v>107</v>
      </c>
      <c r="Q2226" s="107">
        <v>109.5</v>
      </c>
      <c r="R2226">
        <v>24228179</v>
      </c>
    </row>
    <row r="2227" spans="1:18" x14ac:dyDescent="0.25">
      <c r="A2227" s="130">
        <v>45282</v>
      </c>
      <c r="B2227" s="107">
        <v>113.55</v>
      </c>
      <c r="C2227" s="107">
        <v>111.85</v>
      </c>
      <c r="D2227" s="107">
        <v>110.2</v>
      </c>
      <c r="E2227" s="107">
        <v>110.75</v>
      </c>
      <c r="F2227" s="107">
        <v>111.85</v>
      </c>
      <c r="G2227">
        <v>964491</v>
      </c>
      <c r="H2227" s="107"/>
      <c r="I2227" s="107"/>
      <c r="L2227" s="130">
        <v>45282</v>
      </c>
      <c r="M2227" s="107">
        <v>111.8</v>
      </c>
      <c r="N2227" s="107">
        <v>113.6</v>
      </c>
      <c r="O2227" s="107">
        <v>110.15</v>
      </c>
      <c r="P2227" s="107">
        <v>110.25</v>
      </c>
      <c r="Q2227" s="107">
        <v>111.8</v>
      </c>
      <c r="R2227">
        <v>20798348</v>
      </c>
    </row>
    <row r="2228" spans="1:18" x14ac:dyDescent="0.25">
      <c r="A2228" s="130">
        <v>45286</v>
      </c>
      <c r="B2228" s="107">
        <v>112.45</v>
      </c>
      <c r="C2228" s="107">
        <v>109.45</v>
      </c>
      <c r="D2228" s="107">
        <v>109.1</v>
      </c>
      <c r="E2228" s="107">
        <v>112.05</v>
      </c>
      <c r="F2228" s="107">
        <v>109.45</v>
      </c>
      <c r="G2228">
        <v>921910</v>
      </c>
      <c r="H2228" s="107"/>
      <c r="I2228" s="107"/>
      <c r="L2228" s="130">
        <v>45286</v>
      </c>
      <c r="M2228" s="107">
        <v>109.5</v>
      </c>
      <c r="N2228" s="107">
        <v>112.45</v>
      </c>
      <c r="O2228" s="107">
        <v>109.1</v>
      </c>
      <c r="P2228" s="107">
        <v>112.25</v>
      </c>
      <c r="Q2228" s="107">
        <v>109.5</v>
      </c>
      <c r="R2228">
        <v>12596950</v>
      </c>
    </row>
    <row r="2229" spans="1:18" x14ac:dyDescent="0.25">
      <c r="A2229" s="130">
        <v>45287</v>
      </c>
      <c r="B2229" s="107">
        <v>112.15</v>
      </c>
      <c r="C2229" s="107">
        <v>110.95</v>
      </c>
      <c r="D2229" s="107">
        <v>110.15</v>
      </c>
      <c r="E2229" s="107">
        <v>110.35</v>
      </c>
      <c r="F2229" s="107">
        <v>110.95</v>
      </c>
      <c r="G2229">
        <v>605177</v>
      </c>
      <c r="H2229" s="107"/>
      <c r="I2229" s="107"/>
      <c r="L2229" s="130">
        <v>45287</v>
      </c>
      <c r="M2229" s="107">
        <v>110.95</v>
      </c>
      <c r="N2229" s="107">
        <v>112.2</v>
      </c>
      <c r="O2229" s="107">
        <v>110.1</v>
      </c>
      <c r="P2229" s="107">
        <v>110.25</v>
      </c>
      <c r="Q2229" s="107">
        <v>110.95</v>
      </c>
      <c r="R2229">
        <v>14699470</v>
      </c>
    </row>
    <row r="2230" spans="1:18" x14ac:dyDescent="0.25">
      <c r="A2230" s="130">
        <v>45288</v>
      </c>
      <c r="B2230" s="107">
        <v>114</v>
      </c>
      <c r="C2230" s="107">
        <v>113.4</v>
      </c>
      <c r="D2230" s="107">
        <v>110.4</v>
      </c>
      <c r="E2230" s="107">
        <v>111.55</v>
      </c>
      <c r="F2230" s="107">
        <v>113.4</v>
      </c>
      <c r="G2230">
        <v>1932518</v>
      </c>
      <c r="H2230" s="107"/>
      <c r="I2230" s="107"/>
      <c r="L2230" s="130">
        <v>45288</v>
      </c>
      <c r="M2230" s="107">
        <v>113.5</v>
      </c>
      <c r="N2230" s="107">
        <v>114.1</v>
      </c>
      <c r="O2230" s="107">
        <v>110.4</v>
      </c>
      <c r="P2230" s="107">
        <v>111.8</v>
      </c>
      <c r="Q2230" s="107">
        <v>113.5</v>
      </c>
      <c r="R2230">
        <v>27428060</v>
      </c>
    </row>
    <row r="2231" spans="1:18" x14ac:dyDescent="0.25">
      <c r="A2231" s="130">
        <v>45289</v>
      </c>
      <c r="B2231" s="107">
        <v>115</v>
      </c>
      <c r="C2231" s="107">
        <v>112.6</v>
      </c>
      <c r="D2231" s="107">
        <v>111.75</v>
      </c>
      <c r="E2231" s="107">
        <v>113.7</v>
      </c>
      <c r="F2231" s="107">
        <v>112.6</v>
      </c>
      <c r="G2231">
        <v>1402070</v>
      </c>
      <c r="H2231" s="107"/>
      <c r="I2231" s="107"/>
      <c r="L2231" s="130">
        <v>45289</v>
      </c>
      <c r="M2231" s="107">
        <v>112.6</v>
      </c>
      <c r="N2231" s="107">
        <v>115</v>
      </c>
      <c r="O2231" s="107">
        <v>111.75</v>
      </c>
      <c r="P2231" s="107">
        <v>113.65</v>
      </c>
      <c r="Q2231" s="107">
        <v>112.6</v>
      </c>
      <c r="R2231">
        <v>22161483</v>
      </c>
    </row>
    <row r="2232" spans="1:18" x14ac:dyDescent="0.25">
      <c r="A2232" s="130">
        <v>45292</v>
      </c>
      <c r="B2232" s="107">
        <v>114.15</v>
      </c>
      <c r="C2232" s="107">
        <v>113.2</v>
      </c>
      <c r="D2232" s="107">
        <v>112.5</v>
      </c>
      <c r="E2232" s="107">
        <v>112.85</v>
      </c>
      <c r="F2232" s="107">
        <v>113.2</v>
      </c>
      <c r="G2232">
        <v>1358660</v>
      </c>
      <c r="H2232" s="107"/>
      <c r="I2232" s="107"/>
      <c r="L2232" s="130">
        <v>45292</v>
      </c>
      <c r="M2232" s="107">
        <v>113.05</v>
      </c>
      <c r="N2232" s="107">
        <v>114.2</v>
      </c>
      <c r="O2232" s="107">
        <v>112.35</v>
      </c>
      <c r="P2232" s="107">
        <v>113.2</v>
      </c>
      <c r="Q2232" s="107">
        <v>113.05</v>
      </c>
      <c r="R2232">
        <v>16485079</v>
      </c>
    </row>
    <row r="2233" spans="1:18" x14ac:dyDescent="0.25">
      <c r="A2233" s="130">
        <v>45293</v>
      </c>
      <c r="B2233" s="107">
        <v>115</v>
      </c>
      <c r="C2233" s="107">
        <v>114.35</v>
      </c>
      <c r="D2233" s="107">
        <v>111.95</v>
      </c>
      <c r="E2233" s="107">
        <v>113.4</v>
      </c>
      <c r="F2233" s="107">
        <v>114.35</v>
      </c>
      <c r="G2233">
        <v>1805253</v>
      </c>
      <c r="H2233" s="107"/>
      <c r="I2233" s="107"/>
      <c r="L2233" s="130">
        <v>45293</v>
      </c>
      <c r="M2233" s="107">
        <v>114.4</v>
      </c>
      <c r="N2233" s="107">
        <v>115</v>
      </c>
      <c r="O2233" s="107">
        <v>111.95</v>
      </c>
      <c r="P2233" s="107">
        <v>113.15</v>
      </c>
      <c r="Q2233" s="107">
        <v>114.4</v>
      </c>
      <c r="R2233">
        <v>23191028</v>
      </c>
    </row>
    <row r="2234" spans="1:18" x14ac:dyDescent="0.25">
      <c r="A2234" s="130">
        <v>45294</v>
      </c>
      <c r="B2234" s="107">
        <v>116.95</v>
      </c>
      <c r="C2234" s="107">
        <v>116.25</v>
      </c>
      <c r="D2234" s="107">
        <v>113.45</v>
      </c>
      <c r="E2234" s="107">
        <v>114.5</v>
      </c>
      <c r="F2234" s="107">
        <v>116.25</v>
      </c>
      <c r="G2234">
        <v>1625216</v>
      </c>
      <c r="H2234" s="107"/>
      <c r="I2234" s="107"/>
      <c r="L2234" s="130">
        <v>45294</v>
      </c>
      <c r="M2234" s="107">
        <v>116.2</v>
      </c>
      <c r="N2234" s="107">
        <v>116.95</v>
      </c>
      <c r="O2234" s="107">
        <v>113.4</v>
      </c>
      <c r="P2234" s="107">
        <v>114.5</v>
      </c>
      <c r="Q2234" s="107">
        <v>116.2</v>
      </c>
      <c r="R2234">
        <v>30456365</v>
      </c>
    </row>
    <row r="2235" spans="1:18" x14ac:dyDescent="0.25">
      <c r="A2235" s="130">
        <v>45295</v>
      </c>
      <c r="B2235" s="107">
        <v>118.9</v>
      </c>
      <c r="C2235" s="107">
        <v>118.6</v>
      </c>
      <c r="D2235" s="107">
        <v>116.3</v>
      </c>
      <c r="E2235" s="107">
        <v>116.4</v>
      </c>
      <c r="F2235" s="107">
        <v>118.6</v>
      </c>
      <c r="G2235">
        <v>2290531</v>
      </c>
      <c r="H2235" s="107"/>
      <c r="I2235" s="107"/>
      <c r="L2235" s="130">
        <v>45295</v>
      </c>
      <c r="M2235" s="107">
        <v>118.65</v>
      </c>
      <c r="N2235" s="107">
        <v>118.95</v>
      </c>
      <c r="O2235" s="107">
        <v>116.3</v>
      </c>
      <c r="P2235" s="107">
        <v>116.3</v>
      </c>
      <c r="Q2235" s="107">
        <v>118.65</v>
      </c>
      <c r="R2235">
        <v>31814561</v>
      </c>
    </row>
    <row r="2236" spans="1:18" x14ac:dyDescent="0.25">
      <c r="A2236" s="130">
        <v>45296</v>
      </c>
      <c r="B2236" s="107">
        <v>122.35</v>
      </c>
      <c r="C2236" s="107">
        <v>118.8</v>
      </c>
      <c r="D2236" s="107">
        <v>117.4</v>
      </c>
      <c r="E2236" s="107">
        <v>119.2</v>
      </c>
      <c r="F2236" s="107">
        <v>118.8</v>
      </c>
      <c r="G2236">
        <v>1845699</v>
      </c>
      <c r="H2236" s="107"/>
      <c r="I2236" s="107"/>
      <c r="L2236" s="130">
        <v>45296</v>
      </c>
      <c r="M2236" s="107">
        <v>118.85</v>
      </c>
      <c r="N2236" s="107">
        <v>122.4</v>
      </c>
      <c r="O2236" s="107">
        <v>117.3</v>
      </c>
      <c r="P2236" s="107">
        <v>119</v>
      </c>
      <c r="Q2236" s="107">
        <v>118.85</v>
      </c>
      <c r="R2236">
        <v>38103338</v>
      </c>
    </row>
    <row r="2237" spans="1:18" x14ac:dyDescent="0.25">
      <c r="A2237" s="130">
        <v>45299</v>
      </c>
      <c r="B2237" s="107">
        <v>119.95</v>
      </c>
      <c r="C2237" s="107">
        <v>118.15</v>
      </c>
      <c r="D2237" s="107">
        <v>117.2</v>
      </c>
      <c r="E2237" s="107">
        <v>119.2</v>
      </c>
      <c r="F2237" s="107">
        <v>118.15</v>
      </c>
      <c r="G2237">
        <v>1643666</v>
      </c>
      <c r="H2237" s="107"/>
      <c r="I2237" s="107"/>
      <c r="L2237" s="130">
        <v>45299</v>
      </c>
      <c r="M2237" s="107">
        <v>118.35</v>
      </c>
      <c r="N2237" s="107">
        <v>119.95</v>
      </c>
      <c r="O2237" s="107">
        <v>117.15</v>
      </c>
      <c r="P2237" s="107">
        <v>119</v>
      </c>
      <c r="Q2237" s="107">
        <v>118.35</v>
      </c>
      <c r="R2237">
        <v>23456985</v>
      </c>
    </row>
    <row r="2238" spans="1:18" x14ac:dyDescent="0.25">
      <c r="A2238" s="130">
        <v>45300</v>
      </c>
      <c r="B2238" s="107">
        <v>120.15</v>
      </c>
      <c r="C2238" s="107">
        <v>118.85</v>
      </c>
      <c r="D2238" s="107">
        <v>118.1</v>
      </c>
      <c r="E2238" s="107">
        <v>119.15</v>
      </c>
      <c r="F2238" s="107">
        <v>118.85</v>
      </c>
      <c r="G2238">
        <v>688256</v>
      </c>
      <c r="H2238" s="107"/>
      <c r="I2238" s="107"/>
      <c r="L2238" s="130">
        <v>45300</v>
      </c>
      <c r="M2238" s="107">
        <v>118.8</v>
      </c>
      <c r="N2238" s="107">
        <v>120.2</v>
      </c>
      <c r="O2238" s="107">
        <v>118.05</v>
      </c>
      <c r="P2238" s="107">
        <v>119</v>
      </c>
      <c r="Q2238" s="107">
        <v>118.8</v>
      </c>
      <c r="R2238">
        <v>13742428</v>
      </c>
    </row>
    <row r="2239" spans="1:18" x14ac:dyDescent="0.25">
      <c r="A2239" s="130">
        <v>45301</v>
      </c>
      <c r="B2239" s="107">
        <v>118.65</v>
      </c>
      <c r="C2239" s="107">
        <v>118.15</v>
      </c>
      <c r="D2239" s="107">
        <v>116.75</v>
      </c>
      <c r="E2239" s="107">
        <v>118.65</v>
      </c>
      <c r="F2239" s="107">
        <v>118.15</v>
      </c>
      <c r="G2239">
        <v>2653453</v>
      </c>
      <c r="H2239" s="107"/>
      <c r="I2239" s="107"/>
      <c r="L2239" s="130">
        <v>45301</v>
      </c>
      <c r="M2239" s="107">
        <v>118.2</v>
      </c>
      <c r="N2239" s="107">
        <v>118.5</v>
      </c>
      <c r="O2239" s="107">
        <v>116.6</v>
      </c>
      <c r="P2239" s="107">
        <v>118.5</v>
      </c>
      <c r="Q2239" s="107">
        <v>118.2</v>
      </c>
      <c r="R2239">
        <v>10101844</v>
      </c>
    </row>
    <row r="2240" spans="1:18" x14ac:dyDescent="0.25">
      <c r="A2240" s="130">
        <v>45302</v>
      </c>
      <c r="B2240" s="107">
        <v>121.85</v>
      </c>
      <c r="C2240" s="107">
        <v>121.1</v>
      </c>
      <c r="D2240" s="107">
        <v>120.2</v>
      </c>
      <c r="E2240" s="107">
        <v>120.75</v>
      </c>
      <c r="F2240" s="107">
        <v>121.1</v>
      </c>
      <c r="G2240">
        <v>1374762</v>
      </c>
      <c r="H2240" s="107"/>
      <c r="I2240" s="107"/>
      <c r="L2240" s="130">
        <v>45302</v>
      </c>
      <c r="M2240" s="107">
        <v>121</v>
      </c>
      <c r="N2240" s="107">
        <v>121.85</v>
      </c>
      <c r="O2240" s="107">
        <v>120.2</v>
      </c>
      <c r="P2240" s="107">
        <v>120.6</v>
      </c>
      <c r="Q2240" s="107">
        <v>121</v>
      </c>
      <c r="R2240">
        <v>24879727</v>
      </c>
    </row>
    <row r="2241" spans="1:18" x14ac:dyDescent="0.25">
      <c r="A2241" s="130">
        <v>45303</v>
      </c>
      <c r="B2241" s="107">
        <v>129.94999999999999</v>
      </c>
      <c r="C2241" s="107">
        <v>128.9</v>
      </c>
      <c r="D2241" s="107">
        <v>121</v>
      </c>
      <c r="E2241" s="107">
        <v>121.7</v>
      </c>
      <c r="F2241" s="107">
        <v>128.9</v>
      </c>
      <c r="G2241">
        <v>5604897</v>
      </c>
      <c r="H2241" s="107"/>
      <c r="I2241" s="107"/>
      <c r="L2241" s="130">
        <v>45303</v>
      </c>
      <c r="M2241" s="107">
        <v>129.1</v>
      </c>
      <c r="N2241" s="107">
        <v>130.1</v>
      </c>
      <c r="O2241" s="107">
        <v>121</v>
      </c>
      <c r="P2241" s="107">
        <v>121.75</v>
      </c>
      <c r="Q2241" s="107">
        <v>129.1</v>
      </c>
      <c r="R2241">
        <v>54706093</v>
      </c>
    </row>
    <row r="2242" spans="1:18" x14ac:dyDescent="0.25">
      <c r="A2242" s="130">
        <v>45306</v>
      </c>
      <c r="B2242" s="107">
        <v>133.15</v>
      </c>
      <c r="C2242" s="107">
        <v>131</v>
      </c>
      <c r="D2242" s="107">
        <v>127.45</v>
      </c>
      <c r="E2242" s="107">
        <v>129.94999999999999</v>
      </c>
      <c r="F2242" s="107">
        <v>131</v>
      </c>
      <c r="G2242">
        <v>3621226</v>
      </c>
      <c r="H2242" s="107"/>
      <c r="I2242" s="107"/>
      <c r="L2242" s="130">
        <v>45306</v>
      </c>
      <c r="M2242" s="107">
        <v>130.9</v>
      </c>
      <c r="N2242" s="107">
        <v>133.19999999999999</v>
      </c>
      <c r="O2242" s="107">
        <v>127.4</v>
      </c>
      <c r="P2242" s="107">
        <v>129.9</v>
      </c>
      <c r="Q2242" s="107">
        <v>130.9</v>
      </c>
      <c r="R2242">
        <v>54780976</v>
      </c>
    </row>
    <row r="2243" spans="1:18" x14ac:dyDescent="0.25">
      <c r="A2243" s="130">
        <v>45307</v>
      </c>
      <c r="B2243" s="107">
        <v>136.80000000000001</v>
      </c>
      <c r="C2243" s="107">
        <v>134.44999999999999</v>
      </c>
      <c r="D2243" s="107">
        <v>129.65</v>
      </c>
      <c r="E2243" s="107">
        <v>131</v>
      </c>
      <c r="F2243" s="107">
        <v>134.44999999999999</v>
      </c>
      <c r="G2243">
        <v>4192110</v>
      </c>
      <c r="H2243" s="107"/>
      <c r="I2243" s="107"/>
      <c r="L2243" s="130">
        <v>45307</v>
      </c>
      <c r="M2243" s="107">
        <v>134.55000000000001</v>
      </c>
      <c r="N2243" s="107">
        <v>136.9</v>
      </c>
      <c r="O2243" s="107">
        <v>129.6</v>
      </c>
      <c r="P2243" s="107">
        <v>130.9</v>
      </c>
      <c r="Q2243" s="107">
        <v>134.55000000000001</v>
      </c>
      <c r="R2243">
        <v>33801884</v>
      </c>
    </row>
    <row r="2244" spans="1:18" x14ac:dyDescent="0.25">
      <c r="A2244" s="130">
        <v>45308</v>
      </c>
      <c r="B2244" s="107">
        <v>136.30000000000001</v>
      </c>
      <c r="C2244" s="107">
        <v>132.69999999999999</v>
      </c>
      <c r="D2244" s="107">
        <v>130</v>
      </c>
      <c r="E2244" s="107">
        <v>132.35</v>
      </c>
      <c r="F2244" s="107">
        <v>132.69999999999999</v>
      </c>
      <c r="G2244">
        <v>1649707</v>
      </c>
      <c r="H2244" s="107"/>
      <c r="I2244" s="107"/>
      <c r="L2244" s="130">
        <v>45308</v>
      </c>
      <c r="M2244" s="107">
        <v>132.75</v>
      </c>
      <c r="N2244" s="107">
        <v>136.30000000000001</v>
      </c>
      <c r="O2244" s="107">
        <v>130.05000000000001</v>
      </c>
      <c r="P2244" s="107">
        <v>131.4</v>
      </c>
      <c r="Q2244" s="107">
        <v>132.75</v>
      </c>
      <c r="R2244">
        <v>28568989</v>
      </c>
    </row>
    <row r="2245" spans="1:18" x14ac:dyDescent="0.25">
      <c r="A2245" s="130">
        <v>45309</v>
      </c>
      <c r="B2245" s="107">
        <v>135.1</v>
      </c>
      <c r="C2245" s="107">
        <v>134.30000000000001</v>
      </c>
      <c r="D2245" s="107">
        <v>128</v>
      </c>
      <c r="E2245" s="107">
        <v>131.75</v>
      </c>
      <c r="F2245" s="107">
        <v>134.30000000000001</v>
      </c>
      <c r="G2245">
        <v>1774412</v>
      </c>
      <c r="H2245" s="107"/>
      <c r="I2245" s="107"/>
      <c r="L2245" s="130">
        <v>45309</v>
      </c>
      <c r="M2245" s="107">
        <v>134.35</v>
      </c>
      <c r="N2245" s="107">
        <v>135.1</v>
      </c>
      <c r="O2245" s="107">
        <v>127.95</v>
      </c>
      <c r="P2245" s="107">
        <v>132</v>
      </c>
      <c r="Q2245" s="107">
        <v>134.35</v>
      </c>
      <c r="R2245">
        <v>28936853</v>
      </c>
    </row>
    <row r="2246" spans="1:18" x14ac:dyDescent="0.25">
      <c r="A2246" s="130">
        <v>45310</v>
      </c>
      <c r="B2246" s="107">
        <v>137.19999999999999</v>
      </c>
      <c r="C2246" s="107">
        <v>135.1</v>
      </c>
      <c r="D2246" s="107">
        <v>133.69999999999999</v>
      </c>
      <c r="E2246" s="107">
        <v>135.65</v>
      </c>
      <c r="F2246" s="107">
        <v>135.1</v>
      </c>
      <c r="G2246">
        <v>1353023</v>
      </c>
      <c r="H2246" s="107"/>
      <c r="I2246" s="107"/>
      <c r="L2246" s="130">
        <v>45310</v>
      </c>
      <c r="M2246" s="107">
        <v>135.19999999999999</v>
      </c>
      <c r="N2246" s="107">
        <v>137.4</v>
      </c>
      <c r="O2246" s="107">
        <v>133.6</v>
      </c>
      <c r="P2246" s="107">
        <v>135.44999999999999</v>
      </c>
      <c r="Q2246" s="107">
        <v>135.19999999999999</v>
      </c>
      <c r="R2246">
        <v>14991995</v>
      </c>
    </row>
    <row r="2247" spans="1:18" x14ac:dyDescent="0.25">
      <c r="A2247" s="130">
        <v>45311</v>
      </c>
      <c r="B2247" s="107">
        <v>138.9</v>
      </c>
      <c r="C2247" s="107">
        <v>137.5</v>
      </c>
      <c r="D2247" s="107">
        <v>134.55000000000001</v>
      </c>
      <c r="E2247" s="107">
        <v>136.6</v>
      </c>
      <c r="F2247" s="107">
        <v>137.5</v>
      </c>
      <c r="G2247">
        <v>737842</v>
      </c>
      <c r="H2247" s="107"/>
      <c r="I2247" s="107"/>
      <c r="L2247" s="130">
        <v>45311</v>
      </c>
      <c r="M2247" s="107">
        <v>137.44999999999999</v>
      </c>
      <c r="N2247" s="107">
        <v>139</v>
      </c>
      <c r="O2247" s="107">
        <v>134.55000000000001</v>
      </c>
      <c r="P2247" s="107">
        <v>136.15</v>
      </c>
      <c r="Q2247" s="107">
        <v>137.44999999999999</v>
      </c>
      <c r="R2247">
        <v>11531215</v>
      </c>
    </row>
    <row r="2248" spans="1:18" x14ac:dyDescent="0.25">
      <c r="A2248" s="130">
        <v>45314</v>
      </c>
      <c r="B2248" s="107">
        <v>139.65</v>
      </c>
      <c r="C2248" s="107">
        <v>131.80000000000001</v>
      </c>
      <c r="D2248" s="107">
        <v>128.85</v>
      </c>
      <c r="E2248" s="107">
        <v>139.05000000000001</v>
      </c>
      <c r="F2248" s="107">
        <v>131.80000000000001</v>
      </c>
      <c r="G2248">
        <v>2612053</v>
      </c>
      <c r="H2248" s="107"/>
      <c r="I2248" s="107"/>
      <c r="L2248" s="130">
        <v>45314</v>
      </c>
      <c r="M2248" s="107">
        <v>131.80000000000001</v>
      </c>
      <c r="N2248" s="107">
        <v>139.69999999999999</v>
      </c>
      <c r="O2248" s="107">
        <v>128.80000000000001</v>
      </c>
      <c r="P2248" s="107">
        <v>138.9</v>
      </c>
      <c r="Q2248" s="107">
        <v>131.80000000000001</v>
      </c>
      <c r="R2248">
        <v>24563193</v>
      </c>
    </row>
    <row r="2249" spans="1:18" x14ac:dyDescent="0.25">
      <c r="A2249" s="130">
        <v>45315</v>
      </c>
      <c r="B2249" s="107">
        <v>136.80000000000001</v>
      </c>
      <c r="C2249" s="107">
        <v>133.15</v>
      </c>
      <c r="D2249" s="107">
        <v>126.4</v>
      </c>
      <c r="E2249" s="107">
        <v>131.05000000000001</v>
      </c>
      <c r="F2249" s="107">
        <v>133.15</v>
      </c>
      <c r="G2249">
        <v>1696871</v>
      </c>
      <c r="H2249" s="107"/>
      <c r="I2249" s="107"/>
      <c r="L2249" s="130">
        <v>45315</v>
      </c>
      <c r="M2249" s="107">
        <v>133.15</v>
      </c>
      <c r="N2249" s="107">
        <v>136.85</v>
      </c>
      <c r="O2249" s="107">
        <v>126.55</v>
      </c>
      <c r="P2249" s="107">
        <v>131.80000000000001</v>
      </c>
      <c r="Q2249" s="107">
        <v>133.15</v>
      </c>
      <c r="R2249">
        <v>19268806</v>
      </c>
    </row>
    <row r="2250" spans="1:18" x14ac:dyDescent="0.25">
      <c r="A2250" s="130">
        <v>45316</v>
      </c>
      <c r="B2250" s="107">
        <v>135.94999999999999</v>
      </c>
      <c r="C2250" s="107">
        <v>131.5</v>
      </c>
      <c r="D2250" s="107">
        <v>130.6</v>
      </c>
      <c r="E2250" s="107">
        <v>133.69999999999999</v>
      </c>
      <c r="F2250" s="107">
        <v>131.5</v>
      </c>
      <c r="G2250">
        <v>1239051</v>
      </c>
      <c r="H2250" s="107"/>
      <c r="I2250" s="107"/>
      <c r="L2250" s="130">
        <v>45316</v>
      </c>
      <c r="M2250" s="107">
        <v>131.5</v>
      </c>
      <c r="N2250" s="107">
        <v>135.9</v>
      </c>
      <c r="O2250" s="107">
        <v>130.6</v>
      </c>
      <c r="P2250" s="107">
        <v>133.65</v>
      </c>
      <c r="Q2250" s="107">
        <v>131.5</v>
      </c>
      <c r="R2250">
        <v>12029308</v>
      </c>
    </row>
    <row r="2251" spans="1:18" x14ac:dyDescent="0.25">
      <c r="A2251" s="130">
        <v>45320</v>
      </c>
      <c r="B2251" s="107">
        <v>136.6</v>
      </c>
      <c r="C2251" s="107">
        <v>135.5</v>
      </c>
      <c r="D2251" s="107">
        <v>132.1</v>
      </c>
      <c r="E2251" s="107">
        <v>132.1</v>
      </c>
      <c r="F2251" s="107">
        <v>135.5</v>
      </c>
      <c r="G2251">
        <v>3451488</v>
      </c>
      <c r="H2251" s="107"/>
      <c r="I2251" s="107"/>
      <c r="L2251" s="130">
        <v>45320</v>
      </c>
      <c r="M2251" s="107">
        <v>135.5</v>
      </c>
      <c r="N2251" s="107">
        <v>136.65</v>
      </c>
      <c r="O2251" s="107">
        <v>132.4</v>
      </c>
      <c r="P2251" s="107">
        <v>132.5</v>
      </c>
      <c r="Q2251" s="107">
        <v>135.5</v>
      </c>
      <c r="R2251">
        <v>16380958</v>
      </c>
    </row>
    <row r="2252" spans="1:18" x14ac:dyDescent="0.25">
      <c r="A2252" s="130">
        <v>45321</v>
      </c>
      <c r="B2252" s="107">
        <v>140.05000000000001</v>
      </c>
      <c r="C2252" s="107">
        <v>138.65</v>
      </c>
      <c r="D2252" s="107">
        <v>135</v>
      </c>
      <c r="E2252" s="107">
        <v>136.94999999999999</v>
      </c>
      <c r="F2252" s="107">
        <v>138.65</v>
      </c>
      <c r="G2252">
        <v>2219225</v>
      </c>
      <c r="H2252" s="107"/>
      <c r="I2252" s="107"/>
      <c r="L2252" s="130">
        <v>45321</v>
      </c>
      <c r="M2252" s="107">
        <v>138.65</v>
      </c>
      <c r="N2252" s="107">
        <v>140</v>
      </c>
      <c r="O2252" s="107">
        <v>135</v>
      </c>
      <c r="P2252" s="107">
        <v>136.69999999999999</v>
      </c>
      <c r="Q2252" s="107">
        <v>138.65</v>
      </c>
      <c r="R2252">
        <v>21776835</v>
      </c>
    </row>
    <row r="2253" spans="1:18" x14ac:dyDescent="0.25">
      <c r="A2253" s="130">
        <v>45322</v>
      </c>
      <c r="B2253" s="107">
        <v>141.35</v>
      </c>
      <c r="C2253" s="107">
        <v>138.9</v>
      </c>
      <c r="D2253" s="107">
        <v>136.25</v>
      </c>
      <c r="E2253" s="107">
        <v>139.25</v>
      </c>
      <c r="F2253" s="107">
        <v>138.9</v>
      </c>
      <c r="G2253">
        <v>1950716</v>
      </c>
      <c r="H2253" s="107"/>
      <c r="I2253" s="107"/>
      <c r="L2253" s="130">
        <v>45322</v>
      </c>
      <c r="M2253" s="107">
        <v>138.94999999999999</v>
      </c>
      <c r="N2253" s="107">
        <v>141.4</v>
      </c>
      <c r="O2253" s="107">
        <v>136.30000000000001</v>
      </c>
      <c r="P2253" s="107">
        <v>139.25</v>
      </c>
      <c r="Q2253" s="107">
        <v>138.94999999999999</v>
      </c>
      <c r="R2253">
        <v>18743903</v>
      </c>
    </row>
    <row r="2254" spans="1:18" x14ac:dyDescent="0.25">
      <c r="A2254" s="130">
        <v>45323</v>
      </c>
      <c r="B2254" s="107">
        <v>146.19999999999999</v>
      </c>
      <c r="C2254" s="107">
        <v>145.4</v>
      </c>
      <c r="D2254" s="107">
        <v>137</v>
      </c>
      <c r="E2254" s="107">
        <v>139.94999999999999</v>
      </c>
      <c r="F2254" s="107">
        <v>145.4</v>
      </c>
      <c r="G2254">
        <v>2171983</v>
      </c>
      <c r="H2254" s="107"/>
      <c r="I2254" s="107"/>
      <c r="L2254" s="130">
        <v>45323</v>
      </c>
      <c r="M2254" s="107">
        <v>145.4</v>
      </c>
      <c r="N2254" s="107">
        <v>146.19999999999999</v>
      </c>
      <c r="O2254" s="107">
        <v>136.9</v>
      </c>
      <c r="P2254" s="107">
        <v>139.75</v>
      </c>
      <c r="Q2254" s="107">
        <v>145.4</v>
      </c>
      <c r="R2254">
        <v>39021958</v>
      </c>
    </row>
    <row r="2255" spans="1:18" x14ac:dyDescent="0.25">
      <c r="A2255" s="130">
        <v>45324</v>
      </c>
      <c r="B2255" s="107">
        <v>156.35</v>
      </c>
      <c r="C2255" s="107">
        <v>151.6</v>
      </c>
      <c r="D2255" s="107">
        <v>146</v>
      </c>
      <c r="E2255" s="107">
        <v>146.55000000000001</v>
      </c>
      <c r="F2255" s="107">
        <v>151.6</v>
      </c>
      <c r="G2255">
        <v>2477512</v>
      </c>
      <c r="H2255" s="107"/>
      <c r="I2255" s="107"/>
      <c r="L2255" s="130">
        <v>45324</v>
      </c>
      <c r="M2255" s="107">
        <v>151.55000000000001</v>
      </c>
      <c r="N2255" s="107">
        <v>156.25</v>
      </c>
      <c r="O2255" s="107">
        <v>145.94999999999999</v>
      </c>
      <c r="P2255" s="107">
        <v>146.5</v>
      </c>
      <c r="Q2255" s="107">
        <v>151.55000000000001</v>
      </c>
      <c r="R2255">
        <v>43049310</v>
      </c>
    </row>
    <row r="2256" spans="1:18" x14ac:dyDescent="0.25">
      <c r="A2256" s="130">
        <v>45327</v>
      </c>
      <c r="B2256" s="107">
        <v>147.94999999999999</v>
      </c>
      <c r="C2256" s="107">
        <v>138.65</v>
      </c>
      <c r="D2256" s="107">
        <v>137.65</v>
      </c>
      <c r="E2256" s="107">
        <v>147.94999999999999</v>
      </c>
      <c r="F2256" s="107">
        <v>138.65</v>
      </c>
      <c r="G2256">
        <v>5688330</v>
      </c>
      <c r="H2256" s="107"/>
      <c r="I2256" s="107"/>
      <c r="L2256" s="130">
        <v>45327</v>
      </c>
      <c r="M2256" s="107">
        <v>138.6</v>
      </c>
      <c r="N2256" s="107">
        <v>147.1</v>
      </c>
      <c r="O2256" s="107">
        <v>137.5</v>
      </c>
      <c r="P2256" s="107">
        <v>147.1</v>
      </c>
      <c r="Q2256" s="107">
        <v>138.6</v>
      </c>
      <c r="R2256">
        <v>72223881</v>
      </c>
    </row>
    <row r="2257" spans="1:18" x14ac:dyDescent="0.25">
      <c r="A2257" s="130">
        <v>45328</v>
      </c>
      <c r="B2257" s="107">
        <v>139.6</v>
      </c>
      <c r="C2257" s="107">
        <v>133.75</v>
      </c>
      <c r="D2257" s="107">
        <v>130.6</v>
      </c>
      <c r="E2257" s="107">
        <v>138.85</v>
      </c>
      <c r="F2257" s="107">
        <v>133.75</v>
      </c>
      <c r="G2257">
        <v>3475734</v>
      </c>
      <c r="H2257" s="107"/>
      <c r="I2257" s="107"/>
      <c r="L2257" s="130">
        <v>45328</v>
      </c>
      <c r="M2257" s="107">
        <v>133.69999999999999</v>
      </c>
      <c r="N2257" s="107">
        <v>139.6</v>
      </c>
      <c r="O2257" s="107">
        <v>130.55000000000001</v>
      </c>
      <c r="P2257" s="107">
        <v>139</v>
      </c>
      <c r="Q2257" s="107">
        <v>133.69999999999999</v>
      </c>
      <c r="R2257">
        <v>41258558</v>
      </c>
    </row>
    <row r="2258" spans="1:18" x14ac:dyDescent="0.25">
      <c r="A2258" s="130">
        <v>45329</v>
      </c>
      <c r="B2258" s="107">
        <v>140.25</v>
      </c>
      <c r="C2258" s="107">
        <v>137.35</v>
      </c>
      <c r="D2258" s="107">
        <v>135.80000000000001</v>
      </c>
      <c r="E2258" s="107">
        <v>136.25</v>
      </c>
      <c r="F2258" s="107">
        <v>137.35</v>
      </c>
      <c r="G2258">
        <v>2737063</v>
      </c>
      <c r="H2258" s="107"/>
      <c r="I2258" s="107"/>
      <c r="L2258" s="130">
        <v>45329</v>
      </c>
      <c r="M2258" s="107">
        <v>137.35</v>
      </c>
      <c r="N2258" s="107">
        <v>140.30000000000001</v>
      </c>
      <c r="O2258" s="107">
        <v>135.55000000000001</v>
      </c>
      <c r="P2258" s="107">
        <v>136</v>
      </c>
      <c r="Q2258" s="107">
        <v>137.35</v>
      </c>
      <c r="R2258">
        <v>32381185</v>
      </c>
    </row>
    <row r="2259" spans="1:18" x14ac:dyDescent="0.25">
      <c r="A2259" s="130">
        <v>45330</v>
      </c>
      <c r="B2259" s="107">
        <v>144.80000000000001</v>
      </c>
      <c r="C2259" s="107">
        <v>141.65</v>
      </c>
      <c r="D2259" s="107">
        <v>139.4</v>
      </c>
      <c r="E2259" s="107">
        <v>139.94999999999999</v>
      </c>
      <c r="F2259" s="107">
        <v>141.65</v>
      </c>
      <c r="G2259">
        <v>3922483</v>
      </c>
      <c r="H2259" s="107"/>
      <c r="I2259" s="107"/>
      <c r="L2259" s="130">
        <v>45330</v>
      </c>
      <c r="M2259" s="107">
        <v>141.65</v>
      </c>
      <c r="N2259" s="107">
        <v>144.80000000000001</v>
      </c>
      <c r="O2259" s="107">
        <v>139.55000000000001</v>
      </c>
      <c r="P2259" s="107">
        <v>139.80000000000001</v>
      </c>
      <c r="Q2259" s="107">
        <v>141.65</v>
      </c>
      <c r="R2259">
        <v>44308819</v>
      </c>
    </row>
    <row r="2260" spans="1:18" x14ac:dyDescent="0.25">
      <c r="A2260" s="130">
        <v>45331</v>
      </c>
      <c r="B2260" s="107">
        <v>143.19999999999999</v>
      </c>
      <c r="C2260" s="107">
        <v>137.25</v>
      </c>
      <c r="D2260" s="107">
        <v>134.1</v>
      </c>
      <c r="E2260" s="107">
        <v>142.85</v>
      </c>
      <c r="F2260" s="107">
        <v>137.25</v>
      </c>
      <c r="G2260">
        <v>2330186</v>
      </c>
      <c r="H2260" s="107"/>
      <c r="I2260" s="107"/>
      <c r="L2260" s="130">
        <v>45331</v>
      </c>
      <c r="M2260" s="107">
        <v>137.25</v>
      </c>
      <c r="N2260" s="107">
        <v>143.1</v>
      </c>
      <c r="O2260" s="107">
        <v>134.05000000000001</v>
      </c>
      <c r="P2260" s="107">
        <v>142.65</v>
      </c>
      <c r="Q2260" s="107">
        <v>137.25</v>
      </c>
      <c r="R2260">
        <v>21954850</v>
      </c>
    </row>
    <row r="2261" spans="1:18" x14ac:dyDescent="0.25">
      <c r="A2261" s="130">
        <v>45334</v>
      </c>
      <c r="B2261" s="107">
        <v>138.35</v>
      </c>
      <c r="C2261" s="107">
        <v>128.1</v>
      </c>
      <c r="D2261" s="107">
        <v>124.35</v>
      </c>
      <c r="E2261" s="107">
        <v>138.15</v>
      </c>
      <c r="F2261" s="107">
        <v>128.1</v>
      </c>
      <c r="G2261">
        <v>2442750</v>
      </c>
      <c r="H2261" s="107"/>
      <c r="I2261" s="107"/>
      <c r="L2261" s="130">
        <v>45334</v>
      </c>
      <c r="M2261" s="107">
        <v>128.5</v>
      </c>
      <c r="N2261" s="107">
        <v>138.4</v>
      </c>
      <c r="O2261" s="107">
        <v>124.45</v>
      </c>
      <c r="P2261" s="107">
        <v>138.25</v>
      </c>
      <c r="Q2261" s="107">
        <v>128.5</v>
      </c>
      <c r="R2261">
        <v>21067330</v>
      </c>
    </row>
    <row r="2262" spans="1:18" x14ac:dyDescent="0.25">
      <c r="A2262" s="130">
        <v>45335</v>
      </c>
      <c r="B2262" s="107">
        <v>132.94999999999999</v>
      </c>
      <c r="C2262" s="107">
        <v>130.80000000000001</v>
      </c>
      <c r="D2262" s="107">
        <v>128.05000000000001</v>
      </c>
      <c r="E2262" s="107">
        <v>129.6</v>
      </c>
      <c r="F2262" s="107">
        <v>130.80000000000001</v>
      </c>
      <c r="G2262">
        <v>1492092</v>
      </c>
      <c r="H2262" s="107"/>
      <c r="I2262" s="107"/>
      <c r="L2262" s="130">
        <v>45335</v>
      </c>
      <c r="M2262" s="107">
        <v>131.05000000000001</v>
      </c>
      <c r="N2262" s="107">
        <v>132.94999999999999</v>
      </c>
      <c r="O2262" s="107">
        <v>128</v>
      </c>
      <c r="P2262" s="107">
        <v>128.55000000000001</v>
      </c>
      <c r="Q2262" s="107">
        <v>131.05000000000001</v>
      </c>
      <c r="R2262">
        <v>18000556</v>
      </c>
    </row>
    <row r="2263" spans="1:18" x14ac:dyDescent="0.25">
      <c r="A2263" s="130">
        <v>45336</v>
      </c>
      <c r="B2263" s="107">
        <v>136.25</v>
      </c>
      <c r="C2263" s="107">
        <v>135.80000000000001</v>
      </c>
      <c r="D2263" s="107">
        <v>127</v>
      </c>
      <c r="E2263" s="107">
        <v>128.75</v>
      </c>
      <c r="F2263" s="107">
        <v>135.80000000000001</v>
      </c>
      <c r="G2263">
        <v>731473</v>
      </c>
      <c r="H2263" s="107"/>
      <c r="I2263" s="107"/>
      <c r="L2263" s="130">
        <v>45336</v>
      </c>
      <c r="M2263" s="107">
        <v>135.80000000000001</v>
      </c>
      <c r="N2263" s="107">
        <v>136.25</v>
      </c>
      <c r="O2263" s="107">
        <v>127</v>
      </c>
      <c r="P2263" s="107">
        <v>128</v>
      </c>
      <c r="Q2263" s="107">
        <v>135.80000000000001</v>
      </c>
      <c r="R2263">
        <v>13531486</v>
      </c>
    </row>
    <row r="2264" spans="1:18" x14ac:dyDescent="0.25">
      <c r="A2264" s="130">
        <v>45337</v>
      </c>
      <c r="B2264" s="107">
        <v>143.30000000000001</v>
      </c>
      <c r="C2264" s="107">
        <v>142.85</v>
      </c>
      <c r="D2264" s="107">
        <v>136</v>
      </c>
      <c r="E2264" s="107">
        <v>137.15</v>
      </c>
      <c r="F2264" s="107">
        <v>142.85</v>
      </c>
      <c r="G2264">
        <v>2197412</v>
      </c>
      <c r="H2264" s="107"/>
      <c r="I2264" s="107"/>
      <c r="L2264" s="130">
        <v>45337</v>
      </c>
      <c r="M2264" s="107">
        <v>142.94999999999999</v>
      </c>
      <c r="N2264" s="107">
        <v>143.44999999999999</v>
      </c>
      <c r="O2264" s="107">
        <v>136.55000000000001</v>
      </c>
      <c r="P2264" s="107">
        <v>136.85</v>
      </c>
      <c r="Q2264" s="107">
        <v>142.94999999999999</v>
      </c>
      <c r="R2264">
        <v>25972974</v>
      </c>
    </row>
    <row r="2265" spans="1:18" x14ac:dyDescent="0.25">
      <c r="A2265" s="130">
        <v>45338</v>
      </c>
      <c r="B2265" s="107">
        <v>149.69999999999999</v>
      </c>
      <c r="C2265" s="107">
        <v>144.15</v>
      </c>
      <c r="D2265" s="107">
        <v>143.15</v>
      </c>
      <c r="E2265" s="107">
        <v>145.25</v>
      </c>
      <c r="F2265" s="107">
        <v>144.15</v>
      </c>
      <c r="G2265">
        <v>2277754</v>
      </c>
      <c r="H2265" s="107"/>
      <c r="I2265" s="107"/>
      <c r="L2265" s="130">
        <v>45338</v>
      </c>
      <c r="M2265" s="107">
        <v>144.05000000000001</v>
      </c>
      <c r="N2265" s="107">
        <v>149.5</v>
      </c>
      <c r="O2265" s="107">
        <v>143.1</v>
      </c>
      <c r="P2265" s="107">
        <v>146.5</v>
      </c>
      <c r="Q2265" s="107">
        <v>144.05000000000001</v>
      </c>
      <c r="R2265">
        <v>34806902</v>
      </c>
    </row>
    <row r="2266" spans="1:18" x14ac:dyDescent="0.25">
      <c r="A2266" s="130">
        <v>45341</v>
      </c>
      <c r="B2266" s="107">
        <v>146.1</v>
      </c>
      <c r="C2266" s="107">
        <v>142.80000000000001</v>
      </c>
      <c r="D2266" s="107">
        <v>141.55000000000001</v>
      </c>
      <c r="E2266" s="107">
        <v>144.65</v>
      </c>
      <c r="F2266" s="107">
        <v>142.80000000000001</v>
      </c>
      <c r="G2266">
        <v>1306987</v>
      </c>
      <c r="H2266" s="107"/>
      <c r="I2266" s="107"/>
      <c r="L2266" s="130">
        <v>45341</v>
      </c>
      <c r="M2266" s="107">
        <v>142.80000000000001</v>
      </c>
      <c r="N2266" s="107">
        <v>146</v>
      </c>
      <c r="O2266" s="107">
        <v>141.30000000000001</v>
      </c>
      <c r="P2266" s="107">
        <v>145</v>
      </c>
      <c r="Q2266" s="107">
        <v>142.80000000000001</v>
      </c>
      <c r="R2266">
        <v>10942695</v>
      </c>
    </row>
    <row r="2267" spans="1:18" x14ac:dyDescent="0.25">
      <c r="A2267" s="130">
        <v>45342</v>
      </c>
      <c r="B2267" s="107">
        <v>144.4</v>
      </c>
      <c r="C2267" s="107">
        <v>142.05000000000001</v>
      </c>
      <c r="D2267" s="107">
        <v>141.5</v>
      </c>
      <c r="E2267" s="107">
        <v>143.05000000000001</v>
      </c>
      <c r="F2267" s="107">
        <v>142.05000000000001</v>
      </c>
      <c r="G2267">
        <v>978007</v>
      </c>
      <c r="H2267" s="107"/>
      <c r="I2267" s="107"/>
      <c r="L2267" s="130">
        <v>45342</v>
      </c>
      <c r="M2267" s="107">
        <v>141.94999999999999</v>
      </c>
      <c r="N2267" s="107">
        <v>144.35</v>
      </c>
      <c r="O2267" s="107">
        <v>141.19999999999999</v>
      </c>
      <c r="P2267" s="107">
        <v>144.1</v>
      </c>
      <c r="Q2267" s="107">
        <v>141.94999999999999</v>
      </c>
      <c r="R2267">
        <v>8657283</v>
      </c>
    </row>
    <row r="2268" spans="1:18" x14ac:dyDescent="0.25">
      <c r="A2268" s="130">
        <v>45343</v>
      </c>
      <c r="B2268" s="107">
        <v>146.19999999999999</v>
      </c>
      <c r="C2268" s="107">
        <v>141.1</v>
      </c>
      <c r="D2268" s="107">
        <v>140.4</v>
      </c>
      <c r="E2268" s="107">
        <v>142.80000000000001</v>
      </c>
      <c r="F2268" s="107">
        <v>141.1</v>
      </c>
      <c r="G2268">
        <v>1731686</v>
      </c>
      <c r="H2268" s="107"/>
      <c r="I2268" s="107"/>
      <c r="L2268" s="130">
        <v>45343</v>
      </c>
      <c r="M2268" s="107">
        <v>141.19999999999999</v>
      </c>
      <c r="N2268" s="107">
        <v>146.44999999999999</v>
      </c>
      <c r="O2268" s="107">
        <v>140.4</v>
      </c>
      <c r="P2268" s="107">
        <v>142.65</v>
      </c>
      <c r="Q2268" s="107">
        <v>141.19999999999999</v>
      </c>
      <c r="R2268">
        <v>15922241</v>
      </c>
    </row>
    <row r="2269" spans="1:18" x14ac:dyDescent="0.25">
      <c r="A2269" s="130">
        <v>45344</v>
      </c>
      <c r="B2269" s="107">
        <v>142.15</v>
      </c>
      <c r="C2269" s="107">
        <v>139.19999999999999</v>
      </c>
      <c r="D2269" s="107">
        <v>136.5</v>
      </c>
      <c r="E2269" s="107">
        <v>142.05000000000001</v>
      </c>
      <c r="F2269" s="107">
        <v>139.19999999999999</v>
      </c>
      <c r="G2269">
        <v>1160173</v>
      </c>
      <c r="H2269" s="107"/>
      <c r="I2269" s="107"/>
      <c r="L2269" s="130">
        <v>45344</v>
      </c>
      <c r="M2269" s="107">
        <v>139.25</v>
      </c>
      <c r="N2269" s="107">
        <v>142.30000000000001</v>
      </c>
      <c r="O2269" s="107">
        <v>136.5</v>
      </c>
      <c r="P2269" s="107">
        <v>141.80000000000001</v>
      </c>
      <c r="Q2269" s="107">
        <v>139.25</v>
      </c>
      <c r="R2269">
        <v>17728329</v>
      </c>
    </row>
    <row r="2270" spans="1:18" x14ac:dyDescent="0.25">
      <c r="A2270" s="130">
        <v>45345</v>
      </c>
      <c r="B2270" s="107">
        <v>140.75</v>
      </c>
      <c r="C2270" s="107">
        <v>136.80000000000001</v>
      </c>
      <c r="D2270" s="107">
        <v>136.4</v>
      </c>
      <c r="E2270" s="107">
        <v>140.19999999999999</v>
      </c>
      <c r="F2270" s="107">
        <v>136.80000000000001</v>
      </c>
      <c r="G2270">
        <v>1070874</v>
      </c>
      <c r="H2270" s="107"/>
      <c r="I2270" s="107"/>
      <c r="L2270" s="130">
        <v>45345</v>
      </c>
      <c r="M2270" s="107">
        <v>136.85</v>
      </c>
      <c r="N2270" s="107">
        <v>140.75</v>
      </c>
      <c r="O2270" s="107">
        <v>136</v>
      </c>
      <c r="P2270" s="107">
        <v>140</v>
      </c>
      <c r="Q2270" s="107">
        <v>136.85</v>
      </c>
      <c r="R2270">
        <v>15595124</v>
      </c>
    </row>
    <row r="2271" spans="1:18" x14ac:dyDescent="0.25">
      <c r="A2271" s="130">
        <v>45348</v>
      </c>
      <c r="B2271" s="107">
        <v>137.75</v>
      </c>
      <c r="C2271" s="107">
        <v>136.65</v>
      </c>
      <c r="D2271" s="107">
        <v>135.80000000000001</v>
      </c>
      <c r="E2271" s="107">
        <v>137.25</v>
      </c>
      <c r="F2271" s="107">
        <v>136.65</v>
      </c>
      <c r="G2271">
        <v>573201</v>
      </c>
      <c r="H2271" s="107"/>
      <c r="I2271" s="107"/>
      <c r="L2271" s="130">
        <v>45348</v>
      </c>
      <c r="M2271" s="107">
        <v>136.69999999999999</v>
      </c>
      <c r="N2271" s="107">
        <v>137.80000000000001</v>
      </c>
      <c r="O2271" s="107">
        <v>135.80000000000001</v>
      </c>
      <c r="P2271" s="107">
        <v>137</v>
      </c>
      <c r="Q2271" s="107">
        <v>136.69999999999999</v>
      </c>
      <c r="R2271">
        <v>7667258</v>
      </c>
    </row>
    <row r="2272" spans="1:18" x14ac:dyDescent="0.25">
      <c r="A2272" s="130">
        <v>45349</v>
      </c>
      <c r="B2272" s="107">
        <v>137.65</v>
      </c>
      <c r="C2272" s="107">
        <v>135.5</v>
      </c>
      <c r="D2272" s="107">
        <v>133.94999999999999</v>
      </c>
      <c r="E2272" s="107">
        <v>137.30000000000001</v>
      </c>
      <c r="F2272" s="107">
        <v>135.5</v>
      </c>
      <c r="G2272">
        <v>859659</v>
      </c>
      <c r="H2272" s="107"/>
      <c r="I2272" s="107"/>
      <c r="L2272" s="130">
        <v>45349</v>
      </c>
      <c r="M2272" s="107">
        <v>135.80000000000001</v>
      </c>
      <c r="N2272" s="107">
        <v>137.69999999999999</v>
      </c>
      <c r="O2272" s="107">
        <v>134</v>
      </c>
      <c r="P2272" s="107">
        <v>136</v>
      </c>
      <c r="Q2272" s="107">
        <v>135.80000000000001</v>
      </c>
      <c r="R2272">
        <v>10123884</v>
      </c>
    </row>
    <row r="2273" spans="1:18" x14ac:dyDescent="0.25">
      <c r="A2273" s="130">
        <v>45350</v>
      </c>
      <c r="B2273" s="107">
        <v>136.75</v>
      </c>
      <c r="C2273" s="107">
        <v>132.75</v>
      </c>
      <c r="D2273" s="107">
        <v>130.30000000000001</v>
      </c>
      <c r="E2273" s="107">
        <v>136.75</v>
      </c>
      <c r="F2273" s="107">
        <v>132.75</v>
      </c>
      <c r="G2273">
        <v>762197</v>
      </c>
      <c r="H2273" s="107"/>
      <c r="I2273" s="107"/>
      <c r="L2273" s="130">
        <v>45350</v>
      </c>
      <c r="M2273" s="107">
        <v>132.6</v>
      </c>
      <c r="N2273" s="107">
        <v>136.69999999999999</v>
      </c>
      <c r="O2273" s="107">
        <v>130.25</v>
      </c>
      <c r="P2273" s="107">
        <v>136.30000000000001</v>
      </c>
      <c r="Q2273" s="107">
        <v>132.6</v>
      </c>
      <c r="R2273">
        <v>11162257</v>
      </c>
    </row>
    <row r="2274" spans="1:18" x14ac:dyDescent="0.25">
      <c r="A2274" s="130">
        <v>45351</v>
      </c>
      <c r="B2274" s="107">
        <v>134.05000000000001</v>
      </c>
      <c r="C2274" s="107">
        <v>131.5</v>
      </c>
      <c r="D2274" s="107">
        <v>128.85</v>
      </c>
      <c r="E2274" s="107">
        <v>132.75</v>
      </c>
      <c r="F2274" s="107">
        <v>131.5</v>
      </c>
      <c r="G2274">
        <v>1920809</v>
      </c>
      <c r="H2274" s="107"/>
      <c r="I2274" s="107"/>
      <c r="L2274" s="130">
        <v>45351</v>
      </c>
      <c r="M2274" s="107">
        <v>131.44999999999999</v>
      </c>
      <c r="N2274" s="107">
        <v>134.25</v>
      </c>
      <c r="O2274" s="107">
        <v>128.80000000000001</v>
      </c>
      <c r="P2274" s="107">
        <v>132.6</v>
      </c>
      <c r="Q2274" s="107">
        <v>131.44999999999999</v>
      </c>
      <c r="R2274">
        <v>27788093</v>
      </c>
    </row>
    <row r="2275" spans="1:18" x14ac:dyDescent="0.25">
      <c r="A2275" s="130">
        <v>45352</v>
      </c>
      <c r="B2275" s="107">
        <v>137.15</v>
      </c>
      <c r="C2275" s="107">
        <v>136.4</v>
      </c>
      <c r="D2275" s="107">
        <v>133.9</v>
      </c>
      <c r="E2275" s="107">
        <v>134.15</v>
      </c>
      <c r="F2275" s="107">
        <v>136.4</v>
      </c>
      <c r="G2275">
        <v>1299776</v>
      </c>
      <c r="H2275" s="107"/>
      <c r="I2275" s="107"/>
      <c r="L2275" s="130">
        <v>45352</v>
      </c>
      <c r="M2275" s="107">
        <v>136.4</v>
      </c>
      <c r="N2275" s="107">
        <v>137.19999999999999</v>
      </c>
      <c r="O2275" s="107">
        <v>133.9</v>
      </c>
      <c r="P2275" s="107">
        <v>134.9</v>
      </c>
      <c r="Q2275" s="107">
        <v>136.4</v>
      </c>
      <c r="R2275">
        <v>10702960</v>
      </c>
    </row>
    <row r="2276" spans="1:18" x14ac:dyDescent="0.25">
      <c r="A2276" s="130">
        <v>45353</v>
      </c>
      <c r="B2276" s="107">
        <v>137.80000000000001</v>
      </c>
      <c r="C2276" s="107">
        <v>137.55000000000001</v>
      </c>
      <c r="D2276" s="107">
        <v>135.9</v>
      </c>
      <c r="E2276" s="107">
        <v>137.25</v>
      </c>
      <c r="F2276" s="107">
        <v>137.55000000000001</v>
      </c>
      <c r="G2276">
        <v>73872</v>
      </c>
      <c r="H2276" s="107"/>
      <c r="I2276" s="107"/>
      <c r="L2276" s="130">
        <v>45353</v>
      </c>
      <c r="M2276" s="107">
        <v>137.5</v>
      </c>
      <c r="N2276" s="107">
        <v>137.80000000000001</v>
      </c>
      <c r="O2276" s="107">
        <v>135.80000000000001</v>
      </c>
      <c r="P2276" s="107">
        <v>137.4</v>
      </c>
      <c r="Q2276" s="107">
        <v>137.5</v>
      </c>
      <c r="R2276">
        <v>1498903</v>
      </c>
    </row>
    <row r="2277" spans="1:18" x14ac:dyDescent="0.25">
      <c r="A2277" s="130">
        <v>45355</v>
      </c>
      <c r="B2277" s="107">
        <v>139.75</v>
      </c>
      <c r="C2277" s="107">
        <v>139.44999999999999</v>
      </c>
      <c r="D2277" s="107">
        <v>135.9</v>
      </c>
      <c r="E2277" s="107">
        <v>138.15</v>
      </c>
      <c r="F2277" s="107">
        <v>139.44999999999999</v>
      </c>
      <c r="G2277">
        <v>1136502</v>
      </c>
      <c r="H2277" s="107"/>
      <c r="I2277" s="107"/>
      <c r="L2277" s="130">
        <v>45355</v>
      </c>
      <c r="M2277" s="107">
        <v>139.44999999999999</v>
      </c>
      <c r="N2277" s="107">
        <v>139.94999999999999</v>
      </c>
      <c r="O2277" s="107">
        <v>135.9</v>
      </c>
      <c r="P2277" s="107">
        <v>138.4</v>
      </c>
      <c r="Q2277" s="107">
        <v>139.44999999999999</v>
      </c>
      <c r="R2277">
        <v>13083002</v>
      </c>
    </row>
    <row r="2278" spans="1:18" x14ac:dyDescent="0.25">
      <c r="A2278" s="130">
        <v>45356</v>
      </c>
      <c r="B2278" s="107">
        <v>145.15</v>
      </c>
      <c r="C2278" s="107">
        <v>143.75</v>
      </c>
      <c r="D2278" s="107">
        <v>138.19999999999999</v>
      </c>
      <c r="E2278" s="107">
        <v>138.19999999999999</v>
      </c>
      <c r="F2278" s="107">
        <v>143.75</v>
      </c>
      <c r="G2278">
        <v>2660574</v>
      </c>
      <c r="H2278" s="107"/>
      <c r="I2278" s="107"/>
      <c r="L2278" s="130">
        <v>45356</v>
      </c>
      <c r="M2278" s="107">
        <v>143.69999999999999</v>
      </c>
      <c r="N2278" s="107">
        <v>145.19999999999999</v>
      </c>
      <c r="O2278" s="107">
        <v>138.05000000000001</v>
      </c>
      <c r="P2278" s="107">
        <v>138.05000000000001</v>
      </c>
      <c r="Q2278" s="107">
        <v>143.69999999999999</v>
      </c>
      <c r="R2278">
        <v>30920424</v>
      </c>
    </row>
    <row r="2279" spans="1:18" x14ac:dyDescent="0.25">
      <c r="A2279" s="130">
        <v>45357</v>
      </c>
      <c r="B2279" s="107">
        <v>146.94999999999999</v>
      </c>
      <c r="C2279" s="107">
        <v>145.44999999999999</v>
      </c>
      <c r="D2279" s="107">
        <v>140</v>
      </c>
      <c r="E2279" s="107">
        <v>143.5</v>
      </c>
      <c r="F2279" s="107">
        <v>145.44999999999999</v>
      </c>
      <c r="G2279">
        <v>2977309</v>
      </c>
      <c r="H2279" s="107"/>
      <c r="I2279" s="107"/>
      <c r="L2279" s="130">
        <v>45357</v>
      </c>
      <c r="M2279" s="107">
        <v>145.30000000000001</v>
      </c>
      <c r="N2279" s="107">
        <v>147</v>
      </c>
      <c r="O2279" s="107">
        <v>139.94999999999999</v>
      </c>
      <c r="P2279" s="107">
        <v>143.35</v>
      </c>
      <c r="Q2279" s="107">
        <v>145.30000000000001</v>
      </c>
      <c r="R2279">
        <v>35383879</v>
      </c>
    </row>
    <row r="2280" spans="1:18" x14ac:dyDescent="0.25">
      <c r="A2280" s="130">
        <v>45358</v>
      </c>
      <c r="B2280" s="107">
        <v>148.19999999999999</v>
      </c>
      <c r="C2280" s="107">
        <v>146.15</v>
      </c>
      <c r="D2280" s="107">
        <v>144.44999999999999</v>
      </c>
      <c r="E2280" s="107">
        <v>145.4</v>
      </c>
      <c r="F2280" s="107">
        <v>146.15</v>
      </c>
      <c r="G2280">
        <v>1517280</v>
      </c>
      <c r="H2280" s="107"/>
      <c r="I2280" s="107"/>
      <c r="L2280" s="130">
        <v>45358</v>
      </c>
      <c r="M2280" s="107">
        <v>145.94999999999999</v>
      </c>
      <c r="N2280" s="107">
        <v>148.15</v>
      </c>
      <c r="O2280" s="107">
        <v>144.55000000000001</v>
      </c>
      <c r="P2280" s="107">
        <v>144.80000000000001</v>
      </c>
      <c r="Q2280" s="107">
        <v>145.94999999999999</v>
      </c>
      <c r="R2280">
        <v>17449961</v>
      </c>
    </row>
    <row r="2281" spans="1:18" x14ac:dyDescent="0.25">
      <c r="A2281" s="130">
        <v>45362</v>
      </c>
      <c r="B2281" s="107">
        <v>149.4</v>
      </c>
      <c r="C2281" s="107">
        <v>143.9</v>
      </c>
      <c r="D2281" s="107">
        <v>143</v>
      </c>
      <c r="E2281" s="107">
        <v>147.15</v>
      </c>
      <c r="F2281" s="107">
        <v>143.9</v>
      </c>
      <c r="G2281">
        <v>1718696</v>
      </c>
      <c r="H2281" s="107"/>
      <c r="I2281" s="107"/>
      <c r="L2281" s="130">
        <v>45362</v>
      </c>
      <c r="M2281" s="107">
        <v>143.9</v>
      </c>
      <c r="N2281" s="107">
        <v>149.44999999999999</v>
      </c>
      <c r="O2281" s="107">
        <v>142.80000000000001</v>
      </c>
      <c r="P2281" s="107">
        <v>147.30000000000001</v>
      </c>
      <c r="Q2281" s="107">
        <v>143.9</v>
      </c>
      <c r="R2281">
        <v>16358360</v>
      </c>
    </row>
    <row r="2282" spans="1:18" x14ac:dyDescent="0.25">
      <c r="A2282" s="130">
        <v>45363</v>
      </c>
      <c r="B2282" s="107">
        <v>144.55000000000001</v>
      </c>
      <c r="C2282" s="107">
        <v>140.19999999999999</v>
      </c>
      <c r="D2282" s="107">
        <v>138.05000000000001</v>
      </c>
      <c r="E2282" s="107">
        <v>144.25</v>
      </c>
      <c r="F2282" s="107">
        <v>140.19999999999999</v>
      </c>
      <c r="G2282">
        <v>1343987</v>
      </c>
      <c r="H2282" s="107"/>
      <c r="I2282" s="107"/>
      <c r="L2282" s="130">
        <v>45363</v>
      </c>
      <c r="M2282" s="107">
        <v>140.19999999999999</v>
      </c>
      <c r="N2282" s="107">
        <v>144.65</v>
      </c>
      <c r="O2282" s="107">
        <v>138.1</v>
      </c>
      <c r="P2282" s="107">
        <v>144</v>
      </c>
      <c r="Q2282" s="107">
        <v>140.19999999999999</v>
      </c>
      <c r="R2282">
        <v>13318583</v>
      </c>
    </row>
    <row r="2283" spans="1:18" x14ac:dyDescent="0.25">
      <c r="A2283" s="130">
        <v>45364</v>
      </c>
      <c r="B2283" s="107">
        <v>142.05000000000001</v>
      </c>
      <c r="C2283" s="107">
        <v>128.25</v>
      </c>
      <c r="D2283" s="107">
        <v>127</v>
      </c>
      <c r="E2283" s="107">
        <v>140.5</v>
      </c>
      <c r="F2283" s="107">
        <v>128.25</v>
      </c>
      <c r="G2283">
        <v>1996715</v>
      </c>
      <c r="H2283" s="107"/>
      <c r="I2283" s="107"/>
      <c r="L2283" s="130">
        <v>45364</v>
      </c>
      <c r="M2283" s="107">
        <v>128.44999999999999</v>
      </c>
      <c r="N2283" s="107">
        <v>142.1</v>
      </c>
      <c r="O2283" s="107">
        <v>126.9</v>
      </c>
      <c r="P2283" s="107">
        <v>140.75</v>
      </c>
      <c r="Q2283" s="107">
        <v>128.44999999999999</v>
      </c>
      <c r="R2283">
        <v>21197858</v>
      </c>
    </row>
    <row r="2284" spans="1:18" x14ac:dyDescent="0.25">
      <c r="A2284" s="130">
        <v>45365</v>
      </c>
      <c r="B2284" s="107">
        <v>133.5</v>
      </c>
      <c r="C2284" s="107">
        <v>130.35</v>
      </c>
      <c r="D2284" s="107">
        <v>125.4</v>
      </c>
      <c r="E2284" s="107">
        <v>127.65</v>
      </c>
      <c r="F2284" s="107">
        <v>130.35</v>
      </c>
      <c r="G2284">
        <v>1194272</v>
      </c>
      <c r="H2284" s="107"/>
      <c r="I2284" s="107"/>
      <c r="L2284" s="130">
        <v>45365</v>
      </c>
      <c r="M2284" s="107">
        <v>130.4</v>
      </c>
      <c r="N2284" s="107">
        <v>133.5</v>
      </c>
      <c r="O2284" s="107">
        <v>125.1</v>
      </c>
      <c r="P2284" s="107">
        <v>127</v>
      </c>
      <c r="Q2284" s="107">
        <v>130.4</v>
      </c>
      <c r="R2284">
        <v>18478220</v>
      </c>
    </row>
    <row r="2285" spans="1:18" x14ac:dyDescent="0.25">
      <c r="A2285" s="130">
        <v>45366</v>
      </c>
      <c r="B2285" s="107">
        <v>135.69999999999999</v>
      </c>
      <c r="C2285" s="107">
        <v>134.35</v>
      </c>
      <c r="D2285" s="107">
        <v>125.65</v>
      </c>
      <c r="E2285" s="107">
        <v>130.94999999999999</v>
      </c>
      <c r="F2285" s="107">
        <v>134.35</v>
      </c>
      <c r="G2285">
        <v>1259663</v>
      </c>
      <c r="H2285" s="107"/>
      <c r="I2285" s="107"/>
      <c r="L2285" s="130">
        <v>45366</v>
      </c>
      <c r="M2285" s="107">
        <v>134.30000000000001</v>
      </c>
      <c r="N2285" s="107">
        <v>135.6</v>
      </c>
      <c r="O2285" s="107">
        <v>125.6</v>
      </c>
      <c r="P2285" s="107">
        <v>130.80000000000001</v>
      </c>
      <c r="Q2285" s="107">
        <v>134.30000000000001</v>
      </c>
      <c r="R2285">
        <v>25112860</v>
      </c>
    </row>
    <row r="2286" spans="1:18" x14ac:dyDescent="0.25">
      <c r="A2286" s="130">
        <v>45369</v>
      </c>
      <c r="B2286" s="107">
        <v>135.1</v>
      </c>
      <c r="C2286" s="107">
        <v>132.94999999999999</v>
      </c>
      <c r="D2286" s="107">
        <v>131.35</v>
      </c>
      <c r="E2286" s="107">
        <v>134</v>
      </c>
      <c r="F2286" s="107">
        <v>132.94999999999999</v>
      </c>
      <c r="G2286">
        <v>795249</v>
      </c>
      <c r="H2286" s="107"/>
      <c r="I2286" s="107"/>
      <c r="L2286" s="130">
        <v>45369</v>
      </c>
      <c r="M2286" s="107">
        <v>133.1</v>
      </c>
      <c r="N2286" s="107">
        <v>135.25</v>
      </c>
      <c r="O2286" s="107">
        <v>131.30000000000001</v>
      </c>
      <c r="P2286" s="107">
        <v>134</v>
      </c>
      <c r="Q2286" s="107">
        <v>133.1</v>
      </c>
      <c r="R2286">
        <v>10652375</v>
      </c>
    </row>
    <row r="2287" spans="1:18" x14ac:dyDescent="0.25">
      <c r="A2287" s="130">
        <v>45370</v>
      </c>
      <c r="B2287" s="107">
        <v>134.6</v>
      </c>
      <c r="C2287" s="107">
        <v>133.85</v>
      </c>
      <c r="D2287" s="107">
        <v>131.30000000000001</v>
      </c>
      <c r="E2287" s="107">
        <v>133</v>
      </c>
      <c r="F2287" s="107">
        <v>133.85</v>
      </c>
      <c r="G2287">
        <v>700021</v>
      </c>
      <c r="H2287" s="107"/>
      <c r="I2287" s="107"/>
      <c r="L2287" s="130">
        <v>45370</v>
      </c>
      <c r="M2287" s="107">
        <v>133.9</v>
      </c>
      <c r="N2287" s="107">
        <v>134.69999999999999</v>
      </c>
      <c r="O2287" s="107">
        <v>131.19999999999999</v>
      </c>
      <c r="P2287" s="107">
        <v>133.1</v>
      </c>
      <c r="Q2287" s="107">
        <v>133.9</v>
      </c>
      <c r="R2287">
        <v>11009392</v>
      </c>
    </row>
    <row r="2288" spans="1:18" x14ac:dyDescent="0.25">
      <c r="A2288" s="130">
        <v>45371</v>
      </c>
      <c r="B2288" s="107">
        <v>135.55000000000001</v>
      </c>
      <c r="C2288" s="107">
        <v>131.5</v>
      </c>
      <c r="D2288" s="107">
        <v>129.80000000000001</v>
      </c>
      <c r="E2288" s="107">
        <v>134</v>
      </c>
      <c r="F2288" s="107">
        <v>131.5</v>
      </c>
      <c r="G2288">
        <v>578070</v>
      </c>
      <c r="H2288" s="107"/>
      <c r="I2288" s="107"/>
      <c r="L2288" s="130">
        <v>45371</v>
      </c>
      <c r="M2288" s="107">
        <v>131.44999999999999</v>
      </c>
      <c r="N2288" s="107">
        <v>135.6</v>
      </c>
      <c r="O2288" s="107">
        <v>128.1</v>
      </c>
      <c r="P2288" s="107">
        <v>134.05000000000001</v>
      </c>
      <c r="Q2288" s="107">
        <v>131.44999999999999</v>
      </c>
      <c r="R2288">
        <v>8243643</v>
      </c>
    </row>
    <row r="2289" spans="1:18" x14ac:dyDescent="0.25">
      <c r="A2289" s="130">
        <v>45372</v>
      </c>
      <c r="B2289" s="107">
        <v>136.19999999999999</v>
      </c>
      <c r="C2289" s="107">
        <v>134.55000000000001</v>
      </c>
      <c r="D2289" s="107">
        <v>134</v>
      </c>
      <c r="E2289" s="107">
        <v>134</v>
      </c>
      <c r="F2289" s="107">
        <v>134.55000000000001</v>
      </c>
      <c r="G2289">
        <v>550831</v>
      </c>
      <c r="H2289" s="107"/>
      <c r="I2289" s="107"/>
      <c r="L2289" s="130">
        <v>45372</v>
      </c>
      <c r="M2289" s="107">
        <v>134.6</v>
      </c>
      <c r="N2289" s="107">
        <v>136.25</v>
      </c>
      <c r="O2289" s="107">
        <v>133.94999999999999</v>
      </c>
      <c r="P2289" s="107">
        <v>134.15</v>
      </c>
      <c r="Q2289" s="107">
        <v>134.6</v>
      </c>
      <c r="R2289">
        <v>8302052</v>
      </c>
    </row>
    <row r="2290" spans="1:18" x14ac:dyDescent="0.25">
      <c r="A2290" s="130">
        <v>45373</v>
      </c>
      <c r="B2290" s="107">
        <v>137.69999999999999</v>
      </c>
      <c r="C2290" s="107">
        <v>135.75</v>
      </c>
      <c r="D2290" s="107">
        <v>134.9</v>
      </c>
      <c r="E2290" s="107">
        <v>135.05000000000001</v>
      </c>
      <c r="F2290" s="107">
        <v>135.75</v>
      </c>
      <c r="G2290">
        <v>498213</v>
      </c>
      <c r="H2290" s="107"/>
      <c r="I2290" s="107"/>
      <c r="L2290" s="130">
        <v>45373</v>
      </c>
      <c r="M2290" s="107">
        <v>135.80000000000001</v>
      </c>
      <c r="N2290" s="107">
        <v>137.69999999999999</v>
      </c>
      <c r="O2290" s="107">
        <v>134.9</v>
      </c>
      <c r="P2290" s="107">
        <v>135.69999999999999</v>
      </c>
      <c r="Q2290" s="107">
        <v>135.80000000000001</v>
      </c>
      <c r="R2290">
        <v>8881966</v>
      </c>
    </row>
    <row r="2291" spans="1:18" x14ac:dyDescent="0.25">
      <c r="A2291" s="130">
        <v>45377</v>
      </c>
      <c r="B2291" s="107">
        <v>136.94999999999999</v>
      </c>
      <c r="C2291" s="107">
        <v>133.5</v>
      </c>
      <c r="D2291" s="107">
        <v>133.19999999999999</v>
      </c>
      <c r="E2291" s="107">
        <v>135.65</v>
      </c>
      <c r="F2291" s="107">
        <v>133.5</v>
      </c>
      <c r="G2291">
        <v>516298</v>
      </c>
      <c r="H2291" s="107"/>
      <c r="I2291" s="107"/>
      <c r="L2291" s="130">
        <v>45377</v>
      </c>
      <c r="M2291" s="107">
        <v>133.5</v>
      </c>
      <c r="N2291" s="107">
        <v>136.94999999999999</v>
      </c>
      <c r="O2291" s="107">
        <v>133.05000000000001</v>
      </c>
      <c r="P2291" s="107">
        <v>135.85</v>
      </c>
      <c r="Q2291" s="107">
        <v>133.5</v>
      </c>
      <c r="R2291">
        <v>9406196</v>
      </c>
    </row>
    <row r="2292" spans="1:18" x14ac:dyDescent="0.25">
      <c r="A2292" s="130">
        <v>45378</v>
      </c>
      <c r="B2292" s="107">
        <v>134.94999999999999</v>
      </c>
      <c r="C2292" s="107">
        <v>132</v>
      </c>
      <c r="D2292" s="107">
        <v>131.5</v>
      </c>
      <c r="E2292" s="107">
        <v>133.55000000000001</v>
      </c>
      <c r="F2292" s="107">
        <v>132</v>
      </c>
      <c r="G2292">
        <v>622390</v>
      </c>
      <c r="H2292" s="107"/>
      <c r="I2292" s="107"/>
      <c r="L2292" s="130">
        <v>45378</v>
      </c>
      <c r="M2292" s="107">
        <v>131.9</v>
      </c>
      <c r="N2292" s="107">
        <v>135</v>
      </c>
      <c r="O2292" s="107">
        <v>131.4</v>
      </c>
      <c r="P2292" s="107">
        <v>134.65</v>
      </c>
      <c r="Q2292" s="107">
        <v>131.9</v>
      </c>
      <c r="R2292">
        <v>8724839</v>
      </c>
    </row>
    <row r="2293" spans="1:18" x14ac:dyDescent="0.25">
      <c r="A2293" s="130">
        <v>45379</v>
      </c>
      <c r="B2293" s="107">
        <v>137.80000000000001</v>
      </c>
      <c r="C2293" s="107">
        <v>137</v>
      </c>
      <c r="D2293" s="107">
        <v>133</v>
      </c>
      <c r="E2293" s="107">
        <v>133.05000000000001</v>
      </c>
      <c r="F2293" s="107">
        <v>137</v>
      </c>
      <c r="G2293">
        <v>1329930</v>
      </c>
      <c r="H2293" s="107"/>
      <c r="I2293" s="107"/>
      <c r="L2293" s="130">
        <v>45379</v>
      </c>
      <c r="M2293" s="107">
        <v>137.05000000000001</v>
      </c>
      <c r="N2293" s="107">
        <v>137.85</v>
      </c>
      <c r="O2293" s="107">
        <v>132.80000000000001</v>
      </c>
      <c r="P2293" s="107">
        <v>133.19999999999999</v>
      </c>
      <c r="Q2293" s="107">
        <v>137.05000000000001</v>
      </c>
      <c r="R2293">
        <v>13378241</v>
      </c>
    </row>
    <row r="2294" spans="1:18" x14ac:dyDescent="0.25">
      <c r="A2294" s="130">
        <v>45383</v>
      </c>
      <c r="B2294" s="107">
        <v>142.65</v>
      </c>
      <c r="C2294" s="107">
        <v>140.75</v>
      </c>
      <c r="D2294" s="107">
        <v>133.94999999999999</v>
      </c>
      <c r="E2294" s="107">
        <v>134.15</v>
      </c>
      <c r="F2294" s="107">
        <v>140.75</v>
      </c>
      <c r="G2294">
        <v>1190080</v>
      </c>
      <c r="H2294" s="107"/>
      <c r="I2294" s="107"/>
      <c r="L2294" s="130">
        <v>45383</v>
      </c>
      <c r="M2294" s="107">
        <v>140.85</v>
      </c>
      <c r="N2294" s="107">
        <v>142.69999999999999</v>
      </c>
      <c r="O2294" s="107">
        <v>133.9</v>
      </c>
      <c r="P2294" s="107">
        <v>134</v>
      </c>
      <c r="Q2294" s="107">
        <v>140.85</v>
      </c>
      <c r="R2294">
        <v>19130984</v>
      </c>
    </row>
    <row r="2295" spans="1:18" x14ac:dyDescent="0.25">
      <c r="A2295" s="130">
        <v>45384</v>
      </c>
      <c r="B2295" s="107">
        <v>142.80000000000001</v>
      </c>
      <c r="C2295" s="107">
        <v>140.85</v>
      </c>
      <c r="D2295" s="107">
        <v>139.35</v>
      </c>
      <c r="E2295" s="107">
        <v>140.85</v>
      </c>
      <c r="F2295" s="107">
        <v>140.85</v>
      </c>
      <c r="G2295">
        <v>709978</v>
      </c>
      <c r="H2295" s="107"/>
      <c r="I2295" s="107"/>
      <c r="L2295" s="130">
        <v>45384</v>
      </c>
      <c r="M2295" s="107">
        <v>140.75</v>
      </c>
      <c r="N2295" s="107">
        <v>143</v>
      </c>
      <c r="O2295" s="107">
        <v>139.30000000000001</v>
      </c>
      <c r="P2295" s="107">
        <v>140.65</v>
      </c>
      <c r="Q2295" s="107">
        <v>140.75</v>
      </c>
      <c r="R2295">
        <v>11621470</v>
      </c>
    </row>
    <row r="2296" spans="1:18" x14ac:dyDescent="0.25">
      <c r="A2296" s="130">
        <v>45385</v>
      </c>
      <c r="B2296" s="107">
        <v>146.19999999999999</v>
      </c>
      <c r="C2296" s="107">
        <v>145.4</v>
      </c>
      <c r="D2296" s="107">
        <v>138.30000000000001</v>
      </c>
      <c r="E2296" s="107">
        <v>140.69999999999999</v>
      </c>
      <c r="F2296" s="107">
        <v>145.4</v>
      </c>
      <c r="G2296">
        <v>2112955</v>
      </c>
      <c r="H2296" s="107"/>
      <c r="I2296" s="107"/>
      <c r="L2296" s="130">
        <v>45385</v>
      </c>
      <c r="M2296" s="107">
        <v>145.30000000000001</v>
      </c>
      <c r="N2296" s="107">
        <v>146.25</v>
      </c>
      <c r="O2296" s="107">
        <v>138.30000000000001</v>
      </c>
      <c r="P2296" s="107">
        <v>140.6</v>
      </c>
      <c r="Q2296" s="107">
        <v>145.30000000000001</v>
      </c>
      <c r="R2296">
        <v>27889662</v>
      </c>
    </row>
    <row r="2297" spans="1:18" x14ac:dyDescent="0.25">
      <c r="A2297" s="130">
        <v>45386</v>
      </c>
      <c r="B2297" s="107">
        <v>151.19999999999999</v>
      </c>
      <c r="C2297" s="107">
        <v>147.5</v>
      </c>
      <c r="D2297" s="107">
        <v>145.65</v>
      </c>
      <c r="E2297" s="107">
        <v>147.05000000000001</v>
      </c>
      <c r="F2297" s="107">
        <v>147.5</v>
      </c>
      <c r="G2297">
        <v>2763917</v>
      </c>
      <c r="H2297" s="107"/>
      <c r="I2297" s="107"/>
      <c r="L2297" s="130">
        <v>45386</v>
      </c>
      <c r="M2297" s="107">
        <v>147.44999999999999</v>
      </c>
      <c r="N2297" s="107">
        <v>151.30000000000001</v>
      </c>
      <c r="O2297" s="107">
        <v>145.75</v>
      </c>
      <c r="P2297" s="107">
        <v>147.19999999999999</v>
      </c>
      <c r="Q2297" s="107">
        <v>147.44999999999999</v>
      </c>
      <c r="R2297">
        <v>31794824</v>
      </c>
    </row>
    <row r="2298" spans="1:18" x14ac:dyDescent="0.25">
      <c r="A2298" s="130">
        <v>45387</v>
      </c>
      <c r="B2298" s="107">
        <v>149.44999999999999</v>
      </c>
      <c r="C2298" s="107">
        <v>148.44999999999999</v>
      </c>
      <c r="D2298" s="107">
        <v>145.1</v>
      </c>
      <c r="E2298" s="107">
        <v>147.35</v>
      </c>
      <c r="F2298" s="107">
        <v>148.44999999999999</v>
      </c>
      <c r="G2298">
        <v>1236000</v>
      </c>
      <c r="H2298" s="107"/>
      <c r="I2298" s="107"/>
      <c r="L2298" s="130">
        <v>45387</v>
      </c>
      <c r="M2298" s="107">
        <v>148.5</v>
      </c>
      <c r="N2298" s="107">
        <v>149.5</v>
      </c>
      <c r="O2298" s="107">
        <v>145.1</v>
      </c>
      <c r="P2298" s="107">
        <v>147.44999999999999</v>
      </c>
      <c r="Q2298" s="107">
        <v>148.5</v>
      </c>
      <c r="R2298">
        <v>13754759</v>
      </c>
    </row>
    <row r="2299" spans="1:18" x14ac:dyDescent="0.25">
      <c r="A2299" s="130">
        <v>45390</v>
      </c>
      <c r="B2299" s="107">
        <v>150.6</v>
      </c>
      <c r="C2299" s="107">
        <v>144.19999999999999</v>
      </c>
      <c r="D2299" s="107">
        <v>143.5</v>
      </c>
      <c r="E2299" s="107">
        <v>148.9</v>
      </c>
      <c r="F2299" s="107">
        <v>144.19999999999999</v>
      </c>
      <c r="G2299">
        <v>693164</v>
      </c>
      <c r="H2299" s="107"/>
      <c r="I2299" s="107"/>
      <c r="L2299" s="130">
        <v>45390</v>
      </c>
      <c r="M2299" s="107">
        <v>144.19999999999999</v>
      </c>
      <c r="N2299" s="107">
        <v>150.69999999999999</v>
      </c>
      <c r="O2299" s="107">
        <v>143.44999999999999</v>
      </c>
      <c r="P2299" s="107">
        <v>148.5</v>
      </c>
      <c r="Q2299" s="107">
        <v>144.19999999999999</v>
      </c>
      <c r="R2299">
        <v>10648467</v>
      </c>
    </row>
    <row r="2300" spans="1:18" x14ac:dyDescent="0.25">
      <c r="A2300" s="130">
        <v>45391</v>
      </c>
      <c r="B2300" s="107">
        <v>146.5</v>
      </c>
      <c r="C2300" s="107">
        <v>141.85</v>
      </c>
      <c r="D2300" s="107">
        <v>141.19999999999999</v>
      </c>
      <c r="E2300" s="107">
        <v>145.55000000000001</v>
      </c>
      <c r="F2300" s="107">
        <v>141.85</v>
      </c>
      <c r="G2300">
        <v>620803</v>
      </c>
      <c r="H2300" s="107"/>
      <c r="I2300" s="107"/>
      <c r="L2300" s="130">
        <v>45391</v>
      </c>
      <c r="M2300" s="107">
        <v>141.85</v>
      </c>
      <c r="N2300" s="107">
        <v>146.5</v>
      </c>
      <c r="O2300" s="107">
        <v>141.19999999999999</v>
      </c>
      <c r="P2300" s="107">
        <v>145.55000000000001</v>
      </c>
      <c r="Q2300" s="107">
        <v>141.85</v>
      </c>
      <c r="R2300">
        <v>8617456</v>
      </c>
    </row>
    <row r="2301" spans="1:18" x14ac:dyDescent="0.25">
      <c r="A2301" s="130">
        <v>45392</v>
      </c>
      <c r="B2301" s="107">
        <v>145.30000000000001</v>
      </c>
      <c r="C2301" s="107">
        <v>144.5</v>
      </c>
      <c r="D2301" s="107">
        <v>141.25</v>
      </c>
      <c r="E2301" s="107">
        <v>142.4</v>
      </c>
      <c r="F2301" s="107">
        <v>144.5</v>
      </c>
      <c r="G2301">
        <v>965045</v>
      </c>
      <c r="H2301" s="107"/>
      <c r="I2301" s="107"/>
      <c r="L2301" s="130">
        <v>45392</v>
      </c>
      <c r="M2301" s="107">
        <v>144.44999999999999</v>
      </c>
      <c r="N2301" s="107">
        <v>145.4</v>
      </c>
      <c r="O2301" s="107">
        <v>141.19999999999999</v>
      </c>
      <c r="P2301" s="107">
        <v>142.30000000000001</v>
      </c>
      <c r="Q2301" s="107">
        <v>144.44999999999999</v>
      </c>
      <c r="R2301">
        <v>10630745</v>
      </c>
    </row>
    <row r="2302" spans="1:18" x14ac:dyDescent="0.25">
      <c r="A2302" s="130">
        <v>45394</v>
      </c>
      <c r="B2302" s="107">
        <v>146.15</v>
      </c>
      <c r="C2302" s="107">
        <v>143.35</v>
      </c>
      <c r="D2302" s="107">
        <v>142.94999999999999</v>
      </c>
      <c r="E2302" s="107">
        <v>143.94999999999999</v>
      </c>
      <c r="F2302" s="107">
        <v>143.35</v>
      </c>
      <c r="G2302">
        <v>675853</v>
      </c>
      <c r="H2302" s="107"/>
      <c r="I2302" s="107"/>
      <c r="L2302" s="130">
        <v>45394</v>
      </c>
      <c r="M2302" s="107">
        <v>143.6</v>
      </c>
      <c r="N2302" s="107">
        <v>146.19999999999999</v>
      </c>
      <c r="O2302" s="107">
        <v>143</v>
      </c>
      <c r="P2302" s="107">
        <v>143.69999999999999</v>
      </c>
      <c r="Q2302" s="107">
        <v>143.6</v>
      </c>
      <c r="R2302">
        <v>7894694</v>
      </c>
    </row>
    <row r="2303" spans="1:18" x14ac:dyDescent="0.25">
      <c r="A2303" s="130">
        <v>45397</v>
      </c>
      <c r="B2303" s="107">
        <v>140.65</v>
      </c>
      <c r="C2303" s="107">
        <v>138.80000000000001</v>
      </c>
      <c r="D2303" s="107">
        <v>136.30000000000001</v>
      </c>
      <c r="E2303" s="107">
        <v>140</v>
      </c>
      <c r="F2303" s="107">
        <v>138.80000000000001</v>
      </c>
      <c r="G2303">
        <v>629815</v>
      </c>
      <c r="H2303" s="107"/>
      <c r="I2303" s="107"/>
      <c r="L2303" s="130">
        <v>45397</v>
      </c>
      <c r="M2303" s="107">
        <v>138.75</v>
      </c>
      <c r="N2303" s="107">
        <v>140.75</v>
      </c>
      <c r="O2303" s="107">
        <v>136.25</v>
      </c>
      <c r="P2303" s="107">
        <v>138</v>
      </c>
      <c r="Q2303" s="107">
        <v>138.75</v>
      </c>
      <c r="R2303">
        <v>8646073</v>
      </c>
    </row>
    <row r="2304" spans="1:18" x14ac:dyDescent="0.25">
      <c r="A2304" s="130">
        <v>45398</v>
      </c>
      <c r="B2304" s="107">
        <v>139.9</v>
      </c>
      <c r="C2304" s="107">
        <v>138.35</v>
      </c>
      <c r="D2304" s="107">
        <v>137</v>
      </c>
      <c r="E2304" s="107">
        <v>137.94999999999999</v>
      </c>
      <c r="F2304" s="107">
        <v>138.35</v>
      </c>
      <c r="G2304">
        <v>496206</v>
      </c>
      <c r="H2304" s="107"/>
      <c r="I2304" s="107"/>
      <c r="L2304" s="130">
        <v>45398</v>
      </c>
      <c r="M2304" s="107">
        <v>138.44999999999999</v>
      </c>
      <c r="N2304" s="107">
        <v>139.9</v>
      </c>
      <c r="O2304" s="107">
        <v>137.05000000000001</v>
      </c>
      <c r="P2304" s="107">
        <v>137.80000000000001</v>
      </c>
      <c r="Q2304" s="107">
        <v>138.44999999999999</v>
      </c>
      <c r="R2304">
        <v>4486047</v>
      </c>
    </row>
    <row r="2305" spans="1:18" x14ac:dyDescent="0.25">
      <c r="A2305" s="130">
        <v>45400</v>
      </c>
      <c r="B2305" s="107">
        <v>141.94999999999999</v>
      </c>
      <c r="C2305" s="107">
        <v>137.80000000000001</v>
      </c>
      <c r="D2305" s="107">
        <v>136.94999999999999</v>
      </c>
      <c r="E2305" s="107">
        <v>139.19999999999999</v>
      </c>
      <c r="F2305" s="107">
        <v>137.80000000000001</v>
      </c>
      <c r="G2305">
        <v>342295</v>
      </c>
      <c r="H2305" s="107"/>
      <c r="I2305" s="107"/>
      <c r="L2305" s="130">
        <v>45400</v>
      </c>
      <c r="M2305" s="107">
        <v>137.80000000000001</v>
      </c>
      <c r="N2305" s="107">
        <v>141.94999999999999</v>
      </c>
      <c r="O2305" s="107">
        <v>136.85</v>
      </c>
      <c r="P2305" s="107">
        <v>138.9</v>
      </c>
      <c r="Q2305" s="107">
        <v>137.80000000000001</v>
      </c>
      <c r="R2305">
        <v>5817755</v>
      </c>
    </row>
    <row r="2306" spans="1:18" x14ac:dyDescent="0.25">
      <c r="A2306" s="130">
        <v>45401</v>
      </c>
      <c r="B2306" s="107">
        <v>137.44999999999999</v>
      </c>
      <c r="C2306" s="107">
        <v>135.6</v>
      </c>
      <c r="D2306" s="107">
        <v>133.44999999999999</v>
      </c>
      <c r="E2306" s="107">
        <v>134.80000000000001</v>
      </c>
      <c r="F2306" s="107">
        <v>135.6</v>
      </c>
      <c r="G2306">
        <v>1136831</v>
      </c>
      <c r="H2306" s="107"/>
      <c r="I2306" s="107"/>
      <c r="L2306" s="130">
        <v>45401</v>
      </c>
      <c r="M2306" s="107">
        <v>135.75</v>
      </c>
      <c r="N2306" s="107">
        <v>137.5</v>
      </c>
      <c r="O2306" s="107">
        <v>133.19999999999999</v>
      </c>
      <c r="P2306" s="107">
        <v>135</v>
      </c>
      <c r="Q2306" s="107">
        <v>135.75</v>
      </c>
      <c r="R2306">
        <v>8745605</v>
      </c>
    </row>
    <row r="2307" spans="1:18" x14ac:dyDescent="0.25">
      <c r="A2307" s="130">
        <v>45404</v>
      </c>
      <c r="B2307" s="107">
        <v>142</v>
      </c>
      <c r="C2307" s="107">
        <v>141.25</v>
      </c>
      <c r="D2307" s="107">
        <v>137.5</v>
      </c>
      <c r="E2307" s="107">
        <v>138.30000000000001</v>
      </c>
      <c r="F2307" s="107">
        <v>141.25</v>
      </c>
      <c r="G2307">
        <v>622754</v>
      </c>
      <c r="H2307" s="107"/>
      <c r="I2307" s="107"/>
      <c r="L2307" s="130">
        <v>45404</v>
      </c>
      <c r="M2307" s="107">
        <v>141.25</v>
      </c>
      <c r="N2307" s="107">
        <v>141.9</v>
      </c>
      <c r="O2307" s="107">
        <v>137.5</v>
      </c>
      <c r="P2307" s="107">
        <v>139</v>
      </c>
      <c r="Q2307" s="107">
        <v>141.25</v>
      </c>
      <c r="R2307">
        <v>9355760</v>
      </c>
    </row>
    <row r="2308" spans="1:18" x14ac:dyDescent="0.25">
      <c r="A2308" s="130">
        <v>45405</v>
      </c>
      <c r="B2308" s="107">
        <v>145.25</v>
      </c>
      <c r="C2308" s="107">
        <v>144.4</v>
      </c>
      <c r="D2308" s="107">
        <v>140.85</v>
      </c>
      <c r="E2308" s="107">
        <v>142.5</v>
      </c>
      <c r="F2308" s="107">
        <v>144.4</v>
      </c>
      <c r="G2308">
        <v>1362527</v>
      </c>
      <c r="H2308" s="107"/>
      <c r="I2308" s="107"/>
      <c r="L2308" s="130">
        <v>45405</v>
      </c>
      <c r="M2308" s="107">
        <v>144.30000000000001</v>
      </c>
      <c r="N2308" s="107">
        <v>145.30000000000001</v>
      </c>
      <c r="O2308" s="107">
        <v>140.80000000000001</v>
      </c>
      <c r="P2308" s="107">
        <v>142.65</v>
      </c>
      <c r="Q2308" s="107">
        <v>144.30000000000001</v>
      </c>
      <c r="R2308">
        <v>14355630</v>
      </c>
    </row>
    <row r="2309" spans="1:18" x14ac:dyDescent="0.25">
      <c r="A2309" s="130">
        <v>45406</v>
      </c>
      <c r="B2309" s="107">
        <v>145.25</v>
      </c>
      <c r="C2309" s="107">
        <v>144.5</v>
      </c>
      <c r="D2309" s="107">
        <v>143.6</v>
      </c>
      <c r="E2309" s="107">
        <v>144.4</v>
      </c>
      <c r="F2309" s="107">
        <v>144.5</v>
      </c>
      <c r="G2309">
        <v>506392</v>
      </c>
      <c r="H2309" s="107"/>
      <c r="I2309" s="107"/>
      <c r="L2309" s="130">
        <v>45406</v>
      </c>
      <c r="M2309" s="107">
        <v>144.44999999999999</v>
      </c>
      <c r="N2309" s="107">
        <v>145.35</v>
      </c>
      <c r="O2309" s="107">
        <v>143.6</v>
      </c>
      <c r="P2309" s="107">
        <v>144.5</v>
      </c>
      <c r="Q2309" s="107">
        <v>144.44999999999999</v>
      </c>
      <c r="R2309">
        <v>5045213</v>
      </c>
    </row>
    <row r="2310" spans="1:18" x14ac:dyDescent="0.25">
      <c r="A2310" s="130">
        <v>45407</v>
      </c>
      <c r="B2310" s="107">
        <v>152.05000000000001</v>
      </c>
      <c r="C2310" s="107">
        <v>150.35</v>
      </c>
      <c r="D2310" s="107">
        <v>144.1</v>
      </c>
      <c r="E2310" s="107">
        <v>144.15</v>
      </c>
      <c r="F2310" s="107">
        <v>150.35</v>
      </c>
      <c r="G2310">
        <v>2587289</v>
      </c>
      <c r="H2310" s="107"/>
      <c r="I2310" s="107"/>
      <c r="L2310" s="130">
        <v>45407</v>
      </c>
      <c r="M2310" s="107">
        <v>150.35</v>
      </c>
      <c r="N2310" s="107">
        <v>152.15</v>
      </c>
      <c r="O2310" s="107">
        <v>144.1</v>
      </c>
      <c r="P2310" s="107">
        <v>144.5</v>
      </c>
      <c r="Q2310" s="107">
        <v>150.35</v>
      </c>
      <c r="R2310">
        <v>26477024</v>
      </c>
    </row>
    <row r="2311" spans="1:18" x14ac:dyDescent="0.25">
      <c r="A2311" s="130">
        <v>45408</v>
      </c>
      <c r="B2311" s="107">
        <v>154.44999999999999</v>
      </c>
      <c r="C2311" s="107">
        <v>150.30000000000001</v>
      </c>
      <c r="D2311" s="107">
        <v>149.19999999999999</v>
      </c>
      <c r="E2311" s="107">
        <v>151.4</v>
      </c>
      <c r="F2311" s="107">
        <v>150.30000000000001</v>
      </c>
      <c r="G2311">
        <v>1462978</v>
      </c>
      <c r="H2311" s="107"/>
      <c r="I2311" s="107"/>
      <c r="L2311" s="130">
        <v>45408</v>
      </c>
      <c r="M2311" s="107">
        <v>150.35</v>
      </c>
      <c r="N2311" s="107">
        <v>154.4</v>
      </c>
      <c r="O2311" s="107">
        <v>149.19999999999999</v>
      </c>
      <c r="P2311" s="107">
        <v>151.6</v>
      </c>
      <c r="Q2311" s="107">
        <v>150.35</v>
      </c>
      <c r="R2311">
        <v>16215350</v>
      </c>
    </row>
    <row r="2312" spans="1:18" x14ac:dyDescent="0.25">
      <c r="A2312" s="130">
        <v>45411</v>
      </c>
      <c r="B2312" s="107">
        <v>156.19999999999999</v>
      </c>
      <c r="C2312" s="107">
        <v>155.6</v>
      </c>
      <c r="D2312" s="107">
        <v>150.80000000000001</v>
      </c>
      <c r="E2312" s="107">
        <v>151.85</v>
      </c>
      <c r="F2312" s="107">
        <v>155.6</v>
      </c>
      <c r="G2312">
        <v>1505013</v>
      </c>
      <c r="H2312" s="107"/>
      <c r="I2312" s="107"/>
      <c r="L2312" s="130">
        <v>45411</v>
      </c>
      <c r="M2312" s="107">
        <v>155.65</v>
      </c>
      <c r="N2312" s="107">
        <v>156.19999999999999</v>
      </c>
      <c r="O2312" s="107">
        <v>150.75</v>
      </c>
      <c r="P2312" s="107">
        <v>151.65</v>
      </c>
      <c r="Q2312" s="107">
        <v>155.65</v>
      </c>
      <c r="R2312">
        <v>27238149</v>
      </c>
    </row>
    <row r="2313" spans="1:18" x14ac:dyDescent="0.25">
      <c r="A2313" s="130">
        <v>45412</v>
      </c>
      <c r="B2313" s="107">
        <v>158</v>
      </c>
      <c r="C2313" s="107">
        <v>155.19999999999999</v>
      </c>
      <c r="D2313" s="107">
        <v>154.5</v>
      </c>
      <c r="E2313" s="107">
        <v>156.80000000000001</v>
      </c>
      <c r="F2313" s="107">
        <v>155.19999999999999</v>
      </c>
      <c r="G2313">
        <v>757313</v>
      </c>
      <c r="H2313" s="107"/>
      <c r="I2313" s="107"/>
      <c r="L2313" s="130">
        <v>45412</v>
      </c>
      <c r="M2313" s="107">
        <v>155.1</v>
      </c>
      <c r="N2313" s="107">
        <v>157.94999999999999</v>
      </c>
      <c r="O2313" s="107">
        <v>154.1</v>
      </c>
      <c r="P2313" s="107">
        <v>156.85</v>
      </c>
      <c r="Q2313" s="107">
        <v>155.1</v>
      </c>
      <c r="R2313">
        <v>15978504</v>
      </c>
    </row>
    <row r="2314" spans="1:18" x14ac:dyDescent="0.25">
      <c r="A2314" s="130">
        <v>45414</v>
      </c>
      <c r="B2314" s="107">
        <v>156.4</v>
      </c>
      <c r="C2314" s="107">
        <v>151.80000000000001</v>
      </c>
      <c r="D2314" s="107">
        <v>151.15</v>
      </c>
      <c r="E2314" s="107">
        <v>155.5</v>
      </c>
      <c r="F2314" s="107">
        <v>151.80000000000001</v>
      </c>
      <c r="G2314">
        <v>823838</v>
      </c>
      <c r="H2314" s="107"/>
      <c r="I2314" s="107"/>
      <c r="L2314" s="130">
        <v>45414</v>
      </c>
      <c r="M2314" s="107">
        <v>151.65</v>
      </c>
      <c r="N2314" s="107">
        <v>156.4</v>
      </c>
      <c r="O2314" s="107">
        <v>151.1</v>
      </c>
      <c r="P2314" s="107">
        <v>155.4</v>
      </c>
      <c r="Q2314" s="107">
        <v>151.65</v>
      </c>
      <c r="R2314">
        <v>9130409</v>
      </c>
    </row>
    <row r="2315" spans="1:18" x14ac:dyDescent="0.25">
      <c r="A2315" s="130">
        <v>45415</v>
      </c>
      <c r="B2315" s="107">
        <v>153</v>
      </c>
      <c r="C2315" s="107">
        <v>149.85</v>
      </c>
      <c r="D2315" s="107">
        <v>148.25</v>
      </c>
      <c r="E2315" s="107">
        <v>152.80000000000001</v>
      </c>
      <c r="F2315" s="107">
        <v>149.85</v>
      </c>
      <c r="G2315">
        <v>1138230</v>
      </c>
      <c r="H2315" s="107"/>
      <c r="I2315" s="107"/>
      <c r="L2315" s="130">
        <v>45415</v>
      </c>
      <c r="M2315" s="107">
        <v>149.80000000000001</v>
      </c>
      <c r="N2315" s="107">
        <v>153</v>
      </c>
      <c r="O2315" s="107">
        <v>148.25</v>
      </c>
      <c r="P2315" s="107">
        <v>153</v>
      </c>
      <c r="Q2315" s="107">
        <v>149.80000000000001</v>
      </c>
      <c r="R2315">
        <v>9411856</v>
      </c>
    </row>
    <row r="2316" spans="1:18" x14ac:dyDescent="0.25">
      <c r="A2316" s="130">
        <v>45418</v>
      </c>
      <c r="B2316" s="107">
        <v>150.9</v>
      </c>
      <c r="C2316" s="107">
        <v>146</v>
      </c>
      <c r="D2316" s="107">
        <v>140.6</v>
      </c>
      <c r="E2316" s="107">
        <v>150.9</v>
      </c>
      <c r="F2316" s="107">
        <v>146</v>
      </c>
      <c r="G2316">
        <v>1518775</v>
      </c>
      <c r="H2316" s="107"/>
      <c r="I2316" s="107"/>
      <c r="L2316" s="130">
        <v>45418</v>
      </c>
      <c r="M2316" s="107">
        <v>146.1</v>
      </c>
      <c r="N2316" s="107">
        <v>150.65</v>
      </c>
      <c r="O2316" s="107">
        <v>140.69999999999999</v>
      </c>
      <c r="P2316" s="107">
        <v>150.5</v>
      </c>
      <c r="Q2316" s="107">
        <v>146.1</v>
      </c>
      <c r="R2316">
        <v>19028324</v>
      </c>
    </row>
    <row r="2317" spans="1:18" x14ac:dyDescent="0.25">
      <c r="A2317" s="130">
        <v>45419</v>
      </c>
      <c r="B2317" s="107">
        <v>147.30000000000001</v>
      </c>
      <c r="C2317" s="107">
        <v>140.85</v>
      </c>
      <c r="D2317" s="107">
        <v>139.30000000000001</v>
      </c>
      <c r="E2317" s="107">
        <v>146</v>
      </c>
      <c r="F2317" s="107">
        <v>140.85</v>
      </c>
      <c r="G2317">
        <v>771645</v>
      </c>
      <c r="H2317" s="107"/>
      <c r="I2317" s="107"/>
      <c r="L2317" s="130">
        <v>45419</v>
      </c>
      <c r="M2317" s="107">
        <v>140.94999999999999</v>
      </c>
      <c r="N2317" s="107">
        <v>147.4</v>
      </c>
      <c r="O2317" s="107">
        <v>139.30000000000001</v>
      </c>
      <c r="P2317" s="107">
        <v>146.1</v>
      </c>
      <c r="Q2317" s="107">
        <v>140.94999999999999</v>
      </c>
      <c r="R2317">
        <v>12901348</v>
      </c>
    </row>
    <row r="2318" spans="1:18" x14ac:dyDescent="0.25">
      <c r="A2318" s="130">
        <v>45420</v>
      </c>
      <c r="B2318" s="107">
        <v>145.05000000000001</v>
      </c>
      <c r="C2318" s="107">
        <v>142.1</v>
      </c>
      <c r="D2318" s="107">
        <v>139.69999999999999</v>
      </c>
      <c r="E2318" s="107">
        <v>140.85</v>
      </c>
      <c r="F2318" s="107">
        <v>142.1</v>
      </c>
      <c r="G2318">
        <v>677097</v>
      </c>
      <c r="H2318" s="107"/>
      <c r="I2318" s="107"/>
      <c r="L2318" s="130">
        <v>45420</v>
      </c>
      <c r="M2318" s="107">
        <v>142.19999999999999</v>
      </c>
      <c r="N2318" s="107">
        <v>145.15</v>
      </c>
      <c r="O2318" s="107">
        <v>139.69999999999999</v>
      </c>
      <c r="P2318" s="107">
        <v>140.94999999999999</v>
      </c>
      <c r="Q2318" s="107">
        <v>142.19999999999999</v>
      </c>
      <c r="R2318">
        <v>12838726</v>
      </c>
    </row>
    <row r="2319" spans="1:18" x14ac:dyDescent="0.25">
      <c r="A2319" s="130">
        <v>45421</v>
      </c>
      <c r="B2319" s="107">
        <v>144.4</v>
      </c>
      <c r="C2319" s="107">
        <v>139</v>
      </c>
      <c r="D2319" s="107">
        <v>138.19999999999999</v>
      </c>
      <c r="E2319" s="107">
        <v>144.4</v>
      </c>
      <c r="F2319" s="107">
        <v>139</v>
      </c>
      <c r="G2319">
        <v>711409</v>
      </c>
      <c r="H2319" s="107"/>
      <c r="I2319" s="107"/>
      <c r="L2319" s="130">
        <v>45421</v>
      </c>
      <c r="M2319" s="107">
        <v>139</v>
      </c>
      <c r="N2319" s="107">
        <v>144.4</v>
      </c>
      <c r="O2319" s="107">
        <v>138.15</v>
      </c>
      <c r="P2319" s="107">
        <v>143.30000000000001</v>
      </c>
      <c r="Q2319" s="107">
        <v>139</v>
      </c>
      <c r="R2319">
        <v>10552927</v>
      </c>
    </row>
    <row r="2320" spans="1:18" x14ac:dyDescent="0.25">
      <c r="A2320" s="130">
        <v>45422</v>
      </c>
      <c r="B2320" s="107">
        <v>140.94999999999999</v>
      </c>
      <c r="C2320" s="107">
        <v>138.85</v>
      </c>
      <c r="D2320" s="107">
        <v>136.65</v>
      </c>
      <c r="E2320" s="107">
        <v>139.75</v>
      </c>
      <c r="F2320" s="107">
        <v>138.85</v>
      </c>
      <c r="G2320">
        <v>955897</v>
      </c>
      <c r="H2320" s="107"/>
      <c r="I2320" s="107"/>
      <c r="L2320" s="130">
        <v>45422</v>
      </c>
      <c r="M2320" s="107">
        <v>138.75</v>
      </c>
      <c r="N2320" s="107">
        <v>140.9</v>
      </c>
      <c r="O2320" s="107">
        <v>136.6</v>
      </c>
      <c r="P2320" s="107">
        <v>140</v>
      </c>
      <c r="Q2320" s="107">
        <v>138.75</v>
      </c>
      <c r="R2320">
        <v>10533907</v>
      </c>
    </row>
    <row r="2321" spans="1:18" x14ac:dyDescent="0.25">
      <c r="A2321" s="130">
        <v>45425</v>
      </c>
      <c r="B2321" s="107">
        <v>130.80000000000001</v>
      </c>
      <c r="C2321" s="107">
        <v>124.5</v>
      </c>
      <c r="D2321" s="107">
        <v>121.7</v>
      </c>
      <c r="E2321" s="107">
        <v>128</v>
      </c>
      <c r="F2321" s="107">
        <v>124.5</v>
      </c>
      <c r="G2321">
        <v>5175769</v>
      </c>
      <c r="H2321" s="107"/>
      <c r="I2321" s="107"/>
      <c r="L2321" s="130">
        <v>45425</v>
      </c>
      <c r="M2321" s="107">
        <v>124.6</v>
      </c>
      <c r="N2321" s="107">
        <v>131</v>
      </c>
      <c r="O2321" s="107">
        <v>121.5</v>
      </c>
      <c r="P2321" s="107">
        <v>128</v>
      </c>
      <c r="Q2321" s="107">
        <v>124.6</v>
      </c>
      <c r="R2321">
        <v>57308261</v>
      </c>
    </row>
    <row r="2322" spans="1:18" x14ac:dyDescent="0.25">
      <c r="A2322" s="130">
        <v>45426</v>
      </c>
      <c r="B2322" s="107">
        <v>126.8</v>
      </c>
      <c r="C2322" s="107">
        <v>122.85</v>
      </c>
      <c r="D2322" s="107">
        <v>121.95</v>
      </c>
      <c r="E2322" s="107">
        <v>126.5</v>
      </c>
      <c r="F2322" s="107">
        <v>122.85</v>
      </c>
      <c r="G2322">
        <v>1747006</v>
      </c>
      <c r="H2322" s="107"/>
      <c r="I2322" s="107"/>
      <c r="L2322" s="130">
        <v>45426</v>
      </c>
      <c r="M2322" s="107">
        <v>122.85</v>
      </c>
      <c r="N2322" s="107">
        <v>126.8</v>
      </c>
      <c r="O2322" s="107">
        <v>122</v>
      </c>
      <c r="P2322" s="107">
        <v>126.4</v>
      </c>
      <c r="Q2322" s="107">
        <v>122.85</v>
      </c>
      <c r="R2322">
        <v>24312119</v>
      </c>
    </row>
    <row r="2323" spans="1:18" x14ac:dyDescent="0.25">
      <c r="A2323" s="130">
        <v>45427</v>
      </c>
      <c r="B2323" s="107">
        <v>128.1</v>
      </c>
      <c r="C2323" s="107">
        <v>124.15</v>
      </c>
      <c r="D2323" s="107">
        <v>122.2</v>
      </c>
      <c r="E2323" s="107">
        <v>124.85</v>
      </c>
      <c r="F2323" s="107">
        <v>124.15</v>
      </c>
      <c r="G2323">
        <v>1929609</v>
      </c>
      <c r="H2323" s="107"/>
      <c r="I2323" s="107"/>
      <c r="L2323" s="130">
        <v>45427</v>
      </c>
      <c r="M2323" s="107">
        <v>124.6</v>
      </c>
      <c r="N2323" s="107">
        <v>128.1</v>
      </c>
      <c r="O2323" s="107">
        <v>123.75</v>
      </c>
      <c r="P2323" s="107">
        <v>124.1</v>
      </c>
      <c r="Q2323" s="107">
        <v>124.6</v>
      </c>
      <c r="R2323">
        <v>17075065</v>
      </c>
    </row>
    <row r="2324" spans="1:18" x14ac:dyDescent="0.25">
      <c r="A2324" s="130">
        <v>45428</v>
      </c>
      <c r="B2324" s="107">
        <v>127.8</v>
      </c>
      <c r="C2324" s="107">
        <v>121.7</v>
      </c>
      <c r="D2324" s="107">
        <v>120.25</v>
      </c>
      <c r="E2324" s="107">
        <v>126.45</v>
      </c>
      <c r="F2324" s="107">
        <v>121.7</v>
      </c>
      <c r="G2324">
        <v>1504659</v>
      </c>
      <c r="H2324" s="107"/>
      <c r="I2324" s="107"/>
      <c r="L2324" s="130">
        <v>45428</v>
      </c>
      <c r="M2324" s="107">
        <v>121.7</v>
      </c>
      <c r="N2324" s="107">
        <v>126.7</v>
      </c>
      <c r="O2324" s="107">
        <v>120.8</v>
      </c>
      <c r="P2324" s="107">
        <v>126</v>
      </c>
      <c r="Q2324" s="107">
        <v>121.7</v>
      </c>
      <c r="R2324">
        <v>20908061</v>
      </c>
    </row>
    <row r="2325" spans="1:18" x14ac:dyDescent="0.25">
      <c r="A2325" s="130">
        <v>45429</v>
      </c>
      <c r="B2325" s="107">
        <v>124.1</v>
      </c>
      <c r="C2325" s="107">
        <v>123.1</v>
      </c>
      <c r="D2325" s="107">
        <v>122.35</v>
      </c>
      <c r="E2325" s="107">
        <v>122.95</v>
      </c>
      <c r="F2325" s="107">
        <v>123.1</v>
      </c>
      <c r="G2325">
        <v>1027526</v>
      </c>
      <c r="H2325" s="107"/>
      <c r="I2325" s="107"/>
      <c r="L2325" s="130">
        <v>45429</v>
      </c>
      <c r="M2325" s="107">
        <v>123.05</v>
      </c>
      <c r="N2325" s="107">
        <v>124.1</v>
      </c>
      <c r="O2325" s="107">
        <v>122.35</v>
      </c>
      <c r="P2325" s="107">
        <v>122.8</v>
      </c>
      <c r="Q2325" s="107">
        <v>123.05</v>
      </c>
      <c r="R2325">
        <v>11055315</v>
      </c>
    </row>
    <row r="2326" spans="1:18" x14ac:dyDescent="0.25">
      <c r="A2326" s="130">
        <v>45430</v>
      </c>
      <c r="B2326" s="107">
        <v>124.5</v>
      </c>
      <c r="C2326" s="107">
        <v>124.4</v>
      </c>
      <c r="D2326" s="107">
        <v>123.55</v>
      </c>
      <c r="E2326" s="107">
        <v>123.9</v>
      </c>
      <c r="F2326" s="107">
        <v>124.4</v>
      </c>
      <c r="G2326">
        <v>194089</v>
      </c>
      <c r="H2326" s="107"/>
      <c r="I2326" s="107"/>
      <c r="L2326" s="130">
        <v>45430</v>
      </c>
      <c r="M2326" s="107">
        <v>124.4</v>
      </c>
      <c r="N2326" s="107">
        <v>124.6</v>
      </c>
      <c r="O2326" s="107">
        <v>123.6</v>
      </c>
      <c r="P2326" s="107">
        <v>123.6</v>
      </c>
      <c r="Q2326" s="107">
        <v>124.4</v>
      </c>
      <c r="R2326">
        <v>1468049</v>
      </c>
    </row>
    <row r="2327" spans="1:18" x14ac:dyDescent="0.25">
      <c r="A2327" s="130">
        <v>45433</v>
      </c>
      <c r="B2327" s="107">
        <v>126</v>
      </c>
      <c r="C2327" s="107">
        <v>123.25</v>
      </c>
      <c r="D2327" s="107">
        <v>122.75</v>
      </c>
      <c r="E2327" s="107">
        <v>125</v>
      </c>
      <c r="F2327" s="107">
        <v>123.25</v>
      </c>
      <c r="G2327">
        <v>1184678</v>
      </c>
      <c r="H2327" s="107"/>
      <c r="I2327" s="107"/>
      <c r="L2327" s="130">
        <v>45433</v>
      </c>
      <c r="M2327" s="107">
        <v>123.2</v>
      </c>
      <c r="N2327" s="107">
        <v>126</v>
      </c>
      <c r="O2327" s="107">
        <v>122.75</v>
      </c>
      <c r="P2327" s="107">
        <v>124.8</v>
      </c>
      <c r="Q2327" s="107">
        <v>123.2</v>
      </c>
      <c r="R2327">
        <v>16225214</v>
      </c>
    </row>
    <row r="2328" spans="1:18" x14ac:dyDescent="0.25">
      <c r="A2328" s="130">
        <v>45434</v>
      </c>
      <c r="B2328" s="107">
        <v>127.35</v>
      </c>
      <c r="C2328" s="107">
        <v>126.85</v>
      </c>
      <c r="D2328" s="107">
        <v>123.95</v>
      </c>
      <c r="E2328" s="107">
        <v>124.85</v>
      </c>
      <c r="F2328" s="107">
        <v>126.85</v>
      </c>
      <c r="G2328">
        <v>1647555</v>
      </c>
      <c r="H2328" s="107"/>
      <c r="I2328" s="107"/>
      <c r="L2328" s="130">
        <v>45434</v>
      </c>
      <c r="M2328" s="107">
        <v>126.8</v>
      </c>
      <c r="N2328" s="107">
        <v>127.4</v>
      </c>
      <c r="O2328" s="107">
        <v>123.95</v>
      </c>
      <c r="P2328" s="107">
        <v>124.2</v>
      </c>
      <c r="Q2328" s="107">
        <v>126.8</v>
      </c>
      <c r="R2328">
        <v>14805581</v>
      </c>
    </row>
    <row r="2329" spans="1:18" x14ac:dyDescent="0.25">
      <c r="A2329" s="130">
        <v>45435</v>
      </c>
      <c r="B2329" s="107">
        <v>130.75</v>
      </c>
      <c r="C2329" s="107">
        <v>129.1</v>
      </c>
      <c r="D2329" s="107">
        <v>127.6</v>
      </c>
      <c r="E2329" s="107">
        <v>127.7</v>
      </c>
      <c r="F2329" s="107">
        <v>129.1</v>
      </c>
      <c r="G2329">
        <v>1371019</v>
      </c>
      <c r="H2329" s="107"/>
      <c r="I2329" s="107"/>
      <c r="L2329" s="130">
        <v>45435</v>
      </c>
      <c r="M2329" s="107">
        <v>129.15</v>
      </c>
      <c r="N2329" s="107">
        <v>130.80000000000001</v>
      </c>
      <c r="O2329" s="107">
        <v>127.6</v>
      </c>
      <c r="P2329" s="107">
        <v>127.6</v>
      </c>
      <c r="Q2329" s="107">
        <v>129.15</v>
      </c>
      <c r="R2329">
        <v>13782938</v>
      </c>
    </row>
    <row r="2330" spans="1:18" x14ac:dyDescent="0.25">
      <c r="A2330" s="130">
        <v>45436</v>
      </c>
      <c r="B2330" s="107">
        <v>131.25</v>
      </c>
      <c r="C2330" s="107">
        <v>129.9</v>
      </c>
      <c r="D2330" s="107">
        <v>128.94999999999999</v>
      </c>
      <c r="E2330" s="107">
        <v>129.85</v>
      </c>
      <c r="F2330" s="107">
        <v>129.9</v>
      </c>
      <c r="G2330">
        <v>548171</v>
      </c>
      <c r="H2330" s="107"/>
      <c r="I2330" s="107"/>
      <c r="L2330" s="130">
        <v>45436</v>
      </c>
      <c r="M2330" s="107">
        <v>129.9</v>
      </c>
      <c r="N2330" s="107">
        <v>131.19999999999999</v>
      </c>
      <c r="O2330" s="107">
        <v>128.9</v>
      </c>
      <c r="P2330" s="107">
        <v>129.25</v>
      </c>
      <c r="Q2330" s="107">
        <v>129.9</v>
      </c>
      <c r="R2330">
        <v>9755587</v>
      </c>
    </row>
    <row r="2331" spans="1:18" x14ac:dyDescent="0.25">
      <c r="A2331" s="130">
        <v>45439</v>
      </c>
      <c r="B2331" s="107">
        <v>133.69999999999999</v>
      </c>
      <c r="C2331" s="107">
        <v>132.4</v>
      </c>
      <c r="D2331" s="107">
        <v>129.15</v>
      </c>
      <c r="E2331" s="107">
        <v>130.94999999999999</v>
      </c>
      <c r="F2331" s="107">
        <v>132.4</v>
      </c>
      <c r="G2331">
        <v>1560350</v>
      </c>
      <c r="H2331" s="107"/>
      <c r="I2331" s="107"/>
      <c r="L2331" s="130">
        <v>45439</v>
      </c>
      <c r="M2331" s="107">
        <v>132.44999999999999</v>
      </c>
      <c r="N2331" s="107">
        <v>133.69999999999999</v>
      </c>
      <c r="O2331" s="107">
        <v>129</v>
      </c>
      <c r="P2331" s="107">
        <v>130.75</v>
      </c>
      <c r="Q2331" s="107">
        <v>132.44999999999999</v>
      </c>
      <c r="R2331">
        <v>16918404</v>
      </c>
    </row>
    <row r="2332" spans="1:18" x14ac:dyDescent="0.25">
      <c r="A2332" s="130">
        <v>45440</v>
      </c>
      <c r="B2332" s="107">
        <v>134.5</v>
      </c>
      <c r="C2332" s="107">
        <v>130.4</v>
      </c>
      <c r="D2332" s="107">
        <v>129.05000000000001</v>
      </c>
      <c r="E2332" s="107">
        <v>133.4</v>
      </c>
      <c r="F2332" s="107">
        <v>130.4</v>
      </c>
      <c r="G2332">
        <v>830932</v>
      </c>
      <c r="H2332" s="107"/>
      <c r="I2332" s="107"/>
      <c r="L2332" s="130">
        <v>45440</v>
      </c>
      <c r="M2332" s="107">
        <v>130.4</v>
      </c>
      <c r="N2332" s="107">
        <v>134.5</v>
      </c>
      <c r="O2332" s="107">
        <v>128</v>
      </c>
      <c r="P2332" s="107">
        <v>133.05000000000001</v>
      </c>
      <c r="Q2332" s="107">
        <v>130.4</v>
      </c>
      <c r="R2332">
        <v>14334121</v>
      </c>
    </row>
    <row r="2333" spans="1:18" x14ac:dyDescent="0.25">
      <c r="A2333" s="130">
        <v>45441</v>
      </c>
      <c r="B2333" s="107">
        <v>130.94999999999999</v>
      </c>
      <c r="C2333" s="107">
        <v>129.55000000000001</v>
      </c>
      <c r="D2333" s="107">
        <v>128.4</v>
      </c>
      <c r="E2333" s="107">
        <v>129.80000000000001</v>
      </c>
      <c r="F2333" s="107">
        <v>129.55000000000001</v>
      </c>
      <c r="G2333">
        <v>726612</v>
      </c>
      <c r="H2333" s="107"/>
      <c r="I2333" s="107"/>
      <c r="L2333" s="130">
        <v>45441</v>
      </c>
      <c r="M2333" s="107">
        <v>129.55000000000001</v>
      </c>
      <c r="N2333" s="107">
        <v>130.80000000000001</v>
      </c>
      <c r="O2333" s="107">
        <v>128.35</v>
      </c>
      <c r="P2333" s="107">
        <v>129.35</v>
      </c>
      <c r="Q2333" s="107">
        <v>129.55000000000001</v>
      </c>
      <c r="R2333">
        <v>8418504</v>
      </c>
    </row>
    <row r="2334" spans="1:18" x14ac:dyDescent="0.25">
      <c r="A2334" s="130">
        <v>45442</v>
      </c>
      <c r="B2334" s="107">
        <v>130.9</v>
      </c>
      <c r="C2334" s="107">
        <v>128</v>
      </c>
      <c r="D2334" s="107">
        <v>127.5</v>
      </c>
      <c r="E2334" s="107">
        <v>128.85</v>
      </c>
      <c r="F2334" s="107">
        <v>128</v>
      </c>
      <c r="G2334">
        <v>743596</v>
      </c>
      <c r="H2334" s="107"/>
      <c r="I2334" s="107"/>
      <c r="L2334" s="130">
        <v>45442</v>
      </c>
      <c r="M2334" s="107">
        <v>128.05000000000001</v>
      </c>
      <c r="N2334" s="107">
        <v>130.94999999999999</v>
      </c>
      <c r="O2334" s="107">
        <v>127.5</v>
      </c>
      <c r="P2334" s="107">
        <v>128.25</v>
      </c>
      <c r="Q2334" s="107">
        <v>128.05000000000001</v>
      </c>
      <c r="R2334">
        <v>7601982</v>
      </c>
    </row>
    <row r="2335" spans="1:18" x14ac:dyDescent="0.25">
      <c r="A2335" s="130">
        <v>45443</v>
      </c>
      <c r="B2335" s="107">
        <v>129.75</v>
      </c>
      <c r="C2335" s="107">
        <v>128.69999999999999</v>
      </c>
      <c r="D2335" s="107">
        <v>125.55</v>
      </c>
      <c r="E2335" s="107">
        <v>129.25</v>
      </c>
      <c r="F2335" s="107">
        <v>128.69999999999999</v>
      </c>
      <c r="G2335">
        <v>813599</v>
      </c>
      <c r="H2335" s="107"/>
      <c r="I2335" s="107"/>
      <c r="L2335" s="130">
        <v>45443</v>
      </c>
      <c r="M2335" s="107">
        <v>128.69999999999999</v>
      </c>
      <c r="N2335" s="107">
        <v>129.80000000000001</v>
      </c>
      <c r="O2335" s="107">
        <v>125.5</v>
      </c>
      <c r="P2335" s="107">
        <v>128.55000000000001</v>
      </c>
      <c r="Q2335" s="107">
        <v>128.69999999999999</v>
      </c>
      <c r="R2335">
        <v>15463943</v>
      </c>
    </row>
    <row r="2336" spans="1:18" x14ac:dyDescent="0.25">
      <c r="A2336" s="130">
        <v>45446</v>
      </c>
      <c r="B2336" s="107">
        <v>137.35</v>
      </c>
      <c r="C2336" s="107">
        <v>135.6</v>
      </c>
      <c r="D2336" s="107">
        <v>133.1</v>
      </c>
      <c r="E2336" s="107">
        <v>134.75</v>
      </c>
      <c r="F2336" s="107">
        <v>135.6</v>
      </c>
      <c r="G2336">
        <v>3547026</v>
      </c>
      <c r="H2336" s="107"/>
      <c r="I2336" s="107"/>
      <c r="L2336" s="130">
        <v>45446</v>
      </c>
      <c r="M2336" s="107">
        <v>135.55000000000001</v>
      </c>
      <c r="N2336" s="107">
        <v>137.44999999999999</v>
      </c>
      <c r="O2336" s="107">
        <v>133.15</v>
      </c>
      <c r="P2336" s="107">
        <v>135</v>
      </c>
      <c r="Q2336" s="107">
        <v>135.55000000000001</v>
      </c>
      <c r="R2336">
        <v>34037315</v>
      </c>
    </row>
    <row r="2337" spans="1:18" x14ac:dyDescent="0.25">
      <c r="A2337" s="130">
        <v>45447</v>
      </c>
      <c r="B2337" s="107">
        <v>135.6</v>
      </c>
      <c r="C2337" s="107">
        <v>116.5</v>
      </c>
      <c r="D2337" s="107">
        <v>110.35</v>
      </c>
      <c r="E2337" s="107">
        <v>125.15</v>
      </c>
      <c r="F2337" s="107">
        <v>116.5</v>
      </c>
      <c r="G2337">
        <v>5646923</v>
      </c>
      <c r="H2337" s="107"/>
      <c r="I2337" s="107"/>
      <c r="L2337" s="130">
        <v>45447</v>
      </c>
      <c r="M2337" s="107">
        <v>116.35</v>
      </c>
      <c r="N2337" s="107">
        <v>135.85</v>
      </c>
      <c r="O2337" s="107">
        <v>110.2</v>
      </c>
      <c r="P2337" s="107">
        <v>135.85</v>
      </c>
      <c r="Q2337" s="107">
        <v>116.35</v>
      </c>
      <c r="R2337">
        <v>49514325</v>
      </c>
    </row>
    <row r="2338" spans="1:18" x14ac:dyDescent="0.25">
      <c r="A2338" s="130">
        <v>45448</v>
      </c>
      <c r="B2338" s="107">
        <v>120.45</v>
      </c>
      <c r="C2338" s="107">
        <v>116.95</v>
      </c>
      <c r="D2338" s="107">
        <v>109.55</v>
      </c>
      <c r="E2338" s="107">
        <v>119.3</v>
      </c>
      <c r="F2338" s="107">
        <v>116.95</v>
      </c>
      <c r="G2338">
        <v>3557141</v>
      </c>
      <c r="H2338" s="107"/>
      <c r="I2338" s="107"/>
      <c r="L2338" s="130">
        <v>45448</v>
      </c>
      <c r="M2338" s="107">
        <v>116.95</v>
      </c>
      <c r="N2338" s="107">
        <v>120.6</v>
      </c>
      <c r="O2338" s="107">
        <v>109.55</v>
      </c>
      <c r="P2338" s="107">
        <v>119</v>
      </c>
      <c r="Q2338" s="107">
        <v>116.95</v>
      </c>
      <c r="R2338">
        <v>39376239</v>
      </c>
    </row>
    <row r="2339" spans="1:18" x14ac:dyDescent="0.25">
      <c r="A2339" s="130">
        <v>45449</v>
      </c>
      <c r="B2339" s="107">
        <v>122.2</v>
      </c>
      <c r="C2339" s="107">
        <v>117.8</v>
      </c>
      <c r="D2339" s="107">
        <v>117.3</v>
      </c>
      <c r="E2339" s="107">
        <v>119.2</v>
      </c>
      <c r="F2339" s="107">
        <v>117.8</v>
      </c>
      <c r="G2339">
        <v>2856300</v>
      </c>
      <c r="H2339" s="107"/>
      <c r="I2339" s="107"/>
      <c r="L2339" s="130">
        <v>45449</v>
      </c>
      <c r="M2339" s="107">
        <v>117.85</v>
      </c>
      <c r="N2339" s="107">
        <v>122.25</v>
      </c>
      <c r="O2339" s="107">
        <v>117.4</v>
      </c>
      <c r="P2339" s="107">
        <v>119</v>
      </c>
      <c r="Q2339" s="107">
        <v>117.85</v>
      </c>
      <c r="R2339">
        <v>35581829</v>
      </c>
    </row>
    <row r="2340" spans="1:18" x14ac:dyDescent="0.25">
      <c r="A2340" s="130">
        <v>45450</v>
      </c>
      <c r="B2340" s="107">
        <v>121.5</v>
      </c>
      <c r="C2340" s="107">
        <v>121.05</v>
      </c>
      <c r="D2340" s="107">
        <v>118</v>
      </c>
      <c r="E2340" s="107">
        <v>118.7</v>
      </c>
      <c r="F2340" s="107">
        <v>121.05</v>
      </c>
      <c r="G2340">
        <v>705434</v>
      </c>
      <c r="H2340" s="107"/>
      <c r="I2340" s="107"/>
      <c r="L2340" s="130">
        <v>45450</v>
      </c>
      <c r="M2340" s="107">
        <v>121.05</v>
      </c>
      <c r="N2340" s="107">
        <v>121.4</v>
      </c>
      <c r="O2340" s="107">
        <v>117.9</v>
      </c>
      <c r="P2340" s="107">
        <v>118.6</v>
      </c>
      <c r="Q2340" s="107">
        <v>121.05</v>
      </c>
      <c r="R2340">
        <v>15029332</v>
      </c>
    </row>
    <row r="2341" spans="1:18" x14ac:dyDescent="0.25">
      <c r="A2341" s="130">
        <v>45453</v>
      </c>
      <c r="B2341" s="107">
        <v>125.45</v>
      </c>
      <c r="C2341" s="107">
        <v>122.9</v>
      </c>
      <c r="D2341" s="107">
        <v>121.4</v>
      </c>
      <c r="E2341" s="107">
        <v>122.25</v>
      </c>
      <c r="F2341" s="107">
        <v>122.9</v>
      </c>
      <c r="G2341">
        <v>1977548</v>
      </c>
      <c r="H2341" s="107"/>
      <c r="I2341" s="107"/>
      <c r="L2341" s="130">
        <v>45453</v>
      </c>
      <c r="M2341" s="107">
        <v>123.34</v>
      </c>
      <c r="N2341" s="107">
        <v>125.45</v>
      </c>
      <c r="O2341" s="107">
        <v>122</v>
      </c>
      <c r="P2341" s="107">
        <v>122</v>
      </c>
      <c r="Q2341" s="107">
        <v>123.34</v>
      </c>
      <c r="R2341">
        <v>16610021</v>
      </c>
    </row>
    <row r="2342" spans="1:18" x14ac:dyDescent="0.25">
      <c r="A2342" s="130">
        <v>45454</v>
      </c>
      <c r="B2342" s="107">
        <v>124.4</v>
      </c>
      <c r="C2342" s="107">
        <v>123.05</v>
      </c>
      <c r="D2342" s="107">
        <v>122.4</v>
      </c>
      <c r="E2342" s="107">
        <v>124.4</v>
      </c>
      <c r="F2342" s="107">
        <v>123.05</v>
      </c>
      <c r="G2342">
        <v>399361</v>
      </c>
      <c r="H2342" s="107"/>
      <c r="I2342" s="107"/>
      <c r="L2342" s="130">
        <v>45454</v>
      </c>
      <c r="M2342" s="107">
        <v>123.01</v>
      </c>
      <c r="N2342" s="107">
        <v>124.33</v>
      </c>
      <c r="O2342" s="107">
        <v>122.4</v>
      </c>
      <c r="P2342" s="107">
        <v>124.25</v>
      </c>
      <c r="Q2342" s="107">
        <v>123.01</v>
      </c>
      <c r="R2342">
        <v>11182412</v>
      </c>
    </row>
    <row r="2343" spans="1:18" x14ac:dyDescent="0.25">
      <c r="A2343" s="130">
        <v>45455</v>
      </c>
      <c r="B2343" s="107">
        <v>125.3</v>
      </c>
      <c r="C2343" s="107">
        <v>124.1</v>
      </c>
      <c r="D2343" s="107">
        <v>122.65</v>
      </c>
      <c r="E2343" s="107">
        <v>123.5</v>
      </c>
      <c r="F2343" s="107">
        <v>124.1</v>
      </c>
      <c r="G2343">
        <v>1530667</v>
      </c>
      <c r="H2343" s="107"/>
      <c r="I2343" s="107"/>
      <c r="L2343" s="130">
        <v>45455</v>
      </c>
      <c r="M2343" s="107">
        <v>124.06</v>
      </c>
      <c r="N2343" s="107">
        <v>125.3</v>
      </c>
      <c r="O2343" s="107">
        <v>122.63</v>
      </c>
      <c r="P2343" s="107">
        <v>123.7</v>
      </c>
      <c r="Q2343" s="107">
        <v>124.06</v>
      </c>
      <c r="R2343">
        <v>17063890</v>
      </c>
    </row>
    <row r="2344" spans="1:18" x14ac:dyDescent="0.25">
      <c r="A2344" s="130">
        <v>45456</v>
      </c>
      <c r="B2344" s="107">
        <v>126.15</v>
      </c>
      <c r="C2344" s="107">
        <v>124.5</v>
      </c>
      <c r="D2344" s="107">
        <v>124</v>
      </c>
      <c r="E2344" s="107">
        <v>125.15</v>
      </c>
      <c r="F2344" s="107">
        <v>124.5</v>
      </c>
      <c r="G2344">
        <v>972855</v>
      </c>
      <c r="H2344" s="107"/>
      <c r="I2344" s="107"/>
      <c r="L2344" s="130">
        <v>45456</v>
      </c>
      <c r="M2344" s="107">
        <v>124.51</v>
      </c>
      <c r="N2344" s="107">
        <v>126.2</v>
      </c>
      <c r="O2344" s="107">
        <v>124.05</v>
      </c>
      <c r="P2344" s="107">
        <v>125</v>
      </c>
      <c r="Q2344" s="107">
        <v>124.51</v>
      </c>
      <c r="R2344">
        <v>10097817</v>
      </c>
    </row>
    <row r="2345" spans="1:18" x14ac:dyDescent="0.25">
      <c r="A2345" s="130">
        <v>45457</v>
      </c>
      <c r="B2345" s="107">
        <v>126.35</v>
      </c>
      <c r="C2345" s="107">
        <v>125.75</v>
      </c>
      <c r="D2345" s="107">
        <v>124.2</v>
      </c>
      <c r="E2345" s="107">
        <v>125.6</v>
      </c>
      <c r="F2345" s="107">
        <v>125.75</v>
      </c>
      <c r="G2345">
        <v>451026</v>
      </c>
      <c r="H2345" s="107"/>
      <c r="I2345" s="107"/>
      <c r="L2345" s="130">
        <v>45457</v>
      </c>
      <c r="M2345" s="107">
        <v>125.76</v>
      </c>
      <c r="N2345" s="107">
        <v>126.39</v>
      </c>
      <c r="O2345" s="107">
        <v>124.11</v>
      </c>
      <c r="P2345" s="107">
        <v>124.9</v>
      </c>
      <c r="Q2345" s="107">
        <v>125.76</v>
      </c>
      <c r="R2345">
        <v>11737543</v>
      </c>
    </row>
    <row r="2346" spans="1:18" x14ac:dyDescent="0.25">
      <c r="A2346" s="130">
        <v>45461</v>
      </c>
      <c r="B2346" s="107">
        <v>125.25</v>
      </c>
      <c r="C2346" s="107">
        <v>122.25</v>
      </c>
      <c r="D2346" s="107">
        <v>122</v>
      </c>
      <c r="E2346" s="107">
        <v>125</v>
      </c>
      <c r="F2346" s="107">
        <v>122.25</v>
      </c>
      <c r="G2346">
        <v>772821</v>
      </c>
      <c r="H2346" s="107"/>
      <c r="I2346" s="107"/>
      <c r="L2346" s="130">
        <v>45461</v>
      </c>
      <c r="M2346" s="107">
        <v>122.22</v>
      </c>
      <c r="N2346" s="107">
        <v>124.9</v>
      </c>
      <c r="O2346" s="107">
        <v>121.82</v>
      </c>
      <c r="P2346" s="107">
        <v>124.9</v>
      </c>
      <c r="Q2346" s="107">
        <v>122.22</v>
      </c>
      <c r="R2346">
        <v>19283739</v>
      </c>
    </row>
    <row r="2347" spans="1:18" x14ac:dyDescent="0.25">
      <c r="A2347" s="130">
        <v>45462</v>
      </c>
      <c r="B2347" s="107">
        <v>124</v>
      </c>
      <c r="C2347" s="107">
        <v>122.75</v>
      </c>
      <c r="D2347" s="107">
        <v>121.4</v>
      </c>
      <c r="E2347" s="107">
        <v>122.7</v>
      </c>
      <c r="F2347" s="107">
        <v>122.75</v>
      </c>
      <c r="G2347">
        <v>1189874</v>
      </c>
      <c r="H2347" s="107"/>
      <c r="I2347" s="107"/>
      <c r="L2347" s="130">
        <v>45462</v>
      </c>
      <c r="M2347" s="107">
        <v>122.89</v>
      </c>
      <c r="N2347" s="107">
        <v>124.05</v>
      </c>
      <c r="O2347" s="107">
        <v>121.38</v>
      </c>
      <c r="P2347" s="107">
        <v>122.8</v>
      </c>
      <c r="Q2347" s="107">
        <v>122.89</v>
      </c>
      <c r="R2347">
        <v>12551561</v>
      </c>
    </row>
    <row r="2348" spans="1:18" x14ac:dyDescent="0.25">
      <c r="A2348" s="130">
        <v>45463</v>
      </c>
      <c r="B2348" s="107">
        <v>123.9</v>
      </c>
      <c r="C2348" s="107">
        <v>122.95</v>
      </c>
      <c r="D2348" s="107">
        <v>122.55</v>
      </c>
      <c r="E2348" s="107">
        <v>122.75</v>
      </c>
      <c r="F2348" s="107">
        <v>122.95</v>
      </c>
      <c r="G2348">
        <v>400958</v>
      </c>
      <c r="H2348" s="107"/>
      <c r="I2348" s="107"/>
      <c r="L2348" s="130">
        <v>45463</v>
      </c>
      <c r="M2348" s="107">
        <v>122.98</v>
      </c>
      <c r="N2348" s="107">
        <v>123.95</v>
      </c>
      <c r="O2348" s="107">
        <v>122.56</v>
      </c>
      <c r="P2348" s="107">
        <v>122.8</v>
      </c>
      <c r="Q2348" s="107">
        <v>122.98</v>
      </c>
      <c r="R2348">
        <v>8706010</v>
      </c>
    </row>
    <row r="2349" spans="1:18" x14ac:dyDescent="0.25">
      <c r="A2349" s="130">
        <v>45464</v>
      </c>
      <c r="B2349" s="107">
        <v>123.55</v>
      </c>
      <c r="C2349" s="107">
        <v>121.6</v>
      </c>
      <c r="D2349" s="107">
        <v>121</v>
      </c>
      <c r="E2349" s="107">
        <v>123.05</v>
      </c>
      <c r="F2349" s="107">
        <v>121.6</v>
      </c>
      <c r="G2349">
        <v>373191</v>
      </c>
      <c r="H2349" s="107"/>
      <c r="I2349" s="107"/>
      <c r="L2349" s="130">
        <v>45464</v>
      </c>
      <c r="M2349" s="107">
        <v>121.6</v>
      </c>
      <c r="N2349" s="107">
        <v>123.65</v>
      </c>
      <c r="O2349" s="107">
        <v>121.1</v>
      </c>
      <c r="P2349" s="107">
        <v>123.5</v>
      </c>
      <c r="Q2349" s="107">
        <v>121.6</v>
      </c>
      <c r="R2349">
        <v>9886490</v>
      </c>
    </row>
    <row r="2350" spans="1:18" x14ac:dyDescent="0.25">
      <c r="A2350" s="130">
        <v>45467</v>
      </c>
      <c r="B2350" s="107">
        <v>121.7</v>
      </c>
      <c r="C2350" s="107">
        <v>120.65</v>
      </c>
      <c r="D2350" s="107">
        <v>119.3</v>
      </c>
      <c r="E2350" s="107">
        <v>121.7</v>
      </c>
      <c r="F2350" s="107">
        <v>120.65</v>
      </c>
      <c r="G2350">
        <v>915694</v>
      </c>
      <c r="H2350" s="107"/>
      <c r="I2350" s="107"/>
      <c r="L2350" s="130">
        <v>45467</v>
      </c>
      <c r="M2350" s="107">
        <v>120.51</v>
      </c>
      <c r="N2350" s="107">
        <v>121.45</v>
      </c>
      <c r="O2350" s="107">
        <v>119.37</v>
      </c>
      <c r="P2350" s="107">
        <v>121.4</v>
      </c>
      <c r="Q2350" s="107">
        <v>120.51</v>
      </c>
      <c r="R2350">
        <v>10217149</v>
      </c>
    </row>
    <row r="2351" spans="1:18" x14ac:dyDescent="0.25">
      <c r="A2351" s="130">
        <v>45468</v>
      </c>
      <c r="B2351" s="107">
        <v>123.6</v>
      </c>
      <c r="C2351" s="107">
        <v>123.25</v>
      </c>
      <c r="D2351" s="107">
        <v>119.7</v>
      </c>
      <c r="E2351" s="107">
        <v>121.95</v>
      </c>
      <c r="F2351" s="107">
        <v>123.25</v>
      </c>
      <c r="G2351">
        <v>1076258</v>
      </c>
      <c r="H2351" s="107"/>
      <c r="I2351" s="107"/>
      <c r="L2351" s="130">
        <v>45468</v>
      </c>
      <c r="M2351" s="107">
        <v>123.3</v>
      </c>
      <c r="N2351" s="107">
        <v>123.6</v>
      </c>
      <c r="O2351" s="107">
        <v>119.75</v>
      </c>
      <c r="P2351" s="107">
        <v>121.25</v>
      </c>
      <c r="Q2351" s="107">
        <v>123.3</v>
      </c>
      <c r="R2351">
        <v>12003890</v>
      </c>
    </row>
    <row r="2352" spans="1:18" x14ac:dyDescent="0.25">
      <c r="A2352" s="130">
        <v>45469</v>
      </c>
      <c r="B2352" s="107">
        <v>124.4</v>
      </c>
      <c r="C2352" s="107">
        <v>123.85</v>
      </c>
      <c r="D2352" s="107">
        <v>122.25</v>
      </c>
      <c r="E2352" s="107">
        <v>123</v>
      </c>
      <c r="F2352" s="107">
        <v>123.85</v>
      </c>
      <c r="G2352">
        <v>348056</v>
      </c>
      <c r="H2352" s="107"/>
      <c r="I2352" s="107"/>
      <c r="L2352" s="130">
        <v>45469</v>
      </c>
      <c r="M2352" s="107">
        <v>123.9</v>
      </c>
      <c r="N2352" s="107">
        <v>124.46</v>
      </c>
      <c r="O2352" s="107">
        <v>122.24</v>
      </c>
      <c r="P2352" s="107">
        <v>123</v>
      </c>
      <c r="Q2352" s="107">
        <v>123.9</v>
      </c>
      <c r="R2352">
        <v>10064059</v>
      </c>
    </row>
    <row r="2353" spans="1:18" x14ac:dyDescent="0.25">
      <c r="A2353" s="130">
        <v>45470</v>
      </c>
      <c r="B2353" s="107">
        <v>123.8</v>
      </c>
      <c r="C2353" s="107">
        <v>120.8</v>
      </c>
      <c r="D2353" s="107">
        <v>119.9</v>
      </c>
      <c r="E2353" s="107">
        <v>123.8</v>
      </c>
      <c r="F2353" s="107">
        <v>120.8</v>
      </c>
      <c r="G2353">
        <v>387089</v>
      </c>
      <c r="H2353" s="107"/>
      <c r="I2353" s="107"/>
      <c r="L2353" s="130">
        <v>45470</v>
      </c>
      <c r="M2353" s="107">
        <v>120.89</v>
      </c>
      <c r="N2353" s="107">
        <v>123.76</v>
      </c>
      <c r="O2353" s="107">
        <v>119.88</v>
      </c>
      <c r="P2353" s="107">
        <v>123.11</v>
      </c>
      <c r="Q2353" s="107">
        <v>120.89</v>
      </c>
      <c r="R2353">
        <v>10452879</v>
      </c>
    </row>
    <row r="2354" spans="1:18" x14ac:dyDescent="0.25">
      <c r="A2354" s="130">
        <v>45471</v>
      </c>
      <c r="B2354" s="107">
        <v>123.6</v>
      </c>
      <c r="C2354" s="107">
        <v>120.35</v>
      </c>
      <c r="D2354" s="107">
        <v>120</v>
      </c>
      <c r="E2354" s="107">
        <v>121.5</v>
      </c>
      <c r="F2354" s="107">
        <v>120.35</v>
      </c>
      <c r="G2354">
        <v>428420</v>
      </c>
      <c r="H2354" s="107"/>
      <c r="I2354" s="107"/>
      <c r="L2354" s="130">
        <v>45471</v>
      </c>
      <c r="M2354" s="107">
        <v>120.51</v>
      </c>
      <c r="N2354" s="107">
        <v>123.6</v>
      </c>
      <c r="O2354" s="107">
        <v>120.1</v>
      </c>
      <c r="P2354" s="107">
        <v>121.68</v>
      </c>
      <c r="Q2354" s="107">
        <v>120.51</v>
      </c>
      <c r="R2354">
        <v>9504554</v>
      </c>
    </row>
    <row r="2355" spans="1:18" x14ac:dyDescent="0.25">
      <c r="A2355" s="130">
        <v>45474</v>
      </c>
      <c r="B2355" s="107">
        <v>121.3</v>
      </c>
      <c r="C2355" s="107">
        <v>120.95</v>
      </c>
      <c r="D2355" s="107">
        <v>119.95</v>
      </c>
      <c r="E2355" s="107">
        <v>121.15</v>
      </c>
      <c r="F2355" s="107">
        <v>120.95</v>
      </c>
      <c r="G2355">
        <v>275267</v>
      </c>
      <c r="H2355" s="107"/>
      <c r="I2355" s="107"/>
      <c r="L2355" s="130">
        <v>45474</v>
      </c>
      <c r="M2355" s="107">
        <v>121.01</v>
      </c>
      <c r="N2355" s="107">
        <v>121.4</v>
      </c>
      <c r="O2355" s="107">
        <v>119.91</v>
      </c>
      <c r="P2355" s="107">
        <v>120.8</v>
      </c>
      <c r="Q2355" s="107">
        <v>121.01</v>
      </c>
      <c r="R2355">
        <v>5636426</v>
      </c>
    </row>
    <row r="2356" spans="1:18" x14ac:dyDescent="0.25">
      <c r="A2356" s="130">
        <v>45475</v>
      </c>
      <c r="B2356" s="107">
        <v>121.55</v>
      </c>
      <c r="C2356" s="107">
        <v>117.8</v>
      </c>
      <c r="D2356" s="107">
        <v>117.3</v>
      </c>
      <c r="E2356" s="107">
        <v>121.3</v>
      </c>
      <c r="F2356" s="107">
        <v>117.8</v>
      </c>
      <c r="G2356">
        <v>830983</v>
      </c>
      <c r="H2356" s="107"/>
      <c r="I2356" s="107"/>
      <c r="L2356" s="130">
        <v>45475</v>
      </c>
      <c r="M2356" s="107">
        <v>117.8</v>
      </c>
      <c r="N2356" s="107">
        <v>121.55</v>
      </c>
      <c r="O2356" s="107">
        <v>117.3</v>
      </c>
      <c r="P2356" s="107">
        <v>121.24</v>
      </c>
      <c r="Q2356" s="107">
        <v>117.8</v>
      </c>
      <c r="R2356">
        <v>11457472</v>
      </c>
    </row>
    <row r="2357" spans="1:18" x14ac:dyDescent="0.25">
      <c r="A2357" s="130">
        <v>45476</v>
      </c>
      <c r="B2357" s="107">
        <v>119.3</v>
      </c>
      <c r="C2357" s="107">
        <v>118.3</v>
      </c>
      <c r="D2357" s="107">
        <v>117.85</v>
      </c>
      <c r="E2357" s="107">
        <v>118.65</v>
      </c>
      <c r="F2357" s="107">
        <v>118.3</v>
      </c>
      <c r="G2357">
        <v>616253</v>
      </c>
      <c r="H2357" s="107"/>
      <c r="I2357" s="107"/>
      <c r="L2357" s="130">
        <v>45476</v>
      </c>
      <c r="M2357" s="107">
        <v>118.3</v>
      </c>
      <c r="N2357" s="107">
        <v>119.3</v>
      </c>
      <c r="O2357" s="107">
        <v>117.89</v>
      </c>
      <c r="P2357" s="107">
        <v>118.5</v>
      </c>
      <c r="Q2357" s="107">
        <v>118.3</v>
      </c>
      <c r="R2357">
        <v>8004538</v>
      </c>
    </row>
    <row r="2358" spans="1:18" x14ac:dyDescent="0.25">
      <c r="A2358" s="130">
        <v>45477</v>
      </c>
      <c r="B2358" s="107">
        <v>119.35</v>
      </c>
      <c r="C2358" s="107">
        <v>118.65</v>
      </c>
      <c r="D2358" s="107">
        <v>117.5</v>
      </c>
      <c r="E2358" s="107">
        <v>118.35</v>
      </c>
      <c r="F2358" s="107">
        <v>118.65</v>
      </c>
      <c r="G2358">
        <v>616142</v>
      </c>
      <c r="H2358" s="107"/>
      <c r="I2358" s="107"/>
      <c r="L2358" s="130">
        <v>45477</v>
      </c>
      <c r="M2358" s="107">
        <v>118.64</v>
      </c>
      <c r="N2358" s="107">
        <v>119.3</v>
      </c>
      <c r="O2358" s="107">
        <v>117.5</v>
      </c>
      <c r="P2358" s="107">
        <v>119</v>
      </c>
      <c r="Q2358" s="107">
        <v>118.64</v>
      </c>
      <c r="R2358">
        <v>8346070</v>
      </c>
    </row>
    <row r="2359" spans="1:18" x14ac:dyDescent="0.25">
      <c r="A2359" s="130">
        <v>45478</v>
      </c>
      <c r="B2359" s="107">
        <v>121.45</v>
      </c>
      <c r="C2359" s="107">
        <v>120.45</v>
      </c>
      <c r="D2359" s="107">
        <v>118.55</v>
      </c>
      <c r="E2359" s="107">
        <v>118.75</v>
      </c>
      <c r="F2359" s="107">
        <v>120.45</v>
      </c>
      <c r="G2359">
        <v>977792</v>
      </c>
      <c r="H2359" s="107"/>
      <c r="I2359" s="107"/>
      <c r="L2359" s="130">
        <v>45478</v>
      </c>
      <c r="M2359" s="107">
        <v>120.45</v>
      </c>
      <c r="N2359" s="107">
        <v>121.45</v>
      </c>
      <c r="O2359" s="107">
        <v>118.55</v>
      </c>
      <c r="P2359" s="107">
        <v>118.9</v>
      </c>
      <c r="Q2359" s="107">
        <v>120.45</v>
      </c>
      <c r="R2359">
        <v>8038993</v>
      </c>
    </row>
    <row r="2360" spans="1:18" x14ac:dyDescent="0.25">
      <c r="A2360" s="130">
        <v>45481</v>
      </c>
      <c r="B2360" s="107">
        <v>121</v>
      </c>
      <c r="C2360" s="107">
        <v>120.9</v>
      </c>
      <c r="D2360" s="107">
        <v>119.5</v>
      </c>
      <c r="E2360" s="107">
        <v>120.9</v>
      </c>
      <c r="F2360" s="107">
        <v>120.9</v>
      </c>
      <c r="G2360">
        <v>720019</v>
      </c>
      <c r="H2360" s="107"/>
      <c r="I2360" s="107"/>
      <c r="L2360" s="130">
        <v>45481</v>
      </c>
      <c r="M2360" s="107">
        <v>120.96</v>
      </c>
      <c r="N2360" s="107">
        <v>121.2</v>
      </c>
      <c r="O2360" s="107">
        <v>119.5</v>
      </c>
      <c r="P2360" s="107">
        <v>120.6</v>
      </c>
      <c r="Q2360" s="107">
        <v>120.96</v>
      </c>
      <c r="R2360">
        <v>7363153</v>
      </c>
    </row>
    <row r="2361" spans="1:18" x14ac:dyDescent="0.25">
      <c r="A2361" s="130">
        <v>45482</v>
      </c>
      <c r="B2361" s="107">
        <v>126</v>
      </c>
      <c r="C2361" s="107">
        <v>123.55</v>
      </c>
      <c r="D2361" s="107">
        <v>121</v>
      </c>
      <c r="E2361" s="107">
        <v>121.5</v>
      </c>
      <c r="F2361" s="107">
        <v>123.55</v>
      </c>
      <c r="G2361">
        <v>910190</v>
      </c>
      <c r="H2361" s="107"/>
      <c r="I2361" s="107"/>
      <c r="L2361" s="130">
        <v>45482</v>
      </c>
      <c r="M2361" s="107">
        <v>123.66</v>
      </c>
      <c r="N2361" s="107">
        <v>125.9</v>
      </c>
      <c r="O2361" s="107">
        <v>120.96</v>
      </c>
      <c r="P2361" s="107">
        <v>121.4</v>
      </c>
      <c r="Q2361" s="107">
        <v>123.66</v>
      </c>
      <c r="R2361">
        <v>20126207</v>
      </c>
    </row>
    <row r="2362" spans="1:18" x14ac:dyDescent="0.25">
      <c r="A2362" s="130">
        <v>45483</v>
      </c>
      <c r="B2362" s="107">
        <v>124.35</v>
      </c>
      <c r="C2362" s="107">
        <v>122.5</v>
      </c>
      <c r="D2362" s="107">
        <v>119.1</v>
      </c>
      <c r="E2362" s="107">
        <v>124.15</v>
      </c>
      <c r="F2362" s="107">
        <v>122.5</v>
      </c>
      <c r="G2362">
        <v>557336</v>
      </c>
      <c r="H2362" s="107"/>
      <c r="I2362" s="107"/>
      <c r="L2362" s="130">
        <v>45483</v>
      </c>
      <c r="M2362" s="107">
        <v>122.47</v>
      </c>
      <c r="N2362" s="107">
        <v>124.3</v>
      </c>
      <c r="O2362" s="107">
        <v>119</v>
      </c>
      <c r="P2362" s="107">
        <v>124</v>
      </c>
      <c r="Q2362" s="107">
        <v>122.47</v>
      </c>
      <c r="R2362">
        <v>12071610</v>
      </c>
    </row>
    <row r="2363" spans="1:18" x14ac:dyDescent="0.25">
      <c r="A2363" s="130">
        <v>45484</v>
      </c>
      <c r="B2363" s="107">
        <v>122.95</v>
      </c>
      <c r="C2363" s="107">
        <v>122</v>
      </c>
      <c r="D2363" s="107">
        <v>120.35</v>
      </c>
      <c r="E2363" s="107">
        <v>122.9</v>
      </c>
      <c r="F2363" s="107">
        <v>122</v>
      </c>
      <c r="G2363">
        <v>591251</v>
      </c>
      <c r="H2363" s="107"/>
      <c r="I2363" s="107"/>
      <c r="L2363" s="130">
        <v>45484</v>
      </c>
      <c r="M2363" s="107">
        <v>121.98</v>
      </c>
      <c r="N2363" s="107">
        <v>122.85</v>
      </c>
      <c r="O2363" s="107">
        <v>120.4</v>
      </c>
      <c r="P2363" s="107">
        <v>122.7</v>
      </c>
      <c r="Q2363" s="107">
        <v>121.98</v>
      </c>
      <c r="R2363">
        <v>7049342</v>
      </c>
    </row>
    <row r="2364" spans="1:18" x14ac:dyDescent="0.25">
      <c r="A2364" s="130">
        <v>45485</v>
      </c>
      <c r="B2364" s="107">
        <v>124.2</v>
      </c>
      <c r="C2364" s="107">
        <v>120.25</v>
      </c>
      <c r="D2364" s="107">
        <v>119.75</v>
      </c>
      <c r="E2364" s="107">
        <v>121.85</v>
      </c>
      <c r="F2364" s="107">
        <v>120.25</v>
      </c>
      <c r="G2364">
        <v>830514</v>
      </c>
      <c r="H2364" s="107"/>
      <c r="I2364" s="107"/>
      <c r="L2364" s="130">
        <v>45485</v>
      </c>
      <c r="M2364" s="107">
        <v>120.29</v>
      </c>
      <c r="N2364" s="107">
        <v>124.2</v>
      </c>
      <c r="O2364" s="107">
        <v>119.65</v>
      </c>
      <c r="P2364" s="107">
        <v>122</v>
      </c>
      <c r="Q2364" s="107">
        <v>120.29</v>
      </c>
      <c r="R2364">
        <v>7470847</v>
      </c>
    </row>
    <row r="2365" spans="1:18" x14ac:dyDescent="0.25">
      <c r="A2365" s="130">
        <v>45488</v>
      </c>
      <c r="B2365" s="107">
        <v>125.05</v>
      </c>
      <c r="C2365" s="107">
        <v>123.65</v>
      </c>
      <c r="D2365" s="107">
        <v>119.7</v>
      </c>
      <c r="E2365" s="107">
        <v>120.85</v>
      </c>
      <c r="F2365" s="107">
        <v>123.65</v>
      </c>
      <c r="G2365">
        <v>893295</v>
      </c>
      <c r="H2365" s="107"/>
      <c r="I2365" s="107"/>
      <c r="L2365" s="130">
        <v>45488</v>
      </c>
      <c r="M2365" s="107">
        <v>123.72</v>
      </c>
      <c r="N2365" s="107">
        <v>125.05</v>
      </c>
      <c r="O2365" s="107">
        <v>119.7</v>
      </c>
      <c r="P2365" s="107">
        <v>120.53</v>
      </c>
      <c r="Q2365" s="107">
        <v>123.72</v>
      </c>
      <c r="R2365">
        <v>19866405</v>
      </c>
    </row>
    <row r="2366" spans="1:18" x14ac:dyDescent="0.25">
      <c r="A2366" s="130">
        <v>45489</v>
      </c>
      <c r="B2366" s="107">
        <v>124.5</v>
      </c>
      <c r="C2366" s="107">
        <v>122.95</v>
      </c>
      <c r="D2366" s="107">
        <v>121.85</v>
      </c>
      <c r="E2366" s="107">
        <v>123.65</v>
      </c>
      <c r="F2366" s="107">
        <v>122.95</v>
      </c>
      <c r="G2366">
        <v>336204</v>
      </c>
      <c r="H2366" s="107"/>
      <c r="I2366" s="107"/>
      <c r="L2366" s="130">
        <v>45489</v>
      </c>
      <c r="M2366" s="107">
        <v>123.03</v>
      </c>
      <c r="N2366" s="107">
        <v>124.45</v>
      </c>
      <c r="O2366" s="107">
        <v>121.81</v>
      </c>
      <c r="P2366" s="107">
        <v>123.99</v>
      </c>
      <c r="Q2366" s="107">
        <v>123.03</v>
      </c>
      <c r="R2366">
        <v>7294961</v>
      </c>
    </row>
    <row r="2367" spans="1:18" x14ac:dyDescent="0.25">
      <c r="A2367" s="130">
        <v>45491</v>
      </c>
      <c r="B2367" s="107">
        <v>125.05</v>
      </c>
      <c r="C2367" s="107">
        <v>123.65</v>
      </c>
      <c r="D2367" s="107">
        <v>121.45</v>
      </c>
      <c r="E2367" s="107">
        <v>122.2</v>
      </c>
      <c r="F2367" s="107">
        <v>123.65</v>
      </c>
      <c r="G2367">
        <v>1252759</v>
      </c>
      <c r="H2367" s="107"/>
      <c r="I2367" s="107"/>
      <c r="L2367" s="130">
        <v>45491</v>
      </c>
      <c r="M2367" s="107">
        <v>123.64</v>
      </c>
      <c r="N2367" s="107">
        <v>125.09</v>
      </c>
      <c r="O2367" s="107">
        <v>121.5</v>
      </c>
      <c r="P2367" s="107">
        <v>123.02</v>
      </c>
      <c r="Q2367" s="107">
        <v>123.64</v>
      </c>
      <c r="R2367">
        <v>16067348</v>
      </c>
    </row>
    <row r="2368" spans="1:18" x14ac:dyDescent="0.25">
      <c r="A2368" s="130">
        <v>45492</v>
      </c>
      <c r="B2368" s="107">
        <v>123.85</v>
      </c>
      <c r="C2368" s="107">
        <v>120.85</v>
      </c>
      <c r="D2368" s="107">
        <v>120.5</v>
      </c>
      <c r="E2368" s="107">
        <v>123.8</v>
      </c>
      <c r="F2368" s="107">
        <v>120.85</v>
      </c>
      <c r="G2368">
        <v>684795</v>
      </c>
      <c r="H2368" s="107"/>
      <c r="I2368" s="107"/>
      <c r="L2368" s="130">
        <v>45492</v>
      </c>
      <c r="M2368" s="107">
        <v>120.89</v>
      </c>
      <c r="N2368" s="107">
        <v>123.89</v>
      </c>
      <c r="O2368" s="107">
        <v>120.5</v>
      </c>
      <c r="P2368" s="107">
        <v>123.64</v>
      </c>
      <c r="Q2368" s="107">
        <v>120.89</v>
      </c>
      <c r="R2368">
        <v>7642979</v>
      </c>
    </row>
    <row r="2369" spans="1:18" x14ac:dyDescent="0.25">
      <c r="A2369" s="130">
        <v>45495</v>
      </c>
      <c r="B2369" s="107">
        <v>122.45</v>
      </c>
      <c r="C2369" s="107">
        <v>121.9</v>
      </c>
      <c r="D2369" s="107">
        <v>118.4</v>
      </c>
      <c r="E2369" s="107">
        <v>120.05</v>
      </c>
      <c r="F2369" s="107">
        <v>121.9</v>
      </c>
      <c r="G2369">
        <v>445078</v>
      </c>
      <c r="H2369" s="107"/>
      <c r="I2369" s="107"/>
      <c r="L2369" s="130">
        <v>45495</v>
      </c>
      <c r="M2369" s="107">
        <v>122.01</v>
      </c>
      <c r="N2369" s="107">
        <v>122.45</v>
      </c>
      <c r="O2369" s="107">
        <v>118.3</v>
      </c>
      <c r="P2369" s="107">
        <v>120</v>
      </c>
      <c r="Q2369" s="107">
        <v>122.01</v>
      </c>
      <c r="R2369">
        <v>7851832</v>
      </c>
    </row>
    <row r="2370" spans="1:18" x14ac:dyDescent="0.25">
      <c r="A2370" s="130">
        <v>45496</v>
      </c>
      <c r="B2370" s="107">
        <v>122.45</v>
      </c>
      <c r="C2370" s="107">
        <v>119</v>
      </c>
      <c r="D2370" s="107">
        <v>117.1</v>
      </c>
      <c r="E2370" s="107">
        <v>122.45</v>
      </c>
      <c r="F2370" s="107">
        <v>119</v>
      </c>
      <c r="G2370">
        <v>770448</v>
      </c>
      <c r="H2370" s="107"/>
      <c r="I2370" s="107"/>
      <c r="L2370" s="130">
        <v>45496</v>
      </c>
      <c r="M2370" s="107">
        <v>119.29</v>
      </c>
      <c r="N2370" s="107">
        <v>122.29</v>
      </c>
      <c r="O2370" s="107">
        <v>117</v>
      </c>
      <c r="P2370" s="107">
        <v>122.2</v>
      </c>
      <c r="Q2370" s="107">
        <v>119.29</v>
      </c>
      <c r="R2370">
        <v>7691292</v>
      </c>
    </row>
    <row r="2371" spans="1:18" x14ac:dyDescent="0.25">
      <c r="A2371" s="130">
        <v>45497</v>
      </c>
      <c r="B2371" s="107">
        <v>122.45</v>
      </c>
      <c r="C2371" s="107">
        <v>120.25</v>
      </c>
      <c r="D2371" s="107">
        <v>119.4</v>
      </c>
      <c r="E2371" s="107">
        <v>119.9</v>
      </c>
      <c r="F2371" s="107">
        <v>120.25</v>
      </c>
      <c r="G2371">
        <v>488575</v>
      </c>
      <c r="H2371" s="107"/>
      <c r="I2371" s="107"/>
      <c r="L2371" s="130">
        <v>45497</v>
      </c>
      <c r="M2371" s="107">
        <v>120.34</v>
      </c>
      <c r="N2371" s="107">
        <v>122.46</v>
      </c>
      <c r="O2371" s="107">
        <v>119.39</v>
      </c>
      <c r="P2371" s="107">
        <v>119.99</v>
      </c>
      <c r="Q2371" s="107">
        <v>120.34</v>
      </c>
      <c r="R2371">
        <v>8868180</v>
      </c>
    </row>
    <row r="2372" spans="1:18" x14ac:dyDescent="0.25">
      <c r="A2372" s="130">
        <v>45498</v>
      </c>
      <c r="B2372" s="107">
        <v>120.5</v>
      </c>
      <c r="C2372" s="107">
        <v>118.8</v>
      </c>
      <c r="D2372" s="107">
        <v>118.55</v>
      </c>
      <c r="E2372" s="107">
        <v>119.95</v>
      </c>
      <c r="F2372" s="107">
        <v>118.8</v>
      </c>
      <c r="G2372">
        <v>289070</v>
      </c>
      <c r="H2372" s="107"/>
      <c r="I2372" s="107"/>
      <c r="L2372" s="130">
        <v>45498</v>
      </c>
      <c r="M2372" s="107">
        <v>118.78</v>
      </c>
      <c r="N2372" s="107">
        <v>120.59</v>
      </c>
      <c r="O2372" s="107">
        <v>118.5</v>
      </c>
      <c r="P2372" s="107">
        <v>119.81</v>
      </c>
      <c r="Q2372" s="107">
        <v>118.78</v>
      </c>
      <c r="R2372">
        <v>5203991</v>
      </c>
    </row>
    <row r="2373" spans="1:18" x14ac:dyDescent="0.25">
      <c r="A2373" s="130">
        <v>45499</v>
      </c>
      <c r="B2373" s="107">
        <v>120.4</v>
      </c>
      <c r="C2373" s="107">
        <v>119.3</v>
      </c>
      <c r="D2373" s="107">
        <v>118.3</v>
      </c>
      <c r="E2373" s="107">
        <v>119.4</v>
      </c>
      <c r="F2373" s="107">
        <v>119.3</v>
      </c>
      <c r="G2373">
        <v>575086</v>
      </c>
      <c r="H2373" s="107"/>
      <c r="I2373" s="107"/>
      <c r="L2373" s="130">
        <v>45499</v>
      </c>
      <c r="M2373" s="107">
        <v>119.37</v>
      </c>
      <c r="N2373" s="107">
        <v>120.39</v>
      </c>
      <c r="O2373" s="107">
        <v>118.21</v>
      </c>
      <c r="P2373" s="107">
        <v>118.85</v>
      </c>
      <c r="Q2373" s="107">
        <v>119.37</v>
      </c>
      <c r="R2373">
        <v>7556629</v>
      </c>
    </row>
    <row r="2374" spans="1:18" x14ac:dyDescent="0.25">
      <c r="A2374" s="130">
        <v>45502</v>
      </c>
      <c r="B2374" s="107">
        <v>126.15</v>
      </c>
      <c r="C2374" s="107">
        <v>125.15</v>
      </c>
      <c r="D2374" s="107">
        <v>120.5</v>
      </c>
      <c r="E2374" s="107">
        <v>120.5</v>
      </c>
      <c r="F2374" s="107">
        <v>125.15</v>
      </c>
      <c r="G2374">
        <v>1260608</v>
      </c>
      <c r="H2374" s="107"/>
      <c r="I2374" s="107"/>
      <c r="L2374" s="130">
        <v>45502</v>
      </c>
      <c r="M2374" s="107">
        <v>125.14</v>
      </c>
      <c r="N2374" s="107">
        <v>126.16</v>
      </c>
      <c r="O2374" s="107">
        <v>120.4</v>
      </c>
      <c r="P2374" s="107">
        <v>120.85</v>
      </c>
      <c r="Q2374" s="107">
        <v>125.14</v>
      </c>
      <c r="R2374">
        <v>24362585</v>
      </c>
    </row>
    <row r="2375" spans="1:18" x14ac:dyDescent="0.25">
      <c r="A2375" s="130">
        <v>45503</v>
      </c>
      <c r="B2375" s="107">
        <v>126.95</v>
      </c>
      <c r="C2375" s="107">
        <v>125.7</v>
      </c>
      <c r="D2375" s="107">
        <v>125.15</v>
      </c>
      <c r="E2375" s="107">
        <v>125.95</v>
      </c>
      <c r="F2375" s="107">
        <v>125.7</v>
      </c>
      <c r="G2375">
        <v>868535</v>
      </c>
      <c r="H2375" s="107"/>
      <c r="I2375" s="107"/>
      <c r="L2375" s="130">
        <v>45503</v>
      </c>
      <c r="M2375" s="107">
        <v>125.82</v>
      </c>
      <c r="N2375" s="107">
        <v>126.96</v>
      </c>
      <c r="O2375" s="107">
        <v>125.02</v>
      </c>
      <c r="P2375" s="107">
        <v>125.75</v>
      </c>
      <c r="Q2375" s="107">
        <v>125.82</v>
      </c>
      <c r="R2375">
        <v>7669460</v>
      </c>
    </row>
    <row r="2376" spans="1:18" x14ac:dyDescent="0.25">
      <c r="A2376" s="130">
        <v>45504</v>
      </c>
      <c r="B2376" s="107">
        <v>126.5</v>
      </c>
      <c r="C2376" s="107">
        <v>125.8</v>
      </c>
      <c r="D2376" s="107">
        <v>125</v>
      </c>
      <c r="E2376" s="107">
        <v>126.15</v>
      </c>
      <c r="F2376" s="107">
        <v>125.8</v>
      </c>
      <c r="G2376">
        <v>262585</v>
      </c>
      <c r="H2376" s="107"/>
      <c r="I2376" s="107"/>
      <c r="L2376" s="130">
        <v>45504</v>
      </c>
      <c r="M2376" s="107">
        <v>125.8</v>
      </c>
      <c r="N2376" s="107">
        <v>126.45</v>
      </c>
      <c r="O2376" s="107">
        <v>125.03</v>
      </c>
      <c r="P2376" s="107">
        <v>126</v>
      </c>
      <c r="Q2376" s="107">
        <v>125.8</v>
      </c>
      <c r="R2376">
        <v>5064752</v>
      </c>
    </row>
    <row r="2377" spans="1:18" x14ac:dyDescent="0.25">
      <c r="A2377" s="130">
        <v>45505</v>
      </c>
      <c r="B2377" s="107">
        <v>126.65</v>
      </c>
      <c r="C2377" s="107">
        <v>126.05</v>
      </c>
      <c r="D2377" s="107">
        <v>125.25</v>
      </c>
      <c r="E2377" s="107">
        <v>126.5</v>
      </c>
      <c r="F2377" s="107">
        <v>126.05</v>
      </c>
      <c r="G2377">
        <v>571043</v>
      </c>
      <c r="H2377" s="107"/>
      <c r="I2377" s="107"/>
      <c r="L2377" s="130">
        <v>45505</v>
      </c>
      <c r="M2377" s="107">
        <v>126.11</v>
      </c>
      <c r="N2377" s="107">
        <v>126.65</v>
      </c>
      <c r="O2377" s="107">
        <v>125.35</v>
      </c>
      <c r="P2377" s="107">
        <v>126.53</v>
      </c>
      <c r="Q2377" s="107">
        <v>126.11</v>
      </c>
      <c r="R2377">
        <v>7225687</v>
      </c>
    </row>
    <row r="2378" spans="1:18" x14ac:dyDescent="0.25">
      <c r="A2378" s="130">
        <v>45506</v>
      </c>
      <c r="B2378" s="107">
        <v>128.19999999999999</v>
      </c>
      <c r="C2378" s="107">
        <v>126.15</v>
      </c>
      <c r="D2378" s="107">
        <v>122.8</v>
      </c>
      <c r="E2378" s="107">
        <v>124.9</v>
      </c>
      <c r="F2378" s="107">
        <v>126.15</v>
      </c>
      <c r="G2378">
        <v>682132</v>
      </c>
      <c r="H2378" s="107"/>
      <c r="I2378" s="107"/>
      <c r="L2378" s="130">
        <v>45506</v>
      </c>
      <c r="M2378" s="107">
        <v>126.24</v>
      </c>
      <c r="N2378" s="107">
        <v>128.19999999999999</v>
      </c>
      <c r="O2378" s="107">
        <v>122.55</v>
      </c>
      <c r="P2378" s="107">
        <v>124.06</v>
      </c>
      <c r="Q2378" s="107">
        <v>126.24</v>
      </c>
      <c r="R2378">
        <v>14492663</v>
      </c>
    </row>
    <row r="2379" spans="1:18" x14ac:dyDescent="0.25">
      <c r="A2379" s="130">
        <v>45509</v>
      </c>
      <c r="B2379" s="107">
        <v>124.95</v>
      </c>
      <c r="C2379" s="107">
        <v>122.25</v>
      </c>
      <c r="D2379" s="107">
        <v>119.55</v>
      </c>
      <c r="E2379" s="107">
        <v>124.95</v>
      </c>
      <c r="F2379" s="107">
        <v>122.25</v>
      </c>
      <c r="G2379">
        <v>1895749</v>
      </c>
      <c r="H2379" s="107"/>
      <c r="I2379" s="107"/>
      <c r="L2379" s="130">
        <v>45509</v>
      </c>
      <c r="M2379" s="107">
        <v>122.35</v>
      </c>
      <c r="N2379" s="107">
        <v>124.5</v>
      </c>
      <c r="O2379" s="107">
        <v>119.5</v>
      </c>
      <c r="P2379" s="107">
        <v>123.6</v>
      </c>
      <c r="Q2379" s="107">
        <v>122.35</v>
      </c>
      <c r="R2379">
        <v>20938121</v>
      </c>
    </row>
    <row r="2380" spans="1:18" x14ac:dyDescent="0.25">
      <c r="A2380" s="130">
        <v>45510</v>
      </c>
      <c r="B2380" s="107">
        <v>124.75</v>
      </c>
      <c r="C2380" s="107">
        <v>118.95</v>
      </c>
      <c r="D2380" s="107">
        <v>118.1</v>
      </c>
      <c r="E2380" s="107">
        <v>122.4</v>
      </c>
      <c r="F2380" s="107">
        <v>118.95</v>
      </c>
      <c r="G2380">
        <v>686171</v>
      </c>
      <c r="H2380" s="107"/>
      <c r="I2380" s="107"/>
      <c r="L2380" s="130">
        <v>45510</v>
      </c>
      <c r="M2380" s="107">
        <v>118.93</v>
      </c>
      <c r="N2380" s="107">
        <v>124.9</v>
      </c>
      <c r="O2380" s="107">
        <v>118.21</v>
      </c>
      <c r="P2380" s="107">
        <v>123.1</v>
      </c>
      <c r="Q2380" s="107">
        <v>118.93</v>
      </c>
      <c r="R2380">
        <v>8017235</v>
      </c>
    </row>
    <row r="2381" spans="1:18" x14ac:dyDescent="0.25">
      <c r="A2381" s="130">
        <v>45511</v>
      </c>
      <c r="B2381" s="107">
        <v>122.8</v>
      </c>
      <c r="C2381" s="107">
        <v>118.9</v>
      </c>
      <c r="D2381" s="107">
        <v>118.4</v>
      </c>
      <c r="E2381" s="107">
        <v>122.8</v>
      </c>
      <c r="F2381" s="107">
        <v>118.9</v>
      </c>
      <c r="G2381">
        <v>614120</v>
      </c>
      <c r="H2381" s="107"/>
      <c r="I2381" s="107"/>
      <c r="L2381" s="130">
        <v>45511</v>
      </c>
      <c r="M2381" s="107">
        <v>118.87</v>
      </c>
      <c r="N2381" s="107">
        <v>122.25</v>
      </c>
      <c r="O2381" s="107">
        <v>118.3</v>
      </c>
      <c r="P2381" s="107">
        <v>122</v>
      </c>
      <c r="Q2381" s="107">
        <v>118.87</v>
      </c>
      <c r="R2381">
        <v>7853002</v>
      </c>
    </row>
    <row r="2382" spans="1:18" x14ac:dyDescent="0.25">
      <c r="A2382" s="130">
        <v>45512</v>
      </c>
      <c r="B2382" s="107">
        <v>121.35</v>
      </c>
      <c r="C2382" s="107">
        <v>119.8</v>
      </c>
      <c r="D2382" s="107">
        <v>117.3</v>
      </c>
      <c r="E2382" s="107">
        <v>118.75</v>
      </c>
      <c r="F2382" s="107">
        <v>119.8</v>
      </c>
      <c r="G2382">
        <v>1691939</v>
      </c>
      <c r="H2382" s="107"/>
      <c r="I2382" s="107"/>
      <c r="L2382" s="130">
        <v>45512</v>
      </c>
      <c r="M2382" s="107">
        <v>119.38</v>
      </c>
      <c r="N2382" s="107">
        <v>121.4</v>
      </c>
      <c r="O2382" s="107">
        <v>117.25</v>
      </c>
      <c r="P2382" s="107">
        <v>118.9</v>
      </c>
      <c r="Q2382" s="107">
        <v>119.38</v>
      </c>
      <c r="R2382">
        <v>10734357</v>
      </c>
    </row>
    <row r="2383" spans="1:18" x14ac:dyDescent="0.25">
      <c r="A2383" s="130">
        <v>45513</v>
      </c>
      <c r="B2383" s="107">
        <v>121.1</v>
      </c>
      <c r="C2383" s="107">
        <v>119</v>
      </c>
      <c r="D2383" s="107">
        <v>118</v>
      </c>
      <c r="E2383" s="107">
        <v>119.8</v>
      </c>
      <c r="F2383" s="107">
        <v>119</v>
      </c>
      <c r="G2383">
        <v>724703</v>
      </c>
      <c r="H2383" s="107"/>
      <c r="I2383" s="107"/>
      <c r="L2383" s="130">
        <v>45513</v>
      </c>
      <c r="M2383" s="107">
        <v>118.95</v>
      </c>
      <c r="N2383" s="107">
        <v>121.15</v>
      </c>
      <c r="O2383" s="107">
        <v>117.95</v>
      </c>
      <c r="P2383" s="107">
        <v>119.64</v>
      </c>
      <c r="Q2383" s="107">
        <v>118.95</v>
      </c>
      <c r="R2383">
        <v>8235427</v>
      </c>
    </row>
    <row r="2384" spans="1:18" x14ac:dyDescent="0.25">
      <c r="A2384" s="130">
        <v>45516</v>
      </c>
      <c r="B2384" s="107">
        <v>119.45</v>
      </c>
      <c r="C2384" s="107">
        <v>117.9</v>
      </c>
      <c r="D2384" s="107">
        <v>117.4</v>
      </c>
      <c r="E2384" s="107">
        <v>117.7</v>
      </c>
      <c r="F2384" s="107">
        <v>117.9</v>
      </c>
      <c r="G2384">
        <v>473419</v>
      </c>
      <c r="H2384" s="107"/>
      <c r="I2384" s="107"/>
      <c r="L2384" s="130">
        <v>45516</v>
      </c>
      <c r="M2384" s="107">
        <v>117.98</v>
      </c>
      <c r="N2384" s="107">
        <v>119.5</v>
      </c>
      <c r="O2384" s="107">
        <v>117.5</v>
      </c>
      <c r="P2384" s="107">
        <v>118.79</v>
      </c>
      <c r="Q2384" s="107">
        <v>117.98</v>
      </c>
      <c r="R2384">
        <v>4432969</v>
      </c>
    </row>
    <row r="2385" spans="1:18" x14ac:dyDescent="0.25">
      <c r="A2385" s="130">
        <v>45517</v>
      </c>
      <c r="B2385" s="107">
        <v>118.7</v>
      </c>
      <c r="C2385" s="107">
        <v>115.7</v>
      </c>
      <c r="D2385" s="107">
        <v>115.1</v>
      </c>
      <c r="E2385" s="107">
        <v>117.95</v>
      </c>
      <c r="F2385" s="107">
        <v>115.7</v>
      </c>
      <c r="G2385">
        <v>1360512</v>
      </c>
      <c r="H2385" s="107"/>
      <c r="I2385" s="107"/>
      <c r="L2385" s="130">
        <v>45517</v>
      </c>
      <c r="M2385" s="107">
        <v>115.73</v>
      </c>
      <c r="N2385" s="107">
        <v>118.75</v>
      </c>
      <c r="O2385" s="107">
        <v>115.01</v>
      </c>
      <c r="P2385" s="107">
        <v>118.09</v>
      </c>
      <c r="Q2385" s="107">
        <v>115.73</v>
      </c>
      <c r="R2385">
        <v>8949764</v>
      </c>
    </row>
    <row r="2386" spans="1:18" x14ac:dyDescent="0.25">
      <c r="A2386" s="130">
        <v>45518</v>
      </c>
      <c r="B2386" s="107">
        <v>116.35</v>
      </c>
      <c r="C2386" s="107">
        <v>114.75</v>
      </c>
      <c r="D2386" s="107">
        <v>114</v>
      </c>
      <c r="E2386" s="107">
        <v>116.2</v>
      </c>
      <c r="F2386" s="107">
        <v>114.75</v>
      </c>
      <c r="G2386">
        <v>218844</v>
      </c>
      <c r="H2386" s="107"/>
      <c r="I2386" s="107"/>
      <c r="L2386" s="130">
        <v>45518</v>
      </c>
      <c r="M2386" s="107">
        <v>114.79</v>
      </c>
      <c r="N2386" s="107">
        <v>116.39</v>
      </c>
      <c r="O2386" s="107">
        <v>114</v>
      </c>
      <c r="P2386" s="107">
        <v>116</v>
      </c>
      <c r="Q2386" s="107">
        <v>114.79</v>
      </c>
      <c r="R2386">
        <v>4845249</v>
      </c>
    </row>
    <row r="2387" spans="1:18" x14ac:dyDescent="0.25">
      <c r="A2387" s="130">
        <v>45520</v>
      </c>
      <c r="B2387" s="107">
        <v>116.65</v>
      </c>
      <c r="C2387" s="107">
        <v>116.1</v>
      </c>
      <c r="D2387" s="107">
        <v>115.5</v>
      </c>
      <c r="E2387" s="107">
        <v>115.5</v>
      </c>
      <c r="F2387" s="107">
        <v>116.1</v>
      </c>
      <c r="G2387">
        <v>147030</v>
      </c>
      <c r="H2387" s="107"/>
      <c r="I2387" s="107"/>
      <c r="L2387" s="130">
        <v>45520</v>
      </c>
      <c r="M2387" s="107">
        <v>116.01</v>
      </c>
      <c r="N2387" s="107">
        <v>116.74</v>
      </c>
      <c r="O2387" s="107">
        <v>115.54</v>
      </c>
      <c r="P2387" s="107">
        <v>115.95</v>
      </c>
      <c r="Q2387" s="107">
        <v>116.01</v>
      </c>
      <c r="R2387">
        <v>3826316</v>
      </c>
    </row>
    <row r="2388" spans="1:18" x14ac:dyDescent="0.25">
      <c r="A2388" s="130">
        <v>45523</v>
      </c>
      <c r="B2388" s="107">
        <v>118.7</v>
      </c>
      <c r="C2388" s="107">
        <v>117.8</v>
      </c>
      <c r="D2388" s="107">
        <v>116.75</v>
      </c>
      <c r="E2388" s="107">
        <v>116.75</v>
      </c>
      <c r="F2388" s="107">
        <v>117.8</v>
      </c>
      <c r="G2388">
        <v>402472</v>
      </c>
      <c r="H2388" s="107"/>
      <c r="I2388" s="107"/>
      <c r="L2388" s="130">
        <v>45523</v>
      </c>
      <c r="M2388" s="107">
        <v>117.32</v>
      </c>
      <c r="N2388" s="107">
        <v>118.8</v>
      </c>
      <c r="O2388" s="107">
        <v>116.69</v>
      </c>
      <c r="P2388" s="107">
        <v>116.95</v>
      </c>
      <c r="Q2388" s="107">
        <v>117.32</v>
      </c>
      <c r="R2388">
        <v>3373191</v>
      </c>
    </row>
    <row r="2389" spans="1:18" x14ac:dyDescent="0.25">
      <c r="A2389" s="130">
        <v>45524</v>
      </c>
      <c r="B2389" s="107">
        <v>120.2</v>
      </c>
      <c r="C2389" s="107">
        <v>119.2</v>
      </c>
      <c r="D2389" s="107">
        <v>117.5</v>
      </c>
      <c r="E2389" s="107">
        <v>117.95</v>
      </c>
      <c r="F2389" s="107">
        <v>119.2</v>
      </c>
      <c r="G2389">
        <v>655633</v>
      </c>
      <c r="H2389" s="107"/>
      <c r="I2389" s="107"/>
      <c r="L2389" s="130">
        <v>45524</v>
      </c>
      <c r="M2389" s="107">
        <v>119.25</v>
      </c>
      <c r="N2389" s="107">
        <v>120.15</v>
      </c>
      <c r="O2389" s="107">
        <v>117.5</v>
      </c>
      <c r="P2389" s="107">
        <v>118.07</v>
      </c>
      <c r="Q2389" s="107">
        <v>119.25</v>
      </c>
      <c r="R2389">
        <v>5367129</v>
      </c>
    </row>
    <row r="2390" spans="1:18" x14ac:dyDescent="0.25">
      <c r="A2390" s="130">
        <v>45525</v>
      </c>
      <c r="B2390" s="107">
        <v>119.85</v>
      </c>
      <c r="C2390" s="107">
        <v>119.3</v>
      </c>
      <c r="D2390" s="107">
        <v>118.7</v>
      </c>
      <c r="E2390" s="107">
        <v>119.25</v>
      </c>
      <c r="F2390" s="107">
        <v>119.3</v>
      </c>
      <c r="G2390">
        <v>143461</v>
      </c>
      <c r="H2390" s="107"/>
      <c r="I2390" s="107"/>
      <c r="L2390" s="130">
        <v>45525</v>
      </c>
      <c r="M2390" s="107">
        <v>119.44</v>
      </c>
      <c r="N2390" s="107">
        <v>119.8</v>
      </c>
      <c r="O2390" s="107">
        <v>118.65</v>
      </c>
      <c r="P2390" s="107">
        <v>119.8</v>
      </c>
      <c r="Q2390" s="107">
        <v>119.44</v>
      </c>
      <c r="R2390">
        <v>2412949</v>
      </c>
    </row>
    <row r="2391" spans="1:18" x14ac:dyDescent="0.25">
      <c r="A2391" s="130">
        <v>45526</v>
      </c>
      <c r="B2391" s="107">
        <v>121.2</v>
      </c>
      <c r="C2391" s="107">
        <v>120.95</v>
      </c>
      <c r="D2391" s="107">
        <v>119.5</v>
      </c>
      <c r="E2391" s="107">
        <v>119.55</v>
      </c>
      <c r="F2391" s="107">
        <v>120.95</v>
      </c>
      <c r="G2391">
        <v>267015</v>
      </c>
      <c r="H2391" s="107"/>
      <c r="I2391" s="107"/>
      <c r="L2391" s="130">
        <v>45526</v>
      </c>
      <c r="M2391" s="107">
        <v>120.98</v>
      </c>
      <c r="N2391" s="107">
        <v>121.25</v>
      </c>
      <c r="O2391" s="107">
        <v>119.51</v>
      </c>
      <c r="P2391" s="107">
        <v>120.01</v>
      </c>
      <c r="Q2391" s="107">
        <v>120.98</v>
      </c>
      <c r="R2391">
        <v>4976967</v>
      </c>
    </row>
    <row r="2392" spans="1:18" x14ac:dyDescent="0.25">
      <c r="A2392" s="130">
        <v>45527</v>
      </c>
      <c r="B2392" s="107">
        <v>121.45</v>
      </c>
      <c r="C2392" s="107">
        <v>120.65</v>
      </c>
      <c r="D2392" s="107">
        <v>120.2</v>
      </c>
      <c r="E2392" s="107">
        <v>121.05</v>
      </c>
      <c r="F2392" s="107">
        <v>120.65</v>
      </c>
      <c r="G2392">
        <v>162030</v>
      </c>
      <c r="H2392" s="107"/>
      <c r="I2392" s="107"/>
      <c r="L2392" s="130">
        <v>45527</v>
      </c>
      <c r="M2392" s="107">
        <v>120.56</v>
      </c>
      <c r="N2392" s="107">
        <v>121.5</v>
      </c>
      <c r="O2392" s="107">
        <v>120.09</v>
      </c>
      <c r="P2392" s="107">
        <v>121.43</v>
      </c>
      <c r="Q2392" s="107">
        <v>120.56</v>
      </c>
      <c r="R2392">
        <v>4407329</v>
      </c>
    </row>
    <row r="2393" spans="1:18" x14ac:dyDescent="0.25">
      <c r="A2393" s="130">
        <v>45530</v>
      </c>
      <c r="B2393" s="107">
        <v>121.45</v>
      </c>
      <c r="C2393" s="107">
        <v>117.6</v>
      </c>
      <c r="D2393" s="107">
        <v>117.25</v>
      </c>
      <c r="E2393" s="107">
        <v>121</v>
      </c>
      <c r="F2393" s="107">
        <v>117.6</v>
      </c>
      <c r="G2393">
        <v>823259</v>
      </c>
      <c r="H2393" s="107"/>
      <c r="I2393" s="107"/>
      <c r="L2393" s="130">
        <v>45530</v>
      </c>
      <c r="M2393" s="107">
        <v>117.57</v>
      </c>
      <c r="N2393" s="107">
        <v>121.49</v>
      </c>
      <c r="O2393" s="107">
        <v>117.1</v>
      </c>
      <c r="P2393" s="107">
        <v>121</v>
      </c>
      <c r="Q2393" s="107">
        <v>117.57</v>
      </c>
      <c r="R2393">
        <v>12124682</v>
      </c>
    </row>
    <row r="2394" spans="1:18" x14ac:dyDescent="0.25">
      <c r="A2394" s="130">
        <v>45531</v>
      </c>
      <c r="B2394" s="107">
        <v>118.9</v>
      </c>
      <c r="C2394" s="107">
        <v>118.55</v>
      </c>
      <c r="D2394" s="107">
        <v>117.65</v>
      </c>
      <c r="E2394" s="107">
        <v>118.45</v>
      </c>
      <c r="F2394" s="107">
        <v>118.55</v>
      </c>
      <c r="G2394">
        <v>414782</v>
      </c>
      <c r="H2394" s="107"/>
      <c r="I2394" s="107"/>
      <c r="L2394" s="130">
        <v>45531</v>
      </c>
      <c r="M2394" s="107">
        <v>118.54</v>
      </c>
      <c r="N2394" s="107">
        <v>118.8</v>
      </c>
      <c r="O2394" s="107">
        <v>117.62</v>
      </c>
      <c r="P2394" s="107">
        <v>118</v>
      </c>
      <c r="Q2394" s="107">
        <v>118.54</v>
      </c>
      <c r="R2394">
        <v>3507110</v>
      </c>
    </row>
    <row r="2395" spans="1:18" x14ac:dyDescent="0.25">
      <c r="A2395" s="130">
        <v>45532</v>
      </c>
      <c r="B2395" s="107">
        <v>119.15</v>
      </c>
      <c r="C2395" s="107">
        <v>117.85</v>
      </c>
      <c r="D2395" s="107">
        <v>117.7</v>
      </c>
      <c r="E2395" s="107">
        <v>118.75</v>
      </c>
      <c r="F2395" s="107">
        <v>117.85</v>
      </c>
      <c r="G2395">
        <v>248027</v>
      </c>
      <c r="H2395" s="107"/>
      <c r="I2395" s="107"/>
      <c r="L2395" s="130">
        <v>45532</v>
      </c>
      <c r="M2395" s="107">
        <v>117.93</v>
      </c>
      <c r="N2395" s="107">
        <v>119.2</v>
      </c>
      <c r="O2395" s="107">
        <v>117.8</v>
      </c>
      <c r="P2395" s="107">
        <v>118.95</v>
      </c>
      <c r="Q2395" s="107">
        <v>117.93</v>
      </c>
      <c r="R2395">
        <v>2033737</v>
      </c>
    </row>
    <row r="2396" spans="1:18" x14ac:dyDescent="0.25">
      <c r="A2396" s="130">
        <v>45533</v>
      </c>
      <c r="B2396" s="107">
        <v>118.8</v>
      </c>
      <c r="C2396" s="107">
        <v>116.9</v>
      </c>
      <c r="D2396" s="107">
        <v>116.5</v>
      </c>
      <c r="E2396" s="107">
        <v>118.8</v>
      </c>
      <c r="F2396" s="107">
        <v>116.9</v>
      </c>
      <c r="G2396">
        <v>788514</v>
      </c>
      <c r="H2396" s="107"/>
      <c r="I2396" s="107"/>
      <c r="L2396" s="130">
        <v>45533</v>
      </c>
      <c r="M2396" s="107">
        <v>116.99</v>
      </c>
      <c r="N2396" s="107">
        <v>118.15</v>
      </c>
      <c r="O2396" s="107">
        <v>116.5</v>
      </c>
      <c r="P2396" s="107">
        <v>117.5</v>
      </c>
      <c r="Q2396" s="107">
        <v>116.99</v>
      </c>
      <c r="R2396">
        <v>6780777</v>
      </c>
    </row>
    <row r="2397" spans="1:18" x14ac:dyDescent="0.25">
      <c r="A2397" s="130">
        <v>45534</v>
      </c>
      <c r="B2397" s="107">
        <v>118.55</v>
      </c>
      <c r="C2397" s="107">
        <v>117.8</v>
      </c>
      <c r="D2397" s="107">
        <v>117.05</v>
      </c>
      <c r="E2397" s="107">
        <v>117.05</v>
      </c>
      <c r="F2397" s="107">
        <v>117.8</v>
      </c>
      <c r="G2397">
        <v>759305</v>
      </c>
      <c r="H2397" s="107"/>
      <c r="I2397" s="107"/>
      <c r="L2397" s="130">
        <v>45534</v>
      </c>
      <c r="M2397" s="107">
        <v>117.74</v>
      </c>
      <c r="N2397" s="107">
        <v>118.53</v>
      </c>
      <c r="O2397" s="107">
        <v>117.45</v>
      </c>
      <c r="P2397" s="107">
        <v>117.5</v>
      </c>
      <c r="Q2397" s="107">
        <v>117.74</v>
      </c>
      <c r="R2397">
        <v>2452499</v>
      </c>
    </row>
    <row r="2398" spans="1:18" x14ac:dyDescent="0.25">
      <c r="A2398" s="130">
        <v>45537</v>
      </c>
      <c r="B2398" s="107">
        <v>118.6</v>
      </c>
      <c r="C2398" s="107">
        <v>117.35</v>
      </c>
      <c r="D2398" s="107">
        <v>116.65</v>
      </c>
      <c r="E2398" s="107">
        <v>118.4</v>
      </c>
      <c r="F2398" s="107">
        <v>117.35</v>
      </c>
      <c r="G2398">
        <v>398801</v>
      </c>
      <c r="H2398" s="107"/>
      <c r="I2398" s="107"/>
      <c r="L2398" s="130">
        <v>45537</v>
      </c>
      <c r="M2398" s="107">
        <v>117.4</v>
      </c>
      <c r="N2398" s="107">
        <v>118.79</v>
      </c>
      <c r="O2398" s="107">
        <v>116.65</v>
      </c>
      <c r="P2398" s="107">
        <v>118.79</v>
      </c>
      <c r="Q2398" s="107">
        <v>117.4</v>
      </c>
      <c r="R2398">
        <v>3784509</v>
      </c>
    </row>
    <row r="2399" spans="1:18" x14ac:dyDescent="0.25">
      <c r="A2399" s="130">
        <v>45538</v>
      </c>
      <c r="B2399" s="107">
        <v>119.35</v>
      </c>
      <c r="C2399" s="107">
        <v>118.9</v>
      </c>
      <c r="D2399" s="107">
        <v>117.3</v>
      </c>
      <c r="E2399" s="107">
        <v>117.8</v>
      </c>
      <c r="F2399" s="107">
        <v>118.9</v>
      </c>
      <c r="G2399">
        <v>161168</v>
      </c>
      <c r="H2399" s="107"/>
      <c r="I2399" s="107"/>
      <c r="L2399" s="130">
        <v>45538</v>
      </c>
      <c r="M2399" s="107">
        <v>118.9</v>
      </c>
      <c r="N2399" s="107">
        <v>119.39</v>
      </c>
      <c r="O2399" s="107">
        <v>117.16</v>
      </c>
      <c r="P2399" s="107">
        <v>118</v>
      </c>
      <c r="Q2399" s="107">
        <v>118.9</v>
      </c>
      <c r="R2399">
        <v>5373501</v>
      </c>
    </row>
    <row r="2400" spans="1:18" x14ac:dyDescent="0.25">
      <c r="A2400" s="130">
        <v>45539</v>
      </c>
      <c r="B2400" s="107">
        <v>118.3</v>
      </c>
      <c r="C2400" s="107">
        <v>118</v>
      </c>
      <c r="D2400" s="107">
        <v>116.8</v>
      </c>
      <c r="E2400" s="107">
        <v>117.25</v>
      </c>
      <c r="F2400" s="107">
        <v>118</v>
      </c>
      <c r="G2400">
        <v>1759999</v>
      </c>
      <c r="H2400" s="107"/>
      <c r="I2400" s="107"/>
      <c r="L2400" s="130">
        <v>45539</v>
      </c>
      <c r="M2400" s="107">
        <v>117.93</v>
      </c>
      <c r="N2400" s="107">
        <v>118.25</v>
      </c>
      <c r="O2400" s="107">
        <v>116.85</v>
      </c>
      <c r="P2400" s="107">
        <v>117.74</v>
      </c>
      <c r="Q2400" s="107">
        <v>117.93</v>
      </c>
      <c r="R2400">
        <v>4975266</v>
      </c>
    </row>
    <row r="2401" spans="1:18" x14ac:dyDescent="0.25">
      <c r="A2401" s="130">
        <v>45540</v>
      </c>
      <c r="B2401" s="107">
        <v>118.5</v>
      </c>
      <c r="C2401" s="107">
        <v>117.45</v>
      </c>
      <c r="D2401" s="107">
        <v>117</v>
      </c>
      <c r="E2401" s="107">
        <v>118.5</v>
      </c>
      <c r="F2401" s="107">
        <v>117.45</v>
      </c>
      <c r="G2401">
        <v>741645</v>
      </c>
      <c r="H2401" s="107"/>
      <c r="I2401" s="107"/>
      <c r="L2401" s="130">
        <v>45540</v>
      </c>
      <c r="M2401" s="107">
        <v>117.26</v>
      </c>
      <c r="N2401" s="107">
        <v>118.45</v>
      </c>
      <c r="O2401" s="107">
        <v>117</v>
      </c>
      <c r="P2401" s="107">
        <v>118.19</v>
      </c>
      <c r="Q2401" s="107">
        <v>117.26</v>
      </c>
      <c r="R2401">
        <v>3748813</v>
      </c>
    </row>
    <row r="2402" spans="1:18" x14ac:dyDescent="0.25">
      <c r="A2402" s="130">
        <v>45541</v>
      </c>
      <c r="B2402" s="107">
        <v>118.1</v>
      </c>
      <c r="C2402" s="107">
        <v>115.8</v>
      </c>
      <c r="D2402" s="107">
        <v>115.25</v>
      </c>
      <c r="E2402" s="107">
        <v>117.55</v>
      </c>
      <c r="F2402" s="107">
        <v>115.8</v>
      </c>
      <c r="G2402">
        <v>966108</v>
      </c>
      <c r="H2402" s="107"/>
      <c r="I2402" s="107"/>
      <c r="L2402" s="130">
        <v>45541</v>
      </c>
      <c r="M2402" s="107">
        <v>115.75</v>
      </c>
      <c r="N2402" s="107">
        <v>118.09</v>
      </c>
      <c r="O2402" s="107">
        <v>115.25</v>
      </c>
      <c r="P2402" s="107">
        <v>118</v>
      </c>
      <c r="Q2402" s="107">
        <v>115.75</v>
      </c>
      <c r="R2402">
        <v>5934006</v>
      </c>
    </row>
    <row r="2403" spans="1:18" x14ac:dyDescent="0.25">
      <c r="A2403" s="130">
        <v>45544</v>
      </c>
      <c r="B2403" s="107">
        <v>115.6</v>
      </c>
      <c r="C2403" s="107">
        <v>113.5</v>
      </c>
      <c r="D2403" s="107">
        <v>112.3</v>
      </c>
      <c r="E2403" s="107">
        <v>115.45</v>
      </c>
      <c r="F2403" s="107">
        <v>113.5</v>
      </c>
      <c r="G2403">
        <v>1143187</v>
      </c>
      <c r="H2403" s="107"/>
      <c r="I2403" s="107"/>
      <c r="L2403" s="130">
        <v>45544</v>
      </c>
      <c r="M2403" s="107">
        <v>113.43</v>
      </c>
      <c r="N2403" s="107">
        <v>115.58</v>
      </c>
      <c r="O2403" s="107">
        <v>112.31</v>
      </c>
      <c r="P2403" s="107">
        <v>115</v>
      </c>
      <c r="Q2403" s="107">
        <v>113.43</v>
      </c>
      <c r="R2403">
        <v>8367849</v>
      </c>
    </row>
    <row r="2404" spans="1:18" x14ac:dyDescent="0.25">
      <c r="A2404" s="130">
        <v>45545</v>
      </c>
      <c r="B2404" s="107">
        <v>114.95</v>
      </c>
      <c r="C2404" s="107">
        <v>112.45</v>
      </c>
      <c r="D2404" s="107">
        <v>112.25</v>
      </c>
      <c r="E2404" s="107">
        <v>114.05</v>
      </c>
      <c r="F2404" s="107">
        <v>112.45</v>
      </c>
      <c r="G2404">
        <v>321039</v>
      </c>
      <c r="H2404" s="107"/>
      <c r="I2404" s="107"/>
      <c r="L2404" s="130">
        <v>45545</v>
      </c>
      <c r="M2404" s="107">
        <v>112.43</v>
      </c>
      <c r="N2404" s="107">
        <v>114.97</v>
      </c>
      <c r="O2404" s="107">
        <v>112.2</v>
      </c>
      <c r="P2404" s="107">
        <v>114.11</v>
      </c>
      <c r="Q2404" s="107">
        <v>112.43</v>
      </c>
      <c r="R2404">
        <v>4932265</v>
      </c>
    </row>
    <row r="2405" spans="1:18" x14ac:dyDescent="0.25">
      <c r="A2405" s="130">
        <v>45546</v>
      </c>
      <c r="B2405" s="107">
        <v>113.25</v>
      </c>
      <c r="C2405" s="107">
        <v>111.2</v>
      </c>
      <c r="D2405" s="107">
        <v>110.85</v>
      </c>
      <c r="E2405" s="107">
        <v>112.7</v>
      </c>
      <c r="F2405" s="107">
        <v>111.2</v>
      </c>
      <c r="G2405">
        <v>1839802</v>
      </c>
      <c r="H2405" s="107"/>
      <c r="I2405" s="107"/>
      <c r="L2405" s="130">
        <v>45546</v>
      </c>
      <c r="M2405" s="107">
        <v>111.23</v>
      </c>
      <c r="N2405" s="107">
        <v>113.2</v>
      </c>
      <c r="O2405" s="107">
        <v>110.9</v>
      </c>
      <c r="P2405" s="107">
        <v>113.2</v>
      </c>
      <c r="Q2405" s="107">
        <v>111.23</v>
      </c>
      <c r="R2405">
        <v>6176713</v>
      </c>
    </row>
    <row r="2406" spans="1:18" x14ac:dyDescent="0.25">
      <c r="A2406" s="130">
        <v>45547</v>
      </c>
      <c r="B2406" s="107">
        <v>112.5</v>
      </c>
      <c r="C2406" s="107">
        <v>110.85</v>
      </c>
      <c r="D2406" s="107">
        <v>110.3</v>
      </c>
      <c r="E2406" s="107">
        <v>111.85</v>
      </c>
      <c r="F2406" s="107">
        <v>110.85</v>
      </c>
      <c r="G2406">
        <v>294403</v>
      </c>
      <c r="H2406" s="107"/>
      <c r="I2406" s="107"/>
      <c r="L2406" s="130">
        <v>45547</v>
      </c>
      <c r="M2406" s="107">
        <v>110.86</v>
      </c>
      <c r="N2406" s="107">
        <v>112.49</v>
      </c>
      <c r="O2406" s="107">
        <v>110.22</v>
      </c>
      <c r="P2406" s="107">
        <v>112</v>
      </c>
      <c r="Q2406" s="107">
        <v>110.86</v>
      </c>
      <c r="R2406">
        <v>5439526</v>
      </c>
    </row>
    <row r="2407" spans="1:18" x14ac:dyDescent="0.25">
      <c r="A2407" s="130">
        <v>45548</v>
      </c>
      <c r="B2407" s="107">
        <v>113.85</v>
      </c>
      <c r="C2407" s="107">
        <v>112.3</v>
      </c>
      <c r="D2407" s="107">
        <v>111</v>
      </c>
      <c r="E2407" s="107">
        <v>111.7</v>
      </c>
      <c r="F2407" s="107">
        <v>112.3</v>
      </c>
      <c r="G2407">
        <v>342553</v>
      </c>
      <c r="H2407" s="107"/>
      <c r="I2407" s="107"/>
      <c r="L2407" s="130">
        <v>45548</v>
      </c>
      <c r="M2407" s="107">
        <v>112.36</v>
      </c>
      <c r="N2407" s="107">
        <v>113.85</v>
      </c>
      <c r="O2407" s="107">
        <v>110.92</v>
      </c>
      <c r="P2407" s="107">
        <v>111.55</v>
      </c>
      <c r="Q2407" s="107">
        <v>112.36</v>
      </c>
      <c r="R2407">
        <v>5278568</v>
      </c>
    </row>
    <row r="2408" spans="1:18" x14ac:dyDescent="0.25">
      <c r="A2408" s="130">
        <v>45551</v>
      </c>
      <c r="B2408" s="107">
        <v>115.2</v>
      </c>
      <c r="C2408" s="107">
        <v>112.9</v>
      </c>
      <c r="D2408" s="107">
        <v>112.6</v>
      </c>
      <c r="E2408" s="107">
        <v>112.8</v>
      </c>
      <c r="F2408" s="107">
        <v>112.9</v>
      </c>
      <c r="G2408">
        <v>275259</v>
      </c>
      <c r="H2408" s="107"/>
      <c r="I2408" s="107"/>
      <c r="L2408" s="130">
        <v>45551</v>
      </c>
      <c r="M2408" s="107">
        <v>113.01</v>
      </c>
      <c r="N2408" s="107">
        <v>115.25</v>
      </c>
      <c r="O2408" s="107">
        <v>112.52</v>
      </c>
      <c r="P2408" s="107">
        <v>112.89</v>
      </c>
      <c r="Q2408" s="107">
        <v>113.01</v>
      </c>
      <c r="R2408">
        <v>5555617</v>
      </c>
    </row>
    <row r="2409" spans="1:18" x14ac:dyDescent="0.25">
      <c r="A2409" s="130">
        <v>45552</v>
      </c>
      <c r="B2409" s="107">
        <v>113.6</v>
      </c>
      <c r="C2409" s="107">
        <v>112.25</v>
      </c>
      <c r="D2409" s="107">
        <v>112.05</v>
      </c>
      <c r="E2409" s="107">
        <v>113.6</v>
      </c>
      <c r="F2409" s="107">
        <v>112.25</v>
      </c>
      <c r="G2409">
        <v>137876</v>
      </c>
      <c r="H2409" s="107"/>
      <c r="I2409" s="107"/>
      <c r="L2409" s="130">
        <v>45552</v>
      </c>
      <c r="M2409" s="107">
        <v>112.28</v>
      </c>
      <c r="N2409" s="107">
        <v>113.5</v>
      </c>
      <c r="O2409" s="107">
        <v>112.03</v>
      </c>
      <c r="P2409" s="107">
        <v>113.45</v>
      </c>
      <c r="Q2409" s="107">
        <v>112.28</v>
      </c>
      <c r="R2409">
        <v>2727821</v>
      </c>
    </row>
    <row r="2410" spans="1:18" x14ac:dyDescent="0.25">
      <c r="A2410" s="130">
        <v>45553</v>
      </c>
      <c r="B2410" s="107">
        <v>112.5</v>
      </c>
      <c r="C2410" s="107">
        <v>110.85</v>
      </c>
      <c r="D2410" s="107">
        <v>110.55</v>
      </c>
      <c r="E2410" s="107">
        <v>112.5</v>
      </c>
      <c r="F2410" s="107">
        <v>110.85</v>
      </c>
      <c r="G2410">
        <v>222849</v>
      </c>
      <c r="H2410" s="107"/>
      <c r="I2410" s="107"/>
      <c r="L2410" s="130">
        <v>45553</v>
      </c>
      <c r="M2410" s="107">
        <v>110.76</v>
      </c>
      <c r="N2410" s="107">
        <v>112.42</v>
      </c>
      <c r="O2410" s="107">
        <v>110.5</v>
      </c>
      <c r="P2410" s="107">
        <v>112.39</v>
      </c>
      <c r="Q2410" s="107">
        <v>110.76</v>
      </c>
      <c r="R2410">
        <v>3149002</v>
      </c>
    </row>
    <row r="2411" spans="1:18" x14ac:dyDescent="0.25">
      <c r="A2411" s="130">
        <v>45554</v>
      </c>
      <c r="B2411" s="107">
        <v>111.85</v>
      </c>
      <c r="C2411" s="107">
        <v>110.05</v>
      </c>
      <c r="D2411" s="107">
        <v>109.45</v>
      </c>
      <c r="E2411" s="107">
        <v>111.6</v>
      </c>
      <c r="F2411" s="107">
        <v>110.05</v>
      </c>
      <c r="G2411">
        <v>508614</v>
      </c>
      <c r="H2411" s="107"/>
      <c r="I2411" s="107"/>
      <c r="L2411" s="130">
        <v>45554</v>
      </c>
      <c r="M2411" s="107">
        <v>110</v>
      </c>
      <c r="N2411" s="107">
        <v>111.84</v>
      </c>
      <c r="O2411" s="107">
        <v>109.51</v>
      </c>
      <c r="P2411" s="107">
        <v>111.84</v>
      </c>
      <c r="Q2411" s="107">
        <v>110</v>
      </c>
      <c r="R2411">
        <v>5563088</v>
      </c>
    </row>
    <row r="2412" spans="1:18" x14ac:dyDescent="0.25">
      <c r="A2412" s="130">
        <v>45555</v>
      </c>
      <c r="B2412" s="107">
        <v>110.75</v>
      </c>
      <c r="C2412" s="107">
        <v>110.35</v>
      </c>
      <c r="D2412" s="107">
        <v>109.7</v>
      </c>
      <c r="E2412" s="107">
        <v>110.65</v>
      </c>
      <c r="F2412" s="107">
        <v>110.35</v>
      </c>
      <c r="G2412">
        <v>403212</v>
      </c>
      <c r="H2412" s="107"/>
      <c r="I2412" s="107"/>
      <c r="L2412" s="130">
        <v>45555</v>
      </c>
      <c r="M2412" s="107">
        <v>110.3</v>
      </c>
      <c r="N2412" s="107">
        <v>110.79</v>
      </c>
      <c r="O2412" s="107">
        <v>109.72</v>
      </c>
      <c r="P2412" s="107">
        <v>110.73</v>
      </c>
      <c r="Q2412" s="107">
        <v>110.3</v>
      </c>
      <c r="R2412">
        <v>4333880</v>
      </c>
    </row>
    <row r="2413" spans="1:18" x14ac:dyDescent="0.25">
      <c r="A2413" s="130">
        <v>45558</v>
      </c>
      <c r="B2413" s="107">
        <v>113.6</v>
      </c>
      <c r="C2413" s="107">
        <v>112.45</v>
      </c>
      <c r="D2413" s="107">
        <v>110.35</v>
      </c>
      <c r="E2413" s="107">
        <v>110.6</v>
      </c>
      <c r="F2413" s="107">
        <v>112.45</v>
      </c>
      <c r="G2413">
        <v>672296</v>
      </c>
      <c r="H2413" s="107"/>
      <c r="I2413" s="107"/>
      <c r="L2413" s="130">
        <v>45558</v>
      </c>
      <c r="M2413" s="107">
        <v>112.39</v>
      </c>
      <c r="N2413" s="107">
        <v>113.59</v>
      </c>
      <c r="O2413" s="107">
        <v>110.3</v>
      </c>
      <c r="P2413" s="107">
        <v>111.15</v>
      </c>
      <c r="Q2413" s="107">
        <v>112.39</v>
      </c>
      <c r="R2413">
        <v>6797090</v>
      </c>
    </row>
    <row r="2414" spans="1:18" x14ac:dyDescent="0.25">
      <c r="A2414" s="130">
        <v>45559</v>
      </c>
      <c r="B2414" s="107">
        <v>113.05</v>
      </c>
      <c r="C2414" s="107">
        <v>111.95</v>
      </c>
      <c r="D2414" s="107">
        <v>111.8</v>
      </c>
      <c r="E2414" s="107">
        <v>112.9</v>
      </c>
      <c r="F2414" s="107">
        <v>111.95</v>
      </c>
      <c r="G2414">
        <v>380881</v>
      </c>
      <c r="H2414" s="107"/>
      <c r="I2414" s="107"/>
      <c r="L2414" s="130">
        <v>45559</v>
      </c>
      <c r="M2414" s="107">
        <v>111.96</v>
      </c>
      <c r="N2414" s="107">
        <v>112.95</v>
      </c>
      <c r="O2414" s="107">
        <v>111.8</v>
      </c>
      <c r="P2414" s="107">
        <v>112.95</v>
      </c>
      <c r="Q2414" s="107">
        <v>111.96</v>
      </c>
      <c r="R2414">
        <v>4405905</v>
      </c>
    </row>
    <row r="2415" spans="1:18" x14ac:dyDescent="0.25">
      <c r="A2415" s="130">
        <v>45560</v>
      </c>
      <c r="B2415" s="107">
        <v>112.35</v>
      </c>
      <c r="C2415" s="107">
        <v>110.6</v>
      </c>
      <c r="D2415" s="107">
        <v>110.25</v>
      </c>
      <c r="E2415" s="107">
        <v>112</v>
      </c>
      <c r="F2415" s="107">
        <v>110.6</v>
      </c>
      <c r="G2415">
        <v>185250</v>
      </c>
      <c r="H2415" s="107"/>
      <c r="I2415" s="107"/>
      <c r="L2415" s="130">
        <v>45560</v>
      </c>
      <c r="M2415" s="107">
        <v>110.54</v>
      </c>
      <c r="N2415" s="107">
        <v>112.28</v>
      </c>
      <c r="O2415" s="107">
        <v>110.3</v>
      </c>
      <c r="P2415" s="107">
        <v>112.28</v>
      </c>
      <c r="Q2415" s="107">
        <v>110.54</v>
      </c>
      <c r="R2415">
        <v>3870712</v>
      </c>
    </row>
    <row r="2416" spans="1:18" x14ac:dyDescent="0.25">
      <c r="A2416" s="130">
        <v>45561</v>
      </c>
      <c r="B2416" s="107">
        <v>111.85</v>
      </c>
      <c r="C2416" s="107">
        <v>110.55</v>
      </c>
      <c r="D2416" s="107">
        <v>109.7</v>
      </c>
      <c r="E2416" s="107">
        <v>110.8</v>
      </c>
      <c r="F2416" s="107">
        <v>110.55</v>
      </c>
      <c r="G2416">
        <v>479861</v>
      </c>
      <c r="H2416" s="107"/>
      <c r="I2416" s="107"/>
      <c r="L2416" s="130">
        <v>45561</v>
      </c>
      <c r="M2416" s="107">
        <v>110.51</v>
      </c>
      <c r="N2416" s="107">
        <v>111.85</v>
      </c>
      <c r="O2416" s="107">
        <v>109.66</v>
      </c>
      <c r="P2416" s="107">
        <v>110.95</v>
      </c>
      <c r="Q2416" s="107">
        <v>110.51</v>
      </c>
      <c r="R2416">
        <v>4939056</v>
      </c>
    </row>
    <row r="2417" spans="1:18" x14ac:dyDescent="0.25">
      <c r="A2417" s="130">
        <v>45562</v>
      </c>
      <c r="B2417" s="107">
        <v>111.45</v>
      </c>
      <c r="C2417" s="107">
        <v>110.8</v>
      </c>
      <c r="D2417" s="107">
        <v>110.25</v>
      </c>
      <c r="E2417" s="107">
        <v>111</v>
      </c>
      <c r="F2417" s="107">
        <v>110.8</v>
      </c>
      <c r="G2417">
        <v>573738</v>
      </c>
      <c r="H2417" s="107"/>
      <c r="I2417" s="107"/>
      <c r="L2417" s="130">
        <v>45562</v>
      </c>
      <c r="M2417" s="107">
        <v>110.77</v>
      </c>
      <c r="N2417" s="107">
        <v>111.44</v>
      </c>
      <c r="O2417" s="107">
        <v>110.18</v>
      </c>
      <c r="P2417" s="107">
        <v>110.9</v>
      </c>
      <c r="Q2417" s="107">
        <v>110.77</v>
      </c>
      <c r="R2417">
        <v>6063334</v>
      </c>
    </row>
    <row r="2418" spans="1:18" x14ac:dyDescent="0.25">
      <c r="A2418" s="130">
        <v>45565</v>
      </c>
      <c r="B2418" s="107">
        <v>111.25</v>
      </c>
      <c r="C2418" s="107">
        <v>110.7</v>
      </c>
      <c r="D2418" s="107">
        <v>109.6</v>
      </c>
      <c r="E2418" s="107">
        <v>110.95</v>
      </c>
      <c r="F2418" s="107">
        <v>110.7</v>
      </c>
      <c r="G2418">
        <v>923566</v>
      </c>
      <c r="H2418" s="107"/>
      <c r="I2418" s="107"/>
      <c r="L2418" s="130">
        <v>45565</v>
      </c>
      <c r="M2418" s="107">
        <v>110.6</v>
      </c>
      <c r="N2418" s="107">
        <v>111.3</v>
      </c>
      <c r="O2418" s="107">
        <v>109.7</v>
      </c>
      <c r="P2418" s="107">
        <v>110.82</v>
      </c>
      <c r="Q2418" s="107">
        <v>110.6</v>
      </c>
      <c r="R2418">
        <v>5267144</v>
      </c>
    </row>
    <row r="2419" spans="1:18" x14ac:dyDescent="0.25">
      <c r="A2419" s="130">
        <v>45566</v>
      </c>
      <c r="B2419" s="107">
        <v>111.7</v>
      </c>
      <c r="C2419" s="107">
        <v>110.85</v>
      </c>
      <c r="D2419" s="107">
        <v>110.6</v>
      </c>
      <c r="E2419" s="107">
        <v>110.6</v>
      </c>
      <c r="F2419" s="107">
        <v>110.85</v>
      </c>
      <c r="G2419">
        <v>372967</v>
      </c>
      <c r="H2419" s="107"/>
      <c r="I2419" s="107"/>
      <c r="L2419" s="130">
        <v>45566</v>
      </c>
      <c r="M2419" s="107">
        <v>110.89</v>
      </c>
      <c r="N2419" s="107">
        <v>111.69</v>
      </c>
      <c r="O2419" s="107">
        <v>110.51</v>
      </c>
      <c r="P2419" s="107">
        <v>110.75</v>
      </c>
      <c r="Q2419" s="107">
        <v>110.89</v>
      </c>
      <c r="R2419">
        <v>3541577</v>
      </c>
    </row>
    <row r="2420" spans="1:18" x14ac:dyDescent="0.25">
      <c r="A2420" s="130">
        <v>45568</v>
      </c>
      <c r="B2420" s="107">
        <v>109.85</v>
      </c>
      <c r="C2420" s="107">
        <v>109.35</v>
      </c>
      <c r="D2420" s="107">
        <v>108.65</v>
      </c>
      <c r="E2420" s="107">
        <v>109.85</v>
      </c>
      <c r="F2420" s="107">
        <v>109.35</v>
      </c>
      <c r="G2420">
        <v>183658</v>
      </c>
      <c r="H2420" s="107"/>
      <c r="I2420" s="107"/>
      <c r="L2420" s="130">
        <v>45568</v>
      </c>
      <c r="M2420" s="107">
        <v>109.27</v>
      </c>
      <c r="N2420" s="107">
        <v>109.95</v>
      </c>
      <c r="O2420" s="107">
        <v>108.6</v>
      </c>
      <c r="P2420" s="107">
        <v>109.17</v>
      </c>
      <c r="Q2420" s="107">
        <v>109.27</v>
      </c>
      <c r="R2420">
        <v>3787250</v>
      </c>
    </row>
    <row r="2421" spans="1:18" x14ac:dyDescent="0.25">
      <c r="A2421" s="130">
        <v>45569</v>
      </c>
      <c r="B2421" s="107">
        <v>109.7</v>
      </c>
      <c r="C2421" s="107">
        <v>108.85</v>
      </c>
      <c r="D2421" s="107">
        <v>106.8</v>
      </c>
      <c r="E2421" s="107">
        <v>109.7</v>
      </c>
      <c r="F2421" s="107">
        <v>108.85</v>
      </c>
      <c r="G2421">
        <v>565375</v>
      </c>
      <c r="H2421" s="107"/>
      <c r="I2421" s="107"/>
      <c r="L2421" s="130">
        <v>45569</v>
      </c>
      <c r="M2421" s="107">
        <v>108.76</v>
      </c>
      <c r="N2421" s="107">
        <v>109.64</v>
      </c>
      <c r="O2421" s="107">
        <v>106.8</v>
      </c>
      <c r="P2421" s="107">
        <v>109.29</v>
      </c>
      <c r="Q2421" s="107">
        <v>108.76</v>
      </c>
      <c r="R2421">
        <v>5400033</v>
      </c>
    </row>
    <row r="2422" spans="1:18" x14ac:dyDescent="0.25">
      <c r="A2422" s="130">
        <v>45572</v>
      </c>
      <c r="B2422" s="107">
        <v>109.45</v>
      </c>
      <c r="C2422" s="107">
        <v>105.5</v>
      </c>
      <c r="D2422" s="107">
        <v>103.9</v>
      </c>
      <c r="E2422" s="107">
        <v>108.9</v>
      </c>
      <c r="F2422" s="107">
        <v>105.5</v>
      </c>
      <c r="G2422">
        <v>734298</v>
      </c>
      <c r="H2422" s="107"/>
      <c r="I2422" s="107"/>
      <c r="L2422" s="130">
        <v>45572</v>
      </c>
      <c r="M2422" s="107">
        <v>105.52</v>
      </c>
      <c r="N2422" s="107">
        <v>109.46</v>
      </c>
      <c r="O2422" s="107">
        <v>103.92</v>
      </c>
      <c r="P2422" s="107">
        <v>109</v>
      </c>
      <c r="Q2422" s="107">
        <v>105.52</v>
      </c>
      <c r="R2422">
        <v>5658321</v>
      </c>
    </row>
    <row r="2423" spans="1:18" x14ac:dyDescent="0.25">
      <c r="A2423" s="130">
        <v>45573</v>
      </c>
      <c r="B2423" s="107">
        <v>107.15</v>
      </c>
      <c r="C2423" s="107">
        <v>106</v>
      </c>
      <c r="D2423" s="107">
        <v>101.25</v>
      </c>
      <c r="E2423" s="107">
        <v>105.5</v>
      </c>
      <c r="F2423" s="107">
        <v>106</v>
      </c>
      <c r="G2423">
        <v>364609</v>
      </c>
      <c r="H2423" s="107"/>
      <c r="I2423" s="107"/>
      <c r="L2423" s="130">
        <v>45573</v>
      </c>
      <c r="M2423" s="107">
        <v>105.94</v>
      </c>
      <c r="N2423" s="107">
        <v>107.28</v>
      </c>
      <c r="O2423" s="107">
        <v>101.07</v>
      </c>
      <c r="P2423" s="107">
        <v>105.3</v>
      </c>
      <c r="Q2423" s="107">
        <v>105.94</v>
      </c>
      <c r="R2423">
        <v>5918241</v>
      </c>
    </row>
    <row r="2424" spans="1:18" x14ac:dyDescent="0.25">
      <c r="A2424" s="130">
        <v>45574</v>
      </c>
      <c r="B2424" s="107">
        <v>107.7</v>
      </c>
      <c r="C2424" s="107">
        <v>105.4</v>
      </c>
      <c r="D2424" s="107">
        <v>105.15</v>
      </c>
      <c r="E2424" s="107">
        <v>107.65</v>
      </c>
      <c r="F2424" s="107">
        <v>105.4</v>
      </c>
      <c r="G2424">
        <v>338014</v>
      </c>
      <c r="H2424" s="107"/>
      <c r="I2424" s="107"/>
      <c r="L2424" s="130">
        <v>45574</v>
      </c>
      <c r="M2424" s="107">
        <v>105.38</v>
      </c>
      <c r="N2424" s="107">
        <v>107.7</v>
      </c>
      <c r="O2424" s="107">
        <v>105</v>
      </c>
      <c r="P2424" s="107">
        <v>107.4</v>
      </c>
      <c r="Q2424" s="107">
        <v>105.38</v>
      </c>
      <c r="R2424">
        <v>3576172</v>
      </c>
    </row>
    <row r="2425" spans="1:18" x14ac:dyDescent="0.25">
      <c r="A2425" s="130">
        <v>45575</v>
      </c>
      <c r="B2425" s="107">
        <v>106.5</v>
      </c>
      <c r="C2425" s="107">
        <v>105.45</v>
      </c>
      <c r="D2425" s="107">
        <v>105.1</v>
      </c>
      <c r="E2425" s="107">
        <v>105.6</v>
      </c>
      <c r="F2425" s="107">
        <v>105.45</v>
      </c>
      <c r="G2425">
        <v>247298</v>
      </c>
      <c r="H2425" s="107"/>
      <c r="I2425" s="107"/>
      <c r="L2425" s="130">
        <v>45575</v>
      </c>
      <c r="M2425" s="107">
        <v>105.47</v>
      </c>
      <c r="N2425" s="107">
        <v>106.5</v>
      </c>
      <c r="O2425" s="107">
        <v>105.1</v>
      </c>
      <c r="P2425" s="107">
        <v>106.09</v>
      </c>
      <c r="Q2425" s="107">
        <v>105.47</v>
      </c>
      <c r="R2425">
        <v>2888761</v>
      </c>
    </row>
    <row r="2426" spans="1:18" x14ac:dyDescent="0.25">
      <c r="A2426" s="130">
        <v>45576</v>
      </c>
      <c r="B2426" s="107">
        <v>105.95</v>
      </c>
      <c r="C2426" s="107">
        <v>105.5</v>
      </c>
      <c r="D2426" s="107">
        <v>105.05</v>
      </c>
      <c r="E2426" s="107">
        <v>105.2</v>
      </c>
      <c r="F2426" s="107">
        <v>105.5</v>
      </c>
      <c r="G2426">
        <v>182857</v>
      </c>
      <c r="H2426" s="107"/>
      <c r="I2426" s="107"/>
      <c r="L2426" s="130">
        <v>45576</v>
      </c>
      <c r="M2426" s="107">
        <v>105.53</v>
      </c>
      <c r="N2426" s="107">
        <v>105.99</v>
      </c>
      <c r="O2426" s="107">
        <v>105.05</v>
      </c>
      <c r="P2426" s="107">
        <v>105.47</v>
      </c>
      <c r="Q2426" s="107">
        <v>105.53</v>
      </c>
      <c r="R2426">
        <v>1870268</v>
      </c>
    </row>
    <row r="2427" spans="1:18" x14ac:dyDescent="0.25">
      <c r="A2427" s="130">
        <v>45579</v>
      </c>
      <c r="B2427" s="107">
        <v>106.3</v>
      </c>
      <c r="C2427" s="107">
        <v>104.75</v>
      </c>
      <c r="D2427" s="107">
        <v>104.4</v>
      </c>
      <c r="E2427" s="107">
        <v>105.65</v>
      </c>
      <c r="F2427" s="107">
        <v>104.75</v>
      </c>
      <c r="G2427">
        <v>225171</v>
      </c>
      <c r="H2427" s="107"/>
      <c r="I2427" s="107"/>
      <c r="L2427" s="130">
        <v>45579</v>
      </c>
      <c r="M2427" s="107">
        <v>104.71</v>
      </c>
      <c r="N2427" s="107">
        <v>106.3</v>
      </c>
      <c r="O2427" s="107">
        <v>104.33</v>
      </c>
      <c r="P2427" s="107">
        <v>105.91</v>
      </c>
      <c r="Q2427" s="107">
        <v>104.71</v>
      </c>
      <c r="R2427">
        <v>3004596</v>
      </c>
    </row>
    <row r="2428" spans="1:18" x14ac:dyDescent="0.25">
      <c r="A2428" s="130">
        <v>45580</v>
      </c>
      <c r="B2428" s="107">
        <v>105.5</v>
      </c>
      <c r="C2428" s="107">
        <v>104.8</v>
      </c>
      <c r="D2428" s="107">
        <v>104.35</v>
      </c>
      <c r="E2428" s="107">
        <v>105</v>
      </c>
      <c r="F2428" s="107">
        <v>104.8</v>
      </c>
      <c r="G2428">
        <v>200566</v>
      </c>
      <c r="H2428" s="107"/>
      <c r="I2428" s="107"/>
      <c r="L2428" s="130">
        <v>45580</v>
      </c>
      <c r="M2428" s="107">
        <v>104.68</v>
      </c>
      <c r="N2428" s="107">
        <v>105.59</v>
      </c>
      <c r="O2428" s="107">
        <v>104.36</v>
      </c>
      <c r="P2428" s="107">
        <v>105</v>
      </c>
      <c r="Q2428" s="107">
        <v>104.68</v>
      </c>
      <c r="R2428">
        <v>2454679</v>
      </c>
    </row>
    <row r="2429" spans="1:18" x14ac:dyDescent="0.25">
      <c r="A2429" s="130">
        <v>45581</v>
      </c>
      <c r="B2429" s="107">
        <v>105.55</v>
      </c>
      <c r="C2429" s="107">
        <v>104.85</v>
      </c>
      <c r="D2429" s="107">
        <v>104.35</v>
      </c>
      <c r="E2429" s="107">
        <v>104.55</v>
      </c>
      <c r="F2429" s="107">
        <v>104.85</v>
      </c>
      <c r="G2429">
        <v>258755</v>
      </c>
      <c r="H2429" s="107"/>
      <c r="I2429" s="107"/>
      <c r="L2429" s="130">
        <v>45581</v>
      </c>
      <c r="M2429" s="107">
        <v>104.83</v>
      </c>
      <c r="N2429" s="107">
        <v>105.25</v>
      </c>
      <c r="O2429" s="107">
        <v>104.35</v>
      </c>
      <c r="P2429" s="107">
        <v>104.66</v>
      </c>
      <c r="Q2429" s="107">
        <v>104.83</v>
      </c>
      <c r="R2429">
        <v>2453578</v>
      </c>
    </row>
    <row r="2430" spans="1:18" x14ac:dyDescent="0.25">
      <c r="A2430" s="130">
        <v>45582</v>
      </c>
      <c r="B2430" s="107">
        <v>105.35</v>
      </c>
      <c r="C2430" s="107">
        <v>104.7</v>
      </c>
      <c r="D2430" s="107">
        <v>103.75</v>
      </c>
      <c r="E2430" s="107">
        <v>104.55</v>
      </c>
      <c r="F2430" s="107">
        <v>104.7</v>
      </c>
      <c r="G2430">
        <v>242614</v>
      </c>
      <c r="H2430" s="107"/>
      <c r="I2430" s="107"/>
      <c r="L2430" s="130">
        <v>45582</v>
      </c>
      <c r="M2430" s="107">
        <v>104.68</v>
      </c>
      <c r="N2430" s="107">
        <v>105.39</v>
      </c>
      <c r="O2430" s="107">
        <v>103.76</v>
      </c>
      <c r="P2430" s="107">
        <v>104.85</v>
      </c>
      <c r="Q2430" s="107">
        <v>104.68</v>
      </c>
      <c r="R2430">
        <v>2476072</v>
      </c>
    </row>
    <row r="2431" spans="1:18" x14ac:dyDescent="0.25">
      <c r="A2431" s="130">
        <v>45583</v>
      </c>
      <c r="B2431" s="107">
        <v>105.85</v>
      </c>
      <c r="C2431" s="107">
        <v>104.8</v>
      </c>
      <c r="D2431" s="107">
        <v>102.85</v>
      </c>
      <c r="E2431" s="107">
        <v>104.1</v>
      </c>
      <c r="F2431" s="107">
        <v>104.8</v>
      </c>
      <c r="G2431">
        <v>370371</v>
      </c>
      <c r="H2431" s="107"/>
      <c r="I2431" s="107"/>
      <c r="L2431" s="130">
        <v>45583</v>
      </c>
      <c r="M2431" s="107">
        <v>104.82</v>
      </c>
      <c r="N2431" s="107">
        <v>105.9</v>
      </c>
      <c r="O2431" s="107">
        <v>102.82</v>
      </c>
      <c r="P2431" s="107">
        <v>104</v>
      </c>
      <c r="Q2431" s="107">
        <v>104.82</v>
      </c>
      <c r="R2431">
        <v>3787617</v>
      </c>
    </row>
    <row r="2432" spans="1:18" x14ac:dyDescent="0.25">
      <c r="A2432" s="130">
        <v>45586</v>
      </c>
      <c r="B2432" s="107">
        <v>106.05</v>
      </c>
      <c r="C2432" s="107">
        <v>104.15</v>
      </c>
      <c r="D2432" s="107">
        <v>103.3</v>
      </c>
      <c r="E2432" s="107">
        <v>105.1</v>
      </c>
      <c r="F2432" s="107">
        <v>104.15</v>
      </c>
      <c r="G2432">
        <v>468058</v>
      </c>
      <c r="H2432" s="107"/>
      <c r="I2432" s="107"/>
      <c r="L2432" s="130">
        <v>45586</v>
      </c>
      <c r="M2432" s="107">
        <v>104.11</v>
      </c>
      <c r="N2432" s="107">
        <v>106.18</v>
      </c>
      <c r="O2432" s="107">
        <v>103.3</v>
      </c>
      <c r="P2432" s="107">
        <v>105.3</v>
      </c>
      <c r="Q2432" s="107">
        <v>104.11</v>
      </c>
      <c r="R2432">
        <v>3539723</v>
      </c>
    </row>
    <row r="2433" spans="1:18" x14ac:dyDescent="0.25">
      <c r="A2433" s="130">
        <v>45587</v>
      </c>
      <c r="B2433" s="107">
        <v>104.7</v>
      </c>
      <c r="C2433" s="107">
        <v>99.9</v>
      </c>
      <c r="D2433" s="107">
        <v>99.5</v>
      </c>
      <c r="E2433" s="107">
        <v>104.3</v>
      </c>
      <c r="F2433" s="107">
        <v>99.9</v>
      </c>
      <c r="G2433">
        <v>1956307</v>
      </c>
      <c r="H2433" s="107"/>
      <c r="I2433" s="107"/>
      <c r="L2433" s="130">
        <v>45587</v>
      </c>
      <c r="M2433" s="107">
        <v>99.9</v>
      </c>
      <c r="N2433" s="107">
        <v>104.48</v>
      </c>
      <c r="O2433" s="107">
        <v>99.3</v>
      </c>
      <c r="P2433" s="107">
        <v>104.48</v>
      </c>
      <c r="Q2433" s="107">
        <v>99.9</v>
      </c>
      <c r="R2433">
        <v>8322247</v>
      </c>
    </row>
    <row r="2434" spans="1:18" x14ac:dyDescent="0.25">
      <c r="A2434" s="130">
        <v>45588</v>
      </c>
      <c r="B2434" s="107">
        <v>100.45</v>
      </c>
      <c r="C2434" s="107">
        <v>99</v>
      </c>
      <c r="D2434" s="107">
        <v>96.6</v>
      </c>
      <c r="E2434" s="107">
        <v>99.6</v>
      </c>
      <c r="F2434" s="107">
        <v>99</v>
      </c>
      <c r="G2434">
        <v>1007806</v>
      </c>
      <c r="H2434" s="107"/>
      <c r="I2434" s="107"/>
      <c r="L2434" s="130">
        <v>45588</v>
      </c>
      <c r="M2434" s="107">
        <v>98.91</v>
      </c>
      <c r="N2434" s="107">
        <v>100.45</v>
      </c>
      <c r="O2434" s="107">
        <v>96.5</v>
      </c>
      <c r="P2434" s="107">
        <v>99.78</v>
      </c>
      <c r="Q2434" s="107">
        <v>98.91</v>
      </c>
      <c r="R2434">
        <v>5957517</v>
      </c>
    </row>
    <row r="2435" spans="1:18" x14ac:dyDescent="0.25">
      <c r="A2435" s="130">
        <v>45589</v>
      </c>
      <c r="B2435" s="107">
        <v>100.9</v>
      </c>
      <c r="C2435" s="107">
        <v>99.3</v>
      </c>
      <c r="D2435" s="107">
        <v>98.35</v>
      </c>
      <c r="E2435" s="107">
        <v>99.65</v>
      </c>
      <c r="F2435" s="107">
        <v>99.3</v>
      </c>
      <c r="G2435">
        <v>458688</v>
      </c>
      <c r="H2435" s="107"/>
      <c r="I2435" s="107"/>
      <c r="L2435" s="130">
        <v>45589</v>
      </c>
      <c r="M2435" s="107">
        <v>99.23</v>
      </c>
      <c r="N2435" s="107">
        <v>100.95</v>
      </c>
      <c r="O2435" s="107">
        <v>98.35</v>
      </c>
      <c r="P2435" s="107">
        <v>98.94</v>
      </c>
      <c r="Q2435" s="107">
        <v>99.23</v>
      </c>
      <c r="R2435">
        <v>9111566</v>
      </c>
    </row>
    <row r="2436" spans="1:18" x14ac:dyDescent="0.25">
      <c r="A2436" s="130">
        <v>45590</v>
      </c>
      <c r="B2436" s="107">
        <v>99.75</v>
      </c>
      <c r="C2436" s="107">
        <v>96.6</v>
      </c>
      <c r="D2436" s="107">
        <v>96</v>
      </c>
      <c r="E2436" s="107">
        <v>99.5</v>
      </c>
      <c r="F2436" s="107">
        <v>96.6</v>
      </c>
      <c r="G2436">
        <v>1336360</v>
      </c>
      <c r="H2436" s="107"/>
      <c r="I2436" s="107"/>
      <c r="L2436" s="130">
        <v>45590</v>
      </c>
      <c r="M2436" s="107">
        <v>96.56</v>
      </c>
      <c r="N2436" s="107">
        <v>99.78</v>
      </c>
      <c r="O2436" s="107">
        <v>96</v>
      </c>
      <c r="P2436" s="107">
        <v>99.78</v>
      </c>
      <c r="Q2436" s="107">
        <v>96.56</v>
      </c>
      <c r="R2436">
        <v>6505468</v>
      </c>
    </row>
    <row r="2437" spans="1:18" x14ac:dyDescent="0.25">
      <c r="A2437" s="130">
        <v>45593</v>
      </c>
      <c r="B2437" s="107">
        <v>101</v>
      </c>
      <c r="C2437" s="107">
        <v>100.25</v>
      </c>
      <c r="D2437" s="107">
        <v>96.45</v>
      </c>
      <c r="E2437" s="107">
        <v>97.25</v>
      </c>
      <c r="F2437" s="107">
        <v>100.25</v>
      </c>
      <c r="G2437">
        <v>861355</v>
      </c>
      <c r="H2437" s="107"/>
      <c r="I2437" s="107"/>
      <c r="L2437" s="130">
        <v>45593</v>
      </c>
      <c r="M2437" s="107">
        <v>100.19</v>
      </c>
      <c r="N2437" s="107">
        <v>101.05</v>
      </c>
      <c r="O2437" s="107">
        <v>96.6</v>
      </c>
      <c r="P2437" s="107">
        <v>98</v>
      </c>
      <c r="Q2437" s="107">
        <v>100.19</v>
      </c>
      <c r="R2437">
        <v>6797633</v>
      </c>
    </row>
    <row r="2438" spans="1:18" x14ac:dyDescent="0.25">
      <c r="A2438" s="130">
        <v>45594</v>
      </c>
      <c r="B2438" s="107">
        <v>102.85</v>
      </c>
      <c r="C2438" s="107">
        <v>102.65</v>
      </c>
      <c r="D2438" s="107">
        <v>99.55</v>
      </c>
      <c r="E2438" s="107">
        <v>100.85</v>
      </c>
      <c r="F2438" s="107">
        <v>102.65</v>
      </c>
      <c r="G2438">
        <v>831635</v>
      </c>
      <c r="H2438" s="107"/>
      <c r="I2438" s="107"/>
      <c r="L2438" s="130">
        <v>45594</v>
      </c>
      <c r="M2438" s="107">
        <v>102.63</v>
      </c>
      <c r="N2438" s="107">
        <v>102.95</v>
      </c>
      <c r="O2438" s="107">
        <v>99.51</v>
      </c>
      <c r="P2438" s="107">
        <v>100.64</v>
      </c>
      <c r="Q2438" s="107">
        <v>102.63</v>
      </c>
      <c r="R2438">
        <v>5039745</v>
      </c>
    </row>
    <row r="2439" spans="1:18" x14ac:dyDescent="0.25">
      <c r="A2439" s="130">
        <v>45595</v>
      </c>
      <c r="B2439" s="107">
        <v>108.7</v>
      </c>
      <c r="C2439" s="107">
        <v>107.35</v>
      </c>
      <c r="D2439" s="107">
        <v>102.25</v>
      </c>
      <c r="E2439" s="107">
        <v>102.45</v>
      </c>
      <c r="F2439" s="107">
        <v>107.35</v>
      </c>
      <c r="G2439">
        <v>1416284</v>
      </c>
      <c r="H2439" s="107"/>
      <c r="I2439" s="107"/>
      <c r="L2439" s="130">
        <v>45595</v>
      </c>
      <c r="M2439" s="107">
        <v>107.34</v>
      </c>
      <c r="N2439" s="107">
        <v>108.64</v>
      </c>
      <c r="O2439" s="107">
        <v>102.24</v>
      </c>
      <c r="P2439" s="107">
        <v>102.5</v>
      </c>
      <c r="Q2439" s="107">
        <v>107.34</v>
      </c>
      <c r="R2439">
        <v>16153252</v>
      </c>
    </row>
    <row r="2440" spans="1:18" x14ac:dyDescent="0.25">
      <c r="A2440" s="130">
        <v>45596</v>
      </c>
      <c r="B2440" s="107">
        <v>109.45</v>
      </c>
      <c r="C2440" s="107">
        <v>108.7</v>
      </c>
      <c r="D2440" s="107">
        <v>106.5</v>
      </c>
      <c r="E2440" s="107">
        <v>107.85</v>
      </c>
      <c r="F2440" s="107">
        <v>108.7</v>
      </c>
      <c r="G2440">
        <v>621409</v>
      </c>
      <c r="H2440" s="107"/>
      <c r="I2440" s="107"/>
      <c r="L2440" s="130">
        <v>45596</v>
      </c>
      <c r="M2440" s="107">
        <v>108.69</v>
      </c>
      <c r="N2440" s="107">
        <v>109.5</v>
      </c>
      <c r="O2440" s="107">
        <v>106.41</v>
      </c>
      <c r="P2440" s="107">
        <v>107.5</v>
      </c>
      <c r="Q2440" s="107">
        <v>108.69</v>
      </c>
      <c r="R2440">
        <v>5828107</v>
      </c>
    </row>
    <row r="2441" spans="1:18" x14ac:dyDescent="0.25">
      <c r="A2441" s="130">
        <v>45597</v>
      </c>
      <c r="B2441" s="107">
        <v>110.55</v>
      </c>
      <c r="C2441" s="107">
        <v>110.2</v>
      </c>
      <c r="D2441" s="107">
        <v>108.5</v>
      </c>
      <c r="E2441" s="107">
        <v>109.15</v>
      </c>
      <c r="F2441" s="107">
        <v>110.2</v>
      </c>
      <c r="G2441">
        <v>305383</v>
      </c>
      <c r="H2441" s="107"/>
      <c r="I2441" s="107"/>
      <c r="L2441" s="130">
        <v>45597</v>
      </c>
      <c r="M2441" s="107">
        <v>110.18</v>
      </c>
      <c r="N2441" s="107">
        <v>110.79</v>
      </c>
      <c r="O2441" s="107">
        <v>107.21</v>
      </c>
      <c r="P2441" s="107">
        <v>109.3</v>
      </c>
      <c r="Q2441" s="107">
        <v>110.18</v>
      </c>
      <c r="R2441">
        <v>2774089</v>
      </c>
    </row>
    <row r="2442" spans="1:18" x14ac:dyDescent="0.25">
      <c r="A2442" s="130">
        <v>45600</v>
      </c>
      <c r="B2442" s="107">
        <v>110.6</v>
      </c>
      <c r="C2442" s="107">
        <v>108.25</v>
      </c>
      <c r="D2442" s="107">
        <v>106.9</v>
      </c>
      <c r="E2442" s="107">
        <v>110.6</v>
      </c>
      <c r="F2442" s="107">
        <v>108.25</v>
      </c>
      <c r="G2442">
        <v>527739</v>
      </c>
      <c r="H2442" s="107"/>
      <c r="I2442" s="107"/>
      <c r="L2442" s="130">
        <v>45600</v>
      </c>
      <c r="M2442" s="107">
        <v>108.33</v>
      </c>
      <c r="N2442" s="107">
        <v>110.44</v>
      </c>
      <c r="O2442" s="107">
        <v>106.86</v>
      </c>
      <c r="P2442" s="107">
        <v>110.44</v>
      </c>
      <c r="Q2442" s="107">
        <v>108.33</v>
      </c>
      <c r="R2442">
        <v>4062781</v>
      </c>
    </row>
    <row r="2443" spans="1:18" x14ac:dyDescent="0.25">
      <c r="A2443" s="130">
        <v>45601</v>
      </c>
      <c r="B2443" s="107">
        <v>111.4</v>
      </c>
      <c r="C2443" s="107">
        <v>110.45</v>
      </c>
      <c r="D2443" s="107">
        <v>107.3</v>
      </c>
      <c r="E2443" s="107">
        <v>108.7</v>
      </c>
      <c r="F2443" s="107">
        <v>110.45</v>
      </c>
      <c r="G2443">
        <v>504768</v>
      </c>
      <c r="H2443" s="107"/>
      <c r="I2443" s="107"/>
      <c r="L2443" s="130">
        <v>45601</v>
      </c>
      <c r="M2443" s="107">
        <v>110.37</v>
      </c>
      <c r="N2443" s="107">
        <v>111.45</v>
      </c>
      <c r="O2443" s="107">
        <v>107.33</v>
      </c>
      <c r="P2443" s="107">
        <v>108.24</v>
      </c>
      <c r="Q2443" s="107">
        <v>110.37</v>
      </c>
      <c r="R2443">
        <v>6602415</v>
      </c>
    </row>
    <row r="2444" spans="1:18" x14ac:dyDescent="0.25">
      <c r="A2444" s="130">
        <v>45602</v>
      </c>
      <c r="B2444" s="107">
        <v>114.35</v>
      </c>
      <c r="C2444" s="107">
        <v>113.8</v>
      </c>
      <c r="D2444" s="107">
        <v>110.85</v>
      </c>
      <c r="E2444" s="107">
        <v>111.7</v>
      </c>
      <c r="F2444" s="107">
        <v>113.8</v>
      </c>
      <c r="G2444">
        <v>936339</v>
      </c>
      <c r="H2444" s="107"/>
      <c r="I2444" s="107"/>
      <c r="L2444" s="130">
        <v>45602</v>
      </c>
      <c r="M2444" s="107">
        <v>113.76</v>
      </c>
      <c r="N2444" s="107">
        <v>114.39</v>
      </c>
      <c r="O2444" s="107">
        <v>110.85</v>
      </c>
      <c r="P2444" s="107">
        <v>112</v>
      </c>
      <c r="Q2444" s="107">
        <v>113.76</v>
      </c>
      <c r="R2444">
        <v>10552466</v>
      </c>
    </row>
    <row r="2445" spans="1:18" x14ac:dyDescent="0.25">
      <c r="A2445" s="130">
        <v>45603</v>
      </c>
      <c r="B2445" s="107">
        <v>115</v>
      </c>
      <c r="C2445" s="107">
        <v>113.2</v>
      </c>
      <c r="D2445" s="107">
        <v>112.6</v>
      </c>
      <c r="E2445" s="107">
        <v>113.95</v>
      </c>
      <c r="F2445" s="107">
        <v>113.2</v>
      </c>
      <c r="G2445">
        <v>734912</v>
      </c>
      <c r="H2445" s="107"/>
      <c r="I2445" s="107"/>
      <c r="L2445" s="130">
        <v>45603</v>
      </c>
      <c r="M2445" s="107">
        <v>113.07</v>
      </c>
      <c r="N2445" s="107">
        <v>115</v>
      </c>
      <c r="O2445" s="107">
        <v>112.62</v>
      </c>
      <c r="P2445" s="107">
        <v>113.69</v>
      </c>
      <c r="Q2445" s="107">
        <v>113.07</v>
      </c>
      <c r="R2445">
        <v>5585389</v>
      </c>
    </row>
    <row r="2446" spans="1:18" x14ac:dyDescent="0.25">
      <c r="A2446" s="130">
        <v>45604</v>
      </c>
      <c r="B2446" s="107">
        <v>113.45</v>
      </c>
      <c r="C2446" s="107">
        <v>111.55</v>
      </c>
      <c r="D2446" s="107">
        <v>110.35</v>
      </c>
      <c r="E2446" s="107">
        <v>113.45</v>
      </c>
      <c r="F2446" s="107">
        <v>111.55</v>
      </c>
      <c r="G2446">
        <v>430271</v>
      </c>
      <c r="H2446" s="107"/>
      <c r="I2446" s="107"/>
      <c r="L2446" s="130">
        <v>45604</v>
      </c>
      <c r="M2446" s="107">
        <v>111.64</v>
      </c>
      <c r="N2446" s="107">
        <v>113.4</v>
      </c>
      <c r="O2446" s="107">
        <v>110.37</v>
      </c>
      <c r="P2446" s="107">
        <v>112.99</v>
      </c>
      <c r="Q2446" s="107">
        <v>111.64</v>
      </c>
      <c r="R2446">
        <v>3799518</v>
      </c>
    </row>
    <row r="2447" spans="1:18" x14ac:dyDescent="0.25">
      <c r="A2447" s="130">
        <v>45607</v>
      </c>
      <c r="B2447" s="107">
        <v>115.05</v>
      </c>
      <c r="C2447" s="107">
        <v>112.25</v>
      </c>
      <c r="D2447" s="107">
        <v>111.15</v>
      </c>
      <c r="E2447" s="107">
        <v>111.45</v>
      </c>
      <c r="F2447" s="107">
        <v>112.25</v>
      </c>
      <c r="G2447">
        <v>553493</v>
      </c>
      <c r="H2447" s="107"/>
      <c r="I2447" s="107"/>
      <c r="L2447" s="130">
        <v>45607</v>
      </c>
      <c r="M2447" s="107">
        <v>112.2</v>
      </c>
      <c r="N2447" s="107">
        <v>115</v>
      </c>
      <c r="O2447" s="107">
        <v>111.03</v>
      </c>
      <c r="P2447" s="107">
        <v>111.03</v>
      </c>
      <c r="Q2447" s="107">
        <v>112.2</v>
      </c>
      <c r="R2447">
        <v>9862906</v>
      </c>
    </row>
    <row r="2448" spans="1:18" x14ac:dyDescent="0.25">
      <c r="A2448" s="130">
        <v>45608</v>
      </c>
      <c r="B2448" s="107">
        <v>114.2</v>
      </c>
      <c r="C2448" s="107">
        <v>108.8</v>
      </c>
      <c r="D2448" s="107">
        <v>108.1</v>
      </c>
      <c r="E2448" s="107">
        <v>112.85</v>
      </c>
      <c r="F2448" s="107">
        <v>108.8</v>
      </c>
      <c r="G2448">
        <v>960744</v>
      </c>
      <c r="H2448" s="107"/>
      <c r="I2448" s="107"/>
      <c r="L2448" s="130">
        <v>45608</v>
      </c>
      <c r="M2448" s="107">
        <v>108.69</v>
      </c>
      <c r="N2448" s="107">
        <v>114.36</v>
      </c>
      <c r="O2448" s="107">
        <v>108</v>
      </c>
      <c r="P2448" s="107">
        <v>111.98</v>
      </c>
      <c r="Q2448" s="107">
        <v>108.69</v>
      </c>
      <c r="R2448">
        <v>11559079</v>
      </c>
    </row>
    <row r="2449" spans="1:18" x14ac:dyDescent="0.25">
      <c r="A2449" s="130">
        <v>45609</v>
      </c>
      <c r="B2449" s="107">
        <v>108.5</v>
      </c>
      <c r="C2449" s="107">
        <v>104.65</v>
      </c>
      <c r="D2449" s="107">
        <v>104.25</v>
      </c>
      <c r="E2449" s="107">
        <v>108.5</v>
      </c>
      <c r="F2449" s="107">
        <v>104.65</v>
      </c>
      <c r="G2449">
        <v>794200</v>
      </c>
      <c r="H2449" s="107"/>
      <c r="I2449" s="107"/>
      <c r="L2449" s="130">
        <v>45609</v>
      </c>
      <c r="M2449" s="107">
        <v>104.74</v>
      </c>
      <c r="N2449" s="107">
        <v>108.3</v>
      </c>
      <c r="O2449" s="107">
        <v>104.26</v>
      </c>
      <c r="P2449" s="107">
        <v>108.3</v>
      </c>
      <c r="Q2449" s="107">
        <v>104.74</v>
      </c>
      <c r="R2449">
        <v>6511151</v>
      </c>
    </row>
    <row r="2450" spans="1:18" x14ac:dyDescent="0.25">
      <c r="A2450" s="130">
        <v>45610</v>
      </c>
      <c r="B2450" s="107">
        <v>106.6</v>
      </c>
      <c r="C2450" s="107">
        <v>104.3</v>
      </c>
      <c r="D2450" s="107">
        <v>103.85</v>
      </c>
      <c r="E2450" s="107">
        <v>104.9</v>
      </c>
      <c r="F2450" s="107">
        <v>104.3</v>
      </c>
      <c r="G2450">
        <v>240707</v>
      </c>
      <c r="H2450" s="107"/>
      <c r="I2450" s="107"/>
      <c r="L2450" s="130">
        <v>45610</v>
      </c>
      <c r="M2450" s="107">
        <v>104.3</v>
      </c>
      <c r="N2450" s="107">
        <v>106.9</v>
      </c>
      <c r="O2450" s="107">
        <v>103.8</v>
      </c>
      <c r="P2450" s="107">
        <v>106</v>
      </c>
      <c r="Q2450" s="107">
        <v>104.3</v>
      </c>
      <c r="R2450">
        <v>3862235</v>
      </c>
    </row>
    <row r="2451" spans="1:18" x14ac:dyDescent="0.25">
      <c r="A2451" s="130">
        <v>45614</v>
      </c>
      <c r="B2451" s="107">
        <v>104.65</v>
      </c>
      <c r="C2451" s="107">
        <v>103.05</v>
      </c>
      <c r="D2451" s="107">
        <v>101.45</v>
      </c>
      <c r="E2451" s="107">
        <v>104.2</v>
      </c>
      <c r="F2451" s="107">
        <v>103.05</v>
      </c>
      <c r="G2451">
        <v>394745</v>
      </c>
      <c r="H2451" s="107"/>
      <c r="I2451" s="107"/>
      <c r="L2451" s="130">
        <v>45614</v>
      </c>
      <c r="M2451" s="107">
        <v>103.07</v>
      </c>
      <c r="N2451" s="107">
        <v>104.8</v>
      </c>
      <c r="O2451" s="107">
        <v>101.5</v>
      </c>
      <c r="P2451" s="107">
        <v>104.4</v>
      </c>
      <c r="Q2451" s="107">
        <v>103.07</v>
      </c>
      <c r="R2451">
        <v>6355112</v>
      </c>
    </row>
    <row r="2452" spans="1:18" x14ac:dyDescent="0.25">
      <c r="A2452" s="130">
        <v>45615</v>
      </c>
      <c r="B2452" s="107">
        <v>107.6</v>
      </c>
      <c r="C2452" s="107">
        <v>104.55</v>
      </c>
      <c r="D2452" s="107">
        <v>103.25</v>
      </c>
      <c r="E2452" s="107">
        <v>103.25</v>
      </c>
      <c r="F2452" s="107">
        <v>104.55</v>
      </c>
      <c r="G2452">
        <v>266234</v>
      </c>
      <c r="H2452" s="107"/>
      <c r="I2452" s="107"/>
      <c r="L2452" s="130">
        <v>45615</v>
      </c>
      <c r="M2452" s="107">
        <v>104.57</v>
      </c>
      <c r="N2452" s="107">
        <v>107.6</v>
      </c>
      <c r="O2452" s="107">
        <v>103.43</v>
      </c>
      <c r="P2452" s="107">
        <v>103.49</v>
      </c>
      <c r="Q2452" s="107">
        <v>104.57</v>
      </c>
      <c r="R2452">
        <v>5196762</v>
      </c>
    </row>
    <row r="2453" spans="1:18" x14ac:dyDescent="0.25">
      <c r="A2453" s="130">
        <v>45617</v>
      </c>
      <c r="B2453" s="107">
        <v>105</v>
      </c>
      <c r="C2453" s="107">
        <v>101.4</v>
      </c>
      <c r="D2453" s="107">
        <v>100.65</v>
      </c>
      <c r="E2453" s="107">
        <v>105</v>
      </c>
      <c r="F2453" s="107">
        <v>101.4</v>
      </c>
      <c r="G2453">
        <v>518129</v>
      </c>
      <c r="H2453" s="107"/>
      <c r="I2453" s="107"/>
      <c r="L2453" s="130">
        <v>45617</v>
      </c>
      <c r="M2453" s="107">
        <v>101.52</v>
      </c>
      <c r="N2453" s="107">
        <v>104.84</v>
      </c>
      <c r="O2453" s="107">
        <v>100.7</v>
      </c>
      <c r="P2453" s="107">
        <v>104.81</v>
      </c>
      <c r="Q2453" s="107">
        <v>101.52</v>
      </c>
      <c r="R2453">
        <v>5927171</v>
      </c>
    </row>
    <row r="2454" spans="1:18" x14ac:dyDescent="0.25">
      <c r="A2454" s="130">
        <v>45618</v>
      </c>
      <c r="B2454" s="107">
        <v>103.75</v>
      </c>
      <c r="C2454" s="107">
        <v>103.15</v>
      </c>
      <c r="D2454" s="107">
        <v>101.9</v>
      </c>
      <c r="E2454" s="107">
        <v>102.4</v>
      </c>
      <c r="F2454" s="107">
        <v>103.15</v>
      </c>
      <c r="G2454">
        <v>203282</v>
      </c>
      <c r="H2454" s="107"/>
      <c r="I2454" s="107"/>
      <c r="L2454" s="130">
        <v>45618</v>
      </c>
      <c r="M2454" s="107">
        <v>103.06</v>
      </c>
      <c r="N2454" s="107">
        <v>103.6</v>
      </c>
      <c r="O2454" s="107">
        <v>101.8</v>
      </c>
      <c r="P2454" s="107">
        <v>102.6</v>
      </c>
      <c r="Q2454" s="107">
        <v>103.06</v>
      </c>
      <c r="R2454">
        <v>4958015</v>
      </c>
    </row>
    <row r="2455" spans="1:18" x14ac:dyDescent="0.25">
      <c r="A2455" s="130">
        <v>45621</v>
      </c>
      <c r="B2455" s="107">
        <v>108.1</v>
      </c>
      <c r="C2455" s="107">
        <v>107.05</v>
      </c>
      <c r="D2455" s="107">
        <v>105.3</v>
      </c>
      <c r="E2455" s="107">
        <v>105.3</v>
      </c>
      <c r="F2455" s="107">
        <v>107.05</v>
      </c>
      <c r="G2455">
        <v>634063</v>
      </c>
      <c r="H2455" s="107"/>
      <c r="I2455" s="107"/>
      <c r="L2455" s="130">
        <v>45621</v>
      </c>
      <c r="M2455" s="107">
        <v>107</v>
      </c>
      <c r="N2455" s="107">
        <v>108.15</v>
      </c>
      <c r="O2455" s="107">
        <v>105.34</v>
      </c>
      <c r="P2455" s="107">
        <v>106.59</v>
      </c>
      <c r="Q2455" s="107">
        <v>107</v>
      </c>
      <c r="R2455">
        <v>6394173</v>
      </c>
    </row>
    <row r="2456" spans="1:18" x14ac:dyDescent="0.25">
      <c r="A2456" s="130">
        <v>45622</v>
      </c>
      <c r="B2456" s="107">
        <v>107.95</v>
      </c>
      <c r="C2456" s="107">
        <v>107.75</v>
      </c>
      <c r="D2456" s="107">
        <v>106.6</v>
      </c>
      <c r="E2456" s="107">
        <v>107.35</v>
      </c>
      <c r="F2456" s="107">
        <v>107.75</v>
      </c>
      <c r="G2456">
        <v>405847</v>
      </c>
      <c r="H2456" s="107"/>
      <c r="I2456" s="107"/>
      <c r="L2456" s="130">
        <v>45622</v>
      </c>
      <c r="M2456" s="107">
        <v>107.79</v>
      </c>
      <c r="N2456" s="107">
        <v>107.97</v>
      </c>
      <c r="O2456" s="107">
        <v>106.6</v>
      </c>
      <c r="P2456" s="107">
        <v>107.5</v>
      </c>
      <c r="Q2456" s="107">
        <v>107.79</v>
      </c>
      <c r="R2456">
        <v>3020229</v>
      </c>
    </row>
    <row r="2457" spans="1:18" x14ac:dyDescent="0.25">
      <c r="A2457" s="130">
        <v>45623</v>
      </c>
      <c r="B2457" s="107">
        <v>111.9</v>
      </c>
      <c r="C2457" s="107">
        <v>111.5</v>
      </c>
      <c r="D2457" s="107">
        <v>107.35</v>
      </c>
      <c r="E2457" s="107">
        <v>108.7</v>
      </c>
      <c r="F2457" s="107">
        <v>111.5</v>
      </c>
      <c r="G2457">
        <v>486893</v>
      </c>
      <c r="H2457" s="107"/>
      <c r="I2457" s="107"/>
      <c r="L2457" s="130">
        <v>45623</v>
      </c>
      <c r="M2457" s="107">
        <v>111.53</v>
      </c>
      <c r="N2457" s="107">
        <v>112.2</v>
      </c>
      <c r="O2457" s="107">
        <v>107.35</v>
      </c>
      <c r="P2457" s="107">
        <v>108.51</v>
      </c>
      <c r="Q2457" s="107">
        <v>111.53</v>
      </c>
      <c r="R2457">
        <v>7682086</v>
      </c>
    </row>
    <row r="2458" spans="1:18" x14ac:dyDescent="0.25">
      <c r="A2458" s="130">
        <v>45624</v>
      </c>
      <c r="B2458" s="107">
        <v>114.55</v>
      </c>
      <c r="C2458" s="107">
        <v>111.95</v>
      </c>
      <c r="D2458" s="107">
        <v>109.95</v>
      </c>
      <c r="E2458" s="107">
        <v>112.35</v>
      </c>
      <c r="F2458" s="107">
        <v>111.95</v>
      </c>
      <c r="G2458">
        <v>562378</v>
      </c>
      <c r="H2458" s="107"/>
      <c r="I2458" s="107"/>
      <c r="L2458" s="130">
        <v>45624</v>
      </c>
      <c r="M2458" s="107">
        <v>111.9</v>
      </c>
      <c r="N2458" s="107">
        <v>114.63</v>
      </c>
      <c r="O2458" s="107">
        <v>109.84</v>
      </c>
      <c r="P2458" s="107">
        <v>111.9</v>
      </c>
      <c r="Q2458" s="107">
        <v>111.9</v>
      </c>
      <c r="R2458">
        <v>11794214</v>
      </c>
    </row>
    <row r="2459" spans="1:18" x14ac:dyDescent="0.25">
      <c r="A2459" s="130">
        <v>45625</v>
      </c>
      <c r="B2459" s="107">
        <v>114.6</v>
      </c>
      <c r="C2459" s="107">
        <v>110.5</v>
      </c>
      <c r="D2459" s="107">
        <v>108.85</v>
      </c>
      <c r="E2459" s="107">
        <v>112.3</v>
      </c>
      <c r="F2459" s="107">
        <v>110.5</v>
      </c>
      <c r="G2459">
        <v>750110</v>
      </c>
      <c r="H2459" s="107"/>
      <c r="I2459" s="107"/>
      <c r="L2459" s="130">
        <v>45625</v>
      </c>
      <c r="M2459" s="107">
        <v>110.5</v>
      </c>
      <c r="N2459" s="107">
        <v>114.7</v>
      </c>
      <c r="O2459" s="107">
        <v>108.82</v>
      </c>
      <c r="P2459" s="107">
        <v>112.14</v>
      </c>
      <c r="Q2459" s="107">
        <v>110.5</v>
      </c>
      <c r="R2459">
        <v>13029139</v>
      </c>
    </row>
    <row r="2460" spans="1:18" x14ac:dyDescent="0.25">
      <c r="A2460" s="130">
        <v>45628</v>
      </c>
      <c r="B2460" s="107">
        <v>110.6</v>
      </c>
      <c r="C2460" s="107">
        <v>110.1</v>
      </c>
      <c r="D2460" s="107">
        <v>107.45</v>
      </c>
      <c r="E2460" s="107">
        <v>110.5</v>
      </c>
      <c r="F2460" s="107">
        <v>110.1</v>
      </c>
      <c r="G2460">
        <v>898307</v>
      </c>
      <c r="H2460" s="107"/>
      <c r="I2460" s="107"/>
      <c r="L2460" s="130">
        <v>45628</v>
      </c>
      <c r="M2460" s="107">
        <v>110.12</v>
      </c>
      <c r="N2460" s="107">
        <v>110.7</v>
      </c>
      <c r="O2460" s="107">
        <v>107.45</v>
      </c>
      <c r="P2460" s="107">
        <v>110.35</v>
      </c>
      <c r="Q2460" s="107">
        <v>110.12</v>
      </c>
      <c r="R2460">
        <v>11469057</v>
      </c>
    </row>
    <row r="2461" spans="1:18" x14ac:dyDescent="0.25">
      <c r="A2461" s="130">
        <v>45629</v>
      </c>
      <c r="B2461" s="107">
        <v>114.2</v>
      </c>
      <c r="C2461" s="107">
        <v>114</v>
      </c>
      <c r="D2461" s="107">
        <v>110</v>
      </c>
      <c r="E2461" s="107">
        <v>110</v>
      </c>
      <c r="F2461" s="107">
        <v>114</v>
      </c>
      <c r="G2461">
        <v>443671</v>
      </c>
      <c r="H2461" s="107"/>
      <c r="I2461" s="107"/>
      <c r="L2461" s="130">
        <v>45629</v>
      </c>
      <c r="M2461" s="107">
        <v>114.02</v>
      </c>
      <c r="N2461" s="107">
        <v>114.2</v>
      </c>
      <c r="O2461" s="107">
        <v>109.85</v>
      </c>
      <c r="P2461" s="107">
        <v>109.85</v>
      </c>
      <c r="Q2461" s="107">
        <v>114.02</v>
      </c>
      <c r="R2461">
        <v>10340458</v>
      </c>
    </row>
    <row r="2462" spans="1:18" x14ac:dyDescent="0.25">
      <c r="A2462" s="130">
        <v>45630</v>
      </c>
      <c r="B2462" s="107">
        <v>118.9</v>
      </c>
      <c r="C2462" s="107">
        <v>117.85</v>
      </c>
      <c r="D2462" s="107">
        <v>114.35</v>
      </c>
      <c r="E2462" s="107">
        <v>114.95</v>
      </c>
      <c r="F2462" s="107">
        <v>117.85</v>
      </c>
      <c r="G2462">
        <v>1175096</v>
      </c>
      <c r="H2462" s="107"/>
      <c r="I2462" s="107"/>
      <c r="L2462" s="130">
        <v>45630</v>
      </c>
      <c r="M2462" s="107">
        <v>117.88</v>
      </c>
      <c r="N2462" s="107">
        <v>118.85</v>
      </c>
      <c r="O2462" s="107">
        <v>114.26</v>
      </c>
      <c r="P2462" s="107">
        <v>114.6</v>
      </c>
      <c r="Q2462" s="107">
        <v>117.88</v>
      </c>
      <c r="R2462">
        <v>25931163</v>
      </c>
    </row>
    <row r="2463" spans="1:18" x14ac:dyDescent="0.25">
      <c r="A2463" s="130">
        <v>45631</v>
      </c>
      <c r="B2463" s="107">
        <v>119.45</v>
      </c>
      <c r="C2463" s="107">
        <v>118.25</v>
      </c>
      <c r="D2463" s="107">
        <v>116.1</v>
      </c>
      <c r="E2463" s="107">
        <v>118.7</v>
      </c>
      <c r="F2463" s="107">
        <v>118.25</v>
      </c>
      <c r="G2463">
        <v>252677</v>
      </c>
      <c r="H2463" s="107"/>
      <c r="I2463" s="107"/>
      <c r="L2463" s="130">
        <v>45631</v>
      </c>
      <c r="M2463" s="107">
        <v>118.32</v>
      </c>
      <c r="N2463" s="107">
        <v>119.51</v>
      </c>
      <c r="O2463" s="107">
        <v>116.2</v>
      </c>
      <c r="P2463" s="107">
        <v>118.7</v>
      </c>
      <c r="Q2463" s="107">
        <v>118.32</v>
      </c>
      <c r="R2463">
        <v>11603457</v>
      </c>
    </row>
    <row r="2464" spans="1:18" x14ac:dyDescent="0.25">
      <c r="A2464" s="130">
        <v>45632</v>
      </c>
      <c r="B2464" s="107">
        <v>120.35</v>
      </c>
      <c r="C2464" s="107">
        <v>117.8</v>
      </c>
      <c r="D2464" s="107">
        <v>116.65</v>
      </c>
      <c r="E2464" s="107">
        <v>118.45</v>
      </c>
      <c r="F2464" s="107">
        <v>117.8</v>
      </c>
      <c r="G2464">
        <v>483646</v>
      </c>
      <c r="H2464" s="107"/>
      <c r="I2464" s="107"/>
      <c r="L2464" s="130">
        <v>45632</v>
      </c>
      <c r="M2464" s="107">
        <v>117.81</v>
      </c>
      <c r="N2464" s="107">
        <v>120.5</v>
      </c>
      <c r="O2464" s="107">
        <v>116.57</v>
      </c>
      <c r="P2464" s="107">
        <v>118.5</v>
      </c>
      <c r="Q2464" s="107">
        <v>117.81</v>
      </c>
      <c r="R2464">
        <v>12310232</v>
      </c>
    </row>
    <row r="2465" spans="1:18" x14ac:dyDescent="0.25">
      <c r="A2465" s="130">
        <v>45635</v>
      </c>
      <c r="B2465" s="107">
        <v>118.3</v>
      </c>
      <c r="C2465" s="107">
        <v>115.85</v>
      </c>
      <c r="D2465" s="107">
        <v>115.65</v>
      </c>
      <c r="E2465" s="107">
        <v>117.75</v>
      </c>
      <c r="F2465" s="107">
        <v>115.85</v>
      </c>
      <c r="G2465">
        <v>184391</v>
      </c>
      <c r="H2465" s="107"/>
      <c r="I2465" s="107"/>
      <c r="L2465" s="130">
        <v>45635</v>
      </c>
      <c r="M2465" s="107">
        <v>115.88</v>
      </c>
      <c r="N2465" s="107">
        <v>118.38</v>
      </c>
      <c r="O2465" s="107">
        <v>115.61</v>
      </c>
      <c r="P2465" s="107">
        <v>117.6</v>
      </c>
      <c r="Q2465" s="107">
        <v>115.88</v>
      </c>
      <c r="R2465">
        <v>5912817</v>
      </c>
    </row>
    <row r="2466" spans="1:18" x14ac:dyDescent="0.25">
      <c r="A2466" s="130">
        <v>45636</v>
      </c>
      <c r="B2466" s="107">
        <v>116.85</v>
      </c>
      <c r="C2466" s="107">
        <v>115.45</v>
      </c>
      <c r="D2466" s="107">
        <v>115</v>
      </c>
      <c r="E2466" s="107">
        <v>116.8</v>
      </c>
      <c r="F2466" s="107">
        <v>115.45</v>
      </c>
      <c r="G2466">
        <v>153788</v>
      </c>
      <c r="H2466" s="107"/>
      <c r="I2466" s="107"/>
      <c r="L2466" s="130">
        <v>45636</v>
      </c>
      <c r="M2466" s="107">
        <v>115.4</v>
      </c>
      <c r="N2466" s="107">
        <v>116.83</v>
      </c>
      <c r="O2466" s="107">
        <v>115</v>
      </c>
      <c r="P2466" s="107">
        <v>116.2</v>
      </c>
      <c r="Q2466" s="107">
        <v>115.4</v>
      </c>
      <c r="R2466">
        <v>5298245</v>
      </c>
    </row>
    <row r="2467" spans="1:18" x14ac:dyDescent="0.25">
      <c r="A2467" s="130">
        <v>45637</v>
      </c>
      <c r="B2467" s="107">
        <v>116.05</v>
      </c>
      <c r="C2467" s="107">
        <v>114.25</v>
      </c>
      <c r="D2467" s="107">
        <v>114.05</v>
      </c>
      <c r="E2467" s="107">
        <v>116.05</v>
      </c>
      <c r="F2467" s="107">
        <v>114.25</v>
      </c>
      <c r="G2467">
        <v>302808</v>
      </c>
      <c r="H2467" s="107"/>
      <c r="I2467" s="107"/>
      <c r="L2467" s="130">
        <v>45637</v>
      </c>
      <c r="M2467" s="107">
        <v>114.3</v>
      </c>
      <c r="N2467" s="107">
        <v>116.09</v>
      </c>
      <c r="O2467" s="107">
        <v>114.11</v>
      </c>
      <c r="P2467" s="107">
        <v>115.84</v>
      </c>
      <c r="Q2467" s="107">
        <v>114.3</v>
      </c>
      <c r="R2467">
        <v>3907762</v>
      </c>
    </row>
    <row r="2468" spans="1:18" x14ac:dyDescent="0.25">
      <c r="A2468" s="130">
        <v>45638</v>
      </c>
      <c r="B2468" s="107">
        <v>115</v>
      </c>
      <c r="C2468" s="107">
        <v>113.05</v>
      </c>
      <c r="D2468" s="107">
        <v>112.5</v>
      </c>
      <c r="E2468" s="107">
        <v>115</v>
      </c>
      <c r="F2468" s="107">
        <v>113.05</v>
      </c>
      <c r="G2468">
        <v>256811</v>
      </c>
      <c r="H2468" s="107"/>
      <c r="I2468" s="107"/>
      <c r="L2468" s="130">
        <v>45638</v>
      </c>
      <c r="M2468" s="107">
        <v>113.01</v>
      </c>
      <c r="N2468" s="107">
        <v>114.78</v>
      </c>
      <c r="O2468" s="107">
        <v>112.48</v>
      </c>
      <c r="P2468" s="107">
        <v>114.48</v>
      </c>
      <c r="Q2468" s="107">
        <v>113.01</v>
      </c>
      <c r="R2468">
        <v>4084044</v>
      </c>
    </row>
    <row r="2469" spans="1:18" x14ac:dyDescent="0.25">
      <c r="A2469" s="130">
        <v>45639</v>
      </c>
      <c r="B2469" s="107">
        <v>113.55</v>
      </c>
      <c r="C2469" s="107">
        <v>113</v>
      </c>
      <c r="D2469" s="107">
        <v>109.55</v>
      </c>
      <c r="E2469" s="107">
        <v>112.95</v>
      </c>
      <c r="F2469" s="107">
        <v>113</v>
      </c>
      <c r="G2469">
        <v>500128</v>
      </c>
      <c r="H2469" s="107"/>
      <c r="I2469" s="107"/>
      <c r="L2469" s="130">
        <v>45639</v>
      </c>
      <c r="M2469" s="107">
        <v>113.05</v>
      </c>
      <c r="N2469" s="107">
        <v>113.61</v>
      </c>
      <c r="O2469" s="107">
        <v>109.81</v>
      </c>
      <c r="P2469" s="107">
        <v>112.55</v>
      </c>
      <c r="Q2469" s="107">
        <v>113.05</v>
      </c>
      <c r="R2469">
        <v>6821762</v>
      </c>
    </row>
    <row r="2470" spans="1:18" x14ac:dyDescent="0.25">
      <c r="A2470" s="130">
        <v>45642</v>
      </c>
      <c r="B2470" s="107">
        <v>115.55</v>
      </c>
      <c r="C2470" s="107">
        <v>114.15</v>
      </c>
      <c r="D2470" s="107">
        <v>112.65</v>
      </c>
      <c r="E2470" s="107">
        <v>113</v>
      </c>
      <c r="F2470" s="107">
        <v>114.15</v>
      </c>
      <c r="G2470">
        <v>166383</v>
      </c>
      <c r="H2470" s="107"/>
      <c r="I2470" s="107"/>
      <c r="L2470" s="130">
        <v>45642</v>
      </c>
      <c r="M2470" s="107">
        <v>114.25</v>
      </c>
      <c r="N2470" s="107">
        <v>115.6</v>
      </c>
      <c r="O2470" s="107">
        <v>112.54</v>
      </c>
      <c r="P2470" s="107">
        <v>112.54</v>
      </c>
      <c r="Q2470" s="107">
        <v>114.25</v>
      </c>
      <c r="R2470">
        <v>4725717</v>
      </c>
    </row>
    <row r="2471" spans="1:18" x14ac:dyDescent="0.25">
      <c r="A2471" s="130">
        <v>45643</v>
      </c>
      <c r="B2471" s="107">
        <v>114.25</v>
      </c>
      <c r="C2471" s="107">
        <v>110.25</v>
      </c>
      <c r="D2471" s="107">
        <v>110</v>
      </c>
      <c r="E2471" s="107">
        <v>114.05</v>
      </c>
      <c r="F2471" s="107">
        <v>110.25</v>
      </c>
      <c r="G2471">
        <v>192423</v>
      </c>
      <c r="H2471" s="107"/>
      <c r="I2471" s="107"/>
      <c r="L2471" s="130">
        <v>45643</v>
      </c>
      <c r="M2471" s="107">
        <v>110.23</v>
      </c>
      <c r="N2471" s="107">
        <v>114.3</v>
      </c>
      <c r="O2471" s="107">
        <v>110</v>
      </c>
      <c r="P2471" s="107">
        <v>113.99</v>
      </c>
      <c r="Q2471" s="107">
        <v>110.23</v>
      </c>
      <c r="R2471">
        <v>6740261</v>
      </c>
    </row>
    <row r="2472" spans="1:18" x14ac:dyDescent="0.25">
      <c r="A2472" s="130">
        <v>45644</v>
      </c>
      <c r="B2472" s="107">
        <v>111.3</v>
      </c>
      <c r="C2472" s="107">
        <v>107.9</v>
      </c>
      <c r="D2472" s="107">
        <v>107.4</v>
      </c>
      <c r="E2472" s="107">
        <v>111.3</v>
      </c>
      <c r="F2472" s="107">
        <v>107.9</v>
      </c>
      <c r="G2472">
        <v>545304</v>
      </c>
      <c r="H2472" s="107"/>
      <c r="I2472" s="107"/>
      <c r="L2472" s="130">
        <v>45644</v>
      </c>
      <c r="M2472" s="107">
        <v>107.95</v>
      </c>
      <c r="N2472" s="107">
        <v>110.5</v>
      </c>
      <c r="O2472" s="107">
        <v>107.46</v>
      </c>
      <c r="P2472" s="107">
        <v>110.23</v>
      </c>
      <c r="Q2472" s="107">
        <v>107.95</v>
      </c>
      <c r="R2472">
        <v>10177305</v>
      </c>
    </row>
    <row r="2473" spans="1:18" x14ac:dyDescent="0.25">
      <c r="A2473" s="130">
        <v>45645</v>
      </c>
      <c r="B2473" s="107">
        <v>107.4</v>
      </c>
      <c r="C2473" s="107">
        <v>106.55</v>
      </c>
      <c r="D2473" s="107">
        <v>105.4</v>
      </c>
      <c r="E2473" s="107">
        <v>106.4</v>
      </c>
      <c r="F2473" s="107">
        <v>106.55</v>
      </c>
      <c r="G2473">
        <v>242857</v>
      </c>
      <c r="H2473" s="107"/>
      <c r="I2473" s="107"/>
      <c r="L2473" s="130">
        <v>45645</v>
      </c>
      <c r="M2473" s="107">
        <v>106.55</v>
      </c>
      <c r="N2473" s="107">
        <v>107.42</v>
      </c>
      <c r="O2473" s="107">
        <v>105.31</v>
      </c>
      <c r="P2473" s="107">
        <v>105.83</v>
      </c>
      <c r="Q2473" s="107">
        <v>106.55</v>
      </c>
      <c r="R2473">
        <v>4796423</v>
      </c>
    </row>
    <row r="2474" spans="1:18" x14ac:dyDescent="0.25">
      <c r="A2474" s="130">
        <v>45646</v>
      </c>
      <c r="B2474" s="107">
        <v>107.2</v>
      </c>
      <c r="C2474" s="107">
        <v>102.95</v>
      </c>
      <c r="D2474" s="107">
        <v>102.5</v>
      </c>
      <c r="E2474" s="107">
        <v>106.55</v>
      </c>
      <c r="F2474" s="107">
        <v>102.95</v>
      </c>
      <c r="G2474">
        <v>541392</v>
      </c>
      <c r="H2474" s="107"/>
      <c r="I2474" s="107"/>
      <c r="L2474" s="130">
        <v>45646</v>
      </c>
      <c r="M2474" s="107">
        <v>103.03</v>
      </c>
      <c r="N2474" s="107">
        <v>107.15</v>
      </c>
      <c r="O2474" s="107">
        <v>102.7</v>
      </c>
      <c r="P2474" s="107">
        <v>106.55</v>
      </c>
      <c r="Q2474" s="107">
        <v>103.03</v>
      </c>
      <c r="R2474">
        <v>7041416</v>
      </c>
    </row>
    <row r="2475" spans="1:18" x14ac:dyDescent="0.25">
      <c r="A2475" s="130">
        <v>45649</v>
      </c>
      <c r="B2475" s="107">
        <v>104.4</v>
      </c>
      <c r="C2475" s="107">
        <v>102.45</v>
      </c>
      <c r="D2475" s="107">
        <v>102.05</v>
      </c>
      <c r="E2475" s="107">
        <v>103.85</v>
      </c>
      <c r="F2475" s="107">
        <v>102.45</v>
      </c>
      <c r="G2475">
        <v>237329</v>
      </c>
      <c r="H2475" s="107"/>
      <c r="I2475" s="107"/>
      <c r="L2475" s="130">
        <v>45649</v>
      </c>
      <c r="M2475" s="107">
        <v>102.43</v>
      </c>
      <c r="N2475" s="107">
        <v>104.75</v>
      </c>
      <c r="O2475" s="107">
        <v>102</v>
      </c>
      <c r="P2475" s="107">
        <v>103.5</v>
      </c>
      <c r="Q2475" s="107">
        <v>102.43</v>
      </c>
      <c r="R2475">
        <v>7040251</v>
      </c>
    </row>
    <row r="2476" spans="1:18" x14ac:dyDescent="0.25">
      <c r="A2476" s="130">
        <v>45650</v>
      </c>
      <c r="B2476" s="107">
        <v>102.9</v>
      </c>
      <c r="C2476" s="107">
        <v>102.35</v>
      </c>
      <c r="D2476" s="107">
        <v>101.85</v>
      </c>
      <c r="E2476" s="107">
        <v>102.8</v>
      </c>
      <c r="F2476" s="107">
        <v>102.35</v>
      </c>
      <c r="G2476">
        <v>197864</v>
      </c>
      <c r="H2476" s="107"/>
      <c r="I2476" s="107"/>
      <c r="L2476" s="130">
        <v>45650</v>
      </c>
      <c r="M2476" s="107">
        <v>102.35</v>
      </c>
      <c r="N2476" s="107">
        <v>102.92</v>
      </c>
      <c r="O2476" s="107">
        <v>101.86</v>
      </c>
      <c r="P2476" s="107">
        <v>102.5</v>
      </c>
      <c r="Q2476" s="107">
        <v>102.35</v>
      </c>
      <c r="R2476">
        <v>4645820</v>
      </c>
    </row>
    <row r="2477" spans="1:18" x14ac:dyDescent="0.25">
      <c r="A2477" s="130">
        <v>45652</v>
      </c>
      <c r="B2477" s="107">
        <v>104.25</v>
      </c>
      <c r="C2477" s="107">
        <v>103.1</v>
      </c>
      <c r="D2477" s="107">
        <v>102</v>
      </c>
      <c r="E2477" s="107">
        <v>103.2</v>
      </c>
      <c r="F2477" s="107">
        <v>103.1</v>
      </c>
      <c r="G2477">
        <v>443285</v>
      </c>
      <c r="H2477" s="107"/>
      <c r="I2477" s="107"/>
      <c r="L2477" s="130">
        <v>45652</v>
      </c>
      <c r="M2477" s="107">
        <v>103.17</v>
      </c>
      <c r="N2477" s="107">
        <v>104.47</v>
      </c>
      <c r="O2477" s="107">
        <v>102.02</v>
      </c>
      <c r="P2477" s="107">
        <v>102.31</v>
      </c>
      <c r="Q2477" s="107">
        <v>103.17</v>
      </c>
      <c r="R2477">
        <v>7724432</v>
      </c>
    </row>
    <row r="2478" spans="1:18" x14ac:dyDescent="0.25">
      <c r="A2478" s="130">
        <v>45653</v>
      </c>
      <c r="B2478" s="107">
        <v>103.95</v>
      </c>
      <c r="C2478" s="107">
        <v>102.8</v>
      </c>
      <c r="D2478" s="107">
        <v>102.7</v>
      </c>
      <c r="E2478" s="107">
        <v>102.85</v>
      </c>
      <c r="F2478" s="107">
        <v>102.8</v>
      </c>
      <c r="G2478">
        <v>120041</v>
      </c>
      <c r="H2478" s="107"/>
      <c r="I2478" s="107"/>
      <c r="L2478" s="130">
        <v>45653</v>
      </c>
      <c r="M2478" s="107">
        <v>102.8</v>
      </c>
      <c r="N2478" s="107">
        <v>103.99</v>
      </c>
      <c r="O2478" s="107">
        <v>102.61</v>
      </c>
      <c r="P2478" s="107">
        <v>102.85</v>
      </c>
      <c r="Q2478" s="107">
        <v>102.8</v>
      </c>
      <c r="R2478">
        <v>3177526</v>
      </c>
    </row>
    <row r="2479" spans="1:18" x14ac:dyDescent="0.25">
      <c r="A2479" s="130">
        <v>45656</v>
      </c>
      <c r="B2479" s="107">
        <v>103.55</v>
      </c>
      <c r="C2479" s="107">
        <v>100.9</v>
      </c>
      <c r="D2479" s="107">
        <v>100.4</v>
      </c>
      <c r="E2479" s="107">
        <v>102.75</v>
      </c>
      <c r="F2479" s="107">
        <v>100.9</v>
      </c>
      <c r="G2479">
        <v>349658</v>
      </c>
      <c r="H2479" s="107"/>
      <c r="I2479" s="107"/>
      <c r="L2479" s="130">
        <v>45656</v>
      </c>
      <c r="M2479" s="107">
        <v>100.93</v>
      </c>
      <c r="N2479" s="107">
        <v>103.59</v>
      </c>
      <c r="O2479" s="107">
        <v>100.41</v>
      </c>
      <c r="P2479" s="107">
        <v>102.61</v>
      </c>
      <c r="Q2479" s="107">
        <v>100.93</v>
      </c>
      <c r="R2479">
        <v>6848363</v>
      </c>
    </row>
    <row r="2480" spans="1:18" x14ac:dyDescent="0.25">
      <c r="A2480" s="130">
        <v>45657</v>
      </c>
      <c r="B2480" s="107">
        <v>102.5</v>
      </c>
      <c r="C2480" s="107">
        <v>101.95</v>
      </c>
      <c r="D2480" s="107">
        <v>100.25</v>
      </c>
      <c r="E2480" s="107">
        <v>101.05</v>
      </c>
      <c r="F2480" s="107">
        <v>101.95</v>
      </c>
      <c r="G2480">
        <v>797161</v>
      </c>
      <c r="H2480" s="107"/>
      <c r="I2480" s="107"/>
      <c r="L2480" s="130">
        <v>45657</v>
      </c>
      <c r="M2480" s="107">
        <v>101.9</v>
      </c>
      <c r="N2480" s="107">
        <v>102.44</v>
      </c>
      <c r="O2480" s="107">
        <v>100.22</v>
      </c>
      <c r="P2480" s="107">
        <v>101</v>
      </c>
      <c r="Q2480" s="107">
        <v>101.9</v>
      </c>
      <c r="R2480">
        <v>6050468</v>
      </c>
    </row>
    <row r="2481" spans="1:18" x14ac:dyDescent="0.25">
      <c r="A2481" s="130">
        <v>45658</v>
      </c>
      <c r="B2481" s="107">
        <v>103.2</v>
      </c>
      <c r="C2481" s="107">
        <v>102.65</v>
      </c>
      <c r="D2481" s="107">
        <v>101.05</v>
      </c>
      <c r="E2481" s="107">
        <v>102.7</v>
      </c>
      <c r="F2481" s="107">
        <v>102.65</v>
      </c>
      <c r="G2481">
        <v>300951</v>
      </c>
      <c r="H2481" s="107"/>
      <c r="I2481" s="107"/>
      <c r="L2481" s="130">
        <v>45658</v>
      </c>
      <c r="M2481" s="107">
        <v>102.64</v>
      </c>
      <c r="N2481" s="107">
        <v>103.2</v>
      </c>
      <c r="O2481" s="107">
        <v>101.06</v>
      </c>
      <c r="P2481" s="107">
        <v>101.8</v>
      </c>
      <c r="Q2481" s="107">
        <v>102.64</v>
      </c>
      <c r="R2481">
        <v>3260501</v>
      </c>
    </row>
    <row r="2482" spans="1:18" x14ac:dyDescent="0.25">
      <c r="A2482" s="130">
        <v>45659</v>
      </c>
      <c r="B2482" s="107">
        <v>105</v>
      </c>
      <c r="C2482" s="107">
        <v>103.8</v>
      </c>
      <c r="D2482" s="107">
        <v>100.9</v>
      </c>
      <c r="E2482" s="107">
        <v>104.4</v>
      </c>
      <c r="F2482" s="107">
        <v>103.8</v>
      </c>
      <c r="G2482">
        <v>833717</v>
      </c>
      <c r="H2482" s="107"/>
      <c r="I2482" s="107"/>
      <c r="L2482" s="130">
        <v>45659</v>
      </c>
      <c r="M2482" s="107">
        <v>103.78</v>
      </c>
      <c r="N2482" s="107">
        <v>105.19</v>
      </c>
      <c r="O2482" s="107">
        <v>100.81</v>
      </c>
      <c r="P2482" s="107">
        <v>104.28</v>
      </c>
      <c r="Q2482" s="107">
        <v>103.78</v>
      </c>
      <c r="R2482">
        <v>14259943</v>
      </c>
    </row>
    <row r="2483" spans="1:18" x14ac:dyDescent="0.25">
      <c r="A2483" s="130">
        <v>45660</v>
      </c>
      <c r="B2483" s="107">
        <v>107.15</v>
      </c>
      <c r="C2483" s="107">
        <v>104.8</v>
      </c>
      <c r="D2483" s="107">
        <v>104.15</v>
      </c>
      <c r="E2483" s="107">
        <v>104.35</v>
      </c>
      <c r="F2483" s="107">
        <v>104.8</v>
      </c>
      <c r="G2483">
        <v>910934</v>
      </c>
      <c r="H2483" s="107"/>
      <c r="I2483" s="107"/>
      <c r="L2483" s="130">
        <v>45660</v>
      </c>
      <c r="M2483" s="107">
        <v>104.72</v>
      </c>
      <c r="N2483" s="107">
        <v>107.15</v>
      </c>
      <c r="O2483" s="107">
        <v>104.05</v>
      </c>
      <c r="P2483" s="107">
        <v>104.19</v>
      </c>
      <c r="Q2483" s="107">
        <v>104.72</v>
      </c>
      <c r="R2483">
        <v>12858263</v>
      </c>
    </row>
    <row r="2484" spans="1:18" x14ac:dyDescent="0.25">
      <c r="A2484" s="130">
        <v>45663</v>
      </c>
      <c r="B2484" s="107">
        <v>106.4</v>
      </c>
      <c r="C2484" s="107">
        <v>99.85</v>
      </c>
      <c r="D2484" s="107">
        <v>99.25</v>
      </c>
      <c r="E2484" s="107">
        <v>106</v>
      </c>
      <c r="F2484" s="107">
        <v>99.85</v>
      </c>
      <c r="G2484">
        <v>1069656</v>
      </c>
      <c r="H2484" s="107"/>
      <c r="I2484" s="107"/>
      <c r="L2484" s="130">
        <v>45663</v>
      </c>
      <c r="M2484" s="107">
        <v>99.81</v>
      </c>
      <c r="N2484" s="107">
        <v>106.32</v>
      </c>
      <c r="O2484" s="107">
        <v>99.26</v>
      </c>
      <c r="P2484" s="107">
        <v>106</v>
      </c>
      <c r="Q2484" s="107">
        <v>99.81</v>
      </c>
      <c r="R2484">
        <v>12258443</v>
      </c>
    </row>
    <row r="2485" spans="1:18" x14ac:dyDescent="0.25">
      <c r="A2485" s="130">
        <v>45664</v>
      </c>
      <c r="B2485" s="107">
        <v>101.1</v>
      </c>
      <c r="C2485" s="107">
        <v>100.15</v>
      </c>
      <c r="D2485" s="107">
        <v>99.55</v>
      </c>
      <c r="E2485" s="107">
        <v>99.9</v>
      </c>
      <c r="F2485" s="107">
        <v>100.15</v>
      </c>
      <c r="G2485">
        <v>714169</v>
      </c>
      <c r="H2485" s="107"/>
      <c r="I2485" s="107"/>
      <c r="L2485" s="130">
        <v>45664</v>
      </c>
      <c r="M2485" s="107">
        <v>100.21</v>
      </c>
      <c r="N2485" s="107">
        <v>101.13</v>
      </c>
      <c r="O2485" s="107">
        <v>99.53</v>
      </c>
      <c r="P2485" s="107">
        <v>100.17</v>
      </c>
      <c r="Q2485" s="107">
        <v>100.21</v>
      </c>
      <c r="R2485">
        <v>6149090</v>
      </c>
    </row>
    <row r="2486" spans="1:18" x14ac:dyDescent="0.25">
      <c r="A2486" s="130">
        <v>45665</v>
      </c>
      <c r="B2486" s="107">
        <v>101.05</v>
      </c>
      <c r="C2486" s="107">
        <v>100.1</v>
      </c>
      <c r="D2486" s="107">
        <v>98.55</v>
      </c>
      <c r="E2486" s="107">
        <v>100.4</v>
      </c>
      <c r="F2486" s="107">
        <v>100.1</v>
      </c>
      <c r="G2486">
        <v>512656</v>
      </c>
      <c r="H2486" s="107"/>
      <c r="I2486" s="107"/>
      <c r="L2486" s="130">
        <v>45665</v>
      </c>
      <c r="M2486" s="107">
        <v>100.11</v>
      </c>
      <c r="N2486" s="107">
        <v>101</v>
      </c>
      <c r="O2486" s="107">
        <v>98.52</v>
      </c>
      <c r="P2486" s="107">
        <v>100.21</v>
      </c>
      <c r="Q2486" s="107">
        <v>100.11</v>
      </c>
      <c r="R2486">
        <v>7748353</v>
      </c>
    </row>
    <row r="2487" spans="1:18" x14ac:dyDescent="0.25">
      <c r="A2487" s="130">
        <v>45666</v>
      </c>
      <c r="B2487" s="107">
        <v>100.65</v>
      </c>
      <c r="C2487" s="107">
        <v>98.7</v>
      </c>
      <c r="D2487" s="107">
        <v>98.4</v>
      </c>
      <c r="E2487" s="107">
        <v>100.65</v>
      </c>
      <c r="F2487" s="107">
        <v>98.7</v>
      </c>
      <c r="G2487">
        <v>111929</v>
      </c>
      <c r="H2487" s="107"/>
      <c r="I2487" s="107"/>
      <c r="L2487" s="130">
        <v>45666</v>
      </c>
      <c r="M2487" s="107">
        <v>98.68</v>
      </c>
      <c r="N2487" s="107">
        <v>100.16</v>
      </c>
      <c r="O2487" s="107">
        <v>98.36</v>
      </c>
      <c r="P2487" s="107">
        <v>100</v>
      </c>
      <c r="Q2487" s="107">
        <v>98.68</v>
      </c>
      <c r="R2487">
        <v>4710225</v>
      </c>
    </row>
    <row r="2488" spans="1:18" x14ac:dyDescent="0.25">
      <c r="A2488" s="130">
        <v>45667</v>
      </c>
      <c r="B2488" s="107">
        <v>98.65</v>
      </c>
      <c r="C2488" s="107">
        <v>94.3</v>
      </c>
      <c r="D2488" s="107">
        <v>94.1</v>
      </c>
      <c r="E2488" s="107">
        <v>98.2</v>
      </c>
      <c r="F2488" s="107">
        <v>94.3</v>
      </c>
      <c r="G2488">
        <v>736327</v>
      </c>
      <c r="H2488" s="107"/>
      <c r="I2488" s="107"/>
      <c r="L2488" s="130">
        <v>45667</v>
      </c>
      <c r="M2488" s="107">
        <v>94.27</v>
      </c>
      <c r="N2488" s="107">
        <v>98.7</v>
      </c>
      <c r="O2488" s="107">
        <v>94</v>
      </c>
      <c r="P2488" s="107">
        <v>98.31</v>
      </c>
      <c r="Q2488" s="107">
        <v>94.27</v>
      </c>
      <c r="R2488">
        <v>10132531</v>
      </c>
    </row>
    <row r="2489" spans="1:18" x14ac:dyDescent="0.25">
      <c r="A2489" s="130">
        <v>45670</v>
      </c>
      <c r="B2489" s="107">
        <v>94.35</v>
      </c>
      <c r="C2489" s="107">
        <v>90.35</v>
      </c>
      <c r="D2489" s="107">
        <v>90</v>
      </c>
      <c r="E2489" s="107">
        <v>93.75</v>
      </c>
      <c r="F2489" s="107">
        <v>90.35</v>
      </c>
      <c r="G2489">
        <v>945873</v>
      </c>
      <c r="H2489" s="107"/>
      <c r="I2489" s="107"/>
      <c r="L2489" s="130">
        <v>45670</v>
      </c>
      <c r="M2489" s="107">
        <v>90.35</v>
      </c>
      <c r="N2489" s="107">
        <v>94.37</v>
      </c>
      <c r="O2489" s="107">
        <v>90.05</v>
      </c>
      <c r="P2489" s="107">
        <v>93.27</v>
      </c>
      <c r="Q2489" s="107">
        <v>90.35</v>
      </c>
      <c r="R2489">
        <v>9889266</v>
      </c>
    </row>
    <row r="2490" spans="1:18" x14ac:dyDescent="0.25">
      <c r="A2490" s="130">
        <v>45671</v>
      </c>
      <c r="B2490" s="107">
        <v>95.45</v>
      </c>
      <c r="C2490" s="107">
        <v>94.7</v>
      </c>
      <c r="D2490" s="107">
        <v>90.55</v>
      </c>
      <c r="E2490" s="107">
        <v>90.55</v>
      </c>
      <c r="F2490" s="107">
        <v>94.7</v>
      </c>
      <c r="G2490">
        <v>678367</v>
      </c>
      <c r="H2490" s="107"/>
      <c r="I2490" s="107"/>
      <c r="L2490" s="130">
        <v>45671</v>
      </c>
      <c r="M2490" s="107">
        <v>94.62</v>
      </c>
      <c r="N2490" s="107">
        <v>95.44</v>
      </c>
      <c r="O2490" s="107">
        <v>90.51</v>
      </c>
      <c r="P2490" s="107">
        <v>90.51</v>
      </c>
      <c r="Q2490" s="107">
        <v>94.62</v>
      </c>
      <c r="R2490">
        <v>17015919</v>
      </c>
    </row>
    <row r="2491" spans="1:18" x14ac:dyDescent="0.25">
      <c r="A2491" s="130">
        <v>45672</v>
      </c>
      <c r="B2491" s="107">
        <v>96.75</v>
      </c>
      <c r="C2491" s="107">
        <v>96.05</v>
      </c>
      <c r="D2491" s="107">
        <v>93.9</v>
      </c>
      <c r="E2491" s="107">
        <v>96.4</v>
      </c>
      <c r="F2491" s="107">
        <v>96.05</v>
      </c>
      <c r="G2491">
        <v>375939</v>
      </c>
      <c r="H2491" s="107"/>
      <c r="I2491" s="107"/>
      <c r="L2491" s="130">
        <v>45672</v>
      </c>
      <c r="M2491" s="107">
        <v>96.13</v>
      </c>
      <c r="N2491" s="107">
        <v>96.71</v>
      </c>
      <c r="O2491" s="107">
        <v>93.89</v>
      </c>
      <c r="P2491" s="107">
        <v>95.86</v>
      </c>
      <c r="Q2491" s="107">
        <v>96.13</v>
      </c>
      <c r="R2491">
        <v>7021894</v>
      </c>
    </row>
    <row r="2492" spans="1:18" x14ac:dyDescent="0.25">
      <c r="A2492" s="130">
        <v>45673</v>
      </c>
      <c r="B2492" s="107">
        <v>100.55</v>
      </c>
      <c r="C2492" s="107">
        <v>99.75</v>
      </c>
      <c r="D2492" s="107">
        <v>97.4</v>
      </c>
      <c r="E2492" s="107">
        <v>97.4</v>
      </c>
      <c r="F2492" s="107">
        <v>99.75</v>
      </c>
      <c r="G2492">
        <v>253332</v>
      </c>
      <c r="H2492" s="107"/>
      <c r="I2492" s="107"/>
      <c r="L2492" s="130">
        <v>45673</v>
      </c>
      <c r="M2492" s="107">
        <v>99.74</v>
      </c>
      <c r="N2492" s="107">
        <v>100.6</v>
      </c>
      <c r="O2492" s="107">
        <v>97.29</v>
      </c>
      <c r="P2492" s="107">
        <v>97.29</v>
      </c>
      <c r="Q2492" s="107">
        <v>99.74</v>
      </c>
      <c r="R2492">
        <v>8542663</v>
      </c>
    </row>
    <row r="2493" spans="1:18" x14ac:dyDescent="0.25">
      <c r="A2493" s="130">
        <v>45674</v>
      </c>
      <c r="B2493" s="107">
        <v>100.65</v>
      </c>
      <c r="C2493" s="107">
        <v>100.2</v>
      </c>
      <c r="D2493" s="107">
        <v>98.6</v>
      </c>
      <c r="E2493" s="107">
        <v>99.45</v>
      </c>
      <c r="F2493" s="107">
        <v>100.2</v>
      </c>
      <c r="G2493">
        <v>284227</v>
      </c>
      <c r="H2493" s="107"/>
      <c r="I2493" s="107"/>
      <c r="L2493" s="130">
        <v>45674</v>
      </c>
      <c r="M2493" s="107">
        <v>100.23</v>
      </c>
      <c r="N2493" s="107">
        <v>100.67</v>
      </c>
      <c r="O2493" s="107">
        <v>98.74</v>
      </c>
      <c r="P2493" s="107">
        <v>99</v>
      </c>
      <c r="Q2493" s="107">
        <v>100.23</v>
      </c>
      <c r="R2493">
        <v>5277338</v>
      </c>
    </row>
    <row r="2494" spans="1:18" x14ac:dyDescent="0.25">
      <c r="A2494" s="130">
        <v>45677</v>
      </c>
      <c r="B2494" s="107">
        <v>103</v>
      </c>
      <c r="C2494" s="107">
        <v>101.75</v>
      </c>
      <c r="D2494" s="107">
        <v>99.65</v>
      </c>
      <c r="E2494" s="107">
        <v>100.25</v>
      </c>
      <c r="F2494" s="107">
        <v>101.75</v>
      </c>
      <c r="G2494">
        <v>1060183</v>
      </c>
      <c r="H2494" s="107"/>
      <c r="I2494" s="107"/>
      <c r="L2494" s="130">
        <v>45677</v>
      </c>
      <c r="M2494" s="107">
        <v>101.67</v>
      </c>
      <c r="N2494" s="107">
        <v>102.86</v>
      </c>
      <c r="O2494" s="107">
        <v>99.59</v>
      </c>
      <c r="P2494" s="107">
        <v>100.23</v>
      </c>
      <c r="Q2494" s="107">
        <v>101.67</v>
      </c>
      <c r="R2494">
        <v>5601585</v>
      </c>
    </row>
    <row r="2495" spans="1:18" x14ac:dyDescent="0.25">
      <c r="A2495" s="130">
        <v>45678</v>
      </c>
      <c r="B2495" s="107">
        <v>102.05</v>
      </c>
      <c r="C2495" s="107">
        <v>100</v>
      </c>
      <c r="D2495" s="107">
        <v>99.85</v>
      </c>
      <c r="E2495" s="107">
        <v>102</v>
      </c>
      <c r="F2495" s="107">
        <v>100</v>
      </c>
      <c r="G2495">
        <v>348207</v>
      </c>
      <c r="H2495" s="107"/>
      <c r="I2495" s="107"/>
      <c r="L2495" s="130">
        <v>45678</v>
      </c>
      <c r="M2495" s="107">
        <v>100.06</v>
      </c>
      <c r="N2495" s="107">
        <v>102.24</v>
      </c>
      <c r="O2495" s="107">
        <v>99.89</v>
      </c>
      <c r="P2495" s="107">
        <v>102</v>
      </c>
      <c r="Q2495" s="107">
        <v>100.06</v>
      </c>
      <c r="R2495">
        <v>3640500</v>
      </c>
    </row>
    <row r="2496" spans="1:18" x14ac:dyDescent="0.25">
      <c r="A2496" s="130">
        <v>45679</v>
      </c>
      <c r="B2496" s="107">
        <v>100.35</v>
      </c>
      <c r="C2496" s="107">
        <v>98.95</v>
      </c>
      <c r="D2496" s="107">
        <v>96.75</v>
      </c>
      <c r="E2496" s="107">
        <v>100.25</v>
      </c>
      <c r="F2496" s="107">
        <v>98.95</v>
      </c>
      <c r="G2496">
        <v>208109</v>
      </c>
      <c r="H2496" s="107"/>
      <c r="I2496" s="107"/>
      <c r="L2496" s="130">
        <v>45679</v>
      </c>
      <c r="M2496" s="107">
        <v>99.03</v>
      </c>
      <c r="N2496" s="107">
        <v>100.26</v>
      </c>
      <c r="O2496" s="107">
        <v>96.85</v>
      </c>
      <c r="P2496" s="107">
        <v>100</v>
      </c>
      <c r="Q2496" s="107">
        <v>99.03</v>
      </c>
      <c r="R2496">
        <v>4809029</v>
      </c>
    </row>
    <row r="2497" spans="1:18" x14ac:dyDescent="0.25">
      <c r="A2497" s="130">
        <v>45680</v>
      </c>
      <c r="B2497" s="107">
        <v>100.3</v>
      </c>
      <c r="C2497" s="107">
        <v>99.8</v>
      </c>
      <c r="D2497" s="107">
        <v>97.95</v>
      </c>
      <c r="E2497" s="107">
        <v>98.75</v>
      </c>
      <c r="F2497" s="107">
        <v>99.8</v>
      </c>
      <c r="G2497">
        <v>200082</v>
      </c>
      <c r="H2497" s="107"/>
      <c r="I2497" s="107"/>
      <c r="L2497" s="130">
        <v>45680</v>
      </c>
      <c r="M2497" s="107">
        <v>99.71</v>
      </c>
      <c r="N2497" s="107">
        <v>100.34</v>
      </c>
      <c r="O2497" s="107">
        <v>97.91</v>
      </c>
      <c r="P2497" s="107">
        <v>99</v>
      </c>
      <c r="Q2497" s="107">
        <v>99.71</v>
      </c>
      <c r="R2497">
        <v>3393691</v>
      </c>
    </row>
    <row r="2498" spans="1:18" x14ac:dyDescent="0.25">
      <c r="A2498" s="130">
        <v>45681</v>
      </c>
      <c r="B2498" s="107">
        <v>100.95</v>
      </c>
      <c r="C2498" s="107">
        <v>98.3</v>
      </c>
      <c r="D2498" s="107">
        <v>98</v>
      </c>
      <c r="E2498" s="107">
        <v>99.85</v>
      </c>
      <c r="F2498" s="107">
        <v>98.3</v>
      </c>
      <c r="G2498">
        <v>337808</v>
      </c>
      <c r="H2498" s="107"/>
      <c r="I2498" s="107"/>
      <c r="L2498" s="130">
        <v>45681</v>
      </c>
      <c r="M2498" s="107">
        <v>98.37</v>
      </c>
      <c r="N2498" s="107">
        <v>101</v>
      </c>
      <c r="O2498" s="107">
        <v>98</v>
      </c>
      <c r="P2498" s="107">
        <v>99.95</v>
      </c>
      <c r="Q2498" s="107">
        <v>98.37</v>
      </c>
      <c r="R2498">
        <v>4111994</v>
      </c>
    </row>
    <row r="2499" spans="1:18" x14ac:dyDescent="0.25">
      <c r="A2499" s="130">
        <v>45684</v>
      </c>
      <c r="B2499" s="107">
        <v>105.75</v>
      </c>
      <c r="C2499" s="107">
        <v>104.3</v>
      </c>
      <c r="D2499" s="107">
        <v>99.15</v>
      </c>
      <c r="E2499" s="107">
        <v>99.15</v>
      </c>
      <c r="F2499" s="107">
        <v>104.3</v>
      </c>
      <c r="G2499">
        <v>1776870</v>
      </c>
      <c r="H2499" s="107"/>
      <c r="I2499" s="107"/>
      <c r="L2499" s="130">
        <v>45684</v>
      </c>
      <c r="M2499" s="107">
        <v>104.29</v>
      </c>
      <c r="N2499" s="107">
        <v>105.8</v>
      </c>
      <c r="O2499" s="107">
        <v>99.11</v>
      </c>
      <c r="P2499" s="107">
        <v>100</v>
      </c>
      <c r="Q2499" s="107">
        <v>104.29</v>
      </c>
      <c r="R2499">
        <v>62764655</v>
      </c>
    </row>
    <row r="2500" spans="1:18" x14ac:dyDescent="0.25">
      <c r="A2500" s="130">
        <v>45685</v>
      </c>
      <c r="B2500" s="107">
        <v>111.2</v>
      </c>
      <c r="C2500" s="107">
        <v>109.5</v>
      </c>
      <c r="D2500" s="107">
        <v>104.05</v>
      </c>
      <c r="E2500" s="107">
        <v>104.2</v>
      </c>
      <c r="F2500" s="107">
        <v>109.5</v>
      </c>
      <c r="G2500">
        <v>2349776</v>
      </c>
      <c r="H2500" s="107"/>
      <c r="I2500" s="107"/>
      <c r="L2500" s="130">
        <v>45685</v>
      </c>
      <c r="M2500" s="107">
        <v>109.51</v>
      </c>
      <c r="N2500" s="107">
        <v>111.21</v>
      </c>
      <c r="O2500" s="107">
        <v>103.8</v>
      </c>
      <c r="P2500" s="107">
        <v>103.82</v>
      </c>
      <c r="Q2500" s="107">
        <v>109.51</v>
      </c>
      <c r="R2500">
        <v>52405075</v>
      </c>
    </row>
    <row r="2501" spans="1:18" x14ac:dyDescent="0.25">
      <c r="A2501" s="130">
        <v>45686</v>
      </c>
      <c r="B2501" s="107">
        <v>111.15</v>
      </c>
      <c r="C2501" s="107">
        <v>110.8</v>
      </c>
      <c r="D2501" s="107">
        <v>107.95</v>
      </c>
      <c r="E2501" s="107">
        <v>109.45</v>
      </c>
      <c r="F2501" s="107">
        <v>110.8</v>
      </c>
      <c r="G2501">
        <v>411222</v>
      </c>
      <c r="H2501" s="107"/>
      <c r="I2501" s="107"/>
      <c r="L2501" s="130">
        <v>45686</v>
      </c>
      <c r="M2501" s="107">
        <v>110.82</v>
      </c>
      <c r="N2501" s="107">
        <v>111.17</v>
      </c>
      <c r="O2501" s="107">
        <v>107.92</v>
      </c>
      <c r="P2501" s="107">
        <v>108.91</v>
      </c>
      <c r="Q2501" s="107">
        <v>110.82</v>
      </c>
      <c r="R2501">
        <v>13568733</v>
      </c>
    </row>
    <row r="2502" spans="1:18" x14ac:dyDescent="0.25">
      <c r="A2502" s="130">
        <v>45687</v>
      </c>
      <c r="B2502" s="107">
        <v>113.2</v>
      </c>
      <c r="C2502" s="107">
        <v>111.25</v>
      </c>
      <c r="D2502" s="107">
        <v>110.3</v>
      </c>
      <c r="E2502" s="107">
        <v>111</v>
      </c>
      <c r="F2502" s="107">
        <v>111.25</v>
      </c>
      <c r="G2502">
        <v>293921</v>
      </c>
      <c r="H2502" s="107"/>
      <c r="I2502" s="107"/>
      <c r="L2502" s="130">
        <v>45687</v>
      </c>
      <c r="M2502" s="107">
        <v>111.23</v>
      </c>
      <c r="N2502" s="107">
        <v>113.19</v>
      </c>
      <c r="O2502" s="107">
        <v>110.25</v>
      </c>
      <c r="P2502" s="107">
        <v>110.82</v>
      </c>
      <c r="Q2502" s="107">
        <v>111.23</v>
      </c>
      <c r="R2502">
        <v>11344654</v>
      </c>
    </row>
    <row r="2503" spans="1:18" x14ac:dyDescent="0.25">
      <c r="A2503" s="130">
        <v>45688</v>
      </c>
      <c r="B2503" s="107">
        <v>113.05</v>
      </c>
      <c r="C2503" s="107">
        <v>112.5</v>
      </c>
      <c r="D2503" s="107">
        <v>110.35</v>
      </c>
      <c r="E2503" s="107">
        <v>112</v>
      </c>
      <c r="F2503" s="107">
        <v>112.5</v>
      </c>
      <c r="G2503">
        <v>482481</v>
      </c>
      <c r="H2503" s="107"/>
      <c r="I2503" s="107"/>
      <c r="L2503" s="130">
        <v>45688</v>
      </c>
      <c r="M2503" s="107">
        <v>112.52</v>
      </c>
      <c r="N2503" s="107">
        <v>113.1</v>
      </c>
      <c r="O2503" s="107">
        <v>110.33</v>
      </c>
      <c r="P2503" s="107">
        <v>112</v>
      </c>
      <c r="Q2503" s="107">
        <v>112.52</v>
      </c>
      <c r="R2503">
        <v>9417605</v>
      </c>
    </row>
    <row r="2504" spans="1:18" x14ac:dyDescent="0.25">
      <c r="A2504" s="130">
        <v>45689</v>
      </c>
      <c r="B2504" s="107">
        <v>113</v>
      </c>
      <c r="C2504" s="107">
        <v>108.25</v>
      </c>
      <c r="D2504" s="107">
        <v>106.45</v>
      </c>
      <c r="E2504" s="107">
        <v>113</v>
      </c>
      <c r="F2504" s="107">
        <v>108.25</v>
      </c>
      <c r="G2504">
        <v>623097</v>
      </c>
      <c r="H2504" s="107"/>
      <c r="I2504" s="107"/>
      <c r="L2504" s="130">
        <v>45689</v>
      </c>
      <c r="M2504" s="107">
        <v>108.28</v>
      </c>
      <c r="N2504" s="107">
        <v>112.9</v>
      </c>
      <c r="O2504" s="107">
        <v>106.33</v>
      </c>
      <c r="P2504" s="107">
        <v>112.9</v>
      </c>
      <c r="Q2504" s="107">
        <v>108.28</v>
      </c>
      <c r="R2504">
        <v>10476590</v>
      </c>
    </row>
    <row r="2505" spans="1:18" x14ac:dyDescent="0.25">
      <c r="A2505" s="130">
        <v>45691</v>
      </c>
      <c r="B2505" s="107">
        <v>106.3</v>
      </c>
      <c r="C2505" s="107">
        <v>103.95</v>
      </c>
      <c r="D2505" s="107">
        <v>103.55</v>
      </c>
      <c r="E2505" s="107">
        <v>106.1</v>
      </c>
      <c r="F2505" s="107">
        <v>103.95</v>
      </c>
      <c r="G2505">
        <v>403645</v>
      </c>
      <c r="H2505" s="107"/>
      <c r="I2505" s="107"/>
      <c r="L2505" s="130">
        <v>45691</v>
      </c>
      <c r="M2505" s="107">
        <v>103.92</v>
      </c>
      <c r="N2505" s="107">
        <v>106.43</v>
      </c>
      <c r="O2505" s="107">
        <v>103.46</v>
      </c>
      <c r="P2505" s="107">
        <v>106</v>
      </c>
      <c r="Q2505" s="107">
        <v>103.92</v>
      </c>
      <c r="R2505">
        <v>13485224</v>
      </c>
    </row>
    <row r="2506" spans="1:18" x14ac:dyDescent="0.25">
      <c r="A2506" s="130">
        <v>45692</v>
      </c>
      <c r="B2506" s="107">
        <v>109.4</v>
      </c>
      <c r="C2506" s="107">
        <v>106.85</v>
      </c>
      <c r="D2506" s="107">
        <v>104.7</v>
      </c>
      <c r="E2506" s="107">
        <v>104.7</v>
      </c>
      <c r="F2506" s="107">
        <v>106.85</v>
      </c>
      <c r="G2506">
        <v>711446</v>
      </c>
      <c r="H2506" s="107"/>
      <c r="I2506" s="107"/>
      <c r="L2506" s="130">
        <v>45692</v>
      </c>
      <c r="M2506" s="107">
        <v>106.86</v>
      </c>
      <c r="N2506" s="107">
        <v>109.49</v>
      </c>
      <c r="O2506" s="107">
        <v>104.9</v>
      </c>
      <c r="P2506" s="107">
        <v>104.95</v>
      </c>
      <c r="Q2506" s="107">
        <v>106.86</v>
      </c>
      <c r="R2506">
        <v>12915454</v>
      </c>
    </row>
    <row r="2507" spans="1:18" x14ac:dyDescent="0.25">
      <c r="A2507" s="130">
        <v>45693</v>
      </c>
      <c r="B2507" s="107">
        <v>110.15</v>
      </c>
      <c r="C2507" s="107">
        <v>107.85</v>
      </c>
      <c r="D2507" s="107">
        <v>107.5</v>
      </c>
      <c r="E2507" s="107">
        <v>108.05</v>
      </c>
      <c r="F2507" s="107">
        <v>107.85</v>
      </c>
      <c r="G2507">
        <v>240872</v>
      </c>
      <c r="H2507" s="107"/>
      <c r="I2507" s="107"/>
      <c r="L2507" s="130">
        <v>45693</v>
      </c>
      <c r="M2507" s="107">
        <v>107.89</v>
      </c>
      <c r="N2507" s="107">
        <v>110.14</v>
      </c>
      <c r="O2507" s="107">
        <v>107.5</v>
      </c>
      <c r="P2507" s="107">
        <v>107.95</v>
      </c>
      <c r="Q2507" s="107">
        <v>107.89</v>
      </c>
      <c r="R2507">
        <v>10574281</v>
      </c>
    </row>
    <row r="2508" spans="1:18" x14ac:dyDescent="0.25">
      <c r="A2508" s="130">
        <v>45694</v>
      </c>
      <c r="B2508" s="107">
        <v>109.15</v>
      </c>
      <c r="C2508" s="107">
        <v>107.55</v>
      </c>
      <c r="D2508" s="107">
        <v>107.3</v>
      </c>
      <c r="E2508" s="107">
        <v>108.8</v>
      </c>
      <c r="F2508" s="107">
        <v>107.55</v>
      </c>
      <c r="G2508">
        <v>131122</v>
      </c>
      <c r="H2508" s="107"/>
      <c r="I2508" s="107"/>
      <c r="L2508" s="130">
        <v>45694</v>
      </c>
      <c r="M2508" s="107">
        <v>107.63</v>
      </c>
      <c r="N2508" s="107">
        <v>109.12</v>
      </c>
      <c r="O2508" s="107">
        <v>107.2</v>
      </c>
      <c r="P2508" s="107">
        <v>108.7</v>
      </c>
      <c r="Q2508" s="107">
        <v>107.63</v>
      </c>
      <c r="R2508">
        <v>9397668</v>
      </c>
    </row>
    <row r="2509" spans="1:18" x14ac:dyDescent="0.25">
      <c r="A2509" s="130">
        <v>45695</v>
      </c>
      <c r="B2509" s="107">
        <v>109.45</v>
      </c>
      <c r="C2509" s="107">
        <v>106.1</v>
      </c>
      <c r="D2509" s="107">
        <v>105</v>
      </c>
      <c r="E2509" s="107">
        <v>108.6</v>
      </c>
      <c r="F2509" s="107">
        <v>106.1</v>
      </c>
      <c r="G2509">
        <v>302313</v>
      </c>
      <c r="H2509" s="107"/>
      <c r="I2509" s="107"/>
      <c r="L2509" s="130">
        <v>45695</v>
      </c>
      <c r="M2509" s="107">
        <v>106.16</v>
      </c>
      <c r="N2509" s="107">
        <v>109.62</v>
      </c>
      <c r="O2509" s="107">
        <v>104.89</v>
      </c>
      <c r="P2509" s="107">
        <v>107.99</v>
      </c>
      <c r="Q2509" s="107">
        <v>106.16</v>
      </c>
      <c r="R2509">
        <v>13415003</v>
      </c>
    </row>
    <row r="2510" spans="1:18" x14ac:dyDescent="0.25">
      <c r="A2510" s="130">
        <v>45698</v>
      </c>
      <c r="B2510" s="107">
        <v>106.8</v>
      </c>
      <c r="C2510" s="107">
        <v>104</v>
      </c>
      <c r="D2510" s="107">
        <v>103.25</v>
      </c>
      <c r="E2510" s="107">
        <v>106.8</v>
      </c>
      <c r="F2510" s="107">
        <v>104</v>
      </c>
      <c r="G2510">
        <v>153564</v>
      </c>
      <c r="H2510" s="107"/>
      <c r="I2510" s="107"/>
      <c r="L2510" s="130">
        <v>45698</v>
      </c>
      <c r="M2510" s="107">
        <v>103.93</v>
      </c>
      <c r="N2510" s="107">
        <v>106.81</v>
      </c>
      <c r="O2510" s="107">
        <v>103.2</v>
      </c>
      <c r="P2510" s="107">
        <v>106.81</v>
      </c>
      <c r="Q2510" s="107">
        <v>103.93</v>
      </c>
      <c r="R2510">
        <v>5384683</v>
      </c>
    </row>
    <row r="2511" spans="1:18" x14ac:dyDescent="0.25">
      <c r="A2511" s="130">
        <v>45699</v>
      </c>
      <c r="B2511" s="107">
        <v>104.35</v>
      </c>
      <c r="C2511" s="107">
        <v>101.2</v>
      </c>
      <c r="D2511" s="107">
        <v>100.65</v>
      </c>
      <c r="E2511" s="107">
        <v>104</v>
      </c>
      <c r="F2511" s="107">
        <v>101.2</v>
      </c>
      <c r="G2511">
        <v>355197</v>
      </c>
      <c r="H2511" s="107"/>
      <c r="I2511" s="107"/>
      <c r="L2511" s="130">
        <v>45699</v>
      </c>
      <c r="M2511" s="107">
        <v>101.22</v>
      </c>
      <c r="N2511" s="107">
        <v>104.29</v>
      </c>
      <c r="O2511" s="107">
        <v>100.7</v>
      </c>
      <c r="P2511" s="107">
        <v>103.99</v>
      </c>
      <c r="Q2511" s="107">
        <v>101.22</v>
      </c>
      <c r="R2511">
        <v>5308829</v>
      </c>
    </row>
    <row r="2512" spans="1:18" x14ac:dyDescent="0.25">
      <c r="A2512" s="130">
        <v>45700</v>
      </c>
      <c r="B2512" s="107">
        <v>102.95</v>
      </c>
      <c r="C2512" s="107">
        <v>102.55</v>
      </c>
      <c r="D2512" s="107">
        <v>98</v>
      </c>
      <c r="E2512" s="107">
        <v>101.25</v>
      </c>
      <c r="F2512" s="107">
        <v>102.55</v>
      </c>
      <c r="G2512">
        <v>392586</v>
      </c>
      <c r="H2512" s="107"/>
      <c r="I2512" s="107"/>
      <c r="L2512" s="130">
        <v>45700</v>
      </c>
      <c r="M2512" s="107">
        <v>102.5</v>
      </c>
      <c r="N2512" s="107">
        <v>102.95</v>
      </c>
      <c r="O2512" s="107">
        <v>97.92</v>
      </c>
      <c r="P2512" s="107">
        <v>101.25</v>
      </c>
      <c r="Q2512" s="107">
        <v>102.5</v>
      </c>
      <c r="R2512">
        <v>8692391</v>
      </c>
    </row>
    <row r="2513" spans="1:18" x14ac:dyDescent="0.25">
      <c r="A2513" s="130">
        <v>45701</v>
      </c>
      <c r="B2513" s="107">
        <v>103.65</v>
      </c>
      <c r="C2513" s="107">
        <v>101.05</v>
      </c>
      <c r="D2513" s="107">
        <v>100.55</v>
      </c>
      <c r="E2513" s="107">
        <v>103</v>
      </c>
      <c r="F2513" s="107">
        <v>101.05</v>
      </c>
      <c r="G2513">
        <v>344196</v>
      </c>
      <c r="H2513" s="107"/>
      <c r="I2513" s="107"/>
      <c r="L2513" s="130">
        <v>45701</v>
      </c>
      <c r="M2513" s="107">
        <v>101.1</v>
      </c>
      <c r="N2513" s="107">
        <v>103.71</v>
      </c>
      <c r="O2513" s="107">
        <v>100.55</v>
      </c>
      <c r="P2513" s="107">
        <v>103.49</v>
      </c>
      <c r="Q2513" s="107">
        <v>101.1</v>
      </c>
      <c r="R2513">
        <v>6063347</v>
      </c>
    </row>
    <row r="2514" spans="1:18" x14ac:dyDescent="0.25">
      <c r="A2514" s="130">
        <v>45702</v>
      </c>
      <c r="B2514" s="107">
        <v>102</v>
      </c>
      <c r="C2514" s="107">
        <v>99.2</v>
      </c>
      <c r="D2514" s="107">
        <v>97.7</v>
      </c>
      <c r="E2514" s="107">
        <v>102</v>
      </c>
      <c r="F2514" s="107">
        <v>99.2</v>
      </c>
      <c r="G2514">
        <v>481608</v>
      </c>
      <c r="H2514" s="107"/>
      <c r="I2514" s="107"/>
      <c r="L2514" s="130">
        <v>45702</v>
      </c>
      <c r="M2514" s="107">
        <v>99.3</v>
      </c>
      <c r="N2514" s="107">
        <v>102</v>
      </c>
      <c r="O2514" s="107">
        <v>97.68</v>
      </c>
      <c r="P2514" s="107">
        <v>101.68</v>
      </c>
      <c r="Q2514" s="107">
        <v>99.3</v>
      </c>
      <c r="R2514">
        <v>6099055</v>
      </c>
    </row>
    <row r="2515" spans="1:18" x14ac:dyDescent="0.25">
      <c r="A2515" s="130">
        <v>45705</v>
      </c>
      <c r="B2515" s="107">
        <v>99.3</v>
      </c>
      <c r="C2515" s="107">
        <v>98.95</v>
      </c>
      <c r="D2515" s="107">
        <v>96.15</v>
      </c>
      <c r="E2515" s="107">
        <v>98.45</v>
      </c>
      <c r="F2515" s="107">
        <v>98.95</v>
      </c>
      <c r="G2515">
        <v>291653</v>
      </c>
      <c r="H2515" s="107"/>
      <c r="I2515" s="107"/>
      <c r="L2515" s="130">
        <v>45705</v>
      </c>
      <c r="M2515" s="107">
        <v>99.03</v>
      </c>
      <c r="N2515" s="107">
        <v>99.21</v>
      </c>
      <c r="O2515" s="107">
        <v>96.3</v>
      </c>
      <c r="P2515" s="107">
        <v>99</v>
      </c>
      <c r="Q2515" s="107">
        <v>99.03</v>
      </c>
      <c r="R2515">
        <v>5421187</v>
      </c>
    </row>
    <row r="2516" spans="1:18" x14ac:dyDescent="0.25">
      <c r="A2516" s="130">
        <v>45706</v>
      </c>
      <c r="B2516" s="107">
        <v>99.2</v>
      </c>
      <c r="C2516" s="107">
        <v>95.95</v>
      </c>
      <c r="D2516" s="107">
        <v>95.55</v>
      </c>
      <c r="E2516" s="107">
        <v>99</v>
      </c>
      <c r="F2516" s="107">
        <v>95.95</v>
      </c>
      <c r="G2516">
        <v>247542</v>
      </c>
      <c r="H2516" s="107"/>
      <c r="I2516" s="107"/>
      <c r="L2516" s="130">
        <v>45706</v>
      </c>
      <c r="M2516" s="107">
        <v>96</v>
      </c>
      <c r="N2516" s="107">
        <v>99.65</v>
      </c>
      <c r="O2516" s="107">
        <v>95.5</v>
      </c>
      <c r="P2516" s="107">
        <v>99</v>
      </c>
      <c r="Q2516" s="107">
        <v>96</v>
      </c>
      <c r="R2516">
        <v>8872125</v>
      </c>
    </row>
    <row r="2517" spans="1:18" x14ac:dyDescent="0.25">
      <c r="A2517" s="130">
        <v>45707</v>
      </c>
      <c r="B2517" s="107">
        <v>100.55</v>
      </c>
      <c r="C2517" s="107">
        <v>99.5</v>
      </c>
      <c r="D2517" s="107">
        <v>95.45</v>
      </c>
      <c r="E2517" s="107">
        <v>96.15</v>
      </c>
      <c r="F2517" s="107">
        <v>99.5</v>
      </c>
      <c r="G2517">
        <v>412467</v>
      </c>
      <c r="H2517" s="107"/>
      <c r="I2517" s="107"/>
      <c r="L2517" s="130">
        <v>45707</v>
      </c>
      <c r="M2517" s="107">
        <v>99.37</v>
      </c>
      <c r="N2517" s="107">
        <v>99.97</v>
      </c>
      <c r="O2517" s="107">
        <v>95.41</v>
      </c>
      <c r="P2517" s="107">
        <v>96</v>
      </c>
      <c r="Q2517" s="107">
        <v>99.37</v>
      </c>
      <c r="R2517">
        <v>8383145</v>
      </c>
    </row>
    <row r="2518" spans="1:18" x14ac:dyDescent="0.25">
      <c r="A2518" s="130">
        <v>45708</v>
      </c>
      <c r="B2518" s="107">
        <v>105.85</v>
      </c>
      <c r="C2518" s="107">
        <v>105</v>
      </c>
      <c r="D2518" s="107">
        <v>98.45</v>
      </c>
      <c r="E2518" s="107">
        <v>99.1</v>
      </c>
      <c r="F2518" s="107">
        <v>105</v>
      </c>
      <c r="G2518">
        <v>807842</v>
      </c>
      <c r="H2518" s="107"/>
      <c r="I2518" s="107"/>
      <c r="L2518" s="130">
        <v>45708</v>
      </c>
      <c r="M2518" s="107">
        <v>104.74</v>
      </c>
      <c r="N2518" s="107">
        <v>104.99</v>
      </c>
      <c r="O2518" s="107">
        <v>98.5</v>
      </c>
      <c r="P2518" s="107">
        <v>98.9</v>
      </c>
      <c r="Q2518" s="107">
        <v>104.74</v>
      </c>
      <c r="R2518">
        <v>12657368</v>
      </c>
    </row>
    <row r="2519" spans="1:18" x14ac:dyDescent="0.25">
      <c r="A2519" s="130">
        <v>45709</v>
      </c>
      <c r="B2519" s="107">
        <v>104.75</v>
      </c>
      <c r="C2519" s="107">
        <v>101.5</v>
      </c>
      <c r="D2519" s="107">
        <v>100.55</v>
      </c>
      <c r="E2519" s="107">
        <v>104.35</v>
      </c>
      <c r="F2519" s="107">
        <v>101.5</v>
      </c>
      <c r="G2519">
        <v>619939</v>
      </c>
      <c r="H2519" s="107"/>
      <c r="I2519" s="107"/>
      <c r="L2519" s="130">
        <v>45709</v>
      </c>
      <c r="M2519" s="107">
        <v>101.51</v>
      </c>
      <c r="N2519" s="107">
        <v>104.42</v>
      </c>
      <c r="O2519" s="107">
        <v>100.56</v>
      </c>
      <c r="P2519" s="107">
        <v>103.8</v>
      </c>
      <c r="Q2519" s="107">
        <v>101.51</v>
      </c>
      <c r="R2519">
        <v>10401247</v>
      </c>
    </row>
    <row r="2520" spans="1:18" x14ac:dyDescent="0.25">
      <c r="A2520" s="130">
        <v>45712</v>
      </c>
      <c r="B2520" s="107">
        <v>101.8</v>
      </c>
      <c r="C2520" s="107">
        <v>100.9</v>
      </c>
      <c r="D2520" s="107">
        <v>99.9</v>
      </c>
      <c r="E2520" s="107">
        <v>100.6</v>
      </c>
      <c r="F2520" s="107">
        <v>100.9</v>
      </c>
      <c r="G2520">
        <v>182890</v>
      </c>
      <c r="H2520" s="107"/>
      <c r="I2520" s="107"/>
      <c r="L2520" s="130">
        <v>45712</v>
      </c>
      <c r="M2520" s="107">
        <v>100.89</v>
      </c>
      <c r="N2520" s="107">
        <v>101.8</v>
      </c>
      <c r="O2520" s="107">
        <v>99.86</v>
      </c>
      <c r="P2520" s="107">
        <v>101.2</v>
      </c>
      <c r="Q2520" s="107">
        <v>100.89</v>
      </c>
      <c r="R2520">
        <v>6007057</v>
      </c>
    </row>
    <row r="2521" spans="1:18" x14ac:dyDescent="0.25">
      <c r="A2521" s="130">
        <v>45713</v>
      </c>
      <c r="B2521" s="107">
        <v>101.65</v>
      </c>
      <c r="C2521" s="107">
        <v>98</v>
      </c>
      <c r="D2521" s="107">
        <v>97.7</v>
      </c>
      <c r="E2521" s="107">
        <v>101.05</v>
      </c>
      <c r="F2521" s="107">
        <v>98</v>
      </c>
      <c r="G2521">
        <v>315570</v>
      </c>
      <c r="H2521" s="107"/>
      <c r="I2521" s="107"/>
      <c r="L2521" s="130">
        <v>45713</v>
      </c>
      <c r="M2521" s="107">
        <v>98.08</v>
      </c>
      <c r="N2521" s="107">
        <v>101.72</v>
      </c>
      <c r="O2521" s="107">
        <v>97.75</v>
      </c>
      <c r="P2521" s="107">
        <v>101.38</v>
      </c>
      <c r="Q2521" s="107">
        <v>98.08</v>
      </c>
      <c r="R2521">
        <v>4698591</v>
      </c>
    </row>
    <row r="2522" spans="1:18" x14ac:dyDescent="0.25">
      <c r="A2522" s="130">
        <v>45715</v>
      </c>
      <c r="B2522" s="107">
        <v>98.9</v>
      </c>
      <c r="C2522" s="107">
        <v>96.6</v>
      </c>
      <c r="D2522" s="107">
        <v>96.05</v>
      </c>
      <c r="E2522" s="107">
        <v>98.6</v>
      </c>
      <c r="F2522" s="107">
        <v>96.6</v>
      </c>
      <c r="G2522">
        <v>209051</v>
      </c>
      <c r="H2522" s="107"/>
      <c r="I2522" s="107"/>
      <c r="L2522" s="130">
        <v>45715</v>
      </c>
      <c r="M2522" s="107">
        <v>96.58</v>
      </c>
      <c r="N2522" s="107">
        <v>98.92</v>
      </c>
      <c r="O2522" s="107">
        <v>96.05</v>
      </c>
      <c r="P2522" s="107">
        <v>98.09</v>
      </c>
      <c r="Q2522" s="107">
        <v>96.58</v>
      </c>
      <c r="R2522">
        <v>8392622</v>
      </c>
    </row>
    <row r="2523" spans="1:18" x14ac:dyDescent="0.25">
      <c r="A2523" s="130">
        <v>45716</v>
      </c>
      <c r="B2523" s="107">
        <v>97.35</v>
      </c>
      <c r="C2523" s="107">
        <v>95.25</v>
      </c>
      <c r="D2523" s="107">
        <v>94.8</v>
      </c>
      <c r="E2523" s="107">
        <v>96.05</v>
      </c>
      <c r="F2523" s="107">
        <v>95.25</v>
      </c>
      <c r="G2523">
        <v>529045</v>
      </c>
      <c r="H2523" s="107"/>
      <c r="I2523" s="107"/>
      <c r="L2523" s="130">
        <v>45716</v>
      </c>
      <c r="M2523" s="107">
        <v>95.16</v>
      </c>
      <c r="N2523" s="107">
        <v>97.4</v>
      </c>
      <c r="O2523" s="107">
        <v>94.78</v>
      </c>
      <c r="P2523" s="107">
        <v>96.5</v>
      </c>
      <c r="Q2523" s="107">
        <v>95.16</v>
      </c>
      <c r="R2523">
        <v>9648668</v>
      </c>
    </row>
    <row r="2524" spans="1:18" x14ac:dyDescent="0.25">
      <c r="A2524" s="130">
        <v>45719</v>
      </c>
      <c r="B2524" s="107">
        <v>96.63</v>
      </c>
      <c r="C2524" s="107">
        <v>95.46</v>
      </c>
      <c r="D2524" s="107">
        <v>92.74</v>
      </c>
      <c r="E2524" s="107">
        <v>95.56</v>
      </c>
      <c r="F2524" s="107">
        <v>95.46</v>
      </c>
      <c r="G2524">
        <v>835558</v>
      </c>
      <c r="H2524" s="107"/>
      <c r="I2524" s="107"/>
      <c r="L2524" s="130">
        <v>45719</v>
      </c>
      <c r="M2524" s="107">
        <v>95.52</v>
      </c>
      <c r="N2524" s="107">
        <v>96.68</v>
      </c>
      <c r="O2524" s="107">
        <v>92.7</v>
      </c>
      <c r="P2524" s="107">
        <v>95.9</v>
      </c>
      <c r="Q2524" s="107">
        <v>95.52</v>
      </c>
      <c r="R2524">
        <v>8400268</v>
      </c>
    </row>
    <row r="2525" spans="1:18" x14ac:dyDescent="0.25">
      <c r="A2525" s="130">
        <v>45720</v>
      </c>
      <c r="B2525" s="107">
        <v>97.33</v>
      </c>
      <c r="C2525" s="107">
        <v>95.91</v>
      </c>
      <c r="D2525" s="107">
        <v>94</v>
      </c>
      <c r="E2525" s="107">
        <v>95</v>
      </c>
      <c r="F2525" s="107">
        <v>95.91</v>
      </c>
      <c r="G2525">
        <v>313242</v>
      </c>
      <c r="H2525" s="107"/>
      <c r="I2525" s="107"/>
      <c r="L2525" s="130">
        <v>45720</v>
      </c>
      <c r="M2525" s="107">
        <v>95.9</v>
      </c>
      <c r="N2525" s="107">
        <v>97.33</v>
      </c>
      <c r="O2525" s="107">
        <v>93.9</v>
      </c>
      <c r="P2525" s="107">
        <v>95</v>
      </c>
      <c r="Q2525" s="107">
        <v>95.9</v>
      </c>
      <c r="R2525">
        <v>9010467</v>
      </c>
    </row>
    <row r="2526" spans="1:18" x14ac:dyDescent="0.25">
      <c r="A2526" s="130">
        <v>45721</v>
      </c>
      <c r="B2526" s="107">
        <v>98.68</v>
      </c>
      <c r="C2526" s="107">
        <v>97.87</v>
      </c>
      <c r="D2526" s="107">
        <v>96.01</v>
      </c>
      <c r="E2526" s="107">
        <v>96.01</v>
      </c>
      <c r="F2526" s="107">
        <v>97.87</v>
      </c>
      <c r="G2526">
        <v>415328</v>
      </c>
      <c r="H2526" s="107"/>
      <c r="I2526" s="107"/>
      <c r="L2526" s="130">
        <v>45721</v>
      </c>
      <c r="M2526" s="107">
        <v>97.88</v>
      </c>
      <c r="N2526" s="107">
        <v>98.65</v>
      </c>
      <c r="O2526" s="107">
        <v>96.2</v>
      </c>
      <c r="P2526" s="107">
        <v>96.4</v>
      </c>
      <c r="Q2526" s="107">
        <v>97.88</v>
      </c>
      <c r="R2526">
        <v>9515677</v>
      </c>
    </row>
    <row r="2527" spans="1:18" x14ac:dyDescent="0.25">
      <c r="A2527" s="130">
        <v>45722</v>
      </c>
      <c r="B2527" s="107">
        <v>100.08</v>
      </c>
      <c r="C2527" s="107">
        <v>97.97</v>
      </c>
      <c r="D2527" s="107">
        <v>97.6</v>
      </c>
      <c r="E2527" s="107">
        <v>99.99</v>
      </c>
      <c r="F2527" s="107">
        <v>97.97</v>
      </c>
      <c r="G2527">
        <v>378536</v>
      </c>
      <c r="H2527" s="107"/>
      <c r="I2527" s="107"/>
      <c r="L2527" s="130">
        <v>45722</v>
      </c>
      <c r="M2527" s="107">
        <v>97.92</v>
      </c>
      <c r="N2527" s="107">
        <v>100.25</v>
      </c>
      <c r="O2527" s="107">
        <v>97.5</v>
      </c>
      <c r="P2527" s="107">
        <v>99.79</v>
      </c>
      <c r="Q2527" s="107">
        <v>97.92</v>
      </c>
      <c r="R2527">
        <v>10401338</v>
      </c>
    </row>
    <row r="2528" spans="1:18" x14ac:dyDescent="0.25">
      <c r="A2528" s="130">
        <v>45723</v>
      </c>
      <c r="B2528" s="107">
        <v>98.35</v>
      </c>
      <c r="C2528" s="107">
        <v>97.35</v>
      </c>
      <c r="D2528" s="107">
        <v>96.7</v>
      </c>
      <c r="E2528" s="107">
        <v>97.8</v>
      </c>
      <c r="F2528" s="107">
        <v>97.35</v>
      </c>
      <c r="G2528">
        <v>546813</v>
      </c>
      <c r="H2528" s="107"/>
      <c r="I2528" s="107"/>
      <c r="L2528" s="130">
        <v>45723</v>
      </c>
      <c r="M2528" s="107">
        <v>97.41</v>
      </c>
      <c r="N2528" s="107">
        <v>98.4</v>
      </c>
      <c r="O2528" s="107">
        <v>96.69</v>
      </c>
      <c r="P2528" s="107">
        <v>97.55</v>
      </c>
      <c r="Q2528" s="107">
        <v>97.41</v>
      </c>
      <c r="R2528">
        <v>7561031</v>
      </c>
    </row>
    <row r="2529" spans="1:18" x14ac:dyDescent="0.25">
      <c r="A2529" s="130">
        <v>45726</v>
      </c>
      <c r="B2529" s="107">
        <v>97.47</v>
      </c>
      <c r="C2529" s="107">
        <v>94.3</v>
      </c>
      <c r="D2529" s="107">
        <v>94.02</v>
      </c>
      <c r="E2529" s="107">
        <v>97.19</v>
      </c>
      <c r="F2529" s="107">
        <v>94.3</v>
      </c>
      <c r="G2529">
        <v>353907</v>
      </c>
      <c r="H2529" s="107"/>
      <c r="I2529" s="107"/>
      <c r="L2529" s="130">
        <v>45726</v>
      </c>
      <c r="M2529" s="107">
        <v>94.39</v>
      </c>
      <c r="N2529" s="107">
        <v>97.68</v>
      </c>
      <c r="O2529" s="107">
        <v>94</v>
      </c>
      <c r="P2529" s="107">
        <v>97.65</v>
      </c>
      <c r="Q2529" s="107">
        <v>94.39</v>
      </c>
      <c r="R2529">
        <v>6998486</v>
      </c>
    </row>
    <row r="2530" spans="1:18" x14ac:dyDescent="0.25">
      <c r="A2530" s="130">
        <v>45727</v>
      </c>
      <c r="B2530" s="107">
        <v>95.47</v>
      </c>
      <c r="C2530" s="107">
        <v>94.96</v>
      </c>
      <c r="D2530" s="107">
        <v>92.75</v>
      </c>
      <c r="E2530" s="107">
        <v>93.78</v>
      </c>
      <c r="F2530" s="107">
        <v>94.96</v>
      </c>
      <c r="G2530">
        <v>386133</v>
      </c>
      <c r="H2530" s="107"/>
      <c r="I2530" s="107"/>
      <c r="L2530" s="130">
        <v>45727</v>
      </c>
      <c r="M2530" s="107">
        <v>94.99</v>
      </c>
      <c r="N2530" s="107">
        <v>95.4</v>
      </c>
      <c r="O2530" s="107">
        <v>92.66</v>
      </c>
      <c r="P2530" s="107">
        <v>93.4</v>
      </c>
      <c r="Q2530" s="107">
        <v>94.99</v>
      </c>
      <c r="R2530">
        <v>6909115</v>
      </c>
    </row>
    <row r="2531" spans="1:18" x14ac:dyDescent="0.25">
      <c r="A2531" s="130">
        <v>45728</v>
      </c>
      <c r="B2531" s="107">
        <v>95.72</v>
      </c>
      <c r="C2531" s="107">
        <v>93.94</v>
      </c>
      <c r="D2531" s="107">
        <v>93.19</v>
      </c>
      <c r="E2531" s="107">
        <v>95.7</v>
      </c>
      <c r="F2531" s="107">
        <v>93.94</v>
      </c>
      <c r="G2531">
        <v>488061</v>
      </c>
      <c r="H2531" s="107"/>
      <c r="I2531" s="107"/>
      <c r="L2531" s="130">
        <v>45728</v>
      </c>
      <c r="M2531" s="107">
        <v>93.96</v>
      </c>
      <c r="N2531" s="107">
        <v>95.95</v>
      </c>
      <c r="O2531" s="107">
        <v>93.19</v>
      </c>
      <c r="P2531" s="107">
        <v>95.94</v>
      </c>
      <c r="Q2531" s="107">
        <v>93.96</v>
      </c>
      <c r="R2531">
        <v>6578981</v>
      </c>
    </row>
    <row r="2532" spans="1:18" x14ac:dyDescent="0.25">
      <c r="A2532" s="130">
        <v>45729</v>
      </c>
      <c r="B2532" s="107">
        <v>95.36</v>
      </c>
      <c r="C2532" s="107">
        <v>94.15</v>
      </c>
      <c r="D2532" s="107">
        <v>93.79</v>
      </c>
      <c r="E2532" s="107">
        <v>94.3</v>
      </c>
      <c r="F2532" s="107">
        <v>94.15</v>
      </c>
      <c r="G2532">
        <v>195085</v>
      </c>
      <c r="H2532" s="107"/>
      <c r="I2532" s="107"/>
      <c r="L2532" s="130">
        <v>45729</v>
      </c>
      <c r="M2532" s="107">
        <v>94.12</v>
      </c>
      <c r="N2532" s="107">
        <v>95.39</v>
      </c>
      <c r="O2532" s="107">
        <v>93.75</v>
      </c>
      <c r="P2532" s="107">
        <v>94.8</v>
      </c>
      <c r="Q2532" s="107">
        <v>94.12</v>
      </c>
      <c r="R2532">
        <v>5522916</v>
      </c>
    </row>
    <row r="2533" spans="1:18" x14ac:dyDescent="0.25">
      <c r="A2533" s="130">
        <v>45733</v>
      </c>
      <c r="B2533" s="107">
        <v>95.3</v>
      </c>
      <c r="C2533" s="107">
        <v>94.81</v>
      </c>
      <c r="D2533" s="107">
        <v>94.25</v>
      </c>
      <c r="E2533" s="107">
        <v>94.25</v>
      </c>
      <c r="F2533" s="107">
        <v>94.81</v>
      </c>
      <c r="G2533">
        <v>421890</v>
      </c>
      <c r="H2533" s="107"/>
      <c r="I2533" s="107"/>
      <c r="L2533" s="130">
        <v>45733</v>
      </c>
      <c r="M2533" s="107">
        <v>94.8</v>
      </c>
      <c r="N2533" s="107">
        <v>95.29</v>
      </c>
      <c r="O2533" s="107">
        <v>94.22</v>
      </c>
      <c r="P2533" s="107">
        <v>94.25</v>
      </c>
      <c r="Q2533" s="107">
        <v>94.8</v>
      </c>
      <c r="R2533">
        <v>4495889</v>
      </c>
    </row>
    <row r="2534" spans="1:18" x14ac:dyDescent="0.25">
      <c r="A2534" s="130">
        <v>45734</v>
      </c>
      <c r="B2534" s="107">
        <v>99</v>
      </c>
      <c r="C2534" s="107">
        <v>98.54</v>
      </c>
      <c r="D2534" s="107">
        <v>95.01</v>
      </c>
      <c r="E2534" s="107">
        <v>95.11</v>
      </c>
      <c r="F2534" s="107">
        <v>98.54</v>
      </c>
      <c r="G2534">
        <v>706342</v>
      </c>
      <c r="H2534" s="107"/>
      <c r="I2534" s="107"/>
      <c r="L2534" s="130">
        <v>45734</v>
      </c>
      <c r="M2534" s="107">
        <v>98.58</v>
      </c>
      <c r="N2534" s="107">
        <v>98.99</v>
      </c>
      <c r="O2534" s="107">
        <v>95</v>
      </c>
      <c r="P2534" s="107">
        <v>95.39</v>
      </c>
      <c r="Q2534" s="107">
        <v>98.58</v>
      </c>
      <c r="R2534">
        <v>9944352</v>
      </c>
    </row>
    <row r="2535" spans="1:18" x14ac:dyDescent="0.25">
      <c r="A2535" s="130">
        <v>45735</v>
      </c>
      <c r="B2535" s="107">
        <v>103.95</v>
      </c>
      <c r="C2535" s="107">
        <v>103.19</v>
      </c>
      <c r="D2535" s="107">
        <v>98.73</v>
      </c>
      <c r="E2535" s="107">
        <v>99</v>
      </c>
      <c r="F2535" s="107">
        <v>103.19</v>
      </c>
      <c r="G2535">
        <v>564608</v>
      </c>
      <c r="H2535" s="107"/>
      <c r="I2535" s="107"/>
      <c r="L2535" s="130">
        <v>45735</v>
      </c>
      <c r="M2535" s="107">
        <v>103.21</v>
      </c>
      <c r="N2535" s="107">
        <v>103.99</v>
      </c>
      <c r="O2535" s="107">
        <v>98.7</v>
      </c>
      <c r="P2535" s="107">
        <v>99</v>
      </c>
      <c r="Q2535" s="107">
        <v>103.21</v>
      </c>
      <c r="R2535">
        <v>14730072</v>
      </c>
    </row>
    <row r="2536" spans="1:18" x14ac:dyDescent="0.25">
      <c r="A2536" s="130">
        <v>45736</v>
      </c>
      <c r="B2536" s="107">
        <v>104.42</v>
      </c>
      <c r="C2536" s="107">
        <v>102.44</v>
      </c>
      <c r="D2536" s="107">
        <v>101.8</v>
      </c>
      <c r="E2536" s="107">
        <v>104</v>
      </c>
      <c r="F2536" s="107">
        <v>102.44</v>
      </c>
      <c r="G2536">
        <v>308050</v>
      </c>
      <c r="H2536" s="107"/>
      <c r="I2536" s="107"/>
      <c r="L2536" s="130">
        <v>45736</v>
      </c>
      <c r="M2536" s="107">
        <v>102.4</v>
      </c>
      <c r="N2536" s="107">
        <v>104.45</v>
      </c>
      <c r="O2536" s="107">
        <v>101.8</v>
      </c>
      <c r="P2536" s="107">
        <v>103.93</v>
      </c>
      <c r="Q2536" s="107">
        <v>102.4</v>
      </c>
      <c r="R2536">
        <v>6730020</v>
      </c>
    </row>
    <row r="2537" spans="1:18" x14ac:dyDescent="0.25">
      <c r="A2537" s="130">
        <v>45737</v>
      </c>
      <c r="B2537" s="107">
        <v>106.1</v>
      </c>
      <c r="C2537" s="107">
        <v>105.83</v>
      </c>
      <c r="D2537" s="107">
        <v>101.97</v>
      </c>
      <c r="E2537" s="107">
        <v>102.76</v>
      </c>
      <c r="F2537" s="107">
        <v>105.83</v>
      </c>
      <c r="G2537">
        <v>563420</v>
      </c>
      <c r="H2537" s="107"/>
      <c r="I2537" s="107"/>
      <c r="L2537" s="130">
        <v>45737</v>
      </c>
      <c r="M2537" s="107">
        <v>105.84</v>
      </c>
      <c r="N2537" s="107">
        <v>106.1</v>
      </c>
      <c r="O2537" s="107">
        <v>102.03</v>
      </c>
      <c r="P2537" s="107">
        <v>102.98</v>
      </c>
      <c r="Q2537" s="107">
        <v>105.84</v>
      </c>
      <c r="R2537">
        <v>9871684</v>
      </c>
    </row>
    <row r="2538" spans="1:18" x14ac:dyDescent="0.25">
      <c r="A2538" s="130">
        <v>45740</v>
      </c>
      <c r="B2538" s="107">
        <v>108.84</v>
      </c>
      <c r="C2538" s="107">
        <v>107.6</v>
      </c>
      <c r="D2538" s="107">
        <v>105.99</v>
      </c>
      <c r="E2538" s="107">
        <v>106.73</v>
      </c>
      <c r="F2538" s="107">
        <v>107.6</v>
      </c>
      <c r="G2538">
        <v>502272</v>
      </c>
      <c r="H2538" s="107"/>
      <c r="I2538" s="107"/>
      <c r="L2538" s="130">
        <v>45740</v>
      </c>
      <c r="M2538" s="107">
        <v>107.64</v>
      </c>
      <c r="N2538" s="107">
        <v>108.9</v>
      </c>
      <c r="O2538" s="107">
        <v>106.03</v>
      </c>
      <c r="P2538" s="107">
        <v>106.4</v>
      </c>
      <c r="Q2538" s="107">
        <v>107.64</v>
      </c>
      <c r="R2538">
        <v>9980825</v>
      </c>
    </row>
    <row r="2539" spans="1:18" x14ac:dyDescent="0.25">
      <c r="A2539" s="130">
        <v>45741</v>
      </c>
      <c r="B2539" s="107">
        <v>109.06</v>
      </c>
      <c r="C2539" s="107">
        <v>105.79</v>
      </c>
      <c r="D2539" s="107">
        <v>104.87</v>
      </c>
      <c r="E2539" s="107">
        <v>108.52</v>
      </c>
      <c r="F2539" s="107">
        <v>105.79</v>
      </c>
      <c r="G2539">
        <v>205750</v>
      </c>
      <c r="H2539" s="107"/>
      <c r="I2539" s="107"/>
      <c r="L2539" s="130">
        <v>45741</v>
      </c>
      <c r="M2539" s="107">
        <v>105.96</v>
      </c>
      <c r="N2539" s="107">
        <v>109.19</v>
      </c>
      <c r="O2539" s="107">
        <v>104.81</v>
      </c>
      <c r="P2539" s="107">
        <v>109</v>
      </c>
      <c r="Q2539" s="107">
        <v>105.96</v>
      </c>
      <c r="R2539">
        <v>8193377</v>
      </c>
    </row>
    <row r="2540" spans="1:18" x14ac:dyDescent="0.25">
      <c r="A2540" s="130">
        <v>45742</v>
      </c>
      <c r="B2540" s="107">
        <v>107.39</v>
      </c>
      <c r="C2540" s="107">
        <v>105.39</v>
      </c>
      <c r="D2540" s="107">
        <v>105.1</v>
      </c>
      <c r="E2540" s="107">
        <v>106.32</v>
      </c>
      <c r="F2540" s="107">
        <v>105.39</v>
      </c>
      <c r="G2540">
        <v>234348</v>
      </c>
      <c r="H2540" s="107"/>
      <c r="I2540" s="107"/>
      <c r="L2540" s="130">
        <v>45742</v>
      </c>
      <c r="M2540" s="107">
        <v>105.41</v>
      </c>
      <c r="N2540" s="107">
        <v>107.41</v>
      </c>
      <c r="O2540" s="107">
        <v>105</v>
      </c>
      <c r="P2540" s="107">
        <v>105.92</v>
      </c>
      <c r="Q2540" s="107">
        <v>105.41</v>
      </c>
      <c r="R2540">
        <v>7981147</v>
      </c>
    </row>
    <row r="2541" spans="1:18" x14ac:dyDescent="0.25">
      <c r="A2541" s="130">
        <v>45743</v>
      </c>
      <c r="B2541" s="107">
        <v>108.5</v>
      </c>
      <c r="C2541" s="107">
        <v>107.81</v>
      </c>
      <c r="D2541" s="107">
        <v>104.05</v>
      </c>
      <c r="E2541" s="107">
        <v>104.79</v>
      </c>
      <c r="F2541" s="107">
        <v>107.81</v>
      </c>
      <c r="G2541">
        <v>423883</v>
      </c>
      <c r="H2541" s="107"/>
      <c r="I2541" s="107"/>
      <c r="L2541" s="130">
        <v>45743</v>
      </c>
      <c r="M2541" s="107">
        <v>107.8</v>
      </c>
      <c r="N2541" s="107">
        <v>108.63</v>
      </c>
      <c r="O2541" s="107">
        <v>104.07</v>
      </c>
      <c r="P2541" s="107">
        <v>104.3</v>
      </c>
      <c r="Q2541" s="107">
        <v>107.8</v>
      </c>
      <c r="R2541">
        <v>13735931</v>
      </c>
    </row>
    <row r="2542" spans="1:18" x14ac:dyDescent="0.25">
      <c r="A2542" s="130">
        <v>45744</v>
      </c>
      <c r="B2542" s="107">
        <v>109.14</v>
      </c>
      <c r="C2542" s="107">
        <v>107.1</v>
      </c>
      <c r="D2542" s="107">
        <v>106.67</v>
      </c>
      <c r="E2542" s="107">
        <v>108.16</v>
      </c>
      <c r="F2542" s="107">
        <v>107.1</v>
      </c>
      <c r="G2542">
        <v>488705</v>
      </c>
      <c r="H2542" s="107"/>
      <c r="I2542" s="107"/>
      <c r="L2542" s="130">
        <v>45744</v>
      </c>
      <c r="M2542" s="107">
        <v>107.12</v>
      </c>
      <c r="N2542" s="107">
        <v>109.1</v>
      </c>
      <c r="O2542" s="107">
        <v>106.75</v>
      </c>
      <c r="P2542" s="107">
        <v>107.8</v>
      </c>
      <c r="Q2542" s="107">
        <v>107.12</v>
      </c>
      <c r="R2542">
        <v>9918716</v>
      </c>
    </row>
    <row r="2543" spans="1:18" x14ac:dyDescent="0.25">
      <c r="A2543" s="130">
        <v>45748</v>
      </c>
      <c r="B2543" s="107">
        <v>111.45</v>
      </c>
      <c r="C2543" s="107">
        <v>110.3</v>
      </c>
      <c r="D2543" s="107">
        <v>106.35</v>
      </c>
      <c r="E2543" s="107">
        <v>106.95</v>
      </c>
      <c r="F2543" s="107">
        <v>110.3</v>
      </c>
      <c r="G2543">
        <v>465630</v>
      </c>
      <c r="H2543" s="107"/>
      <c r="I2543" s="107"/>
      <c r="L2543" s="130">
        <v>45748</v>
      </c>
      <c r="M2543" s="107">
        <v>110.29</v>
      </c>
      <c r="N2543" s="107">
        <v>111.5</v>
      </c>
      <c r="O2543" s="107">
        <v>106.26</v>
      </c>
      <c r="P2543" s="107">
        <v>106.52</v>
      </c>
      <c r="Q2543" s="107">
        <v>110.29</v>
      </c>
      <c r="R2543">
        <v>12089356</v>
      </c>
    </row>
    <row r="2544" spans="1:18" x14ac:dyDescent="0.25">
      <c r="A2544" s="130">
        <v>45749</v>
      </c>
      <c r="B2544" s="107">
        <v>112.05</v>
      </c>
      <c r="C2544" s="107">
        <v>111.5</v>
      </c>
      <c r="D2544" s="107">
        <v>108.05</v>
      </c>
      <c r="E2544" s="107">
        <v>111.05</v>
      </c>
      <c r="F2544" s="107">
        <v>111.5</v>
      </c>
      <c r="G2544">
        <v>692744</v>
      </c>
      <c r="H2544" s="107"/>
      <c r="I2544" s="107"/>
      <c r="L2544" s="130">
        <v>45749</v>
      </c>
      <c r="M2544" s="107">
        <v>111.55</v>
      </c>
      <c r="N2544" s="107">
        <v>112.1</v>
      </c>
      <c r="O2544" s="107">
        <v>108.05</v>
      </c>
      <c r="P2544" s="107">
        <v>111.05</v>
      </c>
      <c r="Q2544" s="107">
        <v>111.55</v>
      </c>
      <c r="R2544">
        <v>7907441</v>
      </c>
    </row>
    <row r="2545" spans="1:18" x14ac:dyDescent="0.25">
      <c r="A2545" s="130">
        <v>45750</v>
      </c>
      <c r="B2545" s="107">
        <v>118.2</v>
      </c>
      <c r="C2545" s="107">
        <v>114.85</v>
      </c>
      <c r="D2545" s="107">
        <v>109.45</v>
      </c>
      <c r="E2545" s="107">
        <v>110.4</v>
      </c>
      <c r="F2545" s="107">
        <v>114.85</v>
      </c>
      <c r="G2545">
        <v>1417024</v>
      </c>
      <c r="H2545" s="107"/>
      <c r="I2545" s="107"/>
      <c r="L2545" s="130">
        <v>45750</v>
      </c>
      <c r="M2545" s="107">
        <v>114.92</v>
      </c>
      <c r="N2545" s="107">
        <v>118.15</v>
      </c>
      <c r="O2545" s="107">
        <v>109.58</v>
      </c>
      <c r="P2545" s="107">
        <v>110.25</v>
      </c>
      <c r="Q2545" s="107">
        <v>114.92</v>
      </c>
      <c r="R2545">
        <v>27606403</v>
      </c>
    </row>
    <row r="2546" spans="1:18" x14ac:dyDescent="0.25">
      <c r="A2546" s="130">
        <v>45751</v>
      </c>
      <c r="B2546" s="107">
        <v>115.7</v>
      </c>
      <c r="C2546" s="107">
        <v>111.55</v>
      </c>
      <c r="D2546" s="107">
        <v>110.7</v>
      </c>
      <c r="E2546" s="107">
        <v>114.85</v>
      </c>
      <c r="F2546" s="107">
        <v>111.55</v>
      </c>
      <c r="G2546">
        <v>312003</v>
      </c>
      <c r="H2546" s="107"/>
      <c r="I2546" s="107"/>
      <c r="L2546" s="130">
        <v>45751</v>
      </c>
      <c r="M2546" s="107">
        <v>111.49</v>
      </c>
      <c r="N2546" s="107">
        <v>115.81</v>
      </c>
      <c r="O2546" s="107">
        <v>110.63</v>
      </c>
      <c r="P2546" s="107">
        <v>114.75</v>
      </c>
      <c r="Q2546" s="107">
        <v>111.49</v>
      </c>
      <c r="R2546">
        <v>15100808</v>
      </c>
    </row>
    <row r="2547" spans="1:18" x14ac:dyDescent="0.25">
      <c r="A2547" s="130">
        <v>45754</v>
      </c>
      <c r="B2547" s="107">
        <v>108.65</v>
      </c>
      <c r="C2547" s="107">
        <v>105.9</v>
      </c>
      <c r="D2547" s="107">
        <v>101.1</v>
      </c>
      <c r="E2547" s="107">
        <v>101.1</v>
      </c>
      <c r="F2547" s="107">
        <v>105.9</v>
      </c>
      <c r="G2547">
        <v>697333</v>
      </c>
      <c r="H2547" s="107"/>
      <c r="I2547" s="107"/>
      <c r="L2547" s="130">
        <v>45754</v>
      </c>
      <c r="M2547" s="107">
        <v>105.77</v>
      </c>
      <c r="N2547" s="107">
        <v>108.49</v>
      </c>
      <c r="O2547" s="107">
        <v>103</v>
      </c>
      <c r="P2547" s="107">
        <v>103.99</v>
      </c>
      <c r="Q2547" s="107">
        <v>105.77</v>
      </c>
      <c r="R2547">
        <v>10220616</v>
      </c>
    </row>
    <row r="2548" spans="1:18" x14ac:dyDescent="0.25">
      <c r="A2548" s="130">
        <v>45755</v>
      </c>
      <c r="B2548" s="107">
        <v>110</v>
      </c>
      <c r="C2548" s="107">
        <v>109.25</v>
      </c>
      <c r="D2548" s="107">
        <v>107.2</v>
      </c>
      <c r="E2548" s="107">
        <v>108.25</v>
      </c>
      <c r="F2548" s="107">
        <v>109.25</v>
      </c>
      <c r="G2548">
        <v>430324</v>
      </c>
      <c r="H2548" s="107"/>
      <c r="I2548" s="107"/>
      <c r="L2548" s="130">
        <v>45755</v>
      </c>
      <c r="M2548" s="107">
        <v>109.25</v>
      </c>
      <c r="N2548" s="107">
        <v>110</v>
      </c>
      <c r="O2548" s="107">
        <v>107.2</v>
      </c>
      <c r="P2548" s="107">
        <v>108.39</v>
      </c>
      <c r="Q2548" s="107">
        <v>109.25</v>
      </c>
      <c r="R2548">
        <v>7718332</v>
      </c>
    </row>
    <row r="2549" spans="1:18" x14ac:dyDescent="0.25">
      <c r="A2549" s="130">
        <v>45756</v>
      </c>
      <c r="B2549" s="107">
        <v>109.2</v>
      </c>
      <c r="C2549" s="107">
        <v>106.8</v>
      </c>
      <c r="D2549" s="107">
        <v>104.6</v>
      </c>
      <c r="E2549" s="107">
        <v>109</v>
      </c>
      <c r="F2549" s="107">
        <v>106.8</v>
      </c>
      <c r="G2549">
        <v>345909</v>
      </c>
      <c r="H2549" s="107"/>
      <c r="I2549" s="107"/>
      <c r="L2549" s="130">
        <v>45756</v>
      </c>
      <c r="M2549" s="107">
        <v>106.76</v>
      </c>
      <c r="N2549" s="107">
        <v>109.09</v>
      </c>
      <c r="O2549" s="107">
        <v>104.51</v>
      </c>
      <c r="P2549" s="107">
        <v>108.9</v>
      </c>
      <c r="Q2549" s="107">
        <v>106.76</v>
      </c>
      <c r="R2549">
        <v>9301804</v>
      </c>
    </row>
    <row r="2550" spans="1:18" x14ac:dyDescent="0.25">
      <c r="A2550" s="130">
        <v>45758</v>
      </c>
      <c r="B2550" s="107">
        <v>109.45</v>
      </c>
      <c r="C2550" s="107">
        <v>108.15</v>
      </c>
      <c r="D2550" s="107">
        <v>107.15</v>
      </c>
      <c r="E2550" s="107">
        <v>108.15</v>
      </c>
      <c r="F2550" s="107">
        <v>108.15</v>
      </c>
      <c r="G2550">
        <v>784772</v>
      </c>
      <c r="H2550" s="107"/>
      <c r="I2550" s="107"/>
      <c r="L2550" s="130">
        <v>45758</v>
      </c>
      <c r="M2550" s="107">
        <v>108.16</v>
      </c>
      <c r="N2550" s="107">
        <v>109.7</v>
      </c>
      <c r="O2550" s="107">
        <v>107.13</v>
      </c>
      <c r="P2550" s="107">
        <v>108.6</v>
      </c>
      <c r="Q2550" s="107">
        <v>108.16</v>
      </c>
      <c r="R2550">
        <v>4886516</v>
      </c>
    </row>
    <row r="2551" spans="1:18" x14ac:dyDescent="0.25">
      <c r="A2551" s="130">
        <v>45762</v>
      </c>
      <c r="B2551" s="107">
        <v>111.8</v>
      </c>
      <c r="C2551" s="107">
        <v>111.4</v>
      </c>
      <c r="D2551" s="107">
        <v>108.6</v>
      </c>
      <c r="E2551" s="107">
        <v>108.6</v>
      </c>
      <c r="F2551" s="107">
        <v>111.4</v>
      </c>
      <c r="G2551">
        <v>206589</v>
      </c>
      <c r="H2551" s="107"/>
      <c r="I2551" s="107"/>
      <c r="L2551" s="130">
        <v>45762</v>
      </c>
      <c r="M2551" s="107">
        <v>111.36</v>
      </c>
      <c r="N2551" s="107">
        <v>111.78</v>
      </c>
      <c r="O2551" s="107">
        <v>108.85</v>
      </c>
      <c r="P2551" s="107">
        <v>109.26</v>
      </c>
      <c r="Q2551" s="107">
        <v>111.36</v>
      </c>
      <c r="R2551">
        <v>5998656</v>
      </c>
    </row>
    <row r="2552" spans="1:18" x14ac:dyDescent="0.25">
      <c r="A2552" s="130">
        <v>45763</v>
      </c>
      <c r="B2552" s="107">
        <v>116.1</v>
      </c>
      <c r="C2552" s="107">
        <v>115.65</v>
      </c>
      <c r="D2552" s="107">
        <v>111.3</v>
      </c>
      <c r="E2552" s="107">
        <v>111.3</v>
      </c>
      <c r="F2552" s="107">
        <v>115.65</v>
      </c>
      <c r="G2552">
        <v>1511078</v>
      </c>
      <c r="H2552" s="107"/>
      <c r="I2552" s="107"/>
      <c r="L2552" s="130">
        <v>45763</v>
      </c>
      <c r="M2552" s="107">
        <v>115.48</v>
      </c>
      <c r="N2552" s="107">
        <v>116.3</v>
      </c>
      <c r="O2552" s="107">
        <v>111.53</v>
      </c>
      <c r="P2552" s="107">
        <v>112</v>
      </c>
      <c r="Q2552" s="107">
        <v>115.48</v>
      </c>
      <c r="R2552">
        <v>14837452</v>
      </c>
    </row>
    <row r="2553" spans="1:18" x14ac:dyDescent="0.25">
      <c r="A2553" s="130">
        <v>45764</v>
      </c>
      <c r="B2553" s="107">
        <v>117.8</v>
      </c>
      <c r="C2553" s="107">
        <v>117.15</v>
      </c>
      <c r="D2553" s="107">
        <v>114.7</v>
      </c>
      <c r="E2553" s="107">
        <v>115.7</v>
      </c>
      <c r="F2553" s="107">
        <v>117.15</v>
      </c>
      <c r="G2553">
        <v>902231</v>
      </c>
      <c r="H2553" s="107"/>
      <c r="I2553" s="107"/>
      <c r="L2553" s="130">
        <v>45764</v>
      </c>
      <c r="M2553" s="107">
        <v>117.1</v>
      </c>
      <c r="N2553" s="107">
        <v>117.8</v>
      </c>
      <c r="O2553" s="107">
        <v>114.8</v>
      </c>
      <c r="P2553" s="107">
        <v>116</v>
      </c>
      <c r="Q2553" s="107">
        <v>117.1</v>
      </c>
      <c r="R2553">
        <v>17071220</v>
      </c>
    </row>
    <row r="2554" spans="1:18" x14ac:dyDescent="0.25">
      <c r="A2554" s="130">
        <v>45768</v>
      </c>
      <c r="B2554" s="107">
        <v>121.55</v>
      </c>
      <c r="C2554" s="107">
        <v>119.8</v>
      </c>
      <c r="D2554" s="107">
        <v>117.15</v>
      </c>
      <c r="E2554" s="107">
        <v>117.45</v>
      </c>
      <c r="F2554" s="107">
        <v>119.8</v>
      </c>
      <c r="G2554">
        <v>1203210</v>
      </c>
      <c r="H2554" s="107"/>
      <c r="I2554" s="107"/>
      <c r="L2554" s="130">
        <v>45768</v>
      </c>
      <c r="M2554" s="107">
        <v>119.87</v>
      </c>
      <c r="N2554" s="107">
        <v>121.53</v>
      </c>
      <c r="O2554" s="107">
        <v>117.11</v>
      </c>
      <c r="P2554" s="107">
        <v>117.11</v>
      </c>
      <c r="Q2554" s="107">
        <v>119.87</v>
      </c>
      <c r="R2554">
        <v>14653740</v>
      </c>
    </row>
    <row r="2555" spans="1:18" x14ac:dyDescent="0.25">
      <c r="A2555" s="130">
        <v>45769</v>
      </c>
      <c r="B2555" s="107">
        <v>121.6</v>
      </c>
      <c r="C2555" s="107">
        <v>118.85</v>
      </c>
      <c r="D2555" s="107">
        <v>118.55</v>
      </c>
      <c r="E2555" s="107">
        <v>120.8</v>
      </c>
      <c r="F2555" s="107">
        <v>118.85</v>
      </c>
      <c r="G2555">
        <v>327917</v>
      </c>
      <c r="H2555" s="107"/>
      <c r="I2555" s="107"/>
      <c r="L2555" s="130">
        <v>45769</v>
      </c>
      <c r="M2555" s="107">
        <v>118.83</v>
      </c>
      <c r="N2555" s="107">
        <v>121.65</v>
      </c>
      <c r="O2555" s="107">
        <v>118.54</v>
      </c>
      <c r="P2555" s="107">
        <v>120.65</v>
      </c>
      <c r="Q2555" s="107">
        <v>118.83</v>
      </c>
      <c r="R2555">
        <v>9232904</v>
      </c>
    </row>
    <row r="2556" spans="1:18" x14ac:dyDescent="0.25">
      <c r="A2556" s="130">
        <v>45770</v>
      </c>
      <c r="B2556" s="107">
        <v>119.7</v>
      </c>
      <c r="C2556" s="107">
        <v>117.7</v>
      </c>
      <c r="D2556" s="107">
        <v>114.8</v>
      </c>
      <c r="E2556" s="107">
        <v>119</v>
      </c>
      <c r="F2556" s="107">
        <v>117.7</v>
      </c>
      <c r="G2556">
        <v>561684</v>
      </c>
      <c r="H2556" s="107"/>
      <c r="I2556" s="107"/>
      <c r="L2556" s="130">
        <v>45770</v>
      </c>
      <c r="M2556" s="107">
        <v>117.78</v>
      </c>
      <c r="N2556" s="107">
        <v>119.57</v>
      </c>
      <c r="O2556" s="107">
        <v>114.82</v>
      </c>
      <c r="P2556" s="107">
        <v>119.43</v>
      </c>
      <c r="Q2556" s="107">
        <v>117.78</v>
      </c>
      <c r="R2556">
        <v>10905130</v>
      </c>
    </row>
    <row r="2557" spans="1:18" x14ac:dyDescent="0.25">
      <c r="A2557" s="130">
        <v>45771</v>
      </c>
      <c r="B2557" s="107">
        <v>119.1</v>
      </c>
      <c r="C2557" s="107">
        <v>118.5</v>
      </c>
      <c r="D2557" s="107">
        <v>116.8</v>
      </c>
      <c r="E2557" s="107">
        <v>117.7</v>
      </c>
      <c r="F2557" s="107">
        <v>118.5</v>
      </c>
      <c r="G2557">
        <v>246373</v>
      </c>
      <c r="H2557" s="107"/>
      <c r="I2557" s="107"/>
      <c r="L2557" s="130">
        <v>45771</v>
      </c>
      <c r="M2557" s="107">
        <v>118.57</v>
      </c>
      <c r="N2557" s="107">
        <v>119.19</v>
      </c>
      <c r="O2557" s="107">
        <v>116.79</v>
      </c>
      <c r="P2557" s="107">
        <v>117.69</v>
      </c>
      <c r="Q2557" s="107">
        <v>118.57</v>
      </c>
      <c r="R2557">
        <v>5724055</v>
      </c>
    </row>
    <row r="2558" spans="1:18" x14ac:dyDescent="0.25">
      <c r="A2558" s="130">
        <v>45772</v>
      </c>
      <c r="B2558" s="107">
        <v>118.45</v>
      </c>
      <c r="C2558" s="107">
        <v>115.45</v>
      </c>
      <c r="D2558" s="107">
        <v>113.75</v>
      </c>
      <c r="E2558" s="107">
        <v>118.25</v>
      </c>
      <c r="F2558" s="107">
        <v>115.45</v>
      </c>
      <c r="G2558">
        <v>423829</v>
      </c>
      <c r="H2558" s="107"/>
      <c r="I2558" s="107"/>
      <c r="L2558" s="130">
        <v>45772</v>
      </c>
      <c r="M2558" s="107">
        <v>115.29</v>
      </c>
      <c r="N2558" s="107">
        <v>118.57</v>
      </c>
      <c r="O2558" s="107">
        <v>113.7</v>
      </c>
      <c r="P2558" s="107">
        <v>118.57</v>
      </c>
      <c r="Q2558" s="107">
        <v>115.29</v>
      </c>
      <c r="R2558">
        <v>10250155</v>
      </c>
    </row>
    <row r="2559" spans="1:18" x14ac:dyDescent="0.25">
      <c r="A2559" s="130">
        <v>45775</v>
      </c>
      <c r="B2559" s="107">
        <v>119.2</v>
      </c>
      <c r="C2559" s="107">
        <v>118.35</v>
      </c>
      <c r="D2559" s="107">
        <v>115.15</v>
      </c>
      <c r="E2559" s="107">
        <v>115.15</v>
      </c>
      <c r="F2559" s="107">
        <v>118.35</v>
      </c>
      <c r="G2559">
        <v>632331</v>
      </c>
      <c r="H2559" s="107"/>
      <c r="I2559" s="107"/>
      <c r="L2559" s="130">
        <v>45775</v>
      </c>
      <c r="M2559" s="107">
        <v>118.38</v>
      </c>
      <c r="N2559" s="107">
        <v>119.2</v>
      </c>
      <c r="O2559" s="107">
        <v>115.29</v>
      </c>
      <c r="P2559" s="107">
        <v>115.29</v>
      </c>
      <c r="Q2559" s="107">
        <v>118.38</v>
      </c>
      <c r="R2559">
        <v>7601791</v>
      </c>
    </row>
    <row r="2560" spans="1:18" x14ac:dyDescent="0.25">
      <c r="A2560" s="130">
        <v>45776</v>
      </c>
      <c r="B2560" s="107">
        <v>121.55</v>
      </c>
      <c r="C2560" s="107">
        <v>117.8</v>
      </c>
      <c r="D2560" s="107">
        <v>117.2</v>
      </c>
      <c r="E2560" s="107">
        <v>118.75</v>
      </c>
      <c r="F2560" s="107">
        <v>117.8</v>
      </c>
      <c r="G2560">
        <v>442514</v>
      </c>
      <c r="H2560" s="107"/>
      <c r="I2560" s="107"/>
      <c r="L2560" s="130">
        <v>45776</v>
      </c>
      <c r="M2560" s="107">
        <v>117.82</v>
      </c>
      <c r="N2560" s="107">
        <v>121.55</v>
      </c>
      <c r="O2560" s="107">
        <v>117.16</v>
      </c>
      <c r="P2560" s="107">
        <v>119.7</v>
      </c>
      <c r="Q2560" s="107">
        <v>117.82</v>
      </c>
      <c r="R2560">
        <v>10126876</v>
      </c>
    </row>
    <row r="2561" spans="1:18" x14ac:dyDescent="0.25">
      <c r="A2561" s="130">
        <v>45777</v>
      </c>
      <c r="B2561" s="107">
        <v>117.9</v>
      </c>
      <c r="C2561" s="107">
        <v>115.1</v>
      </c>
      <c r="D2561" s="107">
        <v>114.65</v>
      </c>
      <c r="E2561" s="107">
        <v>117.9</v>
      </c>
      <c r="F2561" s="107">
        <v>115.1</v>
      </c>
      <c r="G2561">
        <v>790149</v>
      </c>
      <c r="H2561" s="107"/>
      <c r="I2561" s="107"/>
      <c r="L2561" s="130">
        <v>45777</v>
      </c>
      <c r="M2561" s="107">
        <v>115.15</v>
      </c>
      <c r="N2561" s="107">
        <v>117.79</v>
      </c>
      <c r="O2561" s="107">
        <v>114.58</v>
      </c>
      <c r="P2561" s="107">
        <v>117.79</v>
      </c>
      <c r="Q2561" s="107">
        <v>115.15</v>
      </c>
      <c r="R2561">
        <v>6188498</v>
      </c>
    </row>
    <row r="2562" spans="1:18" x14ac:dyDescent="0.25">
      <c r="A2562" s="130">
        <v>45779</v>
      </c>
      <c r="B2562" s="107">
        <v>117.25</v>
      </c>
      <c r="C2562" s="107">
        <v>115.4</v>
      </c>
      <c r="D2562" s="107">
        <v>114.75</v>
      </c>
      <c r="E2562" s="107">
        <v>115.1</v>
      </c>
      <c r="F2562" s="107">
        <v>115.4</v>
      </c>
      <c r="G2562">
        <v>417843</v>
      </c>
      <c r="H2562" s="107"/>
      <c r="I2562" s="107"/>
      <c r="L2562" s="130">
        <v>45779</v>
      </c>
      <c r="M2562" s="107">
        <v>115.38</v>
      </c>
      <c r="N2562" s="107">
        <v>117.33</v>
      </c>
      <c r="O2562" s="107">
        <v>114.8</v>
      </c>
      <c r="P2562" s="107">
        <v>115.21</v>
      </c>
      <c r="Q2562" s="107">
        <v>115.38</v>
      </c>
      <c r="R2562">
        <v>5180525</v>
      </c>
    </row>
    <row r="2563" spans="1:18" x14ac:dyDescent="0.25">
      <c r="A2563" s="130">
        <v>45782</v>
      </c>
      <c r="B2563" s="107">
        <v>116.8</v>
      </c>
      <c r="C2563" s="107">
        <v>116.35</v>
      </c>
      <c r="D2563" s="107">
        <v>114.65</v>
      </c>
      <c r="E2563" s="107">
        <v>115.85</v>
      </c>
      <c r="F2563" s="107">
        <v>116.35</v>
      </c>
      <c r="G2563">
        <v>486604</v>
      </c>
      <c r="H2563" s="107"/>
      <c r="I2563" s="107"/>
      <c r="L2563" s="130">
        <v>45782</v>
      </c>
      <c r="M2563" s="107">
        <v>116.36</v>
      </c>
      <c r="N2563" s="107">
        <v>116.72</v>
      </c>
      <c r="O2563" s="107">
        <v>114.71</v>
      </c>
      <c r="P2563" s="107">
        <v>115.9</v>
      </c>
      <c r="Q2563" s="107">
        <v>116.36</v>
      </c>
      <c r="R2563">
        <v>4171126</v>
      </c>
    </row>
    <row r="2564" spans="1:18" x14ac:dyDescent="0.25">
      <c r="A2564" s="130">
        <v>45783</v>
      </c>
      <c r="B2564" s="107">
        <v>116.85</v>
      </c>
      <c r="C2564" s="107">
        <v>109.1</v>
      </c>
      <c r="D2564" s="107">
        <v>108.6</v>
      </c>
      <c r="E2564" s="107">
        <v>116.55</v>
      </c>
      <c r="F2564" s="107">
        <v>109.1</v>
      </c>
      <c r="G2564">
        <v>648866</v>
      </c>
      <c r="H2564" s="107"/>
      <c r="I2564" s="107"/>
      <c r="L2564" s="130">
        <v>45783</v>
      </c>
      <c r="M2564" s="107">
        <v>109.07</v>
      </c>
      <c r="N2564" s="107">
        <v>116.8</v>
      </c>
      <c r="O2564" s="107">
        <v>108.6</v>
      </c>
      <c r="P2564" s="107">
        <v>116.8</v>
      </c>
      <c r="Q2564" s="107">
        <v>109.07</v>
      </c>
      <c r="R2564">
        <v>9655744</v>
      </c>
    </row>
    <row r="2565" spans="1:18" x14ac:dyDescent="0.25">
      <c r="A2565" s="130">
        <v>45784</v>
      </c>
      <c r="B2565" s="107">
        <v>110.75</v>
      </c>
      <c r="C2565" s="107">
        <v>109.25</v>
      </c>
      <c r="D2565" s="107">
        <v>107.05</v>
      </c>
      <c r="E2565" s="107">
        <v>107.05</v>
      </c>
      <c r="F2565" s="107">
        <v>109.25</v>
      </c>
      <c r="G2565">
        <v>680913</v>
      </c>
      <c r="H2565" s="107"/>
      <c r="I2565" s="107"/>
      <c r="L2565" s="130">
        <v>45784</v>
      </c>
      <c r="M2565" s="107">
        <v>109.19</v>
      </c>
      <c r="N2565" s="107">
        <v>110.8</v>
      </c>
      <c r="O2565" s="107">
        <v>107.25</v>
      </c>
      <c r="P2565" s="107">
        <v>107.41</v>
      </c>
      <c r="Q2565" s="107">
        <v>109.19</v>
      </c>
      <c r="R2565">
        <v>10750031</v>
      </c>
    </row>
    <row r="2566" spans="1:18" x14ac:dyDescent="0.25">
      <c r="A2566" s="130">
        <v>45785</v>
      </c>
      <c r="B2566" s="107">
        <v>112.2</v>
      </c>
      <c r="C2566" s="107">
        <v>107.75</v>
      </c>
      <c r="D2566" s="107">
        <v>106.75</v>
      </c>
      <c r="E2566" s="107">
        <v>109.9</v>
      </c>
      <c r="F2566" s="107">
        <v>107.75</v>
      </c>
      <c r="G2566">
        <v>752159</v>
      </c>
      <c r="H2566" s="107"/>
      <c r="I2566" s="107"/>
      <c r="L2566" s="130">
        <v>45785</v>
      </c>
      <c r="M2566" s="107">
        <v>107.86</v>
      </c>
      <c r="N2566" s="107">
        <v>112.25</v>
      </c>
      <c r="O2566" s="107">
        <v>105.5</v>
      </c>
      <c r="P2566" s="107">
        <v>110.19</v>
      </c>
      <c r="Q2566" s="107">
        <v>107.86</v>
      </c>
      <c r="R2566">
        <v>9753681</v>
      </c>
    </row>
    <row r="2567" spans="1:18" x14ac:dyDescent="0.25">
      <c r="A2567" s="130">
        <v>45786</v>
      </c>
      <c r="B2567" s="107">
        <v>111.2</v>
      </c>
      <c r="C2567" s="107">
        <v>110.2</v>
      </c>
      <c r="D2567" s="107">
        <v>104.05</v>
      </c>
      <c r="E2567" s="107">
        <v>104.05</v>
      </c>
      <c r="F2567" s="107">
        <v>110.2</v>
      </c>
      <c r="G2567">
        <v>372123</v>
      </c>
      <c r="H2567" s="107"/>
      <c r="I2567" s="107"/>
      <c r="L2567" s="130">
        <v>45786</v>
      </c>
      <c r="M2567" s="107">
        <v>110.22</v>
      </c>
      <c r="N2567" s="107">
        <v>111.22</v>
      </c>
      <c r="O2567" s="107">
        <v>104.2</v>
      </c>
      <c r="P2567" s="107">
        <v>104.2</v>
      </c>
      <c r="Q2567" s="107">
        <v>110.22</v>
      </c>
      <c r="R2567">
        <v>9757040</v>
      </c>
    </row>
    <row r="2568" spans="1:18" x14ac:dyDescent="0.25">
      <c r="A2568" s="130">
        <v>45789</v>
      </c>
      <c r="B2568" s="107">
        <v>115.25</v>
      </c>
      <c r="C2568" s="107">
        <v>110.05</v>
      </c>
      <c r="D2568" s="107">
        <v>108.9</v>
      </c>
      <c r="E2568" s="107">
        <v>115.25</v>
      </c>
      <c r="F2568" s="107">
        <v>110.05</v>
      </c>
      <c r="G2568">
        <v>1914052</v>
      </c>
      <c r="H2568" s="107"/>
      <c r="I2568" s="107"/>
      <c r="L2568" s="130">
        <v>45789</v>
      </c>
      <c r="M2568" s="107">
        <v>110.09</v>
      </c>
      <c r="N2568" s="107">
        <v>115.8</v>
      </c>
      <c r="O2568" s="107">
        <v>108.82</v>
      </c>
      <c r="P2568" s="107">
        <v>115.03</v>
      </c>
      <c r="Q2568" s="107">
        <v>110.09</v>
      </c>
      <c r="R2568">
        <v>35316475</v>
      </c>
    </row>
    <row r="2569" spans="1:18" x14ac:dyDescent="0.25">
      <c r="A2569" s="130">
        <v>45790</v>
      </c>
      <c r="B2569" s="107">
        <v>115.15</v>
      </c>
      <c r="C2569" s="107">
        <v>112.55</v>
      </c>
      <c r="D2569" s="107">
        <v>110.5</v>
      </c>
      <c r="E2569" s="107">
        <v>110.9</v>
      </c>
      <c r="F2569" s="107">
        <v>112.55</v>
      </c>
      <c r="G2569">
        <v>1253989</v>
      </c>
      <c r="H2569" s="107"/>
      <c r="I2569" s="107"/>
      <c r="L2569" s="130">
        <v>45790</v>
      </c>
      <c r="M2569" s="107">
        <v>112.56</v>
      </c>
      <c r="N2569" s="107">
        <v>115.14</v>
      </c>
      <c r="O2569" s="107">
        <v>110.5</v>
      </c>
      <c r="P2569" s="107">
        <v>110.5</v>
      </c>
      <c r="Q2569" s="107">
        <v>112.56</v>
      </c>
      <c r="R2569">
        <v>24284878</v>
      </c>
    </row>
    <row r="2570" spans="1:18" x14ac:dyDescent="0.25">
      <c r="A2570" s="130">
        <v>45791</v>
      </c>
      <c r="B2570" s="107">
        <v>114.9</v>
      </c>
      <c r="C2570" s="107">
        <v>113.85</v>
      </c>
      <c r="D2570" s="107">
        <v>112.8</v>
      </c>
      <c r="E2570" s="107">
        <v>113.35</v>
      </c>
      <c r="F2570" s="107">
        <v>113.85</v>
      </c>
      <c r="G2570">
        <v>1245915</v>
      </c>
      <c r="H2570" s="107"/>
      <c r="I2570" s="107"/>
      <c r="L2570" s="130">
        <v>45791</v>
      </c>
      <c r="M2570" s="107">
        <v>113.86</v>
      </c>
      <c r="N2570" s="107">
        <v>114.9</v>
      </c>
      <c r="O2570" s="107">
        <v>112.72</v>
      </c>
      <c r="P2570" s="107">
        <v>113.13</v>
      </c>
      <c r="Q2570" s="107">
        <v>113.86</v>
      </c>
      <c r="R2570">
        <v>10275111</v>
      </c>
    </row>
    <row r="2571" spans="1:18" x14ac:dyDescent="0.25">
      <c r="A2571" s="130">
        <v>45792</v>
      </c>
      <c r="B2571" s="107">
        <v>114.75</v>
      </c>
      <c r="C2571" s="107">
        <v>114.05</v>
      </c>
      <c r="D2571" s="107">
        <v>113.15</v>
      </c>
      <c r="E2571" s="107">
        <v>114.75</v>
      </c>
      <c r="F2571" s="107">
        <v>114.05</v>
      </c>
      <c r="G2571">
        <v>983256</v>
      </c>
      <c r="H2571" s="107"/>
      <c r="I2571" s="107"/>
      <c r="L2571" s="130">
        <v>45792</v>
      </c>
      <c r="M2571" s="107">
        <v>114.05</v>
      </c>
      <c r="N2571" s="107">
        <v>114.6</v>
      </c>
      <c r="O2571" s="107">
        <v>113.1</v>
      </c>
      <c r="P2571" s="107">
        <v>114.34</v>
      </c>
      <c r="Q2571" s="107">
        <v>114.05</v>
      </c>
      <c r="R2571">
        <v>6667061</v>
      </c>
    </row>
    <row r="2572" spans="1:18" x14ac:dyDescent="0.25">
      <c r="A2572" s="130">
        <v>45793</v>
      </c>
      <c r="B2572" s="107">
        <v>115.4</v>
      </c>
      <c r="C2572" s="107">
        <v>114.3</v>
      </c>
      <c r="D2572" s="107">
        <v>114.1</v>
      </c>
      <c r="E2572" s="107">
        <v>114.85</v>
      </c>
      <c r="F2572" s="107">
        <v>114.3</v>
      </c>
      <c r="G2572">
        <v>419589</v>
      </c>
      <c r="H2572" s="107"/>
      <c r="I2572" s="107"/>
      <c r="L2572" s="130">
        <v>45793</v>
      </c>
      <c r="M2572" s="107">
        <v>114.33</v>
      </c>
      <c r="N2572" s="107">
        <v>115.35</v>
      </c>
      <c r="O2572" s="107">
        <v>114.1</v>
      </c>
      <c r="P2572" s="107">
        <v>114.7</v>
      </c>
      <c r="Q2572" s="107">
        <v>114.33</v>
      </c>
      <c r="R2572">
        <v>8365646</v>
      </c>
    </row>
    <row r="2573" spans="1:18" x14ac:dyDescent="0.25">
      <c r="A2573" s="130">
        <v>45796</v>
      </c>
      <c r="B2573" s="107">
        <v>119.75</v>
      </c>
      <c r="C2573" s="107">
        <v>117.95</v>
      </c>
      <c r="D2573" s="107">
        <v>114.75</v>
      </c>
      <c r="E2573" s="107">
        <v>114.95</v>
      </c>
      <c r="F2573" s="107">
        <v>117.95</v>
      </c>
      <c r="G2573">
        <v>756413</v>
      </c>
      <c r="H2573" s="107"/>
      <c r="I2573" s="107"/>
      <c r="L2573" s="130">
        <v>45796</v>
      </c>
      <c r="M2573" s="107">
        <v>117.94</v>
      </c>
      <c r="N2573" s="107">
        <v>119.8</v>
      </c>
      <c r="O2573" s="107">
        <v>114.57</v>
      </c>
      <c r="P2573" s="107">
        <v>115.09</v>
      </c>
      <c r="Q2573" s="107">
        <v>117.94</v>
      </c>
      <c r="R2573">
        <v>22160038</v>
      </c>
    </row>
    <row r="2574" spans="1:18" x14ac:dyDescent="0.25">
      <c r="A2574" s="130">
        <v>45797</v>
      </c>
      <c r="B2574" s="107">
        <v>119.2</v>
      </c>
      <c r="C2574" s="107">
        <v>116.2</v>
      </c>
      <c r="D2574" s="107">
        <v>115.75</v>
      </c>
      <c r="E2574" s="107">
        <v>118.75</v>
      </c>
      <c r="F2574" s="107">
        <v>116.2</v>
      </c>
      <c r="G2574">
        <v>808198</v>
      </c>
      <c r="H2574" s="107"/>
      <c r="I2574" s="107"/>
      <c r="L2574" s="130">
        <v>45797</v>
      </c>
      <c r="M2574" s="107">
        <v>116.17</v>
      </c>
      <c r="N2574" s="107">
        <v>119.29</v>
      </c>
      <c r="O2574" s="107">
        <v>115.75</v>
      </c>
      <c r="P2574" s="107">
        <v>118.7</v>
      </c>
      <c r="Q2574" s="107">
        <v>116.17</v>
      </c>
      <c r="R2574">
        <v>10161179</v>
      </c>
    </row>
    <row r="2575" spans="1:18" x14ac:dyDescent="0.25">
      <c r="A2575" s="130">
        <v>45798</v>
      </c>
      <c r="B2575" s="107">
        <v>118.25</v>
      </c>
      <c r="C2575" s="107">
        <v>117.9</v>
      </c>
      <c r="D2575" s="107">
        <v>115.2</v>
      </c>
      <c r="E2575" s="107">
        <v>116.25</v>
      </c>
      <c r="F2575" s="107">
        <v>117.9</v>
      </c>
      <c r="G2575">
        <v>521585</v>
      </c>
      <c r="H2575" s="107"/>
      <c r="I2575" s="107"/>
      <c r="L2575" s="130">
        <v>45798</v>
      </c>
      <c r="M2575" s="107">
        <v>117.96</v>
      </c>
      <c r="N2575" s="107">
        <v>118.3</v>
      </c>
      <c r="O2575" s="107">
        <v>115.11</v>
      </c>
      <c r="P2575" s="107">
        <v>116</v>
      </c>
      <c r="Q2575" s="107">
        <v>117.96</v>
      </c>
      <c r="R2575">
        <v>9954905</v>
      </c>
    </row>
    <row r="2576" spans="1:18" x14ac:dyDescent="0.25">
      <c r="A2576" s="130">
        <v>45799</v>
      </c>
      <c r="B2576" s="107">
        <v>118.5</v>
      </c>
      <c r="C2576" s="107">
        <v>116.55</v>
      </c>
      <c r="D2576" s="107">
        <v>115.2</v>
      </c>
      <c r="E2576" s="107">
        <v>117.05</v>
      </c>
      <c r="F2576" s="107">
        <v>116.55</v>
      </c>
      <c r="G2576">
        <v>380489</v>
      </c>
      <c r="H2576" s="107"/>
      <c r="I2576" s="107"/>
      <c r="L2576" s="130">
        <v>45799</v>
      </c>
      <c r="M2576" s="107">
        <v>116.45</v>
      </c>
      <c r="N2576" s="107">
        <v>118.55</v>
      </c>
      <c r="O2576" s="107">
        <v>115.2</v>
      </c>
      <c r="P2576" s="107">
        <v>117.2</v>
      </c>
      <c r="Q2576" s="107">
        <v>116.45</v>
      </c>
      <c r="R2576">
        <v>8075716</v>
      </c>
    </row>
    <row r="2577" spans="1:18" x14ac:dyDescent="0.25">
      <c r="A2577" s="130">
        <v>45800</v>
      </c>
      <c r="B2577" s="107">
        <v>117.7</v>
      </c>
      <c r="C2577" s="107">
        <v>117.05</v>
      </c>
      <c r="D2577" s="107">
        <v>115.85</v>
      </c>
      <c r="E2577" s="107">
        <v>116.75</v>
      </c>
      <c r="F2577" s="107">
        <v>117.05</v>
      </c>
      <c r="G2577">
        <v>371035</v>
      </c>
      <c r="H2577" s="107"/>
      <c r="I2577" s="107"/>
      <c r="L2577" s="130">
        <v>45800</v>
      </c>
      <c r="M2577" s="107">
        <v>117.06</v>
      </c>
      <c r="N2577" s="107">
        <v>117.74</v>
      </c>
      <c r="O2577" s="107">
        <v>115.85</v>
      </c>
      <c r="P2577" s="107">
        <v>117</v>
      </c>
      <c r="Q2577" s="107">
        <v>117.06</v>
      </c>
      <c r="R2577">
        <v>9294500</v>
      </c>
    </row>
    <row r="2578" spans="1:18" x14ac:dyDescent="0.25">
      <c r="A2578" s="130">
        <v>45803</v>
      </c>
      <c r="B2578" s="107">
        <v>118.35</v>
      </c>
      <c r="C2578" s="107">
        <v>117.2</v>
      </c>
      <c r="D2578" s="107">
        <v>116.6</v>
      </c>
      <c r="E2578" s="107">
        <v>117.45</v>
      </c>
      <c r="F2578" s="107">
        <v>117.2</v>
      </c>
      <c r="G2578">
        <v>165781</v>
      </c>
      <c r="H2578" s="107"/>
      <c r="I2578" s="107"/>
      <c r="L2578" s="130">
        <v>45803</v>
      </c>
      <c r="M2578" s="107">
        <v>117.31</v>
      </c>
      <c r="N2578" s="107">
        <v>118.4</v>
      </c>
      <c r="O2578" s="107">
        <v>116.56</v>
      </c>
      <c r="P2578" s="107">
        <v>117.4</v>
      </c>
      <c r="Q2578" s="107">
        <v>117.31</v>
      </c>
      <c r="R2578">
        <v>5189915</v>
      </c>
    </row>
    <row r="2579" spans="1:18" x14ac:dyDescent="0.25">
      <c r="A2579" s="130">
        <v>45804</v>
      </c>
      <c r="B2579" s="107">
        <v>117.95</v>
      </c>
      <c r="C2579" s="107">
        <v>116.7</v>
      </c>
      <c r="D2579" s="107">
        <v>116.15</v>
      </c>
      <c r="E2579" s="107">
        <v>117.95</v>
      </c>
      <c r="F2579" s="107">
        <v>116.7</v>
      </c>
      <c r="G2579">
        <v>169983</v>
      </c>
      <c r="H2579" s="107"/>
      <c r="I2579" s="107"/>
      <c r="L2579" s="130">
        <v>45804</v>
      </c>
      <c r="M2579" s="107">
        <v>116.72</v>
      </c>
      <c r="N2579" s="107">
        <v>117.72</v>
      </c>
      <c r="O2579" s="107">
        <v>116.1</v>
      </c>
      <c r="P2579" s="107">
        <v>117.6</v>
      </c>
      <c r="Q2579" s="107">
        <v>116.72</v>
      </c>
      <c r="R2579">
        <v>9834280</v>
      </c>
    </row>
    <row r="2580" spans="1:18" x14ac:dyDescent="0.25">
      <c r="A2580" s="130">
        <v>45805</v>
      </c>
      <c r="B2580" s="107">
        <v>120.25</v>
      </c>
      <c r="C2580" s="107">
        <v>119.95</v>
      </c>
      <c r="D2580" s="107">
        <v>116.95</v>
      </c>
      <c r="E2580" s="107">
        <v>117.05</v>
      </c>
      <c r="F2580" s="107">
        <v>119.95</v>
      </c>
      <c r="G2580">
        <v>356240</v>
      </c>
      <c r="H2580" s="107"/>
      <c r="I2580" s="107"/>
      <c r="L2580" s="130">
        <v>45805</v>
      </c>
      <c r="M2580" s="107">
        <v>119.94</v>
      </c>
      <c r="N2580" s="107">
        <v>120.25</v>
      </c>
      <c r="O2580" s="107">
        <v>116.95</v>
      </c>
      <c r="P2580" s="107">
        <v>117.2</v>
      </c>
      <c r="Q2580" s="107">
        <v>119.94</v>
      </c>
      <c r="R2580">
        <v>18821556</v>
      </c>
    </row>
    <row r="2581" spans="1:18" x14ac:dyDescent="0.25">
      <c r="A2581" s="130">
        <v>45806</v>
      </c>
      <c r="B2581" s="107">
        <v>121.45</v>
      </c>
      <c r="C2581" s="107">
        <v>119.15</v>
      </c>
      <c r="D2581" s="107">
        <v>118.5</v>
      </c>
      <c r="E2581" s="107">
        <v>120.8</v>
      </c>
      <c r="F2581" s="107">
        <v>119.15</v>
      </c>
      <c r="G2581">
        <v>441445</v>
      </c>
      <c r="H2581" s="107"/>
      <c r="I2581" s="107"/>
      <c r="L2581" s="130">
        <v>45806</v>
      </c>
      <c r="M2581" s="107">
        <v>119.21</v>
      </c>
      <c r="N2581" s="107">
        <v>121.44</v>
      </c>
      <c r="O2581" s="107">
        <v>118.5</v>
      </c>
      <c r="P2581" s="107">
        <v>121.01</v>
      </c>
      <c r="Q2581" s="107">
        <v>119.21</v>
      </c>
      <c r="R2581">
        <v>8543658</v>
      </c>
    </row>
    <row r="2582" spans="1:18" x14ac:dyDescent="0.25">
      <c r="A2582" s="130">
        <v>45807</v>
      </c>
      <c r="B2582" s="107">
        <v>122.65</v>
      </c>
      <c r="C2582" s="107">
        <v>121.9</v>
      </c>
      <c r="D2582" s="107">
        <v>117.8</v>
      </c>
      <c r="E2582" s="107">
        <v>119.45</v>
      </c>
      <c r="F2582" s="107">
        <v>121.9</v>
      </c>
      <c r="G2582">
        <v>610073</v>
      </c>
      <c r="H2582" s="107"/>
      <c r="I2582" s="107"/>
      <c r="L2582" s="130">
        <v>45807</v>
      </c>
      <c r="M2582" s="107">
        <v>121.94</v>
      </c>
      <c r="N2582" s="107">
        <v>122.61</v>
      </c>
      <c r="O2582" s="107">
        <v>117.8</v>
      </c>
      <c r="P2582" s="107">
        <v>119.65</v>
      </c>
      <c r="Q2582" s="107">
        <v>121.94</v>
      </c>
      <c r="R2582">
        <v>17477465</v>
      </c>
    </row>
    <row r="2583" spans="1:18" x14ac:dyDescent="0.25">
      <c r="A2583" s="130">
        <v>45810</v>
      </c>
      <c r="B2583" s="107">
        <v>125.8</v>
      </c>
      <c r="C2583" s="107">
        <v>125.2</v>
      </c>
      <c r="D2583" s="107">
        <v>121.85</v>
      </c>
      <c r="E2583" s="107">
        <v>122.05</v>
      </c>
      <c r="F2583" s="107">
        <v>125.2</v>
      </c>
      <c r="G2583">
        <v>846632</v>
      </c>
      <c r="H2583" s="107"/>
      <c r="I2583" s="107"/>
      <c r="L2583" s="130">
        <v>45810</v>
      </c>
      <c r="M2583" s="107">
        <v>125.25</v>
      </c>
      <c r="N2583" s="107">
        <v>125.8</v>
      </c>
      <c r="O2583" s="107">
        <v>121.82</v>
      </c>
      <c r="P2583" s="107">
        <v>122.78</v>
      </c>
      <c r="Q2583" s="107">
        <v>125.25</v>
      </c>
      <c r="R2583">
        <v>20837438</v>
      </c>
    </row>
    <row r="2584" spans="1:18" x14ac:dyDescent="0.25">
      <c r="A2584" s="130">
        <v>45811</v>
      </c>
      <c r="B2584" s="107">
        <v>127.45</v>
      </c>
      <c r="C2584" s="107">
        <v>124.45</v>
      </c>
      <c r="D2584" s="107">
        <v>123.65</v>
      </c>
      <c r="E2584" s="107">
        <v>126</v>
      </c>
      <c r="F2584" s="107">
        <v>124.45</v>
      </c>
      <c r="G2584">
        <v>554807</v>
      </c>
      <c r="H2584" s="107"/>
      <c r="I2584" s="107"/>
      <c r="L2584" s="130">
        <v>45811</v>
      </c>
      <c r="M2584" s="107">
        <v>124.59</v>
      </c>
      <c r="N2584" s="107">
        <v>127.46</v>
      </c>
      <c r="O2584" s="107">
        <v>123.58</v>
      </c>
      <c r="P2584" s="107">
        <v>126</v>
      </c>
      <c r="Q2584" s="107">
        <v>124.59</v>
      </c>
      <c r="R2584">
        <v>13925152</v>
      </c>
    </row>
    <row r="2585" spans="1:18" x14ac:dyDescent="0.25">
      <c r="A2585" s="130">
        <v>45812</v>
      </c>
      <c r="B2585" s="107">
        <v>125.8</v>
      </c>
      <c r="C2585" s="107">
        <v>124.9</v>
      </c>
      <c r="D2585" s="107">
        <v>123.1</v>
      </c>
      <c r="E2585" s="107">
        <v>124.8</v>
      </c>
      <c r="F2585" s="107">
        <v>124.9</v>
      </c>
      <c r="G2585">
        <v>214698</v>
      </c>
      <c r="H2585" s="107"/>
      <c r="I2585" s="107"/>
      <c r="L2585" s="130">
        <v>45812</v>
      </c>
      <c r="M2585" s="107">
        <v>124.89</v>
      </c>
      <c r="N2585" s="107">
        <v>125.79</v>
      </c>
      <c r="O2585" s="107">
        <v>123.1</v>
      </c>
      <c r="P2585" s="107">
        <v>124.94</v>
      </c>
      <c r="Q2585" s="107">
        <v>124.89</v>
      </c>
      <c r="R2585">
        <v>5810092</v>
      </c>
    </row>
    <row r="2586" spans="1:18" x14ac:dyDescent="0.25">
      <c r="A2586" s="130">
        <v>45813</v>
      </c>
      <c r="B2586" s="107">
        <v>125.65</v>
      </c>
      <c r="C2586" s="107">
        <v>124.25</v>
      </c>
      <c r="D2586" s="107">
        <v>123.65</v>
      </c>
      <c r="E2586" s="107">
        <v>125.35</v>
      </c>
      <c r="F2586" s="107">
        <v>124.25</v>
      </c>
      <c r="G2586">
        <v>466873</v>
      </c>
      <c r="H2586" s="107"/>
      <c r="I2586" s="107"/>
      <c r="L2586" s="130">
        <v>45813</v>
      </c>
      <c r="M2586" s="107">
        <v>124.25</v>
      </c>
      <c r="N2586" s="107">
        <v>125.99</v>
      </c>
      <c r="O2586" s="107">
        <v>123.65</v>
      </c>
      <c r="P2586" s="107">
        <v>125.5</v>
      </c>
      <c r="Q2586" s="107">
        <v>124.25</v>
      </c>
      <c r="R2586">
        <v>4686895</v>
      </c>
    </row>
    <row r="2587" spans="1:18" x14ac:dyDescent="0.25">
      <c r="A2587" s="130">
        <v>45814</v>
      </c>
      <c r="B2587" s="107">
        <v>126.7</v>
      </c>
      <c r="C2587" s="107">
        <v>124.3</v>
      </c>
      <c r="D2587" s="107">
        <v>122.95</v>
      </c>
      <c r="E2587" s="107">
        <v>124.35</v>
      </c>
      <c r="F2587" s="107">
        <v>124.3</v>
      </c>
      <c r="G2587">
        <v>917298</v>
      </c>
      <c r="H2587" s="107"/>
      <c r="I2587" s="107"/>
      <c r="L2587" s="130">
        <v>45814</v>
      </c>
      <c r="M2587" s="107">
        <v>124.38</v>
      </c>
      <c r="N2587" s="107">
        <v>126.75</v>
      </c>
      <c r="O2587" s="107">
        <v>122.91</v>
      </c>
      <c r="P2587" s="107">
        <v>124.5</v>
      </c>
      <c r="Q2587" s="107">
        <v>124.38</v>
      </c>
      <c r="R2587">
        <v>12062024</v>
      </c>
    </row>
    <row r="2588" spans="1:18" x14ac:dyDescent="0.25">
      <c r="A2588" s="130">
        <v>45817</v>
      </c>
      <c r="B2588" s="107">
        <v>129.94999999999999</v>
      </c>
      <c r="C2588" s="107">
        <v>129.30000000000001</v>
      </c>
      <c r="D2588" s="107">
        <v>125.4</v>
      </c>
      <c r="E2588" s="107">
        <v>125.95</v>
      </c>
      <c r="F2588" s="107">
        <v>129.30000000000001</v>
      </c>
      <c r="G2588">
        <v>926247</v>
      </c>
      <c r="H2588" s="107"/>
      <c r="I2588" s="107"/>
      <c r="L2588" s="130">
        <v>45817</v>
      </c>
      <c r="M2588" s="107">
        <v>129.31</v>
      </c>
      <c r="N2588" s="107">
        <v>129.99</v>
      </c>
      <c r="O2588" s="107">
        <v>125.4</v>
      </c>
      <c r="P2588" s="107">
        <v>125.6</v>
      </c>
      <c r="Q2588" s="107">
        <v>129.31</v>
      </c>
      <c r="R2588">
        <v>23756753</v>
      </c>
    </row>
    <row r="2589" spans="1:18" x14ac:dyDescent="0.25">
      <c r="A2589" s="130">
        <v>45818</v>
      </c>
      <c r="B2589" s="107">
        <v>130.35</v>
      </c>
      <c r="C2589" s="107">
        <v>126.3</v>
      </c>
      <c r="D2589" s="107">
        <v>126</v>
      </c>
      <c r="E2589" s="107">
        <v>130.35</v>
      </c>
      <c r="F2589" s="107">
        <v>126.3</v>
      </c>
      <c r="G2589">
        <v>591503</v>
      </c>
      <c r="H2589" s="107"/>
      <c r="I2589" s="107"/>
      <c r="L2589" s="130">
        <v>45818</v>
      </c>
      <c r="M2589" s="107">
        <v>126.28</v>
      </c>
      <c r="N2589" s="107">
        <v>130.24</v>
      </c>
      <c r="O2589" s="107">
        <v>125.91</v>
      </c>
      <c r="P2589" s="107">
        <v>130.1</v>
      </c>
      <c r="Q2589" s="107">
        <v>126.28</v>
      </c>
      <c r="R2589">
        <v>15719168</v>
      </c>
    </row>
    <row r="2590" spans="1:18" x14ac:dyDescent="0.25">
      <c r="A2590" s="130">
        <v>45819</v>
      </c>
      <c r="B2590" s="107">
        <v>126.75</v>
      </c>
      <c r="C2590" s="107">
        <v>123.95</v>
      </c>
      <c r="D2590" s="107">
        <v>123.45</v>
      </c>
      <c r="E2590" s="107">
        <v>126.5</v>
      </c>
      <c r="F2590" s="107">
        <v>123.95</v>
      </c>
      <c r="G2590">
        <v>729082</v>
      </c>
      <c r="H2590" s="107"/>
      <c r="I2590" s="107"/>
      <c r="L2590" s="130">
        <v>45819</v>
      </c>
      <c r="M2590" s="107">
        <v>123.95</v>
      </c>
      <c r="N2590" s="107">
        <v>126.9</v>
      </c>
      <c r="O2590" s="107">
        <v>123.4</v>
      </c>
      <c r="P2590" s="107">
        <v>126.9</v>
      </c>
      <c r="Q2590" s="107">
        <v>123.95</v>
      </c>
      <c r="R2590">
        <v>13176717</v>
      </c>
    </row>
    <row r="2591" spans="1:18" x14ac:dyDescent="0.25">
      <c r="A2591" s="130">
        <v>45820</v>
      </c>
      <c r="B2591" s="107">
        <v>125.15</v>
      </c>
      <c r="C2591" s="107">
        <v>122.65</v>
      </c>
      <c r="D2591" s="107">
        <v>122.4</v>
      </c>
      <c r="E2591" s="107">
        <v>124.2</v>
      </c>
      <c r="F2591" s="107">
        <v>122.65</v>
      </c>
      <c r="G2591">
        <v>377506</v>
      </c>
      <c r="H2591" s="107"/>
      <c r="I2591" s="107"/>
      <c r="L2591" s="130">
        <v>45820</v>
      </c>
      <c r="M2591" s="107">
        <v>122.77</v>
      </c>
      <c r="N2591" s="107">
        <v>125.15</v>
      </c>
      <c r="O2591" s="107">
        <v>122.29</v>
      </c>
      <c r="P2591" s="107">
        <v>124.22</v>
      </c>
      <c r="Q2591" s="107">
        <v>122.77</v>
      </c>
      <c r="R2591">
        <v>8820490</v>
      </c>
    </row>
    <row r="2592" spans="1:18" x14ac:dyDescent="0.25">
      <c r="A2592" s="130">
        <v>45821</v>
      </c>
      <c r="B2592" s="107">
        <v>121.45</v>
      </c>
      <c r="C2592" s="107">
        <v>121.15</v>
      </c>
      <c r="D2592" s="107">
        <v>118.6</v>
      </c>
      <c r="E2592" s="107">
        <v>119.8</v>
      </c>
      <c r="F2592" s="107">
        <v>121.15</v>
      </c>
      <c r="G2592">
        <v>580634</v>
      </c>
      <c r="H2592" s="107"/>
      <c r="I2592" s="107"/>
      <c r="L2592" s="130">
        <v>45821</v>
      </c>
      <c r="M2592" s="107">
        <v>121.19</v>
      </c>
      <c r="N2592" s="107">
        <v>121.45</v>
      </c>
      <c r="O2592" s="107">
        <v>118.42</v>
      </c>
      <c r="P2592" s="107">
        <v>119</v>
      </c>
      <c r="Q2592" s="107">
        <v>121.19</v>
      </c>
      <c r="R2592">
        <v>8562642</v>
      </c>
    </row>
    <row r="2593" spans="1:18" x14ac:dyDescent="0.25">
      <c r="A2593" s="130">
        <v>45824</v>
      </c>
      <c r="B2593" s="107">
        <v>121.7</v>
      </c>
      <c r="C2593" s="107">
        <v>121.55</v>
      </c>
      <c r="D2593" s="107">
        <v>118.4</v>
      </c>
      <c r="E2593" s="107">
        <v>121.25</v>
      </c>
      <c r="F2593" s="107">
        <v>121.55</v>
      </c>
      <c r="G2593">
        <v>308661</v>
      </c>
      <c r="H2593" s="107"/>
      <c r="I2593" s="107"/>
      <c r="L2593" s="130">
        <v>45824</v>
      </c>
      <c r="M2593" s="107">
        <v>121.55</v>
      </c>
      <c r="N2593" s="107">
        <v>121.69</v>
      </c>
      <c r="O2593" s="107">
        <v>118.36</v>
      </c>
      <c r="P2593" s="107">
        <v>121.69</v>
      </c>
      <c r="Q2593" s="107">
        <v>121.55</v>
      </c>
      <c r="R2593">
        <v>9464721</v>
      </c>
    </row>
    <row r="2594" spans="1:18" x14ac:dyDescent="0.25">
      <c r="A2594" s="130">
        <v>45825</v>
      </c>
      <c r="B2594" s="107">
        <v>122.8</v>
      </c>
      <c r="C2594" s="107">
        <v>119.65</v>
      </c>
      <c r="D2594" s="107">
        <v>119.3</v>
      </c>
      <c r="E2594" s="107">
        <v>122.45</v>
      </c>
      <c r="F2594" s="107">
        <v>119.65</v>
      </c>
      <c r="G2594">
        <v>383380</v>
      </c>
      <c r="H2594" s="107"/>
      <c r="I2594" s="107"/>
      <c r="L2594" s="130">
        <v>45825</v>
      </c>
      <c r="M2594" s="107">
        <v>119.65</v>
      </c>
      <c r="N2594" s="107">
        <v>122.89</v>
      </c>
      <c r="O2594" s="107">
        <v>119.25</v>
      </c>
      <c r="P2594" s="107">
        <v>122.89</v>
      </c>
      <c r="Q2594" s="107">
        <v>119.65</v>
      </c>
      <c r="R2594">
        <v>10245273</v>
      </c>
    </row>
    <row r="2595" spans="1:18" x14ac:dyDescent="0.25">
      <c r="A2595" s="130">
        <v>45826</v>
      </c>
      <c r="B2595" s="107">
        <v>120.8</v>
      </c>
      <c r="C2595" s="107">
        <v>119.7</v>
      </c>
      <c r="D2595" s="107">
        <v>118.95</v>
      </c>
      <c r="E2595" s="107">
        <v>120</v>
      </c>
      <c r="F2595" s="107">
        <v>119.7</v>
      </c>
      <c r="G2595">
        <v>283431</v>
      </c>
      <c r="H2595" s="107"/>
      <c r="I2595" s="107"/>
      <c r="L2595" s="130">
        <v>45826</v>
      </c>
      <c r="M2595" s="107">
        <v>119.68</v>
      </c>
      <c r="N2595" s="107">
        <v>120.7</v>
      </c>
      <c r="O2595" s="107">
        <v>118.84</v>
      </c>
      <c r="P2595" s="107">
        <v>119.85</v>
      </c>
      <c r="Q2595" s="107">
        <v>119.68</v>
      </c>
      <c r="R2595">
        <v>10339326</v>
      </c>
    </row>
    <row r="2596" spans="1:18" x14ac:dyDescent="0.25">
      <c r="A2596" s="130">
        <v>45827</v>
      </c>
      <c r="B2596" s="107">
        <v>119.25</v>
      </c>
      <c r="C2596" s="107">
        <v>115.65</v>
      </c>
      <c r="D2596" s="107">
        <v>114.5</v>
      </c>
      <c r="E2596" s="107">
        <v>119</v>
      </c>
      <c r="F2596" s="107">
        <v>115.65</v>
      </c>
      <c r="G2596">
        <v>1160186</v>
      </c>
      <c r="H2596" s="107"/>
      <c r="I2596" s="107"/>
      <c r="L2596" s="130">
        <v>45827</v>
      </c>
      <c r="M2596" s="107">
        <v>115.68</v>
      </c>
      <c r="N2596" s="107">
        <v>119.3</v>
      </c>
      <c r="O2596" s="107">
        <v>114.47</v>
      </c>
      <c r="P2596" s="107">
        <v>118.65</v>
      </c>
      <c r="Q2596" s="107">
        <v>115.68</v>
      </c>
      <c r="R2596">
        <v>21418540</v>
      </c>
    </row>
    <row r="2597" spans="1:18" x14ac:dyDescent="0.25">
      <c r="A2597" s="130">
        <v>45828</v>
      </c>
      <c r="B2597" s="107">
        <v>115</v>
      </c>
      <c r="C2597" s="107">
        <v>113.1</v>
      </c>
      <c r="D2597" s="107">
        <v>111.6</v>
      </c>
      <c r="E2597" s="107">
        <v>111.65</v>
      </c>
      <c r="F2597" s="107">
        <v>113.1</v>
      </c>
      <c r="G2597">
        <v>600764</v>
      </c>
      <c r="H2597" s="107"/>
      <c r="I2597" s="107"/>
      <c r="L2597" s="130">
        <v>45828</v>
      </c>
      <c r="M2597" s="107">
        <v>113.18</v>
      </c>
      <c r="N2597" s="107">
        <v>115</v>
      </c>
      <c r="O2597" s="107">
        <v>111.56</v>
      </c>
      <c r="P2597" s="107">
        <v>111.56</v>
      </c>
      <c r="Q2597" s="107">
        <v>113.18</v>
      </c>
      <c r="R2597">
        <v>14597819</v>
      </c>
    </row>
    <row r="2598" spans="1:18" x14ac:dyDescent="0.25">
      <c r="A2598" s="130">
        <v>45831</v>
      </c>
      <c r="B2598" s="107">
        <v>114.55</v>
      </c>
      <c r="C2598" s="107">
        <v>114.3</v>
      </c>
      <c r="D2598" s="107">
        <v>112</v>
      </c>
      <c r="E2598" s="107">
        <v>112</v>
      </c>
      <c r="F2598" s="107">
        <v>114.3</v>
      </c>
      <c r="G2598">
        <v>350418</v>
      </c>
      <c r="H2598" s="107"/>
      <c r="I2598" s="107"/>
      <c r="L2598" s="130">
        <v>45831</v>
      </c>
      <c r="M2598" s="107">
        <v>114.41</v>
      </c>
      <c r="N2598" s="107">
        <v>114.6</v>
      </c>
      <c r="O2598" s="107">
        <v>112</v>
      </c>
      <c r="P2598" s="107">
        <v>112</v>
      </c>
      <c r="Q2598" s="107">
        <v>114.41</v>
      </c>
      <c r="R2598">
        <v>9318649</v>
      </c>
    </row>
    <row r="2599" spans="1:18" x14ac:dyDescent="0.25">
      <c r="A2599" s="130">
        <v>45832</v>
      </c>
      <c r="B2599" s="107">
        <v>117.4</v>
      </c>
      <c r="C2599" s="107">
        <v>115.25</v>
      </c>
      <c r="D2599" s="107">
        <v>114.8</v>
      </c>
      <c r="E2599" s="107">
        <v>115.85</v>
      </c>
      <c r="F2599" s="107">
        <v>115.25</v>
      </c>
      <c r="G2599">
        <v>315686</v>
      </c>
      <c r="H2599" s="107"/>
      <c r="I2599" s="107"/>
      <c r="L2599" s="130">
        <v>45832</v>
      </c>
      <c r="M2599" s="107">
        <v>115.27</v>
      </c>
      <c r="N2599" s="107">
        <v>117.36</v>
      </c>
      <c r="O2599" s="107">
        <v>114.85</v>
      </c>
      <c r="P2599" s="107">
        <v>115.99</v>
      </c>
      <c r="Q2599" s="107">
        <v>115.27</v>
      </c>
      <c r="R2599">
        <v>10047772</v>
      </c>
    </row>
    <row r="2600" spans="1:18" x14ac:dyDescent="0.25">
      <c r="A2600" s="130">
        <v>45833</v>
      </c>
      <c r="B2600" s="107">
        <v>116.75</v>
      </c>
      <c r="C2600" s="107">
        <v>116.1</v>
      </c>
      <c r="D2600" s="107">
        <v>115.2</v>
      </c>
      <c r="E2600" s="107">
        <v>116.75</v>
      </c>
      <c r="F2600" s="107">
        <v>116.1</v>
      </c>
      <c r="G2600">
        <v>199437</v>
      </c>
      <c r="H2600" s="107"/>
      <c r="I2600" s="107"/>
      <c r="L2600" s="130">
        <v>45833</v>
      </c>
      <c r="M2600" s="107">
        <v>116.15</v>
      </c>
      <c r="N2600" s="107">
        <v>116.59</v>
      </c>
      <c r="O2600" s="107">
        <v>115.2</v>
      </c>
      <c r="P2600" s="107">
        <v>116.25</v>
      </c>
      <c r="Q2600" s="107">
        <v>116.15</v>
      </c>
      <c r="R2600">
        <v>7116589</v>
      </c>
    </row>
    <row r="2601" spans="1:18" x14ac:dyDescent="0.25">
      <c r="A2601" s="130">
        <v>45834</v>
      </c>
      <c r="B2601" s="107">
        <v>117.25</v>
      </c>
      <c r="C2601" s="107">
        <v>116.9</v>
      </c>
      <c r="D2601" s="107">
        <v>115.35</v>
      </c>
      <c r="E2601" s="107">
        <v>116.55</v>
      </c>
      <c r="F2601" s="107">
        <v>116.9</v>
      </c>
      <c r="G2601">
        <v>384516</v>
      </c>
      <c r="H2601" s="107"/>
      <c r="I2601" s="107"/>
      <c r="L2601" s="130">
        <v>45834</v>
      </c>
      <c r="M2601" s="107">
        <v>116.95</v>
      </c>
      <c r="N2601" s="107">
        <v>117.25</v>
      </c>
      <c r="O2601" s="107">
        <v>115.41</v>
      </c>
      <c r="P2601" s="107">
        <v>116.25</v>
      </c>
      <c r="Q2601" s="107">
        <v>116.95</v>
      </c>
      <c r="R2601">
        <v>8706576</v>
      </c>
    </row>
    <row r="2602" spans="1:18" x14ac:dyDescent="0.25">
      <c r="A2602" s="130">
        <v>45835</v>
      </c>
      <c r="B2602" s="107">
        <v>120.4</v>
      </c>
      <c r="C2602" s="107">
        <v>116.8</v>
      </c>
      <c r="D2602" s="107">
        <v>116.5</v>
      </c>
      <c r="E2602" s="107">
        <v>117</v>
      </c>
      <c r="F2602" s="107">
        <v>116.8</v>
      </c>
      <c r="G2602">
        <v>389980</v>
      </c>
      <c r="H2602" s="107"/>
      <c r="I2602" s="107"/>
      <c r="L2602" s="130">
        <v>45835</v>
      </c>
      <c r="M2602" s="107">
        <v>116.77</v>
      </c>
      <c r="N2602" s="107">
        <v>120.4</v>
      </c>
      <c r="O2602" s="107">
        <v>116.5</v>
      </c>
      <c r="P2602" s="107">
        <v>117.4</v>
      </c>
      <c r="Q2602" s="107">
        <v>116.77</v>
      </c>
      <c r="R2602">
        <v>17380242</v>
      </c>
    </row>
    <row r="2603" spans="1:18" x14ac:dyDescent="0.25">
      <c r="A2603" s="130">
        <v>45838</v>
      </c>
      <c r="B2603" s="107">
        <v>119.75</v>
      </c>
      <c r="C2603" s="107">
        <v>118.55</v>
      </c>
      <c r="D2603" s="107">
        <v>117.4</v>
      </c>
      <c r="E2603" s="107">
        <v>117.4</v>
      </c>
      <c r="F2603" s="107">
        <v>118.55</v>
      </c>
      <c r="G2603">
        <v>461046</v>
      </c>
      <c r="H2603" s="107"/>
      <c r="I2603" s="107"/>
      <c r="L2603" s="130">
        <v>45838</v>
      </c>
      <c r="M2603" s="107">
        <v>118.56</v>
      </c>
      <c r="N2603" s="107">
        <v>119.7</v>
      </c>
      <c r="O2603" s="107">
        <v>117.35</v>
      </c>
      <c r="P2603" s="107">
        <v>117.55</v>
      </c>
      <c r="Q2603" s="107">
        <v>118.56</v>
      </c>
      <c r="R2603">
        <v>14142517</v>
      </c>
    </row>
    <row r="2604" spans="1:18" x14ac:dyDescent="0.25">
      <c r="A2604" s="130">
        <v>45839</v>
      </c>
      <c r="B2604" s="107">
        <v>121.5</v>
      </c>
      <c r="C2604" s="107">
        <v>121.1</v>
      </c>
      <c r="D2604" s="107">
        <v>117.55</v>
      </c>
      <c r="E2604" s="107">
        <v>119</v>
      </c>
      <c r="F2604" s="107">
        <v>121.1</v>
      </c>
      <c r="G2604">
        <v>488803</v>
      </c>
      <c r="H2604" s="107"/>
      <c r="I2604" s="107"/>
      <c r="L2604" s="130">
        <v>45839</v>
      </c>
      <c r="M2604" s="107">
        <v>121.09</v>
      </c>
      <c r="N2604" s="107">
        <v>121.5</v>
      </c>
      <c r="O2604" s="107">
        <v>117.57</v>
      </c>
      <c r="P2604" s="107">
        <v>119.12</v>
      </c>
      <c r="Q2604" s="107">
        <v>121.09</v>
      </c>
      <c r="R2604">
        <v>18672483</v>
      </c>
    </row>
    <row r="2605" spans="1:18" x14ac:dyDescent="0.25">
      <c r="A2605" s="130">
        <v>45840</v>
      </c>
      <c r="B2605" s="107">
        <v>121.5</v>
      </c>
      <c r="C2605" s="107">
        <v>119.2</v>
      </c>
      <c r="D2605" s="107">
        <v>118.75</v>
      </c>
      <c r="E2605" s="107">
        <v>121.1</v>
      </c>
      <c r="F2605" s="107">
        <v>119.2</v>
      </c>
      <c r="G2605">
        <v>547953</v>
      </c>
      <c r="H2605" s="107"/>
      <c r="I2605" s="107"/>
      <c r="L2605" s="130">
        <v>45840</v>
      </c>
      <c r="M2605" s="107">
        <v>119.26</v>
      </c>
      <c r="N2605" s="107">
        <v>121.63</v>
      </c>
      <c r="O2605" s="107">
        <v>118.75</v>
      </c>
      <c r="P2605" s="107">
        <v>121.09</v>
      </c>
      <c r="Q2605" s="107">
        <v>119.26</v>
      </c>
      <c r="R2605">
        <v>9878461</v>
      </c>
    </row>
    <row r="2606" spans="1:18" x14ac:dyDescent="0.25">
      <c r="A2606" s="130">
        <v>45841</v>
      </c>
      <c r="B2606" s="107">
        <v>120</v>
      </c>
      <c r="C2606" s="107">
        <v>118.35</v>
      </c>
      <c r="D2606" s="107">
        <v>117.9</v>
      </c>
      <c r="E2606" s="107">
        <v>120</v>
      </c>
      <c r="F2606" s="107">
        <v>118.35</v>
      </c>
      <c r="G2606">
        <v>201541</v>
      </c>
      <c r="H2606" s="107"/>
      <c r="I2606" s="107"/>
      <c r="L2606" s="130">
        <v>45841</v>
      </c>
      <c r="M2606" s="107">
        <v>118.49</v>
      </c>
      <c r="N2606" s="107">
        <v>119.8</v>
      </c>
      <c r="O2606" s="107">
        <v>117.8</v>
      </c>
      <c r="P2606" s="107">
        <v>119.8</v>
      </c>
      <c r="Q2606" s="107">
        <v>118.49</v>
      </c>
      <c r="R2606">
        <v>6579528</v>
      </c>
    </row>
    <row r="2607" spans="1:18" x14ac:dyDescent="0.25">
      <c r="A2607" s="130">
        <v>45842</v>
      </c>
      <c r="B2607" s="107">
        <v>119.35</v>
      </c>
      <c r="C2607" s="107">
        <v>117.75</v>
      </c>
      <c r="D2607" s="107">
        <v>116.9</v>
      </c>
      <c r="E2607" s="107">
        <v>118.85</v>
      </c>
      <c r="F2607" s="107">
        <v>117.75</v>
      </c>
      <c r="G2607">
        <v>227965</v>
      </c>
      <c r="H2607" s="107"/>
      <c r="I2607" s="107"/>
      <c r="L2607" s="130">
        <v>45842</v>
      </c>
      <c r="M2607" s="107">
        <v>117.81</v>
      </c>
      <c r="N2607" s="107">
        <v>119.35</v>
      </c>
      <c r="O2607" s="107">
        <v>116.93</v>
      </c>
      <c r="P2607" s="107">
        <v>118.8</v>
      </c>
      <c r="Q2607" s="107">
        <v>117.81</v>
      </c>
      <c r="R2607">
        <v>7342255</v>
      </c>
    </row>
    <row r="2608" spans="1:18" x14ac:dyDescent="0.25">
      <c r="A2608" s="130">
        <v>45845</v>
      </c>
      <c r="B2608" s="107">
        <v>119.15</v>
      </c>
      <c r="C2608" s="107">
        <v>117.65</v>
      </c>
      <c r="D2608" s="107">
        <v>117.4</v>
      </c>
      <c r="E2608" s="107">
        <v>118.25</v>
      </c>
      <c r="F2608" s="107">
        <v>117.65</v>
      </c>
      <c r="G2608">
        <v>264908</v>
      </c>
      <c r="H2608" s="107"/>
      <c r="I2608" s="107"/>
      <c r="L2608" s="130">
        <v>45845</v>
      </c>
      <c r="M2608" s="107">
        <v>117.72</v>
      </c>
      <c r="N2608" s="107">
        <v>119.14</v>
      </c>
      <c r="O2608" s="107">
        <v>117.4</v>
      </c>
      <c r="P2608" s="107">
        <v>118.4</v>
      </c>
      <c r="Q2608" s="107">
        <v>117.72</v>
      </c>
      <c r="R2608">
        <v>10444935</v>
      </c>
    </row>
    <row r="2609" spans="1:18" x14ac:dyDescent="0.25">
      <c r="A2609" s="130">
        <v>45846</v>
      </c>
      <c r="B2609" s="107">
        <v>118.5</v>
      </c>
      <c r="C2609" s="107">
        <v>116.85</v>
      </c>
      <c r="D2609" s="107">
        <v>116</v>
      </c>
      <c r="E2609" s="107">
        <v>117.95</v>
      </c>
      <c r="F2609" s="107">
        <v>116.85</v>
      </c>
      <c r="G2609">
        <v>250523</v>
      </c>
      <c r="H2609" s="107"/>
      <c r="I2609" s="107"/>
      <c r="L2609" s="130">
        <v>45846</v>
      </c>
      <c r="M2609" s="107">
        <v>116.96</v>
      </c>
      <c r="N2609" s="107">
        <v>118.58</v>
      </c>
      <c r="O2609" s="107">
        <v>116.05</v>
      </c>
      <c r="P2609" s="107">
        <v>117.77</v>
      </c>
      <c r="Q2609" s="107">
        <v>116.96</v>
      </c>
      <c r="R2609">
        <v>6656174</v>
      </c>
    </row>
    <row r="2610" spans="1:18" x14ac:dyDescent="0.25">
      <c r="A2610" s="130">
        <v>45847</v>
      </c>
      <c r="B2610" s="107">
        <v>117.6</v>
      </c>
      <c r="C2610" s="107">
        <v>115.85</v>
      </c>
      <c r="D2610" s="107">
        <v>115.6</v>
      </c>
      <c r="E2610" s="107">
        <v>117.6</v>
      </c>
      <c r="F2610" s="107">
        <v>115.85</v>
      </c>
      <c r="G2610">
        <v>284498</v>
      </c>
      <c r="H2610" s="107"/>
      <c r="I2610" s="107"/>
      <c r="L2610" s="130">
        <v>45847</v>
      </c>
      <c r="M2610" s="107">
        <v>115.91</v>
      </c>
      <c r="N2610" s="107">
        <v>117.39</v>
      </c>
      <c r="O2610" s="107">
        <v>115.6</v>
      </c>
      <c r="P2610" s="107">
        <v>117.39</v>
      </c>
      <c r="Q2610" s="107">
        <v>115.91</v>
      </c>
      <c r="R2610">
        <v>6151277</v>
      </c>
    </row>
    <row r="2611" spans="1:18" x14ac:dyDescent="0.25">
      <c r="A2611" s="130">
        <v>45848</v>
      </c>
      <c r="B2611" s="107">
        <v>116.95</v>
      </c>
      <c r="C2611" s="107">
        <v>114.35</v>
      </c>
      <c r="D2611" s="107">
        <v>113.8</v>
      </c>
      <c r="E2611" s="107">
        <v>116.95</v>
      </c>
      <c r="F2611" s="107">
        <v>114.35</v>
      </c>
      <c r="G2611">
        <v>243772</v>
      </c>
      <c r="H2611" s="107"/>
      <c r="I2611" s="107"/>
      <c r="L2611" s="130">
        <v>45848</v>
      </c>
      <c r="M2611" s="107">
        <v>114.42</v>
      </c>
      <c r="N2611" s="107">
        <v>116.46</v>
      </c>
      <c r="O2611" s="107">
        <v>113.8</v>
      </c>
      <c r="P2611" s="107">
        <v>116.21</v>
      </c>
      <c r="Q2611" s="107">
        <v>114.42</v>
      </c>
      <c r="R2611">
        <v>7637030</v>
      </c>
    </row>
    <row r="2612" spans="1:18" x14ac:dyDescent="0.25">
      <c r="A2612" s="130">
        <v>45849</v>
      </c>
      <c r="B2612" s="107">
        <v>115.4</v>
      </c>
      <c r="C2612" s="107">
        <v>114.55</v>
      </c>
      <c r="D2612" s="107">
        <v>113.6</v>
      </c>
      <c r="E2612" s="107">
        <v>114.35</v>
      </c>
      <c r="F2612" s="107">
        <v>114.55</v>
      </c>
      <c r="G2612">
        <v>240432</v>
      </c>
      <c r="H2612" s="107"/>
      <c r="I2612" s="107"/>
      <c r="L2612" s="130">
        <v>45849</v>
      </c>
      <c r="M2612" s="107">
        <v>114.56</v>
      </c>
      <c r="N2612" s="107">
        <v>115.45</v>
      </c>
      <c r="O2612" s="107">
        <v>113.57</v>
      </c>
      <c r="P2612" s="107">
        <v>114.19</v>
      </c>
      <c r="Q2612" s="107">
        <v>114.56</v>
      </c>
      <c r="R2612">
        <v>6809477</v>
      </c>
    </row>
    <row r="2613" spans="1:18" x14ac:dyDescent="0.25">
      <c r="A2613" s="130">
        <v>45852</v>
      </c>
      <c r="B2613" s="107">
        <v>115.9</v>
      </c>
      <c r="C2613" s="107">
        <v>114.9</v>
      </c>
      <c r="D2613" s="107">
        <v>113.95</v>
      </c>
      <c r="E2613" s="107">
        <v>114.55</v>
      </c>
      <c r="F2613" s="107">
        <v>114.9</v>
      </c>
      <c r="G2613">
        <v>197460</v>
      </c>
      <c r="H2613" s="107"/>
      <c r="I2613" s="107"/>
      <c r="L2613" s="130">
        <v>45852</v>
      </c>
      <c r="M2613" s="107">
        <v>114.98</v>
      </c>
      <c r="N2613" s="107">
        <v>115.87</v>
      </c>
      <c r="O2613" s="107">
        <v>113.84</v>
      </c>
      <c r="P2613" s="107">
        <v>114.26</v>
      </c>
      <c r="Q2613" s="107">
        <v>114.98</v>
      </c>
      <c r="R2613">
        <v>5246766</v>
      </c>
    </row>
    <row r="2614" spans="1:18" x14ac:dyDescent="0.25">
      <c r="A2614" s="130">
        <v>45853</v>
      </c>
      <c r="B2614" s="107">
        <v>116.35</v>
      </c>
      <c r="C2614" s="107">
        <v>115.75</v>
      </c>
      <c r="D2614" s="107">
        <v>114.85</v>
      </c>
      <c r="E2614" s="107">
        <v>115.1</v>
      </c>
      <c r="F2614" s="107">
        <v>115.75</v>
      </c>
      <c r="G2614">
        <v>232153</v>
      </c>
      <c r="H2614" s="107"/>
      <c r="I2614" s="107"/>
      <c r="L2614" s="130">
        <v>45853</v>
      </c>
      <c r="M2614" s="107">
        <v>115.79</v>
      </c>
      <c r="N2614" s="107">
        <v>116.36</v>
      </c>
      <c r="O2614" s="107">
        <v>114.75</v>
      </c>
      <c r="P2614" s="107">
        <v>115.25</v>
      </c>
      <c r="Q2614" s="107">
        <v>115.79</v>
      </c>
      <c r="R2614">
        <v>5544394</v>
      </c>
    </row>
    <row r="2615" spans="1:18" x14ac:dyDescent="0.25">
      <c r="A2615" s="130">
        <v>45854</v>
      </c>
      <c r="B2615" s="107">
        <v>118.4</v>
      </c>
      <c r="C2615" s="107">
        <v>118</v>
      </c>
      <c r="D2615" s="107">
        <v>115.7</v>
      </c>
      <c r="E2615" s="107">
        <v>115.95</v>
      </c>
      <c r="F2615" s="107">
        <v>118</v>
      </c>
      <c r="G2615">
        <v>294084</v>
      </c>
      <c r="H2615" s="107"/>
      <c r="I2615" s="107"/>
      <c r="L2615" s="130">
        <v>45854</v>
      </c>
      <c r="M2615" s="107">
        <v>118.02</v>
      </c>
      <c r="N2615" s="107">
        <v>118.4</v>
      </c>
      <c r="O2615" s="107">
        <v>115.54</v>
      </c>
      <c r="P2615" s="107">
        <v>115.82</v>
      </c>
      <c r="Q2615" s="107">
        <v>118.02</v>
      </c>
      <c r="R2615">
        <v>8212544</v>
      </c>
    </row>
    <row r="2616" spans="1:18" x14ac:dyDescent="0.25">
      <c r="A2616" s="130">
        <v>45855</v>
      </c>
      <c r="B2616" s="107">
        <v>118.3</v>
      </c>
      <c r="C2616" s="107">
        <v>116.15</v>
      </c>
      <c r="D2616" s="107">
        <v>115.9</v>
      </c>
      <c r="E2616" s="107">
        <v>118.3</v>
      </c>
      <c r="F2616" s="107">
        <v>116.15</v>
      </c>
      <c r="G2616">
        <v>256214</v>
      </c>
      <c r="H2616" s="107"/>
      <c r="I2616" s="107"/>
      <c r="L2616" s="130">
        <v>45855</v>
      </c>
      <c r="M2616" s="107">
        <v>116.1</v>
      </c>
      <c r="N2616" s="107">
        <v>118.47</v>
      </c>
      <c r="O2616" s="107">
        <v>115.86</v>
      </c>
      <c r="P2616" s="107">
        <v>118.31</v>
      </c>
      <c r="Q2616" s="107">
        <v>116.1</v>
      </c>
      <c r="R2616">
        <v>7477336</v>
      </c>
    </row>
    <row r="2617" spans="1:18" x14ac:dyDescent="0.25">
      <c r="A2617" s="130">
        <v>45856</v>
      </c>
      <c r="B2617" s="107">
        <v>116.75</v>
      </c>
      <c r="C2617" s="107">
        <v>114.95</v>
      </c>
      <c r="D2617" s="107">
        <v>114.8</v>
      </c>
      <c r="E2617" s="107">
        <v>116.5</v>
      </c>
      <c r="F2617" s="107">
        <v>114.95</v>
      </c>
      <c r="G2617">
        <v>308907</v>
      </c>
      <c r="H2617" s="107"/>
      <c r="I2617" s="107"/>
      <c r="L2617" s="130">
        <v>45856</v>
      </c>
      <c r="M2617" s="107">
        <v>115.02</v>
      </c>
      <c r="N2617" s="107">
        <v>116.75</v>
      </c>
      <c r="O2617" s="107">
        <v>114.9</v>
      </c>
      <c r="P2617" s="107">
        <v>116.39</v>
      </c>
      <c r="Q2617" s="107">
        <v>115.02</v>
      </c>
      <c r="R2617">
        <v>4493397</v>
      </c>
    </row>
    <row r="2618" spans="1:18" x14ac:dyDescent="0.25">
      <c r="A2618" s="130">
        <v>45859</v>
      </c>
      <c r="B2618" s="107">
        <v>115.5</v>
      </c>
      <c r="C2618" s="107">
        <v>114.75</v>
      </c>
      <c r="D2618" s="107">
        <v>113.9</v>
      </c>
      <c r="E2618" s="107">
        <v>115.15</v>
      </c>
      <c r="F2618" s="107">
        <v>114.75</v>
      </c>
      <c r="G2618">
        <v>201549</v>
      </c>
      <c r="H2618" s="107"/>
      <c r="I2618" s="107"/>
      <c r="L2618" s="130">
        <v>45859</v>
      </c>
      <c r="M2618" s="107">
        <v>114.67</v>
      </c>
      <c r="N2618" s="107">
        <v>115.55</v>
      </c>
      <c r="O2618" s="107">
        <v>113.84</v>
      </c>
      <c r="P2618" s="107">
        <v>115</v>
      </c>
      <c r="Q2618" s="107">
        <v>114.67</v>
      </c>
      <c r="R2618">
        <v>3793957</v>
      </c>
    </row>
    <row r="2619" spans="1:18" x14ac:dyDescent="0.25">
      <c r="A2619" s="130">
        <v>45860</v>
      </c>
      <c r="B2619" s="107">
        <v>115.15</v>
      </c>
      <c r="C2619" s="107">
        <v>113.15</v>
      </c>
      <c r="D2619" s="107">
        <v>112.95</v>
      </c>
      <c r="E2619" s="107">
        <v>114.85</v>
      </c>
      <c r="F2619" s="107">
        <v>113.15</v>
      </c>
      <c r="G2619">
        <v>410000</v>
      </c>
      <c r="H2619" s="107"/>
      <c r="I2619" s="107"/>
      <c r="L2619" s="130">
        <v>45860</v>
      </c>
      <c r="M2619" s="107">
        <v>113.13</v>
      </c>
      <c r="N2619" s="107">
        <v>115.15</v>
      </c>
      <c r="O2619" s="107">
        <v>112.9</v>
      </c>
      <c r="P2619" s="107">
        <v>114.99</v>
      </c>
      <c r="Q2619" s="107">
        <v>113.13</v>
      </c>
      <c r="R2619">
        <v>4405528</v>
      </c>
    </row>
    <row r="2620" spans="1:18" x14ac:dyDescent="0.25">
      <c r="A2620" s="130">
        <v>45861</v>
      </c>
      <c r="B2620" s="107">
        <v>113.6</v>
      </c>
      <c r="C2620" s="107">
        <v>113.2</v>
      </c>
      <c r="D2620" s="107">
        <v>112.35</v>
      </c>
      <c r="E2620" s="107">
        <v>113.3</v>
      </c>
      <c r="F2620" s="107">
        <v>113.2</v>
      </c>
      <c r="G2620">
        <v>332075</v>
      </c>
      <c r="H2620" s="107"/>
      <c r="I2620" s="107"/>
      <c r="L2620" s="130">
        <v>45861</v>
      </c>
      <c r="M2620" s="107">
        <v>113.23</v>
      </c>
      <c r="N2620" s="107">
        <v>113.55</v>
      </c>
      <c r="O2620" s="107">
        <v>112.34</v>
      </c>
      <c r="P2620" s="107">
        <v>113.45</v>
      </c>
      <c r="Q2620" s="107">
        <v>113.23</v>
      </c>
      <c r="R2620">
        <v>4181125</v>
      </c>
    </row>
    <row r="2621" spans="1:18" x14ac:dyDescent="0.25">
      <c r="A2621" s="130">
        <v>45862</v>
      </c>
      <c r="B2621" s="107">
        <v>115</v>
      </c>
      <c r="C2621" s="107">
        <v>114.55</v>
      </c>
      <c r="D2621" s="107">
        <v>112.2</v>
      </c>
      <c r="E2621" s="107">
        <v>113.15</v>
      </c>
      <c r="F2621" s="107">
        <v>114.55</v>
      </c>
      <c r="G2621">
        <v>239543</v>
      </c>
      <c r="H2621" s="107"/>
      <c r="I2621" s="107"/>
      <c r="L2621" s="130">
        <v>45862</v>
      </c>
      <c r="M2621" s="107">
        <v>114.69</v>
      </c>
      <c r="N2621" s="107">
        <v>115.5</v>
      </c>
      <c r="O2621" s="107">
        <v>112.25</v>
      </c>
      <c r="P2621" s="107">
        <v>113.3</v>
      </c>
      <c r="Q2621" s="107">
        <v>114.69</v>
      </c>
      <c r="R2621">
        <v>6534344</v>
      </c>
    </row>
    <row r="2622" spans="1:18" x14ac:dyDescent="0.25">
      <c r="A2622" s="130">
        <v>45863</v>
      </c>
      <c r="B2622" s="107">
        <v>116.4</v>
      </c>
      <c r="C2622" s="107">
        <v>113.05</v>
      </c>
      <c r="D2622" s="107">
        <v>112.7</v>
      </c>
      <c r="E2622" s="107">
        <v>114.55</v>
      </c>
      <c r="F2622" s="107">
        <v>113.05</v>
      </c>
      <c r="G2622">
        <v>712637</v>
      </c>
      <c r="H2622" s="107"/>
      <c r="I2622" s="107"/>
      <c r="L2622" s="130">
        <v>45863</v>
      </c>
      <c r="M2622" s="107">
        <v>113.14</v>
      </c>
      <c r="N2622" s="107">
        <v>116.35</v>
      </c>
      <c r="O2622" s="107">
        <v>112.6</v>
      </c>
      <c r="P2622" s="107">
        <v>114.7</v>
      </c>
      <c r="Q2622" s="107">
        <v>113.14</v>
      </c>
      <c r="R2622">
        <v>11398412</v>
      </c>
    </row>
    <row r="2623" spans="1:18" x14ac:dyDescent="0.25">
      <c r="A2623" s="130">
        <v>45866</v>
      </c>
      <c r="B2623" s="107">
        <v>115.25</v>
      </c>
      <c r="C2623" s="107">
        <v>111.5</v>
      </c>
      <c r="D2623" s="107">
        <v>111.2</v>
      </c>
      <c r="E2623" s="107">
        <v>113.3</v>
      </c>
      <c r="F2623" s="107">
        <v>111.5</v>
      </c>
      <c r="G2623">
        <v>203685</v>
      </c>
      <c r="H2623" s="107"/>
      <c r="I2623" s="107"/>
      <c r="L2623" s="130">
        <v>45866</v>
      </c>
      <c r="M2623" s="107">
        <v>111.5</v>
      </c>
      <c r="N2623" s="107">
        <v>115.35</v>
      </c>
      <c r="O2623" s="107">
        <v>111.2</v>
      </c>
      <c r="P2623" s="107">
        <v>113.1</v>
      </c>
      <c r="Q2623" s="107">
        <v>111.5</v>
      </c>
      <c r="R2623">
        <v>8540528</v>
      </c>
    </row>
    <row r="2624" spans="1:18" x14ac:dyDescent="0.25">
      <c r="A2624" s="130">
        <v>45867</v>
      </c>
      <c r="B2624" s="107">
        <v>112.7</v>
      </c>
      <c r="C2624" s="107">
        <v>112.15</v>
      </c>
      <c r="D2624" s="107">
        <v>110.35</v>
      </c>
      <c r="E2624" s="107">
        <v>111.45</v>
      </c>
      <c r="F2624" s="107">
        <v>112.15</v>
      </c>
      <c r="G2624">
        <v>342844</v>
      </c>
      <c r="H2624" s="107"/>
      <c r="I2624" s="107"/>
      <c r="L2624" s="130">
        <v>45867</v>
      </c>
      <c r="M2624" s="107">
        <v>112.17</v>
      </c>
      <c r="N2624" s="107">
        <v>112.71</v>
      </c>
      <c r="O2624" s="107">
        <v>110.3</v>
      </c>
      <c r="P2624" s="107">
        <v>111.31</v>
      </c>
      <c r="Q2624" s="107">
        <v>112.17</v>
      </c>
      <c r="R2624">
        <v>6272053</v>
      </c>
    </row>
    <row r="2625" spans="1:18" x14ac:dyDescent="0.25">
      <c r="A2625" s="130">
        <v>45868</v>
      </c>
      <c r="B2625" s="107">
        <v>116.1</v>
      </c>
      <c r="C2625" s="107">
        <v>114.3</v>
      </c>
      <c r="D2625" s="107">
        <v>113</v>
      </c>
      <c r="E2625" s="107">
        <v>113.3</v>
      </c>
      <c r="F2625" s="107">
        <v>114.3</v>
      </c>
      <c r="G2625">
        <v>941936</v>
      </c>
      <c r="H2625" s="107"/>
      <c r="I2625" s="107"/>
      <c r="L2625" s="130">
        <v>45868</v>
      </c>
      <c r="M2625" s="107">
        <v>114.14</v>
      </c>
      <c r="N2625" s="107">
        <v>116.1</v>
      </c>
      <c r="O2625" s="107">
        <v>112.9</v>
      </c>
      <c r="P2625" s="107">
        <v>112.9</v>
      </c>
      <c r="Q2625" s="107">
        <v>114.14</v>
      </c>
      <c r="R2625">
        <v>22481500</v>
      </c>
    </row>
    <row r="2626" spans="1:18" x14ac:dyDescent="0.25">
      <c r="A2626" s="130">
        <v>45869</v>
      </c>
      <c r="B2626" s="107">
        <v>113.55</v>
      </c>
      <c r="C2626" s="107">
        <v>111.45</v>
      </c>
      <c r="D2626" s="107">
        <v>111</v>
      </c>
      <c r="E2626" s="107">
        <v>112.25</v>
      </c>
      <c r="F2626" s="107">
        <v>111.45</v>
      </c>
      <c r="G2626">
        <v>701948</v>
      </c>
      <c r="H2626" s="107"/>
      <c r="I2626" s="107"/>
      <c r="L2626" s="130">
        <v>45869</v>
      </c>
      <c r="M2626" s="107">
        <v>111.38</v>
      </c>
      <c r="N2626" s="107">
        <v>113.58</v>
      </c>
      <c r="O2626" s="107">
        <v>111.03</v>
      </c>
      <c r="P2626" s="107">
        <v>112.7</v>
      </c>
      <c r="Q2626" s="107">
        <v>111.38</v>
      </c>
      <c r="R2626">
        <v>7807247</v>
      </c>
    </row>
    <row r="2627" spans="1:18" x14ac:dyDescent="0.25">
      <c r="A2627" s="130">
        <v>45870</v>
      </c>
      <c r="B2627" s="107">
        <v>111.7</v>
      </c>
      <c r="C2627" s="107">
        <v>109.3</v>
      </c>
      <c r="D2627" s="107">
        <v>109</v>
      </c>
      <c r="E2627" s="107">
        <v>111.45</v>
      </c>
      <c r="F2627" s="107">
        <v>109.3</v>
      </c>
      <c r="G2627">
        <v>553904</v>
      </c>
      <c r="H2627" s="107"/>
      <c r="I2627" s="107"/>
      <c r="L2627" s="130">
        <v>45870</v>
      </c>
      <c r="M2627" s="107">
        <v>109.29</v>
      </c>
      <c r="N2627" s="107">
        <v>111.61</v>
      </c>
      <c r="O2627" s="107">
        <v>108.81</v>
      </c>
      <c r="P2627" s="107">
        <v>111.38</v>
      </c>
      <c r="Q2627" s="107">
        <v>109.29</v>
      </c>
      <c r="R2627">
        <v>6982193</v>
      </c>
    </row>
    <row r="2628" spans="1:18" x14ac:dyDescent="0.25">
      <c r="A2628" s="130">
        <v>45873</v>
      </c>
      <c r="B2628" s="107">
        <v>111.85</v>
      </c>
      <c r="C2628" s="107">
        <v>111.7</v>
      </c>
      <c r="D2628" s="107">
        <v>109.4</v>
      </c>
      <c r="E2628" s="107">
        <v>109.6</v>
      </c>
      <c r="F2628" s="107">
        <v>111.7</v>
      </c>
      <c r="G2628">
        <v>363549</v>
      </c>
      <c r="H2628" s="107"/>
      <c r="I2628" s="107"/>
      <c r="L2628" s="130">
        <v>45873</v>
      </c>
      <c r="M2628" s="107">
        <v>111.69</v>
      </c>
      <c r="N2628" s="107">
        <v>111.98</v>
      </c>
      <c r="O2628" s="107">
        <v>109.2</v>
      </c>
      <c r="P2628" s="107">
        <v>109.79</v>
      </c>
      <c r="Q2628" s="107">
        <v>111.69</v>
      </c>
      <c r="R2628">
        <v>5251839</v>
      </c>
    </row>
    <row r="2629" spans="1:18" x14ac:dyDescent="0.25">
      <c r="A2629" s="130">
        <v>45874</v>
      </c>
      <c r="B2629" s="107">
        <v>112.2</v>
      </c>
      <c r="C2629" s="107">
        <v>110.8</v>
      </c>
      <c r="D2629" s="107">
        <v>110.25</v>
      </c>
      <c r="E2629" s="107">
        <v>111.7</v>
      </c>
      <c r="F2629" s="107">
        <v>110.8</v>
      </c>
      <c r="G2629">
        <v>232900</v>
      </c>
      <c r="H2629" s="107"/>
      <c r="I2629" s="107"/>
      <c r="L2629" s="130">
        <v>45874</v>
      </c>
      <c r="M2629" s="107">
        <v>110.72</v>
      </c>
      <c r="N2629" s="107">
        <v>112.12</v>
      </c>
      <c r="O2629" s="107">
        <v>110.22</v>
      </c>
      <c r="P2629" s="107">
        <v>111.65</v>
      </c>
      <c r="Q2629" s="107">
        <v>110.72</v>
      </c>
      <c r="R2629">
        <v>3565443</v>
      </c>
    </row>
    <row r="2630" spans="1:18" x14ac:dyDescent="0.25">
      <c r="A2630" s="130">
        <v>45875</v>
      </c>
      <c r="B2630" s="107">
        <v>112.55</v>
      </c>
      <c r="C2630" s="107">
        <v>111.7</v>
      </c>
      <c r="D2630" s="107">
        <v>110</v>
      </c>
      <c r="E2630" s="107">
        <v>111.05</v>
      </c>
      <c r="F2630" s="107">
        <v>111.7</v>
      </c>
      <c r="G2630">
        <v>551268</v>
      </c>
      <c r="H2630" s="107"/>
      <c r="I2630" s="107"/>
      <c r="L2630" s="130">
        <v>45875</v>
      </c>
      <c r="M2630" s="107">
        <v>111.71</v>
      </c>
      <c r="N2630" s="107">
        <v>112.58</v>
      </c>
      <c r="O2630" s="107">
        <v>110</v>
      </c>
      <c r="P2630" s="107">
        <v>111.2</v>
      </c>
      <c r="Q2630" s="107">
        <v>111.71</v>
      </c>
      <c r="R2630">
        <v>8129316</v>
      </c>
    </row>
    <row r="2631" spans="1:18" x14ac:dyDescent="0.25">
      <c r="A2631" s="130">
        <v>45876</v>
      </c>
      <c r="B2631" s="107">
        <v>112.1</v>
      </c>
      <c r="C2631" s="107">
        <v>111.9</v>
      </c>
      <c r="D2631" s="107">
        <v>109.3</v>
      </c>
      <c r="E2631" s="107">
        <v>110.4</v>
      </c>
      <c r="F2631" s="107">
        <v>111.9</v>
      </c>
      <c r="G2631">
        <v>393846</v>
      </c>
      <c r="H2631" s="107"/>
      <c r="I2631" s="107"/>
      <c r="L2631" s="130">
        <v>45876</v>
      </c>
      <c r="M2631" s="107">
        <v>111.91</v>
      </c>
      <c r="N2631" s="107">
        <v>112.25</v>
      </c>
      <c r="O2631" s="107">
        <v>109.3</v>
      </c>
      <c r="P2631" s="107">
        <v>110.55</v>
      </c>
      <c r="Q2631" s="107">
        <v>111.91</v>
      </c>
      <c r="R2631">
        <v>8568226</v>
      </c>
    </row>
    <row r="2632" spans="1:18" x14ac:dyDescent="0.25">
      <c r="A2632" s="130">
        <v>45877</v>
      </c>
      <c r="B2632" s="107">
        <v>112.05</v>
      </c>
      <c r="C2632" s="107">
        <v>110.6</v>
      </c>
      <c r="D2632" s="107">
        <v>110.25</v>
      </c>
      <c r="E2632" s="107">
        <v>112</v>
      </c>
      <c r="F2632" s="107">
        <v>110.6</v>
      </c>
      <c r="G2632">
        <v>121265</v>
      </c>
      <c r="H2632" s="107"/>
      <c r="I2632" s="107"/>
      <c r="L2632" s="130">
        <v>45877</v>
      </c>
      <c r="M2632" s="107">
        <v>110.63</v>
      </c>
      <c r="N2632" s="107">
        <v>112.05</v>
      </c>
      <c r="O2632" s="107">
        <v>110.18</v>
      </c>
      <c r="P2632" s="107">
        <v>112</v>
      </c>
      <c r="Q2632" s="107">
        <v>110.63</v>
      </c>
      <c r="R2632">
        <v>3578107</v>
      </c>
    </row>
    <row r="2633" spans="1:18" x14ac:dyDescent="0.25">
      <c r="A2633" s="130">
        <v>45880</v>
      </c>
      <c r="B2633" s="107">
        <v>113.4</v>
      </c>
      <c r="C2633" s="107">
        <v>113.25</v>
      </c>
      <c r="D2633" s="107">
        <v>110.45</v>
      </c>
      <c r="E2633" s="107">
        <v>110.45</v>
      </c>
      <c r="F2633" s="107">
        <v>113.25</v>
      </c>
      <c r="G2633">
        <v>178715</v>
      </c>
      <c r="H2633" s="107"/>
      <c r="I2633" s="107"/>
      <c r="L2633" s="130">
        <v>45880</v>
      </c>
      <c r="M2633" s="107">
        <v>113.2</v>
      </c>
      <c r="N2633" s="107">
        <v>113.45</v>
      </c>
      <c r="O2633" s="107">
        <v>110.55</v>
      </c>
      <c r="P2633" s="107">
        <v>110.64</v>
      </c>
      <c r="Q2633" s="107">
        <v>113.2</v>
      </c>
      <c r="R2633">
        <v>7458908</v>
      </c>
    </row>
    <row r="2634" spans="1:18" x14ac:dyDescent="0.25">
      <c r="A2634" s="130">
        <v>45881</v>
      </c>
      <c r="B2634" s="107">
        <v>113.9</v>
      </c>
      <c r="C2634" s="107">
        <v>113.45</v>
      </c>
      <c r="D2634" s="107">
        <v>112.9</v>
      </c>
      <c r="E2634" s="107">
        <v>113.2</v>
      </c>
      <c r="F2634" s="107">
        <v>113.45</v>
      </c>
      <c r="G2634">
        <v>265208</v>
      </c>
      <c r="H2634" s="107"/>
      <c r="I2634" s="107"/>
      <c r="L2634" s="130">
        <v>45881</v>
      </c>
      <c r="M2634" s="107">
        <v>113.51</v>
      </c>
      <c r="N2634" s="107">
        <v>113.91</v>
      </c>
      <c r="O2634" s="107">
        <v>112.93</v>
      </c>
      <c r="P2634" s="107">
        <v>113.29</v>
      </c>
      <c r="Q2634" s="107">
        <v>113.51</v>
      </c>
      <c r="R2634">
        <v>3083473</v>
      </c>
    </row>
    <row r="2635" spans="1:18" x14ac:dyDescent="0.25">
      <c r="A2635" s="130">
        <v>45882</v>
      </c>
      <c r="B2635" s="107">
        <v>114.5</v>
      </c>
      <c r="C2635" s="107">
        <v>113.5</v>
      </c>
      <c r="D2635" s="107">
        <v>112.85</v>
      </c>
      <c r="E2635" s="107">
        <v>113.45</v>
      </c>
      <c r="F2635" s="107">
        <v>113.5</v>
      </c>
      <c r="G2635">
        <v>102772</v>
      </c>
      <c r="H2635" s="107"/>
      <c r="I2635" s="107"/>
      <c r="L2635" s="130">
        <v>45882</v>
      </c>
      <c r="M2635" s="107">
        <v>113.56</v>
      </c>
      <c r="N2635" s="107">
        <v>114.63</v>
      </c>
      <c r="O2635" s="107">
        <v>112.81</v>
      </c>
      <c r="P2635" s="107">
        <v>113.51</v>
      </c>
      <c r="Q2635" s="107">
        <v>113.56</v>
      </c>
      <c r="R2635">
        <v>3141791</v>
      </c>
    </row>
    <row r="2636" spans="1:18" x14ac:dyDescent="0.25">
      <c r="A2636" s="130">
        <v>45883</v>
      </c>
      <c r="B2636" s="107">
        <v>113.9</v>
      </c>
      <c r="C2636" s="107">
        <v>113.15</v>
      </c>
      <c r="D2636" s="107">
        <v>112.65</v>
      </c>
      <c r="E2636" s="107">
        <v>113.9</v>
      </c>
      <c r="F2636" s="107">
        <v>113.15</v>
      </c>
      <c r="G2636">
        <v>86498</v>
      </c>
      <c r="H2636" s="107"/>
      <c r="I2636" s="107"/>
      <c r="L2636" s="130">
        <v>45883</v>
      </c>
      <c r="M2636" s="107">
        <v>113.19</v>
      </c>
      <c r="N2636" s="107">
        <v>113.9</v>
      </c>
      <c r="O2636" s="107">
        <v>112.6</v>
      </c>
      <c r="P2636" s="107">
        <v>113.64</v>
      </c>
      <c r="Q2636" s="107">
        <v>113.19</v>
      </c>
      <c r="R2636">
        <v>2291942</v>
      </c>
    </row>
    <row r="2637" spans="1:18" x14ac:dyDescent="0.25">
      <c r="A2637" s="130">
        <v>45887</v>
      </c>
      <c r="B2637" s="107">
        <v>115.25</v>
      </c>
      <c r="C2637" s="107">
        <v>114.95</v>
      </c>
      <c r="D2637" s="107">
        <v>113.95</v>
      </c>
      <c r="E2637" s="107">
        <v>114.1</v>
      </c>
      <c r="F2637" s="107">
        <v>114.95</v>
      </c>
      <c r="G2637">
        <v>253213</v>
      </c>
      <c r="H2637" s="107"/>
      <c r="I2637" s="107"/>
      <c r="L2637" s="130">
        <v>45887</v>
      </c>
      <c r="M2637" s="107">
        <v>114.86</v>
      </c>
      <c r="N2637" s="107">
        <v>115.29</v>
      </c>
      <c r="O2637" s="107">
        <v>113.84</v>
      </c>
      <c r="P2637" s="107">
        <v>114.03</v>
      </c>
      <c r="Q2637" s="107">
        <v>114.86</v>
      </c>
      <c r="R2637">
        <v>4616495</v>
      </c>
    </row>
    <row r="2638" spans="1:18" x14ac:dyDescent="0.25">
      <c r="A2638" s="130">
        <v>45888</v>
      </c>
      <c r="B2638" s="107">
        <v>116.65</v>
      </c>
      <c r="C2638" s="107">
        <v>116.45</v>
      </c>
      <c r="D2638" s="107">
        <v>114.4</v>
      </c>
      <c r="E2638" s="107">
        <v>114.8</v>
      </c>
      <c r="F2638" s="107">
        <v>116.45</v>
      </c>
      <c r="G2638">
        <v>453338</v>
      </c>
      <c r="H2638" s="107"/>
      <c r="I2638" s="107"/>
      <c r="L2638" s="130">
        <v>45888</v>
      </c>
      <c r="M2638" s="107">
        <v>116.49</v>
      </c>
      <c r="N2638" s="107">
        <v>116.65</v>
      </c>
      <c r="O2638" s="107">
        <v>114.4</v>
      </c>
      <c r="P2638" s="107">
        <v>114.93</v>
      </c>
      <c r="Q2638" s="107">
        <v>116.49</v>
      </c>
      <c r="R2638">
        <v>5680882</v>
      </c>
    </row>
    <row r="2639" spans="1:18" x14ac:dyDescent="0.25">
      <c r="A2639" s="130">
        <v>45889</v>
      </c>
      <c r="B2639" s="107">
        <v>117.3</v>
      </c>
      <c r="C2639" s="107">
        <v>116.25</v>
      </c>
      <c r="D2639" s="107">
        <v>116</v>
      </c>
      <c r="E2639" s="107">
        <v>116.2</v>
      </c>
      <c r="F2639" s="107">
        <v>116.25</v>
      </c>
      <c r="G2639">
        <v>112815</v>
      </c>
      <c r="H2639" s="107"/>
      <c r="I2639" s="107"/>
      <c r="L2639" s="130">
        <v>45889</v>
      </c>
      <c r="M2639" s="107">
        <v>116.33</v>
      </c>
      <c r="N2639" s="107">
        <v>117.31</v>
      </c>
      <c r="O2639" s="107">
        <v>115.9</v>
      </c>
      <c r="P2639" s="107">
        <v>116.49</v>
      </c>
      <c r="Q2639" s="107">
        <v>116.33</v>
      </c>
      <c r="R2639">
        <v>2600256</v>
      </c>
    </row>
    <row r="2640" spans="1:18" x14ac:dyDescent="0.25">
      <c r="A2640" s="130">
        <v>45890</v>
      </c>
      <c r="B2640" s="107">
        <v>117</v>
      </c>
      <c r="C2640" s="107">
        <v>115.95</v>
      </c>
      <c r="D2640" s="107">
        <v>115.8</v>
      </c>
      <c r="E2640" s="107">
        <v>116.8</v>
      </c>
      <c r="F2640" s="107">
        <v>115.95</v>
      </c>
      <c r="G2640">
        <v>116384</v>
      </c>
      <c r="H2640" s="107"/>
      <c r="I2640" s="107"/>
      <c r="L2640" s="130">
        <v>45890</v>
      </c>
      <c r="M2640" s="107">
        <v>115.95</v>
      </c>
      <c r="N2640" s="107">
        <v>117</v>
      </c>
      <c r="O2640" s="107">
        <v>115.75</v>
      </c>
      <c r="P2640" s="107">
        <v>116.55</v>
      </c>
      <c r="Q2640" s="107">
        <v>115.95</v>
      </c>
      <c r="R2640">
        <v>2228690</v>
      </c>
    </row>
    <row r="2641" spans="1:18" x14ac:dyDescent="0.25">
      <c r="A2641" s="130">
        <v>45891</v>
      </c>
      <c r="B2641" s="107">
        <v>116.8</v>
      </c>
      <c r="C2641" s="107">
        <v>115.35</v>
      </c>
      <c r="D2641" s="107">
        <v>115.2</v>
      </c>
      <c r="E2641" s="107">
        <v>115.6</v>
      </c>
      <c r="F2641" s="107">
        <v>115.35</v>
      </c>
      <c r="G2641">
        <v>337301</v>
      </c>
      <c r="H2641" s="107"/>
      <c r="I2641" s="107"/>
      <c r="L2641" s="130">
        <v>45891</v>
      </c>
      <c r="M2641" s="107">
        <v>115.46</v>
      </c>
      <c r="N2641" s="107">
        <v>116.84</v>
      </c>
      <c r="O2641" s="107">
        <v>115.2</v>
      </c>
      <c r="P2641" s="107">
        <v>115.8</v>
      </c>
      <c r="Q2641" s="107">
        <v>115.46</v>
      </c>
      <c r="R2641">
        <v>4478996</v>
      </c>
    </row>
    <row r="2642" spans="1:18" x14ac:dyDescent="0.25">
      <c r="A2642" s="130">
        <v>45894</v>
      </c>
      <c r="B2642" s="107">
        <v>116.15</v>
      </c>
      <c r="C2642" s="107">
        <v>114.85</v>
      </c>
      <c r="D2642" s="107">
        <v>114.75</v>
      </c>
      <c r="E2642" s="107">
        <v>115.15</v>
      </c>
      <c r="F2642" s="107">
        <v>114.85</v>
      </c>
      <c r="G2642">
        <v>123075</v>
      </c>
      <c r="H2642" s="107"/>
      <c r="I2642" s="107"/>
      <c r="L2642" s="130">
        <v>45894</v>
      </c>
      <c r="M2642" s="107">
        <v>114.97</v>
      </c>
      <c r="N2642" s="107">
        <v>116.16</v>
      </c>
      <c r="O2642" s="107">
        <v>114.76</v>
      </c>
      <c r="P2642" s="107">
        <v>115.46</v>
      </c>
      <c r="Q2642" s="107">
        <v>114.97</v>
      </c>
      <c r="R2642">
        <v>2758723</v>
      </c>
    </row>
    <row r="2643" spans="1:18" x14ac:dyDescent="0.25">
      <c r="A2643" s="130">
        <v>45895</v>
      </c>
      <c r="B2643" s="107">
        <v>114.95</v>
      </c>
      <c r="C2643" s="107">
        <v>112.45</v>
      </c>
      <c r="D2643" s="107">
        <v>112.2</v>
      </c>
      <c r="E2643" s="107">
        <v>114.6</v>
      </c>
      <c r="F2643" s="107">
        <v>112.45</v>
      </c>
      <c r="G2643">
        <v>139130</v>
      </c>
      <c r="H2643" s="107"/>
      <c r="I2643" s="107"/>
      <c r="L2643" s="130">
        <v>45895</v>
      </c>
      <c r="M2643" s="107">
        <v>112.38</v>
      </c>
      <c r="N2643" s="107">
        <v>115</v>
      </c>
      <c r="O2643" s="107">
        <v>112.1</v>
      </c>
      <c r="P2643" s="107">
        <v>114.75</v>
      </c>
      <c r="Q2643" s="107">
        <v>112.38</v>
      </c>
      <c r="R2643">
        <v>3769151</v>
      </c>
    </row>
    <row r="2644" spans="1:18" x14ac:dyDescent="0.25">
      <c r="A2644" s="130">
        <v>45897</v>
      </c>
      <c r="B2644" s="107">
        <v>112.7</v>
      </c>
      <c r="C2644" s="107">
        <v>110.35</v>
      </c>
      <c r="D2644" s="107">
        <v>110.1</v>
      </c>
      <c r="E2644" s="107">
        <v>112.1</v>
      </c>
      <c r="F2644" s="107">
        <v>110.35</v>
      </c>
      <c r="G2644">
        <v>347680</v>
      </c>
      <c r="H2644" s="107"/>
      <c r="I2644" s="107"/>
      <c r="L2644" s="130">
        <v>45897</v>
      </c>
      <c r="M2644" s="107">
        <v>110.27</v>
      </c>
      <c r="N2644" s="107">
        <v>112.77</v>
      </c>
      <c r="O2644" s="107">
        <v>110.05</v>
      </c>
      <c r="P2644" s="107">
        <v>112.43</v>
      </c>
      <c r="Q2644" s="107">
        <v>110.27</v>
      </c>
      <c r="R2644">
        <v>4000540</v>
      </c>
    </row>
    <row r="2645" spans="1:18" x14ac:dyDescent="0.25">
      <c r="A2645" s="130">
        <v>45898</v>
      </c>
      <c r="B2645" s="107">
        <v>111.75</v>
      </c>
      <c r="C2645" s="107">
        <v>110.35</v>
      </c>
      <c r="D2645" s="107">
        <v>109.8</v>
      </c>
      <c r="E2645" s="107">
        <v>111.4</v>
      </c>
      <c r="F2645" s="107">
        <v>110.35</v>
      </c>
      <c r="G2645">
        <v>303691</v>
      </c>
      <c r="H2645" s="107"/>
      <c r="I2645" s="107"/>
      <c r="L2645" s="130">
        <v>45898</v>
      </c>
      <c r="M2645" s="107">
        <v>110.29</v>
      </c>
      <c r="N2645" s="107">
        <v>111.74</v>
      </c>
      <c r="O2645" s="107">
        <v>109.85</v>
      </c>
      <c r="P2645" s="107">
        <v>110.87</v>
      </c>
      <c r="Q2645" s="107">
        <v>110.29</v>
      </c>
      <c r="R2645">
        <v>4167804</v>
      </c>
    </row>
    <row r="2646" spans="1:18" x14ac:dyDescent="0.25">
      <c r="A2646" s="130">
        <v>45901</v>
      </c>
      <c r="B2646" s="107">
        <v>112.1</v>
      </c>
      <c r="C2646" s="107">
        <v>111.85</v>
      </c>
      <c r="D2646" s="107">
        <v>110.7</v>
      </c>
      <c r="E2646" s="107">
        <v>110.95</v>
      </c>
      <c r="F2646" s="107">
        <v>111.85</v>
      </c>
      <c r="G2646">
        <v>195882</v>
      </c>
      <c r="H2646" s="107"/>
      <c r="I2646" s="107"/>
      <c r="L2646" s="130">
        <v>45901</v>
      </c>
      <c r="M2646" s="107">
        <v>111.89</v>
      </c>
      <c r="N2646" s="107">
        <v>112.1</v>
      </c>
      <c r="O2646" s="107">
        <v>110.68</v>
      </c>
      <c r="P2646" s="107">
        <v>110.76</v>
      </c>
      <c r="Q2646" s="107">
        <v>111.89</v>
      </c>
      <c r="R2646">
        <v>2212254</v>
      </c>
    </row>
    <row r="2647" spans="1:18" x14ac:dyDescent="0.25">
      <c r="A2647" s="130">
        <v>45902</v>
      </c>
      <c r="B2647" s="107">
        <v>113.85</v>
      </c>
      <c r="C2647" s="107">
        <v>112.9</v>
      </c>
      <c r="D2647" s="107">
        <v>111.55</v>
      </c>
      <c r="E2647" s="107">
        <v>112.45</v>
      </c>
      <c r="F2647" s="107">
        <v>112.9</v>
      </c>
      <c r="G2647">
        <v>171949</v>
      </c>
      <c r="H2647" s="107"/>
      <c r="I2647" s="107"/>
      <c r="L2647" s="130">
        <v>45902</v>
      </c>
      <c r="M2647" s="107">
        <v>112.92</v>
      </c>
      <c r="N2647" s="107">
        <v>113.88</v>
      </c>
      <c r="O2647" s="107">
        <v>111.42</v>
      </c>
      <c r="P2647" s="107">
        <v>112.3</v>
      </c>
      <c r="Q2647" s="107">
        <v>112.92</v>
      </c>
      <c r="R2647">
        <v>4219395</v>
      </c>
    </row>
    <row r="2648" spans="1:18" x14ac:dyDescent="0.25">
      <c r="A2648" s="130">
        <v>45903</v>
      </c>
      <c r="B2648" s="107">
        <v>113.75</v>
      </c>
      <c r="C2648" s="107">
        <v>113.6</v>
      </c>
      <c r="D2648" s="107">
        <v>112.85</v>
      </c>
      <c r="E2648" s="107">
        <v>112.95</v>
      </c>
      <c r="F2648" s="107">
        <v>113.6</v>
      </c>
      <c r="G2648">
        <v>72951</v>
      </c>
      <c r="H2648" s="107"/>
      <c r="I2648" s="107"/>
      <c r="L2648" s="130">
        <v>45903</v>
      </c>
      <c r="M2648" s="107">
        <v>113.57</v>
      </c>
      <c r="N2648" s="107">
        <v>113.77</v>
      </c>
      <c r="O2648" s="107">
        <v>112.89</v>
      </c>
      <c r="P2648" s="107">
        <v>113</v>
      </c>
      <c r="Q2648" s="107">
        <v>113.57</v>
      </c>
      <c r="R2648">
        <v>2145524</v>
      </c>
    </row>
    <row r="2649" spans="1:18" x14ac:dyDescent="0.25">
      <c r="A2649" s="130">
        <v>45904</v>
      </c>
      <c r="B2649" s="107">
        <v>114.7</v>
      </c>
      <c r="C2649" s="107">
        <v>112.15</v>
      </c>
      <c r="D2649" s="107">
        <v>112.05</v>
      </c>
      <c r="E2649" s="107">
        <v>113.95</v>
      </c>
      <c r="F2649" s="107">
        <v>112.15</v>
      </c>
      <c r="G2649">
        <v>179664</v>
      </c>
      <c r="H2649" s="107"/>
      <c r="I2649" s="107"/>
      <c r="L2649" s="130">
        <v>45904</v>
      </c>
      <c r="M2649" s="107">
        <v>112.14</v>
      </c>
      <c r="N2649" s="107">
        <v>114.8</v>
      </c>
      <c r="O2649" s="107">
        <v>112.01</v>
      </c>
      <c r="P2649" s="107">
        <v>114.08</v>
      </c>
      <c r="Q2649" s="107">
        <v>112.14</v>
      </c>
      <c r="R2649">
        <v>3068333</v>
      </c>
    </row>
    <row r="2650" spans="1:18" x14ac:dyDescent="0.25">
      <c r="A2650" s="130">
        <v>45905</v>
      </c>
      <c r="B2650" s="107">
        <v>113.1</v>
      </c>
      <c r="C2650" s="107">
        <v>112.55</v>
      </c>
      <c r="D2650" s="107">
        <v>111.4</v>
      </c>
      <c r="E2650" s="107">
        <v>112.25</v>
      </c>
      <c r="F2650" s="107">
        <v>112.55</v>
      </c>
      <c r="G2650">
        <v>125893</v>
      </c>
      <c r="H2650" s="107"/>
      <c r="I2650" s="107"/>
      <c r="L2650" s="130">
        <v>45905</v>
      </c>
      <c r="M2650" s="107">
        <v>112.57</v>
      </c>
      <c r="N2650" s="107">
        <v>113.13</v>
      </c>
      <c r="O2650" s="107">
        <v>111.33</v>
      </c>
      <c r="P2650" s="107">
        <v>112.39</v>
      </c>
      <c r="Q2650" s="107">
        <v>112.57</v>
      </c>
      <c r="R2650">
        <v>2803336</v>
      </c>
    </row>
    <row r="2651" spans="1:18" x14ac:dyDescent="0.25">
      <c r="A2651" s="130">
        <v>45908</v>
      </c>
      <c r="B2651" s="107">
        <v>114.1</v>
      </c>
      <c r="C2651" s="107">
        <v>113.15</v>
      </c>
      <c r="D2651" s="107">
        <v>112.55</v>
      </c>
      <c r="E2651" s="107">
        <v>113.5</v>
      </c>
      <c r="F2651" s="107">
        <v>113.15</v>
      </c>
      <c r="G2651">
        <v>85286</v>
      </c>
      <c r="H2651" s="107"/>
      <c r="I2651" s="107"/>
      <c r="L2651" s="130">
        <v>45908</v>
      </c>
      <c r="M2651" s="107">
        <v>113.2</v>
      </c>
      <c r="N2651" s="107">
        <v>114.1</v>
      </c>
      <c r="O2651" s="107">
        <v>112.51</v>
      </c>
      <c r="P2651" s="107">
        <v>113</v>
      </c>
      <c r="Q2651" s="107">
        <v>113.2</v>
      </c>
      <c r="R2651">
        <v>3338930</v>
      </c>
    </row>
    <row r="2652" spans="1:18" x14ac:dyDescent="0.25">
      <c r="A2652" s="130">
        <v>45909</v>
      </c>
      <c r="B2652" s="107">
        <v>113.9</v>
      </c>
      <c r="C2652" s="107">
        <v>112.65</v>
      </c>
      <c r="D2652" s="107">
        <v>112.5</v>
      </c>
      <c r="E2652" s="107">
        <v>113.2</v>
      </c>
      <c r="F2652" s="107">
        <v>112.65</v>
      </c>
      <c r="G2652">
        <v>97934</v>
      </c>
      <c r="H2652" s="107"/>
      <c r="I2652" s="107"/>
      <c r="L2652" s="130">
        <v>45909</v>
      </c>
      <c r="M2652" s="107">
        <v>112.77</v>
      </c>
      <c r="N2652" s="107">
        <v>113.79</v>
      </c>
      <c r="O2652" s="107">
        <v>112.51</v>
      </c>
      <c r="P2652" s="107">
        <v>113.78</v>
      </c>
      <c r="Q2652" s="107">
        <v>112.77</v>
      </c>
      <c r="R2652">
        <v>3781116</v>
      </c>
    </row>
    <row r="2653" spans="1:18" x14ac:dyDescent="0.25">
      <c r="A2653" s="130">
        <v>45910</v>
      </c>
      <c r="B2653" s="107">
        <v>117.85</v>
      </c>
      <c r="C2653" s="107">
        <v>117.5</v>
      </c>
      <c r="D2653" s="107">
        <v>112.9</v>
      </c>
      <c r="E2653" s="107">
        <v>112.9</v>
      </c>
      <c r="F2653" s="107">
        <v>117.5</v>
      </c>
      <c r="G2653">
        <v>419426</v>
      </c>
      <c r="H2653" s="107"/>
      <c r="I2653" s="107"/>
      <c r="L2653" s="130">
        <v>45910</v>
      </c>
      <c r="M2653" s="107">
        <v>117.49</v>
      </c>
      <c r="N2653" s="107">
        <v>117.81</v>
      </c>
      <c r="O2653" s="107">
        <v>112.9</v>
      </c>
      <c r="P2653" s="107">
        <v>113.04</v>
      </c>
      <c r="Q2653" s="107">
        <v>117.49</v>
      </c>
      <c r="R2653">
        <v>10642889</v>
      </c>
    </row>
    <row r="2654" spans="1:18" x14ac:dyDescent="0.25">
      <c r="A2654" s="130">
        <v>45911</v>
      </c>
      <c r="B2654" s="107">
        <v>121.2</v>
      </c>
      <c r="C2654" s="107">
        <v>118.15</v>
      </c>
      <c r="D2654" s="107">
        <v>117.2</v>
      </c>
      <c r="E2654" s="107">
        <v>117.5</v>
      </c>
      <c r="F2654" s="107">
        <v>118.15</v>
      </c>
      <c r="G2654">
        <v>1120928</v>
      </c>
      <c r="H2654" s="107"/>
      <c r="I2654" s="107"/>
      <c r="L2654" s="130">
        <v>45911</v>
      </c>
      <c r="M2654" s="107">
        <v>118.1</v>
      </c>
      <c r="N2654" s="107">
        <v>121.2</v>
      </c>
      <c r="O2654" s="107">
        <v>117.3</v>
      </c>
      <c r="P2654" s="107">
        <v>117.55</v>
      </c>
      <c r="Q2654" s="107">
        <v>118.1</v>
      </c>
      <c r="R2654">
        <v>15107871</v>
      </c>
    </row>
    <row r="2655" spans="1:18" x14ac:dyDescent="0.25">
      <c r="A2655" s="130">
        <v>45912</v>
      </c>
      <c r="B2655" s="107">
        <v>119.2</v>
      </c>
      <c r="C2655" s="107">
        <v>117.3</v>
      </c>
      <c r="D2655" s="107">
        <v>116.4</v>
      </c>
      <c r="E2655" s="107">
        <v>118.2</v>
      </c>
      <c r="F2655" s="107">
        <v>117.3</v>
      </c>
      <c r="G2655">
        <v>510244</v>
      </c>
      <c r="H2655" s="107"/>
      <c r="I2655" s="107"/>
      <c r="L2655" s="130">
        <v>45912</v>
      </c>
      <c r="M2655" s="107">
        <v>117.34</v>
      </c>
      <c r="N2655" s="107">
        <v>119.35</v>
      </c>
      <c r="O2655" s="107">
        <v>116.5</v>
      </c>
      <c r="P2655" s="107">
        <v>118.85</v>
      </c>
      <c r="Q2655" s="107">
        <v>117.34</v>
      </c>
      <c r="R2655">
        <v>4937371</v>
      </c>
    </row>
    <row r="2656" spans="1:18" x14ac:dyDescent="0.25">
      <c r="A2656" s="130">
        <v>45915</v>
      </c>
      <c r="B2656" s="107">
        <v>118.85</v>
      </c>
      <c r="C2656" s="107">
        <v>118</v>
      </c>
      <c r="D2656" s="107">
        <v>117</v>
      </c>
      <c r="E2656" s="107">
        <v>117.85</v>
      </c>
      <c r="F2656" s="107">
        <v>118</v>
      </c>
      <c r="G2656">
        <v>247975</v>
      </c>
      <c r="H2656" s="107"/>
      <c r="I2656" s="107"/>
      <c r="L2656" s="130">
        <v>45915</v>
      </c>
      <c r="M2656" s="107">
        <v>117.99</v>
      </c>
      <c r="N2656" s="107">
        <v>118.94</v>
      </c>
      <c r="O2656" s="107">
        <v>117</v>
      </c>
      <c r="P2656" s="107">
        <v>117.5</v>
      </c>
      <c r="Q2656" s="107">
        <v>117.99</v>
      </c>
      <c r="R2656">
        <v>4276523</v>
      </c>
    </row>
    <row r="2657" spans="1:18" x14ac:dyDescent="0.25">
      <c r="A2657" s="130">
        <v>45916</v>
      </c>
      <c r="B2657" s="107">
        <v>118.45</v>
      </c>
      <c r="C2657" s="107">
        <v>117.5</v>
      </c>
      <c r="D2657" s="107">
        <v>117.1</v>
      </c>
      <c r="E2657" s="107">
        <v>118</v>
      </c>
      <c r="F2657" s="107">
        <v>117.5</v>
      </c>
      <c r="G2657">
        <v>277967</v>
      </c>
      <c r="H2657" s="107"/>
      <c r="I2657" s="107"/>
      <c r="L2657" s="130">
        <v>45916</v>
      </c>
      <c r="M2657" s="107">
        <v>117.53</v>
      </c>
      <c r="N2657" s="107">
        <v>118.5</v>
      </c>
      <c r="O2657" s="107">
        <v>117.1</v>
      </c>
      <c r="P2657" s="107">
        <v>118.08</v>
      </c>
      <c r="Q2657" s="107">
        <v>117.53</v>
      </c>
      <c r="R2657">
        <v>3693614</v>
      </c>
    </row>
    <row r="2658" spans="1:18" x14ac:dyDescent="0.25">
      <c r="A2658" s="130">
        <v>45917</v>
      </c>
      <c r="B2658" s="107">
        <v>120</v>
      </c>
      <c r="C2658" s="107">
        <v>119.6</v>
      </c>
      <c r="D2658" s="107">
        <v>117.05</v>
      </c>
      <c r="E2658" s="107">
        <v>117.7</v>
      </c>
      <c r="F2658" s="107">
        <v>119.6</v>
      </c>
      <c r="G2658">
        <v>441829</v>
      </c>
      <c r="H2658" s="107"/>
      <c r="I2658" s="107"/>
      <c r="L2658" s="130">
        <v>45917</v>
      </c>
      <c r="M2658" s="107">
        <v>119.64</v>
      </c>
      <c r="N2658" s="107">
        <v>120</v>
      </c>
      <c r="O2658" s="107">
        <v>117.02</v>
      </c>
      <c r="P2658" s="107">
        <v>117.7</v>
      </c>
      <c r="Q2658" s="107">
        <v>119.64</v>
      </c>
      <c r="R2658">
        <v>11992878</v>
      </c>
    </row>
    <row r="2659" spans="1:18" x14ac:dyDescent="0.25">
      <c r="A2659" s="130">
        <v>45918</v>
      </c>
      <c r="B2659" s="107">
        <v>120.75</v>
      </c>
      <c r="C2659" s="107">
        <v>119</v>
      </c>
      <c r="D2659" s="107">
        <v>118.25</v>
      </c>
      <c r="E2659" s="107">
        <v>120.05</v>
      </c>
      <c r="F2659" s="107">
        <v>119</v>
      </c>
      <c r="G2659">
        <v>288032</v>
      </c>
      <c r="H2659" s="107"/>
      <c r="I2659" s="107"/>
      <c r="L2659" s="130">
        <v>45918</v>
      </c>
      <c r="M2659" s="107">
        <v>119.01</v>
      </c>
      <c r="N2659" s="107">
        <v>120.75</v>
      </c>
      <c r="O2659" s="107">
        <v>118.21</v>
      </c>
      <c r="P2659" s="107">
        <v>120.2</v>
      </c>
      <c r="Q2659" s="107">
        <v>119.01</v>
      </c>
      <c r="R2659">
        <v>8424454</v>
      </c>
    </row>
    <row r="2660" spans="1:18" x14ac:dyDescent="0.25">
      <c r="A2660" s="130">
        <v>45919</v>
      </c>
      <c r="B2660" s="107">
        <v>121.25</v>
      </c>
      <c r="C2660" s="107">
        <v>120.45</v>
      </c>
      <c r="D2660" s="107">
        <v>119</v>
      </c>
      <c r="E2660" s="107">
        <v>119.9</v>
      </c>
      <c r="F2660" s="107">
        <v>120.45</v>
      </c>
      <c r="G2660">
        <v>313856</v>
      </c>
      <c r="H2660" s="107"/>
      <c r="I2660" s="107"/>
      <c r="L2660" s="130">
        <v>45919</v>
      </c>
      <c r="M2660" s="107">
        <v>120.47</v>
      </c>
      <c r="N2660" s="107">
        <v>121.25</v>
      </c>
      <c r="O2660" s="107">
        <v>118.92</v>
      </c>
      <c r="P2660" s="107">
        <v>119</v>
      </c>
      <c r="Q2660" s="107">
        <v>120.47</v>
      </c>
      <c r="R2660">
        <v>8984418</v>
      </c>
    </row>
    <row r="2661" spans="1:18" x14ac:dyDescent="0.25">
      <c r="A2661" s="130">
        <v>45922</v>
      </c>
      <c r="B2661" s="107">
        <v>121.65</v>
      </c>
      <c r="C2661" s="107">
        <v>120.5</v>
      </c>
      <c r="D2661" s="107">
        <v>119.9</v>
      </c>
      <c r="E2661" s="107">
        <v>120.45</v>
      </c>
      <c r="F2661" s="107">
        <v>120.5</v>
      </c>
      <c r="G2661">
        <v>207029</v>
      </c>
      <c r="H2661" s="107"/>
      <c r="I2661" s="107"/>
      <c r="L2661" s="130">
        <v>45922</v>
      </c>
      <c r="M2661" s="107">
        <v>120.53</v>
      </c>
      <c r="N2661" s="107">
        <v>121.7</v>
      </c>
      <c r="O2661" s="107">
        <v>119.88</v>
      </c>
      <c r="P2661" s="107">
        <v>120.47</v>
      </c>
      <c r="Q2661" s="107">
        <v>120.53</v>
      </c>
      <c r="R2661">
        <v>7134399</v>
      </c>
    </row>
    <row r="2662" spans="1:18" x14ac:dyDescent="0.25">
      <c r="A2662" s="130">
        <v>45923</v>
      </c>
      <c r="B2662" s="107">
        <v>121.85</v>
      </c>
      <c r="C2662" s="107">
        <v>121.4</v>
      </c>
      <c r="D2662" s="107">
        <v>119.25</v>
      </c>
      <c r="E2662" s="107">
        <v>120.5</v>
      </c>
      <c r="F2662" s="107">
        <v>121.4</v>
      </c>
      <c r="G2662">
        <v>304988</v>
      </c>
      <c r="H2662" s="107"/>
      <c r="I2662" s="107"/>
      <c r="L2662" s="130">
        <v>45923</v>
      </c>
      <c r="M2662" s="107">
        <v>121.43</v>
      </c>
      <c r="N2662" s="107">
        <v>121.85</v>
      </c>
      <c r="O2662" s="107">
        <v>119.27</v>
      </c>
      <c r="P2662" s="107">
        <v>120.53</v>
      </c>
      <c r="Q2662" s="107">
        <v>121.43</v>
      </c>
      <c r="R2662">
        <v>6971134</v>
      </c>
    </row>
    <row r="2663" spans="1:18" x14ac:dyDescent="0.25">
      <c r="A2663" s="130">
        <v>45924</v>
      </c>
      <c r="B2663" s="107">
        <v>123.85</v>
      </c>
      <c r="C2663" s="107">
        <v>121</v>
      </c>
      <c r="D2663" s="107">
        <v>120.6</v>
      </c>
      <c r="E2663" s="107">
        <v>122</v>
      </c>
      <c r="F2663" s="107">
        <v>121</v>
      </c>
      <c r="G2663">
        <v>448202</v>
      </c>
      <c r="H2663" s="107"/>
      <c r="I2663" s="107"/>
      <c r="L2663" s="130">
        <v>45924</v>
      </c>
      <c r="M2663" s="107">
        <v>120.99</v>
      </c>
      <c r="N2663" s="107">
        <v>123.87</v>
      </c>
      <c r="O2663" s="107">
        <v>120.35</v>
      </c>
      <c r="P2663" s="107">
        <v>122.17</v>
      </c>
      <c r="Q2663" s="107">
        <v>120.99</v>
      </c>
      <c r="R2663">
        <v>11500294</v>
      </c>
    </row>
    <row r="2664" spans="1:18" x14ac:dyDescent="0.25">
      <c r="A2664" s="130">
        <v>45925</v>
      </c>
      <c r="B2664" s="107">
        <v>121.2</v>
      </c>
      <c r="C2664" s="107">
        <v>119.55</v>
      </c>
      <c r="D2664" s="107">
        <v>119.25</v>
      </c>
      <c r="E2664" s="107">
        <v>120.8</v>
      </c>
      <c r="F2664" s="107">
        <v>119.55</v>
      </c>
      <c r="G2664">
        <v>326145</v>
      </c>
      <c r="H2664" s="107"/>
      <c r="I2664" s="107"/>
      <c r="L2664" s="130">
        <v>45925</v>
      </c>
      <c r="M2664" s="107">
        <v>119.76</v>
      </c>
      <c r="N2664" s="107">
        <v>121.19</v>
      </c>
      <c r="O2664" s="107">
        <v>119.26</v>
      </c>
      <c r="P2664" s="107">
        <v>120.9</v>
      </c>
      <c r="Q2664" s="107">
        <v>119.76</v>
      </c>
      <c r="R2664">
        <v>4855466</v>
      </c>
    </row>
    <row r="2665" spans="1:18" x14ac:dyDescent="0.25">
      <c r="A2665" s="130">
        <v>45926</v>
      </c>
      <c r="B2665" s="107">
        <v>119.95</v>
      </c>
      <c r="C2665" s="107">
        <v>116.25</v>
      </c>
      <c r="D2665" s="107">
        <v>116</v>
      </c>
      <c r="E2665" s="107">
        <v>119.95</v>
      </c>
      <c r="F2665" s="107">
        <v>116.25</v>
      </c>
      <c r="G2665">
        <v>203510</v>
      </c>
      <c r="H2665" s="107"/>
      <c r="I2665" s="107"/>
      <c r="L2665" s="130">
        <v>45926</v>
      </c>
      <c r="M2665" s="107">
        <v>116.33</v>
      </c>
      <c r="N2665" s="107">
        <v>119.88</v>
      </c>
      <c r="O2665" s="107">
        <v>116</v>
      </c>
      <c r="P2665" s="107">
        <v>119.54</v>
      </c>
      <c r="Q2665" s="107">
        <v>116.33</v>
      </c>
      <c r="R2665">
        <v>6173940</v>
      </c>
    </row>
    <row r="2666" spans="1:18" x14ac:dyDescent="0.25">
      <c r="A2666" s="130">
        <v>45929</v>
      </c>
      <c r="B2666" s="107">
        <v>119.85</v>
      </c>
      <c r="C2666" s="107">
        <v>118.85</v>
      </c>
      <c r="D2666" s="107">
        <v>116.35</v>
      </c>
      <c r="E2666" s="107">
        <v>117.95</v>
      </c>
      <c r="F2666" s="107">
        <v>118.85</v>
      </c>
      <c r="G2666">
        <v>192311</v>
      </c>
      <c r="H2666" s="107"/>
      <c r="I2666" s="107"/>
      <c r="L2666" s="130">
        <v>45929</v>
      </c>
      <c r="M2666" s="107">
        <v>118.77</v>
      </c>
      <c r="N2666" s="107">
        <v>119.9</v>
      </c>
      <c r="O2666" s="107">
        <v>116.26</v>
      </c>
      <c r="P2666" s="107">
        <v>116.61</v>
      </c>
      <c r="Q2666" s="107">
        <v>118.77</v>
      </c>
      <c r="R2666">
        <v>6351712</v>
      </c>
    </row>
    <row r="2667" spans="1:18" x14ac:dyDescent="0.25">
      <c r="A2667" s="130">
        <v>45930</v>
      </c>
      <c r="B2667" s="107">
        <v>123.85</v>
      </c>
      <c r="C2667" s="107">
        <v>123.35</v>
      </c>
      <c r="D2667" s="107">
        <v>118.9</v>
      </c>
      <c r="E2667" s="107">
        <v>119</v>
      </c>
      <c r="F2667" s="107">
        <v>123.35</v>
      </c>
      <c r="G2667">
        <v>1314030</v>
      </c>
      <c r="H2667" s="107"/>
      <c r="I2667" s="107"/>
      <c r="L2667" s="130">
        <v>45930</v>
      </c>
      <c r="M2667" s="107">
        <v>123.41</v>
      </c>
      <c r="N2667" s="107">
        <v>123.93</v>
      </c>
      <c r="O2667" s="107">
        <v>118.9</v>
      </c>
      <c r="P2667" s="107">
        <v>119</v>
      </c>
      <c r="Q2667" s="107">
        <v>123.41</v>
      </c>
      <c r="R2667">
        <v>18078558</v>
      </c>
    </row>
    <row r="2668" spans="1:18" x14ac:dyDescent="0.25">
      <c r="A2668" s="130">
        <v>45931</v>
      </c>
      <c r="B2668" s="107">
        <v>125.65</v>
      </c>
      <c r="C2668" s="107">
        <v>124.55</v>
      </c>
      <c r="D2668" s="107">
        <v>122.4</v>
      </c>
      <c r="E2668" s="107">
        <v>123.85</v>
      </c>
      <c r="F2668" s="107">
        <v>124.55</v>
      </c>
      <c r="G2668">
        <v>1017775</v>
      </c>
      <c r="H2668" s="107"/>
      <c r="I2668" s="107"/>
      <c r="L2668" s="130">
        <v>45931</v>
      </c>
      <c r="M2668" s="107">
        <v>124.63</v>
      </c>
      <c r="N2668" s="107">
        <v>125.7</v>
      </c>
      <c r="O2668" s="107">
        <v>122.33</v>
      </c>
      <c r="P2668" s="107">
        <v>123.7</v>
      </c>
      <c r="Q2668" s="107">
        <v>124.63</v>
      </c>
      <c r="R2668">
        <v>14344547</v>
      </c>
    </row>
    <row r="2669" spans="1:18" x14ac:dyDescent="0.25">
      <c r="A2669" s="130">
        <v>45933</v>
      </c>
      <c r="B2669" s="107">
        <v>125.95</v>
      </c>
      <c r="C2669" s="107">
        <v>125.5</v>
      </c>
      <c r="D2669" s="107">
        <v>123.55</v>
      </c>
      <c r="E2669" s="107">
        <v>124.55</v>
      </c>
      <c r="F2669" s="107">
        <v>125.5</v>
      </c>
      <c r="G2669">
        <v>290972</v>
      </c>
      <c r="H2669" s="107"/>
      <c r="I2669" s="107"/>
      <c r="L2669" s="130">
        <v>45933</v>
      </c>
      <c r="M2669" s="107">
        <v>125.53</v>
      </c>
      <c r="N2669" s="107">
        <v>125.95</v>
      </c>
      <c r="O2669" s="107">
        <v>123.65</v>
      </c>
      <c r="P2669" s="107">
        <v>124.65</v>
      </c>
      <c r="Q2669" s="107">
        <v>125.53</v>
      </c>
      <c r="R2669">
        <v>9233400</v>
      </c>
    </row>
    <row r="2670" spans="1:18" x14ac:dyDescent="0.25">
      <c r="A2670" s="130">
        <v>45936</v>
      </c>
      <c r="B2670" s="107">
        <v>126.4</v>
      </c>
      <c r="C2670" s="107">
        <v>125.9</v>
      </c>
      <c r="D2670" s="107">
        <v>124.05</v>
      </c>
      <c r="E2670" s="107">
        <v>126</v>
      </c>
      <c r="F2670" s="107">
        <v>125.9</v>
      </c>
      <c r="G2670">
        <v>358002</v>
      </c>
      <c r="H2670" s="107"/>
      <c r="I2670" s="107"/>
      <c r="L2670" s="130">
        <v>45936</v>
      </c>
      <c r="M2670" s="107">
        <v>126.04</v>
      </c>
      <c r="N2670" s="107">
        <v>126.45</v>
      </c>
      <c r="O2670" s="107">
        <v>124.03</v>
      </c>
      <c r="P2670" s="107">
        <v>125.95</v>
      </c>
      <c r="Q2670" s="107">
        <v>126.04</v>
      </c>
      <c r="R2670">
        <v>7570833</v>
      </c>
    </row>
    <row r="2671" spans="1:18" x14ac:dyDescent="0.25">
      <c r="A2671" s="130">
        <v>45937</v>
      </c>
      <c r="B2671" s="107">
        <v>129.5</v>
      </c>
      <c r="C2671" s="107">
        <v>126.25</v>
      </c>
      <c r="D2671" s="107">
        <v>125.95</v>
      </c>
      <c r="E2671" s="107">
        <v>127.55</v>
      </c>
      <c r="F2671" s="107">
        <v>126.25</v>
      </c>
      <c r="G2671">
        <v>5824757</v>
      </c>
      <c r="H2671" s="107"/>
      <c r="I2671" s="107"/>
      <c r="L2671" s="130">
        <v>45937</v>
      </c>
      <c r="M2671" s="107">
        <v>126.24</v>
      </c>
      <c r="N2671" s="107">
        <v>129.44999999999999</v>
      </c>
      <c r="O2671" s="107">
        <v>125.97</v>
      </c>
      <c r="P2671" s="107">
        <v>127.75</v>
      </c>
      <c r="Q2671" s="107">
        <v>126.24</v>
      </c>
      <c r="R2671">
        <v>17946269</v>
      </c>
    </row>
    <row r="2672" spans="1:18" x14ac:dyDescent="0.25">
      <c r="A2672" s="130">
        <v>45938</v>
      </c>
      <c r="B2672" s="107">
        <v>126.5</v>
      </c>
      <c r="C2672" s="107">
        <v>124.7</v>
      </c>
      <c r="D2672" s="107">
        <v>123.7</v>
      </c>
      <c r="E2672" s="107">
        <v>126.5</v>
      </c>
      <c r="F2672" s="107">
        <v>124.7</v>
      </c>
      <c r="G2672">
        <v>577449</v>
      </c>
      <c r="H2672" s="107"/>
      <c r="I2672" s="107"/>
      <c r="L2672" s="130">
        <v>45938</v>
      </c>
      <c r="M2672" s="107">
        <v>124.83</v>
      </c>
      <c r="N2672" s="107">
        <v>126.69</v>
      </c>
      <c r="O2672" s="107">
        <v>123.7</v>
      </c>
      <c r="P2672" s="107">
        <v>126.65</v>
      </c>
      <c r="Q2672" s="107">
        <v>124.83</v>
      </c>
      <c r="R2672">
        <v>7459860</v>
      </c>
    </row>
    <row r="2673" spans="1:18" x14ac:dyDescent="0.25">
      <c r="A2673" s="130">
        <v>45939</v>
      </c>
      <c r="B2673" s="107">
        <v>126.4</v>
      </c>
      <c r="C2673" s="107">
        <v>125.75</v>
      </c>
      <c r="D2673" s="107">
        <v>124.5</v>
      </c>
      <c r="E2673" s="107">
        <v>124.75</v>
      </c>
      <c r="F2673" s="107">
        <v>125.75</v>
      </c>
      <c r="G2673">
        <v>166135</v>
      </c>
      <c r="H2673" s="107"/>
      <c r="I2673" s="107"/>
      <c r="L2673" s="130">
        <v>45939</v>
      </c>
      <c r="M2673" s="107">
        <v>125.79</v>
      </c>
      <c r="N2673" s="107">
        <v>126.42</v>
      </c>
      <c r="O2673" s="107">
        <v>124.5</v>
      </c>
      <c r="P2673" s="107">
        <v>124.83</v>
      </c>
      <c r="Q2673" s="107">
        <v>125.79</v>
      </c>
      <c r="R2673">
        <v>4607824</v>
      </c>
    </row>
    <row r="2674" spans="1:18" x14ac:dyDescent="0.25">
      <c r="A2674" s="130">
        <v>45940</v>
      </c>
      <c r="B2674" s="107">
        <v>127.65</v>
      </c>
      <c r="C2674" s="107">
        <v>126.8</v>
      </c>
      <c r="D2674" s="107">
        <v>125.7</v>
      </c>
      <c r="E2674" s="107">
        <v>125.85</v>
      </c>
      <c r="F2674" s="107">
        <v>126.8</v>
      </c>
      <c r="G2674">
        <v>316787</v>
      </c>
      <c r="H2674" s="107"/>
      <c r="I2674" s="107"/>
      <c r="L2674" s="130">
        <v>45940</v>
      </c>
      <c r="M2674" s="107">
        <v>126.77</v>
      </c>
      <c r="N2674" s="107">
        <v>127.66</v>
      </c>
      <c r="O2674" s="107">
        <v>125.55</v>
      </c>
      <c r="P2674" s="107">
        <v>126</v>
      </c>
      <c r="Q2674" s="107">
        <v>126.77</v>
      </c>
      <c r="R2674">
        <v>8734998</v>
      </c>
    </row>
    <row r="2675" spans="1:18" x14ac:dyDescent="0.25">
      <c r="A2675" s="130">
        <v>45943</v>
      </c>
      <c r="B2675" s="107">
        <v>127.3</v>
      </c>
      <c r="C2675" s="107">
        <v>126.85</v>
      </c>
      <c r="D2675" s="107">
        <v>124.9</v>
      </c>
      <c r="E2675" s="107">
        <v>126.75</v>
      </c>
      <c r="F2675" s="107">
        <v>126.85</v>
      </c>
      <c r="G2675">
        <v>426081</v>
      </c>
      <c r="H2675" s="107"/>
      <c r="I2675" s="107"/>
      <c r="L2675" s="130">
        <v>45943</v>
      </c>
      <c r="M2675" s="107">
        <v>126.86</v>
      </c>
      <c r="N2675" s="107">
        <v>127.35</v>
      </c>
      <c r="O2675" s="107">
        <v>124.8</v>
      </c>
      <c r="P2675" s="107">
        <v>127</v>
      </c>
      <c r="Q2675" s="107">
        <v>126.86</v>
      </c>
      <c r="R2675">
        <v>8765224</v>
      </c>
    </row>
    <row r="2676" spans="1:18" x14ac:dyDescent="0.25">
      <c r="A2676" s="130">
        <v>45944</v>
      </c>
      <c r="B2676" s="107">
        <v>127.2</v>
      </c>
      <c r="C2676" s="107">
        <v>124.2</v>
      </c>
      <c r="D2676" s="107">
        <v>123.7</v>
      </c>
      <c r="E2676" s="107">
        <v>126.85</v>
      </c>
      <c r="F2676" s="107">
        <v>124.2</v>
      </c>
      <c r="G2676">
        <v>276836</v>
      </c>
      <c r="H2676" s="107"/>
      <c r="I2676" s="107"/>
      <c r="L2676" s="130">
        <v>45944</v>
      </c>
      <c r="M2676" s="107">
        <v>124.3</v>
      </c>
      <c r="N2676" s="107">
        <v>127.24</v>
      </c>
      <c r="O2676" s="107">
        <v>123.72</v>
      </c>
      <c r="P2676" s="107">
        <v>126.99</v>
      </c>
      <c r="Q2676" s="107">
        <v>124.3</v>
      </c>
      <c r="R2676">
        <v>6962918</v>
      </c>
    </row>
    <row r="2677" spans="1:18" x14ac:dyDescent="0.25">
      <c r="A2677" s="130">
        <v>45945</v>
      </c>
      <c r="B2677" s="107">
        <v>127</v>
      </c>
      <c r="C2677" s="107">
        <v>126.4</v>
      </c>
      <c r="D2677" s="107">
        <v>124.4</v>
      </c>
      <c r="E2677" s="107">
        <v>124.4</v>
      </c>
      <c r="F2677" s="107">
        <v>126.4</v>
      </c>
      <c r="G2677">
        <v>206501</v>
      </c>
      <c r="H2677" s="107"/>
      <c r="I2677" s="107"/>
      <c r="L2677" s="130">
        <v>45945</v>
      </c>
      <c r="M2677" s="107">
        <v>126.34</v>
      </c>
      <c r="N2677" s="107">
        <v>127</v>
      </c>
      <c r="O2677" s="107">
        <v>124.36</v>
      </c>
      <c r="P2677" s="107">
        <v>124.55</v>
      </c>
      <c r="Q2677" s="107">
        <v>126.34</v>
      </c>
      <c r="R2677">
        <v>6501734</v>
      </c>
    </row>
    <row r="2678" spans="1:18" x14ac:dyDescent="0.25">
      <c r="A2678" s="130">
        <v>45946</v>
      </c>
      <c r="B2678" s="107">
        <v>127.25</v>
      </c>
      <c r="C2678" s="107">
        <v>125.4</v>
      </c>
      <c r="D2678" s="107">
        <v>125</v>
      </c>
      <c r="E2678" s="107">
        <v>127</v>
      </c>
      <c r="F2678" s="107">
        <v>125.4</v>
      </c>
      <c r="G2678">
        <v>276170</v>
      </c>
      <c r="H2678" s="107"/>
      <c r="I2678" s="107"/>
      <c r="L2678" s="130">
        <v>45946</v>
      </c>
      <c r="M2678" s="107">
        <v>125.42</v>
      </c>
      <c r="N2678" s="107">
        <v>127.31</v>
      </c>
      <c r="O2678" s="107">
        <v>125.01</v>
      </c>
      <c r="P2678" s="107">
        <v>126.97</v>
      </c>
      <c r="Q2678" s="107">
        <v>125.42</v>
      </c>
      <c r="R2678">
        <v>4927467</v>
      </c>
    </row>
    <row r="2679" spans="1:18" x14ac:dyDescent="0.25">
      <c r="A2679" s="130">
        <v>45947</v>
      </c>
      <c r="B2679" s="107">
        <v>126.25</v>
      </c>
      <c r="C2679" s="107">
        <v>123.3</v>
      </c>
      <c r="D2679" s="107">
        <v>122.2</v>
      </c>
      <c r="E2679" s="107">
        <v>125.5</v>
      </c>
      <c r="F2679" s="107">
        <v>123.3</v>
      </c>
      <c r="G2679">
        <v>292317</v>
      </c>
      <c r="H2679" s="107"/>
      <c r="I2679" s="107"/>
      <c r="L2679" s="130">
        <v>45947</v>
      </c>
      <c r="M2679" s="107">
        <v>123.11</v>
      </c>
      <c r="N2679" s="107">
        <v>126.5</v>
      </c>
      <c r="O2679" s="107">
        <v>122.2</v>
      </c>
      <c r="P2679" s="107">
        <v>125.42</v>
      </c>
      <c r="Q2679" s="107">
        <v>123.11</v>
      </c>
      <c r="R2679">
        <v>9571915</v>
      </c>
    </row>
    <row r="2680" spans="1:18" x14ac:dyDescent="0.25">
      <c r="A2680" s="130">
        <v>45950</v>
      </c>
      <c r="B2680" s="107">
        <v>130.5</v>
      </c>
      <c r="C2680" s="107">
        <v>129.75</v>
      </c>
      <c r="D2680" s="107">
        <v>124</v>
      </c>
      <c r="E2680" s="107">
        <v>124.05</v>
      </c>
      <c r="F2680" s="107">
        <v>129.75</v>
      </c>
      <c r="G2680">
        <v>1944611</v>
      </c>
      <c r="H2680" s="107"/>
      <c r="I2680" s="107"/>
      <c r="L2680" s="130">
        <v>45950</v>
      </c>
      <c r="M2680" s="107">
        <v>129.77000000000001</v>
      </c>
      <c r="N2680" s="107">
        <v>130.44999999999999</v>
      </c>
      <c r="O2680" s="107">
        <v>123.9</v>
      </c>
      <c r="P2680" s="107">
        <v>124.51</v>
      </c>
      <c r="Q2680" s="107">
        <v>129.77000000000001</v>
      </c>
      <c r="R2680">
        <v>27195370</v>
      </c>
    </row>
    <row r="2681" spans="1:18" x14ac:dyDescent="0.25">
      <c r="A2681" s="130">
        <v>45951</v>
      </c>
      <c r="B2681" s="107">
        <v>131.25</v>
      </c>
      <c r="C2681" s="107">
        <v>130.25</v>
      </c>
      <c r="D2681" s="107">
        <v>130</v>
      </c>
      <c r="E2681" s="107">
        <v>130.4</v>
      </c>
      <c r="F2681" s="107">
        <v>130.25</v>
      </c>
      <c r="G2681">
        <v>231273</v>
      </c>
      <c r="H2681" s="107"/>
      <c r="I2681" s="107"/>
      <c r="L2681" s="130">
        <v>45951</v>
      </c>
      <c r="M2681" s="107">
        <v>130.26</v>
      </c>
      <c r="N2681" s="107">
        <v>131.49</v>
      </c>
      <c r="O2681" s="107">
        <v>130</v>
      </c>
      <c r="P2681" s="107">
        <v>130.55000000000001</v>
      </c>
      <c r="Q2681" s="107">
        <v>130.26</v>
      </c>
      <c r="R2681">
        <v>3759439</v>
      </c>
    </row>
    <row r="2682" spans="1:18" x14ac:dyDescent="0.25">
      <c r="A2682" s="130">
        <v>45953</v>
      </c>
      <c r="B2682" s="107">
        <v>136.65</v>
      </c>
      <c r="C2682" s="107">
        <v>135.55000000000001</v>
      </c>
      <c r="D2682" s="107">
        <v>130.85</v>
      </c>
      <c r="E2682" s="107">
        <v>131.15</v>
      </c>
      <c r="F2682" s="107">
        <v>135.55000000000001</v>
      </c>
      <c r="G2682">
        <v>1162278</v>
      </c>
      <c r="H2682" s="107"/>
      <c r="I2682" s="107"/>
      <c r="L2682" s="130">
        <v>45953</v>
      </c>
      <c r="M2682" s="107">
        <v>135.53</v>
      </c>
      <c r="N2682" s="107">
        <v>136.6</v>
      </c>
      <c r="O2682" s="107">
        <v>130.78</v>
      </c>
      <c r="P2682" s="107">
        <v>131</v>
      </c>
      <c r="Q2682" s="107">
        <v>135.53</v>
      </c>
      <c r="R2682">
        <v>32054251</v>
      </c>
    </row>
    <row r="2683" spans="1:18" x14ac:dyDescent="0.25">
      <c r="A2683" s="130">
        <v>45954</v>
      </c>
      <c r="B2683" s="107">
        <v>136.05000000000001</v>
      </c>
      <c r="C2683" s="107">
        <v>133.9</v>
      </c>
      <c r="D2683" s="107">
        <v>133.1</v>
      </c>
      <c r="E2683" s="107">
        <v>135.25</v>
      </c>
      <c r="F2683" s="107">
        <v>133.9</v>
      </c>
      <c r="G2683">
        <v>571026</v>
      </c>
      <c r="H2683" s="107"/>
      <c r="I2683" s="107"/>
      <c r="L2683" s="130">
        <v>45954</v>
      </c>
      <c r="M2683" s="107">
        <v>133.9</v>
      </c>
      <c r="N2683" s="107">
        <v>136.1</v>
      </c>
      <c r="O2683" s="107">
        <v>133.19999999999999</v>
      </c>
      <c r="P2683" s="107">
        <v>135.01</v>
      </c>
      <c r="Q2683" s="107">
        <v>133.9</v>
      </c>
      <c r="R2683">
        <v>8071441</v>
      </c>
    </row>
    <row r="2684" spans="1:18" x14ac:dyDescent="0.25">
      <c r="A2684" s="130">
        <v>45957</v>
      </c>
      <c r="B2684" s="107">
        <v>140.9</v>
      </c>
      <c r="C2684" s="107">
        <v>139.9</v>
      </c>
      <c r="D2684" s="107">
        <v>133.80000000000001</v>
      </c>
      <c r="E2684" s="107">
        <v>134.25</v>
      </c>
      <c r="F2684" s="107">
        <v>139.9</v>
      </c>
      <c r="G2684">
        <v>1727657</v>
      </c>
      <c r="H2684" s="107"/>
      <c r="I2684" s="107"/>
      <c r="L2684" s="130">
        <v>45957</v>
      </c>
      <c r="M2684" s="107">
        <v>139.71</v>
      </c>
      <c r="N2684" s="107">
        <v>140.94999999999999</v>
      </c>
      <c r="O2684" s="107">
        <v>133.72999999999999</v>
      </c>
      <c r="P2684" s="107">
        <v>134.19</v>
      </c>
      <c r="Q2684" s="107">
        <v>139.71</v>
      </c>
      <c r="R2684">
        <v>26494042</v>
      </c>
    </row>
    <row r="2685" spans="1:18" x14ac:dyDescent="0.25">
      <c r="A2685" s="130">
        <v>45958</v>
      </c>
      <c r="B2685" s="107">
        <v>141.80000000000001</v>
      </c>
      <c r="C2685" s="107">
        <v>141.1</v>
      </c>
      <c r="D2685" s="107">
        <v>139.25</v>
      </c>
      <c r="E2685" s="107">
        <v>139.9</v>
      </c>
      <c r="F2685" s="107">
        <v>141.1</v>
      </c>
      <c r="G2685">
        <v>1077124</v>
      </c>
      <c r="H2685" s="107"/>
      <c r="I2685" s="107"/>
      <c r="L2685" s="130">
        <v>45958</v>
      </c>
      <c r="M2685" s="107">
        <v>141.09</v>
      </c>
      <c r="N2685" s="107">
        <v>142</v>
      </c>
      <c r="O2685" s="107">
        <v>139.32</v>
      </c>
      <c r="P2685" s="107">
        <v>139.71</v>
      </c>
      <c r="Q2685" s="107">
        <v>141.09</v>
      </c>
      <c r="R2685">
        <v>23439322</v>
      </c>
    </row>
    <row r="2686" spans="1:18" x14ac:dyDescent="0.25">
      <c r="A2686" s="130">
        <v>45959</v>
      </c>
      <c r="B2686" s="107">
        <v>142.4</v>
      </c>
      <c r="C2686" s="107">
        <v>140.69999999999999</v>
      </c>
      <c r="D2686" s="107">
        <v>139.9</v>
      </c>
      <c r="E2686" s="107">
        <v>141.9</v>
      </c>
      <c r="F2686" s="107">
        <v>140.69999999999999</v>
      </c>
      <c r="G2686">
        <v>711503</v>
      </c>
      <c r="H2686" s="107"/>
      <c r="I2686" s="107"/>
      <c r="L2686" s="130">
        <v>45959</v>
      </c>
      <c r="M2686" s="107">
        <v>140.77000000000001</v>
      </c>
      <c r="N2686" s="107">
        <v>142.33000000000001</v>
      </c>
      <c r="O2686" s="107">
        <v>139.88</v>
      </c>
      <c r="P2686" s="107">
        <v>141.72999999999999</v>
      </c>
      <c r="Q2686" s="107">
        <v>140.77000000000001</v>
      </c>
      <c r="R2686">
        <v>14121917</v>
      </c>
    </row>
    <row r="2687" spans="1:18" x14ac:dyDescent="0.25">
      <c r="A2687" s="130">
        <v>45960</v>
      </c>
      <c r="B2687" s="107">
        <v>141.69999999999999</v>
      </c>
      <c r="C2687" s="107">
        <v>138.9</v>
      </c>
      <c r="D2687" s="107">
        <v>138.30000000000001</v>
      </c>
      <c r="E2687" s="107">
        <v>140.19999999999999</v>
      </c>
      <c r="F2687" s="107">
        <v>138.9</v>
      </c>
      <c r="G2687">
        <v>488284</v>
      </c>
      <c r="H2687" s="107"/>
      <c r="I2687" s="107"/>
      <c r="L2687" s="130">
        <v>45960</v>
      </c>
      <c r="M2687" s="107">
        <v>138.84</v>
      </c>
      <c r="N2687" s="107">
        <v>141.71</v>
      </c>
      <c r="O2687" s="107">
        <v>138.25</v>
      </c>
      <c r="P2687" s="107">
        <v>140</v>
      </c>
      <c r="Q2687" s="107">
        <v>138.84</v>
      </c>
      <c r="R2687">
        <v>14652512</v>
      </c>
    </row>
    <row r="2688" spans="1:18" x14ac:dyDescent="0.25">
      <c r="A2688" s="130">
        <v>45961</v>
      </c>
      <c r="B2688" s="107">
        <v>142.65</v>
      </c>
      <c r="C2688" s="107">
        <v>139.85</v>
      </c>
      <c r="D2688" s="107">
        <v>138.44999999999999</v>
      </c>
      <c r="E2688" s="107">
        <v>138.65</v>
      </c>
      <c r="F2688" s="107">
        <v>139.85</v>
      </c>
      <c r="G2688">
        <v>1123557</v>
      </c>
      <c r="H2688" s="107"/>
      <c r="I2688" s="107"/>
      <c r="L2688" s="130">
        <v>45961</v>
      </c>
      <c r="M2688" s="107">
        <v>139.88</v>
      </c>
      <c r="N2688" s="107">
        <v>142.71</v>
      </c>
      <c r="O2688" s="107">
        <v>138.4</v>
      </c>
      <c r="P2688" s="107">
        <v>138.80000000000001</v>
      </c>
      <c r="Q2688" s="107">
        <v>139.88</v>
      </c>
      <c r="R2688">
        <v>19520445</v>
      </c>
    </row>
    <row r="2689" spans="1:18" x14ac:dyDescent="0.25">
      <c r="A2689" s="130">
        <v>45964</v>
      </c>
      <c r="B2689" s="107">
        <v>142.94999999999999</v>
      </c>
      <c r="C2689" s="107">
        <v>142.1</v>
      </c>
      <c r="D2689" s="107">
        <v>140.19999999999999</v>
      </c>
      <c r="E2689" s="107">
        <v>140.19999999999999</v>
      </c>
      <c r="F2689" s="107">
        <v>142.1</v>
      </c>
      <c r="G2689">
        <v>430603</v>
      </c>
      <c r="H2689" s="107"/>
      <c r="I2689" s="107"/>
      <c r="L2689" s="130">
        <v>45964</v>
      </c>
      <c r="M2689" s="107">
        <v>142.13</v>
      </c>
      <c r="N2689" s="107">
        <v>142.94999999999999</v>
      </c>
      <c r="O2689" s="107">
        <v>140.19999999999999</v>
      </c>
      <c r="P2689" s="107">
        <v>140.54</v>
      </c>
      <c r="Q2689" s="107">
        <v>142.13</v>
      </c>
      <c r="R2689">
        <v>10891336</v>
      </c>
    </row>
    <row r="2690" spans="1:18" x14ac:dyDescent="0.25">
      <c r="A2690" s="130">
        <v>45965</v>
      </c>
      <c r="B2690" s="107">
        <v>143.30000000000001</v>
      </c>
      <c r="C2690" s="107">
        <v>142.05000000000001</v>
      </c>
      <c r="D2690" s="107">
        <v>141.05000000000001</v>
      </c>
      <c r="E2690" s="107">
        <v>142.69999999999999</v>
      </c>
      <c r="F2690" s="107">
        <v>142.05000000000001</v>
      </c>
      <c r="G2690">
        <v>321075</v>
      </c>
      <c r="H2690" s="107"/>
      <c r="I2690" s="107"/>
      <c r="L2690" s="130">
        <v>45965</v>
      </c>
      <c r="M2690" s="107">
        <v>142.16</v>
      </c>
      <c r="N2690" s="107">
        <v>143.33000000000001</v>
      </c>
      <c r="O2690" s="107">
        <v>141</v>
      </c>
      <c r="P2690" s="107">
        <v>142.28</v>
      </c>
      <c r="Q2690" s="107">
        <v>142.16</v>
      </c>
      <c r="R2690">
        <v>21244500</v>
      </c>
    </row>
    <row r="2691" spans="1:18" x14ac:dyDescent="0.25">
      <c r="A2691" s="130">
        <v>45967</v>
      </c>
      <c r="B2691" s="107">
        <v>142.5</v>
      </c>
      <c r="C2691" s="107">
        <v>140.19999999999999</v>
      </c>
      <c r="D2691" s="107">
        <v>139.75</v>
      </c>
      <c r="E2691" s="107">
        <v>141.85</v>
      </c>
      <c r="F2691" s="107">
        <v>140.19999999999999</v>
      </c>
      <c r="G2691">
        <v>189777</v>
      </c>
      <c r="H2691" s="107"/>
      <c r="I2691" s="107"/>
      <c r="L2691" s="130">
        <v>45967</v>
      </c>
      <c r="M2691" s="107">
        <v>140.16999999999999</v>
      </c>
      <c r="N2691" s="107">
        <v>142.46</v>
      </c>
      <c r="O2691" s="107">
        <v>139.77000000000001</v>
      </c>
      <c r="P2691" s="107">
        <v>142</v>
      </c>
      <c r="Q2691" s="107">
        <v>140.16999999999999</v>
      </c>
      <c r="R2691">
        <v>8872753</v>
      </c>
    </row>
    <row r="2692" spans="1:18" x14ac:dyDescent="0.25">
      <c r="A2692" s="130">
        <v>45968</v>
      </c>
      <c r="B2692" s="107">
        <v>144.85</v>
      </c>
      <c r="C2692" s="107">
        <v>144.6</v>
      </c>
      <c r="D2692" s="107">
        <v>138.5</v>
      </c>
      <c r="E2692" s="107">
        <v>139.80000000000001</v>
      </c>
      <c r="F2692" s="107">
        <v>144.6</v>
      </c>
      <c r="G2692">
        <v>824062</v>
      </c>
      <c r="H2692" s="107"/>
      <c r="I2692" s="107"/>
      <c r="L2692" s="130">
        <v>45968</v>
      </c>
      <c r="M2692" s="107">
        <v>144.58000000000001</v>
      </c>
      <c r="N2692" s="107">
        <v>144.88</v>
      </c>
      <c r="O2692" s="107">
        <v>138.55000000000001</v>
      </c>
      <c r="P2692" s="107">
        <v>140</v>
      </c>
      <c r="Q2692" s="107">
        <v>144.58000000000001</v>
      </c>
      <c r="R2692">
        <v>15852911</v>
      </c>
    </row>
    <row r="2693" spans="1:18" x14ac:dyDescent="0.25">
      <c r="A2693" s="130">
        <v>45971</v>
      </c>
      <c r="B2693" s="107">
        <v>146.69999999999999</v>
      </c>
      <c r="C2693" s="107">
        <v>145.94999999999999</v>
      </c>
      <c r="D2693" s="107">
        <v>143.94999999999999</v>
      </c>
      <c r="E2693" s="107">
        <v>145.1</v>
      </c>
      <c r="F2693" s="107">
        <v>145.94999999999999</v>
      </c>
      <c r="G2693">
        <v>707807</v>
      </c>
      <c r="H2693" s="107"/>
      <c r="I2693" s="107"/>
      <c r="L2693" s="130">
        <v>45971</v>
      </c>
      <c r="M2693" s="107">
        <v>145.94</v>
      </c>
      <c r="N2693" s="107">
        <v>146.69999999999999</v>
      </c>
      <c r="O2693" s="107">
        <v>144</v>
      </c>
      <c r="P2693" s="107">
        <v>145.55000000000001</v>
      </c>
      <c r="Q2693" s="107">
        <v>145.94</v>
      </c>
      <c r="R2693">
        <v>13305840</v>
      </c>
    </row>
    <row r="2694" spans="1:18" x14ac:dyDescent="0.25">
      <c r="A2694" s="130">
        <v>45972</v>
      </c>
      <c r="B2694" s="107">
        <v>146.19999999999999</v>
      </c>
      <c r="C2694" s="107">
        <v>145.4</v>
      </c>
      <c r="D2694" s="107">
        <v>142.19999999999999</v>
      </c>
      <c r="E2694" s="107">
        <v>145.69999999999999</v>
      </c>
      <c r="F2694" s="107">
        <v>145.4</v>
      </c>
      <c r="G2694">
        <v>702193</v>
      </c>
      <c r="H2694" s="107"/>
      <c r="I2694" s="107"/>
      <c r="L2694" s="130">
        <v>45972</v>
      </c>
      <c r="M2694" s="107">
        <v>145.51</v>
      </c>
      <c r="N2694" s="107">
        <v>146.37</v>
      </c>
      <c r="O2694" s="107">
        <v>142</v>
      </c>
      <c r="P2694" s="107">
        <v>145.94</v>
      </c>
      <c r="Q2694" s="107">
        <v>145.51</v>
      </c>
      <c r="R2694">
        <v>12078028</v>
      </c>
    </row>
    <row r="2695" spans="1:18" x14ac:dyDescent="0.25">
      <c r="A2695" s="130">
        <v>45973</v>
      </c>
      <c r="B2695" s="107">
        <v>147.85</v>
      </c>
      <c r="C2695" s="107">
        <v>146.65</v>
      </c>
      <c r="D2695" s="107">
        <v>145.19999999999999</v>
      </c>
      <c r="E2695" s="107">
        <v>146</v>
      </c>
      <c r="F2695" s="107">
        <v>146.65</v>
      </c>
      <c r="G2695">
        <v>347491</v>
      </c>
      <c r="H2695" s="107"/>
      <c r="I2695" s="107"/>
      <c r="L2695" s="130">
        <v>45973</v>
      </c>
      <c r="M2695" s="107">
        <v>146.66</v>
      </c>
      <c r="N2695" s="107">
        <v>147.80000000000001</v>
      </c>
      <c r="O2695" s="107">
        <v>145.19999999999999</v>
      </c>
      <c r="P2695" s="107">
        <v>146</v>
      </c>
      <c r="Q2695" s="107">
        <v>146.66</v>
      </c>
      <c r="R2695">
        <v>7678828</v>
      </c>
    </row>
    <row r="2696" spans="1:18" x14ac:dyDescent="0.25">
      <c r="A2696" s="130">
        <v>45974</v>
      </c>
      <c r="B2696" s="107">
        <v>147.15</v>
      </c>
      <c r="C2696" s="107">
        <v>144.6</v>
      </c>
      <c r="D2696" s="107">
        <v>144.19999999999999</v>
      </c>
      <c r="E2696" s="107">
        <v>146.94999999999999</v>
      </c>
      <c r="F2696" s="107">
        <v>144.6</v>
      </c>
      <c r="G2696">
        <v>217881</v>
      </c>
      <c r="H2696" s="107"/>
      <c r="I2696" s="107"/>
      <c r="L2696" s="130">
        <v>45974</v>
      </c>
      <c r="M2696" s="107">
        <v>144.62</v>
      </c>
      <c r="N2696" s="107">
        <v>147.13999999999999</v>
      </c>
      <c r="O2696" s="107">
        <v>144.12</v>
      </c>
      <c r="P2696" s="107">
        <v>146.80000000000001</v>
      </c>
      <c r="Q2696" s="107">
        <v>144.62</v>
      </c>
      <c r="R2696">
        <v>6531155</v>
      </c>
    </row>
    <row r="2697" spans="1:18" x14ac:dyDescent="0.25">
      <c r="A2697" s="130">
        <v>45975</v>
      </c>
      <c r="B2697" s="107">
        <v>146.85</v>
      </c>
      <c r="C2697" s="107">
        <v>146.44999999999999</v>
      </c>
      <c r="D2697" s="107">
        <v>144.15</v>
      </c>
      <c r="E2697" s="107">
        <v>144.15</v>
      </c>
      <c r="F2697" s="107">
        <v>146.44999999999999</v>
      </c>
      <c r="G2697">
        <v>163959</v>
      </c>
      <c r="H2697" s="107"/>
      <c r="I2697" s="107"/>
      <c r="L2697" s="130">
        <v>45975</v>
      </c>
      <c r="M2697" s="107">
        <v>146.52000000000001</v>
      </c>
      <c r="N2697" s="107">
        <v>146.80000000000001</v>
      </c>
      <c r="O2697" s="107">
        <v>144</v>
      </c>
      <c r="P2697" s="107">
        <v>144.05000000000001</v>
      </c>
      <c r="Q2697" s="107">
        <v>146.52000000000001</v>
      </c>
      <c r="R2697">
        <v>4683129</v>
      </c>
    </row>
    <row r="2698" spans="1:18" x14ac:dyDescent="0.25">
      <c r="A2698" s="130">
        <v>45978</v>
      </c>
      <c r="B2698" s="107">
        <v>150.05000000000001</v>
      </c>
      <c r="C2698" s="107">
        <v>147.30000000000001</v>
      </c>
      <c r="D2698" s="107">
        <v>146.69999999999999</v>
      </c>
      <c r="E2698" s="107">
        <v>147.05000000000001</v>
      </c>
      <c r="F2698" s="107">
        <v>147.30000000000001</v>
      </c>
      <c r="G2698">
        <v>487086</v>
      </c>
      <c r="H2698" s="107"/>
      <c r="I2698" s="107"/>
      <c r="L2698" s="130">
        <v>45978</v>
      </c>
      <c r="M2698" s="107">
        <v>147.35</v>
      </c>
      <c r="N2698" s="107">
        <v>150.05000000000001</v>
      </c>
      <c r="O2698" s="107">
        <v>146.75</v>
      </c>
      <c r="P2698" s="107">
        <v>147.25</v>
      </c>
      <c r="Q2698" s="107">
        <v>147.35</v>
      </c>
      <c r="R2698">
        <v>11822101</v>
      </c>
    </row>
    <row r="2699" spans="1:18" x14ac:dyDescent="0.25">
      <c r="A2699" s="130">
        <v>45979</v>
      </c>
      <c r="B2699" s="107">
        <v>148.65</v>
      </c>
      <c r="C2699" s="107">
        <v>146.6</v>
      </c>
      <c r="D2699" s="107">
        <v>146.30000000000001</v>
      </c>
      <c r="E2699" s="107">
        <v>147.75</v>
      </c>
      <c r="F2699" s="107">
        <v>146.6</v>
      </c>
      <c r="G2699">
        <v>225950</v>
      </c>
      <c r="H2699" s="107"/>
      <c r="I2699" s="107"/>
      <c r="L2699" s="130">
        <v>45979</v>
      </c>
      <c r="M2699" s="107">
        <v>146.49</v>
      </c>
      <c r="N2699" s="107">
        <v>148.69999999999999</v>
      </c>
      <c r="O2699" s="107">
        <v>146.21</v>
      </c>
      <c r="P2699" s="107">
        <v>147.41</v>
      </c>
      <c r="Q2699" s="107">
        <v>146.49</v>
      </c>
      <c r="R2699">
        <v>5679286</v>
      </c>
    </row>
    <row r="2700" spans="1:18" x14ac:dyDescent="0.25">
      <c r="A2700" s="130">
        <v>45980</v>
      </c>
      <c r="B2700" s="107">
        <v>148.75</v>
      </c>
      <c r="C2700" s="107">
        <v>148.55000000000001</v>
      </c>
      <c r="D2700" s="107">
        <v>145.4</v>
      </c>
      <c r="E2700" s="107">
        <v>146.25</v>
      </c>
      <c r="F2700" s="107">
        <v>148.55000000000001</v>
      </c>
      <c r="G2700">
        <v>440462</v>
      </c>
      <c r="H2700" s="107"/>
      <c r="I2700" s="107"/>
      <c r="L2700" s="130">
        <v>45980</v>
      </c>
      <c r="M2700" s="107">
        <v>148.59</v>
      </c>
      <c r="N2700" s="107">
        <v>148.77000000000001</v>
      </c>
      <c r="O2700" s="107">
        <v>145.32</v>
      </c>
      <c r="P2700" s="107">
        <v>146.5</v>
      </c>
      <c r="Q2700" s="107">
        <v>148.59</v>
      </c>
      <c r="R2700">
        <v>6008229</v>
      </c>
    </row>
    <row r="2701" spans="1:18" x14ac:dyDescent="0.25">
      <c r="A2701" s="130">
        <v>45981</v>
      </c>
      <c r="B2701" s="107">
        <v>149.35</v>
      </c>
      <c r="C2701" s="107">
        <v>147.65</v>
      </c>
      <c r="D2701" s="107">
        <v>147.19999999999999</v>
      </c>
      <c r="E2701" s="107">
        <v>148.94999999999999</v>
      </c>
      <c r="F2701" s="107">
        <v>147.65</v>
      </c>
      <c r="G2701">
        <v>159159</v>
      </c>
      <c r="H2701" s="107"/>
      <c r="I2701" s="107"/>
      <c r="L2701" s="130">
        <v>45981</v>
      </c>
      <c r="M2701" s="107">
        <v>147.72</v>
      </c>
      <c r="N2701" s="107">
        <v>149.24</v>
      </c>
      <c r="O2701" s="107">
        <v>147.22</v>
      </c>
      <c r="P2701" s="107">
        <v>148.61000000000001</v>
      </c>
      <c r="Q2701" s="107">
        <v>147.72</v>
      </c>
      <c r="R2701">
        <v>6792534</v>
      </c>
    </row>
    <row r="2702" spans="1:18" x14ac:dyDescent="0.25">
      <c r="A2702" s="130">
        <v>45982</v>
      </c>
      <c r="B2702" s="107">
        <v>148.1</v>
      </c>
      <c r="C2702" s="107">
        <v>145.44999999999999</v>
      </c>
      <c r="D2702" s="107">
        <v>144.9</v>
      </c>
      <c r="E2702" s="107">
        <v>147.65</v>
      </c>
      <c r="F2702" s="107">
        <v>145.44999999999999</v>
      </c>
      <c r="G2702">
        <v>195620</v>
      </c>
      <c r="H2702" s="107"/>
      <c r="I2702" s="107"/>
      <c r="L2702" s="130">
        <v>45982</v>
      </c>
      <c r="M2702" s="107">
        <v>145.46</v>
      </c>
      <c r="N2702" s="107">
        <v>148.26</v>
      </c>
      <c r="O2702" s="107">
        <v>144.76</v>
      </c>
      <c r="P2702" s="107">
        <v>147.5</v>
      </c>
      <c r="Q2702" s="107">
        <v>145.46</v>
      </c>
      <c r="R2702">
        <v>6836506</v>
      </c>
    </row>
    <row r="2703" spans="1:18" x14ac:dyDescent="0.25">
      <c r="A2703" s="130">
        <v>45985</v>
      </c>
      <c r="B2703" s="107">
        <v>147.69999999999999</v>
      </c>
      <c r="C2703" s="107">
        <v>145.94999999999999</v>
      </c>
      <c r="D2703" s="107">
        <v>144.69999999999999</v>
      </c>
      <c r="E2703" s="107">
        <v>144.69999999999999</v>
      </c>
      <c r="F2703" s="107">
        <v>145.94999999999999</v>
      </c>
      <c r="G2703">
        <v>261564</v>
      </c>
      <c r="H2703" s="107"/>
      <c r="I2703" s="107"/>
      <c r="L2703" s="130">
        <v>45985</v>
      </c>
      <c r="M2703" s="107">
        <v>145.85</v>
      </c>
      <c r="N2703" s="107">
        <v>147.6</v>
      </c>
      <c r="O2703" s="107">
        <v>144.99</v>
      </c>
      <c r="P2703" s="107">
        <v>145.46</v>
      </c>
      <c r="Q2703" s="107">
        <v>145.85</v>
      </c>
      <c r="R2703">
        <v>5975367</v>
      </c>
    </row>
    <row r="2704" spans="1:18" x14ac:dyDescent="0.25">
      <c r="A2704" s="130">
        <v>45986</v>
      </c>
      <c r="B2704" s="107">
        <v>147.5</v>
      </c>
      <c r="C2704" s="107">
        <v>147.15</v>
      </c>
      <c r="D2704" s="107">
        <v>145.1</v>
      </c>
      <c r="E2704" s="107">
        <v>145.85</v>
      </c>
      <c r="F2704" s="107">
        <v>147.15</v>
      </c>
      <c r="G2704">
        <v>407723</v>
      </c>
      <c r="H2704" s="107"/>
      <c r="I2704" s="107"/>
      <c r="L2704" s="130">
        <v>45986</v>
      </c>
      <c r="M2704" s="107">
        <v>147.21</v>
      </c>
      <c r="N2704" s="107">
        <v>147.6</v>
      </c>
      <c r="O2704" s="107">
        <v>145.11000000000001</v>
      </c>
      <c r="P2704" s="107">
        <v>145.5</v>
      </c>
      <c r="Q2704" s="107">
        <v>147.21</v>
      </c>
      <c r="R2704">
        <v>5835383</v>
      </c>
    </row>
    <row r="2705" spans="1:18" x14ac:dyDescent="0.25">
      <c r="A2705" s="130">
        <v>45987</v>
      </c>
      <c r="B2705" s="107">
        <v>151.35</v>
      </c>
      <c r="C2705" s="107">
        <v>148.80000000000001</v>
      </c>
      <c r="D2705" s="107">
        <v>147.5</v>
      </c>
      <c r="E2705" s="107">
        <v>147.5</v>
      </c>
      <c r="F2705" s="107">
        <v>148.80000000000001</v>
      </c>
      <c r="G2705">
        <v>464892</v>
      </c>
      <c r="H2705" s="107"/>
      <c r="I2705" s="107"/>
      <c r="L2705" s="130">
        <v>45987</v>
      </c>
      <c r="M2705" s="107">
        <v>148.85</v>
      </c>
      <c r="N2705" s="107">
        <v>151.43</v>
      </c>
      <c r="O2705" s="107">
        <v>147.52000000000001</v>
      </c>
      <c r="P2705" s="107">
        <v>148</v>
      </c>
      <c r="Q2705" s="107">
        <v>148.85</v>
      </c>
      <c r="R2705">
        <v>11556248</v>
      </c>
    </row>
    <row r="2706" spans="1:18" x14ac:dyDescent="0.25">
      <c r="A2706" s="130">
        <v>45988</v>
      </c>
      <c r="B2706" s="107">
        <v>149.55000000000001</v>
      </c>
      <c r="C2706" s="107">
        <v>147.6</v>
      </c>
      <c r="D2706" s="107">
        <v>145.9</v>
      </c>
      <c r="E2706" s="107">
        <v>149.5</v>
      </c>
      <c r="F2706" s="107">
        <v>147.6</v>
      </c>
      <c r="G2706">
        <v>270921</v>
      </c>
      <c r="H2706" s="107"/>
      <c r="I2706" s="107"/>
      <c r="L2706" s="130">
        <v>45988</v>
      </c>
      <c r="M2706" s="107">
        <v>147.63999999999999</v>
      </c>
      <c r="N2706" s="107">
        <v>149.69</v>
      </c>
      <c r="O2706" s="107">
        <v>145.85</v>
      </c>
      <c r="P2706" s="107">
        <v>149.36000000000001</v>
      </c>
      <c r="Q2706" s="107">
        <v>147.63999999999999</v>
      </c>
      <c r="R2706">
        <v>7775331</v>
      </c>
    </row>
    <row r="2707" spans="1:18" x14ac:dyDescent="0.25">
      <c r="A2707" s="130">
        <v>45989</v>
      </c>
      <c r="B2707" s="107">
        <v>148.4</v>
      </c>
      <c r="C2707" s="107">
        <v>147.05000000000001</v>
      </c>
      <c r="D2707" s="107">
        <v>146.15</v>
      </c>
      <c r="E2707" s="107">
        <v>148.4</v>
      </c>
      <c r="F2707" s="107">
        <v>147.05000000000001</v>
      </c>
      <c r="G2707">
        <v>217183</v>
      </c>
      <c r="H2707" s="107"/>
      <c r="I2707" s="107"/>
      <c r="L2707" s="130">
        <v>45989</v>
      </c>
      <c r="M2707" s="107">
        <v>147.13999999999999</v>
      </c>
      <c r="N2707" s="107">
        <v>147.80000000000001</v>
      </c>
      <c r="O2707" s="107">
        <v>146.19999999999999</v>
      </c>
      <c r="P2707" s="107">
        <v>147.69</v>
      </c>
      <c r="Q2707" s="107">
        <v>147.13999999999999</v>
      </c>
      <c r="R2707">
        <v>4416863</v>
      </c>
    </row>
    <row r="2708" spans="1:18" x14ac:dyDescent="0.25">
      <c r="A2708" s="130">
        <v>45992</v>
      </c>
      <c r="B2708" s="107">
        <v>149</v>
      </c>
      <c r="C2708" s="107">
        <v>147.19999999999999</v>
      </c>
      <c r="D2708" s="107">
        <v>146.4</v>
      </c>
      <c r="E2708" s="107">
        <v>147.80000000000001</v>
      </c>
      <c r="F2708" s="107">
        <v>147.19999999999999</v>
      </c>
      <c r="G2708">
        <v>170078</v>
      </c>
      <c r="H2708" s="107"/>
      <c r="I2708" s="107"/>
      <c r="L2708" s="130">
        <v>45992</v>
      </c>
      <c r="M2708" s="107">
        <v>147.24</v>
      </c>
      <c r="N2708" s="107">
        <v>149.04</v>
      </c>
      <c r="O2708" s="107">
        <v>146.35</v>
      </c>
      <c r="P2708" s="107">
        <v>147.5</v>
      </c>
      <c r="Q2708" s="107">
        <v>147.24</v>
      </c>
      <c r="R2708">
        <v>6729070</v>
      </c>
    </row>
    <row r="2709" spans="1:18" x14ac:dyDescent="0.25">
      <c r="A2709" s="130">
        <v>45993</v>
      </c>
      <c r="B2709">
        <v>149.25</v>
      </c>
      <c r="C2709">
        <v>145.75</v>
      </c>
      <c r="D2709">
        <v>145.25</v>
      </c>
      <c r="E2709">
        <v>146.5</v>
      </c>
      <c r="F2709">
        <v>145.75</v>
      </c>
      <c r="G2709">
        <v>185729</v>
      </c>
      <c r="H2709" s="107"/>
      <c r="I2709" s="107"/>
      <c r="L2709" s="130">
        <v>45993</v>
      </c>
      <c r="M2709" s="107">
        <v>145.72999999999999</v>
      </c>
      <c r="N2709" s="107">
        <v>149.4</v>
      </c>
      <c r="O2709" s="107">
        <v>145.28</v>
      </c>
      <c r="P2709" s="107">
        <v>147.24</v>
      </c>
      <c r="Q2709" s="107">
        <v>145.72999999999999</v>
      </c>
      <c r="R2709">
        <v>10708531</v>
      </c>
    </row>
    <row r="2710" spans="1:18" x14ac:dyDescent="0.25">
      <c r="A2710" s="130">
        <v>45994</v>
      </c>
      <c r="B2710">
        <v>146.1</v>
      </c>
      <c r="C2710">
        <v>140.30000000000001</v>
      </c>
      <c r="D2710">
        <v>139.1</v>
      </c>
      <c r="E2710">
        <v>145.85</v>
      </c>
      <c r="F2710">
        <v>140.30000000000001</v>
      </c>
      <c r="G2710">
        <v>991214</v>
      </c>
      <c r="H2710" s="107"/>
      <c r="I2710" s="107"/>
      <c r="L2710" s="130">
        <v>45994</v>
      </c>
      <c r="M2710" s="107">
        <v>140.30000000000001</v>
      </c>
      <c r="N2710" s="107">
        <v>146.09</v>
      </c>
      <c r="O2710" s="107">
        <v>139.08000000000001</v>
      </c>
      <c r="P2710" s="107">
        <v>146.09</v>
      </c>
      <c r="Q2710" s="107">
        <v>140.30000000000001</v>
      </c>
      <c r="R2710">
        <v>9346948</v>
      </c>
    </row>
    <row r="2711" spans="1:18" x14ac:dyDescent="0.25">
      <c r="A2711" s="130">
        <v>45995</v>
      </c>
      <c r="B2711">
        <v>142.75</v>
      </c>
      <c r="C2711">
        <v>141.55000000000001</v>
      </c>
      <c r="D2711">
        <v>139.80000000000001</v>
      </c>
      <c r="E2711">
        <v>139.80000000000001</v>
      </c>
      <c r="F2711">
        <v>141.55000000000001</v>
      </c>
      <c r="G2711">
        <v>274177</v>
      </c>
      <c r="H2711" s="107"/>
      <c r="I2711" s="107"/>
      <c r="L2711" s="130">
        <v>45995</v>
      </c>
      <c r="M2711" s="107">
        <v>141.52000000000001</v>
      </c>
      <c r="N2711" s="107">
        <v>142.75</v>
      </c>
      <c r="O2711" s="107">
        <v>139.72</v>
      </c>
      <c r="P2711" s="107">
        <v>140</v>
      </c>
      <c r="Q2711" s="107">
        <v>141.52000000000001</v>
      </c>
      <c r="R2711">
        <v>8328312</v>
      </c>
    </row>
    <row r="2712" spans="1:18" x14ac:dyDescent="0.25">
      <c r="A2712" s="130">
        <v>45996</v>
      </c>
      <c r="B2712">
        <v>143.69999999999999</v>
      </c>
      <c r="C2712">
        <v>143.15</v>
      </c>
      <c r="D2712">
        <v>140.75</v>
      </c>
      <c r="E2712">
        <v>141.35</v>
      </c>
      <c r="F2712">
        <v>143.15</v>
      </c>
      <c r="G2712">
        <v>283454</v>
      </c>
      <c r="H2712" s="107"/>
      <c r="I2712" s="107"/>
      <c r="L2712" s="130">
        <v>45996</v>
      </c>
      <c r="M2712" s="107">
        <v>143.11000000000001</v>
      </c>
      <c r="N2712" s="107">
        <v>143.78</v>
      </c>
      <c r="O2712" s="107">
        <v>140.76</v>
      </c>
      <c r="P2712" s="107">
        <v>141.5</v>
      </c>
      <c r="Q2712" s="107">
        <v>143.11000000000001</v>
      </c>
      <c r="R2712">
        <v>4937787</v>
      </c>
    </row>
    <row r="2713" spans="1:18" x14ac:dyDescent="0.25">
      <c r="A2713" s="130">
        <v>45999</v>
      </c>
      <c r="B2713">
        <v>142.85</v>
      </c>
      <c r="C2713">
        <v>138.05000000000001</v>
      </c>
      <c r="D2713">
        <v>136.85</v>
      </c>
      <c r="E2713">
        <v>142.5</v>
      </c>
      <c r="F2713">
        <v>138.05000000000001</v>
      </c>
      <c r="G2713">
        <v>526516</v>
      </c>
      <c r="H2713" s="107"/>
      <c r="I2713" s="107"/>
      <c r="L2713" s="130">
        <v>45999</v>
      </c>
      <c r="M2713" s="107">
        <v>138.15</v>
      </c>
      <c r="N2713" s="107">
        <v>142.88999999999999</v>
      </c>
      <c r="O2713" s="107">
        <v>136.77000000000001</v>
      </c>
      <c r="P2713" s="107">
        <v>142.35</v>
      </c>
      <c r="Q2713" s="107">
        <v>138.15</v>
      </c>
      <c r="R2713">
        <v>7093668</v>
      </c>
    </row>
    <row r="2714" spans="1:18" x14ac:dyDescent="0.25">
      <c r="A2714" s="130">
        <v>46000</v>
      </c>
      <c r="B2714">
        <v>142</v>
      </c>
      <c r="C2714">
        <v>141.69999999999999</v>
      </c>
      <c r="D2714">
        <v>136.69999999999999</v>
      </c>
      <c r="E2714">
        <v>138.65</v>
      </c>
      <c r="F2714">
        <v>141.69999999999999</v>
      </c>
      <c r="G2714">
        <v>254316</v>
      </c>
      <c r="H2714" s="107"/>
      <c r="I2714" s="107"/>
      <c r="L2714" s="130">
        <v>46000</v>
      </c>
      <c r="M2714" s="107">
        <v>141.63999999999999</v>
      </c>
      <c r="N2714" s="107">
        <v>141.9</v>
      </c>
      <c r="O2714" s="107">
        <v>136.71</v>
      </c>
      <c r="P2714" s="107">
        <v>137.93</v>
      </c>
      <c r="Q2714" s="107">
        <v>141.63999999999999</v>
      </c>
      <c r="R2714">
        <v>10059178</v>
      </c>
    </row>
    <row r="2715" spans="1:18" x14ac:dyDescent="0.25">
      <c r="A2715" s="130">
        <v>46001</v>
      </c>
      <c r="B2715">
        <v>142.19999999999999</v>
      </c>
      <c r="C2715">
        <v>138.19999999999999</v>
      </c>
      <c r="D2715">
        <v>137.6</v>
      </c>
      <c r="E2715">
        <v>140.94999999999999</v>
      </c>
      <c r="F2715">
        <v>138.19999999999999</v>
      </c>
      <c r="G2715">
        <v>297885</v>
      </c>
      <c r="H2715" s="107"/>
      <c r="I2715" s="107"/>
      <c r="L2715" s="130">
        <v>46001</v>
      </c>
      <c r="M2715" s="107">
        <v>138.16</v>
      </c>
      <c r="N2715" s="107">
        <v>142.13</v>
      </c>
      <c r="O2715" s="107">
        <v>137.5</v>
      </c>
      <c r="P2715" s="107">
        <v>140.41</v>
      </c>
      <c r="Q2715" s="107">
        <v>138.16</v>
      </c>
      <c r="R2715">
        <v>11795693</v>
      </c>
    </row>
    <row r="2716" spans="1:18" x14ac:dyDescent="0.25">
      <c r="A2716" s="130">
        <v>46002</v>
      </c>
      <c r="B2716">
        <v>141.75</v>
      </c>
      <c r="C2716">
        <v>140.69999999999999</v>
      </c>
      <c r="D2716">
        <v>138.85</v>
      </c>
      <c r="E2716">
        <v>139</v>
      </c>
      <c r="F2716">
        <v>140.69999999999999</v>
      </c>
      <c r="G2716">
        <v>347244</v>
      </c>
      <c r="H2716" s="107"/>
      <c r="I2716" s="107"/>
      <c r="L2716" s="130">
        <v>46002</v>
      </c>
      <c r="M2716" s="107">
        <v>140.76</v>
      </c>
      <c r="N2716" s="107">
        <v>141.79</v>
      </c>
      <c r="O2716" s="107">
        <v>138.76</v>
      </c>
      <c r="P2716" s="107">
        <v>139</v>
      </c>
      <c r="Q2716" s="107">
        <v>140.76</v>
      </c>
      <c r="R2716">
        <v>7263380</v>
      </c>
    </row>
    <row r="2717" spans="1:18" x14ac:dyDescent="0.25">
      <c r="A2717" s="130">
        <v>46003</v>
      </c>
      <c r="B2717">
        <v>141.55000000000001</v>
      </c>
      <c r="C2717">
        <v>141.1</v>
      </c>
      <c r="D2717">
        <v>139.85</v>
      </c>
      <c r="E2717">
        <v>141.35</v>
      </c>
      <c r="F2717">
        <v>141.1</v>
      </c>
      <c r="G2717">
        <v>128317</v>
      </c>
      <c r="H2717" s="107"/>
      <c r="I2717" s="107"/>
      <c r="L2717" s="130">
        <v>46003</v>
      </c>
      <c r="M2717" s="107">
        <v>141.12</v>
      </c>
      <c r="N2717" s="107">
        <v>141.57</v>
      </c>
      <c r="O2717" s="107">
        <v>139.83000000000001</v>
      </c>
      <c r="P2717" s="107">
        <v>141</v>
      </c>
      <c r="Q2717" s="107">
        <v>141.12</v>
      </c>
      <c r="R2717">
        <v>3210687</v>
      </c>
    </row>
    <row r="2718" spans="1:18" x14ac:dyDescent="0.25">
      <c r="A2718" s="130">
        <v>46006</v>
      </c>
      <c r="B2718">
        <v>142.19999999999999</v>
      </c>
      <c r="C2718">
        <v>141.80000000000001</v>
      </c>
      <c r="D2718">
        <v>140.15</v>
      </c>
      <c r="E2718">
        <v>140.94999999999999</v>
      </c>
      <c r="F2718">
        <v>141.80000000000001</v>
      </c>
      <c r="G2718">
        <v>73314</v>
      </c>
      <c r="H2718" s="107"/>
      <c r="I2718" s="107"/>
      <c r="L2718" s="130">
        <v>46006</v>
      </c>
      <c r="M2718" s="107">
        <v>141.77000000000001</v>
      </c>
      <c r="N2718" s="107">
        <v>142.30000000000001</v>
      </c>
      <c r="O2718" s="107">
        <v>140.13999999999999</v>
      </c>
      <c r="P2718" s="107">
        <v>141.1</v>
      </c>
      <c r="Q2718" s="107">
        <v>141.77000000000001</v>
      </c>
      <c r="R2718">
        <v>2748359</v>
      </c>
    </row>
    <row r="2719" spans="1:18" x14ac:dyDescent="0.25">
      <c r="A2719" s="130">
        <v>46007</v>
      </c>
      <c r="B2719">
        <v>141.80000000000001</v>
      </c>
      <c r="C2719">
        <v>139.5</v>
      </c>
      <c r="D2719">
        <v>138.6</v>
      </c>
      <c r="E2719">
        <v>141.35</v>
      </c>
      <c r="F2719">
        <v>139.5</v>
      </c>
      <c r="G2719">
        <v>219333</v>
      </c>
      <c r="H2719" s="107"/>
      <c r="I2719" s="107"/>
      <c r="L2719" s="130">
        <v>46007</v>
      </c>
      <c r="M2719" s="107">
        <v>139.38</v>
      </c>
      <c r="N2719" s="107">
        <v>142</v>
      </c>
      <c r="O2719" s="107">
        <v>138.46</v>
      </c>
      <c r="P2719" s="107">
        <v>141.80000000000001</v>
      </c>
      <c r="Q2719" s="107">
        <v>139.38</v>
      </c>
      <c r="R2719">
        <v>5150925</v>
      </c>
    </row>
    <row r="2720" spans="1:18" x14ac:dyDescent="0.25">
      <c r="A2720" s="130">
        <v>46008</v>
      </c>
      <c r="B2720">
        <v>142.65</v>
      </c>
      <c r="C2720">
        <v>141.94999999999999</v>
      </c>
      <c r="D2720">
        <v>139.4</v>
      </c>
      <c r="E2720">
        <v>139.5</v>
      </c>
      <c r="F2720">
        <v>141.94999999999999</v>
      </c>
      <c r="G2720">
        <v>409963</v>
      </c>
      <c r="H2720" s="107"/>
      <c r="I2720" s="107"/>
      <c r="L2720" s="130">
        <v>46008</v>
      </c>
      <c r="M2720" s="107">
        <v>141.96</v>
      </c>
      <c r="N2720" s="107">
        <v>142.80000000000001</v>
      </c>
      <c r="O2720" s="107">
        <v>139.1</v>
      </c>
      <c r="P2720" s="107">
        <v>139.38</v>
      </c>
      <c r="Q2720" s="107">
        <v>141.96</v>
      </c>
      <c r="R2720">
        <v>6426422</v>
      </c>
    </row>
    <row r="2721" spans="1:18" x14ac:dyDescent="0.25">
      <c r="A2721" s="130">
        <v>46009</v>
      </c>
      <c r="B2721">
        <v>143.4</v>
      </c>
      <c r="C2721">
        <v>142.25</v>
      </c>
      <c r="D2721">
        <v>141.15</v>
      </c>
      <c r="E2721">
        <v>142.35</v>
      </c>
      <c r="F2721">
        <v>142.25</v>
      </c>
      <c r="G2721">
        <v>166213</v>
      </c>
      <c r="H2721" s="107"/>
      <c r="I2721" s="107"/>
      <c r="L2721" s="130">
        <v>46009</v>
      </c>
      <c r="M2721" s="107">
        <v>142.30000000000001</v>
      </c>
      <c r="N2721" s="107">
        <v>143.49</v>
      </c>
      <c r="O2721" s="107">
        <v>141.12</v>
      </c>
      <c r="P2721" s="107">
        <v>142.24</v>
      </c>
      <c r="Q2721" s="107">
        <v>142.30000000000001</v>
      </c>
      <c r="R2721">
        <v>5612515</v>
      </c>
    </row>
    <row r="2722" spans="1:18" x14ac:dyDescent="0.25">
      <c r="A2722" s="130">
        <v>46010</v>
      </c>
      <c r="B2722">
        <v>143.4</v>
      </c>
      <c r="C2722">
        <v>143.19999999999999</v>
      </c>
      <c r="D2722">
        <v>141.85</v>
      </c>
      <c r="E2722">
        <v>142.25</v>
      </c>
      <c r="F2722">
        <v>143.19999999999999</v>
      </c>
      <c r="G2722">
        <v>114608</v>
      </c>
      <c r="H2722" s="107"/>
      <c r="I2722" s="107"/>
      <c r="L2722" s="130">
        <v>46010</v>
      </c>
      <c r="M2722" s="107">
        <v>143.21</v>
      </c>
      <c r="N2722" s="107">
        <v>143.4</v>
      </c>
      <c r="O2722" s="107">
        <v>141.78</v>
      </c>
      <c r="P2722" s="107">
        <v>142</v>
      </c>
      <c r="Q2722" s="107">
        <v>143.21</v>
      </c>
      <c r="R2722">
        <v>4035757</v>
      </c>
    </row>
    <row r="2723" spans="1:18" x14ac:dyDescent="0.25">
      <c r="A2723" s="130">
        <v>46013</v>
      </c>
      <c r="B2723">
        <v>143.65</v>
      </c>
      <c r="C2723">
        <v>142.75</v>
      </c>
      <c r="D2723">
        <v>142.30000000000001</v>
      </c>
      <c r="E2723">
        <v>143.44999999999999</v>
      </c>
      <c r="F2723">
        <v>142.75</v>
      </c>
      <c r="G2723">
        <v>462620</v>
      </c>
      <c r="H2723" s="107"/>
      <c r="I2723" s="107"/>
      <c r="L2723" s="130">
        <v>46013</v>
      </c>
      <c r="M2723" s="107">
        <v>142.72</v>
      </c>
      <c r="N2723" s="107">
        <v>143.75</v>
      </c>
      <c r="O2723" s="107">
        <v>142.26</v>
      </c>
      <c r="P2723" s="107">
        <v>143.22999999999999</v>
      </c>
      <c r="Q2723" s="107">
        <v>142.72</v>
      </c>
      <c r="R2723">
        <v>7693720</v>
      </c>
    </row>
    <row r="2724" spans="1:18" x14ac:dyDescent="0.25">
      <c r="A2724" s="130">
        <v>46014</v>
      </c>
      <c r="B2724">
        <v>143.6</v>
      </c>
      <c r="C2724">
        <v>140.85</v>
      </c>
      <c r="D2724">
        <v>140.6</v>
      </c>
      <c r="E2724">
        <v>142.80000000000001</v>
      </c>
      <c r="F2724">
        <v>140.85</v>
      </c>
      <c r="G2724">
        <v>215748</v>
      </c>
      <c r="H2724" s="107"/>
      <c r="I2724" s="107"/>
      <c r="L2724" s="130">
        <v>46014</v>
      </c>
      <c r="M2724" s="107">
        <v>140.88999999999999</v>
      </c>
      <c r="N2724" s="107">
        <v>143.55000000000001</v>
      </c>
      <c r="O2724" s="107">
        <v>140.59</v>
      </c>
      <c r="P2724" s="107">
        <v>143.01</v>
      </c>
      <c r="Q2724" s="107">
        <v>140.88999999999999</v>
      </c>
      <c r="R2724">
        <v>3701448</v>
      </c>
    </row>
    <row r="2725" spans="1:18" x14ac:dyDescent="0.25">
      <c r="A2725" s="130">
        <v>46015</v>
      </c>
      <c r="B2725">
        <v>141.6</v>
      </c>
      <c r="C2725">
        <v>139.69999999999999</v>
      </c>
      <c r="D2725">
        <v>139.5</v>
      </c>
      <c r="E2725">
        <v>141.6</v>
      </c>
      <c r="F2725">
        <v>139.69999999999999</v>
      </c>
      <c r="G2725">
        <v>195986</v>
      </c>
      <c r="H2725" s="107"/>
      <c r="I2725" s="107"/>
      <c r="L2725" s="130">
        <v>46015</v>
      </c>
      <c r="M2725" s="107">
        <v>139.78</v>
      </c>
      <c r="N2725" s="107">
        <v>141.65</v>
      </c>
      <c r="O2725" s="107">
        <v>139.37</v>
      </c>
      <c r="P2725" s="107">
        <v>141.21</v>
      </c>
      <c r="Q2725" s="107">
        <v>139.78</v>
      </c>
      <c r="R2725">
        <v>4090710</v>
      </c>
    </row>
    <row r="2726" spans="1:18" x14ac:dyDescent="0.25">
      <c r="A2726" s="130">
        <v>46017</v>
      </c>
      <c r="B2726">
        <v>140.6</v>
      </c>
      <c r="C2726">
        <v>139.75</v>
      </c>
      <c r="D2726">
        <v>139.15</v>
      </c>
      <c r="E2726">
        <v>140.15</v>
      </c>
      <c r="F2726">
        <v>139.75</v>
      </c>
      <c r="G2726">
        <v>94498</v>
      </c>
      <c r="H2726" s="107"/>
      <c r="I2726" s="107"/>
      <c r="L2726" s="130">
        <v>46017</v>
      </c>
      <c r="M2726" s="107">
        <v>139.77000000000001</v>
      </c>
      <c r="N2726" s="107">
        <v>140.68</v>
      </c>
      <c r="O2726" s="107">
        <v>139.15</v>
      </c>
      <c r="P2726" s="107">
        <v>140</v>
      </c>
      <c r="Q2726" s="107">
        <v>139.77000000000001</v>
      </c>
      <c r="R2726">
        <v>2470349</v>
      </c>
    </row>
    <row r="2727" spans="1:18" x14ac:dyDescent="0.25">
      <c r="A2727" s="130">
        <v>46020</v>
      </c>
      <c r="B2727">
        <v>140.30000000000001</v>
      </c>
      <c r="C2727">
        <v>139.69999999999999</v>
      </c>
      <c r="D2727">
        <v>138.65</v>
      </c>
      <c r="E2727">
        <v>139.94999999999999</v>
      </c>
      <c r="F2727">
        <v>139.69999999999999</v>
      </c>
      <c r="G2727">
        <v>132216</v>
      </c>
      <c r="H2727" s="107"/>
      <c r="I2727" s="107"/>
      <c r="L2727" s="130">
        <v>46020</v>
      </c>
      <c r="M2727" s="107">
        <v>139.91</v>
      </c>
      <c r="N2727" s="107">
        <v>140.36000000000001</v>
      </c>
      <c r="O2727" s="107">
        <v>138.66</v>
      </c>
      <c r="P2727" s="107">
        <v>139.77000000000001</v>
      </c>
      <c r="Q2727" s="107">
        <v>139.91</v>
      </c>
      <c r="R2727">
        <v>5185660</v>
      </c>
    </row>
    <row r="2728" spans="1:18" x14ac:dyDescent="0.25">
      <c r="A2728" s="130">
        <v>46021</v>
      </c>
      <c r="B2728">
        <v>142.5</v>
      </c>
      <c r="C2728">
        <v>141.94999999999999</v>
      </c>
      <c r="D2728">
        <v>138.19999999999999</v>
      </c>
      <c r="E2728">
        <v>139.80000000000001</v>
      </c>
      <c r="F2728">
        <v>141.94999999999999</v>
      </c>
      <c r="G2728">
        <v>220143</v>
      </c>
      <c r="H2728" s="107"/>
      <c r="I2728" s="107"/>
      <c r="L2728" s="130">
        <v>46021</v>
      </c>
      <c r="M2728" s="107">
        <v>142.01</v>
      </c>
      <c r="N2728" s="107">
        <v>142.5</v>
      </c>
      <c r="O2728" s="107">
        <v>138.11000000000001</v>
      </c>
      <c r="P2728" s="107">
        <v>139.91</v>
      </c>
      <c r="Q2728" s="107">
        <v>142.01</v>
      </c>
      <c r="R2728">
        <v>15268073</v>
      </c>
    </row>
    <row r="2729" spans="1:18" x14ac:dyDescent="0.25">
      <c r="A2729" s="130">
        <v>46022</v>
      </c>
      <c r="B2729">
        <v>144.9</v>
      </c>
      <c r="C2729">
        <v>143.75</v>
      </c>
      <c r="D2729">
        <v>141.44999999999999</v>
      </c>
      <c r="E2729">
        <v>142.5</v>
      </c>
      <c r="F2729">
        <v>143.75</v>
      </c>
      <c r="G2729">
        <v>232166</v>
      </c>
      <c r="H2729" s="107"/>
      <c r="I2729" s="107"/>
      <c r="L2729" s="130">
        <v>46022</v>
      </c>
      <c r="M2729" s="107">
        <v>143.85</v>
      </c>
      <c r="N2729" s="107">
        <v>144.88999999999999</v>
      </c>
      <c r="O2729" s="107">
        <v>141.19999999999999</v>
      </c>
      <c r="P2729" s="107">
        <v>142.5</v>
      </c>
      <c r="Q2729" s="107">
        <v>143.85</v>
      </c>
      <c r="R2729">
        <v>9324922</v>
      </c>
    </row>
    <row r="2730" spans="1:18" x14ac:dyDescent="0.25">
      <c r="A2730" s="130">
        <v>46023</v>
      </c>
      <c r="B2730">
        <v>147.65</v>
      </c>
      <c r="C2730">
        <v>147</v>
      </c>
      <c r="D2730">
        <v>143.55000000000001</v>
      </c>
      <c r="E2730">
        <v>144.05000000000001</v>
      </c>
      <c r="F2730">
        <v>147</v>
      </c>
      <c r="G2730">
        <v>296383</v>
      </c>
      <c r="H2730" s="107"/>
      <c r="I2730" s="107"/>
      <c r="L2730" s="130">
        <v>46023</v>
      </c>
      <c r="M2730" s="107">
        <v>146.99</v>
      </c>
      <c r="N2730" s="107">
        <v>147.79</v>
      </c>
      <c r="O2730" s="107">
        <v>143.51</v>
      </c>
      <c r="P2730" s="107">
        <v>144.1</v>
      </c>
      <c r="Q2730" s="107">
        <v>146.99</v>
      </c>
      <c r="R2730">
        <v>7447505</v>
      </c>
    </row>
    <row r="2731" spans="1:18" x14ac:dyDescent="0.25">
      <c r="A2731" s="130">
        <v>46024</v>
      </c>
      <c r="B2731">
        <v>150.35</v>
      </c>
      <c r="C2731">
        <v>149.15</v>
      </c>
      <c r="D2731">
        <v>146.9</v>
      </c>
      <c r="E2731">
        <v>147.35</v>
      </c>
      <c r="F2731">
        <v>149.15</v>
      </c>
      <c r="G2731">
        <v>763101</v>
      </c>
      <c r="H2731" s="107"/>
      <c r="I2731" s="107"/>
      <c r="L2731" s="130">
        <v>46024</v>
      </c>
      <c r="M2731" s="107">
        <v>149.22</v>
      </c>
      <c r="N2731" s="107">
        <v>150.30000000000001</v>
      </c>
      <c r="O2731" s="107">
        <v>146.82</v>
      </c>
      <c r="P2731" s="107">
        <v>147.5</v>
      </c>
      <c r="Q2731" s="107">
        <v>149.22</v>
      </c>
      <c r="R2731">
        <v>9401609</v>
      </c>
    </row>
    <row r="2732" spans="1:18" x14ac:dyDescent="0.25">
      <c r="A2732" s="130">
        <v>46027</v>
      </c>
      <c r="B2732">
        <v>152.5</v>
      </c>
      <c r="C2732">
        <v>150</v>
      </c>
      <c r="D2732">
        <v>148.05000000000001</v>
      </c>
      <c r="E2732">
        <v>151</v>
      </c>
      <c r="F2732">
        <v>150</v>
      </c>
      <c r="G2732">
        <v>410404</v>
      </c>
      <c r="H2732" s="107"/>
      <c r="I2732" s="107"/>
      <c r="L2732" s="130">
        <v>46027</v>
      </c>
      <c r="M2732" s="107">
        <v>149.88999999999999</v>
      </c>
      <c r="N2732" s="107">
        <v>152.33000000000001</v>
      </c>
      <c r="O2732" s="107">
        <v>148</v>
      </c>
      <c r="P2732" s="107">
        <v>150.9</v>
      </c>
      <c r="Q2732" s="107">
        <v>149.88999999999999</v>
      </c>
      <c r="R2732">
        <v>9650550</v>
      </c>
    </row>
    <row r="2733" spans="1:18" x14ac:dyDescent="0.25">
      <c r="A2733" s="130">
        <v>46028</v>
      </c>
      <c r="B2733">
        <v>153.19999999999999</v>
      </c>
      <c r="C2733">
        <v>150.65</v>
      </c>
      <c r="D2733">
        <v>149.69999999999999</v>
      </c>
      <c r="E2733">
        <v>150</v>
      </c>
      <c r="F2733">
        <v>150.65</v>
      </c>
      <c r="G2733">
        <v>707795</v>
      </c>
      <c r="H2733" s="107"/>
      <c r="I2733" s="107"/>
      <c r="L2733" s="130">
        <v>46028</v>
      </c>
      <c r="M2733" s="107">
        <v>150.66</v>
      </c>
      <c r="N2733" s="107">
        <v>153.24</v>
      </c>
      <c r="O2733" s="107">
        <v>149.63</v>
      </c>
      <c r="P2733" s="107">
        <v>149.99</v>
      </c>
      <c r="Q2733" s="107">
        <v>150.66</v>
      </c>
      <c r="R2733">
        <v>11879226</v>
      </c>
    </row>
    <row r="2734" spans="1:18" x14ac:dyDescent="0.25">
      <c r="A2734" s="130">
        <v>46029</v>
      </c>
      <c r="B2734">
        <v>151.94999999999999</v>
      </c>
      <c r="C2734">
        <v>151.55000000000001</v>
      </c>
      <c r="D2734">
        <v>149.80000000000001</v>
      </c>
      <c r="E2734">
        <v>150.65</v>
      </c>
      <c r="F2734">
        <v>151.55000000000001</v>
      </c>
      <c r="G2734">
        <v>204672</v>
      </c>
      <c r="H2734" s="107"/>
      <c r="I2734" s="107"/>
      <c r="L2734" s="130">
        <v>46029</v>
      </c>
      <c r="M2734" s="107">
        <v>151.49</v>
      </c>
      <c r="N2734" s="107">
        <v>151.97</v>
      </c>
      <c r="O2734" s="107">
        <v>149.71</v>
      </c>
      <c r="P2734" s="107">
        <v>150.66</v>
      </c>
      <c r="Q2734" s="107">
        <v>151.49</v>
      </c>
      <c r="R2734">
        <v>5035903</v>
      </c>
    </row>
    <row r="2735" spans="1:18" x14ac:dyDescent="0.25">
      <c r="A2735" s="130">
        <v>46030</v>
      </c>
      <c r="B2735">
        <v>151.4</v>
      </c>
      <c r="C2735">
        <v>147</v>
      </c>
      <c r="D2735">
        <v>146.30000000000001</v>
      </c>
      <c r="E2735">
        <v>151.30000000000001</v>
      </c>
      <c r="F2735">
        <v>147</v>
      </c>
      <c r="G2735">
        <v>424885</v>
      </c>
      <c r="H2735" s="107"/>
      <c r="I2735" s="107"/>
      <c r="L2735" s="130">
        <v>46030</v>
      </c>
      <c r="M2735" s="107">
        <v>146.93</v>
      </c>
      <c r="N2735" s="107">
        <v>151.38999999999999</v>
      </c>
      <c r="O2735" s="107">
        <v>146.30000000000001</v>
      </c>
      <c r="P2735" s="107">
        <v>151</v>
      </c>
      <c r="Q2735" s="107">
        <v>146.93</v>
      </c>
      <c r="R2735">
        <v>6830925</v>
      </c>
    </row>
    <row r="2736" spans="1:18" x14ac:dyDescent="0.25">
      <c r="A2736" s="130">
        <v>46031</v>
      </c>
      <c r="B2736">
        <v>150</v>
      </c>
      <c r="C2736">
        <v>145.94999999999999</v>
      </c>
      <c r="D2736">
        <v>145.1</v>
      </c>
      <c r="E2736">
        <v>146.35</v>
      </c>
      <c r="F2736">
        <v>145.94999999999999</v>
      </c>
      <c r="G2736">
        <v>447678</v>
      </c>
      <c r="H2736" s="107"/>
      <c r="I2736" s="107"/>
      <c r="L2736" s="130">
        <v>46031</v>
      </c>
      <c r="M2736" s="107">
        <v>146.02000000000001</v>
      </c>
      <c r="N2736" s="107">
        <v>150.05000000000001</v>
      </c>
      <c r="O2736" s="107">
        <v>145.19999999999999</v>
      </c>
      <c r="P2736" s="107">
        <v>146.5</v>
      </c>
      <c r="Q2736" s="107">
        <v>146.02000000000001</v>
      </c>
      <c r="R2736">
        <v>6843545</v>
      </c>
    </row>
    <row r="2737" spans="1:18" x14ac:dyDescent="0.25">
      <c r="A2737" s="130">
        <v>46034</v>
      </c>
      <c r="B2737">
        <v>147</v>
      </c>
      <c r="C2737">
        <v>145.85</v>
      </c>
      <c r="D2737">
        <v>142.85</v>
      </c>
      <c r="E2737">
        <v>145.75</v>
      </c>
      <c r="F2737">
        <v>145.85</v>
      </c>
      <c r="G2737">
        <v>274597</v>
      </c>
      <c r="H2737" s="107"/>
      <c r="I2737" s="107"/>
      <c r="L2737" s="130">
        <v>46034</v>
      </c>
      <c r="M2737" s="107">
        <v>145.88999999999999</v>
      </c>
      <c r="N2737" s="107">
        <v>149.99</v>
      </c>
      <c r="O2737" s="107">
        <v>142.9</v>
      </c>
      <c r="P2737" s="107">
        <v>145.99</v>
      </c>
      <c r="Q2737" s="107">
        <v>145.88999999999999</v>
      </c>
      <c r="R2737">
        <v>8324371</v>
      </c>
    </row>
    <row r="2738" spans="1:18" x14ac:dyDescent="0.25">
      <c r="A2738" s="130">
        <v>46035</v>
      </c>
      <c r="B2738">
        <v>148</v>
      </c>
      <c r="C2738">
        <v>147.55000000000001</v>
      </c>
      <c r="D2738">
        <v>145.85</v>
      </c>
      <c r="E2738">
        <v>146.19999999999999</v>
      </c>
      <c r="F2738">
        <v>147.55000000000001</v>
      </c>
      <c r="G2738">
        <v>166490</v>
      </c>
      <c r="H2738" s="107"/>
      <c r="I2738" s="107"/>
      <c r="L2738" s="130">
        <v>46035</v>
      </c>
      <c r="M2738" s="107">
        <v>147.56</v>
      </c>
      <c r="N2738" s="107">
        <v>147.97999999999999</v>
      </c>
      <c r="O2738" s="107">
        <v>145.80000000000001</v>
      </c>
      <c r="P2738" s="107">
        <v>146.9</v>
      </c>
      <c r="Q2738" s="107">
        <v>147.56</v>
      </c>
      <c r="R2738">
        <v>5614349</v>
      </c>
    </row>
    <row r="2739" spans="1:18" x14ac:dyDescent="0.25">
      <c r="A2739" s="130">
        <v>46036</v>
      </c>
      <c r="B2739">
        <v>153.75</v>
      </c>
      <c r="C2739">
        <v>152.69999999999999</v>
      </c>
      <c r="D2739">
        <v>146.15</v>
      </c>
      <c r="E2739">
        <v>147.94999999999999</v>
      </c>
      <c r="F2739">
        <v>152.69999999999999</v>
      </c>
      <c r="G2739">
        <v>470097</v>
      </c>
      <c r="H2739" s="107"/>
      <c r="I2739" s="107"/>
      <c r="L2739" s="130">
        <v>46036</v>
      </c>
      <c r="M2739" s="107">
        <v>152.87</v>
      </c>
      <c r="N2739" s="107">
        <v>153.72999999999999</v>
      </c>
      <c r="O2739" s="107">
        <v>146.12</v>
      </c>
      <c r="P2739" s="107">
        <v>147.76</v>
      </c>
      <c r="Q2739" s="107">
        <v>152.87</v>
      </c>
      <c r="R2739">
        <v>16837377</v>
      </c>
    </row>
    <row r="2740" spans="1:18" x14ac:dyDescent="0.25">
      <c r="A2740" s="130">
        <v>46038</v>
      </c>
      <c r="B2740">
        <v>157.6</v>
      </c>
      <c r="C2740">
        <v>157.35</v>
      </c>
      <c r="D2740">
        <v>153.5</v>
      </c>
      <c r="E2740">
        <v>153.85</v>
      </c>
      <c r="F2740">
        <v>157.35</v>
      </c>
      <c r="G2740">
        <v>704317</v>
      </c>
      <c r="H2740" s="107"/>
      <c r="I2740" s="107"/>
      <c r="L2740" s="130">
        <v>46038</v>
      </c>
      <c r="M2740" s="107">
        <v>157.34</v>
      </c>
      <c r="N2740" s="107">
        <v>157.58000000000001</v>
      </c>
      <c r="O2740" s="107">
        <v>153.44999999999999</v>
      </c>
      <c r="P2740" s="107">
        <v>153.5</v>
      </c>
      <c r="Q2740" s="107">
        <v>157.34</v>
      </c>
      <c r="R2740">
        <v>17659016</v>
      </c>
    </row>
    <row r="2741" spans="1:18" x14ac:dyDescent="0.25">
      <c r="A2741" s="130">
        <v>46041</v>
      </c>
      <c r="B2741">
        <v>164.2</v>
      </c>
      <c r="C2741">
        <v>163</v>
      </c>
      <c r="D2741">
        <v>156.9</v>
      </c>
      <c r="E2741">
        <v>157.65</v>
      </c>
      <c r="F2741">
        <v>163</v>
      </c>
      <c r="G2741">
        <v>1761997</v>
      </c>
      <c r="H2741" s="107"/>
      <c r="I2741" s="107"/>
      <c r="L2741" s="130">
        <v>46041</v>
      </c>
      <c r="M2741" s="107">
        <v>163.05000000000001</v>
      </c>
      <c r="N2741" s="107">
        <v>164.34</v>
      </c>
      <c r="O2741" s="107">
        <v>157</v>
      </c>
      <c r="P2741" s="107">
        <v>157.6</v>
      </c>
      <c r="Q2741" s="107">
        <v>163.05000000000001</v>
      </c>
      <c r="R2741">
        <v>35194066</v>
      </c>
    </row>
    <row r="2742" spans="1:18" x14ac:dyDescent="0.25">
      <c r="A2742" s="130">
        <v>46042</v>
      </c>
      <c r="B2742">
        <v>165.45</v>
      </c>
      <c r="C2742">
        <v>159.65</v>
      </c>
      <c r="D2742">
        <v>159.1</v>
      </c>
      <c r="E2742">
        <v>163.4</v>
      </c>
      <c r="F2742">
        <v>159.65</v>
      </c>
      <c r="G2742">
        <v>630815</v>
      </c>
      <c r="H2742" s="107"/>
      <c r="I2742" s="107"/>
      <c r="L2742" s="130">
        <v>46042</v>
      </c>
      <c r="M2742" s="107">
        <v>159.75</v>
      </c>
      <c r="N2742" s="107">
        <v>165.33</v>
      </c>
      <c r="O2742" s="107">
        <v>159.1</v>
      </c>
      <c r="P2742" s="107">
        <v>163.05000000000001</v>
      </c>
      <c r="Q2742" s="107">
        <v>159.75</v>
      </c>
      <c r="R2742">
        <v>19736674</v>
      </c>
    </row>
    <row r="2743" spans="1:18" x14ac:dyDescent="0.25">
      <c r="A2743" s="130">
        <v>46043</v>
      </c>
      <c r="B2743">
        <v>162.55000000000001</v>
      </c>
      <c r="C2743">
        <v>157.55000000000001</v>
      </c>
      <c r="D2743">
        <v>156.35</v>
      </c>
      <c r="E2743">
        <v>160.65</v>
      </c>
      <c r="F2743">
        <v>157.55000000000001</v>
      </c>
      <c r="G2743">
        <v>652939</v>
      </c>
      <c r="H2743" s="107"/>
      <c r="I2743" s="107"/>
      <c r="L2743" s="130">
        <v>46043</v>
      </c>
      <c r="M2743" s="107">
        <v>157.47999999999999</v>
      </c>
      <c r="N2743" s="107">
        <v>162.54</v>
      </c>
      <c r="O2743" s="107">
        <v>156.24</v>
      </c>
      <c r="P2743" s="107">
        <v>160</v>
      </c>
      <c r="Q2743" s="107">
        <v>157.47999999999999</v>
      </c>
      <c r="R2743">
        <v>17533985</v>
      </c>
    </row>
    <row r="2744" spans="1:18" x14ac:dyDescent="0.25">
      <c r="A2744" s="130">
        <v>46044</v>
      </c>
      <c r="B2744">
        <v>168.25</v>
      </c>
      <c r="C2744">
        <v>166.4</v>
      </c>
      <c r="D2744">
        <v>160.85</v>
      </c>
      <c r="E2744">
        <v>160.85</v>
      </c>
      <c r="F2744">
        <v>166.4</v>
      </c>
      <c r="G2744">
        <v>2253647</v>
      </c>
      <c r="H2744" s="107"/>
      <c r="I2744" s="107"/>
      <c r="L2744" s="130">
        <v>46044</v>
      </c>
      <c r="M2744" s="107">
        <v>166.42</v>
      </c>
      <c r="N2744" s="107">
        <v>168.4</v>
      </c>
      <c r="O2744" s="107">
        <v>161</v>
      </c>
      <c r="P2744" s="107">
        <v>161</v>
      </c>
      <c r="Q2744" s="107">
        <v>166.42</v>
      </c>
      <c r="R2744">
        <v>42718644</v>
      </c>
    </row>
    <row r="2745" spans="1:18" x14ac:dyDescent="0.25">
      <c r="A2745" s="130">
        <v>46045</v>
      </c>
      <c r="B2745">
        <v>166.35</v>
      </c>
      <c r="C2745">
        <v>159.55000000000001</v>
      </c>
      <c r="D2745">
        <v>159.1</v>
      </c>
      <c r="E2745">
        <v>166.35</v>
      </c>
      <c r="F2745">
        <v>159.55000000000001</v>
      </c>
      <c r="G2745">
        <v>615710</v>
      </c>
      <c r="H2745" s="107"/>
      <c r="I2745" s="107"/>
      <c r="L2745" s="130">
        <v>46045</v>
      </c>
      <c r="M2745" s="107">
        <v>159.65</v>
      </c>
      <c r="N2745" s="107">
        <v>166.3</v>
      </c>
      <c r="O2745" s="107">
        <v>159.06</v>
      </c>
      <c r="P2745" s="107">
        <v>166.16</v>
      </c>
      <c r="Q2745" s="107">
        <v>159.65</v>
      </c>
      <c r="R2745">
        <v>15396336</v>
      </c>
    </row>
    <row r="2746" spans="1:18" x14ac:dyDescent="0.25">
      <c r="A2746" s="130">
        <v>46049</v>
      </c>
      <c r="B2746">
        <v>164.35</v>
      </c>
      <c r="C2746">
        <v>163.15</v>
      </c>
      <c r="D2746">
        <v>158.69999999999999</v>
      </c>
      <c r="E2746">
        <v>160.15</v>
      </c>
      <c r="F2746">
        <v>163.15</v>
      </c>
      <c r="G2746">
        <v>1190947</v>
      </c>
      <c r="H2746" s="107"/>
      <c r="I2746" s="107"/>
      <c r="L2746" s="130">
        <v>46049</v>
      </c>
      <c r="M2746" s="107">
        <v>163.16999999999999</v>
      </c>
      <c r="N2746" s="107">
        <v>164.25</v>
      </c>
      <c r="O2746" s="107">
        <v>158.69999999999999</v>
      </c>
      <c r="P2746" s="107">
        <v>160.19999999999999</v>
      </c>
      <c r="Q2746" s="107">
        <v>163.16999999999999</v>
      </c>
      <c r="R2746">
        <v>17486540</v>
      </c>
    </row>
    <row r="2747" spans="1:18" x14ac:dyDescent="0.25">
      <c r="A2747" s="130">
        <v>46050</v>
      </c>
      <c r="B2747">
        <v>167.7</v>
      </c>
      <c r="C2747">
        <v>167.35</v>
      </c>
      <c r="D2747">
        <v>162.4</v>
      </c>
      <c r="E2747">
        <v>164.35</v>
      </c>
      <c r="F2747">
        <v>167.35</v>
      </c>
      <c r="G2747">
        <v>556052</v>
      </c>
      <c r="H2747" s="107"/>
      <c r="I2747" s="107"/>
      <c r="L2747" s="130">
        <v>46050</v>
      </c>
      <c r="M2747" s="107">
        <v>167.34</v>
      </c>
      <c r="N2747" s="107">
        <v>167.68</v>
      </c>
      <c r="O2747" s="107">
        <v>162.37</v>
      </c>
      <c r="P2747" s="107">
        <v>163.95</v>
      </c>
      <c r="Q2747" s="107">
        <v>167.34</v>
      </c>
      <c r="R2747">
        <v>15122267</v>
      </c>
    </row>
    <row r="2748" spans="1:18" x14ac:dyDescent="0.25">
      <c r="A2748" s="130">
        <v>46051</v>
      </c>
      <c r="B2748">
        <v>169.9</v>
      </c>
      <c r="C2748">
        <v>164.85</v>
      </c>
      <c r="D2748">
        <v>163.1</v>
      </c>
      <c r="E2748">
        <v>167.8</v>
      </c>
      <c r="F2748">
        <v>164.85</v>
      </c>
      <c r="G2748">
        <v>692157</v>
      </c>
      <c r="H2748" s="107"/>
      <c r="I2748" s="107"/>
      <c r="L2748" s="130">
        <v>46051</v>
      </c>
      <c r="M2748" s="107">
        <v>164.91</v>
      </c>
      <c r="N2748" s="107">
        <v>169.9</v>
      </c>
      <c r="O2748" s="107">
        <v>163.12</v>
      </c>
      <c r="P2748" s="107">
        <v>167.7</v>
      </c>
      <c r="Q2748" s="107">
        <v>164.91</v>
      </c>
      <c r="R2748">
        <v>18770105</v>
      </c>
    </row>
    <row r="2749" spans="1:18" x14ac:dyDescent="0.25">
      <c r="A2749" s="130">
        <v>46052</v>
      </c>
      <c r="B2749">
        <v>167.4</v>
      </c>
      <c r="C2749">
        <v>164</v>
      </c>
      <c r="D2749">
        <v>162.05000000000001</v>
      </c>
      <c r="E2749">
        <v>164.45</v>
      </c>
      <c r="F2749">
        <v>164</v>
      </c>
      <c r="G2749">
        <v>741490</v>
      </c>
      <c r="H2749" s="107"/>
      <c r="I2749" s="107"/>
      <c r="L2749" s="130">
        <v>46052</v>
      </c>
      <c r="M2749" s="107">
        <v>164.1</v>
      </c>
      <c r="N2749" s="107">
        <v>167.43</v>
      </c>
      <c r="O2749" s="107">
        <v>162</v>
      </c>
      <c r="P2749" s="107">
        <v>164</v>
      </c>
      <c r="Q2749" s="107">
        <v>164.1</v>
      </c>
      <c r="R2749">
        <v>11736534</v>
      </c>
    </row>
    <row r="2750" spans="1:18" x14ac:dyDescent="0.25">
      <c r="A2750" s="130">
        <v>46054</v>
      </c>
      <c r="B2750">
        <v>164.4</v>
      </c>
      <c r="C2750">
        <v>150.19999999999999</v>
      </c>
      <c r="D2750">
        <v>148.85</v>
      </c>
      <c r="E2750">
        <v>164.4</v>
      </c>
      <c r="F2750">
        <v>150.19999999999999</v>
      </c>
      <c r="G2750">
        <v>954792</v>
      </c>
      <c r="H2750" s="107"/>
      <c r="I2750" s="107"/>
      <c r="L2750" s="130">
        <v>46054</v>
      </c>
      <c r="M2750" s="107">
        <v>150.44</v>
      </c>
      <c r="N2750" s="107">
        <v>164.12</v>
      </c>
      <c r="O2750" s="107">
        <v>149.01</v>
      </c>
      <c r="P2750" s="107">
        <v>164.11</v>
      </c>
      <c r="Q2750" s="107">
        <v>150.44</v>
      </c>
      <c r="R2750">
        <v>18084329</v>
      </c>
    </row>
    <row r="2751" spans="1:18" x14ac:dyDescent="0.25">
      <c r="A2751" s="130">
        <v>46055</v>
      </c>
      <c r="B2751">
        <v>152.25</v>
      </c>
      <c r="C2751">
        <v>151.69999999999999</v>
      </c>
      <c r="D2751">
        <v>146.30000000000001</v>
      </c>
      <c r="E2751">
        <v>150.25</v>
      </c>
      <c r="F2751">
        <v>151.69999999999999</v>
      </c>
      <c r="G2751">
        <v>533079</v>
      </c>
      <c r="H2751" s="107"/>
      <c r="I2751" s="107"/>
      <c r="L2751" s="130">
        <v>46055</v>
      </c>
      <c r="M2751" s="107">
        <v>151.66999999999999</v>
      </c>
      <c r="N2751" s="107">
        <v>152.4</v>
      </c>
      <c r="O2751" s="107">
        <v>146.4</v>
      </c>
      <c r="P2751" s="107">
        <v>150.44</v>
      </c>
      <c r="Q2751" s="107">
        <v>151.66999999999999</v>
      </c>
      <c r="R2751">
        <v>17969570</v>
      </c>
    </row>
    <row r="2752" spans="1:18" x14ac:dyDescent="0.25">
      <c r="A2752" s="130">
        <v>46056</v>
      </c>
      <c r="B2752">
        <v>160.9</v>
      </c>
      <c r="C2752">
        <v>157.9</v>
      </c>
      <c r="D2752">
        <v>155.69999999999999</v>
      </c>
      <c r="E2752">
        <v>157.65</v>
      </c>
      <c r="F2752">
        <v>157.9</v>
      </c>
      <c r="G2752">
        <v>1051987</v>
      </c>
      <c r="H2752" s="107"/>
      <c r="I2752" s="107"/>
      <c r="L2752" s="130">
        <v>46056</v>
      </c>
      <c r="M2752" s="107">
        <v>158.01</v>
      </c>
      <c r="N2752" s="107">
        <v>160.87</v>
      </c>
      <c r="O2752" s="107">
        <v>155.61000000000001</v>
      </c>
      <c r="P2752" s="107">
        <v>158</v>
      </c>
      <c r="Q2752" s="107">
        <v>158.01</v>
      </c>
      <c r="R2752">
        <v>19569935</v>
      </c>
    </row>
    <row r="2753" spans="1:18" x14ac:dyDescent="0.25">
      <c r="A2753" s="130">
        <v>46057</v>
      </c>
      <c r="B2753">
        <v>161.5</v>
      </c>
      <c r="C2753">
        <v>160.9</v>
      </c>
      <c r="D2753">
        <v>156.6</v>
      </c>
      <c r="E2753">
        <v>158.05000000000001</v>
      </c>
      <c r="F2753">
        <v>160.9</v>
      </c>
      <c r="G2753">
        <v>894826</v>
      </c>
      <c r="H2753" s="107"/>
      <c r="I2753" s="107"/>
      <c r="L2753" s="130">
        <v>46057</v>
      </c>
      <c r="M2753" s="107">
        <v>160.93</v>
      </c>
      <c r="N2753" s="107">
        <v>161.55000000000001</v>
      </c>
      <c r="O2753" s="107">
        <v>156.19999999999999</v>
      </c>
      <c r="P2753" s="107">
        <v>158</v>
      </c>
      <c r="Q2753" s="107">
        <v>160.93</v>
      </c>
      <c r="R2753">
        <v>8224127</v>
      </c>
    </row>
    <row r="2754" spans="1:18" x14ac:dyDescent="0.25">
      <c r="A2754" s="130">
        <v>46058</v>
      </c>
      <c r="B2754">
        <v>164.85</v>
      </c>
      <c r="C2754">
        <v>163.4</v>
      </c>
      <c r="D2754">
        <v>160.9</v>
      </c>
      <c r="E2754">
        <v>161</v>
      </c>
      <c r="F2754">
        <v>163.4</v>
      </c>
      <c r="G2754">
        <v>328282</v>
      </c>
      <c r="H2754" s="107"/>
      <c r="I2754" s="107"/>
      <c r="L2754" s="130">
        <v>46058</v>
      </c>
      <c r="M2754" s="107">
        <v>163.46</v>
      </c>
      <c r="N2754" s="107">
        <v>164.87</v>
      </c>
      <c r="O2754" s="107">
        <v>160.83000000000001</v>
      </c>
      <c r="P2754" s="107">
        <v>160.94999999999999</v>
      </c>
      <c r="Q2754" s="107">
        <v>163.46</v>
      </c>
      <c r="R2754">
        <v>12318378</v>
      </c>
    </row>
    <row r="2755" spans="1:18" x14ac:dyDescent="0.25">
      <c r="A2755" s="130">
        <v>46059</v>
      </c>
      <c r="B2755">
        <v>164.8</v>
      </c>
      <c r="C2755">
        <v>163.6</v>
      </c>
      <c r="D2755">
        <v>160.85</v>
      </c>
      <c r="E2755">
        <v>163.69999999999999</v>
      </c>
      <c r="F2755">
        <v>163.6</v>
      </c>
      <c r="G2755">
        <v>642231</v>
      </c>
      <c r="H2755" s="107"/>
      <c r="I2755" s="107"/>
      <c r="L2755" s="130">
        <v>46059</v>
      </c>
      <c r="M2755" s="107">
        <v>163.66</v>
      </c>
      <c r="N2755" s="107">
        <v>164.85</v>
      </c>
      <c r="O2755" s="107">
        <v>161</v>
      </c>
      <c r="P2755" s="107">
        <v>163.38</v>
      </c>
      <c r="Q2755" s="107">
        <v>163.66</v>
      </c>
      <c r="R2755">
        <v>12267604</v>
      </c>
    </row>
    <row r="2756" spans="1:18" x14ac:dyDescent="0.25">
      <c r="A2756" s="130">
        <v>46062</v>
      </c>
      <c r="B2756">
        <v>170.5</v>
      </c>
      <c r="C2756">
        <v>168.45</v>
      </c>
      <c r="D2756">
        <v>165.8</v>
      </c>
      <c r="E2756">
        <v>166.6</v>
      </c>
      <c r="F2756">
        <v>168.45</v>
      </c>
      <c r="G2756">
        <v>464397</v>
      </c>
      <c r="H2756" s="107"/>
      <c r="I2756" s="107"/>
      <c r="L2756" s="130">
        <v>46062</v>
      </c>
      <c r="M2756" s="107">
        <v>168.41</v>
      </c>
      <c r="N2756" s="107">
        <v>170.5</v>
      </c>
      <c r="O2756" s="107">
        <v>165.69</v>
      </c>
      <c r="P2756" s="107">
        <v>166</v>
      </c>
      <c r="Q2756" s="107">
        <v>168.41</v>
      </c>
      <c r="R2756">
        <v>14437299</v>
      </c>
    </row>
    <row r="2757" spans="1:18" x14ac:dyDescent="0.25">
      <c r="A2757" s="130">
        <v>46063</v>
      </c>
      <c r="B2757">
        <v>168.8</v>
      </c>
      <c r="C2757">
        <v>167</v>
      </c>
      <c r="D2757">
        <v>165.35</v>
      </c>
      <c r="E2757">
        <v>168.8</v>
      </c>
      <c r="F2757">
        <v>167</v>
      </c>
      <c r="G2757">
        <v>443282</v>
      </c>
      <c r="H2757" s="107"/>
      <c r="I2757" s="107"/>
      <c r="L2757" s="130">
        <v>46063</v>
      </c>
      <c r="M2757" s="107">
        <v>167.57</v>
      </c>
      <c r="N2757" s="107">
        <v>168.94</v>
      </c>
      <c r="O2757" s="107">
        <v>165.35</v>
      </c>
      <c r="P2757" s="107">
        <v>168.5</v>
      </c>
      <c r="Q2757" s="107">
        <v>167.57</v>
      </c>
      <c r="R2757">
        <v>6303083</v>
      </c>
    </row>
    <row r="2758" spans="1:18" x14ac:dyDescent="0.25">
      <c r="A2758" s="130">
        <v>46064</v>
      </c>
      <c r="B2758">
        <v>167.8</v>
      </c>
      <c r="C2758">
        <v>167.1</v>
      </c>
      <c r="D2758">
        <v>163.1</v>
      </c>
      <c r="E2758">
        <v>167.8</v>
      </c>
      <c r="F2758">
        <v>167.1</v>
      </c>
      <c r="G2758">
        <v>360021</v>
      </c>
      <c r="H2758" s="107"/>
      <c r="I2758" s="107"/>
      <c r="L2758" s="130">
        <v>46064</v>
      </c>
      <c r="M2758" s="107">
        <v>167.13</v>
      </c>
      <c r="N2758" s="107">
        <v>167.6</v>
      </c>
      <c r="O2758" s="107">
        <v>163.11000000000001</v>
      </c>
      <c r="P2758" s="107">
        <v>167.5</v>
      </c>
      <c r="Q2758" s="107">
        <v>167.13</v>
      </c>
      <c r="R2758">
        <v>8276865</v>
      </c>
    </row>
    <row r="2759" spans="1:18" x14ac:dyDescent="0.25">
      <c r="A2759" s="130">
        <v>46065</v>
      </c>
      <c r="B2759">
        <v>166.85</v>
      </c>
      <c r="C2759">
        <v>165.25</v>
      </c>
      <c r="D2759">
        <v>163.55000000000001</v>
      </c>
      <c r="E2759">
        <v>166.65</v>
      </c>
      <c r="F2759">
        <v>165.25</v>
      </c>
      <c r="G2759">
        <v>244416</v>
      </c>
      <c r="H2759" s="107"/>
      <c r="I2759" s="107"/>
      <c r="L2759" s="130">
        <v>46065</v>
      </c>
      <c r="M2759" s="107">
        <v>165.28</v>
      </c>
      <c r="N2759" s="107">
        <v>166.9</v>
      </c>
      <c r="O2759" s="107">
        <v>163.54</v>
      </c>
      <c r="P2759" s="107">
        <v>166.2</v>
      </c>
      <c r="Q2759" s="107">
        <v>165.28</v>
      </c>
      <c r="R2759">
        <v>5243794</v>
      </c>
    </row>
    <row r="2760" spans="1:18" x14ac:dyDescent="0.25">
      <c r="A2760" s="130">
        <v>46066</v>
      </c>
      <c r="B2760">
        <v>165.15</v>
      </c>
      <c r="C2760">
        <v>161.9</v>
      </c>
      <c r="D2760">
        <v>161.25</v>
      </c>
      <c r="E2760">
        <v>165.15</v>
      </c>
      <c r="F2760">
        <v>161.9</v>
      </c>
      <c r="G2760">
        <v>194590</v>
      </c>
      <c r="H2760" s="107"/>
      <c r="I2760" s="107"/>
      <c r="L2760" s="130">
        <v>46066</v>
      </c>
      <c r="M2760" s="107">
        <v>161.79</v>
      </c>
      <c r="N2760" s="107">
        <v>164.45</v>
      </c>
      <c r="O2760" s="107">
        <v>161.26</v>
      </c>
      <c r="P2760" s="107">
        <v>164.1</v>
      </c>
      <c r="Q2760" s="107">
        <v>161.79</v>
      </c>
      <c r="R2760">
        <v>8120034</v>
      </c>
    </row>
    <row r="2761" spans="1:18" x14ac:dyDescent="0.25">
      <c r="A2761" s="130">
        <v>46069</v>
      </c>
      <c r="B2761">
        <v>166.1</v>
      </c>
      <c r="C2761">
        <v>165.55</v>
      </c>
      <c r="D2761">
        <v>159.44999999999999</v>
      </c>
      <c r="E2761">
        <v>160.85</v>
      </c>
      <c r="F2761">
        <v>165.55</v>
      </c>
      <c r="G2761">
        <v>502863</v>
      </c>
      <c r="H2761" s="107"/>
      <c r="I2761" s="107"/>
      <c r="L2761" s="130">
        <v>46069</v>
      </c>
      <c r="M2761" s="107">
        <v>165.61</v>
      </c>
      <c r="N2761" s="107">
        <v>166.21</v>
      </c>
      <c r="O2761" s="107">
        <v>159.56</v>
      </c>
      <c r="P2761" s="107">
        <v>161</v>
      </c>
      <c r="Q2761" s="107">
        <v>165.61</v>
      </c>
      <c r="R2761">
        <v>9299801</v>
      </c>
    </row>
    <row r="2762" spans="1:18" x14ac:dyDescent="0.25">
      <c r="A2762" s="130">
        <v>46070</v>
      </c>
      <c r="B2762">
        <v>171</v>
      </c>
      <c r="C2762">
        <v>170.3</v>
      </c>
      <c r="D2762">
        <v>165.1</v>
      </c>
      <c r="E2762">
        <v>165.95</v>
      </c>
      <c r="F2762">
        <v>170.3</v>
      </c>
      <c r="G2762">
        <v>581377</v>
      </c>
      <c r="H2762" s="107"/>
      <c r="I2762" s="107"/>
      <c r="L2762" s="130">
        <v>46070</v>
      </c>
      <c r="M2762" s="107">
        <v>170.21</v>
      </c>
      <c r="N2762" s="107">
        <v>171</v>
      </c>
      <c r="O2762" s="107">
        <v>165</v>
      </c>
      <c r="P2762" s="107">
        <v>165.6</v>
      </c>
      <c r="Q2762" s="107">
        <v>170.21</v>
      </c>
      <c r="R2762">
        <v>15325479</v>
      </c>
    </row>
    <row r="2763" spans="1:18" x14ac:dyDescent="0.25">
      <c r="A2763" s="130">
        <v>46071</v>
      </c>
      <c r="B2763">
        <v>173.3</v>
      </c>
      <c r="C2763">
        <v>172.5</v>
      </c>
      <c r="D2763">
        <v>170.5</v>
      </c>
      <c r="E2763">
        <v>170.9</v>
      </c>
      <c r="F2763">
        <v>172.5</v>
      </c>
      <c r="G2763">
        <v>659890</v>
      </c>
      <c r="H2763" s="107"/>
      <c r="I2763" s="107"/>
      <c r="L2763" s="130">
        <v>46071</v>
      </c>
      <c r="M2763" s="107">
        <v>172.55</v>
      </c>
      <c r="N2763" s="107">
        <v>173.29</v>
      </c>
      <c r="O2763" s="107">
        <v>170.45</v>
      </c>
      <c r="P2763" s="107">
        <v>171.26</v>
      </c>
      <c r="Q2763" s="107">
        <v>172.55</v>
      </c>
      <c r="R2763">
        <v>11782447</v>
      </c>
    </row>
    <row r="2764" spans="1:18" x14ac:dyDescent="0.25">
      <c r="A2764" s="130">
        <v>46072</v>
      </c>
      <c r="B2764">
        <v>173.4</v>
      </c>
      <c r="C2764">
        <v>169.05</v>
      </c>
      <c r="D2764">
        <v>168.25</v>
      </c>
      <c r="E2764">
        <v>172.5</v>
      </c>
      <c r="F2764">
        <v>169.05</v>
      </c>
      <c r="G2764">
        <v>301747</v>
      </c>
      <c r="H2764" s="107"/>
      <c r="I2764" s="107"/>
      <c r="L2764" s="130">
        <v>46072</v>
      </c>
      <c r="M2764" s="107">
        <v>169.16</v>
      </c>
      <c r="N2764" s="107">
        <v>173.45</v>
      </c>
      <c r="O2764" s="107">
        <v>168.35</v>
      </c>
      <c r="P2764" s="107">
        <v>172.33</v>
      </c>
      <c r="Q2764" s="107">
        <v>169.16</v>
      </c>
      <c r="R2764">
        <v>6852486</v>
      </c>
    </row>
    <row r="2765" spans="1:18" x14ac:dyDescent="0.25">
      <c r="A2765" s="130">
        <v>46073</v>
      </c>
      <c r="B2765">
        <v>172.55</v>
      </c>
      <c r="C2765">
        <v>171.8</v>
      </c>
      <c r="D2765">
        <v>168.45</v>
      </c>
      <c r="E2765">
        <v>169.3</v>
      </c>
      <c r="F2765">
        <v>171.8</v>
      </c>
      <c r="G2765">
        <v>312045</v>
      </c>
      <c r="H2765" s="107"/>
      <c r="I2765" s="107"/>
      <c r="L2765" s="130">
        <v>46073</v>
      </c>
      <c r="M2765" s="107">
        <v>171.7</v>
      </c>
      <c r="N2765" s="107">
        <v>172.62</v>
      </c>
      <c r="O2765" s="107">
        <v>168.16</v>
      </c>
      <c r="P2765" s="107">
        <v>169</v>
      </c>
      <c r="Q2765" s="107">
        <v>171.7</v>
      </c>
      <c r="R2765">
        <v>7073597</v>
      </c>
    </row>
    <row r="2766" spans="1:18" x14ac:dyDescent="0.25">
      <c r="A2766" s="130">
        <v>46076</v>
      </c>
      <c r="B2766">
        <v>174.55</v>
      </c>
      <c r="C2766">
        <v>174.15</v>
      </c>
      <c r="D2766">
        <v>171.85</v>
      </c>
      <c r="E2766">
        <v>172.15</v>
      </c>
      <c r="F2766">
        <v>174.15</v>
      </c>
      <c r="G2766">
        <v>599980</v>
      </c>
      <c r="H2766" s="107"/>
      <c r="I2766" s="107"/>
      <c r="L2766" s="130">
        <v>46076</v>
      </c>
      <c r="M2766" s="107">
        <v>174.13</v>
      </c>
      <c r="N2766" s="107">
        <v>174.67</v>
      </c>
      <c r="O2766" s="107">
        <v>171.83</v>
      </c>
      <c r="P2766" s="107">
        <v>172.41</v>
      </c>
      <c r="Q2766" s="107">
        <v>174.13</v>
      </c>
      <c r="R2766">
        <v>9288166</v>
      </c>
    </row>
    <row r="2767" spans="1:18" x14ac:dyDescent="0.25">
      <c r="A2767" s="130">
        <v>46077</v>
      </c>
      <c r="B2767">
        <v>178.2</v>
      </c>
      <c r="C2767">
        <v>175.5</v>
      </c>
      <c r="D2767">
        <v>173</v>
      </c>
      <c r="E2767">
        <v>173.85</v>
      </c>
      <c r="F2767">
        <v>175.5</v>
      </c>
      <c r="G2767">
        <v>944357</v>
      </c>
      <c r="H2767" s="107"/>
      <c r="I2767" s="107"/>
      <c r="L2767" s="130">
        <v>46077</v>
      </c>
      <c r="M2767" s="107">
        <v>175.5</v>
      </c>
      <c r="N2767" s="107">
        <v>178.22</v>
      </c>
      <c r="O2767" s="107">
        <v>173.02</v>
      </c>
      <c r="P2767" s="107">
        <v>174</v>
      </c>
      <c r="Q2767" s="107">
        <v>175.5</v>
      </c>
      <c r="R2767">
        <v>22315167</v>
      </c>
    </row>
    <row r="2768" spans="1:18" x14ac:dyDescent="0.25">
      <c r="A2768" s="130">
        <v>46078</v>
      </c>
      <c r="B2768">
        <v>177.6</v>
      </c>
      <c r="C2768">
        <v>175.55</v>
      </c>
      <c r="D2768">
        <v>173.65</v>
      </c>
      <c r="E2768">
        <v>177.6</v>
      </c>
      <c r="F2768">
        <v>175.55</v>
      </c>
      <c r="G2768">
        <v>316860</v>
      </c>
      <c r="H2768" s="107"/>
      <c r="I2768" s="107"/>
      <c r="L2768" s="130">
        <v>46078</v>
      </c>
      <c r="M2768" s="107">
        <v>175.58</v>
      </c>
      <c r="N2768" s="107">
        <v>176.35</v>
      </c>
      <c r="O2768" s="107">
        <v>173.7</v>
      </c>
      <c r="P2768" s="107">
        <v>175.8</v>
      </c>
      <c r="Q2768" s="107">
        <v>175.58</v>
      </c>
      <c r="R2768">
        <v>9784182</v>
      </c>
    </row>
    <row r="2769" spans="1:18" x14ac:dyDescent="0.25">
      <c r="A2769" s="130">
        <v>46079</v>
      </c>
      <c r="B2769">
        <v>177.9</v>
      </c>
      <c r="C2769">
        <v>177.1</v>
      </c>
      <c r="D2769">
        <v>174.75</v>
      </c>
      <c r="E2769">
        <v>175.55</v>
      </c>
      <c r="F2769">
        <v>177.1</v>
      </c>
      <c r="G2769">
        <v>309526</v>
      </c>
      <c r="H2769" s="107"/>
      <c r="I2769" s="107"/>
      <c r="L2769" s="130">
        <v>46079</v>
      </c>
      <c r="M2769" s="107">
        <v>177.2</v>
      </c>
      <c r="N2769" s="107">
        <v>177.9</v>
      </c>
      <c r="O2769" s="107">
        <v>174.75</v>
      </c>
      <c r="P2769" s="107">
        <v>175.58</v>
      </c>
      <c r="Q2769" s="107">
        <v>177.2</v>
      </c>
      <c r="R2769">
        <v>8488762</v>
      </c>
    </row>
    <row r="2770" spans="1:18" x14ac:dyDescent="0.25">
      <c r="A2770" s="130">
        <v>46080</v>
      </c>
      <c r="B2770">
        <v>178.45</v>
      </c>
      <c r="C2770">
        <v>176.2</v>
      </c>
      <c r="D2770">
        <v>175.2</v>
      </c>
      <c r="E2770">
        <v>177.85</v>
      </c>
      <c r="F2770">
        <v>176.2</v>
      </c>
      <c r="G2770">
        <v>202944</v>
      </c>
      <c r="H2770" s="107"/>
      <c r="I2770" s="107"/>
      <c r="L2770" s="130">
        <v>46080</v>
      </c>
      <c r="M2770" s="107">
        <v>176.05</v>
      </c>
      <c r="N2770" s="107">
        <v>178.36</v>
      </c>
      <c r="O2770" s="107">
        <v>175.18</v>
      </c>
      <c r="P2770" s="107">
        <v>177</v>
      </c>
      <c r="Q2770" s="107">
        <v>176.05</v>
      </c>
      <c r="R2770">
        <v>6371509</v>
      </c>
    </row>
    <row r="2771" spans="1:18" x14ac:dyDescent="0.25">
      <c r="A2771" s="130">
        <v>46083</v>
      </c>
      <c r="B2771">
        <v>174.4</v>
      </c>
      <c r="C2771">
        <v>172.3</v>
      </c>
      <c r="D2771">
        <v>161.85</v>
      </c>
      <c r="E2771">
        <v>161.85</v>
      </c>
      <c r="F2771">
        <v>172.3</v>
      </c>
      <c r="G2771">
        <v>811708</v>
      </c>
      <c r="H2771" s="107"/>
      <c r="I2771" s="107"/>
      <c r="L2771" s="130">
        <v>46083</v>
      </c>
      <c r="M2771" s="107">
        <v>172.3</v>
      </c>
      <c r="N2771" s="107">
        <v>174.4</v>
      </c>
      <c r="O2771" s="107">
        <v>170.07</v>
      </c>
      <c r="P2771" s="107">
        <v>170.5</v>
      </c>
      <c r="Q2771" s="107">
        <v>172.3</v>
      </c>
      <c r="R2771">
        <v>11169455</v>
      </c>
    </row>
    <row r="2772" spans="1:18" x14ac:dyDescent="0.25">
      <c r="A2772" s="130">
        <v>46085</v>
      </c>
      <c r="B2772">
        <v>169</v>
      </c>
      <c r="C2772">
        <v>163.35</v>
      </c>
      <c r="D2772">
        <v>160.55000000000001</v>
      </c>
      <c r="E2772">
        <v>168.1</v>
      </c>
      <c r="F2772">
        <v>163.35</v>
      </c>
      <c r="G2772">
        <v>761244</v>
      </c>
      <c r="H2772" s="107"/>
      <c r="I2772" s="107"/>
      <c r="L2772" s="130">
        <v>46085</v>
      </c>
      <c r="M2772" s="107">
        <v>163.38999999999999</v>
      </c>
      <c r="N2772" s="107">
        <v>169.03</v>
      </c>
      <c r="O2772" s="107">
        <v>160.63</v>
      </c>
      <c r="P2772" s="107">
        <v>168.8</v>
      </c>
      <c r="Q2772" s="107">
        <v>163.38999999999999</v>
      </c>
      <c r="R2772">
        <v>13624211</v>
      </c>
    </row>
    <row r="2773" spans="1:18" x14ac:dyDescent="0.25">
      <c r="A2773" s="130">
        <v>46086</v>
      </c>
      <c r="B2773">
        <v>167.35</v>
      </c>
      <c r="C2773">
        <v>164.2</v>
      </c>
      <c r="D2773">
        <v>162</v>
      </c>
      <c r="E2773">
        <v>163.6</v>
      </c>
      <c r="F2773">
        <v>164.2</v>
      </c>
      <c r="G2773">
        <v>269325</v>
      </c>
      <c r="H2773" s="107"/>
      <c r="I2773" s="107"/>
      <c r="L2773" s="130">
        <v>46086</v>
      </c>
      <c r="M2773" s="107">
        <v>164.18</v>
      </c>
      <c r="N2773" s="107">
        <v>167.29</v>
      </c>
      <c r="O2773" s="107">
        <v>162.03</v>
      </c>
      <c r="P2773" s="107">
        <v>164.5</v>
      </c>
      <c r="Q2773" s="107">
        <v>164.18</v>
      </c>
      <c r="R2773">
        <v>11180767</v>
      </c>
    </row>
    <row r="2774" spans="1:18" x14ac:dyDescent="0.25">
      <c r="A2774" s="130">
        <v>46087</v>
      </c>
      <c r="B2774">
        <v>164.3</v>
      </c>
      <c r="C2774">
        <v>159.65</v>
      </c>
      <c r="D2774">
        <v>159</v>
      </c>
      <c r="E2774">
        <v>163.05000000000001</v>
      </c>
      <c r="F2774">
        <v>159.65</v>
      </c>
      <c r="G2774">
        <v>388911</v>
      </c>
      <c r="H2774" s="107"/>
      <c r="I2774" s="107"/>
      <c r="L2774" s="130">
        <v>46087</v>
      </c>
      <c r="M2774" s="107">
        <v>159.58000000000001</v>
      </c>
      <c r="N2774" s="107">
        <v>164.21</v>
      </c>
      <c r="O2774" s="107">
        <v>159.13</v>
      </c>
      <c r="P2774" s="107">
        <v>163.5</v>
      </c>
      <c r="Q2774" s="107">
        <v>159.58000000000001</v>
      </c>
      <c r="R2774">
        <v>7458169</v>
      </c>
    </row>
    <row r="2775" spans="1:18" x14ac:dyDescent="0.25">
      <c r="A2775" s="130">
        <v>46090</v>
      </c>
      <c r="B2775">
        <v>155.55000000000001</v>
      </c>
      <c r="C2775">
        <v>151.35</v>
      </c>
      <c r="D2775">
        <v>147.9</v>
      </c>
      <c r="E2775">
        <v>152.80000000000001</v>
      </c>
      <c r="F2775">
        <v>151.35</v>
      </c>
      <c r="G2775">
        <v>1017659</v>
      </c>
      <c r="H2775" s="107"/>
      <c r="I2775" s="107"/>
      <c r="L2775" s="130">
        <v>46090</v>
      </c>
      <c r="M2775" s="107">
        <v>151.29</v>
      </c>
      <c r="N2775" s="107">
        <v>155.08000000000001</v>
      </c>
      <c r="O2775" s="107">
        <v>147.85</v>
      </c>
      <c r="P2775" s="107">
        <v>154</v>
      </c>
      <c r="Q2775" s="107">
        <v>151.29</v>
      </c>
      <c r="R2775">
        <v>13124009</v>
      </c>
    </row>
    <row r="2776" spans="1:18" x14ac:dyDescent="0.25">
      <c r="A2776" s="130">
        <v>46091</v>
      </c>
      <c r="B2776">
        <v>156.94999999999999</v>
      </c>
      <c r="C2776">
        <v>156.1</v>
      </c>
      <c r="D2776">
        <v>151.6</v>
      </c>
      <c r="E2776">
        <v>153.80000000000001</v>
      </c>
      <c r="F2776">
        <v>156.1</v>
      </c>
      <c r="G2776">
        <v>382660</v>
      </c>
      <c r="H2776" s="107"/>
      <c r="I2776" s="107"/>
      <c r="L2776" s="130">
        <v>46091</v>
      </c>
      <c r="M2776" s="107">
        <v>156.16999999999999</v>
      </c>
      <c r="N2776" s="107">
        <v>156.94999999999999</v>
      </c>
      <c r="O2776" s="107">
        <v>151.54</v>
      </c>
      <c r="P2776" s="107">
        <v>154</v>
      </c>
      <c r="Q2776" s="107">
        <v>156.16999999999999</v>
      </c>
      <c r="R2776">
        <v>6865878</v>
      </c>
    </row>
    <row r="2777" spans="1:18" x14ac:dyDescent="0.25">
      <c r="A2777" s="130">
        <v>46092</v>
      </c>
      <c r="B2777">
        <v>157.55000000000001</v>
      </c>
      <c r="C2777">
        <v>154.35</v>
      </c>
      <c r="D2777">
        <v>153.75</v>
      </c>
      <c r="E2777">
        <v>157.15</v>
      </c>
      <c r="F2777">
        <v>154.35</v>
      </c>
      <c r="G2777">
        <v>272586</v>
      </c>
      <c r="H2777" s="107"/>
      <c r="I2777" s="107"/>
      <c r="L2777" s="130">
        <v>46092</v>
      </c>
      <c r="M2777" s="107">
        <v>154.30000000000001</v>
      </c>
      <c r="N2777" s="107">
        <v>157.69999999999999</v>
      </c>
      <c r="O2777" s="107">
        <v>153.78</v>
      </c>
      <c r="P2777" s="107">
        <v>156.94999999999999</v>
      </c>
      <c r="Q2777" s="107">
        <v>154.30000000000001</v>
      </c>
      <c r="R2777">
        <v>6073597</v>
      </c>
    </row>
    <row r="2778" spans="1:18" x14ac:dyDescent="0.25">
      <c r="A2778" s="130">
        <v>46093</v>
      </c>
      <c r="B2778">
        <v>156.5</v>
      </c>
      <c r="C2778">
        <v>154.75</v>
      </c>
      <c r="D2778">
        <v>149.85</v>
      </c>
      <c r="E2778">
        <v>151.35</v>
      </c>
      <c r="F2778">
        <v>154.75</v>
      </c>
      <c r="G2778">
        <v>327956</v>
      </c>
      <c r="H2778" s="107"/>
      <c r="I2778" s="107"/>
      <c r="L2778" s="130">
        <v>46093</v>
      </c>
      <c r="M2778" s="107">
        <v>154.78</v>
      </c>
      <c r="N2778" s="107">
        <v>156.6</v>
      </c>
      <c r="O2778" s="107">
        <v>149.81</v>
      </c>
      <c r="P2778" s="107">
        <v>151</v>
      </c>
      <c r="Q2778" s="107">
        <v>154.78</v>
      </c>
      <c r="R2778">
        <v>6364616</v>
      </c>
    </row>
    <row r="2779" spans="1:18" x14ac:dyDescent="0.25">
      <c r="A2779" s="130">
        <v>46094</v>
      </c>
      <c r="B2779">
        <v>154.30000000000001</v>
      </c>
      <c r="C2779">
        <v>150.05000000000001</v>
      </c>
      <c r="D2779">
        <v>149.75</v>
      </c>
      <c r="E2779">
        <v>154</v>
      </c>
      <c r="F2779">
        <v>150.05000000000001</v>
      </c>
      <c r="G2779">
        <v>223945</v>
      </c>
      <c r="H2779" s="107"/>
      <c r="I2779" s="107"/>
      <c r="L2779" s="130">
        <v>46094</v>
      </c>
      <c r="M2779" s="107">
        <v>150.19999999999999</v>
      </c>
      <c r="N2779" s="107">
        <v>154.65</v>
      </c>
      <c r="O2779" s="107">
        <v>149.69999999999999</v>
      </c>
      <c r="P2779" s="107">
        <v>154.06</v>
      </c>
      <c r="Q2779" s="107">
        <v>150.19999999999999</v>
      </c>
      <c r="R2779">
        <v>9551217</v>
      </c>
    </row>
    <row r="2780" spans="1:18" x14ac:dyDescent="0.25">
      <c r="A2780" s="130">
        <v>46097</v>
      </c>
      <c r="B2780">
        <v>151.80000000000001</v>
      </c>
      <c r="C2780">
        <v>150.69999999999999</v>
      </c>
      <c r="D2780">
        <v>146.94999999999999</v>
      </c>
      <c r="E2780">
        <v>149.4</v>
      </c>
      <c r="F2780">
        <v>150.69999999999999</v>
      </c>
      <c r="G2780">
        <v>302887</v>
      </c>
      <c r="H2780" s="107"/>
      <c r="I2780" s="107"/>
      <c r="L2780" s="130">
        <v>46097</v>
      </c>
      <c r="M2780" s="107">
        <v>150.66999999999999</v>
      </c>
      <c r="N2780" s="107">
        <v>151.84</v>
      </c>
      <c r="O2780" s="107">
        <v>146.88</v>
      </c>
      <c r="P2780" s="107">
        <v>149</v>
      </c>
      <c r="Q2780" s="107">
        <v>150.66999999999999</v>
      </c>
      <c r="R2780">
        <v>10444439</v>
      </c>
    </row>
    <row r="2781" spans="1:18" x14ac:dyDescent="0.25">
      <c r="A2781" s="130">
        <v>46098</v>
      </c>
      <c r="B2781">
        <v>151.75</v>
      </c>
      <c r="C2781">
        <v>151.44999999999999</v>
      </c>
      <c r="D2781">
        <v>148.55000000000001</v>
      </c>
      <c r="E2781">
        <v>150.9</v>
      </c>
      <c r="F2781">
        <v>151.44999999999999</v>
      </c>
      <c r="G2781">
        <v>284944</v>
      </c>
      <c r="H2781" s="107"/>
      <c r="I2781" s="107"/>
      <c r="L2781" s="130">
        <v>46098</v>
      </c>
      <c r="M2781" s="107">
        <v>151.38</v>
      </c>
      <c r="N2781" s="107">
        <v>151.75</v>
      </c>
      <c r="O2781" s="107">
        <v>148.54</v>
      </c>
      <c r="P2781" s="107">
        <v>151.1</v>
      </c>
      <c r="Q2781" s="107">
        <v>151.38</v>
      </c>
      <c r="R2781">
        <v>8579109</v>
      </c>
    </row>
    <row r="2782" spans="1:18" x14ac:dyDescent="0.25">
      <c r="A2782" s="130">
        <v>46099</v>
      </c>
      <c r="B2782">
        <v>154.25</v>
      </c>
      <c r="C2782">
        <v>152.55000000000001</v>
      </c>
      <c r="D2782">
        <v>151.69999999999999</v>
      </c>
      <c r="E2782">
        <v>151.69999999999999</v>
      </c>
      <c r="F2782">
        <v>152.55000000000001</v>
      </c>
      <c r="G2782">
        <v>294974</v>
      </c>
      <c r="H2782" s="107"/>
      <c r="I2782" s="107"/>
      <c r="L2782" s="130">
        <v>46099</v>
      </c>
      <c r="M2782" s="107">
        <v>152.44999999999999</v>
      </c>
      <c r="N2782" s="107">
        <v>154.19</v>
      </c>
      <c r="O2782" s="107">
        <v>151.72999999999999</v>
      </c>
      <c r="P2782" s="107">
        <v>151.77000000000001</v>
      </c>
      <c r="Q2782" s="107">
        <v>152.44999999999999</v>
      </c>
      <c r="R2782">
        <v>6122539</v>
      </c>
    </row>
    <row r="2783" spans="1:18" x14ac:dyDescent="0.25">
      <c r="A2783" s="130">
        <v>46100</v>
      </c>
      <c r="B2783">
        <v>149.9</v>
      </c>
      <c r="C2783">
        <v>145.80000000000001</v>
      </c>
      <c r="D2783">
        <v>144.65</v>
      </c>
      <c r="E2783">
        <v>149.9</v>
      </c>
      <c r="F2783">
        <v>145.80000000000001</v>
      </c>
      <c r="G2783">
        <v>279920</v>
      </c>
      <c r="H2783" s="107"/>
      <c r="I2783" s="107"/>
      <c r="L2783" s="130">
        <v>46100</v>
      </c>
      <c r="M2783" s="107">
        <v>145.77000000000001</v>
      </c>
      <c r="N2783" s="107">
        <v>149.91</v>
      </c>
      <c r="O2783" s="107">
        <v>144.72</v>
      </c>
      <c r="P2783" s="107">
        <v>148.61000000000001</v>
      </c>
      <c r="Q2783" s="107">
        <v>145.77000000000001</v>
      </c>
      <c r="R2783">
        <v>7145447</v>
      </c>
    </row>
    <row r="2784" spans="1:18" x14ac:dyDescent="0.25">
      <c r="A2784" s="130">
        <v>46101</v>
      </c>
      <c r="B2784">
        <v>152.6</v>
      </c>
      <c r="C2784">
        <v>150.55000000000001</v>
      </c>
      <c r="D2784">
        <v>146.80000000000001</v>
      </c>
      <c r="E2784">
        <v>146.80000000000001</v>
      </c>
      <c r="F2784">
        <v>150.55000000000001</v>
      </c>
      <c r="G2784">
        <v>490910</v>
      </c>
      <c r="H2784" s="107"/>
      <c r="I2784" s="107"/>
      <c r="L2784" s="130">
        <v>46101</v>
      </c>
      <c r="M2784" s="107">
        <v>150.49</v>
      </c>
      <c r="N2784" s="107">
        <v>152.69</v>
      </c>
      <c r="O2784" s="107">
        <v>146.94999999999999</v>
      </c>
      <c r="P2784" s="107">
        <v>146.94999999999999</v>
      </c>
      <c r="Q2784" s="107">
        <v>150.49</v>
      </c>
      <c r="R2784">
        <v>12913188</v>
      </c>
    </row>
    <row r="2785" spans="1:18" x14ac:dyDescent="0.25">
      <c r="A2785" s="130">
        <v>46104</v>
      </c>
      <c r="B2785">
        <v>148.55000000000001</v>
      </c>
      <c r="C2785">
        <v>143.65</v>
      </c>
      <c r="D2785">
        <v>143.05000000000001</v>
      </c>
      <c r="E2785">
        <v>148.4</v>
      </c>
      <c r="F2785">
        <v>143.65</v>
      </c>
      <c r="G2785">
        <v>374245</v>
      </c>
      <c r="H2785" s="107"/>
      <c r="I2785" s="107"/>
      <c r="L2785" s="130">
        <v>46104</v>
      </c>
      <c r="M2785" s="107">
        <v>143.72999999999999</v>
      </c>
      <c r="N2785" s="107">
        <v>148.80000000000001</v>
      </c>
      <c r="O2785" s="107">
        <v>143.01</v>
      </c>
      <c r="P2785" s="107">
        <v>148.80000000000001</v>
      </c>
      <c r="Q2785" s="107">
        <v>143.72999999999999</v>
      </c>
      <c r="R2785">
        <v>9048350</v>
      </c>
    </row>
    <row r="2786" spans="1:18" x14ac:dyDescent="0.25">
      <c r="A2786" s="130">
        <v>46105</v>
      </c>
      <c r="B2786">
        <v>148.6</v>
      </c>
      <c r="C2786">
        <v>146.4</v>
      </c>
      <c r="D2786">
        <v>145</v>
      </c>
      <c r="E2786">
        <v>147</v>
      </c>
      <c r="F2786">
        <v>146.4</v>
      </c>
      <c r="G2786">
        <v>259971</v>
      </c>
      <c r="H2786" s="107"/>
      <c r="I2786" s="107"/>
      <c r="L2786" s="130">
        <v>46105</v>
      </c>
      <c r="M2786" s="107">
        <v>146.33000000000001</v>
      </c>
      <c r="N2786" s="107">
        <v>148.59</v>
      </c>
      <c r="O2786" s="107">
        <v>144.9</v>
      </c>
      <c r="P2786" s="107">
        <v>147</v>
      </c>
      <c r="Q2786" s="107">
        <v>146.33000000000001</v>
      </c>
      <c r="R2786">
        <v>5828421</v>
      </c>
    </row>
    <row r="2787" spans="1:18" x14ac:dyDescent="0.25">
      <c r="A2787" s="130">
        <v>46106</v>
      </c>
      <c r="B2787">
        <v>150.69999999999999</v>
      </c>
      <c r="C2787">
        <v>149.44999999999999</v>
      </c>
      <c r="D2787">
        <v>147.25</v>
      </c>
      <c r="E2787">
        <v>147.25</v>
      </c>
      <c r="F2787">
        <v>149.44999999999999</v>
      </c>
      <c r="G2787">
        <v>504148</v>
      </c>
      <c r="H2787" s="107"/>
      <c r="I2787" s="107"/>
      <c r="L2787" s="130">
        <v>46106</v>
      </c>
      <c r="M2787" s="107">
        <v>149.5</v>
      </c>
      <c r="N2787" s="107">
        <v>150.80000000000001</v>
      </c>
      <c r="O2787" s="107">
        <v>147.81</v>
      </c>
      <c r="P2787" s="107">
        <v>148</v>
      </c>
      <c r="Q2787" s="107">
        <v>149.5</v>
      </c>
      <c r="R2787">
        <v>8785495</v>
      </c>
    </row>
    <row r="2788" spans="1:18" x14ac:dyDescent="0.25">
      <c r="A2788" s="130">
        <v>46108</v>
      </c>
      <c r="B2788">
        <v>148.9</v>
      </c>
      <c r="C2788">
        <v>144.94999999999999</v>
      </c>
      <c r="D2788">
        <v>143.15</v>
      </c>
      <c r="E2788">
        <v>148.9</v>
      </c>
      <c r="F2788">
        <v>144.94999999999999</v>
      </c>
      <c r="G2788">
        <v>432618</v>
      </c>
      <c r="H2788" s="107"/>
      <c r="I2788" s="107"/>
      <c r="L2788" s="130">
        <v>46108</v>
      </c>
      <c r="M2788" s="107">
        <v>144.99</v>
      </c>
      <c r="N2788" s="107">
        <v>148.52000000000001</v>
      </c>
      <c r="O2788" s="107">
        <v>143.05000000000001</v>
      </c>
      <c r="P2788" s="107">
        <v>148.52000000000001</v>
      </c>
      <c r="Q2788" s="107">
        <v>144.99</v>
      </c>
      <c r="R2788">
        <v>14692046</v>
      </c>
    </row>
    <row r="2789" spans="1:18" x14ac:dyDescent="0.25">
      <c r="A2789" s="130">
        <v>46111</v>
      </c>
      <c r="B2789">
        <v>142.80000000000001</v>
      </c>
      <c r="C2789">
        <v>137.05000000000001</v>
      </c>
      <c r="D2789">
        <v>136.5</v>
      </c>
      <c r="E2789">
        <v>141.94999999999999</v>
      </c>
      <c r="F2789">
        <v>137.05000000000001</v>
      </c>
      <c r="G2789">
        <v>392237</v>
      </c>
      <c r="H2789" s="107"/>
      <c r="I2789" s="107"/>
      <c r="L2789" s="130">
        <v>46111</v>
      </c>
      <c r="M2789" s="107">
        <v>136.99</v>
      </c>
      <c r="N2789" s="107">
        <v>142.91999999999999</v>
      </c>
      <c r="O2789" s="107">
        <v>136.19999999999999</v>
      </c>
      <c r="P2789" s="107">
        <v>141.11000000000001</v>
      </c>
      <c r="Q2789" s="107">
        <v>136.99</v>
      </c>
      <c r="R2789">
        <v>11661437</v>
      </c>
    </row>
    <row r="2790" spans="1:18" x14ac:dyDescent="0.25">
      <c r="A2790" s="130">
        <v>46113</v>
      </c>
      <c r="B2790">
        <v>144.69999999999999</v>
      </c>
      <c r="C2790">
        <v>141.69999999999999</v>
      </c>
      <c r="D2790">
        <v>139.80000000000001</v>
      </c>
      <c r="E2790">
        <v>140.5</v>
      </c>
      <c r="F2790">
        <v>141.69999999999999</v>
      </c>
      <c r="G2790">
        <v>552098</v>
      </c>
      <c r="H2790" s="107"/>
      <c r="I2790" s="107"/>
      <c r="L2790" s="130">
        <v>46113</v>
      </c>
      <c r="M2790" s="107">
        <v>141.69999999999999</v>
      </c>
      <c r="N2790" s="107">
        <v>144.78</v>
      </c>
      <c r="O2790" s="107">
        <v>139.63999999999999</v>
      </c>
      <c r="P2790" s="107">
        <v>142.81</v>
      </c>
      <c r="Q2790" s="107">
        <v>141.69999999999999</v>
      </c>
      <c r="R2790">
        <v>13202443</v>
      </c>
    </row>
    <row r="2791" spans="1:18" x14ac:dyDescent="0.25">
      <c r="A2791" s="130">
        <v>46114</v>
      </c>
      <c r="B2791">
        <v>139.69999999999999</v>
      </c>
      <c r="C2791">
        <v>139.25</v>
      </c>
      <c r="D2791">
        <v>134.5</v>
      </c>
      <c r="E2791">
        <v>139.15</v>
      </c>
      <c r="F2791">
        <v>139.25</v>
      </c>
      <c r="G2791">
        <v>363275</v>
      </c>
      <c r="H2791" s="107"/>
      <c r="I2791" s="107"/>
      <c r="L2791" s="130">
        <v>46114</v>
      </c>
      <c r="M2791" s="107">
        <v>139.16</v>
      </c>
      <c r="N2791" s="107">
        <v>139.80000000000001</v>
      </c>
      <c r="O2791" s="107">
        <v>134.52000000000001</v>
      </c>
      <c r="P2791" s="107">
        <v>139.5</v>
      </c>
      <c r="Q2791" s="107">
        <v>139.16</v>
      </c>
      <c r="R2791">
        <v>9218922</v>
      </c>
    </row>
    <row r="2792" spans="1:18" x14ac:dyDescent="0.25">
      <c r="A2792" s="130">
        <v>46118</v>
      </c>
      <c r="B2792">
        <v>145.5</v>
      </c>
      <c r="C2792">
        <v>143.05000000000001</v>
      </c>
      <c r="D2792">
        <v>137.85</v>
      </c>
      <c r="E2792">
        <v>140.25</v>
      </c>
      <c r="F2792">
        <v>143.05000000000001</v>
      </c>
      <c r="G2792">
        <v>699132</v>
      </c>
      <c r="H2792" s="107"/>
      <c r="I2792" s="107"/>
      <c r="L2792" s="130">
        <v>46118</v>
      </c>
      <c r="M2792" s="107">
        <v>143.05000000000001</v>
      </c>
      <c r="N2792" s="107">
        <v>145.49</v>
      </c>
      <c r="O2792" s="107">
        <v>137.88</v>
      </c>
      <c r="P2792" s="107">
        <v>140.38</v>
      </c>
      <c r="Q2792" s="107">
        <v>143.05000000000001</v>
      </c>
      <c r="R2792">
        <v>14321009</v>
      </c>
    </row>
    <row r="2793" spans="1:18" x14ac:dyDescent="0.25">
      <c r="A2793" s="130">
        <v>46119</v>
      </c>
      <c r="B2793">
        <v>141.9</v>
      </c>
      <c r="C2793">
        <v>137.5</v>
      </c>
      <c r="D2793">
        <v>136.19999999999999</v>
      </c>
      <c r="E2793">
        <v>141.85</v>
      </c>
      <c r="F2793">
        <v>137.5</v>
      </c>
      <c r="G2793">
        <v>705043</v>
      </c>
      <c r="H2793" s="107"/>
      <c r="I2793" s="107"/>
      <c r="L2793" s="130">
        <v>46119</v>
      </c>
      <c r="M2793" s="107">
        <v>137.55000000000001</v>
      </c>
      <c r="N2793" s="107">
        <v>142.05000000000001</v>
      </c>
      <c r="O2793" s="107">
        <v>136.13</v>
      </c>
      <c r="P2793" s="107">
        <v>142.05000000000001</v>
      </c>
      <c r="Q2793" s="107">
        <v>137.55000000000001</v>
      </c>
      <c r="R2793">
        <v>27177315</v>
      </c>
    </row>
    <row r="2794" spans="1:18" x14ac:dyDescent="0.25">
      <c r="A2794" s="130">
        <v>46120</v>
      </c>
      <c r="B2794">
        <v>147.5</v>
      </c>
      <c r="C2794">
        <v>146.44999999999999</v>
      </c>
      <c r="D2794">
        <v>143.15</v>
      </c>
      <c r="E2794">
        <v>145.44999999999999</v>
      </c>
      <c r="F2794">
        <v>146.44999999999999</v>
      </c>
      <c r="G2794">
        <v>700522</v>
      </c>
      <c r="H2794" s="107"/>
      <c r="I2794" s="107"/>
      <c r="L2794" s="130">
        <v>46120</v>
      </c>
      <c r="M2794" s="107">
        <v>146.49</v>
      </c>
      <c r="N2794" s="107">
        <v>147.5</v>
      </c>
      <c r="O2794" s="107">
        <v>143.08000000000001</v>
      </c>
      <c r="P2794" s="107">
        <v>144</v>
      </c>
      <c r="Q2794" s="107">
        <v>146.49</v>
      </c>
      <c r="R2794">
        <v>17553137</v>
      </c>
    </row>
    <row r="2795" spans="1:18" x14ac:dyDescent="0.25">
      <c r="A2795" s="130">
        <v>46121</v>
      </c>
      <c r="B2795">
        <v>148.5</v>
      </c>
      <c r="C2795">
        <v>144.25</v>
      </c>
      <c r="D2795">
        <v>143.5</v>
      </c>
      <c r="E2795">
        <v>147.69999999999999</v>
      </c>
      <c r="F2795">
        <v>144.25</v>
      </c>
      <c r="G2795">
        <v>480602</v>
      </c>
      <c r="H2795" s="107"/>
      <c r="I2795" s="107"/>
      <c r="L2795" s="130">
        <v>46121</v>
      </c>
      <c r="M2795" s="107">
        <v>144.29</v>
      </c>
      <c r="N2795" s="107">
        <v>148.55000000000001</v>
      </c>
      <c r="O2795" s="107">
        <v>143.44999999999999</v>
      </c>
      <c r="P2795" s="107">
        <v>146.47999999999999</v>
      </c>
      <c r="Q2795" s="107">
        <v>144.29</v>
      </c>
      <c r="R2795">
        <v>12609816</v>
      </c>
    </row>
    <row r="2796" spans="1:18" x14ac:dyDescent="0.25">
      <c r="A2796" s="130">
        <v>46122</v>
      </c>
      <c r="B2796">
        <v>148.44999999999999</v>
      </c>
      <c r="C2796">
        <v>147.9</v>
      </c>
      <c r="D2796">
        <v>145.75</v>
      </c>
      <c r="E2796">
        <v>146.65</v>
      </c>
      <c r="F2796">
        <v>147.9</v>
      </c>
      <c r="G2796">
        <v>255261</v>
      </c>
      <c r="H2796" s="107"/>
      <c r="I2796" s="107"/>
      <c r="L2796" s="130">
        <v>46122</v>
      </c>
      <c r="M2796" s="107">
        <v>147.93</v>
      </c>
      <c r="N2796" s="107">
        <v>148.49</v>
      </c>
      <c r="O2796" s="107">
        <v>145.75</v>
      </c>
      <c r="P2796" s="107">
        <v>146.5</v>
      </c>
      <c r="Q2796" s="107">
        <v>147.93</v>
      </c>
      <c r="R2796">
        <v>9728052</v>
      </c>
    </row>
    <row r="2797" spans="1:18" x14ac:dyDescent="0.25">
      <c r="A2797" s="130">
        <v>46125</v>
      </c>
      <c r="B2797">
        <v>145.4</v>
      </c>
      <c r="C2797">
        <v>145.1</v>
      </c>
      <c r="D2797">
        <v>141.05000000000001</v>
      </c>
      <c r="E2797">
        <v>143.15</v>
      </c>
      <c r="F2797">
        <v>145.1</v>
      </c>
      <c r="G2797">
        <v>405781</v>
      </c>
      <c r="H2797" s="107"/>
      <c r="I2797" s="107"/>
      <c r="L2797" s="130">
        <v>46125</v>
      </c>
      <c r="M2797" s="107">
        <v>144.97</v>
      </c>
      <c r="N2797" s="107">
        <v>145.35</v>
      </c>
      <c r="O2797" s="107">
        <v>141.05000000000001</v>
      </c>
      <c r="P2797" s="107">
        <v>142.94999999999999</v>
      </c>
      <c r="Q2797" s="107">
        <v>144.97</v>
      </c>
      <c r="R2797">
        <v>11779572</v>
      </c>
    </row>
    <row r="2798" spans="1:18" x14ac:dyDescent="0.25">
      <c r="A2798" s="130">
        <v>46127</v>
      </c>
      <c r="B2798">
        <v>149.9</v>
      </c>
      <c r="C2798">
        <v>147.65</v>
      </c>
      <c r="D2798">
        <v>147.05000000000001</v>
      </c>
      <c r="E2798">
        <v>148.05000000000001</v>
      </c>
      <c r="F2798">
        <v>147.65</v>
      </c>
      <c r="G2798">
        <v>464414</v>
      </c>
      <c r="H2798" s="107"/>
      <c r="I2798" s="107"/>
      <c r="L2798" s="130">
        <v>46127</v>
      </c>
      <c r="M2798" s="107">
        <v>147.69999999999999</v>
      </c>
      <c r="N2798" s="107">
        <v>149.93</v>
      </c>
      <c r="O2798" s="107">
        <v>147.15</v>
      </c>
      <c r="P2798" s="107">
        <v>147.71</v>
      </c>
      <c r="Q2798" s="107">
        <v>147.69999999999999</v>
      </c>
      <c r="R2798">
        <v>9048315</v>
      </c>
    </row>
    <row r="2799" spans="1:18" x14ac:dyDescent="0.25">
      <c r="A2799" s="130">
        <v>46128</v>
      </c>
      <c r="B2799">
        <v>150.94999999999999</v>
      </c>
      <c r="C2799">
        <v>148.9</v>
      </c>
      <c r="D2799">
        <v>147.75</v>
      </c>
      <c r="E2799">
        <v>148.80000000000001</v>
      </c>
      <c r="F2799">
        <v>148.9</v>
      </c>
      <c r="G2799">
        <v>241534</v>
      </c>
      <c r="H2799" s="107"/>
      <c r="I2799" s="107"/>
      <c r="L2799" s="130">
        <v>46128</v>
      </c>
      <c r="M2799" s="107">
        <v>148.86000000000001</v>
      </c>
      <c r="N2799" s="107">
        <v>151</v>
      </c>
      <c r="O2799" s="107">
        <v>147.84</v>
      </c>
      <c r="P2799" s="107">
        <v>148.65</v>
      </c>
      <c r="Q2799" s="107">
        <v>148.86000000000001</v>
      </c>
      <c r="R2799">
        <v>9550976</v>
      </c>
    </row>
    <row r="2800" spans="1:18" x14ac:dyDescent="0.25">
      <c r="A2800" s="130">
        <v>46129</v>
      </c>
      <c r="B2800">
        <v>149.5</v>
      </c>
      <c r="C2800">
        <v>148.1</v>
      </c>
      <c r="D2800">
        <v>146.6</v>
      </c>
      <c r="E2800">
        <v>149.15</v>
      </c>
      <c r="F2800">
        <v>148.1</v>
      </c>
      <c r="G2800">
        <v>378558</v>
      </c>
      <c r="H2800" s="107"/>
      <c r="I2800" s="107"/>
      <c r="L2800" s="130">
        <v>46129</v>
      </c>
      <c r="M2800" s="107">
        <v>148.1</v>
      </c>
      <c r="N2800" s="107">
        <v>149.47</v>
      </c>
      <c r="O2800" s="107">
        <v>146.65</v>
      </c>
      <c r="P2800" s="107">
        <v>148.86000000000001</v>
      </c>
      <c r="Q2800" s="107">
        <v>148.1</v>
      </c>
      <c r="R2800">
        <v>8807839</v>
      </c>
    </row>
    <row r="2801" spans="1:18" x14ac:dyDescent="0.25">
      <c r="A2801" s="130">
        <v>46132</v>
      </c>
      <c r="B2801">
        <v>150.9</v>
      </c>
      <c r="C2801">
        <v>148.35</v>
      </c>
      <c r="D2801">
        <v>145.9</v>
      </c>
      <c r="E2801">
        <v>148.1</v>
      </c>
      <c r="F2801">
        <v>148.35</v>
      </c>
      <c r="G2801">
        <v>433909</v>
      </c>
      <c r="H2801" s="107"/>
      <c r="I2801" s="107"/>
      <c r="L2801" s="130">
        <v>46132</v>
      </c>
      <c r="M2801" s="107">
        <v>148.31</v>
      </c>
      <c r="N2801" s="107">
        <v>151</v>
      </c>
      <c r="O2801" s="107">
        <v>146.01</v>
      </c>
      <c r="P2801" s="107">
        <v>148</v>
      </c>
      <c r="Q2801" s="107">
        <v>148.31</v>
      </c>
      <c r="R2801">
        <v>9439402</v>
      </c>
    </row>
    <row r="2802" spans="1:18" x14ac:dyDescent="0.25">
      <c r="A2802" s="130">
        <v>46133</v>
      </c>
      <c r="B2802">
        <v>151.25</v>
      </c>
      <c r="C2802">
        <v>149.80000000000001</v>
      </c>
      <c r="D2802">
        <v>149</v>
      </c>
      <c r="E2802">
        <v>149</v>
      </c>
      <c r="F2802">
        <v>149.80000000000001</v>
      </c>
      <c r="G2802">
        <v>355808</v>
      </c>
      <c r="H2802" s="107"/>
      <c r="I2802" s="107"/>
      <c r="L2802" s="130">
        <v>46133</v>
      </c>
      <c r="M2802" s="107">
        <v>149.83000000000001</v>
      </c>
      <c r="N2802" s="107">
        <v>151.25</v>
      </c>
      <c r="O2802" s="107">
        <v>149.05000000000001</v>
      </c>
      <c r="P2802" s="107">
        <v>149.5</v>
      </c>
      <c r="Q2802" s="107">
        <v>149.83000000000001</v>
      </c>
      <c r="R2802">
        <v>7154993</v>
      </c>
    </row>
    <row r="2803" spans="1:18" x14ac:dyDescent="0.25">
      <c r="A2803" s="130">
        <v>46134</v>
      </c>
      <c r="B2803">
        <v>154.30000000000001</v>
      </c>
      <c r="C2803">
        <v>152.9</v>
      </c>
      <c r="D2803">
        <v>149.5</v>
      </c>
      <c r="E2803">
        <v>149.94999999999999</v>
      </c>
      <c r="F2803">
        <v>152.9</v>
      </c>
      <c r="G2803">
        <v>437187</v>
      </c>
      <c r="H2803" s="107"/>
      <c r="I2803" s="107"/>
      <c r="L2803" s="130">
        <v>46134</v>
      </c>
      <c r="M2803" s="107">
        <v>152.91999999999999</v>
      </c>
      <c r="N2803" s="107">
        <v>154.34</v>
      </c>
      <c r="O2803" s="107">
        <v>149.18</v>
      </c>
      <c r="P2803" s="107">
        <v>149.83000000000001</v>
      </c>
      <c r="Q2803" s="107">
        <v>152.91999999999999</v>
      </c>
      <c r="R2803">
        <v>15080884</v>
      </c>
    </row>
    <row r="2804" spans="1:18" x14ac:dyDescent="0.25">
      <c r="A2804" s="130">
        <v>46135</v>
      </c>
      <c r="B2804">
        <v>153.44999999999999</v>
      </c>
      <c r="C2804">
        <v>150.85</v>
      </c>
      <c r="D2804">
        <v>149.30000000000001</v>
      </c>
      <c r="E2804">
        <v>152.5</v>
      </c>
      <c r="F2804">
        <v>150.85</v>
      </c>
      <c r="G2804">
        <v>420286</v>
      </c>
      <c r="H2804" s="107"/>
      <c r="I2804" s="107"/>
      <c r="L2804" s="130">
        <v>46135</v>
      </c>
      <c r="M2804" s="107">
        <v>150.86000000000001</v>
      </c>
      <c r="N2804" s="107">
        <v>153.47999999999999</v>
      </c>
      <c r="O2804" s="107">
        <v>149.33000000000001</v>
      </c>
      <c r="P2804" s="107">
        <v>152.01</v>
      </c>
      <c r="Q2804" s="107">
        <v>150.86000000000001</v>
      </c>
      <c r="R2804">
        <v>14160285</v>
      </c>
    </row>
    <row r="2805" spans="1:18" x14ac:dyDescent="0.25">
      <c r="A2805" s="130">
        <v>46136</v>
      </c>
      <c r="B2805">
        <v>151.4</v>
      </c>
      <c r="C2805">
        <v>147.4</v>
      </c>
      <c r="D2805">
        <v>145.9</v>
      </c>
      <c r="E2805">
        <v>150.85</v>
      </c>
      <c r="F2805">
        <v>147.4</v>
      </c>
      <c r="G2805">
        <v>309692</v>
      </c>
      <c r="H2805" s="107"/>
      <c r="I2805" s="107"/>
      <c r="L2805" s="130">
        <v>46136</v>
      </c>
      <c r="M2805" s="107">
        <v>147.44</v>
      </c>
      <c r="N2805" s="107">
        <v>151.46</v>
      </c>
      <c r="O2805" s="107">
        <v>145.78</v>
      </c>
      <c r="P2805" s="107">
        <v>150.75</v>
      </c>
      <c r="Q2805" s="107">
        <v>147.44</v>
      </c>
      <c r="R2805">
        <v>13803000</v>
      </c>
    </row>
    <row r="2806" spans="1:18" x14ac:dyDescent="0.25">
      <c r="A2806" s="130">
        <v>46139</v>
      </c>
      <c r="B2806">
        <v>149.85</v>
      </c>
      <c r="C2806">
        <v>147.55000000000001</v>
      </c>
      <c r="D2806">
        <v>147.25</v>
      </c>
      <c r="E2806">
        <v>149</v>
      </c>
      <c r="F2806">
        <v>147.55000000000001</v>
      </c>
      <c r="G2806">
        <v>184875</v>
      </c>
      <c r="H2806" s="107"/>
      <c r="I2806" s="107"/>
      <c r="L2806" s="130">
        <v>46139</v>
      </c>
      <c r="M2806" s="107">
        <v>147.51</v>
      </c>
      <c r="N2806" s="107">
        <v>149.80000000000001</v>
      </c>
      <c r="O2806" s="107">
        <v>147.25</v>
      </c>
      <c r="P2806" s="107">
        <v>148.6</v>
      </c>
      <c r="Q2806" s="107">
        <v>147.51</v>
      </c>
      <c r="R2806">
        <v>4845169</v>
      </c>
    </row>
    <row r="2807" spans="1:18" x14ac:dyDescent="0.25">
      <c r="A2807" s="130">
        <v>46140</v>
      </c>
      <c r="B2807">
        <v>145.6</v>
      </c>
      <c r="C2807">
        <v>144.19999999999999</v>
      </c>
      <c r="D2807">
        <v>141.69999999999999</v>
      </c>
      <c r="E2807">
        <v>144</v>
      </c>
      <c r="F2807">
        <v>144.19999999999999</v>
      </c>
      <c r="G2807">
        <v>602350</v>
      </c>
      <c r="H2807" s="107"/>
      <c r="I2807" s="107"/>
      <c r="L2807" s="130">
        <v>46140</v>
      </c>
      <c r="M2807" s="107">
        <v>144.25</v>
      </c>
      <c r="N2807" s="107">
        <v>145.6</v>
      </c>
      <c r="O2807" s="107">
        <v>141.66999999999999</v>
      </c>
      <c r="P2807" s="107">
        <v>144</v>
      </c>
      <c r="Q2807" s="107">
        <v>144.25</v>
      </c>
      <c r="R2807">
        <v>15483742</v>
      </c>
    </row>
    <row r="2808" spans="1:18" x14ac:dyDescent="0.25">
      <c r="A2808" s="130">
        <v>46141</v>
      </c>
      <c r="B2808">
        <v>146.94999999999999</v>
      </c>
      <c r="C2808">
        <v>143.19999999999999</v>
      </c>
      <c r="D2808">
        <v>142.75</v>
      </c>
      <c r="E2808">
        <v>145.05000000000001</v>
      </c>
      <c r="F2808">
        <v>143.19999999999999</v>
      </c>
      <c r="G2808">
        <v>408782</v>
      </c>
      <c r="H2808" s="107"/>
      <c r="I2808" s="107"/>
      <c r="L2808" s="130">
        <v>46141</v>
      </c>
      <c r="M2808" s="107">
        <v>143.21</v>
      </c>
      <c r="N2808" s="107">
        <v>147.25</v>
      </c>
      <c r="O2808" s="107">
        <v>142.72</v>
      </c>
      <c r="P2808" s="107">
        <v>145</v>
      </c>
      <c r="Q2808" s="107">
        <v>143.21</v>
      </c>
      <c r="R2808">
        <v>9711019</v>
      </c>
    </row>
    <row r="2809" spans="1:18" x14ac:dyDescent="0.25">
      <c r="A2809" s="130">
        <v>46142</v>
      </c>
      <c r="B2809">
        <v>142.1</v>
      </c>
      <c r="C2809">
        <v>139.9</v>
      </c>
      <c r="D2809">
        <v>138.85</v>
      </c>
      <c r="E2809">
        <v>142.05000000000001</v>
      </c>
      <c r="F2809">
        <v>139.9</v>
      </c>
      <c r="G2809">
        <v>348630</v>
      </c>
      <c r="H2809" s="107"/>
      <c r="I2809" s="107"/>
      <c r="L2809" s="130">
        <v>46142</v>
      </c>
      <c r="M2809" s="107">
        <v>139.87</v>
      </c>
      <c r="N2809" s="107">
        <v>142.30000000000001</v>
      </c>
      <c r="O2809" s="107">
        <v>138.83000000000001</v>
      </c>
      <c r="P2809" s="107">
        <v>142.21</v>
      </c>
      <c r="Q2809" s="107">
        <v>139.87</v>
      </c>
      <c r="R2809">
        <v>10512024</v>
      </c>
    </row>
    <row r="2810" spans="1:18" x14ac:dyDescent="0.25">
      <c r="A2810" s="130">
        <v>46146</v>
      </c>
      <c r="B2810">
        <v>142.6</v>
      </c>
      <c r="C2810">
        <v>138.69999999999999</v>
      </c>
      <c r="D2810">
        <v>138.30000000000001</v>
      </c>
      <c r="E2810">
        <v>140</v>
      </c>
      <c r="F2810">
        <v>138.69999999999999</v>
      </c>
      <c r="G2810">
        <v>906596</v>
      </c>
      <c r="H2810" s="107"/>
      <c r="I2810" s="107"/>
      <c r="L2810" s="130">
        <v>46146</v>
      </c>
      <c r="M2810" s="107">
        <v>138.66</v>
      </c>
      <c r="N2810" s="107">
        <v>142.6</v>
      </c>
      <c r="O2810" s="107">
        <v>138.22999999999999</v>
      </c>
      <c r="P2810" s="107">
        <v>140.01</v>
      </c>
      <c r="Q2810" s="107">
        <v>138.66</v>
      </c>
      <c r="R2810">
        <v>11205255</v>
      </c>
    </row>
    <row r="2811" spans="1:18" x14ac:dyDescent="0.25">
      <c r="A2811" s="130">
        <v>46147</v>
      </c>
      <c r="B2811">
        <v>139.75</v>
      </c>
      <c r="C2811">
        <v>138.6</v>
      </c>
      <c r="D2811">
        <v>136.75</v>
      </c>
      <c r="E2811">
        <v>138.5</v>
      </c>
      <c r="F2811">
        <v>138.6</v>
      </c>
      <c r="G2811">
        <v>873194</v>
      </c>
      <c r="H2811" s="107"/>
      <c r="I2811" s="107"/>
      <c r="L2811" s="130">
        <v>46147</v>
      </c>
      <c r="M2811" s="107">
        <v>138.58000000000001</v>
      </c>
      <c r="N2811" s="107">
        <v>139.69</v>
      </c>
      <c r="O2811" s="107">
        <v>136.74</v>
      </c>
      <c r="P2811" s="107">
        <v>138.69999999999999</v>
      </c>
      <c r="Q2811" s="107">
        <v>138.58000000000001</v>
      </c>
      <c r="R2811">
        <v>8548754</v>
      </c>
    </row>
    <row r="2812" spans="1:18" x14ac:dyDescent="0.25">
      <c r="A2812" s="130">
        <v>46148</v>
      </c>
      <c r="B2812">
        <v>143.35</v>
      </c>
      <c r="C2812">
        <v>142.44999999999999</v>
      </c>
      <c r="D2812">
        <v>138.44999999999999</v>
      </c>
      <c r="E2812">
        <v>140.25</v>
      </c>
      <c r="F2812">
        <v>142.44999999999999</v>
      </c>
      <c r="G2812">
        <v>1058676</v>
      </c>
      <c r="H2812" s="107"/>
      <c r="I2812" s="107"/>
      <c r="L2812" s="130">
        <v>46148</v>
      </c>
      <c r="M2812" s="107">
        <v>142.34</v>
      </c>
      <c r="N2812" s="107">
        <v>143.25</v>
      </c>
      <c r="O2812" s="107">
        <v>138.4</v>
      </c>
      <c r="P2812" s="107">
        <v>140.5</v>
      </c>
      <c r="Q2812" s="107">
        <v>142.34</v>
      </c>
      <c r="R2812">
        <v>21321991</v>
      </c>
    </row>
    <row r="2813" spans="1:18" x14ac:dyDescent="0.25">
      <c r="A2813" s="130">
        <v>46149</v>
      </c>
      <c r="B2813">
        <v>143.75</v>
      </c>
      <c r="C2813">
        <v>140.30000000000001</v>
      </c>
      <c r="D2813">
        <v>139.65</v>
      </c>
      <c r="E2813">
        <v>143.44999999999999</v>
      </c>
      <c r="F2813">
        <v>140.30000000000001</v>
      </c>
      <c r="G2813">
        <v>417824</v>
      </c>
      <c r="H2813" s="107"/>
      <c r="I2813" s="107"/>
      <c r="L2813" s="130">
        <v>46149</v>
      </c>
      <c r="M2813" s="107">
        <v>140.37</v>
      </c>
      <c r="N2813" s="107">
        <v>143.59</v>
      </c>
      <c r="O2813" s="107">
        <v>139.69999999999999</v>
      </c>
      <c r="P2813" s="107">
        <v>143.25</v>
      </c>
      <c r="Q2813" s="107">
        <v>140.37</v>
      </c>
      <c r="R2813">
        <v>10811865</v>
      </c>
    </row>
    <row r="2814" spans="1:18" x14ac:dyDescent="0.25">
      <c r="A2814" s="130">
        <v>46150</v>
      </c>
      <c r="B2814">
        <v>140.35</v>
      </c>
      <c r="C2814">
        <v>139.75</v>
      </c>
      <c r="D2814">
        <v>138.19999999999999</v>
      </c>
      <c r="E2814">
        <v>140.19999999999999</v>
      </c>
      <c r="F2814">
        <v>139.75</v>
      </c>
      <c r="G2814">
        <v>565981</v>
      </c>
      <c r="H2814" s="107"/>
      <c r="I2814" s="107"/>
      <c r="L2814" s="130">
        <v>46150</v>
      </c>
      <c r="M2814" s="107">
        <v>139.77000000000001</v>
      </c>
      <c r="N2814" s="107">
        <v>140.25</v>
      </c>
      <c r="O2814" s="107">
        <v>138.16</v>
      </c>
      <c r="P2814" s="107">
        <v>140.25</v>
      </c>
      <c r="Q2814" s="107">
        <v>139.77000000000001</v>
      </c>
      <c r="R2814">
        <v>10454713</v>
      </c>
    </row>
    <row r="2815" spans="1:18" x14ac:dyDescent="0.25">
      <c r="A2815" s="130">
        <v>46153</v>
      </c>
      <c r="B2815">
        <v>146.4</v>
      </c>
      <c r="C2815">
        <v>143.9</v>
      </c>
      <c r="D2815">
        <v>141.55000000000001</v>
      </c>
      <c r="E2815">
        <v>143.94999999999999</v>
      </c>
      <c r="F2815">
        <v>143.9</v>
      </c>
      <c r="G2815">
        <v>1473774</v>
      </c>
      <c r="H2815" s="107"/>
      <c r="I2815" s="107"/>
      <c r="L2815" s="130">
        <v>46153</v>
      </c>
      <c r="M2815" s="107">
        <v>143.86000000000001</v>
      </c>
      <c r="N2815" s="107">
        <v>146.4</v>
      </c>
      <c r="O2815" s="107">
        <v>141.6</v>
      </c>
      <c r="P2815" s="107">
        <v>143</v>
      </c>
      <c r="Q2815" s="107">
        <v>143.86000000000001</v>
      </c>
      <c r="R2815">
        <v>31970908</v>
      </c>
    </row>
    <row r="2816" spans="1:18" x14ac:dyDescent="0.25">
      <c r="A2816" s="130">
        <v>46154</v>
      </c>
      <c r="B2816">
        <v>144</v>
      </c>
      <c r="C2816">
        <v>140.1</v>
      </c>
      <c r="D2816">
        <v>139.80000000000001</v>
      </c>
      <c r="E2816">
        <v>143.65</v>
      </c>
      <c r="F2816">
        <v>140.1</v>
      </c>
      <c r="G2816">
        <v>615714</v>
      </c>
      <c r="H2816" s="107"/>
      <c r="I2816" s="107"/>
      <c r="L2816" s="130">
        <v>46154</v>
      </c>
      <c r="M2816" s="107">
        <v>140.13999999999999</v>
      </c>
      <c r="N2816" s="107">
        <v>143.97999999999999</v>
      </c>
      <c r="O2816" s="107">
        <v>139.83000000000001</v>
      </c>
      <c r="P2816" s="107">
        <v>143.01</v>
      </c>
      <c r="Q2816" s="107">
        <v>140.13999999999999</v>
      </c>
      <c r="R2816">
        <v>9840646</v>
      </c>
    </row>
    <row r="2817" spans="1:18" x14ac:dyDescent="0.25">
      <c r="A2817" s="130">
        <v>46155</v>
      </c>
      <c r="B2817">
        <v>142.35</v>
      </c>
      <c r="C2817">
        <v>140.65</v>
      </c>
      <c r="D2817">
        <v>138.65</v>
      </c>
      <c r="E2817">
        <v>140.30000000000001</v>
      </c>
      <c r="F2817">
        <v>140.65</v>
      </c>
      <c r="G2817">
        <v>310680</v>
      </c>
      <c r="H2817" s="107"/>
      <c r="I2817" s="107"/>
      <c r="L2817" s="130">
        <v>46155</v>
      </c>
      <c r="M2817" s="107">
        <v>140.59</v>
      </c>
      <c r="N2817" s="107">
        <v>142.4</v>
      </c>
      <c r="O2817" s="107">
        <v>138.65</v>
      </c>
      <c r="P2817" s="107">
        <v>140.19999999999999</v>
      </c>
      <c r="Q2817" s="107">
        <v>140.59</v>
      </c>
      <c r="R2817">
        <v>7974427</v>
      </c>
    </row>
    <row r="2818" spans="1:18" x14ac:dyDescent="0.25">
      <c r="A2818" s="130">
        <v>46156</v>
      </c>
      <c r="B2818">
        <v>144.44999999999999</v>
      </c>
      <c r="C2818">
        <v>144</v>
      </c>
      <c r="D2818">
        <v>139.9</v>
      </c>
      <c r="E2818">
        <v>141.19999999999999</v>
      </c>
      <c r="F2818">
        <v>144</v>
      </c>
      <c r="G2818">
        <v>686782</v>
      </c>
      <c r="H2818" s="107"/>
      <c r="I2818" s="107"/>
      <c r="L2818" s="130">
        <v>46156</v>
      </c>
      <c r="M2818" s="107">
        <v>143.94999999999999</v>
      </c>
      <c r="N2818" s="107">
        <v>144.5</v>
      </c>
      <c r="O2818" s="107">
        <v>139.85</v>
      </c>
      <c r="P2818" s="107">
        <v>141.65</v>
      </c>
      <c r="Q2818" s="107">
        <v>143.94999999999999</v>
      </c>
      <c r="R2818">
        <v>9541746</v>
      </c>
    </row>
    <row r="2819" spans="1:18" x14ac:dyDescent="0.25">
      <c r="A2819" s="130">
        <v>46157</v>
      </c>
      <c r="B2819">
        <v>146</v>
      </c>
      <c r="C2819">
        <v>142.30000000000001</v>
      </c>
      <c r="D2819">
        <v>142</v>
      </c>
      <c r="E2819">
        <v>145</v>
      </c>
      <c r="F2819">
        <v>142.30000000000001</v>
      </c>
      <c r="G2819">
        <v>539595</v>
      </c>
      <c r="H2819" s="107"/>
      <c r="I2819" s="107"/>
      <c r="L2819" s="130">
        <v>46157</v>
      </c>
      <c r="M2819" s="107">
        <v>142.26</v>
      </c>
      <c r="N2819" s="107">
        <v>146.09</v>
      </c>
      <c r="O2819" s="107">
        <v>142</v>
      </c>
      <c r="P2819" s="107">
        <v>144.99</v>
      </c>
      <c r="Q2819" s="107">
        <v>142.26</v>
      </c>
      <c r="R2819">
        <v>8539888</v>
      </c>
    </row>
    <row r="2820" spans="1:18" x14ac:dyDescent="0.25">
      <c r="A2820" s="130">
        <v>46160</v>
      </c>
      <c r="B2820">
        <v>140.85</v>
      </c>
      <c r="C2820">
        <v>138.25</v>
      </c>
      <c r="D2820">
        <v>137.5</v>
      </c>
      <c r="E2820">
        <v>140.85</v>
      </c>
      <c r="F2820">
        <v>138.25</v>
      </c>
      <c r="G2820">
        <v>640931</v>
      </c>
      <c r="H2820" s="107"/>
      <c r="I2820" s="107"/>
      <c r="L2820" s="130">
        <v>46160</v>
      </c>
      <c r="M2820" s="107">
        <v>138.22</v>
      </c>
      <c r="N2820" s="107">
        <v>141</v>
      </c>
      <c r="O2820" s="107">
        <v>137.49</v>
      </c>
      <c r="P2820" s="107">
        <v>141</v>
      </c>
      <c r="Q2820" s="107">
        <v>138.22</v>
      </c>
      <c r="R2820">
        <v>12262451</v>
      </c>
    </row>
    <row r="2821" spans="1:18" x14ac:dyDescent="0.25">
      <c r="A2821" s="130">
        <v>46161</v>
      </c>
      <c r="B2821">
        <v>140</v>
      </c>
      <c r="C2821">
        <v>138.75</v>
      </c>
      <c r="D2821">
        <v>138.05000000000001</v>
      </c>
      <c r="E2821">
        <v>139.35</v>
      </c>
      <c r="F2821">
        <v>138.75</v>
      </c>
      <c r="G2821">
        <v>336523</v>
      </c>
      <c r="H2821" s="107"/>
      <c r="I2821" s="107"/>
      <c r="L2821" s="130">
        <v>46161</v>
      </c>
      <c r="M2821" s="107">
        <v>138.63999999999999</v>
      </c>
      <c r="N2821" s="107">
        <v>139.9</v>
      </c>
      <c r="O2821" s="107">
        <v>138.02000000000001</v>
      </c>
      <c r="P2821" s="107">
        <v>139.69</v>
      </c>
      <c r="Q2821" s="107">
        <v>138.63999999999999</v>
      </c>
      <c r="R2821">
        <v>12748150</v>
      </c>
    </row>
    <row r="2822" spans="1:18" x14ac:dyDescent="0.25">
      <c r="A2822" s="130">
        <v>46162</v>
      </c>
      <c r="B2822">
        <v>139.80000000000001</v>
      </c>
      <c r="C2822">
        <v>139.19999999999999</v>
      </c>
      <c r="D2822">
        <v>136.55000000000001</v>
      </c>
      <c r="E2822">
        <v>138.6</v>
      </c>
      <c r="F2822">
        <v>139.19999999999999</v>
      </c>
      <c r="G2822">
        <v>354192</v>
      </c>
      <c r="H2822" s="107"/>
      <c r="I2822" s="107"/>
      <c r="L2822" s="130">
        <v>46162</v>
      </c>
      <c r="M2822" s="107">
        <v>139.16999999999999</v>
      </c>
      <c r="N2822" s="107">
        <v>139.88999999999999</v>
      </c>
      <c r="O2822" s="107">
        <v>136.5</v>
      </c>
      <c r="P2822" s="107">
        <v>138.30000000000001</v>
      </c>
      <c r="Q2822" s="107">
        <v>139.16999999999999</v>
      </c>
      <c r="R2822">
        <v>12319759</v>
      </c>
    </row>
    <row r="2823" spans="1:18" x14ac:dyDescent="0.25">
      <c r="A2823" s="130">
        <v>46163</v>
      </c>
      <c r="B2823">
        <v>141.69999999999999</v>
      </c>
      <c r="C2823">
        <v>139.19999999999999</v>
      </c>
      <c r="D2823">
        <v>138.85</v>
      </c>
      <c r="E2823">
        <v>141</v>
      </c>
      <c r="F2823">
        <v>139.19999999999999</v>
      </c>
      <c r="G2823">
        <v>321041</v>
      </c>
      <c r="H2823" s="107"/>
      <c r="I2823" s="107"/>
      <c r="L2823" s="130">
        <v>46163</v>
      </c>
      <c r="M2823" s="107">
        <v>139.22999999999999</v>
      </c>
      <c r="N2823" s="107">
        <v>141.69999999999999</v>
      </c>
      <c r="O2823" s="107">
        <v>138.80000000000001</v>
      </c>
      <c r="P2823" s="107">
        <v>141.25</v>
      </c>
      <c r="Q2823" s="107">
        <v>139.22999999999999</v>
      </c>
      <c r="R2823">
        <v>7439205</v>
      </c>
    </row>
    <row r="2824" spans="1:18" x14ac:dyDescent="0.25">
      <c r="A2824" s="130">
        <v>46164</v>
      </c>
      <c r="B2824">
        <v>140.19999999999999</v>
      </c>
      <c r="C2824">
        <v>140.1</v>
      </c>
      <c r="D2824">
        <v>139.15</v>
      </c>
      <c r="E2824">
        <v>139.65</v>
      </c>
      <c r="F2824">
        <v>140.1</v>
      </c>
      <c r="G2824">
        <v>331760</v>
      </c>
      <c r="H2824" s="107"/>
      <c r="I2824" s="107"/>
      <c r="L2824" s="130">
        <v>46164</v>
      </c>
      <c r="M2824" s="107">
        <v>139.91999999999999</v>
      </c>
      <c r="N2824" s="107">
        <v>140.19999999999999</v>
      </c>
      <c r="O2824" s="107">
        <v>139.1</v>
      </c>
      <c r="P2824" s="107">
        <v>139.5</v>
      </c>
      <c r="Q2824" s="107">
        <v>139.91999999999999</v>
      </c>
      <c r="R2824">
        <v>5789870</v>
      </c>
    </row>
    <row r="2825" spans="1:18" x14ac:dyDescent="0.25">
      <c r="A2825" s="130">
        <v>46167</v>
      </c>
      <c r="B2825">
        <v>146.4</v>
      </c>
      <c r="C2825">
        <v>146.05000000000001</v>
      </c>
      <c r="D2825">
        <v>141.4</v>
      </c>
      <c r="E2825">
        <v>141.4</v>
      </c>
      <c r="F2825">
        <v>146.05000000000001</v>
      </c>
      <c r="G2825">
        <v>861593</v>
      </c>
      <c r="H2825" s="107"/>
      <c r="I2825" s="107"/>
      <c r="L2825" s="130">
        <v>46167</v>
      </c>
      <c r="M2825" s="107">
        <v>146.01</v>
      </c>
      <c r="N2825" s="107">
        <v>146.5</v>
      </c>
      <c r="O2825" s="107">
        <v>141.15</v>
      </c>
      <c r="P2825" s="107">
        <v>141.6</v>
      </c>
      <c r="Q2825" s="107">
        <v>146.01</v>
      </c>
      <c r="R2825">
        <v>12177599</v>
      </c>
    </row>
    <row r="2826" spans="1:18" x14ac:dyDescent="0.25">
      <c r="A2826" s="130">
        <v>46168</v>
      </c>
      <c r="B2826">
        <v>147</v>
      </c>
      <c r="C2826">
        <v>145.05000000000001</v>
      </c>
      <c r="D2826">
        <v>144</v>
      </c>
      <c r="E2826">
        <v>146</v>
      </c>
      <c r="F2826">
        <v>145.05000000000001</v>
      </c>
      <c r="G2826">
        <v>857211</v>
      </c>
      <c r="H2826" s="107"/>
      <c r="I2826" s="107"/>
      <c r="L2826" s="130">
        <v>46168</v>
      </c>
      <c r="M2826" s="107">
        <v>144.99</v>
      </c>
      <c r="N2826" s="107">
        <v>147.01</v>
      </c>
      <c r="O2826" s="107">
        <v>144</v>
      </c>
      <c r="P2826" s="107">
        <v>146.01</v>
      </c>
      <c r="Q2826" s="107">
        <v>144.99</v>
      </c>
      <c r="R2826">
        <v>12544549</v>
      </c>
    </row>
    <row r="2827" spans="1:18" x14ac:dyDescent="0.25">
      <c r="A2827" s="130">
        <v>46169</v>
      </c>
      <c r="B2827">
        <v>147.5</v>
      </c>
      <c r="C2827">
        <v>147.05000000000001</v>
      </c>
      <c r="D2827">
        <v>145.05000000000001</v>
      </c>
      <c r="E2827">
        <v>145.19999999999999</v>
      </c>
      <c r="F2827">
        <v>147.05000000000001</v>
      </c>
      <c r="G2827">
        <v>1087304</v>
      </c>
      <c r="H2827" s="107"/>
      <c r="I2827" s="107"/>
      <c r="L2827" s="130">
        <v>46169</v>
      </c>
      <c r="M2827" s="107">
        <v>147</v>
      </c>
      <c r="N2827" s="107">
        <v>147.49</v>
      </c>
      <c r="O2827" s="107">
        <v>145.08000000000001</v>
      </c>
      <c r="P2827" s="107">
        <v>145.49</v>
      </c>
      <c r="Q2827" s="107">
        <v>147</v>
      </c>
      <c r="R2827">
        <v>12172304</v>
      </c>
    </row>
    <row r="2828" spans="1:18" x14ac:dyDescent="0.25">
      <c r="A2828" s="130">
        <v>46171</v>
      </c>
      <c r="B2828">
        <v>144.15</v>
      </c>
      <c r="C2828">
        <v>139.94999999999999</v>
      </c>
      <c r="D2828">
        <v>139.4</v>
      </c>
      <c r="E2828">
        <v>142.25</v>
      </c>
      <c r="F2828">
        <v>139.94999999999999</v>
      </c>
      <c r="G2828">
        <v>953279</v>
      </c>
      <c r="H2828" s="107"/>
      <c r="I2828" s="107"/>
      <c r="L2828" s="130">
        <v>46171</v>
      </c>
      <c r="M2828" s="107">
        <v>139.91</v>
      </c>
      <c r="N2828" s="107">
        <v>144.16</v>
      </c>
      <c r="O2828" s="107">
        <v>139.5</v>
      </c>
      <c r="P2828" s="107">
        <v>142.47999999999999</v>
      </c>
      <c r="Q2828" s="107">
        <v>139.91</v>
      </c>
      <c r="R2828">
        <v>12099858</v>
      </c>
    </row>
    <row r="2829" spans="1:18" x14ac:dyDescent="0.25">
      <c r="A2829" s="130">
        <v>46174</v>
      </c>
      <c r="B2829">
        <v>140.80000000000001</v>
      </c>
      <c r="C2829">
        <v>136.69999999999999</v>
      </c>
      <c r="D2829">
        <v>136.35</v>
      </c>
      <c r="E2829">
        <v>140.30000000000001</v>
      </c>
      <c r="F2829">
        <v>136.69999999999999</v>
      </c>
      <c r="G2829">
        <v>512443</v>
      </c>
      <c r="H2829" s="107"/>
      <c r="I2829" s="107"/>
      <c r="L2829" s="130">
        <v>46174</v>
      </c>
      <c r="M2829" s="107">
        <v>136.74</v>
      </c>
      <c r="N2829" s="107">
        <v>140.86000000000001</v>
      </c>
      <c r="O2829" s="107">
        <v>136.38999999999999</v>
      </c>
      <c r="P2829" s="107">
        <v>140.30000000000001</v>
      </c>
      <c r="Q2829" s="107">
        <v>136.74</v>
      </c>
      <c r="R2829">
        <v>7863805</v>
      </c>
    </row>
    <row r="2830" spans="1:18" x14ac:dyDescent="0.25">
      <c r="A2830" s="130">
        <v>46175</v>
      </c>
      <c r="B2830">
        <v>138.1</v>
      </c>
      <c r="C2830">
        <v>137.30000000000001</v>
      </c>
      <c r="D2830">
        <v>134.69999999999999</v>
      </c>
      <c r="E2830">
        <v>136.85</v>
      </c>
      <c r="F2830">
        <v>137.30000000000001</v>
      </c>
      <c r="G2830">
        <v>311784</v>
      </c>
      <c r="H2830" s="107"/>
      <c r="I2830" s="107"/>
      <c r="L2830" s="130">
        <v>46175</v>
      </c>
      <c r="M2830" s="107">
        <v>137.29</v>
      </c>
      <c r="N2830" s="107">
        <v>138.18</v>
      </c>
      <c r="O2830" s="107">
        <v>134.6</v>
      </c>
      <c r="P2830" s="107">
        <v>136.69999999999999</v>
      </c>
      <c r="Q2830" s="107">
        <v>137.29</v>
      </c>
      <c r="R2830">
        <v>7422302</v>
      </c>
    </row>
    <row r="2831" spans="1:18" x14ac:dyDescent="0.25">
      <c r="A2831" s="130">
        <v>46176</v>
      </c>
      <c r="B2831">
        <v>140.44999999999999</v>
      </c>
      <c r="C2831">
        <v>139.94999999999999</v>
      </c>
      <c r="D2831">
        <v>134.80000000000001</v>
      </c>
      <c r="E2831">
        <v>137.94999999999999</v>
      </c>
      <c r="F2831">
        <v>139.94999999999999</v>
      </c>
      <c r="G2831">
        <v>616060</v>
      </c>
      <c r="H2831" s="107"/>
      <c r="I2831" s="107"/>
      <c r="L2831" s="130">
        <v>46176</v>
      </c>
      <c r="M2831" s="107">
        <v>139.91999999999999</v>
      </c>
      <c r="N2831" s="107">
        <v>140.53</v>
      </c>
      <c r="O2831" s="107">
        <v>134.69999999999999</v>
      </c>
      <c r="P2831" s="107">
        <v>137.68</v>
      </c>
      <c r="Q2831" s="107">
        <v>139.91999999999999</v>
      </c>
      <c r="R2831">
        <v>7726413</v>
      </c>
    </row>
    <row r="2832" spans="1:18" x14ac:dyDescent="0.25">
      <c r="A2832" s="130">
        <v>46177</v>
      </c>
      <c r="B2832">
        <v>140.55000000000001</v>
      </c>
      <c r="C2832">
        <v>139.65</v>
      </c>
      <c r="D2832">
        <v>138.6</v>
      </c>
      <c r="E2832">
        <v>139.75</v>
      </c>
      <c r="F2832">
        <v>139.65</v>
      </c>
      <c r="G2832">
        <v>312644</v>
      </c>
      <c r="H2832" s="107"/>
      <c r="I2832" s="107"/>
      <c r="L2832" s="130">
        <v>46177</v>
      </c>
      <c r="M2832" s="107">
        <v>139.69</v>
      </c>
      <c r="N2832" s="107">
        <v>140.63</v>
      </c>
      <c r="O2832" s="107">
        <v>138.35</v>
      </c>
      <c r="P2832" s="107">
        <v>139.85</v>
      </c>
      <c r="Q2832" s="107">
        <v>139.69</v>
      </c>
      <c r="R2832">
        <v>6349575</v>
      </c>
    </row>
    <row r="2833" spans="1:18" x14ac:dyDescent="0.25">
      <c r="A2833" s="130">
        <v>46178</v>
      </c>
      <c r="B2833">
        <v>143.30000000000001</v>
      </c>
      <c r="C2833">
        <v>141.44999999999999</v>
      </c>
      <c r="D2833">
        <v>139.69999999999999</v>
      </c>
      <c r="E2833">
        <v>139.69999999999999</v>
      </c>
      <c r="F2833">
        <v>141.44999999999999</v>
      </c>
      <c r="G2833">
        <v>561525</v>
      </c>
      <c r="H2833" s="107"/>
      <c r="I2833" s="107"/>
      <c r="L2833" s="130">
        <v>46178</v>
      </c>
      <c r="M2833" s="107">
        <v>141.46</v>
      </c>
      <c r="N2833" s="107">
        <v>143.37</v>
      </c>
      <c r="O2833" s="107">
        <v>139.80000000000001</v>
      </c>
      <c r="P2833" s="107">
        <v>139.9</v>
      </c>
      <c r="Q2833" s="107">
        <v>141.46</v>
      </c>
      <c r="R2833">
        <v>12702704</v>
      </c>
    </row>
    <row r="2834" spans="1:18" x14ac:dyDescent="0.25">
      <c r="A2834" s="130">
        <v>46181</v>
      </c>
      <c r="B2834">
        <v>144.19999999999999</v>
      </c>
      <c r="C2834">
        <v>139.75</v>
      </c>
      <c r="D2834">
        <v>139.19999999999999</v>
      </c>
      <c r="E2834">
        <v>139.65</v>
      </c>
      <c r="F2834">
        <v>139.75</v>
      </c>
      <c r="G2834">
        <v>304765</v>
      </c>
      <c r="H2834" s="107"/>
      <c r="I2834" s="107"/>
      <c r="L2834" s="130">
        <v>46181</v>
      </c>
      <c r="M2834" s="107">
        <v>140.08000000000001</v>
      </c>
      <c r="N2834" s="107">
        <v>144.24</v>
      </c>
      <c r="O2834" s="107">
        <v>139.09</v>
      </c>
      <c r="P2834" s="107">
        <v>139.21</v>
      </c>
      <c r="Q2834" s="107">
        <v>140.08000000000001</v>
      </c>
      <c r="R2834">
        <v>7531562</v>
      </c>
    </row>
    <row r="2835" spans="1:18" x14ac:dyDescent="0.25">
      <c r="A2835" s="130">
        <v>46182</v>
      </c>
      <c r="B2835">
        <v>148</v>
      </c>
      <c r="C2835">
        <v>147.69999999999999</v>
      </c>
      <c r="D2835">
        <v>140.25</v>
      </c>
      <c r="E2835">
        <v>140.44999999999999</v>
      </c>
      <c r="F2835">
        <v>147.69999999999999</v>
      </c>
      <c r="G2835">
        <v>669049</v>
      </c>
      <c r="H2835" s="107"/>
      <c r="I2835" s="107"/>
      <c r="L2835" s="130">
        <v>46182</v>
      </c>
      <c r="M2835" s="107">
        <v>147.72</v>
      </c>
      <c r="N2835" s="107">
        <v>148</v>
      </c>
      <c r="O2835" s="107">
        <v>140.19999999999999</v>
      </c>
      <c r="P2835" s="107">
        <v>140.19999999999999</v>
      </c>
      <c r="Q2835" s="107">
        <v>147.72</v>
      </c>
      <c r="R2835">
        <v>22007536</v>
      </c>
    </row>
    <row r="2836" spans="1:18" x14ac:dyDescent="0.25">
      <c r="A2836" s="130">
        <v>46183</v>
      </c>
      <c r="B2836">
        <v>149.19999999999999</v>
      </c>
      <c r="C2836">
        <v>144.75</v>
      </c>
      <c r="D2836">
        <v>144.19999999999999</v>
      </c>
      <c r="E2836">
        <v>147.55000000000001</v>
      </c>
      <c r="F2836">
        <v>144.75</v>
      </c>
      <c r="G2836">
        <v>519520</v>
      </c>
      <c r="H2836" s="107"/>
      <c r="I2836" s="107"/>
      <c r="L2836" s="130">
        <v>46183</v>
      </c>
      <c r="M2836" s="107">
        <v>144.86000000000001</v>
      </c>
      <c r="N2836" s="107">
        <v>149.19</v>
      </c>
      <c r="O2836" s="107">
        <v>144.15</v>
      </c>
      <c r="P2836" s="107">
        <v>147.32</v>
      </c>
      <c r="Q2836" s="107">
        <v>144.86000000000001</v>
      </c>
      <c r="R2836">
        <v>12647039</v>
      </c>
    </row>
    <row r="2837" spans="1:18" x14ac:dyDescent="0.25">
      <c r="A2837" s="130">
        <v>46184</v>
      </c>
      <c r="B2837">
        <v>144.55000000000001</v>
      </c>
      <c r="C2837">
        <v>141.5</v>
      </c>
      <c r="D2837">
        <v>140.19999999999999</v>
      </c>
      <c r="E2837">
        <v>144.5</v>
      </c>
      <c r="F2837">
        <v>141.5</v>
      </c>
      <c r="G2837">
        <v>300285</v>
      </c>
      <c r="H2837" s="107"/>
      <c r="I2837" s="107"/>
      <c r="L2837" s="130">
        <v>46184</v>
      </c>
      <c r="M2837" s="107">
        <v>141.38</v>
      </c>
      <c r="N2837" s="107">
        <v>144.4</v>
      </c>
      <c r="O2837" s="107">
        <v>140.21</v>
      </c>
      <c r="P2837" s="107">
        <v>144.4</v>
      </c>
      <c r="Q2837" s="107">
        <v>141.38</v>
      </c>
      <c r="R2837">
        <v>11181743</v>
      </c>
    </row>
    <row r="2838" spans="1:18" x14ac:dyDescent="0.25">
      <c r="A2838" s="130">
        <v>46185</v>
      </c>
      <c r="B2838">
        <v>145.9</v>
      </c>
      <c r="C2838">
        <v>145.6</v>
      </c>
      <c r="D2838">
        <v>142</v>
      </c>
      <c r="E2838">
        <v>143.4</v>
      </c>
      <c r="F2838">
        <v>145.6</v>
      </c>
      <c r="G2838">
        <v>520449</v>
      </c>
      <c r="H2838" s="107"/>
      <c r="I2838" s="107"/>
      <c r="L2838" s="130">
        <v>46185</v>
      </c>
      <c r="M2838" s="107">
        <v>145.68</v>
      </c>
      <c r="N2838" s="107">
        <v>145.94999999999999</v>
      </c>
      <c r="O2838" s="107">
        <v>141.91</v>
      </c>
      <c r="P2838" s="107">
        <v>144</v>
      </c>
      <c r="Q2838" s="107">
        <v>145.68</v>
      </c>
      <c r="R2838">
        <v>9184204</v>
      </c>
    </row>
    <row r="2839" spans="1:18" x14ac:dyDescent="0.25">
      <c r="H2839" s="107"/>
      <c r="I2839" s="107"/>
    </row>
    <row r="2840" spans="1:18" x14ac:dyDescent="0.25">
      <c r="H2840" s="107"/>
      <c r="I2840" s="107"/>
    </row>
    <row r="2841" spans="1:18" x14ac:dyDescent="0.25">
      <c r="H2841" s="107"/>
      <c r="I2841" s="107"/>
    </row>
    <row r="2842" spans="1:18" x14ac:dyDescent="0.25">
      <c r="H2842" s="107"/>
      <c r="I2842" s="107"/>
    </row>
    <row r="2843" spans="1:18" x14ac:dyDescent="0.25">
      <c r="H2843" s="107"/>
      <c r="I2843" s="107"/>
    </row>
    <row r="2844" spans="1:18" x14ac:dyDescent="0.25">
      <c r="H2844" s="107"/>
      <c r="I2844" s="107"/>
    </row>
    <row r="2845" spans="1:18" x14ac:dyDescent="0.25">
      <c r="H2845" s="107"/>
      <c r="I2845" s="107"/>
    </row>
    <row r="2846" spans="1:18" x14ac:dyDescent="0.25">
      <c r="H2846" s="107"/>
      <c r="I2846" s="107"/>
    </row>
    <row r="2847" spans="1:18" x14ac:dyDescent="0.25">
      <c r="H2847" s="107"/>
      <c r="I2847" s="107"/>
    </row>
    <row r="2848" spans="1:18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132149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55</v>
      </c>
      <c r="B4" t="s">
        <v>56</v>
      </c>
    </row>
    <row r="5" spans="1:62" x14ac:dyDescent="0.25">
      <c r="A5" t="s">
        <v>214</v>
      </c>
      <c r="B5" t="s">
        <v>245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59</v>
      </c>
      <c r="B6" t="s">
        <v>246</v>
      </c>
      <c r="C6" cm="1">
        <f t="array" ref="C6">+_xll.EQNXTDZ($A$1,$B6,C$2)</f>
        <v>10818.59</v>
      </c>
      <c r="D6" cm="1">
        <f t="array" ref="D6">+_xll.EQNXTDZ($A$1,$B6,D$2)</f>
        <v>10539.87</v>
      </c>
      <c r="E6" cm="1">
        <f t="array" ref="E6">+_xll.EQNXTDZ($A$1,$B6,E$2)</f>
        <v>10039.68</v>
      </c>
      <c r="F6" cm="1">
        <f t="array" ref="F6">+_xll.EQNXTDZ($A$1,$B6,F$2)</f>
        <v>10501.32</v>
      </c>
      <c r="G6" cm="1">
        <f t="array" ref="G6">+_xll.EQNXTDZ($A$1,$B6,G$2)</f>
        <v>9425.93</v>
      </c>
      <c r="H6" cm="1">
        <f t="array" ref="H6">+_xll.EQNXTDZ($A$1,$B6,H$2)</f>
        <v>9458.48</v>
      </c>
      <c r="I6" cm="1">
        <f t="array" ref="I6">+_xll.EQNXTDZ($A$1,$B6,I$2)</f>
        <v>9824.75</v>
      </c>
      <c r="J6" cm="1">
        <f t="array" ref="J6">+_xll.EQNXTDZ($A$1,$B6,J$2)</f>
        <v>10581.69</v>
      </c>
      <c r="K6" cm="1">
        <f t="array" ref="K6">+_xll.EQNXTDZ($A$1,$B6,K$2)</f>
        <v>9495.65</v>
      </c>
      <c r="L6" cm="1">
        <f t="array" ref="L6">+_xll.EQNXTDZ($A$1,$B6,L$2)</f>
        <v>9894.09</v>
      </c>
      <c r="M6" cm="1">
        <f t="array" ref="M6">+_xll.EQNXTDZ($A$1,$B6,M$2)</f>
        <v>9334.84</v>
      </c>
      <c r="N6" cm="1">
        <f t="array" ref="N6">+_xll.EQNXTDZ($A$1,$B6,N$2)</f>
        <v>9346.84</v>
      </c>
      <c r="O6" cm="1">
        <f t="array" ref="O6">+_xll.EQNXTDZ($A$1,$B6,O$2)</f>
        <v>10012.86</v>
      </c>
      <c r="P6" cm="1">
        <f t="array" ref="P6">+_xll.EQNXTDZ($A$1,$B6,P$2)</f>
        <v>9769.82</v>
      </c>
      <c r="Q6" cm="1">
        <f t="array" ref="Q6">+_xll.EQNXTDZ($A$1,$B6,Q$2)</f>
        <v>10171.01</v>
      </c>
      <c r="R6" cm="1">
        <f t="array" ref="R6">+_xll.EQNXTDZ($A$1,$B6,R$2)</f>
        <v>10814.12</v>
      </c>
      <c r="S6" cm="1">
        <f t="array" ref="S6">+_xll.EQNXTDZ($A$1,$B6,S$2)</f>
        <v>10332.17</v>
      </c>
      <c r="T6" cm="1">
        <f t="array" ref="T6">+_xll.EQNXTDZ($A$1,$B6,T$2)</f>
        <v>10658.14</v>
      </c>
      <c r="U6" cm="1">
        <f t="array" ref="U6">+_xll.EQNXTDZ($A$1,$B6,U$2)</f>
        <v>10834.92</v>
      </c>
      <c r="V6" cm="1">
        <f t="array" ref="V6">+_xll.EQNXTDZ($A$1,$B6,V$2)</f>
        <v>10528.02</v>
      </c>
      <c r="W6" cm="1">
        <f t="array" ref="W6">+_xll.EQNXTDZ($A$1,$B6,W$2)</f>
        <v>10234.24</v>
      </c>
      <c r="X6" cm="1">
        <f t="array" ref="X6">+_xll.EQNXTDZ($A$1,$B6,X$2)</f>
        <v>10795.51</v>
      </c>
      <c r="Y6" cm="1">
        <f t="array" ref="Y6">+_xll.EQNXTDZ($A$1,$B6,Y$2)</f>
        <v>10243.1</v>
      </c>
      <c r="Z6" cm="1">
        <f t="array" ref="Z6">+_xll.EQNXTDZ($A$1,$B6,Z$2)</f>
        <v>9326.6</v>
      </c>
      <c r="AA6" cm="1">
        <f t="array" ref="AA6">+_xll.EQNXTDZ($A$1,$B6,AA$2)</f>
        <v>9321.31</v>
      </c>
      <c r="AB6" cm="1">
        <f t="array" ref="AB6">+_xll.EQNXTDZ($A$1,$B6,AB$2)</f>
        <v>9522.31</v>
      </c>
      <c r="AC6" cm="1">
        <f t="array" ref="AC6">+_xll.EQNXTDZ($A$1,$B6,AC$2)</f>
        <v>9375.92</v>
      </c>
      <c r="AD6" cm="1">
        <f t="array" ref="AD6">+_xll.EQNXTDZ($A$1,$B6,AD$2)</f>
        <v>9856.2800000000007</v>
      </c>
      <c r="AE6" cm="1">
        <f t="array" ref="AE6">+_xll.EQNXTDZ($A$1,$B6,AE$2)</f>
        <v>9972.64</v>
      </c>
      <c r="AF6" cm="1">
        <f t="array" ref="AF6">+_xll.EQNXTDZ($A$1,$B6,AF$2)</f>
        <v>11497.4</v>
      </c>
      <c r="AG6" cm="1">
        <f t="array" ref="AG6">+_xll.EQNXTDZ($A$1,$B6,AG$2)</f>
        <v>12727.75</v>
      </c>
      <c r="AH6" cm="1">
        <f t="array" ref="AH6">+_xll.EQNXTDZ($A$1,$B6,AH$2)</f>
        <v>13449.93</v>
      </c>
      <c r="AI6" cm="1">
        <f t="array" ref="AI6">+_xll.EQNXTDZ($A$1,$B6,AI$2)</f>
        <v>14358.63</v>
      </c>
      <c r="AJ6" cm="1">
        <f t="array" ref="AJ6">+_xll.EQNXTDZ($A$1,$B6,AJ$2)</f>
        <v>14971.18</v>
      </c>
      <c r="AK6" cm="1">
        <f t="array" ref="AK6">+_xll.EQNXTDZ($A$1,$B6,AK$2)</f>
        <v>15217.98</v>
      </c>
      <c r="AL6" cm="1">
        <f t="array" ref="AL6">+_xll.EQNXTDZ($A$1,$B6,AL$2)</f>
        <v>16161.7</v>
      </c>
      <c r="AM6" cm="1">
        <f t="array" ref="AM6">+_xll.EQNXTDZ($A$1,$B6,AM$2)</f>
        <v>16938.02</v>
      </c>
      <c r="AN6" cm="1">
        <f t="array" ref="AN6">+_xll.EQNXTDZ($A$1,$B6,AN$2)</f>
        <v>17354.55</v>
      </c>
      <c r="AO6" cm="1">
        <f t="array" ref="AO6">+_xll.EQNXTDZ($A$1,$B6,AO$2)</f>
        <v>18210.52</v>
      </c>
      <c r="AP6" cm="1">
        <f t="array" ref="AP6">+_xll.EQNXTDZ($A$1,$B6,AP$2)</f>
        <v>18323.21</v>
      </c>
      <c r="AQ6" cm="1">
        <f t="array" ref="AQ6">+_xll.EQNXTDZ($A$1,$B6,AQ$2)</f>
        <v>18352.189999999999</v>
      </c>
      <c r="AR6" cm="1">
        <f t="array" ref="AR6">+_xll.EQNXTDZ($A$1,$B6,AR$2)</f>
        <v>18406.09</v>
      </c>
      <c r="AS6" cm="1">
        <f t="array" ref="AS6">+_xll.EQNXTDZ($A$1,$B6,AS$2)</f>
        <v>18927.13</v>
      </c>
      <c r="AT6" cm="1">
        <f t="array" ref="AT6">+_xll.EQNXTDZ($A$1,$B6,AT$2)</f>
        <v>19475.86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247</v>
      </c>
      <c r="C7" cm="1">
        <f t="array" ref="C7">+_xll.EQNXTDZ($A$1,$B7,C$2)</f>
        <v>840.57</v>
      </c>
      <c r="D7" cm="1">
        <f t="array" ref="D7">+_xll.EQNXTDZ($A$1,$B7,D$2)</f>
        <v>778.1</v>
      </c>
      <c r="E7" cm="1">
        <f t="array" ref="E7">+_xll.EQNXTDZ($A$1,$B7,E$2)</f>
        <v>1047.27</v>
      </c>
      <c r="F7" cm="1">
        <f t="array" ref="F7">+_xll.EQNXTDZ($A$1,$B7,F$2)</f>
        <v>883.59</v>
      </c>
      <c r="G7" cm="1">
        <f t="array" ref="G7">+_xll.EQNXTDZ($A$1,$B7,G$2)</f>
        <v>1238.43</v>
      </c>
      <c r="H7" cm="1">
        <f t="array" ref="H7">+_xll.EQNXTDZ($A$1,$B7,H$2)</f>
        <v>2010.63</v>
      </c>
      <c r="I7" cm="1">
        <f t="array" ref="I7">+_xll.EQNXTDZ($A$1,$B7,I$2)</f>
        <v>1769.25</v>
      </c>
      <c r="J7" cm="1">
        <f t="array" ref="J7">+_xll.EQNXTDZ($A$1,$B7,J$2)</f>
        <v>1754.02</v>
      </c>
      <c r="K7" cm="1">
        <f t="array" ref="K7">+_xll.EQNXTDZ($A$1,$B7,K$2)</f>
        <v>1610.96</v>
      </c>
      <c r="L7" cm="1">
        <f t="array" ref="L7">+_xll.EQNXTDZ($A$1,$B7,L$2)</f>
        <v>1706.38</v>
      </c>
      <c r="M7" cm="1">
        <f t="array" ref="M7">+_xll.EQNXTDZ($A$1,$B7,M$2)</f>
        <v>1041.19</v>
      </c>
      <c r="N7" cm="1">
        <f t="array" ref="N7">+_xll.EQNXTDZ($A$1,$B7,N$2)</f>
        <v>1375.23</v>
      </c>
      <c r="O7" cm="1">
        <f t="array" ref="O7">+_xll.EQNXTDZ($A$1,$B7,O$2)</f>
        <v>618.16</v>
      </c>
      <c r="P7" cm="1">
        <f t="array" ref="P7">+_xll.EQNXTDZ($A$1,$B7,P$2)</f>
        <v>1030.42</v>
      </c>
      <c r="Q7" cm="1">
        <f t="array" ref="Q7">+_xll.EQNXTDZ($A$1,$B7,Q$2)</f>
        <v>1530.83</v>
      </c>
      <c r="R7" cm="1">
        <f t="array" ref="R7">+_xll.EQNXTDZ($A$1,$B7,R$2)</f>
        <v>1479.47</v>
      </c>
      <c r="S7" cm="1">
        <f t="array" ref="S7">+_xll.EQNXTDZ($A$1,$B7,S$2)</f>
        <v>1194.78</v>
      </c>
      <c r="T7" cm="1">
        <f t="array" ref="T7">+_xll.EQNXTDZ($A$1,$B7,T$2)</f>
        <v>1327.36</v>
      </c>
      <c r="U7" cm="1">
        <f t="array" ref="U7">+_xll.EQNXTDZ($A$1,$B7,U$2)</f>
        <v>2503.17</v>
      </c>
      <c r="V7" cm="1">
        <f t="array" ref="V7">+_xll.EQNXTDZ($A$1,$B7,V$2)</f>
        <v>1687.76</v>
      </c>
      <c r="W7" cm="1">
        <f t="array" ref="W7">+_xll.EQNXTDZ($A$1,$B7,W$2)</f>
        <v>1707.28</v>
      </c>
      <c r="X7" cm="1">
        <f t="array" ref="X7">+_xll.EQNXTDZ($A$1,$B7,X$2)</f>
        <v>1346.01</v>
      </c>
      <c r="Y7" cm="1">
        <f t="array" ref="Y7">+_xll.EQNXTDZ($A$1,$B7,Y$2)</f>
        <v>1897.34</v>
      </c>
      <c r="Z7" cm="1">
        <f t="array" ref="Z7">+_xll.EQNXTDZ($A$1,$B7,Z$2)</f>
        <v>1828.93</v>
      </c>
      <c r="AA7" cm="1">
        <f t="array" ref="AA7">+_xll.EQNXTDZ($A$1,$B7,AA$2)</f>
        <v>2320.06</v>
      </c>
      <c r="AB7" cm="1">
        <f t="array" ref="AB7">+_xll.EQNXTDZ($A$1,$B7,AB$2)</f>
        <v>2136.2800000000002</v>
      </c>
      <c r="AC7" cm="1">
        <f t="array" ref="AC7">+_xll.EQNXTDZ($A$1,$B7,AC$2)</f>
        <v>1835.22</v>
      </c>
      <c r="AD7" cm="1">
        <f t="array" ref="AD7">+_xll.EQNXTDZ($A$1,$B7,AD$2)</f>
        <v>1587.18</v>
      </c>
      <c r="AE7" cm="1">
        <f t="array" ref="AE7">+_xll.EQNXTDZ($A$1,$B7,AE$2)</f>
        <v>1151.72</v>
      </c>
      <c r="AF7" cm="1">
        <f t="array" ref="AF7">+_xll.EQNXTDZ($A$1,$B7,AF$2)</f>
        <v>1417.32</v>
      </c>
      <c r="AG7" cm="1">
        <f t="array" ref="AG7">+_xll.EQNXTDZ($A$1,$B7,AG$2)</f>
        <v>1431.85</v>
      </c>
      <c r="AH7" cm="1">
        <f t="array" ref="AH7">+_xll.EQNXTDZ($A$1,$B7,AH$2)</f>
        <v>3099</v>
      </c>
      <c r="AI7" cm="1">
        <f t="array" ref="AI7">+_xll.EQNXTDZ($A$1,$B7,AI$2)</f>
        <v>1462.45</v>
      </c>
      <c r="AJ7" cm="1">
        <f t="array" ref="AJ7">+_xll.EQNXTDZ($A$1,$B7,AJ$2)</f>
        <v>1687.95</v>
      </c>
      <c r="AK7" cm="1">
        <f t="array" ref="AK7">+_xll.EQNXTDZ($A$1,$B7,AK$2)</f>
        <v>1193.1199999999999</v>
      </c>
      <c r="AL7" cm="1">
        <f t="array" ref="AL7">+_xll.EQNXTDZ($A$1,$B7,AL$2)</f>
        <v>1751.33</v>
      </c>
      <c r="AM7" cm="1">
        <f t="array" ref="AM7">+_xll.EQNXTDZ($A$1,$B7,AM$2)</f>
        <v>1302</v>
      </c>
      <c r="AN7" cm="1">
        <f t="array" ref="AN7">+_xll.EQNXTDZ($A$1,$B7,AN$2)</f>
        <v>2517.65</v>
      </c>
      <c r="AO7" cm="1">
        <f t="array" ref="AO7">+_xll.EQNXTDZ($A$1,$B7,AO$2)</f>
        <v>1746.38</v>
      </c>
      <c r="AP7" cm="1">
        <f t="array" ref="AP7">+_xll.EQNXTDZ($A$1,$B7,AP$2)</f>
        <v>3427.59</v>
      </c>
      <c r="AQ7" cm="1">
        <f t="array" ref="AQ7">+_xll.EQNXTDZ($A$1,$B7,AQ$2)</f>
        <v>2166.1</v>
      </c>
      <c r="AR7" cm="1">
        <f t="array" ref="AR7">+_xll.EQNXTDZ($A$1,$B7,AR$2)</f>
        <v>2219.83</v>
      </c>
      <c r="AS7" cm="1">
        <f t="array" ref="AS7">+_xll.EQNXTDZ($A$1,$B7,AS$2)</f>
        <v>2278.8200000000002</v>
      </c>
      <c r="AT7" cm="1">
        <f t="array" ref="AT7">+_xll.EQNXTDZ($A$1,$B7,AT$2)</f>
        <v>3209.52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60</v>
      </c>
      <c r="B8" t="s">
        <v>248</v>
      </c>
      <c r="C8" cm="1">
        <f t="array" ref="C8">+_xll.EQNXTDZ($A$1,$B8,C$2)</f>
        <v>11659.16</v>
      </c>
      <c r="D8" cm="1">
        <f t="array" ref="D8">+_xll.EQNXTDZ($A$1,$B8,D$2)</f>
        <v>11317.97</v>
      </c>
      <c r="E8" cm="1">
        <f t="array" ref="E8">+_xll.EQNXTDZ($A$1,$B8,E$2)</f>
        <v>11086.95</v>
      </c>
      <c r="F8" cm="1">
        <f t="array" ref="F8">+_xll.EQNXTDZ($A$1,$B8,F$2)</f>
        <v>11384.91</v>
      </c>
      <c r="G8" cm="1">
        <f t="array" ref="G8">+_xll.EQNXTDZ($A$1,$B8,G$2)</f>
        <v>10664.36</v>
      </c>
      <c r="H8" cm="1">
        <f t="array" ref="H8">+_xll.EQNXTDZ($A$1,$B8,H$2)</f>
        <v>11469.11</v>
      </c>
      <c r="I8" cm="1">
        <f t="array" ref="I8">+_xll.EQNXTDZ($A$1,$B8,I$2)</f>
        <v>11594</v>
      </c>
      <c r="J8" cm="1">
        <f t="array" ref="J8">+_xll.EQNXTDZ($A$1,$B8,J$2)</f>
        <v>12335.71</v>
      </c>
      <c r="K8" cm="1">
        <f t="array" ref="K8">+_xll.EQNXTDZ($A$1,$B8,K$2)</f>
        <v>11106.61</v>
      </c>
      <c r="L8" cm="1">
        <f t="array" ref="L8">+_xll.EQNXTDZ($A$1,$B8,L$2)</f>
        <v>11600.47</v>
      </c>
      <c r="M8" cm="1">
        <f t="array" ref="M8">+_xll.EQNXTDZ($A$1,$B8,M$2)</f>
        <v>10376.030000000001</v>
      </c>
      <c r="N8" cm="1">
        <f t="array" ref="N8">+_xll.EQNXTDZ($A$1,$B8,N$2)</f>
        <v>10722.07</v>
      </c>
      <c r="O8" cm="1">
        <f t="array" ref="O8">+_xll.EQNXTDZ($A$1,$B8,O$2)</f>
        <v>10631.02</v>
      </c>
      <c r="P8" cm="1">
        <f t="array" ref="P8">+_xll.EQNXTDZ($A$1,$B8,P$2)</f>
        <v>10800.24</v>
      </c>
      <c r="Q8" cm="1">
        <f t="array" ref="Q8">+_xll.EQNXTDZ($A$1,$B8,Q$2)</f>
        <v>11701.84</v>
      </c>
      <c r="R8" cm="1">
        <f t="array" ref="R8">+_xll.EQNXTDZ($A$1,$B8,R$2)</f>
        <v>12293.59</v>
      </c>
      <c r="S8" cm="1">
        <f t="array" ref="S8">+_xll.EQNXTDZ($A$1,$B8,S$2)</f>
        <v>11526.95</v>
      </c>
      <c r="T8" cm="1">
        <f t="array" ref="T8">+_xll.EQNXTDZ($A$1,$B8,T$2)</f>
        <v>11985.5</v>
      </c>
      <c r="U8" cm="1">
        <f t="array" ref="U8">+_xll.EQNXTDZ($A$1,$B8,U$2)</f>
        <v>13338.09</v>
      </c>
      <c r="V8" cm="1">
        <f t="array" ref="V8">+_xll.EQNXTDZ($A$1,$B8,V$2)</f>
        <v>12215.78</v>
      </c>
      <c r="W8" cm="1">
        <f t="array" ref="W8">+_xll.EQNXTDZ($A$1,$B8,W$2)</f>
        <v>11941.52</v>
      </c>
      <c r="X8" cm="1">
        <f t="array" ref="X8">+_xll.EQNXTDZ($A$1,$B8,X$2)</f>
        <v>12141.52</v>
      </c>
      <c r="Y8" cm="1">
        <f t="array" ref="Y8">+_xll.EQNXTDZ($A$1,$B8,Y$2)</f>
        <v>12140.44</v>
      </c>
      <c r="Z8" cm="1">
        <f t="array" ref="Z8">+_xll.EQNXTDZ($A$1,$B8,Z$2)</f>
        <v>11155.53</v>
      </c>
      <c r="AA8" cm="1">
        <f t="array" ref="AA8">+_xll.EQNXTDZ($A$1,$B8,AA$2)</f>
        <v>11641.37</v>
      </c>
      <c r="AB8" cm="1">
        <f t="array" ref="AB8">+_xll.EQNXTDZ($A$1,$B8,AB$2)</f>
        <v>11658.59</v>
      </c>
      <c r="AC8" cm="1">
        <f t="array" ref="AC8">+_xll.EQNXTDZ($A$1,$B8,AC$2)</f>
        <v>11211.14</v>
      </c>
      <c r="AD8" cm="1">
        <f t="array" ref="AD8">+_xll.EQNXTDZ($A$1,$B8,AD$2)</f>
        <v>11443.46</v>
      </c>
      <c r="AE8" cm="1">
        <f t="array" ref="AE8">+_xll.EQNXTDZ($A$1,$B8,AE$2)</f>
        <v>11124.36</v>
      </c>
      <c r="AF8" cm="1">
        <f t="array" ref="AF8">+_xll.EQNXTDZ($A$1,$B8,AF$2)</f>
        <v>12914.72</v>
      </c>
      <c r="AG8" cm="1">
        <f t="array" ref="AG8">+_xll.EQNXTDZ($A$1,$B8,AG$2)</f>
        <v>14159.6</v>
      </c>
      <c r="AH8" cm="1">
        <f t="array" ref="AH8">+_xll.EQNXTDZ($A$1,$B8,AH$2)</f>
        <v>16548.93</v>
      </c>
      <c r="AI8" cm="1">
        <f t="array" ref="AI8">+_xll.EQNXTDZ($A$1,$B8,AI$2)</f>
        <v>15821.08</v>
      </c>
      <c r="AJ8" cm="1">
        <f t="array" ref="AJ8">+_xll.EQNXTDZ($A$1,$B8,AJ$2)</f>
        <v>16659.13</v>
      </c>
      <c r="AK8" cm="1">
        <f t="array" ref="AK8">+_xll.EQNXTDZ($A$1,$B8,AK$2)</f>
        <v>16411.099999999999</v>
      </c>
      <c r="AL8" cm="1">
        <f t="array" ref="AL8">+_xll.EQNXTDZ($A$1,$B8,AL$2)</f>
        <v>17913.03</v>
      </c>
      <c r="AM8" cm="1">
        <f t="array" ref="AM8">+_xll.EQNXTDZ($A$1,$B8,AM$2)</f>
        <v>18240.02</v>
      </c>
      <c r="AN8" cm="1">
        <f t="array" ref="AN8">+_xll.EQNXTDZ($A$1,$B8,AN$2)</f>
        <v>19872.2</v>
      </c>
      <c r="AO8" cm="1">
        <f t="array" ref="AO8">+_xll.EQNXTDZ($A$1,$B8,AO$2)</f>
        <v>19956.900000000001</v>
      </c>
      <c r="AP8" cm="1">
        <f t="array" ref="AP8">+_xll.EQNXTDZ($A$1,$B8,AP$2)</f>
        <v>21750.799999999999</v>
      </c>
      <c r="AQ8" cm="1">
        <f t="array" ref="AQ8">+_xll.EQNXTDZ($A$1,$B8,AQ$2)</f>
        <v>20518.29</v>
      </c>
      <c r="AR8" cm="1">
        <f t="array" ref="AR8">+_xll.EQNXTDZ($A$1,$B8,AR$2)</f>
        <v>20625.919999999998</v>
      </c>
      <c r="AS8" cm="1">
        <f t="array" ref="AS8">+_xll.EQNXTDZ($A$1,$B8,AS$2)</f>
        <v>21205.95</v>
      </c>
      <c r="AT8" cm="1">
        <f t="array" ref="AT8">+_xll.EQNXTDZ($A$1,$B8,AT$2)</f>
        <v>22685.38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61</v>
      </c>
      <c r="B9" t="s">
        <v>249</v>
      </c>
      <c r="C9" cm="1">
        <f t="array" ref="C9">+_xll.EQNXTDZ($A$1,$B9,C$2)</f>
        <v>7905.91</v>
      </c>
      <c r="D9" cm="1">
        <f t="array" ref="D9">+_xll.EQNXTDZ($A$1,$B9,D$2)</f>
        <v>7520.13</v>
      </c>
      <c r="E9" cm="1">
        <f t="array" ref="E9">+_xll.EQNXTDZ($A$1,$B9,E$2)</f>
        <v>7331.64</v>
      </c>
      <c r="F9" cm="1">
        <f t="array" ref="F9">+_xll.EQNXTDZ($A$1,$B9,F$2)</f>
        <v>7314.16</v>
      </c>
      <c r="G9" cm="1">
        <f t="array" ref="G9">+_xll.EQNXTDZ($A$1,$B9,G$2)</f>
        <v>6650.76</v>
      </c>
      <c r="H9" cm="1">
        <f t="array" ref="H9">+_xll.EQNXTDZ($A$1,$B9,H$2)</f>
        <v>6738.74</v>
      </c>
      <c r="I9" cm="1">
        <f t="array" ref="I9">+_xll.EQNXTDZ($A$1,$B9,I$2)</f>
        <v>6962.14</v>
      </c>
      <c r="J9" cm="1">
        <f t="array" ref="J9">+_xll.EQNXTDZ($A$1,$B9,J$2)</f>
        <v>7113.11</v>
      </c>
      <c r="K9" cm="1">
        <f t="array" ref="K9">+_xll.EQNXTDZ($A$1,$B9,K$2)</f>
        <v>6962.62</v>
      </c>
      <c r="L9" cm="1">
        <f t="array" ref="L9">+_xll.EQNXTDZ($A$1,$B9,L$2)</f>
        <v>6985.85</v>
      </c>
      <c r="M9" cm="1">
        <f t="array" ref="M9">+_xll.EQNXTDZ($A$1,$B9,M$2)</f>
        <v>6833.61</v>
      </c>
      <c r="N9" cm="1">
        <f t="array" ref="N9">+_xll.EQNXTDZ($A$1,$B9,N$2)</f>
        <v>6782.99</v>
      </c>
      <c r="O9" cm="1">
        <f t="array" ref="O9">+_xll.EQNXTDZ($A$1,$B9,O$2)</f>
        <v>6658.56</v>
      </c>
      <c r="P9" cm="1">
        <f t="array" ref="P9">+_xll.EQNXTDZ($A$1,$B9,P$2)</f>
        <v>6843.03</v>
      </c>
      <c r="Q9" cm="1">
        <f t="array" ref="Q9">+_xll.EQNXTDZ($A$1,$B9,Q$2)</f>
        <v>6838.83</v>
      </c>
      <c r="R9" cm="1">
        <f t="array" ref="R9">+_xll.EQNXTDZ($A$1,$B9,R$2)</f>
        <v>6769.72</v>
      </c>
      <c r="S9" cm="1">
        <f t="array" ref="S9">+_xll.EQNXTDZ($A$1,$B9,S$2)</f>
        <v>6846.75</v>
      </c>
      <c r="T9" cm="1">
        <f t="array" ref="T9">+_xll.EQNXTDZ($A$1,$B9,T$2)</f>
        <v>6797.68</v>
      </c>
      <c r="U9" cm="1">
        <f t="array" ref="U9">+_xll.EQNXTDZ($A$1,$B9,U$2)</f>
        <v>6716.89</v>
      </c>
      <c r="V9" cm="1">
        <f t="array" ref="V9">+_xll.EQNXTDZ($A$1,$B9,V$2)</f>
        <v>6734.97</v>
      </c>
      <c r="W9" cm="1">
        <f t="array" ref="W9">+_xll.EQNXTDZ($A$1,$B9,W$2)</f>
        <v>6753.1</v>
      </c>
      <c r="X9" cm="1">
        <f t="array" ref="X9">+_xll.EQNXTDZ($A$1,$B9,X$2)</f>
        <v>6682.21</v>
      </c>
      <c r="Y9" cm="1">
        <f t="array" ref="Y9">+_xll.EQNXTDZ($A$1,$B9,Y$2)</f>
        <v>6503.56</v>
      </c>
      <c r="Z9" cm="1">
        <f t="array" ref="Z9">+_xll.EQNXTDZ($A$1,$B9,Z$2)</f>
        <v>6390.74</v>
      </c>
      <c r="AA9" cm="1">
        <f t="array" ref="AA9">+_xll.EQNXTDZ($A$1,$B9,AA$2)</f>
        <v>6176.7</v>
      </c>
      <c r="AB9" cm="1">
        <f t="array" ref="AB9">+_xll.EQNXTDZ($A$1,$B9,AB$2)</f>
        <v>5998.83</v>
      </c>
      <c r="AC9" cm="1">
        <f t="array" ref="AC9">+_xll.EQNXTDZ($A$1,$B9,AC$2)</f>
        <v>5968.02</v>
      </c>
      <c r="AD9" cm="1">
        <f t="array" ref="AD9">+_xll.EQNXTDZ($A$1,$B9,AD$2)</f>
        <v>5870.18</v>
      </c>
      <c r="AE9" cm="1">
        <f t="array" ref="AE9">+_xll.EQNXTDZ($A$1,$B9,AE$2)</f>
        <v>5900.21</v>
      </c>
      <c r="AF9" cm="1">
        <f t="array" ref="AF9">+_xll.EQNXTDZ($A$1,$B9,AF$2)</f>
        <v>6413.8</v>
      </c>
      <c r="AG9" cm="1">
        <f t="array" ref="AG9">+_xll.EQNXTDZ($A$1,$B9,AG$2)</f>
        <v>7132.72</v>
      </c>
      <c r="AH9" cm="1">
        <f t="array" ref="AH9">+_xll.EQNXTDZ($A$1,$B9,AH$2)</f>
        <v>7926.09</v>
      </c>
      <c r="AI9" cm="1">
        <f t="array" ref="AI9">+_xll.EQNXTDZ($A$1,$B9,AI$2)</f>
        <v>8444.6</v>
      </c>
      <c r="AJ9" cm="1">
        <f t="array" ref="AJ9">+_xll.EQNXTDZ($A$1,$B9,AJ$2)</f>
        <v>9231.67</v>
      </c>
      <c r="AK9" cm="1">
        <f t="array" ref="AK9">+_xll.EQNXTDZ($A$1,$B9,AK$2)</f>
        <v>9754.51</v>
      </c>
      <c r="AL9" cm="1">
        <f t="array" ref="AL9">+_xll.EQNXTDZ($A$1,$B9,AL$2)</f>
        <v>10225.799999999999</v>
      </c>
      <c r="AM9" cm="1">
        <f t="array" ref="AM9">+_xll.EQNXTDZ($A$1,$B9,AM$2)</f>
        <v>10662.21</v>
      </c>
      <c r="AN9" cm="1">
        <f t="array" ref="AN9">+_xll.EQNXTDZ($A$1,$B9,AN$2)</f>
        <v>11369.44</v>
      </c>
      <c r="AO9" cm="1">
        <f t="array" ref="AO9">+_xll.EQNXTDZ($A$1,$B9,AO$2)</f>
        <v>12140.21</v>
      </c>
      <c r="AP9" cm="1">
        <f t="array" ref="AP9">+_xll.EQNXTDZ($A$1,$B9,AP$2)</f>
        <v>12260.49</v>
      </c>
      <c r="AQ9" cm="1">
        <f t="array" ref="AQ9">+_xll.EQNXTDZ($A$1,$B9,AQ$2)</f>
        <v>12284.08</v>
      </c>
      <c r="AR9" cm="1">
        <f t="array" ref="AR9">+_xll.EQNXTDZ($A$1,$B9,AR$2)</f>
        <v>12492.32</v>
      </c>
      <c r="AS9" cm="1">
        <f t="array" ref="AS9">+_xll.EQNXTDZ($A$1,$B9,AS$2)</f>
        <v>12466.44</v>
      </c>
      <c r="AT9" cm="1">
        <f t="array" ref="AT9">+_xll.EQNXTDZ($A$1,$B9,AT$2)</f>
        <v>12745.67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62</v>
      </c>
      <c r="B10" t="s">
        <v>250</v>
      </c>
      <c r="C10" cm="1">
        <f t="array" ref="C10">+_xll.EQNXTDZ($A$1,$B10,C$2)</f>
        <v>2049.04</v>
      </c>
      <c r="D10" cm="1">
        <f t="array" ref="D10">+_xll.EQNXTDZ($A$1,$B10,D$2)</f>
        <v>2339.58</v>
      </c>
      <c r="E10" cm="1">
        <f t="array" ref="E10">+_xll.EQNXTDZ($A$1,$B10,E$2)</f>
        <v>2346.34</v>
      </c>
      <c r="F10" cm="1">
        <f t="array" ref="F10">+_xll.EQNXTDZ($A$1,$B10,F$2)</f>
        <v>2606.56</v>
      </c>
      <c r="G10" cm="1">
        <f t="array" ref="G10">+_xll.EQNXTDZ($A$1,$B10,G$2)</f>
        <v>2359.7399999999998</v>
      </c>
      <c r="H10" cm="1">
        <f t="array" ref="H10">+_xll.EQNXTDZ($A$1,$B10,H$2)</f>
        <v>2237.5300000000002</v>
      </c>
      <c r="I10" cm="1">
        <f t="array" ref="I10">+_xll.EQNXTDZ($A$1,$B10,I$2)</f>
        <v>2173.44</v>
      </c>
      <c r="J10" cm="1">
        <f t="array" ref="J10">+_xll.EQNXTDZ($A$1,$B10,J$2)</f>
        <v>2095.11</v>
      </c>
      <c r="K10" cm="1">
        <f t="array" ref="K10">+_xll.EQNXTDZ($A$1,$B10,K$2)</f>
        <v>1764.56</v>
      </c>
      <c r="L10" cm="1">
        <f t="array" ref="L10">+_xll.EQNXTDZ($A$1,$B10,L$2)</f>
        <v>2381.5700000000002</v>
      </c>
      <c r="M10" cm="1">
        <f t="array" ref="M10">+_xll.EQNXTDZ($A$1,$B10,M$2)</f>
        <v>2188.08</v>
      </c>
      <c r="N10" cm="1">
        <f t="array" ref="N10">+_xll.EQNXTDZ($A$1,$B10,N$2)</f>
        <v>2766.96</v>
      </c>
      <c r="O10" cm="1">
        <f t="array" ref="O10">+_xll.EQNXTDZ($A$1,$B10,O$2)</f>
        <v>2103.27</v>
      </c>
      <c r="P10" cm="1">
        <f t="array" ref="P10">+_xll.EQNXTDZ($A$1,$B10,P$2)</f>
        <v>2310.1999999999998</v>
      </c>
      <c r="Q10" cm="1">
        <f t="array" ref="Q10">+_xll.EQNXTDZ($A$1,$B10,Q$2)</f>
        <v>2590.19</v>
      </c>
      <c r="R10" cm="1">
        <f t="array" ref="R10">+_xll.EQNXTDZ($A$1,$B10,R$2)</f>
        <v>3220.69</v>
      </c>
      <c r="S10" cm="1">
        <f t="array" ref="S10">+_xll.EQNXTDZ($A$1,$B10,S$2)</f>
        <v>2408.85</v>
      </c>
      <c r="T10" cm="1">
        <f t="array" ref="T10">+_xll.EQNXTDZ($A$1,$B10,T$2)</f>
        <v>2727.98</v>
      </c>
      <c r="U10" cm="1">
        <f t="array" ref="U10">+_xll.EQNXTDZ($A$1,$B10,U$2)</f>
        <v>2486.3200000000002</v>
      </c>
      <c r="V10" cm="1">
        <f t="array" ref="V10">+_xll.EQNXTDZ($A$1,$B10,V$2)</f>
        <v>2828.25</v>
      </c>
      <c r="W10" cm="1">
        <f t="array" ref="W10">+_xll.EQNXTDZ($A$1,$B10,W$2)</f>
        <v>2343.9</v>
      </c>
      <c r="X10" cm="1">
        <f t="array" ref="X10">+_xll.EQNXTDZ($A$1,$B10,X$2)</f>
        <v>2628.78</v>
      </c>
      <c r="Y10" cm="1">
        <f t="array" ref="Y10">+_xll.EQNXTDZ($A$1,$B10,Y$2)</f>
        <v>2971.69</v>
      </c>
      <c r="Z10" cm="1">
        <f t="array" ref="Z10">+_xll.EQNXTDZ($A$1,$B10,Z$2)</f>
        <v>2894.73</v>
      </c>
      <c r="AA10" cm="1">
        <f t="array" ref="AA10">+_xll.EQNXTDZ($A$1,$B10,AA$2)</f>
        <v>2715.22</v>
      </c>
      <c r="AB10" cm="1">
        <f t="array" ref="AB10">+_xll.EQNXTDZ($A$1,$B10,AB$2)</f>
        <v>2982.16</v>
      </c>
      <c r="AC10" cm="1">
        <f t="array" ref="AC10">+_xll.EQNXTDZ($A$1,$B10,AC$2)</f>
        <v>3147.38</v>
      </c>
      <c r="AD10" cm="1">
        <f t="array" ref="AD10">+_xll.EQNXTDZ($A$1,$B10,AD$2)</f>
        <v>3107.62</v>
      </c>
      <c r="AE10" cm="1">
        <f t="array" ref="AE10">+_xll.EQNXTDZ($A$1,$B10,AE$2)</f>
        <v>3041.34</v>
      </c>
      <c r="AF10" cm="1">
        <f t="array" ref="AF10">+_xll.EQNXTDZ($A$1,$B10,AF$2)</f>
        <v>3126.74</v>
      </c>
      <c r="AG10" cm="1">
        <f t="array" ref="AG10">+_xll.EQNXTDZ($A$1,$B10,AG$2)</f>
        <v>3374.95</v>
      </c>
      <c r="AH10" cm="1">
        <f t="array" ref="AH10">+_xll.EQNXTDZ($A$1,$B10,AH$2)</f>
        <v>4439.1400000000003</v>
      </c>
      <c r="AI10" cm="1">
        <f t="array" ref="AI10">+_xll.EQNXTDZ($A$1,$B10,AI$2)</f>
        <v>3624.53</v>
      </c>
      <c r="AJ10" cm="1">
        <f t="array" ref="AJ10">+_xll.EQNXTDZ($A$1,$B10,AJ$2)</f>
        <v>3671.9</v>
      </c>
      <c r="AK10" cm="1">
        <f t="array" ref="AK10">+_xll.EQNXTDZ($A$1,$B10,AK$2)</f>
        <v>3652.65</v>
      </c>
      <c r="AL10" cm="1">
        <f t="array" ref="AL10">+_xll.EQNXTDZ($A$1,$B10,AL$2)</f>
        <v>4130.07</v>
      </c>
      <c r="AM10" cm="1">
        <f t="array" ref="AM10">+_xll.EQNXTDZ($A$1,$B10,AM$2)</f>
        <v>3900.5</v>
      </c>
      <c r="AN10" cm="1">
        <f t="array" ref="AN10">+_xll.EQNXTDZ($A$1,$B10,AN$2)</f>
        <v>4355.3599999999997</v>
      </c>
      <c r="AO10" cm="1">
        <f t="array" ref="AO10">+_xll.EQNXTDZ($A$1,$B10,AO$2)</f>
        <v>4114.12</v>
      </c>
      <c r="AP10" cm="1">
        <f t="array" ref="AP10">+_xll.EQNXTDZ($A$1,$B10,AP$2)</f>
        <v>4605.4799999999996</v>
      </c>
      <c r="AQ10" cm="1">
        <f t="array" ref="AQ10">+_xll.EQNXTDZ($A$1,$B10,AQ$2)</f>
        <v>4224.83</v>
      </c>
      <c r="AR10" cm="1">
        <f t="array" ref="AR10">+_xll.EQNXTDZ($A$1,$B10,AR$2)</f>
        <v>4312.75</v>
      </c>
      <c r="AS10" cm="1">
        <f t="array" ref="AS10">+_xll.EQNXTDZ($A$1,$B10,AS$2)</f>
        <v>4546.72</v>
      </c>
      <c r="AT10" cm="1">
        <f t="array" ref="AT10">+_xll.EQNXTDZ($A$1,$B10,AT$2)</f>
        <v>4914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330</v>
      </c>
      <c r="B11" t="s">
        <v>332</v>
      </c>
      <c r="C11" cm="1">
        <f t="array" ref="C11">+_xll.EQNXTDZ($A$1,$B11,C$2)</f>
        <v>1119.3599999999999</v>
      </c>
      <c r="D11" cm="1">
        <f t="array" ref="D11">+_xll.EQNXTDZ($A$1,$B11,D$2)</f>
        <v>1278.21</v>
      </c>
      <c r="E11" cm="1">
        <f t="array" ref="E11">+_xll.EQNXTDZ($A$1,$B11,E$2)</f>
        <v>1305.23</v>
      </c>
      <c r="F11" cm="1">
        <f t="array" ref="F11">+_xll.EQNXTDZ($A$1,$B11,F$2)</f>
        <v>1654.43</v>
      </c>
      <c r="G11" cm="1">
        <f t="array" ref="G11">+_xll.EQNXTDZ($A$1,$B11,G$2)</f>
        <v>1288.4100000000001</v>
      </c>
      <c r="H11" cm="1">
        <f t="array" ref="H11">+_xll.EQNXTDZ($A$1,$B11,H$2)</f>
        <v>1395</v>
      </c>
      <c r="I11" cm="1">
        <f t="array" ref="I11">+_xll.EQNXTDZ($A$1,$B11,I$2)</f>
        <v>1318.78</v>
      </c>
      <c r="J11" cm="1">
        <f t="array" ref="J11">+_xll.EQNXTDZ($A$1,$B11,J$2)</f>
        <v>1394.44</v>
      </c>
      <c r="K11" cm="1">
        <f t="array" ref="K11">+_xll.EQNXTDZ($A$1,$B11,K$2)</f>
        <v>921.69</v>
      </c>
      <c r="L11" cm="1">
        <f t="array" ref="L11">+_xll.EQNXTDZ($A$1,$B11,L$2)</f>
        <v>1269.06</v>
      </c>
      <c r="M11" cm="1">
        <f t="array" ref="M11">+_xll.EQNXTDZ($A$1,$B11,M$2)</f>
        <v>1182.79</v>
      </c>
      <c r="N11" cm="1">
        <f t="array" ref="N11">+_xll.EQNXTDZ($A$1,$B11,N$2)</f>
        <v>1529.73</v>
      </c>
      <c r="O11" cm="1">
        <f t="array" ref="O11">+_xll.EQNXTDZ($A$1,$B11,O$2)</f>
        <v>1089.45</v>
      </c>
      <c r="P11" cm="1">
        <f t="array" ref="P11">+_xll.EQNXTDZ($A$1,$B11,P$2)</f>
        <v>1390.31</v>
      </c>
      <c r="Q11" cm="1">
        <f t="array" ref="Q11">+_xll.EQNXTDZ($A$1,$B11,Q$2)</f>
        <v>1507.41</v>
      </c>
      <c r="R11" cm="1">
        <f t="array" ref="R11">+_xll.EQNXTDZ($A$1,$B11,R$2)</f>
        <v>2033.88</v>
      </c>
      <c r="S11" cm="1">
        <f t="array" ref="S11">+_xll.EQNXTDZ($A$1,$B11,S$2)</f>
        <v>1407.47</v>
      </c>
      <c r="T11" cm="1">
        <f t="array" ref="T11">+_xll.EQNXTDZ($A$1,$B11,T$2)</f>
        <v>1606.7</v>
      </c>
      <c r="U11" cm="1">
        <f t="array" ref="U11">+_xll.EQNXTDZ($A$1,$B11,U$2)</f>
        <v>1454.33</v>
      </c>
      <c r="V11" cm="1">
        <f t="array" ref="V11">+_xll.EQNXTDZ($A$1,$B11,V$2)</f>
        <v>1672.95</v>
      </c>
      <c r="W11" cm="1">
        <f t="array" ref="W11">+_xll.EQNXTDZ($A$1,$B11,W$2)</f>
        <v>1450.55</v>
      </c>
      <c r="X11" cm="1">
        <f t="array" ref="X11">+_xll.EQNXTDZ($A$1,$B11,X$2)</f>
        <v>1502.77</v>
      </c>
      <c r="Y11" cm="1">
        <f t="array" ref="Y11">+_xll.EQNXTDZ($A$1,$B11,Y$2)</f>
        <v>1856.25</v>
      </c>
      <c r="Z11" cm="1">
        <f t="array" ref="Z11">+_xll.EQNXTDZ($A$1,$B11,Z$2)</f>
        <v>1663.41</v>
      </c>
      <c r="AA11" cm="1">
        <f t="array" ref="AA11">+_xll.EQNXTDZ($A$1,$B11,AA$2)</f>
        <v>1709.33</v>
      </c>
      <c r="AB11" cm="1">
        <f t="array" ref="AB11">+_xll.EQNXTDZ($A$1,$B11,AB$2)</f>
        <v>1736.44</v>
      </c>
      <c r="AC11" cm="1">
        <f t="array" ref="AC11">+_xll.EQNXTDZ($A$1,$B11,AC$2)</f>
        <v>1832</v>
      </c>
      <c r="AD11" cm="1">
        <f t="array" ref="AD11">+_xll.EQNXTDZ($A$1,$B11,AD$2)</f>
        <v>1777.76</v>
      </c>
      <c r="AE11" cm="1">
        <f t="array" ref="AE11">+_xll.EQNXTDZ($A$1,$B11,AE$2)</f>
        <v>1809.16</v>
      </c>
      <c r="AF11" cm="1">
        <f t="array" ref="AF11">+_xll.EQNXTDZ($A$1,$B11,AF$2)</f>
        <v>1932.57</v>
      </c>
      <c r="AG11" cm="1">
        <f t="array" ref="AG11">+_xll.EQNXTDZ($A$1,$B11,AG$2)</f>
        <v>1783.43</v>
      </c>
      <c r="AH11" cm="1">
        <f t="array" ref="AH11">+_xll.EQNXTDZ($A$1,$B11,AH$2)</f>
        <v>2866.68</v>
      </c>
      <c r="AI11" cm="1">
        <f t="array" ref="AI11">+_xll.EQNXTDZ($A$1,$B11,AI$2)</f>
        <v>2257.1799999999998</v>
      </c>
      <c r="AJ11" cm="1">
        <f t="array" ref="AJ11">+_xll.EQNXTDZ($A$1,$B11,AJ$2)</f>
        <v>2178.33</v>
      </c>
      <c r="AK11" cm="1">
        <f t="array" ref="AK11">+_xll.EQNXTDZ($A$1,$B11,AK$2)</f>
        <v>2209.39</v>
      </c>
      <c r="AL11" cm="1">
        <f t="array" ref="AL11">+_xll.EQNXTDZ($A$1,$B11,AL$2)</f>
        <v>2543.56</v>
      </c>
      <c r="AM11" cm="1">
        <f t="array" ref="AM11">+_xll.EQNXTDZ($A$1,$B11,AM$2)</f>
        <v>2344.79</v>
      </c>
      <c r="AN11" cm="1">
        <f t="array" ref="AN11">+_xll.EQNXTDZ($A$1,$B11,AN$2)</f>
        <v>2631.27</v>
      </c>
      <c r="AO11" cm="1">
        <f t="array" ref="AO11">+_xll.EQNXTDZ($A$1,$B11,AO$2)</f>
        <v>2441.37</v>
      </c>
      <c r="AP11" cm="1">
        <f t="array" ref="AP11">+_xll.EQNXTDZ($A$1,$B11,AP$2)</f>
        <v>2882.17</v>
      </c>
      <c r="AQ11" cm="1">
        <f t="array" ref="AQ11">+_xll.EQNXTDZ($A$1,$B11,AQ$2)</f>
        <v>2396.19</v>
      </c>
      <c r="AR11" cm="1">
        <f t="array" ref="AR11">+_xll.EQNXTDZ($A$1,$B11,AR$2)</f>
        <v>2452.3200000000002</v>
      </c>
      <c r="AS11" cm="1">
        <f t="array" ref="AS11">+_xll.EQNXTDZ($A$1,$B11,AS$2)</f>
        <v>2651.82</v>
      </c>
      <c r="AT11" cm="1">
        <f t="array" ref="AT11">+_xll.EQNXTDZ($A$1,$B11,AT$2)</f>
        <v>2811.43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331</v>
      </c>
      <c r="B12" t="s">
        <v>333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202</v>
      </c>
      <c r="B13" t="s">
        <v>251</v>
      </c>
      <c r="C13" cm="1">
        <f t="array" ref="C13">+_xll.EQNXTDZ($A$1,$B13,C$2)</f>
        <v>2049.04</v>
      </c>
      <c r="D13" cm="1">
        <f t="array" ref="D13">+_xll.EQNXTDZ($A$1,$B13,D$2)</f>
        <v>2339.58</v>
      </c>
      <c r="E13" cm="1">
        <f t="array" ref="E13">+_xll.EQNXTDZ($A$1,$B13,E$2)</f>
        <v>2346.34</v>
      </c>
      <c r="F13" cm="1">
        <f t="array" ref="F13">+_xll.EQNXTDZ($A$1,$B13,F$2)</f>
        <v>2606.56</v>
      </c>
      <c r="G13" cm="1">
        <f t="array" ref="G13">+_xll.EQNXTDZ($A$1,$B13,G$2)</f>
        <v>2359.7399999999998</v>
      </c>
      <c r="H13" cm="1">
        <f t="array" ref="H13">+_xll.EQNXTDZ($A$1,$B13,H$2)</f>
        <v>2237.5300000000002</v>
      </c>
      <c r="I13" cm="1">
        <f t="array" ref="I13">+_xll.EQNXTDZ($A$1,$B13,I$2)</f>
        <v>2173.44</v>
      </c>
      <c r="J13" cm="1">
        <f t="array" ref="J13">+_xll.EQNXTDZ($A$1,$B13,J$2)</f>
        <v>2095.11</v>
      </c>
      <c r="K13" cm="1">
        <f t="array" ref="K13">+_xll.EQNXTDZ($A$1,$B13,K$2)</f>
        <v>1764.56</v>
      </c>
      <c r="L13" cm="1">
        <f t="array" ref="L13">+_xll.EQNXTDZ($A$1,$B13,L$2)</f>
        <v>2381.5700000000002</v>
      </c>
      <c r="M13" cm="1">
        <f t="array" ref="M13">+_xll.EQNXTDZ($A$1,$B13,M$2)</f>
        <v>2188.08</v>
      </c>
      <c r="N13" cm="1">
        <f t="array" ref="N13">+_xll.EQNXTDZ($A$1,$B13,N$2)</f>
        <v>2766.96</v>
      </c>
      <c r="O13" cm="1">
        <f t="array" ref="O13">+_xll.EQNXTDZ($A$1,$B13,O$2)</f>
        <v>2103.27</v>
      </c>
      <c r="P13" cm="1">
        <f t="array" ref="P13">+_xll.EQNXTDZ($A$1,$B13,P$2)</f>
        <v>2310.1999999999998</v>
      </c>
      <c r="Q13" cm="1">
        <f t="array" ref="Q13">+_xll.EQNXTDZ($A$1,$B13,Q$2)</f>
        <v>2590.19</v>
      </c>
      <c r="R13" cm="1">
        <f t="array" ref="R13">+_xll.EQNXTDZ($A$1,$B13,R$2)</f>
        <v>3220.69</v>
      </c>
      <c r="S13" cm="1">
        <f t="array" ref="S13">+_xll.EQNXTDZ($A$1,$B13,S$2)</f>
        <v>2408.85</v>
      </c>
      <c r="T13" cm="1">
        <f t="array" ref="T13">+_xll.EQNXTDZ($A$1,$B13,T$2)</f>
        <v>2727.98</v>
      </c>
      <c r="U13" cm="1">
        <f t="array" ref="U13">+_xll.EQNXTDZ($A$1,$B13,U$2)</f>
        <v>2486.3200000000002</v>
      </c>
      <c r="V13" cm="1">
        <f t="array" ref="V13">+_xll.EQNXTDZ($A$1,$B13,V$2)</f>
        <v>2828.25</v>
      </c>
      <c r="W13" cm="1">
        <f t="array" ref="W13">+_xll.EQNXTDZ($A$1,$B13,W$2)</f>
        <v>2343.9</v>
      </c>
      <c r="X13" cm="1">
        <f t="array" ref="X13">+_xll.EQNXTDZ($A$1,$B13,X$2)</f>
        <v>2628.78</v>
      </c>
      <c r="Y13" cm="1">
        <f t="array" ref="Y13">+_xll.EQNXTDZ($A$1,$B13,Y$2)</f>
        <v>2971.69</v>
      </c>
      <c r="Z13" cm="1">
        <f t="array" ref="Z13">+_xll.EQNXTDZ($A$1,$B13,Z$2)</f>
        <v>2894.73</v>
      </c>
      <c r="AA13" cm="1">
        <f t="array" ref="AA13">+_xll.EQNXTDZ($A$1,$B13,AA$2)</f>
        <v>2715.22</v>
      </c>
      <c r="AB13" cm="1">
        <f t="array" ref="AB13">+_xll.EQNXTDZ($A$1,$B13,AB$2)</f>
        <v>2982.16</v>
      </c>
      <c r="AC13" cm="1">
        <f t="array" ref="AC13">+_xll.EQNXTDZ($A$1,$B13,AC$2)</f>
        <v>3147.38</v>
      </c>
      <c r="AD13" cm="1">
        <f t="array" ref="AD13">+_xll.EQNXTDZ($A$1,$B13,AD$2)</f>
        <v>3107.62</v>
      </c>
      <c r="AE13" cm="1">
        <f t="array" ref="AE13">+_xll.EQNXTDZ($A$1,$B13,AE$2)</f>
        <v>3041.34</v>
      </c>
      <c r="AF13" cm="1">
        <f t="array" ref="AF13">+_xll.EQNXTDZ($A$1,$B13,AF$2)</f>
        <v>3126.74</v>
      </c>
      <c r="AG13" cm="1">
        <f t="array" ref="AG13">+_xll.EQNXTDZ($A$1,$B13,AG$2)</f>
        <v>3374.95</v>
      </c>
      <c r="AH13" cm="1">
        <f t="array" ref="AH13">+_xll.EQNXTDZ($A$1,$B13,AH$2)</f>
        <v>4439.1400000000003</v>
      </c>
      <c r="AI13" cm="1">
        <f t="array" ref="AI13">+_xll.EQNXTDZ($A$1,$B13,AI$2)</f>
        <v>3624.53</v>
      </c>
      <c r="AJ13" cm="1">
        <f t="array" ref="AJ13">+_xll.EQNXTDZ($A$1,$B13,AJ$2)</f>
        <v>3671.9</v>
      </c>
      <c r="AK13" cm="1">
        <f t="array" ref="AK13">+_xll.EQNXTDZ($A$1,$B13,AK$2)</f>
        <v>3652.65</v>
      </c>
      <c r="AL13" cm="1">
        <f t="array" ref="AL13">+_xll.EQNXTDZ($A$1,$B13,AL$2)</f>
        <v>4130.07</v>
      </c>
      <c r="AM13" cm="1">
        <f t="array" ref="AM13">+_xll.EQNXTDZ($A$1,$B13,AM$2)</f>
        <v>3900.5</v>
      </c>
      <c r="AN13" cm="1">
        <f t="array" ref="AN13">+_xll.EQNXTDZ($A$1,$B13,AN$2)</f>
        <v>4355.3599999999997</v>
      </c>
      <c r="AO13" cm="1">
        <f t="array" ref="AO13">+_xll.EQNXTDZ($A$1,$B13,AO$2)</f>
        <v>4114.12</v>
      </c>
      <c r="AP13" cm="1">
        <f t="array" ref="AP13">+_xll.EQNXTDZ($A$1,$B13,AP$2)</f>
        <v>4605.4799999999996</v>
      </c>
      <c r="AQ13" cm="1">
        <f t="array" ref="AQ13">+_xll.EQNXTDZ($A$1,$B13,AQ$2)</f>
        <v>4224.83</v>
      </c>
      <c r="AR13" cm="1">
        <f t="array" ref="AR13">+_xll.EQNXTDZ($A$1,$B13,AR$2)</f>
        <v>4312.75</v>
      </c>
      <c r="AS13" cm="1">
        <f t="array" ref="AS13">+_xll.EQNXTDZ($A$1,$B13,AS$2)</f>
        <v>4546.72</v>
      </c>
      <c r="AT13" cm="1">
        <f t="array" ref="AT13">+_xll.EQNXTDZ($A$1,$B13,AT$2)</f>
        <v>4914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215</v>
      </c>
      <c r="B14" t="s">
        <v>252</v>
      </c>
      <c r="C14" cm="1">
        <f t="array" ref="C14">+_xll.EQNXTDZ($A$1,$B14,C$2)</f>
        <v>1704.21</v>
      </c>
      <c r="D14" cm="1">
        <f t="array" ref="D14">+_xll.EQNXTDZ($A$1,$B14,D$2)</f>
        <v>1458.26</v>
      </c>
      <c r="E14" cm="1">
        <f t="array" ref="E14">+_xll.EQNXTDZ($A$1,$B14,E$2)</f>
        <v>1408.97</v>
      </c>
      <c r="F14" cm="1">
        <f t="array" ref="F14">+_xll.EQNXTDZ($A$1,$B14,F$2)</f>
        <v>1464.19</v>
      </c>
      <c r="G14" cm="1">
        <f t="array" ref="G14">+_xll.EQNXTDZ($A$1,$B14,G$2)</f>
        <v>1653.86</v>
      </c>
      <c r="H14" cm="1">
        <f t="array" ref="H14">+_xll.EQNXTDZ($A$1,$B14,H$2)</f>
        <v>2492.84</v>
      </c>
      <c r="I14" cm="1">
        <f t="array" ref="I14">+_xll.EQNXTDZ($A$1,$B14,I$2)</f>
        <v>2458.44</v>
      </c>
      <c r="J14" cm="1">
        <f t="array" ref="J14">+_xll.EQNXTDZ($A$1,$B14,J$2)</f>
        <v>3127.48</v>
      </c>
      <c r="K14" cm="1">
        <f t="array" ref="K14">+_xll.EQNXTDZ($A$1,$B14,K$2)</f>
        <v>2379.4299999999998</v>
      </c>
      <c r="L14" cm="1">
        <f t="array" ref="L14">+_xll.EQNXTDZ($A$1,$B14,L$2)</f>
        <v>2233.0500000000002</v>
      </c>
      <c r="M14" cm="1">
        <f t="array" ref="M14">+_xll.EQNXTDZ($A$1,$B14,M$2)</f>
        <v>1354.34</v>
      </c>
      <c r="N14" cm="1">
        <f t="array" ref="N14">+_xll.EQNXTDZ($A$1,$B14,N$2)</f>
        <v>1172.1199999999999</v>
      </c>
      <c r="O14" cm="1">
        <f t="array" ref="O14">+_xll.EQNXTDZ($A$1,$B14,O$2)</f>
        <v>1869.19</v>
      </c>
      <c r="P14" cm="1">
        <f t="array" ref="P14">+_xll.EQNXTDZ($A$1,$B14,P$2)</f>
        <v>1647.01</v>
      </c>
      <c r="Q14" cm="1">
        <f t="array" ref="Q14">+_xll.EQNXTDZ($A$1,$B14,Q$2)</f>
        <v>2272.8200000000002</v>
      </c>
      <c r="R14" cm="1">
        <f t="array" ref="R14">+_xll.EQNXTDZ($A$1,$B14,R$2)</f>
        <v>2303.1799999999998</v>
      </c>
      <c r="S14" cm="1">
        <f t="array" ref="S14">+_xll.EQNXTDZ($A$1,$B14,S$2)</f>
        <v>2271.35</v>
      </c>
      <c r="T14" cm="1">
        <f t="array" ref="T14">+_xll.EQNXTDZ($A$1,$B14,T$2)</f>
        <v>2459.84</v>
      </c>
      <c r="U14" cm="1">
        <f t="array" ref="U14">+_xll.EQNXTDZ($A$1,$B14,U$2)</f>
        <v>4134.88</v>
      </c>
      <c r="V14" cm="1">
        <f t="array" ref="V14">+_xll.EQNXTDZ($A$1,$B14,V$2)</f>
        <v>2652.56</v>
      </c>
      <c r="W14" cm="1">
        <f t="array" ref="W14">+_xll.EQNXTDZ($A$1,$B14,W$2)</f>
        <v>2844.52</v>
      </c>
      <c r="X14" cm="1">
        <f t="array" ref="X14">+_xll.EQNXTDZ($A$1,$B14,X$2)</f>
        <v>2830.53</v>
      </c>
      <c r="Y14" cm="1">
        <f t="array" ref="Y14">+_xll.EQNXTDZ($A$1,$B14,Y$2)</f>
        <v>2665.19</v>
      </c>
      <c r="Z14" cm="1">
        <f t="array" ref="Z14">+_xll.EQNXTDZ($A$1,$B14,Z$2)</f>
        <v>1870.06</v>
      </c>
      <c r="AA14" cm="1">
        <f t="array" ref="AA14">+_xll.EQNXTDZ($A$1,$B14,AA$2)</f>
        <v>2749.45</v>
      </c>
      <c r="AB14" cm="1">
        <f t="array" ref="AB14">+_xll.EQNXTDZ($A$1,$B14,AB$2)</f>
        <v>2677.6</v>
      </c>
      <c r="AC14" cm="1">
        <f t="array" ref="AC14">+_xll.EQNXTDZ($A$1,$B14,AC$2)</f>
        <v>2095.7399999999998</v>
      </c>
      <c r="AD14" cm="1">
        <f t="array" ref="AD14">+_xll.EQNXTDZ($A$1,$B14,AD$2)</f>
        <v>2465.66</v>
      </c>
      <c r="AE14" cm="1">
        <f t="array" ref="AE14">+_xll.EQNXTDZ($A$1,$B14,AE$2)</f>
        <v>2182.81</v>
      </c>
      <c r="AF14" cm="1">
        <f t="array" ref="AF14">+_xll.EQNXTDZ($A$1,$B14,AF$2)</f>
        <v>3374.18</v>
      </c>
      <c r="AG14" cm="1">
        <f t="array" ref="AG14">+_xll.EQNXTDZ($A$1,$B14,AG$2)</f>
        <v>3651.93</v>
      </c>
      <c r="AH14" cm="1">
        <f t="array" ref="AH14">+_xll.EQNXTDZ($A$1,$B14,AH$2)</f>
        <v>4183.7</v>
      </c>
      <c r="AI14" cm="1">
        <f t="array" ref="AI14">+_xll.EQNXTDZ($A$1,$B14,AI$2)</f>
        <v>3751.95</v>
      </c>
      <c r="AJ14" cm="1">
        <f t="array" ref="AJ14">+_xll.EQNXTDZ($A$1,$B14,AJ$2)</f>
        <v>3755.56</v>
      </c>
      <c r="AK14" cm="1">
        <f t="array" ref="AK14">+_xll.EQNXTDZ($A$1,$B14,AK$2)</f>
        <v>3003.94</v>
      </c>
      <c r="AL14" cm="1">
        <f t="array" ref="AL14">+_xll.EQNXTDZ($A$1,$B14,AL$2)</f>
        <v>3557.16</v>
      </c>
      <c r="AM14" cm="1">
        <f t="array" ref="AM14">+_xll.EQNXTDZ($A$1,$B14,AM$2)</f>
        <v>3677.31</v>
      </c>
      <c r="AN14" cm="1">
        <f t="array" ref="AN14">+_xll.EQNXTDZ($A$1,$B14,AN$2)</f>
        <v>4147.3999999999996</v>
      </c>
      <c r="AO14" cm="1">
        <f t="array" ref="AO14">+_xll.EQNXTDZ($A$1,$B14,AO$2)</f>
        <v>3702.57</v>
      </c>
      <c r="AP14" cm="1">
        <f t="array" ref="AP14">+_xll.EQNXTDZ($A$1,$B14,AP$2)</f>
        <v>4884.83</v>
      </c>
      <c r="AQ14" cm="1">
        <f t="array" ref="AQ14">+_xll.EQNXTDZ($A$1,$B14,AQ$2)</f>
        <v>4009.38</v>
      </c>
      <c r="AR14" cm="1">
        <f t="array" ref="AR14">+_xll.EQNXTDZ($A$1,$B14,AR$2)</f>
        <v>3820.85</v>
      </c>
      <c r="AS14" cm="1">
        <f t="array" ref="AS14">+_xll.EQNXTDZ($A$1,$B14,AS$2)</f>
        <v>4192.79</v>
      </c>
      <c r="AT14" cm="1">
        <f t="array" ref="AT14">+_xll.EQNXTDZ($A$1,$B14,AT$2)</f>
        <v>5025.71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216</v>
      </c>
      <c r="B15" t="s">
        <v>253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217</v>
      </c>
      <c r="B16" t="s">
        <v>254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218</v>
      </c>
      <c r="B17" t="s">
        <v>255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256</v>
      </c>
      <c r="C18" cm="1">
        <f t="array" ref="C18">+_xll.EQNXTDZ($A$1,$B18,C$2)</f>
        <v>1514.73</v>
      </c>
      <c r="D18" cm="1">
        <f t="array" ref="D18">+_xll.EQNXTDZ($A$1,$B18,D$2)</f>
        <v>3237.39</v>
      </c>
      <c r="E18" cm="1">
        <f t="array" ref="E18">+_xll.EQNXTDZ($A$1,$B18,E$2)</f>
        <v>3603.92</v>
      </c>
      <c r="F18" cm="1">
        <f t="array" ref="F18">+_xll.EQNXTDZ($A$1,$B18,F$2)</f>
        <v>5470.36</v>
      </c>
      <c r="G18" cm="1">
        <f t="array" ref="G18">+_xll.EQNXTDZ($A$1,$B18,G$2)</f>
        <v>2770.19</v>
      </c>
      <c r="H18" cm="1">
        <f t="array" ref="H18">+_xll.EQNXTDZ($A$1,$B18,H$2)</f>
        <v>2296.2199999999998</v>
      </c>
      <c r="I18" cm="1">
        <f t="array" ref="I18">+_xll.EQNXTDZ($A$1,$B18,I$2)</f>
        <v>2302.5700000000002</v>
      </c>
      <c r="J18" cm="1">
        <f t="array" ref="J18">+_xll.EQNXTDZ($A$1,$B18,J$2)</f>
        <v>4736.21</v>
      </c>
      <c r="K18" cm="1">
        <f t="array" ref="K18">+_xll.EQNXTDZ($A$1,$B18,K$2)</f>
        <v>2245.2800000000002</v>
      </c>
      <c r="L18" cm="1">
        <f t="array" ref="L18">+_xll.EQNXTDZ($A$1,$B18,L$2)</f>
        <v>1953.3</v>
      </c>
      <c r="M18" cm="1">
        <f t="array" ref="M18">+_xll.EQNXTDZ($A$1,$B18,M$2)</f>
        <v>4899.72</v>
      </c>
      <c r="N18" cm="1">
        <f t="array" ref="N18">+_xll.EQNXTDZ($A$1,$B18,N$2)</f>
        <v>6674.12</v>
      </c>
      <c r="O18" cm="1">
        <f t="array" ref="O18">+_xll.EQNXTDZ($A$1,$B18,O$2)</f>
        <v>2564.19</v>
      </c>
      <c r="P18" cm="1">
        <f t="array" ref="P18">+_xll.EQNXTDZ($A$1,$B18,P$2)</f>
        <v>3343.27</v>
      </c>
      <c r="Q18" cm="1">
        <f t="array" ref="Q18">+_xll.EQNXTDZ($A$1,$B18,Q$2)</f>
        <v>9000.7199999999993</v>
      </c>
      <c r="R18" cm="1">
        <f t="array" ref="R18">+_xll.EQNXTDZ($A$1,$B18,R$2)</f>
        <v>1897.43</v>
      </c>
      <c r="S18" cm="1">
        <f t="array" ref="S18">+_xll.EQNXTDZ($A$1,$B18,S$2)</f>
        <v>1911.98</v>
      </c>
      <c r="T18" cm="1">
        <f t="array" ref="T18">+_xll.EQNXTDZ($A$1,$B18,T$2)</f>
        <v>2052.27</v>
      </c>
      <c r="U18" cm="1">
        <f t="array" ref="U18">+_xll.EQNXTDZ($A$1,$B18,U$2)</f>
        <v>4015.2</v>
      </c>
      <c r="V18" cm="1">
        <f t="array" ref="V18">+_xll.EQNXTDZ($A$1,$B18,V$2)</f>
        <v>8141.92</v>
      </c>
      <c r="W18" cm="1">
        <f t="array" ref="W18">+_xll.EQNXTDZ($A$1,$B18,W$2)</f>
        <v>1512.07</v>
      </c>
      <c r="X18" cm="1">
        <f t="array" ref="X18">+_xll.EQNXTDZ($A$1,$B18,X$2)</f>
        <v>2045.15</v>
      </c>
      <c r="Y18" cm="1">
        <f t="array" ref="Y18">+_xll.EQNXTDZ($A$1,$B18,Y$2)</f>
        <v>1809.63</v>
      </c>
      <c r="Z18" cm="1">
        <f t="array" ref="Z18">+_xll.EQNXTDZ($A$1,$B18,Z$2)</f>
        <v>1606.73</v>
      </c>
      <c r="AA18" cm="1">
        <f t="array" ref="AA18">+_xll.EQNXTDZ($A$1,$B18,AA$2)</f>
        <v>1652.36</v>
      </c>
      <c r="AB18" cm="1">
        <f t="array" ref="AB18">+_xll.EQNXTDZ($A$1,$B18,AB$2)</f>
        <v>893.8</v>
      </c>
      <c r="AC18" cm="1">
        <f t="array" ref="AC18">+_xll.EQNXTDZ($A$1,$B18,AC$2)</f>
        <v>334.93</v>
      </c>
      <c r="AD18" cm="1">
        <f t="array" ref="AD18">+_xll.EQNXTDZ($A$1,$B18,AD$2)</f>
        <v>1540.61</v>
      </c>
      <c r="AE18" cm="1">
        <f t="array" ref="AE18">+_xll.EQNXTDZ($A$1,$B18,AE$2)</f>
        <v>1321.74</v>
      </c>
      <c r="AF18" cm="1">
        <f t="array" ref="AF18">+_xll.EQNXTDZ($A$1,$B18,AF$2)</f>
        <v>1912.06</v>
      </c>
      <c r="AG18" cm="1">
        <f t="array" ref="AG18">+_xll.EQNXTDZ($A$1,$B18,AG$2)</f>
        <v>1878.98</v>
      </c>
      <c r="AH18" cm="1">
        <f t="array" ref="AH18">+_xll.EQNXTDZ($A$1,$B18,AH$2)</f>
        <v>2050.5300000000002</v>
      </c>
      <c r="AI18" cm="1">
        <f t="array" ref="AI18">+_xll.EQNXTDZ($A$1,$B18,AI$2)</f>
        <v>824.16</v>
      </c>
      <c r="AJ18" cm="1">
        <f t="array" ref="AJ18">+_xll.EQNXTDZ($A$1,$B18,AJ$2)</f>
        <v>818.31</v>
      </c>
      <c r="AK18" cm="1">
        <f t="array" ref="AK18">+_xll.EQNXTDZ($A$1,$B18,AK$2)</f>
        <v>501.11</v>
      </c>
      <c r="AL18" cm="1">
        <f t="array" ref="AL18">+_xll.EQNXTDZ($A$1,$B18,AL$2)</f>
        <v>1825.96</v>
      </c>
      <c r="AM18" cm="1">
        <f t="array" ref="AM18">+_xll.EQNXTDZ($A$1,$B18,AM$2)</f>
        <v>1293.26</v>
      </c>
      <c r="AN18" cm="1">
        <f t="array" ref="AN18">+_xll.EQNXTDZ($A$1,$B18,AN$2)</f>
        <v>1043.04</v>
      </c>
      <c r="AO18" cm="1">
        <f t="array" ref="AO18">+_xll.EQNXTDZ($A$1,$B18,AO$2)</f>
        <v>303.7</v>
      </c>
      <c r="AP18" cm="1">
        <f t="array" ref="AP18">+_xll.EQNXTDZ($A$1,$B18,AP$2)</f>
        <v>1337.66</v>
      </c>
      <c r="AQ18" cm="1">
        <f t="array" ref="AQ18">+_xll.EQNXTDZ($A$1,$B18,AQ$2)</f>
        <v>1096.08</v>
      </c>
      <c r="AR18" cm="1">
        <f t="array" ref="AR18">+_xll.EQNXTDZ($A$1,$B18,AR$2)</f>
        <v>441.24</v>
      </c>
      <c r="AS18" cm="1">
        <f t="array" ref="AS18">+_xll.EQNXTDZ($A$1,$B18,AS$2)</f>
        <v>575.99</v>
      </c>
      <c r="AT18" cm="1">
        <f t="array" ref="AT18">+_xll.EQNXTDZ($A$1,$B18,AT$2)</f>
        <v>989.76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257</v>
      </c>
      <c r="C19" cm="1">
        <f t="array" ref="C19">+_xll.EQNXTDZ($A$1,$B19,C$2)</f>
        <v>189.48</v>
      </c>
      <c r="D19" cm="1">
        <f t="array" ref="D19">+_xll.EQNXTDZ($A$1,$B19,D$2)</f>
        <v>-1779.13</v>
      </c>
      <c r="E19" cm="1">
        <f t="array" ref="E19">+_xll.EQNXTDZ($A$1,$B19,E$2)</f>
        <v>-2194.9499999999998</v>
      </c>
      <c r="F19" cm="1">
        <f t="array" ref="F19">+_xll.EQNXTDZ($A$1,$B19,F$2)</f>
        <v>-4006.17</v>
      </c>
      <c r="G19" cm="1">
        <f t="array" ref="G19">+_xll.EQNXTDZ($A$1,$B19,G$2)</f>
        <v>-1116.33</v>
      </c>
      <c r="H19" cm="1">
        <f t="array" ref="H19">+_xll.EQNXTDZ($A$1,$B19,H$2)</f>
        <v>196.62</v>
      </c>
      <c r="I19" cm="1">
        <f t="array" ref="I19">+_xll.EQNXTDZ($A$1,$B19,I$2)</f>
        <v>155.87</v>
      </c>
      <c r="J19" cm="1">
        <f t="array" ref="J19">+_xll.EQNXTDZ($A$1,$B19,J$2)</f>
        <v>-1608.72</v>
      </c>
      <c r="K19" cm="1">
        <f t="array" ref="K19">+_xll.EQNXTDZ($A$1,$B19,K$2)</f>
        <v>134.15</v>
      </c>
      <c r="L19" cm="1">
        <f t="array" ref="L19">+_xll.EQNXTDZ($A$1,$B19,L$2)</f>
        <v>279.75</v>
      </c>
      <c r="M19" cm="1">
        <f t="array" ref="M19">+_xll.EQNXTDZ($A$1,$B19,M$2)</f>
        <v>-3545.38</v>
      </c>
      <c r="N19" cm="1">
        <f t="array" ref="N19">+_xll.EQNXTDZ($A$1,$B19,N$2)</f>
        <v>-5502</v>
      </c>
      <c r="O19" cm="1">
        <f t="array" ref="O19">+_xll.EQNXTDZ($A$1,$B19,O$2)</f>
        <v>-695</v>
      </c>
      <c r="P19" cm="1">
        <f t="array" ref="P19">+_xll.EQNXTDZ($A$1,$B19,P$2)</f>
        <v>-1696.26</v>
      </c>
      <c r="Q19" cm="1">
        <f t="array" ref="Q19">+_xll.EQNXTDZ($A$1,$B19,Q$2)</f>
        <v>-6727.9</v>
      </c>
      <c r="R19" cm="1">
        <f t="array" ref="R19">+_xll.EQNXTDZ($A$1,$B19,R$2)</f>
        <v>405.75</v>
      </c>
      <c r="S19" cm="1">
        <f t="array" ref="S19">+_xll.EQNXTDZ($A$1,$B19,S$2)</f>
        <v>359.37</v>
      </c>
      <c r="T19" cm="1">
        <f t="array" ref="T19">+_xll.EQNXTDZ($A$1,$B19,T$2)</f>
        <v>407.57</v>
      </c>
      <c r="U19" cm="1">
        <f t="array" ref="U19">+_xll.EQNXTDZ($A$1,$B19,U$2)</f>
        <v>119.68</v>
      </c>
      <c r="V19" cm="1">
        <f t="array" ref="V19">+_xll.EQNXTDZ($A$1,$B19,V$2)</f>
        <v>-5489.36</v>
      </c>
      <c r="W19" cm="1">
        <f t="array" ref="W19">+_xll.EQNXTDZ($A$1,$B19,W$2)</f>
        <v>1332.45</v>
      </c>
      <c r="X19" cm="1">
        <f t="array" ref="X19">+_xll.EQNXTDZ($A$1,$B19,X$2)</f>
        <v>785.38</v>
      </c>
      <c r="Y19" cm="1">
        <f t="array" ref="Y19">+_xll.EQNXTDZ($A$1,$B19,Y$2)</f>
        <v>855.56</v>
      </c>
      <c r="Z19" cm="1">
        <f t="array" ref="Z19">+_xll.EQNXTDZ($A$1,$B19,Z$2)</f>
        <v>263.33</v>
      </c>
      <c r="AA19" cm="1">
        <f t="array" ref="AA19">+_xll.EQNXTDZ($A$1,$B19,AA$2)</f>
        <v>1097.0899999999999</v>
      </c>
      <c r="AB19" cm="1">
        <f t="array" ref="AB19">+_xll.EQNXTDZ($A$1,$B19,AB$2)</f>
        <v>1783.8</v>
      </c>
      <c r="AC19" cm="1">
        <f t="array" ref="AC19">+_xll.EQNXTDZ($A$1,$B19,AC$2)</f>
        <v>1760.81</v>
      </c>
      <c r="AD19" cm="1">
        <f t="array" ref="AD19">+_xll.EQNXTDZ($A$1,$B19,AD$2)</f>
        <v>925.05</v>
      </c>
      <c r="AE19" cm="1">
        <f t="array" ref="AE19">+_xll.EQNXTDZ($A$1,$B19,AE$2)</f>
        <v>861.07</v>
      </c>
      <c r="AF19" cm="1">
        <f t="array" ref="AF19">+_xll.EQNXTDZ($A$1,$B19,AF$2)</f>
        <v>1462.12</v>
      </c>
      <c r="AG19" cm="1">
        <f t="array" ref="AG19">+_xll.EQNXTDZ($A$1,$B19,AG$2)</f>
        <v>1772.95</v>
      </c>
      <c r="AH19" cm="1">
        <f t="array" ref="AH19">+_xll.EQNXTDZ($A$1,$B19,AH$2)</f>
        <v>2133.17</v>
      </c>
      <c r="AI19" cm="1">
        <f t="array" ref="AI19">+_xll.EQNXTDZ($A$1,$B19,AI$2)</f>
        <v>2927.79</v>
      </c>
      <c r="AJ19" cm="1">
        <f t="array" ref="AJ19">+_xll.EQNXTDZ($A$1,$B19,AJ$2)</f>
        <v>2937.25</v>
      </c>
      <c r="AK19" cm="1">
        <f t="array" ref="AK19">+_xll.EQNXTDZ($A$1,$B19,AK$2)</f>
        <v>2502.83</v>
      </c>
      <c r="AL19" cm="1">
        <f t="array" ref="AL19">+_xll.EQNXTDZ($A$1,$B19,AL$2)</f>
        <v>1731.2</v>
      </c>
      <c r="AM19" cm="1">
        <f t="array" ref="AM19">+_xll.EQNXTDZ($A$1,$B19,AM$2)</f>
        <v>2384.0500000000002</v>
      </c>
      <c r="AN19" cm="1">
        <f t="array" ref="AN19">+_xll.EQNXTDZ($A$1,$B19,AN$2)</f>
        <v>3104.36</v>
      </c>
      <c r="AO19" cm="1">
        <f t="array" ref="AO19">+_xll.EQNXTDZ($A$1,$B19,AO$2)</f>
        <v>3398.87</v>
      </c>
      <c r="AP19" cm="1">
        <f t="array" ref="AP19">+_xll.EQNXTDZ($A$1,$B19,AP$2)</f>
        <v>3547.17</v>
      </c>
      <c r="AQ19" cm="1">
        <f t="array" ref="AQ19">+_xll.EQNXTDZ($A$1,$B19,AQ$2)</f>
        <v>2913.3</v>
      </c>
      <c r="AR19" cm="1">
        <f t="array" ref="AR19">+_xll.EQNXTDZ($A$1,$B19,AR$2)</f>
        <v>3379.61</v>
      </c>
      <c r="AS19" cm="1">
        <f t="array" ref="AS19">+_xll.EQNXTDZ($A$1,$B19,AS$2)</f>
        <v>3616.8</v>
      </c>
      <c r="AT19" cm="1">
        <f t="array" ref="AT19">+_xll.EQNXTDZ($A$1,$B19,AT$2)</f>
        <v>4035.95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258</v>
      </c>
      <c r="C20" cm="1">
        <f t="array" ref="C20">+_xll.EQNXTDZ($A$1,$B20,C$2)</f>
        <v>59.76</v>
      </c>
      <c r="D20" cm="1">
        <f t="array" ref="D20">+_xll.EQNXTDZ($A$1,$B20,D$2)</f>
        <v>-652.89</v>
      </c>
      <c r="E20" cm="1">
        <f t="array" ref="E20">+_xll.EQNXTDZ($A$1,$B20,E$2)</f>
        <v>-689.37</v>
      </c>
      <c r="F20" cm="1">
        <f t="array" ref="F20">+_xll.EQNXTDZ($A$1,$B20,F$2)</f>
        <v>-419.06</v>
      </c>
      <c r="G20" cm="1">
        <f t="array" ref="G20">+_xll.EQNXTDZ($A$1,$B20,G$2)</f>
        <v>-374.97</v>
      </c>
      <c r="H20" cm="1">
        <f t="array" ref="H20">+_xll.EQNXTDZ($A$1,$B20,H$2)</f>
        <v>69.78</v>
      </c>
      <c r="I20" cm="1">
        <f t="array" ref="I20">+_xll.EQNXTDZ($A$1,$B20,I$2)</f>
        <v>54.15</v>
      </c>
      <c r="J20" cm="1">
        <f t="array" ref="J20">+_xll.EQNXTDZ($A$1,$B20,J$2)</f>
        <v>-563.17999999999995</v>
      </c>
      <c r="K20" cm="1">
        <f t="array" ref="K20">+_xll.EQNXTDZ($A$1,$B20,K$2)</f>
        <v>46.44</v>
      </c>
      <c r="L20" cm="1">
        <f t="array" ref="L20">+_xll.EQNXTDZ($A$1,$B20,L$2)</f>
        <v>100.68</v>
      </c>
      <c r="M20" cm="1">
        <f t="array" ref="M20">+_xll.EQNXTDZ($A$1,$B20,M$2)</f>
        <v>-1204.18</v>
      </c>
      <c r="N20" cm="1">
        <f t="array" ref="N20">+_xll.EQNXTDZ($A$1,$B20,N$2)</f>
        <v>-1532.73</v>
      </c>
      <c r="O20" cm="1">
        <f t="array" ref="O20">+_xll.EQNXTDZ($A$1,$B20,O$2)</f>
        <v>-790.11</v>
      </c>
      <c r="P20" cm="1">
        <f t="array" ref="P20">+_xll.EQNXTDZ($A$1,$B20,P$2)</f>
        <v>-540.01</v>
      </c>
      <c r="Q20" cm="1">
        <f t="array" ref="Q20">+_xll.EQNXTDZ($A$1,$B20,Q$2)</f>
        <v>-1990.34</v>
      </c>
      <c r="R20" cm="1">
        <f t="array" ref="R20">+_xll.EQNXTDZ($A$1,$B20,R$2)</f>
        <v>153.96</v>
      </c>
      <c r="S20" cm="1">
        <f t="array" ref="S20">+_xll.EQNXTDZ($A$1,$B20,S$2)</f>
        <v>116.75</v>
      </c>
      <c r="T20" cm="1">
        <f t="array" ref="T20">+_xll.EQNXTDZ($A$1,$B20,T$2)</f>
        <v>141.19999999999999</v>
      </c>
      <c r="U20" cm="1">
        <f t="array" ref="U20">+_xll.EQNXTDZ($A$1,$B20,U$2)</f>
        <v>14.16</v>
      </c>
      <c r="V20" cm="1">
        <f t="array" ref="V20">+_xll.EQNXTDZ($A$1,$B20,V$2)</f>
        <v>-1917.95</v>
      </c>
      <c r="W20" cm="1">
        <f t="array" ref="W20">+_xll.EQNXTDZ($A$1,$B20,W$2)</f>
        <v>488.85</v>
      </c>
      <c r="X20" cm="1">
        <f t="array" ref="X20">+_xll.EQNXTDZ($A$1,$B20,X$2)</f>
        <v>259.60000000000002</v>
      </c>
      <c r="Y20" cm="1">
        <f t="array" ref="Y20">+_xll.EQNXTDZ($A$1,$B20,Y$2)</f>
        <v>314.83999999999997</v>
      </c>
      <c r="Z20" cm="1">
        <f t="array" ref="Z20">+_xll.EQNXTDZ($A$1,$B20,Z$2)</f>
        <v>13.14</v>
      </c>
      <c r="AA20" cm="1">
        <f t="array" ref="AA20">+_xll.EQNXTDZ($A$1,$B20,AA$2)</f>
        <v>377.09</v>
      </c>
      <c r="AB20" cm="1">
        <f t="array" ref="AB20">+_xll.EQNXTDZ($A$1,$B20,AB$2)</f>
        <v>732.82</v>
      </c>
      <c r="AC20" cm="1">
        <f t="array" ref="AC20">+_xll.EQNXTDZ($A$1,$B20,AC$2)</f>
        <v>733.36</v>
      </c>
      <c r="AD20" cm="1">
        <f t="array" ref="AD20">+_xll.EQNXTDZ($A$1,$B20,AD$2)</f>
        <v>318.77999999999997</v>
      </c>
      <c r="AE20" cm="1">
        <f t="array" ref="AE20">+_xll.EQNXTDZ($A$1,$B20,AE$2)</f>
        <v>299.58</v>
      </c>
      <c r="AF20" cm="1">
        <f t="array" ref="AF20">+_xll.EQNXTDZ($A$1,$B20,AF$2)</f>
        <v>502.12</v>
      </c>
      <c r="AG20" cm="1">
        <f t="array" ref="AG20">+_xll.EQNXTDZ($A$1,$B20,AG$2)</f>
        <v>621.94000000000005</v>
      </c>
      <c r="AH20" cm="1">
        <f t="array" ref="AH20">+_xll.EQNXTDZ($A$1,$B20,AH$2)</f>
        <v>782.73</v>
      </c>
      <c r="AI20" cm="1">
        <f t="array" ref="AI20">+_xll.EQNXTDZ($A$1,$B20,AI$2)</f>
        <v>1376.72</v>
      </c>
      <c r="AJ20" cm="1">
        <f t="array" ref="AJ20">+_xll.EQNXTDZ($A$1,$B20,AJ$2)</f>
        <v>1478.82</v>
      </c>
      <c r="AK20" cm="1">
        <f t="array" ref="AK20">+_xll.EQNXTDZ($A$1,$B20,AK$2)</f>
        <v>633.32000000000005</v>
      </c>
      <c r="AL20" cm="1">
        <f t="array" ref="AL20">+_xll.EQNXTDZ($A$1,$B20,AL$2)</f>
        <v>292.29000000000002</v>
      </c>
      <c r="AM20" cm="1">
        <f t="array" ref="AM20">+_xll.EQNXTDZ($A$1,$B20,AM$2)</f>
        <v>681.32</v>
      </c>
      <c r="AN20" cm="1">
        <f t="array" ref="AN20">+_xll.EQNXTDZ($A$1,$B20,AN$2)</f>
        <v>730.67</v>
      </c>
      <c r="AO20" cm="1">
        <f t="array" ref="AO20">+_xll.EQNXTDZ($A$1,$B20,AO$2)</f>
        <v>882.18</v>
      </c>
      <c r="AP20" cm="1">
        <f t="array" ref="AP20">+_xll.EQNXTDZ($A$1,$B20,AP$2)</f>
        <v>921.26</v>
      </c>
      <c r="AQ20" cm="1">
        <f t="array" ref="AQ20">+_xll.EQNXTDZ($A$1,$B20,AQ$2)</f>
        <v>661.18</v>
      </c>
      <c r="AR20" cm="1">
        <f t="array" ref="AR20">+_xll.EQNXTDZ($A$1,$B20,AR$2)</f>
        <v>825.04</v>
      </c>
      <c r="AS20" cm="1">
        <f t="array" ref="AS20">+_xll.EQNXTDZ($A$1,$B20,AS$2)</f>
        <v>912.13</v>
      </c>
      <c r="AT20" cm="1">
        <f t="array" ref="AT20">+_xll.EQNXTDZ($A$1,$B20,AT$2)</f>
        <v>1020.16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219</v>
      </c>
      <c r="B21" t="s">
        <v>259</v>
      </c>
      <c r="C21" cm="1">
        <f t="array" ref="C21">+_xll.EQNXTDZ($A$1,$B21,C$2)</f>
        <v>129.72</v>
      </c>
      <c r="D21" cm="1">
        <f t="array" ref="D21">+_xll.EQNXTDZ($A$1,$B21,D$2)</f>
        <v>-1126.24</v>
      </c>
      <c r="E21" cm="1">
        <f t="array" ref="E21">+_xll.EQNXTDZ($A$1,$B21,E$2)</f>
        <v>-1505.58</v>
      </c>
      <c r="F21" cm="1">
        <f t="array" ref="F21">+_xll.EQNXTDZ($A$1,$B21,F$2)</f>
        <v>-3587.11</v>
      </c>
      <c r="G21" cm="1">
        <f t="array" ref="G21">+_xll.EQNXTDZ($A$1,$B21,G$2)</f>
        <v>-741.36</v>
      </c>
      <c r="H21" cm="1">
        <f t="array" ref="H21">+_xll.EQNXTDZ($A$1,$B21,H$2)</f>
        <v>126.84</v>
      </c>
      <c r="I21" cm="1">
        <f t="array" ref="I21">+_xll.EQNXTDZ($A$1,$B21,I$2)</f>
        <v>101.72</v>
      </c>
      <c r="J21" cm="1">
        <f t="array" ref="J21">+_xll.EQNXTDZ($A$1,$B21,J$2)</f>
        <v>-1045.54</v>
      </c>
      <c r="K21" cm="1">
        <f t="array" ref="K21">+_xll.EQNXTDZ($A$1,$B21,K$2)</f>
        <v>87.71</v>
      </c>
      <c r="L21" cm="1">
        <f t="array" ref="L21">+_xll.EQNXTDZ($A$1,$B21,L$2)</f>
        <v>179.07</v>
      </c>
      <c r="M21" cm="1">
        <f t="array" ref="M21">+_xll.EQNXTDZ($A$1,$B21,M$2)</f>
        <v>-2341.1999999999998</v>
      </c>
      <c r="N21" cm="1">
        <f t="array" ref="N21">+_xll.EQNXTDZ($A$1,$B21,N$2)</f>
        <v>-3969.27</v>
      </c>
      <c r="O21" cm="1">
        <f t="array" ref="O21">+_xll.EQNXTDZ($A$1,$B21,O$2)</f>
        <v>95.11</v>
      </c>
      <c r="P21" cm="1">
        <f t="array" ref="P21">+_xll.EQNXTDZ($A$1,$B21,P$2)</f>
        <v>-1156.25</v>
      </c>
      <c r="Q21" cm="1">
        <f t="array" ref="Q21">+_xll.EQNXTDZ($A$1,$B21,Q$2)</f>
        <v>-4737.5600000000004</v>
      </c>
      <c r="R21" cm="1">
        <f t="array" ref="R21">+_xll.EQNXTDZ($A$1,$B21,R$2)</f>
        <v>251.79</v>
      </c>
      <c r="S21" cm="1">
        <f t="array" ref="S21">+_xll.EQNXTDZ($A$1,$B21,S$2)</f>
        <v>242.62</v>
      </c>
      <c r="T21" cm="1">
        <f t="array" ref="T21">+_xll.EQNXTDZ($A$1,$B21,T$2)</f>
        <v>266.37</v>
      </c>
      <c r="U21" cm="1">
        <f t="array" ref="U21">+_xll.EQNXTDZ($A$1,$B21,U$2)</f>
        <v>105.52</v>
      </c>
      <c r="V21" cm="1">
        <f t="array" ref="V21">+_xll.EQNXTDZ($A$1,$B21,V$2)</f>
        <v>-3571.41</v>
      </c>
      <c r="W21" cm="1">
        <f t="array" ref="W21">+_xll.EQNXTDZ($A$1,$B21,W$2)</f>
        <v>843.6</v>
      </c>
      <c r="X21" cm="1">
        <f t="array" ref="X21">+_xll.EQNXTDZ($A$1,$B21,X$2)</f>
        <v>525.78</v>
      </c>
      <c r="Y21" cm="1">
        <f t="array" ref="Y21">+_xll.EQNXTDZ($A$1,$B21,Y$2)</f>
        <v>540.72</v>
      </c>
      <c r="Z21" cm="1">
        <f t="array" ref="Z21">+_xll.EQNXTDZ($A$1,$B21,Z$2)</f>
        <v>250.19</v>
      </c>
      <c r="AA21" cm="1">
        <f t="array" ref="AA21">+_xll.EQNXTDZ($A$1,$B21,AA$2)</f>
        <v>720</v>
      </c>
      <c r="AB21" cm="1">
        <f t="array" ref="AB21">+_xll.EQNXTDZ($A$1,$B21,AB$2)</f>
        <v>1050.98</v>
      </c>
      <c r="AC21" cm="1">
        <f t="array" ref="AC21">+_xll.EQNXTDZ($A$1,$B21,AC$2)</f>
        <v>1027.45</v>
      </c>
      <c r="AD21" cm="1">
        <f t="array" ref="AD21">+_xll.EQNXTDZ($A$1,$B21,AD$2)</f>
        <v>606.27</v>
      </c>
      <c r="AE21" cm="1">
        <f t="array" ref="AE21">+_xll.EQNXTDZ($A$1,$B21,AE$2)</f>
        <v>561.49</v>
      </c>
      <c r="AF21" cm="1">
        <f t="array" ref="AF21">+_xll.EQNXTDZ($A$1,$B21,AF$2)</f>
        <v>960</v>
      </c>
      <c r="AG21" cm="1">
        <f t="array" ref="AG21">+_xll.EQNXTDZ($A$1,$B21,AG$2)</f>
        <v>1151.01</v>
      </c>
      <c r="AH21" cm="1">
        <f t="array" ref="AH21">+_xll.EQNXTDZ($A$1,$B21,AH$2)</f>
        <v>1350.44</v>
      </c>
      <c r="AI21" cm="1">
        <f t="array" ref="AI21">+_xll.EQNXTDZ($A$1,$B21,AI$2)</f>
        <v>1551.07</v>
      </c>
      <c r="AJ21" cm="1">
        <f t="array" ref="AJ21">+_xll.EQNXTDZ($A$1,$B21,AJ$2)</f>
        <v>1458.43</v>
      </c>
      <c r="AK21" cm="1">
        <f t="array" ref="AK21">+_xll.EQNXTDZ($A$1,$B21,AK$2)</f>
        <v>1869.51</v>
      </c>
      <c r="AL21" cm="1">
        <f t="array" ref="AL21">+_xll.EQNXTDZ($A$1,$B21,AL$2)</f>
        <v>1438.91</v>
      </c>
      <c r="AM21" cm="1">
        <f t="array" ref="AM21">+_xll.EQNXTDZ($A$1,$B21,AM$2)</f>
        <v>1702.73</v>
      </c>
      <c r="AN21" cm="1">
        <f t="array" ref="AN21">+_xll.EQNXTDZ($A$1,$B21,AN$2)</f>
        <v>2373.69</v>
      </c>
      <c r="AO21" cm="1">
        <f t="array" ref="AO21">+_xll.EQNXTDZ($A$1,$B21,AO$2)</f>
        <v>2516.69</v>
      </c>
      <c r="AP21" cm="1">
        <f t="array" ref="AP21">+_xll.EQNXTDZ($A$1,$B21,AP$2)</f>
        <v>2625.91</v>
      </c>
      <c r="AQ21" cm="1">
        <f t="array" ref="AQ21">+_xll.EQNXTDZ($A$1,$B21,AQ$2)</f>
        <v>2252.12</v>
      </c>
      <c r="AR21" cm="1">
        <f t="array" ref="AR21">+_xll.EQNXTDZ($A$1,$B21,AR$2)</f>
        <v>2554.5700000000002</v>
      </c>
      <c r="AS21" cm="1">
        <f t="array" ref="AS21">+_xll.EQNXTDZ($A$1,$B21,AS$2)</f>
        <v>2704.67</v>
      </c>
      <c r="AT21" cm="1">
        <f t="array" ref="AT21">+_xll.EQNXTDZ($A$1,$B21,AT$2)</f>
        <v>3015.79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220</v>
      </c>
      <c r="B22" t="s">
        <v>260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221</v>
      </c>
      <c r="B23" t="s">
        <v>261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222</v>
      </c>
      <c r="B24" t="s">
        <v>262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223</v>
      </c>
      <c r="B25" t="s">
        <v>263</v>
      </c>
      <c r="C25" cm="1">
        <f t="array" ref="C25">+_xll.EQNXTDZ($A$1,$B25,C$2)</f>
        <v>129.72</v>
      </c>
      <c r="D25" cm="1">
        <f t="array" ref="D25">+_xll.EQNXTDZ($A$1,$B25,D$2)</f>
        <v>-1126.24</v>
      </c>
      <c r="E25" cm="1">
        <f t="array" ref="E25">+_xll.EQNXTDZ($A$1,$B25,E$2)</f>
        <v>-1505.58</v>
      </c>
      <c r="F25" cm="1">
        <f t="array" ref="F25">+_xll.EQNXTDZ($A$1,$B25,F$2)</f>
        <v>-3587.11</v>
      </c>
      <c r="G25" cm="1">
        <f t="array" ref="G25">+_xll.EQNXTDZ($A$1,$B25,G$2)</f>
        <v>-741.36</v>
      </c>
      <c r="H25" cm="1">
        <f t="array" ref="H25">+_xll.EQNXTDZ($A$1,$B25,H$2)</f>
        <v>126.84</v>
      </c>
      <c r="I25" cm="1">
        <f t="array" ref="I25">+_xll.EQNXTDZ($A$1,$B25,I$2)</f>
        <v>101.72</v>
      </c>
      <c r="J25" cm="1">
        <f t="array" ref="J25">+_xll.EQNXTDZ($A$1,$B25,J$2)</f>
        <v>-1045.54</v>
      </c>
      <c r="K25" cm="1">
        <f t="array" ref="K25">+_xll.EQNXTDZ($A$1,$B25,K$2)</f>
        <v>87.71</v>
      </c>
      <c r="L25" cm="1">
        <f t="array" ref="L25">+_xll.EQNXTDZ($A$1,$B25,L$2)</f>
        <v>179.07</v>
      </c>
      <c r="M25" cm="1">
        <f t="array" ref="M25">+_xll.EQNXTDZ($A$1,$B25,M$2)</f>
        <v>-2341.1999999999998</v>
      </c>
      <c r="N25" cm="1">
        <f t="array" ref="N25">+_xll.EQNXTDZ($A$1,$B25,N$2)</f>
        <v>-3969.27</v>
      </c>
      <c r="O25" cm="1">
        <f t="array" ref="O25">+_xll.EQNXTDZ($A$1,$B25,O$2)</f>
        <v>95.11</v>
      </c>
      <c r="P25" cm="1">
        <f t="array" ref="P25">+_xll.EQNXTDZ($A$1,$B25,P$2)</f>
        <v>-1156.25</v>
      </c>
      <c r="Q25" cm="1">
        <f t="array" ref="Q25">+_xll.EQNXTDZ($A$1,$B25,Q$2)</f>
        <v>-4737.5600000000004</v>
      </c>
      <c r="R25" cm="1">
        <f t="array" ref="R25">+_xll.EQNXTDZ($A$1,$B25,R$2)</f>
        <v>251.79</v>
      </c>
      <c r="S25" cm="1">
        <f t="array" ref="S25">+_xll.EQNXTDZ($A$1,$B25,S$2)</f>
        <v>242.62</v>
      </c>
      <c r="T25" cm="1">
        <f t="array" ref="T25">+_xll.EQNXTDZ($A$1,$B25,T$2)</f>
        <v>266.37</v>
      </c>
      <c r="U25" cm="1">
        <f t="array" ref="U25">+_xll.EQNXTDZ($A$1,$B25,U$2)</f>
        <v>105.52</v>
      </c>
      <c r="V25" cm="1">
        <f t="array" ref="V25">+_xll.EQNXTDZ($A$1,$B25,V$2)</f>
        <v>-3571.41</v>
      </c>
      <c r="W25" cm="1">
        <f t="array" ref="W25">+_xll.EQNXTDZ($A$1,$B25,W$2)</f>
        <v>843.6</v>
      </c>
      <c r="X25" cm="1">
        <f t="array" ref="X25">+_xll.EQNXTDZ($A$1,$B25,X$2)</f>
        <v>525.78</v>
      </c>
      <c r="Y25" cm="1">
        <f t="array" ref="Y25">+_xll.EQNXTDZ($A$1,$B25,Y$2)</f>
        <v>540.72</v>
      </c>
      <c r="Z25" cm="1">
        <f t="array" ref="Z25">+_xll.EQNXTDZ($A$1,$B25,Z$2)</f>
        <v>250.19</v>
      </c>
      <c r="AA25" cm="1">
        <f t="array" ref="AA25">+_xll.EQNXTDZ($A$1,$B25,AA$2)</f>
        <v>720</v>
      </c>
      <c r="AB25" cm="1">
        <f t="array" ref="AB25">+_xll.EQNXTDZ($A$1,$B25,AB$2)</f>
        <v>1050.98</v>
      </c>
      <c r="AC25" cm="1">
        <f t="array" ref="AC25">+_xll.EQNXTDZ($A$1,$B25,AC$2)</f>
        <v>1027.45</v>
      </c>
      <c r="AD25" cm="1">
        <f t="array" ref="AD25">+_xll.EQNXTDZ($A$1,$B25,AD$2)</f>
        <v>606.27</v>
      </c>
      <c r="AE25" cm="1">
        <f t="array" ref="AE25">+_xll.EQNXTDZ($A$1,$B25,AE$2)</f>
        <v>561.49</v>
      </c>
      <c r="AF25" cm="1">
        <f t="array" ref="AF25">+_xll.EQNXTDZ($A$1,$B25,AF$2)</f>
        <v>960</v>
      </c>
      <c r="AG25" cm="1">
        <f t="array" ref="AG25">+_xll.EQNXTDZ($A$1,$B25,AG$2)</f>
        <v>1151.01</v>
      </c>
      <c r="AH25" cm="1">
        <f t="array" ref="AH25">+_xll.EQNXTDZ($A$1,$B25,AH$2)</f>
        <v>1350.44</v>
      </c>
      <c r="AI25" cm="1">
        <f t="array" ref="AI25">+_xll.EQNXTDZ($A$1,$B25,AI$2)</f>
        <v>1551.07</v>
      </c>
      <c r="AJ25" cm="1">
        <f t="array" ref="AJ25">+_xll.EQNXTDZ($A$1,$B25,AJ$2)</f>
        <v>1458.43</v>
      </c>
      <c r="AK25" cm="1">
        <f t="array" ref="AK25">+_xll.EQNXTDZ($A$1,$B25,AK$2)</f>
        <v>1869.51</v>
      </c>
      <c r="AL25" cm="1">
        <f t="array" ref="AL25">+_xll.EQNXTDZ($A$1,$B25,AL$2)</f>
        <v>1438.91</v>
      </c>
      <c r="AM25" cm="1">
        <f t="array" ref="AM25">+_xll.EQNXTDZ($A$1,$B25,AM$2)</f>
        <v>1702.73</v>
      </c>
      <c r="AN25" cm="1">
        <f t="array" ref="AN25">+_xll.EQNXTDZ($A$1,$B25,AN$2)</f>
        <v>2373.69</v>
      </c>
      <c r="AO25" cm="1">
        <f t="array" ref="AO25">+_xll.EQNXTDZ($A$1,$B25,AO$2)</f>
        <v>2516.69</v>
      </c>
      <c r="AP25" cm="1">
        <f t="array" ref="AP25">+_xll.EQNXTDZ($A$1,$B25,AP$2)</f>
        <v>2625.91</v>
      </c>
      <c r="AQ25" cm="1">
        <f t="array" ref="AQ25">+_xll.EQNXTDZ($A$1,$B25,AQ$2)</f>
        <v>2252.12</v>
      </c>
      <c r="AR25" cm="1">
        <f t="array" ref="AR25">+_xll.EQNXTDZ($A$1,$B25,AR$2)</f>
        <v>2554.5700000000002</v>
      </c>
      <c r="AS25" cm="1">
        <f t="array" ref="AS25">+_xll.EQNXTDZ($A$1,$B25,AS$2)</f>
        <v>2704.67</v>
      </c>
      <c r="AT25" cm="1">
        <f t="array" ref="AT25">+_xll.EQNXTDZ($A$1,$B25,AT$2)</f>
        <v>3015.79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224</v>
      </c>
      <c r="B26" t="s">
        <v>264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225</v>
      </c>
      <c r="B27" t="s">
        <v>265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226</v>
      </c>
      <c r="B28" t="s">
        <v>266</v>
      </c>
      <c r="C28" cm="1">
        <f t="array" ref="C28">+_xll.EQNXTDZ($A$1,$B28,C$2)</f>
        <v>129.72</v>
      </c>
      <c r="D28" cm="1">
        <f t="array" ref="D28">+_xll.EQNXTDZ($A$1,$B28,D$2)</f>
        <v>-1126.24</v>
      </c>
      <c r="E28" cm="1">
        <f t="array" ref="E28">+_xll.EQNXTDZ($A$1,$B28,E$2)</f>
        <v>-1505.58</v>
      </c>
      <c r="F28" cm="1">
        <f t="array" ref="F28">+_xll.EQNXTDZ($A$1,$B28,F$2)</f>
        <v>-3587.11</v>
      </c>
      <c r="G28" cm="1">
        <f t="array" ref="G28">+_xll.EQNXTDZ($A$1,$B28,G$2)</f>
        <v>-741.36</v>
      </c>
      <c r="H28" cm="1">
        <f t="array" ref="H28">+_xll.EQNXTDZ($A$1,$B28,H$2)</f>
        <v>126.84</v>
      </c>
      <c r="I28" cm="1">
        <f t="array" ref="I28">+_xll.EQNXTDZ($A$1,$B28,I$2)</f>
        <v>101.72</v>
      </c>
      <c r="J28" cm="1">
        <f t="array" ref="J28">+_xll.EQNXTDZ($A$1,$B28,J$2)</f>
        <v>-1045.54</v>
      </c>
      <c r="K28" cm="1">
        <f t="array" ref="K28">+_xll.EQNXTDZ($A$1,$B28,K$2)</f>
        <v>87.71</v>
      </c>
      <c r="L28" cm="1">
        <f t="array" ref="L28">+_xll.EQNXTDZ($A$1,$B28,L$2)</f>
        <v>179.07</v>
      </c>
      <c r="M28" cm="1">
        <f t="array" ref="M28">+_xll.EQNXTDZ($A$1,$B28,M$2)</f>
        <v>-2341.1999999999998</v>
      </c>
      <c r="N28" cm="1">
        <f t="array" ref="N28">+_xll.EQNXTDZ($A$1,$B28,N$2)</f>
        <v>-3969.27</v>
      </c>
      <c r="O28" cm="1">
        <f t="array" ref="O28">+_xll.EQNXTDZ($A$1,$B28,O$2)</f>
        <v>95.11</v>
      </c>
      <c r="P28" cm="1">
        <f t="array" ref="P28">+_xll.EQNXTDZ($A$1,$B28,P$2)</f>
        <v>-1156.25</v>
      </c>
      <c r="Q28" cm="1">
        <f t="array" ref="Q28">+_xll.EQNXTDZ($A$1,$B28,Q$2)</f>
        <v>-4737.5600000000004</v>
      </c>
      <c r="R28" cm="1">
        <f t="array" ref="R28">+_xll.EQNXTDZ($A$1,$B28,R$2)</f>
        <v>251.79</v>
      </c>
      <c r="S28" cm="1">
        <f t="array" ref="S28">+_xll.EQNXTDZ($A$1,$B28,S$2)</f>
        <v>242.62</v>
      </c>
      <c r="T28" cm="1">
        <f t="array" ref="T28">+_xll.EQNXTDZ($A$1,$B28,T$2)</f>
        <v>266.37</v>
      </c>
      <c r="U28" cm="1">
        <f t="array" ref="U28">+_xll.EQNXTDZ($A$1,$B28,U$2)</f>
        <v>105.52</v>
      </c>
      <c r="V28" cm="1">
        <f t="array" ref="V28">+_xll.EQNXTDZ($A$1,$B28,V$2)</f>
        <v>-3571.41</v>
      </c>
      <c r="W28" cm="1">
        <f t="array" ref="W28">+_xll.EQNXTDZ($A$1,$B28,W$2)</f>
        <v>843.6</v>
      </c>
      <c r="X28" cm="1">
        <f t="array" ref="X28">+_xll.EQNXTDZ($A$1,$B28,X$2)</f>
        <v>525.78</v>
      </c>
      <c r="Y28" cm="1">
        <f t="array" ref="Y28">+_xll.EQNXTDZ($A$1,$B28,Y$2)</f>
        <v>540.72</v>
      </c>
      <c r="Z28" cm="1">
        <f t="array" ref="Z28">+_xll.EQNXTDZ($A$1,$B28,Z$2)</f>
        <v>250.19</v>
      </c>
      <c r="AA28" cm="1">
        <f t="array" ref="AA28">+_xll.EQNXTDZ($A$1,$B28,AA$2)</f>
        <v>720</v>
      </c>
      <c r="AB28" cm="1">
        <f t="array" ref="AB28">+_xll.EQNXTDZ($A$1,$B28,AB$2)</f>
        <v>1050.98</v>
      </c>
      <c r="AC28" cm="1">
        <f t="array" ref="AC28">+_xll.EQNXTDZ($A$1,$B28,AC$2)</f>
        <v>1027.45</v>
      </c>
      <c r="AD28" cm="1">
        <f t="array" ref="AD28">+_xll.EQNXTDZ($A$1,$B28,AD$2)</f>
        <v>606.27</v>
      </c>
      <c r="AE28" cm="1">
        <f t="array" ref="AE28">+_xll.EQNXTDZ($A$1,$B28,AE$2)</f>
        <v>561.49</v>
      </c>
      <c r="AF28" cm="1">
        <f t="array" ref="AF28">+_xll.EQNXTDZ($A$1,$B28,AF$2)</f>
        <v>960</v>
      </c>
      <c r="AG28" cm="1">
        <f t="array" ref="AG28">+_xll.EQNXTDZ($A$1,$B28,AG$2)</f>
        <v>1151.01</v>
      </c>
      <c r="AH28" cm="1">
        <f t="array" ref="AH28">+_xll.EQNXTDZ($A$1,$B28,AH$2)</f>
        <v>1350.44</v>
      </c>
      <c r="AI28" cm="1">
        <f t="array" ref="AI28">+_xll.EQNXTDZ($A$1,$B28,AI$2)</f>
        <v>1551.07</v>
      </c>
      <c r="AJ28" cm="1">
        <f t="array" ref="AJ28">+_xll.EQNXTDZ($A$1,$B28,AJ$2)</f>
        <v>1458.43</v>
      </c>
      <c r="AK28" cm="1">
        <f t="array" ref="AK28">+_xll.EQNXTDZ($A$1,$B28,AK$2)</f>
        <v>1869.51</v>
      </c>
      <c r="AL28" cm="1">
        <f t="array" ref="AL28">+_xll.EQNXTDZ($A$1,$B28,AL$2)</f>
        <v>1438.91</v>
      </c>
      <c r="AM28" cm="1">
        <f t="array" ref="AM28">+_xll.EQNXTDZ($A$1,$B28,AM$2)</f>
        <v>1702.73</v>
      </c>
      <c r="AN28" cm="1">
        <f t="array" ref="AN28">+_xll.EQNXTDZ($A$1,$B28,AN$2)</f>
        <v>2373.69</v>
      </c>
      <c r="AO28" cm="1">
        <f t="array" ref="AO28">+_xll.EQNXTDZ($A$1,$B28,AO$2)</f>
        <v>2516.69</v>
      </c>
      <c r="AP28" cm="1">
        <f t="array" ref="AP28">+_xll.EQNXTDZ($A$1,$B28,AP$2)</f>
        <v>2625.91</v>
      </c>
      <c r="AQ28" cm="1">
        <f t="array" ref="AQ28">+_xll.EQNXTDZ($A$1,$B28,AQ$2)</f>
        <v>2252.12</v>
      </c>
      <c r="AR28" cm="1">
        <f t="array" ref="AR28">+_xll.EQNXTDZ($A$1,$B28,AR$2)</f>
        <v>2554.5700000000002</v>
      </c>
      <c r="AS28" cm="1">
        <f t="array" ref="AS28">+_xll.EQNXTDZ($A$1,$B28,AS$2)</f>
        <v>2704.67</v>
      </c>
      <c r="AT28" cm="1">
        <f t="array" ref="AT28">+_xll.EQNXTDZ($A$1,$B28,AT$2)</f>
        <v>3015.79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227</v>
      </c>
      <c r="B29" t="s">
        <v>267</v>
      </c>
      <c r="C29" cm="1">
        <f t="array" ref="C29">+_xll.EQNXTDZ($A$1,$B29,C$2)</f>
        <v>665.65</v>
      </c>
      <c r="D29" cm="1">
        <f t="array" ref="D29">+_xll.EQNXTDZ($A$1,$B29,D$2)</f>
        <v>791.91</v>
      </c>
      <c r="E29" cm="1">
        <f t="array" ref="E29">+_xll.EQNXTDZ($A$1,$B29,E$2)</f>
        <v>791.91</v>
      </c>
      <c r="F29" cm="1">
        <f t="array" ref="F29">+_xll.EQNXTDZ($A$1,$B29,F$2)</f>
        <v>817.29</v>
      </c>
      <c r="G29" cm="1">
        <f t="array" ref="G29">+_xll.EQNXTDZ($A$1,$B29,G$2)</f>
        <v>934.77</v>
      </c>
      <c r="H29" cm="1">
        <f t="array" ref="H29">+_xll.EQNXTDZ($A$1,$B29,H$2)</f>
        <v>1055.43</v>
      </c>
      <c r="I29" cm="1">
        <f t="array" ref="I29">+_xll.EQNXTDZ($A$1,$B29,I$2)</f>
        <v>1055.43</v>
      </c>
      <c r="J29" cm="1">
        <f t="array" ref="J29">+_xll.EQNXTDZ($A$1,$B29,J$2)</f>
        <v>1055.43</v>
      </c>
      <c r="K29" cm="1">
        <f t="array" ref="K29">+_xll.EQNXTDZ($A$1,$B29,K$2)</f>
        <v>1072.93</v>
      </c>
      <c r="L29" cm="1">
        <f t="array" ref="L29">+_xll.EQNXTDZ($A$1,$B29,L$2)</f>
        <v>1185.29</v>
      </c>
      <c r="M29" cm="1">
        <f t="array" ref="M29">+_xll.EQNXTDZ($A$1,$B29,M$2)</f>
        <v>1185.29</v>
      </c>
      <c r="N29" cm="1">
        <f t="array" ref="N29">+_xll.EQNXTDZ($A$1,$B29,N$2)</f>
        <v>1743.72</v>
      </c>
      <c r="O29" cm="1">
        <f t="array" ref="O29">+_xll.EQNXTDZ($A$1,$B29,O$2)</f>
        <v>1743.72</v>
      </c>
      <c r="P29" cm="1">
        <f t="array" ref="P29">+_xll.EQNXTDZ($A$1,$B29,P$2)</f>
        <v>1743.72</v>
      </c>
      <c r="Q29" cm="1">
        <f t="array" ref="Q29">+_xll.EQNXTDZ($A$1,$B29,Q$2)</f>
        <v>1743.72</v>
      </c>
      <c r="R29" cm="1">
        <f t="array" ref="R29">+_xll.EQNXTDZ($A$1,$B29,R$2)</f>
        <v>2760.03</v>
      </c>
      <c r="S29" cm="1">
        <f t="array" ref="S29">+_xll.EQNXTDZ($A$1,$B29,S$2)</f>
        <v>3277.66</v>
      </c>
      <c r="T29" cm="1">
        <f t="array" ref="T29">+_xll.EQNXTDZ($A$1,$B29,T$2)</f>
        <v>3277.66</v>
      </c>
      <c r="U29" cm="1">
        <f t="array" ref="U29">+_xll.EQNXTDZ($A$1,$B29,U$2)</f>
        <v>3277.66</v>
      </c>
      <c r="V29" cm="1">
        <f t="array" ref="V29">+_xll.EQNXTDZ($A$1,$B29,V$2)</f>
        <v>3277.66</v>
      </c>
      <c r="W29" cm="1">
        <f t="array" ref="W29">+_xll.EQNXTDZ($A$1,$B29,W$2)</f>
        <v>3277.66</v>
      </c>
      <c r="X29" cm="1">
        <f t="array" ref="X29">+_xll.EQNXTDZ($A$1,$B29,X$2)</f>
        <v>3277.66</v>
      </c>
      <c r="Y29" cm="1">
        <f t="array" ref="Y29">+_xll.EQNXTDZ($A$1,$B29,Y$2)</f>
        <v>3277.66</v>
      </c>
      <c r="Z29" cm="1">
        <f t="array" ref="Z29">+_xll.EQNXTDZ($A$1,$B29,Z$2)</f>
        <v>3277.66</v>
      </c>
      <c r="AA29" cm="1">
        <f t="array" ref="AA29">+_xll.EQNXTDZ($A$1,$B29,AA$2)</f>
        <v>3698.83</v>
      </c>
      <c r="AB29" cm="1">
        <f t="array" ref="AB29">+_xll.EQNXTDZ($A$1,$B29,AB$2)</f>
        <v>4104.3100000000004</v>
      </c>
      <c r="AC29" cm="1">
        <f t="array" ref="AC29">+_xll.EQNXTDZ($A$1,$B29,AC$2)</f>
        <v>4104.3100000000004</v>
      </c>
      <c r="AD29" cm="1">
        <f t="array" ref="AD29">+_xll.EQNXTDZ($A$1,$B29,AD$2)</f>
        <v>4104.3100000000004</v>
      </c>
      <c r="AE29" cm="1">
        <f t="array" ref="AE29">+_xll.EQNXTDZ($A$1,$B29,AE$2)</f>
        <v>4104.3100000000004</v>
      </c>
      <c r="AF29" cm="1">
        <f t="array" ref="AF29">+_xll.EQNXTDZ($A$1,$B29,AF$2)</f>
        <v>4104.3100000000004</v>
      </c>
      <c r="AG29" cm="1">
        <f t="array" ref="AG29">+_xll.EQNXTDZ($A$1,$B29,AG$2)</f>
        <v>4104.3100000000004</v>
      </c>
      <c r="AH29" cm="1">
        <f t="array" ref="AH29">+_xll.EQNXTDZ($A$1,$B29,AH$2)</f>
        <v>4104.3100000000004</v>
      </c>
      <c r="AI29" cm="1">
        <f t="array" ref="AI29">+_xll.EQNXTDZ($A$1,$B29,AI$2)</f>
        <v>4104.3100000000004</v>
      </c>
      <c r="AJ29" cm="1">
        <f t="array" ref="AJ29">+_xll.EQNXTDZ($A$1,$B29,AJ$2)</f>
        <v>4104.3100000000004</v>
      </c>
      <c r="AK29" cm="1">
        <f t="array" ref="AK29">+_xll.EQNXTDZ($A$1,$B29,AK$2)</f>
        <v>4553.41</v>
      </c>
      <c r="AL29" cm="1">
        <f t="array" ref="AL29">+_xll.EQNXTDZ($A$1,$B29,AL$2)</f>
        <v>4553.41</v>
      </c>
      <c r="AM29" cm="1">
        <f t="array" ref="AM29">+_xll.EQNXTDZ($A$1,$B29,AM$2)</f>
        <v>4553.41</v>
      </c>
      <c r="AN29" cm="1">
        <f t="array" ref="AN29">+_xll.EQNXTDZ($A$1,$B29,AN$2)</f>
        <v>4553.41</v>
      </c>
      <c r="AO29" cm="1">
        <f t="array" ref="AO29">+_xll.EQNXTDZ($A$1,$B29,AO$2)</f>
        <v>4553.41</v>
      </c>
      <c r="AP29" cm="1">
        <f t="array" ref="AP29">+_xll.EQNXTDZ($A$1,$B29,AP$2)</f>
        <v>4553.41</v>
      </c>
      <c r="AQ29" cm="1">
        <f t="array" ref="AQ29">+_xll.EQNXTDZ($A$1,$B29,AQ$2)</f>
        <v>4553.41</v>
      </c>
      <c r="AR29" cm="1">
        <f t="array" ref="AR29">+_xll.EQNXTDZ($A$1,$B29,AR$2)</f>
        <v>4553.41</v>
      </c>
      <c r="AS29" cm="1">
        <f t="array" ref="AS29">+_xll.EQNXTDZ($A$1,$B29,AS$2)</f>
        <v>4553.41</v>
      </c>
      <c r="AT29" cm="1">
        <f t="array" ref="AT29">+_xll.EQNXTDZ($A$1,$B29,AT$2)</f>
        <v>4553.41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203</v>
      </c>
      <c r="B30" t="s">
        <v>268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228</v>
      </c>
      <c r="B31" t="s">
        <v>269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229</v>
      </c>
      <c r="B32" t="s">
        <v>270</v>
      </c>
      <c r="C32" cm="1">
        <f t="array" ref="C32">+_xll.EQNXTDZ($A$1,$B32,C$2)</f>
        <v>64.430000000000007</v>
      </c>
      <c r="D32" cm="1">
        <f t="array" ref="D32">+_xll.EQNXTDZ($A$1,$B32,D$2)</f>
        <v>70.13</v>
      </c>
      <c r="E32" cm="1">
        <f t="array" ref="E32">+_xll.EQNXTDZ($A$1,$B32,E$2)</f>
        <v>70.13</v>
      </c>
      <c r="F32" cm="1">
        <f t="array" ref="F32">+_xll.EQNXTDZ($A$1,$B32,F$2)</f>
        <v>73.12</v>
      </c>
      <c r="G32" cm="1">
        <f t="array" ref="G32">+_xll.EQNXTDZ($A$1,$B32,G$2)</f>
        <v>70.319999999999993</v>
      </c>
      <c r="H32" cm="1">
        <f t="array" ref="H32">+_xll.EQNXTDZ($A$1,$B32,H$2)</f>
        <v>73.72</v>
      </c>
      <c r="I32" cm="1">
        <f t="array" ref="I32">+_xll.EQNXTDZ($A$1,$B32,I$2)</f>
        <v>73.72</v>
      </c>
      <c r="J32" cm="1">
        <f t="array" ref="J32">+_xll.EQNXTDZ($A$1,$B32,J$2)</f>
        <v>73.72</v>
      </c>
      <c r="K32" cm="1">
        <f t="array" ref="K32">+_xll.EQNXTDZ($A$1,$B32,K$2)</f>
        <v>72.510000000000005</v>
      </c>
      <c r="L32" cm="1">
        <f t="array" ref="L32">+_xll.EQNXTDZ($A$1,$B32,L$2)</f>
        <v>75.12</v>
      </c>
      <c r="M32" cm="1">
        <f t="array" ref="M32">+_xll.EQNXTDZ($A$1,$B32,M$2)</f>
        <v>75.12</v>
      </c>
      <c r="N32" cm="1">
        <f t="array" ref="N32">+_xll.EQNXTDZ($A$1,$B32,N$2)</f>
        <v>83.09</v>
      </c>
      <c r="O32" cm="1">
        <f t="array" ref="O32">+_xll.EQNXTDZ($A$1,$B32,O$2)</f>
        <v>83.09</v>
      </c>
      <c r="P32" cm="1">
        <f t="array" ref="P32">+_xll.EQNXTDZ($A$1,$B32,P$2)</f>
        <v>83.09</v>
      </c>
      <c r="Q32" cm="1">
        <f t="array" ref="Q32">+_xll.EQNXTDZ($A$1,$B32,Q$2)</f>
        <v>83.09</v>
      </c>
      <c r="R32" cm="1">
        <f t="array" ref="R32">+_xll.EQNXTDZ($A$1,$B32,R$2)</f>
        <v>87.05</v>
      </c>
      <c r="S32" cm="1">
        <f t="array" ref="S32">+_xll.EQNXTDZ($A$1,$B32,S$2)</f>
        <v>89.1</v>
      </c>
      <c r="T32" cm="1">
        <f t="array" ref="T32">+_xll.EQNXTDZ($A$1,$B32,T$2)</f>
        <v>89.1</v>
      </c>
      <c r="U32" cm="1">
        <f t="array" ref="U32">+_xll.EQNXTDZ($A$1,$B32,U$2)</f>
        <v>89.1</v>
      </c>
      <c r="V32" cm="1">
        <f t="array" ref="V32">+_xll.EQNXTDZ($A$1,$B32,V$2)</f>
        <v>89.1</v>
      </c>
      <c r="W32" cm="1">
        <f t="array" ref="W32">+_xll.EQNXTDZ($A$1,$B32,W$2)</f>
        <v>89.1</v>
      </c>
      <c r="X32" cm="1">
        <f t="array" ref="X32">+_xll.EQNXTDZ($A$1,$B32,X$2)</f>
        <v>89.1</v>
      </c>
      <c r="Y32" cm="1">
        <f t="array" ref="Y32">+_xll.EQNXTDZ($A$1,$B32,Y$2)</f>
        <v>89.1</v>
      </c>
      <c r="Z32" cm="1">
        <f t="array" ref="Z32">+_xll.EQNXTDZ($A$1,$B32,Z$2)</f>
        <v>89.1</v>
      </c>
      <c r="AA32" cm="1">
        <f t="array" ref="AA32">+_xll.EQNXTDZ($A$1,$B32,AA$2)</f>
        <v>90.34</v>
      </c>
      <c r="AB32" cm="1">
        <f t="array" ref="AB32">+_xll.EQNXTDZ($A$1,$B32,AB$2)</f>
        <v>81.41</v>
      </c>
      <c r="AC32" cm="1">
        <f t="array" ref="AC32">+_xll.EQNXTDZ($A$1,$B32,AC$2)</f>
        <v>81.41</v>
      </c>
      <c r="AD32" cm="1">
        <f t="array" ref="AD32">+_xll.EQNXTDZ($A$1,$B32,AD$2)</f>
        <v>81.41</v>
      </c>
      <c r="AE32" cm="1">
        <f t="array" ref="AE32">+_xll.EQNXTDZ($A$1,$B32,AE$2)</f>
        <v>81.41</v>
      </c>
      <c r="AF32" cm="1">
        <f t="array" ref="AF32">+_xll.EQNXTDZ($A$1,$B32,AF$2)</f>
        <v>81.41</v>
      </c>
      <c r="AG32" cm="1">
        <f t="array" ref="AG32">+_xll.EQNXTDZ($A$1,$B32,AG$2)</f>
        <v>81.41</v>
      </c>
      <c r="AH32" cm="1">
        <f t="array" ref="AH32">+_xll.EQNXTDZ($A$1,$B32,AH$2)</f>
        <v>81.41</v>
      </c>
      <c r="AI32" cm="1">
        <f t="array" ref="AI32">+_xll.EQNXTDZ($A$1,$B32,AI$2)</f>
        <v>81.41</v>
      </c>
      <c r="AJ32" cm="1">
        <f t="array" ref="AJ32">+_xll.EQNXTDZ($A$1,$B32,AJ$2)</f>
        <v>81.41</v>
      </c>
      <c r="AK32" cm="1">
        <f t="array" ref="AK32">+_xll.EQNXTDZ($A$1,$B32,AK$2)</f>
        <v>73.38</v>
      </c>
      <c r="AL32" cm="1">
        <f t="array" ref="AL32">+_xll.EQNXTDZ($A$1,$B32,AL$2)</f>
        <v>73.38</v>
      </c>
      <c r="AM32" cm="1">
        <f t="array" ref="AM32">+_xll.EQNXTDZ($A$1,$B32,AM$2)</f>
        <v>73.38</v>
      </c>
      <c r="AN32" cm="1">
        <f t="array" ref="AN32">+_xll.EQNXTDZ($A$1,$B32,AN$2)</f>
        <v>73.38</v>
      </c>
      <c r="AO32" cm="1">
        <f t="array" ref="AO32">+_xll.EQNXTDZ($A$1,$B32,AO$2)</f>
        <v>73.38</v>
      </c>
      <c r="AP32" cm="1">
        <f t="array" ref="AP32">+_xll.EQNXTDZ($A$1,$B32,AP$2)</f>
        <v>73.38</v>
      </c>
      <c r="AQ32" cm="1">
        <f t="array" ref="AQ32">+_xll.EQNXTDZ($A$1,$B32,AQ$2)</f>
        <v>73.38</v>
      </c>
      <c r="AR32" cm="1">
        <f t="array" ref="AR32">+_xll.EQNXTDZ($A$1,$B32,AR$2)</f>
        <v>73.38</v>
      </c>
      <c r="AS32" cm="1">
        <f t="array" ref="AS32">+_xll.EQNXTDZ($A$1,$B32,AS$2)</f>
        <v>73.38</v>
      </c>
      <c r="AT32" cm="1">
        <f t="array" ref="AT32">+_xll.EQNXTDZ($A$1,$B32,AT$2)</f>
        <v>73.38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230</v>
      </c>
      <c r="B33" t="s">
        <v>271</v>
      </c>
      <c r="C33" cm="1">
        <f t="array" ref="C33">+_xll.EQNXTDZ($A$1,$B33,C$2)</f>
        <v>11.44</v>
      </c>
      <c r="D33" cm="1">
        <f t="array" ref="D33">+_xll.EQNXTDZ($A$1,$B33,D$2)</f>
        <v>11.95</v>
      </c>
      <c r="E33" cm="1">
        <f t="array" ref="E33">+_xll.EQNXTDZ($A$1,$B33,E$2)</f>
        <v>12.06</v>
      </c>
      <c r="F33" cm="1">
        <f t="array" ref="F33">+_xll.EQNXTDZ($A$1,$B33,F$2)</f>
        <v>12.05</v>
      </c>
      <c r="G33" cm="1">
        <f t="array" ref="G33">+_xll.EQNXTDZ($A$1,$B33,G$2)</f>
        <v>12.22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231</v>
      </c>
      <c r="B34" t="s">
        <v>272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232</v>
      </c>
      <c r="B35" t="s">
        <v>273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233</v>
      </c>
      <c r="B36" t="s">
        <v>274</v>
      </c>
      <c r="C36" cm="1">
        <f t="array" ref="C36">+_xll.EQNXTDZ($A$1,$B36,C$2)</f>
        <v>10.75</v>
      </c>
      <c r="D36" cm="1">
        <f t="array" ref="D36">+_xll.EQNXTDZ($A$1,$B36,D$2)</f>
        <v>11.21</v>
      </c>
      <c r="E36" cm="1">
        <f t="array" ref="E36">+_xll.EQNXTDZ($A$1,$B36,E$2)</f>
        <v>11.28</v>
      </c>
      <c r="F36" cm="1">
        <f t="array" ref="F36">+_xll.EQNXTDZ($A$1,$B36,F$2)</f>
        <v>12.05</v>
      </c>
      <c r="G36" cm="1">
        <f t="array" ref="G36">+_xll.EQNXTDZ($A$1,$B36,G$2)</f>
        <v>12.1</v>
      </c>
      <c r="H36" cm="1">
        <f t="array" ref="H36">+_xll.EQNXTDZ($A$1,$B36,H$2)</f>
        <v>12.5</v>
      </c>
      <c r="I36" cm="1">
        <f t="array" ref="I36">+_xll.EQNXTDZ($A$1,$B36,I$2)</f>
        <v>12.11</v>
      </c>
      <c r="J36" cm="1">
        <f t="array" ref="J36">+_xll.EQNXTDZ($A$1,$B36,J$2)</f>
        <v>12.14</v>
      </c>
      <c r="K36" cm="1">
        <f t="array" ref="K36">+_xll.EQNXTDZ($A$1,$B36,K$2)</f>
        <v>12.38</v>
      </c>
      <c r="L36" cm="1">
        <f t="array" ref="L36">+_xll.EQNXTDZ($A$1,$B36,L$2)</f>
        <v>12.23</v>
      </c>
      <c r="M36" cm="1">
        <f t="array" ref="M36">+_xll.EQNXTDZ($A$1,$B36,M$2)</f>
        <v>12.05</v>
      </c>
      <c r="N36" cm="1">
        <f t="array" ref="N36">+_xll.EQNXTDZ($A$1,$B36,N$2)</f>
        <v>12.94</v>
      </c>
      <c r="O36" cm="1">
        <f t="array" ref="O36">+_xll.EQNXTDZ($A$1,$B36,O$2)</f>
        <v>11.43</v>
      </c>
      <c r="P36" cm="1">
        <f t="array" ref="P36">+_xll.EQNXTDZ($A$1,$B36,P$2)</f>
        <v>10.93</v>
      </c>
      <c r="Q36" cm="1">
        <f t="array" ref="Q36">+_xll.EQNXTDZ($A$1,$B36,Q$2)</f>
        <v>12.47</v>
      </c>
      <c r="R36" cm="1">
        <f t="array" ref="R36">+_xll.EQNXTDZ($A$1,$B36,R$2)</f>
        <v>14.19</v>
      </c>
      <c r="S36" cm="1">
        <f t="array" ref="S36">+_xll.EQNXTDZ($A$1,$B36,S$2)</f>
        <v>14.35</v>
      </c>
      <c r="T36" cm="1">
        <f t="array" ref="T36">+_xll.EQNXTDZ($A$1,$B36,T$2)</f>
        <v>14.09</v>
      </c>
      <c r="U36" cm="1">
        <f t="array" ref="U36">+_xll.EQNXTDZ($A$1,$B36,U$2)</f>
        <v>14.2</v>
      </c>
      <c r="V36" cm="1">
        <f t="array" ref="V36">+_xll.EQNXTDZ($A$1,$B36,V$2)</f>
        <v>13.1</v>
      </c>
      <c r="W36" cm="1">
        <f t="array" ref="W36">+_xll.EQNXTDZ($A$1,$B36,W$2)</f>
        <v>12.76</v>
      </c>
      <c r="X36" cm="1">
        <f t="array" ref="X36">+_xll.EQNXTDZ($A$1,$B36,X$2)</f>
        <v>12.8</v>
      </c>
      <c r="Y36" cm="1">
        <f t="array" ref="Y36">+_xll.EQNXTDZ($A$1,$B36,Y$2)</f>
        <v>12.51</v>
      </c>
      <c r="Z36" cm="1">
        <f t="array" ref="Z36">+_xll.EQNXTDZ($A$1,$B36,Z$2)</f>
        <v>14.93</v>
      </c>
      <c r="AA36" cm="1">
        <f t="array" ref="AA36">+_xll.EQNXTDZ($A$1,$B36,AA$2)</f>
        <v>15.07</v>
      </c>
      <c r="AB36" cm="1">
        <f t="array" ref="AB36">+_xll.EQNXTDZ($A$1,$B36,AB$2)</f>
        <v>17.05</v>
      </c>
      <c r="AC36" cm="1">
        <f t="array" ref="AC36">+_xll.EQNXTDZ($A$1,$B36,AC$2)</f>
        <v>16.66</v>
      </c>
      <c r="AD36" cm="1">
        <f t="array" ref="AD36">+_xll.EQNXTDZ($A$1,$B36,AD$2)</f>
        <v>16.510000000000002</v>
      </c>
      <c r="AE36" cm="1">
        <f t="array" ref="AE36">+_xll.EQNXTDZ($A$1,$B36,AE$2)</f>
        <v>15.61</v>
      </c>
      <c r="AF36" cm="1">
        <f t="array" ref="AF36">+_xll.EQNXTDZ($A$1,$B36,AF$2)</f>
        <v>15.51</v>
      </c>
      <c r="AG36" cm="1">
        <f t="array" ref="AG36">+_xll.EQNXTDZ($A$1,$B36,AG$2)</f>
        <v>15.6</v>
      </c>
      <c r="AH36" cm="1">
        <f t="array" ref="AH36">+_xll.EQNXTDZ($A$1,$B36,AH$2)</f>
        <v>16.28</v>
      </c>
      <c r="AI36" cm="1">
        <f t="array" ref="AI36">+_xll.EQNXTDZ($A$1,$B36,AI$2)</f>
        <v>15.6</v>
      </c>
      <c r="AJ36" cm="1">
        <f t="array" ref="AJ36">+_xll.EQNXTDZ($A$1,$B36,AJ$2)</f>
        <v>15.63</v>
      </c>
      <c r="AK36" cm="1">
        <f t="array" ref="AK36">+_xll.EQNXTDZ($A$1,$B36,AK$2)</f>
        <v>16.059999999999999</v>
      </c>
      <c r="AL36" cm="1">
        <f t="array" ref="AL36">+_xll.EQNXTDZ($A$1,$B36,AL$2)</f>
        <v>16.96</v>
      </c>
      <c r="AM36" cm="1">
        <f t="array" ref="AM36">+_xll.EQNXTDZ($A$1,$B36,AM$2)</f>
        <v>16.18</v>
      </c>
      <c r="AN36" cm="1">
        <f t="array" ref="AN36">+_xll.EQNXTDZ($A$1,$B36,AN$2)</f>
        <v>16.63</v>
      </c>
      <c r="AO36" cm="1">
        <f t="array" ref="AO36">+_xll.EQNXTDZ($A$1,$B36,AO$2)</f>
        <v>16</v>
      </c>
      <c r="AP36" cm="1">
        <f t="array" ref="AP36">+_xll.EQNXTDZ($A$1,$B36,AP$2)</f>
        <v>17.77</v>
      </c>
      <c r="AQ36" cm="1">
        <f t="array" ref="AQ36">+_xll.EQNXTDZ($A$1,$B36,AQ$2)</f>
        <v>17.39</v>
      </c>
      <c r="AR36" cm="1">
        <f t="array" ref="AR36">+_xll.EQNXTDZ($A$1,$B36,AR$2)</f>
        <v>16.690000000000001</v>
      </c>
      <c r="AS36" cm="1">
        <f t="array" ref="AS36">+_xll.EQNXTDZ($A$1,$B36,AS$2)</f>
        <v>17.09</v>
      </c>
      <c r="AT36" cm="1">
        <f t="array" ref="AT36">+_xll.EQNXTDZ($A$1,$B36,AT$2)</f>
        <v>18.010000000000002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234</v>
      </c>
      <c r="B37" t="s">
        <v>275</v>
      </c>
      <c r="C37" cm="1">
        <f t="array" ref="C37">+_xll.EQNXTDZ($A$1,$B37,C$2)</f>
        <v>8.23</v>
      </c>
      <c r="D37" cm="1">
        <f t="array" ref="D37">+_xll.EQNXTDZ($A$1,$B37,D$2)</f>
        <v>8.65</v>
      </c>
      <c r="E37" cm="1">
        <f t="array" ref="E37">+_xll.EQNXTDZ($A$1,$B37,E$2)</f>
        <v>7.88</v>
      </c>
      <c r="F37" cm="1">
        <f t="array" ref="F37">+_xll.EQNXTDZ($A$1,$B37,F$2)</f>
        <v>9.0399999999999991</v>
      </c>
      <c r="G37" cm="1">
        <f t="array" ref="G37">+_xll.EQNXTDZ($A$1,$B37,G$2)</f>
        <v>9.01</v>
      </c>
      <c r="H37" cm="1">
        <f t="array" ref="H37">+_xll.EQNXTDZ($A$1,$B37,H$2)</f>
        <v>9.3699999999999992</v>
      </c>
      <c r="I37" cm="1">
        <f t="array" ref="I37">+_xll.EQNXTDZ($A$1,$B37,I$2)</f>
        <v>9.09</v>
      </c>
      <c r="J37" cm="1">
        <f t="array" ref="J37">+_xll.EQNXTDZ($A$1,$B37,J$2)</f>
        <v>8.9</v>
      </c>
      <c r="K37" cm="1">
        <f t="array" ref="K37">+_xll.EQNXTDZ($A$1,$B37,K$2)</f>
        <v>9.02</v>
      </c>
      <c r="L37" cm="1">
        <f t="array" ref="L37">+_xll.EQNXTDZ($A$1,$B37,L$2)</f>
        <v>8.86</v>
      </c>
      <c r="M37" cm="1">
        <f t="array" ref="M37">+_xll.EQNXTDZ($A$1,$B37,M$2)</f>
        <v>8.82</v>
      </c>
      <c r="N37" cm="1">
        <f t="array" ref="N37">+_xll.EQNXTDZ($A$1,$B37,N$2)</f>
        <v>9.73</v>
      </c>
      <c r="O37" cm="1">
        <f t="array" ref="O37">+_xll.EQNXTDZ($A$1,$B37,O$2)</f>
        <v>8.14</v>
      </c>
      <c r="P37" cm="1">
        <f t="array" ref="P37">+_xll.EQNXTDZ($A$1,$B37,P$2)</f>
        <v>7.66</v>
      </c>
      <c r="Q37" cm="1">
        <f t="array" ref="Q37">+_xll.EQNXTDZ($A$1,$B37,Q$2)</f>
        <v>9.24</v>
      </c>
      <c r="R37" cm="1">
        <f t="array" ref="R37">+_xll.EQNXTDZ($A$1,$B37,R$2)</f>
        <v>11.07</v>
      </c>
      <c r="S37" cm="1">
        <f t="array" ref="S37">+_xll.EQNXTDZ($A$1,$B37,S$2)</f>
        <v>11.2</v>
      </c>
      <c r="T37" cm="1">
        <f t="array" ref="T37">+_xll.EQNXTDZ($A$1,$B37,T$2)</f>
        <v>11.06</v>
      </c>
      <c r="U37" cm="1">
        <f t="array" ref="U37">+_xll.EQNXTDZ($A$1,$B37,U$2)</f>
        <v>11.17</v>
      </c>
      <c r="V37" cm="1">
        <f t="array" ref="V37">+_xll.EQNXTDZ($A$1,$B37,V$2)</f>
        <v>9.9</v>
      </c>
      <c r="W37" cm="1">
        <f t="array" ref="W37">+_xll.EQNXTDZ($A$1,$B37,W$2)</f>
        <v>9.48</v>
      </c>
      <c r="X37" cm="1">
        <f t="array" ref="X37">+_xll.EQNXTDZ($A$1,$B37,X$2)</f>
        <v>9.67</v>
      </c>
      <c r="Y37" cm="1">
        <f t="array" ref="Y37">+_xll.EQNXTDZ($A$1,$B37,Y$2)</f>
        <v>9.44</v>
      </c>
      <c r="Z37" cm="1">
        <f t="array" ref="Z37">+_xll.EQNXTDZ($A$1,$B37,Z$2)</f>
        <v>11.96</v>
      </c>
      <c r="AA37" cm="1">
        <f t="array" ref="AA37">+_xll.EQNXTDZ($A$1,$B37,AA$2)</f>
        <v>11.97</v>
      </c>
      <c r="AB37" cm="1">
        <f t="array" ref="AB37">+_xll.EQNXTDZ($A$1,$B37,AB$2)</f>
        <v>13.88</v>
      </c>
      <c r="AC37" cm="1">
        <f t="array" ref="AC37">+_xll.EQNXTDZ($A$1,$B37,AC$2)</f>
        <v>13.6</v>
      </c>
      <c r="AD37" cm="1">
        <f t="array" ref="AD37">+_xll.EQNXTDZ($A$1,$B37,AD$2)</f>
        <v>13.92</v>
      </c>
      <c r="AE37" cm="1">
        <f t="array" ref="AE37">+_xll.EQNXTDZ($A$1,$B37,AE$2)</f>
        <v>13.27</v>
      </c>
      <c r="AF37" cm="1">
        <f t="array" ref="AF37">+_xll.EQNXTDZ($A$1,$B37,AF$2)</f>
        <v>13.38</v>
      </c>
      <c r="AG37" cm="1">
        <f t="array" ref="AG37">+_xll.EQNXTDZ($A$1,$B37,AG$2)</f>
        <v>13.61</v>
      </c>
      <c r="AH37" cm="1">
        <f t="array" ref="AH37">+_xll.EQNXTDZ($A$1,$B37,AH$2)</f>
        <v>14.4</v>
      </c>
      <c r="AI37" cm="1">
        <f t="array" ref="AI37">+_xll.EQNXTDZ($A$1,$B37,AI$2)</f>
        <v>13.8</v>
      </c>
      <c r="AJ37" cm="1">
        <f t="array" ref="AJ37">+_xll.EQNXTDZ($A$1,$B37,AJ$2)</f>
        <v>13.35</v>
      </c>
      <c r="AK37" cm="1">
        <f t="array" ref="AK37">+_xll.EQNXTDZ($A$1,$B37,AK$2)</f>
        <v>13.88</v>
      </c>
      <c r="AL37" cm="1">
        <f t="array" ref="AL37">+_xll.EQNXTDZ($A$1,$B37,AL$2)</f>
        <v>15.62</v>
      </c>
      <c r="AM37" cm="1">
        <f t="array" ref="AM37">+_xll.EQNXTDZ($A$1,$B37,AM$2)</f>
        <v>14.29</v>
      </c>
      <c r="AN37" cm="1">
        <f t="array" ref="AN37">+_xll.EQNXTDZ($A$1,$B37,AN$2)</f>
        <v>14.18</v>
      </c>
      <c r="AO37" cm="1">
        <f t="array" ref="AO37">+_xll.EQNXTDZ($A$1,$B37,AO$2)</f>
        <v>13.6</v>
      </c>
      <c r="AP37" cm="1">
        <f t="array" ref="AP37">+_xll.EQNXTDZ($A$1,$B37,AP$2)</f>
        <v>15.47</v>
      </c>
      <c r="AQ37" cm="1">
        <f t="array" ref="AQ37">+_xll.EQNXTDZ($A$1,$B37,AQ$2)</f>
        <v>15.14</v>
      </c>
      <c r="AR37" cm="1">
        <f t="array" ref="AR37">+_xll.EQNXTDZ($A$1,$B37,AR$2)</f>
        <v>14.49</v>
      </c>
      <c r="AS37" cm="1">
        <f t="array" ref="AS37">+_xll.EQNXTDZ($A$1,$B37,AS$2)</f>
        <v>14.36</v>
      </c>
      <c r="AT37" cm="1">
        <f t="array" ref="AT37">+_xll.EQNXTDZ($A$1,$B37,AT$2)</f>
        <v>15.35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235</v>
      </c>
      <c r="B38" t="s">
        <v>276</v>
      </c>
      <c r="C38" cm="1">
        <f t="array" ref="C38">+_xll.EQNXTDZ($A$1,$B38,C$2)</f>
        <v>2.5099999999999998</v>
      </c>
      <c r="D38" cm="1">
        <f t="array" ref="D38">+_xll.EQNXTDZ($A$1,$B38,D$2)</f>
        <v>2.56</v>
      </c>
      <c r="E38" cm="1">
        <f t="array" ref="E38">+_xll.EQNXTDZ($A$1,$B38,E$2)</f>
        <v>3.4</v>
      </c>
      <c r="F38" cm="1">
        <f t="array" ref="F38">+_xll.EQNXTDZ($A$1,$B38,F$2)</f>
        <v>3.01</v>
      </c>
      <c r="G38" cm="1">
        <f t="array" ref="G38">+_xll.EQNXTDZ($A$1,$B38,G$2)</f>
        <v>3.09</v>
      </c>
      <c r="H38" cm="1">
        <f t="array" ref="H38">+_xll.EQNXTDZ($A$1,$B38,H$2)</f>
        <v>3.13</v>
      </c>
      <c r="I38" cm="1">
        <f t="array" ref="I38">+_xll.EQNXTDZ($A$1,$B38,I$2)</f>
        <v>3.02</v>
      </c>
      <c r="J38" cm="1">
        <f t="array" ref="J38">+_xll.EQNXTDZ($A$1,$B38,J$2)</f>
        <v>3.24</v>
      </c>
      <c r="K38" cm="1">
        <f t="array" ref="K38">+_xll.EQNXTDZ($A$1,$B38,K$2)</f>
        <v>3.36</v>
      </c>
      <c r="L38" cm="1">
        <f t="array" ref="L38">+_xll.EQNXTDZ($A$1,$B38,L$2)</f>
        <v>3.37</v>
      </c>
      <c r="M38" cm="1">
        <f t="array" ref="M38">+_xll.EQNXTDZ($A$1,$B38,M$2)</f>
        <v>3.23</v>
      </c>
      <c r="N38" cm="1">
        <f t="array" ref="N38">+_xll.EQNXTDZ($A$1,$B38,N$2)</f>
        <v>3.21</v>
      </c>
      <c r="O38" cm="1">
        <f t="array" ref="O38">+_xll.EQNXTDZ($A$1,$B38,O$2)</f>
        <v>3.29</v>
      </c>
      <c r="P38" cm="1">
        <f t="array" ref="P38">+_xll.EQNXTDZ($A$1,$B38,P$2)</f>
        <v>3.27</v>
      </c>
      <c r="Q38" cm="1">
        <f t="array" ref="Q38">+_xll.EQNXTDZ($A$1,$B38,Q$2)</f>
        <v>3.23</v>
      </c>
      <c r="R38" cm="1">
        <f t="array" ref="R38">+_xll.EQNXTDZ($A$1,$B38,R$2)</f>
        <v>3.12</v>
      </c>
      <c r="S38" cm="1">
        <f t="array" ref="S38">+_xll.EQNXTDZ($A$1,$B38,S$2)</f>
        <v>3.15</v>
      </c>
      <c r="T38" cm="1">
        <f t="array" ref="T38">+_xll.EQNXTDZ($A$1,$B38,T$2)</f>
        <v>3.03</v>
      </c>
      <c r="U38" cm="1">
        <f t="array" ref="U38">+_xll.EQNXTDZ($A$1,$B38,U$2)</f>
        <v>3.03</v>
      </c>
      <c r="V38" cm="1">
        <f t="array" ref="V38">+_xll.EQNXTDZ($A$1,$B38,V$2)</f>
        <v>3.2</v>
      </c>
      <c r="W38" cm="1">
        <f t="array" ref="W38">+_xll.EQNXTDZ($A$1,$B38,W$2)</f>
        <v>3.28</v>
      </c>
      <c r="X38" cm="1">
        <f t="array" ref="X38">+_xll.EQNXTDZ($A$1,$B38,X$2)</f>
        <v>3.13</v>
      </c>
      <c r="Y38" cm="1">
        <f t="array" ref="Y38">+_xll.EQNXTDZ($A$1,$B38,Y$2)</f>
        <v>3.07</v>
      </c>
      <c r="Z38" cm="1">
        <f t="array" ref="Z38">+_xll.EQNXTDZ($A$1,$B38,Z$2)</f>
        <v>2.97</v>
      </c>
      <c r="AA38" cm="1">
        <f t="array" ref="AA38">+_xll.EQNXTDZ($A$1,$B38,AA$2)</f>
        <v>3.1</v>
      </c>
      <c r="AB38" cm="1">
        <f t="array" ref="AB38">+_xll.EQNXTDZ($A$1,$B38,AB$2)</f>
        <v>3.17</v>
      </c>
      <c r="AC38" cm="1">
        <f t="array" ref="AC38">+_xll.EQNXTDZ($A$1,$B38,AC$2)</f>
        <v>3.06</v>
      </c>
      <c r="AD38" cm="1">
        <f t="array" ref="AD38">+_xll.EQNXTDZ($A$1,$B38,AD$2)</f>
        <v>2.59</v>
      </c>
      <c r="AE38" cm="1">
        <f t="array" ref="AE38">+_xll.EQNXTDZ($A$1,$B38,AE$2)</f>
        <v>2.34</v>
      </c>
      <c r="AF38" cm="1">
        <f t="array" ref="AF38">+_xll.EQNXTDZ($A$1,$B38,AF$2)</f>
        <v>2.13</v>
      </c>
      <c r="AG38" cm="1">
        <f t="array" ref="AG38">+_xll.EQNXTDZ($A$1,$B38,AG$2)</f>
        <v>1.99</v>
      </c>
      <c r="AH38" cm="1">
        <f t="array" ref="AH38">+_xll.EQNXTDZ($A$1,$B38,AH$2)</f>
        <v>1.88</v>
      </c>
      <c r="AI38" cm="1">
        <f t="array" ref="AI38">+_xll.EQNXTDZ($A$1,$B38,AI$2)</f>
        <v>1.8</v>
      </c>
      <c r="AJ38" cm="1">
        <f t="array" ref="AJ38">+_xll.EQNXTDZ($A$1,$B38,AJ$2)</f>
        <v>2.2799999999999998</v>
      </c>
      <c r="AK38" cm="1">
        <f t="array" ref="AK38">+_xll.EQNXTDZ($A$1,$B38,AK$2)</f>
        <v>2.1800000000000002</v>
      </c>
      <c r="AL38" cm="1">
        <f t="array" ref="AL38">+_xll.EQNXTDZ($A$1,$B38,AL$2)</f>
        <v>1.34</v>
      </c>
      <c r="AM38" cm="1">
        <f t="array" ref="AM38">+_xll.EQNXTDZ($A$1,$B38,AM$2)</f>
        <v>1.89</v>
      </c>
      <c r="AN38" cm="1">
        <f t="array" ref="AN38">+_xll.EQNXTDZ($A$1,$B38,AN$2)</f>
        <v>2.4500000000000002</v>
      </c>
      <c r="AO38" cm="1">
        <f t="array" ref="AO38">+_xll.EQNXTDZ($A$1,$B38,AO$2)</f>
        <v>2.4</v>
      </c>
      <c r="AP38" cm="1">
        <f t="array" ref="AP38">+_xll.EQNXTDZ($A$1,$B38,AP$2)</f>
        <v>2.2999999999999998</v>
      </c>
      <c r="AQ38" cm="1">
        <f t="array" ref="AQ38">+_xll.EQNXTDZ($A$1,$B38,AQ$2)</f>
        <v>2.25</v>
      </c>
      <c r="AR38" cm="1">
        <f t="array" ref="AR38">+_xll.EQNXTDZ($A$1,$B38,AR$2)</f>
        <v>2.2000000000000002</v>
      </c>
      <c r="AS38" cm="1">
        <f t="array" ref="AS38">+_xll.EQNXTDZ($A$1,$B38,AS$2)</f>
        <v>2.73</v>
      </c>
      <c r="AT38" cm="1">
        <f t="array" ref="AT38">+_xll.EQNXTDZ($A$1,$B38,AT$2)</f>
        <v>2.66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236</v>
      </c>
      <c r="B39" t="s">
        <v>277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237</v>
      </c>
      <c r="B40" t="s">
        <v>278</v>
      </c>
      <c r="C40" cm="1">
        <f t="array" ref="C40">+_xll.EQNXTDZ($A$1,$B40,C$2)</f>
        <v>26889.17</v>
      </c>
      <c r="D40" cm="1">
        <f t="array" ref="D40">+_xll.EQNXTDZ($A$1,$B40,D$2)</f>
        <v>29893.67</v>
      </c>
      <c r="E40" cm="1">
        <f t="array" ref="E40">+_xll.EQNXTDZ($A$1,$B40,E$2)</f>
        <v>36519.14</v>
      </c>
      <c r="F40" cm="1">
        <f t="array" ref="F40">+_xll.EQNXTDZ($A$1,$B40,F$2)</f>
        <v>49879.13</v>
      </c>
      <c r="G40" cm="1">
        <f t="array" ref="G40">+_xll.EQNXTDZ($A$1,$B40,G$2)</f>
        <v>51874.5</v>
      </c>
      <c r="H40" cm="1">
        <f t="array" ref="H40">+_xll.EQNXTDZ($A$1,$B40,H$2)</f>
        <v>52261.95</v>
      </c>
      <c r="I40" cm="1">
        <f t="array" ref="I40">+_xll.EQNXTDZ($A$1,$B40,I$2)</f>
        <v>51781.06</v>
      </c>
      <c r="J40" cm="1">
        <f t="array" ref="J40">+_xll.EQNXTDZ($A$1,$B40,J$2)</f>
        <v>52044.52</v>
      </c>
      <c r="K40" cm="1">
        <f t="array" ref="K40">+_xll.EQNXTDZ($A$1,$B40,K$2)</f>
        <v>51019.11</v>
      </c>
      <c r="L40" cm="1">
        <f t="array" ref="L40">+_xll.EQNXTDZ($A$1,$B40,L$2)</f>
        <v>49306.9</v>
      </c>
      <c r="M40" cm="1">
        <f t="array" ref="M40">+_xll.EQNXTDZ($A$1,$B40,M$2)</f>
        <v>64248.58</v>
      </c>
      <c r="N40" cm="1">
        <f t="array" ref="N40">+_xll.EQNXTDZ($A$1,$B40,N$2)</f>
        <v>62328.46</v>
      </c>
      <c r="O40" cm="1">
        <f t="array" ref="O40">+_xll.EQNXTDZ($A$1,$B40,O$2)</f>
        <v>60604.46</v>
      </c>
      <c r="P40" cm="1">
        <f t="array" ref="P40">+_xll.EQNXTDZ($A$1,$B40,P$2)</f>
        <v>61560.65</v>
      </c>
      <c r="Q40" cm="1">
        <f t="array" ref="Q40">+_xll.EQNXTDZ($A$1,$B40,Q$2)</f>
        <v>60797.55</v>
      </c>
      <c r="R40" cm="1">
        <f t="array" ref="R40">+_xll.EQNXTDZ($A$1,$B40,R$2)</f>
        <v>60661.120000000003</v>
      </c>
      <c r="S40" cm="1">
        <f t="array" ref="S40">+_xll.EQNXTDZ($A$1,$B40,S$2)</f>
        <v>62068.4</v>
      </c>
      <c r="T40" cm="1">
        <f t="array" ref="T40">+_xll.EQNXTDZ($A$1,$B40,T$2)</f>
        <v>61475.6</v>
      </c>
      <c r="U40" cm="1">
        <f t="array" ref="U40">+_xll.EQNXTDZ($A$1,$B40,U$2)</f>
        <v>61730.54</v>
      </c>
      <c r="V40" cm="1">
        <f t="array" ref="V40">+_xll.EQNXTDZ($A$1,$B40,V$2)</f>
        <v>61549.93</v>
      </c>
      <c r="W40" cm="1">
        <f t="array" ref="W40">+_xll.EQNXTDZ($A$1,$B40,W$2)</f>
        <v>57787.78</v>
      </c>
      <c r="X40" cm="1">
        <f t="array" ref="X40">+_xll.EQNXTDZ($A$1,$B40,X$2)</f>
        <v>56231.76</v>
      </c>
      <c r="Y40" cm="1">
        <f t="array" ref="Y40">+_xll.EQNXTDZ($A$1,$B40,Y$2)</f>
        <v>54997.03</v>
      </c>
      <c r="Z40" cm="1">
        <f t="array" ref="Z40">+_xll.EQNXTDZ($A$1,$B40,Z$2)</f>
        <v>56534.95</v>
      </c>
      <c r="AA40" cm="1">
        <f t="array" ref="AA40">+_xll.EQNXTDZ($A$1,$B40,AA$2)</f>
        <v>56041.63</v>
      </c>
      <c r="AB40" cm="1">
        <f t="array" ref="AB40">+_xll.EQNXTDZ($A$1,$B40,AB$2)</f>
        <v>50270.13</v>
      </c>
      <c r="AC40" cm="1">
        <f t="array" ref="AC40">+_xll.EQNXTDZ($A$1,$B40,AC$2)</f>
        <v>45759.76</v>
      </c>
      <c r="AD40" cm="1">
        <f t="array" ref="AD40">+_xll.EQNXTDZ($A$1,$B40,AD$2)</f>
        <v>45605.4</v>
      </c>
      <c r="AE40" cm="1">
        <f t="array" ref="AE40">+_xll.EQNXTDZ($A$1,$B40,AE$2)</f>
        <v>44414.67</v>
      </c>
      <c r="AF40" cm="1">
        <f t="array" ref="AF40">+_xll.EQNXTDZ($A$1,$B40,AF$2)</f>
        <v>42014.400000000001</v>
      </c>
      <c r="AG40" cm="1">
        <f t="array" ref="AG40">+_xll.EQNXTDZ($A$1,$B40,AG$2)</f>
        <v>38884.61</v>
      </c>
      <c r="AH40" cm="1">
        <f t="array" ref="AH40">+_xll.EQNXTDZ($A$1,$B40,AH$2)</f>
        <v>37685.56</v>
      </c>
      <c r="AI40" cm="1">
        <f t="array" ref="AI40">+_xll.EQNXTDZ($A$1,$B40,AI$2)</f>
        <v>34582.01</v>
      </c>
      <c r="AJ40" cm="1">
        <f t="array" ref="AJ40">+_xll.EQNXTDZ($A$1,$B40,AJ$2)</f>
        <v>31718.78</v>
      </c>
      <c r="AK40" cm="1">
        <f t="array" ref="AK40">+_xll.EQNXTDZ($A$1,$B40,AK$2)</f>
        <v>30237.15</v>
      </c>
      <c r="AL40" cm="1">
        <f t="array" ref="AL40">+_xll.EQNXTDZ($A$1,$B40,AL$2)</f>
        <v>29182.77</v>
      </c>
      <c r="AM40" cm="1">
        <f t="array" ref="AM40">+_xll.EQNXTDZ($A$1,$B40,AM$2)</f>
        <v>27715.759999999998</v>
      </c>
      <c r="AN40" cm="1">
        <f t="array" ref="AN40">+_xll.EQNXTDZ($A$1,$B40,AN$2)</f>
        <v>27455.33</v>
      </c>
      <c r="AO40" cm="1">
        <f t="array" ref="AO40">+_xll.EQNXTDZ($A$1,$B40,AO$2)</f>
        <v>24048.48</v>
      </c>
      <c r="AP40" cm="1">
        <f t="array" ref="AP40">+_xll.EQNXTDZ($A$1,$B40,AP$2)</f>
        <v>21748.89</v>
      </c>
      <c r="AQ40" cm="1">
        <f t="array" ref="AQ40">+_xll.EQNXTDZ($A$1,$B40,AQ$2)</f>
        <v>19640.2</v>
      </c>
      <c r="AR40" cm="1">
        <f t="array" ref="AR40">+_xll.EQNXTDZ($A$1,$B40,AR$2)</f>
        <v>18014.27</v>
      </c>
      <c r="AS40" cm="1">
        <f t="array" ref="AS40">+_xll.EQNXTDZ($A$1,$B40,AS$2)</f>
        <v>16714.400000000001</v>
      </c>
      <c r="AT40" cm="1">
        <f t="array" ref="AT40">+_xll.EQNXTDZ($A$1,$B40,AT$2)</f>
        <v>15306.01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238</v>
      </c>
      <c r="B41" t="s">
        <v>279</v>
      </c>
      <c r="C41" cm="1">
        <f t="array" ref="C41">+_xll.EQNXTDZ($A$1,$B41,C$2)</f>
        <v>15788.95</v>
      </c>
      <c r="D41" cm="1">
        <f t="array" ref="D41">+_xll.EQNXTDZ($A$1,$B41,D$2)</f>
        <v>16466.48</v>
      </c>
      <c r="E41" cm="1">
        <f t="array" ref="E41">+_xll.EQNXTDZ($A$1,$B41,E$2)</f>
        <v>19978.599999999999</v>
      </c>
      <c r="F41" cm="1">
        <f t="array" ref="F41">+_xll.EQNXTDZ($A$1,$B41,F$2)</f>
        <v>27996.39</v>
      </c>
      <c r="G41" cm="1">
        <f t="array" ref="G41">+_xll.EQNXTDZ($A$1,$B41,G$2)</f>
        <v>28260.400000000001</v>
      </c>
      <c r="H41" cm="1">
        <f t="array" ref="H41">+_xll.EQNXTDZ($A$1,$B41,H$2)</f>
        <v>27467.05</v>
      </c>
      <c r="I41" cm="1">
        <f t="array" ref="I41">+_xll.EQNXTDZ($A$1,$B41,I$2)</f>
        <v>25534.41</v>
      </c>
      <c r="J41" cm="1">
        <f t="array" ref="J41">+_xll.EQNXTDZ($A$1,$B41,J$2)</f>
        <v>25305.05</v>
      </c>
      <c r="K41" cm="1">
        <f t="array" ref="K41">+_xll.EQNXTDZ($A$1,$B41,K$2)</f>
        <v>24406.720000000001</v>
      </c>
      <c r="L41" cm="1">
        <f t="array" ref="L41">+_xll.EQNXTDZ($A$1,$B41,L$2)</f>
        <v>23565.73</v>
      </c>
      <c r="M41" cm="1">
        <f t="array" ref="M41">+_xll.EQNXTDZ($A$1,$B41,M$2)</f>
        <v>36117.230000000003</v>
      </c>
      <c r="N41" cm="1">
        <f t="array" ref="N41">+_xll.EQNXTDZ($A$1,$B41,N$2)</f>
        <v>28207.27</v>
      </c>
      <c r="O41" cm="1">
        <f t="array" ref="O41">+_xll.EQNXTDZ($A$1,$B41,O$2)</f>
        <v>27932.25</v>
      </c>
      <c r="P41" cm="1">
        <f t="array" ref="P41">+_xll.EQNXTDZ($A$1,$B41,P$2)</f>
        <v>25994.15</v>
      </c>
      <c r="Q41" cm="1">
        <f t="array" ref="Q41">+_xll.EQNXTDZ($A$1,$B41,Q$2)</f>
        <v>19437.349999999999</v>
      </c>
      <c r="R41" cm="1">
        <f t="array" ref="R41">+_xll.EQNXTDZ($A$1,$B41,R$2)</f>
        <v>19118.95</v>
      </c>
      <c r="S41" cm="1">
        <f t="array" ref="S41">+_xll.EQNXTDZ($A$1,$B41,S$2)</f>
        <v>19288.34</v>
      </c>
      <c r="T41" cm="1">
        <f t="array" ref="T41">+_xll.EQNXTDZ($A$1,$B41,T$2)</f>
        <v>19645.830000000002</v>
      </c>
      <c r="U41" cm="1">
        <f t="array" ref="U41">+_xll.EQNXTDZ($A$1,$B41,U$2)</f>
        <v>20113.34</v>
      </c>
      <c r="V41" cm="1">
        <f t="array" ref="V41">+_xll.EQNXTDZ($A$1,$B41,V$2)</f>
        <v>14320.1</v>
      </c>
      <c r="W41" cm="1">
        <f t="array" ref="W41">+_xll.EQNXTDZ($A$1,$B41,W$2)</f>
        <v>13274.95</v>
      </c>
      <c r="X41" cm="1">
        <f t="array" ref="X41">+_xll.EQNXTDZ($A$1,$B41,X$2)</f>
        <v>10443.709999999999</v>
      </c>
      <c r="Y41" cm="1">
        <f t="array" ref="Y41">+_xll.EQNXTDZ($A$1,$B41,Y$2)</f>
        <v>9077.32</v>
      </c>
      <c r="Z41" cm="1">
        <f t="array" ref="Z41">+_xll.EQNXTDZ($A$1,$B41,Z$2)</f>
        <v>12262.03</v>
      </c>
      <c r="AA41" cm="1">
        <f t="array" ref="AA41">+_xll.EQNXTDZ($A$1,$B41,AA$2)</f>
        <v>12424.13</v>
      </c>
      <c r="AB41" cm="1">
        <f t="array" ref="AB41">+_xll.EQNXTDZ($A$1,$B41,AB$2)</f>
        <v>10576.22</v>
      </c>
      <c r="AC41" cm="1">
        <f t="array" ref="AC41">+_xll.EQNXTDZ($A$1,$B41,AC$2)</f>
        <v>10708.02</v>
      </c>
      <c r="AD41" cm="1">
        <f t="array" ref="AD41">+_xll.EQNXTDZ($A$1,$B41,AD$2)</f>
        <v>9851.93</v>
      </c>
      <c r="AE41" cm="1">
        <f t="array" ref="AE41">+_xll.EQNXTDZ($A$1,$B41,AE$2)</f>
        <v>9775.23</v>
      </c>
      <c r="AF41" cm="1">
        <f t="array" ref="AF41">+_xll.EQNXTDZ($A$1,$B41,AF$2)</f>
        <v>8836.18</v>
      </c>
      <c r="AG41" cm="1">
        <f t="array" ref="AG41">+_xll.EQNXTDZ($A$1,$B41,AG$2)</f>
        <v>7646.19</v>
      </c>
      <c r="AH41" cm="1">
        <f t="array" ref="AH41">+_xll.EQNXTDZ($A$1,$B41,AH$2)</f>
        <v>8053.61</v>
      </c>
      <c r="AI41" cm="1">
        <f t="array" ref="AI41">+_xll.EQNXTDZ($A$1,$B41,AI$2)</f>
        <v>8118.68</v>
      </c>
      <c r="AJ41" cm="1">
        <f t="array" ref="AJ41">+_xll.EQNXTDZ($A$1,$B41,AJ$2)</f>
        <v>7978.26</v>
      </c>
      <c r="AK41" cm="1">
        <f t="array" ref="AK41">+_xll.EQNXTDZ($A$1,$B41,AK$2)</f>
        <v>7627.16</v>
      </c>
      <c r="AL41" cm="1">
        <f t="array" ref="AL41">+_xll.EQNXTDZ($A$1,$B41,AL$2)</f>
        <v>6845.25</v>
      </c>
      <c r="AM41" cm="1">
        <f t="array" ref="AM41">+_xll.EQNXTDZ($A$1,$B41,AM$2)</f>
        <v>5701.83</v>
      </c>
      <c r="AN41" cm="1">
        <f t="array" ref="AN41">+_xll.EQNXTDZ($A$1,$B41,AN$2)</f>
        <v>5647.92</v>
      </c>
      <c r="AO41" cm="1">
        <f t="array" ref="AO41">+_xll.EQNXTDZ($A$1,$B41,AO$2)</f>
        <v>5410.05</v>
      </c>
      <c r="AP41" cm="1">
        <f t="array" ref="AP41">+_xll.EQNXTDZ($A$1,$B41,AP$2)</f>
        <v>5358.49</v>
      </c>
      <c r="AQ41" cm="1">
        <f t="array" ref="AQ41">+_xll.EQNXTDZ($A$1,$B41,AQ$2)</f>
        <v>4949.8900000000003</v>
      </c>
      <c r="AR41" cm="1">
        <f t="array" ref="AR41">+_xll.EQNXTDZ($A$1,$B41,AR$2)</f>
        <v>4530.2</v>
      </c>
      <c r="AS41" cm="1">
        <f t="array" ref="AS41">+_xll.EQNXTDZ($A$1,$B41,AS$2)</f>
        <v>4359.25</v>
      </c>
      <c r="AT41" cm="1">
        <f t="array" ref="AT41">+_xll.EQNXTDZ($A$1,$B41,AT$2)</f>
        <v>4249.97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239</v>
      </c>
      <c r="B42" t="s">
        <v>280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240</v>
      </c>
      <c r="B43" t="s">
        <v>281</v>
      </c>
      <c r="C43" cm="1">
        <f t="array" ref="C43">+_xll.EQNXTDZ($A$1,$B43,C$2)</f>
        <v>4.1100000000000003</v>
      </c>
      <c r="D43" cm="1">
        <f t="array" ref="D43">+_xll.EQNXTDZ($A$1,$B43,D$2)</f>
        <v>4.3099999999999996</v>
      </c>
      <c r="E43" cm="1">
        <f t="array" ref="E43">+_xll.EQNXTDZ($A$1,$B43,E$2)</f>
        <v>5.25</v>
      </c>
      <c r="F43" cm="1">
        <f t="array" ref="F43">+_xll.EQNXTDZ($A$1,$B43,F$2)</f>
        <v>7.79</v>
      </c>
      <c r="G43" cm="1">
        <f t="array" ref="G43">+_xll.EQNXTDZ($A$1,$B43,G$2)</f>
        <v>7.78</v>
      </c>
      <c r="H43" cm="1">
        <f t="array" ref="H43">+_xll.EQNXTDZ($A$1,$B43,H$2)</f>
        <v>7.56</v>
      </c>
      <c r="I43" cm="1">
        <f t="array" ref="I43">+_xll.EQNXTDZ($A$1,$B43,I$2)</f>
        <v>7.09</v>
      </c>
      <c r="J43" cm="1">
        <f t="array" ref="J43">+_xll.EQNXTDZ($A$1,$B43,J$2)</f>
        <v>6.9</v>
      </c>
      <c r="K43" cm="1">
        <f t="array" ref="K43">+_xll.EQNXTDZ($A$1,$B43,K$2)</f>
        <v>6.7</v>
      </c>
      <c r="L43" cm="1">
        <f t="array" ref="L43">+_xll.EQNXTDZ($A$1,$B43,L$2)</f>
        <v>6.47</v>
      </c>
      <c r="M43" cm="1">
        <f t="array" ref="M43">+_xll.EQNXTDZ($A$1,$B43,M$2)</f>
        <v>10.29</v>
      </c>
      <c r="N43" cm="1">
        <f t="array" ref="N43">+_xll.EQNXTDZ($A$1,$B43,N$2)</f>
        <v>8.26</v>
      </c>
      <c r="O43" cm="1">
        <f t="array" ref="O43">+_xll.EQNXTDZ($A$1,$B43,O$2)</f>
        <v>8.4499999999999993</v>
      </c>
      <c r="P43" cm="1">
        <f t="array" ref="P43">+_xll.EQNXTDZ($A$1,$B43,P$2)</f>
        <v>7.64</v>
      </c>
      <c r="Q43" cm="1">
        <f t="array" ref="Q43">+_xll.EQNXTDZ($A$1,$B43,Q$2)</f>
        <v>5.87</v>
      </c>
      <c r="R43" cm="1">
        <f t="array" ref="R43">+_xll.EQNXTDZ($A$1,$B43,R$2)</f>
        <v>5.61</v>
      </c>
      <c r="S43" cm="1">
        <f t="array" ref="S43">+_xll.EQNXTDZ($A$1,$B43,S$2)</f>
        <v>5.79</v>
      </c>
      <c r="T43" cm="1">
        <f t="array" ref="T43">+_xll.EQNXTDZ($A$1,$B43,T$2)</f>
        <v>5.87</v>
      </c>
      <c r="U43" cm="1">
        <f t="array" ref="U43">+_xll.EQNXTDZ($A$1,$B43,U$2)</f>
        <v>5.97</v>
      </c>
      <c r="V43" cm="1">
        <f t="array" ref="V43">+_xll.EQNXTDZ($A$1,$B43,V$2)</f>
        <v>3.88</v>
      </c>
      <c r="W43" cm="1">
        <f t="array" ref="W43">+_xll.EQNXTDZ($A$1,$B43,W$2)</f>
        <v>3.58</v>
      </c>
      <c r="X43" cm="1">
        <f t="array" ref="X43">+_xll.EQNXTDZ($A$1,$B43,X$2)</f>
        <v>2.89</v>
      </c>
      <c r="Y43" cm="1">
        <f t="array" ref="Y43">+_xll.EQNXTDZ($A$1,$B43,Y$2)</f>
        <v>2.46</v>
      </c>
      <c r="Z43" cm="1">
        <f t="array" ref="Z43">+_xll.EQNXTDZ($A$1,$B43,Z$2)</f>
        <v>3.35</v>
      </c>
      <c r="AA43" cm="1">
        <f t="array" ref="AA43">+_xll.EQNXTDZ($A$1,$B43,AA$2)</f>
        <v>3.35</v>
      </c>
      <c r="AB43" cm="1">
        <f t="array" ref="AB43">+_xll.EQNXTDZ($A$1,$B43,AB$2)</f>
        <v>2.79</v>
      </c>
      <c r="AC43" cm="1">
        <f t="array" ref="AC43">+_xll.EQNXTDZ($A$1,$B43,AC$2)</f>
        <v>2.66</v>
      </c>
      <c r="AD43" cm="1">
        <f t="array" ref="AD43">+_xll.EQNXTDZ($A$1,$B43,AD$2)</f>
        <v>2.34</v>
      </c>
      <c r="AE43" cm="1">
        <f t="array" ref="AE43">+_xll.EQNXTDZ($A$1,$B43,AE$2)</f>
        <v>2.21</v>
      </c>
      <c r="AF43" cm="1">
        <f t="array" ref="AF43">+_xll.EQNXTDZ($A$1,$B43,AF$2)</f>
        <v>1.92</v>
      </c>
      <c r="AG43" cm="1">
        <f t="array" ref="AG43">+_xll.EQNXTDZ($A$1,$B43,AG$2)</f>
        <v>1.61</v>
      </c>
      <c r="AH43" cm="1">
        <f t="array" ref="AH43">+_xll.EQNXTDZ($A$1,$B43,AH$2)</f>
        <v>1.66</v>
      </c>
      <c r="AI43" cm="1">
        <f t="array" ref="AI43">+_xll.EQNXTDZ($A$1,$B43,AI$2)</f>
        <v>1.65</v>
      </c>
      <c r="AJ43" cm="1">
        <f t="array" ref="AJ43">+_xll.EQNXTDZ($A$1,$B43,AJ$2)</f>
        <v>1.54</v>
      </c>
      <c r="AK43" cm="1">
        <f t="array" ref="AK43">+_xll.EQNXTDZ($A$1,$B43,AK$2)</f>
        <v>1.41</v>
      </c>
      <c r="AL43" cm="1">
        <f t="array" ref="AL43">+_xll.EQNXTDZ($A$1,$B43,AL$2)</f>
        <v>1.22</v>
      </c>
      <c r="AM43" cm="1">
        <f t="array" ref="AM43">+_xll.EQNXTDZ($A$1,$B43,AM$2)</f>
        <v>0.99</v>
      </c>
      <c r="AN43" cm="1">
        <f t="array" ref="AN43">+_xll.EQNXTDZ($A$1,$B43,AN$2)</f>
        <v>0.94</v>
      </c>
      <c r="AO43" cm="1">
        <f t="array" ref="AO43">+_xll.EQNXTDZ($A$1,$B43,AO$2)</f>
        <v>0.85</v>
      </c>
      <c r="AP43" cm="1">
        <f t="array" ref="AP43">+_xll.EQNXTDZ($A$1,$B43,AP$2)</f>
        <v>0.82</v>
      </c>
      <c r="AQ43" cm="1">
        <f t="array" ref="AQ43">+_xll.EQNXTDZ($A$1,$B43,AQ$2)</f>
        <v>0.75</v>
      </c>
      <c r="AR43" cm="1">
        <f t="array" ref="AR43">+_xll.EQNXTDZ($A$1,$B43,AR$2)</f>
        <v>0.65</v>
      </c>
      <c r="AS43" cm="1">
        <f t="array" ref="AS43">+_xll.EQNXTDZ($A$1,$B43,AS$2)</f>
        <v>0.6</v>
      </c>
      <c r="AT43" cm="1">
        <f t="array" ref="AT43">+_xll.EQNXTDZ($A$1,$B43,AT$2)</f>
        <v>0.56000000000000005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241</v>
      </c>
      <c r="B44" t="s">
        <v>282</v>
      </c>
      <c r="C44" cm="1">
        <f t="array" ref="C44">+_xll.EQNXTDZ($A$1,$B44,C$2)</f>
        <v>6.8</v>
      </c>
      <c r="D44" cm="1">
        <f t="array" ref="D44">+_xll.EQNXTDZ($A$1,$B44,D$2)</f>
        <v>7.55</v>
      </c>
      <c r="E44" cm="1">
        <f t="array" ref="E44">+_xll.EQNXTDZ($A$1,$B44,E$2)</f>
        <v>9.18</v>
      </c>
      <c r="F44" cm="1">
        <f t="array" ref="F44">+_xll.EQNXTDZ($A$1,$B44,F$2)</f>
        <v>13.07</v>
      </c>
      <c r="G44" cm="1">
        <f t="array" ref="G44">+_xll.EQNXTDZ($A$1,$B44,G$2)</f>
        <v>13.38</v>
      </c>
      <c r="H44" cm="1">
        <f t="array" ref="H44">+_xll.EQNXTDZ($A$1,$B44,H$2)</f>
        <v>13.45</v>
      </c>
      <c r="I44" cm="1">
        <f t="array" ref="I44">+_xll.EQNXTDZ($A$1,$B44,I$2)</f>
        <v>13.38</v>
      </c>
      <c r="J44" cm="1">
        <f t="array" ref="J44">+_xll.EQNXTDZ($A$1,$B44,J$2)</f>
        <v>13.22</v>
      </c>
      <c r="K44" cm="1">
        <f t="array" ref="K44">+_xll.EQNXTDZ($A$1,$B44,K$2)</f>
        <v>13.05</v>
      </c>
      <c r="L44" cm="1">
        <f t="array" ref="L44">+_xll.EQNXTDZ($A$1,$B44,L$2)</f>
        <v>12.62</v>
      </c>
      <c r="M44" cm="1">
        <f t="array" ref="M44">+_xll.EQNXTDZ($A$1,$B44,M$2)</f>
        <v>16.93</v>
      </c>
      <c r="N44" cm="1">
        <f t="array" ref="N44">+_xll.EQNXTDZ($A$1,$B44,N$2)</f>
        <v>16.579999999999998</v>
      </c>
      <c r="O44" cm="1">
        <f t="array" ref="O44">+_xll.EQNXTDZ($A$1,$B44,O$2)</f>
        <v>16.66</v>
      </c>
      <c r="P44" cm="1">
        <f t="array" ref="P44">+_xll.EQNXTDZ($A$1,$B44,P$2)</f>
        <v>16.36</v>
      </c>
      <c r="Q44" cm="1">
        <f t="array" ref="Q44">+_xll.EQNXTDZ($A$1,$B44,Q$2)</f>
        <v>16.309999999999999</v>
      </c>
      <c r="R44" cm="1">
        <f t="array" ref="R44">+_xll.EQNXTDZ($A$1,$B44,R$2)</f>
        <v>15.84</v>
      </c>
      <c r="S44" cm="1">
        <f t="array" ref="S44">+_xll.EQNXTDZ($A$1,$B44,S$2)</f>
        <v>16.5</v>
      </c>
      <c r="T44" cm="1">
        <f t="array" ref="T44">+_xll.EQNXTDZ($A$1,$B44,T$2)</f>
        <v>16.309999999999999</v>
      </c>
      <c r="U44" cm="1">
        <f t="array" ref="U44">+_xll.EQNXTDZ($A$1,$B44,U$2)</f>
        <v>16.3</v>
      </c>
      <c r="V44" cm="1">
        <f t="array" ref="V44">+_xll.EQNXTDZ($A$1,$B44,V$2)</f>
        <v>14.78</v>
      </c>
      <c r="W44" cm="1">
        <f t="array" ref="W44">+_xll.EQNXTDZ($A$1,$B44,W$2)</f>
        <v>13.91</v>
      </c>
      <c r="X44" cm="1">
        <f t="array" ref="X44">+_xll.EQNXTDZ($A$1,$B44,X$2)</f>
        <v>13.79</v>
      </c>
      <c r="Y44" cm="1">
        <f t="array" ref="Y44">+_xll.EQNXTDZ($A$1,$B44,Y$2)</f>
        <v>13.25</v>
      </c>
      <c r="Z44" cm="1">
        <f t="array" ref="Z44">+_xll.EQNXTDZ($A$1,$B44,Z$2)</f>
        <v>13.77</v>
      </c>
      <c r="AA44" cm="1">
        <f t="array" ref="AA44">+_xll.EQNXTDZ($A$1,$B44,AA$2)</f>
        <v>13.51</v>
      </c>
      <c r="AB44" cm="1">
        <f t="array" ref="AB44">+_xll.EQNXTDZ($A$1,$B44,AB$2)</f>
        <v>12</v>
      </c>
      <c r="AC44" cm="1">
        <f t="array" ref="AC44">+_xll.EQNXTDZ($A$1,$B44,AC$2)</f>
        <v>10.46</v>
      </c>
      <c r="AD44" cm="1">
        <f t="array" ref="AD44">+_xll.EQNXTDZ($A$1,$B44,AD$2)</f>
        <v>9.98</v>
      </c>
      <c r="AE44" cm="1">
        <f t="array" ref="AE44">+_xll.EQNXTDZ($A$1,$B44,AE$2)</f>
        <v>9.3000000000000007</v>
      </c>
      <c r="AF44" cm="1">
        <f t="array" ref="AF44">+_xll.EQNXTDZ($A$1,$B44,AF$2)</f>
        <v>8.51</v>
      </c>
      <c r="AG44" cm="1">
        <f t="array" ref="AG44">+_xll.EQNXTDZ($A$1,$B44,AG$2)</f>
        <v>7.66</v>
      </c>
      <c r="AH44" cm="1">
        <f t="array" ref="AH44">+_xll.EQNXTDZ($A$1,$B44,AH$2)</f>
        <v>7.31</v>
      </c>
      <c r="AI44" cm="1">
        <f t="array" ref="AI44">+_xll.EQNXTDZ($A$1,$B44,AI$2)</f>
        <v>6.67</v>
      </c>
      <c r="AJ44" cm="1">
        <f t="array" ref="AJ44">+_xll.EQNXTDZ($A$1,$B44,AJ$2)</f>
        <v>5.84</v>
      </c>
      <c r="AK44" cm="1">
        <f t="array" ref="AK44">+_xll.EQNXTDZ($A$1,$B44,AK$2)</f>
        <v>5.35</v>
      </c>
      <c r="AL44" cm="1">
        <f t="array" ref="AL44">+_xll.EQNXTDZ($A$1,$B44,AL$2)</f>
        <v>4.9800000000000004</v>
      </c>
      <c r="AM44" cm="1">
        <f t="array" ref="AM44">+_xll.EQNXTDZ($A$1,$B44,AM$2)</f>
        <v>4.62</v>
      </c>
      <c r="AN44" cm="1">
        <f t="array" ref="AN44">+_xll.EQNXTDZ($A$1,$B44,AN$2)</f>
        <v>4.41</v>
      </c>
      <c r="AO44" cm="1">
        <f t="array" ref="AO44">+_xll.EQNXTDZ($A$1,$B44,AO$2)</f>
        <v>3.69</v>
      </c>
      <c r="AP44" cm="1">
        <f t="array" ref="AP44">+_xll.EQNXTDZ($A$1,$B44,AP$2)</f>
        <v>3.27</v>
      </c>
      <c r="AQ44" cm="1">
        <f t="array" ref="AQ44">+_xll.EQNXTDZ($A$1,$B44,AQ$2)</f>
        <v>2.92</v>
      </c>
      <c r="AR44" cm="1">
        <f t="array" ref="AR44">+_xll.EQNXTDZ($A$1,$B44,AR$2)</f>
        <v>2.54</v>
      </c>
      <c r="AS44" cm="1">
        <f t="array" ref="AS44">+_xll.EQNXTDZ($A$1,$B44,AS$2)</f>
        <v>2.2599999999999998</v>
      </c>
      <c r="AT44" cm="1">
        <f t="array" ref="AT44">+_xll.EQNXTDZ($A$1,$B44,AT$2)</f>
        <v>1.98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242</v>
      </c>
      <c r="B45" t="s">
        <v>283</v>
      </c>
      <c r="C45" cm="1">
        <f t="array" ref="C45">+_xll.EQNXTDZ($A$1,$B45,C$2)</f>
        <v>0.08</v>
      </c>
      <c r="D45" cm="1">
        <f t="array" ref="D45">+_xll.EQNXTDZ($A$1,$B45,D$2)</f>
        <v>-0.71</v>
      </c>
      <c r="E45" cm="1">
        <f t="array" ref="E45">+_xll.EQNXTDZ($A$1,$B45,E$2)</f>
        <v>-0.93</v>
      </c>
      <c r="F45" cm="1">
        <f t="array" ref="F45">+_xll.EQNXTDZ($A$1,$B45,F$2)</f>
        <v>-2.2000000000000002</v>
      </c>
      <c r="G45" cm="1">
        <f t="array" ref="G45">+_xll.EQNXTDZ($A$1,$B45,G$2)</f>
        <v>-0.45</v>
      </c>
      <c r="H45" cm="1">
        <f t="array" ref="H45">+_xll.EQNXTDZ($A$1,$B45,H$2)</f>
        <v>0.1</v>
      </c>
      <c r="I45" cm="1">
        <f t="array" ref="I45">+_xll.EQNXTDZ($A$1,$B45,I$2)</f>
        <v>0.06</v>
      </c>
      <c r="J45" cm="1">
        <f t="array" ref="J45">+_xll.EQNXTDZ($A$1,$B45,J$2)</f>
        <v>-0.61</v>
      </c>
      <c r="K45" cm="1">
        <f t="array" ref="K45">+_xll.EQNXTDZ($A$1,$B45,K$2)</f>
        <v>0.05</v>
      </c>
      <c r="L45" cm="1">
        <f t="array" ref="L45">+_xll.EQNXTDZ($A$1,$B45,L$2)</f>
        <v>0.11</v>
      </c>
      <c r="M45" cm="1">
        <f t="array" ref="M45">+_xll.EQNXTDZ($A$1,$B45,M$2)</f>
        <v>-1.36</v>
      </c>
      <c r="N45" cm="1">
        <f t="array" ref="N45">+_xll.EQNXTDZ($A$1,$B45,N$2)</f>
        <v>-2.36</v>
      </c>
      <c r="O45" cm="1">
        <f t="array" ref="O45">+_xll.EQNXTDZ($A$1,$B45,O$2)</f>
        <v>0.06</v>
      </c>
      <c r="P45" cm="1">
        <f t="array" ref="P45">+_xll.EQNXTDZ($A$1,$B45,P$2)</f>
        <v>-0.7</v>
      </c>
      <c r="Q45" cm="1">
        <f t="array" ref="Q45">+_xll.EQNXTDZ($A$1,$B45,Q$2)</f>
        <v>-2.85</v>
      </c>
      <c r="R45" cm="1">
        <f t="array" ref="R45">+_xll.EQNXTDZ($A$1,$B45,R$2)</f>
        <v>0.15</v>
      </c>
      <c r="S45" cm="1">
        <f t="array" ref="S45">+_xll.EQNXTDZ($A$1,$B45,S$2)</f>
        <v>0.14000000000000001</v>
      </c>
      <c r="T45" cm="1">
        <f t="array" ref="T45">+_xll.EQNXTDZ($A$1,$B45,T$2)</f>
        <v>0.16</v>
      </c>
      <c r="U45" cm="1">
        <f t="array" ref="U45">+_xll.EQNXTDZ($A$1,$B45,U$2)</f>
        <v>0.06</v>
      </c>
      <c r="V45" cm="1">
        <f t="array" ref="V45">+_xll.EQNXTDZ($A$1,$B45,V$2)</f>
        <v>-2.02</v>
      </c>
      <c r="W45" cm="1">
        <f t="array" ref="W45">+_xll.EQNXTDZ($A$1,$B45,W$2)</f>
        <v>0.46</v>
      </c>
      <c r="X45" cm="1">
        <f t="array" ref="X45">+_xll.EQNXTDZ($A$1,$B45,X$2)</f>
        <v>0.28000000000000003</v>
      </c>
      <c r="Y45" cm="1">
        <f t="array" ref="Y45">+_xll.EQNXTDZ($A$1,$B45,Y$2)</f>
        <v>0.28000000000000003</v>
      </c>
      <c r="Z45" cm="1">
        <f t="array" ref="Z45">+_xll.EQNXTDZ($A$1,$B45,Z$2)</f>
        <v>0.13</v>
      </c>
      <c r="AA45" cm="1">
        <f t="array" ref="AA45">+_xll.EQNXTDZ($A$1,$B45,AA$2)</f>
        <v>0.37</v>
      </c>
      <c r="AB45" cm="1">
        <f t="array" ref="AB45">+_xll.EQNXTDZ($A$1,$B45,AB$2)</f>
        <v>0.53</v>
      </c>
      <c r="AC45" cm="1">
        <f t="array" ref="AC45">+_xll.EQNXTDZ($A$1,$B45,AC$2)</f>
        <v>0.51</v>
      </c>
      <c r="AD45" cm="1">
        <f t="array" ref="AD45">+_xll.EQNXTDZ($A$1,$B45,AD$2)</f>
        <v>0.3</v>
      </c>
      <c r="AE45" cm="1">
        <f t="array" ref="AE45">+_xll.EQNXTDZ($A$1,$B45,AE$2)</f>
        <v>0.28999999999999998</v>
      </c>
      <c r="AF45" cm="1">
        <f t="array" ref="AF45">+_xll.EQNXTDZ($A$1,$B45,AF$2)</f>
        <v>0.47</v>
      </c>
      <c r="AG45" cm="1">
        <f t="array" ref="AG45">+_xll.EQNXTDZ($A$1,$B45,AG$2)</f>
        <v>0.55000000000000004</v>
      </c>
      <c r="AH45" cm="1">
        <f t="array" ref="AH45">+_xll.EQNXTDZ($A$1,$B45,AH$2)</f>
        <v>0.63</v>
      </c>
      <c r="AI45" cm="1">
        <f t="array" ref="AI45">+_xll.EQNXTDZ($A$1,$B45,AI$2)</f>
        <v>0.71</v>
      </c>
      <c r="AJ45" cm="1">
        <f t="array" ref="AJ45">+_xll.EQNXTDZ($A$1,$B45,AJ$2)</f>
        <v>0.67</v>
      </c>
      <c r="AK45" cm="1">
        <f t="array" ref="AK45">+_xll.EQNXTDZ($A$1,$B45,AK$2)</f>
        <v>0.82</v>
      </c>
      <c r="AL45" cm="1">
        <f t="array" ref="AL45">+_xll.EQNXTDZ($A$1,$B45,AL$2)</f>
        <v>0.61</v>
      </c>
      <c r="AM45" cm="1">
        <f t="array" ref="AM45">+_xll.EQNXTDZ($A$1,$B45,AM$2)</f>
        <v>0.7</v>
      </c>
      <c r="AN45" cm="1">
        <f t="array" ref="AN45">+_xll.EQNXTDZ($A$1,$B45,AN$2)</f>
        <v>0.94</v>
      </c>
      <c r="AO45" cm="1">
        <f t="array" ref="AO45">+_xll.EQNXTDZ($A$1,$B45,AO$2)</f>
        <v>0.96</v>
      </c>
      <c r="AP45" cm="1">
        <f t="array" ref="AP45">+_xll.EQNXTDZ($A$1,$B45,AP$2)</f>
        <v>0.98</v>
      </c>
      <c r="AQ45" cm="1">
        <f t="array" ref="AQ45">+_xll.EQNXTDZ($A$1,$B45,AQ$2)</f>
        <v>0.82</v>
      </c>
      <c r="AR45" cm="1">
        <f t="array" ref="AR45">+_xll.EQNXTDZ($A$1,$B45,AR$2)</f>
        <v>0.91</v>
      </c>
      <c r="AS45" cm="1">
        <f t="array" ref="AS45">+_xll.EQNXTDZ($A$1,$B45,AS$2)</f>
        <v>0.96</v>
      </c>
      <c r="AT45" cm="1">
        <f t="array" ref="AT45">+_xll.EQNXTDZ($A$1,$B45,AT$2)</f>
        <v>1.01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243</v>
      </c>
      <c r="B46" t="s">
        <v>284</v>
      </c>
      <c r="C46" cm="1">
        <f t="array" ref="C46">+_xll.EQNXTDZ($A$1,$B46,C$2)</f>
        <v>236541002</v>
      </c>
      <c r="D46" cm="1">
        <f t="array" ref="D46">+_xll.EQNXTDZ($A$1,$B46,D$2)</f>
        <v>236541002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244</v>
      </c>
      <c r="B47" t="s">
        <v>285</v>
      </c>
      <c r="C47" cm="1">
        <f t="array" ref="C47">+_xll.EQNXTDZ($A$1,$B47,C$2)</f>
        <v>35.57</v>
      </c>
      <c r="D47" cm="1">
        <f t="array" ref="D47">+_xll.EQNXTDZ($A$1,$B47,D$2)</f>
        <v>29.87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212</v>
      </c>
      <c r="B48" t="s">
        <v>343</v>
      </c>
      <c r="C48" cm="1">
        <f t="array" ref="C48">+_xll.EQNXTDZ($A$1,$B48,C$2)</f>
        <v>2.12</v>
      </c>
      <c r="D48" cm="1">
        <f t="array" ref="D48">+_xll.EQNXTDZ($A$1,$B48,D$2)</f>
        <v>2.29</v>
      </c>
      <c r="E48" cm="1">
        <f t="array" ref="E48">+_xll.EQNXTDZ($A$1,$B48,E$2)</f>
        <v>0</v>
      </c>
      <c r="F48" cm="1">
        <f t="array" ref="F48">+_xll.EQNXTDZ($A$1,$B48,F$2)</f>
        <v>2.06</v>
      </c>
      <c r="G48" cm="1">
        <f t="array" ref="G48">+_xll.EQNXTDZ($A$1,$B48,G$2)</f>
        <v>2.2000000000000002</v>
      </c>
      <c r="H48" cm="1">
        <f t="array" ref="H48">+_xll.EQNXTDZ($A$1,$B48,H$2)</f>
        <v>2.62</v>
      </c>
      <c r="I48" cm="1">
        <f t="array" ref="I48">+_xll.EQNXTDZ($A$1,$B48,I$2)</f>
        <v>2.21</v>
      </c>
      <c r="J48" cm="1">
        <f t="array" ref="J48">+_xll.EQNXTDZ($A$1,$B48,J$2)</f>
        <v>2.39</v>
      </c>
      <c r="K48" cm="1">
        <f t="array" ref="K48">+_xll.EQNXTDZ($A$1,$B48,K$2)</f>
        <v>1.99</v>
      </c>
      <c r="L48" cm="1">
        <f t="array" ref="L48">+_xll.EQNXTDZ($A$1,$B48,L$2)</f>
        <v>2.15</v>
      </c>
      <c r="M48" cm="1">
        <f t="array" ref="M48">+_xll.EQNXTDZ($A$1,$B48,M$2)</f>
        <v>1.88</v>
      </c>
      <c r="N48" cm="1">
        <f t="array" ref="N48">+_xll.EQNXTDZ($A$1,$B48,N$2)</f>
        <v>1.92</v>
      </c>
      <c r="O48" cm="1">
        <f t="array" ref="O48">+_xll.EQNXTDZ($A$1,$B48,O$2)</f>
        <v>2.4900000000000002</v>
      </c>
      <c r="P48" cm="1">
        <f t="array" ref="P48">+_xll.EQNXTDZ($A$1,$B48,P$2)</f>
        <v>2.65</v>
      </c>
      <c r="Q48" cm="1">
        <f t="array" ref="Q48">+_xll.EQNXTDZ($A$1,$B48,Q$2)</f>
        <v>3.02</v>
      </c>
      <c r="R48" cm="1">
        <f t="array" ref="R48">+_xll.EQNXTDZ($A$1,$B48,R$2)</f>
        <v>3.38</v>
      </c>
      <c r="S48" cm="1">
        <f t="array" ref="S48">+_xll.EQNXTDZ($A$1,$B48,S$2)</f>
        <v>3.03</v>
      </c>
      <c r="T48" cm="1">
        <f t="array" ref="T48">+_xll.EQNXTDZ($A$1,$B48,T$2)</f>
        <v>3.36</v>
      </c>
      <c r="U48" cm="1">
        <f t="array" ref="U48">+_xll.EQNXTDZ($A$1,$B48,U$2)</f>
        <v>3.45</v>
      </c>
      <c r="V48" cm="1">
        <f t="array" ref="V48">+_xll.EQNXTDZ($A$1,$B48,V$2)</f>
        <v>3.28</v>
      </c>
      <c r="W48" cm="1">
        <f t="array" ref="W48">+_xll.EQNXTDZ($A$1,$B48,W$2)</f>
        <v>2.73</v>
      </c>
      <c r="X48" cm="1">
        <f t="array" ref="X48">+_xll.EQNXTDZ($A$1,$B48,X$2)</f>
        <v>2.88</v>
      </c>
      <c r="Y48" cm="1">
        <f t="array" ref="Y48">+_xll.EQNXTDZ($A$1,$B48,Y$2)</f>
        <v>2.58</v>
      </c>
      <c r="Z48" cm="1">
        <f t="array" ref="Z48">+_xll.EQNXTDZ($A$1,$B48,Z$2)</f>
        <v>2.16</v>
      </c>
      <c r="AA48" cm="1">
        <f t="array" ref="AA48">+_xll.EQNXTDZ($A$1,$B48,AA$2)</f>
        <v>2.35</v>
      </c>
      <c r="AB48" cm="1">
        <f t="array" ref="AB48">+_xll.EQNXTDZ($A$1,$B48,AB$2)</f>
        <v>2.65</v>
      </c>
      <c r="AC48" cm="1">
        <f t="array" ref="AC48">+_xll.EQNXTDZ($A$1,$B48,AC$2)</f>
        <v>2.27</v>
      </c>
      <c r="AD48" cm="1">
        <f t="array" ref="AD48">+_xll.EQNXTDZ($A$1,$B48,AD$2)</f>
        <v>2.9</v>
      </c>
      <c r="AE48" cm="1">
        <f t="array" ref="AE48">+_xll.EQNXTDZ($A$1,$B48,AE$2)</f>
        <v>2.88</v>
      </c>
      <c r="AF48" cm="1">
        <f t="array" ref="AF48">+_xll.EQNXTDZ($A$1,$B48,AF$2)</f>
        <v>3.49</v>
      </c>
      <c r="AG48" cm="1">
        <f t="array" ref="AG48">+_xll.EQNXTDZ($A$1,$B48,AG$2)</f>
        <v>3.28</v>
      </c>
      <c r="AH48" cm="1">
        <f t="array" ref="AH48">+_xll.EQNXTDZ($A$1,$B48,AH$2)</f>
        <v>3.15</v>
      </c>
      <c r="AI48" cm="1">
        <f t="array" ref="AI48">+_xll.EQNXTDZ($A$1,$B48,AI$2)</f>
        <v>3.03</v>
      </c>
      <c r="AJ48" cm="1">
        <f t="array" ref="AJ48">+_xll.EQNXTDZ($A$1,$B48,AJ$2)</f>
        <v>3.47</v>
      </c>
      <c r="AK48" cm="1">
        <f t="array" ref="AK48">+_xll.EQNXTDZ($A$1,$B48,AK$2)</f>
        <v>2.85</v>
      </c>
      <c r="AL48" cm="1">
        <f t="array" ref="AL48">+_xll.EQNXTDZ($A$1,$B48,AL$2)</f>
        <v>2.92</v>
      </c>
      <c r="AM48" cm="1">
        <f t="array" ref="AM48">+_xll.EQNXTDZ($A$1,$B48,AM$2)</f>
        <v>3.07</v>
      </c>
      <c r="AN48" cm="1">
        <f t="array" ref="AN48">+_xll.EQNXTDZ($A$1,$B48,AN$2)</f>
        <v>3.14</v>
      </c>
      <c r="AO48" cm="1">
        <f t="array" ref="AO48">+_xll.EQNXTDZ($A$1,$B48,AO$2)</f>
        <v>2.8</v>
      </c>
      <c r="AP48" cm="1">
        <f t="array" ref="AP48">+_xll.EQNXTDZ($A$1,$B48,AP$2)</f>
        <v>2.61</v>
      </c>
      <c r="AQ48" cm="1">
        <f t="array" ref="AQ48">+_xll.EQNXTDZ($A$1,$B48,AQ$2)</f>
        <v>2.5499999999999998</v>
      </c>
      <c r="AR48" cm="1">
        <f t="array" ref="AR48">+_xll.EQNXTDZ($A$1,$B48,AR$2)</f>
        <v>2.41</v>
      </c>
      <c r="AS48" cm="1">
        <f t="array" ref="AS48">+_xll.EQNXTDZ($A$1,$B48,AS$2)</f>
        <v>2.57</v>
      </c>
      <c r="AT48" cm="1">
        <f t="array" ref="AT48">+_xll.EQNXTDZ($A$1,$B48,AT$2)</f>
        <v>2.58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55</v>
      </c>
      <c r="B52" t="s">
        <v>56</v>
      </c>
    </row>
    <row r="53" spans="1:62" x14ac:dyDescent="0.25">
      <c r="A53" t="s">
        <v>123</v>
      </c>
      <c r="B53" t="s">
        <v>299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300</v>
      </c>
      <c r="C54" cm="1">
        <f t="array" ref="C54">+_xll.EQNXTDZ($A$1,$B54,C$51)</f>
        <v>665.65</v>
      </c>
      <c r="D54" cm="1">
        <f t="array" ref="D54">+_xll.EQNXTDZ($A$1,$B54,D$51)</f>
        <v>792.65</v>
      </c>
      <c r="E54" cm="1">
        <f t="array" ref="E54">+_xll.EQNXTDZ($A$1,$B54,E$51)</f>
        <v>792.65</v>
      </c>
      <c r="F54" cm="1">
        <f t="array" ref="F54">+_xll.EQNXTDZ($A$1,$B54,F$51)</f>
        <v>817.29</v>
      </c>
      <c r="G54" cm="1">
        <f t="array" ref="G54">+_xll.EQNXTDZ($A$1,$B54,G$51)</f>
        <v>934.77</v>
      </c>
      <c r="H54" cm="1">
        <f t="array" ref="H54">+_xll.EQNXTDZ($A$1,$B54,H$51)</f>
        <v>1055.43</v>
      </c>
      <c r="I54" cm="1">
        <f t="array" ref="I54">+_xll.EQNXTDZ($A$1,$B54,I$51)</f>
        <v>1055.43</v>
      </c>
      <c r="J54" cm="1">
        <f t="array" ref="J54">+_xll.EQNXTDZ($A$1,$B54,J$51)</f>
        <v>1055.43</v>
      </c>
      <c r="K54" cm="1">
        <f t="array" ref="K54">+_xll.EQNXTDZ($A$1,$B54,K$51)</f>
        <v>1072.93</v>
      </c>
      <c r="L54" cm="1">
        <f t="array" ref="L54">+_xll.EQNXTDZ($A$1,$B54,L$51)</f>
        <v>1185.29</v>
      </c>
      <c r="M54" cm="1">
        <f t="array" ref="M54">+_xll.EQNXTDZ($A$1,$B54,M$51)</f>
        <v>1185.29</v>
      </c>
      <c r="N54" cm="1">
        <f t="array" ref="N54">+_xll.EQNXTDZ($A$1,$B54,N$51)</f>
        <v>1743.72</v>
      </c>
      <c r="O54" cm="1">
        <f t="array" ref="O54">+_xll.EQNXTDZ($A$1,$B54,O$51)</f>
        <v>1743.72</v>
      </c>
      <c r="P54" cm="1">
        <f t="array" ref="P54">+_xll.EQNXTDZ($A$1,$B54,P$51)</f>
        <v>1743.72</v>
      </c>
      <c r="Q54" cm="1">
        <f t="array" ref="Q54">+_xll.EQNXTDZ($A$1,$B54,Q$51)</f>
        <v>1743.72</v>
      </c>
      <c r="R54" cm="1">
        <f t="array" ref="R54">+_xll.EQNXTDZ($A$1,$B54,R$51)</f>
        <v>2760.03</v>
      </c>
      <c r="S54" cm="1">
        <f t="array" ref="S54">+_xll.EQNXTDZ($A$1,$B54,S$51)</f>
        <v>3277.66</v>
      </c>
      <c r="T54" cm="1">
        <f t="array" ref="T54">+_xll.EQNXTDZ($A$1,$B54,T$51)</f>
        <v>3277.66</v>
      </c>
      <c r="U54" cm="1">
        <f t="array" ref="U54">+_xll.EQNXTDZ($A$1,$B54,U$51)</f>
        <v>3277.66</v>
      </c>
      <c r="V54" cm="1">
        <f t="array" ref="V54">+_xll.EQNXTDZ($A$1,$B54,V$51)</f>
        <v>3277.66</v>
      </c>
      <c r="W54" cm="1">
        <f t="array" ref="W54">+_xll.EQNXTDZ($A$1,$B54,W$51)</f>
        <v>3277.66</v>
      </c>
      <c r="X54" cm="1">
        <f t="array" ref="X54">+_xll.EQNXTDZ($A$1,$B54,X$51)</f>
        <v>3277.66</v>
      </c>
      <c r="Y54" cm="1">
        <f t="array" ref="Y54">+_xll.EQNXTDZ($A$1,$B54,Y$51)</f>
        <v>3277.66</v>
      </c>
      <c r="Z54" cm="1">
        <f t="array" ref="Z54">+_xll.EQNXTDZ($A$1,$B54,Z$51)</f>
        <v>3277.66</v>
      </c>
      <c r="AA54" cm="1">
        <f t="array" ref="AA54">+_xll.EQNXTDZ($A$1,$B54,AA$51)</f>
        <v>3698.83</v>
      </c>
      <c r="AB54" cm="1">
        <f t="array" ref="AB54">+_xll.EQNXTDZ($A$1,$B54,AB$51)</f>
        <v>4104.3100000000004</v>
      </c>
      <c r="AC54" cm="1">
        <f t="array" ref="AC54">+_xll.EQNXTDZ($A$1,$B54,AC$51)</f>
        <v>4104.3100000000004</v>
      </c>
      <c r="AD54" cm="1">
        <f t="array" ref="AD54">+_xll.EQNXTDZ($A$1,$B54,AD$51)</f>
        <v>4104.3100000000004</v>
      </c>
      <c r="AE54" cm="1">
        <f t="array" ref="AE54">+_xll.EQNXTDZ($A$1,$B54,AE$51)</f>
        <v>4104.3100000000004</v>
      </c>
      <c r="AF54" cm="1">
        <f t="array" ref="AF54">+_xll.EQNXTDZ($A$1,$B54,AF$51)</f>
        <v>4104.3100000000004</v>
      </c>
      <c r="AG54" cm="1">
        <f t="array" ref="AG54">+_xll.EQNXTDZ($A$1,$B54,AG$51)</f>
        <v>4104.3100000000004</v>
      </c>
      <c r="AH54" cm="1">
        <f t="array" ref="AH54">+_xll.EQNXTDZ($A$1,$B54,AH$51)</f>
        <v>4104.3100000000004</v>
      </c>
      <c r="AI54" cm="1">
        <f t="array" ref="AI54">+_xll.EQNXTDZ($A$1,$B54,AI$51)</f>
        <v>4104.3100000000004</v>
      </c>
      <c r="AJ54" cm="1">
        <f t="array" ref="AJ54">+_xll.EQNXTDZ($A$1,$B54,AJ$51)</f>
        <v>4104.3100000000004</v>
      </c>
      <c r="AK54" cm="1">
        <f t="array" ref="AK54">+_xll.EQNXTDZ($A$1,$B54,AK$51)</f>
        <v>4553.41</v>
      </c>
      <c r="AL54" cm="1">
        <f t="array" ref="AL54">+_xll.EQNXTDZ($A$1,$B54,AL$51)</f>
        <v>4553.41</v>
      </c>
      <c r="AM54" cm="1">
        <f t="array" ref="AM54">+_xll.EQNXTDZ($A$1,$B54,AM$51)</f>
        <v>4553.41</v>
      </c>
      <c r="AN54" cm="1">
        <f t="array" ref="AN54">+_xll.EQNXTDZ($A$1,$B54,AN$51)</f>
        <v>4553.41</v>
      </c>
      <c r="AO54" cm="1">
        <f t="array" ref="AO54">+_xll.EQNXTDZ($A$1,$B54,AO$51)</f>
        <v>4553.41</v>
      </c>
      <c r="AP54" cm="1">
        <f t="array" ref="AP54">+_xll.EQNXTDZ($A$1,$B54,AP$51)</f>
        <v>4553.41</v>
      </c>
      <c r="AQ54" cm="1">
        <f t="array" ref="AQ54">+_xll.EQNXTDZ($A$1,$B54,AQ$51)</f>
        <v>4553.41</v>
      </c>
      <c r="AR54" cm="1">
        <f t="array" ref="AR54">+_xll.EQNXTDZ($A$1,$B54,AR$51)</f>
        <v>4553.41</v>
      </c>
      <c r="AS54" cm="1">
        <f t="array" ref="AS54">+_xll.EQNXTDZ($A$1,$B54,AS$51)</f>
        <v>4553.41</v>
      </c>
      <c r="AT54" cm="1">
        <f t="array" ref="AT54">+_xll.EQNXTDZ($A$1,$B54,AT$51)</f>
        <v>4553.41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286</v>
      </c>
      <c r="B55" t="s">
        <v>301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1303.6500000000001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1721.92</v>
      </c>
      <c r="K55" cm="1">
        <f t="array" ref="K55">+_xll.EQNXTDZ($A$1,$B55,K$51)</f>
        <v>1500</v>
      </c>
      <c r="L55" cm="1">
        <f t="array" ref="L55">+_xll.EQNXTDZ($A$1,$B55,L$51)</f>
        <v>0</v>
      </c>
      <c r="M55" cm="1">
        <f t="array" ref="M55">+_xll.EQNXTDZ($A$1,$B55,M$51)</f>
        <v>2257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10086</v>
      </c>
      <c r="R55" cm="1">
        <f t="array" ref="R55">+_xll.EQNXTDZ($A$1,$B55,R$51)</f>
        <v>4638</v>
      </c>
      <c r="S55" cm="1">
        <f t="array" ref="S55">+_xll.EQNXTDZ($A$1,$B55,S$51)</f>
        <v>0</v>
      </c>
      <c r="T55" cm="1">
        <f t="array" ref="T55">+_xll.EQNXTDZ($A$1,$B55,T$51)</f>
        <v>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3000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173</v>
      </c>
      <c r="B56" t="s">
        <v>302</v>
      </c>
      <c r="C56" cm="1">
        <f t="array" ref="C56">+_xll.EQNXTDZ($A$1,$B56,C$51)</f>
        <v>30949.68</v>
      </c>
      <c r="D56" cm="1">
        <f t="array" ref="D56">+_xll.EQNXTDZ($A$1,$B56,D$51)</f>
        <v>32344.65</v>
      </c>
      <c r="E56" cm="1">
        <f t="array" ref="E56">+_xll.EQNXTDZ($A$1,$B56,E$51)</f>
        <v>30807.07</v>
      </c>
      <c r="F56" cm="1">
        <f t="array" ref="F56">+_xll.EQNXTDZ($A$1,$B56,F$51)</f>
        <v>30196.28</v>
      </c>
      <c r="G56" cm="1">
        <f t="array" ref="G56">+_xll.EQNXTDZ($A$1,$B56,G$51)</f>
        <v>30364.560000000001</v>
      </c>
      <c r="H56" cm="1">
        <f t="array" ref="H56">+_xll.EQNXTDZ($A$1,$B56,H$51)</f>
        <v>31367.23</v>
      </c>
      <c r="I56" cm="1">
        <f t="array" ref="I56">+_xll.EQNXTDZ($A$1,$B56,I$51)</f>
        <v>31265.85</v>
      </c>
      <c r="J56" cm="1">
        <f t="array" ref="J56">+_xll.EQNXTDZ($A$1,$B56,J$51)</f>
        <v>29709.72</v>
      </c>
      <c r="K56" cm="1">
        <f t="array" ref="K56">+_xll.EQNXTDZ($A$1,$B56,K$51)</f>
        <v>29950.82</v>
      </c>
      <c r="L56" cm="1">
        <f t="array" ref="L56">+_xll.EQNXTDZ($A$1,$B56,L$51)</f>
        <v>31560.66</v>
      </c>
      <c r="M56" cm="1">
        <f t="array" ref="M56">+_xll.EQNXTDZ($A$1,$B56,M$51)</f>
        <v>28971.88</v>
      </c>
      <c r="N56" cm="1">
        <f t="array" ref="N56">+_xll.EQNXTDZ($A$1,$B56,N$51)</f>
        <v>33796.93</v>
      </c>
      <c r="O56" cm="1">
        <f t="array" ref="O56">+_xll.EQNXTDZ($A$1,$B56,O$51)</f>
        <v>34013.56</v>
      </c>
      <c r="P56" cm="1">
        <f t="array" ref="P56">+_xll.EQNXTDZ($A$1,$B56,P$51)</f>
        <v>33389.1</v>
      </c>
      <c r="Q56" cm="1">
        <f t="array" ref="Q56">+_xll.EQNXTDZ($A$1,$B56,Q$51)</f>
        <v>28284.13</v>
      </c>
      <c r="R56" cm="1">
        <f t="array" ref="R56">+_xll.EQNXTDZ($A$1,$B56,R$51)</f>
        <v>38921.120000000003</v>
      </c>
      <c r="S56" cm="1">
        <f t="array" ref="S56">+_xll.EQNXTDZ($A$1,$B56,S$51)</f>
        <v>43372.46</v>
      </c>
      <c r="T56" cm="1">
        <f t="array" ref="T56">+_xll.EQNXTDZ($A$1,$B56,T$51)</f>
        <v>43712.41</v>
      </c>
      <c r="U56" cm="1">
        <f t="array" ref="U56">+_xll.EQNXTDZ($A$1,$B56,U$51)</f>
        <v>43973.41</v>
      </c>
      <c r="V56" cm="1">
        <f t="array" ref="V56">+_xll.EQNXTDZ($A$1,$B56,V$51)</f>
        <v>40538.65</v>
      </c>
      <c r="W56" cm="1">
        <f t="array" ref="W56">+_xll.EQNXTDZ($A$1,$B56,W$51)</f>
        <v>41422.550000000003</v>
      </c>
      <c r="X56" cm="1">
        <f t="array" ref="X56">+_xll.EQNXTDZ($A$1,$B56,X$51)</f>
        <v>41811.040000000001</v>
      </c>
      <c r="Y56" cm="1">
        <f t="array" ref="Y56">+_xll.EQNXTDZ($A$1,$B56,Y$51)</f>
        <v>42319.87</v>
      </c>
      <c r="Z56" cm="1">
        <f t="array" ref="Z56">+_xll.EQNXTDZ($A$1,$B56,Z$51)</f>
        <v>42407.93</v>
      </c>
      <c r="AA56" cm="1">
        <f t="array" ref="AA56">+_xll.EQNXTDZ($A$1,$B56,AA$51)</f>
        <v>45844.51</v>
      </c>
      <c r="AB56" cm="1">
        <f t="array" ref="AB56">+_xll.EQNXTDZ($A$1,$B56,AB$51)</f>
        <v>48953.52</v>
      </c>
      <c r="AC56" cm="1">
        <f t="array" ref="AC56">+_xll.EQNXTDZ($A$1,$B56,AC$51)</f>
        <v>49874.74</v>
      </c>
      <c r="AD56" cm="1">
        <f t="array" ref="AD56">+_xll.EQNXTDZ($A$1,$B56,AD$51)</f>
        <v>51026.93</v>
      </c>
      <c r="AE56" cm="1">
        <f t="array" ref="AE56">+_xll.EQNXTDZ($A$1,$B56,AE$51)</f>
        <v>51809.71</v>
      </c>
      <c r="AF56" cm="1">
        <f t="array" ref="AF56">+_xll.EQNXTDZ($A$1,$B56,AF$51)</f>
        <v>52192.43</v>
      </c>
      <c r="AG56" cm="1">
        <f t="array" ref="AG56">+_xll.EQNXTDZ($A$1,$B56,AG$51)</f>
        <v>53662.54</v>
      </c>
      <c r="AH56" cm="1">
        <f t="array" ref="AH56">+_xll.EQNXTDZ($A$1,$B56,AH$51)</f>
        <v>54866.31</v>
      </c>
      <c r="AI56" cm="1">
        <f t="array" ref="AI56">+_xll.EQNXTDZ($A$1,$B56,AI$51)</f>
        <v>56173.86</v>
      </c>
      <c r="AJ56" cm="1">
        <f t="array" ref="AJ56">+_xll.EQNXTDZ($A$1,$B56,AJ$51)</f>
        <v>56792.1</v>
      </c>
      <c r="AK56" cm="1">
        <f t="array" ref="AK56">+_xll.EQNXTDZ($A$1,$B56,AK$51)</f>
        <v>62732.92</v>
      </c>
      <c r="AL56" cm="1">
        <f t="array" ref="AL56">+_xll.EQNXTDZ($A$1,$B56,AL$51)</f>
        <v>64327.26</v>
      </c>
      <c r="AM56" cm="1">
        <f t="array" ref="AM56">+_xll.EQNXTDZ($A$1,$B56,AM$51)</f>
        <v>64445.82</v>
      </c>
      <c r="AN56" cm="1">
        <f t="array" ref="AN56">+_xll.EQNXTDZ($A$1,$B56,AN$51)</f>
        <v>67254.69</v>
      </c>
      <c r="AO56" cm="1">
        <f t="array" ref="AO56">+_xll.EQNXTDZ($A$1,$B56,AO$51)</f>
        <v>69645.25</v>
      </c>
      <c r="AP56" cm="1">
        <f t="array" ref="AP56">+_xll.EQNXTDZ($A$1,$B56,AP$51)</f>
        <v>74048.03</v>
      </c>
      <c r="AQ56" cm="1">
        <f t="array" ref="AQ56">+_xll.EQNXTDZ($A$1,$B56,AQ$51)</f>
        <v>74813.22</v>
      </c>
      <c r="AR56" cm="1">
        <f t="array" ref="AR56">+_xll.EQNXTDZ($A$1,$B56,AR$51)</f>
        <v>77286.710000000006</v>
      </c>
      <c r="AS56" cm="1">
        <f t="array" ref="AS56">+_xll.EQNXTDZ($A$1,$B56,AS$51)</f>
        <v>80030.350000000006</v>
      </c>
      <c r="AT56" cm="1">
        <f t="array" ref="AT56">+_xll.EQNXTDZ($A$1,$B56,AT$51)</f>
        <v>83436.81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303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119</v>
      </c>
      <c r="B58" t="s">
        <v>304</v>
      </c>
      <c r="C58" cm="1">
        <f t="array" ref="C58">+_xll.EQNXTDZ($A$1,$B58,C$51)</f>
        <v>508260.34</v>
      </c>
      <c r="D58" cm="1">
        <f t="array" ref="D58">+_xll.EQNXTDZ($A$1,$B58,D$51)</f>
        <v>525195.57999999996</v>
      </c>
      <c r="E58" cm="1">
        <f t="array" ref="E58">+_xll.EQNXTDZ($A$1,$B58,E$51)</f>
        <v>528771.86</v>
      </c>
      <c r="F58" cm="1">
        <f t="array" ref="F58">+_xll.EQNXTDZ($A$1,$B58,F$51)</f>
        <v>513004.52</v>
      </c>
      <c r="G58" cm="1">
        <f t="array" ref="G58">+_xll.EQNXTDZ($A$1,$B58,G$51)</f>
        <v>498000.2</v>
      </c>
      <c r="H58" cm="1">
        <f t="array" ref="H58">+_xll.EQNXTDZ($A$1,$B58,H$51)</f>
        <v>505280.08</v>
      </c>
      <c r="I58" cm="1">
        <f t="array" ref="I58">+_xll.EQNXTDZ($A$1,$B58,I$51)</f>
        <v>542627.47</v>
      </c>
      <c r="J58" cm="1">
        <f t="array" ref="J58">+_xll.EQNXTDZ($A$1,$B58,J$51)</f>
        <v>540032.01</v>
      </c>
      <c r="K58" cm="1">
        <f t="array" ref="K58">+_xll.EQNXTDZ($A$1,$B58,K$51)</f>
        <v>543734.11</v>
      </c>
      <c r="L58" cm="1">
        <f t="array" ref="L58">+_xll.EQNXTDZ($A$1,$B58,L$51)</f>
        <v>543716.06000000006</v>
      </c>
      <c r="M58" cm="1">
        <f t="array" ref="M58">+_xll.EQNXTDZ($A$1,$B58,M$51)</f>
        <v>526003.14</v>
      </c>
      <c r="N58" cm="1">
        <f t="array" ref="N58">+_xll.EQNXTDZ($A$1,$B58,N$51)</f>
        <v>520854.38</v>
      </c>
      <c r="O58" cm="1">
        <f t="array" ref="O58">+_xll.EQNXTDZ($A$1,$B58,O$51)</f>
        <v>514604.52</v>
      </c>
      <c r="P58" cm="1">
        <f t="array" ref="P58">+_xll.EQNXTDZ($A$1,$B58,P$51)</f>
        <v>512141.68</v>
      </c>
      <c r="Q58" cm="1">
        <f t="array" ref="Q58">+_xll.EQNXTDZ($A$1,$B58,Q$51)</f>
        <v>515128.31</v>
      </c>
      <c r="R58" cm="1">
        <f t="array" ref="R58">+_xll.EQNXTDZ($A$1,$B58,R$51)</f>
        <v>520862.35</v>
      </c>
      <c r="S58" cm="1">
        <f t="array" ref="S58">+_xll.EQNXTDZ($A$1,$B58,S$51)</f>
        <v>512237.02</v>
      </c>
      <c r="T58" cm="1">
        <f t="array" ref="T58">+_xll.EQNXTDZ($A$1,$B58,T$51)</f>
        <v>518037.45</v>
      </c>
      <c r="U58" cm="1">
        <f t="array" ref="U58">+_xll.EQNXTDZ($A$1,$B58,U$51)</f>
        <v>522138.36</v>
      </c>
      <c r="V58" cm="1">
        <f t="array" ref="V58">+_xll.EQNXTDZ($A$1,$B58,V$51)</f>
        <v>555504.98</v>
      </c>
      <c r="W58" cm="1">
        <f t="array" ref="W58">+_xll.EQNXTDZ($A$1,$B58,W$51)</f>
        <v>595235.07999999996</v>
      </c>
      <c r="X58" cm="1">
        <f t="array" ref="X58">+_xll.EQNXTDZ($A$1,$B58,X$51)</f>
        <v>607529.01</v>
      </c>
      <c r="Y58" cm="1">
        <f t="array" ref="Y58">+_xll.EQNXTDZ($A$1,$B58,Y$51)</f>
        <v>611878.94999999995</v>
      </c>
      <c r="Z58" cm="1">
        <f t="array" ref="Z58">+_xll.EQNXTDZ($A$1,$B58,Z$51)</f>
        <v>627113.56000000006</v>
      </c>
      <c r="AA58" cm="1">
        <f t="array" ref="AA58">+_xll.EQNXTDZ($A$1,$B58,AA$51)</f>
        <v>623385.44999999995</v>
      </c>
      <c r="AB58" cm="1">
        <f t="array" ref="AB58">+_xll.EQNXTDZ($A$1,$B58,AB$51)</f>
        <v>612961.25</v>
      </c>
      <c r="AC58" cm="1">
        <f t="array" ref="AC58">+_xll.EQNXTDZ($A$1,$B58,AC$51)</f>
        <v>623120.23</v>
      </c>
      <c r="AD58" cm="1">
        <f t="array" ref="AD58">+_xll.EQNXTDZ($A$1,$B58,AD$51)</f>
        <v>627895.96</v>
      </c>
      <c r="AE58" cm="1">
        <f t="array" ref="AE58">+_xll.EQNXTDZ($A$1,$B58,AE$51)</f>
        <v>640734.49</v>
      </c>
      <c r="AF58" cm="1">
        <f t="array" ref="AF58">+_xll.EQNXTDZ($A$1,$B58,AF$51)</f>
        <v>647541.29</v>
      </c>
      <c r="AG58" cm="1">
        <f t="array" ref="AG58">+_xll.EQNXTDZ($A$1,$B58,AG$51)</f>
        <v>653690.9</v>
      </c>
      <c r="AH58" cm="1">
        <f t="array" ref="AH58">+_xll.EQNXTDZ($A$1,$B58,AH$51)</f>
        <v>669585.77</v>
      </c>
      <c r="AI58" cm="1">
        <f t="array" ref="AI58">+_xll.EQNXTDZ($A$1,$B58,AI$51)</f>
        <v>696544.1</v>
      </c>
      <c r="AJ58" cm="1">
        <f t="array" ref="AJ58">+_xll.EQNXTDZ($A$1,$B58,AJ$51)</f>
        <v>703750.6</v>
      </c>
      <c r="AK58" cm="1">
        <f t="array" ref="AK58">+_xll.EQNXTDZ($A$1,$B58,AK$51)</f>
        <v>707827.38</v>
      </c>
      <c r="AL58" cm="1">
        <f t="array" ref="AL58">+_xll.EQNXTDZ($A$1,$B58,AL$51)</f>
        <v>737920.21</v>
      </c>
      <c r="AM58" cm="1">
        <f t="array" ref="AM58">+_xll.EQNXTDZ($A$1,$B58,AM$51)</f>
        <v>764396.48</v>
      </c>
      <c r="AN58" cm="1">
        <f t="array" ref="AN58">+_xll.EQNXTDZ($A$1,$B58,AN$51)</f>
        <v>775180.74</v>
      </c>
      <c r="AO58" cm="1">
        <f t="array" ref="AO58">+_xll.EQNXTDZ($A$1,$B58,AO$51)</f>
        <v>794788.05</v>
      </c>
      <c r="AP58" cm="1">
        <f t="array" ref="AP58">+_xll.EQNXTDZ($A$1,$B58,AP$51)</f>
        <v>816541.49</v>
      </c>
      <c r="AQ58" cm="1">
        <f t="array" ref="AQ58">+_xll.EQNXTDZ($A$1,$B58,AQ$51)</f>
        <v>833697.96</v>
      </c>
      <c r="AR58" cm="1">
        <f t="array" ref="AR58">+_xll.EQNXTDZ($A$1,$B58,AR$51)</f>
        <v>853301.39</v>
      </c>
      <c r="AS58" cm="1">
        <f t="array" ref="AS58">+_xll.EQNXTDZ($A$1,$B58,AS$51)</f>
        <v>887287.44</v>
      </c>
      <c r="AT58" cm="1">
        <f t="array" ref="AT58">+_xll.EQNXTDZ($A$1,$B58,AT$51)</f>
        <v>927270.88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287</v>
      </c>
      <c r="B59" t="s">
        <v>305</v>
      </c>
      <c r="C59" cm="1">
        <f t="array" ref="C59">+_xll.EQNXTDZ($A$1,$B59,C$51)</f>
        <v>96361</v>
      </c>
      <c r="D59" cm="1">
        <f t="array" ref="D59">+_xll.EQNXTDZ($A$1,$B59,D$51)</f>
        <v>100790</v>
      </c>
      <c r="E59" cm="1">
        <f t="array" ref="E59">+_xll.EQNXTDZ($A$1,$B59,E$51)</f>
        <v>101352</v>
      </c>
      <c r="F59" cm="1">
        <f t="array" ref="F59">+_xll.EQNXTDZ($A$1,$B59,F$51)</f>
        <v>108481</v>
      </c>
      <c r="G59" cm="1">
        <f t="array" ref="G59">+_xll.EQNXTDZ($A$1,$B59,G$51)</f>
        <v>110077</v>
      </c>
      <c r="H59" cm="1">
        <f t="array" ref="H59">+_xll.EQNXTDZ($A$1,$B59,H$51)</f>
        <v>115316</v>
      </c>
      <c r="I59" cm="1">
        <f t="array" ref="I59">+_xll.EQNXTDZ($A$1,$B59,I$51)</f>
        <v>143281</v>
      </c>
      <c r="J59" cm="1">
        <f t="array" ref="J59">+_xll.EQNXTDZ($A$1,$B59,J$51)</f>
        <v>143111</v>
      </c>
      <c r="K59" cm="1">
        <f t="array" ref="K59">+_xll.EQNXTDZ($A$1,$B59,K$51)</f>
        <v>139968</v>
      </c>
      <c r="L59" cm="1">
        <f t="array" ref="L59">+_xll.EQNXTDZ($A$1,$B59,L$51)</f>
        <v>141669</v>
      </c>
      <c r="M59" cm="1">
        <f t="array" ref="M59">+_xll.EQNXTDZ($A$1,$B59,M$51)</f>
        <v>141579</v>
      </c>
      <c r="N59" cm="1">
        <f t="array" ref="N59">+_xll.EQNXTDZ($A$1,$B59,N$51)</f>
        <v>147208</v>
      </c>
      <c r="O59" cm="1">
        <f t="array" ref="O59">+_xll.EQNXTDZ($A$1,$B59,O$51)</f>
        <v>145183</v>
      </c>
      <c r="P59" cm="1">
        <f t="array" ref="P59">+_xll.EQNXTDZ($A$1,$B59,P$51)</f>
        <v>149679</v>
      </c>
      <c r="Q59" cm="1">
        <f t="array" ref="Q59">+_xll.EQNXTDZ($A$1,$B59,Q$51)</f>
        <v>151129</v>
      </c>
      <c r="R59" cm="1">
        <f t="array" ref="R59">+_xll.EQNXTDZ($A$1,$B59,R$51)</f>
        <v>158411</v>
      </c>
      <c r="S59" cm="1">
        <f t="array" ref="S59">+_xll.EQNXTDZ($A$1,$B59,S$51)</f>
        <v>156182.01999999999</v>
      </c>
      <c r="T59" cm="1">
        <f t="array" ref="T59">+_xll.EQNXTDZ($A$1,$B59,T$51)</f>
        <v>160365</v>
      </c>
      <c r="U59" cm="1">
        <f t="array" ref="U59">+_xll.EQNXTDZ($A$1,$B59,U$51)</f>
        <v>163625</v>
      </c>
      <c r="V59" cm="1">
        <f t="array" ref="V59">+_xll.EQNXTDZ($A$1,$B59,V$51)</f>
        <v>171704</v>
      </c>
      <c r="W59" cm="1">
        <f t="array" ref="W59">+_xll.EQNXTDZ($A$1,$B59,W$51)</f>
        <v>179301</v>
      </c>
      <c r="X59" cm="1">
        <f t="array" ref="X59">+_xll.EQNXTDZ($A$1,$B59,X$51)</f>
        <v>182900</v>
      </c>
      <c r="Y59" cm="1">
        <f t="array" ref="Y59">+_xll.EQNXTDZ($A$1,$B59,Y$51)</f>
        <v>185295</v>
      </c>
      <c r="Z59" cm="1">
        <f t="array" ref="Z59">+_xll.EQNXTDZ($A$1,$B59,Z$51)</f>
        <v>196503</v>
      </c>
      <c r="AA59" cm="1">
        <f t="array" ref="AA59">+_xll.EQNXTDZ($A$1,$B59,AA$51)</f>
        <v>200349</v>
      </c>
      <c r="AB59" cm="1">
        <f t="array" ref="AB59">+_xll.EQNXTDZ($A$1,$B59,AB$51)</f>
        <v>205060</v>
      </c>
      <c r="AC59" cm="1">
        <f t="array" ref="AC59">+_xll.EQNXTDZ($A$1,$B59,AC$51)</f>
        <v>206663</v>
      </c>
      <c r="AD59" cm="1">
        <f t="array" ref="AD59">+_xll.EQNXTDZ($A$1,$B59,AD$51)</f>
        <v>215638</v>
      </c>
      <c r="AE59" cm="1">
        <f t="array" ref="AE59">+_xll.EQNXTDZ($A$1,$B59,AE$51)</f>
        <v>211861</v>
      </c>
      <c r="AF59" cm="1">
        <f t="array" ref="AF59">+_xll.EQNXTDZ($A$1,$B59,AF$51)</f>
        <v>214085</v>
      </c>
      <c r="AG59" cm="1">
        <f t="array" ref="AG59">+_xll.EQNXTDZ($A$1,$B59,AG$51)</f>
        <v>214048</v>
      </c>
      <c r="AH59" cm="1">
        <f t="array" ref="AH59">+_xll.EQNXTDZ($A$1,$B59,AH$51)</f>
        <v>0</v>
      </c>
      <c r="AI59" cm="1">
        <f t="array" ref="AI59">+_xll.EQNXTDZ($A$1,$B59,AI$51)</f>
        <v>0</v>
      </c>
      <c r="AJ59" cm="1">
        <f t="array" ref="AJ59">+_xll.EQNXTDZ($A$1,$B59,AJ$51)</f>
        <v>0</v>
      </c>
      <c r="AK59" cm="1">
        <f t="array" ref="AK59">+_xll.EQNXTDZ($A$1,$B59,AK$51)</f>
        <v>0</v>
      </c>
      <c r="AL59" cm="1">
        <f t="array" ref="AL59">+_xll.EQNXTDZ($A$1,$B59,AL$51)</f>
        <v>0</v>
      </c>
      <c r="AM59" cm="1">
        <f t="array" ref="AM59">+_xll.EQNXTDZ($A$1,$B59,AM$51)</f>
        <v>0</v>
      </c>
      <c r="AN59" cm="1">
        <f t="array" ref="AN59">+_xll.EQNXTDZ($A$1,$B59,AN$51)</f>
        <v>0</v>
      </c>
      <c r="AO59" cm="1">
        <f t="array" ref="AO59">+_xll.EQNXTDZ($A$1,$B59,AO$51)</f>
        <v>0</v>
      </c>
      <c r="AP59" cm="1">
        <f t="array" ref="AP59">+_xll.EQNXTDZ($A$1,$B59,AP$51)</f>
        <v>0</v>
      </c>
      <c r="AQ59" cm="1">
        <f t="array" ref="AQ59">+_xll.EQNXTDZ($A$1,$B59,AQ$51)</f>
        <v>0</v>
      </c>
      <c r="AR59" cm="1">
        <f t="array" ref="AR59">+_xll.EQNXTDZ($A$1,$B59,AR$51)</f>
        <v>0</v>
      </c>
      <c r="AS59" cm="1">
        <f t="array" ref="AS59">+_xll.EQNXTDZ($A$1,$B59,AS$51)</f>
        <v>0</v>
      </c>
      <c r="AT59" cm="1">
        <f t="array" ref="AT59">+_xll.EQNXTDZ($A$1,$B59,AT$51)</f>
        <v>0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288</v>
      </c>
      <c r="B60" t="s">
        <v>306</v>
      </c>
      <c r="C60" cm="1">
        <f t="array" ref="C60">+_xll.EQNXTDZ($A$1,$B60,C$51)</f>
        <v>392523.34</v>
      </c>
      <c r="D60" cm="1">
        <f t="array" ref="D60">+_xll.EQNXTDZ($A$1,$B60,D$51)</f>
        <v>405682.58</v>
      </c>
      <c r="E60" cm="1">
        <f t="array" ref="E60">+_xll.EQNXTDZ($A$1,$B60,E$51)</f>
        <v>404864.86</v>
      </c>
      <c r="F60" cm="1">
        <f t="array" ref="F60">+_xll.EQNXTDZ($A$1,$B60,F$51)</f>
        <v>385080.52</v>
      </c>
      <c r="G60" cm="1">
        <f t="array" ref="G60">+_xll.EQNXTDZ($A$1,$B60,G$51)</f>
        <v>366727.2</v>
      </c>
      <c r="H60" cm="1">
        <f t="array" ref="H60">+_xll.EQNXTDZ($A$1,$B60,H$51)</f>
        <v>370491.08</v>
      </c>
      <c r="I60" cm="1">
        <f t="array" ref="I60">+_xll.EQNXTDZ($A$1,$B60,I$51)</f>
        <v>372242.47</v>
      </c>
      <c r="J60" cm="1">
        <f t="array" ref="J60">+_xll.EQNXTDZ($A$1,$B60,J$51)</f>
        <v>373423.01</v>
      </c>
      <c r="K60" cm="1">
        <f t="array" ref="K60">+_xll.EQNXTDZ($A$1,$B60,K$51)</f>
        <v>379402.11</v>
      </c>
      <c r="L60" cm="1">
        <f t="array" ref="L60">+_xll.EQNXTDZ($A$1,$B60,L$51)</f>
        <v>380946.06</v>
      </c>
      <c r="M60" cm="1">
        <f t="array" ref="M60">+_xll.EQNXTDZ($A$1,$B60,M$51)</f>
        <v>360383.14</v>
      </c>
      <c r="N60" cm="1">
        <f t="array" ref="N60">+_xll.EQNXTDZ($A$1,$B60,N$51)</f>
        <v>348067.38</v>
      </c>
      <c r="O60" cm="1">
        <f t="array" ref="O60">+_xll.EQNXTDZ($A$1,$B60,O$51)</f>
        <v>344688.52</v>
      </c>
      <c r="P60" cm="1">
        <f t="array" ref="P60">+_xll.EQNXTDZ($A$1,$B60,P$51)</f>
        <v>341936.68</v>
      </c>
      <c r="Q60" cm="1">
        <f t="array" ref="Q60">+_xll.EQNXTDZ($A$1,$B60,Q$51)</f>
        <v>340118.31</v>
      </c>
      <c r="R60" cm="1">
        <f t="array" ref="R60">+_xll.EQNXTDZ($A$1,$B60,R$51)</f>
        <v>339097.35</v>
      </c>
      <c r="S60" cm="1">
        <f t="array" ref="S60">+_xll.EQNXTDZ($A$1,$B60,S$51)</f>
        <v>332050.45</v>
      </c>
      <c r="T60" cm="1">
        <f t="array" ref="T60">+_xll.EQNXTDZ($A$1,$B60,T$51)</f>
        <v>334639.45</v>
      </c>
      <c r="U60" cm="1">
        <f t="array" ref="U60">+_xll.EQNXTDZ($A$1,$B60,U$51)</f>
        <v>330403.36</v>
      </c>
      <c r="V60" cm="1">
        <f t="array" ref="V60">+_xll.EQNXTDZ($A$1,$B60,V$51)</f>
        <v>357754.98</v>
      </c>
      <c r="W60" cm="1">
        <f t="array" ref="W60">+_xll.EQNXTDZ($A$1,$B60,W$51)</f>
        <v>387865.08</v>
      </c>
      <c r="X60" cm="1">
        <f t="array" ref="X60">+_xll.EQNXTDZ($A$1,$B60,X$51)</f>
        <v>400249.01</v>
      </c>
      <c r="Y60" cm="1">
        <f t="array" ref="Y60">+_xll.EQNXTDZ($A$1,$B60,Y$51)</f>
        <v>397051.95</v>
      </c>
      <c r="Z60" cm="1">
        <f t="array" ref="Z60">+_xll.EQNXTDZ($A$1,$B60,Z$51)</f>
        <v>402444.56</v>
      </c>
      <c r="AA60" cm="1">
        <f t="array" ref="AA60">+_xll.EQNXTDZ($A$1,$B60,AA$51)</f>
        <v>387405.45</v>
      </c>
      <c r="AB60" cm="1">
        <f t="array" ref="AB60">+_xll.EQNXTDZ($A$1,$B60,AB$51)</f>
        <v>380164.25</v>
      </c>
      <c r="AC60" cm="1">
        <f t="array" ref="AC60">+_xll.EQNXTDZ($A$1,$B60,AC$51)</f>
        <v>385214.23</v>
      </c>
      <c r="AD60" cm="1">
        <f t="array" ref="AD60">+_xll.EQNXTDZ($A$1,$B60,AD$51)</f>
        <v>382431.96</v>
      </c>
      <c r="AE60" cm="1">
        <f t="array" ref="AE60">+_xll.EQNXTDZ($A$1,$B60,AE$51)</f>
        <v>398433.49</v>
      </c>
      <c r="AF60" cm="1">
        <f t="array" ref="AF60">+_xll.EQNXTDZ($A$1,$B60,AF$51)</f>
        <v>405311.29</v>
      </c>
      <c r="AG60" cm="1">
        <f t="array" ref="AG60">+_xll.EQNXTDZ($A$1,$B60,AG$51)</f>
        <v>406972.9</v>
      </c>
      <c r="AH60" cm="1">
        <f t="array" ref="AH60">+_xll.EQNXTDZ($A$1,$B60,AH$51)</f>
        <v>0</v>
      </c>
      <c r="AI60" cm="1">
        <f t="array" ref="AI60">+_xll.EQNXTDZ($A$1,$B60,AI$51)</f>
        <v>0</v>
      </c>
      <c r="AJ60" cm="1">
        <f t="array" ref="AJ60">+_xll.EQNXTDZ($A$1,$B60,AJ$51)</f>
        <v>0</v>
      </c>
      <c r="AK60" cm="1">
        <f t="array" ref="AK60">+_xll.EQNXTDZ($A$1,$B60,AK$51)</f>
        <v>0</v>
      </c>
      <c r="AL60" cm="1">
        <f t="array" ref="AL60">+_xll.EQNXTDZ($A$1,$B60,AL$51)</f>
        <v>0</v>
      </c>
      <c r="AM60" cm="1">
        <f t="array" ref="AM60">+_xll.EQNXTDZ($A$1,$B60,AM$51)</f>
        <v>0</v>
      </c>
      <c r="AN60" cm="1">
        <f t="array" ref="AN60">+_xll.EQNXTDZ($A$1,$B60,AN$51)</f>
        <v>0</v>
      </c>
      <c r="AO60" cm="1">
        <f t="array" ref="AO60">+_xll.EQNXTDZ($A$1,$B60,AO$51)</f>
        <v>0</v>
      </c>
      <c r="AP60" cm="1">
        <f t="array" ref="AP60">+_xll.EQNXTDZ($A$1,$B60,AP$51)</f>
        <v>0</v>
      </c>
      <c r="AQ60" cm="1">
        <f t="array" ref="AQ60">+_xll.EQNXTDZ($A$1,$B60,AQ$51)</f>
        <v>0</v>
      </c>
      <c r="AR60" cm="1">
        <f t="array" ref="AR60">+_xll.EQNXTDZ($A$1,$B60,AR$51)</f>
        <v>0</v>
      </c>
      <c r="AS60" cm="1">
        <f t="array" ref="AS60">+_xll.EQNXTDZ($A$1,$B60,AS$51)</f>
        <v>0</v>
      </c>
      <c r="AT60" cm="1">
        <f t="array" ref="AT60">+_xll.EQNXTDZ($A$1,$B60,AT$51)</f>
        <v>0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289</v>
      </c>
      <c r="B61" t="s">
        <v>307</v>
      </c>
      <c r="C61" cm="1">
        <f t="array" ref="C61">+_xll.EQNXTDZ($A$1,$B61,C$51)</f>
        <v>19376</v>
      </c>
      <c r="D61" cm="1">
        <f t="array" ref="D61">+_xll.EQNXTDZ($A$1,$B61,D$51)</f>
        <v>18723</v>
      </c>
      <c r="E61" cm="1">
        <f t="array" ref="E61">+_xll.EQNXTDZ($A$1,$B61,E$51)</f>
        <v>22555</v>
      </c>
      <c r="F61" cm="1">
        <f t="array" ref="F61">+_xll.EQNXTDZ($A$1,$B61,F$51)</f>
        <v>19443</v>
      </c>
      <c r="G61" cm="1">
        <f t="array" ref="G61">+_xll.EQNXTDZ($A$1,$B61,G$51)</f>
        <v>21196</v>
      </c>
      <c r="H61" cm="1">
        <f t="array" ref="H61">+_xll.EQNXTDZ($A$1,$B61,H$51)</f>
        <v>19473</v>
      </c>
      <c r="I61" cm="1">
        <f t="array" ref="I61">+_xll.EQNXTDZ($A$1,$B61,I$51)</f>
        <v>27104</v>
      </c>
      <c r="J61" cm="1">
        <f t="array" ref="J61">+_xll.EQNXTDZ($A$1,$B61,J$51)</f>
        <v>23498</v>
      </c>
      <c r="K61" cm="1">
        <f t="array" ref="K61">+_xll.EQNXTDZ($A$1,$B61,K$51)</f>
        <v>24364</v>
      </c>
      <c r="L61" cm="1">
        <f t="array" ref="L61">+_xll.EQNXTDZ($A$1,$B61,L$51)</f>
        <v>21101</v>
      </c>
      <c r="M61" cm="1">
        <f t="array" ref="M61">+_xll.EQNXTDZ($A$1,$B61,M$51)</f>
        <v>24041</v>
      </c>
      <c r="N61" cm="1">
        <f t="array" ref="N61">+_xll.EQNXTDZ($A$1,$B61,N$51)</f>
        <v>25579</v>
      </c>
      <c r="O61" cm="1">
        <f t="array" ref="O61">+_xll.EQNXTDZ($A$1,$B61,O$51)</f>
        <v>24733</v>
      </c>
      <c r="P61" cm="1">
        <f t="array" ref="P61">+_xll.EQNXTDZ($A$1,$B61,P$51)</f>
        <v>20526</v>
      </c>
      <c r="Q61" cm="1">
        <f t="array" ref="Q61">+_xll.EQNXTDZ($A$1,$B61,Q$51)</f>
        <v>23881</v>
      </c>
      <c r="R61" cm="1">
        <f t="array" ref="R61">+_xll.EQNXTDZ($A$1,$B61,R$51)</f>
        <v>23354</v>
      </c>
      <c r="S61" cm="1">
        <f t="array" ref="S61">+_xll.EQNXTDZ($A$1,$B61,S$51)</f>
        <v>24004.55</v>
      </c>
      <c r="T61" cm="1">
        <f t="array" ref="T61">+_xll.EQNXTDZ($A$1,$B61,T$51)</f>
        <v>23033</v>
      </c>
      <c r="U61" cm="1">
        <f t="array" ref="U61">+_xll.EQNXTDZ($A$1,$B61,U$51)</f>
        <v>28110</v>
      </c>
      <c r="V61" cm="1">
        <f t="array" ref="V61">+_xll.EQNXTDZ($A$1,$B61,V$51)</f>
        <v>26046</v>
      </c>
      <c r="W61" cm="1">
        <f t="array" ref="W61">+_xll.EQNXTDZ($A$1,$B61,W$51)</f>
        <v>28069</v>
      </c>
      <c r="X61" cm="1">
        <f t="array" ref="X61">+_xll.EQNXTDZ($A$1,$B61,X$51)</f>
        <v>24380</v>
      </c>
      <c r="Y61" cm="1">
        <f t="array" ref="Y61">+_xll.EQNXTDZ($A$1,$B61,Y$51)</f>
        <v>29532</v>
      </c>
      <c r="Z61" cm="1">
        <f t="array" ref="Z61">+_xll.EQNXTDZ($A$1,$B61,Z$51)</f>
        <v>28166</v>
      </c>
      <c r="AA61" cm="1">
        <f t="array" ref="AA61">+_xll.EQNXTDZ($A$1,$B61,AA$51)</f>
        <v>35631</v>
      </c>
      <c r="AB61" cm="1">
        <f t="array" ref="AB61">+_xll.EQNXTDZ($A$1,$B61,AB$51)</f>
        <v>27737</v>
      </c>
      <c r="AC61" cm="1">
        <f t="array" ref="AC61">+_xll.EQNXTDZ($A$1,$B61,AC$51)</f>
        <v>31243</v>
      </c>
      <c r="AD61" cm="1">
        <f t="array" ref="AD61">+_xll.EQNXTDZ($A$1,$B61,AD$51)</f>
        <v>29826</v>
      </c>
      <c r="AE61" cm="1">
        <f t="array" ref="AE61">+_xll.EQNXTDZ($A$1,$B61,AE$51)</f>
        <v>30440</v>
      </c>
      <c r="AF61" cm="1">
        <f t="array" ref="AF61">+_xll.EQNXTDZ($A$1,$B61,AF$51)</f>
        <v>28145</v>
      </c>
      <c r="AG61" cm="1">
        <f t="array" ref="AG61">+_xll.EQNXTDZ($A$1,$B61,AG$51)</f>
        <v>32670</v>
      </c>
      <c r="AH61" cm="1">
        <f t="array" ref="AH61">+_xll.EQNXTDZ($A$1,$B61,AH$51)</f>
        <v>0</v>
      </c>
      <c r="AI61" cm="1">
        <f t="array" ref="AI61">+_xll.EQNXTDZ($A$1,$B61,AI$51)</f>
        <v>0</v>
      </c>
      <c r="AJ61" cm="1">
        <f t="array" ref="AJ61">+_xll.EQNXTDZ($A$1,$B61,AJ$51)</f>
        <v>0</v>
      </c>
      <c r="AK61" cm="1">
        <f t="array" ref="AK61">+_xll.EQNXTDZ($A$1,$B61,AK$51)</f>
        <v>0</v>
      </c>
      <c r="AL61" cm="1">
        <f t="array" ref="AL61">+_xll.EQNXTDZ($A$1,$B61,AL$51)</f>
        <v>0</v>
      </c>
      <c r="AM61" cm="1">
        <f t="array" ref="AM61">+_xll.EQNXTDZ($A$1,$B61,AM$51)</f>
        <v>0</v>
      </c>
      <c r="AN61" cm="1">
        <f t="array" ref="AN61">+_xll.EQNXTDZ($A$1,$B61,AN$51)</f>
        <v>0</v>
      </c>
      <c r="AO61" cm="1">
        <f t="array" ref="AO61">+_xll.EQNXTDZ($A$1,$B61,AO$51)</f>
        <v>0</v>
      </c>
      <c r="AP61" cm="1">
        <f t="array" ref="AP61">+_xll.EQNXTDZ($A$1,$B61,AP$51)</f>
        <v>0</v>
      </c>
      <c r="AQ61" cm="1">
        <f t="array" ref="AQ61">+_xll.EQNXTDZ($A$1,$B61,AQ$51)</f>
        <v>0</v>
      </c>
      <c r="AR61" cm="1">
        <f t="array" ref="AR61">+_xll.EQNXTDZ($A$1,$B61,AR$51)</f>
        <v>0</v>
      </c>
      <c r="AS61" cm="1">
        <f t="array" ref="AS61">+_xll.EQNXTDZ($A$1,$B61,AS$51)</f>
        <v>0</v>
      </c>
      <c r="AT61" cm="1">
        <f t="array" ref="AT61">+_xll.EQNXTDZ($A$1,$B61,AT$51)</f>
        <v>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290</v>
      </c>
      <c r="B62" t="s">
        <v>308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669585.77</v>
      </c>
      <c r="AI62" cm="1">
        <f t="array" ref="AI62">+_xll.EQNXTDZ($A$1,$B62,AI$51)</f>
        <v>696544.1</v>
      </c>
      <c r="AJ62" cm="1">
        <f t="array" ref="AJ62">+_xll.EQNXTDZ($A$1,$B62,AJ$51)</f>
        <v>703750.6</v>
      </c>
      <c r="AK62" cm="1">
        <f t="array" ref="AK62">+_xll.EQNXTDZ($A$1,$B62,AK$51)</f>
        <v>707827.38</v>
      </c>
      <c r="AL62" cm="1">
        <f t="array" ref="AL62">+_xll.EQNXTDZ($A$1,$B62,AL$51)</f>
        <v>737920.21</v>
      </c>
      <c r="AM62" cm="1">
        <f t="array" ref="AM62">+_xll.EQNXTDZ($A$1,$B62,AM$51)</f>
        <v>764396.48</v>
      </c>
      <c r="AN62" cm="1">
        <f t="array" ref="AN62">+_xll.EQNXTDZ($A$1,$B62,AN$51)</f>
        <v>775180.74</v>
      </c>
      <c r="AO62" cm="1">
        <f t="array" ref="AO62">+_xll.EQNXTDZ($A$1,$B62,AO$51)</f>
        <v>794788.05</v>
      </c>
      <c r="AP62" cm="1">
        <f t="array" ref="AP62">+_xll.EQNXTDZ($A$1,$B62,AP$51)</f>
        <v>816541.49</v>
      </c>
      <c r="AQ62" cm="1">
        <f t="array" ref="AQ62">+_xll.EQNXTDZ($A$1,$B62,AQ$51)</f>
        <v>833697.96</v>
      </c>
      <c r="AR62" cm="1">
        <f t="array" ref="AR62">+_xll.EQNXTDZ($A$1,$B62,AR$51)</f>
        <v>853301.39</v>
      </c>
      <c r="AS62" cm="1">
        <f t="array" ref="AS62">+_xll.EQNXTDZ($A$1,$B62,AS$51)</f>
        <v>887287.44</v>
      </c>
      <c r="AT62" cm="1">
        <f t="array" ref="AT62">+_xll.EQNXTDZ($A$1,$B62,AT$51)</f>
        <v>927270.88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125</v>
      </c>
      <c r="B63" t="s">
        <v>309</v>
      </c>
      <c r="C63" cm="1">
        <f t="array" ref="C63">+_xll.EQNXTDZ($A$1,$B63,C$51)</f>
        <v>45268.21</v>
      </c>
      <c r="D63" cm="1">
        <f t="array" ref="D63">+_xll.EQNXTDZ($A$1,$B63,D$51)</f>
        <v>36069.68</v>
      </c>
      <c r="E63" cm="1">
        <f t="array" ref="E63">+_xll.EQNXTDZ($A$1,$B63,E$51)</f>
        <v>38878.25</v>
      </c>
      <c r="F63" cm="1">
        <f t="array" ref="F63">+_xll.EQNXTDZ($A$1,$B63,F$51)</f>
        <v>51083.15</v>
      </c>
      <c r="G63" cm="1">
        <f t="array" ref="G63">+_xll.EQNXTDZ($A$1,$B63,G$51)</f>
        <v>49045.14</v>
      </c>
      <c r="H63" cm="1">
        <f t="array" ref="H63">+_xll.EQNXTDZ($A$1,$B63,H$51)</f>
        <v>50434.22</v>
      </c>
      <c r="I63" cm="1">
        <f t="array" ref="I63">+_xll.EQNXTDZ($A$1,$B63,I$51)</f>
        <v>42783.29</v>
      </c>
      <c r="J63" cm="1">
        <f t="array" ref="J63">+_xll.EQNXTDZ($A$1,$B63,J$51)</f>
        <v>39405.67</v>
      </c>
      <c r="K63" cm="1">
        <f t="array" ref="K63">+_xll.EQNXTDZ($A$1,$B63,K$51)</f>
        <v>35601.71</v>
      </c>
      <c r="L63" cm="1">
        <f t="array" ref="L63">+_xll.EQNXTDZ($A$1,$B63,L$51)</f>
        <v>38430.29</v>
      </c>
      <c r="M63" cm="1">
        <f t="array" ref="M63">+_xll.EQNXTDZ($A$1,$B63,M$51)</f>
        <v>42475.39</v>
      </c>
      <c r="N63" cm="1">
        <f t="array" ref="N63">+_xll.EQNXTDZ($A$1,$B63,N$51)</f>
        <v>43588.78</v>
      </c>
      <c r="O63" cm="1">
        <f t="array" ref="O63">+_xll.EQNXTDZ($A$1,$B63,O$51)</f>
        <v>36325.56</v>
      </c>
      <c r="P63" cm="1">
        <f t="array" ref="P63">+_xll.EQNXTDZ($A$1,$B63,P$51)</f>
        <v>42000.41</v>
      </c>
      <c r="Q63" cm="1">
        <f t="array" ref="Q63">+_xll.EQNXTDZ($A$1,$B63,Q$51)</f>
        <v>41822.480000000003</v>
      </c>
      <c r="R63" cm="1">
        <f t="array" ref="R63">+_xll.EQNXTDZ($A$1,$B63,R$51)</f>
        <v>44241.17</v>
      </c>
      <c r="S63" cm="1">
        <f t="array" ref="S63">+_xll.EQNXTDZ($A$1,$B63,S$51)</f>
        <v>34975.39</v>
      </c>
      <c r="T63" cm="1">
        <f t="array" ref="T63">+_xll.EQNXTDZ($A$1,$B63,T$51)</f>
        <v>40939.83</v>
      </c>
      <c r="U63" cm="1">
        <f t="array" ref="U63">+_xll.EQNXTDZ($A$1,$B63,U$51)</f>
        <v>45095.79</v>
      </c>
      <c r="V63" cm="1">
        <f t="array" ref="V63">+_xll.EQNXTDZ($A$1,$B63,V$51)</f>
        <v>39752.47</v>
      </c>
      <c r="W63" cm="1">
        <f t="array" ref="W63">+_xll.EQNXTDZ($A$1,$B63,W$51)</f>
        <v>25748.05</v>
      </c>
      <c r="X63" cm="1">
        <f t="array" ref="X63">+_xll.EQNXTDZ($A$1,$B63,X$51)</f>
        <v>17007.52</v>
      </c>
      <c r="Y63" cm="1">
        <f t="array" ref="Y63">+_xll.EQNXTDZ($A$1,$B63,Y$51)</f>
        <v>37184.769999999997</v>
      </c>
      <c r="Z63" cm="1">
        <f t="array" ref="Z63">+_xll.EQNXTDZ($A$1,$B63,Z$51)</f>
        <v>32464.11</v>
      </c>
      <c r="AA63" cm="1">
        <f t="array" ref="AA63">+_xll.EQNXTDZ($A$1,$B63,AA$51)</f>
        <v>30021.87</v>
      </c>
      <c r="AB63" cm="1">
        <f t="array" ref="AB63">+_xll.EQNXTDZ($A$1,$B63,AB$51)</f>
        <v>23310.38</v>
      </c>
      <c r="AC63" cm="1">
        <f t="array" ref="AC63">+_xll.EQNXTDZ($A$1,$B63,AC$51)</f>
        <v>30455.42</v>
      </c>
      <c r="AD63" cm="1">
        <f t="array" ref="AD63">+_xll.EQNXTDZ($A$1,$B63,AD$51)</f>
        <v>26760.37</v>
      </c>
      <c r="AE63" cm="1">
        <f t="array" ref="AE63">+_xll.EQNXTDZ($A$1,$B63,AE$51)</f>
        <v>22376.89</v>
      </c>
      <c r="AF63" cm="1">
        <f t="array" ref="AF63">+_xll.EQNXTDZ($A$1,$B63,AF$51)</f>
        <v>45872.22</v>
      </c>
      <c r="AG63" cm="1">
        <f t="array" ref="AG63">+_xll.EQNXTDZ($A$1,$B63,AG$51)</f>
        <v>59706.38</v>
      </c>
      <c r="AH63" cm="1">
        <f t="array" ref="AH63">+_xll.EQNXTDZ($A$1,$B63,AH$51)</f>
        <v>64979.02</v>
      </c>
      <c r="AI63" cm="1">
        <f t="array" ref="AI63">+_xll.EQNXTDZ($A$1,$B63,AI$51)</f>
        <v>47351.54</v>
      </c>
      <c r="AJ63" cm="1">
        <f t="array" ref="AJ63">+_xll.EQNXTDZ($A$1,$B63,AJ$51)</f>
        <v>65360.1</v>
      </c>
      <c r="AK63" cm="1">
        <f t="array" ref="AK63">+_xll.EQNXTDZ($A$1,$B63,AK$51)</f>
        <v>75756.33</v>
      </c>
      <c r="AL63" cm="1">
        <f t="array" ref="AL63">+_xll.EQNXTDZ($A$1,$B63,AL$51)</f>
        <v>80924.070000000007</v>
      </c>
      <c r="AM63" cm="1">
        <f t="array" ref="AM63">+_xll.EQNXTDZ($A$1,$B63,AM$51)</f>
        <v>84327.02</v>
      </c>
      <c r="AN63" cm="1">
        <f t="array" ref="AN63">+_xll.EQNXTDZ($A$1,$B63,AN$51)</f>
        <v>118815.75</v>
      </c>
      <c r="AO63" cm="1">
        <f t="array" ref="AO63">+_xll.EQNXTDZ($A$1,$B63,AO$51)</f>
        <v>136653.71</v>
      </c>
      <c r="AP63" cm="1">
        <f t="array" ref="AP63">+_xll.EQNXTDZ($A$1,$B63,AP$51)</f>
        <v>123856.43</v>
      </c>
      <c r="AQ63" cm="1">
        <f t="array" ref="AQ63">+_xll.EQNXTDZ($A$1,$B63,AQ$51)</f>
        <v>127663.49</v>
      </c>
      <c r="AR63" cm="1">
        <f t="array" ref="AR63">+_xll.EQNXTDZ($A$1,$B63,AR$51)</f>
        <v>117931.8</v>
      </c>
      <c r="AS63" cm="1">
        <f t="array" ref="AS63">+_xll.EQNXTDZ($A$1,$B63,AS$51)</f>
        <v>106073.89</v>
      </c>
      <c r="AT63" cm="1">
        <f t="array" ref="AT63">+_xll.EQNXTDZ($A$1,$B63,AT$51)</f>
        <v>118591.54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126</v>
      </c>
      <c r="B64" t="s">
        <v>310</v>
      </c>
      <c r="C64" cm="1">
        <f t="array" ref="C64">+_xll.EQNXTDZ($A$1,$B64,C$51)</f>
        <v>15064.21</v>
      </c>
      <c r="D64" cm="1">
        <f t="array" ref="D64">+_xll.EQNXTDZ($A$1,$B64,D$51)</f>
        <v>12792.83</v>
      </c>
      <c r="E64" cm="1">
        <f t="array" ref="E64">+_xll.EQNXTDZ($A$1,$B64,E$51)</f>
        <v>15493.1</v>
      </c>
      <c r="F64" cm="1">
        <f t="array" ref="F64">+_xll.EQNXTDZ($A$1,$B64,F$51)</f>
        <v>13509.04</v>
      </c>
      <c r="G64" cm="1">
        <f t="array" ref="G64">+_xll.EQNXTDZ($A$1,$B64,G$51)</f>
        <v>14683.32</v>
      </c>
      <c r="H64" cm="1">
        <f t="array" ref="H64">+_xll.EQNXTDZ($A$1,$B64,H$51)</f>
        <v>15140.28</v>
      </c>
      <c r="I64" cm="1">
        <f t="array" ref="I64">+_xll.EQNXTDZ($A$1,$B64,I$51)</f>
        <v>12943</v>
      </c>
      <c r="J64" cm="1">
        <f t="array" ref="J64">+_xll.EQNXTDZ($A$1,$B64,J$51)</f>
        <v>14384.52</v>
      </c>
      <c r="K64" cm="1">
        <f t="array" ref="K64">+_xll.EQNXTDZ($A$1,$B64,K$51)</f>
        <v>13826.43</v>
      </c>
      <c r="L64" cm="1">
        <f t="array" ref="L64">+_xll.EQNXTDZ($A$1,$B64,L$51)</f>
        <v>13292.95</v>
      </c>
      <c r="M64" cm="1">
        <f t="array" ref="M64">+_xll.EQNXTDZ($A$1,$B64,M$51)</f>
        <v>13151.92</v>
      </c>
      <c r="N64" cm="1">
        <f t="array" ref="N64">+_xll.EQNXTDZ($A$1,$B64,N$51)</f>
        <v>9591.0300000000007</v>
      </c>
      <c r="O64" cm="1">
        <f t="array" ref="O64">+_xll.EQNXTDZ($A$1,$B64,O$51)</f>
        <v>9411.73</v>
      </c>
      <c r="P64" cm="1">
        <f t="array" ref="P64">+_xll.EQNXTDZ($A$1,$B64,P$51)</f>
        <v>16730.740000000002</v>
      </c>
      <c r="Q64" cm="1">
        <f t="array" ref="Q64">+_xll.EQNXTDZ($A$1,$B64,Q$51)</f>
        <v>14453.28</v>
      </c>
      <c r="R64" cm="1">
        <f t="array" ref="R64">+_xll.EQNXTDZ($A$1,$B64,R$51)</f>
        <v>13800.16</v>
      </c>
      <c r="S64" cm="1">
        <f t="array" ref="S64">+_xll.EQNXTDZ($A$1,$B64,S$51)</f>
        <v>12680.61</v>
      </c>
      <c r="T64" cm="1">
        <f t="array" ref="T64">+_xll.EQNXTDZ($A$1,$B64,T$51)</f>
        <v>14167.47</v>
      </c>
      <c r="U64" cm="1">
        <f t="array" ref="U64">+_xll.EQNXTDZ($A$1,$B64,U$51)</f>
        <v>15559.15</v>
      </c>
      <c r="V64" cm="1">
        <f t="array" ref="V64">+_xll.EQNXTDZ($A$1,$B64,V$51)</f>
        <v>17921.72</v>
      </c>
      <c r="W64" cm="1">
        <f t="array" ref="W64">+_xll.EQNXTDZ($A$1,$B64,W$51)</f>
        <v>15658.89</v>
      </c>
      <c r="X64" cm="1">
        <f t="array" ref="X64">+_xll.EQNXTDZ($A$1,$B64,X$51)</f>
        <v>17324.5</v>
      </c>
      <c r="Y64" cm="1">
        <f t="array" ref="Y64">+_xll.EQNXTDZ($A$1,$B64,Y$51)</f>
        <v>18721.29</v>
      </c>
      <c r="Z64" cm="1">
        <f t="array" ref="Z64">+_xll.EQNXTDZ($A$1,$B64,Z$51)</f>
        <v>17593.189999999999</v>
      </c>
      <c r="AA64" cm="1">
        <f t="array" ref="AA64">+_xll.EQNXTDZ($A$1,$B64,AA$51)</f>
        <v>17551.28</v>
      </c>
      <c r="AB64" cm="1">
        <f t="array" ref="AB64">+_xll.EQNXTDZ($A$1,$B64,AB$51)</f>
        <v>17157.78</v>
      </c>
      <c r="AC64" cm="1">
        <f t="array" ref="AC64">+_xll.EQNXTDZ($A$1,$B64,AC$51)</f>
        <v>17141.669999999998</v>
      </c>
      <c r="AD64" cm="1">
        <f t="array" ref="AD64">+_xll.EQNXTDZ($A$1,$B64,AD$51)</f>
        <v>24826.44</v>
      </c>
      <c r="AE64" cm="1">
        <f t="array" ref="AE64">+_xll.EQNXTDZ($A$1,$B64,AE$51)</f>
        <v>22144.84</v>
      </c>
      <c r="AF64" cm="1">
        <f t="array" ref="AF64">+_xll.EQNXTDZ($A$1,$B64,AF$51)</f>
        <v>19715.82</v>
      </c>
      <c r="AG64" cm="1">
        <f t="array" ref="AG64">+_xll.EQNXTDZ($A$1,$B64,AG$51)</f>
        <v>19457.55</v>
      </c>
      <c r="AH64" cm="1">
        <f t="array" ref="AH64">+_xll.EQNXTDZ($A$1,$B64,AH$51)</f>
        <v>22020.2</v>
      </c>
      <c r="AI64" cm="1">
        <f t="array" ref="AI64">+_xll.EQNXTDZ($A$1,$B64,AI$51)</f>
        <v>19215.810000000001</v>
      </c>
      <c r="AJ64" cm="1">
        <f t="array" ref="AJ64">+_xll.EQNXTDZ($A$1,$B64,AJ$51)</f>
        <v>23020.61</v>
      </c>
      <c r="AK64" cm="1">
        <f t="array" ref="AK64">+_xll.EQNXTDZ($A$1,$B64,AK$51)</f>
        <v>22244.31</v>
      </c>
      <c r="AL64" cm="1">
        <f t="array" ref="AL64">+_xll.EQNXTDZ($A$1,$B64,AL$51)</f>
        <v>24872.97</v>
      </c>
      <c r="AM64" cm="1">
        <f t="array" ref="AM64">+_xll.EQNXTDZ($A$1,$B64,AM$51)</f>
        <v>30811.52</v>
      </c>
      <c r="AN64" cm="1">
        <f t="array" ref="AN64">+_xll.EQNXTDZ($A$1,$B64,AN$51)</f>
        <v>21052.560000000001</v>
      </c>
      <c r="AO64" cm="1">
        <f t="array" ref="AO64">+_xll.EQNXTDZ($A$1,$B64,AO$51)</f>
        <v>26237.9</v>
      </c>
      <c r="AP64" cm="1">
        <f t="array" ref="AP64">+_xll.EQNXTDZ($A$1,$B64,AP$51)</f>
        <v>23582.59</v>
      </c>
      <c r="AQ64" cm="1">
        <f t="array" ref="AQ64">+_xll.EQNXTDZ($A$1,$B64,AQ$51)</f>
        <v>26632.21</v>
      </c>
      <c r="AR64" cm="1">
        <f t="array" ref="AR64">+_xll.EQNXTDZ($A$1,$B64,AR$51)</f>
        <v>24385.13</v>
      </c>
      <c r="AS64" cm="1">
        <f t="array" ref="AS64">+_xll.EQNXTDZ($A$1,$B64,AS$51)</f>
        <v>27363.38</v>
      </c>
      <c r="AT64" cm="1">
        <f t="array" ref="AT64">+_xll.EQNXTDZ($A$1,$B64,AT$51)</f>
        <v>29580.15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127</v>
      </c>
      <c r="B65" t="s">
        <v>311</v>
      </c>
      <c r="C65" cm="1">
        <f t="array" ref="C65">+_xll.EQNXTDZ($A$1,$B65,C$51)</f>
        <v>600208.09</v>
      </c>
      <c r="D65" cm="1">
        <f t="array" ref="D65">+_xll.EQNXTDZ($A$1,$B65,D$51)</f>
        <v>607195.39</v>
      </c>
      <c r="E65" cm="1">
        <f t="array" ref="E65">+_xll.EQNXTDZ($A$1,$B65,E$51)</f>
        <v>614742.93000000005</v>
      </c>
      <c r="F65" cm="1">
        <f t="array" ref="F65">+_xll.EQNXTDZ($A$1,$B65,F$51)</f>
        <v>609913.93000000005</v>
      </c>
      <c r="G65" cm="1">
        <f t="array" ref="G65">+_xll.EQNXTDZ($A$1,$B65,G$51)</f>
        <v>593027.99</v>
      </c>
      <c r="H65" cm="1">
        <f t="array" ref="H65">+_xll.EQNXTDZ($A$1,$B65,H$51)</f>
        <v>603277.24</v>
      </c>
      <c r="I65" cm="1">
        <f t="array" ref="I65">+_xll.EQNXTDZ($A$1,$B65,I$51)</f>
        <v>630675.04</v>
      </c>
      <c r="J65" cm="1">
        <f t="array" ref="J65">+_xll.EQNXTDZ($A$1,$B65,J$51)</f>
        <v>626309.27</v>
      </c>
      <c r="K65" cm="1">
        <f t="array" ref="K65">+_xll.EQNXTDZ($A$1,$B65,K$51)</f>
        <v>625686</v>
      </c>
      <c r="L65" cm="1">
        <f t="array" ref="L65">+_xll.EQNXTDZ($A$1,$B65,L$51)</f>
        <v>628185.25</v>
      </c>
      <c r="M65" cm="1">
        <f t="array" ref="M65">+_xll.EQNXTDZ($A$1,$B65,M$51)</f>
        <v>614044.62</v>
      </c>
      <c r="N65" cm="1">
        <f t="array" ref="N65">+_xll.EQNXTDZ($A$1,$B65,N$51)</f>
        <v>609574.84</v>
      </c>
      <c r="O65" cm="1">
        <f t="array" ref="O65">+_xll.EQNXTDZ($A$1,$B65,O$51)</f>
        <v>596099.09</v>
      </c>
      <c r="P65" cm="1">
        <f t="array" ref="P65">+_xll.EQNXTDZ($A$1,$B65,P$51)</f>
        <v>606005.65</v>
      </c>
      <c r="Q65" cm="1">
        <f t="array" ref="Q65">+_xll.EQNXTDZ($A$1,$B65,Q$51)</f>
        <v>611517.92000000004</v>
      </c>
      <c r="R65" cm="1">
        <f t="array" ref="R65">+_xll.EQNXTDZ($A$1,$B65,R$51)</f>
        <v>625222.82999999996</v>
      </c>
      <c r="S65" cm="1">
        <f t="array" ref="S65">+_xll.EQNXTDZ($A$1,$B65,S$51)</f>
        <v>606543.14</v>
      </c>
      <c r="T65" cm="1">
        <f t="array" ref="T65">+_xll.EQNXTDZ($A$1,$B65,T$51)</f>
        <v>620134.81999999995</v>
      </c>
      <c r="U65" cm="1">
        <f t="array" ref="U65">+_xll.EQNXTDZ($A$1,$B65,U$51)</f>
        <v>630044.37</v>
      </c>
      <c r="V65" cm="1">
        <f t="array" ref="V65">+_xll.EQNXTDZ($A$1,$B65,V$51)</f>
        <v>656995.48</v>
      </c>
      <c r="W65" cm="1">
        <f t="array" ref="W65">+_xll.EQNXTDZ($A$1,$B65,W$51)</f>
        <v>681342.23</v>
      </c>
      <c r="X65" cm="1">
        <f t="array" ref="X65">+_xll.EQNXTDZ($A$1,$B65,X$51)</f>
        <v>686949.73</v>
      </c>
      <c r="Y65" cm="1">
        <f t="array" ref="Y65">+_xll.EQNXTDZ($A$1,$B65,Y$51)</f>
        <v>713382.54</v>
      </c>
      <c r="Z65" cm="1">
        <f t="array" ref="Z65">+_xll.EQNXTDZ($A$1,$B65,Z$51)</f>
        <v>725856.45</v>
      </c>
      <c r="AA65" cm="1">
        <f t="array" ref="AA65">+_xll.EQNXTDZ($A$1,$B65,AA$51)</f>
        <v>720501.94</v>
      </c>
      <c r="AB65" cm="1">
        <f t="array" ref="AB65">+_xll.EQNXTDZ($A$1,$B65,AB$51)</f>
        <v>706487.24</v>
      </c>
      <c r="AC65" cm="1">
        <f t="array" ref="AC65">+_xll.EQNXTDZ($A$1,$B65,AC$51)</f>
        <v>724696.37</v>
      </c>
      <c r="AD65" cm="1">
        <f t="array" ref="AD65">+_xll.EQNXTDZ($A$1,$B65,AD$51)</f>
        <v>734614.01</v>
      </c>
      <c r="AE65" cm="1">
        <f t="array" ref="AE65">+_xll.EQNXTDZ($A$1,$B65,AE$51)</f>
        <v>741170.24</v>
      </c>
      <c r="AF65" cm="1">
        <f t="array" ref="AF65">+_xll.EQNXTDZ($A$1,$B65,AF$51)</f>
        <v>769426.07</v>
      </c>
      <c r="AG65" cm="1">
        <f t="array" ref="AG65">+_xll.EQNXTDZ($A$1,$B65,AG$51)</f>
        <v>790621.68</v>
      </c>
      <c r="AH65" cm="1">
        <f t="array" ref="AH65">+_xll.EQNXTDZ($A$1,$B65,AH$51)</f>
        <v>815555.61</v>
      </c>
      <c r="AI65" cm="1">
        <f t="array" ref="AI65">+_xll.EQNXTDZ($A$1,$B65,AI$51)</f>
        <v>823389.62</v>
      </c>
      <c r="AJ65" cm="1">
        <f t="array" ref="AJ65">+_xll.EQNXTDZ($A$1,$B65,AJ$51)</f>
        <v>853027.72</v>
      </c>
      <c r="AK65" cm="1">
        <f t="array" ref="AK65">+_xll.EQNXTDZ($A$1,$B65,AK$51)</f>
        <v>873114.35</v>
      </c>
      <c r="AL65" cm="1">
        <f t="array" ref="AL65">+_xll.EQNXTDZ($A$1,$B65,AL$51)</f>
        <v>912597.92</v>
      </c>
      <c r="AM65" cm="1">
        <f t="array" ref="AM65">+_xll.EQNXTDZ($A$1,$B65,AM$51)</f>
        <v>948534.25</v>
      </c>
      <c r="AN65" cm="1">
        <f t="array" ref="AN65">+_xll.EQNXTDZ($A$1,$B65,AN$51)</f>
        <v>986857.15</v>
      </c>
      <c r="AO65" cm="1">
        <f t="array" ref="AO65">+_xll.EQNXTDZ($A$1,$B65,AO$51)</f>
        <v>1031878.32</v>
      </c>
      <c r="AP65" cm="1">
        <f t="array" ref="AP65">+_xll.EQNXTDZ($A$1,$B65,AP$51)</f>
        <v>1042581.95</v>
      </c>
      <c r="AQ65" cm="1">
        <f t="array" ref="AQ65">+_xll.EQNXTDZ($A$1,$B65,AQ$51)</f>
        <v>1067360.29</v>
      </c>
      <c r="AR65" cm="1">
        <f t="array" ref="AR65">+_xll.EQNXTDZ($A$1,$B65,AR$51)</f>
        <v>1077458.44</v>
      </c>
      <c r="AS65" cm="1">
        <f t="array" ref="AS65">+_xll.EQNXTDZ($A$1,$B65,AS$51)</f>
        <v>1105308.47</v>
      </c>
      <c r="AT65" cm="1">
        <f t="array" ref="AT65">+_xll.EQNXTDZ($A$1,$B65,AT$51)</f>
        <v>1163432.79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128</v>
      </c>
      <c r="B66" t="s">
        <v>312</v>
      </c>
      <c r="C66" cm="1">
        <f t="array" ref="C66">+_xll.EQNXTDZ($A$1,$B66,C$51)</f>
        <v>21597.43</v>
      </c>
      <c r="D66" cm="1">
        <f t="array" ref="D66">+_xll.EQNXTDZ($A$1,$B66,D$51)</f>
        <v>23163.4</v>
      </c>
      <c r="E66" cm="1">
        <f t="array" ref="E66">+_xll.EQNXTDZ($A$1,$B66,E$51)</f>
        <v>23929.67</v>
      </c>
      <c r="F66" cm="1">
        <f t="array" ref="F66">+_xll.EQNXTDZ($A$1,$B66,F$51)</f>
        <v>33961.620000000003</v>
      </c>
      <c r="G66" cm="1">
        <f t="array" ref="G66">+_xll.EQNXTDZ($A$1,$B66,G$51)</f>
        <v>22429.47</v>
      </c>
      <c r="H66" cm="1">
        <f t="array" ref="H66">+_xll.EQNXTDZ($A$1,$B66,H$51)</f>
        <v>27785</v>
      </c>
      <c r="I66" cm="1">
        <f t="array" ref="I66">+_xll.EQNXTDZ($A$1,$B66,I$51)</f>
        <v>25009.08</v>
      </c>
      <c r="J66" cm="1">
        <f t="array" ref="J66">+_xll.EQNXTDZ($A$1,$B66,J$51)</f>
        <v>27347.66</v>
      </c>
      <c r="K66" cm="1">
        <f t="array" ref="K66">+_xll.EQNXTDZ($A$1,$B66,K$51)</f>
        <v>22201.91</v>
      </c>
      <c r="L66" cm="1">
        <f t="array" ref="L66">+_xll.EQNXTDZ($A$1,$B66,L$51)</f>
        <v>20584.05</v>
      </c>
      <c r="M66" cm="1">
        <f t="array" ref="M66">+_xll.EQNXTDZ($A$1,$B66,M$51)</f>
        <v>27674.86</v>
      </c>
      <c r="N66" cm="1">
        <f t="array" ref="N66">+_xll.EQNXTDZ($A$1,$B66,N$51)</f>
        <v>31347.84</v>
      </c>
      <c r="O66" cm="1">
        <f t="array" ref="O66">+_xll.EQNXTDZ($A$1,$B66,O$51)</f>
        <v>33455.730000000003</v>
      </c>
      <c r="P66" cm="1">
        <f t="array" ref="P66">+_xll.EQNXTDZ($A$1,$B66,P$51)</f>
        <v>28400.51</v>
      </c>
      <c r="Q66" cm="1">
        <f t="array" ref="Q66">+_xll.EQNXTDZ($A$1,$B66,Q$51)</f>
        <v>25774.41</v>
      </c>
      <c r="R66" cm="1">
        <f t="array" ref="R66">+_xll.EQNXTDZ($A$1,$B66,R$51)</f>
        <v>29236.560000000001</v>
      </c>
      <c r="S66" cm="1">
        <f t="array" ref="S66">+_xll.EQNXTDZ($A$1,$B66,S$51)</f>
        <v>36141.94</v>
      </c>
      <c r="T66" cm="1">
        <f t="array" ref="T66">+_xll.EQNXTDZ($A$1,$B66,T$51)</f>
        <v>32009.93</v>
      </c>
      <c r="U66" cm="1">
        <f t="array" ref="U66">+_xll.EQNXTDZ($A$1,$B66,U$51)</f>
        <v>32132.79</v>
      </c>
      <c r="V66" cm="1">
        <f t="array" ref="V66">+_xll.EQNXTDZ($A$1,$B66,V$51)</f>
        <v>29239.25</v>
      </c>
      <c r="W66" cm="1">
        <f t="array" ref="W66">+_xll.EQNXTDZ($A$1,$B66,W$51)</f>
        <v>38420.480000000003</v>
      </c>
      <c r="X66" cm="1">
        <f t="array" ref="X66">+_xll.EQNXTDZ($A$1,$B66,X$51)</f>
        <v>42131.13</v>
      </c>
      <c r="Y66" cm="1">
        <f t="array" ref="Y66">+_xll.EQNXTDZ($A$1,$B66,Y$51)</f>
        <v>49817</v>
      </c>
      <c r="Z66" cm="1">
        <f t="array" ref="Z66">+_xll.EQNXTDZ($A$1,$B66,Z$51)</f>
        <v>60697.57</v>
      </c>
      <c r="AA66" cm="1">
        <f t="array" ref="AA66">+_xll.EQNXTDZ($A$1,$B66,AA$51)</f>
        <v>52967.43</v>
      </c>
      <c r="AB66" cm="1">
        <f t="array" ref="AB66">+_xll.EQNXTDZ($A$1,$B66,AB$51)</f>
        <v>46348.3</v>
      </c>
      <c r="AC66" cm="1">
        <f t="array" ref="AC66">+_xll.EQNXTDZ($A$1,$B66,AC$51)</f>
        <v>40793.949999999997</v>
      </c>
      <c r="AD66" cm="1">
        <f t="array" ref="AD66">+_xll.EQNXTDZ($A$1,$B66,AD$51)</f>
        <v>40280.58</v>
      </c>
      <c r="AE66" cm="1">
        <f t="array" ref="AE66">+_xll.EQNXTDZ($A$1,$B66,AE$51)</f>
        <v>33203.75</v>
      </c>
      <c r="AF66" cm="1">
        <f t="array" ref="AF66">+_xll.EQNXTDZ($A$1,$B66,AF$51)</f>
        <v>39858.199999999997</v>
      </c>
      <c r="AG66" cm="1">
        <f t="array" ref="AG66">+_xll.EQNXTDZ($A$1,$B66,AG$51)</f>
        <v>45779.040000000001</v>
      </c>
      <c r="AH66" cm="1">
        <f t="array" ref="AH66">+_xll.EQNXTDZ($A$1,$B66,AH$51)</f>
        <v>44034.51</v>
      </c>
      <c r="AI66" cm="1">
        <f t="array" ref="AI66">+_xll.EQNXTDZ($A$1,$B66,AI$51)</f>
        <v>33511.78</v>
      </c>
      <c r="AJ66" cm="1">
        <f t="array" ref="AJ66">+_xll.EQNXTDZ($A$1,$B66,AJ$51)</f>
        <v>40496.839999999997</v>
      </c>
      <c r="AK66" cm="1">
        <f t="array" ref="AK66">+_xll.EQNXTDZ($A$1,$B66,AK$51)</f>
        <v>39729.69</v>
      </c>
      <c r="AL66" cm="1">
        <f t="array" ref="AL66">+_xll.EQNXTDZ($A$1,$B66,AL$51)</f>
        <v>38556.269999999997</v>
      </c>
      <c r="AM66" cm="1">
        <f t="array" ref="AM66">+_xll.EQNXTDZ($A$1,$B66,AM$51)</f>
        <v>42441.8</v>
      </c>
      <c r="AN66" cm="1">
        <f t="array" ref="AN66">+_xll.EQNXTDZ($A$1,$B66,AN$51)</f>
        <v>35141.699999999997</v>
      </c>
      <c r="AO66" cm="1">
        <f t="array" ref="AO66">+_xll.EQNXTDZ($A$1,$B66,AO$51)</f>
        <v>37457.699999999997</v>
      </c>
      <c r="AP66" cm="1">
        <f t="array" ref="AP66">+_xll.EQNXTDZ($A$1,$B66,AP$51)</f>
        <v>51730.43</v>
      </c>
      <c r="AQ66" cm="1">
        <f t="array" ref="AQ66">+_xll.EQNXTDZ($A$1,$B66,AQ$51)</f>
        <v>51585.33</v>
      </c>
      <c r="AR66" cm="1">
        <f t="array" ref="AR66">+_xll.EQNXTDZ($A$1,$B66,AR$51)</f>
        <v>36965.769999999997</v>
      </c>
      <c r="AS66" cm="1">
        <f t="array" ref="AS66">+_xll.EQNXTDZ($A$1,$B66,AS$51)</f>
        <v>33485.17</v>
      </c>
      <c r="AT66" cm="1">
        <f t="array" ref="AT66">+_xll.EQNXTDZ($A$1,$B66,AT$51)</f>
        <v>47300.07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291</v>
      </c>
      <c r="B67" t="s">
        <v>313</v>
      </c>
      <c r="C67" cm="1">
        <f t="array" ref="C67">+_xll.EQNXTDZ($A$1,$B67,C$51)</f>
        <v>53278.54</v>
      </c>
      <c r="D67" cm="1">
        <f t="array" ref="D67">+_xll.EQNXTDZ($A$1,$B67,D$51)</f>
        <v>59680.97</v>
      </c>
      <c r="E67" cm="1">
        <f t="array" ref="E67">+_xll.EQNXTDZ($A$1,$B67,E$51)</f>
        <v>60141.81</v>
      </c>
      <c r="F67" cm="1">
        <f t="array" ref="F67">+_xll.EQNXTDZ($A$1,$B67,F$51)</f>
        <v>65179.68</v>
      </c>
      <c r="G67" cm="1">
        <f t="array" ref="G67">+_xll.EQNXTDZ($A$1,$B67,G$51)</f>
        <v>66806.880000000005</v>
      </c>
      <c r="H67" cm="1">
        <f t="array" ref="H67">+_xll.EQNXTDZ($A$1,$B67,H$51)</f>
        <v>68455.62</v>
      </c>
      <c r="I67" cm="1">
        <f t="array" ref="I67">+_xll.EQNXTDZ($A$1,$B67,I$51)</f>
        <v>52503.56</v>
      </c>
      <c r="J67" cm="1">
        <f t="array" ref="J67">+_xll.EQNXTDZ($A$1,$B67,J$51)</f>
        <v>68540.289999999994</v>
      </c>
      <c r="K67" cm="1">
        <f t="array" ref="K67">+_xll.EQNXTDZ($A$1,$B67,K$51)</f>
        <v>82587.42</v>
      </c>
      <c r="L67" cm="1">
        <f t="array" ref="L67">+_xll.EQNXTDZ($A$1,$B67,L$51)</f>
        <v>84594.9</v>
      </c>
      <c r="M67" cm="1">
        <f t="array" ref="M67">+_xll.EQNXTDZ($A$1,$B67,M$51)</f>
        <v>68700.55</v>
      </c>
      <c r="N67" cm="1">
        <f t="array" ref="N67">+_xll.EQNXTDZ($A$1,$B67,N$51)</f>
        <v>64534.66</v>
      </c>
      <c r="O67" cm="1">
        <f t="array" ref="O67">+_xll.EQNXTDZ($A$1,$B67,O$51)</f>
        <v>66268.710000000006</v>
      </c>
      <c r="P67" cm="1">
        <f t="array" ref="P67">+_xll.EQNXTDZ($A$1,$B67,P$51)</f>
        <v>67429.14</v>
      </c>
      <c r="Q67" cm="1">
        <f t="array" ref="Q67">+_xll.EQNXTDZ($A$1,$B67,Q$51)</f>
        <v>71374.990000000005</v>
      </c>
      <c r="R67" cm="1">
        <f t="array" ref="R67">+_xll.EQNXTDZ($A$1,$B67,R$51)</f>
        <v>65574.92</v>
      </c>
      <c r="S67" cm="1">
        <f t="array" ref="S67">+_xll.EQNXTDZ($A$1,$B67,S$51)</f>
        <v>52178.91</v>
      </c>
      <c r="T67" cm="1">
        <f t="array" ref="T67">+_xll.EQNXTDZ($A$1,$B67,T$51)</f>
        <v>63739.38</v>
      </c>
      <c r="U67" cm="1">
        <f t="array" ref="U67">+_xll.EQNXTDZ($A$1,$B67,U$51)</f>
        <v>63384.09</v>
      </c>
      <c r="V67" cm="1">
        <f t="array" ref="V67">+_xll.EQNXTDZ($A$1,$B67,V$51)</f>
        <v>57217.05</v>
      </c>
      <c r="W67" cm="1">
        <f t="array" ref="W67">+_xll.EQNXTDZ($A$1,$B67,W$51)</f>
        <v>68381.94</v>
      </c>
      <c r="X67" cm="1">
        <f t="array" ref="X67">+_xll.EQNXTDZ($A$1,$B67,X$51)</f>
        <v>60415.42</v>
      </c>
      <c r="Y67" cm="1">
        <f t="array" ref="Y67">+_xll.EQNXTDZ($A$1,$B67,Y$51)</f>
        <v>77051.520000000004</v>
      </c>
      <c r="Z67" cm="1">
        <f t="array" ref="Z67">+_xll.EQNXTDZ($A$1,$B67,Z$51)</f>
        <v>65883.100000000006</v>
      </c>
      <c r="AA67" cm="1">
        <f t="array" ref="AA67">+_xll.EQNXTDZ($A$1,$B67,AA$51)</f>
        <v>68088.42</v>
      </c>
      <c r="AB67" cm="1">
        <f t="array" ref="AB67">+_xll.EQNXTDZ($A$1,$B67,AB$51)</f>
        <v>70520.929999999993</v>
      </c>
      <c r="AC67" cm="1">
        <f t="array" ref="AC67">+_xll.EQNXTDZ($A$1,$B67,AC$51)</f>
        <v>69479.97</v>
      </c>
      <c r="AD67" cm="1">
        <f t="array" ref="AD67">+_xll.EQNXTDZ($A$1,$B67,AD$51)</f>
        <v>51277.06</v>
      </c>
      <c r="AE67" cm="1">
        <f t="array" ref="AE67">+_xll.EQNXTDZ($A$1,$B67,AE$51)</f>
        <v>46697.8</v>
      </c>
      <c r="AF67" cm="1">
        <f t="array" ref="AF67">+_xll.EQNXTDZ($A$1,$B67,AF$51)</f>
        <v>44796.53</v>
      </c>
      <c r="AG67" cm="1">
        <f t="array" ref="AG67">+_xll.EQNXTDZ($A$1,$B67,AG$51)</f>
        <v>41634.32</v>
      </c>
      <c r="AH67" cm="1">
        <f t="array" ref="AH67">+_xll.EQNXTDZ($A$1,$B67,AH$51)</f>
        <v>40360.81</v>
      </c>
      <c r="AI67" cm="1">
        <f t="array" ref="AI67">+_xll.EQNXTDZ($A$1,$B67,AI$51)</f>
        <v>46095.32</v>
      </c>
      <c r="AJ67" cm="1">
        <f t="array" ref="AJ67">+_xll.EQNXTDZ($A$1,$B67,AJ$51)</f>
        <v>42189.94</v>
      </c>
      <c r="AK67" cm="1">
        <f t="array" ref="AK67">+_xll.EQNXTDZ($A$1,$B67,AK$51)</f>
        <v>39309.89</v>
      </c>
      <c r="AL67" cm="1">
        <f t="array" ref="AL67">+_xll.EQNXTDZ($A$1,$B67,AL$51)</f>
        <v>44380.86</v>
      </c>
      <c r="AM67" cm="1">
        <f t="array" ref="AM67">+_xll.EQNXTDZ($A$1,$B67,AM$51)</f>
        <v>42976.21</v>
      </c>
      <c r="AN67" cm="1">
        <f t="array" ref="AN67">+_xll.EQNXTDZ($A$1,$B67,AN$51)</f>
        <v>46364.35</v>
      </c>
      <c r="AO67" cm="1">
        <f t="array" ref="AO67">+_xll.EQNXTDZ($A$1,$B67,AO$51)</f>
        <v>61664.44</v>
      </c>
      <c r="AP67" cm="1">
        <f t="array" ref="AP67">+_xll.EQNXTDZ($A$1,$B67,AP$51)</f>
        <v>48550.48</v>
      </c>
      <c r="AQ67" cm="1">
        <f t="array" ref="AQ67">+_xll.EQNXTDZ($A$1,$B67,AQ$51)</f>
        <v>52752.56</v>
      </c>
      <c r="AR67" cm="1">
        <f t="array" ref="AR67">+_xll.EQNXTDZ($A$1,$B67,AR$51)</f>
        <v>50124.95</v>
      </c>
      <c r="AS67" cm="1">
        <f t="array" ref="AS67">+_xll.EQNXTDZ($A$1,$B67,AS$51)</f>
        <v>45517.07</v>
      </c>
      <c r="AT67" cm="1">
        <f t="array" ref="AT67">+_xll.EQNXTDZ($A$1,$B67,AT$51)</f>
        <v>51604.79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130</v>
      </c>
      <c r="B68" t="s">
        <v>314</v>
      </c>
      <c r="C68" cm="1">
        <f t="array" ref="C68">+_xll.EQNXTDZ($A$1,$B68,C$51)</f>
        <v>117040.82</v>
      </c>
      <c r="D68" cm="1">
        <f t="array" ref="D68">+_xll.EQNXTDZ($A$1,$B68,D$51)</f>
        <v>117892.69</v>
      </c>
      <c r="E68" cm="1">
        <f t="array" ref="E68">+_xll.EQNXTDZ($A$1,$B68,E$51)</f>
        <v>122561.42</v>
      </c>
      <c r="F68" cm="1">
        <f t="array" ref="F68">+_xll.EQNXTDZ($A$1,$B68,F$51)</f>
        <v>118848.91</v>
      </c>
      <c r="G68" cm="1">
        <f t="array" ref="G68">+_xll.EQNXTDZ($A$1,$B68,G$51)</f>
        <v>109826.86</v>
      </c>
      <c r="H68" cm="1">
        <f t="array" ref="H68">+_xll.EQNXTDZ($A$1,$B68,H$51)</f>
        <v>120208.81</v>
      </c>
      <c r="I68" cm="1">
        <f t="array" ref="I68">+_xll.EQNXTDZ($A$1,$B68,I$51)</f>
        <v>155432.76999999999</v>
      </c>
      <c r="J68" cm="1">
        <f t="array" ref="J68">+_xll.EQNXTDZ($A$1,$B68,J$51)</f>
        <v>127826.86</v>
      </c>
      <c r="K68" cm="1">
        <f t="array" ref="K68">+_xll.EQNXTDZ($A$1,$B68,K$51)</f>
        <v>123613.67</v>
      </c>
      <c r="L68" cm="1">
        <f t="array" ref="L68">+_xll.EQNXTDZ($A$1,$B68,L$51)</f>
        <v>128304.63</v>
      </c>
      <c r="M68" cm="1">
        <f t="array" ref="M68">+_xll.EQNXTDZ($A$1,$B68,M$51)</f>
        <v>134883.84</v>
      </c>
      <c r="N68" cm="1">
        <f t="array" ref="N68">+_xll.EQNXTDZ($A$1,$B68,N$51)</f>
        <v>137111.10999999999</v>
      </c>
      <c r="O68" cm="1">
        <f t="array" ref="O68">+_xll.EQNXTDZ($A$1,$B68,O$51)</f>
        <v>135188.69</v>
      </c>
      <c r="P68" cm="1">
        <f t="array" ref="P68">+_xll.EQNXTDZ($A$1,$B68,P$51)</f>
        <v>133444.04999999999</v>
      </c>
      <c r="Q68" cm="1">
        <f t="array" ref="Q68">+_xll.EQNXTDZ($A$1,$B68,Q$51)</f>
        <v>147176.5</v>
      </c>
      <c r="R68" cm="1">
        <f t="array" ref="R68">+_xll.EQNXTDZ($A$1,$B68,R$51)</f>
        <v>147639.04000000001</v>
      </c>
      <c r="S68" cm="1">
        <f t="array" ref="S68">+_xll.EQNXTDZ($A$1,$B68,S$51)</f>
        <v>145606.01</v>
      </c>
      <c r="T68" cm="1">
        <f t="array" ref="T68">+_xll.EQNXTDZ($A$1,$B68,T$51)</f>
        <v>149299.85</v>
      </c>
      <c r="U68" cm="1">
        <f t="array" ref="U68">+_xll.EQNXTDZ($A$1,$B68,U$51)</f>
        <v>157276.98000000001</v>
      </c>
      <c r="V68" cm="1">
        <f t="array" ref="V68">+_xll.EQNXTDZ($A$1,$B68,V$51)</f>
        <v>158572.99</v>
      </c>
      <c r="W68" cm="1">
        <f t="array" ref="W68">+_xll.EQNXTDZ($A$1,$B68,W$51)</f>
        <v>162463.85999999999</v>
      </c>
      <c r="X68" cm="1">
        <f t="array" ref="X68">+_xll.EQNXTDZ($A$1,$B68,X$51)</f>
        <v>182063.57</v>
      </c>
      <c r="Y68" cm="1">
        <f t="array" ref="Y68">+_xll.EQNXTDZ($A$1,$B68,Y$51)</f>
        <v>175175.73</v>
      </c>
      <c r="Z68" cm="1">
        <f t="array" ref="Z68">+_xll.EQNXTDZ($A$1,$B68,Z$51)</f>
        <v>187252.85</v>
      </c>
      <c r="AA68" cm="1">
        <f t="array" ref="AA68">+_xll.EQNXTDZ($A$1,$B68,AA$51)</f>
        <v>187246</v>
      </c>
      <c r="AB68" cm="1">
        <f t="array" ref="AB68">+_xll.EQNXTDZ($A$1,$B68,AB$51)</f>
        <v>172349.89</v>
      </c>
      <c r="AC68" cm="1">
        <f t="array" ref="AC68">+_xll.EQNXTDZ($A$1,$B68,AC$51)</f>
        <v>172017.47</v>
      </c>
      <c r="AD68" cm="1">
        <f t="array" ref="AD68">+_xll.EQNXTDZ($A$1,$B68,AD$51)</f>
        <v>174448.41</v>
      </c>
      <c r="AE68" cm="1">
        <f t="array" ref="AE68">+_xll.EQNXTDZ($A$1,$B68,AE$51)</f>
        <v>178376.38</v>
      </c>
      <c r="AF68" cm="1">
        <f t="array" ref="AF68">+_xll.EQNXTDZ($A$1,$B68,AF$51)</f>
        <v>184038.16</v>
      </c>
      <c r="AG68" cm="1">
        <f t="array" ref="AG68">+_xll.EQNXTDZ($A$1,$B68,AG$51)</f>
        <v>187524.76</v>
      </c>
      <c r="AH68" cm="1">
        <f t="array" ref="AH68">+_xll.EQNXTDZ($A$1,$B68,AH$51)</f>
        <v>204397.88</v>
      </c>
      <c r="AI68" cm="1">
        <f t="array" ref="AI68">+_xll.EQNXTDZ($A$1,$B68,AI$51)</f>
        <v>208147.55</v>
      </c>
      <c r="AJ68" cm="1">
        <f t="array" ref="AJ68">+_xll.EQNXTDZ($A$1,$B68,AJ$51)</f>
        <v>211848.14</v>
      </c>
      <c r="AK68" cm="1">
        <f t="array" ref="AK68">+_xll.EQNXTDZ($A$1,$B68,AK$51)</f>
        <v>211618.38</v>
      </c>
      <c r="AL68" cm="1">
        <f t="array" ref="AL68">+_xll.EQNXTDZ($A$1,$B68,AL$51)</f>
        <v>227144.47</v>
      </c>
      <c r="AM68" cm="1">
        <f t="array" ref="AM68">+_xll.EQNXTDZ($A$1,$B68,AM$51)</f>
        <v>241666.83</v>
      </c>
      <c r="AN68" cm="1">
        <f t="array" ref="AN68">+_xll.EQNXTDZ($A$1,$B68,AN$51)</f>
        <v>269743.53000000003</v>
      </c>
      <c r="AO68" cm="1">
        <f t="array" ref="AO68">+_xll.EQNXTDZ($A$1,$B68,AO$51)</f>
        <v>263182.46999999997</v>
      </c>
      <c r="AP68" cm="1">
        <f t="array" ref="AP68">+_xll.EQNXTDZ($A$1,$B68,AP$51)</f>
        <v>259111.8</v>
      </c>
      <c r="AQ68" cm="1">
        <f t="array" ref="AQ68">+_xll.EQNXTDZ($A$1,$B68,AQ$51)</f>
        <v>271724.07</v>
      </c>
      <c r="AR68" cm="1">
        <f t="array" ref="AR68">+_xll.EQNXTDZ($A$1,$B68,AR$51)</f>
        <v>260899.79</v>
      </c>
      <c r="AS68" cm="1">
        <f t="array" ref="AS68">+_xll.EQNXTDZ($A$1,$B68,AS$51)</f>
        <v>265699.13</v>
      </c>
      <c r="AT68" cm="1">
        <f t="array" ref="AT68">+_xll.EQNXTDZ($A$1,$B68,AT$51)</f>
        <v>268629.3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49</v>
      </c>
      <c r="B69" t="s">
        <v>315</v>
      </c>
      <c r="C69" cm="1">
        <f t="array" ref="C69">+_xll.EQNXTDZ($A$1,$B69,C$51)</f>
        <v>383983.45</v>
      </c>
      <c r="D69" cm="1">
        <f t="array" ref="D69">+_xll.EQNXTDZ($A$1,$B69,D$51)</f>
        <v>381666.72</v>
      </c>
      <c r="E69" cm="1">
        <f t="array" ref="E69">+_xll.EQNXTDZ($A$1,$B69,E$51)</f>
        <v>380746.21</v>
      </c>
      <c r="F69" cm="1">
        <f t="array" ref="F69">+_xll.EQNXTDZ($A$1,$B69,F$51)</f>
        <v>359188.96</v>
      </c>
      <c r="G69" cm="1">
        <f t="array" ref="G69">+_xll.EQNXTDZ($A$1,$B69,G$51)</f>
        <v>363385.77</v>
      </c>
      <c r="H69" cm="1">
        <f t="array" ref="H69">+_xll.EQNXTDZ($A$1,$B69,H$51)</f>
        <v>363310.09</v>
      </c>
      <c r="I69" cm="1">
        <f t="array" ref="I69">+_xll.EQNXTDZ($A$1,$B69,I$51)</f>
        <v>360188.65</v>
      </c>
      <c r="J69" cm="1">
        <f t="array" ref="J69">+_xll.EQNXTDZ($A$1,$B69,J$51)</f>
        <v>366481.67</v>
      </c>
      <c r="K69" cm="1">
        <f t="array" ref="K69">+_xll.EQNXTDZ($A$1,$B69,K$51)</f>
        <v>363977.57</v>
      </c>
      <c r="L69" cm="1">
        <f t="array" ref="L69">+_xll.EQNXTDZ($A$1,$B69,L$51)</f>
        <v>364502.21</v>
      </c>
      <c r="M69" cm="1">
        <f t="array" ref="M69">+_xll.EQNXTDZ($A$1,$B69,M$51)</f>
        <v>350948.99</v>
      </c>
      <c r="N69" cm="1">
        <f t="array" ref="N69">+_xll.EQNXTDZ($A$1,$B69,N$51)</f>
        <v>341380.19</v>
      </c>
      <c r="O69" cm="1">
        <f t="array" ref="O69">+_xll.EQNXTDZ($A$1,$B69,O$51)</f>
        <v>327775.34000000003</v>
      </c>
      <c r="P69" cm="1">
        <f t="array" ref="P69">+_xll.EQNXTDZ($A$1,$B69,P$51)</f>
        <v>340272.51</v>
      </c>
      <c r="Q69" cm="1">
        <f t="array" ref="Q69">+_xll.EQNXTDZ($A$1,$B69,Q$51)</f>
        <v>331114.03000000003</v>
      </c>
      <c r="R69" cm="1">
        <f t="array" ref="R69">+_xll.EQNXTDZ($A$1,$B69,R$51)</f>
        <v>341005.94</v>
      </c>
      <c r="S69" cm="1">
        <f t="array" ref="S69">+_xll.EQNXTDZ($A$1,$B69,S$51)</f>
        <v>332966.65000000002</v>
      </c>
      <c r="T69" cm="1">
        <f t="array" ref="T69">+_xll.EQNXTDZ($A$1,$B69,T$51)</f>
        <v>334800.23</v>
      </c>
      <c r="U69" cm="1">
        <f t="array" ref="U69">+_xll.EQNXTDZ($A$1,$B69,U$51)</f>
        <v>336661.38</v>
      </c>
      <c r="V69" cm="1">
        <f t="array" ref="V69">+_xll.EQNXTDZ($A$1,$B69,V$51)</f>
        <v>368883.3</v>
      </c>
      <c r="W69" cm="1">
        <f t="array" ref="W69">+_xll.EQNXTDZ($A$1,$B69,W$51)</f>
        <v>370614.56</v>
      </c>
      <c r="X69" cm="1">
        <f t="array" ref="X69">+_xll.EQNXTDZ($A$1,$B69,X$51)</f>
        <v>361767.14</v>
      </c>
      <c r="Y69" cm="1">
        <f t="array" ref="Y69">+_xll.EQNXTDZ($A$1,$B69,Y$51)</f>
        <v>368710.85</v>
      </c>
      <c r="Z69" cm="1">
        <f t="array" ref="Z69">+_xll.EQNXTDZ($A$1,$B69,Z$51)</f>
        <v>365686.52</v>
      </c>
      <c r="AA69" cm="1">
        <f t="array" ref="AA69">+_xll.EQNXTDZ($A$1,$B69,AA$51)</f>
        <v>370607.26</v>
      </c>
      <c r="AB69" cm="1">
        <f t="array" ref="AB69">+_xll.EQNXTDZ($A$1,$B69,AB$51)</f>
        <v>378727.44</v>
      </c>
      <c r="AC69" cm="1">
        <f t="array" ref="AC69">+_xll.EQNXTDZ($A$1,$B69,AC$51)</f>
        <v>401873.49</v>
      </c>
      <c r="AD69" cm="1">
        <f t="array" ref="AD69">+_xll.EQNXTDZ($A$1,$B69,AD$51)</f>
        <v>420841.79</v>
      </c>
      <c r="AE69" cm="1">
        <f t="array" ref="AE69">+_xll.EQNXTDZ($A$1,$B69,AE$51)</f>
        <v>442702.99</v>
      </c>
      <c r="AF69" cm="1">
        <f t="array" ref="AF69">+_xll.EQNXTDZ($A$1,$B69,AF$51)</f>
        <v>460231.59</v>
      </c>
      <c r="AG69" cm="1">
        <f t="array" ref="AG69">+_xll.EQNXTDZ($A$1,$B69,AG$51)</f>
        <v>476100.81</v>
      </c>
      <c r="AH69" cm="1">
        <f t="array" ref="AH69">+_xll.EQNXTDZ($A$1,$B69,AH$51)</f>
        <v>485899.64</v>
      </c>
      <c r="AI69" cm="1">
        <f t="array" ref="AI69">+_xll.EQNXTDZ($A$1,$B69,AI$51)</f>
        <v>491501.64</v>
      </c>
      <c r="AJ69" cm="1">
        <f t="array" ref="AJ69">+_xll.EQNXTDZ($A$1,$B69,AJ$51)</f>
        <v>519088.54</v>
      </c>
      <c r="AK69" cm="1">
        <f t="array" ref="AK69">+_xll.EQNXTDZ($A$1,$B69,AK$51)</f>
        <v>542295.99</v>
      </c>
      <c r="AL69" cm="1">
        <f t="array" ref="AL69">+_xll.EQNXTDZ($A$1,$B69,AL$51)</f>
        <v>563144.67000000004</v>
      </c>
      <c r="AM69" cm="1">
        <f t="array" ref="AM69">+_xll.EQNXTDZ($A$1,$B69,AM$51)</f>
        <v>578144.6</v>
      </c>
      <c r="AN69" cm="1">
        <f t="array" ref="AN69">+_xll.EQNXTDZ($A$1,$B69,AN$51)</f>
        <v>600006.31999999995</v>
      </c>
      <c r="AO69" cm="1">
        <f t="array" ref="AO69">+_xll.EQNXTDZ($A$1,$B69,AO$51)</f>
        <v>632868.46</v>
      </c>
      <c r="AP69" cm="1">
        <f t="array" ref="AP69">+_xll.EQNXTDZ($A$1,$B69,AP$51)</f>
        <v>649657.04</v>
      </c>
      <c r="AQ69" cm="1">
        <f t="array" ref="AQ69">+_xll.EQNXTDZ($A$1,$B69,AQ$51)</f>
        <v>657753.85</v>
      </c>
      <c r="AR69" cm="1">
        <f t="array" ref="AR69">+_xll.EQNXTDZ($A$1,$B69,AR$51)</f>
        <v>695660.44</v>
      </c>
      <c r="AS69" cm="1">
        <f t="array" ref="AS69">+_xll.EQNXTDZ($A$1,$B69,AS$51)</f>
        <v>727958.8</v>
      </c>
      <c r="AT69" cm="1">
        <f t="array" ref="AT69">+_xll.EQNXTDZ($A$1,$B69,AT$51)</f>
        <v>760334.88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292</v>
      </c>
      <c r="B70" t="s">
        <v>316</v>
      </c>
      <c r="C70" cm="1">
        <f t="array" ref="C70">+_xll.EQNXTDZ($A$1,$B70,C$51)</f>
        <v>5874.75</v>
      </c>
      <c r="D70" cm="1">
        <f t="array" ref="D70">+_xll.EQNXTDZ($A$1,$B70,D$51)</f>
        <v>5846.83</v>
      </c>
      <c r="E70" cm="1">
        <f t="array" ref="E70">+_xll.EQNXTDZ($A$1,$B70,E$51)</f>
        <v>5865.7</v>
      </c>
      <c r="F70" cm="1">
        <f t="array" ref="F70">+_xll.EQNXTDZ($A$1,$B70,F$51)</f>
        <v>8480.31</v>
      </c>
      <c r="G70" cm="1">
        <f t="array" ref="G70">+_xll.EQNXTDZ($A$1,$B70,G$51)</f>
        <v>8414.24</v>
      </c>
      <c r="H70" cm="1">
        <f t="array" ref="H70">+_xll.EQNXTDZ($A$1,$B70,H$51)</f>
        <v>8297.8799999999992</v>
      </c>
      <c r="I70" cm="1">
        <f t="array" ref="I70">+_xll.EQNXTDZ($A$1,$B70,I$51)</f>
        <v>8159.09</v>
      </c>
      <c r="J70" cm="1">
        <f t="array" ref="J70">+_xll.EQNXTDZ($A$1,$B70,J$51)</f>
        <v>8461.86</v>
      </c>
      <c r="K70" cm="1">
        <f t="array" ref="K70">+_xll.EQNXTDZ($A$1,$B70,K$51)</f>
        <v>8419.0300000000007</v>
      </c>
      <c r="L70" cm="1">
        <f t="array" ref="L70">+_xll.EQNXTDZ($A$1,$B70,L$51)</f>
        <v>8402.0400000000009</v>
      </c>
      <c r="M70" cm="1">
        <f t="array" ref="M70">+_xll.EQNXTDZ($A$1,$B70,M$51)</f>
        <v>8299.9</v>
      </c>
      <c r="N70" cm="1">
        <f t="array" ref="N70">+_xll.EQNXTDZ($A$1,$B70,N$51)</f>
        <v>8265.2900000000009</v>
      </c>
      <c r="O70" cm="1">
        <f t="array" ref="O70">+_xll.EQNXTDZ($A$1,$B70,O$51)</f>
        <v>8201.61</v>
      </c>
      <c r="P70" cm="1">
        <f t="array" ref="P70">+_xll.EQNXTDZ($A$1,$B70,P$51)</f>
        <v>8550.51</v>
      </c>
      <c r="Q70" cm="1">
        <f t="array" ref="Q70">+_xll.EQNXTDZ($A$1,$B70,Q$51)</f>
        <v>8283.5400000000009</v>
      </c>
      <c r="R70" cm="1">
        <f t="array" ref="R70">+_xll.EQNXTDZ($A$1,$B70,R$51)</f>
        <v>8920.0400000000009</v>
      </c>
      <c r="S70" cm="1">
        <f t="array" ref="S70">+_xll.EQNXTDZ($A$1,$B70,S$51)</f>
        <v>8955.06</v>
      </c>
      <c r="T70" cm="1">
        <f t="array" ref="T70">+_xll.EQNXTDZ($A$1,$B70,T$51)</f>
        <v>8941.2800000000007</v>
      </c>
      <c r="U70" cm="1">
        <f t="array" ref="U70">+_xll.EQNXTDZ($A$1,$B70,U$51)</f>
        <v>8948.31</v>
      </c>
      <c r="V70" cm="1">
        <f t="array" ref="V70">+_xll.EQNXTDZ($A$1,$B70,V$51)</f>
        <v>8982</v>
      </c>
      <c r="W70" cm="1">
        <f t="array" ref="W70">+_xll.EQNXTDZ($A$1,$B70,W$51)</f>
        <v>8925.2199999999993</v>
      </c>
      <c r="X70" cm="1">
        <f t="array" ref="X70">+_xll.EQNXTDZ($A$1,$B70,X$51)</f>
        <v>8893.39</v>
      </c>
      <c r="Y70" cm="1">
        <f t="array" ref="Y70">+_xll.EQNXTDZ($A$1,$B70,Y$51)</f>
        <v>8888.66</v>
      </c>
      <c r="Z70" cm="1">
        <f t="array" ref="Z70">+_xll.EQNXTDZ($A$1,$B70,Z$51)</f>
        <v>8914.1299999999992</v>
      </c>
      <c r="AA70" cm="1">
        <f t="array" ref="AA70">+_xll.EQNXTDZ($A$1,$B70,AA$51)</f>
        <v>8897.2099999999991</v>
      </c>
      <c r="AB70" cm="1">
        <f t="array" ref="AB70">+_xll.EQNXTDZ($A$1,$B70,AB$51)</f>
        <v>8911.91</v>
      </c>
      <c r="AC70" cm="1">
        <f t="array" ref="AC70">+_xll.EQNXTDZ($A$1,$B70,AC$51)</f>
        <v>8984.7099999999991</v>
      </c>
      <c r="AD70" cm="1">
        <f t="array" ref="AD70">+_xll.EQNXTDZ($A$1,$B70,AD$51)</f>
        <v>9774.9500000000007</v>
      </c>
      <c r="AE70" cm="1">
        <f t="array" ref="AE70">+_xll.EQNXTDZ($A$1,$B70,AE$51)</f>
        <v>9792.17</v>
      </c>
      <c r="AF70" cm="1">
        <f t="array" ref="AF70">+_xll.EQNXTDZ($A$1,$B70,AF$51)</f>
        <v>9865.1299999999992</v>
      </c>
      <c r="AG70" cm="1">
        <f t="array" ref="AG70">+_xll.EQNXTDZ($A$1,$B70,AG$51)</f>
        <v>9934.7199999999993</v>
      </c>
      <c r="AH70" cm="1">
        <f t="array" ref="AH70">+_xll.EQNXTDZ($A$1,$B70,AH$51)</f>
        <v>9961</v>
      </c>
      <c r="AI70" cm="1">
        <f t="array" ref="AI70">+_xll.EQNXTDZ($A$1,$B70,AI$51)</f>
        <v>9970.9599999999991</v>
      </c>
      <c r="AJ70" cm="1">
        <f t="array" ref="AJ70">+_xll.EQNXTDZ($A$1,$B70,AJ$51)</f>
        <v>10120.31</v>
      </c>
      <c r="AK70" cm="1">
        <f t="array" ref="AK70">+_xll.EQNXTDZ($A$1,$B70,AK$51)</f>
        <v>10152.98</v>
      </c>
      <c r="AL70" cm="1">
        <f t="array" ref="AL70">+_xll.EQNXTDZ($A$1,$B70,AL$51)</f>
        <v>10226.459999999999</v>
      </c>
      <c r="AM70" cm="1">
        <f t="array" ref="AM70">+_xll.EQNXTDZ($A$1,$B70,AM$51)</f>
        <v>10267.370000000001</v>
      </c>
      <c r="AN70" cm="1">
        <f t="array" ref="AN70">+_xll.EQNXTDZ($A$1,$B70,AN$51)</f>
        <v>10296.58</v>
      </c>
      <c r="AO70" cm="1">
        <f t="array" ref="AO70">+_xll.EQNXTDZ($A$1,$B70,AO$51)</f>
        <v>10409.61</v>
      </c>
      <c r="AP70" cm="1">
        <f t="array" ref="AP70">+_xll.EQNXTDZ($A$1,$B70,AP$51)</f>
        <v>11938.71</v>
      </c>
      <c r="AQ70" cm="1">
        <f t="array" ref="AQ70">+_xll.EQNXTDZ($A$1,$B70,AQ$51)</f>
        <v>11974.25</v>
      </c>
      <c r="AR70" cm="1">
        <f t="array" ref="AR70">+_xll.EQNXTDZ($A$1,$B70,AR$51)</f>
        <v>11715.76</v>
      </c>
      <c r="AS70" cm="1">
        <f t="array" ref="AS70">+_xll.EQNXTDZ($A$1,$B70,AS$51)</f>
        <v>11749.36</v>
      </c>
      <c r="AT70" cm="1">
        <f t="array" ref="AT70">+_xll.EQNXTDZ($A$1,$B70,AT$51)</f>
        <v>11749.34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293</v>
      </c>
      <c r="B71" t="s">
        <v>317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294</v>
      </c>
      <c r="B72" t="s">
        <v>318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319</v>
      </c>
      <c r="C73" cm="1">
        <f t="array" ref="C73">+_xll.EQNXTDZ($A$1,$B73,C$51)</f>
        <v>5874.75</v>
      </c>
      <c r="D73" cm="1">
        <f t="array" ref="D73">+_xll.EQNXTDZ($A$1,$B73,D$51)</f>
        <v>5846.83</v>
      </c>
      <c r="E73" cm="1">
        <f t="array" ref="E73">+_xll.EQNXTDZ($A$1,$B73,E$51)</f>
        <v>5865.7</v>
      </c>
      <c r="F73" cm="1">
        <f t="array" ref="F73">+_xll.EQNXTDZ($A$1,$B73,F$51)</f>
        <v>8480.31</v>
      </c>
      <c r="G73" cm="1">
        <f t="array" ref="G73">+_xll.EQNXTDZ($A$1,$B73,G$51)</f>
        <v>8414.24</v>
      </c>
      <c r="H73" cm="1">
        <f t="array" ref="H73">+_xll.EQNXTDZ($A$1,$B73,H$51)</f>
        <v>8297.8799999999992</v>
      </c>
      <c r="I73" cm="1">
        <f t="array" ref="I73">+_xll.EQNXTDZ($A$1,$B73,I$51)</f>
        <v>8159.09</v>
      </c>
      <c r="J73" cm="1">
        <f t="array" ref="J73">+_xll.EQNXTDZ($A$1,$B73,J$51)</f>
        <v>8461.86</v>
      </c>
      <c r="K73" cm="1">
        <f t="array" ref="K73">+_xll.EQNXTDZ($A$1,$B73,K$51)</f>
        <v>8419.0300000000007</v>
      </c>
      <c r="L73" cm="1">
        <f t="array" ref="L73">+_xll.EQNXTDZ($A$1,$B73,L$51)</f>
        <v>8402.0400000000009</v>
      </c>
      <c r="M73" cm="1">
        <f t="array" ref="M73">+_xll.EQNXTDZ($A$1,$B73,M$51)</f>
        <v>8299.9</v>
      </c>
      <c r="N73" cm="1">
        <f t="array" ref="N73">+_xll.EQNXTDZ($A$1,$B73,N$51)</f>
        <v>8265.2900000000009</v>
      </c>
      <c r="O73" cm="1">
        <f t="array" ref="O73">+_xll.EQNXTDZ($A$1,$B73,O$51)</f>
        <v>8201.61</v>
      </c>
      <c r="P73" cm="1">
        <f t="array" ref="P73">+_xll.EQNXTDZ($A$1,$B73,P$51)</f>
        <v>8550.51</v>
      </c>
      <c r="Q73" cm="1">
        <f t="array" ref="Q73">+_xll.EQNXTDZ($A$1,$B73,Q$51)</f>
        <v>8283.5400000000009</v>
      </c>
      <c r="R73" cm="1">
        <f t="array" ref="R73">+_xll.EQNXTDZ($A$1,$B73,R$51)</f>
        <v>8920.0400000000009</v>
      </c>
      <c r="S73" cm="1">
        <f t="array" ref="S73">+_xll.EQNXTDZ($A$1,$B73,S$51)</f>
        <v>8955.06</v>
      </c>
      <c r="T73" cm="1">
        <f t="array" ref="T73">+_xll.EQNXTDZ($A$1,$B73,T$51)</f>
        <v>8941.2800000000007</v>
      </c>
      <c r="U73" cm="1">
        <f t="array" ref="U73">+_xll.EQNXTDZ($A$1,$B73,U$51)</f>
        <v>8948.31</v>
      </c>
      <c r="V73" cm="1">
        <f t="array" ref="V73">+_xll.EQNXTDZ($A$1,$B73,V$51)</f>
        <v>8982</v>
      </c>
      <c r="W73" cm="1">
        <f t="array" ref="W73">+_xll.EQNXTDZ($A$1,$B73,W$51)</f>
        <v>8925.2199999999993</v>
      </c>
      <c r="X73" cm="1">
        <f t="array" ref="X73">+_xll.EQNXTDZ($A$1,$B73,X$51)</f>
        <v>8893.39</v>
      </c>
      <c r="Y73" cm="1">
        <f t="array" ref="Y73">+_xll.EQNXTDZ($A$1,$B73,Y$51)</f>
        <v>8888.66</v>
      </c>
      <c r="Z73" cm="1">
        <f t="array" ref="Z73">+_xll.EQNXTDZ($A$1,$B73,Z$51)</f>
        <v>8914.1299999999992</v>
      </c>
      <c r="AA73" cm="1">
        <f t="array" ref="AA73">+_xll.EQNXTDZ($A$1,$B73,AA$51)</f>
        <v>8897.2099999999991</v>
      </c>
      <c r="AB73" cm="1">
        <f t="array" ref="AB73">+_xll.EQNXTDZ($A$1,$B73,AB$51)</f>
        <v>8911.91</v>
      </c>
      <c r="AC73" cm="1">
        <f t="array" ref="AC73">+_xll.EQNXTDZ($A$1,$B73,AC$51)</f>
        <v>8984.7099999999991</v>
      </c>
      <c r="AD73" cm="1">
        <f t="array" ref="AD73">+_xll.EQNXTDZ($A$1,$B73,AD$51)</f>
        <v>9774.9500000000007</v>
      </c>
      <c r="AE73" cm="1">
        <f t="array" ref="AE73">+_xll.EQNXTDZ($A$1,$B73,AE$51)</f>
        <v>9792.17</v>
      </c>
      <c r="AF73" cm="1">
        <f t="array" ref="AF73">+_xll.EQNXTDZ($A$1,$B73,AF$51)</f>
        <v>9865.1299999999992</v>
      </c>
      <c r="AG73" cm="1">
        <f t="array" ref="AG73">+_xll.EQNXTDZ($A$1,$B73,AG$51)</f>
        <v>9934.7199999999993</v>
      </c>
      <c r="AH73" cm="1">
        <f t="array" ref="AH73">+_xll.EQNXTDZ($A$1,$B73,AH$51)</f>
        <v>9961</v>
      </c>
      <c r="AI73" cm="1">
        <f t="array" ref="AI73">+_xll.EQNXTDZ($A$1,$B73,AI$51)</f>
        <v>9970.9599999999991</v>
      </c>
      <c r="AJ73" cm="1">
        <f t="array" ref="AJ73">+_xll.EQNXTDZ($A$1,$B73,AJ$51)</f>
        <v>10120.31</v>
      </c>
      <c r="AK73" cm="1">
        <f t="array" ref="AK73">+_xll.EQNXTDZ($A$1,$B73,AK$51)</f>
        <v>10152.98</v>
      </c>
      <c r="AL73" cm="1">
        <f t="array" ref="AL73">+_xll.EQNXTDZ($A$1,$B73,AL$51)</f>
        <v>10226.459999999999</v>
      </c>
      <c r="AM73" cm="1">
        <f t="array" ref="AM73">+_xll.EQNXTDZ($A$1,$B73,AM$51)</f>
        <v>10267.370000000001</v>
      </c>
      <c r="AN73" cm="1">
        <f t="array" ref="AN73">+_xll.EQNXTDZ($A$1,$B73,AN$51)</f>
        <v>10296.58</v>
      </c>
      <c r="AO73" cm="1">
        <f t="array" ref="AO73">+_xll.EQNXTDZ($A$1,$B73,AO$51)</f>
        <v>10409.61</v>
      </c>
      <c r="AP73" cm="1">
        <f t="array" ref="AP73">+_xll.EQNXTDZ($A$1,$B73,AP$51)</f>
        <v>11938.71</v>
      </c>
      <c r="AQ73" cm="1">
        <f t="array" ref="AQ73">+_xll.EQNXTDZ($A$1,$B73,AQ$51)</f>
        <v>11974.25</v>
      </c>
      <c r="AR73" cm="1">
        <f t="array" ref="AR73">+_xll.EQNXTDZ($A$1,$B73,AR$51)</f>
        <v>11715.76</v>
      </c>
      <c r="AS73" cm="1">
        <f t="array" ref="AS73">+_xll.EQNXTDZ($A$1,$B73,AS$51)</f>
        <v>11749.36</v>
      </c>
      <c r="AT73" cm="1">
        <f t="array" ref="AT73">+_xll.EQNXTDZ($A$1,$B73,AT$51)</f>
        <v>11749.34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134</v>
      </c>
      <c r="B74" t="s">
        <v>320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135</v>
      </c>
      <c r="B75" t="s">
        <v>321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295</v>
      </c>
      <c r="B76" t="s">
        <v>322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8948.31</v>
      </c>
      <c r="V76" cm="1">
        <f t="array" ref="V76">+_xll.EQNXTDZ($A$1,$B76,V$51)</f>
        <v>8982</v>
      </c>
      <c r="W76" cm="1">
        <f t="array" ref="W76">+_xll.EQNXTDZ($A$1,$B76,W$51)</f>
        <v>8925.2199999999993</v>
      </c>
      <c r="X76" cm="1">
        <f t="array" ref="X76">+_xll.EQNXTDZ($A$1,$B76,X$51)</f>
        <v>8893.39</v>
      </c>
      <c r="Y76" cm="1">
        <f t="array" ref="Y76">+_xll.EQNXTDZ($A$1,$B76,Y$51)</f>
        <v>8888.66</v>
      </c>
      <c r="Z76" cm="1">
        <f t="array" ref="Z76">+_xll.EQNXTDZ($A$1,$B76,Z$51)</f>
        <v>8914.1299999999992</v>
      </c>
      <c r="AA76" cm="1">
        <f t="array" ref="AA76">+_xll.EQNXTDZ($A$1,$B76,AA$51)</f>
        <v>8897.2099999999991</v>
      </c>
      <c r="AB76" cm="1">
        <f t="array" ref="AB76">+_xll.EQNXTDZ($A$1,$B76,AB$51)</f>
        <v>8911.91</v>
      </c>
      <c r="AC76" cm="1">
        <f t="array" ref="AC76">+_xll.EQNXTDZ($A$1,$B76,AC$51)</f>
        <v>8984.7099999999991</v>
      </c>
      <c r="AD76" cm="1">
        <f t="array" ref="AD76">+_xll.EQNXTDZ($A$1,$B76,AD$51)</f>
        <v>9774.9500000000007</v>
      </c>
      <c r="AE76" cm="1">
        <f t="array" ref="AE76">+_xll.EQNXTDZ($A$1,$B76,AE$51)</f>
        <v>9792.17</v>
      </c>
      <c r="AF76" cm="1">
        <f t="array" ref="AF76">+_xll.EQNXTDZ($A$1,$B76,AF$51)</f>
        <v>9865.1299999999992</v>
      </c>
      <c r="AG76" cm="1">
        <f t="array" ref="AG76">+_xll.EQNXTDZ($A$1,$B76,AG$51)</f>
        <v>9934.7199999999993</v>
      </c>
      <c r="AH76" cm="1">
        <f t="array" ref="AH76">+_xll.EQNXTDZ($A$1,$B76,AH$51)</f>
        <v>9961</v>
      </c>
      <c r="AI76" cm="1">
        <f t="array" ref="AI76">+_xll.EQNXTDZ($A$1,$B76,AI$51)</f>
        <v>9970.9599999999991</v>
      </c>
      <c r="AJ76" cm="1">
        <f t="array" ref="AJ76">+_xll.EQNXTDZ($A$1,$B76,AJ$51)</f>
        <v>10120.31</v>
      </c>
      <c r="AK76" cm="1">
        <f t="array" ref="AK76">+_xll.EQNXTDZ($A$1,$B76,AK$51)</f>
        <v>10152.98</v>
      </c>
      <c r="AL76" cm="1">
        <f t="array" ref="AL76">+_xll.EQNXTDZ($A$1,$B76,AL$51)</f>
        <v>10226.459999999999</v>
      </c>
      <c r="AM76" cm="1">
        <f t="array" ref="AM76">+_xll.EQNXTDZ($A$1,$B76,AM$51)</f>
        <v>10267.370000000001</v>
      </c>
      <c r="AN76" cm="1">
        <f t="array" ref="AN76">+_xll.EQNXTDZ($A$1,$B76,AN$51)</f>
        <v>10296.58</v>
      </c>
      <c r="AO76" cm="1">
        <f t="array" ref="AO76">+_xll.EQNXTDZ($A$1,$B76,AO$51)</f>
        <v>10409.61</v>
      </c>
      <c r="AP76" cm="1">
        <f t="array" ref="AP76">+_xll.EQNXTDZ($A$1,$B76,AP$51)</f>
        <v>11938.71</v>
      </c>
      <c r="AQ76" cm="1">
        <f t="array" ref="AQ76">+_xll.EQNXTDZ($A$1,$B76,AQ$51)</f>
        <v>11974.25</v>
      </c>
      <c r="AR76" cm="1">
        <f t="array" ref="AR76">+_xll.EQNXTDZ($A$1,$B76,AR$51)</f>
        <v>11715.76</v>
      </c>
      <c r="AS76" cm="1">
        <f t="array" ref="AS76">+_xll.EQNXTDZ($A$1,$B76,AS$51)</f>
        <v>11749.36</v>
      </c>
      <c r="AT76" cm="1">
        <f t="array" ref="AT76">+_xll.EQNXTDZ($A$1,$B76,AT$51)</f>
        <v>11749.34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136</v>
      </c>
      <c r="B77" t="s">
        <v>323</v>
      </c>
      <c r="C77" cm="1">
        <f t="array" ref="C77">+_xll.EQNXTDZ($A$1,$B77,C$51)</f>
        <v>18433.099999999999</v>
      </c>
      <c r="D77" cm="1">
        <f t="array" ref="D77">+_xll.EQNXTDZ($A$1,$B77,D$51)</f>
        <v>18944.78</v>
      </c>
      <c r="E77" cm="1">
        <f t="array" ref="E77">+_xll.EQNXTDZ($A$1,$B77,E$51)</f>
        <v>21498.12</v>
      </c>
      <c r="F77" cm="1">
        <f t="array" ref="F77">+_xll.EQNXTDZ($A$1,$B77,F$51)</f>
        <v>24254.45</v>
      </c>
      <c r="G77" cm="1">
        <f t="array" ref="G77">+_xll.EQNXTDZ($A$1,$B77,G$51)</f>
        <v>22164.77</v>
      </c>
      <c r="H77" cm="1">
        <f t="array" ref="H77">+_xll.EQNXTDZ($A$1,$B77,H$51)</f>
        <v>15219.84</v>
      </c>
      <c r="I77" cm="1">
        <f t="array" ref="I77">+_xll.EQNXTDZ($A$1,$B77,I$51)</f>
        <v>29381.89</v>
      </c>
      <c r="J77" cm="1">
        <f t="array" ref="J77">+_xll.EQNXTDZ($A$1,$B77,J$51)</f>
        <v>27650.93</v>
      </c>
      <c r="K77" cm="1">
        <f t="array" ref="K77">+_xll.EQNXTDZ($A$1,$B77,K$51)</f>
        <v>24886.400000000001</v>
      </c>
      <c r="L77" cm="1">
        <f t="array" ref="L77">+_xll.EQNXTDZ($A$1,$B77,L$51)</f>
        <v>21797.42</v>
      </c>
      <c r="M77" cm="1">
        <f t="array" ref="M77">+_xll.EQNXTDZ($A$1,$B77,M$51)</f>
        <v>23536.48</v>
      </c>
      <c r="N77" cm="1">
        <f t="array" ref="N77">+_xll.EQNXTDZ($A$1,$B77,N$51)</f>
        <v>26935.74</v>
      </c>
      <c r="O77" cm="1">
        <f t="array" ref="O77">+_xll.EQNXTDZ($A$1,$B77,O$51)</f>
        <v>25209.01</v>
      </c>
      <c r="P77" cm="1">
        <f t="array" ref="P77">+_xll.EQNXTDZ($A$1,$B77,P$51)</f>
        <v>27908.93</v>
      </c>
      <c r="Q77" cm="1">
        <f t="array" ref="Q77">+_xll.EQNXTDZ($A$1,$B77,Q$51)</f>
        <v>27794.45</v>
      </c>
      <c r="R77" cm="1">
        <f t="array" ref="R77">+_xll.EQNXTDZ($A$1,$B77,R$51)</f>
        <v>32846.339999999997</v>
      </c>
      <c r="S77" cm="1">
        <f t="array" ref="S77">+_xll.EQNXTDZ($A$1,$B77,S$51)</f>
        <v>30694.57</v>
      </c>
      <c r="T77" cm="1">
        <f t="array" ref="T77">+_xll.EQNXTDZ($A$1,$B77,T$51)</f>
        <v>31344.15</v>
      </c>
      <c r="U77" cm="1">
        <f t="array" ref="U77">+_xll.EQNXTDZ($A$1,$B77,U$51)</f>
        <v>31640.82</v>
      </c>
      <c r="V77" cm="1">
        <f t="array" ref="V77">+_xll.EQNXTDZ($A$1,$B77,V$51)</f>
        <v>34100.89</v>
      </c>
      <c r="W77" cm="1">
        <f t="array" ref="W77">+_xll.EQNXTDZ($A$1,$B77,W$51)</f>
        <v>32536.17</v>
      </c>
      <c r="X77" cm="1">
        <f t="array" ref="X77">+_xll.EQNXTDZ($A$1,$B77,X$51)</f>
        <v>31679.08</v>
      </c>
      <c r="Y77" cm="1">
        <f t="array" ref="Y77">+_xll.EQNXTDZ($A$1,$B77,Y$51)</f>
        <v>33738.78</v>
      </c>
      <c r="Z77" cm="1">
        <f t="array" ref="Z77">+_xll.EQNXTDZ($A$1,$B77,Z$51)</f>
        <v>37422.28</v>
      </c>
      <c r="AA77" cm="1">
        <f t="array" ref="AA77">+_xll.EQNXTDZ($A$1,$B77,AA$51)</f>
        <v>32695.62</v>
      </c>
      <c r="AB77" cm="1">
        <f t="array" ref="AB77">+_xll.EQNXTDZ($A$1,$B77,AB$51)</f>
        <v>29628.77</v>
      </c>
      <c r="AC77" cm="1">
        <f t="array" ref="AC77">+_xll.EQNXTDZ($A$1,$B77,AC$51)</f>
        <v>31546.78</v>
      </c>
      <c r="AD77" cm="1">
        <f t="array" ref="AD77">+_xll.EQNXTDZ($A$1,$B77,AD$51)</f>
        <v>37991.22</v>
      </c>
      <c r="AE77" cm="1">
        <f t="array" ref="AE77">+_xll.EQNXTDZ($A$1,$B77,AE$51)</f>
        <v>30397.15</v>
      </c>
      <c r="AF77" cm="1">
        <f t="array" ref="AF77">+_xll.EQNXTDZ($A$1,$B77,AF$51)</f>
        <v>30636.46</v>
      </c>
      <c r="AG77" cm="1">
        <f t="array" ref="AG77">+_xll.EQNXTDZ($A$1,$B77,AG$51)</f>
        <v>29648.03</v>
      </c>
      <c r="AH77" cm="1">
        <f t="array" ref="AH77">+_xll.EQNXTDZ($A$1,$B77,AH$51)</f>
        <v>30901.77</v>
      </c>
      <c r="AI77" cm="1">
        <f t="array" ref="AI77">+_xll.EQNXTDZ($A$1,$B77,AI$51)</f>
        <v>34162.370000000003</v>
      </c>
      <c r="AJ77" cm="1">
        <f t="array" ref="AJ77">+_xll.EQNXTDZ($A$1,$B77,AJ$51)</f>
        <v>29283.95</v>
      </c>
      <c r="AK77" cm="1">
        <f t="array" ref="AK77">+_xll.EQNXTDZ($A$1,$B77,AK$51)</f>
        <v>30007.42</v>
      </c>
      <c r="AL77" cm="1">
        <f t="array" ref="AL77">+_xll.EQNXTDZ($A$1,$B77,AL$51)</f>
        <v>29145.19</v>
      </c>
      <c r="AM77" cm="1">
        <f t="array" ref="AM77">+_xll.EQNXTDZ($A$1,$B77,AM$51)</f>
        <v>33037.440000000002</v>
      </c>
      <c r="AN77" cm="1">
        <f t="array" ref="AN77">+_xll.EQNXTDZ($A$1,$B77,AN$51)</f>
        <v>25304.67</v>
      </c>
      <c r="AO77" cm="1">
        <f t="array" ref="AO77">+_xll.EQNXTDZ($A$1,$B77,AO$51)</f>
        <v>26295.64</v>
      </c>
      <c r="AP77" cm="1">
        <f t="array" ref="AP77">+_xll.EQNXTDZ($A$1,$B77,AP$51)</f>
        <v>21593.49</v>
      </c>
      <c r="AQ77" cm="1">
        <f t="array" ref="AQ77">+_xll.EQNXTDZ($A$1,$B77,AQ$51)</f>
        <v>21570.23</v>
      </c>
      <c r="AR77" cm="1">
        <f t="array" ref="AR77">+_xll.EQNXTDZ($A$1,$B77,AR$51)</f>
        <v>22091.73</v>
      </c>
      <c r="AS77" cm="1">
        <f t="array" ref="AS77">+_xll.EQNXTDZ($A$1,$B77,AS$51)</f>
        <v>20898.939999999999</v>
      </c>
      <c r="AT77" cm="1">
        <f t="array" ref="AT77">+_xll.EQNXTDZ($A$1,$B77,AT$51)</f>
        <v>23814.41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296</v>
      </c>
      <c r="B78" t="s">
        <v>324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297</v>
      </c>
      <c r="B79" t="s">
        <v>325</v>
      </c>
      <c r="C79" cm="1">
        <f t="array" ref="C79">+_xll.EQNXTDZ($A$1,$B79,C$51)</f>
        <v>18433.099999999999</v>
      </c>
      <c r="D79" cm="1">
        <f t="array" ref="D79">+_xll.EQNXTDZ($A$1,$B79,D$51)</f>
        <v>18944.78</v>
      </c>
      <c r="E79" cm="1">
        <f t="array" ref="E79">+_xll.EQNXTDZ($A$1,$B79,E$51)</f>
        <v>21498.12</v>
      </c>
      <c r="F79" cm="1">
        <f t="array" ref="F79">+_xll.EQNXTDZ($A$1,$B79,F$51)</f>
        <v>24254.45</v>
      </c>
      <c r="G79" cm="1">
        <f t="array" ref="G79">+_xll.EQNXTDZ($A$1,$B79,G$51)</f>
        <v>22164.77</v>
      </c>
      <c r="H79" cm="1">
        <f t="array" ref="H79">+_xll.EQNXTDZ($A$1,$B79,H$51)</f>
        <v>15219.84</v>
      </c>
      <c r="I79" cm="1">
        <f t="array" ref="I79">+_xll.EQNXTDZ($A$1,$B79,I$51)</f>
        <v>29381.89</v>
      </c>
      <c r="J79" cm="1">
        <f t="array" ref="J79">+_xll.EQNXTDZ($A$1,$B79,J$51)</f>
        <v>27650.93</v>
      </c>
      <c r="K79" cm="1">
        <f t="array" ref="K79">+_xll.EQNXTDZ($A$1,$B79,K$51)</f>
        <v>24886.400000000001</v>
      </c>
      <c r="L79" cm="1">
        <f t="array" ref="L79">+_xll.EQNXTDZ($A$1,$B79,L$51)</f>
        <v>21797.42</v>
      </c>
      <c r="M79" cm="1">
        <f t="array" ref="M79">+_xll.EQNXTDZ($A$1,$B79,M$51)</f>
        <v>23536.48</v>
      </c>
      <c r="N79" cm="1">
        <f t="array" ref="N79">+_xll.EQNXTDZ($A$1,$B79,N$51)</f>
        <v>26935.74</v>
      </c>
      <c r="O79" cm="1">
        <f t="array" ref="O79">+_xll.EQNXTDZ($A$1,$B79,O$51)</f>
        <v>25209.01</v>
      </c>
      <c r="P79" cm="1">
        <f t="array" ref="P79">+_xll.EQNXTDZ($A$1,$B79,P$51)</f>
        <v>27908.93</v>
      </c>
      <c r="Q79" cm="1">
        <f t="array" ref="Q79">+_xll.EQNXTDZ($A$1,$B79,Q$51)</f>
        <v>27794.45</v>
      </c>
      <c r="R79" cm="1">
        <f t="array" ref="R79">+_xll.EQNXTDZ($A$1,$B79,R$51)</f>
        <v>32846.339999999997</v>
      </c>
      <c r="S79" cm="1">
        <f t="array" ref="S79">+_xll.EQNXTDZ($A$1,$B79,S$51)</f>
        <v>30694.57</v>
      </c>
      <c r="T79" cm="1">
        <f t="array" ref="T79">+_xll.EQNXTDZ($A$1,$B79,T$51)</f>
        <v>31344.15</v>
      </c>
      <c r="U79" cm="1">
        <f t="array" ref="U79">+_xll.EQNXTDZ($A$1,$B79,U$51)</f>
        <v>31640.82</v>
      </c>
      <c r="V79" cm="1">
        <f t="array" ref="V79">+_xll.EQNXTDZ($A$1,$B79,V$51)</f>
        <v>34100.89</v>
      </c>
      <c r="W79" cm="1">
        <f t="array" ref="W79">+_xll.EQNXTDZ($A$1,$B79,W$51)</f>
        <v>32536.17</v>
      </c>
      <c r="X79" cm="1">
        <f t="array" ref="X79">+_xll.EQNXTDZ($A$1,$B79,X$51)</f>
        <v>31679.08</v>
      </c>
      <c r="Y79" cm="1">
        <f t="array" ref="Y79">+_xll.EQNXTDZ($A$1,$B79,Y$51)</f>
        <v>33738.78</v>
      </c>
      <c r="Z79" cm="1">
        <f t="array" ref="Z79">+_xll.EQNXTDZ($A$1,$B79,Z$51)</f>
        <v>37422.28</v>
      </c>
      <c r="AA79" cm="1">
        <f t="array" ref="AA79">+_xll.EQNXTDZ($A$1,$B79,AA$51)</f>
        <v>32695.62</v>
      </c>
      <c r="AB79" cm="1">
        <f t="array" ref="AB79">+_xll.EQNXTDZ($A$1,$B79,AB$51)</f>
        <v>29628.77</v>
      </c>
      <c r="AC79" cm="1">
        <f t="array" ref="AC79">+_xll.EQNXTDZ($A$1,$B79,AC$51)</f>
        <v>31546.78</v>
      </c>
      <c r="AD79" cm="1">
        <f t="array" ref="AD79">+_xll.EQNXTDZ($A$1,$B79,AD$51)</f>
        <v>37991.22</v>
      </c>
      <c r="AE79" cm="1">
        <f t="array" ref="AE79">+_xll.EQNXTDZ($A$1,$B79,AE$51)</f>
        <v>30397.15</v>
      </c>
      <c r="AF79" cm="1">
        <f t="array" ref="AF79">+_xll.EQNXTDZ($A$1,$B79,AF$51)</f>
        <v>30636.46</v>
      </c>
      <c r="AG79" cm="1">
        <f t="array" ref="AG79">+_xll.EQNXTDZ($A$1,$B79,AG$51)</f>
        <v>29648.03</v>
      </c>
      <c r="AH79" cm="1">
        <f t="array" ref="AH79">+_xll.EQNXTDZ($A$1,$B79,AH$51)</f>
        <v>30901.77</v>
      </c>
      <c r="AI79" cm="1">
        <f t="array" ref="AI79">+_xll.EQNXTDZ($A$1,$B79,AI$51)</f>
        <v>34162.370000000003</v>
      </c>
      <c r="AJ79" cm="1">
        <f t="array" ref="AJ79">+_xll.EQNXTDZ($A$1,$B79,AJ$51)</f>
        <v>29283.95</v>
      </c>
      <c r="AK79" cm="1">
        <f t="array" ref="AK79">+_xll.EQNXTDZ($A$1,$B79,AK$51)</f>
        <v>30007.42</v>
      </c>
      <c r="AL79" cm="1">
        <f t="array" ref="AL79">+_xll.EQNXTDZ($A$1,$B79,AL$51)</f>
        <v>29145.19</v>
      </c>
      <c r="AM79" cm="1">
        <f t="array" ref="AM79">+_xll.EQNXTDZ($A$1,$B79,AM$51)</f>
        <v>33037.440000000002</v>
      </c>
      <c r="AN79" cm="1">
        <f t="array" ref="AN79">+_xll.EQNXTDZ($A$1,$B79,AN$51)</f>
        <v>25304.67</v>
      </c>
      <c r="AO79" cm="1">
        <f t="array" ref="AO79">+_xll.EQNXTDZ($A$1,$B79,AO$51)</f>
        <v>26295.64</v>
      </c>
      <c r="AP79" cm="1">
        <f t="array" ref="AP79">+_xll.EQNXTDZ($A$1,$B79,AP$51)</f>
        <v>21593.49</v>
      </c>
      <c r="AQ79" cm="1">
        <f t="array" ref="AQ79">+_xll.EQNXTDZ($A$1,$B79,AQ$51)</f>
        <v>21570.23</v>
      </c>
      <c r="AR79" cm="1">
        <f t="array" ref="AR79">+_xll.EQNXTDZ($A$1,$B79,AR$51)</f>
        <v>22091.73</v>
      </c>
      <c r="AS79" cm="1">
        <f t="array" ref="AS79">+_xll.EQNXTDZ($A$1,$B79,AS$51)</f>
        <v>20898.939999999999</v>
      </c>
      <c r="AT79" cm="1">
        <f t="array" ref="AT79">+_xll.EQNXTDZ($A$1,$B79,AT$51)</f>
        <v>23814.41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137</v>
      </c>
      <c r="B80" t="s">
        <v>326</v>
      </c>
      <c r="C80" cm="1">
        <f t="array" ref="C80">+_xll.EQNXTDZ($A$1,$B80,C$51)</f>
        <v>600208.09</v>
      </c>
      <c r="D80" cm="1">
        <f t="array" ref="D80">+_xll.EQNXTDZ($A$1,$B80,D$51)</f>
        <v>607195.39</v>
      </c>
      <c r="E80" cm="1">
        <f t="array" ref="E80">+_xll.EQNXTDZ($A$1,$B80,E$51)</f>
        <v>614742.93000000005</v>
      </c>
      <c r="F80" cm="1">
        <f t="array" ref="F80">+_xll.EQNXTDZ($A$1,$B80,F$51)</f>
        <v>609913.93000000005</v>
      </c>
      <c r="G80" cm="1">
        <f t="array" ref="G80">+_xll.EQNXTDZ($A$1,$B80,G$51)</f>
        <v>593027.99</v>
      </c>
      <c r="H80" cm="1">
        <f t="array" ref="H80">+_xll.EQNXTDZ($A$1,$B80,H$51)</f>
        <v>603277.24</v>
      </c>
      <c r="I80" cm="1">
        <f t="array" ref="I80">+_xll.EQNXTDZ($A$1,$B80,I$51)</f>
        <v>630675.04</v>
      </c>
      <c r="J80" cm="1">
        <f t="array" ref="J80">+_xll.EQNXTDZ($A$1,$B80,J$51)</f>
        <v>626309.27</v>
      </c>
      <c r="K80" cm="1">
        <f t="array" ref="K80">+_xll.EQNXTDZ($A$1,$B80,K$51)</f>
        <v>625686</v>
      </c>
      <c r="L80" cm="1">
        <f t="array" ref="L80">+_xll.EQNXTDZ($A$1,$B80,L$51)</f>
        <v>628185.25</v>
      </c>
      <c r="M80" cm="1">
        <f t="array" ref="M80">+_xll.EQNXTDZ($A$1,$B80,M$51)</f>
        <v>614044.62</v>
      </c>
      <c r="N80" cm="1">
        <f t="array" ref="N80">+_xll.EQNXTDZ($A$1,$B80,N$51)</f>
        <v>609574.82999999996</v>
      </c>
      <c r="O80" cm="1">
        <f t="array" ref="O80">+_xll.EQNXTDZ($A$1,$B80,O$51)</f>
        <v>596099.09</v>
      </c>
      <c r="P80" cm="1">
        <f t="array" ref="P80">+_xll.EQNXTDZ($A$1,$B80,P$51)</f>
        <v>606005.65</v>
      </c>
      <c r="Q80" cm="1">
        <f t="array" ref="Q80">+_xll.EQNXTDZ($A$1,$B80,Q$51)</f>
        <v>611517.92000000004</v>
      </c>
      <c r="R80" cm="1">
        <f t="array" ref="R80">+_xll.EQNXTDZ($A$1,$B80,R$51)</f>
        <v>625222.84</v>
      </c>
      <c r="S80" cm="1">
        <f t="array" ref="S80">+_xll.EQNXTDZ($A$1,$B80,S$51)</f>
        <v>606543.14</v>
      </c>
      <c r="T80" cm="1">
        <f t="array" ref="T80">+_xll.EQNXTDZ($A$1,$B80,T$51)</f>
        <v>620134.81999999995</v>
      </c>
      <c r="U80" cm="1">
        <f t="array" ref="U80">+_xll.EQNXTDZ($A$1,$B80,U$51)</f>
        <v>630044.37</v>
      </c>
      <c r="V80" cm="1">
        <f t="array" ref="V80">+_xll.EQNXTDZ($A$1,$B80,V$51)</f>
        <v>656995.48</v>
      </c>
      <c r="W80" cm="1">
        <f t="array" ref="W80">+_xll.EQNXTDZ($A$1,$B80,W$51)</f>
        <v>681342.23</v>
      </c>
      <c r="X80" cm="1">
        <f t="array" ref="X80">+_xll.EQNXTDZ($A$1,$B80,X$51)</f>
        <v>686949.73</v>
      </c>
      <c r="Y80" cm="1">
        <f t="array" ref="Y80">+_xll.EQNXTDZ($A$1,$B80,Y$51)</f>
        <v>713382.54</v>
      </c>
      <c r="Z80" cm="1">
        <f t="array" ref="Z80">+_xll.EQNXTDZ($A$1,$B80,Z$51)</f>
        <v>725856.45</v>
      </c>
      <c r="AA80" cm="1">
        <f t="array" ref="AA80">+_xll.EQNXTDZ($A$1,$B80,AA$51)</f>
        <v>720501.94</v>
      </c>
      <c r="AB80" cm="1">
        <f t="array" ref="AB80">+_xll.EQNXTDZ($A$1,$B80,AB$51)</f>
        <v>706487.24</v>
      </c>
      <c r="AC80" cm="1">
        <f t="array" ref="AC80">+_xll.EQNXTDZ($A$1,$B80,AC$51)</f>
        <v>724696.37</v>
      </c>
      <c r="AD80" cm="1">
        <f t="array" ref="AD80">+_xll.EQNXTDZ($A$1,$B80,AD$51)</f>
        <v>734614.01</v>
      </c>
      <c r="AE80" cm="1">
        <f t="array" ref="AE80">+_xll.EQNXTDZ($A$1,$B80,AE$51)</f>
        <v>741170.24</v>
      </c>
      <c r="AF80" cm="1">
        <f t="array" ref="AF80">+_xll.EQNXTDZ($A$1,$B80,AF$51)</f>
        <v>769426.07</v>
      </c>
      <c r="AG80" cm="1">
        <f t="array" ref="AG80">+_xll.EQNXTDZ($A$1,$B80,AG$51)</f>
        <v>790621.68</v>
      </c>
      <c r="AH80" cm="1">
        <f t="array" ref="AH80">+_xll.EQNXTDZ($A$1,$B80,AH$51)</f>
        <v>815555.61</v>
      </c>
      <c r="AI80" cm="1">
        <f t="array" ref="AI80">+_xll.EQNXTDZ($A$1,$B80,AI$51)</f>
        <v>823389.62</v>
      </c>
      <c r="AJ80" cm="1">
        <f t="array" ref="AJ80">+_xll.EQNXTDZ($A$1,$B80,AJ$51)</f>
        <v>853027.72</v>
      </c>
      <c r="AK80" cm="1">
        <f t="array" ref="AK80">+_xll.EQNXTDZ($A$1,$B80,AK$51)</f>
        <v>873114.35</v>
      </c>
      <c r="AL80" cm="1">
        <f t="array" ref="AL80">+_xll.EQNXTDZ($A$1,$B80,AL$51)</f>
        <v>912597.92</v>
      </c>
      <c r="AM80" cm="1">
        <f t="array" ref="AM80">+_xll.EQNXTDZ($A$1,$B80,AM$51)</f>
        <v>948534.25</v>
      </c>
      <c r="AN80" cm="1">
        <f t="array" ref="AN80">+_xll.EQNXTDZ($A$1,$B80,AN$51)</f>
        <v>986857.15</v>
      </c>
      <c r="AO80" cm="1">
        <f t="array" ref="AO80">+_xll.EQNXTDZ($A$1,$B80,AO$51)</f>
        <v>1031878.32</v>
      </c>
      <c r="AP80" cm="1">
        <f t="array" ref="AP80">+_xll.EQNXTDZ($A$1,$B80,AP$51)</f>
        <v>1042581.95</v>
      </c>
      <c r="AQ80" cm="1">
        <f t="array" ref="AQ80">+_xll.EQNXTDZ($A$1,$B80,AQ$51)</f>
        <v>1067360.29</v>
      </c>
      <c r="AR80" cm="1">
        <f t="array" ref="AR80">+_xll.EQNXTDZ($A$1,$B80,AR$51)</f>
        <v>1077458.44</v>
      </c>
      <c r="AS80" cm="1">
        <f t="array" ref="AS80">+_xll.EQNXTDZ($A$1,$B80,AS$51)</f>
        <v>1105308.47</v>
      </c>
      <c r="AT80" cm="1">
        <f t="array" ref="AT80">+_xll.EQNXTDZ($A$1,$B80,AT$51)</f>
        <v>1163432.79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298</v>
      </c>
      <c r="B81" t="s">
        <v>327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139</v>
      </c>
      <c r="B82" t="s">
        <v>328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140</v>
      </c>
      <c r="B83" t="s">
        <v>329</v>
      </c>
      <c r="C83" cm="1">
        <f t="array" ref="C83">+_xll.EQNXTDZ($A$1,$B83,C$51)</f>
        <v>399.97</v>
      </c>
      <c r="D83" cm="1">
        <f t="array" ref="D83">+_xll.EQNXTDZ($A$1,$B83,D$51)</f>
        <v>352.64</v>
      </c>
      <c r="E83" cm="1">
        <f t="array" ref="E83">+_xll.EQNXTDZ($A$1,$B83,E$51)</f>
        <v>0</v>
      </c>
      <c r="F83" cm="1">
        <f t="array" ref="F83">+_xll.EQNXTDZ($A$1,$B83,F$51)</f>
        <v>0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0</v>
      </c>
      <c r="J83" cm="1">
        <f t="array" ref="J83">+_xll.EQNXTDZ($A$1,$B83,J$51)</f>
        <v>0</v>
      </c>
      <c r="K83" cm="1">
        <f t="array" ref="K83">+_xll.EQNXTDZ($A$1,$B83,K$51)</f>
        <v>0</v>
      </c>
      <c r="L83" cm="1">
        <f t="array" ref="L83">+_xll.EQNXTDZ($A$1,$B83,L$51)</f>
        <v>0</v>
      </c>
      <c r="M83" cm="1">
        <f t="array" ref="M83">+_xll.EQNXTDZ($A$1,$B83,M$51)</f>
        <v>0</v>
      </c>
      <c r="N83" cm="1">
        <f t="array" ref="N83">+_xll.EQNXTDZ($A$1,$B83,N$51)</f>
        <v>0</v>
      </c>
      <c r="O83" cm="1">
        <f t="array" ref="O83">+_xll.EQNXTDZ($A$1,$B83,O$51)</f>
        <v>0</v>
      </c>
      <c r="P83" cm="1">
        <f t="array" ref="P83">+_xll.EQNXTDZ($A$1,$B83,P$51)</f>
        <v>0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0</v>
      </c>
      <c r="U83" cm="1">
        <f t="array" ref="U83">+_xll.EQNXTDZ($A$1,$B83,U$51)</f>
        <v>0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0</v>
      </c>
      <c r="Y83" cm="1">
        <f t="array" ref="Y83">+_xll.EQNXTDZ($A$1,$B83,Y$51)</f>
        <v>113.27</v>
      </c>
      <c r="Z83" cm="1">
        <f t="array" ref="Z83">+_xll.EQNXTDZ($A$1,$B83,Z$51)</f>
        <v>123.23</v>
      </c>
      <c r="AA83" cm="1">
        <f t="array" ref="AA83">+_xll.EQNXTDZ($A$1,$B83,AA$51)</f>
        <v>111.2</v>
      </c>
      <c r="AB83" cm="1">
        <f t="array" ref="AB83">+_xll.EQNXTDZ($A$1,$B83,AB$51)</f>
        <v>120.98</v>
      </c>
      <c r="AC83" cm="1">
        <f t="array" ref="AC83">+_xll.EQNXTDZ($A$1,$B83,AC$51)</f>
        <v>111.53</v>
      </c>
      <c r="AD83" cm="1">
        <f t="array" ref="AD83">+_xll.EQNXTDZ($A$1,$B83,AD$51)</f>
        <v>112.63</v>
      </c>
      <c r="AE83" cm="1">
        <f t="array" ref="AE83">+_xll.EQNXTDZ($A$1,$B83,AE$51)</f>
        <v>114.17</v>
      </c>
      <c r="AF83" cm="1">
        <f t="array" ref="AF83">+_xll.EQNXTDZ($A$1,$B83,AF$51)</f>
        <v>114.77</v>
      </c>
      <c r="AG83" cm="1">
        <f t="array" ref="AG83">+_xll.EQNXTDZ($A$1,$B83,AG$51)</f>
        <v>114.77</v>
      </c>
      <c r="AH83" cm="1">
        <f t="array" ref="AH83">+_xll.EQNXTDZ($A$1,$B83,AH$51)</f>
        <v>121.15</v>
      </c>
      <c r="AI83" cm="1">
        <f t="array" ref="AI83">+_xll.EQNXTDZ($A$1,$B83,AI$51)</f>
        <v>124.98</v>
      </c>
      <c r="AJ83" cm="1">
        <f t="array" ref="AJ83">+_xll.EQNXTDZ($A$1,$B83,AJ$51)</f>
        <v>126.59</v>
      </c>
      <c r="AK83" cm="1">
        <f t="array" ref="AK83">+_xll.EQNXTDZ($A$1,$B83,AK$51)</f>
        <v>128.09</v>
      </c>
      <c r="AL83" cm="1">
        <f t="array" ref="AL83">+_xll.EQNXTDZ($A$1,$B83,AL$51)</f>
        <v>131.30000000000001</v>
      </c>
      <c r="AM83" cm="1">
        <f t="array" ref="AM83">+_xll.EQNXTDZ($A$1,$B83,AM$51)</f>
        <v>131.75</v>
      </c>
      <c r="AN83" cm="1">
        <f t="array" ref="AN83">+_xll.EQNXTDZ($A$1,$B83,AN$51)</f>
        <v>137.37</v>
      </c>
      <c r="AO83" cm="1">
        <f t="array" ref="AO83">+_xll.EQNXTDZ($A$1,$B83,AO$51)</f>
        <v>142.61000000000001</v>
      </c>
      <c r="AP83" cm="1">
        <f t="array" ref="AP83">+_xll.EQNXTDZ($A$1,$B83,AP$51)</f>
        <v>148.88</v>
      </c>
      <c r="AQ83" cm="1">
        <f t="array" ref="AQ83">+_xll.EQNXTDZ($A$1,$B83,AQ$51)</f>
        <v>151.5</v>
      </c>
      <c r="AR83" cm="1">
        <f t="array" ref="AR83">+_xll.EQNXTDZ($A$1,$B83,AR$51)</f>
        <v>155.46</v>
      </c>
      <c r="AS83" cm="1">
        <f t="array" ref="AS83">+_xll.EQNXTDZ($A$1,$B83,AS$51)</f>
        <v>161.27000000000001</v>
      </c>
      <c r="AT83" cm="1">
        <f t="array" ref="AT83">+_xll.EQNXTDZ($A$1,$B83,AT$51)</f>
        <v>167.37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29">
        <v>132149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375</v>
      </c>
      <c r="B3" t="s">
        <v>376</v>
      </c>
      <c r="C3" t="str" cm="1">
        <f t="array" ref="C3">_xll.EQNXTDZ($A$1,$B3,C$2)</f>
        <v>Bank Of India</v>
      </c>
    </row>
    <row r="4" spans="1:32" x14ac:dyDescent="0.25">
      <c r="A4" t="s">
        <v>55</v>
      </c>
      <c r="B4" t="s">
        <v>56</v>
      </c>
    </row>
    <row r="5" spans="1:32" x14ac:dyDescent="0.25">
      <c r="A5" t="s">
        <v>58</v>
      </c>
      <c r="B5" t="s">
        <v>80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57</v>
      </c>
      <c r="B6" t="s">
        <v>79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7" customFormat="1" x14ac:dyDescent="0.25">
      <c r="A7" s="107" t="s">
        <v>59</v>
      </c>
      <c r="B7" s="107" t="s">
        <v>81</v>
      </c>
      <c r="C7" cm="1">
        <f t="array" ref="C7">_xll.EQNXTDZ($A$1,$B7,C$1)</f>
        <v>5316.8667999999998</v>
      </c>
      <c r="D7" cm="1">
        <f t="array" ref="D7">_xll.EQNXTDZ($A$1,$B7,D$1)</f>
        <v>5594.4912999999997</v>
      </c>
      <c r="E7" cm="1">
        <f t="array" ref="E7">_xll.EQNXTDZ($A$1,$B7,E$1)</f>
        <v>5928.2151999999996</v>
      </c>
      <c r="F7" cm="1">
        <f t="array" ref="F7">_xll.EQNXTDZ($A$1,$B7,F$1)</f>
        <v>5795.9048000000003</v>
      </c>
      <c r="G7" cm="1">
        <f t="array" ref="G7">_xll.EQNXTDZ($A$1,$B7,G$1)</f>
        <v>6031.5267000000003</v>
      </c>
      <c r="H7" cm="1">
        <f t="array" ref="H7">_xll.EQNXTDZ($A$1,$B7,H$1)</f>
        <v>7028.6976999999997</v>
      </c>
      <c r="I7" cm="1">
        <f t="array" ref="I7">_xll.EQNXTDZ($A$1,$B7,I$1)</f>
        <v>8936.2831999999999</v>
      </c>
      <c r="J7" cm="1">
        <f t="array" ref="J7">_xll.EQNXTDZ($A$1,$B7,J$1)</f>
        <v>12355.2212</v>
      </c>
      <c r="K7" cm="1">
        <f t="array" ref="K7">_xll.EQNXTDZ($A$1,$B7,K$1)</f>
        <v>16347.357900000001</v>
      </c>
      <c r="L7" cm="1">
        <f t="array" ref="L7">_xll.EQNXTDZ($A$1,$B7,L$1)</f>
        <v>17877.9879</v>
      </c>
      <c r="M7" cm="1">
        <f t="array" ref="M7">_xll.EQNXTDZ($A$1,$B7,M$1)</f>
        <v>21751.7238</v>
      </c>
      <c r="N7" cm="1">
        <f t="array" ref="N7">_xll.EQNXTDZ($A$1,$B7,N$1)</f>
        <v>28480.666399999998</v>
      </c>
      <c r="O7" cm="1">
        <f t="array" ref="O7">_xll.EQNXTDZ($A$1,$B7,O$1)</f>
        <v>31908.929</v>
      </c>
      <c r="P7" cm="1">
        <f t="array" ref="P7">_xll.EQNXTDZ($A$1,$B7,P$1)</f>
        <v>37910.101600000002</v>
      </c>
      <c r="Q7" cm="1">
        <f t="array" ref="Q7">_xll.EQNXTDZ($A$1,$B7,Q$1)</f>
        <v>43464.706700000002</v>
      </c>
      <c r="R7" cm="1">
        <f t="array" ref="R7">_xll.EQNXTDZ($A$1,$B7,R$1)</f>
        <v>41796.469799999999</v>
      </c>
      <c r="S7" cm="1">
        <f t="array" ref="S7">_xll.EQNXTDZ($A$1,$B7,S$1)</f>
        <v>39290.852299999999</v>
      </c>
      <c r="T7" cm="1">
        <f t="array" ref="T7">_xll.EQNXTDZ($A$1,$B7,T$1)</f>
        <v>38071.408900000002</v>
      </c>
      <c r="U7" cm="1">
        <f t="array" ref="U7">_xll.EQNXTDZ($A$1,$B7,U$1)</f>
        <v>40767.811199999996</v>
      </c>
      <c r="V7" cm="1">
        <f t="array" ref="V7">_xll.EQNXTDZ($A$1,$B7,V$1)</f>
        <v>42353.266799999998</v>
      </c>
      <c r="W7" cm="1">
        <f t="array" ref="W7">_xll.EQNXTDZ($A$1,$B7,W$1)</f>
        <v>40599.438499999997</v>
      </c>
      <c r="X7" cm="1">
        <f t="array" ref="X7">_xll.EQNXTDZ($A$1,$B7,X$1)</f>
        <v>38075.825900000003</v>
      </c>
      <c r="Y7" cm="1">
        <f t="array" ref="Y7">_xll.EQNXTDZ($A$1,$B7,Y$1)</f>
        <v>47647.722300000001</v>
      </c>
      <c r="Z7" cm="1">
        <f t="array" ref="Z7">_xll.EQNXTDZ($A$1,$B7,Z$1)</f>
        <v>60709.490400000002</v>
      </c>
      <c r="AA7" cm="1">
        <f t="array" ref="AA7">_xll.EQNXTDZ($A$1,$B7,AA$1)</f>
        <v>70826.298200000005</v>
      </c>
      <c r="AB7" cm="1">
        <f t="array" ref="AB7">_xll.EQNXTDZ($A$1,$B7,AB$1)</f>
        <v>75161.268700000001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7" customFormat="1" x14ac:dyDescent="0.25">
      <c r="A8" s="107" t="s">
        <v>3</v>
      </c>
      <c r="B8" s="107" t="s">
        <v>82</v>
      </c>
      <c r="C8" cm="1">
        <f t="array" ref="C8">_xll.EQNXTDZ($A$1,$B8,C$1)</f>
        <v>861.91129999999998</v>
      </c>
      <c r="D8" cm="1">
        <f t="array" ref="D8">_xll.EQNXTDZ($A$1,$B8,D$1)</f>
        <v>1117.4603</v>
      </c>
      <c r="E8" cm="1">
        <f t="array" ref="E8">_xll.EQNXTDZ($A$1,$B8,E$1)</f>
        <v>1642.3735999999999</v>
      </c>
      <c r="F8" cm="1">
        <f t="array" ref="F8">_xll.EQNXTDZ($A$1,$B8,F$1)</f>
        <v>1791.9908</v>
      </c>
      <c r="G8" cm="1">
        <f t="array" ref="G8">_xll.EQNXTDZ($A$1,$B8,G$1)</f>
        <v>1155.7950000000001</v>
      </c>
      <c r="H8" cm="1">
        <f t="array" ref="H8">_xll.EQNXTDZ($A$1,$B8,H$1)</f>
        <v>1184.3797999999999</v>
      </c>
      <c r="I8" cm="1">
        <f t="array" ref="I8">_xll.EQNXTDZ($A$1,$B8,I$1)</f>
        <v>1562.9532999999999</v>
      </c>
      <c r="J8" cm="1">
        <f t="array" ref="J8">_xll.EQNXTDZ($A$1,$B8,J$1)</f>
        <v>2116.9261000000001</v>
      </c>
      <c r="K8" cm="1">
        <f t="array" ref="K8">_xll.EQNXTDZ($A$1,$B8,K$1)</f>
        <v>3051.8627000000001</v>
      </c>
      <c r="L8" cm="1">
        <f t="array" ref="L8">_xll.EQNXTDZ($A$1,$B8,L$1)</f>
        <v>2616.6363000000001</v>
      </c>
      <c r="M8" cm="1">
        <f t="array" ref="M8">_xll.EQNXTDZ($A$1,$B8,M$1)</f>
        <v>2641.7748999999999</v>
      </c>
      <c r="N8" cm="1">
        <f t="array" ref="N8">_xll.EQNXTDZ($A$1,$B8,N$1)</f>
        <v>3321.1732000000002</v>
      </c>
      <c r="O8" cm="1">
        <f t="array" ref="O8">_xll.EQNXTDZ($A$1,$B8,O$1)</f>
        <v>3766.0430999999999</v>
      </c>
      <c r="P8" cm="1">
        <f t="array" ref="P8">_xll.EQNXTDZ($A$1,$B8,P$1)</f>
        <v>4291.8396000000002</v>
      </c>
      <c r="Q8" cm="1">
        <f t="array" ref="Q8">_xll.EQNXTDZ($A$1,$B8,Q$1)</f>
        <v>4197.9002</v>
      </c>
      <c r="R8" cm="1">
        <f t="array" ref="R8">_xll.EQNXTDZ($A$1,$B8,R$1)</f>
        <v>3652.5389</v>
      </c>
      <c r="S8" cm="1">
        <f t="array" ref="S8">_xll.EQNXTDZ($A$1,$B8,S$1)</f>
        <v>6772.3303999999998</v>
      </c>
      <c r="T8" cm="1">
        <f t="array" ref="T8">_xll.EQNXTDZ($A$1,$B8,T$1)</f>
        <v>5733.7570999999998</v>
      </c>
      <c r="U8" cm="1">
        <f t="array" ref="U8">_xll.EQNXTDZ($A$1,$B8,U$1)</f>
        <v>4658.8882999999996</v>
      </c>
      <c r="V8" cm="1">
        <f t="array" ref="V8">_xll.EQNXTDZ($A$1,$B8,V$1)</f>
        <v>6713.0740999999998</v>
      </c>
      <c r="W8" cm="1">
        <f t="array" ref="W8">_xll.EQNXTDZ($A$1,$B8,W$1)</f>
        <v>6841.8656000000001</v>
      </c>
      <c r="X8" cm="1">
        <f t="array" ref="X8">_xll.EQNXTDZ($A$1,$B8,X$1)</f>
        <v>7878.7317000000003</v>
      </c>
      <c r="Y8" cm="1">
        <f t="array" ref="Y8">_xll.EQNXTDZ($A$1,$B8,Y$1)</f>
        <v>7099.8904000000002</v>
      </c>
      <c r="Z8" cm="1">
        <f t="array" ref="Z8">_xll.EQNXTDZ($A$1,$B8,Z$1)</f>
        <v>6094.8537999999999</v>
      </c>
      <c r="AA8" cm="1">
        <f t="array" ref="AA8">_xll.EQNXTDZ($A$1,$B8,AA$1)</f>
        <v>8993.6226000000006</v>
      </c>
      <c r="AB8" cm="1">
        <f t="array" ref="AB8">_xll.EQNXTDZ($A$1,$B8,AB$1)</f>
        <v>9874.2756000000008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7" customFormat="1" x14ac:dyDescent="0.25">
      <c r="A9" s="107" t="s">
        <v>60</v>
      </c>
      <c r="B9" s="107" t="s">
        <v>83</v>
      </c>
      <c r="C9" cm="1">
        <f t="array" ref="C9">_xll.EQNXTDZ($A$1,$B9,C$1)</f>
        <v>6178.7781000000004</v>
      </c>
      <c r="D9" cm="1">
        <f t="array" ref="D9">_xll.EQNXTDZ($A$1,$B9,D$1)</f>
        <v>6711.9516000000003</v>
      </c>
      <c r="E9" cm="1">
        <f t="array" ref="E9">_xll.EQNXTDZ($A$1,$B9,E$1)</f>
        <v>7570.5888000000004</v>
      </c>
      <c r="F9" cm="1">
        <f t="array" ref="F9">_xll.EQNXTDZ($A$1,$B9,F$1)</f>
        <v>7587.8955999999998</v>
      </c>
      <c r="G9" cm="1">
        <f t="array" ref="G9">_xll.EQNXTDZ($A$1,$B9,G$1)</f>
        <v>7187.3217000000004</v>
      </c>
      <c r="H9" cm="1">
        <f t="array" ref="H9">_xll.EQNXTDZ($A$1,$B9,H$1)</f>
        <v>8213.0774999999994</v>
      </c>
      <c r="I9" cm="1">
        <f t="array" ref="I9">_xll.EQNXTDZ($A$1,$B9,I$1)</f>
        <v>10499.236500000001</v>
      </c>
      <c r="J9" cm="1">
        <f t="array" ref="J9">_xll.EQNXTDZ($A$1,$B9,J$1)</f>
        <v>14472.147300000001</v>
      </c>
      <c r="K9" cm="1">
        <f t="array" ref="K9">_xll.EQNXTDZ($A$1,$B9,K$1)</f>
        <v>19399.220600000001</v>
      </c>
      <c r="L9" cm="1">
        <f t="array" ref="L9">_xll.EQNXTDZ($A$1,$B9,L$1)</f>
        <v>20494.624199999998</v>
      </c>
      <c r="M9" cm="1">
        <f t="array" ref="M9">_xll.EQNXTDZ($A$1,$B9,M$1)</f>
        <v>24393.4987</v>
      </c>
      <c r="N9" cm="1">
        <f t="array" ref="N9">_xll.EQNXTDZ($A$1,$B9,N$1)</f>
        <v>31801.839599999999</v>
      </c>
      <c r="O9" cm="1">
        <f t="array" ref="O9">_xll.EQNXTDZ($A$1,$B9,O$1)</f>
        <v>35674.972099999999</v>
      </c>
      <c r="P9" cm="1">
        <f t="array" ref="P9">_xll.EQNXTDZ($A$1,$B9,P$1)</f>
        <v>42201.941200000001</v>
      </c>
      <c r="Q9" cm="1">
        <f t="array" ref="Q9">_xll.EQNXTDZ($A$1,$B9,Q$1)</f>
        <v>47662.606899999999</v>
      </c>
      <c r="R9" cm="1">
        <f t="array" ref="R9">_xll.EQNXTDZ($A$1,$B9,R$1)</f>
        <v>45449.008699999998</v>
      </c>
      <c r="S9" cm="1">
        <f t="array" ref="S9">_xll.EQNXTDZ($A$1,$B9,S$1)</f>
        <v>46063.182699999998</v>
      </c>
      <c r="T9" cm="1">
        <f t="array" ref="T9">_xll.EQNXTDZ($A$1,$B9,T$1)</f>
        <v>43805.165999999997</v>
      </c>
      <c r="U9" cm="1">
        <f t="array" ref="U9">_xll.EQNXTDZ($A$1,$B9,U$1)</f>
        <v>45426.699500000002</v>
      </c>
      <c r="V9" cm="1">
        <f t="array" ref="V9">_xll.EQNXTDZ($A$1,$B9,V$1)</f>
        <v>49066.340900000003</v>
      </c>
      <c r="W9" cm="1">
        <f t="array" ref="W9">_xll.EQNXTDZ($A$1,$B9,W$1)</f>
        <v>47441.304100000001</v>
      </c>
      <c r="X9" cm="1">
        <f t="array" ref="X9">_xll.EQNXTDZ($A$1,$B9,X$1)</f>
        <v>45954.5576</v>
      </c>
      <c r="Y9" cm="1">
        <f t="array" ref="Y9">_xll.EQNXTDZ($A$1,$B9,Y$1)</f>
        <v>54747.612699999998</v>
      </c>
      <c r="Z9" cm="1">
        <f t="array" ref="Z9">_xll.EQNXTDZ($A$1,$B9,Z$1)</f>
        <v>66804.344200000007</v>
      </c>
      <c r="AA9" cm="1">
        <f t="array" ref="AA9">_xll.EQNXTDZ($A$1,$B9,AA$1)</f>
        <v>79819.920800000007</v>
      </c>
      <c r="AB9" cm="1">
        <f t="array" ref="AB9">_xll.EQNXTDZ($A$1,$B9,AB$1)</f>
        <v>85035.544299999994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7" customFormat="1" x14ac:dyDescent="0.25">
      <c r="A10" s="107" t="s">
        <v>61</v>
      </c>
      <c r="B10" s="107" t="s">
        <v>84</v>
      </c>
      <c r="C10" cm="1">
        <f t="array" ref="C10">_xll.EQNXTDZ($A$1,$B10,C$1)</f>
        <v>3663.0272</v>
      </c>
      <c r="D10" cm="1">
        <f t="array" ref="D10">_xll.EQNXTDZ($A$1,$B10,D$1)</f>
        <v>3768.9983999999999</v>
      </c>
      <c r="E10" cm="1">
        <f t="array" ref="E10">_xll.EQNXTDZ($A$1,$B10,E$1)</f>
        <v>3892.0106000000001</v>
      </c>
      <c r="F10" cm="1">
        <f t="array" ref="F10">_xll.EQNXTDZ($A$1,$B10,F$1)</f>
        <v>3594.4753000000001</v>
      </c>
      <c r="G10" cm="1">
        <f t="array" ref="G10">_xll.EQNXTDZ($A$1,$B10,G$1)</f>
        <v>3794.6397999999999</v>
      </c>
      <c r="H10" cm="1">
        <f t="array" ref="H10">_xll.EQNXTDZ($A$1,$B10,H$1)</f>
        <v>4396.7194</v>
      </c>
      <c r="I10" cm="1">
        <f t="array" ref="I10">_xll.EQNXTDZ($A$1,$B10,I$1)</f>
        <v>5495.8176000000003</v>
      </c>
      <c r="J10" cm="1">
        <f t="array" ref="J10">_xll.EQNXTDZ($A$1,$B10,J$1)</f>
        <v>8125.9516999999996</v>
      </c>
      <c r="K10" cm="1">
        <f t="array" ref="K10">_xll.EQNXTDZ($A$1,$B10,K$1)</f>
        <v>10848.453100000001</v>
      </c>
      <c r="L10" cm="1">
        <f t="array" ref="L10">_xll.EQNXTDZ($A$1,$B10,L$1)</f>
        <v>12122.0429</v>
      </c>
      <c r="M10" cm="1">
        <f t="array" ref="M10">_xll.EQNXTDZ($A$1,$B10,M$1)</f>
        <v>13941.032300000001</v>
      </c>
      <c r="N10" cm="1">
        <f t="array" ref="N10">_xll.EQNXTDZ($A$1,$B10,N$1)</f>
        <v>20167.233</v>
      </c>
      <c r="O10" cm="1">
        <f t="array" ref="O10">_xll.EQNXTDZ($A$1,$B10,O$1)</f>
        <v>22884.929800000002</v>
      </c>
      <c r="P10" cm="1">
        <f t="array" ref="P10">_xll.EQNXTDZ($A$1,$B10,P$1)</f>
        <v>27079.5694</v>
      </c>
      <c r="Q10" cm="1">
        <f t="array" ref="Q10">_xll.EQNXTDZ($A$1,$B10,Q$1)</f>
        <v>32086.2461</v>
      </c>
      <c r="R10" cm="1">
        <f t="array" ref="R10">_xll.EQNXTDZ($A$1,$B10,R$1)</f>
        <v>30071.847099999999</v>
      </c>
      <c r="S10" cm="1">
        <f t="array" ref="S10">_xll.EQNXTDZ($A$1,$B10,S$1)</f>
        <v>27464.7356</v>
      </c>
      <c r="T10" cm="1">
        <f t="array" ref="T10">_xll.EQNXTDZ($A$1,$B10,T$1)</f>
        <v>27565.0707</v>
      </c>
      <c r="U10" cm="1">
        <f t="array" ref="U10">_xll.EQNXTDZ($A$1,$B10,U$1)</f>
        <v>27110.141</v>
      </c>
      <c r="V10" cm="1">
        <f t="array" ref="V10">_xll.EQNXTDZ($A$1,$B10,V$1)</f>
        <v>27096.288400000001</v>
      </c>
      <c r="W10" cm="1">
        <f t="array" ref="W10">_xll.EQNXTDZ($A$1,$B10,W$1)</f>
        <v>26329.6031</v>
      </c>
      <c r="X10" cm="1">
        <f t="array" ref="X10">_xll.EQNXTDZ($A$1,$B10,X$1)</f>
        <v>24013.7287</v>
      </c>
      <c r="Y10" cm="1">
        <f t="array" ref="Y10">_xll.EQNXTDZ($A$1,$B10,Y$1)</f>
        <v>27372.819500000001</v>
      </c>
      <c r="Z10" cm="1">
        <f t="array" ref="Z10">_xll.EQNXTDZ($A$1,$B10,Z$1)</f>
        <v>37656.5746</v>
      </c>
      <c r="AA10" cm="1">
        <f t="array" ref="AA10">_xll.EQNXTDZ($A$1,$B10,AA$1)</f>
        <v>46432.350299999998</v>
      </c>
      <c r="AB10" cm="1">
        <f t="array" ref="AB10">_xll.EQNXTDZ($A$1,$B10,AB$1)</f>
        <v>49988.514300000003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7" customFormat="1" x14ac:dyDescent="0.25">
      <c r="A11" s="107" t="s">
        <v>62</v>
      </c>
      <c r="B11" s="107" t="s">
        <v>85</v>
      </c>
      <c r="C11" cm="1">
        <f t="array" ref="C11">_xll.EQNXTDZ($A$1,$B11,C$1)</f>
        <v>1743.732</v>
      </c>
      <c r="D11" cm="1">
        <f t="array" ref="D11">_xll.EQNXTDZ($A$1,$B11,D$1)</f>
        <v>1530.8912</v>
      </c>
      <c r="E11" cm="1">
        <f t="array" ref="E11">_xll.EQNXTDZ($A$1,$B11,E$1)</f>
        <v>1648.5780999999999</v>
      </c>
      <c r="F11" cm="1">
        <f t="array" ref="F11">_xll.EQNXTDZ($A$1,$B11,F$1)</f>
        <v>1751.548</v>
      </c>
      <c r="G11" cm="1">
        <f t="array" ref="G11">_xll.EQNXTDZ($A$1,$B11,G$1)</f>
        <v>1932.3244999999999</v>
      </c>
      <c r="H11" cm="1">
        <f t="array" ref="H11">_xll.EQNXTDZ($A$1,$B11,H$1)</f>
        <v>2115.1376</v>
      </c>
      <c r="I11" cm="1">
        <f t="array" ref="I11">_xll.EQNXTDZ($A$1,$B11,I$1)</f>
        <v>2608.4303</v>
      </c>
      <c r="J11" cm="1">
        <f t="array" ref="J11">_xll.EQNXTDZ($A$1,$B11,J$1)</f>
        <v>2644.9874</v>
      </c>
      <c r="K11" cm="1">
        <f t="array" ref="K11">_xll.EQNXTDZ($A$1,$B11,K$1)</f>
        <v>3093.9632999999999</v>
      </c>
      <c r="L11" cm="1">
        <f t="array" ref="L11">_xll.EQNXTDZ($A$1,$B11,L$1)</f>
        <v>3667.8137000000002</v>
      </c>
      <c r="M11" cm="1">
        <f t="array" ref="M11">_xll.EQNXTDZ($A$1,$B11,M$1)</f>
        <v>5068.2386999999999</v>
      </c>
      <c r="N11" cm="1">
        <f t="array" ref="N11">_xll.EQNXTDZ($A$1,$B11,N$1)</f>
        <v>4940.6580999999996</v>
      </c>
      <c r="O11" cm="1">
        <f t="array" ref="O11">_xll.EQNXTDZ($A$1,$B11,O$1)</f>
        <v>5331.5466999999999</v>
      </c>
      <c r="P11" cm="1">
        <f t="array" ref="P11">_xll.EQNXTDZ($A$1,$B11,P$1)</f>
        <v>6699.4679999999998</v>
      </c>
      <c r="Q11" cm="1">
        <f t="array" ref="Q11">_xll.EQNXTDZ($A$1,$B11,Q$1)</f>
        <v>8088.5870000000004</v>
      </c>
      <c r="R11" cm="1">
        <f t="array" ref="R11">_xll.EQNXTDZ($A$1,$B11,R$1)</f>
        <v>9341.5418000000009</v>
      </c>
      <c r="S11" cm="1">
        <f t="array" ref="S11">_xll.EQNXTDZ($A$1,$B11,S$1)</f>
        <v>8865.7965999999997</v>
      </c>
      <c r="T11" cm="1">
        <f t="array" ref="T11">_xll.EQNXTDZ($A$1,$B11,T$1)</f>
        <v>9101.1697999999997</v>
      </c>
      <c r="U11" cm="1">
        <f t="array" ref="U11">_xll.EQNXTDZ($A$1,$B11,U$1)</f>
        <v>10224.3485</v>
      </c>
      <c r="V11" cm="1">
        <f t="array" ref="V11">_xll.EQNXTDZ($A$1,$B11,V$1)</f>
        <v>10451.401099999999</v>
      </c>
      <c r="W11" cm="1">
        <f t="array" ref="W11">_xll.EQNXTDZ($A$1,$B11,W$1)</f>
        <v>10839.106299999999</v>
      </c>
      <c r="X11" cm="1">
        <f t="array" ref="X11">_xll.EQNXTDZ($A$1,$B11,X$1)</f>
        <v>11952.374299999999</v>
      </c>
      <c r="Y11" cm="1">
        <f t="array" ref="Y11">_xll.EQNXTDZ($A$1,$B11,Y$1)</f>
        <v>13982.172399999999</v>
      </c>
      <c r="Z11" cm="1">
        <f t="array" ref="Z11">_xll.EQNXTDZ($A$1,$B11,Z$1)</f>
        <v>15079.1633</v>
      </c>
      <c r="AA11" cm="1">
        <f t="array" ref="AA11">_xll.EQNXTDZ($A$1,$B11,AA$1)</f>
        <v>16975.460899999998</v>
      </c>
      <c r="AB11" cm="1">
        <f t="array" ref="AB11">_xll.EQNXTDZ($A$1,$B11,AB$1)</f>
        <v>17998.298900000002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7" customFormat="1" x14ac:dyDescent="0.25">
      <c r="A12" s="107" t="s">
        <v>167</v>
      </c>
      <c r="B12" s="107" t="s">
        <v>169</v>
      </c>
      <c r="C12" cm="1">
        <f t="array" ref="C12">_xll.EQNXTDZ($A$1,$B12,C$1)</f>
        <v>1338.8207</v>
      </c>
      <c r="D12" cm="1">
        <f t="array" ref="D12">_xll.EQNXTDZ($A$1,$B12,D$1)</f>
        <v>1086.8417999999999</v>
      </c>
      <c r="E12" cm="1">
        <f t="array" ref="E12">_xll.EQNXTDZ($A$1,$B12,E$1)</f>
        <v>1125.624</v>
      </c>
      <c r="F12" cm="1">
        <f t="array" ref="F12">_xll.EQNXTDZ($A$1,$B12,F$1)</f>
        <v>1172.4283</v>
      </c>
      <c r="G12" cm="1">
        <f t="array" ref="G12">_xll.EQNXTDZ($A$1,$B12,G$1)</f>
        <v>1263.2088000000001</v>
      </c>
      <c r="H12" cm="1">
        <f t="array" ref="H12">_xll.EQNXTDZ($A$1,$B12,H$1)</f>
        <v>1328.1315999999999</v>
      </c>
      <c r="I12" cm="1">
        <f t="array" ref="I12">_xll.EQNXTDZ($A$1,$B12,I$1)</f>
        <v>1613.9972</v>
      </c>
      <c r="J12" cm="1">
        <f t="array" ref="J12">_xll.EQNXTDZ($A$1,$B12,J$1)</f>
        <v>1657.0051000000001</v>
      </c>
      <c r="K12" cm="1">
        <f t="array" ref="K12">_xll.EQNXTDZ($A$1,$B12,K$1)</f>
        <v>1937.4097999999999</v>
      </c>
      <c r="L12" cm="1">
        <f t="array" ref="L12">_xll.EQNXTDZ($A$1,$B12,L$1)</f>
        <v>2296.0722000000001</v>
      </c>
      <c r="M12" cm="1">
        <f t="array" ref="M12">_xll.EQNXTDZ($A$1,$B12,M$1)</f>
        <v>3475.4432999999999</v>
      </c>
      <c r="N12" cm="1">
        <f t="array" ref="N12">_xll.EQNXTDZ($A$1,$B12,N$1)</f>
        <v>3069.3125</v>
      </c>
      <c r="O12" cm="1">
        <f t="array" ref="O12">_xll.EQNXTDZ($A$1,$B12,O$1)</f>
        <v>3130.5156999999999</v>
      </c>
      <c r="P12" cm="1">
        <f t="array" ref="P12">_xll.EQNXTDZ($A$1,$B12,P$1)</f>
        <v>3991.1459</v>
      </c>
      <c r="Q12" cm="1">
        <f t="array" ref="Q12">_xll.EQNXTDZ($A$1,$B12,Q$1)</f>
        <v>4985.8217000000004</v>
      </c>
      <c r="R12" cm="1">
        <f t="array" ref="R12">_xll.EQNXTDZ($A$1,$B12,R$1)</f>
        <v>5357.2385999999997</v>
      </c>
      <c r="S12" cm="1">
        <f t="array" ref="S12">_xll.EQNXTDZ($A$1,$B12,S$1)</f>
        <v>5396.6153999999997</v>
      </c>
      <c r="T12" cm="1">
        <f t="array" ref="T12">_xll.EQNXTDZ($A$1,$B12,T$1)</f>
        <v>4903.2665999999999</v>
      </c>
      <c r="U12" cm="1">
        <f t="array" ref="U12">_xll.EQNXTDZ($A$1,$B12,U$1)</f>
        <v>6021.0416999999998</v>
      </c>
      <c r="V12" cm="1">
        <f t="array" ref="V12">_xll.EQNXTDZ($A$1,$B12,V$1)</f>
        <v>6141.4516999999996</v>
      </c>
      <c r="W12" cm="1">
        <f t="array" ref="W12">_xll.EQNXTDZ($A$1,$B12,W$1)</f>
        <v>6472.99</v>
      </c>
      <c r="X12" cm="1">
        <f t="array" ref="X12">_xll.EQNXTDZ($A$1,$B12,X$1)</f>
        <v>7055.5290999999997</v>
      </c>
      <c r="Y12" cm="1">
        <f t="array" ref="Y12">_xll.EQNXTDZ($A$1,$B12,Y$1)</f>
        <v>8391.8349999999991</v>
      </c>
      <c r="Z12" cm="1">
        <f t="array" ref="Z12">_xll.EQNXTDZ($A$1,$B12,Z$1)</f>
        <v>9188.4722000000002</v>
      </c>
      <c r="AA12" cm="1">
        <f t="array" ref="AA12">_xll.EQNXTDZ($A$1,$B12,AA$1)</f>
        <v>10299.602500000001</v>
      </c>
      <c r="AB12" cm="1">
        <f t="array" ref="AB12">_xll.EQNXTDZ($A$1,$B12,AB$1)</f>
        <v>10311.771000000001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7" customFormat="1" x14ac:dyDescent="0.25">
      <c r="A13" s="107" t="s">
        <v>166</v>
      </c>
      <c r="B13" s="107" t="s">
        <v>168</v>
      </c>
      <c r="C13" cm="1">
        <f t="array" ref="C13">_xll.EQNXTDZ($A$1,$B13,C$1)</f>
        <v>3.3435000000000001</v>
      </c>
      <c r="D13" cm="1">
        <f t="array" ref="D13">_xll.EQNXTDZ($A$1,$B13,D$1)</f>
        <v>4.1794000000000002</v>
      </c>
      <c r="E13" cm="1">
        <f t="array" ref="E13">_xll.EQNXTDZ($A$1,$B13,E$1)</f>
        <v>5.4371</v>
      </c>
      <c r="F13" cm="1">
        <f t="array" ref="F13">_xll.EQNXTDZ($A$1,$B13,F$1)</f>
        <v>8.3589000000000002</v>
      </c>
      <c r="G13" cm="1">
        <f t="array" ref="G13">_xll.EQNXTDZ($A$1,$B13,G$1)</f>
        <v>14.884399999999999</v>
      </c>
      <c r="H13" cm="1">
        <f t="array" ref="H13">_xll.EQNXTDZ($A$1,$B13,H$1)</f>
        <v>13.7475</v>
      </c>
      <c r="I13" cm="1">
        <f t="array" ref="I13">_xll.EQNXTDZ($A$1,$B13,I$1)</f>
        <v>42.502499999999998</v>
      </c>
      <c r="J13" cm="1">
        <f t="array" ref="J13">_xll.EQNXTDZ($A$1,$B13,J$1)</f>
        <v>31.198799999999999</v>
      </c>
      <c r="K13" cm="1">
        <f t="array" ref="K13">_xll.EQNXTDZ($A$1,$B13,K$1)</f>
        <v>22.435400000000001</v>
      </c>
      <c r="L13" cm="1">
        <f t="array" ref="L13">_xll.EQNXTDZ($A$1,$B13,L$1)</f>
        <v>47.474200000000003</v>
      </c>
      <c r="M13" cm="1">
        <f t="array" ref="M13">_xll.EQNXTDZ($A$1,$B13,M$1)</f>
        <v>58.648899999999998</v>
      </c>
      <c r="N13" cm="1">
        <f t="array" ref="N13">_xll.EQNXTDZ($A$1,$B13,N$1)</f>
        <v>64.004499999999993</v>
      </c>
      <c r="O13" cm="1">
        <f t="array" ref="O13">_xll.EQNXTDZ($A$1,$B13,O$1)</f>
        <v>62.7577</v>
      </c>
      <c r="P13" cm="1">
        <f t="array" ref="P13">_xll.EQNXTDZ($A$1,$B13,P$1)</f>
        <v>85.427999999999997</v>
      </c>
      <c r="Q13" cm="1">
        <f t="array" ref="Q13">_xll.EQNXTDZ($A$1,$B13,Q$1)</f>
        <v>109.9289</v>
      </c>
      <c r="R13" cm="1">
        <f t="array" ref="R13">_xll.EQNXTDZ($A$1,$B13,R$1)</f>
        <v>40.952399999999997</v>
      </c>
      <c r="S13" cm="1">
        <f t="array" ref="S13">_xll.EQNXTDZ($A$1,$B13,S$1)</f>
        <v>45.002400000000002</v>
      </c>
      <c r="T13" cm="1">
        <f t="array" ref="T13">_xll.EQNXTDZ($A$1,$B13,T$1)</f>
        <v>24.212</v>
      </c>
      <c r="U13" cm="1">
        <f t="array" ref="U13">_xll.EQNXTDZ($A$1,$B13,U$1)</f>
        <v>19.571000000000002</v>
      </c>
      <c r="V13" cm="1">
        <f t="array" ref="V13">_xll.EQNXTDZ($A$1,$B13,V$1)</f>
        <v>25.148499999999999</v>
      </c>
      <c r="W13" cm="1">
        <f t="array" ref="W13">_xll.EQNXTDZ($A$1,$B13,W$1)</f>
        <v>7.5438999999999998</v>
      </c>
      <c r="X13" cm="1">
        <f t="array" ref="X13">_xll.EQNXTDZ($A$1,$B13,X$1)</f>
        <v>16.600300000000001</v>
      </c>
      <c r="Y13" cm="1">
        <f t="array" ref="Y13">_xll.EQNXTDZ($A$1,$B13,Y$1)</f>
        <v>28.052900000000001</v>
      </c>
      <c r="Z13" cm="1">
        <f t="array" ref="Z13">_xll.EQNXTDZ($A$1,$B13,Z$1)</f>
        <v>41.015599999999999</v>
      </c>
      <c r="AA13" cm="1">
        <f t="array" ref="AA13">_xll.EQNXTDZ($A$1,$B13,AA$1)</f>
        <v>39.552300000000002</v>
      </c>
      <c r="AB13" cm="1">
        <f t="array" ref="AB13">_xll.EQNXTDZ($A$1,$B13,AB$1)</f>
        <v>53.705100000000002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7" customFormat="1" x14ac:dyDescent="0.25">
      <c r="A14" s="107" t="s">
        <v>170</v>
      </c>
      <c r="B14" s="107" t="s">
        <v>171</v>
      </c>
      <c r="C14" cm="1">
        <f t="array" ref="C14">_xll.EQNXTDZ($A$1,$B14,C$1)</f>
        <v>114.56270000000001</v>
      </c>
      <c r="D14" cm="1">
        <f t="array" ref="D14">_xll.EQNXTDZ($A$1,$B14,D$1)</f>
        <v>125.3471</v>
      </c>
      <c r="E14" cm="1">
        <f t="array" ref="E14">_xll.EQNXTDZ($A$1,$B14,E$1)</f>
        <v>150.89009999999999</v>
      </c>
      <c r="F14" cm="1">
        <f t="array" ref="F14">_xll.EQNXTDZ($A$1,$B14,F$1)</f>
        <v>144.80500000000001</v>
      </c>
      <c r="G14" cm="1">
        <f t="array" ref="G14">_xll.EQNXTDZ($A$1,$B14,G$1)</f>
        <v>144.83009999999999</v>
      </c>
      <c r="H14" cm="1">
        <f t="array" ref="H14">_xll.EQNXTDZ($A$1,$B14,H$1)</f>
        <v>151.26419999999999</v>
      </c>
      <c r="I14" cm="1">
        <f t="array" ref="I14">_xll.EQNXTDZ($A$1,$B14,I$1)</f>
        <v>168.55459999999999</v>
      </c>
      <c r="J14" cm="1">
        <f t="array" ref="J14">_xll.EQNXTDZ($A$1,$B14,J$1)</f>
        <v>184.53020000000001</v>
      </c>
      <c r="K14" cm="1">
        <f t="array" ref="K14">_xll.EQNXTDZ($A$1,$B14,K$1)</f>
        <v>219.87280000000001</v>
      </c>
      <c r="L14" cm="1">
        <f t="array" ref="L14">_xll.EQNXTDZ($A$1,$B14,L$1)</f>
        <v>243.96199999999999</v>
      </c>
      <c r="M14" cm="1">
        <f t="array" ref="M14">_xll.EQNXTDZ($A$1,$B14,M$1)</f>
        <v>276.80020000000002</v>
      </c>
      <c r="N14" cm="1">
        <f t="array" ref="N14">_xll.EQNXTDZ($A$1,$B14,N$1)</f>
        <v>343.52089999999998</v>
      </c>
      <c r="O14" cm="1">
        <f t="array" ref="O14">_xll.EQNXTDZ($A$1,$B14,O$1)</f>
        <v>429.82220000000001</v>
      </c>
      <c r="P14" cm="1">
        <f t="array" ref="P14">_xll.EQNXTDZ($A$1,$B14,P$1)</f>
        <v>534.84860000000003</v>
      </c>
      <c r="Q14" cm="1">
        <f t="array" ref="Q14">_xll.EQNXTDZ($A$1,$B14,Q$1)</f>
        <v>598.34889999999996</v>
      </c>
      <c r="R14" cm="1">
        <f t="array" ref="R14">_xll.EQNXTDZ($A$1,$B14,R$1)</f>
        <v>639.28830000000005</v>
      </c>
      <c r="S14" cm="1">
        <f t="array" ref="S14">_xll.EQNXTDZ($A$1,$B14,S$1)</f>
        <v>658.07759999999996</v>
      </c>
      <c r="T14" cm="1">
        <f t="array" ref="T14">_xll.EQNXTDZ($A$1,$B14,T$1)</f>
        <v>669.85040000000004</v>
      </c>
      <c r="U14" cm="1">
        <f t="array" ref="U14">_xll.EQNXTDZ($A$1,$B14,U$1)</f>
        <v>708.53890000000001</v>
      </c>
      <c r="V14" cm="1">
        <f t="array" ref="V14">_xll.EQNXTDZ($A$1,$B14,V$1)</f>
        <v>721.14080000000001</v>
      </c>
      <c r="W14" cm="1">
        <f t="array" ref="W14">_xll.EQNXTDZ($A$1,$B14,W$1)</f>
        <v>751.8229</v>
      </c>
      <c r="X14" cm="1">
        <f t="array" ref="X14">_xll.EQNXTDZ($A$1,$B14,X$1)</f>
        <v>786.88530000000003</v>
      </c>
      <c r="Y14" cm="1">
        <f t="array" ref="Y14">_xll.EQNXTDZ($A$1,$B14,Y$1)</f>
        <v>853.577</v>
      </c>
      <c r="Z14" cm="1">
        <f t="array" ref="Z14">_xll.EQNXTDZ($A$1,$B14,Z$1)</f>
        <v>924.25710000000004</v>
      </c>
      <c r="AA14" cm="1">
        <f t="array" ref="AA14">_xll.EQNXTDZ($A$1,$B14,AA$1)</f>
        <v>990.07449999999994</v>
      </c>
      <c r="AB14" cm="1">
        <f t="array" ref="AB14">_xll.EQNXTDZ($A$1,$B14,AB$1)</f>
        <v>1048.7755999999999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367</v>
      </c>
      <c r="B15" t="s">
        <v>369</v>
      </c>
      <c r="C15" cm="1">
        <f t="array" ref="C15">_xll.EQNXTDZ($A$1,$B15,C$1)</f>
        <v>74.161699999999996</v>
      </c>
      <c r="D15" cm="1">
        <f t="array" ref="D15">_xll.EQNXTDZ($A$1,$B15,D$1)</f>
        <v>68.231999999999999</v>
      </c>
      <c r="E15" cm="1">
        <f t="array" ref="E15">_xll.EQNXTDZ($A$1,$B15,E$1)</f>
        <v>87.081400000000002</v>
      </c>
      <c r="F15" cm="1">
        <f t="array" ref="F15">_xll.EQNXTDZ($A$1,$B15,F$1)</f>
        <v>88.050200000000004</v>
      </c>
      <c r="G15" cm="1">
        <f t="array" ref="G15">_xll.EQNXTDZ($A$1,$B15,G$1)</f>
        <v>98.836299999999994</v>
      </c>
      <c r="H15" cm="1">
        <f t="array" ref="H15">_xll.EQNXTDZ($A$1,$B15,H$1)</f>
        <v>96.728099999999998</v>
      </c>
      <c r="I15" cm="1">
        <f t="array" ref="I15">_xll.EQNXTDZ($A$1,$B15,I$1)</f>
        <v>96.728899999999996</v>
      </c>
      <c r="J15" cm="1">
        <f t="array" ref="J15">_xll.EQNXTDZ($A$1,$B15,J$1)</f>
        <v>73.131900000000002</v>
      </c>
      <c r="K15" cm="1">
        <f t="array" ref="K15">_xll.EQNXTDZ($A$1,$B15,K$1)</f>
        <v>69.369500000000002</v>
      </c>
      <c r="L15" cm="1">
        <f t="array" ref="L15">_xll.EQNXTDZ($A$1,$B15,L$1)</f>
        <v>101.2873</v>
      </c>
      <c r="M15" cm="1">
        <f t="array" ref="M15">_xll.EQNXTDZ($A$1,$B15,M$1)</f>
        <v>140.55520000000001</v>
      </c>
      <c r="N15" cm="1">
        <f t="array" ref="N15">_xll.EQNXTDZ($A$1,$B15,N$1)</f>
        <v>166.833</v>
      </c>
      <c r="O15" cm="1">
        <f t="array" ref="O15">_xll.EQNXTDZ($A$1,$B15,O$1)</f>
        <v>183.88560000000001</v>
      </c>
      <c r="P15" cm="1">
        <f t="array" ref="P15">_xll.EQNXTDZ($A$1,$B15,P$1)</f>
        <v>227.87129999999999</v>
      </c>
      <c r="Q15" cm="1">
        <f t="array" ref="Q15">_xll.EQNXTDZ($A$1,$B15,Q$1)</f>
        <v>285.41800000000001</v>
      </c>
      <c r="R15" cm="1">
        <f t="array" ref="R15">_xll.EQNXTDZ($A$1,$B15,R$1)</f>
        <v>286.26280000000003</v>
      </c>
      <c r="S15" cm="1">
        <f t="array" ref="S15">_xll.EQNXTDZ($A$1,$B15,S$1)</f>
        <v>-12.466100000000001</v>
      </c>
      <c r="T15" cm="1">
        <f t="array" ref="T15">_xll.EQNXTDZ($A$1,$B15,T$1)</f>
        <v>519.98400000000004</v>
      </c>
      <c r="U15" cm="1">
        <f t="array" ref="U15">_xll.EQNXTDZ($A$1,$B15,U$1)</f>
        <v>366.67410000000001</v>
      </c>
      <c r="V15" cm="1">
        <f t="array" ref="V15">_xll.EQNXTDZ($A$1,$B15,V$1)</f>
        <v>384.77769999999998</v>
      </c>
      <c r="W15" cm="1">
        <f t="array" ref="W15">_xll.EQNXTDZ($A$1,$B15,W$1)</f>
        <v>372.20389999999998</v>
      </c>
      <c r="X15" cm="1">
        <f t="array" ref="X15">_xll.EQNXTDZ($A$1,$B15,X$1)</f>
        <v>363.5111</v>
      </c>
      <c r="Y15" cm="1">
        <f t="array" ref="Y15">_xll.EQNXTDZ($A$1,$B15,Y$1)</f>
        <v>420.916</v>
      </c>
      <c r="Z15" cm="1">
        <f t="array" ref="Z15">_xll.EQNXTDZ($A$1,$B15,Z$1)</f>
        <v>498.59070000000003</v>
      </c>
      <c r="AA15" cm="1">
        <f t="array" ref="AA15">_xll.EQNXTDZ($A$1,$B15,AA$1)</f>
        <v>594.09159999999997</v>
      </c>
      <c r="AB15" cm="1">
        <f t="array" ref="AB15">_xll.EQNXTDZ($A$1,$B15,AB$1)</f>
        <v>720.39020000000005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368</v>
      </c>
      <c r="B16" t="s">
        <v>370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371</v>
      </c>
      <c r="B17" t="s">
        <v>372</v>
      </c>
      <c r="C17" cm="1">
        <f t="array" ref="C17">_xll.EQNXTDZ($A$1,$B17,C$1)</f>
        <v>21.508700000000001</v>
      </c>
      <c r="D17" cm="1">
        <f t="array" ref="D17">_xll.EQNXTDZ($A$1,$B17,D$1)</f>
        <v>25.093800000000002</v>
      </c>
      <c r="E17" cm="1">
        <f t="array" ref="E17">_xll.EQNXTDZ($A$1,$B17,E$1)</f>
        <v>28.845600000000001</v>
      </c>
      <c r="F17" cm="1">
        <f t="array" ref="F17">_xll.EQNXTDZ($A$1,$B17,F$1)</f>
        <v>31.629000000000001</v>
      </c>
      <c r="G17" cm="1">
        <f t="array" ref="G17">_xll.EQNXTDZ($A$1,$B17,G$1)</f>
        <v>52.814500000000002</v>
      </c>
      <c r="H17" cm="1">
        <f t="array" ref="H17">_xll.EQNXTDZ($A$1,$B17,H$1)</f>
        <v>70.609200000000001</v>
      </c>
      <c r="I17" cm="1">
        <f t="array" ref="I17">_xll.EQNXTDZ($A$1,$B17,I$1)</f>
        <v>86.117599999999996</v>
      </c>
      <c r="J17" cm="1">
        <f t="array" ref="J17">_xll.EQNXTDZ($A$1,$B17,J$1)</f>
        <v>103.145</v>
      </c>
      <c r="K17" cm="1">
        <f t="array" ref="K17">_xll.EQNXTDZ($A$1,$B17,K$1)</f>
        <v>135.45160000000001</v>
      </c>
      <c r="L17" cm="1">
        <f t="array" ref="L17">_xll.EQNXTDZ($A$1,$B17,L$1)</f>
        <v>163.8888</v>
      </c>
      <c r="M17" cm="1">
        <f t="array" ref="M17">_xll.EQNXTDZ($A$1,$B17,M$1)</f>
        <v>188.56399999999999</v>
      </c>
      <c r="N17" cm="1">
        <f t="array" ref="N17">_xll.EQNXTDZ($A$1,$B17,N$1)</f>
        <v>238.273</v>
      </c>
      <c r="O17" cm="1">
        <f t="array" ref="O17">_xll.EQNXTDZ($A$1,$B17,O$1)</f>
        <v>228.15770000000001</v>
      </c>
      <c r="P17" cm="1">
        <f t="array" ref="P17">_xll.EQNXTDZ($A$1,$B17,P$1)</f>
        <v>316.97300000000001</v>
      </c>
      <c r="Q17" cm="1">
        <f t="array" ref="Q17">_xll.EQNXTDZ($A$1,$B17,Q$1)</f>
        <v>359.43040000000002</v>
      </c>
      <c r="R17" cm="1">
        <f t="array" ref="R17">_xll.EQNXTDZ($A$1,$B17,R$1)</f>
        <v>395.59050000000002</v>
      </c>
      <c r="S17" cm="1">
        <f t="array" ref="S17">_xll.EQNXTDZ($A$1,$B17,S$1)</f>
        <v>424.81790000000001</v>
      </c>
      <c r="T17" cm="1">
        <f t="array" ref="T17">_xll.EQNXTDZ($A$1,$B17,T$1)</f>
        <v>516.7133</v>
      </c>
      <c r="U17" cm="1">
        <f t="array" ref="U17">_xll.EQNXTDZ($A$1,$B17,U$1)</f>
        <v>501.7978</v>
      </c>
      <c r="V17" cm="1">
        <f t="array" ref="V17">_xll.EQNXTDZ($A$1,$B17,V$1)</f>
        <v>505.94159999999999</v>
      </c>
      <c r="W17" cm="1">
        <f t="array" ref="W17">_xll.EQNXTDZ($A$1,$B17,W$1)</f>
        <v>699.41669999999999</v>
      </c>
      <c r="X17" cm="1">
        <f t="array" ref="X17">_xll.EQNXTDZ($A$1,$B17,X$1)</f>
        <v>749.03470000000004</v>
      </c>
      <c r="Y17" cm="1">
        <f t="array" ref="Y17">_xll.EQNXTDZ($A$1,$B17,Y$1)</f>
        <v>793.82600000000002</v>
      </c>
      <c r="Z17" cm="1">
        <f t="array" ref="Z17">_xll.EQNXTDZ($A$1,$B17,Z$1)</f>
        <v>830.52859999999998</v>
      </c>
      <c r="AA17" cm="1">
        <f t="array" ref="AA17">_xll.EQNXTDZ($A$1,$B17,AA$1)</f>
        <v>915.00639999999999</v>
      </c>
      <c r="AB17" cm="1">
        <f t="array" ref="AB17">_xll.EQNXTDZ($A$1,$B17,AB$1)</f>
        <v>1041.3386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7" customFormat="1" x14ac:dyDescent="0.25">
      <c r="A18" s="107" t="s">
        <v>63</v>
      </c>
      <c r="B18" s="107" t="s">
        <v>86</v>
      </c>
      <c r="C18" cm="1">
        <f t="array" ref="C18">_xll.EQNXTDZ($A$1,$B18,C$1)</f>
        <v>66.06</v>
      </c>
      <c r="D18" cm="1">
        <f t="array" ref="D18">_xll.EQNXTDZ($A$1,$B18,D$1)</f>
        <v>183.14</v>
      </c>
      <c r="E18" cm="1">
        <f t="array" ref="E18">_xll.EQNXTDZ($A$1,$B18,E$1)</f>
        <v>309.18</v>
      </c>
      <c r="F18" cm="1">
        <f t="array" ref="F18">_xll.EQNXTDZ($A$1,$B18,F$1)</f>
        <v>342.57</v>
      </c>
      <c r="G18" cm="1">
        <f t="array" ref="G18">_xll.EQNXTDZ($A$1,$B18,G$1)</f>
        <v>120.98</v>
      </c>
      <c r="H18" cm="1">
        <f t="array" ref="H18">_xll.EQNXTDZ($A$1,$B18,H$1)</f>
        <v>214.22</v>
      </c>
      <c r="I18" cm="1">
        <f t="array" ref="I18">_xll.EQNXTDZ($A$1,$B18,I$1)</f>
        <v>409.69</v>
      </c>
      <c r="J18" cm="1">
        <f t="array" ref="J18">_xll.EQNXTDZ($A$1,$B18,J$1)</f>
        <v>675.31</v>
      </c>
      <c r="K18" cm="1">
        <f t="array" ref="K18">_xll.EQNXTDZ($A$1,$B18,K$1)</f>
        <v>1157.08</v>
      </c>
      <c r="L18" cm="1">
        <f t="array" ref="L18">_xll.EQNXTDZ($A$1,$B18,L$1)</f>
        <v>752.76</v>
      </c>
      <c r="M18" cm="1">
        <f t="array" ref="M18">_xll.EQNXTDZ($A$1,$B18,M$1)</f>
        <v>1006.68</v>
      </c>
      <c r="N18" cm="1">
        <f t="array" ref="N18">_xll.EQNXTDZ($A$1,$B18,N$1)</f>
        <v>900</v>
      </c>
      <c r="O18" cm="1">
        <f t="array" ref="O18">_xll.EQNXTDZ($A$1,$B18,O$1)</f>
        <v>258.39</v>
      </c>
      <c r="P18" cm="1">
        <f t="array" ref="P18">_xll.EQNXTDZ($A$1,$B18,P$1)</f>
        <v>815.78</v>
      </c>
      <c r="Q18" cm="1">
        <f t="array" ref="Q18">_xll.EQNXTDZ($A$1,$B18,Q$1)</f>
        <v>86.13</v>
      </c>
      <c r="R18" cm="1">
        <f t="array" ref="R18">_xll.EQNXTDZ($A$1,$B18,R$1)</f>
        <v>-1701.56</v>
      </c>
      <c r="S18" cm="1">
        <f t="array" ref="S18">_xll.EQNXTDZ($A$1,$B18,S$1)</f>
        <v>-814.21</v>
      </c>
      <c r="T18" cm="1">
        <f t="array" ref="T18">_xll.EQNXTDZ($A$1,$B18,T$1)</f>
        <v>-2589.79</v>
      </c>
      <c r="U18" cm="1">
        <f t="array" ref="U18">_xll.EQNXTDZ($A$1,$B18,U$1)</f>
        <v>-3166.51</v>
      </c>
      <c r="V18" cm="1">
        <f t="array" ref="V18">_xll.EQNXTDZ($A$1,$B18,V$1)</f>
        <v>-1645.84</v>
      </c>
      <c r="W18" cm="1">
        <f t="array" ref="W18">_xll.EQNXTDZ($A$1,$B18,W$1)</f>
        <v>1076.4100000000001</v>
      </c>
      <c r="X18" cm="1">
        <f t="array" ref="X18">_xll.EQNXTDZ($A$1,$B18,X$1)</f>
        <v>2162.0500000000002</v>
      </c>
      <c r="Y18" cm="1">
        <f t="array" ref="Y18">_xll.EQNXTDZ($A$1,$B18,Y$1)</f>
        <v>2206.37</v>
      </c>
      <c r="Z18" cm="1">
        <f t="array" ref="Z18">_xll.EQNXTDZ($A$1,$B18,Z$1)</f>
        <v>3781.15</v>
      </c>
      <c r="AA18" cm="1">
        <f t="array" ref="AA18">_xll.EQNXTDZ($A$1,$B18,AA$1)</f>
        <v>3215.43</v>
      </c>
      <c r="AB18" cm="1">
        <f t="array" ref="AB18">_xll.EQNXTDZ($A$1,$B18,AB$1)</f>
        <v>3418.51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7" customFormat="1" x14ac:dyDescent="0.25">
      <c r="A19" s="107" t="s">
        <v>2</v>
      </c>
      <c r="B19" s="107" t="s">
        <v>87</v>
      </c>
      <c r="C19" cm="1">
        <f t="array" ref="C19">_xll.EQNXTDZ($A$1,$B19,C$1)</f>
        <v>454.07909999999998</v>
      </c>
      <c r="D19" cm="1">
        <f t="array" ref="D19">_xll.EQNXTDZ($A$1,$B19,D$1)</f>
        <v>720.08709999999996</v>
      </c>
      <c r="E19" cm="1">
        <f t="array" ref="E19">_xll.EQNXTDZ($A$1,$B19,E$1)</f>
        <v>869.81610000000001</v>
      </c>
      <c r="F19" cm="1">
        <f t="array" ref="F19">_xll.EQNXTDZ($A$1,$B19,F$1)</f>
        <v>890.97879999999998</v>
      </c>
      <c r="G19" cm="1">
        <f t="array" ref="G19">_xll.EQNXTDZ($A$1,$B19,G$1)</f>
        <v>999.33010000000002</v>
      </c>
      <c r="H19" cm="1">
        <f t="array" ref="H19">_xll.EQNXTDZ($A$1,$B19,H$1)</f>
        <v>785.5652</v>
      </c>
      <c r="I19" cm="1">
        <f t="array" ref="I19">_xll.EQNXTDZ($A$1,$B19,I$1)</f>
        <v>862.12959999999998</v>
      </c>
      <c r="J19" cm="1">
        <f t="array" ref="J19">_xll.EQNXTDZ($A$1,$B19,J$1)</f>
        <v>1016.4956</v>
      </c>
      <c r="K19" cm="1">
        <f t="array" ref="K19">_xll.EQNXTDZ($A$1,$B19,K$1)</f>
        <v>1292.3779</v>
      </c>
      <c r="L19" cm="1">
        <f t="array" ref="L19">_xll.EQNXTDZ($A$1,$B19,L$1)</f>
        <v>2210.9387000000002</v>
      </c>
      <c r="M19" cm="1">
        <f t="array" ref="M19">_xll.EQNXTDZ($A$1,$B19,M$1)</f>
        <v>1888.8413</v>
      </c>
      <c r="N19" cm="1">
        <f t="array" ref="N19">_xll.EQNXTDZ($A$1,$B19,N$1)</f>
        <v>3116.433</v>
      </c>
      <c r="O19" cm="1">
        <f t="array" ref="O19">_xll.EQNXTDZ($A$1,$B19,O$1)</f>
        <v>4450.759</v>
      </c>
      <c r="P19" cm="1">
        <f t="array" ref="P19">_xll.EQNXTDZ($A$1,$B19,P$1)</f>
        <v>4877.8527000000004</v>
      </c>
      <c r="Q19" cm="1">
        <f t="array" ref="Q19">_xll.EQNXTDZ($A$1,$B19,Q$1)</f>
        <v>5692.7214000000004</v>
      </c>
      <c r="R19" cm="1">
        <f t="array" ref="R19">_xll.EQNXTDZ($A$1,$B19,R$1)</f>
        <v>13826.393099999999</v>
      </c>
      <c r="S19" cm="1">
        <f t="array" ref="S19">_xll.EQNXTDZ($A$1,$B19,S$1)</f>
        <v>12105.175300000001</v>
      </c>
      <c r="T19" cm="1">
        <f t="array" ref="T19">_xll.EQNXTDZ($A$1,$B19,T$1)</f>
        <v>15772.420599999999</v>
      </c>
      <c r="U19" cm="1">
        <f t="array" ref="U19">_xll.EQNXTDZ($A$1,$B19,U$1)</f>
        <v>16805.620500000001</v>
      </c>
      <c r="V19" cm="1">
        <f t="array" ref="V19">_xll.EQNXTDZ($A$1,$B19,V$1)</f>
        <v>16121.3776</v>
      </c>
      <c r="W19" cm="1">
        <f t="array" ref="W19">_xll.EQNXTDZ($A$1,$B19,W$1)</f>
        <v>7035.8860000000004</v>
      </c>
      <c r="X19" cm="1">
        <f t="array" ref="X19">_xll.EQNXTDZ($A$1,$B19,X$1)</f>
        <v>4421.7088000000003</v>
      </c>
      <c r="Y19" cm="1">
        <f t="array" ref="Y19">_xll.EQNXTDZ($A$1,$B19,Y$1)</f>
        <v>7163.3108000000002</v>
      </c>
      <c r="Z19" cm="1">
        <f t="array" ref="Z19">_xll.EQNXTDZ($A$1,$B19,Z$1)</f>
        <v>3969.5396999999998</v>
      </c>
      <c r="AA19" cm="1">
        <f t="array" ref="AA19">_xll.EQNXTDZ($A$1,$B19,AA$1)</f>
        <v>3977.6597000000002</v>
      </c>
      <c r="AB19" cm="1">
        <f t="array" ref="AB19">_xll.EQNXTDZ($A$1,$B19,AB$1)</f>
        <v>3103.0686000000001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7" customFormat="1" x14ac:dyDescent="0.25">
      <c r="A20" s="107" t="s">
        <v>64</v>
      </c>
      <c r="B20" s="107" t="s">
        <v>88</v>
      </c>
      <c r="C20" cm="1">
        <f t="array" ref="C20">_xll.EQNXTDZ($A$1,$B20,C$1)</f>
        <v>317.93979999999999</v>
      </c>
      <c r="D20" cm="1">
        <f t="array" ref="D20">_xll.EQNXTDZ($A$1,$B20,D$1)</f>
        <v>691.97490000000005</v>
      </c>
      <c r="E20" cm="1">
        <f t="array" ref="E20">_xll.EQNXTDZ($A$1,$B20,E$1)</f>
        <v>1160.184</v>
      </c>
      <c r="F20" cm="1">
        <f t="array" ref="F20">_xll.EQNXTDZ($A$1,$B20,F$1)</f>
        <v>1350.8934999999999</v>
      </c>
      <c r="G20" cm="1">
        <f t="array" ref="G20">_xll.EQNXTDZ($A$1,$B20,G$1)</f>
        <v>461.02730000000003</v>
      </c>
      <c r="H20" cm="1">
        <f t="array" ref="H20">_xll.EQNXTDZ($A$1,$B20,H$1)</f>
        <v>915.65530000000001</v>
      </c>
      <c r="I20" cm="1">
        <f t="array" ref="I20">_xll.EQNXTDZ($A$1,$B20,I$1)</f>
        <v>1532.8589999999999</v>
      </c>
      <c r="J20" cm="1">
        <f t="array" ref="J20">_xll.EQNXTDZ($A$1,$B20,J$1)</f>
        <v>2684.7125999999998</v>
      </c>
      <c r="K20" cm="1">
        <f t="array" ref="K20">_xll.EQNXTDZ($A$1,$B20,K$1)</f>
        <v>4164.4263000000001</v>
      </c>
      <c r="L20" cm="1">
        <f t="array" ref="L20">_xll.EQNXTDZ($A$1,$B20,L$1)</f>
        <v>2493.8289</v>
      </c>
      <c r="M20" cm="1">
        <f t="array" ref="M20">_xll.EQNXTDZ($A$1,$B20,M$1)</f>
        <v>3495.3863999999999</v>
      </c>
      <c r="N20" cm="1">
        <f t="array" ref="N20">_xll.EQNXTDZ($A$1,$B20,N$1)</f>
        <v>3577.5155</v>
      </c>
      <c r="O20" cm="1">
        <f t="array" ref="O20">_xll.EQNXTDZ($A$1,$B20,O$1)</f>
        <v>3007.7366000000002</v>
      </c>
      <c r="P20" cm="1">
        <f t="array" ref="P20">_xll.EQNXTDZ($A$1,$B20,P$1)</f>
        <v>3545.0511000000001</v>
      </c>
      <c r="Q20" cm="1">
        <f t="array" ref="Q20">_xll.EQNXTDZ($A$1,$B20,Q$1)</f>
        <v>1795.0524</v>
      </c>
      <c r="R20" cm="1">
        <f t="array" ref="R20">_xll.EQNXTDZ($A$1,$B20,R$1)</f>
        <v>-7790.7732999999998</v>
      </c>
      <c r="S20" cm="1">
        <f t="array" ref="S20">_xll.EQNXTDZ($A$1,$B20,S$1)</f>
        <v>-2372.5248000000001</v>
      </c>
      <c r="T20" cm="1">
        <f t="array" ref="T20">_xll.EQNXTDZ($A$1,$B20,T$1)</f>
        <v>-8633.4951000000001</v>
      </c>
      <c r="U20" cm="1">
        <f t="array" ref="U20">_xll.EQNXTDZ($A$1,$B20,U$1)</f>
        <v>-8713.4105</v>
      </c>
      <c r="V20" cm="1">
        <f t="array" ref="V20">_xll.EQNXTDZ($A$1,$B20,V$1)</f>
        <v>-4602.7262000000001</v>
      </c>
      <c r="W20" cm="1">
        <f t="array" ref="W20">_xll.EQNXTDZ($A$1,$B20,W$1)</f>
        <v>3236.7087000000001</v>
      </c>
      <c r="X20" cm="1">
        <f t="array" ref="X20">_xll.EQNXTDZ($A$1,$B20,X$1)</f>
        <v>5566.7457999999997</v>
      </c>
      <c r="Y20" cm="1">
        <f t="array" ref="Y20">_xll.EQNXTDZ($A$1,$B20,Y$1)</f>
        <v>6229.31</v>
      </c>
      <c r="Z20" cm="1">
        <f t="array" ref="Z20">_xll.EQNXTDZ($A$1,$B20,Z$1)</f>
        <v>10099.0666</v>
      </c>
      <c r="AA20" cm="1">
        <f t="array" ref="AA20">_xll.EQNXTDZ($A$1,$B20,AA$1)</f>
        <v>12434.4499</v>
      </c>
      <c r="AB20" cm="1">
        <f t="array" ref="AB20">_xll.EQNXTDZ($A$1,$B20,AB$1)</f>
        <v>13945.6625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7" customFormat="1" x14ac:dyDescent="0.25">
      <c r="A21" s="107" t="s">
        <v>65</v>
      </c>
      <c r="B21" s="107" t="s">
        <v>89</v>
      </c>
      <c r="C21" cm="1">
        <f t="array" ref="C21">_xll.EQNXTDZ($A$1,$B21,C$1)</f>
        <v>5926.8982999999998</v>
      </c>
      <c r="D21" cm="1">
        <f t="array" ref="D21">_xll.EQNXTDZ($A$1,$B21,D$1)</f>
        <v>6203.1166999999996</v>
      </c>
      <c r="E21" cm="1">
        <f t="array" ref="E21">_xll.EQNXTDZ($A$1,$B21,E$1)</f>
        <v>6719.5847999999996</v>
      </c>
      <c r="F21" cm="1">
        <f t="array" ref="F21">_xll.EQNXTDZ($A$1,$B21,F$1)</f>
        <v>6579.5721000000003</v>
      </c>
      <c r="G21" cm="1">
        <f t="array" ref="G21">_xll.EQNXTDZ($A$1,$B21,G$1)</f>
        <v>6847.2744000000002</v>
      </c>
      <c r="H21" cm="1">
        <f t="array" ref="H21">_xll.EQNXTDZ($A$1,$B21,H$1)</f>
        <v>7511.6422000000002</v>
      </c>
      <c r="I21" cm="1">
        <f t="array" ref="I21">_xll.EQNXTDZ($A$1,$B21,I$1)</f>
        <v>9376.0674999999992</v>
      </c>
      <c r="J21" cm="1">
        <f t="array" ref="J21">_xll.EQNXTDZ($A$1,$B21,J$1)</f>
        <v>12462.744699999999</v>
      </c>
      <c r="K21" cm="1">
        <f t="array" ref="K21">_xll.EQNXTDZ($A$1,$B21,K$1)</f>
        <v>16391.874299999999</v>
      </c>
      <c r="L21" cm="1">
        <f t="array" ref="L21">_xll.EQNXTDZ($A$1,$B21,L$1)</f>
        <v>18753.5553</v>
      </c>
      <c r="M21" cm="1">
        <f t="array" ref="M21">_xll.EQNXTDZ($A$1,$B21,M$1)</f>
        <v>21904.792300000001</v>
      </c>
      <c r="N21" cm="1">
        <f t="array" ref="N21">_xll.EQNXTDZ($A$1,$B21,N$1)</f>
        <v>29124.324100000002</v>
      </c>
      <c r="O21" cm="1">
        <f t="array" ref="O21">_xll.EQNXTDZ($A$1,$B21,O$1)</f>
        <v>32925.625500000002</v>
      </c>
      <c r="P21" cm="1">
        <f t="array" ref="P21">_xll.EQNXTDZ($A$1,$B21,P$1)</f>
        <v>39472.670100000003</v>
      </c>
      <c r="Q21" cm="1">
        <f t="array" ref="Q21">_xll.EQNXTDZ($A$1,$B21,Q$1)</f>
        <v>45953.684500000003</v>
      </c>
      <c r="R21" cm="1">
        <f t="array" ref="R21">_xll.EQNXTDZ($A$1,$B21,R$1)</f>
        <v>51538.222000000002</v>
      </c>
      <c r="S21" cm="1">
        <f t="array" ref="S21">_xll.EQNXTDZ($A$1,$B21,S$1)</f>
        <v>47621.497499999998</v>
      </c>
      <c r="T21" cm="1">
        <f t="array" ref="T21">_xll.EQNXTDZ($A$1,$B21,T$1)</f>
        <v>49848.871099999997</v>
      </c>
      <c r="U21" cm="1">
        <f t="array" ref="U21">_xll.EQNXTDZ($A$1,$B21,U$1)</f>
        <v>50973.599999999999</v>
      </c>
      <c r="V21" cm="1">
        <f t="array" ref="V21">_xll.EQNXTDZ($A$1,$B21,V$1)</f>
        <v>52023.227099999996</v>
      </c>
      <c r="W21" cm="1">
        <f t="array" ref="W21">_xll.EQNXTDZ($A$1,$B21,W$1)</f>
        <v>45281.005400000002</v>
      </c>
      <c r="X21" cm="1">
        <f t="array" ref="X21">_xll.EQNXTDZ($A$1,$B21,X$1)</f>
        <v>42549.861799999999</v>
      </c>
      <c r="Y21" cm="1">
        <f t="array" ref="Y21">_xll.EQNXTDZ($A$1,$B21,Y$1)</f>
        <v>50724.672700000003</v>
      </c>
      <c r="Z21" cm="1">
        <f t="array" ref="Z21">_xll.EQNXTDZ($A$1,$B21,Z$1)</f>
        <v>60486.427600000003</v>
      </c>
      <c r="AA21" cm="1">
        <f t="array" ref="AA21">_xll.EQNXTDZ($A$1,$B21,AA$1)</f>
        <v>70600.900899999993</v>
      </c>
      <c r="AB21" cm="1">
        <f t="array" ref="AB21">_xll.EQNXTDZ($A$1,$B21,AB$1)</f>
        <v>74508.391799999998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7" customFormat="1" x14ac:dyDescent="0.25">
      <c r="A22" s="107" t="s">
        <v>66</v>
      </c>
      <c r="B22" s="107" t="s">
        <v>90</v>
      </c>
      <c r="C22" cm="1">
        <f t="array" ref="C22">_xll.EQNXTDZ($A$1,$B22,C$1)</f>
        <v>251.87979999999999</v>
      </c>
      <c r="D22" cm="1">
        <f t="array" ref="D22">_xll.EQNXTDZ($A$1,$B22,D$1)</f>
        <v>508.8349</v>
      </c>
      <c r="E22" cm="1">
        <f t="array" ref="E22">_xll.EQNXTDZ($A$1,$B22,E$1)</f>
        <v>851.00400000000002</v>
      </c>
      <c r="F22" cm="1">
        <f t="array" ref="F22">_xll.EQNXTDZ($A$1,$B22,F$1)</f>
        <v>1008.3235</v>
      </c>
      <c r="G22" cm="1">
        <f t="array" ref="G22">_xll.EQNXTDZ($A$1,$B22,G$1)</f>
        <v>340.04730000000001</v>
      </c>
      <c r="H22" cm="1">
        <f t="array" ref="H22">_xll.EQNXTDZ($A$1,$B22,H$1)</f>
        <v>701.43529999999998</v>
      </c>
      <c r="I22" cm="1">
        <f t="array" ref="I22">_xll.EQNXTDZ($A$1,$B22,I$1)</f>
        <v>1123.1690000000001</v>
      </c>
      <c r="J22" cm="1">
        <f t="array" ref="J22">_xll.EQNXTDZ($A$1,$B22,J$1)</f>
        <v>2009.4025999999999</v>
      </c>
      <c r="K22" cm="1">
        <f t="array" ref="K22">_xll.EQNXTDZ($A$1,$B22,K$1)</f>
        <v>3007.3463000000002</v>
      </c>
      <c r="L22" cm="1">
        <f t="array" ref="L22">_xll.EQNXTDZ($A$1,$B22,L$1)</f>
        <v>1741.0689</v>
      </c>
      <c r="M22" cm="1">
        <f t="array" ref="M22">_xll.EQNXTDZ($A$1,$B22,M$1)</f>
        <v>2488.7064</v>
      </c>
      <c r="N22" cm="1">
        <f t="array" ref="N22">_xll.EQNXTDZ($A$1,$B22,N$1)</f>
        <v>2677.5155</v>
      </c>
      <c r="O22" cm="1">
        <f t="array" ref="O22">_xll.EQNXTDZ($A$1,$B22,O$1)</f>
        <v>2749.3465999999999</v>
      </c>
      <c r="P22" cm="1">
        <f t="array" ref="P22">_xll.EQNXTDZ($A$1,$B22,P$1)</f>
        <v>2729.2710999999999</v>
      </c>
      <c r="Q22" cm="1">
        <f t="array" ref="Q22">_xll.EQNXTDZ($A$1,$B22,Q$1)</f>
        <v>1708.9223999999999</v>
      </c>
      <c r="R22" cm="1">
        <f t="array" ref="R22">_xll.EQNXTDZ($A$1,$B22,R$1)</f>
        <v>-6089.2133000000003</v>
      </c>
      <c r="S22" cm="1">
        <f t="array" ref="S22">_xll.EQNXTDZ($A$1,$B22,S$1)</f>
        <v>-1558.3148000000001</v>
      </c>
      <c r="T22" cm="1">
        <f t="array" ref="T22">_xll.EQNXTDZ($A$1,$B22,T$1)</f>
        <v>-6043.7051000000001</v>
      </c>
      <c r="U22" cm="1">
        <f t="array" ref="U22">_xll.EQNXTDZ($A$1,$B22,U$1)</f>
        <v>-5546.9004999999997</v>
      </c>
      <c r="V22" cm="1">
        <f t="array" ref="V22">_xll.EQNXTDZ($A$1,$B22,V$1)</f>
        <v>-2956.8861999999999</v>
      </c>
      <c r="W22" cm="1">
        <f t="array" ref="W22">_xll.EQNXTDZ($A$1,$B22,W$1)</f>
        <v>2160.2986999999998</v>
      </c>
      <c r="X22" cm="1">
        <f t="array" ref="X22">_xll.EQNXTDZ($A$1,$B22,X$1)</f>
        <v>3404.6958</v>
      </c>
      <c r="Y22" cm="1">
        <f t="array" ref="Y22">_xll.EQNXTDZ($A$1,$B22,Y$1)</f>
        <v>4022.94</v>
      </c>
      <c r="Z22" cm="1">
        <f t="array" ref="Z22">_xll.EQNXTDZ($A$1,$B22,Z$1)</f>
        <v>6317.9165999999996</v>
      </c>
      <c r="AA22" cm="1">
        <f t="array" ref="AA22">_xll.EQNXTDZ($A$1,$B22,AA$1)</f>
        <v>9219.0198999999993</v>
      </c>
      <c r="AB22" cm="1">
        <f t="array" ref="AB22">_xll.EQNXTDZ($A$1,$B22,AB$1)</f>
        <v>10527.1525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7" customFormat="1" x14ac:dyDescent="0.25">
      <c r="A23" s="107" t="s">
        <v>67</v>
      </c>
      <c r="B23" s="107" t="s">
        <v>91</v>
      </c>
      <c r="C23" cm="1">
        <f t="array" ref="C23">_xll.EQNXTDZ($A$1,$B23,C$1)</f>
        <v>0</v>
      </c>
      <c r="D23" cm="1">
        <f t="array" ref="D23">_xll.EQNXTDZ($A$1,$B23,D$1)</f>
        <v>-3.6145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7" customFormat="1" x14ac:dyDescent="0.25">
      <c r="A24" s="107" t="s">
        <v>68</v>
      </c>
      <c r="B24" s="107" t="s">
        <v>92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220</v>
      </c>
      <c r="I24" cm="1">
        <f t="array" ref="I24">_xll.EQNXTDZ($A$1,$B24,I$1)</f>
        <v>541.75909999999999</v>
      </c>
      <c r="J24" cm="1">
        <f t="array" ref="J24">_xll.EQNXTDZ($A$1,$B24,J$1)</f>
        <v>541.75909999999999</v>
      </c>
      <c r="K24" cm="1">
        <f t="array" ref="K24">_xll.EQNXTDZ($A$1,$B24,K$1)</f>
        <v>0</v>
      </c>
      <c r="L24" cm="1">
        <f t="array" ref="L24">_xll.EQNXTDZ($A$1,$B24,L$1)</f>
        <v>0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0</v>
      </c>
      <c r="S24" cm="1">
        <f t="array" ref="S24">_xll.EQNXTDZ($A$1,$B24,S$1)</f>
        <v>-6248.6813000000002</v>
      </c>
      <c r="T24" cm="1">
        <f t="array" ref="T24">_xll.EQNXTDZ($A$1,$B24,T$1)</f>
        <v>-8556.8433999999997</v>
      </c>
      <c r="U24" cm="1">
        <f t="array" ref="U24">_xll.EQNXTDZ($A$1,$B24,U$1)</f>
        <v>-14962.308499999999</v>
      </c>
      <c r="V24" cm="1">
        <f t="array" ref="V24">_xll.EQNXTDZ($A$1,$B24,V$1)</f>
        <v>-20582.739000000001</v>
      </c>
      <c r="W24" cm="1">
        <f t="array" ref="W24">_xll.EQNXTDZ($A$1,$B24,W$1)</f>
        <v>-23782.388200000001</v>
      </c>
      <c r="X24" cm="1">
        <f t="array" ref="X24">_xll.EQNXTDZ($A$1,$B24,X$1)</f>
        <v>0</v>
      </c>
      <c r="Y24" cm="1">
        <f t="array" ref="Y24">_xll.EQNXTDZ($A$1,$B24,Y$1)</f>
        <v>1998.6503</v>
      </c>
      <c r="Z24" cm="1">
        <f t="array" ref="Z24">_xll.EQNXTDZ($A$1,$B24,Z$1)</f>
        <v>3662.6669999999999</v>
      </c>
      <c r="AA24" cm="1">
        <f t="array" ref="AA24">_xll.EQNXTDZ($A$1,$B24,AA$1)</f>
        <v>7278.1446999999998</v>
      </c>
      <c r="AB24" cm="1">
        <f t="array" ref="AB24">_xll.EQNXTDZ($A$1,$B24,AB$1)</f>
        <v>12704.3976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7" customFormat="1" x14ac:dyDescent="0.25">
      <c r="A25" s="107" t="s">
        <v>5</v>
      </c>
      <c r="B25" s="107" t="s">
        <v>93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7" customFormat="1" x14ac:dyDescent="0.25">
      <c r="A26" s="107" t="s">
        <v>69</v>
      </c>
      <c r="B26" s="107" t="s">
        <v>94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7" customFormat="1" x14ac:dyDescent="0.25">
      <c r="A27" s="107" t="s">
        <v>70</v>
      </c>
      <c r="B27" s="107" t="s">
        <v>95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7" customFormat="1" x14ac:dyDescent="0.25">
      <c r="A28" s="107" t="s">
        <v>71</v>
      </c>
      <c r="B28" s="107" t="s">
        <v>96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7" customFormat="1" x14ac:dyDescent="0.25">
      <c r="A29" s="107" t="s">
        <v>72</v>
      </c>
      <c r="B29" s="107" t="s">
        <v>97</v>
      </c>
      <c r="C29" cm="1">
        <f t="array" ref="C29">_xll.EQNXTDZ($A$1,$B29,C$1)</f>
        <v>251.87979999999999</v>
      </c>
      <c r="D29" cm="1">
        <f t="array" ref="D29">_xll.EQNXTDZ($A$1,$B29,D$1)</f>
        <v>508.8349</v>
      </c>
      <c r="E29" cm="1">
        <f t="array" ref="E29">_xll.EQNXTDZ($A$1,$B29,E$1)</f>
        <v>851.00400000000002</v>
      </c>
      <c r="F29" cm="1">
        <f t="array" ref="F29">_xll.EQNXTDZ($A$1,$B29,F$1)</f>
        <v>1008.3235</v>
      </c>
      <c r="G29" cm="1">
        <f t="array" ref="G29">_xll.EQNXTDZ($A$1,$B29,G$1)</f>
        <v>340.04730000000001</v>
      </c>
      <c r="H29" cm="1">
        <f t="array" ref="H29">_xll.EQNXTDZ($A$1,$B29,H$1)</f>
        <v>921.43529999999998</v>
      </c>
      <c r="I29" cm="1">
        <f t="array" ref="I29">_xll.EQNXTDZ($A$1,$B29,I$1)</f>
        <v>1664.9281000000001</v>
      </c>
      <c r="J29" cm="1">
        <f t="array" ref="J29">_xll.EQNXTDZ($A$1,$B29,J$1)</f>
        <v>2551.1617000000001</v>
      </c>
      <c r="K29" cm="1">
        <f t="array" ref="K29">_xll.EQNXTDZ($A$1,$B29,K$1)</f>
        <v>3007.3463000000002</v>
      </c>
      <c r="L29" cm="1">
        <f t="array" ref="L29">_xll.EQNXTDZ($A$1,$B29,L$1)</f>
        <v>1741.0689</v>
      </c>
      <c r="M29" cm="1">
        <f t="array" ref="M29">_xll.EQNXTDZ($A$1,$B29,M$1)</f>
        <v>2488.7064</v>
      </c>
      <c r="N29" cm="1">
        <f t="array" ref="N29">_xll.EQNXTDZ($A$1,$B29,N$1)</f>
        <v>2677.5155</v>
      </c>
      <c r="O29" cm="1">
        <f t="array" ref="O29">_xll.EQNXTDZ($A$1,$B29,O$1)</f>
        <v>2749.3465999999999</v>
      </c>
      <c r="P29" cm="1">
        <f t="array" ref="P29">_xll.EQNXTDZ($A$1,$B29,P$1)</f>
        <v>2729.2710999999999</v>
      </c>
      <c r="Q29" cm="1">
        <f t="array" ref="Q29">_xll.EQNXTDZ($A$1,$B29,Q$1)</f>
        <v>1708.9223999999999</v>
      </c>
      <c r="R29" cm="1">
        <f t="array" ref="R29">_xll.EQNXTDZ($A$1,$B29,R$1)</f>
        <v>-6089.2133000000003</v>
      </c>
      <c r="S29" cm="1">
        <f t="array" ref="S29">_xll.EQNXTDZ($A$1,$B29,S$1)</f>
        <v>-7806.9961000000003</v>
      </c>
      <c r="T29" cm="1">
        <f t="array" ref="T29">_xll.EQNXTDZ($A$1,$B29,T$1)</f>
        <v>-14600.548500000001</v>
      </c>
      <c r="U29" cm="1">
        <f t="array" ref="U29">_xll.EQNXTDZ($A$1,$B29,U$1)</f>
        <v>-20509.208999999999</v>
      </c>
      <c r="V29" cm="1">
        <f t="array" ref="V29">_xll.EQNXTDZ($A$1,$B29,V$1)</f>
        <v>-23539.625199999999</v>
      </c>
      <c r="W29" cm="1">
        <f t="array" ref="W29">_xll.EQNXTDZ($A$1,$B29,W$1)</f>
        <v>-21622.089499999998</v>
      </c>
      <c r="X29" cm="1">
        <f t="array" ref="X29">_xll.EQNXTDZ($A$1,$B29,X$1)</f>
        <v>3404.6958</v>
      </c>
      <c r="Y29" cm="1">
        <f t="array" ref="Y29">_xll.EQNXTDZ($A$1,$B29,Y$1)</f>
        <v>6021.5902999999998</v>
      </c>
      <c r="Z29" cm="1">
        <f t="array" ref="Z29">_xll.EQNXTDZ($A$1,$B29,Z$1)</f>
        <v>9980.5835999999999</v>
      </c>
      <c r="AA29" cm="1">
        <f t="array" ref="AA29">_xll.EQNXTDZ($A$1,$B29,AA$1)</f>
        <v>16497.1646</v>
      </c>
      <c r="AB29" cm="1">
        <f t="array" ref="AB29">_xll.EQNXTDZ($A$1,$B29,AB$1)</f>
        <v>23231.5501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7" customFormat="1" x14ac:dyDescent="0.25">
      <c r="A30" s="107" t="s">
        <v>73</v>
      </c>
      <c r="B30" s="107" t="s">
        <v>98</v>
      </c>
      <c r="C30" cm="1">
        <f t="array" ref="C30">_xll.EQNXTDZ($A$1,$B30,C$1)</f>
        <v>251.87979999999999</v>
      </c>
      <c r="D30" cm="1">
        <f t="array" ref="D30">_xll.EQNXTDZ($A$1,$B30,D$1)</f>
        <v>505.22039999999998</v>
      </c>
      <c r="E30" cm="1">
        <f t="array" ref="E30">_xll.EQNXTDZ($A$1,$B30,E$1)</f>
        <v>851.00400000000002</v>
      </c>
      <c r="F30" cm="1">
        <f t="array" ref="F30">_xll.EQNXTDZ($A$1,$B30,F$1)</f>
        <v>1008.3235</v>
      </c>
      <c r="G30" cm="1">
        <f t="array" ref="G30">_xll.EQNXTDZ($A$1,$B30,G$1)</f>
        <v>340.04730000000001</v>
      </c>
      <c r="H30" cm="1">
        <f t="array" ref="H30">_xll.EQNXTDZ($A$1,$B30,H$1)</f>
        <v>921.43529999999998</v>
      </c>
      <c r="I30" cm="1">
        <f t="array" ref="I30">_xll.EQNXTDZ($A$1,$B30,I$1)</f>
        <v>1664.9281000000001</v>
      </c>
      <c r="J30" cm="1">
        <f t="array" ref="J30">_xll.EQNXTDZ($A$1,$B30,J$1)</f>
        <v>2551.1617000000001</v>
      </c>
      <c r="K30" cm="1">
        <f t="array" ref="K30">_xll.EQNXTDZ($A$1,$B30,K$1)</f>
        <v>3007.3463000000002</v>
      </c>
      <c r="L30" cm="1">
        <f t="array" ref="L30">_xll.EQNXTDZ($A$1,$B30,L$1)</f>
        <v>1741.0689</v>
      </c>
      <c r="M30" cm="1">
        <f t="array" ref="M30">_xll.EQNXTDZ($A$1,$B30,M$1)</f>
        <v>2488.7064</v>
      </c>
      <c r="N30" cm="1">
        <f t="array" ref="N30">_xll.EQNXTDZ($A$1,$B30,N$1)</f>
        <v>2677.5155</v>
      </c>
      <c r="O30" cm="1">
        <f t="array" ref="O30">_xll.EQNXTDZ($A$1,$B30,O$1)</f>
        <v>2749.3465999999999</v>
      </c>
      <c r="P30" cm="1">
        <f t="array" ref="P30">_xll.EQNXTDZ($A$1,$B30,P$1)</f>
        <v>2729.2710999999999</v>
      </c>
      <c r="Q30" cm="1">
        <f t="array" ref="Q30">_xll.EQNXTDZ($A$1,$B30,Q$1)</f>
        <v>1708.9223999999999</v>
      </c>
      <c r="R30" cm="1">
        <f t="array" ref="R30">_xll.EQNXTDZ($A$1,$B30,R$1)</f>
        <v>-6089.2133000000003</v>
      </c>
      <c r="S30" cm="1">
        <f t="array" ref="S30">_xll.EQNXTDZ($A$1,$B30,S$1)</f>
        <v>-7806.9961000000003</v>
      </c>
      <c r="T30" cm="1">
        <f t="array" ref="T30">_xll.EQNXTDZ($A$1,$B30,T$1)</f>
        <v>-14600.548500000001</v>
      </c>
      <c r="U30" cm="1">
        <f t="array" ref="U30">_xll.EQNXTDZ($A$1,$B30,U$1)</f>
        <v>-20509.208999999999</v>
      </c>
      <c r="V30" cm="1">
        <f t="array" ref="V30">_xll.EQNXTDZ($A$1,$B30,V$1)</f>
        <v>-23539.625199999999</v>
      </c>
      <c r="W30" cm="1">
        <f t="array" ref="W30">_xll.EQNXTDZ($A$1,$B30,W$1)</f>
        <v>-21622.089499999998</v>
      </c>
      <c r="X30" cm="1">
        <f t="array" ref="X30">_xll.EQNXTDZ($A$1,$B30,X$1)</f>
        <v>3404.6958</v>
      </c>
      <c r="Y30" cm="1">
        <f t="array" ref="Y30">_xll.EQNXTDZ($A$1,$B30,Y$1)</f>
        <v>6021.5902999999998</v>
      </c>
      <c r="Z30" cm="1">
        <f t="array" ref="Z30">_xll.EQNXTDZ($A$1,$B30,Z$1)</f>
        <v>9980.5835999999999</v>
      </c>
      <c r="AA30" cm="1">
        <f t="array" ref="AA30">_xll.EQNXTDZ($A$1,$B30,AA$1)</f>
        <v>16497.1646</v>
      </c>
      <c r="AB30" cm="1">
        <f t="array" ref="AB30">_xll.EQNXTDZ($A$1,$B30,AB$1)</f>
        <v>23231.5501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7" customFormat="1" x14ac:dyDescent="0.25">
      <c r="A31" s="107" t="s">
        <v>74</v>
      </c>
      <c r="B31" s="107" t="s">
        <v>99</v>
      </c>
      <c r="C31" cm="1">
        <f t="array" ref="C31">_xll.EQNXTDZ($A$1,$B31,C$1)</f>
        <v>15</v>
      </c>
      <c r="D31" cm="1">
        <f t="array" ref="D31">_xll.EQNXTDZ($A$1,$B31,D$1)</f>
        <v>25</v>
      </c>
      <c r="E31" cm="1">
        <f t="array" ref="E31">_xll.EQNXTDZ($A$1,$B31,E$1)</f>
        <v>30</v>
      </c>
      <c r="F31" cm="1">
        <f t="array" ref="F31">_xll.EQNXTDZ($A$1,$B31,F$1)</f>
        <v>30</v>
      </c>
      <c r="G31" cm="1">
        <f t="array" ref="G31">_xll.EQNXTDZ($A$1,$B31,G$1)</f>
        <v>20</v>
      </c>
      <c r="H31" cm="1">
        <f t="array" ref="H31">_xll.EQNXTDZ($A$1,$B31,H$1)</f>
        <v>30</v>
      </c>
      <c r="I31" cm="1">
        <f t="array" ref="I31">_xll.EQNXTDZ($A$1,$B31,I$1)</f>
        <v>35</v>
      </c>
      <c r="J31" cm="1">
        <f t="array" ref="J31">_xll.EQNXTDZ($A$1,$B31,J$1)</f>
        <v>40</v>
      </c>
      <c r="K31" cm="1">
        <f t="array" ref="K31">_xll.EQNXTDZ($A$1,$B31,K$1)</f>
        <v>80</v>
      </c>
      <c r="L31" cm="1">
        <f t="array" ref="L31">_xll.EQNXTDZ($A$1,$B31,L$1)</f>
        <v>70</v>
      </c>
      <c r="M31" cm="1">
        <f t="array" ref="M31">_xll.EQNXTDZ($A$1,$B31,M$1)</f>
        <v>70</v>
      </c>
      <c r="N31" cm="1">
        <f t="array" ref="N31">_xll.EQNXTDZ($A$1,$B31,N$1)</f>
        <v>70</v>
      </c>
      <c r="O31" cm="1">
        <f t="array" ref="O31">_xll.EQNXTDZ($A$1,$B31,O$1)</f>
        <v>100</v>
      </c>
      <c r="P31" cm="1">
        <f t="array" ref="P31">_xll.EQNXTDZ($A$1,$B31,P$1)</f>
        <v>50</v>
      </c>
      <c r="Q31" cm="1">
        <f t="array" ref="Q31">_xll.EQNXTDZ($A$1,$B31,Q$1)</f>
        <v>50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20</v>
      </c>
      <c r="Y31" cm="1">
        <f t="array" ref="Y31">_xll.EQNXTDZ($A$1,$B31,Y$1)</f>
        <v>20</v>
      </c>
      <c r="Z31" cm="1">
        <f t="array" ref="Z31">_xll.EQNXTDZ($A$1,$B31,Z$1)</f>
        <v>28</v>
      </c>
      <c r="AA31" cm="1">
        <f t="array" ref="AA31">_xll.EQNXTDZ($A$1,$B31,AA$1)</f>
        <v>40.5</v>
      </c>
      <c r="AB31" cm="1">
        <f t="array" ref="AB31">_xll.EQNXTDZ($A$1,$B31,AB$1)</f>
        <v>46.5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7" customFormat="1" x14ac:dyDescent="0.25">
      <c r="A32" s="107" t="s">
        <v>75</v>
      </c>
      <c r="B32" s="107" t="s">
        <v>100</v>
      </c>
      <c r="C32" cm="1">
        <f t="array" ref="C32">_xll.EQNXTDZ($A$1,$B32,C$1)</f>
        <v>3.9453811451419898</v>
      </c>
      <c r="D32" cm="1">
        <f t="array" ref="D32">_xll.EQNXTDZ($A$1,$B32,D$1)</f>
        <v>10.4251629946849</v>
      </c>
      <c r="E32" cm="1">
        <f t="array" ref="E32">_xll.EQNXTDZ($A$1,$B32,E$1)</f>
        <v>17.460263724656802</v>
      </c>
      <c r="F32" cm="1">
        <f t="array" ref="F32">_xll.EQNXTDZ($A$1,$B32,F$1)</f>
        <v>20.687853560575</v>
      </c>
      <c r="G32" cm="1">
        <f t="array" ref="G32">_xll.EQNXTDZ($A$1,$B32,G$1)</f>
        <v>6.9767660868002404</v>
      </c>
      <c r="H32" cm="1">
        <f t="array" ref="H32">_xll.EQNXTDZ($A$1,$B32,H$1)</f>
        <v>14.391400000000001</v>
      </c>
      <c r="I32" cm="1">
        <f t="array" ref="I32">_xll.EQNXTDZ($A$1,$B32,I$1)</f>
        <v>23.044</v>
      </c>
      <c r="J32" cm="1">
        <f t="array" ref="J32">_xll.EQNXTDZ($A$1,$B32,J$1)</f>
        <v>38.261600000000001</v>
      </c>
      <c r="K32" cm="1">
        <f t="array" ref="K32">_xll.EQNXTDZ($A$1,$B32,K$1)</f>
        <v>57.2637</v>
      </c>
      <c r="L32" cm="1">
        <f t="array" ref="L32">_xll.EQNXTDZ($A$1,$B32,L$1)</f>
        <v>33.152099999999997</v>
      </c>
      <c r="M32" cm="1">
        <f t="array" ref="M32">_xll.EQNXTDZ($A$1,$B32,M$1)</f>
        <v>45.540599999999998</v>
      </c>
      <c r="N32" cm="1">
        <f t="array" ref="N32">_xll.EQNXTDZ($A$1,$B32,N$1)</f>
        <v>46.664499999999997</v>
      </c>
      <c r="O32" cm="1">
        <f t="array" ref="O32">_xll.EQNXTDZ($A$1,$B32,O$1)</f>
        <v>46.137500000000003</v>
      </c>
      <c r="P32" cm="1">
        <f t="array" ref="P32">_xll.EQNXTDZ($A$1,$B32,P$1)</f>
        <v>42.494599999999998</v>
      </c>
      <c r="Q32" cm="1">
        <f t="array" ref="Q32">_xll.EQNXTDZ($A$1,$B32,Q$1)</f>
        <v>25.701599999999999</v>
      </c>
      <c r="R32" cm="1">
        <f t="array" ref="R32">_xll.EQNXTDZ($A$1,$B32,R$1)</f>
        <v>-74.572199999999995</v>
      </c>
      <c r="S32" cm="1">
        <f t="array" ref="S32">_xll.EQNXTDZ($A$1,$B32,S$1)</f>
        <v>-14.775</v>
      </c>
      <c r="T32" cm="1">
        <f t="array" ref="T32">_xll.EQNXTDZ($A$1,$B32,T$1)</f>
        <v>-34.674599999999998</v>
      </c>
      <c r="U32" cm="1">
        <f t="array" ref="U32">_xll.EQNXTDZ($A$1,$B32,U$1)</f>
        <v>-20.102599999999999</v>
      </c>
      <c r="V32" cm="1">
        <f t="array" ref="V32">_xll.EQNXTDZ($A$1,$B32,V$1)</f>
        <v>-9.0234000000000005</v>
      </c>
      <c r="W32" cm="1">
        <f t="array" ref="W32">_xll.EQNXTDZ($A$1,$B32,W$1)</f>
        <v>6.5924601716353797</v>
      </c>
      <c r="X32" cm="1">
        <f t="array" ref="X32">_xll.EQNXTDZ($A$1,$B32,X$1)</f>
        <v>8.2969000000000008</v>
      </c>
      <c r="Y32" cm="1">
        <f t="array" ref="Y32">_xll.EQNXTDZ($A$1,$B32,Y$1)</f>
        <v>9.8035218684548493</v>
      </c>
      <c r="Z32" cm="1">
        <f t="array" ref="Z32">_xll.EQNXTDZ($A$1,$B32,Z$1)</f>
        <v>13.8774</v>
      </c>
      <c r="AA32" cm="1">
        <f t="array" ref="AA32">_xll.EQNXTDZ($A$1,$B32,AA$1)</f>
        <v>20.249700000000001</v>
      </c>
      <c r="AB32" cm="1">
        <f t="array" ref="AB32">_xll.EQNXTDZ($A$1,$B32,AB$1)</f>
        <v>23.123000000000001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7" customFormat="1" x14ac:dyDescent="0.25">
      <c r="A33" s="107" t="s">
        <v>76</v>
      </c>
      <c r="B33" s="107" t="s">
        <v>101</v>
      </c>
      <c r="C33" cm="1">
        <f t="array" ref="C33">_xll.EQNXTDZ($A$1,$B33,C$1)</f>
        <v>3.9453811451419898</v>
      </c>
      <c r="D33" cm="1">
        <f t="array" ref="D33">_xll.EQNXTDZ($A$1,$B33,D$1)</f>
        <v>10.4251629946849</v>
      </c>
      <c r="E33" cm="1">
        <f t="array" ref="E33">_xll.EQNXTDZ($A$1,$B33,E$1)</f>
        <v>17.460263724656802</v>
      </c>
      <c r="F33" cm="1">
        <f t="array" ref="F33">_xll.EQNXTDZ($A$1,$B33,F$1)</f>
        <v>20.687853560575</v>
      </c>
      <c r="G33" cm="1">
        <f t="array" ref="G33">_xll.EQNXTDZ($A$1,$B33,G$1)</f>
        <v>6.9767660868002404</v>
      </c>
      <c r="H33" cm="1">
        <f t="array" ref="H33">_xll.EQNXTDZ($A$1,$B33,H$1)</f>
        <v>14.391400000000001</v>
      </c>
      <c r="I33" cm="1">
        <f t="array" ref="I33">_xll.EQNXTDZ($A$1,$B33,I$1)</f>
        <v>23.044</v>
      </c>
      <c r="J33" cm="1">
        <f t="array" ref="J33">_xll.EQNXTDZ($A$1,$B33,J$1)</f>
        <v>38.261600000000001</v>
      </c>
      <c r="K33" cm="1">
        <f t="array" ref="K33">_xll.EQNXTDZ($A$1,$B33,K$1)</f>
        <v>57.2637</v>
      </c>
      <c r="L33" cm="1">
        <f t="array" ref="L33">_xll.EQNXTDZ($A$1,$B33,L$1)</f>
        <v>33.152099999999997</v>
      </c>
      <c r="M33" cm="1">
        <f t="array" ref="M33">_xll.EQNXTDZ($A$1,$B33,M$1)</f>
        <v>45.540599999999998</v>
      </c>
      <c r="N33" cm="1">
        <f t="array" ref="N33">_xll.EQNXTDZ($A$1,$B33,N$1)</f>
        <v>46.664499999999997</v>
      </c>
      <c r="O33" cm="1">
        <f t="array" ref="O33">_xll.EQNXTDZ($A$1,$B33,O$1)</f>
        <v>46.137500000000003</v>
      </c>
      <c r="P33" cm="1">
        <f t="array" ref="P33">_xll.EQNXTDZ($A$1,$B33,P$1)</f>
        <v>42.494599999999998</v>
      </c>
      <c r="Q33" cm="1">
        <f t="array" ref="Q33">_xll.EQNXTDZ($A$1,$B33,Q$1)</f>
        <v>25.701599999999999</v>
      </c>
      <c r="R33" cm="1">
        <f t="array" ref="R33">_xll.EQNXTDZ($A$1,$B33,R$1)</f>
        <v>-74.572199999999995</v>
      </c>
      <c r="S33" cm="1">
        <f t="array" ref="S33">_xll.EQNXTDZ($A$1,$B33,S$1)</f>
        <v>-14.775</v>
      </c>
      <c r="T33" cm="1">
        <f t="array" ref="T33">_xll.EQNXTDZ($A$1,$B33,T$1)</f>
        <v>-34.674599999999998</v>
      </c>
      <c r="U33" cm="1">
        <f t="array" ref="U33">_xll.EQNXTDZ($A$1,$B33,U$1)</f>
        <v>-20.102599999999999</v>
      </c>
      <c r="V33" cm="1">
        <f t="array" ref="V33">_xll.EQNXTDZ($A$1,$B33,V$1)</f>
        <v>-9.0234000000000005</v>
      </c>
      <c r="W33" cm="1">
        <f t="array" ref="W33">_xll.EQNXTDZ($A$1,$B33,W$1)</f>
        <v>6.5925000000000002</v>
      </c>
      <c r="X33" cm="1">
        <f t="array" ref="X33">_xll.EQNXTDZ($A$1,$B33,X$1)</f>
        <v>8.2969000000000008</v>
      </c>
      <c r="Y33" cm="1">
        <f t="array" ref="Y33">_xll.EQNXTDZ($A$1,$B33,Y$1)</f>
        <v>9.8034999999999997</v>
      </c>
      <c r="Z33" cm="1">
        <f t="array" ref="Z33">_xll.EQNXTDZ($A$1,$B33,Z$1)</f>
        <v>13.8774</v>
      </c>
      <c r="AA33" cm="1">
        <f t="array" ref="AA33">_xll.EQNXTDZ($A$1,$B33,AA$1)</f>
        <v>20.249700000000001</v>
      </c>
      <c r="AB33" cm="1">
        <f t="array" ref="AB33">_xll.EQNXTDZ($A$1,$B33,AB$1)</f>
        <v>23.123000000000001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7" customFormat="1" x14ac:dyDescent="0.25">
      <c r="A34" s="107" t="s">
        <v>77</v>
      </c>
      <c r="B34" s="107" t="s">
        <v>102</v>
      </c>
      <c r="C34" cm="1">
        <f t="array" ref="C34">_xll.EQNXTDZ($A$1,$B34,C$1)</f>
        <v>3.9453811451419898</v>
      </c>
      <c r="D34" cm="1">
        <f t="array" ref="D34">_xll.EQNXTDZ($A$1,$B34,D$1)</f>
        <v>10.4251629946849</v>
      </c>
      <c r="E34" cm="1">
        <f t="array" ref="E34">_xll.EQNXTDZ($A$1,$B34,E$1)</f>
        <v>17.460263724656802</v>
      </c>
      <c r="F34" cm="1">
        <f t="array" ref="F34">_xll.EQNXTDZ($A$1,$B34,F$1)</f>
        <v>20.687853560575</v>
      </c>
      <c r="G34" cm="1">
        <f t="array" ref="G34">_xll.EQNXTDZ($A$1,$B34,G$1)</f>
        <v>6.9767660868002404</v>
      </c>
      <c r="H34" cm="1">
        <f t="array" ref="H34">_xll.EQNXTDZ($A$1,$B34,H$1)</f>
        <v>14.391400000000001</v>
      </c>
      <c r="I34" cm="1">
        <f t="array" ref="I34">_xll.EQNXTDZ($A$1,$B34,I$1)</f>
        <v>23.044</v>
      </c>
      <c r="J34" cm="1">
        <f t="array" ref="J34">_xll.EQNXTDZ($A$1,$B34,J$1)</f>
        <v>38.261600000000001</v>
      </c>
      <c r="K34" cm="1">
        <f t="array" ref="K34">_xll.EQNXTDZ($A$1,$B34,K$1)</f>
        <v>57.2637</v>
      </c>
      <c r="L34" cm="1">
        <f t="array" ref="L34">_xll.EQNXTDZ($A$1,$B34,L$1)</f>
        <v>33.152099999999997</v>
      </c>
      <c r="M34" cm="1">
        <f t="array" ref="M34">_xll.EQNXTDZ($A$1,$B34,M$1)</f>
        <v>45.540599999999998</v>
      </c>
      <c r="N34" cm="1">
        <f t="array" ref="N34">_xll.EQNXTDZ($A$1,$B34,N$1)</f>
        <v>46.664499999999997</v>
      </c>
      <c r="O34" cm="1">
        <f t="array" ref="O34">_xll.EQNXTDZ($A$1,$B34,O$1)</f>
        <v>46.137500000000003</v>
      </c>
      <c r="P34" cm="1">
        <f t="array" ref="P34">_xll.EQNXTDZ($A$1,$B34,P$1)</f>
        <v>42.494599999999998</v>
      </c>
      <c r="Q34" cm="1">
        <f t="array" ref="Q34">_xll.EQNXTDZ($A$1,$B34,Q$1)</f>
        <v>25.701599999999999</v>
      </c>
      <c r="R34" cm="1">
        <f t="array" ref="R34">_xll.EQNXTDZ($A$1,$B34,R$1)</f>
        <v>-74.572199999999995</v>
      </c>
      <c r="S34" cm="1">
        <f t="array" ref="S34">_xll.EQNXTDZ($A$1,$B34,S$1)</f>
        <v>-14.775</v>
      </c>
      <c r="T34" cm="1">
        <f t="array" ref="T34">_xll.EQNXTDZ($A$1,$B34,T$1)</f>
        <v>-34.674599999999998</v>
      </c>
      <c r="U34" cm="1">
        <f t="array" ref="U34">_xll.EQNXTDZ($A$1,$B34,U$1)</f>
        <v>-20.102599999999999</v>
      </c>
      <c r="V34" cm="1">
        <f t="array" ref="V34">_xll.EQNXTDZ($A$1,$B34,V$1)</f>
        <v>-9.0234000000000005</v>
      </c>
      <c r="W34" cm="1">
        <f t="array" ref="W34">_xll.EQNXTDZ($A$1,$B34,W$1)</f>
        <v>6.5925000000000002</v>
      </c>
      <c r="X34" cm="1">
        <f t="array" ref="X34">_xll.EQNXTDZ($A$1,$B34,X$1)</f>
        <v>8.2969000000000008</v>
      </c>
      <c r="Y34" cm="1">
        <f t="array" ref="Y34">_xll.EQNXTDZ($A$1,$B34,Y$1)</f>
        <v>9.8034999999999997</v>
      </c>
      <c r="Z34" cm="1">
        <f t="array" ref="Z34">_xll.EQNXTDZ($A$1,$B34,Z$1)</f>
        <v>13.8774</v>
      </c>
      <c r="AA34" cm="1">
        <f t="array" ref="AA34">_xll.EQNXTDZ($A$1,$B34,AA$1)</f>
        <v>20.249700000000001</v>
      </c>
      <c r="AB34" cm="1">
        <f t="array" ref="AB34">_xll.EQNXTDZ($A$1,$B34,AB$1)</f>
        <v>23.123000000000001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7" customFormat="1" x14ac:dyDescent="0.25">
      <c r="A35" s="107" t="s">
        <v>78</v>
      </c>
      <c r="B35" s="107" t="s">
        <v>103</v>
      </c>
      <c r="C35" cm="1">
        <f t="array" ref="C35">_xll.EQNXTDZ($A$1,$B35,C$1)</f>
        <v>251.87979999999999</v>
      </c>
      <c r="D35" cm="1">
        <f t="array" ref="D35">_xll.EQNXTDZ($A$1,$B35,D$1)</f>
        <v>508.8349</v>
      </c>
      <c r="E35" cm="1">
        <f t="array" ref="E35">_xll.EQNXTDZ($A$1,$B35,E$1)</f>
        <v>851.00400000000002</v>
      </c>
      <c r="F35" cm="1">
        <f t="array" ref="F35">_xll.EQNXTDZ($A$1,$B35,F$1)</f>
        <v>1008.3235</v>
      </c>
      <c r="G35" cm="1">
        <f t="array" ref="G35">_xll.EQNXTDZ($A$1,$B35,G$1)</f>
        <v>340.04730000000001</v>
      </c>
      <c r="H35" cm="1">
        <f t="array" ref="H35">_xll.EQNXTDZ($A$1,$B35,H$1)</f>
        <v>701.43529999999998</v>
      </c>
      <c r="I35" cm="1">
        <f t="array" ref="I35">_xll.EQNXTDZ($A$1,$B35,I$1)</f>
        <v>1123.1690000000001</v>
      </c>
      <c r="J35" cm="1">
        <f t="array" ref="J35">_xll.EQNXTDZ($A$1,$B35,J$1)</f>
        <v>2009.4025999999999</v>
      </c>
      <c r="K35" cm="1">
        <f t="array" ref="K35">_xll.EQNXTDZ($A$1,$B35,K$1)</f>
        <v>3007.3463000000002</v>
      </c>
      <c r="L35" cm="1">
        <f t="array" ref="L35">_xll.EQNXTDZ($A$1,$B35,L$1)</f>
        <v>1741.0689</v>
      </c>
      <c r="M35" cm="1">
        <f t="array" ref="M35">_xll.EQNXTDZ($A$1,$B35,M$1)</f>
        <v>2488.7064</v>
      </c>
      <c r="N35" cm="1">
        <f t="array" ref="N35">_xll.EQNXTDZ($A$1,$B35,N$1)</f>
        <v>2677.5155</v>
      </c>
      <c r="O35" cm="1">
        <f t="array" ref="O35">_xll.EQNXTDZ($A$1,$B35,O$1)</f>
        <v>2749.3465999999999</v>
      </c>
      <c r="P35" cm="1">
        <f t="array" ref="P35">_xll.EQNXTDZ($A$1,$B35,P$1)</f>
        <v>2729.2710999999999</v>
      </c>
      <c r="Q35" cm="1">
        <f t="array" ref="Q35">_xll.EQNXTDZ($A$1,$B35,Q$1)</f>
        <v>1708.9223999999999</v>
      </c>
      <c r="R35" cm="1">
        <f t="array" ref="R35">_xll.EQNXTDZ($A$1,$B35,R$1)</f>
        <v>-6089.2133000000003</v>
      </c>
      <c r="S35" cm="1">
        <f t="array" ref="S35">_xll.EQNXTDZ($A$1,$B35,S$1)</f>
        <v>-1558.3148000000001</v>
      </c>
      <c r="T35" cm="1">
        <f t="array" ref="T35">_xll.EQNXTDZ($A$1,$B35,T$1)</f>
        <v>-6043.7051000000001</v>
      </c>
      <c r="U35" cm="1">
        <f t="array" ref="U35">_xll.EQNXTDZ($A$1,$B35,U$1)</f>
        <v>-5546.9004999999997</v>
      </c>
      <c r="V35" cm="1">
        <f t="array" ref="V35">_xll.EQNXTDZ($A$1,$B35,V$1)</f>
        <v>-2956.8861999999999</v>
      </c>
      <c r="W35" cm="1">
        <f t="array" ref="W35">_xll.EQNXTDZ($A$1,$B35,W$1)</f>
        <v>2160.2986999999998</v>
      </c>
      <c r="X35" cm="1">
        <f t="array" ref="X35">_xll.EQNXTDZ($A$1,$B35,X$1)</f>
        <v>3404.6958</v>
      </c>
      <c r="Y35" cm="1">
        <f t="array" ref="Y35">_xll.EQNXTDZ($A$1,$B35,Y$1)</f>
        <v>4022.94</v>
      </c>
      <c r="Z35" cm="1">
        <f t="array" ref="Z35">_xll.EQNXTDZ($A$1,$B35,Z$1)</f>
        <v>6317.9165999999996</v>
      </c>
      <c r="AA35" cm="1">
        <f t="array" ref="AA35">_xll.EQNXTDZ($A$1,$B35,AA$1)</f>
        <v>9219.0198999999993</v>
      </c>
      <c r="AB35" cm="1">
        <f t="array" ref="AB35">_xll.EQNXTDZ($A$1,$B35,AB$1)</f>
        <v>10527.1525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55</v>
      </c>
      <c r="B37" t="s">
        <v>56</v>
      </c>
    </row>
    <row r="38" spans="1:32" s="107" customFormat="1" x14ac:dyDescent="0.25">
      <c r="A38" s="107" t="s">
        <v>172</v>
      </c>
      <c r="B38" s="107" t="s">
        <v>176</v>
      </c>
      <c r="C38" cm="1">
        <f t="array" ref="C38">_xll.EQNXTDZ($A$1,$B38,C$1)</f>
        <v>638.41690000000006</v>
      </c>
      <c r="D38" cm="1">
        <f t="array" ref="D38">_xll.EQNXTDZ($A$1,$B38,D$1)</f>
        <v>488.08339999999998</v>
      </c>
      <c r="E38" cm="1">
        <f t="array" ref="E38">_xll.EQNXTDZ($A$1,$B38,E$1)</f>
        <v>487.3947</v>
      </c>
      <c r="F38" cm="1">
        <f t="array" ref="F38">_xll.EQNXTDZ($A$1,$B38,F$1)</f>
        <v>487.39879999999999</v>
      </c>
      <c r="G38" cm="1">
        <f t="array" ref="G38">_xll.EQNXTDZ($A$1,$B38,G$1)</f>
        <v>487.39960000000002</v>
      </c>
      <c r="H38" cm="1">
        <f t="array" ref="H38">_xll.EQNXTDZ($A$1,$B38,H$1)</f>
        <v>487.40019999999998</v>
      </c>
      <c r="I38" cm="1">
        <f t="array" ref="I38">_xll.EQNXTDZ($A$1,$B38,I$1)</f>
        <v>487.40179999999998</v>
      </c>
      <c r="J38" cm="1">
        <f t="array" ref="J38">_xll.EQNXTDZ($A$1,$B38,J$1)</f>
        <v>525.1748</v>
      </c>
      <c r="K38" cm="1">
        <f t="array" ref="K38">_xll.EQNXTDZ($A$1,$B38,K$1)</f>
        <v>525.17529999999999</v>
      </c>
      <c r="L38" cm="1">
        <f t="array" ref="L38">_xll.EQNXTDZ($A$1,$B38,L$1)</f>
        <v>525.17550000000006</v>
      </c>
      <c r="M38" cm="1">
        <f t="array" ref="M38">_xll.EQNXTDZ($A$1,$B38,M$1)</f>
        <v>546.48040000000003</v>
      </c>
      <c r="N38" cm="1">
        <f t="array" ref="N38">_xll.EQNXTDZ($A$1,$B38,N$1)</f>
        <v>573.78039999999999</v>
      </c>
      <c r="O38" cm="1">
        <f t="array" ref="O38">_xll.EQNXTDZ($A$1,$B38,O$1)</f>
        <v>595.90229999999997</v>
      </c>
      <c r="P38" cm="1">
        <f t="array" ref="P38">_xll.EQNXTDZ($A$1,$B38,P$1)</f>
        <v>642.26300000000003</v>
      </c>
      <c r="Q38" cm="1">
        <f t="array" ref="Q38">_xll.EQNXTDZ($A$1,$B38,Q$1)</f>
        <v>664.9085</v>
      </c>
      <c r="R38" cm="1">
        <f t="array" ref="R38">_xll.EQNXTDZ($A$1,$B38,R$1)</f>
        <v>816.55250000000001</v>
      </c>
      <c r="S38" cm="1">
        <f t="array" ref="S38">_xll.EQNXTDZ($A$1,$B38,S$1)</f>
        <v>1054.6950999999999</v>
      </c>
      <c r="T38" cm="1">
        <f t="array" ref="T38">_xll.EQNXTDZ($A$1,$B38,T$1)</f>
        <v>1742.9784</v>
      </c>
      <c r="U38" cm="1">
        <f t="array" ref="U38">_xll.EQNXTDZ($A$1,$B38,U$1)</f>
        <v>2759.2894000000001</v>
      </c>
      <c r="V38" cm="1">
        <f t="array" ref="V38">_xll.EQNXTDZ($A$1,$B38,V$1)</f>
        <v>3276.9234000000001</v>
      </c>
      <c r="W38" cm="1">
        <f t="array" ref="W38">_xll.EQNXTDZ($A$1,$B38,W$1)</f>
        <v>3276.9234000000001</v>
      </c>
      <c r="X38" cm="1">
        <f t="array" ref="X38">_xll.EQNXTDZ($A$1,$B38,X$1)</f>
        <v>4103.5661</v>
      </c>
      <c r="Y38" cm="1">
        <f t="array" ref="Y38">_xll.EQNXTDZ($A$1,$B38,Y$1)</f>
        <v>4103.5661</v>
      </c>
      <c r="Z38" cm="1">
        <f t="array" ref="Z38">_xll.EQNXTDZ($A$1,$B38,Z$1)</f>
        <v>4552.6679000000004</v>
      </c>
      <c r="AA38" cm="1">
        <f t="array" ref="AA38">_xll.EQNXTDZ($A$1,$B38,AA$1)</f>
        <v>4552.6679000000004</v>
      </c>
      <c r="AB38" cm="1">
        <f t="array" ref="AB38">_xll.EQNXTDZ($A$1,$B38,AB$1)</f>
        <v>4552.6679000000004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7" customFormat="1" x14ac:dyDescent="0.25">
      <c r="A39" s="107" t="s">
        <v>173</v>
      </c>
      <c r="B39" s="107" t="s">
        <v>177</v>
      </c>
      <c r="C39" cm="1">
        <f t="array" ref="C39">_xll.EQNXTDZ($A$1,$B39,C$1)</f>
        <v>2048.0790000000002</v>
      </c>
      <c r="D39" cm="1">
        <f t="array" ref="D39">_xll.EQNXTDZ($A$1,$B39,D$1)</f>
        <v>2356.9693000000002</v>
      </c>
      <c r="E39" cm="1">
        <f t="array" ref="E39">_xll.EQNXTDZ($A$1,$B39,E$1)</f>
        <v>3052.6359000000002</v>
      </c>
      <c r="F39" cm="1">
        <f t="array" ref="F39">_xll.EQNXTDZ($A$1,$B39,F$1)</f>
        <v>3521.5245</v>
      </c>
      <c r="G39" cm="1">
        <f t="array" ref="G39">_xll.EQNXTDZ($A$1,$B39,G$1)</f>
        <v>3976.7287000000001</v>
      </c>
      <c r="H39" cm="1">
        <f t="array" ref="H39">_xll.EQNXTDZ($A$1,$B39,H$1)</f>
        <v>4495.7464</v>
      </c>
      <c r="I39" cm="1">
        <f t="array" ref="I39">_xll.EQNXTDZ($A$1,$B39,I$1)</f>
        <v>5407.2332999999999</v>
      </c>
      <c r="J39" cm="1">
        <f t="array" ref="J39">_xll.EQNXTDZ($A$1,$B39,J$1)</f>
        <v>10063.4764</v>
      </c>
      <c r="K39" cm="1">
        <f t="array" ref="K39">_xll.EQNXTDZ($A$1,$B39,K$1)</f>
        <v>12969.0067</v>
      </c>
      <c r="L39" cm="1">
        <f t="array" ref="L39">_xll.EQNXTDZ($A$1,$B39,L$1)</f>
        <v>13704.0792</v>
      </c>
      <c r="M39" cm="1">
        <f t="array" ref="M39">_xll.EQNXTDZ($A$1,$B39,M$1)</f>
        <v>16743.460200000001</v>
      </c>
      <c r="N39" cm="1">
        <f t="array" ref="N39">_xll.EQNXTDZ($A$1,$B39,N$1)</f>
        <v>20387.265299999999</v>
      </c>
      <c r="O39" cm="1">
        <f t="array" ref="O39">_xll.EQNXTDZ($A$1,$B39,O$1)</f>
        <v>23321.514800000001</v>
      </c>
      <c r="P39" cm="1">
        <f t="array" ref="P39">_xll.EQNXTDZ($A$1,$B39,P$1)</f>
        <v>29280.081999999999</v>
      </c>
      <c r="Q39" cm="1">
        <f t="array" ref="Q39">_xll.EQNXTDZ($A$1,$B39,Q$1)</f>
        <v>30781.091199999999</v>
      </c>
      <c r="R39" cm="1">
        <f t="array" ref="R39">_xll.EQNXTDZ($A$1,$B39,R$1)</f>
        <v>30196.280599999998</v>
      </c>
      <c r="S39" cm="1">
        <f t="array" ref="S39">_xll.EQNXTDZ($A$1,$B39,S$1)</f>
        <v>29709.723399999999</v>
      </c>
      <c r="T39" cm="1">
        <f t="array" ref="T39">_xll.EQNXTDZ($A$1,$B39,T$1)</f>
        <v>33796.927799999998</v>
      </c>
      <c r="U39" cm="1">
        <f t="array" ref="U39">_xll.EQNXTDZ($A$1,$B39,U$1)</f>
        <v>38921.125</v>
      </c>
      <c r="V39" cm="1">
        <f t="array" ref="V39">_xll.EQNXTDZ($A$1,$B39,V$1)</f>
        <v>40538.654000000002</v>
      </c>
      <c r="W39" cm="1">
        <f t="array" ref="W39">_xll.EQNXTDZ($A$1,$B39,W$1)</f>
        <v>42407.925900000002</v>
      </c>
      <c r="X39" cm="1">
        <f t="array" ref="X39">_xll.EQNXTDZ($A$1,$B39,X$1)</f>
        <v>51026.933900000004</v>
      </c>
      <c r="Y39" cm="1">
        <f t="array" ref="Y39">_xll.EQNXTDZ($A$1,$B39,Y$1)</f>
        <v>54866.308799999999</v>
      </c>
      <c r="Z39" cm="1">
        <f t="array" ref="Z39">_xll.EQNXTDZ($A$1,$B39,Z$1)</f>
        <v>64327.264300000003</v>
      </c>
      <c r="AA39" cm="1">
        <f t="array" ref="AA39">_xll.EQNXTDZ($A$1,$B39,AA$1)</f>
        <v>74048.034599999999</v>
      </c>
      <c r="AB39" cm="1">
        <f t="array" ref="AB39">_xll.EQNXTDZ($A$1,$B39,AB$1)</f>
        <v>83436.808099999995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7" customFormat="1" x14ac:dyDescent="0.25">
      <c r="A40" s="107" t="s">
        <v>174</v>
      </c>
      <c r="B40" s="107" t="s">
        <v>178</v>
      </c>
      <c r="C40" cm="1">
        <f t="array" ref="C40">_xll.EQNXTDZ($A$1,$B40,C$1)</f>
        <v>2483.0882999999999</v>
      </c>
      <c r="D40" cm="1">
        <f t="array" ref="D40">_xll.EQNXTDZ($A$1,$B40,D$1)</f>
        <v>2651.8049999999998</v>
      </c>
      <c r="E40" cm="1">
        <f t="array" ref="E40">_xll.EQNXTDZ($A$1,$B40,E$1)</f>
        <v>3356.4630999999999</v>
      </c>
      <c r="F40" cm="1">
        <f t="array" ref="F40">_xll.EQNXTDZ($A$1,$B40,F$1)</f>
        <v>3834.5992999999999</v>
      </c>
      <c r="G40" cm="1">
        <f t="array" ref="G40">_xll.EQNXTDZ($A$1,$B40,G$1)</f>
        <v>4298.5156999999999</v>
      </c>
      <c r="H40" cm="1">
        <f t="array" ref="H40">_xll.EQNXTDZ($A$1,$B40,H$1)</f>
        <v>4825.7932000000001</v>
      </c>
      <c r="I40" cm="1">
        <f t="array" ref="I40">_xll.EQNXTDZ($A$1,$B40,I$1)</f>
        <v>5745.1518999999998</v>
      </c>
      <c r="J40" cm="1">
        <f t="array" ref="J40">_xll.EQNXTDZ($A$1,$B40,J$1)</f>
        <v>8825.5527999999995</v>
      </c>
      <c r="K40" cm="1">
        <f t="array" ref="K40">_xll.EQNXTDZ($A$1,$B40,K$1)</f>
        <v>11783.891799999999</v>
      </c>
      <c r="L40" cm="1">
        <f t="array" ref="L40">_xll.EQNXTDZ($A$1,$B40,L$1)</f>
        <v>12800.6361</v>
      </c>
      <c r="M40" cm="1">
        <f t="array" ref="M40">_xll.EQNXTDZ($A$1,$B40,M$1)</f>
        <v>15970.4733</v>
      </c>
      <c r="N40" cm="1">
        <f t="array" ref="N40">_xll.EQNXTDZ($A$1,$B40,N$1)</f>
        <v>19725.155900000002</v>
      </c>
      <c r="O40" cm="1">
        <f t="array" ref="O40">_xll.EQNXTDZ($A$1,$B40,O$1)</f>
        <v>22735.283500000001</v>
      </c>
      <c r="P40" cm="1">
        <f t="array" ref="P40">_xll.EQNXTDZ($A$1,$B40,P$1)</f>
        <v>26180.163199999999</v>
      </c>
      <c r="Q40" cm="1">
        <f t="array" ref="Q40">_xll.EQNXTDZ($A$1,$B40,Q$1)</f>
        <v>27890.853200000001</v>
      </c>
      <c r="R40" cm="1">
        <f t="array" ref="R40">_xll.EQNXTDZ($A$1,$B40,R$1)</f>
        <v>25006.070100000001</v>
      </c>
      <c r="S40" cm="1">
        <f t="array" ref="S40">_xll.EQNXTDZ($A$1,$B40,S$1)</f>
        <v>25077.709800000001</v>
      </c>
      <c r="T40" cm="1">
        <f t="array" ref="T40">_xll.EQNXTDZ($A$1,$B40,T$1)</f>
        <v>29990.741300000002</v>
      </c>
      <c r="U40" cm="1">
        <f t="array" ref="U40">_xll.EQNXTDZ($A$1,$B40,U$1)</f>
        <v>35407.076200000003</v>
      </c>
      <c r="V40" cm="1">
        <f t="array" ref="V40">_xll.EQNXTDZ($A$1,$B40,V$1)</f>
        <v>37493.221700000002</v>
      </c>
      <c r="W40" cm="1">
        <f t="array" ref="W40">_xll.EQNXTDZ($A$1,$B40,W$1)</f>
        <v>39433.0573</v>
      </c>
      <c r="X40" cm="1">
        <f t="array" ref="X40">_xll.EQNXTDZ($A$1,$B40,X$1)</f>
        <v>48203.884100000003</v>
      </c>
      <c r="Y40" cm="1">
        <f t="array" ref="Y40">_xll.EQNXTDZ($A$1,$B40,Y$1)</f>
        <v>52073.845099999999</v>
      </c>
      <c r="Z40" cm="1">
        <f t="array" ref="Z40">_xll.EQNXTDZ($A$1,$B40,Z$1)</f>
        <v>62061.229200000002</v>
      </c>
      <c r="AA40" cm="1">
        <f t="array" ref="AA40">_xll.EQNXTDZ($A$1,$B40,AA$1)</f>
        <v>70334.051200000002</v>
      </c>
      <c r="AB40" cm="1">
        <f t="array" ref="AB40">_xll.EQNXTDZ($A$1,$B40,AB$1)</f>
        <v>80029.210300000006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7" customFormat="1" x14ac:dyDescent="0.25">
      <c r="A41" s="107" t="s">
        <v>175</v>
      </c>
      <c r="B41" s="107" t="s">
        <v>179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7" customFormat="1" x14ac:dyDescent="0.25">
      <c r="A42" s="107" t="s">
        <v>119</v>
      </c>
      <c r="B42" s="107" t="s">
        <v>180</v>
      </c>
      <c r="C42" cm="1">
        <f t="array" ref="C42">_xll.EQNXTDZ($A$1,$B42,C$1)</f>
        <v>51678.814299999998</v>
      </c>
      <c r="D42" cm="1">
        <f t="array" ref="D42">_xll.EQNXTDZ($A$1,$B42,D$1)</f>
        <v>59588.700299999997</v>
      </c>
      <c r="E42" cm="1">
        <f t="array" ref="E42">_xll.EQNXTDZ($A$1,$B42,E$1)</f>
        <v>64453.5959</v>
      </c>
      <c r="F42" cm="1">
        <f t="array" ref="F42">_xll.EQNXTDZ($A$1,$B42,F$1)</f>
        <v>71482.430099999998</v>
      </c>
      <c r="G42" cm="1">
        <f t="array" ref="G42">_xll.EQNXTDZ($A$1,$B42,G$1)</f>
        <v>78821.437900000004</v>
      </c>
      <c r="H42" cm="1">
        <f t="array" ref="H42">_xll.EQNXTDZ($A$1,$B42,H$1)</f>
        <v>93932.031700000007</v>
      </c>
      <c r="I42" cm="1">
        <f t="array" ref="I42">_xll.EQNXTDZ($A$1,$B42,I$1)</f>
        <v>119881.7362</v>
      </c>
      <c r="J42" cm="1">
        <f t="array" ref="J42">_xll.EQNXTDZ($A$1,$B42,J$1)</f>
        <v>150011.98120000001</v>
      </c>
      <c r="K42" cm="1">
        <f t="array" ref="K42">_xll.EQNXTDZ($A$1,$B42,K$1)</f>
        <v>189708.4797</v>
      </c>
      <c r="L42" cm="1">
        <f t="array" ref="L42">_xll.EQNXTDZ($A$1,$B42,L$1)</f>
        <v>229761.94390000001</v>
      </c>
      <c r="M42" cm="1">
        <f t="array" ref="M42">_xll.EQNXTDZ($A$1,$B42,M$1)</f>
        <v>298885.8063</v>
      </c>
      <c r="N42" cm="1">
        <f t="array" ref="N42">_xll.EQNXTDZ($A$1,$B42,N$1)</f>
        <v>318216.03320000001</v>
      </c>
      <c r="O42" cm="1">
        <f t="array" ref="O42">_xll.EQNXTDZ($A$1,$B42,O$1)</f>
        <v>381839.58590000001</v>
      </c>
      <c r="P42" cm="1">
        <f t="array" ref="P42">_xll.EQNXTDZ($A$1,$B42,P$1)</f>
        <v>476974.05180000002</v>
      </c>
      <c r="Q42" cm="1">
        <f t="array" ref="Q42">_xll.EQNXTDZ($A$1,$B42,Q$1)</f>
        <v>531906.63459999999</v>
      </c>
      <c r="R42" cm="1">
        <f t="array" ref="R42">_xll.EQNXTDZ($A$1,$B42,R$1)</f>
        <v>513004.52179999999</v>
      </c>
      <c r="S42" cm="1">
        <f t="array" ref="S42">_xll.EQNXTDZ($A$1,$B42,S$1)</f>
        <v>540032.00780000002</v>
      </c>
      <c r="T42" cm="1">
        <f t="array" ref="T42">_xll.EQNXTDZ($A$1,$B42,T$1)</f>
        <v>520854.37829999998</v>
      </c>
      <c r="U42" cm="1">
        <f t="array" ref="U42">_xll.EQNXTDZ($A$1,$B42,U$1)</f>
        <v>520862.34850000002</v>
      </c>
      <c r="V42" cm="1">
        <f t="array" ref="V42">_xll.EQNXTDZ($A$1,$B42,V$1)</f>
        <v>555504.97860000003</v>
      </c>
      <c r="W42" cm="1">
        <f t="array" ref="W42">_xll.EQNXTDZ($A$1,$B42,W$1)</f>
        <v>627113.5601</v>
      </c>
      <c r="X42" cm="1">
        <f t="array" ref="X42">_xll.EQNXTDZ($A$1,$B42,X$1)</f>
        <v>627895.95909999998</v>
      </c>
      <c r="Y42" cm="1">
        <f t="array" ref="Y42">_xll.EQNXTDZ($A$1,$B42,Y$1)</f>
        <v>669585.77130000002</v>
      </c>
      <c r="Z42" cm="1">
        <f t="array" ref="Z42">_xll.EQNXTDZ($A$1,$B42,Z$1)</f>
        <v>737920.2058</v>
      </c>
      <c r="AA42" cm="1">
        <f t="array" ref="AA42">_xll.EQNXTDZ($A$1,$B42,AA$1)</f>
        <v>816541.48739999998</v>
      </c>
      <c r="AB42" cm="1">
        <f t="array" ref="AB42">_xll.EQNXTDZ($A$1,$B42,AB$1)</f>
        <v>927270.88199999998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7" customFormat="1" x14ac:dyDescent="0.25">
      <c r="A43" s="107" t="s">
        <v>125</v>
      </c>
      <c r="B43" s="107" t="s">
        <v>181</v>
      </c>
      <c r="C43" cm="1">
        <f t="array" ref="C43">_xll.EQNXTDZ($A$1,$B43,C$1)</f>
        <v>1797.5462</v>
      </c>
      <c r="D43" cm="1">
        <f t="array" ref="D43">_xll.EQNXTDZ($A$1,$B43,D$1)</f>
        <v>3469.6176</v>
      </c>
      <c r="E43" cm="1">
        <f t="array" ref="E43">_xll.EQNXTDZ($A$1,$B43,E$1)</f>
        <v>4026.9286000000002</v>
      </c>
      <c r="F43" cm="1">
        <f t="array" ref="F43">_xll.EQNXTDZ($A$1,$B43,F$1)</f>
        <v>4041.4683</v>
      </c>
      <c r="G43" cm="1">
        <f t="array" ref="G43">_xll.EQNXTDZ($A$1,$B43,G$1)</f>
        <v>5961.9537</v>
      </c>
      <c r="H43" cm="1">
        <f t="array" ref="H43">_xll.EQNXTDZ($A$1,$B43,H$1)</f>
        <v>5893.9102000000003</v>
      </c>
      <c r="I43" cm="1">
        <f t="array" ref="I43">_xll.EQNXTDZ($A$1,$B43,I$1)</f>
        <v>6620.8269</v>
      </c>
      <c r="J43" cm="1">
        <f t="array" ref="J43">_xll.EQNXTDZ($A$1,$B43,J$1)</f>
        <v>7172.4489999999996</v>
      </c>
      <c r="K43" cm="1">
        <f t="array" ref="K43">_xll.EQNXTDZ($A$1,$B43,K$1)</f>
        <v>15673.180200000001</v>
      </c>
      <c r="L43" cm="1">
        <f t="array" ref="L43">_xll.EQNXTDZ($A$1,$B43,L$1)</f>
        <v>22399.895499999999</v>
      </c>
      <c r="M43" cm="1">
        <f t="array" ref="M43">_xll.EQNXTDZ($A$1,$B43,M$1)</f>
        <v>22021.375599999999</v>
      </c>
      <c r="N43" cm="1">
        <f t="array" ref="N43">_xll.EQNXTDZ($A$1,$B43,N$1)</f>
        <v>32114.224999999999</v>
      </c>
      <c r="O43" cm="1">
        <f t="array" ref="O43">_xll.EQNXTDZ($A$1,$B43,O$1)</f>
        <v>35367.584799999997</v>
      </c>
      <c r="P43" cm="1">
        <f t="array" ref="P43">_xll.EQNXTDZ($A$1,$B43,P$1)</f>
        <v>48427.510300000002</v>
      </c>
      <c r="Q43" cm="1">
        <f t="array" ref="Q43">_xll.EQNXTDZ($A$1,$B43,Q$1)</f>
        <v>40057.137900000002</v>
      </c>
      <c r="R43" cm="1">
        <f t="array" ref="R43">_xll.EQNXTDZ($A$1,$B43,R$1)</f>
        <v>51083.144200000002</v>
      </c>
      <c r="S43" cm="1">
        <f t="array" ref="S43">_xll.EQNXTDZ($A$1,$B43,S$1)</f>
        <v>39405.665099999998</v>
      </c>
      <c r="T43" cm="1">
        <f t="array" ref="T43">_xll.EQNXTDZ($A$1,$B43,T$1)</f>
        <v>43588.775300000001</v>
      </c>
      <c r="U43" cm="1">
        <f t="array" ref="U43">_xll.EQNXTDZ($A$1,$B43,U$1)</f>
        <v>44241.167800000003</v>
      </c>
      <c r="V43" cm="1">
        <f t="array" ref="V43">_xll.EQNXTDZ($A$1,$B43,V$1)</f>
        <v>39752.465900000003</v>
      </c>
      <c r="W43" cm="1">
        <f t="array" ref="W43">_xll.EQNXTDZ($A$1,$B43,W$1)</f>
        <v>32464.105500000001</v>
      </c>
      <c r="X43" cm="1">
        <f t="array" ref="X43">_xll.EQNXTDZ($A$1,$B43,X$1)</f>
        <v>26760.366600000001</v>
      </c>
      <c r="Y43" cm="1">
        <f t="array" ref="Y43">_xll.EQNXTDZ($A$1,$B43,Y$1)</f>
        <v>64979.023200000003</v>
      </c>
      <c r="Z43" cm="1">
        <f t="array" ref="Z43">_xll.EQNXTDZ($A$1,$B43,Z$1)</f>
        <v>80924.067800000004</v>
      </c>
      <c r="AA43" cm="1">
        <f t="array" ref="AA43">_xll.EQNXTDZ($A$1,$B43,AA$1)</f>
        <v>123856.42690000001</v>
      </c>
      <c r="AB43" cm="1">
        <f t="array" ref="AB43">_xll.EQNXTDZ($A$1,$B43,AB$1)</f>
        <v>118591.5386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182</v>
      </c>
      <c r="B44" t="s">
        <v>185</v>
      </c>
      <c r="C44" cm="1">
        <f t="array" ref="C44">_xll.EQNXTDZ($A$1,$B44,C$1)</f>
        <v>200103</v>
      </c>
      <c r="D44" cm="1">
        <f t="array" ref="D44">_xll.EQNXTDZ($A$1,$B44,D$1)</f>
        <v>200203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188</v>
      </c>
      <c r="B45" t="s">
        <v>192</v>
      </c>
      <c r="C45" cm="1">
        <f t="array" ref="C45">_xll.EQNXTDZ($A$1,$B45,C$1)</f>
        <v>11.3</v>
      </c>
      <c r="D45" cm="1">
        <f t="array" ref="D45">_xll.EQNXTDZ($A$1,$B45,D$1)</f>
        <v>25.1</v>
      </c>
      <c r="E45" cm="1">
        <f t="array" ref="E45">_xll.EQNXTDZ($A$1,$B45,E$1)</f>
        <v>37.9</v>
      </c>
      <c r="F45" cm="1">
        <f t="array" ref="F45">_xll.EQNXTDZ($A$1,$B45,F$1)</f>
        <v>58.9</v>
      </c>
      <c r="G45" cm="1">
        <f t="array" ref="G45">_xll.EQNXTDZ($A$1,$B45,G$1)</f>
        <v>103.5</v>
      </c>
      <c r="H45" cm="1">
        <f t="array" ref="H45">_xll.EQNXTDZ($A$1,$B45,H$1)</f>
        <v>132</v>
      </c>
      <c r="I45" cm="1">
        <f t="array" ref="I45">_xll.EQNXTDZ($A$1,$B45,I$1)</f>
        <v>167.8</v>
      </c>
      <c r="J45" cm="1">
        <f t="array" ref="J45">_xll.EQNXTDZ($A$1,$B45,J$1)</f>
        <v>252.9</v>
      </c>
      <c r="K45" cm="1">
        <f t="array" ref="K45">_xll.EQNXTDZ($A$1,$B45,K$1)</f>
        <v>219.9</v>
      </c>
      <c r="L45" cm="1">
        <f t="array" ref="L45">_xll.EQNXTDZ($A$1,$B45,L$1)</f>
        <v>340.75</v>
      </c>
      <c r="M45" cm="1">
        <f t="array" ref="M45">_xll.EQNXTDZ($A$1,$B45,M$1)</f>
        <v>478.1</v>
      </c>
      <c r="N45" cm="1">
        <f t="array" ref="N45">_xll.EQNXTDZ($A$1,$B45,N$1)</f>
        <v>361</v>
      </c>
      <c r="O45" cm="1">
        <f t="array" ref="O45">_xll.EQNXTDZ($A$1,$B45,O$1)</f>
        <v>302.5</v>
      </c>
      <c r="P45" cm="1">
        <f t="array" ref="P45">_xll.EQNXTDZ($A$1,$B45,P$1)</f>
        <v>228.9</v>
      </c>
      <c r="Q45" cm="1">
        <f t="array" ref="Q45">_xll.EQNXTDZ($A$1,$B45,Q$1)</f>
        <v>195.75</v>
      </c>
      <c r="R45" cm="1">
        <f t="array" ref="R45">_xll.EQNXTDZ($A$1,$B45,R$1)</f>
        <v>97.05</v>
      </c>
      <c r="S45" cm="1">
        <f t="array" ref="S45">_xll.EQNXTDZ($A$1,$B45,S$1)</f>
        <v>139.4</v>
      </c>
      <c r="T45" cm="1">
        <f t="array" ref="T45">_xll.EQNXTDZ($A$1,$B45,T$1)</f>
        <v>103.4</v>
      </c>
      <c r="U45" cm="1">
        <f t="array" ref="U45">_xll.EQNXTDZ($A$1,$B45,U$1)</f>
        <v>104.3</v>
      </c>
      <c r="V45" cm="1">
        <f t="array" ref="V45">_xll.EQNXTDZ($A$1,$B45,V$1)</f>
        <v>32.25</v>
      </c>
      <c r="W45" cm="1">
        <f t="array" ref="W45">_xll.EQNXTDZ($A$1,$B45,W$1)</f>
        <v>67.849999999999994</v>
      </c>
      <c r="X45" cm="1">
        <f t="array" ref="X45">_xll.EQNXTDZ($A$1,$B45,X$1)</f>
        <v>45.85</v>
      </c>
      <c r="Y45" cm="1">
        <f t="array" ref="Y45">_xll.EQNXTDZ($A$1,$B45,Y$1)</f>
        <v>74.849999999999994</v>
      </c>
      <c r="Z45" cm="1">
        <f t="array" ref="Z45">_xll.EQNXTDZ($A$1,$B45,Z$1)</f>
        <v>137</v>
      </c>
      <c r="AA45" cm="1">
        <f t="array" ref="AA45">_xll.EQNXTDZ($A$1,$B45,AA$1)</f>
        <v>107.1</v>
      </c>
      <c r="AB45" cm="1">
        <f t="array" ref="AB45">_xll.EQNXTDZ($A$1,$B45,AB$1)</f>
        <v>137.05000000000001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189</v>
      </c>
      <c r="B46" t="s">
        <v>193</v>
      </c>
      <c r="C46" cm="1">
        <f t="array" ref="C46">_xll.EQNXTDZ($A$1,$B46,C$1)</f>
        <v>21.7</v>
      </c>
      <c r="D46" cm="1">
        <f t="array" ref="D46">_xll.EQNXTDZ($A$1,$B46,D$1)</f>
        <v>26</v>
      </c>
      <c r="E46" cm="1">
        <f t="array" ref="E46">_xll.EQNXTDZ($A$1,$B46,E$1)</f>
        <v>46.35</v>
      </c>
      <c r="F46" cm="1">
        <f t="array" ref="F46">_xll.EQNXTDZ($A$1,$B46,F$1)</f>
        <v>80.900000000000006</v>
      </c>
      <c r="G46" cm="1">
        <f t="array" ref="G46">_xll.EQNXTDZ($A$1,$B46,G$1)</f>
        <v>120</v>
      </c>
      <c r="H46" cm="1">
        <f t="array" ref="H46">_xll.EQNXTDZ($A$1,$B46,H$1)</f>
        <v>147.94999999999999</v>
      </c>
      <c r="I46" cm="1">
        <f t="array" ref="I46">_xll.EQNXTDZ($A$1,$B46,I$1)</f>
        <v>214.4</v>
      </c>
      <c r="J46" cm="1">
        <f t="array" ref="J46">_xll.EQNXTDZ($A$1,$B46,J$1)</f>
        <v>466</v>
      </c>
      <c r="K46" cm="1">
        <f t="array" ref="K46">_xll.EQNXTDZ($A$1,$B46,K$1)</f>
        <v>368.8</v>
      </c>
      <c r="L46" cm="1">
        <f t="array" ref="L46">_xll.EQNXTDZ($A$1,$B46,L$1)</f>
        <v>474.7</v>
      </c>
      <c r="M46" cm="1">
        <f t="array" ref="M46">_xll.EQNXTDZ($A$1,$B46,M$1)</f>
        <v>588</v>
      </c>
      <c r="N46" cm="1">
        <f t="array" ref="N46">_xll.EQNXTDZ($A$1,$B46,N$1)</f>
        <v>498.4</v>
      </c>
      <c r="O46" cm="1">
        <f t="array" ref="O46">_xll.EQNXTDZ($A$1,$B46,O$1)</f>
        <v>392.2</v>
      </c>
      <c r="P46" cm="1">
        <f t="array" ref="P46">_xll.EQNXTDZ($A$1,$B46,P$1)</f>
        <v>344.9</v>
      </c>
      <c r="Q46" cm="1">
        <f t="array" ref="Q46">_xll.EQNXTDZ($A$1,$B46,Q$1)</f>
        <v>356.75</v>
      </c>
      <c r="R46" cm="1">
        <f t="array" ref="R46">_xll.EQNXTDZ($A$1,$B46,R$1)</f>
        <v>232.95</v>
      </c>
      <c r="S46" cm="1">
        <f t="array" ref="S46">_xll.EQNXTDZ($A$1,$B46,S$1)</f>
        <v>142.4</v>
      </c>
      <c r="T46" cm="1">
        <f t="array" ref="T46">_xll.EQNXTDZ($A$1,$B46,T$1)</f>
        <v>216.7</v>
      </c>
      <c r="U46" cm="1">
        <f t="array" ref="U46">_xll.EQNXTDZ($A$1,$B46,U$1)</f>
        <v>118.5</v>
      </c>
      <c r="V46" cm="1">
        <f t="array" ref="V46">_xll.EQNXTDZ($A$1,$B46,V$1)</f>
        <v>108.15</v>
      </c>
      <c r="W46" cm="1">
        <f t="array" ref="W46">_xll.EQNXTDZ($A$1,$B46,W$1)</f>
        <v>101.45</v>
      </c>
      <c r="X46" cm="1">
        <f t="array" ref="X46">_xll.EQNXTDZ($A$1,$B46,X$1)</f>
        <v>86.95</v>
      </c>
      <c r="Y46" cm="1">
        <f t="array" ref="Y46">_xll.EQNXTDZ($A$1,$B46,Y$1)</f>
        <v>103.5</v>
      </c>
      <c r="Z46" cm="1">
        <f t="array" ref="Z46">_xll.EQNXTDZ($A$1,$B46,Z$1)</f>
        <v>156.35</v>
      </c>
      <c r="AA46" cm="1">
        <f t="array" ref="AA46">_xll.EQNXTDZ($A$1,$B46,AA$1)</f>
        <v>158</v>
      </c>
      <c r="AB46" cm="1">
        <f t="array" ref="AB46">_xll.EQNXTDZ($A$1,$B46,AB$1)</f>
        <v>178.45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190</v>
      </c>
      <c r="B47" t="s">
        <v>194</v>
      </c>
      <c r="C47" cm="1">
        <f t="array" ref="C47">_xll.EQNXTDZ($A$1,$B47,C$1)</f>
        <v>8.75</v>
      </c>
      <c r="D47" cm="1">
        <f t="array" ref="D47">_xll.EQNXTDZ($A$1,$B47,D$1)</f>
        <v>10.15</v>
      </c>
      <c r="E47" cm="1">
        <f t="array" ref="E47">_xll.EQNXTDZ($A$1,$B47,E$1)</f>
        <v>24.5</v>
      </c>
      <c r="F47" cm="1">
        <f t="array" ref="F47">_xll.EQNXTDZ($A$1,$B47,F$1)</f>
        <v>37.65</v>
      </c>
      <c r="G47" cm="1">
        <f t="array" ref="G47">_xll.EQNXTDZ($A$1,$B47,G$1)</f>
        <v>40.5</v>
      </c>
      <c r="H47" cm="1">
        <f t="array" ref="H47">_xll.EQNXTDZ($A$1,$B47,H$1)</f>
        <v>78.599999999999994</v>
      </c>
      <c r="I47" cm="1">
        <f t="array" ref="I47">_xll.EQNXTDZ($A$1,$B47,I$1)</f>
        <v>79.7</v>
      </c>
      <c r="J47" cm="1">
        <f t="array" ref="J47">_xll.EQNXTDZ($A$1,$B47,J$1)</f>
        <v>151</v>
      </c>
      <c r="K47" cm="1">
        <f t="array" ref="K47">_xll.EQNXTDZ($A$1,$B47,K$1)</f>
        <v>179.6</v>
      </c>
      <c r="L47" cm="1">
        <f t="array" ref="L47">_xll.EQNXTDZ($A$1,$B47,L$1)</f>
        <v>205.3</v>
      </c>
      <c r="M47" cm="1">
        <f t="array" ref="M47">_xll.EQNXTDZ($A$1,$B47,M$1)</f>
        <v>310.14999999999998</v>
      </c>
      <c r="N47" cm="1">
        <f t="array" ref="N47">_xll.EQNXTDZ($A$1,$B47,N$1)</f>
        <v>261</v>
      </c>
      <c r="O47" cm="1">
        <f t="array" ref="O47">_xll.EQNXTDZ($A$1,$B47,O$1)</f>
        <v>253.8</v>
      </c>
      <c r="P47" cm="1">
        <f t="array" ref="P47">_xll.EQNXTDZ($A$1,$B47,P$1)</f>
        <v>126.95</v>
      </c>
      <c r="Q47" cm="1">
        <f t="array" ref="Q47">_xll.EQNXTDZ($A$1,$B47,Q$1)</f>
        <v>191.5</v>
      </c>
      <c r="R47" cm="1">
        <f t="array" ref="R47">_xll.EQNXTDZ($A$1,$B47,R$1)</f>
        <v>80.099999999999994</v>
      </c>
      <c r="S47" cm="1">
        <f t="array" ref="S47">_xll.EQNXTDZ($A$1,$B47,S$1)</f>
        <v>78.599999999999994</v>
      </c>
      <c r="T47" cm="1">
        <f t="array" ref="T47">_xll.EQNXTDZ($A$1,$B47,T$1)</f>
        <v>91.35</v>
      </c>
      <c r="U47" cm="1">
        <f t="array" ref="U47">_xll.EQNXTDZ($A$1,$B47,U$1)</f>
        <v>73.3</v>
      </c>
      <c r="V47" cm="1">
        <f t="array" ref="V47">_xll.EQNXTDZ($A$1,$B47,V$1)</f>
        <v>30.45</v>
      </c>
      <c r="W47" cm="1">
        <f t="array" ref="W47">_xll.EQNXTDZ($A$1,$B47,W$1)</f>
        <v>31</v>
      </c>
      <c r="X47" cm="1">
        <f t="array" ref="X47">_xll.EQNXTDZ($A$1,$B47,X$1)</f>
        <v>43.3</v>
      </c>
      <c r="Y47" cm="1">
        <f t="array" ref="Y47">_xll.EQNXTDZ($A$1,$B47,Y$1)</f>
        <v>40.4</v>
      </c>
      <c r="Z47" cm="1">
        <f t="array" ref="Z47">_xll.EQNXTDZ($A$1,$B47,Z$1)</f>
        <v>69.41</v>
      </c>
      <c r="AA47" cm="1">
        <f t="array" ref="AA47">_xll.EQNXTDZ($A$1,$B47,AA$1)</f>
        <v>90</v>
      </c>
      <c r="AB47" cm="1">
        <f t="array" ref="AB47">_xll.EQNXTDZ($A$1,$B47,AB$1)</f>
        <v>101.1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7" customFormat="1" x14ac:dyDescent="0.25">
      <c r="A48" s="107" t="s">
        <v>183</v>
      </c>
      <c r="B48" s="107" t="s">
        <v>186</v>
      </c>
      <c r="C48" cm="1">
        <f t="array" ref="C48">_xll.EQNXTDZ($A$1,$B48,C$1)</f>
        <v>36980</v>
      </c>
      <c r="D48" cm="1">
        <f t="array" ref="D48">_xll.EQNXTDZ($A$1,$B48,D$1)</f>
        <v>37343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7" customFormat="1" x14ac:dyDescent="0.25">
      <c r="A49" s="107" t="s">
        <v>184</v>
      </c>
      <c r="B49" s="107" t="s">
        <v>187</v>
      </c>
      <c r="C49" cm="1">
        <f t="array" ref="C49">_xll.EQNXTDZ($A$1,$B49,C$1)</f>
        <v>6340.3919999999998</v>
      </c>
      <c r="D49" cm="1">
        <f t="array" ref="D49">_xll.EQNXTDZ($A$1,$B49,D$1)</f>
        <v>3112.444</v>
      </c>
      <c r="E49" cm="1">
        <f t="array" ref="E49">_xll.EQNXTDZ($A$1,$B49,E$1)</f>
        <v>5093.3710000000001</v>
      </c>
      <c r="F49" cm="1">
        <f t="array" ref="F49">_xll.EQNXTDZ($A$1,$B49,F$1)</f>
        <v>11224.66</v>
      </c>
      <c r="G49" cm="1">
        <f t="array" ref="G49">_xll.EQNXTDZ($A$1,$B49,G$1)</f>
        <v>25804.224999999999</v>
      </c>
      <c r="H49" cm="1">
        <f t="array" ref="H49">_xll.EQNXTDZ($A$1,$B49,H$1)</f>
        <v>13381.856</v>
      </c>
      <c r="I49" cm="1">
        <f t="array" ref="I49">_xll.EQNXTDZ($A$1,$B49,I$1)</f>
        <v>11710.508</v>
      </c>
      <c r="J49" cm="1">
        <f t="array" ref="J49">_xll.EQNXTDZ($A$1,$B49,J$1)</f>
        <v>17671.017</v>
      </c>
      <c r="K49" cm="1">
        <f t="array" ref="K49">_xll.EQNXTDZ($A$1,$B49,K$1)</f>
        <v>12775.249</v>
      </c>
      <c r="L49" cm="1">
        <f t="array" ref="L49">_xll.EQNXTDZ($A$1,$B49,L$1)</f>
        <v>2749.1860000000001</v>
      </c>
      <c r="M49" cm="1">
        <f t="array" ref="M49">_xll.EQNXTDZ($A$1,$B49,M$1)</f>
        <v>2609.4490000000001</v>
      </c>
      <c r="N49" cm="1">
        <f t="array" ref="N49">_xll.EQNXTDZ($A$1,$B49,N$1)</f>
        <v>1760.598</v>
      </c>
      <c r="O49" cm="1">
        <f t="array" ref="O49">_xll.EQNXTDZ($A$1,$B49,O$1)</f>
        <v>3154.1460000000002</v>
      </c>
      <c r="P49" cm="1">
        <f t="array" ref="P49">_xll.EQNXTDZ($A$1,$B49,P$1)</f>
        <v>14446.785</v>
      </c>
      <c r="Q49" cm="1">
        <f t="array" ref="Q49">_xll.EQNXTDZ($A$1,$B49,Q$1)</f>
        <v>10829.582</v>
      </c>
      <c r="R49" cm="1">
        <f t="array" ref="R49">_xll.EQNXTDZ($A$1,$B49,R$1)</f>
        <v>12680.084000000001</v>
      </c>
      <c r="S49" cm="1">
        <f t="array" ref="S49">_xll.EQNXTDZ($A$1,$B49,S$1)</f>
        <v>10229.358</v>
      </c>
      <c r="T49" cm="1">
        <f t="array" ref="T49">_xll.EQNXTDZ($A$1,$B49,T$1)</f>
        <v>27005.894</v>
      </c>
      <c r="U49" cm="1">
        <f t="array" ref="U49">_xll.EQNXTDZ($A$1,$B49,U$1)</f>
        <v>21065.692999999999</v>
      </c>
      <c r="V49" cm="1">
        <f t="array" ref="V49">_xll.EQNXTDZ($A$1,$B49,V$1)</f>
        <v>12224.838</v>
      </c>
      <c r="W49" cm="1">
        <f t="array" ref="W49">_xll.EQNXTDZ($A$1,$B49,W$1)</f>
        <v>14393.1</v>
      </c>
      <c r="X49" cm="1">
        <f t="array" ref="X49">_xll.EQNXTDZ($A$1,$B49,X$1)</f>
        <v>10809.704</v>
      </c>
      <c r="Y49" cm="1">
        <f t="array" ref="Y49">_xll.EQNXTDZ($A$1,$B49,Y$1)</f>
        <v>30139.237000000001</v>
      </c>
      <c r="Z49" cm="1">
        <f t="array" ref="Z49">_xll.EQNXTDZ($A$1,$B49,Z$1)</f>
        <v>22769.648000000001</v>
      </c>
      <c r="AA49" cm="1">
        <f t="array" ref="AA49">_xll.EQNXTDZ($A$1,$B49,AA$1)</f>
        <v>8331.9310000000005</v>
      </c>
      <c r="AB49" cm="1">
        <f t="array" ref="AB49">_xll.EQNXTDZ($A$1,$B49,AB$1)</f>
        <v>8072.848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203</v>
      </c>
      <c r="B50" t="s">
        <v>213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191</v>
      </c>
      <c r="B51" t="s">
        <v>195</v>
      </c>
      <c r="C51" cm="1">
        <f t="array" ref="C51">_xll.EQNXTDZ($A$1,$B51,C$1)</f>
        <v>721.41109700000004</v>
      </c>
      <c r="D51" cm="1">
        <f t="array" ref="D51">_xll.EQNXTDZ($A$1,$B51,D$1)</f>
        <v>1225.089334</v>
      </c>
      <c r="E51" cm="1">
        <f t="array" ref="E51">_xll.EQNXTDZ($A$1,$B51,E$1)</f>
        <v>1847.225913</v>
      </c>
      <c r="F51" cm="1">
        <f t="array" ref="F51">_xll.EQNXTDZ($A$1,$B51,F$1)</f>
        <v>2870.7789320000002</v>
      </c>
      <c r="G51" cm="1">
        <f t="array" ref="G51">_xll.EQNXTDZ($A$1,$B51,G$1)</f>
        <v>5044.5858600000001</v>
      </c>
      <c r="H51" cm="1">
        <f t="array" ref="H51">_xll.EQNXTDZ($A$1,$B51,H$1)</f>
        <v>6433.68264</v>
      </c>
      <c r="I51" cm="1">
        <f t="array" ref="I51">_xll.EQNXTDZ($A$1,$B51,I$1)</f>
        <v>8178.6022039999998</v>
      </c>
      <c r="J51" cm="1">
        <f t="array" ref="J51">_xll.EQNXTDZ($A$1,$B51,J$1)</f>
        <v>13281.670692</v>
      </c>
      <c r="K51" cm="1">
        <f t="array" ref="K51">_xll.EQNXTDZ($A$1,$B51,K$1)</f>
        <v>11548.604847000001</v>
      </c>
      <c r="L51" cm="1">
        <f t="array" ref="L51">_xll.EQNXTDZ($A$1,$B51,L$1)</f>
        <v>17895.3551625</v>
      </c>
      <c r="M51" cm="1">
        <f t="array" ref="M51">_xll.EQNXTDZ($A$1,$B51,M$1)</f>
        <v>26127.227923999999</v>
      </c>
      <c r="N51" cm="1">
        <f t="array" ref="N51">_xll.EQNXTDZ($A$1,$B51,N$1)</f>
        <v>20713.472440000001</v>
      </c>
      <c r="O51" cm="1">
        <f t="array" ref="O51">_xll.EQNXTDZ($A$1,$B51,O$1)</f>
        <v>18026.044575</v>
      </c>
      <c r="P51" cm="1">
        <f t="array" ref="P51">_xll.EQNXTDZ($A$1,$B51,P$1)</f>
        <v>14701.40007</v>
      </c>
      <c r="Q51" cm="1">
        <f t="array" ref="Q51">_xll.EQNXTDZ($A$1,$B51,Q$1)</f>
        <v>13015.583887500001</v>
      </c>
      <c r="R51" cm="1">
        <f t="array" ref="R51">_xll.EQNXTDZ($A$1,$B51,R$1)</f>
        <v>7924.6420125000004</v>
      </c>
      <c r="S51" cm="1">
        <f t="array" ref="S51">_xll.EQNXTDZ($A$1,$B51,S$1)</f>
        <v>14702.449694000001</v>
      </c>
      <c r="T51" cm="1">
        <f t="array" ref="T51">_xll.EQNXTDZ($A$1,$B51,T$1)</f>
        <v>18022.396656000001</v>
      </c>
      <c r="U51" cm="1">
        <f t="array" ref="U51">_xll.EQNXTDZ($A$1,$B51,U$1)</f>
        <v>28779.388441999999</v>
      </c>
      <c r="V51" cm="1">
        <f t="array" ref="V51">_xll.EQNXTDZ($A$1,$B51,V$1)</f>
        <v>10568.077965</v>
      </c>
      <c r="W51" cm="1">
        <f t="array" ref="W51">_xll.EQNXTDZ($A$1,$B51,W$1)</f>
        <v>22233.925268999999</v>
      </c>
      <c r="X51" cm="1">
        <f t="array" ref="X51">_xll.EQNXTDZ($A$1,$B51,X$1)</f>
        <v>18814.850568499998</v>
      </c>
      <c r="Y51" cm="1">
        <f t="array" ref="Y51">_xll.EQNXTDZ($A$1,$B51,Y$1)</f>
        <v>30715.192258499999</v>
      </c>
      <c r="Z51" cm="1">
        <f t="array" ref="Z51">_xll.EQNXTDZ($A$1,$B51,Z$1)</f>
        <v>62371.550230000001</v>
      </c>
      <c r="AA51" cm="1">
        <f t="array" ref="AA51">_xll.EQNXTDZ($A$1,$B51,AA$1)</f>
        <v>48759.073209000002</v>
      </c>
      <c r="AB51" cm="1">
        <f t="array" ref="AB51">_xll.EQNXTDZ($A$1,$B51,AB$1)</f>
        <v>62394.313569500002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208</v>
      </c>
      <c r="B52" t="s">
        <v>205</v>
      </c>
      <c r="C52" cm="1">
        <f t="array" ref="C52">_xll.EQNXTDZ($A$1,$B52,C$1)</f>
        <v>3434</v>
      </c>
      <c r="D52" cm="1">
        <f t="array" ref="D52">_xll.EQNXTDZ($A$1,$B52,D$1)</f>
        <v>3722</v>
      </c>
      <c r="E52" cm="1">
        <f t="array" ref="E52">_xll.EQNXTDZ($A$1,$B52,E$1)</f>
        <v>3804</v>
      </c>
      <c r="F52" cm="1">
        <f t="array" ref="F52">_xll.EQNXTDZ($A$1,$B52,F$1)</f>
        <v>3734.02</v>
      </c>
      <c r="G52" cm="1">
        <f t="array" ref="G52">_xll.EQNXTDZ($A$1,$B52,G$1)</f>
        <v>3155.91</v>
      </c>
      <c r="H52" cm="1">
        <f t="array" ref="H52">_xll.EQNXTDZ($A$1,$B52,H$1)</f>
        <v>2479.1799999999998</v>
      </c>
      <c r="I52" cm="1">
        <f t="array" ref="I52">_xll.EQNXTDZ($A$1,$B52,I$1)</f>
        <v>2100.4899999999998</v>
      </c>
      <c r="J52" cm="1">
        <f t="array" ref="J52">_xll.EQNXTDZ($A$1,$B52,J$1)</f>
        <v>1930.92</v>
      </c>
      <c r="K52" cm="1">
        <f t="array" ref="K52">_xll.EQNXTDZ($A$1,$B52,K$1)</f>
        <v>2470.88</v>
      </c>
      <c r="L52" cm="1">
        <f t="array" ref="L52">_xll.EQNXTDZ($A$1,$B52,L$1)</f>
        <v>4882.6499999999996</v>
      </c>
      <c r="M52" cm="1">
        <f t="array" ref="M52">_xll.EQNXTDZ($A$1,$B52,M$1)</f>
        <v>4811.55</v>
      </c>
      <c r="N52" cm="1">
        <f t="array" ref="N52">_xll.EQNXTDZ($A$1,$B52,N$1)</f>
        <v>5893.97</v>
      </c>
      <c r="O52" cm="1">
        <f t="array" ref="O52">_xll.EQNXTDZ($A$1,$B52,O$1)</f>
        <v>8765.25</v>
      </c>
      <c r="P52" cm="1">
        <f t="array" ref="P52">_xll.EQNXTDZ($A$1,$B52,P$1)</f>
        <v>11868.6</v>
      </c>
      <c r="Q52" cm="1">
        <f t="array" ref="Q52">_xll.EQNXTDZ($A$1,$B52,Q$1)</f>
        <v>22193.24</v>
      </c>
      <c r="R52" cm="1">
        <f t="array" ref="R52">_xll.EQNXTDZ($A$1,$B52,R$1)</f>
        <v>49879.13</v>
      </c>
      <c r="S52" cm="1">
        <f t="array" ref="S52">_xll.EQNXTDZ($A$1,$B52,S$1)</f>
        <v>52044.53</v>
      </c>
      <c r="T52" cm="1">
        <f t="array" ref="T52">_xll.EQNXTDZ($A$1,$B52,T$1)</f>
        <v>62328.46</v>
      </c>
      <c r="U52" cm="1">
        <f t="array" ref="U52">_xll.EQNXTDZ($A$1,$B52,U$1)</f>
        <v>60661.120000000003</v>
      </c>
      <c r="V52" cm="1">
        <f t="array" ref="V52">_xll.EQNXTDZ($A$1,$B52,V$1)</f>
        <v>61549.93</v>
      </c>
      <c r="W52" cm="1">
        <f t="array" ref="W52">_xll.EQNXTDZ($A$1,$B52,W$1)</f>
        <v>56534.94</v>
      </c>
      <c r="X52" cm="1">
        <f t="array" ref="X52">_xll.EQNXTDZ($A$1,$B52,X$1)</f>
        <v>45605.39</v>
      </c>
      <c r="Y52" cm="1">
        <f t="array" ref="Y52">_xll.EQNXTDZ($A$1,$B52,Y$1)</f>
        <v>37685.56</v>
      </c>
      <c r="Z52" cm="1">
        <f t="array" ref="Z52">_xll.EQNXTDZ($A$1,$B52,Z$1)</f>
        <v>29182.77</v>
      </c>
      <c r="AA52" cm="1">
        <f t="array" ref="AA52">_xll.EQNXTDZ($A$1,$B52,AA$1)</f>
        <v>21748.89</v>
      </c>
      <c r="AB52" cm="1">
        <f t="array" ref="AB52">_xll.EQNXTDZ($A$1,$B52,AB$1)</f>
        <v>15306.02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209</v>
      </c>
      <c r="B53" t="s">
        <v>206</v>
      </c>
      <c r="C53" cm="1">
        <f t="array" ref="C53">_xll.EQNXTDZ($A$1,$B53,C$1)</f>
        <v>2138</v>
      </c>
      <c r="D53" cm="1">
        <f t="array" ref="D53">_xll.EQNXTDZ($A$1,$B53,D$1)</f>
        <v>2304</v>
      </c>
      <c r="E53" cm="1">
        <f t="array" ref="E53">_xll.EQNXTDZ($A$1,$B53,E$1)</f>
        <v>2382</v>
      </c>
      <c r="F53" cm="1">
        <f t="array" ref="F53">_xll.EQNXTDZ($A$1,$B53,F$1)</f>
        <v>2061.5700000000002</v>
      </c>
      <c r="G53" cm="1">
        <f t="array" ref="G53">_xll.EQNXTDZ($A$1,$B53,G$1)</f>
        <v>1554.28</v>
      </c>
      <c r="H53" cm="1">
        <f t="array" ref="H53">_xll.EQNXTDZ($A$1,$B53,H$1)</f>
        <v>969.5</v>
      </c>
      <c r="I53" cm="1">
        <f t="array" ref="I53">_xll.EQNXTDZ($A$1,$B53,I$1)</f>
        <v>812.03</v>
      </c>
      <c r="J53" cm="1">
        <f t="array" ref="J53">_xll.EQNXTDZ($A$1,$B53,J$1)</f>
        <v>591.98</v>
      </c>
      <c r="K53" cm="1">
        <f t="array" ref="K53">_xll.EQNXTDZ($A$1,$B53,K$1)</f>
        <v>628.21</v>
      </c>
      <c r="L53" cm="1">
        <f t="array" ref="L53">_xll.EQNXTDZ($A$1,$B53,L$1)</f>
        <v>2207.4499999999998</v>
      </c>
      <c r="M53" cm="1">
        <f t="array" ref="M53">_xll.EQNXTDZ($A$1,$B53,M$1)</f>
        <v>1944.99</v>
      </c>
      <c r="N53" cm="1">
        <f t="array" ref="N53">_xll.EQNXTDZ($A$1,$B53,N$1)</f>
        <v>3656.42</v>
      </c>
      <c r="O53" cm="1">
        <f t="array" ref="O53">_xll.EQNXTDZ($A$1,$B53,O$1)</f>
        <v>5947.31</v>
      </c>
      <c r="P53" cm="1">
        <f t="array" ref="P53">_xll.EQNXTDZ($A$1,$B53,P$1)</f>
        <v>7417.22</v>
      </c>
      <c r="Q53" cm="1">
        <f t="array" ref="Q53">_xll.EQNXTDZ($A$1,$B53,Q$1)</f>
        <v>13517.57</v>
      </c>
      <c r="R53" cm="1">
        <f t="array" ref="R53">_xll.EQNXTDZ($A$1,$B53,R$1)</f>
        <v>27996.400000000001</v>
      </c>
      <c r="S53" cm="1">
        <f t="array" ref="S53">_xll.EQNXTDZ($A$1,$B53,S$1)</f>
        <v>25305.03</v>
      </c>
      <c r="T53" cm="1">
        <f t="array" ref="T53">_xll.EQNXTDZ($A$1,$B53,T$1)</f>
        <v>28207.27</v>
      </c>
      <c r="U53" cm="1">
        <f t="array" ref="U53">_xll.EQNXTDZ($A$1,$B53,U$1)</f>
        <v>19118.96</v>
      </c>
      <c r="V53" cm="1">
        <f t="array" ref="V53">_xll.EQNXTDZ($A$1,$B53,V$1)</f>
        <v>14320.1</v>
      </c>
      <c r="W53" cm="1">
        <f t="array" ref="W53">_xll.EQNXTDZ($A$1,$B53,W$1)</f>
        <v>12262.02</v>
      </c>
      <c r="X53" cm="1">
        <f t="array" ref="X53">_xll.EQNXTDZ($A$1,$B53,X$1)</f>
        <v>9851.93</v>
      </c>
      <c r="Y53" cm="1">
        <f t="array" ref="Y53">_xll.EQNXTDZ($A$1,$B53,Y$1)</f>
        <v>8053.61</v>
      </c>
      <c r="Z53" cm="1">
        <f t="array" ref="Z53">_xll.EQNXTDZ($A$1,$B53,Z$1)</f>
        <v>6845.26</v>
      </c>
      <c r="AA53" cm="1">
        <f t="array" ref="AA53">_xll.EQNXTDZ($A$1,$B53,AA$1)</f>
        <v>5358.49</v>
      </c>
      <c r="AB53" cm="1">
        <f t="array" ref="AB53">_xll.EQNXTDZ($A$1,$B53,AB$1)</f>
        <v>4249.99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204</v>
      </c>
      <c r="B54" t="s">
        <v>207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3.03</v>
      </c>
      <c r="I54" cm="1">
        <f t="array" ref="I54">_xll.EQNXTDZ($A$1,$B54,I$1)</f>
        <v>3.2</v>
      </c>
      <c r="J54" cm="1">
        <f t="array" ref="J54">_xll.EQNXTDZ($A$1,$B54,J$1)</f>
        <v>2.95</v>
      </c>
      <c r="K54" cm="1">
        <f t="array" ref="K54">_xll.EQNXTDZ($A$1,$B54,K$1)</f>
        <v>2.97</v>
      </c>
      <c r="L54" cm="1">
        <f t="array" ref="L54">_xll.EQNXTDZ($A$1,$B54,L$1)</f>
        <v>2.5099999999999998</v>
      </c>
      <c r="M54" cm="1">
        <f t="array" ref="M54">_xll.EQNXTDZ($A$1,$B54,M$1)</f>
        <v>2.92</v>
      </c>
      <c r="N54" cm="1">
        <f t="array" ref="N54">_xll.EQNXTDZ($A$1,$B54,N$1)</f>
        <v>2.52</v>
      </c>
      <c r="O54" cm="1">
        <f t="array" ref="O54">_xll.EQNXTDZ($A$1,$B54,O$1)</f>
        <v>2.46</v>
      </c>
      <c r="P54" cm="1">
        <f t="array" ref="P54">_xll.EQNXTDZ($A$1,$B54,P$1)</f>
        <v>2.34</v>
      </c>
      <c r="Q54" cm="1">
        <f t="array" ref="Q54">_xll.EQNXTDZ($A$1,$B54,Q$1)</f>
        <v>2.11</v>
      </c>
      <c r="R54" cm="1">
        <f t="array" ref="R54">_xll.EQNXTDZ($A$1,$B54,R$1)</f>
        <v>2.11</v>
      </c>
      <c r="S54" cm="1">
        <f t="array" ref="S54">_xll.EQNXTDZ($A$1,$B54,S$1)</f>
        <v>2.2000000000000002</v>
      </c>
      <c r="T54" cm="1">
        <f t="array" ref="T54">_xll.EQNXTDZ($A$1,$B54,T$1)</f>
        <v>1.92</v>
      </c>
      <c r="U54" cm="1">
        <f t="array" ref="U54">_xll.EQNXTDZ($A$1,$B54,U$1)</f>
        <v>2.56</v>
      </c>
      <c r="V54" cm="1">
        <f t="array" ref="V54">_xll.EQNXTDZ($A$1,$B54,V$1)</f>
        <v>2.93</v>
      </c>
      <c r="W54" cm="1">
        <f t="array" ref="W54">_xll.EQNXTDZ($A$1,$B54,W$1)</f>
        <v>2.48</v>
      </c>
      <c r="X54" cm="1">
        <f t="array" ref="X54">_xll.EQNXTDZ($A$1,$B54,X$1)</f>
        <v>2.36</v>
      </c>
      <c r="Y54" cm="1">
        <f t="array" ref="Y54">_xll.EQNXTDZ($A$1,$B54,Y$1)</f>
        <v>3.01</v>
      </c>
      <c r="Z54" cm="1">
        <f t="array" ref="Z54">_xll.EQNXTDZ($A$1,$B54,Z$1)</f>
        <v>2.97</v>
      </c>
      <c r="AA54" cm="1">
        <f t="array" ref="AA54">_xll.EQNXTDZ($A$1,$B54,AA$1)</f>
        <v>2.82</v>
      </c>
      <c r="AB54" cm="1">
        <f t="array" ref="AB54">_xll.EQNXTDZ($A$1,$B54,AB$1)</f>
        <v>2.52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55</v>
      </c>
      <c r="B58" t="s">
        <v>56</v>
      </c>
    </row>
    <row r="59" spans="1:32" x14ac:dyDescent="0.25">
      <c r="A59" t="s">
        <v>123</v>
      </c>
      <c r="B59" t="s">
        <v>142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124</v>
      </c>
      <c r="B60" t="s">
        <v>143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58</v>
      </c>
      <c r="B61" t="s">
        <v>144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57</v>
      </c>
      <c r="B62" t="s">
        <v>145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7" customFormat="1" x14ac:dyDescent="0.25">
      <c r="A63" s="107" t="s">
        <v>16</v>
      </c>
      <c r="B63" s="107" t="s">
        <v>120</v>
      </c>
      <c r="C63" cm="1">
        <f t="array" ref="C63">_xll.EQNXTDZ($A$1,$B63,C$1)</f>
        <v>638.41690000000006</v>
      </c>
      <c r="D63" cm="1">
        <f t="array" ref="D63">_xll.EQNXTDZ($A$1,$B63,D$1)</f>
        <v>488.08339999999998</v>
      </c>
      <c r="E63" cm="1">
        <f t="array" ref="E63">_xll.EQNXTDZ($A$1,$B63,E$1)</f>
        <v>488.14069999999998</v>
      </c>
      <c r="F63" cm="1">
        <f t="array" ref="F63">_xll.EQNXTDZ($A$1,$B63,F$1)</f>
        <v>488.14179999999999</v>
      </c>
      <c r="G63" cm="1">
        <f t="array" ref="G63">_xll.EQNXTDZ($A$1,$B63,G$1)</f>
        <v>488.14190000000002</v>
      </c>
      <c r="H63" cm="1">
        <f t="array" ref="H63">_xll.EQNXTDZ($A$1,$B63,H$1)</f>
        <v>488.14190000000002</v>
      </c>
      <c r="I63" cm="1">
        <f t="array" ref="I63">_xll.EQNXTDZ($A$1,$B63,I$1)</f>
        <v>488.142</v>
      </c>
      <c r="J63" cm="1">
        <f t="array" ref="J63">_xll.EQNXTDZ($A$1,$B63,J$1)</f>
        <v>525.91459999999995</v>
      </c>
      <c r="K63" cm="1">
        <f t="array" ref="K63">_xll.EQNXTDZ($A$1,$B63,K$1)</f>
        <v>525.91459999999995</v>
      </c>
      <c r="L63" cm="1">
        <f t="array" ref="L63">_xll.EQNXTDZ($A$1,$B63,L$1)</f>
        <v>525.91459999999995</v>
      </c>
      <c r="M63" cm="1">
        <f t="array" ref="M63">_xll.EQNXTDZ($A$1,$B63,M$1)</f>
        <v>547.21950000000004</v>
      </c>
      <c r="N63" cm="1">
        <f t="array" ref="N63">_xll.EQNXTDZ($A$1,$B63,N$1)</f>
        <v>574.51949999999999</v>
      </c>
      <c r="O63" cm="1">
        <f t="array" ref="O63">_xll.EQNXTDZ($A$1,$B63,O$1)</f>
        <v>596.64139999999998</v>
      </c>
      <c r="P63" cm="1">
        <f t="array" ref="P63">_xll.EQNXTDZ($A$1,$B63,P$1)</f>
        <v>643.00210000000004</v>
      </c>
      <c r="Q63" cm="1">
        <f t="array" ref="Q63">_xll.EQNXTDZ($A$1,$B63,Q$1)</f>
        <v>665.64760000000001</v>
      </c>
      <c r="R63" cm="1">
        <f t="array" ref="R63">_xll.EQNXTDZ($A$1,$B63,R$1)</f>
        <v>817.29160000000002</v>
      </c>
      <c r="S63" cm="1">
        <f t="array" ref="S63">_xll.EQNXTDZ($A$1,$B63,S$1)</f>
        <v>1055.4341999999999</v>
      </c>
      <c r="T63" cm="1">
        <f t="array" ref="T63">_xll.EQNXTDZ($A$1,$B63,T$1)</f>
        <v>1743.7175</v>
      </c>
      <c r="U63" cm="1">
        <f t="array" ref="U63">_xll.EQNXTDZ($A$1,$B63,U$1)</f>
        <v>2760.0284999999999</v>
      </c>
      <c r="V63" cm="1">
        <f t="array" ref="V63">_xll.EQNXTDZ($A$1,$B63,V$1)</f>
        <v>3277.6624999999999</v>
      </c>
      <c r="W63" cm="1">
        <f t="array" ref="W63">_xll.EQNXTDZ($A$1,$B63,W$1)</f>
        <v>3277.6624999999999</v>
      </c>
      <c r="X63" cm="1">
        <f t="array" ref="X63">_xll.EQNXTDZ($A$1,$B63,X$1)</f>
        <v>4104.3051999999998</v>
      </c>
      <c r="Y63" cm="1">
        <f t="array" ref="Y63">_xll.EQNXTDZ($A$1,$B63,Y$1)</f>
        <v>4104.3051999999998</v>
      </c>
      <c r="Z63" cm="1">
        <f t="array" ref="Z63">_xll.EQNXTDZ($A$1,$B63,Z$1)</f>
        <v>4553.4070000000002</v>
      </c>
      <c r="AA63" cm="1">
        <f t="array" ref="AA63">_xll.EQNXTDZ($A$1,$B63,AA$1)</f>
        <v>4553.4070000000002</v>
      </c>
      <c r="AB63" cm="1">
        <f t="array" ref="AB63">_xll.EQNXTDZ($A$1,$B63,AB$1)</f>
        <v>4553.4070000000002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201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1303.6479999999999</v>
      </c>
      <c r="S64" cm="1">
        <f t="array" ref="S64">_xll.EQNXTDZ($A$1,$B64,S$1)</f>
        <v>1721.9175</v>
      </c>
      <c r="T64" cm="1">
        <f t="array" ref="T64">_xll.EQNXTDZ($A$1,$B64,T$1)</f>
        <v>0</v>
      </c>
      <c r="U64" cm="1">
        <f t="array" ref="U64">_xll.EQNXTDZ($A$1,$B64,U$1)</f>
        <v>4638</v>
      </c>
      <c r="V64" cm="1">
        <f t="array" ref="V64">_xll.EQNXTDZ($A$1,$B64,V$1)</f>
        <v>0</v>
      </c>
      <c r="W64" cm="1">
        <f t="array" ref="W64">_xll.EQNXTDZ($A$1,$B64,W$1)</f>
        <v>3000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7" customFormat="1" x14ac:dyDescent="0.25">
      <c r="A65" s="107" t="s">
        <v>18</v>
      </c>
      <c r="B65" s="107" t="s">
        <v>121</v>
      </c>
      <c r="C65" cm="1">
        <f t="array" ref="C65">_xll.EQNXTDZ($A$1,$B65,C$1)</f>
        <v>2048.0790000000002</v>
      </c>
      <c r="D65" cm="1">
        <f t="array" ref="D65">_xll.EQNXTDZ($A$1,$B65,D$1)</f>
        <v>2356.9693000000002</v>
      </c>
      <c r="E65" cm="1">
        <f t="array" ref="E65">_xll.EQNXTDZ($A$1,$B65,E$1)</f>
        <v>3052.6359000000002</v>
      </c>
      <c r="F65" cm="1">
        <f t="array" ref="F65">_xll.EQNXTDZ($A$1,$B65,F$1)</f>
        <v>3521.5245</v>
      </c>
      <c r="G65" cm="1">
        <f t="array" ref="G65">_xll.EQNXTDZ($A$1,$B65,G$1)</f>
        <v>3976.7287000000001</v>
      </c>
      <c r="H65" cm="1">
        <f t="array" ref="H65">_xll.EQNXTDZ($A$1,$B65,H$1)</f>
        <v>4495.7464</v>
      </c>
      <c r="I65" cm="1">
        <f t="array" ref="I65">_xll.EQNXTDZ($A$1,$B65,I$1)</f>
        <v>5407.2332999999999</v>
      </c>
      <c r="J65" cm="1">
        <f t="array" ref="J65">_xll.EQNXTDZ($A$1,$B65,J$1)</f>
        <v>10063.4764</v>
      </c>
      <c r="K65" cm="1">
        <f t="array" ref="K65">_xll.EQNXTDZ($A$1,$B65,K$1)</f>
        <v>12969.0067</v>
      </c>
      <c r="L65" cm="1">
        <f t="array" ref="L65">_xll.EQNXTDZ($A$1,$B65,L$1)</f>
        <v>13704.0792</v>
      </c>
      <c r="M65" cm="1">
        <f t="array" ref="M65">_xll.EQNXTDZ($A$1,$B65,M$1)</f>
        <v>16743.460200000001</v>
      </c>
      <c r="N65" cm="1">
        <f t="array" ref="N65">_xll.EQNXTDZ($A$1,$B65,N$1)</f>
        <v>20387.265299999999</v>
      </c>
      <c r="O65" cm="1">
        <f t="array" ref="O65">_xll.EQNXTDZ($A$1,$B65,O$1)</f>
        <v>23321.514800000001</v>
      </c>
      <c r="P65" cm="1">
        <f t="array" ref="P65">_xll.EQNXTDZ($A$1,$B65,P$1)</f>
        <v>29280.081999999999</v>
      </c>
      <c r="Q65" cm="1">
        <f t="array" ref="Q65">_xll.EQNXTDZ($A$1,$B65,Q$1)</f>
        <v>30781.091199999999</v>
      </c>
      <c r="R65" cm="1">
        <f t="array" ref="R65">_xll.EQNXTDZ($A$1,$B65,R$1)</f>
        <v>30196.280599999998</v>
      </c>
      <c r="S65" cm="1">
        <f t="array" ref="S65">_xll.EQNXTDZ($A$1,$B65,S$1)</f>
        <v>29709.723399999999</v>
      </c>
      <c r="T65" cm="1">
        <f t="array" ref="T65">_xll.EQNXTDZ($A$1,$B65,T$1)</f>
        <v>33796.927799999998</v>
      </c>
      <c r="U65" cm="1">
        <f t="array" ref="U65">_xll.EQNXTDZ($A$1,$B65,U$1)</f>
        <v>38921.125</v>
      </c>
      <c r="V65" cm="1">
        <f t="array" ref="V65">_xll.EQNXTDZ($A$1,$B65,V$1)</f>
        <v>40538.654000000002</v>
      </c>
      <c r="W65" cm="1">
        <f t="array" ref="W65">_xll.EQNXTDZ($A$1,$B65,W$1)</f>
        <v>42407.925900000002</v>
      </c>
      <c r="X65" cm="1">
        <f t="array" ref="X65">_xll.EQNXTDZ($A$1,$B65,X$1)</f>
        <v>51026.933900000004</v>
      </c>
      <c r="Y65" cm="1">
        <f t="array" ref="Y65">_xll.EQNXTDZ($A$1,$B65,Y$1)</f>
        <v>54866.308799999999</v>
      </c>
      <c r="Z65" cm="1">
        <f t="array" ref="Z65">_xll.EQNXTDZ($A$1,$B65,Z$1)</f>
        <v>64327.264300000003</v>
      </c>
      <c r="AA65" cm="1">
        <f t="array" ref="AA65">_xll.EQNXTDZ($A$1,$B65,AA$1)</f>
        <v>74048.034599999999</v>
      </c>
      <c r="AB65" cm="1">
        <f t="array" ref="AB65">_xll.EQNXTDZ($A$1,$B65,AB$1)</f>
        <v>83436.808099999995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7" customFormat="1" x14ac:dyDescent="0.25">
      <c r="A66" s="107" t="s">
        <v>5</v>
      </c>
      <c r="B66" s="107" t="s">
        <v>146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7" customFormat="1" x14ac:dyDescent="0.25">
      <c r="A67" s="107" t="s">
        <v>119</v>
      </c>
      <c r="B67" s="107" t="s">
        <v>122</v>
      </c>
      <c r="C67" cm="1">
        <f t="array" ref="C67">_xll.EQNXTDZ($A$1,$B67,C$1)</f>
        <v>51678.814299999998</v>
      </c>
      <c r="D67" cm="1">
        <f t="array" ref="D67">_xll.EQNXTDZ($A$1,$B67,D$1)</f>
        <v>59588.700299999997</v>
      </c>
      <c r="E67" cm="1">
        <f t="array" ref="E67">_xll.EQNXTDZ($A$1,$B67,E$1)</f>
        <v>64453.5959</v>
      </c>
      <c r="F67" cm="1">
        <f t="array" ref="F67">_xll.EQNXTDZ($A$1,$B67,F$1)</f>
        <v>71482.430099999998</v>
      </c>
      <c r="G67" cm="1">
        <f t="array" ref="G67">_xll.EQNXTDZ($A$1,$B67,G$1)</f>
        <v>78821.437900000004</v>
      </c>
      <c r="H67" cm="1">
        <f t="array" ref="H67">_xll.EQNXTDZ($A$1,$B67,H$1)</f>
        <v>93932.031700000007</v>
      </c>
      <c r="I67" cm="1">
        <f t="array" ref="I67">_xll.EQNXTDZ($A$1,$B67,I$1)</f>
        <v>119881.7362</v>
      </c>
      <c r="J67" cm="1">
        <f t="array" ref="J67">_xll.EQNXTDZ($A$1,$B67,J$1)</f>
        <v>150011.98120000001</v>
      </c>
      <c r="K67" cm="1">
        <f t="array" ref="K67">_xll.EQNXTDZ($A$1,$B67,K$1)</f>
        <v>189708.4797</v>
      </c>
      <c r="L67" cm="1">
        <f t="array" ref="L67">_xll.EQNXTDZ($A$1,$B67,L$1)</f>
        <v>229761.94390000001</v>
      </c>
      <c r="M67" cm="1">
        <f t="array" ref="M67">_xll.EQNXTDZ($A$1,$B67,M$1)</f>
        <v>298885.8063</v>
      </c>
      <c r="N67" cm="1">
        <f t="array" ref="N67">_xll.EQNXTDZ($A$1,$B67,N$1)</f>
        <v>318216.03320000001</v>
      </c>
      <c r="O67" cm="1">
        <f t="array" ref="O67">_xll.EQNXTDZ($A$1,$B67,O$1)</f>
        <v>381839.58590000001</v>
      </c>
      <c r="P67" cm="1">
        <f t="array" ref="P67">_xll.EQNXTDZ($A$1,$B67,P$1)</f>
        <v>476974.05180000002</v>
      </c>
      <c r="Q67" cm="1">
        <f t="array" ref="Q67">_xll.EQNXTDZ($A$1,$B67,Q$1)</f>
        <v>531906.63459999999</v>
      </c>
      <c r="R67" cm="1">
        <f t="array" ref="R67">_xll.EQNXTDZ($A$1,$B67,R$1)</f>
        <v>513004.52179999999</v>
      </c>
      <c r="S67" cm="1">
        <f t="array" ref="S67">_xll.EQNXTDZ($A$1,$B67,S$1)</f>
        <v>540032.00780000002</v>
      </c>
      <c r="T67" cm="1">
        <f t="array" ref="T67">_xll.EQNXTDZ($A$1,$B67,T$1)</f>
        <v>520854.37829999998</v>
      </c>
      <c r="U67" cm="1">
        <f t="array" ref="U67">_xll.EQNXTDZ($A$1,$B67,U$1)</f>
        <v>520862.34850000002</v>
      </c>
      <c r="V67" cm="1">
        <f t="array" ref="V67">_xll.EQNXTDZ($A$1,$B67,V$1)</f>
        <v>555504.97860000003</v>
      </c>
      <c r="W67" cm="1">
        <f t="array" ref="W67">_xll.EQNXTDZ($A$1,$B67,W$1)</f>
        <v>627113.5601</v>
      </c>
      <c r="X67" cm="1">
        <f t="array" ref="X67">_xll.EQNXTDZ($A$1,$B67,X$1)</f>
        <v>627895.95909999998</v>
      </c>
      <c r="Y67" cm="1">
        <f t="array" ref="Y67">_xll.EQNXTDZ($A$1,$B67,Y$1)</f>
        <v>669585.77130000002</v>
      </c>
      <c r="Z67" cm="1">
        <f t="array" ref="Z67">_xll.EQNXTDZ($A$1,$B67,Z$1)</f>
        <v>737920.2058</v>
      </c>
      <c r="AA67" cm="1">
        <f t="array" ref="AA67">_xll.EQNXTDZ($A$1,$B67,AA$1)</f>
        <v>816541.48739999998</v>
      </c>
      <c r="AB67" cm="1">
        <f t="array" ref="AB67">_xll.EQNXTDZ($A$1,$B67,AB$1)</f>
        <v>927270.88199999998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7" customFormat="1" x14ac:dyDescent="0.25">
      <c r="A68" s="107" t="s">
        <v>125</v>
      </c>
      <c r="B68" s="107" t="s">
        <v>147</v>
      </c>
      <c r="C68" cm="1">
        <f t="array" ref="C68">_xll.EQNXTDZ($A$1,$B68,C$1)</f>
        <v>1797.5462</v>
      </c>
      <c r="D68" cm="1">
        <f t="array" ref="D68">_xll.EQNXTDZ($A$1,$B68,D$1)</f>
        <v>3469.6176</v>
      </c>
      <c r="E68" cm="1">
        <f t="array" ref="E68">_xll.EQNXTDZ($A$1,$B68,E$1)</f>
        <v>4026.9286000000002</v>
      </c>
      <c r="F68" cm="1">
        <f t="array" ref="F68">_xll.EQNXTDZ($A$1,$B68,F$1)</f>
        <v>4041.4683</v>
      </c>
      <c r="G68" cm="1">
        <f t="array" ref="G68">_xll.EQNXTDZ($A$1,$B68,G$1)</f>
        <v>5961.9537</v>
      </c>
      <c r="H68" cm="1">
        <f t="array" ref="H68">_xll.EQNXTDZ($A$1,$B68,H$1)</f>
        <v>5893.9102000000003</v>
      </c>
      <c r="I68" cm="1">
        <f t="array" ref="I68">_xll.EQNXTDZ($A$1,$B68,I$1)</f>
        <v>6620.8269</v>
      </c>
      <c r="J68" cm="1">
        <f t="array" ref="J68">_xll.EQNXTDZ($A$1,$B68,J$1)</f>
        <v>7172.4489999999996</v>
      </c>
      <c r="K68" cm="1">
        <f t="array" ref="K68">_xll.EQNXTDZ($A$1,$B68,K$1)</f>
        <v>15673.180200000001</v>
      </c>
      <c r="L68" cm="1">
        <f t="array" ref="L68">_xll.EQNXTDZ($A$1,$B68,L$1)</f>
        <v>22399.895499999999</v>
      </c>
      <c r="M68" cm="1">
        <f t="array" ref="M68">_xll.EQNXTDZ($A$1,$B68,M$1)</f>
        <v>22021.375599999999</v>
      </c>
      <c r="N68" cm="1">
        <f t="array" ref="N68">_xll.EQNXTDZ($A$1,$B68,N$1)</f>
        <v>32114.224999999999</v>
      </c>
      <c r="O68" cm="1">
        <f t="array" ref="O68">_xll.EQNXTDZ($A$1,$B68,O$1)</f>
        <v>35367.584799999997</v>
      </c>
      <c r="P68" cm="1">
        <f t="array" ref="P68">_xll.EQNXTDZ($A$1,$B68,P$1)</f>
        <v>48427.510300000002</v>
      </c>
      <c r="Q68" cm="1">
        <f t="array" ref="Q68">_xll.EQNXTDZ($A$1,$B68,Q$1)</f>
        <v>40057.137900000002</v>
      </c>
      <c r="R68" cm="1">
        <f t="array" ref="R68">_xll.EQNXTDZ($A$1,$B68,R$1)</f>
        <v>51083.144200000002</v>
      </c>
      <c r="S68" cm="1">
        <f t="array" ref="S68">_xll.EQNXTDZ($A$1,$B68,S$1)</f>
        <v>39405.665099999998</v>
      </c>
      <c r="T68" cm="1">
        <f t="array" ref="T68">_xll.EQNXTDZ($A$1,$B68,T$1)</f>
        <v>43588.775300000001</v>
      </c>
      <c r="U68" cm="1">
        <f t="array" ref="U68">_xll.EQNXTDZ($A$1,$B68,U$1)</f>
        <v>44241.167800000003</v>
      </c>
      <c r="V68" cm="1">
        <f t="array" ref="V68">_xll.EQNXTDZ($A$1,$B68,V$1)</f>
        <v>39752.465900000003</v>
      </c>
      <c r="W68" cm="1">
        <f t="array" ref="W68">_xll.EQNXTDZ($A$1,$B68,W$1)</f>
        <v>32464.105500000001</v>
      </c>
      <c r="X68" cm="1">
        <f t="array" ref="X68">_xll.EQNXTDZ($A$1,$B68,X$1)</f>
        <v>26760.366600000001</v>
      </c>
      <c r="Y68" cm="1">
        <f t="array" ref="Y68">_xll.EQNXTDZ($A$1,$B68,Y$1)</f>
        <v>64979.023200000003</v>
      </c>
      <c r="Z68" cm="1">
        <f t="array" ref="Z68">_xll.EQNXTDZ($A$1,$B68,Z$1)</f>
        <v>80924.067800000004</v>
      </c>
      <c r="AA68" cm="1">
        <f t="array" ref="AA68">_xll.EQNXTDZ($A$1,$B68,AA$1)</f>
        <v>123856.42690000001</v>
      </c>
      <c r="AB68" cm="1">
        <f t="array" ref="AB68">_xll.EQNXTDZ($A$1,$B68,AB$1)</f>
        <v>118591.5386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7" customFormat="1" x14ac:dyDescent="0.25">
      <c r="A69" s="107" t="s">
        <v>126</v>
      </c>
      <c r="B69" s="107" t="s">
        <v>148</v>
      </c>
      <c r="C69" cm="1">
        <f t="array" ref="C69">_xll.EQNXTDZ($A$1,$B69,C$1)</f>
        <v>3403.7093</v>
      </c>
      <c r="D69" cm="1">
        <f t="array" ref="D69">_xll.EQNXTDZ($A$1,$B69,D$1)</f>
        <v>3902.4902999999999</v>
      </c>
      <c r="E69" cm="1">
        <f t="array" ref="E69">_xll.EQNXTDZ($A$1,$B69,E$1)</f>
        <v>4605.4723000000004</v>
      </c>
      <c r="F69" cm="1">
        <f t="array" ref="F69">_xll.EQNXTDZ($A$1,$B69,F$1)</f>
        <v>5326.4279999999999</v>
      </c>
      <c r="G69" cm="1">
        <f t="array" ref="G69">_xll.EQNXTDZ($A$1,$B69,G$1)</f>
        <v>5729.9213</v>
      </c>
      <c r="H69" cm="1">
        <f t="array" ref="H69">_xll.EQNXTDZ($A$1,$B69,H$1)</f>
        <v>7464.4441999999999</v>
      </c>
      <c r="I69" cm="1">
        <f t="array" ref="I69">_xll.EQNXTDZ($A$1,$B69,I$1)</f>
        <v>9419.0529000000006</v>
      </c>
      <c r="J69" cm="1">
        <f t="array" ref="J69">_xll.EQNXTDZ($A$1,$B69,J$1)</f>
        <v>11056.156499999999</v>
      </c>
      <c r="K69" cm="1">
        <f t="array" ref="K69">_xll.EQNXTDZ($A$1,$B69,K$1)</f>
        <v>6625.1859000000004</v>
      </c>
      <c r="L69" cm="1">
        <f t="array" ref="L69">_xll.EQNXTDZ($A$1,$B69,L$1)</f>
        <v>8574.6252999999997</v>
      </c>
      <c r="M69" cm="1">
        <f t="array" ref="M69">_xll.EQNXTDZ($A$1,$B69,M$1)</f>
        <v>12974.6875</v>
      </c>
      <c r="N69" cm="1">
        <f t="array" ref="N69">_xll.EQNXTDZ($A$1,$B69,N$1)</f>
        <v>13243.428400000001</v>
      </c>
      <c r="O69" cm="1">
        <f t="array" ref="O69">_xll.EQNXTDZ($A$1,$B69,O$1)</f>
        <v>11477.3914</v>
      </c>
      <c r="P69" cm="1">
        <f t="array" ref="P69">_xll.EQNXTDZ($A$1,$B69,P$1)</f>
        <v>17865.5527</v>
      </c>
      <c r="Q69" cm="1">
        <f t="array" ref="Q69">_xll.EQNXTDZ($A$1,$B69,Q$1)</f>
        <v>15287.2459</v>
      </c>
      <c r="R69" cm="1">
        <f t="array" ref="R69">_xll.EQNXTDZ($A$1,$B69,R$1)</f>
        <v>13509.040499999999</v>
      </c>
      <c r="S69" cm="1">
        <f t="array" ref="S69">_xll.EQNXTDZ($A$1,$B69,S$1)</f>
        <v>14384.518599999999</v>
      </c>
      <c r="T69" cm="1">
        <f t="array" ref="T69">_xll.EQNXTDZ($A$1,$B69,T$1)</f>
        <v>9591.0270999999993</v>
      </c>
      <c r="U69" cm="1">
        <f t="array" ref="U69">_xll.EQNXTDZ($A$1,$B69,U$1)</f>
        <v>13800.1739</v>
      </c>
      <c r="V69" cm="1">
        <f t="array" ref="V69">_xll.EQNXTDZ($A$1,$B69,V$1)</f>
        <v>17921.720700000002</v>
      </c>
      <c r="W69" cm="1">
        <f t="array" ref="W69">_xll.EQNXTDZ($A$1,$B69,W$1)</f>
        <v>17593.191599999998</v>
      </c>
      <c r="X69" cm="1">
        <f t="array" ref="X69">_xll.EQNXTDZ($A$1,$B69,X$1)</f>
        <v>24826.447499999998</v>
      </c>
      <c r="Y69" cm="1">
        <f t="array" ref="Y69">_xll.EQNXTDZ($A$1,$B69,Y$1)</f>
        <v>22020.2058</v>
      </c>
      <c r="Z69" cm="1">
        <f t="array" ref="Z69">_xll.EQNXTDZ($A$1,$B69,Z$1)</f>
        <v>24872.979899999998</v>
      </c>
      <c r="AA69" cm="1">
        <f t="array" ref="AA69">_xll.EQNXTDZ($A$1,$B69,AA$1)</f>
        <v>23582.590700000001</v>
      </c>
      <c r="AB69" cm="1">
        <f t="array" ref="AB69">_xll.EQNXTDZ($A$1,$B69,AB$1)</f>
        <v>29580.150900000001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7" customFormat="1" x14ac:dyDescent="0.25">
      <c r="A70" s="107" t="s">
        <v>127</v>
      </c>
      <c r="B70" s="107" t="s">
        <v>149</v>
      </c>
      <c r="C70" cm="1">
        <f t="array" ref="C70">_xll.EQNXTDZ($A$1,$B70,C$1)</f>
        <v>59566.565699999999</v>
      </c>
      <c r="D70" cm="1">
        <f t="array" ref="D70">_xll.EQNXTDZ($A$1,$B70,D$1)</f>
        <v>69805.8609</v>
      </c>
      <c r="E70" cm="1">
        <f t="array" ref="E70">_xll.EQNXTDZ($A$1,$B70,E$1)</f>
        <v>76626.773400000005</v>
      </c>
      <c r="F70" cm="1">
        <f t="array" ref="F70">_xll.EQNXTDZ($A$1,$B70,F$1)</f>
        <v>84859.992700000003</v>
      </c>
      <c r="G70" cm="1">
        <f t="array" ref="G70">_xll.EQNXTDZ($A$1,$B70,G$1)</f>
        <v>94978.183499999999</v>
      </c>
      <c r="H70" cm="1">
        <f t="array" ref="H70">_xll.EQNXTDZ($A$1,$B70,H$1)</f>
        <v>112274.27439999999</v>
      </c>
      <c r="I70" cm="1">
        <f t="array" ref="I70">_xll.EQNXTDZ($A$1,$B70,I$1)</f>
        <v>141816.99129999999</v>
      </c>
      <c r="J70" cm="1">
        <f t="array" ref="J70">_xll.EQNXTDZ($A$1,$B70,J$1)</f>
        <v>178829.97769999999</v>
      </c>
      <c r="K70" cm="1">
        <f t="array" ref="K70">_xll.EQNXTDZ($A$1,$B70,K$1)</f>
        <v>225501.7671</v>
      </c>
      <c r="L70" cm="1">
        <f t="array" ref="L70">_xll.EQNXTDZ($A$1,$B70,L$1)</f>
        <v>274966.45850000001</v>
      </c>
      <c r="M70" cm="1">
        <f t="array" ref="M70">_xll.EQNXTDZ($A$1,$B70,M$1)</f>
        <v>351172.5491</v>
      </c>
      <c r="N70" cm="1">
        <f t="array" ref="N70">_xll.EQNXTDZ($A$1,$B70,N$1)</f>
        <v>384535.47139999998</v>
      </c>
      <c r="O70" cm="1">
        <f t="array" ref="O70">_xll.EQNXTDZ($A$1,$B70,O$1)</f>
        <v>452602.71830000001</v>
      </c>
      <c r="P70" cm="1">
        <f t="array" ref="P70">_xll.EQNXTDZ($A$1,$B70,P$1)</f>
        <v>573190.19889999996</v>
      </c>
      <c r="Q70" cm="1">
        <f t="array" ref="Q70">_xll.EQNXTDZ($A$1,$B70,Q$1)</f>
        <v>618697.75719999999</v>
      </c>
      <c r="R70" cm="1">
        <f t="array" ref="R70">_xll.EQNXTDZ($A$1,$B70,R$1)</f>
        <v>609913.92669999995</v>
      </c>
      <c r="S70" cm="1">
        <f t="array" ref="S70">_xll.EQNXTDZ($A$1,$B70,S$1)</f>
        <v>626309.26659999997</v>
      </c>
      <c r="T70" cm="1">
        <f t="array" ref="T70">_xll.EQNXTDZ($A$1,$B70,T$1)</f>
        <v>609574.826</v>
      </c>
      <c r="U70" cm="1">
        <f t="array" ref="U70">_xll.EQNXTDZ($A$1,$B70,U$1)</f>
        <v>625222.84369999997</v>
      </c>
      <c r="V70" cm="1">
        <f t="array" ref="V70">_xll.EQNXTDZ($A$1,$B70,V$1)</f>
        <v>656995.4817</v>
      </c>
      <c r="W70" cm="1">
        <f t="array" ref="W70">_xll.EQNXTDZ($A$1,$B70,W$1)</f>
        <v>725856.44559999998</v>
      </c>
      <c r="X70" cm="1">
        <f t="array" ref="X70">_xll.EQNXTDZ($A$1,$B70,X$1)</f>
        <v>734614.01229999994</v>
      </c>
      <c r="Y70" cm="1">
        <f t="array" ref="Y70">_xll.EQNXTDZ($A$1,$B70,Y$1)</f>
        <v>815555.61430000002</v>
      </c>
      <c r="Z70" cm="1">
        <f t="array" ref="Z70">_xll.EQNXTDZ($A$1,$B70,Z$1)</f>
        <v>912597.92480000004</v>
      </c>
      <c r="AA70" cm="1">
        <f t="array" ref="AA70">_xll.EQNXTDZ($A$1,$B70,AA$1)</f>
        <v>1042581.9466</v>
      </c>
      <c r="AB70" cm="1">
        <f t="array" ref="AB70">_xll.EQNXTDZ($A$1,$B70,AB$1)</f>
        <v>1163432.7866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7" customFormat="1" x14ac:dyDescent="0.25">
      <c r="A71" s="107" t="s">
        <v>128</v>
      </c>
      <c r="B71" s="107" t="s">
        <v>150</v>
      </c>
      <c r="C71" cm="1">
        <f t="array" ref="C71">_xll.EQNXTDZ($A$1,$B71,C$1)</f>
        <v>3836.1424000000002</v>
      </c>
      <c r="D71" cm="1">
        <f t="array" ref="D71">_xll.EQNXTDZ($A$1,$B71,D$1)</f>
        <v>3632.1617000000001</v>
      </c>
      <c r="E71" cm="1">
        <f t="array" ref="E71">_xll.EQNXTDZ($A$1,$B71,E$1)</f>
        <v>3349.7914000000001</v>
      </c>
      <c r="F71" cm="1">
        <f t="array" ref="F71">_xll.EQNXTDZ($A$1,$B71,F$1)</f>
        <v>4230.9363999999996</v>
      </c>
      <c r="G71" cm="1">
        <f t="array" ref="G71">_xll.EQNXTDZ($A$1,$B71,G$1)</f>
        <v>3904.7231999999999</v>
      </c>
      <c r="H71" cm="1">
        <f t="array" ref="H71">_xll.EQNXTDZ($A$1,$B71,H$1)</f>
        <v>5588.4159</v>
      </c>
      <c r="I71" cm="1">
        <f t="array" ref="I71">_xll.EQNXTDZ($A$1,$B71,I$1)</f>
        <v>7196.8894</v>
      </c>
      <c r="J71" cm="1">
        <f t="array" ref="J71">_xll.EQNXTDZ($A$1,$B71,J$1)</f>
        <v>11741.8505</v>
      </c>
      <c r="K71" cm="1">
        <f t="array" ref="K71">_xll.EQNXTDZ($A$1,$B71,K$1)</f>
        <v>8915.2844999999998</v>
      </c>
      <c r="L71" cm="1">
        <f t="array" ref="L71">_xll.EQNXTDZ($A$1,$B71,L$1)</f>
        <v>15602.624</v>
      </c>
      <c r="M71" cm="1">
        <f t="array" ref="M71">_xll.EQNXTDZ($A$1,$B71,M$1)</f>
        <v>21782.433199999999</v>
      </c>
      <c r="N71" cm="1">
        <f t="array" ref="N71">_xll.EQNXTDZ($A$1,$B71,N$1)</f>
        <v>14986.71</v>
      </c>
      <c r="O71" cm="1">
        <f t="array" ref="O71">_xll.EQNXTDZ($A$1,$B71,O$1)</f>
        <v>21967.036499999998</v>
      </c>
      <c r="P71" cm="1">
        <f t="array" ref="P71">_xll.EQNXTDZ($A$1,$B71,P$1)</f>
        <v>19073.4437</v>
      </c>
      <c r="Q71" cm="1">
        <f t="array" ref="Q71">_xll.EQNXTDZ($A$1,$B71,Q$1)</f>
        <v>27170.032800000001</v>
      </c>
      <c r="R71" cm="1">
        <f t="array" ref="R71">_xll.EQNXTDZ($A$1,$B71,R$1)</f>
        <v>33961.614800000003</v>
      </c>
      <c r="S71" cm="1">
        <f t="array" ref="S71">_xll.EQNXTDZ($A$1,$B71,S$1)</f>
        <v>27347.662100000001</v>
      </c>
      <c r="T71" cm="1">
        <f t="array" ref="T71">_xll.EQNXTDZ($A$1,$B71,T$1)</f>
        <v>31347.8449</v>
      </c>
      <c r="U71" cm="1">
        <f t="array" ref="U71">_xll.EQNXTDZ($A$1,$B71,U$1)</f>
        <v>29236.562600000001</v>
      </c>
      <c r="V71" cm="1">
        <f t="array" ref="V71">_xll.EQNXTDZ($A$1,$B71,V$1)</f>
        <v>29239.250800000002</v>
      </c>
      <c r="W71" cm="1">
        <f t="array" ref="W71">_xll.EQNXTDZ($A$1,$B71,W$1)</f>
        <v>60697.567799999997</v>
      </c>
      <c r="X71" cm="1">
        <f t="array" ref="X71">_xll.EQNXTDZ($A$1,$B71,X$1)</f>
        <v>40280.577799999999</v>
      </c>
      <c r="Y71" cm="1">
        <f t="array" ref="Y71">_xll.EQNXTDZ($A$1,$B71,Y$1)</f>
        <v>44034.505400000002</v>
      </c>
      <c r="Z71" cm="1">
        <f t="array" ref="Z71">_xll.EQNXTDZ($A$1,$B71,Z$1)</f>
        <v>38556.268700000001</v>
      </c>
      <c r="AA71" cm="1">
        <f t="array" ref="AA71">_xll.EQNXTDZ($A$1,$B71,AA$1)</f>
        <v>51730.425300000003</v>
      </c>
      <c r="AB71" cm="1">
        <f t="array" ref="AB71">_xll.EQNXTDZ($A$1,$B71,AB$1)</f>
        <v>47300.067900000002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7" customFormat="1" x14ac:dyDescent="0.25">
      <c r="A72" s="107" t="s">
        <v>129</v>
      </c>
      <c r="B72" s="107" t="s">
        <v>151</v>
      </c>
      <c r="C72" cm="1">
        <f t="array" ref="C72">_xll.EQNXTDZ($A$1,$B72,C$1)</f>
        <v>2587.9036999999998</v>
      </c>
      <c r="D72" cm="1">
        <f t="array" ref="D72">_xll.EQNXTDZ($A$1,$B72,D$1)</f>
        <v>2973.0713999999998</v>
      </c>
      <c r="E72" cm="1">
        <f t="array" ref="E72">_xll.EQNXTDZ($A$1,$B72,E$1)</f>
        <v>3648.1624000000002</v>
      </c>
      <c r="F72" cm="1">
        <f t="array" ref="F72">_xll.EQNXTDZ($A$1,$B72,F$1)</f>
        <v>4327.0099</v>
      </c>
      <c r="G72" cm="1">
        <f t="array" ref="G72">_xll.EQNXTDZ($A$1,$B72,G$1)</f>
        <v>3621.5273000000002</v>
      </c>
      <c r="H72" cm="1">
        <f t="array" ref="H72">_xll.EQNXTDZ($A$1,$B72,H$1)</f>
        <v>5857.5685999999996</v>
      </c>
      <c r="I72" cm="1">
        <f t="array" ref="I72">_xll.EQNXTDZ($A$1,$B72,I$1)</f>
        <v>10208.6456</v>
      </c>
      <c r="J72" cm="1">
        <f t="array" ref="J72">_xll.EQNXTDZ($A$1,$B72,J$1)</f>
        <v>5975.5388999999996</v>
      </c>
      <c r="K72" cm="1">
        <f t="array" ref="K72">_xll.EQNXTDZ($A$1,$B72,K$1)</f>
        <v>12845.971100000001</v>
      </c>
      <c r="L72" cm="1">
        <f t="array" ref="L72">_xll.EQNXTDZ($A$1,$B72,L$1)</f>
        <v>15627.5098</v>
      </c>
      <c r="M72" cm="1">
        <f t="array" ref="M72">_xll.EQNXTDZ($A$1,$B72,M$1)</f>
        <v>15527.5558</v>
      </c>
      <c r="N72" cm="1">
        <f t="array" ref="N72">_xll.EQNXTDZ($A$1,$B72,N$1)</f>
        <v>19724.5445</v>
      </c>
      <c r="O72" cm="1">
        <f t="array" ref="O72">_xll.EQNXTDZ($A$1,$B72,O$1)</f>
        <v>32868.822899999999</v>
      </c>
      <c r="P72" cm="1">
        <f t="array" ref="P72">_xll.EQNXTDZ($A$1,$B72,P$1)</f>
        <v>42308.850100000003</v>
      </c>
      <c r="Q72" cm="1">
        <f t="array" ref="Q72">_xll.EQNXTDZ($A$1,$B72,Q$1)</f>
        <v>45510.188000000002</v>
      </c>
      <c r="R72" cm="1">
        <f t="array" ref="R72">_xll.EQNXTDZ($A$1,$B72,R$1)</f>
        <v>65179.684600000001</v>
      </c>
      <c r="S72" cm="1">
        <f t="array" ref="S72">_xll.EQNXTDZ($A$1,$B72,S$1)</f>
        <v>68540.291100000002</v>
      </c>
      <c r="T72" cm="1">
        <f t="array" ref="T72">_xll.EQNXTDZ($A$1,$B72,T$1)</f>
        <v>64534.664299999997</v>
      </c>
      <c r="U72" cm="1">
        <f t="array" ref="U72">_xll.EQNXTDZ($A$1,$B72,U$1)</f>
        <v>65574.923800000004</v>
      </c>
      <c r="V72" cm="1">
        <f t="array" ref="V72">_xll.EQNXTDZ($A$1,$B72,V$1)</f>
        <v>57217.054600000003</v>
      </c>
      <c r="W72" cm="1">
        <f t="array" ref="W72">_xll.EQNXTDZ($A$1,$B72,W$1)</f>
        <v>65883.100699999995</v>
      </c>
      <c r="X72" cm="1">
        <f t="array" ref="X72">_xll.EQNXTDZ($A$1,$B72,X$1)</f>
        <v>51277.061099999999</v>
      </c>
      <c r="Y72" cm="1">
        <f t="array" ref="Y72">_xll.EQNXTDZ($A$1,$B72,Y$1)</f>
        <v>40360.813099999999</v>
      </c>
      <c r="Z72" cm="1">
        <f t="array" ref="Z72">_xll.EQNXTDZ($A$1,$B72,Z$1)</f>
        <v>44380.863700000002</v>
      </c>
      <c r="AA72" cm="1">
        <f t="array" ref="AA72">_xll.EQNXTDZ($A$1,$B72,AA$1)</f>
        <v>48550.482600000003</v>
      </c>
      <c r="AB72" cm="1">
        <f t="array" ref="AB72">_xll.EQNXTDZ($A$1,$B72,AB$1)</f>
        <v>51604.789299999997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7" customFormat="1" x14ac:dyDescent="0.25">
      <c r="A73" s="107" t="s">
        <v>130</v>
      </c>
      <c r="B73" s="107" t="s">
        <v>152</v>
      </c>
      <c r="C73" cm="1">
        <f t="array" ref="C73">_xll.EQNXTDZ($A$1,$B73,C$1)</f>
        <v>18224.870800000001</v>
      </c>
      <c r="D73" cm="1">
        <f t="array" ref="D73">_xll.EQNXTDZ($A$1,$B73,D$1)</f>
        <v>22083.536499999998</v>
      </c>
      <c r="E73" cm="1">
        <f t="array" ref="E73">_xll.EQNXTDZ($A$1,$B73,E$1)</f>
        <v>24434.842499999999</v>
      </c>
      <c r="F73" cm="1">
        <f t="array" ref="F73">_xll.EQNXTDZ($A$1,$B73,F$1)</f>
        <v>27162.886200000001</v>
      </c>
      <c r="G73" cm="1">
        <f t="array" ref="G73">_xll.EQNXTDZ($A$1,$B73,G$1)</f>
        <v>28202.623</v>
      </c>
      <c r="H73" cm="1">
        <f t="array" ref="H73">_xll.EQNXTDZ($A$1,$B73,H$1)</f>
        <v>31781.754199999999</v>
      </c>
      <c r="I73" cm="1">
        <f t="array" ref="I73">_xll.EQNXTDZ($A$1,$B73,I$1)</f>
        <v>35492.7618</v>
      </c>
      <c r="J73" cm="1">
        <f t="array" ref="J73">_xll.EQNXTDZ($A$1,$B73,J$1)</f>
        <v>41802.876700000001</v>
      </c>
      <c r="K73" cm="1">
        <f t="array" ref="K73">_xll.EQNXTDZ($A$1,$B73,K$1)</f>
        <v>52607.179100000001</v>
      </c>
      <c r="L73" cm="1">
        <f t="array" ref="L73">_xll.EQNXTDZ($A$1,$B73,L$1)</f>
        <v>67080.179499999998</v>
      </c>
      <c r="M73" cm="1">
        <f t="array" ref="M73">_xll.EQNXTDZ($A$1,$B73,M$1)</f>
        <v>85872.417600000001</v>
      </c>
      <c r="N73" cm="1">
        <f t="array" ref="N73">_xll.EQNXTDZ($A$1,$B73,N$1)</f>
        <v>86753.5861</v>
      </c>
      <c r="O73" cm="1">
        <f t="array" ref="O73">_xll.EQNXTDZ($A$1,$B73,O$1)</f>
        <v>94613.431800000006</v>
      </c>
      <c r="P73" cm="1">
        <f t="array" ref="P73">_xll.EQNXTDZ($A$1,$B73,P$1)</f>
        <v>114152.43700000001</v>
      </c>
      <c r="Q73" cm="1">
        <f t="array" ref="Q73">_xll.EQNXTDZ($A$1,$B73,Q$1)</f>
        <v>119792.0482</v>
      </c>
      <c r="R73" cm="1">
        <f t="array" ref="R73">_xll.EQNXTDZ($A$1,$B73,R$1)</f>
        <v>118848.912</v>
      </c>
      <c r="S73" cm="1">
        <f t="array" ref="S73">_xll.EQNXTDZ($A$1,$B73,S$1)</f>
        <v>127826.8631</v>
      </c>
      <c r="T73" cm="1">
        <f t="array" ref="T73">_xll.EQNXTDZ($A$1,$B73,T$1)</f>
        <v>137111.1122</v>
      </c>
      <c r="U73" cm="1">
        <f t="array" ref="U73">_xll.EQNXTDZ($A$1,$B73,U$1)</f>
        <v>147639.035</v>
      </c>
      <c r="V73" cm="1">
        <f t="array" ref="V73">_xll.EQNXTDZ($A$1,$B73,V$1)</f>
        <v>158572.98740000001</v>
      </c>
      <c r="W73" cm="1">
        <f t="array" ref="W73">_xll.EQNXTDZ($A$1,$B73,W$1)</f>
        <v>187252.8456</v>
      </c>
      <c r="X73" cm="1">
        <f t="array" ref="X73">_xll.EQNXTDZ($A$1,$B73,X$1)</f>
        <v>174448.40659999999</v>
      </c>
      <c r="Y73" cm="1">
        <f t="array" ref="Y73">_xll.EQNXTDZ($A$1,$B73,Y$1)</f>
        <v>204397.87710000001</v>
      </c>
      <c r="Z73" cm="1">
        <f t="array" ref="Z73">_xll.EQNXTDZ($A$1,$B73,Z$1)</f>
        <v>227144.46770000001</v>
      </c>
      <c r="AA73" cm="1">
        <f t="array" ref="AA73">_xll.EQNXTDZ($A$1,$B73,AA$1)</f>
        <v>259111.80480000001</v>
      </c>
      <c r="AB73" cm="1">
        <f t="array" ref="AB73">_xll.EQNXTDZ($A$1,$B73,AB$1)</f>
        <v>268629.30339999998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7" customFormat="1" x14ac:dyDescent="0.25">
      <c r="A74" s="107" t="s">
        <v>49</v>
      </c>
      <c r="B74" s="107" t="s">
        <v>153</v>
      </c>
      <c r="C74" cm="1">
        <f t="array" ref="C74">_xll.EQNXTDZ($A$1,$B74,C$1)</f>
        <v>31823.137200000001</v>
      </c>
      <c r="D74" cm="1">
        <f t="array" ref="D74">_xll.EQNXTDZ($A$1,$B74,D$1)</f>
        <v>38310.781199999998</v>
      </c>
      <c r="E74" cm="1">
        <f t="array" ref="E74">_xll.EQNXTDZ($A$1,$B74,E$1)</f>
        <v>42633.181499999999</v>
      </c>
      <c r="F74" cm="1">
        <f t="array" ref="F74">_xll.EQNXTDZ($A$1,$B74,F$1)</f>
        <v>45855.896999999997</v>
      </c>
      <c r="G74" cm="1">
        <f t="array" ref="G74">_xll.EQNXTDZ($A$1,$B74,G$1)</f>
        <v>56012.584799999997</v>
      </c>
      <c r="H74" cm="1">
        <f t="array" ref="H74">_xll.EQNXTDZ($A$1,$B74,H$1)</f>
        <v>65173.744400000003</v>
      </c>
      <c r="I74" cm="1">
        <f t="array" ref="I74">_xll.EQNXTDZ($A$1,$B74,I$1)</f>
        <v>85115.894400000005</v>
      </c>
      <c r="J74" cm="1">
        <f t="array" ref="J74">_xll.EQNXTDZ($A$1,$B74,J$1)</f>
        <v>113476.32640000001</v>
      </c>
      <c r="K74" cm="1">
        <f t="array" ref="K74">_xll.EQNXTDZ($A$1,$B74,K$1)</f>
        <v>142909.3738</v>
      </c>
      <c r="L74" cm="1">
        <f t="array" ref="L74">_xll.EQNXTDZ($A$1,$B74,L$1)</f>
        <v>168490.70980000001</v>
      </c>
      <c r="M74" cm="1">
        <f t="array" ref="M74">_xll.EQNXTDZ($A$1,$B74,M$1)</f>
        <v>213096.18169999999</v>
      </c>
      <c r="N74" cm="1">
        <f t="array" ref="N74">_xll.EQNXTDZ($A$1,$B74,N$1)</f>
        <v>248833.34419999999</v>
      </c>
      <c r="O74" cm="1">
        <f t="array" ref="O74">_xll.EQNXTDZ($A$1,$B74,O$1)</f>
        <v>289367.49719999998</v>
      </c>
      <c r="P74" cm="1">
        <f t="array" ref="P74">_xll.EQNXTDZ($A$1,$B74,P$1)</f>
        <v>370733.53639999998</v>
      </c>
      <c r="Q74" cm="1">
        <f t="array" ref="Q74">_xll.EQNXTDZ($A$1,$B74,Q$1)</f>
        <v>402025.5465</v>
      </c>
      <c r="R74" cm="1">
        <f t="array" ref="R74">_xll.EQNXTDZ($A$1,$B74,R$1)</f>
        <v>359188.95919999998</v>
      </c>
      <c r="S74" cm="1">
        <f t="array" ref="S74">_xll.EQNXTDZ($A$1,$B74,S$1)</f>
        <v>366481.66710000002</v>
      </c>
      <c r="T74" cm="1">
        <f t="array" ref="T74">_xll.EQNXTDZ($A$1,$B74,T$1)</f>
        <v>341380.18660000002</v>
      </c>
      <c r="U74" cm="1">
        <f t="array" ref="U74">_xll.EQNXTDZ($A$1,$B74,U$1)</f>
        <v>341005.94429999997</v>
      </c>
      <c r="V74" cm="1">
        <f t="array" ref="V74">_xll.EQNXTDZ($A$1,$B74,V$1)</f>
        <v>368883.30410000001</v>
      </c>
      <c r="W74" cm="1">
        <f t="array" ref="W74">_xll.EQNXTDZ($A$1,$B74,W$1)</f>
        <v>365686.52389999997</v>
      </c>
      <c r="X74" cm="1">
        <f t="array" ref="X74">_xll.EQNXTDZ($A$1,$B74,X$1)</f>
        <v>420841.79070000001</v>
      </c>
      <c r="Y74" cm="1">
        <f t="array" ref="Y74">_xll.EQNXTDZ($A$1,$B74,Y$1)</f>
        <v>485899.63520000002</v>
      </c>
      <c r="Z74" cm="1">
        <f t="array" ref="Z74">_xll.EQNXTDZ($A$1,$B74,Z$1)</f>
        <v>563144.66540000006</v>
      </c>
      <c r="AA74" cm="1">
        <f t="array" ref="AA74">_xll.EQNXTDZ($A$1,$B74,AA$1)</f>
        <v>649657.04139999999</v>
      </c>
      <c r="AB74" cm="1">
        <f t="array" ref="AB74">_xll.EQNXTDZ($A$1,$B74,AB$1)</f>
        <v>760334.88190000004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7" customFormat="1" x14ac:dyDescent="0.25">
      <c r="A75" s="107" t="s">
        <v>131</v>
      </c>
      <c r="B75" s="107" t="s">
        <v>154</v>
      </c>
      <c r="C75" cm="1">
        <f t="array" ref="C75">_xll.EQNXTDZ($A$1,$B75,C$1)</f>
        <v>1250.2363</v>
      </c>
      <c r="D75" cm="1">
        <f t="array" ref="D75">_xll.EQNXTDZ($A$1,$B75,D$1)</f>
        <v>1173.6162999999999</v>
      </c>
      <c r="E75" cm="1">
        <f t="array" ref="E75">_xll.EQNXTDZ($A$1,$B75,E$1)</f>
        <v>1330.7665999999999</v>
      </c>
      <c r="F75" cm="1">
        <f t="array" ref="F75">_xll.EQNXTDZ($A$1,$B75,F$1)</f>
        <v>1459.9197999999999</v>
      </c>
      <c r="G75" cm="1">
        <f t="array" ref="G75">_xll.EQNXTDZ($A$1,$B75,G$1)</f>
        <v>1574.9998000000001</v>
      </c>
      <c r="H75" cm="1">
        <f t="array" ref="H75">_xll.EQNXTDZ($A$1,$B75,H$1)</f>
        <v>1673.9952000000001</v>
      </c>
      <c r="I75" cm="1">
        <f t="array" ref="I75">_xll.EQNXTDZ($A$1,$B75,I$1)</f>
        <v>1733.4965</v>
      </c>
      <c r="J75" cm="1">
        <f t="array" ref="J75">_xll.EQNXTDZ($A$1,$B75,J$1)</f>
        <v>3448.4351000000001</v>
      </c>
      <c r="K75" cm="1">
        <f t="array" ref="K75">_xll.EQNXTDZ($A$1,$B75,K$1)</f>
        <v>3578.2336</v>
      </c>
      <c r="L75" cm="1">
        <f t="array" ref="L75">_xll.EQNXTDZ($A$1,$B75,L$1)</f>
        <v>3790.8074999999999</v>
      </c>
      <c r="M75" cm="1">
        <f t="array" ref="M75">_xll.EQNXTDZ($A$1,$B75,M$1)</f>
        <v>4020.1237000000001</v>
      </c>
      <c r="N75" cm="1">
        <f t="array" ref="N75">_xll.EQNXTDZ($A$1,$B75,N$1)</f>
        <v>4628.2160999999996</v>
      </c>
      <c r="O75" cm="1">
        <f t="array" ref="O75">_xll.EQNXTDZ($A$1,$B75,O$1)</f>
        <v>4918.0724</v>
      </c>
      <c r="P75" cm="1">
        <f t="array" ref="P75">_xll.EQNXTDZ($A$1,$B75,P$1)</f>
        <v>8181.4564</v>
      </c>
      <c r="Q75" cm="1">
        <f t="array" ref="Q75">_xll.EQNXTDZ($A$1,$B75,Q$1)</f>
        <v>8765.2769000000008</v>
      </c>
      <c r="R75" cm="1">
        <f t="array" ref="R75">_xll.EQNXTDZ($A$1,$B75,R$1)</f>
        <v>11991.703600000001</v>
      </c>
      <c r="S75" cm="1">
        <f t="array" ref="S75">_xll.EQNXTDZ($A$1,$B75,S$1)</f>
        <v>10518.0859</v>
      </c>
      <c r="T75" cm="1">
        <f t="array" ref="T75">_xll.EQNXTDZ($A$1,$B75,T$1)</f>
        <v>4983.4957999999997</v>
      </c>
      <c r="U75" cm="1">
        <f t="array" ref="U75">_xll.EQNXTDZ($A$1,$B75,U$1)</f>
        <v>11541.447899999999</v>
      </c>
      <c r="V75" cm="1">
        <f t="array" ref="V75">_xll.EQNXTDZ($A$1,$B75,V$1)</f>
        <v>11821.906800000001</v>
      </c>
      <c r="W75" cm="1">
        <f t="array" ref="W75">_xll.EQNXTDZ($A$1,$B75,W$1)</f>
        <v>12046.627200000001</v>
      </c>
      <c r="X75" cm="1">
        <f t="array" ref="X75">_xll.EQNXTDZ($A$1,$B75,X$1)</f>
        <v>13139.510899999999</v>
      </c>
      <c r="Y75" cm="1">
        <f t="array" ref="Y75">_xll.EQNXTDZ($A$1,$B75,Y$1)</f>
        <v>13905.801100000001</v>
      </c>
      <c r="Z75" cm="1">
        <f t="array" ref="Z75">_xll.EQNXTDZ($A$1,$B75,Z$1)</f>
        <v>14619.091899999999</v>
      </c>
      <c r="AA75" cm="1">
        <f t="array" ref="AA75">_xll.EQNXTDZ($A$1,$B75,AA$1)</f>
        <v>16626.297999999999</v>
      </c>
      <c r="AB75" cm="1">
        <f t="array" ref="AB75">_xll.EQNXTDZ($A$1,$B75,AB$1)</f>
        <v>17156.4146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7" customFormat="1" x14ac:dyDescent="0.25">
      <c r="A76" s="107" t="s">
        <v>132</v>
      </c>
      <c r="B76" s="107" t="s">
        <v>155</v>
      </c>
      <c r="C76" cm="1">
        <f t="array" ref="C76">_xll.EQNXTDZ($A$1,$B76,C$1)</f>
        <v>540.59209999999996</v>
      </c>
      <c r="D76" cm="1">
        <f t="array" ref="D76">_xll.EQNXTDZ($A$1,$B76,D$1)</f>
        <v>519.4873</v>
      </c>
      <c r="E76" cm="1">
        <f t="array" ref="E76">_xll.EQNXTDZ($A$1,$B76,E$1)</f>
        <v>603.0797</v>
      </c>
      <c r="F76" cm="1">
        <f t="array" ref="F76">_xll.EQNXTDZ($A$1,$B76,F$1)</f>
        <v>687.19320000000005</v>
      </c>
      <c r="G76" cm="1">
        <f t="array" ref="G76">_xll.EQNXTDZ($A$1,$B76,G$1)</f>
        <v>783.41489999999999</v>
      </c>
      <c r="H76" cm="1">
        <f t="array" ref="H76">_xll.EQNXTDZ($A$1,$B76,H$1)</f>
        <v>874.70529999999997</v>
      </c>
      <c r="I76" cm="1">
        <f t="array" ref="I76">_xll.EQNXTDZ($A$1,$B76,I$1)</f>
        <v>955.61270000000002</v>
      </c>
      <c r="J76" cm="1">
        <f t="array" ref="J76">_xll.EQNXTDZ($A$1,$B76,J$1)</f>
        <v>1049.2836</v>
      </c>
      <c r="K76" cm="1">
        <f t="array" ref="K76">_xll.EQNXTDZ($A$1,$B76,K$1)</f>
        <v>1156.7529999999999</v>
      </c>
      <c r="L76" cm="1">
        <f t="array" ref="L76">_xll.EQNXTDZ($A$1,$B76,L$1)</f>
        <v>1504.0719999999999</v>
      </c>
      <c r="M76" cm="1">
        <f t="array" ref="M76">_xll.EQNXTDZ($A$1,$B76,M$1)</f>
        <v>1654.1944000000001</v>
      </c>
      <c r="N76" cm="1">
        <f t="array" ref="N76">_xll.EQNXTDZ($A$1,$B76,N$1)</f>
        <v>1905.2629999999999</v>
      </c>
      <c r="O76" cm="1">
        <f t="array" ref="O76">_xll.EQNXTDZ($A$1,$B76,O$1)</f>
        <v>2139.1446000000001</v>
      </c>
      <c r="P76" cm="1">
        <f t="array" ref="P76">_xll.EQNXTDZ($A$1,$B76,P$1)</f>
        <v>2537.9571000000001</v>
      </c>
      <c r="Q76" cm="1">
        <f t="array" ref="Q76">_xll.EQNXTDZ($A$1,$B76,Q$1)</f>
        <v>2992.3620000000001</v>
      </c>
      <c r="R76" cm="1">
        <f t="array" ref="R76">_xll.EQNXTDZ($A$1,$B76,R$1)</f>
        <v>3701.9258</v>
      </c>
      <c r="S76" cm="1">
        <f t="array" ref="S76">_xll.EQNXTDZ($A$1,$B76,S$1)</f>
        <v>2252.7673</v>
      </c>
      <c r="T76" cm="1">
        <f t="array" ref="T76">_xll.EQNXTDZ($A$1,$B76,T$1)</f>
        <v>2781.5092</v>
      </c>
      <c r="U76" cm="1">
        <f t="array" ref="U76">_xll.EQNXTDZ($A$1,$B76,U$1)</f>
        <v>2821.2365</v>
      </c>
      <c r="V76" cm="1">
        <f t="array" ref="V76">_xll.EQNXTDZ($A$1,$B76,V$1)</f>
        <v>3131.5382</v>
      </c>
      <c r="W76" cm="1">
        <f t="array" ref="W76">_xll.EQNXTDZ($A$1,$B76,W$1)</f>
        <v>3496.3560000000002</v>
      </c>
      <c r="X76" cm="1">
        <f t="array" ref="X76">_xll.EQNXTDZ($A$1,$B76,X$1)</f>
        <v>3649.9544999999998</v>
      </c>
      <c r="Y76" cm="1">
        <f t="array" ref="Y76">_xll.EQNXTDZ($A$1,$B76,Y$1)</f>
        <v>4053.3717000000001</v>
      </c>
      <c r="Z76" cm="1">
        <f t="array" ref="Z76">_xll.EQNXTDZ($A$1,$B76,Z$1)</f>
        <v>4540.2781000000004</v>
      </c>
      <c r="AA76" cm="1">
        <f t="array" ref="AA76">_xll.EQNXTDZ($A$1,$B76,AA$1)</f>
        <v>4866.3752999999997</v>
      </c>
      <c r="AB76" cm="1">
        <f t="array" ref="AB76">_xll.EQNXTDZ($A$1,$B76,AB$1)</f>
        <v>5609.5573999999997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7" customFormat="1" x14ac:dyDescent="0.25">
      <c r="A77" s="107" t="s">
        <v>133</v>
      </c>
      <c r="B77" s="107" t="s">
        <v>156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7" customFormat="1" x14ac:dyDescent="0.25">
      <c r="A78" s="107" t="s">
        <v>20</v>
      </c>
      <c r="B78" s="107" t="s">
        <v>157</v>
      </c>
      <c r="C78" cm="1">
        <f t="array" ref="C78">_xll.EQNXTDZ($A$1,$B78,C$1)</f>
        <v>709.64419999999996</v>
      </c>
      <c r="D78" cm="1">
        <f t="array" ref="D78">_xll.EQNXTDZ($A$1,$B78,D$1)</f>
        <v>654.12900000000002</v>
      </c>
      <c r="E78" cm="1">
        <f t="array" ref="E78">_xll.EQNXTDZ($A$1,$B78,E$1)</f>
        <v>727.68690000000004</v>
      </c>
      <c r="F78" cm="1">
        <f t="array" ref="F78">_xll.EQNXTDZ($A$1,$B78,F$1)</f>
        <v>772.72659999999996</v>
      </c>
      <c r="G78" cm="1">
        <f t="array" ref="G78">_xll.EQNXTDZ($A$1,$B78,G$1)</f>
        <v>791.58489999999995</v>
      </c>
      <c r="H78" cm="1">
        <f t="array" ref="H78">_xll.EQNXTDZ($A$1,$B78,H$1)</f>
        <v>799.28989999999999</v>
      </c>
      <c r="I78" cm="1">
        <f t="array" ref="I78">_xll.EQNXTDZ($A$1,$B78,I$1)</f>
        <v>777.88379999999995</v>
      </c>
      <c r="J78" cm="1">
        <f t="array" ref="J78">_xll.EQNXTDZ($A$1,$B78,J$1)</f>
        <v>2399.1514999999999</v>
      </c>
      <c r="K78" cm="1">
        <f t="array" ref="K78">_xll.EQNXTDZ($A$1,$B78,K$1)</f>
        <v>2421.4805999999999</v>
      </c>
      <c r="L78" cm="1">
        <f t="array" ref="L78">_xll.EQNXTDZ($A$1,$B78,L$1)</f>
        <v>2286.7354999999998</v>
      </c>
      <c r="M78" cm="1">
        <f t="array" ref="M78">_xll.EQNXTDZ($A$1,$B78,M$1)</f>
        <v>2365.9292999999998</v>
      </c>
      <c r="N78" cm="1">
        <f t="array" ref="N78">_xll.EQNXTDZ($A$1,$B78,N$1)</f>
        <v>2722.9531000000002</v>
      </c>
      <c r="O78" cm="1">
        <f t="array" ref="O78">_xll.EQNXTDZ($A$1,$B78,O$1)</f>
        <v>2778.9277999999999</v>
      </c>
      <c r="P78" cm="1">
        <f t="array" ref="P78">_xll.EQNXTDZ($A$1,$B78,P$1)</f>
        <v>5643.4993000000004</v>
      </c>
      <c r="Q78" cm="1">
        <f t="array" ref="Q78">_xll.EQNXTDZ($A$1,$B78,Q$1)</f>
        <v>5772.9148999999998</v>
      </c>
      <c r="R78" cm="1">
        <f t="array" ref="R78">_xll.EQNXTDZ($A$1,$B78,R$1)</f>
        <v>8289.7777999999998</v>
      </c>
      <c r="S78" cm="1">
        <f t="array" ref="S78">_xll.EQNXTDZ($A$1,$B78,S$1)</f>
        <v>8265.3186000000005</v>
      </c>
      <c r="T78" cm="1">
        <f t="array" ref="T78">_xll.EQNXTDZ($A$1,$B78,T$1)</f>
        <v>2201.9866000000002</v>
      </c>
      <c r="U78" cm="1">
        <f t="array" ref="U78">_xll.EQNXTDZ($A$1,$B78,U$1)</f>
        <v>8720.2114000000001</v>
      </c>
      <c r="V78" cm="1">
        <f t="array" ref="V78">_xll.EQNXTDZ($A$1,$B78,V$1)</f>
        <v>8690.3685999999998</v>
      </c>
      <c r="W78" cm="1">
        <f t="array" ref="W78">_xll.EQNXTDZ($A$1,$B78,W$1)</f>
        <v>8550.2711999999992</v>
      </c>
      <c r="X78" cm="1">
        <f t="array" ref="X78">_xll.EQNXTDZ($A$1,$B78,X$1)</f>
        <v>9489.5563999999995</v>
      </c>
      <c r="Y78" cm="1">
        <f t="array" ref="Y78">_xll.EQNXTDZ($A$1,$B78,Y$1)</f>
        <v>9852.4294000000009</v>
      </c>
      <c r="Z78" cm="1">
        <f t="array" ref="Z78">_xll.EQNXTDZ($A$1,$B78,Z$1)</f>
        <v>10078.8138</v>
      </c>
      <c r="AA78" cm="1">
        <f t="array" ref="AA78">_xll.EQNXTDZ($A$1,$B78,AA$1)</f>
        <v>11759.922699999999</v>
      </c>
      <c r="AB78" cm="1">
        <f t="array" ref="AB78">_xll.EQNXTDZ($A$1,$B78,AB$1)</f>
        <v>11546.8572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7" customFormat="1" x14ac:dyDescent="0.25">
      <c r="A79" s="107" t="s">
        <v>134</v>
      </c>
      <c r="B79" s="107" t="s">
        <v>158</v>
      </c>
      <c r="C79" cm="1">
        <f t="array" ref="C79">_xll.EQNXTDZ($A$1,$B79,C$1)</f>
        <v>26.2212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7" customFormat="1" x14ac:dyDescent="0.25">
      <c r="A80" s="107" t="s">
        <v>135</v>
      </c>
      <c r="B80" s="107" t="s">
        <v>159</v>
      </c>
      <c r="C80" cm="1">
        <f t="array" ref="C80">_xll.EQNXTDZ($A$1,$B80,C$1)</f>
        <v>27.286799999999999</v>
      </c>
      <c r="D80" cm="1">
        <f t="array" ref="D80">_xll.EQNXTDZ($A$1,$B80,D$1)</f>
        <v>50.540999999999997</v>
      </c>
      <c r="E80" cm="1">
        <f t="array" ref="E80">_xll.EQNXTDZ($A$1,$B80,E$1)</f>
        <v>9.0143000000000004</v>
      </c>
      <c r="F80" cm="1">
        <f t="array" ref="F80">_xll.EQNXTDZ($A$1,$B80,F$1)</f>
        <v>25.8627</v>
      </c>
      <c r="G80" cm="1">
        <f t="array" ref="G80">_xll.EQNXTDZ($A$1,$B80,G$1)</f>
        <v>22.590699999999998</v>
      </c>
      <c r="H80" cm="1">
        <f t="array" ref="H80">_xll.EQNXTDZ($A$1,$B80,H$1)</f>
        <v>10.676</v>
      </c>
      <c r="I80" cm="1">
        <f t="array" ref="I80">_xll.EQNXTDZ($A$1,$B80,I$1)</f>
        <v>11.4116</v>
      </c>
      <c r="J80" cm="1">
        <f t="array" ref="J80">_xll.EQNXTDZ($A$1,$B80,J$1)</f>
        <v>26.915600000000001</v>
      </c>
      <c r="K80" cm="1">
        <f t="array" ref="K80">_xll.EQNXTDZ($A$1,$B80,K$1)</f>
        <v>110.4541</v>
      </c>
      <c r="L80" cm="1">
        <f t="array" ref="L80">_xll.EQNXTDZ($A$1,$B80,L$1)</f>
        <v>65.073300000000003</v>
      </c>
      <c r="M80" cm="1">
        <f t="array" ref="M80">_xll.EQNXTDZ($A$1,$B80,M$1)</f>
        <v>114.807</v>
      </c>
      <c r="N80" cm="1">
        <f t="array" ref="N80">_xll.EQNXTDZ($A$1,$B80,N$1)</f>
        <v>48.639099999999999</v>
      </c>
      <c r="O80" cm="1">
        <f t="array" ref="O80">_xll.EQNXTDZ($A$1,$B80,O$1)</f>
        <v>91.197599999999994</v>
      </c>
      <c r="P80" cm="1">
        <f t="array" ref="P80">_xll.EQNXTDZ($A$1,$B80,P$1)</f>
        <v>142.5581</v>
      </c>
      <c r="Q80" cm="1">
        <f t="array" ref="Q80">_xll.EQNXTDZ($A$1,$B80,Q$1)</f>
        <v>112.62009999999999</v>
      </c>
      <c r="R80" cm="1">
        <f t="array" ref="R80">_xll.EQNXTDZ($A$1,$B80,R$1)</f>
        <v>190.5335</v>
      </c>
      <c r="S80" cm="1">
        <f t="array" ref="S80">_xll.EQNXTDZ($A$1,$B80,S$1)</f>
        <v>196.5395</v>
      </c>
      <c r="T80" cm="1">
        <f t="array" ref="T80">_xll.EQNXTDZ($A$1,$B80,T$1)</f>
        <v>6063.3008</v>
      </c>
      <c r="U80" cm="1">
        <f t="array" ref="U80">_xll.EQNXTDZ($A$1,$B80,U$1)</f>
        <v>199.82499999999999</v>
      </c>
      <c r="V80" cm="1">
        <f t="array" ref="V80">_xll.EQNXTDZ($A$1,$B80,V$1)</f>
        <v>291.63130000000001</v>
      </c>
      <c r="W80" cm="1">
        <f t="array" ref="W80">_xll.EQNXTDZ($A$1,$B80,W$1)</f>
        <v>363.85969999999998</v>
      </c>
      <c r="X80" cm="1">
        <f t="array" ref="X80">_xll.EQNXTDZ($A$1,$B80,X$1)</f>
        <v>285.39710000000002</v>
      </c>
      <c r="Y80" cm="1">
        <f t="array" ref="Y80">_xll.EQNXTDZ($A$1,$B80,Y$1)</f>
        <v>108.57250000000001</v>
      </c>
      <c r="Z80" cm="1">
        <f t="array" ref="Z80">_xll.EQNXTDZ($A$1,$B80,Z$1)</f>
        <v>147.65020000000001</v>
      </c>
      <c r="AA80" cm="1">
        <f t="array" ref="AA80">_xll.EQNXTDZ($A$1,$B80,AA$1)</f>
        <v>178.79169999999999</v>
      </c>
      <c r="AB80" cm="1">
        <f t="array" ref="AB80">_xll.EQNXTDZ($A$1,$B80,AB$1)</f>
        <v>202.4846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7" customFormat="1" x14ac:dyDescent="0.25">
      <c r="A81" s="107" t="s">
        <v>136</v>
      </c>
      <c r="B81" s="107" t="s">
        <v>160</v>
      </c>
      <c r="C81" cm="1">
        <f t="array" ref="C81">_xll.EQNXTDZ($A$1,$B81,C$1)</f>
        <v>2331.3593999999998</v>
      </c>
      <c r="D81" cm="1">
        <f t="array" ref="D81">_xll.EQNXTDZ($A$1,$B81,D$1)</f>
        <v>2101.6401000000001</v>
      </c>
      <c r="E81" cm="1">
        <f t="array" ref="E81">_xll.EQNXTDZ($A$1,$B81,E$1)</f>
        <v>1824.0944</v>
      </c>
      <c r="F81" cm="1">
        <f t="array" ref="F81">_xll.EQNXTDZ($A$1,$B81,F$1)</f>
        <v>2484.6738999999998</v>
      </c>
      <c r="G81" cm="1">
        <f t="array" ref="G81">_xll.EQNXTDZ($A$1,$B81,G$1)</f>
        <v>2422.5495999999998</v>
      </c>
      <c r="H81" cm="1">
        <f t="array" ref="H81">_xll.EQNXTDZ($A$1,$B81,H$1)</f>
        <v>3062.8254000000002</v>
      </c>
      <c r="I81" cm="1">
        <f t="array" ref="I81">_xll.EQNXTDZ($A$1,$B81,I$1)</f>
        <v>3013.5047</v>
      </c>
      <c r="J81" cm="1">
        <f t="array" ref="J81">_xll.EQNXTDZ($A$1,$B81,J$1)</f>
        <v>3407.3181</v>
      </c>
      <c r="K81" cm="1">
        <f t="array" ref="K81">_xll.EQNXTDZ($A$1,$B81,K$1)</f>
        <v>5692.0239000000001</v>
      </c>
      <c r="L81" cm="1">
        <f t="array" ref="L81">_xll.EQNXTDZ($A$1,$B81,L$1)</f>
        <v>5813.6265999999996</v>
      </c>
      <c r="M81" cm="1">
        <f t="array" ref="M81">_xll.EQNXTDZ($A$1,$B81,M$1)</f>
        <v>12413.2245</v>
      </c>
      <c r="N81" cm="1">
        <f t="array" ref="N81">_xll.EQNXTDZ($A$1,$B81,N$1)</f>
        <v>11465.6944</v>
      </c>
      <c r="O81" cm="1">
        <f t="array" ref="O81">_xll.EQNXTDZ($A$1,$B81,O$1)</f>
        <v>10915.8045</v>
      </c>
      <c r="P81" cm="1">
        <f t="array" ref="P81">_xll.EQNXTDZ($A$1,$B81,P$1)</f>
        <v>21135.874299999999</v>
      </c>
      <c r="Q81" cm="1">
        <f t="array" ref="Q81">_xll.EQNXTDZ($A$1,$B81,Q$1)</f>
        <v>18314.4067</v>
      </c>
      <c r="R81" cm="1">
        <f t="array" ref="R81">_xll.EQNXTDZ($A$1,$B81,R$1)</f>
        <v>24254.444800000001</v>
      </c>
      <c r="S81" cm="1">
        <f t="array" ref="S81">_xll.EQNXTDZ($A$1,$B81,S$1)</f>
        <v>27650.9251</v>
      </c>
      <c r="T81" cm="1">
        <f t="array" ref="T81">_xll.EQNXTDZ($A$1,$B81,T$1)</f>
        <v>26935.730599999999</v>
      </c>
      <c r="U81" cm="1">
        <f t="array" ref="U81">_xll.EQNXTDZ($A$1,$B81,U$1)</f>
        <v>32846.3416</v>
      </c>
      <c r="V81" cm="1">
        <f t="array" ref="V81">_xll.EQNXTDZ($A$1,$B81,V$1)</f>
        <v>34100.884899999997</v>
      </c>
      <c r="W81" cm="1">
        <f t="array" ref="W81">_xll.EQNXTDZ($A$1,$B81,W$1)</f>
        <v>37422.276700000002</v>
      </c>
      <c r="X81" cm="1">
        <f t="array" ref="X81">_xll.EQNXTDZ($A$1,$B81,X$1)</f>
        <v>37991.222600000001</v>
      </c>
      <c r="Y81" cm="1">
        <f t="array" ref="Y81">_xll.EQNXTDZ($A$1,$B81,Y$1)</f>
        <v>30901.781599999998</v>
      </c>
      <c r="Z81" cm="1">
        <f t="array" ref="Z81">_xll.EQNXTDZ($A$1,$B81,Z$1)</f>
        <v>29145.195299999999</v>
      </c>
      <c r="AA81" cm="1">
        <f t="array" ref="AA81">_xll.EQNXTDZ($A$1,$B81,AA$1)</f>
        <v>21593.4781</v>
      </c>
      <c r="AB81" cm="1">
        <f t="array" ref="AB81">_xll.EQNXTDZ($A$1,$B81,AB$1)</f>
        <v>23814.402300000002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7" customFormat="1" x14ac:dyDescent="0.25">
      <c r="A82" s="107" t="s">
        <v>137</v>
      </c>
      <c r="B82" s="107" t="s">
        <v>161</v>
      </c>
      <c r="C82" cm="1">
        <f t="array" ref="C82">_xll.EQNXTDZ($A$1,$B82,C$1)</f>
        <v>59566.565699999999</v>
      </c>
      <c r="D82" cm="1">
        <f t="array" ref="D82">_xll.EQNXTDZ($A$1,$B82,D$1)</f>
        <v>69805.8609</v>
      </c>
      <c r="E82" cm="1">
        <f t="array" ref="E82">_xll.EQNXTDZ($A$1,$B82,E$1)</f>
        <v>76626.773400000005</v>
      </c>
      <c r="F82" cm="1">
        <f t="array" ref="F82">_xll.EQNXTDZ($A$1,$B82,F$1)</f>
        <v>84859.992700000003</v>
      </c>
      <c r="G82" cm="1">
        <f t="array" ref="G82">_xll.EQNXTDZ($A$1,$B82,G$1)</f>
        <v>94978.183499999999</v>
      </c>
      <c r="H82" cm="1">
        <f t="array" ref="H82">_xll.EQNXTDZ($A$1,$B82,H$1)</f>
        <v>112274.27439999999</v>
      </c>
      <c r="I82" cm="1">
        <f t="array" ref="I82">_xll.EQNXTDZ($A$1,$B82,I$1)</f>
        <v>141816.99129999999</v>
      </c>
      <c r="J82" cm="1">
        <f t="array" ref="J82">_xll.EQNXTDZ($A$1,$B82,J$1)</f>
        <v>178829.97769999999</v>
      </c>
      <c r="K82" cm="1">
        <f t="array" ref="K82">_xll.EQNXTDZ($A$1,$B82,K$1)</f>
        <v>225501.7671</v>
      </c>
      <c r="L82" cm="1">
        <f t="array" ref="L82">_xll.EQNXTDZ($A$1,$B82,L$1)</f>
        <v>274966.45850000001</v>
      </c>
      <c r="M82" cm="1">
        <f t="array" ref="M82">_xll.EQNXTDZ($A$1,$B82,M$1)</f>
        <v>351172.5491</v>
      </c>
      <c r="N82" cm="1">
        <f t="array" ref="N82">_xll.EQNXTDZ($A$1,$B82,N$1)</f>
        <v>384535.47139999998</v>
      </c>
      <c r="O82" cm="1">
        <f t="array" ref="O82">_xll.EQNXTDZ($A$1,$B82,O$1)</f>
        <v>452602.71830000001</v>
      </c>
      <c r="P82" cm="1">
        <f t="array" ref="P82">_xll.EQNXTDZ($A$1,$B82,P$1)</f>
        <v>573190.19889999996</v>
      </c>
      <c r="Q82" cm="1">
        <f t="array" ref="Q82">_xll.EQNXTDZ($A$1,$B82,Q$1)</f>
        <v>618697.75719999999</v>
      </c>
      <c r="R82" cm="1">
        <f t="array" ref="R82">_xll.EQNXTDZ($A$1,$B82,R$1)</f>
        <v>609913.92669999995</v>
      </c>
      <c r="S82" cm="1">
        <f t="array" ref="S82">_xll.EQNXTDZ($A$1,$B82,S$1)</f>
        <v>626309.26659999997</v>
      </c>
      <c r="T82" cm="1">
        <f t="array" ref="T82">_xll.EQNXTDZ($A$1,$B82,T$1)</f>
        <v>609574.826</v>
      </c>
      <c r="U82" cm="1">
        <f t="array" ref="U82">_xll.EQNXTDZ($A$1,$B82,U$1)</f>
        <v>625222.84369999997</v>
      </c>
      <c r="V82" cm="1">
        <f t="array" ref="V82">_xll.EQNXTDZ($A$1,$B82,V$1)</f>
        <v>656995.4817</v>
      </c>
      <c r="W82" cm="1">
        <f t="array" ref="W82">_xll.EQNXTDZ($A$1,$B82,W$1)</f>
        <v>725856.44559999998</v>
      </c>
      <c r="X82" cm="1">
        <f t="array" ref="X82">_xll.EQNXTDZ($A$1,$B82,X$1)</f>
        <v>734614.01229999994</v>
      </c>
      <c r="Y82" cm="1">
        <f t="array" ref="Y82">_xll.EQNXTDZ($A$1,$B82,Y$1)</f>
        <v>815555.61430000002</v>
      </c>
      <c r="Z82" cm="1">
        <f t="array" ref="Z82">_xll.EQNXTDZ($A$1,$B82,Z$1)</f>
        <v>912597.92480000004</v>
      </c>
      <c r="AA82" cm="1">
        <f t="array" ref="AA82">_xll.EQNXTDZ($A$1,$B82,AA$1)</f>
        <v>1042581.9466</v>
      </c>
      <c r="AB82" cm="1">
        <f t="array" ref="AB82">_xll.EQNXTDZ($A$1,$B82,AB$1)</f>
        <v>1163432.7866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7" customFormat="1" x14ac:dyDescent="0.25">
      <c r="A83" s="107" t="s">
        <v>138</v>
      </c>
      <c r="B83" s="107" t="s">
        <v>162</v>
      </c>
      <c r="C83" cm="1">
        <f t="array" ref="C83">_xll.EQNXTDZ($A$1,$B83,C$1)</f>
        <v>41544.931900000003</v>
      </c>
      <c r="D83" cm="1">
        <f t="array" ref="D83">_xll.EQNXTDZ($A$1,$B83,D$1)</f>
        <v>50980.668899999997</v>
      </c>
      <c r="E83" cm="1">
        <f t="array" ref="E83">_xll.EQNXTDZ($A$1,$B83,E$1)</f>
        <v>53173.923499999997</v>
      </c>
      <c r="F83" cm="1">
        <f t="array" ref="F83">_xll.EQNXTDZ($A$1,$B83,F$1)</f>
        <v>65723.626300000004</v>
      </c>
      <c r="G83" cm="1">
        <f t="array" ref="G83">_xll.EQNXTDZ($A$1,$B83,G$1)</f>
        <v>79772.518800000005</v>
      </c>
      <c r="H83" cm="1">
        <f t="array" ref="H83">_xll.EQNXTDZ($A$1,$B83,H$1)</f>
        <v>82810.496199999994</v>
      </c>
      <c r="I83" cm="1">
        <f t="array" ref="I83">_xll.EQNXTDZ($A$1,$B83,I$1)</f>
        <v>89894.641000000003</v>
      </c>
      <c r="J83" cm="1">
        <f t="array" ref="J83">_xll.EQNXTDZ($A$1,$B83,J$1)</f>
        <v>149488.98370000001</v>
      </c>
      <c r="K83" cm="1">
        <f t="array" ref="K83">_xll.EQNXTDZ($A$1,$B83,K$1)</f>
        <v>122266.586</v>
      </c>
      <c r="L83" cm="1">
        <f t="array" ref="L83">_xll.EQNXTDZ($A$1,$B83,L$1)</f>
        <v>135098.7825</v>
      </c>
      <c r="M83" cm="1">
        <f t="array" ref="M83">_xll.EQNXTDZ($A$1,$B83,M$1)</f>
        <v>163530.57889999999</v>
      </c>
      <c r="N83" cm="1">
        <f t="array" ref="N83">_xll.EQNXTDZ($A$1,$B83,N$1)</f>
        <v>191129.71030000001</v>
      </c>
      <c r="O83" cm="1">
        <f t="array" ref="O83">_xll.EQNXTDZ($A$1,$B83,O$1)</f>
        <v>221686.8027</v>
      </c>
      <c r="P83" cm="1">
        <f t="array" ref="P83">_xll.EQNXTDZ($A$1,$B83,P$1)</f>
        <v>252469.29680000001</v>
      </c>
      <c r="Q83" cm="1">
        <f t="array" ref="Q83">_xll.EQNXTDZ($A$1,$B83,Q$1)</f>
        <v>373702.59490000003</v>
      </c>
      <c r="R83" cm="1">
        <f t="array" ref="R83">_xll.EQNXTDZ($A$1,$B83,R$1)</f>
        <v>353809.3236</v>
      </c>
      <c r="S83" cm="1">
        <f t="array" ref="S83">_xll.EQNXTDZ($A$1,$B83,S$1)</f>
        <v>359779.4264</v>
      </c>
      <c r="T83" cm="1">
        <f t="array" ref="T83">_xll.EQNXTDZ($A$1,$B83,T$1)</f>
        <v>342653.98570000002</v>
      </c>
      <c r="U83" cm="1">
        <f t="array" ref="U83">_xll.EQNXTDZ($A$1,$B83,U$1)</f>
        <v>311309.20789999998</v>
      </c>
      <c r="V83" cm="1">
        <f t="array" ref="V83">_xll.EQNXTDZ($A$1,$B83,V$1)</f>
        <v>352309.9081</v>
      </c>
      <c r="W83" cm="1">
        <f t="array" ref="W83">_xll.EQNXTDZ($A$1,$B83,W$1)</f>
        <v>453634.85159999999</v>
      </c>
      <c r="X83" cm="1">
        <f t="array" ref="X83">_xll.EQNXTDZ($A$1,$B83,X$1)</f>
        <v>423198.21220000001</v>
      </c>
      <c r="Y83" cm="1">
        <f t="array" ref="Y83">_xll.EQNXTDZ($A$1,$B83,Y$1)</f>
        <v>378970.33590000001</v>
      </c>
      <c r="Z83" cm="1">
        <f t="array" ref="Z83">_xll.EQNXTDZ($A$1,$B83,Z$1)</f>
        <v>447591.59769999998</v>
      </c>
      <c r="AA83" cm="1">
        <f t="array" ref="AA83">_xll.EQNXTDZ($A$1,$B83,AA$1)</f>
        <v>643649.4068</v>
      </c>
      <c r="AB83" cm="1">
        <f t="array" ref="AB83">_xll.EQNXTDZ($A$1,$B83,AB$1)</f>
        <v>665202.76289999997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7" customFormat="1" x14ac:dyDescent="0.25">
      <c r="A84" s="107" t="s">
        <v>139</v>
      </c>
      <c r="B84" s="107" t="s">
        <v>163</v>
      </c>
      <c r="C84" cm="1">
        <f t="array" ref="C84">_xll.EQNXTDZ($A$1,$B84,C$1)</f>
        <v>3716.5358000000001</v>
      </c>
      <c r="D84" cm="1">
        <f t="array" ref="D84">_xll.EQNXTDZ($A$1,$B84,D$1)</f>
        <v>4253.8599999999997</v>
      </c>
      <c r="E84" cm="1">
        <f t="array" ref="E84">_xll.EQNXTDZ($A$1,$B84,E$1)</f>
        <v>4607.8298999999997</v>
      </c>
      <c r="F84" cm="1">
        <f t="array" ref="F84">_xll.EQNXTDZ($A$1,$B84,F$1)</f>
        <v>6860.2154</v>
      </c>
      <c r="G84" cm="1">
        <f t="array" ref="G84">_xll.EQNXTDZ($A$1,$B84,G$1)</f>
        <v>5272.3266999999996</v>
      </c>
      <c r="H84" cm="1">
        <f t="array" ref="H84">_xll.EQNXTDZ($A$1,$B84,H$1)</f>
        <v>6154.0546999999997</v>
      </c>
      <c r="I84" cm="1">
        <f t="array" ref="I84">_xll.EQNXTDZ($A$1,$B84,I$1)</f>
        <v>9344.9565999999995</v>
      </c>
      <c r="J84" cm="1">
        <f t="array" ref="J84">_xll.EQNXTDZ($A$1,$B84,J$1)</f>
        <v>8094.5798000000004</v>
      </c>
      <c r="K84" cm="1">
        <f t="array" ref="K84">_xll.EQNXTDZ($A$1,$B84,K$1)</f>
        <v>11490.7372</v>
      </c>
      <c r="L84" cm="1">
        <f t="array" ref="L84">_xll.EQNXTDZ($A$1,$B84,L$1)</f>
        <v>11810.163699999999</v>
      </c>
      <c r="M84" cm="1">
        <f t="array" ref="M84">_xll.EQNXTDZ($A$1,$B84,M$1)</f>
        <v>12674.8343</v>
      </c>
      <c r="N84" cm="1">
        <f t="array" ref="N84">_xll.EQNXTDZ($A$1,$B84,N$1)</f>
        <v>19298.455999999998</v>
      </c>
      <c r="O84" cm="1">
        <f t="array" ref="O84">_xll.EQNXTDZ($A$1,$B84,O$1)</f>
        <v>24229.9977</v>
      </c>
      <c r="P84" cm="1">
        <f t="array" ref="P84">_xll.EQNXTDZ($A$1,$B84,P$1)</f>
        <v>21482.979899999998</v>
      </c>
      <c r="Q84" cm="1">
        <f t="array" ref="Q84">_xll.EQNXTDZ($A$1,$B84,Q$1)</f>
        <v>26412.3884</v>
      </c>
      <c r="R84" cm="1">
        <f t="array" ref="R84">_xll.EQNXTDZ($A$1,$B84,R$1)</f>
        <v>26897.512900000002</v>
      </c>
      <c r="S84" cm="1">
        <f t="array" ref="S84">_xll.EQNXTDZ($A$1,$B84,S$1)</f>
        <v>31621.874500000002</v>
      </c>
      <c r="T84" cm="1">
        <f t="array" ref="T84">_xll.EQNXTDZ($A$1,$B84,T$1)</f>
        <v>32102.666499999999</v>
      </c>
      <c r="U84" cm="1">
        <f t="array" ref="U84">_xll.EQNXTDZ($A$1,$B84,U$1)</f>
        <v>28500.3999</v>
      </c>
      <c r="V84" cm="1">
        <f t="array" ref="V84">_xll.EQNXTDZ($A$1,$B84,V$1)</f>
        <v>25056.250899999999</v>
      </c>
      <c r="W84" cm="1">
        <f t="array" ref="W84">_xll.EQNXTDZ($A$1,$B84,W$1)</f>
        <v>24906.922299999998</v>
      </c>
      <c r="X84" cm="1">
        <f t="array" ref="X84">_xll.EQNXTDZ($A$1,$B84,X$1)</f>
        <v>27600.929</v>
      </c>
      <c r="Y84" cm="1">
        <f t="array" ref="Y84">_xll.EQNXTDZ($A$1,$B84,Y$1)</f>
        <v>29174.732499999998</v>
      </c>
      <c r="Z84" cm="1">
        <f t="array" ref="Z84">_xll.EQNXTDZ($A$1,$B84,Z$1)</f>
        <v>28552.705399999999</v>
      </c>
      <c r="AA84" cm="1">
        <f t="array" ref="AA84">_xll.EQNXTDZ($A$1,$B84,AA$1)</f>
        <v>27997.3822</v>
      </c>
      <c r="AB84" cm="1">
        <f t="array" ref="AB84">_xll.EQNXTDZ($A$1,$B84,AB$1)</f>
        <v>27916.174599999998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7" customFormat="1" x14ac:dyDescent="0.25">
      <c r="A85" s="107" t="s">
        <v>140</v>
      </c>
      <c r="B85" s="107" t="s">
        <v>164</v>
      </c>
      <c r="C85" cm="1">
        <f t="array" ref="C85">_xll.EQNXTDZ($A$1,$B85,C$1)</f>
        <v>38.894463790040597</v>
      </c>
      <c r="D85" cm="1">
        <f t="array" ref="D85">_xll.EQNXTDZ($A$1,$B85,D$1)</f>
        <v>54.3309811396987</v>
      </c>
      <c r="E85" cm="1">
        <f t="array" ref="E85">_xll.EQNXTDZ($A$1,$B85,E$1)</f>
        <v>68.865400054616899</v>
      </c>
      <c r="F85" cm="1">
        <f t="array" ref="F85">_xll.EQNXTDZ($A$1,$B85,F$1)</f>
        <v>78.674779256740095</v>
      </c>
      <c r="G85" cm="1">
        <f t="array" ref="G85">_xll.EQNXTDZ($A$1,$B85,G$1)</f>
        <v>88.192844228842205</v>
      </c>
      <c r="H85" cm="1">
        <f t="array" ref="H85">_xll.EQNXTDZ($A$1,$B85,H$1)</f>
        <v>99.010899051744303</v>
      </c>
      <c r="I85" cm="1">
        <f t="array" ref="I85">_xll.EQNXTDZ($A$1,$B85,I$1)</f>
        <v>117.873013599868</v>
      </c>
      <c r="J85" cm="1">
        <f t="array" ref="J85">_xll.EQNXTDZ($A$1,$B85,J$1)</f>
        <v>168.049815033014</v>
      </c>
      <c r="K85" cm="1">
        <f t="array" ref="K85">_xll.EQNXTDZ($A$1,$B85,K$1)</f>
        <v>224.38016030076099</v>
      </c>
      <c r="L85" cm="1">
        <f t="array" ref="L85">_xll.EQNXTDZ($A$1,$B85,L$1)</f>
        <v>243.74016114613099</v>
      </c>
      <c r="M85" cm="1">
        <f t="array" ref="M85">_xll.EQNXTDZ($A$1,$B85,M$1)</f>
        <v>292.24238051355502</v>
      </c>
      <c r="N85" cm="1">
        <f t="array" ref="N85">_xll.EQNXTDZ($A$1,$B85,N$1)</f>
        <v>343.77535203363499</v>
      </c>
      <c r="O85" cm="1">
        <f t="array" ref="O85">_xll.EQNXTDZ($A$1,$B85,O$1)</f>
        <v>381.52703052161399</v>
      </c>
      <c r="P85" cm="1">
        <f t="array" ref="P85">_xll.EQNXTDZ($A$1,$B85,P$1)</f>
        <v>407.6237180096</v>
      </c>
      <c r="Q85" cm="1">
        <f t="array" ref="Q85">_xll.EQNXTDZ($A$1,$B85,Q$1)</f>
        <v>419.46904273294803</v>
      </c>
      <c r="R85" cm="1">
        <f t="array" ref="R85">_xll.EQNXTDZ($A$1,$B85,R$1)</f>
        <v>306.23958777910798</v>
      </c>
      <c r="S85" cm="1">
        <f t="array" ref="S85">_xll.EQNXTDZ($A$1,$B85,S$1)</f>
        <v>237.77212769832701</v>
      </c>
      <c r="T85" cm="1">
        <f t="array" ref="T85">_xll.EQNXTDZ($A$1,$B85,T$1)</f>
        <v>172.066052568408</v>
      </c>
      <c r="U85" cm="1">
        <f t="array" ref="U85">_xll.EQNXTDZ($A$1,$B85,U$1)</f>
        <v>128.31954560474901</v>
      </c>
      <c r="V85" cm="1">
        <f t="array" ref="V85">_xll.EQNXTDZ($A$1,$B85,V$1)</f>
        <v>114.415923484815</v>
      </c>
      <c r="W85" cm="1">
        <f t="array" ref="W85">_xll.EQNXTDZ($A$1,$B85,W$1)</f>
        <v>120.33560900447</v>
      </c>
      <c r="X85" cm="1">
        <f t="array" ref="X85">_xll.EQNXTDZ($A$1,$B85,X$1)</f>
        <v>117.468277408764</v>
      </c>
      <c r="Y85" cm="1">
        <f t="array" ref="Y85">_xll.EQNXTDZ($A$1,$B85,Y$1)</f>
        <v>126.899004015069</v>
      </c>
      <c r="Z85" cm="1">
        <f t="array" ref="Z85">_xll.EQNXTDZ($A$1,$B85,Z$1)</f>
        <v>136.31837542993199</v>
      </c>
      <c r="AA85" cm="1">
        <f t="array" ref="AA85">_xll.EQNXTDZ($A$1,$B85,AA$1)</f>
        <v>154.48974698989099</v>
      </c>
      <c r="AB85" cm="1">
        <f t="array" ref="AB85">_xll.EQNXTDZ($A$1,$B85,AB$1)</f>
        <v>175.785302283964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7" customFormat="1" x14ac:dyDescent="0.25">
      <c r="A86" s="107" t="s">
        <v>141</v>
      </c>
      <c r="B86" s="107" t="s">
        <v>165</v>
      </c>
      <c r="C86" cm="1">
        <f t="array" ref="C86">_xll.EQNXTDZ($A$1,$B86,C$1)</f>
        <v>38.894463790040597</v>
      </c>
      <c r="D86" cm="1">
        <f t="array" ref="D86">_xll.EQNXTDZ($A$1,$B86,D$1)</f>
        <v>54.3309811396987</v>
      </c>
      <c r="E86" cm="1">
        <f t="array" ref="E86">_xll.EQNXTDZ($A$1,$B86,E$1)</f>
        <v>68.865400054616899</v>
      </c>
      <c r="F86" cm="1">
        <f t="array" ref="F86">_xll.EQNXTDZ($A$1,$B86,F$1)</f>
        <v>78.674779256740095</v>
      </c>
      <c r="G86" cm="1">
        <f t="array" ref="G86">_xll.EQNXTDZ($A$1,$B86,G$1)</f>
        <v>88.192844228842205</v>
      </c>
      <c r="H86" cm="1">
        <f t="array" ref="H86">_xll.EQNXTDZ($A$1,$B86,H$1)</f>
        <v>99.010900000000007</v>
      </c>
      <c r="I86" cm="1">
        <f t="array" ref="I86">_xll.EQNXTDZ($A$1,$B86,I$1)</f>
        <v>117.873</v>
      </c>
      <c r="J86" cm="1">
        <f t="array" ref="J86">_xll.EQNXTDZ($A$1,$B86,J$1)</f>
        <v>168.0498</v>
      </c>
      <c r="K86" cm="1">
        <f t="array" ref="K86">_xll.EQNXTDZ($A$1,$B86,K$1)</f>
        <v>224.3802</v>
      </c>
      <c r="L86" cm="1">
        <f t="array" ref="L86">_xll.EQNXTDZ($A$1,$B86,L$1)</f>
        <v>243.74019999999999</v>
      </c>
      <c r="M86" cm="1">
        <f t="array" ref="M86">_xll.EQNXTDZ($A$1,$B86,M$1)</f>
        <v>292.24239999999998</v>
      </c>
      <c r="N86" cm="1">
        <f t="array" ref="N86">_xll.EQNXTDZ($A$1,$B86,N$1)</f>
        <v>343.77539999999999</v>
      </c>
      <c r="O86" cm="1">
        <f t="array" ref="O86">_xll.EQNXTDZ($A$1,$B86,O$1)</f>
        <v>381.52699999999999</v>
      </c>
      <c r="P86" cm="1">
        <f t="array" ref="P86">_xll.EQNXTDZ($A$1,$B86,P$1)</f>
        <v>407.62369999999999</v>
      </c>
      <c r="Q86" cm="1">
        <f t="array" ref="Q86">_xll.EQNXTDZ($A$1,$B86,Q$1)</f>
        <v>419.46899999999999</v>
      </c>
      <c r="R86" cm="1">
        <f t="array" ref="R86">_xll.EQNXTDZ($A$1,$B86,R$1)</f>
        <v>306.2396</v>
      </c>
      <c r="S86" cm="1">
        <f t="array" ref="S86">_xll.EQNXTDZ($A$1,$B86,S$1)</f>
        <v>237.77209999999999</v>
      </c>
      <c r="T86" cm="1">
        <f t="array" ref="T86">_xll.EQNXTDZ($A$1,$B86,T$1)</f>
        <v>172.06610000000001</v>
      </c>
      <c r="U86" cm="1">
        <f t="array" ref="U86">_xll.EQNXTDZ($A$1,$B86,U$1)</f>
        <v>128.31950000000001</v>
      </c>
      <c r="V86" cm="1">
        <f t="array" ref="V86">_xll.EQNXTDZ($A$1,$B86,V$1)</f>
        <v>114.41589999999999</v>
      </c>
      <c r="W86" cm="1">
        <f t="array" ref="W86">_xll.EQNXTDZ($A$1,$B86,W$1)</f>
        <v>120.3356</v>
      </c>
      <c r="X86" cm="1">
        <f t="array" ref="X86">_xll.EQNXTDZ($A$1,$B86,X$1)</f>
        <v>117.4683</v>
      </c>
      <c r="Y86" cm="1">
        <f t="array" ref="Y86">_xll.EQNXTDZ($A$1,$B86,Y$1)</f>
        <v>126.899</v>
      </c>
      <c r="Z86" cm="1">
        <f t="array" ref="Z86">_xll.EQNXTDZ($A$1,$B86,Z$1)</f>
        <v>136.3184</v>
      </c>
      <c r="AA86" cm="1">
        <f t="array" ref="AA86">_xll.EQNXTDZ($A$1,$B86,AA$1)</f>
        <v>154.4897</v>
      </c>
      <c r="AB86" cm="1">
        <f t="array" ref="AB86">_xll.EQNXTDZ($A$1,$B86,AB$1)</f>
        <v>175.78530000000001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55</v>
      </c>
      <c r="B87" t="s">
        <v>56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199</v>
      </c>
      <c r="B88" t="s">
        <v>200</v>
      </c>
      <c r="C88" cm="1">
        <f t="array" ref="C88">_xll.EQNXTDZ($A$1,$B88,C$1)</f>
        <v>0</v>
      </c>
      <c r="D88" cm="1">
        <f t="array" ref="D88">_xll.EQNXTDZ($A$1,$B88,D$1)</f>
        <v>-8.16</v>
      </c>
      <c r="E88" cm="1">
        <f t="array" ref="E88">_xll.EQNXTDZ($A$1,$B88,E$1)</f>
        <v>-29.14</v>
      </c>
      <c r="F88" cm="1">
        <f t="array" ref="F88">_xll.EQNXTDZ($A$1,$B88,F$1)</f>
        <v>-56.07</v>
      </c>
      <c r="G88" cm="1">
        <f t="array" ref="G88">_xll.EQNXTDZ($A$1,$B88,G$1)</f>
        <v>-3.32</v>
      </c>
      <c r="H88" cm="1">
        <f t="array" ref="H88">_xll.EQNXTDZ($A$1,$B88,H$1)</f>
        <v>14.48</v>
      </c>
      <c r="I88" cm="1">
        <f t="array" ref="I88">_xll.EQNXTDZ($A$1,$B88,I$1)</f>
        <v>-18.41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248.22</v>
      </c>
      <c r="M88" cm="1">
        <f t="array" ref="M88">_xll.EQNXTDZ($A$1,$B88,M$1)</f>
        <v>137.37</v>
      </c>
      <c r="N88" cm="1">
        <f t="array" ref="N88">_xll.EQNXTDZ($A$1,$B88,N$1)</f>
        <v>381.15</v>
      </c>
      <c r="O88" cm="1">
        <f t="array" ref="O88">_xll.EQNXTDZ($A$1,$B88,O$1)</f>
        <v>-840.76</v>
      </c>
      <c r="P88" cm="1">
        <f t="array" ref="P88">_xll.EQNXTDZ($A$1,$B88,P$1)</f>
        <v>843.49</v>
      </c>
      <c r="Q88" cm="1">
        <f t="array" ref="Q88">_xll.EQNXTDZ($A$1,$B88,Q$1)</f>
        <v>-903.35</v>
      </c>
      <c r="R88" cm="1">
        <f t="array" ref="R88">_xll.EQNXTDZ($A$1,$B88,R$1)</f>
        <v>-3316.65</v>
      </c>
      <c r="S88" cm="1">
        <f t="array" ref="S88">_xll.EQNXTDZ($A$1,$B88,S$1)</f>
        <v>-2627.91</v>
      </c>
      <c r="T88" cm="1">
        <f t="array" ref="T88">_xll.EQNXTDZ($A$1,$B88,T$1)</f>
        <v>-3759.81</v>
      </c>
      <c r="U88" cm="1">
        <f t="array" ref="U88">_xll.EQNXTDZ($A$1,$B88,U$1)</f>
        <v>-2720.32</v>
      </c>
      <c r="V88" cm="1">
        <f t="array" ref="V88">_xll.EQNXTDZ($A$1,$B88,V$1)</f>
        <v>-1823.12</v>
      </c>
      <c r="W88" cm="1">
        <f t="array" ref="W88">_xll.EQNXTDZ($A$1,$B88,W$1)</f>
        <v>938.1</v>
      </c>
      <c r="X88" cm="1">
        <f t="array" ref="X88">_xll.EQNXTDZ($A$1,$B88,X$1)</f>
        <v>4063.22</v>
      </c>
      <c r="Y88" cm="1">
        <f t="array" ref="Y88">_xll.EQNXTDZ($A$1,$B88,Y$1)</f>
        <v>2069.5100000000002</v>
      </c>
      <c r="Z88" cm="1">
        <f t="array" ref="Z88">_xll.EQNXTDZ($A$1,$B88,Z$1)</f>
        <v>3758.06</v>
      </c>
      <c r="AA88" cm="1">
        <f t="array" ref="AA88">_xll.EQNXTDZ($A$1,$B88,AA$1)</f>
        <v>1871.92</v>
      </c>
      <c r="AB88" cm="1">
        <f t="array" ref="AB88">_xll.EQNXTDZ($A$1,$B88,AB$1)</f>
        <v>902.58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55</v>
      </c>
      <c r="B91" t="s">
        <v>56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351</v>
      </c>
      <c r="B92" t="s">
        <v>354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9.9700000000000006</v>
      </c>
      <c r="Q92" cm="1">
        <f t="array" ref="Q92">_xll.EQNXTDZ($A$1,$B92,Q$1)</f>
        <v>10.73</v>
      </c>
      <c r="R92" cm="1">
        <f t="array" ref="R92">_xll.EQNXTDZ($A$1,$B92,R$1)</f>
        <v>12.01</v>
      </c>
      <c r="S92" cm="1">
        <f t="array" ref="S92">_xll.EQNXTDZ($A$1,$B92,S$1)</f>
        <v>12.14</v>
      </c>
      <c r="T92" cm="1">
        <f t="array" ref="T92">_xll.EQNXTDZ($A$1,$B92,T$1)</f>
        <v>12.94</v>
      </c>
      <c r="U92" cm="1">
        <f t="array" ref="U92">_xll.EQNXTDZ($A$1,$B92,U$1)</f>
        <v>14.19</v>
      </c>
      <c r="V92" cm="1">
        <f t="array" ref="V92">_xll.EQNXTDZ($A$1,$B92,V$1)</f>
        <v>13.1</v>
      </c>
      <c r="W92" cm="1">
        <f t="array" ref="W92">_xll.EQNXTDZ($A$1,$B92,W$1)</f>
        <v>14.93</v>
      </c>
      <c r="X92" cm="1">
        <f t="array" ref="X92">_xll.EQNXTDZ($A$1,$B92,X$1)</f>
        <v>17.04</v>
      </c>
      <c r="Y92" cm="1">
        <f t="array" ref="Y92">_xll.EQNXTDZ($A$1,$B92,Y$1)</f>
        <v>16.28</v>
      </c>
      <c r="Z92" cm="1">
        <f t="array" ref="Z92">_xll.EQNXTDZ($A$1,$B92,Z$1)</f>
        <v>16.96</v>
      </c>
      <c r="AA92" cm="1">
        <f t="array" ref="AA92">_xll.EQNXTDZ($A$1,$B92,AA$1)</f>
        <v>17.77</v>
      </c>
      <c r="AB92" cm="1">
        <f t="array" ref="AB92">_xll.EQNXTDZ($A$1,$B92,AB$1)</f>
        <v>18.010000000000002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353</v>
      </c>
      <c r="B93" t="s">
        <v>356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7.24</v>
      </c>
      <c r="Q93" cm="1">
        <f t="array" ref="Q93">_xll.EQNXTDZ($A$1,$B93,Q$1)</f>
        <v>8.17</v>
      </c>
      <c r="R93" cm="1">
        <f t="array" ref="R93">_xll.EQNXTDZ($A$1,$B93,R$1)</f>
        <v>9.0299999999999994</v>
      </c>
      <c r="S93" cm="1">
        <f t="array" ref="S93">_xll.EQNXTDZ($A$1,$B93,S$1)</f>
        <v>8.9</v>
      </c>
      <c r="T93" cm="1">
        <f t="array" ref="T93">_xll.EQNXTDZ($A$1,$B93,T$1)</f>
        <v>9.73</v>
      </c>
      <c r="U93" cm="1">
        <f t="array" ref="U93">_xll.EQNXTDZ($A$1,$B93,U$1)</f>
        <v>11.07</v>
      </c>
      <c r="V93" cm="1">
        <f t="array" ref="V93">_xll.EQNXTDZ($A$1,$B93,V$1)</f>
        <v>9.9</v>
      </c>
      <c r="W93" cm="1">
        <f t="array" ref="W93">_xll.EQNXTDZ($A$1,$B93,W$1)</f>
        <v>11.96</v>
      </c>
      <c r="X93" cm="1">
        <f t="array" ref="X93">_xll.EQNXTDZ($A$1,$B93,X$1)</f>
        <v>14.44</v>
      </c>
      <c r="Y93" cm="1">
        <f t="array" ref="Y93">_xll.EQNXTDZ($A$1,$B93,Y$1)</f>
        <v>14.41</v>
      </c>
      <c r="Z93" cm="1">
        <f t="array" ref="Z93">_xll.EQNXTDZ($A$1,$B93,Z$1)</f>
        <v>14.93</v>
      </c>
      <c r="AA93" cm="1">
        <f t="array" ref="AA93">_xll.EQNXTDZ($A$1,$B93,AA$1)</f>
        <v>15.47</v>
      </c>
      <c r="AB93" cm="1">
        <f t="array" ref="AB93">_xll.EQNXTDZ($A$1,$B93,AB$1)</f>
        <v>15.36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352</v>
      </c>
      <c r="B94" t="s">
        <v>355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2.73</v>
      </c>
      <c r="Q94" cm="1">
        <f t="array" ref="Q94">_xll.EQNXTDZ($A$1,$B94,Q$1)</f>
        <v>2.56</v>
      </c>
      <c r="R94" cm="1">
        <f t="array" ref="R94">_xll.EQNXTDZ($A$1,$B94,R$1)</f>
        <v>2.98</v>
      </c>
      <c r="S94" cm="1">
        <f t="array" ref="S94">_xll.EQNXTDZ($A$1,$B94,S$1)</f>
        <v>3.24</v>
      </c>
      <c r="T94" cm="1">
        <f t="array" ref="T94">_xll.EQNXTDZ($A$1,$B94,T$1)</f>
        <v>3.21</v>
      </c>
      <c r="U94" cm="1">
        <f t="array" ref="U94">_xll.EQNXTDZ($A$1,$B94,U$1)</f>
        <v>3.12</v>
      </c>
      <c r="V94" cm="1">
        <f t="array" ref="V94">_xll.EQNXTDZ($A$1,$B94,V$1)</f>
        <v>3.2</v>
      </c>
      <c r="W94" cm="1">
        <f t="array" ref="W94">_xll.EQNXTDZ($A$1,$B94,W$1)</f>
        <v>2.97</v>
      </c>
      <c r="X94" cm="1">
        <f t="array" ref="X94">_xll.EQNXTDZ($A$1,$B94,X$1)</f>
        <v>2.59</v>
      </c>
      <c r="Y94" cm="1">
        <f t="array" ref="Y94">_xll.EQNXTDZ($A$1,$B94,Y$1)</f>
        <v>1.87</v>
      </c>
      <c r="Z94" cm="1">
        <f t="array" ref="Z94">_xll.EQNXTDZ($A$1,$B94,Z$1)</f>
        <v>2.04</v>
      </c>
      <c r="AA94" cm="1">
        <f t="array" ref="AA94">_xll.EQNXTDZ($A$1,$B94,AA$1)</f>
        <v>2.2999999999999998</v>
      </c>
      <c r="AB94" cm="1">
        <f t="array" ref="AB94">_xll.EQNXTDZ($A$1,$B94,AB$1)</f>
        <v>2.65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5">
        <f>+'Annual Raw'!A1</f>
        <v>132149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55</v>
      </c>
      <c r="B4" t="s">
        <v>56</v>
      </c>
    </row>
    <row r="5" spans="1:294" x14ac:dyDescent="0.25">
      <c r="A5" t="s">
        <v>377</v>
      </c>
      <c r="B5" t="s">
        <v>378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334</v>
      </c>
      <c r="B6" t="s">
        <v>379</v>
      </c>
      <c r="C6" cm="1">
        <f t="array" ref="C6">_xll.EQNXTDZ($A$1,$B6,C$1)</f>
        <v>329</v>
      </c>
      <c r="D6" cm="1">
        <f t="array" ref="D6">_xll.EQNXTDZ($A$1,$B6,D$1)</f>
        <v>348.95</v>
      </c>
      <c r="E6" cm="1">
        <f t="array" ref="E6">_xll.EQNXTDZ($A$1,$B6,E$1)</f>
        <v>296.3</v>
      </c>
      <c r="F6" cm="1">
        <f t="array" ref="F6">_xll.EQNXTDZ($A$1,$B6,F$1)</f>
        <v>255.1</v>
      </c>
      <c r="G6" cm="1">
        <f t="array" ref="G6">_xll.EQNXTDZ($A$1,$B6,G$1)</f>
        <v>312</v>
      </c>
      <c r="H6" cm="1">
        <f t="array" ref="H6">_xll.EQNXTDZ($A$1,$B6,H$1)</f>
        <v>277</v>
      </c>
      <c r="I6" cm="1">
        <f t="array" ref="I6">_xll.EQNXTDZ($A$1,$B6,I$1)</f>
        <v>282</v>
      </c>
      <c r="J6" cm="1">
        <f t="array" ref="J6">_xll.EQNXTDZ($A$1,$B6,J$1)</f>
        <v>345.35</v>
      </c>
      <c r="K6" cm="1">
        <f t="array" ref="K6">_xll.EQNXTDZ($A$1,$B6,K$1)</f>
        <v>354</v>
      </c>
      <c r="L6" cm="1">
        <f t="array" ref="L6">_xll.EQNXTDZ($A$1,$B6,L$1)</f>
        <v>319.05</v>
      </c>
      <c r="M6" cm="1">
        <f t="array" ref="M6">_xll.EQNXTDZ($A$1,$B6,M$1)</f>
        <v>305.89999999999998</v>
      </c>
      <c r="N6" cm="1">
        <f t="array" ref="N6">_xll.EQNXTDZ($A$1,$B6,N$1)</f>
        <v>328.5</v>
      </c>
      <c r="O6" cm="1">
        <f t="array" ref="O6">_xll.EQNXTDZ($A$1,$B6,O$1)</f>
        <v>288.5</v>
      </c>
      <c r="P6" cm="1">
        <f t="array" ref="P6">_xll.EQNXTDZ($A$1,$B6,P$1)</f>
        <v>232.9</v>
      </c>
      <c r="Q6" cm="1">
        <f t="array" ref="Q6">_xll.EQNXTDZ($A$1,$B6,Q$1)</f>
        <v>186.5</v>
      </c>
      <c r="R6" cm="1">
        <f t="array" ref="R6">_xll.EQNXTDZ($A$1,$B6,R$1)</f>
        <v>144</v>
      </c>
      <c r="S6" cm="1">
        <f t="array" ref="S6">_xll.EQNXTDZ($A$1,$B6,S$1)</f>
        <v>158.30000000000001</v>
      </c>
      <c r="T6" cm="1">
        <f t="array" ref="T6">_xll.EQNXTDZ($A$1,$B6,T$1)</f>
        <v>213</v>
      </c>
      <c r="U6" cm="1">
        <f t="array" ref="U6">_xll.EQNXTDZ($A$1,$B6,U$1)</f>
        <v>219.4</v>
      </c>
      <c r="V6" cm="1">
        <f t="array" ref="V6">_xll.EQNXTDZ($A$1,$B6,V$1)</f>
        <v>239</v>
      </c>
      <c r="W6" cm="1">
        <f t="array" ref="W6">_xll.EQNXTDZ($A$1,$B6,W$1)</f>
        <v>191.5</v>
      </c>
      <c r="X6" cm="1">
        <f t="array" ref="X6">_xll.EQNXTDZ($A$1,$B6,X$1)</f>
        <v>169.7</v>
      </c>
      <c r="Y6" cm="1">
        <f t="array" ref="Y6">_xll.EQNXTDZ($A$1,$B6,Y$1)</f>
        <v>231</v>
      </c>
      <c r="Z6" cm="1">
        <f t="array" ref="Z6">_xll.EQNXTDZ($A$1,$B6,Z$1)</f>
        <v>237</v>
      </c>
      <c r="AA6" cm="1">
        <f t="array" ref="AA6">_xll.EQNXTDZ($A$1,$B6,AA$1)</f>
        <v>311.10000000000002</v>
      </c>
      <c r="AB6" cm="1">
        <f t="array" ref="AB6">_xll.EQNXTDZ($A$1,$B6,AB$1)</f>
        <v>303.60000000000002</v>
      </c>
      <c r="AC6" cm="1">
        <f t="array" ref="AC6">_xll.EQNXTDZ($A$1,$B6,AC$1)</f>
        <v>270</v>
      </c>
      <c r="AD6" cm="1">
        <f t="array" ref="AD6">_xll.EQNXTDZ($A$1,$B6,AD$1)</f>
        <v>278.7</v>
      </c>
      <c r="AE6" cm="1">
        <f t="array" ref="AE6">_xll.EQNXTDZ($A$1,$B6,AE$1)</f>
        <v>230</v>
      </c>
      <c r="AF6" cm="1">
        <f t="array" ref="AF6">_xll.EQNXTDZ($A$1,$B6,AF$1)</f>
        <v>287.95</v>
      </c>
      <c r="AG6" cm="1">
        <f t="array" ref="AG6">_xll.EQNXTDZ($A$1,$B6,AG$1)</f>
        <v>289.05</v>
      </c>
      <c r="AH6" cm="1">
        <f t="array" ref="AH6">_xll.EQNXTDZ($A$1,$B6,AH$1)</f>
        <v>301.5</v>
      </c>
      <c r="AI6" cm="1">
        <f t="array" ref="AI6">_xll.EQNXTDZ($A$1,$B6,AI$1)</f>
        <v>267.25</v>
      </c>
      <c r="AJ6" cm="1">
        <f t="array" ref="AJ6">_xll.EQNXTDZ($A$1,$B6,AJ$1)</f>
        <v>237.5</v>
      </c>
      <c r="AK6" cm="1">
        <f t="array" ref="AK6">_xll.EQNXTDZ($A$1,$B6,AK$1)</f>
        <v>194.6</v>
      </c>
      <c r="AL6" cm="1">
        <f t="array" ref="AL6">_xll.EQNXTDZ($A$1,$B6,AL$1)</f>
        <v>217.25</v>
      </c>
      <c r="AM6" cm="1">
        <f t="array" ref="AM6">_xll.EQNXTDZ($A$1,$B6,AM$1)</f>
        <v>197.5</v>
      </c>
      <c r="AN6" cm="1">
        <f t="array" ref="AN6">_xll.EQNXTDZ($A$1,$B6,AN$1)</f>
        <v>171.3</v>
      </c>
      <c r="AO6" cm="1">
        <f t="array" ref="AO6">_xll.EQNXTDZ($A$1,$B6,AO$1)</f>
        <v>163.95</v>
      </c>
      <c r="AP6" cm="1">
        <f t="array" ref="AP6">_xll.EQNXTDZ($A$1,$B6,AP$1)</f>
        <v>139.5</v>
      </c>
      <c r="AQ6" cm="1">
        <f t="array" ref="AQ6">_xll.EQNXTDZ($A$1,$B6,AQ$1)</f>
        <v>138</v>
      </c>
      <c r="AR6" cm="1">
        <f t="array" ref="AR6">_xll.EQNXTDZ($A$1,$B6,AR$1)</f>
        <v>131.44999999999999</v>
      </c>
      <c r="AS6" cm="1">
        <f t="array" ref="AS6">_xll.EQNXTDZ($A$1,$B6,AS$1)</f>
        <v>132</v>
      </c>
      <c r="AT6" cm="1">
        <f t="array" ref="AT6">_xll.EQNXTDZ($A$1,$B6,AT$1)</f>
        <v>114.9</v>
      </c>
      <c r="AU6" cm="1">
        <f t="array" ref="AU6">_xll.EQNXTDZ($A$1,$B6,AU$1)</f>
        <v>101.45</v>
      </c>
      <c r="AV6" cm="1">
        <f t="array" ref="AV6">_xll.EQNXTDZ($A$1,$B6,AV$1)</f>
        <v>84.05</v>
      </c>
      <c r="AW6" cm="1">
        <f t="array" ref="AW6">_xll.EQNXTDZ($A$1,$B6,AW$1)</f>
        <v>96.8</v>
      </c>
      <c r="AX6" cm="1">
        <f t="array" ref="AX6">_xll.EQNXTDZ($A$1,$B6,AX$1)</f>
        <v>91.9</v>
      </c>
      <c r="AY6" cm="1">
        <f t="array" ref="AY6">_xll.EQNXTDZ($A$1,$B6,AY$1)</f>
        <v>87.35</v>
      </c>
      <c r="AZ6" cm="1">
        <f t="array" ref="AZ6">_xll.EQNXTDZ($A$1,$B6,AZ$1)</f>
        <v>101.95</v>
      </c>
      <c r="BA6" cm="1">
        <f t="array" ref="BA6">_xll.EQNXTDZ($A$1,$B6,BA$1)</f>
        <v>111.9</v>
      </c>
      <c r="BB6" cm="1">
        <f t="array" ref="BB6">_xll.EQNXTDZ($A$1,$B6,BB$1)</f>
        <v>116.7</v>
      </c>
      <c r="BC6" cm="1">
        <f t="array" ref="BC6">_xll.EQNXTDZ($A$1,$B6,BC$1)</f>
        <v>113.95</v>
      </c>
      <c r="BD6" cm="1">
        <f t="array" ref="BD6">_xll.EQNXTDZ($A$1,$B6,BD$1)</f>
        <v>114.3</v>
      </c>
      <c r="BE6" cm="1">
        <f t="array" ref="BE6">_xll.EQNXTDZ($A$1,$B6,BE$1)</f>
        <v>119</v>
      </c>
      <c r="BF6" cm="1">
        <f t="array" ref="BF6">_xll.EQNXTDZ($A$1,$B6,BF$1)</f>
        <v>107.75</v>
      </c>
      <c r="BG6" cm="1">
        <f t="array" ref="BG6">_xll.EQNXTDZ($A$1,$B6,BG$1)</f>
        <v>117.9</v>
      </c>
      <c r="BH6" cm="1">
        <f t="array" ref="BH6">_xll.EQNXTDZ($A$1,$B6,BH$1)</f>
        <v>128.6</v>
      </c>
      <c r="BI6" cm="1">
        <f t="array" ref="BI6">_xll.EQNXTDZ($A$1,$B6,BI$1)</f>
        <v>139.80000000000001</v>
      </c>
      <c r="BJ6" cm="1">
        <f t="array" ref="BJ6">_xll.EQNXTDZ($A$1,$B6,BJ$1)</f>
        <v>185.4</v>
      </c>
      <c r="BK6" cm="1">
        <f t="array" ref="BK6">_xll.EQNXTDZ($A$1,$B6,BK$1)</f>
        <v>141.94999999999999</v>
      </c>
      <c r="BL6" cm="1">
        <f t="array" ref="BL6">_xll.EQNXTDZ($A$1,$B6,BL$1)</f>
        <v>139.80000000000001</v>
      </c>
      <c r="BM6" cm="1">
        <f t="array" ref="BM6">_xll.EQNXTDZ($A$1,$B6,BM$1)</f>
        <v>166</v>
      </c>
      <c r="BN6" cm="1">
        <f t="array" ref="BN6">_xll.EQNXTDZ($A$1,$B6,BN$1)</f>
        <v>144.80000000000001</v>
      </c>
      <c r="BO6" cm="1">
        <f t="array" ref="BO6">_xll.EQNXTDZ($A$1,$B6,BO$1)</f>
        <v>138.6</v>
      </c>
      <c r="BP6" cm="1">
        <f t="array" ref="BP6">_xll.EQNXTDZ($A$1,$B6,BP$1)</f>
        <v>194.7</v>
      </c>
      <c r="BQ6" cm="1">
        <f t="array" ref="BQ6">_xll.EQNXTDZ($A$1,$B6,BQ$1)</f>
        <v>196</v>
      </c>
      <c r="BR6" cm="1">
        <f t="array" ref="BR6">_xll.EQNXTDZ($A$1,$B6,BR$1)</f>
        <v>176</v>
      </c>
      <c r="BS6" cm="1">
        <f t="array" ref="BS6">_xll.EQNXTDZ($A$1,$B6,BS$1)</f>
        <v>157</v>
      </c>
      <c r="BT6" cm="1">
        <f t="array" ref="BT6">_xll.EQNXTDZ($A$1,$B6,BT$1)</f>
        <v>115.55</v>
      </c>
      <c r="BU6" cm="1">
        <f t="array" ref="BU6">_xll.EQNXTDZ($A$1,$B6,BU$1)</f>
        <v>103.65</v>
      </c>
      <c r="BV6" cm="1">
        <f t="array" ref="BV6">_xll.EQNXTDZ($A$1,$B6,BV$1)</f>
        <v>104</v>
      </c>
      <c r="BW6" cm="1">
        <f t="array" ref="BW6">_xll.EQNXTDZ($A$1,$B6,BW$1)</f>
        <v>99</v>
      </c>
      <c r="BX6" cm="1">
        <f t="array" ref="BX6">_xll.EQNXTDZ($A$1,$B6,BX$1)</f>
        <v>88</v>
      </c>
      <c r="BY6" cm="1">
        <f t="array" ref="BY6">_xll.EQNXTDZ($A$1,$B6,BY$1)</f>
        <v>94</v>
      </c>
      <c r="BZ6" cm="1">
        <f t="array" ref="BZ6">_xll.EQNXTDZ($A$1,$B6,BZ$1)</f>
        <v>100.7</v>
      </c>
      <c r="CA6" cm="1">
        <f t="array" ref="CA6">_xll.EQNXTDZ($A$1,$B6,CA$1)</f>
        <v>76.7</v>
      </c>
      <c r="CB6" cm="1">
        <f t="array" ref="CB6">_xll.EQNXTDZ($A$1,$B6,CB$1)</f>
        <v>86.1</v>
      </c>
      <c r="CC6" cm="1">
        <f t="array" ref="CC6">_xll.EQNXTDZ($A$1,$B6,CC$1)</f>
        <v>84.55</v>
      </c>
      <c r="CD6" cm="1">
        <f t="array" ref="CD6">_xll.EQNXTDZ($A$1,$B6,CD$1)</f>
        <v>104.55</v>
      </c>
      <c r="CE6" cm="1">
        <f t="array" ref="CE6">_xll.EQNXTDZ($A$1,$B6,CE$1)</f>
        <v>106.4</v>
      </c>
      <c r="CF6" cm="1">
        <f t="array" ref="CF6">_xll.EQNXTDZ($A$1,$B6,CF$1)</f>
        <v>83.2</v>
      </c>
      <c r="CG6" cm="1">
        <f t="array" ref="CG6">_xll.EQNXTDZ($A$1,$B6,CG$1)</f>
        <v>104.8</v>
      </c>
      <c r="CH6" cm="1">
        <f t="array" ref="CH6">_xll.EQNXTDZ($A$1,$B6,CH$1)</f>
        <v>87.15</v>
      </c>
      <c r="CI6" cm="1">
        <f t="array" ref="CI6">_xll.EQNXTDZ($A$1,$B6,CI$1)</f>
        <v>94.85</v>
      </c>
      <c r="CJ6" cm="1">
        <f t="array" ref="CJ6">_xll.EQNXTDZ($A$1,$B6,CJ$1)</f>
        <v>90.9</v>
      </c>
      <c r="CK6" cm="1">
        <f t="array" ref="CK6">_xll.EQNXTDZ($A$1,$B6,CK$1)</f>
        <v>71.900000000000006</v>
      </c>
      <c r="CL6" cm="1">
        <f t="array" ref="CL6">_xll.EQNXTDZ($A$1,$B6,CL$1)</f>
        <v>63.15</v>
      </c>
      <c r="CM6" cm="1">
        <f t="array" ref="CM6">_xll.EQNXTDZ($A$1,$B6,CM$1)</f>
        <v>63.5</v>
      </c>
      <c r="CN6" cm="1">
        <f t="array" ref="CN6">_xll.EQNXTDZ($A$1,$B6,CN$1)</f>
        <v>71.5</v>
      </c>
      <c r="CO6" cm="1">
        <f t="array" ref="CO6">_xll.EQNXTDZ($A$1,$B6,CO$1)</f>
        <v>76.5</v>
      </c>
      <c r="CP6" cm="1">
        <f t="array" ref="CP6">_xll.EQNXTDZ($A$1,$B6,CP$1)</f>
        <v>70.099999999999994</v>
      </c>
      <c r="CQ6" cm="1">
        <f t="array" ref="CQ6">_xll.EQNXTDZ($A$1,$B6,CQ$1)</f>
        <v>68.849999999999994</v>
      </c>
      <c r="CR6" cm="1">
        <f t="array" ref="CR6">_xll.EQNXTDZ($A$1,$B6,CR$1)</f>
        <v>51.25</v>
      </c>
      <c r="CS6" cm="1">
        <f t="array" ref="CS6">_xll.EQNXTDZ($A$1,$B6,CS$1)</f>
        <v>32.299999999999997</v>
      </c>
      <c r="CT6" cm="1">
        <f t="array" ref="CT6">_xll.EQNXTDZ($A$1,$B6,CT$1)</f>
        <v>35.200000000000003</v>
      </c>
      <c r="CU6" cm="1">
        <f t="array" ref="CU6">_xll.EQNXTDZ($A$1,$B6,CU$1)</f>
        <v>32.200000000000003</v>
      </c>
      <c r="CV6" cm="1">
        <f t="array" ref="CV6">_xll.EQNXTDZ($A$1,$B6,CV$1)</f>
        <v>49</v>
      </c>
      <c r="CW6" cm="1">
        <f t="array" ref="CW6">_xll.EQNXTDZ($A$1,$B6,CW$1)</f>
        <v>47.7</v>
      </c>
      <c r="CX6" cm="1">
        <f t="array" ref="CX6">_xll.EQNXTDZ($A$1,$B6,CX$1)</f>
        <v>54.45</v>
      </c>
      <c r="CY6" cm="1">
        <f t="array" ref="CY6">_xll.EQNXTDZ($A$1,$B6,CY$1)</f>
        <v>41</v>
      </c>
      <c r="CZ6" cm="1">
        <f t="array" ref="CZ6">_xll.EQNXTDZ($A$1,$B6,CZ$1)</f>
        <v>38.9</v>
      </c>
      <c r="DA6" cm="1">
        <f t="array" ref="DA6">_xll.EQNXTDZ($A$1,$B6,DA$1)</f>
        <v>45.45</v>
      </c>
      <c r="DB6" cm="1">
        <f t="array" ref="DB6">_xll.EQNXTDZ($A$1,$B6,DB$1)</f>
        <v>49</v>
      </c>
      <c r="DC6" cm="1">
        <f t="array" ref="DC6">_xll.EQNXTDZ($A$1,$B6,DC$1)</f>
        <v>49.85</v>
      </c>
      <c r="DD6" cm="1">
        <f t="array" ref="DD6">_xll.EQNXTDZ($A$1,$B6,DD$1)</f>
        <v>83.3</v>
      </c>
      <c r="DE6" cm="1">
        <f t="array" ref="DE6">_xll.EQNXTDZ($A$1,$B6,DE$1)</f>
        <v>69.45</v>
      </c>
      <c r="DF6" cm="1">
        <f t="array" ref="DF6">_xll.EQNXTDZ($A$1,$B6,DF$1)</f>
        <v>65</v>
      </c>
      <c r="DG6" cm="1">
        <f t="array" ref="DG6">_xll.EQNXTDZ($A$1,$B6,DG$1)</f>
        <v>77.7</v>
      </c>
      <c r="DH6" cm="1">
        <f t="array" ref="DH6">_xll.EQNXTDZ($A$1,$B6,DH$1)</f>
        <v>78.400000000000006</v>
      </c>
      <c r="DI6" cm="1">
        <f t="array" ref="DI6">_xll.EQNXTDZ($A$1,$B6,DI$1)</f>
        <v>75.599999999999994</v>
      </c>
      <c r="DJ6" cm="1">
        <f t="array" ref="DJ6">_xll.EQNXTDZ($A$1,$B6,DJ$1)</f>
        <v>66.2</v>
      </c>
      <c r="DK6" cm="1">
        <f t="array" ref="DK6">_xll.EQNXTDZ($A$1,$B6,DK$1)</f>
        <v>55.4</v>
      </c>
      <c r="DL6" cm="1">
        <f t="array" ref="DL6">_xll.EQNXTDZ($A$1,$B6,DL$1)</f>
        <v>60.4</v>
      </c>
      <c r="DM6" cm="1">
        <f t="array" ref="DM6">_xll.EQNXTDZ($A$1,$B6,DM$1)</f>
        <v>55</v>
      </c>
      <c r="DN6" cm="1">
        <f t="array" ref="DN6">_xll.EQNXTDZ($A$1,$B6,DN$1)</f>
        <v>51.65</v>
      </c>
      <c r="DO6" cm="1">
        <f t="array" ref="DO6">_xll.EQNXTDZ($A$1,$B6,DO$1)</f>
        <v>54.9</v>
      </c>
      <c r="DP6" cm="1">
        <f t="array" ref="DP6">_xll.EQNXTDZ($A$1,$B6,DP$1)</f>
        <v>46.55</v>
      </c>
      <c r="DQ6" cm="1">
        <f t="array" ref="DQ6">_xll.EQNXTDZ($A$1,$B6,DQ$1)</f>
        <v>45.8</v>
      </c>
      <c r="DR6" cm="1">
        <f t="array" ref="DR6">_xll.EQNXTDZ($A$1,$B6,DR$1)</f>
        <v>48.25</v>
      </c>
      <c r="DS6" cm="1">
        <f t="array" ref="DS6">_xll.EQNXTDZ($A$1,$B6,DS$1)</f>
        <v>47.9</v>
      </c>
      <c r="DT6" cm="1">
        <f t="array" ref="DT6">_xll.EQNXTDZ($A$1,$B6,DT$1)</f>
        <v>44.2</v>
      </c>
      <c r="DU6" cm="1">
        <f t="array" ref="DU6">_xll.EQNXTDZ($A$1,$B6,DU$1)</f>
        <v>47.95</v>
      </c>
      <c r="DV6" cm="1">
        <f t="array" ref="DV6">_xll.EQNXTDZ($A$1,$B6,DV$1)</f>
        <v>51.55</v>
      </c>
      <c r="DW6" cm="1">
        <f t="array" ref="DW6">_xll.EQNXTDZ($A$1,$B6,DW$1)</f>
        <v>48.15</v>
      </c>
      <c r="DX6" cm="1">
        <f t="array" ref="DX6">_xll.EQNXTDZ($A$1,$B6,DX$1)</f>
        <v>60.5</v>
      </c>
      <c r="DY6" cm="1">
        <f t="array" ref="DY6">_xll.EQNXTDZ($A$1,$B6,DY$1)</f>
        <v>82.55</v>
      </c>
      <c r="DZ6" cm="1">
        <f t="array" ref="DZ6">_xll.EQNXTDZ($A$1,$B6,DZ$1)</f>
        <v>88.95</v>
      </c>
      <c r="EA6" cm="1">
        <f t="array" ref="EA6">_xll.EQNXTDZ($A$1,$B6,EA$1)</f>
        <v>84</v>
      </c>
      <c r="EB6" cm="1">
        <f t="array" ref="EB6">_xll.EQNXTDZ($A$1,$B6,EB$1)</f>
        <v>71</v>
      </c>
      <c r="EC6" cm="1">
        <f t="array" ref="EC6">_xll.EQNXTDZ($A$1,$B6,EC$1)</f>
        <v>75</v>
      </c>
      <c r="ED6" cm="1">
        <f t="array" ref="ED6">_xll.EQNXTDZ($A$1,$B6,ED$1)</f>
        <v>84.8</v>
      </c>
      <c r="EE6" cm="1">
        <f t="array" ref="EE6">_xll.EQNXTDZ($A$1,$B6,EE$1)</f>
        <v>73.8</v>
      </c>
      <c r="EF6" cm="1">
        <f t="array" ref="EF6">_xll.EQNXTDZ($A$1,$B6,EF$1)</f>
        <v>74.2</v>
      </c>
      <c r="EG6" cm="1">
        <f t="array" ref="EG6">_xll.EQNXTDZ($A$1,$B6,EG$1)</f>
        <v>85.95</v>
      </c>
      <c r="EH6" cm="1">
        <f t="array" ref="EH6">_xll.EQNXTDZ($A$1,$B6,EH$1)</f>
        <v>85.8</v>
      </c>
      <c r="EI6" cm="1">
        <f t="array" ref="EI6">_xll.EQNXTDZ($A$1,$B6,EI$1)</f>
        <v>108.5</v>
      </c>
      <c r="EJ6" cm="1">
        <f t="array" ref="EJ6">_xll.EQNXTDZ($A$1,$B6,EJ$1)</f>
        <v>96.05</v>
      </c>
      <c r="EK6" cm="1">
        <f t="array" ref="EK6">_xll.EQNXTDZ($A$1,$B6,EK$1)</f>
        <v>104.5</v>
      </c>
      <c r="EL6" cm="1">
        <f t="array" ref="EL6">_xll.EQNXTDZ($A$1,$B6,EL$1)</f>
        <v>113.2</v>
      </c>
      <c r="EM6" cm="1">
        <f t="array" ref="EM6">_xll.EQNXTDZ($A$1,$B6,EM$1)</f>
        <v>139.75</v>
      </c>
      <c r="EN6" cm="1">
        <f t="array" ref="EN6">_xll.EQNXTDZ($A$1,$B6,EN$1)</f>
        <v>134.9</v>
      </c>
      <c r="EO6" cm="1">
        <f t="array" ref="EO6">_xll.EQNXTDZ($A$1,$B6,EO$1)</f>
        <v>134</v>
      </c>
      <c r="EP6" cm="1">
        <f t="array" ref="EP6">_xll.EQNXTDZ($A$1,$B6,EP$1)</f>
        <v>155.4</v>
      </c>
      <c r="EQ6" cm="1">
        <f t="array" ref="EQ6">_xll.EQNXTDZ($A$1,$B6,EQ$1)</f>
        <v>135</v>
      </c>
      <c r="ER6" cm="1">
        <f t="array" ref="ER6">_xll.EQNXTDZ($A$1,$B6,ER$1)</f>
        <v>120.8</v>
      </c>
      <c r="ES6" cm="1">
        <f t="array" ref="ES6">_xll.EQNXTDZ($A$1,$B6,ES$1)</f>
        <v>126.53</v>
      </c>
      <c r="ET6" cm="1">
        <f t="array" ref="ET6">_xll.EQNXTDZ($A$1,$B6,ET$1)</f>
        <v>118.79</v>
      </c>
      <c r="EU6" cm="1">
        <f t="array" ref="EU6">_xll.EQNXTDZ($A$1,$B6,EU$1)</f>
        <v>110.75</v>
      </c>
      <c r="EV6" cm="1">
        <f t="array" ref="EV6">_xll.EQNXTDZ($A$1,$B6,EV$1)</f>
        <v>109.3</v>
      </c>
      <c r="EW6" cm="1">
        <f t="array" ref="EW6">_xll.EQNXTDZ($A$1,$B6,EW$1)</f>
        <v>110.35</v>
      </c>
      <c r="EX6" cm="1">
        <f t="array" ref="EX6">_xll.EQNXTDZ($A$1,$B6,EX$1)</f>
        <v>101.8</v>
      </c>
      <c r="EY6" cm="1">
        <f t="array" ref="EY6">_xll.EQNXTDZ($A$1,$B6,EY$1)</f>
        <v>112.9</v>
      </c>
      <c r="EZ6" cm="1">
        <f t="array" ref="EZ6">_xll.EQNXTDZ($A$1,$B6,EZ$1)</f>
        <v>95.9</v>
      </c>
      <c r="FA6" cm="1">
        <f t="array" ref="FA6">_xll.EQNXTDZ($A$1,$B6,FA$1)</f>
        <v>106.52</v>
      </c>
      <c r="FB6" cm="1">
        <f t="array" ref="FB6">_xll.EQNXTDZ($A$1,$B6,FB$1)</f>
        <v>115.21</v>
      </c>
      <c r="FC6" cm="1">
        <f t="array" ref="FC6">_xll.EQNXTDZ($A$1,$B6,FC$1)</f>
        <v>122.78</v>
      </c>
      <c r="FD6" cm="1">
        <f t="array" ref="FD6">_xll.EQNXTDZ($A$1,$B6,FD$1)</f>
        <v>119.12</v>
      </c>
      <c r="FE6" cm="1">
        <f t="array" ref="FE6">_xll.EQNXTDZ($A$1,$B6,FE$1)</f>
        <v>111.38</v>
      </c>
      <c r="FF6" cm="1">
        <f t="array" ref="FF6">_xll.EQNXTDZ($A$1,$B6,FF$1)</f>
        <v>110.76</v>
      </c>
      <c r="FG6" cm="1">
        <f t="array" ref="FG6">_xll.EQNXTDZ($A$1,$B6,FG$1)</f>
        <v>123.7</v>
      </c>
      <c r="FH6" cm="1">
        <f t="array" ref="FH6">_xll.EQNXTDZ($A$1,$B6,FH$1)</f>
        <v>140.54</v>
      </c>
      <c r="FI6" cm="1">
        <f t="array" ref="FI6">_xll.EQNXTDZ($A$1,$B6,FI$1)</f>
        <v>147.5</v>
      </c>
      <c r="FJ6" cm="1">
        <f t="array" ref="FJ6">_xll.EQNXTDZ($A$1,$B6,FJ$1)</f>
        <v>144.1</v>
      </c>
      <c r="FK6" cm="1">
        <f t="array" ref="FK6">_xll.EQNXTDZ($A$1,$B6,FK$1)</f>
        <v>164.11</v>
      </c>
      <c r="FL6" cm="1">
        <f t="array" ref="FL6">_xll.EQNXTDZ($A$1,$B6,FL$1)</f>
        <v>170.5</v>
      </c>
      <c r="FM6" cm="1">
        <f t="array" ref="FM6">_xll.EQNXTDZ($A$1,$B6,FM$1)</f>
        <v>142.81</v>
      </c>
      <c r="FN6" cm="1">
        <f t="array" ref="FN6">_xll.EQNXTDZ($A$1,$B6,FN$1)</f>
        <v>140.01</v>
      </c>
      <c r="FO6" cm="1">
        <f t="array" ref="FO6">_xll.EQNXTDZ($A$1,$B6,FO$1)</f>
        <v>140.30000000000001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38</v>
      </c>
      <c r="B7" s="107" t="s">
        <v>380</v>
      </c>
      <c r="C7" s="107" cm="1">
        <f t="array" ref="C7">_xll.EQNXTDZ($A$1,$B7,C$1)</f>
        <v>362</v>
      </c>
      <c r="D7" s="107" cm="1">
        <f t="array" ref="D7">_xll.EQNXTDZ($A$1,$B7,D$1)</f>
        <v>356.9</v>
      </c>
      <c r="E7" s="107" cm="1">
        <f t="array" ref="E7">_xll.EQNXTDZ($A$1,$B7,E$1)</f>
        <v>300.89999999999998</v>
      </c>
      <c r="F7" s="107" cm="1">
        <f t="array" ref="F7">_xll.EQNXTDZ($A$1,$B7,F$1)</f>
        <v>313.8</v>
      </c>
      <c r="G7" s="107" cm="1">
        <f t="array" ref="G7">_xll.EQNXTDZ($A$1,$B7,G$1)</f>
        <v>314.8</v>
      </c>
      <c r="H7" s="107" cm="1">
        <f t="array" ref="H7">_xll.EQNXTDZ($A$1,$B7,H$1)</f>
        <v>294.89999999999998</v>
      </c>
      <c r="I7" s="107" cm="1">
        <f t="array" ref="I7">_xll.EQNXTDZ($A$1,$B7,I$1)</f>
        <v>347.55</v>
      </c>
      <c r="J7" s="107" cm="1">
        <f t="array" ref="J7">_xll.EQNXTDZ($A$1,$B7,J$1)</f>
        <v>393</v>
      </c>
      <c r="K7" s="107" cm="1">
        <f t="array" ref="K7">_xll.EQNXTDZ($A$1,$B7,K$1)</f>
        <v>358.5</v>
      </c>
      <c r="L7" s="107" cm="1">
        <f t="array" ref="L7">_xll.EQNXTDZ($A$1,$B7,L$1)</f>
        <v>330.7</v>
      </c>
      <c r="M7" s="107" cm="1">
        <f t="array" ref="M7">_xll.EQNXTDZ($A$1,$B7,M$1)</f>
        <v>345.8</v>
      </c>
      <c r="N7" s="107" cm="1">
        <f t="array" ref="N7">_xll.EQNXTDZ($A$1,$B7,N$1)</f>
        <v>341</v>
      </c>
      <c r="O7" s="107" cm="1">
        <f t="array" ref="O7">_xll.EQNXTDZ($A$1,$B7,O$1)</f>
        <v>298</v>
      </c>
      <c r="P7" s="107" cm="1">
        <f t="array" ref="P7">_xll.EQNXTDZ($A$1,$B7,P$1)</f>
        <v>243.25</v>
      </c>
      <c r="Q7" s="107" cm="1">
        <f t="array" ref="Q7">_xll.EQNXTDZ($A$1,$B7,Q$1)</f>
        <v>190.4</v>
      </c>
      <c r="R7" s="107" cm="1">
        <f t="array" ref="R7">_xll.EQNXTDZ($A$1,$B7,R$1)</f>
        <v>193.95</v>
      </c>
      <c r="S7" s="107" cm="1">
        <f t="array" ref="S7">_xll.EQNXTDZ($A$1,$B7,S$1)</f>
        <v>214.2</v>
      </c>
      <c r="T7" s="107" cm="1">
        <f t="array" ref="T7">_xll.EQNXTDZ($A$1,$B7,T$1)</f>
        <v>244.1</v>
      </c>
      <c r="U7" s="107" cm="1">
        <f t="array" ref="U7">_xll.EQNXTDZ($A$1,$B7,U$1)</f>
        <v>241.8</v>
      </c>
      <c r="V7" s="107" cm="1">
        <f t="array" ref="V7">_xll.EQNXTDZ($A$1,$B7,V$1)</f>
        <v>251.3</v>
      </c>
      <c r="W7" s="107" cm="1">
        <f t="array" ref="W7">_xll.EQNXTDZ($A$1,$B7,W$1)</f>
        <v>192.6</v>
      </c>
      <c r="X7" s="107" cm="1">
        <f t="array" ref="X7">_xll.EQNXTDZ($A$1,$B7,X$1)</f>
        <v>237.4</v>
      </c>
      <c r="Y7" s="107" cm="1">
        <f t="array" ref="Y7">_xll.EQNXTDZ($A$1,$B7,Y$1)</f>
        <v>247</v>
      </c>
      <c r="Z7" s="107" cm="1">
        <f t="array" ref="Z7">_xll.EQNXTDZ($A$1,$B7,Z$1)</f>
        <v>357</v>
      </c>
      <c r="AA7" s="107" cm="1">
        <f t="array" ref="AA7">_xll.EQNXTDZ($A$1,$B7,AA$1)</f>
        <v>332.7</v>
      </c>
      <c r="AB7" s="107" cm="1">
        <f t="array" ref="AB7">_xll.EQNXTDZ($A$1,$B7,AB$1)</f>
        <v>309.8</v>
      </c>
      <c r="AC7" s="107" cm="1">
        <f t="array" ref="AC7">_xll.EQNXTDZ($A$1,$B7,AC$1)</f>
        <v>297.5</v>
      </c>
      <c r="AD7" s="107" cm="1">
        <f t="array" ref="AD7">_xll.EQNXTDZ($A$1,$B7,AD$1)</f>
        <v>301.39999999999998</v>
      </c>
      <c r="AE7" s="107" cm="1">
        <f t="array" ref="AE7">_xll.EQNXTDZ($A$1,$B7,AE$1)</f>
        <v>287.3</v>
      </c>
      <c r="AF7" s="107" cm="1">
        <f t="array" ref="AF7">_xll.EQNXTDZ($A$1,$B7,AF$1)</f>
        <v>296.7</v>
      </c>
      <c r="AG7" s="107" cm="1">
        <f t="array" ref="AG7">_xll.EQNXTDZ($A$1,$B7,AG$1)</f>
        <v>305.5</v>
      </c>
      <c r="AH7" s="107" cm="1">
        <f t="array" ref="AH7">_xll.EQNXTDZ($A$1,$B7,AH$1)</f>
        <v>311.95</v>
      </c>
      <c r="AI7" s="107" cm="1">
        <f t="array" ref="AI7">_xll.EQNXTDZ($A$1,$B7,AI$1)</f>
        <v>276.89999999999998</v>
      </c>
      <c r="AJ7" s="107" cm="1">
        <f t="array" ref="AJ7">_xll.EQNXTDZ($A$1,$B7,AJ$1)</f>
        <v>250</v>
      </c>
      <c r="AK7" s="107" cm="1">
        <f t="array" ref="AK7">_xll.EQNXTDZ($A$1,$B7,AK$1)</f>
        <v>233.2</v>
      </c>
      <c r="AL7" s="107" cm="1">
        <f t="array" ref="AL7">_xll.EQNXTDZ($A$1,$B7,AL$1)</f>
        <v>225.8</v>
      </c>
      <c r="AM7" s="107" cm="1">
        <f t="array" ref="AM7">_xll.EQNXTDZ($A$1,$B7,AM$1)</f>
        <v>199</v>
      </c>
      <c r="AN7" s="107" cm="1">
        <f t="array" ref="AN7">_xll.EQNXTDZ($A$1,$B7,AN$1)</f>
        <v>186.9</v>
      </c>
      <c r="AO7" s="107" cm="1">
        <f t="array" ref="AO7">_xll.EQNXTDZ($A$1,$B7,AO$1)</f>
        <v>188.25</v>
      </c>
      <c r="AP7" s="107" cm="1">
        <f t="array" ref="AP7">_xll.EQNXTDZ($A$1,$B7,AP$1)</f>
        <v>145.69999999999999</v>
      </c>
      <c r="AQ7" s="107" cm="1">
        <f t="array" ref="AQ7">_xll.EQNXTDZ($A$1,$B7,AQ$1)</f>
        <v>149</v>
      </c>
      <c r="AR7" s="107" cm="1">
        <f t="array" ref="AR7">_xll.EQNXTDZ($A$1,$B7,AR$1)</f>
        <v>138.85</v>
      </c>
      <c r="AS7" s="107" cm="1">
        <f t="array" ref="AS7">_xll.EQNXTDZ($A$1,$B7,AS$1)</f>
        <v>132.19999999999999</v>
      </c>
      <c r="AT7" s="107" cm="1">
        <f t="array" ref="AT7">_xll.EQNXTDZ($A$1,$B7,AT$1)</f>
        <v>117.75</v>
      </c>
      <c r="AU7" s="107" cm="1">
        <f t="array" ref="AU7">_xll.EQNXTDZ($A$1,$B7,AU$1)</f>
        <v>105.4</v>
      </c>
      <c r="AV7" s="107" cm="1">
        <f t="array" ref="AV7">_xll.EQNXTDZ($A$1,$B7,AV$1)</f>
        <v>100.15</v>
      </c>
      <c r="AW7" s="107" cm="1">
        <f t="array" ref="AW7">_xll.EQNXTDZ($A$1,$B7,AW$1)</f>
        <v>101.8</v>
      </c>
      <c r="AX7" s="107" cm="1">
        <f t="array" ref="AX7">_xll.EQNXTDZ($A$1,$B7,AX$1)</f>
        <v>92</v>
      </c>
      <c r="AY7" s="107" cm="1">
        <f t="array" ref="AY7">_xll.EQNXTDZ($A$1,$B7,AY$1)</f>
        <v>101.95</v>
      </c>
      <c r="AZ7" s="107" cm="1">
        <f t="array" ref="AZ7">_xll.EQNXTDZ($A$1,$B7,AZ$1)</f>
        <v>117.7</v>
      </c>
      <c r="BA7" s="107" cm="1">
        <f t="array" ref="BA7">_xll.EQNXTDZ($A$1,$B7,BA$1)</f>
        <v>119.3</v>
      </c>
      <c r="BB7" s="107" cm="1">
        <f t="array" ref="BB7">_xll.EQNXTDZ($A$1,$B7,BB$1)</f>
        <v>126.1</v>
      </c>
      <c r="BC7" s="107" cm="1">
        <f t="array" ref="BC7">_xll.EQNXTDZ($A$1,$B7,BC$1)</f>
        <v>121.85</v>
      </c>
      <c r="BD7" s="107" cm="1">
        <f t="array" ref="BD7">_xll.EQNXTDZ($A$1,$B7,BD$1)</f>
        <v>128.75</v>
      </c>
      <c r="BE7" s="107" cm="1">
        <f t="array" ref="BE7">_xll.EQNXTDZ($A$1,$B7,BE$1)</f>
        <v>120.8</v>
      </c>
      <c r="BF7" s="107" cm="1">
        <f t="array" ref="BF7">_xll.EQNXTDZ($A$1,$B7,BF$1)</f>
        <v>123.6</v>
      </c>
      <c r="BG7" s="107" cm="1">
        <f t="array" ref="BG7">_xll.EQNXTDZ($A$1,$B7,BG$1)</f>
        <v>138.5</v>
      </c>
      <c r="BH7" s="107" cm="1">
        <f t="array" ref="BH7">_xll.EQNXTDZ($A$1,$B7,BH$1)</f>
        <v>142.4</v>
      </c>
      <c r="BI7" s="107" cm="1">
        <f t="array" ref="BI7">_xll.EQNXTDZ($A$1,$B7,BI$1)</f>
        <v>189.55</v>
      </c>
      <c r="BJ7" s="107" cm="1">
        <f t="array" ref="BJ7">_xll.EQNXTDZ($A$1,$B7,BJ$1)</f>
        <v>197.2</v>
      </c>
      <c r="BK7" s="107" cm="1">
        <f t="array" ref="BK7">_xll.EQNXTDZ($A$1,$B7,BK$1)</f>
        <v>148</v>
      </c>
      <c r="BL7" s="107" cm="1">
        <f t="array" ref="BL7">_xll.EQNXTDZ($A$1,$B7,BL$1)</f>
        <v>167.45</v>
      </c>
      <c r="BM7" s="107" cm="1">
        <f t="array" ref="BM7">_xll.EQNXTDZ($A$1,$B7,BM$1)</f>
        <v>167.6</v>
      </c>
      <c r="BN7" s="107" cm="1">
        <f t="array" ref="BN7">_xll.EQNXTDZ($A$1,$B7,BN$1)</f>
        <v>157.80000000000001</v>
      </c>
      <c r="BO7" s="107" cm="1">
        <f t="array" ref="BO7">_xll.EQNXTDZ($A$1,$B7,BO$1)</f>
        <v>200.8</v>
      </c>
      <c r="BP7" s="107" cm="1">
        <f t="array" ref="BP7">_xll.EQNXTDZ($A$1,$B7,BP$1)</f>
        <v>216.8</v>
      </c>
      <c r="BQ7" s="107" cm="1">
        <f t="array" ref="BQ7">_xll.EQNXTDZ($A$1,$B7,BQ$1)</f>
        <v>198</v>
      </c>
      <c r="BR7" s="107" cm="1">
        <f t="array" ref="BR7">_xll.EQNXTDZ($A$1,$B7,BR$1)</f>
        <v>183.25</v>
      </c>
      <c r="BS7" s="107" cm="1">
        <f t="array" ref="BS7">_xll.EQNXTDZ($A$1,$B7,BS$1)</f>
        <v>158.94999999999999</v>
      </c>
      <c r="BT7" s="107" cm="1">
        <f t="array" ref="BT7">_xll.EQNXTDZ($A$1,$B7,BT$1)</f>
        <v>116.8</v>
      </c>
      <c r="BU7" s="107" cm="1">
        <f t="array" ref="BU7">_xll.EQNXTDZ($A$1,$B7,BU$1)</f>
        <v>118.7</v>
      </c>
      <c r="BV7" s="107" cm="1">
        <f t="array" ref="BV7">_xll.EQNXTDZ($A$1,$B7,BV$1)</f>
        <v>108.8</v>
      </c>
      <c r="BW7" s="107" cm="1">
        <f t="array" ref="BW7">_xll.EQNXTDZ($A$1,$B7,BW$1)</f>
        <v>104.9</v>
      </c>
      <c r="BX7" s="107" cm="1">
        <f t="array" ref="BX7">_xll.EQNXTDZ($A$1,$B7,BX$1)</f>
        <v>104.35</v>
      </c>
      <c r="BY7" s="107" cm="1">
        <f t="array" ref="BY7">_xll.EQNXTDZ($A$1,$B7,BY$1)</f>
        <v>101</v>
      </c>
      <c r="BZ7" s="107" cm="1">
        <f t="array" ref="BZ7">_xll.EQNXTDZ($A$1,$B7,BZ$1)</f>
        <v>103</v>
      </c>
      <c r="CA7" s="107" cm="1">
        <f t="array" ref="CA7">_xll.EQNXTDZ($A$1,$B7,CA$1)</f>
        <v>88</v>
      </c>
      <c r="CB7" s="107" cm="1">
        <f t="array" ref="CB7">_xll.EQNXTDZ($A$1,$B7,CB$1)</f>
        <v>93</v>
      </c>
      <c r="CC7" s="107" cm="1">
        <f t="array" ref="CC7">_xll.EQNXTDZ($A$1,$B7,CC$1)</f>
        <v>105.15</v>
      </c>
      <c r="CD7" s="107" cm="1">
        <f t="array" ref="CD7">_xll.EQNXTDZ($A$1,$B7,CD$1)</f>
        <v>110.15</v>
      </c>
      <c r="CE7" s="107" cm="1">
        <f t="array" ref="CE7">_xll.EQNXTDZ($A$1,$B7,CE$1)</f>
        <v>106.65</v>
      </c>
      <c r="CF7" s="107" cm="1">
        <f t="array" ref="CF7">_xll.EQNXTDZ($A$1,$B7,CF$1)</f>
        <v>106.9</v>
      </c>
      <c r="CG7" s="107" cm="1">
        <f t="array" ref="CG7">_xll.EQNXTDZ($A$1,$B7,CG$1)</f>
        <v>108.15</v>
      </c>
      <c r="CH7" s="107" cm="1">
        <f t="array" ref="CH7">_xll.EQNXTDZ($A$1,$B7,CH$1)</f>
        <v>101.2</v>
      </c>
      <c r="CI7" s="107" cm="1">
        <f t="array" ref="CI7">_xll.EQNXTDZ($A$1,$B7,CI$1)</f>
        <v>98.5</v>
      </c>
      <c r="CJ7" s="107" cm="1">
        <f t="array" ref="CJ7">_xll.EQNXTDZ($A$1,$B7,CJ$1)</f>
        <v>96.4</v>
      </c>
      <c r="CK7" s="107" cm="1">
        <f t="array" ref="CK7">_xll.EQNXTDZ($A$1,$B7,CK$1)</f>
        <v>71.95</v>
      </c>
      <c r="CL7" s="107" cm="1">
        <f t="array" ref="CL7">_xll.EQNXTDZ($A$1,$B7,CL$1)</f>
        <v>72.849999999999994</v>
      </c>
      <c r="CM7" s="107" cm="1">
        <f t="array" ref="CM7">_xll.EQNXTDZ($A$1,$B7,CM$1)</f>
        <v>72.650000000000006</v>
      </c>
      <c r="CN7" s="107" cm="1">
        <f t="array" ref="CN7">_xll.EQNXTDZ($A$1,$B7,CN$1)</f>
        <v>79.8</v>
      </c>
      <c r="CO7" s="107" cm="1">
        <f t="array" ref="CO7">_xll.EQNXTDZ($A$1,$B7,CO$1)</f>
        <v>76.5</v>
      </c>
      <c r="CP7" s="107" cm="1">
        <f t="array" ref="CP7">_xll.EQNXTDZ($A$1,$B7,CP$1)</f>
        <v>71.75</v>
      </c>
      <c r="CQ7" s="107" cm="1">
        <f t="array" ref="CQ7">_xll.EQNXTDZ($A$1,$B7,CQ$1)</f>
        <v>68.849999999999994</v>
      </c>
      <c r="CR7" s="107" cm="1">
        <f t="array" ref="CR7">_xll.EQNXTDZ($A$1,$B7,CR$1)</f>
        <v>54.2</v>
      </c>
      <c r="CS7" s="107" cm="1">
        <f t="array" ref="CS7">_xll.EQNXTDZ($A$1,$B7,CS$1)</f>
        <v>37.85</v>
      </c>
      <c r="CT7" s="107" cm="1">
        <f t="array" ref="CT7">_xll.EQNXTDZ($A$1,$B7,CT$1)</f>
        <v>35.200000000000003</v>
      </c>
      <c r="CU7" s="107" cm="1">
        <f t="array" ref="CU7">_xll.EQNXTDZ($A$1,$B7,CU$1)</f>
        <v>58.9</v>
      </c>
      <c r="CV7" s="107" cm="1">
        <f t="array" ref="CV7">_xll.EQNXTDZ($A$1,$B7,CV$1)</f>
        <v>52.7</v>
      </c>
      <c r="CW7" s="107" cm="1">
        <f t="array" ref="CW7">_xll.EQNXTDZ($A$1,$B7,CW$1)</f>
        <v>59</v>
      </c>
      <c r="CX7" s="107" cm="1">
        <f t="array" ref="CX7">_xll.EQNXTDZ($A$1,$B7,CX$1)</f>
        <v>54.75</v>
      </c>
      <c r="CY7" s="107" cm="1">
        <f t="array" ref="CY7">_xll.EQNXTDZ($A$1,$B7,CY$1)</f>
        <v>42.55</v>
      </c>
      <c r="CZ7" s="107" cm="1">
        <f t="array" ref="CZ7">_xll.EQNXTDZ($A$1,$B7,CZ$1)</f>
        <v>46.45</v>
      </c>
      <c r="DA7" s="107" cm="1">
        <f t="array" ref="DA7">_xll.EQNXTDZ($A$1,$B7,DA$1)</f>
        <v>55</v>
      </c>
      <c r="DB7" s="107" cm="1">
        <f t="array" ref="DB7">_xll.EQNXTDZ($A$1,$B7,DB$1)</f>
        <v>56.75</v>
      </c>
      <c r="DC7" s="107" cm="1">
        <f t="array" ref="DC7">_xll.EQNXTDZ($A$1,$B7,DC$1)</f>
        <v>101.4</v>
      </c>
      <c r="DD7" s="107" cm="1">
        <f t="array" ref="DD7">_xll.EQNXTDZ($A$1,$B7,DD$1)</f>
        <v>84.85</v>
      </c>
      <c r="DE7" s="107" cm="1">
        <f t="array" ref="DE7">_xll.EQNXTDZ($A$1,$B7,DE$1)</f>
        <v>75.5</v>
      </c>
      <c r="DF7" s="107" cm="1">
        <f t="array" ref="DF7">_xll.EQNXTDZ($A$1,$B7,DF$1)</f>
        <v>82.75</v>
      </c>
      <c r="DG7" s="107" cm="1">
        <f t="array" ref="DG7">_xll.EQNXTDZ($A$1,$B7,DG$1)</f>
        <v>87</v>
      </c>
      <c r="DH7" s="107" cm="1">
        <f t="array" ref="DH7">_xll.EQNXTDZ($A$1,$B7,DH$1)</f>
        <v>78.75</v>
      </c>
      <c r="DI7" s="107" cm="1">
        <f t="array" ref="DI7">_xll.EQNXTDZ($A$1,$B7,DI$1)</f>
        <v>76.650000000000006</v>
      </c>
      <c r="DJ7" s="107" cm="1">
        <f t="array" ref="DJ7">_xll.EQNXTDZ($A$1,$B7,DJ$1)</f>
        <v>66.75</v>
      </c>
      <c r="DK7" s="107" cm="1">
        <f t="array" ref="DK7">_xll.EQNXTDZ($A$1,$B7,DK$1)</f>
        <v>64.7</v>
      </c>
      <c r="DL7" s="107" cm="1">
        <f t="array" ref="DL7">_xll.EQNXTDZ($A$1,$B7,DL$1)</f>
        <v>65.8</v>
      </c>
      <c r="DM7" s="107" cm="1">
        <f t="array" ref="DM7">_xll.EQNXTDZ($A$1,$B7,DM$1)</f>
        <v>58.8</v>
      </c>
      <c r="DN7" s="107" cm="1">
        <f t="array" ref="DN7">_xll.EQNXTDZ($A$1,$B7,DN$1)</f>
        <v>57.45</v>
      </c>
      <c r="DO7" s="107" cm="1">
        <f t="array" ref="DO7">_xll.EQNXTDZ($A$1,$B7,DO$1)</f>
        <v>59.6</v>
      </c>
      <c r="DP7" s="107" cm="1">
        <f t="array" ref="DP7">_xll.EQNXTDZ($A$1,$B7,DP$1)</f>
        <v>50.3</v>
      </c>
      <c r="DQ7" s="107" cm="1">
        <f t="array" ref="DQ7">_xll.EQNXTDZ($A$1,$B7,DQ$1)</f>
        <v>53.7</v>
      </c>
      <c r="DR7" s="107" cm="1">
        <f t="array" ref="DR7">_xll.EQNXTDZ($A$1,$B7,DR$1)</f>
        <v>49.2</v>
      </c>
      <c r="DS7" s="107" cm="1">
        <f t="array" ref="DS7">_xll.EQNXTDZ($A$1,$B7,DS$1)</f>
        <v>48.9</v>
      </c>
      <c r="DT7" s="107" cm="1">
        <f t="array" ref="DT7">_xll.EQNXTDZ($A$1,$B7,DT$1)</f>
        <v>49.9</v>
      </c>
      <c r="DU7" s="107" cm="1">
        <f t="array" ref="DU7">_xll.EQNXTDZ($A$1,$B7,DU$1)</f>
        <v>53.2</v>
      </c>
      <c r="DV7" s="107" cm="1">
        <f t="array" ref="DV7">_xll.EQNXTDZ($A$1,$B7,DV$1)</f>
        <v>54.45</v>
      </c>
      <c r="DW7" s="107" cm="1">
        <f t="array" ref="DW7">_xll.EQNXTDZ($A$1,$B7,DW$1)</f>
        <v>60.75</v>
      </c>
      <c r="DX7" s="107" cm="1">
        <f t="array" ref="DX7">_xll.EQNXTDZ($A$1,$B7,DX$1)</f>
        <v>85.5</v>
      </c>
      <c r="DY7" s="107" cm="1">
        <f t="array" ref="DY7">_xll.EQNXTDZ($A$1,$B7,DY$1)</f>
        <v>103.5</v>
      </c>
      <c r="DZ7" s="107" cm="1">
        <f t="array" ref="DZ7">_xll.EQNXTDZ($A$1,$B7,DZ$1)</f>
        <v>101.3</v>
      </c>
      <c r="EA7" s="107" cm="1">
        <f t="array" ref="EA7">_xll.EQNXTDZ($A$1,$B7,EA$1)</f>
        <v>85.75</v>
      </c>
      <c r="EB7" s="107" cm="1">
        <f t="array" ref="EB7">_xll.EQNXTDZ($A$1,$B7,EB$1)</f>
        <v>85.9</v>
      </c>
      <c r="EC7" s="107" cm="1">
        <f t="array" ref="EC7">_xll.EQNXTDZ($A$1,$B7,EC$1)</f>
        <v>84.5</v>
      </c>
      <c r="ED7" s="107" cm="1">
        <f t="array" ref="ED7">_xll.EQNXTDZ($A$1,$B7,ED$1)</f>
        <v>89.2</v>
      </c>
      <c r="EE7" s="107" cm="1">
        <f t="array" ref="EE7">_xll.EQNXTDZ($A$1,$B7,EE$1)</f>
        <v>75.900000000000006</v>
      </c>
      <c r="EF7" s="107" cm="1">
        <f t="array" ref="EF7">_xll.EQNXTDZ($A$1,$B7,EF$1)</f>
        <v>86.8</v>
      </c>
      <c r="EG7" s="107" cm="1">
        <f t="array" ref="EG7">_xll.EQNXTDZ($A$1,$B7,EG$1)</f>
        <v>91.9</v>
      </c>
      <c r="EH7" s="107" cm="1">
        <f t="array" ref="EH7">_xll.EQNXTDZ($A$1,$B7,EH$1)</f>
        <v>113.8</v>
      </c>
      <c r="EI7" s="107" cm="1">
        <f t="array" ref="EI7">_xll.EQNXTDZ($A$1,$B7,EI$1)</f>
        <v>113.8</v>
      </c>
      <c r="EJ7" s="107" cm="1">
        <f t="array" ref="EJ7">_xll.EQNXTDZ($A$1,$B7,EJ$1)</f>
        <v>110.8</v>
      </c>
      <c r="EK7" s="107" cm="1">
        <f t="array" ref="EK7">_xll.EQNXTDZ($A$1,$B7,EK$1)</f>
        <v>120.9</v>
      </c>
      <c r="EL7" s="107" cm="1">
        <f t="array" ref="EL7">_xll.EQNXTDZ($A$1,$B7,EL$1)</f>
        <v>141.4</v>
      </c>
      <c r="EM7" s="107" cm="1">
        <f t="array" ref="EM7">_xll.EQNXTDZ($A$1,$B7,EM$1)</f>
        <v>156.25</v>
      </c>
      <c r="EN7" s="107" cm="1">
        <f t="array" ref="EN7">_xll.EQNXTDZ($A$1,$B7,EN$1)</f>
        <v>149.44999999999999</v>
      </c>
      <c r="EO7" s="107" cm="1">
        <f t="array" ref="EO7">_xll.EQNXTDZ($A$1,$B7,EO$1)</f>
        <v>157.94999999999999</v>
      </c>
      <c r="EP7" s="107" cm="1">
        <f t="array" ref="EP7">_xll.EQNXTDZ($A$1,$B7,EP$1)</f>
        <v>156.4</v>
      </c>
      <c r="EQ7" s="107" cm="1">
        <f t="array" ref="EQ7">_xll.EQNXTDZ($A$1,$B7,EQ$1)</f>
        <v>137.44999999999999</v>
      </c>
      <c r="ER7" s="107" cm="1">
        <f t="array" ref="ER7">_xll.EQNXTDZ($A$1,$B7,ER$1)</f>
        <v>126.96</v>
      </c>
      <c r="ES7" s="107" cm="1">
        <f t="array" ref="ES7">_xll.EQNXTDZ($A$1,$B7,ES$1)</f>
        <v>128.19999999999999</v>
      </c>
      <c r="ET7" s="107" cm="1">
        <f t="array" ref="ET7">_xll.EQNXTDZ($A$1,$B7,ET$1)</f>
        <v>119.39</v>
      </c>
      <c r="EU7" s="107" cm="1">
        <f t="array" ref="EU7">_xll.EQNXTDZ($A$1,$B7,EU$1)</f>
        <v>111.69</v>
      </c>
      <c r="EV7" s="107" cm="1">
        <f t="array" ref="EV7">_xll.EQNXTDZ($A$1,$B7,EV$1)</f>
        <v>115</v>
      </c>
      <c r="EW7" s="107" cm="1">
        <f t="array" ref="EW7">_xll.EQNXTDZ($A$1,$B7,EW$1)</f>
        <v>120.5</v>
      </c>
      <c r="EX7" s="107" cm="1">
        <f t="array" ref="EX7">_xll.EQNXTDZ($A$1,$B7,EX$1)</f>
        <v>113.19</v>
      </c>
      <c r="EY7" s="107" cm="1">
        <f t="array" ref="EY7">_xll.EQNXTDZ($A$1,$B7,EY$1)</f>
        <v>112.9</v>
      </c>
      <c r="EZ7" s="107" cm="1">
        <f t="array" ref="EZ7">_xll.EQNXTDZ($A$1,$B7,EZ$1)</f>
        <v>109.19</v>
      </c>
      <c r="FA7" s="107" cm="1">
        <f t="array" ref="FA7">_xll.EQNXTDZ($A$1,$B7,FA$1)</f>
        <v>121.65</v>
      </c>
      <c r="FB7" s="107" cm="1">
        <f t="array" ref="FB7">_xll.EQNXTDZ($A$1,$B7,FB$1)</f>
        <v>122.61</v>
      </c>
      <c r="FC7" s="107" cm="1">
        <f t="array" ref="FC7">_xll.EQNXTDZ($A$1,$B7,FC$1)</f>
        <v>130.24</v>
      </c>
      <c r="FD7" s="107" cm="1">
        <f t="array" ref="FD7">_xll.EQNXTDZ($A$1,$B7,FD$1)</f>
        <v>121.63</v>
      </c>
      <c r="FE7" s="107" cm="1">
        <f t="array" ref="FE7">_xll.EQNXTDZ($A$1,$B7,FE$1)</f>
        <v>117.31</v>
      </c>
      <c r="FF7" s="107" cm="1">
        <f t="array" ref="FF7">_xll.EQNXTDZ($A$1,$B7,FF$1)</f>
        <v>123.93</v>
      </c>
      <c r="FG7" s="107" cm="1">
        <f t="array" ref="FG7">_xll.EQNXTDZ($A$1,$B7,FG$1)</f>
        <v>142.71</v>
      </c>
      <c r="FH7" s="107" cm="1">
        <f t="array" ref="FH7">_xll.EQNXTDZ($A$1,$B7,FH$1)</f>
        <v>151.43</v>
      </c>
      <c r="FI7" s="107" cm="1">
        <f t="array" ref="FI7">_xll.EQNXTDZ($A$1,$B7,FI$1)</f>
        <v>149.4</v>
      </c>
      <c r="FJ7" s="107" cm="1">
        <f t="array" ref="FJ7">_xll.EQNXTDZ($A$1,$B7,FJ$1)</f>
        <v>169.9</v>
      </c>
      <c r="FK7" s="107" cm="1">
        <f t="array" ref="FK7">_xll.EQNXTDZ($A$1,$B7,FK$1)</f>
        <v>178.36</v>
      </c>
      <c r="FL7" s="107" cm="1">
        <f t="array" ref="FL7">_xll.EQNXTDZ($A$1,$B7,FL$1)</f>
        <v>174.4</v>
      </c>
      <c r="FM7" s="107" cm="1">
        <f t="array" ref="FM7">_xll.EQNXTDZ($A$1,$B7,FM$1)</f>
        <v>154.34</v>
      </c>
      <c r="FN7" s="107" cm="1">
        <f t="array" ref="FN7">_xll.EQNXTDZ($A$1,$B7,FN$1)</f>
        <v>147.49</v>
      </c>
      <c r="FO7" s="107" cm="1">
        <f t="array" ref="FO7">_xll.EQNXTDZ($A$1,$B7,FO$1)</f>
        <v>149.19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356.9</v>
      </c>
      <c r="HQ7" s="107">
        <f>+MAX(G7:I7)</f>
        <v>347.55</v>
      </c>
      <c r="HR7" s="107">
        <f>+MAX(J7:L7)</f>
        <v>393</v>
      </c>
      <c r="HS7" s="107">
        <f>+MAX(M7:O7)</f>
        <v>345.8</v>
      </c>
      <c r="HT7" s="107">
        <f>+MAX(P7:R7)</f>
        <v>243.25</v>
      </c>
      <c r="HU7" s="107">
        <f>+MAX(S7:U7)</f>
        <v>244.1</v>
      </c>
      <c r="HV7" s="107">
        <f>+MAX(V7:X7)</f>
        <v>251.3</v>
      </c>
      <c r="HW7" s="107">
        <f>+MAX(Y7:AA7)</f>
        <v>357</v>
      </c>
      <c r="HX7" s="107">
        <f>+MAX(AB7:AD7)</f>
        <v>309.8</v>
      </c>
      <c r="HY7" s="107">
        <f>+MAX(AE7:AG7)</f>
        <v>305.5</v>
      </c>
      <c r="HZ7" s="107">
        <f>+MAX(AH7:AJ7)</f>
        <v>311.95</v>
      </c>
      <c r="IA7" s="107">
        <f>+MAX(AK7:AM7)</f>
        <v>233.2</v>
      </c>
      <c r="IB7" s="107">
        <f>+MAX(AN7:AP7)</f>
        <v>188.25</v>
      </c>
      <c r="IC7" s="107">
        <f>+MAX(AQ7:AS7)</f>
        <v>149</v>
      </c>
      <c r="ID7" s="107">
        <f>+MAX(AT7:AV7)</f>
        <v>117.75</v>
      </c>
      <c r="IE7" s="107">
        <f>+MAX(AW7:AY7)</f>
        <v>101.95</v>
      </c>
      <c r="IF7" s="107">
        <f>+MAX(AZ7:BB7)</f>
        <v>126.1</v>
      </c>
      <c r="IG7" s="107">
        <f>+MAX(BC7:BE7)</f>
        <v>128.75</v>
      </c>
      <c r="IH7" s="107">
        <f>+MAX(BF7:BH7)</f>
        <v>142.4</v>
      </c>
      <c r="II7" s="107">
        <f>+MAX(BI7:BK7)</f>
        <v>197.2</v>
      </c>
      <c r="IJ7" s="107">
        <f>+MAX(BL7:BN7)</f>
        <v>167.6</v>
      </c>
      <c r="IK7" s="107">
        <f>+MAX(BO7:BQ7)</f>
        <v>216.8</v>
      </c>
      <c r="IL7" s="107">
        <f>+MAX(BR7:BT7)</f>
        <v>183.25</v>
      </c>
      <c r="IM7" s="107">
        <f>+MAX(BU7:BW7)</f>
        <v>118.7</v>
      </c>
      <c r="IN7" s="107">
        <f>+MAX(BX7:BZ7)</f>
        <v>104.35</v>
      </c>
      <c r="IO7" s="107">
        <f>+MAX(CA7:CC7)</f>
        <v>105.15</v>
      </c>
      <c r="IP7" s="107">
        <f>+MAX(CD7:CF7)</f>
        <v>110.15</v>
      </c>
      <c r="IQ7" s="107">
        <f>+MAX(CG7:CI7)</f>
        <v>108.15</v>
      </c>
      <c r="IR7" s="107">
        <f>+MAX(CJ7:CL7)</f>
        <v>96.4</v>
      </c>
      <c r="IS7" s="107">
        <f>+MAX(CM7:CO7)</f>
        <v>79.8</v>
      </c>
      <c r="IT7" s="107">
        <f>+MAX(CP7:CR7)</f>
        <v>71.75</v>
      </c>
      <c r="IU7" s="107">
        <f>+MAX(CS7:CU7)</f>
        <v>58.9</v>
      </c>
      <c r="IV7" s="107">
        <f>+MAX(CV7:CX7)</f>
        <v>59</v>
      </c>
      <c r="IW7" s="107">
        <f>+MAX(CY7:DA7)</f>
        <v>55</v>
      </c>
      <c r="IX7" s="107">
        <f>+MAX(DB7:DD7)</f>
        <v>101.4</v>
      </c>
      <c r="IY7" s="107">
        <f>+MAX(DE7:DG7)</f>
        <v>87</v>
      </c>
      <c r="IZ7" s="107">
        <f>+MAX(DH7:DJ7)</f>
        <v>78.75</v>
      </c>
      <c r="JA7" s="107">
        <f>+MAX(DK7:DM7)</f>
        <v>65.8</v>
      </c>
      <c r="JB7" s="107">
        <f>+MAX(DN7:DP7)</f>
        <v>59.6</v>
      </c>
      <c r="JC7" s="107">
        <f>+MAX(DQ7:DS7)</f>
        <v>53.7</v>
      </c>
      <c r="JD7" s="107">
        <f>+MAX(DT7:DV7)</f>
        <v>54.45</v>
      </c>
      <c r="JE7" s="107">
        <f>+MAX(DW7:DY7)</f>
        <v>103.5</v>
      </c>
      <c r="JF7" s="107">
        <f>+MAX(DZ7:EB7)</f>
        <v>101.3</v>
      </c>
      <c r="JG7" s="107">
        <f>+MAX(EC7:EE7)</f>
        <v>89.2</v>
      </c>
      <c r="JH7" s="107">
        <f>+MAX(EF7:EH7)</f>
        <v>113.8</v>
      </c>
      <c r="JI7" s="107">
        <f>+MAX(EI7:EK7)</f>
        <v>120.9</v>
      </c>
      <c r="JJ7" s="107">
        <f>+MAX(EL7:EN7)</f>
        <v>156.25</v>
      </c>
      <c r="JK7" s="107">
        <f>MAX(EO7:EQ7)</f>
        <v>157.94999999999999</v>
      </c>
      <c r="JL7" s="107">
        <f>MAX(ER7:ET7)</f>
        <v>128.19999999999999</v>
      </c>
      <c r="JM7" s="107">
        <f>MAX(EU7:EW7)</f>
        <v>120.5</v>
      </c>
      <c r="JN7" s="107">
        <f>MAX(EX7:EZ7)</f>
        <v>113.19</v>
      </c>
      <c r="JO7" s="107">
        <f>MAX(FA7:FC7)</f>
        <v>130.24</v>
      </c>
      <c r="JP7" s="107">
        <f>MAX(FD7:FF7)</f>
        <v>123.93</v>
      </c>
      <c r="JQ7" s="107">
        <f>MAX(FG7:FI7)</f>
        <v>151.43</v>
      </c>
      <c r="JR7" s="107">
        <f>MAX(FJ7:FL7)</f>
        <v>178.36</v>
      </c>
      <c r="JS7" s="107">
        <f>MAX(FM7:FO7)</f>
        <v>154.34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39</v>
      </c>
      <c r="B8" s="107" t="s">
        <v>381</v>
      </c>
      <c r="C8" s="107" cm="1">
        <f t="array" ref="C8">_xll.EQNXTDZ($A$1,$B8,C$1)</f>
        <v>324.2</v>
      </c>
      <c r="D8" s="107" cm="1">
        <f t="array" ref="D8">_xll.EQNXTDZ($A$1,$B8,D$1)</f>
        <v>288</v>
      </c>
      <c r="E8" s="107" cm="1">
        <f t="array" ref="E8">_xll.EQNXTDZ($A$1,$B8,E$1)</f>
        <v>253.3</v>
      </c>
      <c r="F8" s="107" cm="1">
        <f t="array" ref="F8">_xll.EQNXTDZ($A$1,$B8,F$1)</f>
        <v>253.55</v>
      </c>
      <c r="G8" s="107" cm="1">
        <f t="array" ref="G8">_xll.EQNXTDZ($A$1,$B8,G$1)</f>
        <v>269.25</v>
      </c>
      <c r="H8" s="107" cm="1">
        <f t="array" ref="H8">_xll.EQNXTDZ($A$1,$B8,H$1)</f>
        <v>263.10000000000002</v>
      </c>
      <c r="I8" s="107" cm="1">
        <f t="array" ref="I8">_xll.EQNXTDZ($A$1,$B8,I$1)</f>
        <v>278.10000000000002</v>
      </c>
      <c r="J8" s="107" cm="1">
        <f t="array" ref="J8">_xll.EQNXTDZ($A$1,$B8,J$1)</f>
        <v>332.4</v>
      </c>
      <c r="K8" s="107" cm="1">
        <f t="array" ref="K8">_xll.EQNXTDZ($A$1,$B8,K$1)</f>
        <v>312.10000000000002</v>
      </c>
      <c r="L8" s="107" cm="1">
        <f t="array" ref="L8">_xll.EQNXTDZ($A$1,$B8,L$1)</f>
        <v>281.89999999999998</v>
      </c>
      <c r="M8" s="107" cm="1">
        <f t="array" ref="M8">_xll.EQNXTDZ($A$1,$B8,M$1)</f>
        <v>292</v>
      </c>
      <c r="N8" s="107" cm="1">
        <f t="array" ref="N8">_xll.EQNXTDZ($A$1,$B8,N$1)</f>
        <v>285</v>
      </c>
      <c r="O8" s="107" cm="1">
        <f t="array" ref="O8">_xll.EQNXTDZ($A$1,$B8,O$1)</f>
        <v>219</v>
      </c>
      <c r="P8" s="107" cm="1">
        <f t="array" ref="P8">_xll.EQNXTDZ($A$1,$B8,P$1)</f>
        <v>166</v>
      </c>
      <c r="Q8" s="107" cm="1">
        <f t="array" ref="Q8">_xll.EQNXTDZ($A$1,$B8,Q$1)</f>
        <v>126.5</v>
      </c>
      <c r="R8" s="107" cm="1">
        <f t="array" ref="R8">_xll.EQNXTDZ($A$1,$B8,R$1)</f>
        <v>132</v>
      </c>
      <c r="S8" s="107" cm="1">
        <f t="array" ref="S8">_xll.EQNXTDZ($A$1,$B8,S$1)</f>
        <v>156.55000000000001</v>
      </c>
      <c r="T8" s="107" cm="1">
        <f t="array" ref="T8">_xll.EQNXTDZ($A$1,$B8,T$1)</f>
        <v>204.25</v>
      </c>
      <c r="U8" s="107" cm="1">
        <f t="array" ref="U8">_xll.EQNXTDZ($A$1,$B8,U$1)</f>
        <v>204.5</v>
      </c>
      <c r="V8" s="107" cm="1">
        <f t="array" ref="V8">_xll.EQNXTDZ($A$1,$B8,V$1)</f>
        <v>184.55</v>
      </c>
      <c r="W8" s="107" cm="1">
        <f t="array" ref="W8">_xll.EQNXTDZ($A$1,$B8,W$1)</f>
        <v>165.55</v>
      </c>
      <c r="X8" s="107" cm="1">
        <f t="array" ref="X8">_xll.EQNXTDZ($A$1,$B8,X$1)</f>
        <v>168.6</v>
      </c>
      <c r="Y8" s="107" cm="1">
        <f t="array" ref="Y8">_xll.EQNXTDZ($A$1,$B8,Y$1)</f>
        <v>210.75</v>
      </c>
      <c r="Z8" s="107" cm="1">
        <f t="array" ref="Z8">_xll.EQNXTDZ($A$1,$B8,Z$1)</f>
        <v>230.1</v>
      </c>
      <c r="AA8" s="107" cm="1">
        <f t="array" ref="AA8">_xll.EQNXTDZ($A$1,$B8,AA$1)</f>
        <v>275.5</v>
      </c>
      <c r="AB8" s="107" cm="1">
        <f t="array" ref="AB8">_xll.EQNXTDZ($A$1,$B8,AB$1)</f>
        <v>256.25</v>
      </c>
      <c r="AC8" s="107" cm="1">
        <f t="array" ref="AC8">_xll.EQNXTDZ($A$1,$B8,AC$1)</f>
        <v>262.25</v>
      </c>
      <c r="AD8" s="107" cm="1">
        <f t="array" ref="AD8">_xll.EQNXTDZ($A$1,$B8,AD$1)</f>
        <v>230.05</v>
      </c>
      <c r="AE8" s="107" cm="1">
        <f t="array" ref="AE8">_xll.EQNXTDZ($A$1,$B8,AE$1)</f>
        <v>224.6</v>
      </c>
      <c r="AF8" s="107" cm="1">
        <f t="array" ref="AF8">_xll.EQNXTDZ($A$1,$B8,AF$1)</f>
        <v>269</v>
      </c>
      <c r="AG8" s="107" cm="1">
        <f t="array" ref="AG8">_xll.EQNXTDZ($A$1,$B8,AG$1)</f>
        <v>271.45</v>
      </c>
      <c r="AH8" s="107" cm="1">
        <f t="array" ref="AH8">_xll.EQNXTDZ($A$1,$B8,AH$1)</f>
        <v>261.55</v>
      </c>
      <c r="AI8" s="107" cm="1">
        <f t="array" ref="AI8">_xll.EQNXTDZ($A$1,$B8,AI$1)</f>
        <v>221.2</v>
      </c>
      <c r="AJ8" s="107" cm="1">
        <f t="array" ref="AJ8">_xll.EQNXTDZ($A$1,$B8,AJ$1)</f>
        <v>191.5</v>
      </c>
      <c r="AK8" s="107" cm="1">
        <f t="array" ref="AK8">_xll.EQNXTDZ($A$1,$B8,AK$1)</f>
        <v>194.05</v>
      </c>
      <c r="AL8" s="107" cm="1">
        <f t="array" ref="AL8">_xll.EQNXTDZ($A$1,$B8,AL$1)</f>
        <v>188</v>
      </c>
      <c r="AM8" s="107" cm="1">
        <f t="array" ref="AM8">_xll.EQNXTDZ($A$1,$B8,AM$1)</f>
        <v>168.1</v>
      </c>
      <c r="AN8" s="107" cm="1">
        <f t="array" ref="AN8">_xll.EQNXTDZ($A$1,$B8,AN$1)</f>
        <v>147.6</v>
      </c>
      <c r="AO8" s="107" cm="1">
        <f t="array" ref="AO8">_xll.EQNXTDZ($A$1,$B8,AO$1)</f>
        <v>131.4</v>
      </c>
      <c r="AP8" s="107" cm="1">
        <f t="array" ref="AP8">_xll.EQNXTDZ($A$1,$B8,AP$1)</f>
        <v>126</v>
      </c>
      <c r="AQ8" s="107" cm="1">
        <f t="array" ref="AQ8">_xll.EQNXTDZ($A$1,$B8,AQ$1)</f>
        <v>130.44999999999999</v>
      </c>
      <c r="AR8" s="107" cm="1">
        <f t="array" ref="AR8">_xll.EQNXTDZ($A$1,$B8,AR$1)</f>
        <v>123.45</v>
      </c>
      <c r="AS8" s="107" cm="1">
        <f t="array" ref="AS8">_xll.EQNXTDZ($A$1,$B8,AS$1)</f>
        <v>113.25</v>
      </c>
      <c r="AT8" s="107" cm="1">
        <f t="array" ref="AT8">_xll.EQNXTDZ($A$1,$B8,AT$1)</f>
        <v>90</v>
      </c>
      <c r="AU8" s="107" cm="1">
        <f t="array" ref="AU8">_xll.EQNXTDZ($A$1,$B8,AU$1)</f>
        <v>80.099999999999994</v>
      </c>
      <c r="AV8" s="107" cm="1">
        <f t="array" ref="AV8">_xll.EQNXTDZ($A$1,$B8,AV$1)</f>
        <v>84.05</v>
      </c>
      <c r="AW8" s="107" cm="1">
        <f t="array" ref="AW8">_xll.EQNXTDZ($A$1,$B8,AW$1)</f>
        <v>89.35</v>
      </c>
      <c r="AX8" s="107" cm="1">
        <f t="array" ref="AX8">_xll.EQNXTDZ($A$1,$B8,AX$1)</f>
        <v>78.400000000000006</v>
      </c>
      <c r="AY8" s="107" cm="1">
        <f t="array" ref="AY8">_xll.EQNXTDZ($A$1,$B8,AY$1)</f>
        <v>83.6</v>
      </c>
      <c r="AZ8" s="107" cm="1">
        <f t="array" ref="AZ8">_xll.EQNXTDZ($A$1,$B8,AZ$1)</f>
        <v>101.1</v>
      </c>
      <c r="BA8" s="107" cm="1">
        <f t="array" ref="BA8">_xll.EQNXTDZ($A$1,$B8,BA$1)</f>
        <v>101.3</v>
      </c>
      <c r="BB8" s="107" cm="1">
        <f t="array" ref="BB8">_xll.EQNXTDZ($A$1,$B8,BB$1)</f>
        <v>108</v>
      </c>
      <c r="BC8" s="107" cm="1">
        <f t="array" ref="BC8">_xll.EQNXTDZ($A$1,$B8,BC$1)</f>
        <v>109.45</v>
      </c>
      <c r="BD8" s="107" cm="1">
        <f t="array" ref="BD8">_xll.EQNXTDZ($A$1,$B8,BD$1)</f>
        <v>99.65</v>
      </c>
      <c r="BE8" s="107" cm="1">
        <f t="array" ref="BE8">_xll.EQNXTDZ($A$1,$B8,BE$1)</f>
        <v>102.75</v>
      </c>
      <c r="BF8" s="107" cm="1">
        <f t="array" ref="BF8">_xll.EQNXTDZ($A$1,$B8,BF$1)</f>
        <v>105.75</v>
      </c>
      <c r="BG8" s="107" cm="1">
        <f t="array" ref="BG8">_xll.EQNXTDZ($A$1,$B8,BG$1)</f>
        <v>117.4</v>
      </c>
      <c r="BH8" s="107" cm="1">
        <f t="array" ref="BH8">_xll.EQNXTDZ($A$1,$B8,BH$1)</f>
        <v>122.85</v>
      </c>
      <c r="BI8" s="107" cm="1">
        <f t="array" ref="BI8">_xll.EQNXTDZ($A$1,$B8,BI$1)</f>
        <v>138.5</v>
      </c>
      <c r="BJ8" s="107" cm="1">
        <f t="array" ref="BJ8">_xll.EQNXTDZ($A$1,$B8,BJ$1)</f>
        <v>139.19999999999999</v>
      </c>
      <c r="BK8" s="107" cm="1">
        <f t="array" ref="BK8">_xll.EQNXTDZ($A$1,$B8,BK$1)</f>
        <v>127.55</v>
      </c>
      <c r="BL8" s="107" cm="1">
        <f t="array" ref="BL8">_xll.EQNXTDZ($A$1,$B8,BL$1)</f>
        <v>136.19999999999999</v>
      </c>
      <c r="BM8" s="107" cm="1">
        <f t="array" ref="BM8">_xll.EQNXTDZ($A$1,$B8,BM$1)</f>
        <v>137.30000000000001</v>
      </c>
      <c r="BN8" s="107" cm="1">
        <f t="array" ref="BN8">_xll.EQNXTDZ($A$1,$B8,BN$1)</f>
        <v>136.55000000000001</v>
      </c>
      <c r="BO8" s="107" cm="1">
        <f t="array" ref="BO8">_xll.EQNXTDZ($A$1,$B8,BO$1)</f>
        <v>131</v>
      </c>
      <c r="BP8" s="107" cm="1">
        <f t="array" ref="BP8">_xll.EQNXTDZ($A$1,$B8,BP$1)</f>
        <v>191.7</v>
      </c>
      <c r="BQ8" s="107" cm="1">
        <f t="array" ref="BQ8">_xll.EQNXTDZ($A$1,$B8,BQ$1)</f>
        <v>168.1</v>
      </c>
      <c r="BR8" s="107" cm="1">
        <f t="array" ref="BR8">_xll.EQNXTDZ($A$1,$B8,BR$1)</f>
        <v>155</v>
      </c>
      <c r="BS8" s="107" cm="1">
        <f t="array" ref="BS8">_xll.EQNXTDZ($A$1,$B8,BS$1)</f>
        <v>112.1</v>
      </c>
      <c r="BT8" s="107" cm="1">
        <f t="array" ref="BT8">_xll.EQNXTDZ($A$1,$B8,BT$1)</f>
        <v>91.35</v>
      </c>
      <c r="BU8" s="107" cm="1">
        <f t="array" ref="BU8">_xll.EQNXTDZ($A$1,$B8,BU$1)</f>
        <v>96.4</v>
      </c>
      <c r="BV8" s="107" cm="1">
        <f t="array" ref="BV8">_xll.EQNXTDZ($A$1,$B8,BV$1)</f>
        <v>92.75</v>
      </c>
      <c r="BW8" s="107" cm="1">
        <f t="array" ref="BW8">_xll.EQNXTDZ($A$1,$B8,BW$1)</f>
        <v>84.5</v>
      </c>
      <c r="BX8" s="107" cm="1">
        <f t="array" ref="BX8">_xll.EQNXTDZ($A$1,$B8,BX$1)</f>
        <v>76.5</v>
      </c>
      <c r="BY8" s="107" cm="1">
        <f t="array" ref="BY8">_xll.EQNXTDZ($A$1,$B8,BY$1)</f>
        <v>87.75</v>
      </c>
      <c r="BZ8" s="107" cm="1">
        <f t="array" ref="BZ8">_xll.EQNXTDZ($A$1,$B8,BZ$1)</f>
        <v>75.8</v>
      </c>
      <c r="CA8" s="107" cm="1">
        <f t="array" ref="CA8">_xll.EQNXTDZ($A$1,$B8,CA$1)</f>
        <v>73.2</v>
      </c>
      <c r="CB8" s="107" cm="1">
        <f t="array" ref="CB8">_xll.EQNXTDZ($A$1,$B8,CB$1)</f>
        <v>79.599999999999994</v>
      </c>
      <c r="CC8" s="107" cm="1">
        <f t="array" ref="CC8">_xll.EQNXTDZ($A$1,$B8,CC$1)</f>
        <v>76.099999999999994</v>
      </c>
      <c r="CD8" s="107" cm="1">
        <f t="array" ref="CD8">_xll.EQNXTDZ($A$1,$B8,CD$1)</f>
        <v>85.4</v>
      </c>
      <c r="CE8" s="107" cm="1">
        <f t="array" ref="CE8">_xll.EQNXTDZ($A$1,$B8,CE$1)</f>
        <v>77.5</v>
      </c>
      <c r="CF8" s="107" cm="1">
        <f t="array" ref="CF8">_xll.EQNXTDZ($A$1,$B8,CF$1)</f>
        <v>83.15</v>
      </c>
      <c r="CG8" s="107" cm="1">
        <f t="array" ref="CG8">_xll.EQNXTDZ($A$1,$B8,CG$1)</f>
        <v>87</v>
      </c>
      <c r="CH8" s="107" cm="1">
        <f t="array" ref="CH8">_xll.EQNXTDZ($A$1,$B8,CH$1)</f>
        <v>78.95</v>
      </c>
      <c r="CI8" s="107" cm="1">
        <f t="array" ref="CI8">_xll.EQNXTDZ($A$1,$B8,CI$1)</f>
        <v>81.900000000000006</v>
      </c>
      <c r="CJ8" s="107" cm="1">
        <f t="array" ref="CJ8">_xll.EQNXTDZ($A$1,$B8,CJ$1)</f>
        <v>69.8</v>
      </c>
      <c r="CK8" s="107" cm="1">
        <f t="array" ref="CK8">_xll.EQNXTDZ($A$1,$B8,CK$1)</f>
        <v>61.4</v>
      </c>
      <c r="CL8" s="107" cm="1">
        <f t="array" ref="CL8">_xll.EQNXTDZ($A$1,$B8,CL$1)</f>
        <v>61.95</v>
      </c>
      <c r="CM8" s="107" cm="1">
        <f t="array" ref="CM8">_xll.EQNXTDZ($A$1,$B8,CM$1)</f>
        <v>57.45</v>
      </c>
      <c r="CN8" s="107" cm="1">
        <f t="array" ref="CN8">_xll.EQNXTDZ($A$1,$B8,CN$1)</f>
        <v>63.9</v>
      </c>
      <c r="CO8" s="107" cm="1">
        <f t="array" ref="CO8">_xll.EQNXTDZ($A$1,$B8,CO$1)</f>
        <v>65.849999999999994</v>
      </c>
      <c r="CP8" s="107" cm="1">
        <f t="array" ref="CP8">_xll.EQNXTDZ($A$1,$B8,CP$1)</f>
        <v>65.150000000000006</v>
      </c>
      <c r="CQ8" s="107" cm="1">
        <f t="array" ref="CQ8">_xll.EQNXTDZ($A$1,$B8,CQ$1)</f>
        <v>50.3</v>
      </c>
      <c r="CR8" s="107" cm="1">
        <f t="array" ref="CR8">_xll.EQNXTDZ($A$1,$B8,CR$1)</f>
        <v>30.4</v>
      </c>
      <c r="CS8" s="107" cm="1">
        <f t="array" ref="CS8">_xll.EQNXTDZ($A$1,$B8,CS$1)</f>
        <v>31.7</v>
      </c>
      <c r="CT8" s="107" cm="1">
        <f t="array" ref="CT8">_xll.EQNXTDZ($A$1,$B8,CT$1)</f>
        <v>31</v>
      </c>
      <c r="CU8" s="107" cm="1">
        <f t="array" ref="CU8">_xll.EQNXTDZ($A$1,$B8,CU$1)</f>
        <v>31.9</v>
      </c>
      <c r="CV8" s="107" cm="1">
        <f t="array" ref="CV8">_xll.EQNXTDZ($A$1,$B8,CV$1)</f>
        <v>45</v>
      </c>
      <c r="CW8" s="107" cm="1">
        <f t="array" ref="CW8">_xll.EQNXTDZ($A$1,$B8,CW$1)</f>
        <v>46.15</v>
      </c>
      <c r="CX8" s="107" cm="1">
        <f t="array" ref="CX8">_xll.EQNXTDZ($A$1,$B8,CX$1)</f>
        <v>38.549999999999997</v>
      </c>
      <c r="CY8" s="107" cm="1">
        <f t="array" ref="CY8">_xll.EQNXTDZ($A$1,$B8,CY$1)</f>
        <v>38.200000000000003</v>
      </c>
      <c r="CZ8" s="107" cm="1">
        <f t="array" ref="CZ8">_xll.EQNXTDZ($A$1,$B8,CZ$1)</f>
        <v>38.299999999999997</v>
      </c>
      <c r="DA8" s="107" cm="1">
        <f t="array" ref="DA8">_xll.EQNXTDZ($A$1,$B8,DA$1)</f>
        <v>45.1</v>
      </c>
      <c r="DB8" s="107" cm="1">
        <f t="array" ref="DB8">_xll.EQNXTDZ($A$1,$B8,DB$1)</f>
        <v>47.9</v>
      </c>
      <c r="DC8" s="107" cm="1">
        <f t="array" ref="DC8">_xll.EQNXTDZ($A$1,$B8,DC$1)</f>
        <v>49.6</v>
      </c>
      <c r="DD8" s="107" cm="1">
        <f t="array" ref="DD8">_xll.EQNXTDZ($A$1,$B8,DD$1)</f>
        <v>62.5</v>
      </c>
      <c r="DE8" s="107" cm="1">
        <f t="array" ref="DE8">_xll.EQNXTDZ($A$1,$B8,DE$1)</f>
        <v>62.6</v>
      </c>
      <c r="DF8" s="107" cm="1">
        <f t="array" ref="DF8">_xll.EQNXTDZ($A$1,$B8,DF$1)</f>
        <v>64.599999999999994</v>
      </c>
      <c r="DG8" s="107" cm="1">
        <f t="array" ref="DG8">_xll.EQNXTDZ($A$1,$B8,DG$1)</f>
        <v>73.099999999999994</v>
      </c>
      <c r="DH8" s="107" cm="1">
        <f t="array" ref="DH8">_xll.EQNXTDZ($A$1,$B8,DH$1)</f>
        <v>69.349999999999994</v>
      </c>
      <c r="DI8" s="107" cm="1">
        <f t="array" ref="DI8">_xll.EQNXTDZ($A$1,$B8,DI$1)</f>
        <v>62</v>
      </c>
      <c r="DJ8" s="107" cm="1">
        <f t="array" ref="DJ8">_xll.EQNXTDZ($A$1,$B8,DJ$1)</f>
        <v>52.7</v>
      </c>
      <c r="DK8" s="107" cm="1">
        <f t="array" ref="DK8">_xll.EQNXTDZ($A$1,$B8,DK$1)</f>
        <v>54.7</v>
      </c>
      <c r="DL8" s="107" cm="1">
        <f t="array" ref="DL8">_xll.EQNXTDZ($A$1,$B8,DL$1)</f>
        <v>54.1</v>
      </c>
      <c r="DM8" s="107" cm="1">
        <f t="array" ref="DM8">_xll.EQNXTDZ($A$1,$B8,DM$1)</f>
        <v>48.8</v>
      </c>
      <c r="DN8" s="107" cm="1">
        <f t="array" ref="DN8">_xll.EQNXTDZ($A$1,$B8,DN$1)</f>
        <v>50.35</v>
      </c>
      <c r="DO8" s="107" cm="1">
        <f t="array" ref="DO8">_xll.EQNXTDZ($A$1,$B8,DO$1)</f>
        <v>43.15</v>
      </c>
      <c r="DP8" s="107" cm="1">
        <f t="array" ref="DP8">_xll.EQNXTDZ($A$1,$B8,DP$1)</f>
        <v>45.05</v>
      </c>
      <c r="DQ8" s="107" cm="1">
        <f t="array" ref="DQ8">_xll.EQNXTDZ($A$1,$B8,DQ$1)</f>
        <v>45.8</v>
      </c>
      <c r="DR8" s="107" cm="1">
        <f t="array" ref="DR8">_xll.EQNXTDZ($A$1,$B8,DR$1)</f>
        <v>40.5</v>
      </c>
      <c r="DS8" s="107" cm="1">
        <f t="array" ref="DS8">_xll.EQNXTDZ($A$1,$B8,DS$1)</f>
        <v>40.4</v>
      </c>
      <c r="DT8" s="107" cm="1">
        <f t="array" ref="DT8">_xll.EQNXTDZ($A$1,$B8,DT$1)</f>
        <v>43.9</v>
      </c>
      <c r="DU8" s="107" cm="1">
        <f t="array" ref="DU8">_xll.EQNXTDZ($A$1,$B8,DU$1)</f>
        <v>47.5</v>
      </c>
      <c r="DV8" s="107" cm="1">
        <f t="array" ref="DV8">_xll.EQNXTDZ($A$1,$B8,DV$1)</f>
        <v>45.85</v>
      </c>
      <c r="DW8" s="107" cm="1">
        <f t="array" ref="DW8">_xll.EQNXTDZ($A$1,$B8,DW$1)</f>
        <v>46.15</v>
      </c>
      <c r="DX8" s="107" cm="1">
        <f t="array" ref="DX8">_xll.EQNXTDZ($A$1,$B8,DX$1)</f>
        <v>59.25</v>
      </c>
      <c r="DY8" s="107" cm="1">
        <f t="array" ref="DY8">_xll.EQNXTDZ($A$1,$B8,DY$1)</f>
        <v>75</v>
      </c>
      <c r="DZ8" s="107" cm="1">
        <f t="array" ref="DZ8">_xll.EQNXTDZ($A$1,$B8,DZ$1)</f>
        <v>75.900000000000006</v>
      </c>
      <c r="EA8" s="107" cm="1">
        <f t="array" ref="EA8">_xll.EQNXTDZ($A$1,$B8,EA$1)</f>
        <v>66.05</v>
      </c>
      <c r="EB8" s="107" cm="1">
        <f t="array" ref="EB8">_xll.EQNXTDZ($A$1,$B8,EB$1)</f>
        <v>67.599999999999994</v>
      </c>
      <c r="EC8" s="107" cm="1">
        <f t="array" ref="EC8">_xll.EQNXTDZ($A$1,$B8,EC$1)</f>
        <v>74.099999999999994</v>
      </c>
      <c r="ED8" s="107" cm="1">
        <f t="array" ref="ED8">_xll.EQNXTDZ($A$1,$B8,ED$1)</f>
        <v>72</v>
      </c>
      <c r="EE8" s="107" cm="1">
        <f t="array" ref="EE8">_xll.EQNXTDZ($A$1,$B8,EE$1)</f>
        <v>69.5</v>
      </c>
      <c r="EF8" s="107" cm="1">
        <f t="array" ref="EF8">_xll.EQNXTDZ($A$1,$B8,EF$1)</f>
        <v>74</v>
      </c>
      <c r="EG8" s="107" cm="1">
        <f t="array" ref="EG8">_xll.EQNXTDZ($A$1,$B8,EG$1)</f>
        <v>82.55</v>
      </c>
      <c r="EH8" s="107" cm="1">
        <f t="array" ref="EH8">_xll.EQNXTDZ($A$1,$B8,EH$1)</f>
        <v>85.25</v>
      </c>
      <c r="EI8" s="107" cm="1">
        <f t="array" ref="EI8">_xll.EQNXTDZ($A$1,$B8,EI$1)</f>
        <v>86.4</v>
      </c>
      <c r="EJ8" s="107" cm="1">
        <f t="array" ref="EJ8">_xll.EQNXTDZ($A$1,$B8,EJ$1)</f>
        <v>95.05</v>
      </c>
      <c r="EK8" s="107" cm="1">
        <f t="array" ref="EK8">_xll.EQNXTDZ($A$1,$B8,EK$1)</f>
        <v>104.2</v>
      </c>
      <c r="EL8" s="107" cm="1">
        <f t="array" ref="EL8">_xll.EQNXTDZ($A$1,$B8,EL$1)</f>
        <v>111.95</v>
      </c>
      <c r="EM8" s="107" cm="1">
        <f t="array" ref="EM8">_xll.EQNXTDZ($A$1,$B8,EM$1)</f>
        <v>124.45</v>
      </c>
      <c r="EN8" s="107" cm="1">
        <f t="array" ref="EN8">_xll.EQNXTDZ($A$1,$B8,EN$1)</f>
        <v>125.1</v>
      </c>
      <c r="EO8" s="107" cm="1">
        <f t="array" ref="EO8">_xll.EQNXTDZ($A$1,$B8,EO$1)</f>
        <v>133.19999999999999</v>
      </c>
      <c r="EP8" s="107" cm="1">
        <f t="array" ref="EP8">_xll.EQNXTDZ($A$1,$B8,EP$1)</f>
        <v>120.8</v>
      </c>
      <c r="EQ8" s="107" cm="1">
        <f t="array" ref="EQ8">_xll.EQNXTDZ($A$1,$B8,EQ$1)</f>
        <v>109.55</v>
      </c>
      <c r="ER8" s="107" cm="1">
        <f t="array" ref="ER8">_xll.EQNXTDZ($A$1,$B8,ER$1)</f>
        <v>117</v>
      </c>
      <c r="ES8" s="107" cm="1">
        <f t="array" ref="ES8">_xll.EQNXTDZ($A$1,$B8,ES$1)</f>
        <v>114</v>
      </c>
      <c r="ET8" s="107" cm="1">
        <f t="array" ref="ET8">_xll.EQNXTDZ($A$1,$B8,ET$1)</f>
        <v>109.51</v>
      </c>
      <c r="EU8" s="107" cm="1">
        <f t="array" ref="EU8">_xll.EQNXTDZ($A$1,$B8,EU$1)</f>
        <v>96</v>
      </c>
      <c r="EV8" s="107" cm="1">
        <f t="array" ref="EV8">_xll.EQNXTDZ($A$1,$B8,EV$1)</f>
        <v>100.7</v>
      </c>
      <c r="EW8" s="107" cm="1">
        <f t="array" ref="EW8">_xll.EQNXTDZ($A$1,$B8,EW$1)</f>
        <v>100.22</v>
      </c>
      <c r="EX8" s="107" cm="1">
        <f t="array" ref="EX8">_xll.EQNXTDZ($A$1,$B8,EX$1)</f>
        <v>90.05</v>
      </c>
      <c r="EY8" s="107" cm="1">
        <f t="array" ref="EY8">_xll.EQNXTDZ($A$1,$B8,EY$1)</f>
        <v>94.78</v>
      </c>
      <c r="EZ8" s="107" cm="1">
        <f t="array" ref="EZ8">_xll.EQNXTDZ($A$1,$B8,EZ$1)</f>
        <v>92.66</v>
      </c>
      <c r="FA8" s="107" cm="1">
        <f t="array" ref="FA8">_xll.EQNXTDZ($A$1,$B8,FA$1)</f>
        <v>103</v>
      </c>
      <c r="FB8" s="107" cm="1">
        <f t="array" ref="FB8">_xll.EQNXTDZ($A$1,$B8,FB$1)</f>
        <v>104.2</v>
      </c>
      <c r="FC8" s="107" cm="1">
        <f t="array" ref="FC8">_xll.EQNXTDZ($A$1,$B8,FC$1)</f>
        <v>111.56</v>
      </c>
      <c r="FD8" s="107" cm="1">
        <f t="array" ref="FD8">_xll.EQNXTDZ($A$1,$B8,FD$1)</f>
        <v>110.3</v>
      </c>
      <c r="FE8" s="107" cm="1">
        <f t="array" ref="FE8">_xll.EQNXTDZ($A$1,$B8,FE$1)</f>
        <v>108.81</v>
      </c>
      <c r="FF8" s="107" cm="1">
        <f t="array" ref="FF8">_xll.EQNXTDZ($A$1,$B8,FF$1)</f>
        <v>110.68</v>
      </c>
      <c r="FG8" s="107" cm="1">
        <f t="array" ref="FG8">_xll.EQNXTDZ($A$1,$B8,FG$1)</f>
        <v>122.2</v>
      </c>
      <c r="FH8" s="107" cm="1">
        <f t="array" ref="FH8">_xll.EQNXTDZ($A$1,$B8,FH$1)</f>
        <v>138.55000000000001</v>
      </c>
      <c r="FI8" s="107" cm="1">
        <f t="array" ref="FI8">_xll.EQNXTDZ($A$1,$B8,FI$1)</f>
        <v>136.71</v>
      </c>
      <c r="FJ8" s="107" cm="1">
        <f t="array" ref="FJ8">_xll.EQNXTDZ($A$1,$B8,FJ$1)</f>
        <v>142.9</v>
      </c>
      <c r="FK8" s="107" cm="1">
        <f t="array" ref="FK8">_xll.EQNXTDZ($A$1,$B8,FK$1)</f>
        <v>146.4</v>
      </c>
      <c r="FL8" s="107" cm="1">
        <f t="array" ref="FL8">_xll.EQNXTDZ($A$1,$B8,FL$1)</f>
        <v>136.19999999999999</v>
      </c>
      <c r="FM8" s="107" cm="1">
        <f t="array" ref="FM8">_xll.EQNXTDZ($A$1,$B8,FM$1)</f>
        <v>134.52000000000001</v>
      </c>
      <c r="FN8" s="107" cm="1">
        <f t="array" ref="FN8">_xll.EQNXTDZ($A$1,$B8,FN$1)</f>
        <v>136.5</v>
      </c>
      <c r="FO8" s="107" cm="1">
        <f t="array" ref="FO8">_xll.EQNXTDZ($A$1,$B8,FO$1)</f>
        <v>134.6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253.3</v>
      </c>
      <c r="HQ8" s="107">
        <f>+MIN(G8:I8)</f>
        <v>263.10000000000002</v>
      </c>
      <c r="HR8" s="107">
        <f>+MIN(J8:L8)</f>
        <v>281.89999999999998</v>
      </c>
      <c r="HS8" s="107">
        <f>+MIN(M8:O8)</f>
        <v>219</v>
      </c>
      <c r="HT8" s="107">
        <f>+MIN(P8:R8)</f>
        <v>126.5</v>
      </c>
      <c r="HU8" s="107">
        <f>+MIN(S8:U8)</f>
        <v>156.55000000000001</v>
      </c>
      <c r="HV8" s="107">
        <f>+MIN(V8:X8)</f>
        <v>165.55</v>
      </c>
      <c r="HW8" s="107">
        <f>+MIN(Y8:AA8)</f>
        <v>210.75</v>
      </c>
      <c r="HX8" s="107">
        <f>+MIN(AB8:AD8)</f>
        <v>230.05</v>
      </c>
      <c r="HY8" s="107">
        <f>+MIN(AE8:AG8)</f>
        <v>224.6</v>
      </c>
      <c r="HZ8" s="107">
        <f>+MIN(AH8:AJ8)</f>
        <v>191.5</v>
      </c>
      <c r="IA8" s="107">
        <f>+MIN(AK8:AM8)</f>
        <v>168.1</v>
      </c>
      <c r="IB8" s="107">
        <f>+MIN(AN8:AP8)</f>
        <v>126</v>
      </c>
      <c r="IC8" s="107">
        <f>+MIN(AQ8:AS8)</f>
        <v>113.25</v>
      </c>
      <c r="ID8" s="107">
        <f>+MIN(AT8:AV8)</f>
        <v>80.099999999999994</v>
      </c>
      <c r="IE8" s="107">
        <f>+MIN(AW8:AY8)</f>
        <v>78.400000000000006</v>
      </c>
      <c r="IF8" s="107">
        <f>+MIN(AZ8:BB8)</f>
        <v>101.1</v>
      </c>
      <c r="IG8" s="107">
        <f>+MIN(BC8:BE8)</f>
        <v>99.65</v>
      </c>
      <c r="IH8" s="107">
        <f>+MIN(BF8:BH8)</f>
        <v>105.75</v>
      </c>
      <c r="II8" s="107">
        <f>+MIN(BI8:BK8)</f>
        <v>127.55</v>
      </c>
      <c r="IJ8" s="107">
        <f>+MIN(BL8:BN8)</f>
        <v>136.19999999999999</v>
      </c>
      <c r="IK8" s="107">
        <f>+MIN(BO8:BQ8)</f>
        <v>131</v>
      </c>
      <c r="IL8" s="107">
        <f>+MIN(BR8:BT8)</f>
        <v>91.35</v>
      </c>
      <c r="IM8" s="107">
        <f>+MIN(BU8:BW8)</f>
        <v>84.5</v>
      </c>
      <c r="IN8" s="107">
        <f>+MIN(BX8:BZ8)</f>
        <v>75.8</v>
      </c>
      <c r="IO8" s="107">
        <f>+MIN(CA8:CC8)</f>
        <v>73.2</v>
      </c>
      <c r="IP8" s="107">
        <f>+MIN(CD8:CF8)</f>
        <v>77.5</v>
      </c>
      <c r="IQ8" s="107">
        <f>+MIN(CG8:CI8)</f>
        <v>78.95</v>
      </c>
      <c r="IR8" s="107">
        <f>+MIN(CJ8:CL8)</f>
        <v>61.4</v>
      </c>
      <c r="IS8" s="107">
        <f>+MIN(CM8:CO8)</f>
        <v>57.45</v>
      </c>
      <c r="IT8" s="107">
        <f>+MIN(CP8:CR8)</f>
        <v>30.4</v>
      </c>
      <c r="IU8" s="107">
        <f>+MIN(CS8:CU8)</f>
        <v>31</v>
      </c>
      <c r="IV8" s="107">
        <f>+MIN(CV8:CX8)</f>
        <v>38.549999999999997</v>
      </c>
      <c r="IW8" s="107">
        <f>+MIN(CY8:DA8)</f>
        <v>38.200000000000003</v>
      </c>
      <c r="IX8" s="107">
        <f>+MIN(DB8:DD8)</f>
        <v>47.9</v>
      </c>
      <c r="IY8" s="107">
        <f>+MIN(DE8:DG8)</f>
        <v>62.6</v>
      </c>
      <c r="IZ8" s="107">
        <f>+MIN(DH8:DJ8)</f>
        <v>52.7</v>
      </c>
      <c r="JA8" s="107">
        <f>+MIN(DK8:DM8)</f>
        <v>48.8</v>
      </c>
      <c r="JB8" s="107">
        <f>+MIN(DN8:DP8)</f>
        <v>43.15</v>
      </c>
      <c r="JC8" s="107">
        <f>+MIN(DQ8:DS8)</f>
        <v>40.4</v>
      </c>
      <c r="JD8" s="107">
        <f>+MIN(DT8:DV8)</f>
        <v>43.9</v>
      </c>
      <c r="JE8" s="107">
        <f>+MIN(DW8:DY8)</f>
        <v>46.15</v>
      </c>
      <c r="JF8" s="107">
        <f>+MIN(DZ8:EB8)</f>
        <v>66.05</v>
      </c>
      <c r="JG8" s="107">
        <f>+MIN(EC8:EE8)</f>
        <v>69.5</v>
      </c>
      <c r="JH8" s="107">
        <f>+MIN(EF8:EH8)</f>
        <v>74</v>
      </c>
      <c r="JI8" s="107">
        <f>+MIN(EI8:EK8)</f>
        <v>86.4</v>
      </c>
      <c r="JJ8" s="107">
        <f>+MIN(EL8:EN8)</f>
        <v>111.95</v>
      </c>
      <c r="JK8" s="107">
        <f>MIN(EO8:EQ8)</f>
        <v>109.55</v>
      </c>
      <c r="JL8" s="107">
        <f>MIN(ER8:ET8)</f>
        <v>109.51</v>
      </c>
      <c r="JM8" s="107">
        <f>MIN(EU8:EW8)</f>
        <v>96</v>
      </c>
      <c r="JN8" s="107">
        <f>MIN(EX8:EZ8)</f>
        <v>90.05</v>
      </c>
      <c r="JO8" s="107">
        <f>MIN(FA8:FC8)</f>
        <v>103</v>
      </c>
      <c r="JP8" s="107">
        <f>MIN(FD8:FF8)</f>
        <v>108.81</v>
      </c>
      <c r="JQ8" s="107">
        <f>MIN(FG8:FI8)</f>
        <v>122.2</v>
      </c>
      <c r="JR8" s="107">
        <f>MIN(FJ8:FL8)</f>
        <v>136.19999999999999</v>
      </c>
      <c r="JS8" s="107">
        <f>MIN(FM8:FO8)</f>
        <v>134.52000000000001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41</v>
      </c>
      <c r="B9" s="107" t="s">
        <v>382</v>
      </c>
      <c r="C9" s="107" cm="1">
        <f t="array" ref="C9">_xll.EQNXTDZ($A$1,$B9,C$1)</f>
        <v>347.05</v>
      </c>
      <c r="D9" s="107" cm="1">
        <f t="array" ref="D9">_xll.EQNXTDZ($A$1,$B9,D$1)</f>
        <v>297.89999999999998</v>
      </c>
      <c r="E9" s="107" cm="1">
        <f t="array" ref="E9">_xll.EQNXTDZ($A$1,$B9,E$1)</f>
        <v>255.3</v>
      </c>
      <c r="F9" s="107" cm="1">
        <f t="array" ref="F9">_xll.EQNXTDZ($A$1,$B9,F$1)</f>
        <v>311.2</v>
      </c>
      <c r="G9" s="107" cm="1">
        <f t="array" ref="G9">_xll.EQNXTDZ($A$1,$B9,G$1)</f>
        <v>276.5</v>
      </c>
      <c r="H9" s="107" cm="1">
        <f t="array" ref="H9">_xll.EQNXTDZ($A$1,$B9,H$1)</f>
        <v>280.64999999999998</v>
      </c>
      <c r="I9" s="107" cm="1">
        <f t="array" ref="I9">_xll.EQNXTDZ($A$1,$B9,I$1)</f>
        <v>343</v>
      </c>
      <c r="J9" s="107" cm="1">
        <f t="array" ref="J9">_xll.EQNXTDZ($A$1,$B9,J$1)</f>
        <v>353</v>
      </c>
      <c r="K9" s="107" cm="1">
        <f t="array" ref="K9">_xll.EQNXTDZ($A$1,$B9,K$1)</f>
        <v>318</v>
      </c>
      <c r="L9" s="107" cm="1">
        <f t="array" ref="L9">_xll.EQNXTDZ($A$1,$B9,L$1)</f>
        <v>302.85000000000002</v>
      </c>
      <c r="M9" s="107" cm="1">
        <f t="array" ref="M9">_xll.EQNXTDZ($A$1,$B9,M$1)</f>
        <v>328</v>
      </c>
      <c r="N9" s="107" cm="1">
        <f t="array" ref="N9">_xll.EQNXTDZ($A$1,$B9,N$1)</f>
        <v>287.75</v>
      </c>
      <c r="O9" s="107" cm="1">
        <f t="array" ref="O9">_xll.EQNXTDZ($A$1,$B9,O$1)</f>
        <v>232.4</v>
      </c>
      <c r="P9" s="107" cm="1">
        <f t="array" ref="P9">_xll.EQNXTDZ($A$1,$B9,P$1)</f>
        <v>184.7</v>
      </c>
      <c r="Q9" s="107" cm="1">
        <f t="array" ref="Q9">_xll.EQNXTDZ($A$1,$B9,Q$1)</f>
        <v>142.30000000000001</v>
      </c>
      <c r="R9" s="107" cm="1">
        <f t="array" ref="R9">_xll.EQNXTDZ($A$1,$B9,R$1)</f>
        <v>157.94999999999999</v>
      </c>
      <c r="S9" s="107" cm="1">
        <f t="array" ref="S9">_xll.EQNXTDZ($A$1,$B9,S$1)</f>
        <v>209.9</v>
      </c>
      <c r="T9" s="107" cm="1">
        <f t="array" ref="T9">_xll.EQNXTDZ($A$1,$B9,T$1)</f>
        <v>217.15</v>
      </c>
      <c r="U9" s="107" cm="1">
        <f t="array" ref="U9">_xll.EQNXTDZ($A$1,$B9,U$1)</f>
        <v>237.95</v>
      </c>
      <c r="V9" s="107" cm="1">
        <f t="array" ref="V9">_xll.EQNXTDZ($A$1,$B9,V$1)</f>
        <v>191.7</v>
      </c>
      <c r="W9" s="107" cm="1">
        <f t="array" ref="W9">_xll.EQNXTDZ($A$1,$B9,W$1)</f>
        <v>171.35</v>
      </c>
      <c r="X9" s="107" cm="1">
        <f t="array" ref="X9">_xll.EQNXTDZ($A$1,$B9,X$1)</f>
        <v>228.5</v>
      </c>
      <c r="Y9" s="107" cm="1">
        <f t="array" ref="Y9">_xll.EQNXTDZ($A$1,$B9,Y$1)</f>
        <v>234.15</v>
      </c>
      <c r="Z9" s="107" cm="1">
        <f t="array" ref="Z9">_xll.EQNXTDZ($A$1,$B9,Z$1)</f>
        <v>309.25</v>
      </c>
      <c r="AA9" s="107" cm="1">
        <f t="array" ref="AA9">_xll.EQNXTDZ($A$1,$B9,AA$1)</f>
        <v>301.55</v>
      </c>
      <c r="AB9" s="107" cm="1">
        <f t="array" ref="AB9">_xll.EQNXTDZ($A$1,$B9,AB$1)</f>
        <v>274.5</v>
      </c>
      <c r="AC9" s="107" cm="1">
        <f t="array" ref="AC9">_xll.EQNXTDZ($A$1,$B9,AC$1)</f>
        <v>277.45</v>
      </c>
      <c r="AD9" s="107" cm="1">
        <f t="array" ref="AD9">_xll.EQNXTDZ($A$1,$B9,AD$1)</f>
        <v>232</v>
      </c>
      <c r="AE9" s="107" cm="1">
        <f t="array" ref="AE9">_xll.EQNXTDZ($A$1,$B9,AE$1)</f>
        <v>285.35000000000002</v>
      </c>
      <c r="AF9" s="107" cm="1">
        <f t="array" ref="AF9">_xll.EQNXTDZ($A$1,$B9,AF$1)</f>
        <v>288.8</v>
      </c>
      <c r="AG9" s="107" cm="1">
        <f t="array" ref="AG9">_xll.EQNXTDZ($A$1,$B9,AG$1)</f>
        <v>301.8</v>
      </c>
      <c r="AH9" s="107" cm="1">
        <f t="array" ref="AH9">_xll.EQNXTDZ($A$1,$B9,AH$1)</f>
        <v>266.25</v>
      </c>
      <c r="AI9" s="107" cm="1">
        <f t="array" ref="AI9">_xll.EQNXTDZ($A$1,$B9,AI$1)</f>
        <v>234.3</v>
      </c>
      <c r="AJ9" s="107" cm="1">
        <f t="array" ref="AJ9">_xll.EQNXTDZ($A$1,$B9,AJ$1)</f>
        <v>195.85</v>
      </c>
      <c r="AK9" s="107" cm="1">
        <f t="array" ref="AK9">_xll.EQNXTDZ($A$1,$B9,AK$1)</f>
        <v>216.6</v>
      </c>
      <c r="AL9" s="107" cm="1">
        <f t="array" ref="AL9">_xll.EQNXTDZ($A$1,$B9,AL$1)</f>
        <v>197.2</v>
      </c>
      <c r="AM9" s="107" cm="1">
        <f t="array" ref="AM9">_xll.EQNXTDZ($A$1,$B9,AM$1)</f>
        <v>171.4</v>
      </c>
      <c r="AN9" s="107" cm="1">
        <f t="array" ref="AN9">_xll.EQNXTDZ($A$1,$B9,AN$1)</f>
        <v>163</v>
      </c>
      <c r="AO9" s="107" cm="1">
        <f t="array" ref="AO9">_xll.EQNXTDZ($A$1,$B9,AO$1)</f>
        <v>142.15</v>
      </c>
      <c r="AP9" s="107" cm="1">
        <f t="array" ref="AP9">_xll.EQNXTDZ($A$1,$B9,AP$1)</f>
        <v>135.6</v>
      </c>
      <c r="AQ9" s="107" cm="1">
        <f t="array" ref="AQ9">_xll.EQNXTDZ($A$1,$B9,AQ$1)</f>
        <v>131.30000000000001</v>
      </c>
      <c r="AR9" s="107" cm="1">
        <f t="array" ref="AR9">_xll.EQNXTDZ($A$1,$B9,AR$1)</f>
        <v>131.19999999999999</v>
      </c>
      <c r="AS9" s="107" cm="1">
        <f t="array" ref="AS9">_xll.EQNXTDZ($A$1,$B9,AS$1)</f>
        <v>114.95</v>
      </c>
      <c r="AT9" s="107" cm="1">
        <f t="array" ref="AT9">_xll.EQNXTDZ($A$1,$B9,AT$1)</f>
        <v>100.3</v>
      </c>
      <c r="AU9" s="107" cm="1">
        <f t="array" ref="AU9">_xll.EQNXTDZ($A$1,$B9,AU$1)</f>
        <v>83.3</v>
      </c>
      <c r="AV9" s="107" cm="1">
        <f t="array" ref="AV9">_xll.EQNXTDZ($A$1,$B9,AV$1)</f>
        <v>97.05</v>
      </c>
      <c r="AW9" s="107" cm="1">
        <f t="array" ref="AW9">_xll.EQNXTDZ($A$1,$B9,AW$1)</f>
        <v>92.5</v>
      </c>
      <c r="AX9" s="107" cm="1">
        <f t="array" ref="AX9">_xll.EQNXTDZ($A$1,$B9,AX$1)</f>
        <v>86.65</v>
      </c>
      <c r="AY9" s="107" cm="1">
        <f t="array" ref="AY9">_xll.EQNXTDZ($A$1,$B9,AY$1)</f>
        <v>101.25</v>
      </c>
      <c r="AZ9" s="107" cm="1">
        <f t="array" ref="AZ9">_xll.EQNXTDZ($A$1,$B9,AZ$1)</f>
        <v>111.65</v>
      </c>
      <c r="BA9" s="107" cm="1">
        <f t="array" ref="BA9">_xll.EQNXTDZ($A$1,$B9,BA$1)</f>
        <v>117.25</v>
      </c>
      <c r="BB9" s="107" cm="1">
        <f t="array" ref="BB9">_xll.EQNXTDZ($A$1,$B9,BB$1)</f>
        <v>112.5</v>
      </c>
      <c r="BC9" s="107" cm="1">
        <f t="array" ref="BC9">_xll.EQNXTDZ($A$1,$B9,BC$1)</f>
        <v>114.65</v>
      </c>
      <c r="BD9" s="107" cm="1">
        <f t="array" ref="BD9">_xll.EQNXTDZ($A$1,$B9,BD$1)</f>
        <v>119.5</v>
      </c>
      <c r="BE9" s="107" cm="1">
        <f t="array" ref="BE9">_xll.EQNXTDZ($A$1,$B9,BE$1)</f>
        <v>107.25</v>
      </c>
      <c r="BF9" s="107" cm="1">
        <f t="array" ref="BF9">_xll.EQNXTDZ($A$1,$B9,BF$1)</f>
        <v>117.65</v>
      </c>
      <c r="BG9" s="107" cm="1">
        <f t="array" ref="BG9">_xll.EQNXTDZ($A$1,$B9,BG$1)</f>
        <v>128.80000000000001</v>
      </c>
      <c r="BH9" s="107" cm="1">
        <f t="array" ref="BH9">_xll.EQNXTDZ($A$1,$B9,BH$1)</f>
        <v>139.25</v>
      </c>
      <c r="BI9" s="107" cm="1">
        <f t="array" ref="BI9">_xll.EQNXTDZ($A$1,$B9,BI$1)</f>
        <v>186.8</v>
      </c>
      <c r="BJ9" s="107" cm="1">
        <f t="array" ref="BJ9">_xll.EQNXTDZ($A$1,$B9,BJ$1)</f>
        <v>141.35</v>
      </c>
      <c r="BK9" s="107" cm="1">
        <f t="array" ref="BK9">_xll.EQNXTDZ($A$1,$B9,BK$1)</f>
        <v>139.69999999999999</v>
      </c>
      <c r="BL9" s="107" cm="1">
        <f t="array" ref="BL9">_xll.EQNXTDZ($A$1,$B9,BL$1)</f>
        <v>166</v>
      </c>
      <c r="BM9" s="107" cm="1">
        <f t="array" ref="BM9">_xll.EQNXTDZ($A$1,$B9,BM$1)</f>
        <v>144.19999999999999</v>
      </c>
      <c r="BN9" s="107" cm="1">
        <f t="array" ref="BN9">_xll.EQNXTDZ($A$1,$B9,BN$1)</f>
        <v>137.55000000000001</v>
      </c>
      <c r="BO9" s="107" cm="1">
        <f t="array" ref="BO9">_xll.EQNXTDZ($A$1,$B9,BO$1)</f>
        <v>191.1</v>
      </c>
      <c r="BP9" s="107" cm="1">
        <f t="array" ref="BP9">_xll.EQNXTDZ($A$1,$B9,BP$1)</f>
        <v>195.65</v>
      </c>
      <c r="BQ9" s="107" cm="1">
        <f t="array" ref="BQ9">_xll.EQNXTDZ($A$1,$B9,BQ$1)</f>
        <v>169.75</v>
      </c>
      <c r="BR9" s="107" cm="1">
        <f t="array" ref="BR9">_xll.EQNXTDZ($A$1,$B9,BR$1)</f>
        <v>157.19999999999999</v>
      </c>
      <c r="BS9" s="107" cm="1">
        <f t="array" ref="BS9">_xll.EQNXTDZ($A$1,$B9,BS$1)</f>
        <v>116.2</v>
      </c>
      <c r="BT9" s="107" cm="1">
        <f t="array" ref="BT9">_xll.EQNXTDZ($A$1,$B9,BT$1)</f>
        <v>103.55</v>
      </c>
      <c r="BU9" s="107" cm="1">
        <f t="array" ref="BU9">_xll.EQNXTDZ($A$1,$B9,BU$1)</f>
        <v>104.05</v>
      </c>
      <c r="BV9" s="107" cm="1">
        <f t="array" ref="BV9">_xll.EQNXTDZ($A$1,$B9,BV$1)</f>
        <v>98.6</v>
      </c>
      <c r="BW9" s="107" cm="1">
        <f t="array" ref="BW9">_xll.EQNXTDZ($A$1,$B9,BW$1)</f>
        <v>87.5</v>
      </c>
      <c r="BX9" s="107" cm="1">
        <f t="array" ref="BX9">_xll.EQNXTDZ($A$1,$B9,BX$1)</f>
        <v>94.4</v>
      </c>
      <c r="BY9" s="107" cm="1">
        <f t="array" ref="BY9">_xll.EQNXTDZ($A$1,$B9,BY$1)</f>
        <v>100.45</v>
      </c>
      <c r="BZ9" s="107" cm="1">
        <f t="array" ref="BZ9">_xll.EQNXTDZ($A$1,$B9,BZ$1)</f>
        <v>76.900000000000006</v>
      </c>
      <c r="CA9" s="107" cm="1">
        <f t="array" ref="CA9">_xll.EQNXTDZ($A$1,$B9,CA$1)</f>
        <v>86</v>
      </c>
      <c r="CB9" s="107" cm="1">
        <f t="array" ref="CB9">_xll.EQNXTDZ($A$1,$B9,CB$1)</f>
        <v>84.85</v>
      </c>
      <c r="CC9" s="107" cm="1">
        <f t="array" ref="CC9">_xll.EQNXTDZ($A$1,$B9,CC$1)</f>
        <v>104.1</v>
      </c>
      <c r="CD9" s="107" cm="1">
        <f t="array" ref="CD9">_xll.EQNXTDZ($A$1,$B9,CD$1)</f>
        <v>102.8</v>
      </c>
      <c r="CE9" s="107" cm="1">
        <f t="array" ref="CE9">_xll.EQNXTDZ($A$1,$B9,CE$1)</f>
        <v>83.1</v>
      </c>
      <c r="CF9" s="107" cm="1">
        <f t="array" ref="CF9">_xll.EQNXTDZ($A$1,$B9,CF$1)</f>
        <v>104.25</v>
      </c>
      <c r="CG9" s="107" cm="1">
        <f t="array" ref="CG9">_xll.EQNXTDZ($A$1,$B9,CG$1)</f>
        <v>88.25</v>
      </c>
      <c r="CH9" s="107" cm="1">
        <f t="array" ref="CH9">_xll.EQNXTDZ($A$1,$B9,CH$1)</f>
        <v>94.65</v>
      </c>
      <c r="CI9" s="107" cm="1">
        <f t="array" ref="CI9">_xll.EQNXTDZ($A$1,$B9,CI$1)</f>
        <v>90.15</v>
      </c>
      <c r="CJ9" s="107" cm="1">
        <f t="array" ref="CJ9">_xll.EQNXTDZ($A$1,$B9,CJ$1)</f>
        <v>72.2</v>
      </c>
      <c r="CK9" s="107" cm="1">
        <f t="array" ref="CK9">_xll.EQNXTDZ($A$1,$B9,CK$1)</f>
        <v>65.55</v>
      </c>
      <c r="CL9" s="107" cm="1">
        <f t="array" ref="CL9">_xll.EQNXTDZ($A$1,$B9,CL$1)</f>
        <v>62.95</v>
      </c>
      <c r="CM9" s="107" cm="1">
        <f t="array" ref="CM9">_xll.EQNXTDZ($A$1,$B9,CM$1)</f>
        <v>71.25</v>
      </c>
      <c r="CN9" s="107" cm="1">
        <f t="array" ref="CN9">_xll.EQNXTDZ($A$1,$B9,CN$1)</f>
        <v>75.900000000000006</v>
      </c>
      <c r="CO9" s="107" cm="1">
        <f t="array" ref="CO9">_xll.EQNXTDZ($A$1,$B9,CO$1)</f>
        <v>70.400000000000006</v>
      </c>
      <c r="CP9" s="107" cm="1">
        <f t="array" ref="CP9">_xll.EQNXTDZ($A$1,$B9,CP$1)</f>
        <v>67.8</v>
      </c>
      <c r="CQ9" s="107" cm="1">
        <f t="array" ref="CQ9">_xll.EQNXTDZ($A$1,$B9,CQ$1)</f>
        <v>51.05</v>
      </c>
      <c r="CR9" s="107" cm="1">
        <f t="array" ref="CR9">_xll.EQNXTDZ($A$1,$B9,CR$1)</f>
        <v>32.25</v>
      </c>
      <c r="CS9" s="107" cm="1">
        <f t="array" ref="CS9">_xll.EQNXTDZ($A$1,$B9,CS$1)</f>
        <v>35.200000000000003</v>
      </c>
      <c r="CT9" s="107" cm="1">
        <f t="array" ref="CT9">_xll.EQNXTDZ($A$1,$B9,CT$1)</f>
        <v>31.45</v>
      </c>
      <c r="CU9" s="107" cm="1">
        <f t="array" ref="CU9">_xll.EQNXTDZ($A$1,$B9,CU$1)</f>
        <v>48.8</v>
      </c>
      <c r="CV9" s="107" cm="1">
        <f t="array" ref="CV9">_xll.EQNXTDZ($A$1,$B9,CV$1)</f>
        <v>47.05</v>
      </c>
      <c r="CW9" s="107" cm="1">
        <f t="array" ref="CW9">_xll.EQNXTDZ($A$1,$B9,CW$1)</f>
        <v>54.35</v>
      </c>
      <c r="CX9" s="107" cm="1">
        <f t="array" ref="CX9">_xll.EQNXTDZ($A$1,$B9,CX$1)</f>
        <v>40.65</v>
      </c>
      <c r="CY9" s="107" cm="1">
        <f t="array" ref="CY9">_xll.EQNXTDZ($A$1,$B9,CY$1)</f>
        <v>38.6</v>
      </c>
      <c r="CZ9" s="107" cm="1">
        <f t="array" ref="CZ9">_xll.EQNXTDZ($A$1,$B9,CZ$1)</f>
        <v>45.05</v>
      </c>
      <c r="DA9" s="107" cm="1">
        <f t="array" ref="DA9">_xll.EQNXTDZ($A$1,$B9,DA$1)</f>
        <v>48.7</v>
      </c>
      <c r="DB9" s="107" cm="1">
        <f t="array" ref="DB9">_xll.EQNXTDZ($A$1,$B9,DB$1)</f>
        <v>49.8</v>
      </c>
      <c r="DC9" s="107" cm="1">
        <f t="array" ref="DC9">_xll.EQNXTDZ($A$1,$B9,DC$1)</f>
        <v>82.45</v>
      </c>
      <c r="DD9" s="107" cm="1">
        <f t="array" ref="DD9">_xll.EQNXTDZ($A$1,$B9,DD$1)</f>
        <v>67.849999999999994</v>
      </c>
      <c r="DE9" s="107" cm="1">
        <f t="array" ref="DE9">_xll.EQNXTDZ($A$1,$B9,DE$1)</f>
        <v>66.349999999999994</v>
      </c>
      <c r="DF9" s="107" cm="1">
        <f t="array" ref="DF9">_xll.EQNXTDZ($A$1,$B9,DF$1)</f>
        <v>77.2</v>
      </c>
      <c r="DG9" s="107" cm="1">
        <f t="array" ref="DG9">_xll.EQNXTDZ($A$1,$B9,DG$1)</f>
        <v>77.900000000000006</v>
      </c>
      <c r="DH9" s="107" cm="1">
        <f t="array" ref="DH9">_xll.EQNXTDZ($A$1,$B9,DH$1)</f>
        <v>74.400000000000006</v>
      </c>
      <c r="DI9" s="107" cm="1">
        <f t="array" ref="DI9">_xll.EQNXTDZ($A$1,$B9,DI$1)</f>
        <v>66.349999999999994</v>
      </c>
      <c r="DJ9" s="107" cm="1">
        <f t="array" ref="DJ9">_xll.EQNXTDZ($A$1,$B9,DJ$1)</f>
        <v>55.5</v>
      </c>
      <c r="DK9" s="107" cm="1">
        <f t="array" ref="DK9">_xll.EQNXTDZ($A$1,$B9,DK$1)</f>
        <v>59.9</v>
      </c>
      <c r="DL9" s="107" cm="1">
        <f t="array" ref="DL9">_xll.EQNXTDZ($A$1,$B9,DL$1)</f>
        <v>54.3</v>
      </c>
      <c r="DM9" s="107" cm="1">
        <f t="array" ref="DM9">_xll.EQNXTDZ($A$1,$B9,DM$1)</f>
        <v>51.4</v>
      </c>
      <c r="DN9" s="107" cm="1">
        <f t="array" ref="DN9">_xll.EQNXTDZ($A$1,$B9,DN$1)</f>
        <v>54.3</v>
      </c>
      <c r="DO9" s="107" cm="1">
        <f t="array" ref="DO9">_xll.EQNXTDZ($A$1,$B9,DO$1)</f>
        <v>46.85</v>
      </c>
      <c r="DP9" s="107" cm="1">
        <f t="array" ref="DP9">_xll.EQNXTDZ($A$1,$B9,DP$1)</f>
        <v>45.85</v>
      </c>
      <c r="DQ9" s="107" cm="1">
        <f t="array" ref="DQ9">_xll.EQNXTDZ($A$1,$B9,DQ$1)</f>
        <v>48.15</v>
      </c>
      <c r="DR9" s="107" cm="1">
        <f t="array" ref="DR9">_xll.EQNXTDZ($A$1,$B9,DR$1)</f>
        <v>47.95</v>
      </c>
      <c r="DS9" s="107" cm="1">
        <f t="array" ref="DS9">_xll.EQNXTDZ($A$1,$B9,DS$1)</f>
        <v>44.35</v>
      </c>
      <c r="DT9" s="107" cm="1">
        <f t="array" ref="DT9">_xll.EQNXTDZ($A$1,$B9,DT$1)</f>
        <v>47.7</v>
      </c>
      <c r="DU9" s="107" cm="1">
        <f t="array" ref="DU9">_xll.EQNXTDZ($A$1,$B9,DU$1)</f>
        <v>51.9</v>
      </c>
      <c r="DV9" s="107" cm="1">
        <f t="array" ref="DV9">_xll.EQNXTDZ($A$1,$B9,DV$1)</f>
        <v>48.2</v>
      </c>
      <c r="DW9" s="107" cm="1">
        <f t="array" ref="DW9">_xll.EQNXTDZ($A$1,$B9,DW$1)</f>
        <v>60.25</v>
      </c>
      <c r="DX9" s="107" cm="1">
        <f t="array" ref="DX9">_xll.EQNXTDZ($A$1,$B9,DX$1)</f>
        <v>82.3</v>
      </c>
      <c r="DY9" s="107" cm="1">
        <f t="array" ref="DY9">_xll.EQNXTDZ($A$1,$B9,DY$1)</f>
        <v>88.25</v>
      </c>
      <c r="DZ9" s="107" cm="1">
        <f t="array" ref="DZ9">_xll.EQNXTDZ($A$1,$B9,DZ$1)</f>
        <v>82.7</v>
      </c>
      <c r="EA9" s="107" cm="1">
        <f t="array" ref="EA9">_xll.EQNXTDZ($A$1,$B9,EA$1)</f>
        <v>70.849999999999994</v>
      </c>
      <c r="EB9" s="107" cm="1">
        <f t="array" ref="EB9">_xll.EQNXTDZ($A$1,$B9,EB$1)</f>
        <v>74.650000000000006</v>
      </c>
      <c r="EC9" s="107" cm="1">
        <f t="array" ref="EC9">_xll.EQNXTDZ($A$1,$B9,EC$1)</f>
        <v>84</v>
      </c>
      <c r="ED9" s="107" cm="1">
        <f t="array" ref="ED9">_xll.EQNXTDZ($A$1,$B9,ED$1)</f>
        <v>73.75</v>
      </c>
      <c r="EE9" s="107" cm="1">
        <f t="array" ref="EE9">_xll.EQNXTDZ($A$1,$B9,EE$1)</f>
        <v>73.599999999999994</v>
      </c>
      <c r="EF9" s="107" cm="1">
        <f t="array" ref="EF9">_xll.EQNXTDZ($A$1,$B9,EF$1)</f>
        <v>85.35</v>
      </c>
      <c r="EG9" s="107" cm="1">
        <f t="array" ref="EG9">_xll.EQNXTDZ($A$1,$B9,EG$1)</f>
        <v>85.8</v>
      </c>
      <c r="EH9" s="107" cm="1">
        <f t="array" ref="EH9">_xll.EQNXTDZ($A$1,$B9,EH$1)</f>
        <v>109.4</v>
      </c>
      <c r="EI9" s="107" cm="1">
        <f t="array" ref="EI9">_xll.EQNXTDZ($A$1,$B9,EI$1)</f>
        <v>95.85</v>
      </c>
      <c r="EJ9" s="107" cm="1">
        <f t="array" ref="EJ9">_xll.EQNXTDZ($A$1,$B9,EJ$1)</f>
        <v>103.75</v>
      </c>
      <c r="EK9" s="107" cm="1">
        <f t="array" ref="EK9">_xll.EQNXTDZ($A$1,$B9,EK$1)</f>
        <v>112.6</v>
      </c>
      <c r="EL9" s="107" cm="1">
        <f t="array" ref="EL9">_xll.EQNXTDZ($A$1,$B9,EL$1)</f>
        <v>138.94999999999999</v>
      </c>
      <c r="EM9" s="107" cm="1">
        <f t="array" ref="EM9">_xll.EQNXTDZ($A$1,$B9,EM$1)</f>
        <v>131.44999999999999</v>
      </c>
      <c r="EN9" s="107" cm="1">
        <f t="array" ref="EN9">_xll.EQNXTDZ($A$1,$B9,EN$1)</f>
        <v>137.05000000000001</v>
      </c>
      <c r="EO9" s="107" cm="1">
        <f t="array" ref="EO9">_xll.EQNXTDZ($A$1,$B9,EO$1)</f>
        <v>155.1</v>
      </c>
      <c r="EP9" s="107" cm="1">
        <f t="array" ref="EP9">_xll.EQNXTDZ($A$1,$B9,EP$1)</f>
        <v>128.69999999999999</v>
      </c>
      <c r="EQ9" s="107" cm="1">
        <f t="array" ref="EQ9">_xll.EQNXTDZ($A$1,$B9,EQ$1)</f>
        <v>120.51</v>
      </c>
      <c r="ER9" s="107" cm="1">
        <f t="array" ref="ER9">_xll.EQNXTDZ($A$1,$B9,ER$1)</f>
        <v>125.8</v>
      </c>
      <c r="ES9" s="107" cm="1">
        <f t="array" ref="ES9">_xll.EQNXTDZ($A$1,$B9,ES$1)</f>
        <v>117.74</v>
      </c>
      <c r="ET9" s="107" cm="1">
        <f t="array" ref="ET9">_xll.EQNXTDZ($A$1,$B9,ET$1)</f>
        <v>110.6</v>
      </c>
      <c r="EU9" s="107" cm="1">
        <f t="array" ref="EU9">_xll.EQNXTDZ($A$1,$B9,EU$1)</f>
        <v>108.69</v>
      </c>
      <c r="EV9" s="107" cm="1">
        <f t="array" ref="EV9">_xll.EQNXTDZ($A$1,$B9,EV$1)</f>
        <v>110.5</v>
      </c>
      <c r="EW9" s="107" cm="1">
        <f t="array" ref="EW9">_xll.EQNXTDZ($A$1,$B9,EW$1)</f>
        <v>101.9</v>
      </c>
      <c r="EX9" s="107" cm="1">
        <f t="array" ref="EX9">_xll.EQNXTDZ($A$1,$B9,EX$1)</f>
        <v>112.52</v>
      </c>
      <c r="EY9" s="107" cm="1">
        <f t="array" ref="EY9">_xll.EQNXTDZ($A$1,$B9,EY$1)</f>
        <v>95.16</v>
      </c>
      <c r="EZ9" s="107" cm="1">
        <f t="array" ref="EZ9">_xll.EQNXTDZ($A$1,$B9,EZ$1)</f>
        <v>107.12</v>
      </c>
      <c r="FA9" s="107" cm="1">
        <f t="array" ref="FA9">_xll.EQNXTDZ($A$1,$B9,FA$1)</f>
        <v>115.15</v>
      </c>
      <c r="FB9" s="107" cm="1">
        <f t="array" ref="FB9">_xll.EQNXTDZ($A$1,$B9,FB$1)</f>
        <v>121.94</v>
      </c>
      <c r="FC9" s="107" cm="1">
        <f t="array" ref="FC9">_xll.EQNXTDZ($A$1,$B9,FC$1)</f>
        <v>118.56</v>
      </c>
      <c r="FD9" s="107" cm="1">
        <f t="array" ref="FD9">_xll.EQNXTDZ($A$1,$B9,FD$1)</f>
        <v>111.38</v>
      </c>
      <c r="FE9" s="107" cm="1">
        <f t="array" ref="FE9">_xll.EQNXTDZ($A$1,$B9,FE$1)</f>
        <v>110.29</v>
      </c>
      <c r="FF9" s="107" cm="1">
        <f t="array" ref="FF9">_xll.EQNXTDZ($A$1,$B9,FF$1)</f>
        <v>123.41</v>
      </c>
      <c r="FG9" s="107" cm="1">
        <f t="array" ref="FG9">_xll.EQNXTDZ($A$1,$B9,FG$1)</f>
        <v>139.88</v>
      </c>
      <c r="FH9" s="107" cm="1">
        <f t="array" ref="FH9">_xll.EQNXTDZ($A$1,$B9,FH$1)</f>
        <v>147.13999999999999</v>
      </c>
      <c r="FI9" s="107" cm="1">
        <f t="array" ref="FI9">_xll.EQNXTDZ($A$1,$B9,FI$1)</f>
        <v>143.85</v>
      </c>
      <c r="FJ9" s="107" cm="1">
        <f t="array" ref="FJ9">_xll.EQNXTDZ($A$1,$B9,FJ$1)</f>
        <v>164.1</v>
      </c>
      <c r="FK9" s="107" cm="1">
        <f t="array" ref="FK9">_xll.EQNXTDZ($A$1,$B9,FK$1)</f>
        <v>176.05</v>
      </c>
      <c r="FL9" s="107" cm="1">
        <f t="array" ref="FL9">_xll.EQNXTDZ($A$1,$B9,FL$1)</f>
        <v>136.99</v>
      </c>
      <c r="FM9" s="107" cm="1">
        <f t="array" ref="FM9">_xll.EQNXTDZ($A$1,$B9,FM$1)</f>
        <v>139.87</v>
      </c>
      <c r="FN9" s="107" cm="1">
        <f t="array" ref="FN9">_xll.EQNXTDZ($A$1,$B9,FN$1)</f>
        <v>139.91</v>
      </c>
      <c r="FO9" s="107" cm="1">
        <f t="array" ref="FO9">_xll.EQNXTDZ($A$1,$B9,FO$1)</f>
        <v>145.68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311.2</v>
      </c>
      <c r="HQ9" s="107">
        <f>+I9</f>
        <v>343</v>
      </c>
      <c r="HR9" s="107">
        <f>+L9</f>
        <v>302.85000000000002</v>
      </c>
      <c r="HS9" s="107">
        <f>+O9</f>
        <v>232.4</v>
      </c>
      <c r="HT9" s="107">
        <f>+R9</f>
        <v>157.94999999999999</v>
      </c>
      <c r="HU9" s="107">
        <f>+U9</f>
        <v>237.95</v>
      </c>
      <c r="HV9" s="107">
        <f>+X9</f>
        <v>228.5</v>
      </c>
      <c r="HW9" s="107">
        <f>+AA9</f>
        <v>301.55</v>
      </c>
      <c r="HX9" s="107">
        <f>+AD9</f>
        <v>232</v>
      </c>
      <c r="HY9" s="107">
        <f>+AG9</f>
        <v>301.8</v>
      </c>
      <c r="HZ9" s="107">
        <f>+AJ9</f>
        <v>195.85</v>
      </c>
      <c r="IA9" s="107">
        <f>+AM9</f>
        <v>171.4</v>
      </c>
      <c r="IB9" s="107">
        <f>+AP9</f>
        <v>135.6</v>
      </c>
      <c r="IC9" s="107">
        <f>+AS9</f>
        <v>114.95</v>
      </c>
      <c r="ID9" s="107">
        <f>+AV9</f>
        <v>97.05</v>
      </c>
      <c r="IE9" s="107">
        <f>+AY9</f>
        <v>101.25</v>
      </c>
      <c r="IF9" s="107">
        <f>+BB9</f>
        <v>112.5</v>
      </c>
      <c r="IG9" s="107">
        <f>+BE9</f>
        <v>107.25</v>
      </c>
      <c r="IH9" s="107">
        <f>+BH9</f>
        <v>139.25</v>
      </c>
      <c r="II9" s="107">
        <f>+BK9</f>
        <v>139.69999999999999</v>
      </c>
      <c r="IJ9" s="107">
        <f>+BN9</f>
        <v>137.55000000000001</v>
      </c>
      <c r="IK9" s="107">
        <f>+BQ9</f>
        <v>169.75</v>
      </c>
      <c r="IL9" s="107">
        <f>+BT9</f>
        <v>103.55</v>
      </c>
      <c r="IM9" s="107">
        <f>+BW9</f>
        <v>87.5</v>
      </c>
      <c r="IN9" s="107">
        <f>+BZ9</f>
        <v>76.900000000000006</v>
      </c>
      <c r="IO9" s="107">
        <f>+CC9</f>
        <v>104.1</v>
      </c>
      <c r="IP9" s="107">
        <f>+CF9</f>
        <v>104.25</v>
      </c>
      <c r="IQ9" s="107">
        <f>+CI9</f>
        <v>90.15</v>
      </c>
      <c r="IR9" s="107">
        <f>+CL9</f>
        <v>62.95</v>
      </c>
      <c r="IS9" s="107">
        <f>+CO9</f>
        <v>70.400000000000006</v>
      </c>
      <c r="IT9" s="107">
        <f>+CR9</f>
        <v>32.25</v>
      </c>
      <c r="IU9" s="107">
        <f>+CU9</f>
        <v>48.8</v>
      </c>
      <c r="IV9" s="107">
        <f>+CX9</f>
        <v>40.65</v>
      </c>
      <c r="IW9" s="107">
        <f>+DA9</f>
        <v>48.7</v>
      </c>
      <c r="IX9" s="107">
        <f>+DD9</f>
        <v>67.849999999999994</v>
      </c>
      <c r="IY9" s="107">
        <f>+DG9</f>
        <v>77.900000000000006</v>
      </c>
      <c r="IZ9" s="107">
        <f>+DJ9</f>
        <v>55.5</v>
      </c>
      <c r="JA9" s="107">
        <f>+DM9</f>
        <v>51.4</v>
      </c>
      <c r="JB9" s="107">
        <f>+DP9</f>
        <v>45.85</v>
      </c>
      <c r="JC9" s="107">
        <f>+DS9</f>
        <v>44.35</v>
      </c>
      <c r="JD9" s="107">
        <f>+DV9</f>
        <v>48.2</v>
      </c>
      <c r="JE9" s="107">
        <f>+DY9</f>
        <v>88.25</v>
      </c>
      <c r="JF9" s="107">
        <f>+EB9</f>
        <v>74.650000000000006</v>
      </c>
      <c r="JG9" s="107">
        <f>+EE9</f>
        <v>73.599999999999994</v>
      </c>
      <c r="JH9" s="107">
        <f>+EH9</f>
        <v>109.4</v>
      </c>
      <c r="JI9" s="107">
        <f>+EK9</f>
        <v>112.6</v>
      </c>
      <c r="JJ9" s="107">
        <f>+EN9</f>
        <v>137.05000000000001</v>
      </c>
      <c r="JK9" s="107">
        <f>EQ9</f>
        <v>120.51</v>
      </c>
      <c r="JL9" s="107">
        <f>ET9</f>
        <v>110.6</v>
      </c>
      <c r="JM9" s="107">
        <f>EW9</f>
        <v>101.9</v>
      </c>
      <c r="JN9" s="107">
        <f>EZ9</f>
        <v>107.12</v>
      </c>
      <c r="JO9" s="107">
        <f>FC9</f>
        <v>118.56</v>
      </c>
      <c r="JP9" s="107">
        <f>FF9</f>
        <v>123.41</v>
      </c>
      <c r="JQ9" s="107">
        <f>FI9</f>
        <v>143.85</v>
      </c>
      <c r="JR9" s="107">
        <f>FL9</f>
        <v>136.99</v>
      </c>
      <c r="JS9" s="107">
        <f>FO9</f>
        <v>145.68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55</v>
      </c>
      <c r="B11" t="s">
        <v>56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182</v>
      </c>
      <c r="B12" t="s">
        <v>185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334</v>
      </c>
      <c r="B13" t="s">
        <v>335</v>
      </c>
      <c r="C13" cm="1">
        <f t="array" ref="C13">_xll.EQNXTDZ($A$1,$B13,C$1)</f>
        <v>336</v>
      </c>
      <c r="D13" cm="1">
        <f t="array" ref="D13">_xll.EQNXTDZ($A$1,$B13,D$1)</f>
        <v>348</v>
      </c>
      <c r="E13" cm="1">
        <f t="array" ref="E13">_xll.EQNXTDZ($A$1,$B13,E$1)</f>
        <v>297.2</v>
      </c>
      <c r="F13" cm="1">
        <f t="array" ref="F13">_xll.EQNXTDZ($A$1,$B13,F$1)</f>
        <v>258.39999999999998</v>
      </c>
      <c r="G13" cm="1">
        <f t="array" ref="G13">_xll.EQNXTDZ($A$1,$B13,G$1)</f>
        <v>313.25</v>
      </c>
      <c r="H13" cm="1">
        <f t="array" ref="H13">_xll.EQNXTDZ($A$1,$B13,H$1)</f>
        <v>276.75</v>
      </c>
      <c r="I13" cm="1">
        <f t="array" ref="I13">_xll.EQNXTDZ($A$1,$B13,I$1)</f>
        <v>282.25</v>
      </c>
      <c r="J13" cm="1">
        <f t="array" ref="J13">_xll.EQNXTDZ($A$1,$B13,J$1)</f>
        <v>345</v>
      </c>
      <c r="K13" cm="1">
        <f t="array" ref="K13">_xll.EQNXTDZ($A$1,$B13,K$1)</f>
        <v>348</v>
      </c>
      <c r="L13" cm="1">
        <f t="array" ref="L13">_xll.EQNXTDZ($A$1,$B13,L$1)</f>
        <v>316</v>
      </c>
      <c r="M13" cm="1">
        <f t="array" ref="M13">_xll.EQNXTDZ($A$1,$B13,M$1)</f>
        <v>305.95</v>
      </c>
      <c r="N13" cm="1">
        <f t="array" ref="N13">_xll.EQNXTDZ($A$1,$B13,N$1)</f>
        <v>328</v>
      </c>
      <c r="O13" cm="1">
        <f t="array" ref="O13">_xll.EQNXTDZ($A$1,$B13,O$1)</f>
        <v>287.5</v>
      </c>
      <c r="P13" cm="1">
        <f t="array" ref="P13">_xll.EQNXTDZ($A$1,$B13,P$1)</f>
        <v>232</v>
      </c>
      <c r="Q13" cm="1">
        <f t="array" ref="Q13">_xll.EQNXTDZ($A$1,$B13,Q$1)</f>
        <v>186</v>
      </c>
      <c r="R13" cm="1">
        <f t="array" ref="R13">_xll.EQNXTDZ($A$1,$B13,R$1)</f>
        <v>143.85</v>
      </c>
      <c r="S13" cm="1">
        <f t="array" ref="S13">_xll.EQNXTDZ($A$1,$B13,S$1)</f>
        <v>159</v>
      </c>
      <c r="T13" cm="1">
        <f t="array" ref="T13">_xll.EQNXTDZ($A$1,$B13,T$1)</f>
        <v>212.9</v>
      </c>
      <c r="U13" cm="1">
        <f t="array" ref="U13">_xll.EQNXTDZ($A$1,$B13,U$1)</f>
        <v>219.3</v>
      </c>
      <c r="V13" cm="1">
        <f t="array" ref="V13">_xll.EQNXTDZ($A$1,$B13,V$1)</f>
        <v>239.9</v>
      </c>
      <c r="W13" cm="1">
        <f t="array" ref="W13">_xll.EQNXTDZ($A$1,$B13,W$1)</f>
        <v>192.45</v>
      </c>
      <c r="X13" cm="1">
        <f t="array" ref="X13">_xll.EQNXTDZ($A$1,$B13,X$1)</f>
        <v>171.4</v>
      </c>
      <c r="Y13" cm="1">
        <f t="array" ref="Y13">_xll.EQNXTDZ($A$1,$B13,Y$1)</f>
        <v>230.5</v>
      </c>
      <c r="Z13" cm="1">
        <f t="array" ref="Z13">_xll.EQNXTDZ($A$1,$B13,Z$1)</f>
        <v>236.5</v>
      </c>
      <c r="AA13" cm="1">
        <f t="array" ref="AA13">_xll.EQNXTDZ($A$1,$B13,AA$1)</f>
        <v>312</v>
      </c>
      <c r="AB13" cm="1">
        <f t="array" ref="AB13">_xll.EQNXTDZ($A$1,$B13,AB$1)</f>
        <v>303</v>
      </c>
      <c r="AC13" cm="1">
        <f t="array" ref="AC13">_xll.EQNXTDZ($A$1,$B13,AC$1)</f>
        <v>270.8</v>
      </c>
      <c r="AD13" cm="1">
        <f t="array" ref="AD13">_xll.EQNXTDZ($A$1,$B13,AD$1)</f>
        <v>278.95</v>
      </c>
      <c r="AE13" cm="1">
        <f t="array" ref="AE13">_xll.EQNXTDZ($A$1,$B13,AE$1)</f>
        <v>232</v>
      </c>
      <c r="AF13" cm="1">
        <f t="array" ref="AF13">_xll.EQNXTDZ($A$1,$B13,AF$1)</f>
        <v>287.5</v>
      </c>
      <c r="AG13" cm="1">
        <f t="array" ref="AG13">_xll.EQNXTDZ($A$1,$B13,AG$1)</f>
        <v>288.7</v>
      </c>
      <c r="AH13" cm="1">
        <f t="array" ref="AH13">_xll.EQNXTDZ($A$1,$B13,AH$1)</f>
        <v>302</v>
      </c>
      <c r="AI13" cm="1">
        <f t="array" ref="AI13">_xll.EQNXTDZ($A$1,$B13,AI$1)</f>
        <v>268</v>
      </c>
      <c r="AJ13" cm="1">
        <f t="array" ref="AJ13">_xll.EQNXTDZ($A$1,$B13,AJ$1)</f>
        <v>237</v>
      </c>
      <c r="AK13" cm="1">
        <f t="array" ref="AK13">_xll.EQNXTDZ($A$1,$B13,AK$1)</f>
        <v>195.5</v>
      </c>
      <c r="AL13" cm="1">
        <f t="array" ref="AL13">_xll.EQNXTDZ($A$1,$B13,AL$1)</f>
        <v>218</v>
      </c>
      <c r="AM13" cm="1">
        <f t="array" ref="AM13">_xll.EQNXTDZ($A$1,$B13,AM$1)</f>
        <v>198</v>
      </c>
      <c r="AN13" cm="1">
        <f t="array" ref="AN13">_xll.EQNXTDZ($A$1,$B13,AN$1)</f>
        <v>172</v>
      </c>
      <c r="AO13" cm="1">
        <f t="array" ref="AO13">_xll.EQNXTDZ($A$1,$B13,AO$1)</f>
        <v>164</v>
      </c>
      <c r="AP13" cm="1">
        <f t="array" ref="AP13">_xll.EQNXTDZ($A$1,$B13,AP$1)</f>
        <v>140.9</v>
      </c>
      <c r="AQ13" cm="1">
        <f t="array" ref="AQ13">_xll.EQNXTDZ($A$1,$B13,AQ$1)</f>
        <v>136.4</v>
      </c>
      <c r="AR13" cm="1">
        <f t="array" ref="AR13">_xll.EQNXTDZ($A$1,$B13,AR$1)</f>
        <v>132.80000000000001</v>
      </c>
      <c r="AS13" cm="1">
        <f t="array" ref="AS13">_xll.EQNXTDZ($A$1,$B13,AS$1)</f>
        <v>132</v>
      </c>
      <c r="AT13" cm="1">
        <f t="array" ref="AT13">_xll.EQNXTDZ($A$1,$B13,AT$1)</f>
        <v>115</v>
      </c>
      <c r="AU13" cm="1">
        <f t="array" ref="AU13">_xll.EQNXTDZ($A$1,$B13,AU$1)</f>
        <v>102.5</v>
      </c>
      <c r="AV13" cm="1">
        <f t="array" ref="AV13">_xll.EQNXTDZ($A$1,$B13,AV$1)</f>
        <v>84</v>
      </c>
      <c r="AW13" cm="1">
        <f t="array" ref="AW13">_xll.EQNXTDZ($A$1,$B13,AW$1)</f>
        <v>97</v>
      </c>
      <c r="AX13" cm="1">
        <f t="array" ref="AX13">_xll.EQNXTDZ($A$1,$B13,AX$1)</f>
        <v>92.05</v>
      </c>
      <c r="AY13" cm="1">
        <f t="array" ref="AY13">_xll.EQNXTDZ($A$1,$B13,AY$1)</f>
        <v>87</v>
      </c>
      <c r="AZ13" cm="1">
        <f t="array" ref="AZ13">_xll.EQNXTDZ($A$1,$B13,AZ$1)</f>
        <v>101.75</v>
      </c>
      <c r="BA13" cm="1">
        <f t="array" ref="BA13">_xll.EQNXTDZ($A$1,$B13,BA$1)</f>
        <v>112.85</v>
      </c>
      <c r="BB13" cm="1">
        <f t="array" ref="BB13">_xll.EQNXTDZ($A$1,$B13,BB$1)</f>
        <v>116.95</v>
      </c>
      <c r="BC13" cm="1">
        <f t="array" ref="BC13">_xll.EQNXTDZ($A$1,$B13,BC$1)</f>
        <v>113</v>
      </c>
      <c r="BD13" cm="1">
        <f t="array" ref="BD13">_xll.EQNXTDZ($A$1,$B13,BD$1)</f>
        <v>115</v>
      </c>
      <c r="BE13" cm="1">
        <f t="array" ref="BE13">_xll.EQNXTDZ($A$1,$B13,BE$1)</f>
        <v>119.5</v>
      </c>
      <c r="BF13" cm="1">
        <f t="array" ref="BF13">_xll.EQNXTDZ($A$1,$B13,BF$1)</f>
        <v>107.75</v>
      </c>
      <c r="BG13" cm="1">
        <f t="array" ref="BG13">_xll.EQNXTDZ($A$1,$B13,BG$1)</f>
        <v>117.65</v>
      </c>
      <c r="BH13" cm="1">
        <f t="array" ref="BH13">_xll.EQNXTDZ($A$1,$B13,BH$1)</f>
        <v>128.5</v>
      </c>
      <c r="BI13" cm="1">
        <f t="array" ref="BI13">_xll.EQNXTDZ($A$1,$B13,BI$1)</f>
        <v>140</v>
      </c>
      <c r="BJ13" cm="1">
        <f t="array" ref="BJ13">_xll.EQNXTDZ($A$1,$B13,BJ$1)</f>
        <v>185.9</v>
      </c>
      <c r="BK13" cm="1">
        <f t="array" ref="BK13">_xll.EQNXTDZ($A$1,$B13,BK$1)</f>
        <v>143.5</v>
      </c>
      <c r="BL13" cm="1">
        <f t="array" ref="BL13">_xll.EQNXTDZ($A$1,$B13,BL$1)</f>
        <v>140</v>
      </c>
      <c r="BM13" cm="1">
        <f t="array" ref="BM13">_xll.EQNXTDZ($A$1,$B13,BM$1)</f>
        <v>167.5</v>
      </c>
      <c r="BN13" cm="1">
        <f t="array" ref="BN13">_xll.EQNXTDZ($A$1,$B13,BN$1)</f>
        <v>142.6</v>
      </c>
      <c r="BO13" cm="1">
        <f t="array" ref="BO13">_xll.EQNXTDZ($A$1,$B13,BO$1)</f>
        <v>138</v>
      </c>
      <c r="BP13" cm="1">
        <f t="array" ref="BP13">_xll.EQNXTDZ($A$1,$B13,BP$1)</f>
        <v>195</v>
      </c>
      <c r="BQ13" cm="1">
        <f t="array" ref="BQ13">_xll.EQNXTDZ($A$1,$B13,BQ$1)</f>
        <v>195.3</v>
      </c>
      <c r="BR13" cm="1">
        <f t="array" ref="BR13">_xll.EQNXTDZ($A$1,$B13,BR$1)</f>
        <v>178</v>
      </c>
      <c r="BS13" cm="1">
        <f t="array" ref="BS13">_xll.EQNXTDZ($A$1,$B13,BS$1)</f>
        <v>157</v>
      </c>
      <c r="BT13" cm="1">
        <f t="array" ref="BT13">_xll.EQNXTDZ($A$1,$B13,BT$1)</f>
        <v>116</v>
      </c>
      <c r="BU13" cm="1">
        <f t="array" ref="BU13">_xll.EQNXTDZ($A$1,$B13,BU$1)</f>
        <v>103.4</v>
      </c>
      <c r="BV13" cm="1">
        <f t="array" ref="BV13">_xll.EQNXTDZ($A$1,$B13,BV$1)</f>
        <v>104.9</v>
      </c>
      <c r="BW13" cm="1">
        <f t="array" ref="BW13">_xll.EQNXTDZ($A$1,$B13,BW$1)</f>
        <v>98.8</v>
      </c>
      <c r="BX13" cm="1">
        <f t="array" ref="BX13">_xll.EQNXTDZ($A$1,$B13,BX$1)</f>
        <v>87.7</v>
      </c>
      <c r="BY13" cm="1">
        <f t="array" ref="BY13">_xll.EQNXTDZ($A$1,$B13,BY$1)</f>
        <v>94.05</v>
      </c>
      <c r="BZ13" cm="1">
        <f t="array" ref="BZ13">_xll.EQNXTDZ($A$1,$B13,BZ$1)</f>
        <v>101.5</v>
      </c>
      <c r="CA13" cm="1">
        <f t="array" ref="CA13">_xll.EQNXTDZ($A$1,$B13,CA$1)</f>
        <v>76.099999999999994</v>
      </c>
      <c r="CB13" cm="1">
        <f t="array" ref="CB13">_xll.EQNXTDZ($A$1,$B13,CB$1)</f>
        <v>86.5</v>
      </c>
      <c r="CC13" cm="1">
        <f t="array" ref="CC13">_xll.EQNXTDZ($A$1,$B13,CC$1)</f>
        <v>85</v>
      </c>
      <c r="CD13" cm="1">
        <f t="array" ref="CD13">_xll.EQNXTDZ($A$1,$B13,CD$1)</f>
        <v>104.5</v>
      </c>
      <c r="CE13" cm="1">
        <f t="array" ref="CE13">_xll.EQNXTDZ($A$1,$B13,CE$1)</f>
        <v>106.8</v>
      </c>
      <c r="CF13" cm="1">
        <f t="array" ref="CF13">_xll.EQNXTDZ($A$1,$B13,CF$1)</f>
        <v>83.5</v>
      </c>
      <c r="CG13" cm="1">
        <f t="array" ref="CG13">_xll.EQNXTDZ($A$1,$B13,CG$1)</f>
        <v>104.8</v>
      </c>
      <c r="CH13" cm="1">
        <f t="array" ref="CH13">_xll.EQNXTDZ($A$1,$B13,CH$1)</f>
        <v>88.35</v>
      </c>
      <c r="CI13" cm="1">
        <f t="array" ref="CI13">_xll.EQNXTDZ($A$1,$B13,CI$1)</f>
        <v>95.4</v>
      </c>
      <c r="CJ13" cm="1">
        <f t="array" ref="CJ13">_xll.EQNXTDZ($A$1,$B13,CJ$1)</f>
        <v>91</v>
      </c>
      <c r="CK13" cm="1">
        <f t="array" ref="CK13">_xll.EQNXTDZ($A$1,$B13,CK$1)</f>
        <v>72.2</v>
      </c>
      <c r="CL13" cm="1">
        <f t="array" ref="CL13">_xll.EQNXTDZ($A$1,$B13,CL$1)</f>
        <v>64</v>
      </c>
      <c r="CM13" cm="1">
        <f t="array" ref="CM13">_xll.EQNXTDZ($A$1,$B13,CM$1)</f>
        <v>63.5</v>
      </c>
      <c r="CN13" cm="1">
        <f t="array" ref="CN13">_xll.EQNXTDZ($A$1,$B13,CN$1)</f>
        <v>71.8</v>
      </c>
      <c r="CO13" cm="1">
        <f t="array" ref="CO13">_xll.EQNXTDZ($A$1,$B13,CO$1)</f>
        <v>76</v>
      </c>
      <c r="CP13" cm="1">
        <f t="array" ref="CP13">_xll.EQNXTDZ($A$1,$B13,CP$1)</f>
        <v>70.5</v>
      </c>
      <c r="CQ13" cm="1">
        <f t="array" ref="CQ13">_xll.EQNXTDZ($A$1,$B13,CQ$1)</f>
        <v>68.45</v>
      </c>
      <c r="CR13" cm="1">
        <f t="array" ref="CR13">_xll.EQNXTDZ($A$1,$B13,CR$1)</f>
        <v>53</v>
      </c>
      <c r="CS13" cm="1">
        <f t="array" ref="CS13">_xll.EQNXTDZ($A$1,$B13,CS$1)</f>
        <v>32</v>
      </c>
      <c r="CT13" cm="1">
        <f t="array" ref="CT13">_xll.EQNXTDZ($A$1,$B13,CT$1)</f>
        <v>35.5</v>
      </c>
      <c r="CU13" cm="1">
        <f t="array" ref="CU13">_xll.EQNXTDZ($A$1,$B13,CU$1)</f>
        <v>32</v>
      </c>
      <c r="CV13" cm="1">
        <f t="array" ref="CV13">_xll.EQNXTDZ($A$1,$B13,CV$1)</f>
        <v>48.3</v>
      </c>
      <c r="CW13" cm="1">
        <f t="array" ref="CW13">_xll.EQNXTDZ($A$1,$B13,CW$1)</f>
        <v>46</v>
      </c>
      <c r="CX13" cm="1">
        <f t="array" ref="CX13">_xll.EQNXTDZ($A$1,$B13,CX$1)</f>
        <v>54.8</v>
      </c>
      <c r="CY13" cm="1">
        <f t="array" ref="CY13">_xll.EQNXTDZ($A$1,$B13,CY$1)</f>
        <v>41.8</v>
      </c>
      <c r="CZ13" cm="1">
        <f t="array" ref="CZ13">_xll.EQNXTDZ($A$1,$B13,CZ$1)</f>
        <v>39</v>
      </c>
      <c r="DA13" cm="1">
        <f t="array" ref="DA13">_xll.EQNXTDZ($A$1,$B13,DA$1)</f>
        <v>45.5</v>
      </c>
      <c r="DB13" cm="1">
        <f t="array" ref="DB13">_xll.EQNXTDZ($A$1,$B13,DB$1)</f>
        <v>49</v>
      </c>
      <c r="DC13" cm="1">
        <f t="array" ref="DC13">_xll.EQNXTDZ($A$1,$B13,DC$1)</f>
        <v>50.85</v>
      </c>
      <c r="DD13" cm="1">
        <f t="array" ref="DD13">_xll.EQNXTDZ($A$1,$B13,DD$1)</f>
        <v>84</v>
      </c>
      <c r="DE13" cm="1">
        <f t="array" ref="DE13">_xll.EQNXTDZ($A$1,$B13,DE$1)</f>
        <v>71.400000000000006</v>
      </c>
      <c r="DF13" cm="1">
        <f t="array" ref="DF13">_xll.EQNXTDZ($A$1,$B13,DF$1)</f>
        <v>66.349999999999994</v>
      </c>
      <c r="DG13" cm="1">
        <f t="array" ref="DG13">_xll.EQNXTDZ($A$1,$B13,DG$1)</f>
        <v>77.599999999999994</v>
      </c>
      <c r="DH13" cm="1">
        <f t="array" ref="DH13">_xll.EQNXTDZ($A$1,$B13,DH$1)</f>
        <v>77.599999999999994</v>
      </c>
      <c r="DI13" cm="1">
        <f t="array" ref="DI13">_xll.EQNXTDZ($A$1,$B13,DI$1)</f>
        <v>75.95</v>
      </c>
      <c r="DJ13" cm="1">
        <f t="array" ref="DJ13">_xll.EQNXTDZ($A$1,$B13,DJ$1)</f>
        <v>66.7</v>
      </c>
      <c r="DK13" cm="1">
        <f t="array" ref="DK13">_xll.EQNXTDZ($A$1,$B13,DK$1)</f>
        <v>55.45</v>
      </c>
      <c r="DL13" cm="1">
        <f t="array" ref="DL13">_xll.EQNXTDZ($A$1,$B13,DL$1)</f>
        <v>59.85</v>
      </c>
      <c r="DM13" cm="1">
        <f t="array" ref="DM13">_xll.EQNXTDZ($A$1,$B13,DM$1)</f>
        <v>55.3</v>
      </c>
      <c r="DN13" cm="1">
        <f t="array" ref="DN13">_xll.EQNXTDZ($A$1,$B13,DN$1)</f>
        <v>52.05</v>
      </c>
      <c r="DO13" cm="1">
        <f t="array" ref="DO13">_xll.EQNXTDZ($A$1,$B13,DO$1)</f>
        <v>55</v>
      </c>
      <c r="DP13" cm="1">
        <f t="array" ref="DP13">_xll.EQNXTDZ($A$1,$B13,DP$1)</f>
        <v>47</v>
      </c>
      <c r="DQ13" cm="1">
        <f t="array" ref="DQ13">_xll.EQNXTDZ($A$1,$B13,DQ$1)</f>
        <v>45.9</v>
      </c>
      <c r="DR13" cm="1">
        <f t="array" ref="DR13">_xll.EQNXTDZ($A$1,$B13,DR$1)</f>
        <v>48.15</v>
      </c>
      <c r="DS13" cm="1">
        <f t="array" ref="DS13">_xll.EQNXTDZ($A$1,$B13,DS$1)</f>
        <v>47.9</v>
      </c>
      <c r="DT13" cm="1">
        <f t="array" ref="DT13">_xll.EQNXTDZ($A$1,$B13,DT$1)</f>
        <v>44.3</v>
      </c>
      <c r="DU13" cm="1">
        <f t="array" ref="DU13">_xll.EQNXTDZ($A$1,$B13,DU$1)</f>
        <v>47.95</v>
      </c>
      <c r="DV13" cm="1">
        <f t="array" ref="DV13">_xll.EQNXTDZ($A$1,$B13,DV$1)</f>
        <v>51.9</v>
      </c>
      <c r="DW13" cm="1">
        <f t="array" ref="DW13">_xll.EQNXTDZ($A$1,$B13,DW$1)</f>
        <v>48.1</v>
      </c>
      <c r="DX13" cm="1">
        <f t="array" ref="DX13">_xll.EQNXTDZ($A$1,$B13,DX$1)</f>
        <v>60.35</v>
      </c>
      <c r="DY13" cm="1">
        <f t="array" ref="DY13">_xll.EQNXTDZ($A$1,$B13,DY$1)</f>
        <v>82.75</v>
      </c>
      <c r="DZ13" cm="1">
        <f t="array" ref="DZ13">_xll.EQNXTDZ($A$1,$B13,DZ$1)</f>
        <v>88.65</v>
      </c>
      <c r="EA13" cm="1">
        <f t="array" ref="EA13">_xll.EQNXTDZ($A$1,$B13,EA$1)</f>
        <v>84.3</v>
      </c>
      <c r="EB13" cm="1">
        <f t="array" ref="EB13">_xll.EQNXTDZ($A$1,$B13,EB$1)</f>
        <v>71.39</v>
      </c>
      <c r="EC13" cm="1">
        <f t="array" ref="EC13">_xll.EQNXTDZ($A$1,$B13,EC$1)</f>
        <v>74.61</v>
      </c>
      <c r="ED13" cm="1">
        <f t="array" ref="ED13">_xll.EQNXTDZ($A$1,$B13,ED$1)</f>
        <v>84.56</v>
      </c>
      <c r="EE13" cm="1">
        <f t="array" ref="EE13">_xll.EQNXTDZ($A$1,$B13,EE$1)</f>
        <v>73.75</v>
      </c>
      <c r="EF13" cm="1">
        <f t="array" ref="EF13">_xll.EQNXTDZ($A$1,$B13,EF$1)</f>
        <v>74.010000000000005</v>
      </c>
      <c r="EG13" cm="1">
        <f t="array" ref="EG13">_xll.EQNXTDZ($A$1,$B13,EG$1)</f>
        <v>86</v>
      </c>
      <c r="EH13" cm="1">
        <f t="array" ref="EH13">_xll.EQNXTDZ($A$1,$B13,EH$1)</f>
        <v>85.98</v>
      </c>
      <c r="EI13" cm="1">
        <f t="array" ref="EI13">_xll.EQNXTDZ($A$1,$B13,EI$1)</f>
        <v>108.9</v>
      </c>
      <c r="EJ13" cm="1">
        <f t="array" ref="EJ13">_xll.EQNXTDZ($A$1,$B13,EJ$1)</f>
        <v>96</v>
      </c>
      <c r="EK13" cm="1">
        <f t="array" ref="EK13">_xll.EQNXTDZ($A$1,$B13,EK$1)</f>
        <v>104.95</v>
      </c>
      <c r="EL13" cm="1">
        <f t="array" ref="EL13">_xll.EQNXTDZ($A$1,$B13,EL$1)</f>
        <v>112.85</v>
      </c>
      <c r="EM13" cm="1">
        <f t="array" ref="EM13">_xll.EQNXTDZ($A$1,$B13,EM$1)</f>
        <v>139.94999999999999</v>
      </c>
      <c r="EN13" cm="1">
        <f t="array" ref="EN13">_xll.EQNXTDZ($A$1,$B13,EN$1)</f>
        <v>134.15</v>
      </c>
      <c r="EO13" cm="1">
        <f t="array" ref="EO13">_xll.EQNXTDZ($A$1,$B13,EO$1)</f>
        <v>134.15</v>
      </c>
      <c r="EP13" cm="1">
        <f t="array" ref="EP13">_xll.EQNXTDZ($A$1,$B13,EP$1)</f>
        <v>155.5</v>
      </c>
      <c r="EQ13" cm="1">
        <f t="array" ref="EQ13">_xll.EQNXTDZ($A$1,$B13,EQ$1)</f>
        <v>134.75</v>
      </c>
      <c r="ER13" cm="1">
        <f t="array" ref="ER13">_xll.EQNXTDZ($A$1,$B13,ER$1)</f>
        <v>121.15</v>
      </c>
      <c r="ES13" cm="1">
        <f t="array" ref="ES13">_xll.EQNXTDZ($A$1,$B13,ES$1)</f>
        <v>126.5</v>
      </c>
      <c r="ET13" cm="1">
        <f t="array" ref="ET13">_xll.EQNXTDZ($A$1,$B13,ET$1)</f>
        <v>118.4</v>
      </c>
      <c r="EU13" cm="1">
        <f t="array" ref="EU13">_xll.EQNXTDZ($A$1,$B13,EU$1)</f>
        <v>110.6</v>
      </c>
      <c r="EV13" cm="1">
        <f t="array" ref="EV13">_xll.EQNXTDZ($A$1,$B13,EV$1)</f>
        <v>109.15</v>
      </c>
      <c r="EW13" cm="1">
        <f t="array" ref="EW13">_xll.EQNXTDZ($A$1,$B13,EW$1)</f>
        <v>110.5</v>
      </c>
      <c r="EX13" cm="1">
        <f t="array" ref="EX13">_xll.EQNXTDZ($A$1,$B13,EX$1)</f>
        <v>102.7</v>
      </c>
      <c r="EY13" cm="1">
        <f t="array" ref="EY13">_xll.EQNXTDZ($A$1,$B13,EY$1)</f>
        <v>113</v>
      </c>
      <c r="EZ13" cm="1">
        <f t="array" ref="EZ13">_xll.EQNXTDZ($A$1,$B13,EZ$1)</f>
        <v>95.56</v>
      </c>
      <c r="FA13" cm="1">
        <f t="array" ref="FA13">_xll.EQNXTDZ($A$1,$B13,FA$1)</f>
        <v>106.95</v>
      </c>
      <c r="FB13" cm="1">
        <f t="array" ref="FB13">_xll.EQNXTDZ($A$1,$B13,FB$1)</f>
        <v>115.1</v>
      </c>
      <c r="FC13" cm="1">
        <f t="array" ref="FC13">_xll.EQNXTDZ($A$1,$B13,FC$1)</f>
        <v>122.05</v>
      </c>
      <c r="FD13" cm="1">
        <f t="array" ref="FD13">_xll.EQNXTDZ($A$1,$B13,FD$1)</f>
        <v>119</v>
      </c>
      <c r="FE13" cm="1">
        <f t="array" ref="FE13">_xll.EQNXTDZ($A$1,$B13,FE$1)</f>
        <v>111.45</v>
      </c>
      <c r="FF13" cm="1">
        <f t="array" ref="FF13">_xll.EQNXTDZ($A$1,$B13,FF$1)</f>
        <v>110.95</v>
      </c>
      <c r="FG13" cm="1">
        <f t="array" ref="FG13">_xll.EQNXTDZ($A$1,$B13,FG$1)</f>
        <v>123.85</v>
      </c>
      <c r="FH13" cm="1">
        <f t="array" ref="FH13">_xll.EQNXTDZ($A$1,$B13,FH$1)</f>
        <v>140.19999999999999</v>
      </c>
      <c r="FI13" cm="1">
        <f t="array" ref="FI13">_xll.EQNXTDZ($A$1,$B13,FI$1)</f>
        <v>147.80000000000001</v>
      </c>
      <c r="FJ13" cm="1">
        <f t="array" ref="FJ13">_xll.EQNXTDZ($A$1,$B13,FJ$1)</f>
        <v>144.05000000000001</v>
      </c>
      <c r="FK13" cm="1">
        <f t="array" ref="FK13">_xll.EQNXTDZ($A$1,$B13,FK$1)</f>
        <v>164.4</v>
      </c>
      <c r="FL13" cm="1">
        <f t="array" ref="FL13">_xll.EQNXTDZ($A$1,$B13,FL$1)</f>
        <v>161.85</v>
      </c>
      <c r="FM13" cm="1">
        <f t="array" ref="FM13">_xll.EQNXTDZ($A$1,$B13,FM$1)</f>
        <v>140.5</v>
      </c>
      <c r="FN13" cm="1">
        <f t="array" ref="FN13">_xll.EQNXTDZ($A$1,$B13,FN$1)</f>
        <v>140</v>
      </c>
      <c r="FO13" cm="1">
        <f t="array" ref="FO13">_xll.EQNXTDZ($A$1,$B13,FO$1)</f>
        <v>140.30000000000001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38</v>
      </c>
      <c r="B14" s="107" t="s">
        <v>336</v>
      </c>
      <c r="C14" s="107" cm="1">
        <f t="array" ref="C14">_xll.EQNXTDZ($A$1,$B14,C$1)</f>
        <v>361.6</v>
      </c>
      <c r="D14" s="107" cm="1">
        <f t="array" ref="D14">_xll.EQNXTDZ($A$1,$B14,D$1)</f>
        <v>356.55</v>
      </c>
      <c r="E14" s="107" cm="1">
        <f t="array" ref="E14">_xll.EQNXTDZ($A$1,$B14,E$1)</f>
        <v>301.3</v>
      </c>
      <c r="F14" s="107" cm="1">
        <f t="array" ref="F14">_xll.EQNXTDZ($A$1,$B14,F$1)</f>
        <v>314</v>
      </c>
      <c r="G14" s="107" cm="1">
        <f t="array" ref="G14">_xll.EQNXTDZ($A$1,$B14,G$1)</f>
        <v>314.25</v>
      </c>
      <c r="H14" s="107" cm="1">
        <f t="array" ref="H14">_xll.EQNXTDZ($A$1,$B14,H$1)</f>
        <v>293.89999999999998</v>
      </c>
      <c r="I14" s="107" cm="1">
        <f t="array" ref="I14">_xll.EQNXTDZ($A$1,$B14,I$1)</f>
        <v>347.4</v>
      </c>
      <c r="J14" s="107" cm="1">
        <f t="array" ref="J14">_xll.EQNXTDZ($A$1,$B14,J$1)</f>
        <v>392.2</v>
      </c>
      <c r="K14" s="107" cm="1">
        <f t="array" ref="K14">_xll.EQNXTDZ($A$1,$B14,K$1)</f>
        <v>358.05</v>
      </c>
      <c r="L14" s="107" cm="1">
        <f t="array" ref="L14">_xll.EQNXTDZ($A$1,$B14,L$1)</f>
        <v>331</v>
      </c>
      <c r="M14" s="107" cm="1">
        <f t="array" ref="M14">_xll.EQNXTDZ($A$1,$B14,M$1)</f>
        <v>344.9</v>
      </c>
      <c r="N14" s="107" cm="1">
        <f t="array" ref="N14">_xll.EQNXTDZ($A$1,$B14,N$1)</f>
        <v>341.45</v>
      </c>
      <c r="O14" s="107" cm="1">
        <f t="array" ref="O14">_xll.EQNXTDZ($A$1,$B14,O$1)</f>
        <v>297.85000000000002</v>
      </c>
      <c r="P14" s="107" cm="1">
        <f t="array" ref="P14">_xll.EQNXTDZ($A$1,$B14,P$1)</f>
        <v>242.5</v>
      </c>
      <c r="Q14" s="107" cm="1">
        <f t="array" ref="Q14">_xll.EQNXTDZ($A$1,$B14,Q$1)</f>
        <v>190.4</v>
      </c>
      <c r="R14" s="107" cm="1">
        <f t="array" ref="R14">_xll.EQNXTDZ($A$1,$B14,R$1)</f>
        <v>193.75</v>
      </c>
      <c r="S14" s="107" cm="1">
        <f t="array" ref="S14">_xll.EQNXTDZ($A$1,$B14,S$1)</f>
        <v>214</v>
      </c>
      <c r="T14" s="107" cm="1">
        <f t="array" ref="T14">_xll.EQNXTDZ($A$1,$B14,T$1)</f>
        <v>244</v>
      </c>
      <c r="U14" s="107" cm="1">
        <f t="array" ref="U14">_xll.EQNXTDZ($A$1,$B14,U$1)</f>
        <v>241.55</v>
      </c>
      <c r="V14" s="107" cm="1">
        <f t="array" ref="V14">_xll.EQNXTDZ($A$1,$B14,V$1)</f>
        <v>251.15</v>
      </c>
      <c r="W14" s="107" cm="1">
        <f t="array" ref="W14">_xll.EQNXTDZ($A$1,$B14,W$1)</f>
        <v>192.5</v>
      </c>
      <c r="X14" s="107" cm="1">
        <f t="array" ref="X14">_xll.EQNXTDZ($A$1,$B14,X$1)</f>
        <v>237.5</v>
      </c>
      <c r="Y14" s="107" cm="1">
        <f t="array" ref="Y14">_xll.EQNXTDZ($A$1,$B14,Y$1)</f>
        <v>247</v>
      </c>
      <c r="Z14" s="107" cm="1">
        <f t="array" ref="Z14">_xll.EQNXTDZ($A$1,$B14,Z$1)</f>
        <v>356.75</v>
      </c>
      <c r="AA14" s="107" cm="1">
        <f t="array" ref="AA14">_xll.EQNXTDZ($A$1,$B14,AA$1)</f>
        <v>332.75</v>
      </c>
      <c r="AB14" s="107" cm="1">
        <f t="array" ref="AB14">_xll.EQNXTDZ($A$1,$B14,AB$1)</f>
        <v>309.75</v>
      </c>
      <c r="AC14" s="107" cm="1">
        <f t="array" ref="AC14">_xll.EQNXTDZ($A$1,$B14,AC$1)</f>
        <v>297.25</v>
      </c>
      <c r="AD14" s="107" cm="1">
        <f t="array" ref="AD14">_xll.EQNXTDZ($A$1,$B14,AD$1)</f>
        <v>301.5</v>
      </c>
      <c r="AE14" s="107" cm="1">
        <f t="array" ref="AE14">_xll.EQNXTDZ($A$1,$B14,AE$1)</f>
        <v>287.3</v>
      </c>
      <c r="AF14" s="107" cm="1">
        <f t="array" ref="AF14">_xll.EQNXTDZ($A$1,$B14,AF$1)</f>
        <v>297</v>
      </c>
      <c r="AG14" s="107" cm="1">
        <f t="array" ref="AG14">_xll.EQNXTDZ($A$1,$B14,AG$1)</f>
        <v>305.3</v>
      </c>
      <c r="AH14" s="107" cm="1">
        <f t="array" ref="AH14">_xll.EQNXTDZ($A$1,$B14,AH$1)</f>
        <v>311.75</v>
      </c>
      <c r="AI14" s="107" cm="1">
        <f t="array" ref="AI14">_xll.EQNXTDZ($A$1,$B14,AI$1)</f>
        <v>277.10000000000002</v>
      </c>
      <c r="AJ14" s="107" cm="1">
        <f t="array" ref="AJ14">_xll.EQNXTDZ($A$1,$B14,AJ$1)</f>
        <v>250</v>
      </c>
      <c r="AK14" s="107" cm="1">
        <f t="array" ref="AK14">_xll.EQNXTDZ($A$1,$B14,AK$1)</f>
        <v>232.95</v>
      </c>
      <c r="AL14" s="107" cm="1">
        <f t="array" ref="AL14">_xll.EQNXTDZ($A$1,$B14,AL$1)</f>
        <v>225.8</v>
      </c>
      <c r="AM14" s="107" cm="1">
        <f t="array" ref="AM14">_xll.EQNXTDZ($A$1,$B14,AM$1)</f>
        <v>199</v>
      </c>
      <c r="AN14" s="107" cm="1">
        <f t="array" ref="AN14">_xll.EQNXTDZ($A$1,$B14,AN$1)</f>
        <v>186.7</v>
      </c>
      <c r="AO14" s="107" cm="1">
        <f t="array" ref="AO14">_xll.EQNXTDZ($A$1,$B14,AO$1)</f>
        <v>187.75</v>
      </c>
      <c r="AP14" s="107" cm="1">
        <f t="array" ref="AP14">_xll.EQNXTDZ($A$1,$B14,AP$1)</f>
        <v>145.69999999999999</v>
      </c>
      <c r="AQ14" s="107" cm="1">
        <f t="array" ref="AQ14">_xll.EQNXTDZ($A$1,$B14,AQ$1)</f>
        <v>148.94999999999999</v>
      </c>
      <c r="AR14" s="107" cm="1">
        <f t="array" ref="AR14">_xll.EQNXTDZ($A$1,$B14,AR$1)</f>
        <v>138.9</v>
      </c>
      <c r="AS14" s="107" cm="1">
        <f t="array" ref="AS14">_xll.EQNXTDZ($A$1,$B14,AS$1)</f>
        <v>132.19999999999999</v>
      </c>
      <c r="AT14" s="107" cm="1">
        <f t="array" ref="AT14">_xll.EQNXTDZ($A$1,$B14,AT$1)</f>
        <v>117.75</v>
      </c>
      <c r="AU14" s="107" cm="1">
        <f t="array" ref="AU14">_xll.EQNXTDZ($A$1,$B14,AU$1)</f>
        <v>105.25</v>
      </c>
      <c r="AV14" s="107" cm="1">
        <f t="array" ref="AV14">_xll.EQNXTDZ($A$1,$B14,AV$1)</f>
        <v>99.9</v>
      </c>
      <c r="AW14" s="107" cm="1">
        <f t="array" ref="AW14">_xll.EQNXTDZ($A$1,$B14,AW$1)</f>
        <v>101.8</v>
      </c>
      <c r="AX14" s="107" cm="1">
        <f t="array" ref="AX14">_xll.EQNXTDZ($A$1,$B14,AX$1)</f>
        <v>92.05</v>
      </c>
      <c r="AY14" s="107" cm="1">
        <f t="array" ref="AY14">_xll.EQNXTDZ($A$1,$B14,AY$1)</f>
        <v>101.85</v>
      </c>
      <c r="AZ14" s="107" cm="1">
        <f t="array" ref="AZ14">_xll.EQNXTDZ($A$1,$B14,AZ$1)</f>
        <v>117.8</v>
      </c>
      <c r="BA14" s="107" cm="1">
        <f t="array" ref="BA14">_xll.EQNXTDZ($A$1,$B14,BA$1)</f>
        <v>119.15</v>
      </c>
      <c r="BB14" s="107" cm="1">
        <f t="array" ref="BB14">_xll.EQNXTDZ($A$1,$B14,BB$1)</f>
        <v>125.95</v>
      </c>
      <c r="BC14" s="107" cm="1">
        <f t="array" ref="BC14">_xll.EQNXTDZ($A$1,$B14,BC$1)</f>
        <v>121.65</v>
      </c>
      <c r="BD14" s="107" cm="1">
        <f t="array" ref="BD14">_xll.EQNXTDZ($A$1,$B14,BD$1)</f>
        <v>128.75</v>
      </c>
      <c r="BE14" s="107" cm="1">
        <f t="array" ref="BE14">_xll.EQNXTDZ($A$1,$B14,BE$1)</f>
        <v>120.25</v>
      </c>
      <c r="BF14" s="107" cm="1">
        <f t="array" ref="BF14">_xll.EQNXTDZ($A$1,$B14,BF$1)</f>
        <v>123.2</v>
      </c>
      <c r="BG14" s="107" cm="1">
        <f t="array" ref="BG14">_xll.EQNXTDZ($A$1,$B14,BG$1)</f>
        <v>138.69999999999999</v>
      </c>
      <c r="BH14" s="107" cm="1">
        <f t="array" ref="BH14">_xll.EQNXTDZ($A$1,$B14,BH$1)</f>
        <v>142.4</v>
      </c>
      <c r="BI14" s="107" cm="1">
        <f t="array" ref="BI14">_xll.EQNXTDZ($A$1,$B14,BI$1)</f>
        <v>189</v>
      </c>
      <c r="BJ14" s="107" cm="1">
        <f t="array" ref="BJ14">_xll.EQNXTDZ($A$1,$B14,BJ$1)</f>
        <v>197.25</v>
      </c>
      <c r="BK14" s="107" cm="1">
        <f t="array" ref="BK14">_xll.EQNXTDZ($A$1,$B14,BK$1)</f>
        <v>149</v>
      </c>
      <c r="BL14" s="107" cm="1">
        <f t="array" ref="BL14">_xll.EQNXTDZ($A$1,$B14,BL$1)</f>
        <v>167.25</v>
      </c>
      <c r="BM14" s="107" cm="1">
        <f t="array" ref="BM14">_xll.EQNXTDZ($A$1,$B14,BM$1)</f>
        <v>167.5</v>
      </c>
      <c r="BN14" s="107" cm="1">
        <f t="array" ref="BN14">_xll.EQNXTDZ($A$1,$B14,BN$1)</f>
        <v>157.80000000000001</v>
      </c>
      <c r="BO14" s="107" cm="1">
        <f t="array" ref="BO14">_xll.EQNXTDZ($A$1,$B14,BO$1)</f>
        <v>201</v>
      </c>
      <c r="BP14" s="107" cm="1">
        <f t="array" ref="BP14">_xll.EQNXTDZ($A$1,$B14,BP$1)</f>
        <v>216.7</v>
      </c>
      <c r="BQ14" s="107" cm="1">
        <f t="array" ref="BQ14">_xll.EQNXTDZ($A$1,$B14,BQ$1)</f>
        <v>198.05</v>
      </c>
      <c r="BR14" s="107" cm="1">
        <f t="array" ref="BR14">_xll.EQNXTDZ($A$1,$B14,BR$1)</f>
        <v>182.75</v>
      </c>
      <c r="BS14" s="107" cm="1">
        <f t="array" ref="BS14">_xll.EQNXTDZ($A$1,$B14,BS$1)</f>
        <v>159.25</v>
      </c>
      <c r="BT14" s="107" cm="1">
        <f t="array" ref="BT14">_xll.EQNXTDZ($A$1,$B14,BT$1)</f>
        <v>116.75</v>
      </c>
      <c r="BU14" s="107" cm="1">
        <f t="array" ref="BU14">_xll.EQNXTDZ($A$1,$B14,BU$1)</f>
        <v>118.5</v>
      </c>
      <c r="BV14" s="107" cm="1">
        <f t="array" ref="BV14">_xll.EQNXTDZ($A$1,$B14,BV$1)</f>
        <v>108.7</v>
      </c>
      <c r="BW14" s="107" cm="1">
        <f t="array" ref="BW14">_xll.EQNXTDZ($A$1,$B14,BW$1)</f>
        <v>104.85</v>
      </c>
      <c r="BX14" s="107" cm="1">
        <f t="array" ref="BX14">_xll.EQNXTDZ($A$1,$B14,BX$1)</f>
        <v>104.3</v>
      </c>
      <c r="BY14" s="107" cm="1">
        <f t="array" ref="BY14">_xll.EQNXTDZ($A$1,$B14,BY$1)</f>
        <v>101.1</v>
      </c>
      <c r="BZ14" s="107" cm="1">
        <f t="array" ref="BZ14">_xll.EQNXTDZ($A$1,$B14,BZ$1)</f>
        <v>102.9</v>
      </c>
      <c r="CA14" s="107" cm="1">
        <f t="array" ref="CA14">_xll.EQNXTDZ($A$1,$B14,CA$1)</f>
        <v>88</v>
      </c>
      <c r="CB14" s="107" cm="1">
        <f t="array" ref="CB14">_xll.EQNXTDZ($A$1,$B14,CB$1)</f>
        <v>92.95</v>
      </c>
      <c r="CC14" s="107" cm="1">
        <f t="array" ref="CC14">_xll.EQNXTDZ($A$1,$B14,CC$1)</f>
        <v>105.2</v>
      </c>
      <c r="CD14" s="107" cm="1">
        <f t="array" ref="CD14">_xll.EQNXTDZ($A$1,$B14,CD$1)</f>
        <v>110.05</v>
      </c>
      <c r="CE14" s="107" cm="1">
        <f t="array" ref="CE14">_xll.EQNXTDZ($A$1,$B14,CE$1)</f>
        <v>106.9</v>
      </c>
      <c r="CF14" s="107" cm="1">
        <f t="array" ref="CF14">_xll.EQNXTDZ($A$1,$B14,CF$1)</f>
        <v>106.9</v>
      </c>
      <c r="CG14" s="107" cm="1">
        <f t="array" ref="CG14">_xll.EQNXTDZ($A$1,$B14,CG$1)</f>
        <v>108.15</v>
      </c>
      <c r="CH14" s="107" cm="1">
        <f t="array" ref="CH14">_xll.EQNXTDZ($A$1,$B14,CH$1)</f>
        <v>101.05</v>
      </c>
      <c r="CI14" s="107" cm="1">
        <f t="array" ref="CI14">_xll.EQNXTDZ($A$1,$B14,CI$1)</f>
        <v>98.5</v>
      </c>
      <c r="CJ14" s="107" cm="1">
        <f t="array" ref="CJ14">_xll.EQNXTDZ($A$1,$B14,CJ$1)</f>
        <v>96.4</v>
      </c>
      <c r="CK14" s="107" cm="1">
        <f t="array" ref="CK14">_xll.EQNXTDZ($A$1,$B14,CK$1)</f>
        <v>72.2</v>
      </c>
      <c r="CL14" s="107" cm="1">
        <f t="array" ref="CL14">_xll.EQNXTDZ($A$1,$B14,CL$1)</f>
        <v>72.900000000000006</v>
      </c>
      <c r="CM14" s="107" cm="1">
        <f t="array" ref="CM14">_xll.EQNXTDZ($A$1,$B14,CM$1)</f>
        <v>72.650000000000006</v>
      </c>
      <c r="CN14" s="107" cm="1">
        <f t="array" ref="CN14">_xll.EQNXTDZ($A$1,$B14,CN$1)</f>
        <v>79.8</v>
      </c>
      <c r="CO14" s="107" cm="1">
        <f t="array" ref="CO14">_xll.EQNXTDZ($A$1,$B14,CO$1)</f>
        <v>76.400000000000006</v>
      </c>
      <c r="CP14" s="107" cm="1">
        <f t="array" ref="CP14">_xll.EQNXTDZ($A$1,$B14,CP$1)</f>
        <v>71.7</v>
      </c>
      <c r="CQ14" s="107" cm="1">
        <f t="array" ref="CQ14">_xll.EQNXTDZ($A$1,$B14,CQ$1)</f>
        <v>68.849999999999994</v>
      </c>
      <c r="CR14" s="107" cm="1">
        <f t="array" ref="CR14">_xll.EQNXTDZ($A$1,$B14,CR$1)</f>
        <v>53</v>
      </c>
      <c r="CS14" s="107" cm="1">
        <f t="array" ref="CS14">_xll.EQNXTDZ($A$1,$B14,CS$1)</f>
        <v>37.85</v>
      </c>
      <c r="CT14" s="107" cm="1">
        <f t="array" ref="CT14">_xll.EQNXTDZ($A$1,$B14,CT$1)</f>
        <v>35.700000000000003</v>
      </c>
      <c r="CU14" s="107" cm="1">
        <f t="array" ref="CU14">_xll.EQNXTDZ($A$1,$B14,CU$1)</f>
        <v>58.9</v>
      </c>
      <c r="CV14" s="107" cm="1">
        <f t="array" ref="CV14">_xll.EQNXTDZ($A$1,$B14,CV$1)</f>
        <v>52.7</v>
      </c>
      <c r="CW14" s="107" cm="1">
        <f t="array" ref="CW14">_xll.EQNXTDZ($A$1,$B14,CW$1)</f>
        <v>59</v>
      </c>
      <c r="CX14" s="107" cm="1">
        <f t="array" ref="CX14">_xll.EQNXTDZ($A$1,$B14,CX$1)</f>
        <v>54.8</v>
      </c>
      <c r="CY14" s="107" cm="1">
        <f t="array" ref="CY14">_xll.EQNXTDZ($A$1,$B14,CY$1)</f>
        <v>42.5</v>
      </c>
      <c r="CZ14" s="107" cm="1">
        <f t="array" ref="CZ14">_xll.EQNXTDZ($A$1,$B14,CZ$1)</f>
        <v>46.45</v>
      </c>
      <c r="DA14" s="107" cm="1">
        <f t="array" ref="DA14">_xll.EQNXTDZ($A$1,$B14,DA$1)</f>
        <v>55</v>
      </c>
      <c r="DB14" s="107" cm="1">
        <f t="array" ref="DB14">_xll.EQNXTDZ($A$1,$B14,DB$1)</f>
        <v>56.75</v>
      </c>
      <c r="DC14" s="107" cm="1">
        <f t="array" ref="DC14">_xll.EQNXTDZ($A$1,$B14,DC$1)</f>
        <v>101.45</v>
      </c>
      <c r="DD14" s="107" cm="1">
        <f t="array" ref="DD14">_xll.EQNXTDZ($A$1,$B14,DD$1)</f>
        <v>84.85</v>
      </c>
      <c r="DE14" s="107" cm="1">
        <f t="array" ref="DE14">_xll.EQNXTDZ($A$1,$B14,DE$1)</f>
        <v>75.349999999999994</v>
      </c>
      <c r="DF14" s="107" cm="1">
        <f t="array" ref="DF14">_xll.EQNXTDZ($A$1,$B14,DF$1)</f>
        <v>82.7</v>
      </c>
      <c r="DG14" s="107" cm="1">
        <f t="array" ref="DG14">_xll.EQNXTDZ($A$1,$B14,DG$1)</f>
        <v>86.95</v>
      </c>
      <c r="DH14" s="107" cm="1">
        <f t="array" ref="DH14">_xll.EQNXTDZ($A$1,$B14,DH$1)</f>
        <v>78.8</v>
      </c>
      <c r="DI14" s="107" cm="1">
        <f t="array" ref="DI14">_xll.EQNXTDZ($A$1,$B14,DI$1)</f>
        <v>76.55</v>
      </c>
      <c r="DJ14" s="107" cm="1">
        <f t="array" ref="DJ14">_xll.EQNXTDZ($A$1,$B14,DJ$1)</f>
        <v>66.7</v>
      </c>
      <c r="DK14" s="107" cm="1">
        <f t="array" ref="DK14">_xll.EQNXTDZ($A$1,$B14,DK$1)</f>
        <v>64.7</v>
      </c>
      <c r="DL14" s="107" cm="1">
        <f t="array" ref="DL14">_xll.EQNXTDZ($A$1,$B14,DL$1)</f>
        <v>65.8</v>
      </c>
      <c r="DM14" s="107" cm="1">
        <f t="array" ref="DM14">_xll.EQNXTDZ($A$1,$B14,DM$1)</f>
        <v>58.75</v>
      </c>
      <c r="DN14" s="107" cm="1">
        <f t="array" ref="DN14">_xll.EQNXTDZ($A$1,$B14,DN$1)</f>
        <v>57.4</v>
      </c>
      <c r="DO14" s="107" cm="1">
        <f t="array" ref="DO14">_xll.EQNXTDZ($A$1,$B14,DO$1)</f>
        <v>59.55</v>
      </c>
      <c r="DP14" s="107" cm="1">
        <f t="array" ref="DP14">_xll.EQNXTDZ($A$1,$B14,DP$1)</f>
        <v>50.3</v>
      </c>
      <c r="DQ14" s="107" cm="1">
        <f t="array" ref="DQ14">_xll.EQNXTDZ($A$1,$B14,DQ$1)</f>
        <v>53.7</v>
      </c>
      <c r="DR14" s="107" cm="1">
        <f t="array" ref="DR14">_xll.EQNXTDZ($A$1,$B14,DR$1)</f>
        <v>49.1</v>
      </c>
      <c r="DS14" s="107" cm="1">
        <f t="array" ref="DS14">_xll.EQNXTDZ($A$1,$B14,DS$1)</f>
        <v>48.95</v>
      </c>
      <c r="DT14" s="107" cm="1">
        <f t="array" ref="DT14">_xll.EQNXTDZ($A$1,$B14,DT$1)</f>
        <v>49.8</v>
      </c>
      <c r="DU14" s="107" cm="1">
        <f t="array" ref="DU14">_xll.EQNXTDZ($A$1,$B14,DU$1)</f>
        <v>53.15</v>
      </c>
      <c r="DV14" s="107" cm="1">
        <f t="array" ref="DV14">_xll.EQNXTDZ($A$1,$B14,DV$1)</f>
        <v>54.4</v>
      </c>
      <c r="DW14" s="107" cm="1">
        <f t="array" ref="DW14">_xll.EQNXTDZ($A$1,$B14,DW$1)</f>
        <v>60.75</v>
      </c>
      <c r="DX14" s="107" cm="1">
        <f t="array" ref="DX14">_xll.EQNXTDZ($A$1,$B14,DX$1)</f>
        <v>85.5</v>
      </c>
      <c r="DY14" s="107" cm="1">
        <f t="array" ref="DY14">_xll.EQNXTDZ($A$1,$B14,DY$1)</f>
        <v>103.5</v>
      </c>
      <c r="DZ14" s="107" cm="1">
        <f t="array" ref="DZ14">_xll.EQNXTDZ($A$1,$B14,DZ$1)</f>
        <v>101.25</v>
      </c>
      <c r="EA14" s="107" cm="1">
        <f t="array" ref="EA14">_xll.EQNXTDZ($A$1,$B14,EA$1)</f>
        <v>85.75</v>
      </c>
      <c r="EB14" s="107" cm="1">
        <f t="array" ref="EB14">_xll.EQNXTDZ($A$1,$B14,EB$1)</f>
        <v>85.68</v>
      </c>
      <c r="EC14" s="107" cm="1">
        <f t="array" ref="EC14">_xll.EQNXTDZ($A$1,$B14,EC$1)</f>
        <v>84.5</v>
      </c>
      <c r="ED14" s="107" cm="1">
        <f t="array" ref="ED14">_xll.EQNXTDZ($A$1,$B14,ED$1)</f>
        <v>89.15</v>
      </c>
      <c r="EE14" s="107" cm="1">
        <f t="array" ref="EE14">_xll.EQNXTDZ($A$1,$B14,EE$1)</f>
        <v>75.849999999999994</v>
      </c>
      <c r="EF14" s="107" cm="1">
        <f t="array" ref="EF14">_xll.EQNXTDZ($A$1,$B14,EF$1)</f>
        <v>86.84</v>
      </c>
      <c r="EG14" s="107" cm="1">
        <f t="array" ref="EG14">_xll.EQNXTDZ($A$1,$B14,EG$1)</f>
        <v>91.89</v>
      </c>
      <c r="EH14" s="107" cm="1">
        <f t="array" ref="EH14">_xll.EQNXTDZ($A$1,$B14,EH$1)</f>
        <v>114.02</v>
      </c>
      <c r="EI14" s="107" cm="1">
        <f t="array" ref="EI14">_xll.EQNXTDZ($A$1,$B14,EI$1)</f>
        <v>113.8</v>
      </c>
      <c r="EJ14" s="107" cm="1">
        <f t="array" ref="EJ14">_xll.EQNXTDZ($A$1,$B14,EJ$1)</f>
        <v>110.75</v>
      </c>
      <c r="EK14" s="107" cm="1">
        <f t="array" ref="EK14">_xll.EQNXTDZ($A$1,$B14,EK$1)</f>
        <v>120.95</v>
      </c>
      <c r="EL14" s="107" cm="1">
        <f t="array" ref="EL14">_xll.EQNXTDZ($A$1,$B14,EL$1)</f>
        <v>141.35</v>
      </c>
      <c r="EM14" s="107" cm="1">
        <f t="array" ref="EM14">_xll.EQNXTDZ($A$1,$B14,EM$1)</f>
        <v>156.35</v>
      </c>
      <c r="EN14" s="107" cm="1">
        <f t="array" ref="EN14">_xll.EQNXTDZ($A$1,$B14,EN$1)</f>
        <v>149.4</v>
      </c>
      <c r="EO14" s="107" cm="1">
        <f t="array" ref="EO14">_xll.EQNXTDZ($A$1,$B14,EO$1)</f>
        <v>158</v>
      </c>
      <c r="EP14" s="107" cm="1">
        <f t="array" ref="EP14">_xll.EQNXTDZ($A$1,$B14,EP$1)</f>
        <v>156.4</v>
      </c>
      <c r="EQ14" s="107" cm="1">
        <f t="array" ref="EQ14">_xll.EQNXTDZ($A$1,$B14,EQ$1)</f>
        <v>137.35</v>
      </c>
      <c r="ER14" s="107" cm="1">
        <f t="array" ref="ER14">_xll.EQNXTDZ($A$1,$B14,ER$1)</f>
        <v>126.95</v>
      </c>
      <c r="ES14" s="107" cm="1">
        <f t="array" ref="ES14">_xll.EQNXTDZ($A$1,$B14,ES$1)</f>
        <v>128.19999999999999</v>
      </c>
      <c r="ET14" s="107" cm="1">
        <f t="array" ref="ET14">_xll.EQNXTDZ($A$1,$B14,ET$1)</f>
        <v>119.35</v>
      </c>
      <c r="EU14" s="107" cm="1">
        <f t="array" ref="EU14">_xll.EQNXTDZ($A$1,$B14,EU$1)</f>
        <v>111.7</v>
      </c>
      <c r="EV14" s="107" cm="1">
        <f t="array" ref="EV14">_xll.EQNXTDZ($A$1,$B14,EV$1)</f>
        <v>115.05</v>
      </c>
      <c r="EW14" s="107" cm="1">
        <f t="array" ref="EW14">_xll.EQNXTDZ($A$1,$B14,EW$1)</f>
        <v>120.35</v>
      </c>
      <c r="EX14" s="107" cm="1">
        <f t="array" ref="EX14">_xll.EQNXTDZ($A$1,$B14,EX$1)</f>
        <v>113.2</v>
      </c>
      <c r="EY14" s="107" cm="1">
        <f t="array" ref="EY14">_xll.EQNXTDZ($A$1,$B14,EY$1)</f>
        <v>113</v>
      </c>
      <c r="EZ14" s="107" cm="1">
        <f t="array" ref="EZ14">_xll.EQNXTDZ($A$1,$B14,EZ$1)</f>
        <v>109.14</v>
      </c>
      <c r="FA14" s="107" cm="1">
        <f t="array" ref="FA14">_xll.EQNXTDZ($A$1,$B14,FA$1)</f>
        <v>121.6</v>
      </c>
      <c r="FB14" s="107" cm="1">
        <f t="array" ref="FB14">_xll.EQNXTDZ($A$1,$B14,FB$1)</f>
        <v>122.65</v>
      </c>
      <c r="FC14" s="107" cm="1">
        <f t="array" ref="FC14">_xll.EQNXTDZ($A$1,$B14,FC$1)</f>
        <v>130.35</v>
      </c>
      <c r="FD14" s="107" cm="1">
        <f t="array" ref="FD14">_xll.EQNXTDZ($A$1,$B14,FD$1)</f>
        <v>121.5</v>
      </c>
      <c r="FE14" s="107" cm="1">
        <f t="array" ref="FE14">_xll.EQNXTDZ($A$1,$B14,FE$1)</f>
        <v>117.3</v>
      </c>
      <c r="FF14" s="107" cm="1">
        <f t="array" ref="FF14">_xll.EQNXTDZ($A$1,$B14,FF$1)</f>
        <v>123.85</v>
      </c>
      <c r="FG14" s="107" cm="1">
        <f t="array" ref="FG14">_xll.EQNXTDZ($A$1,$B14,FG$1)</f>
        <v>142.65</v>
      </c>
      <c r="FH14" s="107" cm="1">
        <f t="array" ref="FH14">_xll.EQNXTDZ($A$1,$B14,FH$1)</f>
        <v>151.35</v>
      </c>
      <c r="FI14" s="107" cm="1">
        <f t="array" ref="FI14">_xll.EQNXTDZ($A$1,$B14,FI$1)</f>
        <v>149.25</v>
      </c>
      <c r="FJ14" s="107" cm="1">
        <f t="array" ref="FJ14">_xll.EQNXTDZ($A$1,$B14,FJ$1)</f>
        <v>169.9</v>
      </c>
      <c r="FK14" s="107" cm="1">
        <f t="array" ref="FK14">_xll.EQNXTDZ($A$1,$B14,FK$1)</f>
        <v>178.45</v>
      </c>
      <c r="FL14" s="107" cm="1">
        <f t="array" ref="FL14">_xll.EQNXTDZ($A$1,$B14,FL$1)</f>
        <v>174.4</v>
      </c>
      <c r="FM14" s="107" cm="1">
        <f t="array" ref="FM14">_xll.EQNXTDZ($A$1,$B14,FM$1)</f>
        <v>154.30000000000001</v>
      </c>
      <c r="FN14" s="107" cm="1">
        <f t="array" ref="FN14">_xll.EQNXTDZ($A$1,$B14,FN$1)</f>
        <v>147.5</v>
      </c>
      <c r="FO14" s="107" cm="1">
        <f t="array" ref="FO14">_xll.EQNXTDZ($A$1,$B14,FO$1)</f>
        <v>149.19999999999999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356.55</v>
      </c>
      <c r="HQ14" s="107">
        <f>+MAX(G14:I14)</f>
        <v>347.4</v>
      </c>
      <c r="HR14" s="107">
        <f>+MAX(J14:L14)</f>
        <v>392.2</v>
      </c>
      <c r="HS14" s="107">
        <f>+MAX(M14:O14)</f>
        <v>344.9</v>
      </c>
      <c r="HT14" s="107">
        <f>+MAX(P14:R14)</f>
        <v>242.5</v>
      </c>
      <c r="HU14" s="107">
        <f>+MAX(S14:U14)</f>
        <v>244</v>
      </c>
      <c r="HV14" s="107">
        <f>+MAX(V14:X14)</f>
        <v>251.15</v>
      </c>
      <c r="HW14" s="107">
        <f>+MAX(Y14:AA14)</f>
        <v>356.75</v>
      </c>
      <c r="HX14" s="107">
        <f>+MAX(AB14:AD14)</f>
        <v>309.75</v>
      </c>
      <c r="HY14" s="107">
        <f>+MAX(AE14:AG14)</f>
        <v>305.3</v>
      </c>
      <c r="HZ14" s="107">
        <f>+MAX(AH14:AJ14)</f>
        <v>311.75</v>
      </c>
      <c r="IA14" s="107">
        <f>+MAX(AK14:AM14)</f>
        <v>232.95</v>
      </c>
      <c r="IB14" s="107">
        <f>+MAX(AN14:AP14)</f>
        <v>187.75</v>
      </c>
      <c r="IC14" s="107">
        <f>+MAX(AQ14:AS14)</f>
        <v>148.94999999999999</v>
      </c>
      <c r="ID14" s="107">
        <f>+MAX(AT14:AV14)</f>
        <v>117.75</v>
      </c>
      <c r="IE14" s="107">
        <f>+MAX(AW14:AY14)</f>
        <v>101.85</v>
      </c>
      <c r="IF14" s="107">
        <f>+MAX(AZ14:BB14)</f>
        <v>125.95</v>
      </c>
      <c r="IG14" s="107">
        <f>+MAX(BC14:BE14)</f>
        <v>128.75</v>
      </c>
      <c r="IH14" s="107">
        <f>+MAX(BF14:BH14)</f>
        <v>142.4</v>
      </c>
      <c r="II14" s="107">
        <f>+MAX(BI14:BK14)</f>
        <v>197.25</v>
      </c>
      <c r="IJ14" s="107">
        <f>+MAX(BL14:BN14)</f>
        <v>167.5</v>
      </c>
      <c r="IK14" s="107">
        <f>+MAX(BO14:BQ14)</f>
        <v>216.7</v>
      </c>
      <c r="IL14" s="107">
        <f>+MAX(BR14:BT14)</f>
        <v>182.75</v>
      </c>
      <c r="IM14" s="107">
        <f>+MAX(BU14:BW14)</f>
        <v>118.5</v>
      </c>
      <c r="IN14" s="107">
        <f>+MAX(BX14:BZ14)</f>
        <v>104.3</v>
      </c>
      <c r="IO14" s="107">
        <f>+MAX(CA14:CC14)</f>
        <v>105.2</v>
      </c>
      <c r="IP14" s="107">
        <f>+MAX(CD14:CF14)</f>
        <v>110.05</v>
      </c>
      <c r="IQ14" s="107">
        <f>+MAX(CG14:CI14)</f>
        <v>108.15</v>
      </c>
      <c r="IR14" s="107">
        <f>+MAX(CJ14:CL14)</f>
        <v>96.4</v>
      </c>
      <c r="IS14" s="107">
        <f>+MAX(CM14:CO14)</f>
        <v>79.8</v>
      </c>
      <c r="IT14" s="107">
        <f>+MAX(CP14:CR14)</f>
        <v>71.7</v>
      </c>
      <c r="IU14" s="107">
        <f>+MAX(CS14:CU14)</f>
        <v>58.9</v>
      </c>
      <c r="IV14" s="107">
        <f>+MAX(CV14:CX14)</f>
        <v>59</v>
      </c>
      <c r="IW14" s="107">
        <f>+MAX(CY14:DA14)</f>
        <v>55</v>
      </c>
      <c r="IX14" s="107">
        <f>+MAX(DB14:DD14)</f>
        <v>101.45</v>
      </c>
      <c r="IY14" s="107">
        <f>+MAX(DE14:DG14)</f>
        <v>86.95</v>
      </c>
      <c r="IZ14" s="107">
        <f>+MAX(DH14:DJ14)</f>
        <v>78.8</v>
      </c>
      <c r="JA14" s="107">
        <f>+MAX(DK14:DM14)</f>
        <v>65.8</v>
      </c>
      <c r="JB14" s="107">
        <f>+MAX(DN14:DP14)</f>
        <v>59.55</v>
      </c>
      <c r="JC14" s="107">
        <f>+MAX(DQ14:DS14)</f>
        <v>53.7</v>
      </c>
      <c r="JD14" s="107">
        <f>+MAX(DT14:DV14)</f>
        <v>54.4</v>
      </c>
      <c r="JE14" s="107">
        <f>+MAX(DW14:DY14)</f>
        <v>103.5</v>
      </c>
      <c r="JF14" s="107">
        <f>+MAX(DZ14:EB14)</f>
        <v>101.25</v>
      </c>
      <c r="JG14" s="107">
        <f>+MAX(EC14:EE14)</f>
        <v>89.15</v>
      </c>
      <c r="JH14" s="107">
        <f>+MAX(EF14:EH14)</f>
        <v>114.02</v>
      </c>
      <c r="JI14" s="107">
        <f>+MAX(EI14:EK14)</f>
        <v>120.95</v>
      </c>
      <c r="JJ14" s="107">
        <f>+MAX(EL14:EN14)</f>
        <v>156.35</v>
      </c>
      <c r="JK14" s="107">
        <f>MAX(EO14:EQ14)</f>
        <v>158</v>
      </c>
      <c r="JL14" s="107">
        <f>MAX(ER14:ET14)</f>
        <v>128.19999999999999</v>
      </c>
      <c r="JM14" s="107">
        <f>MAX(EU14:EW14)</f>
        <v>120.35</v>
      </c>
      <c r="JN14" s="107">
        <f>MAX(EX14:EZ14)</f>
        <v>113.2</v>
      </c>
      <c r="JO14" s="107">
        <f>MAX(FA14:FC14)</f>
        <v>130.35</v>
      </c>
      <c r="JP14" s="107">
        <f>MAX(FD14:FF14)</f>
        <v>123.85</v>
      </c>
      <c r="JQ14" s="107">
        <f>MAX(FG14:FI14)</f>
        <v>151.35</v>
      </c>
      <c r="JR14" s="107">
        <f>MAX(FJ14:FL14)</f>
        <v>178.45</v>
      </c>
      <c r="JS14" s="107">
        <f>MAX(FM14:FO14)</f>
        <v>154.30000000000001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39</v>
      </c>
      <c r="B15" s="107" t="s">
        <v>337</v>
      </c>
      <c r="C15" s="107" cm="1">
        <f t="array" ref="C15">_xll.EQNXTDZ($A$1,$B15,C$1)</f>
        <v>322</v>
      </c>
      <c r="D15" s="107" cm="1">
        <f t="array" ref="D15">_xll.EQNXTDZ($A$1,$B15,D$1)</f>
        <v>288.39999999999998</v>
      </c>
      <c r="E15" s="107" cm="1">
        <f t="array" ref="E15">_xll.EQNXTDZ($A$1,$B15,E$1)</f>
        <v>253.8</v>
      </c>
      <c r="F15" s="107" cm="1">
        <f t="array" ref="F15">_xll.EQNXTDZ($A$1,$B15,F$1)</f>
        <v>254.1</v>
      </c>
      <c r="G15" s="107" cm="1">
        <f t="array" ref="G15">_xll.EQNXTDZ($A$1,$B15,G$1)</f>
        <v>269.5</v>
      </c>
      <c r="H15" s="107" cm="1">
        <f t="array" ref="H15">_xll.EQNXTDZ($A$1,$B15,H$1)</f>
        <v>263.10000000000002</v>
      </c>
      <c r="I15" s="107" cm="1">
        <f t="array" ref="I15">_xll.EQNXTDZ($A$1,$B15,I$1)</f>
        <v>278.35000000000002</v>
      </c>
      <c r="J15" s="107" cm="1">
        <f t="array" ref="J15">_xll.EQNXTDZ($A$1,$B15,J$1)</f>
        <v>332.8</v>
      </c>
      <c r="K15" s="107" cm="1">
        <f t="array" ref="K15">_xll.EQNXTDZ($A$1,$B15,K$1)</f>
        <v>313.3</v>
      </c>
      <c r="L15" s="107" cm="1">
        <f t="array" ref="L15">_xll.EQNXTDZ($A$1,$B15,L$1)</f>
        <v>282</v>
      </c>
      <c r="M15" s="107" cm="1">
        <f t="array" ref="M15">_xll.EQNXTDZ($A$1,$B15,M$1)</f>
        <v>292.35000000000002</v>
      </c>
      <c r="N15" s="107" cm="1">
        <f t="array" ref="N15">_xll.EQNXTDZ($A$1,$B15,N$1)</f>
        <v>285</v>
      </c>
      <c r="O15" s="107" cm="1">
        <f t="array" ref="O15">_xll.EQNXTDZ($A$1,$B15,O$1)</f>
        <v>219</v>
      </c>
      <c r="P15" s="107" cm="1">
        <f t="array" ref="P15">_xll.EQNXTDZ($A$1,$B15,P$1)</f>
        <v>166</v>
      </c>
      <c r="Q15" s="107" cm="1">
        <f t="array" ref="Q15">_xll.EQNXTDZ($A$1,$B15,Q$1)</f>
        <v>126.95</v>
      </c>
      <c r="R15" s="107" cm="1">
        <f t="array" ref="R15">_xll.EQNXTDZ($A$1,$B15,R$1)</f>
        <v>132</v>
      </c>
      <c r="S15" s="107" cm="1">
        <f t="array" ref="S15">_xll.EQNXTDZ($A$1,$B15,S$1)</f>
        <v>156.6</v>
      </c>
      <c r="T15" s="107" cm="1">
        <f t="array" ref="T15">_xll.EQNXTDZ($A$1,$B15,T$1)</f>
        <v>204.8</v>
      </c>
      <c r="U15" s="107" cm="1">
        <f t="array" ref="U15">_xll.EQNXTDZ($A$1,$B15,U$1)</f>
        <v>204.5</v>
      </c>
      <c r="V15" s="107" cm="1">
        <f t="array" ref="V15">_xll.EQNXTDZ($A$1,$B15,V$1)</f>
        <v>185.05</v>
      </c>
      <c r="W15" s="107" cm="1">
        <f t="array" ref="W15">_xll.EQNXTDZ($A$1,$B15,W$1)</f>
        <v>166</v>
      </c>
      <c r="X15" s="107" cm="1">
        <f t="array" ref="X15">_xll.EQNXTDZ($A$1,$B15,X$1)</f>
        <v>168.55</v>
      </c>
      <c r="Y15" s="107" cm="1">
        <f t="array" ref="Y15">_xll.EQNXTDZ($A$1,$B15,Y$1)</f>
        <v>211.1</v>
      </c>
      <c r="Z15" s="107" cm="1">
        <f t="array" ref="Z15">_xll.EQNXTDZ($A$1,$B15,Z$1)</f>
        <v>230.45</v>
      </c>
      <c r="AA15" s="107" cm="1">
        <f t="array" ref="AA15">_xll.EQNXTDZ($A$1,$B15,AA$1)</f>
        <v>275.7</v>
      </c>
      <c r="AB15" s="107" cm="1">
        <f t="array" ref="AB15">_xll.EQNXTDZ($A$1,$B15,AB$1)</f>
        <v>256.10000000000002</v>
      </c>
      <c r="AC15" s="107" cm="1">
        <f t="array" ref="AC15">_xll.EQNXTDZ($A$1,$B15,AC$1)</f>
        <v>262.64999999999998</v>
      </c>
      <c r="AD15" s="107" cm="1">
        <f t="array" ref="AD15">_xll.EQNXTDZ($A$1,$B15,AD$1)</f>
        <v>230.15</v>
      </c>
      <c r="AE15" s="107" cm="1">
        <f t="array" ref="AE15">_xll.EQNXTDZ($A$1,$B15,AE$1)</f>
        <v>225.05</v>
      </c>
      <c r="AF15" s="107" cm="1">
        <f t="array" ref="AF15">_xll.EQNXTDZ($A$1,$B15,AF$1)</f>
        <v>269.3</v>
      </c>
      <c r="AG15" s="107" cm="1">
        <f t="array" ref="AG15">_xll.EQNXTDZ($A$1,$B15,AG$1)</f>
        <v>271.60000000000002</v>
      </c>
      <c r="AH15" s="107" cm="1">
        <f t="array" ref="AH15">_xll.EQNXTDZ($A$1,$B15,AH$1)</f>
        <v>262.60000000000002</v>
      </c>
      <c r="AI15" s="107" cm="1">
        <f t="array" ref="AI15">_xll.EQNXTDZ($A$1,$B15,AI$1)</f>
        <v>221.3</v>
      </c>
      <c r="AJ15" s="107" cm="1">
        <f t="array" ref="AJ15">_xll.EQNXTDZ($A$1,$B15,AJ$1)</f>
        <v>191.5</v>
      </c>
      <c r="AK15" s="107" cm="1">
        <f t="array" ref="AK15">_xll.EQNXTDZ($A$1,$B15,AK$1)</f>
        <v>194.1</v>
      </c>
      <c r="AL15" s="107" cm="1">
        <f t="array" ref="AL15">_xll.EQNXTDZ($A$1,$B15,AL$1)</f>
        <v>188.5</v>
      </c>
      <c r="AM15" s="107" cm="1">
        <f t="array" ref="AM15">_xll.EQNXTDZ($A$1,$B15,AM$1)</f>
        <v>168.65</v>
      </c>
      <c r="AN15" s="107" cm="1">
        <f t="array" ref="AN15">_xll.EQNXTDZ($A$1,$B15,AN$1)</f>
        <v>147.80000000000001</v>
      </c>
      <c r="AO15" s="107" cm="1">
        <f t="array" ref="AO15">_xll.EQNXTDZ($A$1,$B15,AO$1)</f>
        <v>131</v>
      </c>
      <c r="AP15" s="107" cm="1">
        <f t="array" ref="AP15">_xll.EQNXTDZ($A$1,$B15,AP$1)</f>
        <v>126.3</v>
      </c>
      <c r="AQ15" s="107" cm="1">
        <f t="array" ref="AQ15">_xll.EQNXTDZ($A$1,$B15,AQ$1)</f>
        <v>131.05000000000001</v>
      </c>
      <c r="AR15" s="107" cm="1">
        <f t="array" ref="AR15">_xll.EQNXTDZ($A$1,$B15,AR$1)</f>
        <v>123.4</v>
      </c>
      <c r="AS15" s="107" cm="1">
        <f t="array" ref="AS15">_xll.EQNXTDZ($A$1,$B15,AS$1)</f>
        <v>113</v>
      </c>
      <c r="AT15" s="107" cm="1">
        <f t="array" ref="AT15">_xll.EQNXTDZ($A$1,$B15,AT$1)</f>
        <v>90.1</v>
      </c>
      <c r="AU15" s="107" cm="1">
        <f t="array" ref="AU15">_xll.EQNXTDZ($A$1,$B15,AU$1)</f>
        <v>80.099999999999994</v>
      </c>
      <c r="AV15" s="107" cm="1">
        <f t="array" ref="AV15">_xll.EQNXTDZ($A$1,$B15,AV$1)</f>
        <v>84</v>
      </c>
      <c r="AW15" s="107" cm="1">
        <f t="array" ref="AW15">_xll.EQNXTDZ($A$1,$B15,AW$1)</f>
        <v>89.5</v>
      </c>
      <c r="AX15" s="107" cm="1">
        <f t="array" ref="AX15">_xll.EQNXTDZ($A$1,$B15,AX$1)</f>
        <v>78.599999999999994</v>
      </c>
      <c r="AY15" s="107" cm="1">
        <f t="array" ref="AY15">_xll.EQNXTDZ($A$1,$B15,AY$1)</f>
        <v>83.5</v>
      </c>
      <c r="AZ15" s="107" cm="1">
        <f t="array" ref="AZ15">_xll.EQNXTDZ($A$1,$B15,AZ$1)</f>
        <v>101.2</v>
      </c>
      <c r="BA15" s="107" cm="1">
        <f t="array" ref="BA15">_xll.EQNXTDZ($A$1,$B15,BA$1)</f>
        <v>101.4</v>
      </c>
      <c r="BB15" s="107" cm="1">
        <f t="array" ref="BB15">_xll.EQNXTDZ($A$1,$B15,BB$1)</f>
        <v>108.8</v>
      </c>
      <c r="BC15" s="107" cm="1">
        <f t="array" ref="BC15">_xll.EQNXTDZ($A$1,$B15,BC$1)</f>
        <v>109.5</v>
      </c>
      <c r="BD15" s="107" cm="1">
        <f t="array" ref="BD15">_xll.EQNXTDZ($A$1,$B15,BD$1)</f>
        <v>99.8</v>
      </c>
      <c r="BE15" s="107" cm="1">
        <f t="array" ref="BE15">_xll.EQNXTDZ($A$1,$B15,BE$1)</f>
        <v>102.6</v>
      </c>
      <c r="BF15" s="107" cm="1">
        <f t="array" ref="BF15">_xll.EQNXTDZ($A$1,$B15,BF$1)</f>
        <v>105.9</v>
      </c>
      <c r="BG15" s="107" cm="1">
        <f t="array" ref="BG15">_xll.EQNXTDZ($A$1,$B15,BG$1)</f>
        <v>117.5</v>
      </c>
      <c r="BH15" s="107" cm="1">
        <f t="array" ref="BH15">_xll.EQNXTDZ($A$1,$B15,BH$1)</f>
        <v>122.95</v>
      </c>
      <c r="BI15" s="107" cm="1">
        <f t="array" ref="BI15">_xll.EQNXTDZ($A$1,$B15,BI$1)</f>
        <v>138.6</v>
      </c>
      <c r="BJ15" s="107" cm="1">
        <f t="array" ref="BJ15">_xll.EQNXTDZ($A$1,$B15,BJ$1)</f>
        <v>139.6</v>
      </c>
      <c r="BK15" s="107" cm="1">
        <f t="array" ref="BK15">_xll.EQNXTDZ($A$1,$B15,BK$1)</f>
        <v>127.95</v>
      </c>
      <c r="BL15" s="107" cm="1">
        <f t="array" ref="BL15">_xll.EQNXTDZ($A$1,$B15,BL$1)</f>
        <v>135.75</v>
      </c>
      <c r="BM15" s="107" cm="1">
        <f t="array" ref="BM15">_xll.EQNXTDZ($A$1,$B15,BM$1)</f>
        <v>137.44999999999999</v>
      </c>
      <c r="BN15" s="107" cm="1">
        <f t="array" ref="BN15">_xll.EQNXTDZ($A$1,$B15,BN$1)</f>
        <v>137</v>
      </c>
      <c r="BO15" s="107" cm="1">
        <f t="array" ref="BO15">_xll.EQNXTDZ($A$1,$B15,BO$1)</f>
        <v>129.05000000000001</v>
      </c>
      <c r="BP15" s="107" cm="1">
        <f t="array" ref="BP15">_xll.EQNXTDZ($A$1,$B15,BP$1)</f>
        <v>191.8</v>
      </c>
      <c r="BQ15" s="107" cm="1">
        <f t="array" ref="BQ15">_xll.EQNXTDZ($A$1,$B15,BQ$1)</f>
        <v>168</v>
      </c>
      <c r="BR15" s="107" cm="1">
        <f t="array" ref="BR15">_xll.EQNXTDZ($A$1,$B15,BR$1)</f>
        <v>155.05000000000001</v>
      </c>
      <c r="BS15" s="107" cm="1">
        <f t="array" ref="BS15">_xll.EQNXTDZ($A$1,$B15,BS$1)</f>
        <v>112.15</v>
      </c>
      <c r="BT15" s="107" cm="1">
        <f t="array" ref="BT15">_xll.EQNXTDZ($A$1,$B15,BT$1)</f>
        <v>91.35</v>
      </c>
      <c r="BU15" s="107" cm="1">
        <f t="array" ref="BU15">_xll.EQNXTDZ($A$1,$B15,BU$1)</f>
        <v>96.65</v>
      </c>
      <c r="BV15" s="107" cm="1">
        <f t="array" ref="BV15">_xll.EQNXTDZ($A$1,$B15,BV$1)</f>
        <v>92.85</v>
      </c>
      <c r="BW15" s="107" cm="1">
        <f t="array" ref="BW15">_xll.EQNXTDZ($A$1,$B15,BW$1)</f>
        <v>84.8</v>
      </c>
      <c r="BX15" s="107" cm="1">
        <f t="array" ref="BX15">_xll.EQNXTDZ($A$1,$B15,BX$1)</f>
        <v>76.099999999999994</v>
      </c>
      <c r="BY15" s="107" cm="1">
        <f t="array" ref="BY15">_xll.EQNXTDZ($A$1,$B15,BY$1)</f>
        <v>87.95</v>
      </c>
      <c r="BZ15" s="107" cm="1">
        <f t="array" ref="BZ15">_xll.EQNXTDZ($A$1,$B15,BZ$1)</f>
        <v>75.849999999999994</v>
      </c>
      <c r="CA15" s="107" cm="1">
        <f t="array" ref="CA15">_xll.EQNXTDZ($A$1,$B15,CA$1)</f>
        <v>73.3</v>
      </c>
      <c r="CB15" s="107" cm="1">
        <f t="array" ref="CB15">_xll.EQNXTDZ($A$1,$B15,CB$1)</f>
        <v>79.7</v>
      </c>
      <c r="CC15" s="107" cm="1">
        <f t="array" ref="CC15">_xll.EQNXTDZ($A$1,$B15,CC$1)</f>
        <v>76.25</v>
      </c>
      <c r="CD15" s="107" cm="1">
        <f t="array" ref="CD15">_xll.EQNXTDZ($A$1,$B15,CD$1)</f>
        <v>85</v>
      </c>
      <c r="CE15" s="107" cm="1">
        <f t="array" ref="CE15">_xll.EQNXTDZ($A$1,$B15,CE$1)</f>
        <v>78.150000000000006</v>
      </c>
      <c r="CF15" s="107" cm="1">
        <f t="array" ref="CF15">_xll.EQNXTDZ($A$1,$B15,CF$1)</f>
        <v>83.2</v>
      </c>
      <c r="CG15" s="107" cm="1">
        <f t="array" ref="CG15">_xll.EQNXTDZ($A$1,$B15,CG$1)</f>
        <v>87</v>
      </c>
      <c r="CH15" s="107" cm="1">
        <f t="array" ref="CH15">_xll.EQNXTDZ($A$1,$B15,CH$1)</f>
        <v>78.8</v>
      </c>
      <c r="CI15" s="107" cm="1">
        <f t="array" ref="CI15">_xll.EQNXTDZ($A$1,$B15,CI$1)</f>
        <v>81.900000000000006</v>
      </c>
      <c r="CJ15" s="107" cm="1">
        <f t="array" ref="CJ15">_xll.EQNXTDZ($A$1,$B15,CJ$1)</f>
        <v>69.95</v>
      </c>
      <c r="CK15" s="107" cm="1">
        <f t="array" ref="CK15">_xll.EQNXTDZ($A$1,$B15,CK$1)</f>
        <v>61.4</v>
      </c>
      <c r="CL15" s="107" cm="1">
        <f t="array" ref="CL15">_xll.EQNXTDZ($A$1,$B15,CL$1)</f>
        <v>62</v>
      </c>
      <c r="CM15" s="107" cm="1">
        <f t="array" ref="CM15">_xll.EQNXTDZ($A$1,$B15,CM$1)</f>
        <v>57.45</v>
      </c>
      <c r="CN15" s="107" cm="1">
        <f t="array" ref="CN15">_xll.EQNXTDZ($A$1,$B15,CN$1)</f>
        <v>63.9</v>
      </c>
      <c r="CO15" s="107" cm="1">
        <f t="array" ref="CO15">_xll.EQNXTDZ($A$1,$B15,CO$1)</f>
        <v>65.900000000000006</v>
      </c>
      <c r="CP15" s="107" cm="1">
        <f t="array" ref="CP15">_xll.EQNXTDZ($A$1,$B15,CP$1)</f>
        <v>65.25</v>
      </c>
      <c r="CQ15" s="107" cm="1">
        <f t="array" ref="CQ15">_xll.EQNXTDZ($A$1,$B15,CQ$1)</f>
        <v>50.3</v>
      </c>
      <c r="CR15" s="107" cm="1">
        <f t="array" ref="CR15">_xll.EQNXTDZ($A$1,$B15,CR$1)</f>
        <v>30.45</v>
      </c>
      <c r="CS15" s="107" cm="1">
        <f t="array" ref="CS15">_xll.EQNXTDZ($A$1,$B15,CS$1)</f>
        <v>31.7</v>
      </c>
      <c r="CT15" s="107" cm="1">
        <f t="array" ref="CT15">_xll.EQNXTDZ($A$1,$B15,CT$1)</f>
        <v>31</v>
      </c>
      <c r="CU15" s="107" cm="1">
        <f t="array" ref="CU15">_xll.EQNXTDZ($A$1,$B15,CU$1)</f>
        <v>32</v>
      </c>
      <c r="CV15" s="107" cm="1">
        <f t="array" ref="CV15">_xll.EQNXTDZ($A$1,$B15,CV$1)</f>
        <v>45.1</v>
      </c>
      <c r="CW15" s="107" cm="1">
        <f t="array" ref="CW15">_xll.EQNXTDZ($A$1,$B15,CW$1)</f>
        <v>46</v>
      </c>
      <c r="CX15" s="107" cm="1">
        <f t="array" ref="CX15">_xll.EQNXTDZ($A$1,$B15,CX$1)</f>
        <v>38.25</v>
      </c>
      <c r="CY15" s="107" cm="1">
        <f t="array" ref="CY15">_xll.EQNXTDZ($A$1,$B15,CY$1)</f>
        <v>38.200000000000003</v>
      </c>
      <c r="CZ15" s="107" cm="1">
        <f t="array" ref="CZ15">_xll.EQNXTDZ($A$1,$B15,CZ$1)</f>
        <v>38.25</v>
      </c>
      <c r="DA15" s="107" cm="1">
        <f t="array" ref="DA15">_xll.EQNXTDZ($A$1,$B15,DA$1)</f>
        <v>42</v>
      </c>
      <c r="DB15" s="107" cm="1">
        <f t="array" ref="DB15">_xll.EQNXTDZ($A$1,$B15,DB$1)</f>
        <v>47.95</v>
      </c>
      <c r="DC15" s="107" cm="1">
        <f t="array" ref="DC15">_xll.EQNXTDZ($A$1,$B15,DC$1)</f>
        <v>49.7</v>
      </c>
      <c r="DD15" s="107" cm="1">
        <f t="array" ref="DD15">_xll.EQNXTDZ($A$1,$B15,DD$1)</f>
        <v>62.5</v>
      </c>
      <c r="DE15" s="107" cm="1">
        <f t="array" ref="DE15">_xll.EQNXTDZ($A$1,$B15,DE$1)</f>
        <v>53</v>
      </c>
      <c r="DF15" s="107" cm="1">
        <f t="array" ref="DF15">_xll.EQNXTDZ($A$1,$B15,DF$1)</f>
        <v>65</v>
      </c>
      <c r="DG15" s="107" cm="1">
        <f t="array" ref="DG15">_xll.EQNXTDZ($A$1,$B15,DG$1)</f>
        <v>73.05</v>
      </c>
      <c r="DH15" s="107" cm="1">
        <f t="array" ref="DH15">_xll.EQNXTDZ($A$1,$B15,DH$1)</f>
        <v>69.400000000000006</v>
      </c>
      <c r="DI15" s="107" cm="1">
        <f t="array" ref="DI15">_xll.EQNXTDZ($A$1,$B15,DI$1)</f>
        <v>61.45</v>
      </c>
      <c r="DJ15" s="107" cm="1">
        <f t="array" ref="DJ15">_xll.EQNXTDZ($A$1,$B15,DJ$1)</f>
        <v>52.7</v>
      </c>
      <c r="DK15" s="107" cm="1">
        <f t="array" ref="DK15">_xll.EQNXTDZ($A$1,$B15,DK$1)</f>
        <v>54.75</v>
      </c>
      <c r="DL15" s="107" cm="1">
        <f t="array" ref="DL15">_xll.EQNXTDZ($A$1,$B15,DL$1)</f>
        <v>54.1</v>
      </c>
      <c r="DM15" s="107" cm="1">
        <f t="array" ref="DM15">_xll.EQNXTDZ($A$1,$B15,DM$1)</f>
        <v>48.8</v>
      </c>
      <c r="DN15" s="107" cm="1">
        <f t="array" ref="DN15">_xll.EQNXTDZ($A$1,$B15,DN$1)</f>
        <v>50.4</v>
      </c>
      <c r="DO15" s="107" cm="1">
        <f t="array" ref="DO15">_xll.EQNXTDZ($A$1,$B15,DO$1)</f>
        <v>43.3</v>
      </c>
      <c r="DP15" s="107" cm="1">
        <f t="array" ref="DP15">_xll.EQNXTDZ($A$1,$B15,DP$1)</f>
        <v>45.05</v>
      </c>
      <c r="DQ15" s="107" cm="1">
        <f t="array" ref="DQ15">_xll.EQNXTDZ($A$1,$B15,DQ$1)</f>
        <v>45.85</v>
      </c>
      <c r="DR15" s="107" cm="1">
        <f t="array" ref="DR15">_xll.EQNXTDZ($A$1,$B15,DR$1)</f>
        <v>40.450000000000003</v>
      </c>
      <c r="DS15" s="107" cm="1">
        <f t="array" ref="DS15">_xll.EQNXTDZ($A$1,$B15,DS$1)</f>
        <v>40.4</v>
      </c>
      <c r="DT15" s="107" cm="1">
        <f t="array" ref="DT15">_xll.EQNXTDZ($A$1,$B15,DT$1)</f>
        <v>43.9</v>
      </c>
      <c r="DU15" s="107" cm="1">
        <f t="array" ref="DU15">_xll.EQNXTDZ($A$1,$B15,DU$1)</f>
        <v>47.55</v>
      </c>
      <c r="DV15" s="107" cm="1">
        <f t="array" ref="DV15">_xll.EQNXTDZ($A$1,$B15,DV$1)</f>
        <v>45.9</v>
      </c>
      <c r="DW15" s="107" cm="1">
        <f t="array" ref="DW15">_xll.EQNXTDZ($A$1,$B15,DW$1)</f>
        <v>46.05</v>
      </c>
      <c r="DX15" s="107" cm="1">
        <f t="array" ref="DX15">_xll.EQNXTDZ($A$1,$B15,DX$1)</f>
        <v>59.3</v>
      </c>
      <c r="DY15" s="107" cm="1">
        <f t="array" ref="DY15">_xll.EQNXTDZ($A$1,$B15,DY$1)</f>
        <v>74.8</v>
      </c>
      <c r="DZ15" s="107" cm="1">
        <f t="array" ref="DZ15">_xll.EQNXTDZ($A$1,$B15,DZ$1)</f>
        <v>75.95</v>
      </c>
      <c r="EA15" s="107" cm="1">
        <f t="array" ref="EA15">_xll.EQNXTDZ($A$1,$B15,EA$1)</f>
        <v>66.05</v>
      </c>
      <c r="EB15" s="107" cm="1">
        <f t="array" ref="EB15">_xll.EQNXTDZ($A$1,$B15,EB$1)</f>
        <v>67</v>
      </c>
      <c r="EC15" s="107" cm="1">
        <f t="array" ref="EC15">_xll.EQNXTDZ($A$1,$B15,EC$1)</f>
        <v>74.099999999999994</v>
      </c>
      <c r="ED15" s="107" cm="1">
        <f t="array" ref="ED15">_xll.EQNXTDZ($A$1,$B15,ED$1)</f>
        <v>72.05</v>
      </c>
      <c r="EE15" s="107" cm="1">
        <f t="array" ref="EE15">_xll.EQNXTDZ($A$1,$B15,EE$1)</f>
        <v>69.41</v>
      </c>
      <c r="EF15" s="107" cm="1">
        <f t="array" ref="EF15">_xll.EQNXTDZ($A$1,$B15,EF$1)</f>
        <v>74</v>
      </c>
      <c r="EG15" s="107" cm="1">
        <f t="array" ref="EG15">_xll.EQNXTDZ($A$1,$B15,EG$1)</f>
        <v>82.5</v>
      </c>
      <c r="EH15" s="107" cm="1">
        <f t="array" ref="EH15">_xll.EQNXTDZ($A$1,$B15,EH$1)</f>
        <v>85.27</v>
      </c>
      <c r="EI15" s="107" cm="1">
        <f t="array" ref="EI15">_xll.EQNXTDZ($A$1,$B15,EI$1)</f>
        <v>86.4</v>
      </c>
      <c r="EJ15" s="107" cm="1">
        <f t="array" ref="EJ15">_xll.EQNXTDZ($A$1,$B15,EJ$1)</f>
        <v>95</v>
      </c>
      <c r="EK15" s="107" cm="1">
        <f t="array" ref="EK15">_xll.EQNXTDZ($A$1,$B15,EK$1)</f>
        <v>104.3</v>
      </c>
      <c r="EL15" s="107" cm="1">
        <f t="array" ref="EL15">_xll.EQNXTDZ($A$1,$B15,EL$1)</f>
        <v>111.95</v>
      </c>
      <c r="EM15" s="107" cm="1">
        <f t="array" ref="EM15">_xll.EQNXTDZ($A$1,$B15,EM$1)</f>
        <v>124.35</v>
      </c>
      <c r="EN15" s="107" cm="1">
        <f t="array" ref="EN15">_xll.EQNXTDZ($A$1,$B15,EN$1)</f>
        <v>125.4</v>
      </c>
      <c r="EO15" s="107" cm="1">
        <f t="array" ref="EO15">_xll.EQNXTDZ($A$1,$B15,EO$1)</f>
        <v>133.44999999999999</v>
      </c>
      <c r="EP15" s="107" cm="1">
        <f t="array" ref="EP15">_xll.EQNXTDZ($A$1,$B15,EP$1)</f>
        <v>120.25</v>
      </c>
      <c r="EQ15" s="107" cm="1">
        <f t="array" ref="EQ15">_xll.EQNXTDZ($A$1,$B15,EQ$1)</f>
        <v>109.55</v>
      </c>
      <c r="ER15" s="107" cm="1">
        <f t="array" ref="ER15">_xll.EQNXTDZ($A$1,$B15,ER$1)</f>
        <v>117.1</v>
      </c>
      <c r="ES15" s="107" cm="1">
        <f t="array" ref="ES15">_xll.EQNXTDZ($A$1,$B15,ES$1)</f>
        <v>114</v>
      </c>
      <c r="ET15" s="107" cm="1">
        <f t="array" ref="ET15">_xll.EQNXTDZ($A$1,$B15,ET$1)</f>
        <v>109.45</v>
      </c>
      <c r="EU15" s="107" cm="1">
        <f t="array" ref="EU15">_xll.EQNXTDZ($A$1,$B15,EU$1)</f>
        <v>96</v>
      </c>
      <c r="EV15" s="107" cm="1">
        <f t="array" ref="EV15">_xll.EQNXTDZ($A$1,$B15,EV$1)</f>
        <v>100.65</v>
      </c>
      <c r="EW15" s="107" cm="1">
        <f t="array" ref="EW15">_xll.EQNXTDZ($A$1,$B15,EW$1)</f>
        <v>100.25</v>
      </c>
      <c r="EX15" s="107" cm="1">
        <f t="array" ref="EX15">_xll.EQNXTDZ($A$1,$B15,EX$1)</f>
        <v>90</v>
      </c>
      <c r="EY15" s="107" cm="1">
        <f t="array" ref="EY15">_xll.EQNXTDZ($A$1,$B15,EY$1)</f>
        <v>94.8</v>
      </c>
      <c r="EZ15" s="107" cm="1">
        <f t="array" ref="EZ15">_xll.EQNXTDZ($A$1,$B15,EZ$1)</f>
        <v>92.74</v>
      </c>
      <c r="FA15" s="107" cm="1">
        <f t="array" ref="FA15">_xll.EQNXTDZ($A$1,$B15,FA$1)</f>
        <v>101.1</v>
      </c>
      <c r="FB15" s="107" cm="1">
        <f t="array" ref="FB15">_xll.EQNXTDZ($A$1,$B15,FB$1)</f>
        <v>104.05</v>
      </c>
      <c r="FC15" s="107" cm="1">
        <f t="array" ref="FC15">_xll.EQNXTDZ($A$1,$B15,FC$1)</f>
        <v>111.6</v>
      </c>
      <c r="FD15" s="107" cm="1">
        <f t="array" ref="FD15">_xll.EQNXTDZ($A$1,$B15,FD$1)</f>
        <v>110.35</v>
      </c>
      <c r="FE15" s="107" cm="1">
        <f t="array" ref="FE15">_xll.EQNXTDZ($A$1,$B15,FE$1)</f>
        <v>109</v>
      </c>
      <c r="FF15" s="107" cm="1">
        <f t="array" ref="FF15">_xll.EQNXTDZ($A$1,$B15,FF$1)</f>
        <v>110.7</v>
      </c>
      <c r="FG15" s="107" cm="1">
        <f t="array" ref="FG15">_xll.EQNXTDZ($A$1,$B15,FG$1)</f>
        <v>122.2</v>
      </c>
      <c r="FH15" s="107" cm="1">
        <f t="array" ref="FH15">_xll.EQNXTDZ($A$1,$B15,FH$1)</f>
        <v>138.5</v>
      </c>
      <c r="FI15" s="107" cm="1">
        <f t="array" ref="FI15">_xll.EQNXTDZ($A$1,$B15,FI$1)</f>
        <v>136.69999999999999</v>
      </c>
      <c r="FJ15" s="107" cm="1">
        <f t="array" ref="FJ15">_xll.EQNXTDZ($A$1,$B15,FJ$1)</f>
        <v>142.85</v>
      </c>
      <c r="FK15" s="107" cm="1">
        <f t="array" ref="FK15">_xll.EQNXTDZ($A$1,$B15,FK$1)</f>
        <v>146.30000000000001</v>
      </c>
      <c r="FL15" s="107" cm="1">
        <f t="array" ref="FL15">_xll.EQNXTDZ($A$1,$B15,FL$1)</f>
        <v>136.5</v>
      </c>
      <c r="FM15" s="107" cm="1">
        <f t="array" ref="FM15">_xll.EQNXTDZ($A$1,$B15,FM$1)</f>
        <v>134.5</v>
      </c>
      <c r="FN15" s="107" cm="1">
        <f t="array" ref="FN15">_xll.EQNXTDZ($A$1,$B15,FN$1)</f>
        <v>136.55000000000001</v>
      </c>
      <c r="FO15" s="107" cm="1">
        <f t="array" ref="FO15">_xll.EQNXTDZ($A$1,$B15,FO$1)</f>
        <v>134.69999999999999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253.8</v>
      </c>
      <c r="HQ15" s="107">
        <f>+MIN(G15:I15)</f>
        <v>263.10000000000002</v>
      </c>
      <c r="HR15" s="107">
        <f>+MIN(J15:L15)</f>
        <v>282</v>
      </c>
      <c r="HS15" s="107">
        <f>+MIN(M15:O15)</f>
        <v>219</v>
      </c>
      <c r="HT15" s="107">
        <f>+MIN(P15:R15)</f>
        <v>126.95</v>
      </c>
      <c r="HU15" s="107">
        <f>+MIN(S15:U15)</f>
        <v>156.6</v>
      </c>
      <c r="HV15" s="107">
        <f>+MIN(V15:X15)</f>
        <v>166</v>
      </c>
      <c r="HW15" s="107">
        <f>+MIN(Y15:AA15)</f>
        <v>211.1</v>
      </c>
      <c r="HX15" s="107">
        <f>+MIN(AB15:AD15)</f>
        <v>230.15</v>
      </c>
      <c r="HY15" s="107">
        <f>+MIN(AE15:AG15)</f>
        <v>225.05</v>
      </c>
      <c r="HZ15" s="107">
        <f>+MIN(AH15:AJ15)</f>
        <v>191.5</v>
      </c>
      <c r="IA15" s="107">
        <f>+MIN(AK15:AM15)</f>
        <v>168.65</v>
      </c>
      <c r="IB15" s="107">
        <f>+MIN(AN15:AP15)</f>
        <v>126.3</v>
      </c>
      <c r="IC15" s="107">
        <f>+MIN(AQ15:AS15)</f>
        <v>113</v>
      </c>
      <c r="ID15" s="107">
        <f>+MIN(AT15:AV15)</f>
        <v>80.099999999999994</v>
      </c>
      <c r="IE15" s="107">
        <f>+MIN(AW15:AY15)</f>
        <v>78.599999999999994</v>
      </c>
      <c r="IF15" s="107">
        <f>+MIN(AZ15:BB15)</f>
        <v>101.2</v>
      </c>
      <c r="IG15" s="107">
        <f>+MIN(BC15:BE15)</f>
        <v>99.8</v>
      </c>
      <c r="IH15" s="107">
        <f>+MIN(BF15:BH15)</f>
        <v>105.9</v>
      </c>
      <c r="II15" s="107">
        <f>+MIN(BI15:BK15)</f>
        <v>127.95</v>
      </c>
      <c r="IJ15" s="107">
        <f>+MIN(BL15:BN15)</f>
        <v>135.75</v>
      </c>
      <c r="IK15" s="107">
        <f>+MIN(BO15:BQ15)</f>
        <v>129.05000000000001</v>
      </c>
      <c r="IL15" s="107">
        <f>+MIN(BR15:BT15)</f>
        <v>91.35</v>
      </c>
      <c r="IM15" s="107">
        <f>+MIN(BU15:BW15)</f>
        <v>84.8</v>
      </c>
      <c r="IN15" s="107">
        <f>+MIN(BX15:BZ15)</f>
        <v>75.849999999999994</v>
      </c>
      <c r="IO15" s="107">
        <f>+MIN(CA15:CC15)</f>
        <v>73.3</v>
      </c>
      <c r="IP15" s="107">
        <f>+MIN(CD15:CF15)</f>
        <v>78.150000000000006</v>
      </c>
      <c r="IQ15" s="107">
        <f>+MIN(CG15:CI15)</f>
        <v>78.8</v>
      </c>
      <c r="IR15" s="107">
        <f>+MIN(CJ15:CL15)</f>
        <v>61.4</v>
      </c>
      <c r="IS15" s="107">
        <f>+MIN(CM15:CO15)</f>
        <v>57.45</v>
      </c>
      <c r="IT15" s="107">
        <f>+MIN(CP15:CR15)</f>
        <v>30.45</v>
      </c>
      <c r="IU15" s="107">
        <f>+MIN(CS15:CU15)</f>
        <v>31</v>
      </c>
      <c r="IV15" s="107">
        <f>+MIN(CV15:CX15)</f>
        <v>38.25</v>
      </c>
      <c r="IW15" s="107">
        <f>+MIN(CY15:DA15)</f>
        <v>38.200000000000003</v>
      </c>
      <c r="IX15" s="107">
        <f>+MIN(DB15:DD15)</f>
        <v>47.95</v>
      </c>
      <c r="IY15" s="107">
        <f>+MIN(DE15:DG15)</f>
        <v>53</v>
      </c>
      <c r="IZ15" s="107">
        <f>+MIN(DH15:DJ15)</f>
        <v>52.7</v>
      </c>
      <c r="JA15" s="107">
        <f>+MIN(DK15:DM15)</f>
        <v>48.8</v>
      </c>
      <c r="JB15" s="107">
        <f>+MIN(DN15:DP15)</f>
        <v>43.3</v>
      </c>
      <c r="JC15" s="107">
        <f>+MIN(DQ15:DS15)</f>
        <v>40.4</v>
      </c>
      <c r="JD15" s="107">
        <f>+MIN(DT15:DV15)</f>
        <v>43.9</v>
      </c>
      <c r="JE15" s="107">
        <f>+MIN(DW15:DY15)</f>
        <v>46.05</v>
      </c>
      <c r="JF15" s="107">
        <f>+MIN(DZ15:EB15)</f>
        <v>66.05</v>
      </c>
      <c r="JG15" s="107">
        <f>+MIN(EC15:EE15)</f>
        <v>69.41</v>
      </c>
      <c r="JH15" s="107">
        <f>+MIN(EF15:EH15)</f>
        <v>74</v>
      </c>
      <c r="JI15" s="107">
        <f>+MIN(EI15:EK15)</f>
        <v>86.4</v>
      </c>
      <c r="JJ15" s="107">
        <f>+MIN(EL15:EN15)</f>
        <v>111.95</v>
      </c>
      <c r="JK15" s="107">
        <f>MIN(EO15:EQ15)</f>
        <v>109.55</v>
      </c>
      <c r="JL15" s="107">
        <f>MIN(ER15:ET15)</f>
        <v>109.45</v>
      </c>
      <c r="JM15" s="107">
        <f>MIN(EU15:EW15)</f>
        <v>96</v>
      </c>
      <c r="JN15" s="107">
        <f>MIN(EX15:EZ15)</f>
        <v>90</v>
      </c>
      <c r="JO15" s="107">
        <f>MIN(FA15:FC15)</f>
        <v>101.1</v>
      </c>
      <c r="JP15" s="107">
        <f>MIN(FD15:FF15)</f>
        <v>109</v>
      </c>
      <c r="JQ15" s="107">
        <f>MIN(FG15:FI15)</f>
        <v>122.2</v>
      </c>
      <c r="JR15" s="107">
        <f>MIN(FJ15:FL15)</f>
        <v>136.5</v>
      </c>
      <c r="JS15" s="107">
        <f>MIN(FM15:FO15)</f>
        <v>134.5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41</v>
      </c>
      <c r="B16" s="107" t="s">
        <v>338</v>
      </c>
      <c r="C16" s="107" cm="1">
        <f t="array" ref="C16">_xll.EQNXTDZ($A$1,$B16,C$1)</f>
        <v>346.9</v>
      </c>
      <c r="D16" s="107" cm="1">
        <f t="array" ref="D16">_xll.EQNXTDZ($A$1,$B16,D$1)</f>
        <v>297.64999999999998</v>
      </c>
      <c r="E16" s="107" cm="1">
        <f t="array" ref="E16">_xll.EQNXTDZ($A$1,$B16,E$1)</f>
        <v>257.3</v>
      </c>
      <c r="F16" s="107" cm="1">
        <f t="array" ref="F16">_xll.EQNXTDZ($A$1,$B16,F$1)</f>
        <v>310.39999999999998</v>
      </c>
      <c r="G16" s="107" cm="1">
        <f t="array" ref="G16">_xll.EQNXTDZ($A$1,$B16,G$1)</f>
        <v>276.7</v>
      </c>
      <c r="H16" s="107" cm="1">
        <f t="array" ref="H16">_xll.EQNXTDZ($A$1,$B16,H$1)</f>
        <v>280.8</v>
      </c>
      <c r="I16" s="107" cm="1">
        <f t="array" ref="I16">_xll.EQNXTDZ($A$1,$B16,I$1)</f>
        <v>342.85</v>
      </c>
      <c r="J16" s="107" cm="1">
        <f t="array" ref="J16">_xll.EQNXTDZ($A$1,$B16,J$1)</f>
        <v>352.7</v>
      </c>
      <c r="K16" s="107" cm="1">
        <f t="array" ref="K16">_xll.EQNXTDZ($A$1,$B16,K$1)</f>
        <v>320.10000000000002</v>
      </c>
      <c r="L16" s="107" cm="1">
        <f t="array" ref="L16">_xll.EQNXTDZ($A$1,$B16,L$1)</f>
        <v>302.5</v>
      </c>
      <c r="M16" s="107" cm="1">
        <f t="array" ref="M16">_xll.EQNXTDZ($A$1,$B16,M$1)</f>
        <v>327.55</v>
      </c>
      <c r="N16" s="107" cm="1">
        <f t="array" ref="N16">_xll.EQNXTDZ($A$1,$B16,N$1)</f>
        <v>287.55</v>
      </c>
      <c r="O16" s="107" cm="1">
        <f t="array" ref="O16">_xll.EQNXTDZ($A$1,$B16,O$1)</f>
        <v>231.9</v>
      </c>
      <c r="P16" s="107" cm="1">
        <f t="array" ref="P16">_xll.EQNXTDZ($A$1,$B16,P$1)</f>
        <v>184.4</v>
      </c>
      <c r="Q16" s="107" cm="1">
        <f t="array" ref="Q16">_xll.EQNXTDZ($A$1,$B16,Q$1)</f>
        <v>142.25</v>
      </c>
      <c r="R16" s="107" cm="1">
        <f t="array" ref="R16">_xll.EQNXTDZ($A$1,$B16,R$1)</f>
        <v>157.9</v>
      </c>
      <c r="S16" s="107" cm="1">
        <f t="array" ref="S16">_xll.EQNXTDZ($A$1,$B16,S$1)</f>
        <v>209.9</v>
      </c>
      <c r="T16" s="107" cm="1">
        <f t="array" ref="T16">_xll.EQNXTDZ($A$1,$B16,T$1)</f>
        <v>217.2</v>
      </c>
      <c r="U16" s="107" cm="1">
        <f t="array" ref="U16">_xll.EQNXTDZ($A$1,$B16,U$1)</f>
        <v>237.55</v>
      </c>
      <c r="V16" s="107" cm="1">
        <f t="array" ref="V16">_xll.EQNXTDZ($A$1,$B16,V$1)</f>
        <v>191.65</v>
      </c>
      <c r="W16" s="107" cm="1">
        <f t="array" ref="W16">_xll.EQNXTDZ($A$1,$B16,W$1)</f>
        <v>171.35</v>
      </c>
      <c r="X16" s="107" cm="1">
        <f t="array" ref="X16">_xll.EQNXTDZ($A$1,$B16,X$1)</f>
        <v>228.9</v>
      </c>
      <c r="Y16" s="107" cm="1">
        <f t="array" ref="Y16">_xll.EQNXTDZ($A$1,$B16,Y$1)</f>
        <v>234.1</v>
      </c>
      <c r="Z16" s="107" cm="1">
        <f t="array" ref="Z16">_xll.EQNXTDZ($A$1,$B16,Z$1)</f>
        <v>308.85000000000002</v>
      </c>
      <c r="AA16" s="107" cm="1">
        <f t="array" ref="AA16">_xll.EQNXTDZ($A$1,$B16,AA$1)</f>
        <v>301.39999999999998</v>
      </c>
      <c r="AB16" s="107" cm="1">
        <f t="array" ref="AB16">_xll.EQNXTDZ($A$1,$B16,AB$1)</f>
        <v>274.8</v>
      </c>
      <c r="AC16" s="107" cm="1">
        <f t="array" ref="AC16">_xll.EQNXTDZ($A$1,$B16,AC$1)</f>
        <v>277.35000000000002</v>
      </c>
      <c r="AD16" s="107" cm="1">
        <f t="array" ref="AD16">_xll.EQNXTDZ($A$1,$B16,AD$1)</f>
        <v>231.75</v>
      </c>
      <c r="AE16" s="107" cm="1">
        <f t="array" ref="AE16">_xll.EQNXTDZ($A$1,$B16,AE$1)</f>
        <v>285.39999999999998</v>
      </c>
      <c r="AF16" s="107" cm="1">
        <f t="array" ref="AF16">_xll.EQNXTDZ($A$1,$B16,AF$1)</f>
        <v>288.8</v>
      </c>
      <c r="AG16" s="107" cm="1">
        <f t="array" ref="AG16">_xll.EQNXTDZ($A$1,$B16,AG$1)</f>
        <v>301.64999999999998</v>
      </c>
      <c r="AH16" s="107" cm="1">
        <f t="array" ref="AH16">_xll.EQNXTDZ($A$1,$B16,AH$1)</f>
        <v>267</v>
      </c>
      <c r="AI16" s="107" cm="1">
        <f t="array" ref="AI16">_xll.EQNXTDZ($A$1,$B16,AI$1)</f>
        <v>234.2</v>
      </c>
      <c r="AJ16" s="107" cm="1">
        <f t="array" ref="AJ16">_xll.EQNXTDZ($A$1,$B16,AJ$1)</f>
        <v>195.75</v>
      </c>
      <c r="AK16" s="107" cm="1">
        <f t="array" ref="AK16">_xll.EQNXTDZ($A$1,$B16,AK$1)</f>
        <v>216.7</v>
      </c>
      <c r="AL16" s="107" cm="1">
        <f t="array" ref="AL16">_xll.EQNXTDZ($A$1,$B16,AL$1)</f>
        <v>197</v>
      </c>
      <c r="AM16" s="107" cm="1">
        <f t="array" ref="AM16">_xll.EQNXTDZ($A$1,$B16,AM$1)</f>
        <v>171.3</v>
      </c>
      <c r="AN16" s="107" cm="1">
        <f t="array" ref="AN16">_xll.EQNXTDZ($A$1,$B16,AN$1)</f>
        <v>163.05000000000001</v>
      </c>
      <c r="AO16" s="107" cm="1">
        <f t="array" ref="AO16">_xll.EQNXTDZ($A$1,$B16,AO$1)</f>
        <v>142.25</v>
      </c>
      <c r="AP16" s="107" cm="1">
        <f t="array" ref="AP16">_xll.EQNXTDZ($A$1,$B16,AP$1)</f>
        <v>135.55000000000001</v>
      </c>
      <c r="AQ16" s="107" cm="1">
        <f t="array" ref="AQ16">_xll.EQNXTDZ($A$1,$B16,AQ$1)</f>
        <v>131.6</v>
      </c>
      <c r="AR16" s="107" cm="1">
        <f t="array" ref="AR16">_xll.EQNXTDZ($A$1,$B16,AR$1)</f>
        <v>131.30000000000001</v>
      </c>
      <c r="AS16" s="107" cm="1">
        <f t="array" ref="AS16">_xll.EQNXTDZ($A$1,$B16,AS$1)</f>
        <v>114.95</v>
      </c>
      <c r="AT16" s="107" cm="1">
        <f t="array" ref="AT16">_xll.EQNXTDZ($A$1,$B16,AT$1)</f>
        <v>100.05</v>
      </c>
      <c r="AU16" s="107" cm="1">
        <f t="array" ref="AU16">_xll.EQNXTDZ($A$1,$B16,AU$1)</f>
        <v>82.95</v>
      </c>
      <c r="AV16" s="107" cm="1">
        <f t="array" ref="AV16">_xll.EQNXTDZ($A$1,$B16,AV$1)</f>
        <v>97.05</v>
      </c>
      <c r="AW16" s="107" cm="1">
        <f t="array" ref="AW16">_xll.EQNXTDZ($A$1,$B16,AW$1)</f>
        <v>92.55</v>
      </c>
      <c r="AX16" s="107" cm="1">
        <f t="array" ref="AX16">_xll.EQNXTDZ($A$1,$B16,AX$1)</f>
        <v>86.5</v>
      </c>
      <c r="AY16" s="107" cm="1">
        <f t="array" ref="AY16">_xll.EQNXTDZ($A$1,$B16,AY$1)</f>
        <v>101.1</v>
      </c>
      <c r="AZ16" s="107" cm="1">
        <f t="array" ref="AZ16">_xll.EQNXTDZ($A$1,$B16,AZ$1)</f>
        <v>111.2</v>
      </c>
      <c r="BA16" s="107" cm="1">
        <f t="array" ref="BA16">_xll.EQNXTDZ($A$1,$B16,BA$1)</f>
        <v>117.05</v>
      </c>
      <c r="BB16" s="107" cm="1">
        <f t="array" ref="BB16">_xll.EQNXTDZ($A$1,$B16,BB$1)</f>
        <v>112.7</v>
      </c>
      <c r="BC16" s="107" cm="1">
        <f t="array" ref="BC16">_xll.EQNXTDZ($A$1,$B16,BC$1)</f>
        <v>114.75</v>
      </c>
      <c r="BD16" s="107" cm="1">
        <f t="array" ref="BD16">_xll.EQNXTDZ($A$1,$B16,BD$1)</f>
        <v>119.45</v>
      </c>
      <c r="BE16" s="107" cm="1">
        <f t="array" ref="BE16">_xll.EQNXTDZ($A$1,$B16,BE$1)</f>
        <v>107.2</v>
      </c>
      <c r="BF16" s="107" cm="1">
        <f t="array" ref="BF16">_xll.EQNXTDZ($A$1,$B16,BF$1)</f>
        <v>117.65</v>
      </c>
      <c r="BG16" s="107" cm="1">
        <f t="array" ref="BG16">_xll.EQNXTDZ($A$1,$B16,BG$1)</f>
        <v>128.5</v>
      </c>
      <c r="BH16" s="107" cm="1">
        <f t="array" ref="BH16">_xll.EQNXTDZ($A$1,$B16,BH$1)</f>
        <v>139.4</v>
      </c>
      <c r="BI16" s="107" cm="1">
        <f t="array" ref="BI16">_xll.EQNXTDZ($A$1,$B16,BI$1)</f>
        <v>186.35</v>
      </c>
      <c r="BJ16" s="107" cm="1">
        <f t="array" ref="BJ16">_xll.EQNXTDZ($A$1,$B16,BJ$1)</f>
        <v>141.55000000000001</v>
      </c>
      <c r="BK16" s="107" cm="1">
        <f t="array" ref="BK16">_xll.EQNXTDZ($A$1,$B16,BK$1)</f>
        <v>139.30000000000001</v>
      </c>
      <c r="BL16" s="107" cm="1">
        <f t="array" ref="BL16">_xll.EQNXTDZ($A$1,$B16,BL$1)</f>
        <v>166.05</v>
      </c>
      <c r="BM16" s="107" cm="1">
        <f t="array" ref="BM16">_xll.EQNXTDZ($A$1,$B16,BM$1)</f>
        <v>143.9</v>
      </c>
      <c r="BN16" s="107" cm="1">
        <f t="array" ref="BN16">_xll.EQNXTDZ($A$1,$B16,BN$1)</f>
        <v>137.44999999999999</v>
      </c>
      <c r="BO16" s="107" cm="1">
        <f t="array" ref="BO16">_xll.EQNXTDZ($A$1,$B16,BO$1)</f>
        <v>190.95</v>
      </c>
      <c r="BP16" s="107" cm="1">
        <f t="array" ref="BP16">_xll.EQNXTDZ($A$1,$B16,BP$1)</f>
        <v>196.25</v>
      </c>
      <c r="BQ16" s="107" cm="1">
        <f t="array" ref="BQ16">_xll.EQNXTDZ($A$1,$B16,BQ$1)</f>
        <v>169.7</v>
      </c>
      <c r="BR16" s="107" cm="1">
        <f t="array" ref="BR16">_xll.EQNXTDZ($A$1,$B16,BR$1)</f>
        <v>157.35</v>
      </c>
      <c r="BS16" s="107" cm="1">
        <f t="array" ref="BS16">_xll.EQNXTDZ($A$1,$B16,BS$1)</f>
        <v>116.3</v>
      </c>
      <c r="BT16" s="107" cm="1">
        <f t="array" ref="BT16">_xll.EQNXTDZ($A$1,$B16,BT$1)</f>
        <v>103.4</v>
      </c>
      <c r="BU16" s="107" cm="1">
        <f t="array" ref="BU16">_xll.EQNXTDZ($A$1,$B16,BU$1)</f>
        <v>103.95</v>
      </c>
      <c r="BV16" s="107" cm="1">
        <f t="array" ref="BV16">_xll.EQNXTDZ($A$1,$B16,BV$1)</f>
        <v>98.7</v>
      </c>
      <c r="BW16" s="107" cm="1">
        <f t="array" ref="BW16">_xll.EQNXTDZ($A$1,$B16,BW$1)</f>
        <v>87.5</v>
      </c>
      <c r="BX16" s="107" cm="1">
        <f t="array" ref="BX16">_xll.EQNXTDZ($A$1,$B16,BX$1)</f>
        <v>94.35</v>
      </c>
      <c r="BY16" s="107" cm="1">
        <f t="array" ref="BY16">_xll.EQNXTDZ($A$1,$B16,BY$1)</f>
        <v>100.45</v>
      </c>
      <c r="BZ16" s="107" cm="1">
        <f t="array" ref="BZ16">_xll.EQNXTDZ($A$1,$B16,BZ$1)</f>
        <v>76.900000000000006</v>
      </c>
      <c r="CA16" s="107" cm="1">
        <f t="array" ref="CA16">_xll.EQNXTDZ($A$1,$B16,CA$1)</f>
        <v>86</v>
      </c>
      <c r="CB16" s="107" cm="1">
        <f t="array" ref="CB16">_xll.EQNXTDZ($A$1,$B16,CB$1)</f>
        <v>84.85</v>
      </c>
      <c r="CC16" s="107" cm="1">
        <f t="array" ref="CC16">_xll.EQNXTDZ($A$1,$B16,CC$1)</f>
        <v>104.05</v>
      </c>
      <c r="CD16" s="107" cm="1">
        <f t="array" ref="CD16">_xll.EQNXTDZ($A$1,$B16,CD$1)</f>
        <v>102.65</v>
      </c>
      <c r="CE16" s="107" cm="1">
        <f t="array" ref="CE16">_xll.EQNXTDZ($A$1,$B16,CE$1)</f>
        <v>83.05</v>
      </c>
      <c r="CF16" s="107" cm="1">
        <f t="array" ref="CF16">_xll.EQNXTDZ($A$1,$B16,CF$1)</f>
        <v>104.3</v>
      </c>
      <c r="CG16" s="107" cm="1">
        <f t="array" ref="CG16">_xll.EQNXTDZ($A$1,$B16,CG$1)</f>
        <v>88.3</v>
      </c>
      <c r="CH16" s="107" cm="1">
        <f t="array" ref="CH16">_xll.EQNXTDZ($A$1,$B16,CH$1)</f>
        <v>94.5</v>
      </c>
      <c r="CI16" s="107" cm="1">
        <f t="array" ref="CI16">_xll.EQNXTDZ($A$1,$B16,CI$1)</f>
        <v>90.15</v>
      </c>
      <c r="CJ16" s="107" cm="1">
        <f t="array" ref="CJ16">_xll.EQNXTDZ($A$1,$B16,CJ$1)</f>
        <v>72.2</v>
      </c>
      <c r="CK16" s="107" cm="1">
        <f t="array" ref="CK16">_xll.EQNXTDZ($A$1,$B16,CK$1)</f>
        <v>65.55</v>
      </c>
      <c r="CL16" s="107" cm="1">
        <f t="array" ref="CL16">_xll.EQNXTDZ($A$1,$B16,CL$1)</f>
        <v>62.95</v>
      </c>
      <c r="CM16" s="107" cm="1">
        <f t="array" ref="CM16">_xll.EQNXTDZ($A$1,$B16,CM$1)</f>
        <v>71.3</v>
      </c>
      <c r="CN16" s="107" cm="1">
        <f t="array" ref="CN16">_xll.EQNXTDZ($A$1,$B16,CN$1)</f>
        <v>75.900000000000006</v>
      </c>
      <c r="CO16" s="107" cm="1">
        <f t="array" ref="CO16">_xll.EQNXTDZ($A$1,$B16,CO$1)</f>
        <v>70.45</v>
      </c>
      <c r="CP16" s="107" cm="1">
        <f t="array" ref="CP16">_xll.EQNXTDZ($A$1,$B16,CP$1)</f>
        <v>67.75</v>
      </c>
      <c r="CQ16" s="107" cm="1">
        <f t="array" ref="CQ16">_xll.EQNXTDZ($A$1,$B16,CQ$1)</f>
        <v>50.9</v>
      </c>
      <c r="CR16" s="107" cm="1">
        <f t="array" ref="CR16">_xll.EQNXTDZ($A$1,$B16,CR$1)</f>
        <v>32.25</v>
      </c>
      <c r="CS16" s="107" cm="1">
        <f t="array" ref="CS16">_xll.EQNXTDZ($A$1,$B16,CS$1)</f>
        <v>35.200000000000003</v>
      </c>
      <c r="CT16" s="107" cm="1">
        <f t="array" ref="CT16">_xll.EQNXTDZ($A$1,$B16,CT$1)</f>
        <v>31.5</v>
      </c>
      <c r="CU16" s="107" cm="1">
        <f t="array" ref="CU16">_xll.EQNXTDZ($A$1,$B16,CU$1)</f>
        <v>48.9</v>
      </c>
      <c r="CV16" s="107" cm="1">
        <f t="array" ref="CV16">_xll.EQNXTDZ($A$1,$B16,CV$1)</f>
        <v>47.1</v>
      </c>
      <c r="CW16" s="107" cm="1">
        <f t="array" ref="CW16">_xll.EQNXTDZ($A$1,$B16,CW$1)</f>
        <v>54.25</v>
      </c>
      <c r="CX16" s="107" cm="1">
        <f t="array" ref="CX16">_xll.EQNXTDZ($A$1,$B16,CX$1)</f>
        <v>40.700000000000003</v>
      </c>
      <c r="CY16" s="107" cm="1">
        <f t="array" ref="CY16">_xll.EQNXTDZ($A$1,$B16,CY$1)</f>
        <v>38.6</v>
      </c>
      <c r="CZ16" s="107" cm="1">
        <f t="array" ref="CZ16">_xll.EQNXTDZ($A$1,$B16,CZ$1)</f>
        <v>45.1</v>
      </c>
      <c r="DA16" s="107" cm="1">
        <f t="array" ref="DA16">_xll.EQNXTDZ($A$1,$B16,DA$1)</f>
        <v>48.65</v>
      </c>
      <c r="DB16" s="107" cm="1">
        <f t="array" ref="DB16">_xll.EQNXTDZ($A$1,$B16,DB$1)</f>
        <v>49.7</v>
      </c>
      <c r="DC16" s="107" cm="1">
        <f t="array" ref="DC16">_xll.EQNXTDZ($A$1,$B16,DC$1)</f>
        <v>82.45</v>
      </c>
      <c r="DD16" s="107" cm="1">
        <f t="array" ref="DD16">_xll.EQNXTDZ($A$1,$B16,DD$1)</f>
        <v>67.849999999999994</v>
      </c>
      <c r="DE16" s="107" cm="1">
        <f t="array" ref="DE16">_xll.EQNXTDZ($A$1,$B16,DE$1)</f>
        <v>66.349999999999994</v>
      </c>
      <c r="DF16" s="107" cm="1">
        <f t="array" ref="DF16">_xll.EQNXTDZ($A$1,$B16,DF$1)</f>
        <v>77.150000000000006</v>
      </c>
      <c r="DG16" s="107" cm="1">
        <f t="array" ref="DG16">_xll.EQNXTDZ($A$1,$B16,DG$1)</f>
        <v>77.900000000000006</v>
      </c>
      <c r="DH16" s="107" cm="1">
        <f t="array" ref="DH16">_xll.EQNXTDZ($A$1,$B16,DH$1)</f>
        <v>74.45</v>
      </c>
      <c r="DI16" s="107" cm="1">
        <f t="array" ref="DI16">_xll.EQNXTDZ($A$1,$B16,DI$1)</f>
        <v>66.400000000000006</v>
      </c>
      <c r="DJ16" s="107" cm="1">
        <f t="array" ref="DJ16">_xll.EQNXTDZ($A$1,$B16,DJ$1)</f>
        <v>55.45</v>
      </c>
      <c r="DK16" s="107" cm="1">
        <f t="array" ref="DK16">_xll.EQNXTDZ($A$1,$B16,DK$1)</f>
        <v>60</v>
      </c>
      <c r="DL16" s="107" cm="1">
        <f t="array" ref="DL16">_xll.EQNXTDZ($A$1,$B16,DL$1)</f>
        <v>54.3</v>
      </c>
      <c r="DM16" s="107" cm="1">
        <f t="array" ref="DM16">_xll.EQNXTDZ($A$1,$B16,DM$1)</f>
        <v>51.35</v>
      </c>
      <c r="DN16" s="107" cm="1">
        <f t="array" ref="DN16">_xll.EQNXTDZ($A$1,$B16,DN$1)</f>
        <v>54.35</v>
      </c>
      <c r="DO16" s="107" cm="1">
        <f t="array" ref="DO16">_xll.EQNXTDZ($A$1,$B16,DO$1)</f>
        <v>46.8</v>
      </c>
      <c r="DP16" s="107" cm="1">
        <f t="array" ref="DP16">_xll.EQNXTDZ($A$1,$B16,DP$1)</f>
        <v>45.85</v>
      </c>
      <c r="DQ16" s="107" cm="1">
        <f t="array" ref="DQ16">_xll.EQNXTDZ($A$1,$B16,DQ$1)</f>
        <v>48.15</v>
      </c>
      <c r="DR16" s="107" cm="1">
        <f t="array" ref="DR16">_xll.EQNXTDZ($A$1,$B16,DR$1)</f>
        <v>47.9</v>
      </c>
      <c r="DS16" s="107" cm="1">
        <f t="array" ref="DS16">_xll.EQNXTDZ($A$1,$B16,DS$1)</f>
        <v>44.35</v>
      </c>
      <c r="DT16" s="107" cm="1">
        <f t="array" ref="DT16">_xll.EQNXTDZ($A$1,$B16,DT$1)</f>
        <v>47.7</v>
      </c>
      <c r="DU16" s="107" cm="1">
        <f t="array" ref="DU16">_xll.EQNXTDZ($A$1,$B16,DU$1)</f>
        <v>51.85</v>
      </c>
      <c r="DV16" s="107" cm="1">
        <f t="array" ref="DV16">_xll.EQNXTDZ($A$1,$B16,DV$1)</f>
        <v>48.2</v>
      </c>
      <c r="DW16" s="107" cm="1">
        <f t="array" ref="DW16">_xll.EQNXTDZ($A$1,$B16,DW$1)</f>
        <v>60.3</v>
      </c>
      <c r="DX16" s="107" cm="1">
        <f t="array" ref="DX16">_xll.EQNXTDZ($A$1,$B16,DX$1)</f>
        <v>82.25</v>
      </c>
      <c r="DY16" s="107" cm="1">
        <f t="array" ref="DY16">_xll.EQNXTDZ($A$1,$B16,DY$1)</f>
        <v>88.2</v>
      </c>
      <c r="DZ16" s="107" cm="1">
        <f t="array" ref="DZ16">_xll.EQNXTDZ($A$1,$B16,DZ$1)</f>
        <v>83.15</v>
      </c>
      <c r="EA16" s="107" cm="1">
        <f t="array" ref="EA16">_xll.EQNXTDZ($A$1,$B16,EA$1)</f>
        <v>70.849999999999994</v>
      </c>
      <c r="EB16" s="107" cm="1">
        <f t="array" ref="EB16">_xll.EQNXTDZ($A$1,$B16,EB$1)</f>
        <v>74.849999999999994</v>
      </c>
      <c r="EC16" s="107" cm="1">
        <f t="array" ref="EC16">_xll.EQNXTDZ($A$1,$B16,EC$1)</f>
        <v>84.06</v>
      </c>
      <c r="ED16" s="107" cm="1">
        <f t="array" ref="ED16">_xll.EQNXTDZ($A$1,$B16,ED$1)</f>
        <v>73.75</v>
      </c>
      <c r="EE16" s="107" cm="1">
        <f t="array" ref="EE16">_xll.EQNXTDZ($A$1,$B16,EE$1)</f>
        <v>73.599999999999994</v>
      </c>
      <c r="EF16" s="107" cm="1">
        <f t="array" ref="EF16">_xll.EQNXTDZ($A$1,$B16,EF$1)</f>
        <v>85.39</v>
      </c>
      <c r="EG16" s="107" cm="1">
        <f t="array" ref="EG16">_xll.EQNXTDZ($A$1,$B16,EG$1)</f>
        <v>85.91</v>
      </c>
      <c r="EH16" s="107" cm="1">
        <f t="array" ref="EH16">_xll.EQNXTDZ($A$1,$B16,EH$1)</f>
        <v>109.41</v>
      </c>
      <c r="EI16" s="107" cm="1">
        <f t="array" ref="EI16">_xll.EQNXTDZ($A$1,$B16,EI$1)</f>
        <v>95.85</v>
      </c>
      <c r="EJ16" s="107" cm="1">
        <f t="array" ref="EJ16">_xll.EQNXTDZ($A$1,$B16,EJ$1)</f>
        <v>103.86</v>
      </c>
      <c r="EK16" s="107" cm="1">
        <f t="array" ref="EK16">_xll.EQNXTDZ($A$1,$B16,EK$1)</f>
        <v>112.6</v>
      </c>
      <c r="EL16" s="107" cm="1">
        <f t="array" ref="EL16">_xll.EQNXTDZ($A$1,$B16,EL$1)</f>
        <v>138.9</v>
      </c>
      <c r="EM16" s="107" cm="1">
        <f t="array" ref="EM16">_xll.EQNXTDZ($A$1,$B16,EM$1)</f>
        <v>131.5</v>
      </c>
      <c r="EN16" s="107" cm="1">
        <f t="array" ref="EN16">_xll.EQNXTDZ($A$1,$B16,EN$1)</f>
        <v>137</v>
      </c>
      <c r="EO16" s="107" cm="1">
        <f t="array" ref="EO16">_xll.EQNXTDZ($A$1,$B16,EO$1)</f>
        <v>155.19999999999999</v>
      </c>
      <c r="EP16" s="107" cm="1">
        <f t="array" ref="EP16">_xll.EQNXTDZ($A$1,$B16,EP$1)</f>
        <v>128.69999999999999</v>
      </c>
      <c r="EQ16" s="107" cm="1">
        <f t="array" ref="EQ16">_xll.EQNXTDZ($A$1,$B16,EQ$1)</f>
        <v>120.35</v>
      </c>
      <c r="ER16" s="107" cm="1">
        <f t="array" ref="ER16">_xll.EQNXTDZ($A$1,$B16,ER$1)</f>
        <v>125.8</v>
      </c>
      <c r="ES16" s="107" cm="1">
        <f t="array" ref="ES16">_xll.EQNXTDZ($A$1,$B16,ES$1)</f>
        <v>117.8</v>
      </c>
      <c r="ET16" s="107" cm="1">
        <f t="array" ref="ET16">_xll.EQNXTDZ($A$1,$B16,ET$1)</f>
        <v>110.7</v>
      </c>
      <c r="EU16" s="107" cm="1">
        <f t="array" ref="EU16">_xll.EQNXTDZ($A$1,$B16,EU$1)</f>
        <v>108.7</v>
      </c>
      <c r="EV16" s="107" cm="1">
        <f t="array" ref="EV16">_xll.EQNXTDZ($A$1,$B16,EV$1)</f>
        <v>110.5</v>
      </c>
      <c r="EW16" s="107" cm="1">
        <f t="array" ref="EW16">_xll.EQNXTDZ($A$1,$B16,EW$1)</f>
        <v>101.95</v>
      </c>
      <c r="EX16" s="107" cm="1">
        <f t="array" ref="EX16">_xll.EQNXTDZ($A$1,$B16,EX$1)</f>
        <v>112.5</v>
      </c>
      <c r="EY16" s="107" cm="1">
        <f t="array" ref="EY16">_xll.EQNXTDZ($A$1,$B16,EY$1)</f>
        <v>95.25</v>
      </c>
      <c r="EZ16" s="107" cm="1">
        <f t="array" ref="EZ16">_xll.EQNXTDZ($A$1,$B16,EZ$1)</f>
        <v>107.1</v>
      </c>
      <c r="FA16" s="107" cm="1">
        <f t="array" ref="FA16">_xll.EQNXTDZ($A$1,$B16,FA$1)</f>
        <v>115.1</v>
      </c>
      <c r="FB16" s="107" cm="1">
        <f t="array" ref="FB16">_xll.EQNXTDZ($A$1,$B16,FB$1)</f>
        <v>121.9</v>
      </c>
      <c r="FC16" s="107" cm="1">
        <f t="array" ref="FC16">_xll.EQNXTDZ($A$1,$B16,FC$1)</f>
        <v>118.55</v>
      </c>
      <c r="FD16" s="107" cm="1">
        <f t="array" ref="FD16">_xll.EQNXTDZ($A$1,$B16,FD$1)</f>
        <v>111.45</v>
      </c>
      <c r="FE16" s="107" cm="1">
        <f t="array" ref="FE16">_xll.EQNXTDZ($A$1,$B16,FE$1)</f>
        <v>110.35</v>
      </c>
      <c r="FF16" s="107" cm="1">
        <f t="array" ref="FF16">_xll.EQNXTDZ($A$1,$B16,FF$1)</f>
        <v>123.35</v>
      </c>
      <c r="FG16" s="107" cm="1">
        <f t="array" ref="FG16">_xll.EQNXTDZ($A$1,$B16,FG$1)</f>
        <v>139.85</v>
      </c>
      <c r="FH16" s="107" cm="1">
        <f t="array" ref="FH16">_xll.EQNXTDZ($A$1,$B16,FH$1)</f>
        <v>147.05000000000001</v>
      </c>
      <c r="FI16" s="107" cm="1">
        <f t="array" ref="FI16">_xll.EQNXTDZ($A$1,$B16,FI$1)</f>
        <v>143.75</v>
      </c>
      <c r="FJ16" s="107" cm="1">
        <f t="array" ref="FJ16">_xll.EQNXTDZ($A$1,$B16,FJ$1)</f>
        <v>164</v>
      </c>
      <c r="FK16" s="107" cm="1">
        <f t="array" ref="FK16">_xll.EQNXTDZ($A$1,$B16,FK$1)</f>
        <v>176.2</v>
      </c>
      <c r="FL16" s="107" cm="1">
        <f t="array" ref="FL16">_xll.EQNXTDZ($A$1,$B16,FL$1)</f>
        <v>137.05000000000001</v>
      </c>
      <c r="FM16" s="107" cm="1">
        <f t="array" ref="FM16">_xll.EQNXTDZ($A$1,$B16,FM$1)</f>
        <v>139.9</v>
      </c>
      <c r="FN16" s="107" cm="1">
        <f t="array" ref="FN16">_xll.EQNXTDZ($A$1,$B16,FN$1)</f>
        <v>139.94999999999999</v>
      </c>
      <c r="FO16" s="107" cm="1">
        <f t="array" ref="FO16">_xll.EQNXTDZ($A$1,$B16,FO$1)</f>
        <v>145.6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310.39999999999998</v>
      </c>
      <c r="HQ16" s="107">
        <f>+I16</f>
        <v>342.85</v>
      </c>
      <c r="HR16" s="107">
        <f>+L16</f>
        <v>302.5</v>
      </c>
      <c r="HS16" s="107">
        <f>+O16</f>
        <v>231.9</v>
      </c>
      <c r="HT16" s="107">
        <f>+R16</f>
        <v>157.9</v>
      </c>
      <c r="HU16" s="107">
        <f>+U16</f>
        <v>237.55</v>
      </c>
      <c r="HV16" s="107">
        <f>+X16</f>
        <v>228.9</v>
      </c>
      <c r="HW16" s="107">
        <f>+AA16</f>
        <v>301.39999999999998</v>
      </c>
      <c r="HX16" s="107">
        <f>+AD16</f>
        <v>231.75</v>
      </c>
      <c r="HY16" s="107">
        <f>+AG16</f>
        <v>301.64999999999998</v>
      </c>
      <c r="HZ16" s="107">
        <f>+AJ16</f>
        <v>195.75</v>
      </c>
      <c r="IA16" s="107">
        <f>+AM16</f>
        <v>171.3</v>
      </c>
      <c r="IB16" s="107">
        <f>+AP16</f>
        <v>135.55000000000001</v>
      </c>
      <c r="IC16" s="107">
        <f>+AS16</f>
        <v>114.95</v>
      </c>
      <c r="ID16" s="107">
        <f>+AV16</f>
        <v>97.05</v>
      </c>
      <c r="IE16" s="107">
        <f>+AY16</f>
        <v>101.1</v>
      </c>
      <c r="IF16" s="107">
        <f>+BB16</f>
        <v>112.7</v>
      </c>
      <c r="IG16" s="107">
        <f>+BE16</f>
        <v>107.2</v>
      </c>
      <c r="IH16" s="107">
        <f>+BH16</f>
        <v>139.4</v>
      </c>
      <c r="II16" s="107">
        <f>+BK16</f>
        <v>139.30000000000001</v>
      </c>
      <c r="IJ16" s="107">
        <f>+BN16</f>
        <v>137.44999999999999</v>
      </c>
      <c r="IK16" s="107">
        <f>+BQ16</f>
        <v>169.7</v>
      </c>
      <c r="IL16" s="107">
        <f>+BT16</f>
        <v>103.4</v>
      </c>
      <c r="IM16" s="107">
        <f>+BW16</f>
        <v>87.5</v>
      </c>
      <c r="IN16" s="107">
        <f>+BZ16</f>
        <v>76.900000000000006</v>
      </c>
      <c r="IO16" s="107">
        <f>+CC16</f>
        <v>104.05</v>
      </c>
      <c r="IP16" s="107">
        <f>+CF16</f>
        <v>104.3</v>
      </c>
      <c r="IQ16" s="107">
        <f>+CI16</f>
        <v>90.15</v>
      </c>
      <c r="IR16" s="107">
        <f>+CL16</f>
        <v>62.95</v>
      </c>
      <c r="IS16" s="107">
        <f>+CO16</f>
        <v>70.45</v>
      </c>
      <c r="IT16" s="107">
        <f>+CR16</f>
        <v>32.25</v>
      </c>
      <c r="IU16" s="107">
        <f>+CU16</f>
        <v>48.9</v>
      </c>
      <c r="IV16" s="107">
        <f>+CX16</f>
        <v>40.700000000000003</v>
      </c>
      <c r="IW16" s="107">
        <f>+DA16</f>
        <v>48.65</v>
      </c>
      <c r="IX16" s="107">
        <f>+DD16</f>
        <v>67.849999999999994</v>
      </c>
      <c r="IY16" s="107">
        <f>+DG16</f>
        <v>77.900000000000006</v>
      </c>
      <c r="IZ16" s="107">
        <f>+DJ16</f>
        <v>55.45</v>
      </c>
      <c r="JA16" s="107">
        <f>+DM16</f>
        <v>51.35</v>
      </c>
      <c r="JB16" s="107">
        <f>+DP16</f>
        <v>45.85</v>
      </c>
      <c r="JC16" s="107">
        <f>+DS16</f>
        <v>44.35</v>
      </c>
      <c r="JD16" s="107">
        <f>+DV16</f>
        <v>48.2</v>
      </c>
      <c r="JE16" s="107">
        <f>+DY16</f>
        <v>88.2</v>
      </c>
      <c r="JF16" s="107">
        <f>+EB16</f>
        <v>74.849999999999994</v>
      </c>
      <c r="JG16" s="107">
        <f>+EE16</f>
        <v>73.599999999999994</v>
      </c>
      <c r="JH16" s="107">
        <f>+EH16</f>
        <v>109.41</v>
      </c>
      <c r="JI16" s="107">
        <f>+EK16</f>
        <v>112.6</v>
      </c>
      <c r="JJ16" s="107">
        <f>+EN16</f>
        <v>137</v>
      </c>
      <c r="JK16" s="107">
        <f>EQ16</f>
        <v>120.35</v>
      </c>
      <c r="JL16" s="107">
        <f>ET16</f>
        <v>110.7</v>
      </c>
      <c r="JM16" s="107">
        <f>EW16</f>
        <v>101.95</v>
      </c>
      <c r="JN16" s="107">
        <f>EZ16</f>
        <v>107.1</v>
      </c>
      <c r="JO16" s="107">
        <f>FC16</f>
        <v>118.55</v>
      </c>
      <c r="JP16" s="107">
        <f>FF16</f>
        <v>123.35</v>
      </c>
      <c r="JQ16" s="107">
        <f>FI16</f>
        <v>143.75</v>
      </c>
      <c r="JR16" s="107">
        <f>FL16</f>
        <v>137.05000000000001</v>
      </c>
      <c r="JS16" s="107">
        <f>FO16</f>
        <v>145.6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38</v>
      </c>
      <c r="HP19" s="107">
        <f>+IF(HP14=0,HP7,HP14)</f>
        <v>356.55</v>
      </c>
      <c r="HQ19" s="107">
        <f t="shared" ref="HQ19:JO21" si="0">+IF(HQ14=0,HQ7,HQ14)</f>
        <v>347.4</v>
      </c>
      <c r="HR19" s="107">
        <f t="shared" si="0"/>
        <v>392.2</v>
      </c>
      <c r="HS19" s="107">
        <f t="shared" si="0"/>
        <v>344.9</v>
      </c>
      <c r="HT19" s="107">
        <f t="shared" si="0"/>
        <v>242.5</v>
      </c>
      <c r="HU19" s="107">
        <f t="shared" si="0"/>
        <v>244</v>
      </c>
      <c r="HV19" s="107">
        <f t="shared" si="0"/>
        <v>251.15</v>
      </c>
      <c r="HW19" s="107">
        <f t="shared" si="0"/>
        <v>356.75</v>
      </c>
      <c r="HX19" s="107">
        <f t="shared" si="0"/>
        <v>309.75</v>
      </c>
      <c r="HY19" s="107">
        <f t="shared" si="0"/>
        <v>305.3</v>
      </c>
      <c r="HZ19" s="107">
        <f t="shared" si="0"/>
        <v>311.75</v>
      </c>
      <c r="IA19" s="107">
        <f t="shared" si="0"/>
        <v>232.95</v>
      </c>
      <c r="IB19" s="107">
        <f t="shared" si="0"/>
        <v>187.75</v>
      </c>
      <c r="IC19" s="107">
        <f t="shared" si="0"/>
        <v>148.94999999999999</v>
      </c>
      <c r="ID19" s="107">
        <f t="shared" si="0"/>
        <v>117.75</v>
      </c>
      <c r="IE19" s="107">
        <f t="shared" si="0"/>
        <v>101.85</v>
      </c>
      <c r="IF19" s="107">
        <f t="shared" si="0"/>
        <v>125.95</v>
      </c>
      <c r="IG19" s="107">
        <f t="shared" si="0"/>
        <v>128.75</v>
      </c>
      <c r="IH19" s="107">
        <f t="shared" si="0"/>
        <v>142.4</v>
      </c>
      <c r="II19" s="107">
        <f t="shared" si="0"/>
        <v>197.25</v>
      </c>
      <c r="IJ19" s="107">
        <f t="shared" si="0"/>
        <v>167.5</v>
      </c>
      <c r="IK19" s="107">
        <f t="shared" si="0"/>
        <v>216.7</v>
      </c>
      <c r="IL19" s="107">
        <f t="shared" si="0"/>
        <v>182.75</v>
      </c>
      <c r="IM19" s="107">
        <f t="shared" si="0"/>
        <v>118.5</v>
      </c>
      <c r="IN19" s="107">
        <f t="shared" si="0"/>
        <v>104.3</v>
      </c>
      <c r="IO19" s="107">
        <f t="shared" si="0"/>
        <v>105.2</v>
      </c>
      <c r="IP19" s="107">
        <f t="shared" si="0"/>
        <v>110.05</v>
      </c>
      <c r="IQ19" s="107">
        <f t="shared" si="0"/>
        <v>108.15</v>
      </c>
      <c r="IR19" s="107">
        <f t="shared" si="0"/>
        <v>96.4</v>
      </c>
      <c r="IS19" s="107">
        <f t="shared" si="0"/>
        <v>79.8</v>
      </c>
      <c r="IT19" s="107">
        <f t="shared" si="0"/>
        <v>71.7</v>
      </c>
      <c r="IU19" s="107">
        <f t="shared" si="0"/>
        <v>58.9</v>
      </c>
      <c r="IV19" s="107">
        <f t="shared" si="0"/>
        <v>59</v>
      </c>
      <c r="IW19" s="107">
        <f t="shared" si="0"/>
        <v>55</v>
      </c>
      <c r="IX19" s="107">
        <f t="shared" si="0"/>
        <v>101.45</v>
      </c>
      <c r="IY19" s="107">
        <f t="shared" si="0"/>
        <v>86.95</v>
      </c>
      <c r="IZ19" s="107">
        <f t="shared" si="0"/>
        <v>78.8</v>
      </c>
      <c r="JA19" s="107">
        <f t="shared" si="0"/>
        <v>65.8</v>
      </c>
      <c r="JB19" s="107">
        <f t="shared" si="0"/>
        <v>59.55</v>
      </c>
      <c r="JC19" s="107">
        <f t="shared" si="0"/>
        <v>53.7</v>
      </c>
      <c r="JD19" s="107">
        <f t="shared" si="0"/>
        <v>54.4</v>
      </c>
      <c r="JE19" s="107">
        <f t="shared" si="0"/>
        <v>103.5</v>
      </c>
      <c r="JF19" s="107">
        <f t="shared" si="0"/>
        <v>101.25</v>
      </c>
      <c r="JG19" s="107">
        <f t="shared" si="0"/>
        <v>89.15</v>
      </c>
      <c r="JH19" s="107">
        <f t="shared" si="0"/>
        <v>114.02</v>
      </c>
      <c r="JI19" s="107">
        <f t="shared" si="0"/>
        <v>120.95</v>
      </c>
      <c r="JJ19" s="107">
        <f t="shared" si="0"/>
        <v>156.35</v>
      </c>
      <c r="JK19" s="107">
        <f t="shared" si="0"/>
        <v>158</v>
      </c>
      <c r="JL19" s="107">
        <f t="shared" si="0"/>
        <v>128.19999999999999</v>
      </c>
      <c r="JM19" s="107">
        <f t="shared" si="0"/>
        <v>120.35</v>
      </c>
      <c r="JN19" s="107">
        <f t="shared" si="0"/>
        <v>113.2</v>
      </c>
      <c r="JO19" s="107">
        <f t="shared" si="0"/>
        <v>130.35</v>
      </c>
      <c r="JP19" s="107">
        <f t="shared" ref="JP19:KH21" si="1">+IF(JP14=0,JP7,JP14)</f>
        <v>123.85</v>
      </c>
      <c r="JQ19" s="107">
        <f t="shared" si="1"/>
        <v>151.35</v>
      </c>
      <c r="JR19" s="107">
        <f t="shared" si="1"/>
        <v>178.45</v>
      </c>
      <c r="JS19" s="107">
        <f t="shared" si="1"/>
        <v>154.30000000000001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39</v>
      </c>
      <c r="HP20" s="107">
        <f t="shared" ref="HP20:IE21" si="2">+IF(HP15=0,HP8,HP15)</f>
        <v>253.8</v>
      </c>
      <c r="HQ20" s="107">
        <f t="shared" si="2"/>
        <v>263.10000000000002</v>
      </c>
      <c r="HR20" s="107">
        <f t="shared" si="2"/>
        <v>282</v>
      </c>
      <c r="HS20" s="107">
        <f t="shared" si="2"/>
        <v>219</v>
      </c>
      <c r="HT20" s="107">
        <f t="shared" si="2"/>
        <v>126.95</v>
      </c>
      <c r="HU20" s="107">
        <f t="shared" si="2"/>
        <v>156.6</v>
      </c>
      <c r="HV20" s="107">
        <f t="shared" si="2"/>
        <v>166</v>
      </c>
      <c r="HW20" s="107">
        <f t="shared" si="2"/>
        <v>211.1</v>
      </c>
      <c r="HX20" s="107">
        <f t="shared" si="2"/>
        <v>230.15</v>
      </c>
      <c r="HY20" s="107">
        <f t="shared" si="2"/>
        <v>225.05</v>
      </c>
      <c r="HZ20" s="107">
        <f t="shared" si="2"/>
        <v>191.5</v>
      </c>
      <c r="IA20" s="107">
        <f t="shared" si="2"/>
        <v>168.65</v>
      </c>
      <c r="IB20" s="107">
        <f t="shared" si="2"/>
        <v>126.3</v>
      </c>
      <c r="IC20" s="107">
        <f t="shared" si="2"/>
        <v>113</v>
      </c>
      <c r="ID20" s="107">
        <f t="shared" si="2"/>
        <v>80.099999999999994</v>
      </c>
      <c r="IE20" s="107">
        <f t="shared" si="2"/>
        <v>78.599999999999994</v>
      </c>
      <c r="IF20" s="107">
        <f t="shared" si="0"/>
        <v>101.2</v>
      </c>
      <c r="IG20" s="107">
        <f t="shared" si="0"/>
        <v>99.8</v>
      </c>
      <c r="IH20" s="107">
        <f t="shared" si="0"/>
        <v>105.9</v>
      </c>
      <c r="II20" s="107">
        <f t="shared" si="0"/>
        <v>127.95</v>
      </c>
      <c r="IJ20" s="107">
        <f t="shared" si="0"/>
        <v>135.75</v>
      </c>
      <c r="IK20" s="107">
        <f t="shared" si="0"/>
        <v>129.05000000000001</v>
      </c>
      <c r="IL20" s="107">
        <f t="shared" si="0"/>
        <v>91.35</v>
      </c>
      <c r="IM20" s="107">
        <f t="shared" si="0"/>
        <v>84.8</v>
      </c>
      <c r="IN20" s="107">
        <f t="shared" si="0"/>
        <v>75.849999999999994</v>
      </c>
      <c r="IO20" s="107">
        <f t="shared" si="0"/>
        <v>73.3</v>
      </c>
      <c r="IP20" s="107">
        <f t="shared" si="0"/>
        <v>78.150000000000006</v>
      </c>
      <c r="IQ20" s="107">
        <f t="shared" si="0"/>
        <v>78.8</v>
      </c>
      <c r="IR20" s="107">
        <f t="shared" si="0"/>
        <v>61.4</v>
      </c>
      <c r="IS20" s="107">
        <f t="shared" si="0"/>
        <v>57.45</v>
      </c>
      <c r="IT20" s="107">
        <f t="shared" si="0"/>
        <v>30.45</v>
      </c>
      <c r="IU20" s="107">
        <f t="shared" si="0"/>
        <v>31</v>
      </c>
      <c r="IV20" s="107">
        <f t="shared" si="0"/>
        <v>38.25</v>
      </c>
      <c r="IW20" s="107">
        <f t="shared" si="0"/>
        <v>38.200000000000003</v>
      </c>
      <c r="IX20" s="107">
        <f t="shared" si="0"/>
        <v>47.95</v>
      </c>
      <c r="IY20" s="107">
        <f t="shared" si="0"/>
        <v>53</v>
      </c>
      <c r="IZ20" s="107">
        <f t="shared" si="0"/>
        <v>52.7</v>
      </c>
      <c r="JA20" s="107">
        <f t="shared" si="0"/>
        <v>48.8</v>
      </c>
      <c r="JB20" s="107">
        <f t="shared" si="0"/>
        <v>43.3</v>
      </c>
      <c r="JC20" s="107">
        <f t="shared" si="0"/>
        <v>40.4</v>
      </c>
      <c r="JD20" s="107">
        <f t="shared" si="0"/>
        <v>43.9</v>
      </c>
      <c r="JE20" s="107">
        <f t="shared" si="0"/>
        <v>46.05</v>
      </c>
      <c r="JF20" s="107">
        <f t="shared" si="0"/>
        <v>66.05</v>
      </c>
      <c r="JG20" s="107">
        <f t="shared" si="0"/>
        <v>69.41</v>
      </c>
      <c r="JH20" s="107">
        <f t="shared" si="0"/>
        <v>74</v>
      </c>
      <c r="JI20" s="107">
        <f t="shared" si="0"/>
        <v>86.4</v>
      </c>
      <c r="JJ20" s="107">
        <f t="shared" si="0"/>
        <v>111.95</v>
      </c>
      <c r="JK20" s="107">
        <f t="shared" si="0"/>
        <v>109.55</v>
      </c>
      <c r="JL20" s="107">
        <f t="shared" si="0"/>
        <v>109.45</v>
      </c>
      <c r="JM20" s="107">
        <f t="shared" si="0"/>
        <v>96</v>
      </c>
      <c r="JN20" s="107">
        <f t="shared" si="0"/>
        <v>90</v>
      </c>
      <c r="JO20" s="107">
        <f t="shared" si="0"/>
        <v>101.1</v>
      </c>
      <c r="JP20" s="107">
        <f t="shared" ref="JP20" si="3">+IF(JP15=0,JP8,JP15)</f>
        <v>109</v>
      </c>
      <c r="JQ20" s="107">
        <f t="shared" si="1"/>
        <v>122.2</v>
      </c>
      <c r="JR20" s="107">
        <f t="shared" si="1"/>
        <v>136.5</v>
      </c>
      <c r="JS20" s="107">
        <f t="shared" si="1"/>
        <v>134.5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41</v>
      </c>
      <c r="HP21" s="107">
        <f t="shared" si="2"/>
        <v>310.39999999999998</v>
      </c>
      <c r="HQ21" s="107">
        <f t="shared" si="0"/>
        <v>342.85</v>
      </c>
      <c r="HR21" s="107">
        <f t="shared" si="0"/>
        <v>302.5</v>
      </c>
      <c r="HS21" s="107">
        <f t="shared" si="0"/>
        <v>231.9</v>
      </c>
      <c r="HT21" s="107">
        <f t="shared" si="0"/>
        <v>157.9</v>
      </c>
      <c r="HU21" s="107">
        <f t="shared" si="0"/>
        <v>237.55</v>
      </c>
      <c r="HV21" s="107">
        <f t="shared" si="0"/>
        <v>228.9</v>
      </c>
      <c r="HW21" s="107">
        <f t="shared" si="0"/>
        <v>301.39999999999998</v>
      </c>
      <c r="HX21" s="107">
        <f t="shared" si="0"/>
        <v>231.75</v>
      </c>
      <c r="HY21" s="107">
        <f t="shared" si="0"/>
        <v>301.64999999999998</v>
      </c>
      <c r="HZ21" s="107">
        <f t="shared" si="0"/>
        <v>195.75</v>
      </c>
      <c r="IA21" s="107">
        <f t="shared" si="0"/>
        <v>171.3</v>
      </c>
      <c r="IB21" s="107">
        <f t="shared" si="0"/>
        <v>135.55000000000001</v>
      </c>
      <c r="IC21" s="107">
        <f t="shared" si="0"/>
        <v>114.95</v>
      </c>
      <c r="ID21" s="107">
        <f t="shared" si="0"/>
        <v>97.05</v>
      </c>
      <c r="IE21" s="107">
        <f t="shared" si="0"/>
        <v>101.1</v>
      </c>
      <c r="IF21" s="107">
        <f t="shared" si="0"/>
        <v>112.7</v>
      </c>
      <c r="IG21" s="107">
        <f t="shared" si="0"/>
        <v>107.2</v>
      </c>
      <c r="IH21" s="107">
        <f t="shared" si="0"/>
        <v>139.4</v>
      </c>
      <c r="II21" s="107">
        <f t="shared" si="0"/>
        <v>139.30000000000001</v>
      </c>
      <c r="IJ21" s="107">
        <f t="shared" si="0"/>
        <v>137.44999999999999</v>
      </c>
      <c r="IK21" s="107">
        <f t="shared" si="0"/>
        <v>169.7</v>
      </c>
      <c r="IL21" s="107">
        <f t="shared" si="0"/>
        <v>103.4</v>
      </c>
      <c r="IM21" s="107">
        <f t="shared" si="0"/>
        <v>87.5</v>
      </c>
      <c r="IN21" s="107">
        <f t="shared" si="0"/>
        <v>76.900000000000006</v>
      </c>
      <c r="IO21" s="107">
        <f t="shared" si="0"/>
        <v>104.05</v>
      </c>
      <c r="IP21" s="107">
        <f t="shared" si="0"/>
        <v>104.3</v>
      </c>
      <c r="IQ21" s="107">
        <f t="shared" si="0"/>
        <v>90.15</v>
      </c>
      <c r="IR21" s="107">
        <f t="shared" si="0"/>
        <v>62.95</v>
      </c>
      <c r="IS21" s="107">
        <f t="shared" si="0"/>
        <v>70.45</v>
      </c>
      <c r="IT21" s="107">
        <f t="shared" si="0"/>
        <v>32.25</v>
      </c>
      <c r="IU21" s="107">
        <f t="shared" si="0"/>
        <v>48.9</v>
      </c>
      <c r="IV21" s="107">
        <f t="shared" si="0"/>
        <v>40.700000000000003</v>
      </c>
      <c r="IW21" s="107">
        <f t="shared" si="0"/>
        <v>48.65</v>
      </c>
      <c r="IX21" s="107">
        <f t="shared" si="0"/>
        <v>67.849999999999994</v>
      </c>
      <c r="IY21" s="107">
        <f t="shared" si="0"/>
        <v>77.900000000000006</v>
      </c>
      <c r="IZ21" s="107">
        <f t="shared" si="0"/>
        <v>55.45</v>
      </c>
      <c r="JA21" s="107">
        <f t="shared" si="0"/>
        <v>51.35</v>
      </c>
      <c r="JB21" s="107">
        <f t="shared" si="0"/>
        <v>45.85</v>
      </c>
      <c r="JC21" s="107">
        <f t="shared" si="0"/>
        <v>44.35</v>
      </c>
      <c r="JD21" s="107">
        <f t="shared" si="0"/>
        <v>48.2</v>
      </c>
      <c r="JE21" s="107">
        <f t="shared" si="0"/>
        <v>88.2</v>
      </c>
      <c r="JF21" s="107">
        <f t="shared" si="0"/>
        <v>74.849999999999994</v>
      </c>
      <c r="JG21" s="107">
        <f t="shared" si="0"/>
        <v>73.599999999999994</v>
      </c>
      <c r="JH21" s="107">
        <f t="shared" si="0"/>
        <v>109.41</v>
      </c>
      <c r="JI21" s="107">
        <f t="shared" si="0"/>
        <v>112.6</v>
      </c>
      <c r="JJ21" s="107">
        <f t="shared" si="0"/>
        <v>137</v>
      </c>
      <c r="JK21" s="107">
        <f t="shared" si="0"/>
        <v>120.35</v>
      </c>
      <c r="JL21" s="107">
        <f t="shared" si="0"/>
        <v>110.7</v>
      </c>
      <c r="JM21" s="107">
        <f t="shared" si="0"/>
        <v>101.95</v>
      </c>
      <c r="JN21" s="107">
        <f t="shared" si="0"/>
        <v>107.1</v>
      </c>
      <c r="JO21" s="107">
        <f t="shared" si="0"/>
        <v>118.55</v>
      </c>
      <c r="JP21" s="107">
        <f t="shared" ref="JP21" si="4">+IF(JP16=0,JP9,JP16)</f>
        <v>123.35</v>
      </c>
      <c r="JQ21" s="107">
        <f t="shared" si="1"/>
        <v>143.75</v>
      </c>
      <c r="JR21" s="107">
        <f t="shared" si="1"/>
        <v>137.05000000000001</v>
      </c>
      <c r="JS21" s="107">
        <f t="shared" si="1"/>
        <v>145.6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104</v>
      </c>
      <c r="D3" s="98" t="s">
        <v>105</v>
      </c>
      <c r="E3" s="98" t="s">
        <v>106</v>
      </c>
      <c r="F3" s="98">
        <v>202503</v>
      </c>
      <c r="G3" s="98" t="s">
        <v>107</v>
      </c>
      <c r="H3" s="98" t="s">
        <v>108</v>
      </c>
    </row>
    <row r="5" spans="1:31" x14ac:dyDescent="0.25">
      <c r="A5" s="102" t="s">
        <v>116</v>
      </c>
      <c r="B5" s="100"/>
      <c r="C5" s="102" t="s">
        <v>118</v>
      </c>
      <c r="D5" s="100"/>
      <c r="E5" s="102" t="s">
        <v>117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109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58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110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59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60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111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61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62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64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63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65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112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66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67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68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71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72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73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74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113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76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114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115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2026-06-15T09:31:33Z</dcterms:modified>
</cp:coreProperties>
</file>